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me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adeczkiz\Downloads\"/>
    </mc:Choice>
  </mc:AlternateContent>
  <xr:revisionPtr revIDLastSave="0" documentId="13_ncr:1_{85F0AC77-7C64-4FAF-B570-F889F88774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Inputs" sheetId="2" r:id="rId2"/>
  </sheets>
  <definedNames>
    <definedName name="Balancing">Inputs!$E$64</definedName>
    <definedName name="Bench_BESS">Inputs!$E$8</definedName>
    <definedName name="Bench_Wind">Inputs!$E$7</definedName>
    <definedName name="BESS_Capex">Inputs!$E$51</definedName>
    <definedName name="Bid_Sec_Rate">Inputs!$E$9</definedName>
    <definedName name="Capex_Civil">Inputs!$E$44</definedName>
    <definedName name="Capex_Cont">Inputs!$E$50</definedName>
    <definedName name="Capex_Elec">Inputs!$E$45</definedName>
    <definedName name="Capex_Fdn">Inputs!$E$43</definedName>
    <definedName name="Capex_Install">Inputs!$E$42</definedName>
    <definedName name="Capex_Land">Inputs!$E$47</definedName>
    <definedName name="Capex_Owner">Inputs!$E$46</definedName>
    <definedName name="Case_CN">Dashboard!$H$27</definedName>
    <definedName name="Case_EU">Dashboard!$H$26</definedName>
    <definedName name="Case_OM">Dashboard!$H$30</definedName>
    <definedName name="Case_P50">Dashboard!$H$29</definedName>
    <definedName name="Case_PPA">Dashboard!$H$28</definedName>
    <definedName name="CIT_Rate">Inputs!$E$39</definedName>
    <definedName name="Clipping">Inputs!$E$54</definedName>
    <definedName name="Curtailment">Inputs!$E$53</definedName>
    <definedName name="Dash_BESS_Share">Dashboard!$E$8:$G$8</definedName>
    <definedName name="Dash_Brownfield">Dashboard!$E$15:$G$15</definedName>
    <definedName name="Dash_Case">Dashboard!$H$25</definedName>
    <definedName name="Dash_Case_CN">Dashboard!$E$27:$G$27</definedName>
    <definedName name="Dash_Case_EU">Dashboard!$E$26:$G$26</definedName>
    <definedName name="Dash_Case_OM">Dashboard!$E$30:$G$30</definedName>
    <definedName name="Dash_Case_P50">Dashboard!$E$29:$G$29</definedName>
    <definedName name="Dash_Case_PPA">Dashboard!$E$28:$G$28</definedName>
    <definedName name="Dash_Community">Dashboard!$E$12:$G$12</definedName>
    <definedName name="Dash_DSA">Dashboard!$E$20:$G$20</definedName>
    <definedName name="Dash_FEP_Share">Dashboard!$E$19:$G$19</definedName>
    <definedName name="Dash_Hours">Dashboard!$E$9:$G$9</definedName>
    <definedName name="Dash_JV">Dashboard!$E$21:$G$21</definedName>
    <definedName name="Dash_Municipal">Dashboard!$E$11:$G$11</definedName>
    <definedName name="Dash_MVA">Dashboard!$E$6:$G$6</definedName>
    <definedName name="Dash_Overbuild">Dashboard!$E$7:$G$7</definedName>
    <definedName name="Dash_P50">Dashboard!$E$22:$G$22</definedName>
    <definedName name="Dash_Partial">Dashboard!$E$13:$G$13</definedName>
    <definedName name="Dash_PB_Mult">Dashboard!$E$14:$G$14</definedName>
    <definedName name="Dash_Premium">Dashboard!$E$18:$G$18</definedName>
    <definedName name="Dash_Shared">Dashboard!$E$16:$G$16</definedName>
    <definedName name="Dash_Shortfall">Dashboard!$E$10:$G$10</definedName>
    <definedName name="Dash_Turbine">Dashboard!$E$17:$G$17</definedName>
    <definedName name="Days_In_Year">Inputs!$E$75</definedName>
    <definedName name="Degradation">Inputs!$E$55</definedName>
    <definedName name="Devex_Class">Inputs!$G$80:$G$112</definedName>
    <definedName name="Devex_Date">Inputs!$F$80:$F$112</definedName>
    <definedName name="Devex_Floor">Inputs!$E$32</definedName>
    <definedName name="Devex_HUF">Inputs!$E$80:$E$112</definedName>
    <definedName name="Discount_Rate">Inputs!$E$72</definedName>
    <definedName name="DSA_Cap">Inputs!$E$38</definedName>
    <definedName name="DSA_Rate">Inputs!$E$37</definedName>
    <definedName name="First_Year">Inputs!$E$73</definedName>
    <definedName name="Freeze_Date">Inputs!$E$33</definedName>
    <definedName name="FX">Inputs!$E$6</definedName>
    <definedName name="Grid_Charges">Inputs!$E$65</definedName>
    <definedName name="HIPA_Rate">Inputs!$E$67</definedName>
    <definedName name="Life">Inputs!$E$71</definedName>
    <definedName name="Lump_Basis">Inputs!$E$49</definedName>
    <definedName name="Master_Check">Dashboard!$H$442</definedName>
    <definedName name="MEKH_Fee">Inputs!$E$66</definedName>
    <definedName name="Months_In_Year">Inputs!$E$76</definedName>
    <definedName name="Opex_Admin">Inputs!$E$63</definedName>
    <definedName name="Opex_BoP">Inputs!$E$58</definedName>
    <definedName name="Opex_Cont">Inputs!$E$68</definedName>
    <definedName name="Opex_Esc">Inputs!$E$69</definedName>
    <definedName name="Opex_Ins">Inputs!$E$60</definedName>
    <definedName name="Opex_Lease">Inputs!$E$59</definedName>
    <definedName name="Opex_Mgmt">Inputs!$E$61</definedName>
    <definedName name="Opex_Per_MW">Inputs!$E$58:$E$62</definedName>
    <definedName name="Opex_PropTax">Inputs!$E$62</definedName>
    <definedName name="Osz1_Incl">Inputs!$E$116:$M$116</definedName>
    <definedName name="Osz1_LB">Inputs!$E$115:$M$115</definedName>
    <definedName name="Osz1_Pts">Inputs!$E$117:$N$117</definedName>
    <definedName name="Osz1_W">Inputs!$E$135</definedName>
    <definedName name="Osz2_Incl">Inputs!$E$119:$O$119</definedName>
    <definedName name="Osz2_LB">Inputs!$E$118:$O$118</definedName>
    <definedName name="Osz2_Pts">Inputs!$E$120:$P$120</definedName>
    <definedName name="Osz2_W">Inputs!$E$136</definedName>
    <definedName name="Osz3_Incl">Inputs!$E$122:$N$122</definedName>
    <definedName name="Osz3_LB">Inputs!$E$121:$N$121</definedName>
    <definedName name="Osz3_Pts">Inputs!$E$123:$O$123</definedName>
    <definedName name="Osz3_W">Inputs!$E$137</definedName>
    <definedName name="Osz4_Incl">Inputs!$E$125:$N$125</definedName>
    <definedName name="Osz4_LB">Inputs!$E$124:$N$124</definedName>
    <definedName name="Osz4_Pts">Inputs!$E$126:$O$126</definedName>
    <definedName name="Osz4_W">Inputs!$E$138</definedName>
    <definedName name="Osz5_Pts">Inputs!$E$130</definedName>
    <definedName name="Osz5_W">Inputs!$E$139</definedName>
    <definedName name="Osz6_Incl">Inputs!$E$128:$N$128</definedName>
    <definedName name="Osz6_LB">Inputs!$E$127:$N$127</definedName>
    <definedName name="Osz6_Pts">Inputs!$E$129:$O$129</definedName>
    <definedName name="Osz6_W">Inputs!$E$140</definedName>
    <definedName name="Osz7_Pts">Inputs!$E$131</definedName>
    <definedName name="Osz7_W">Inputs!$E$141</definedName>
    <definedName name="Osz8_Pts">Inputs!$E$132</definedName>
    <definedName name="Osz8_W">Inputs!$E$142</definedName>
    <definedName name="Osz9_W">Inputs!$E$143</definedName>
    <definedName name="Osz9a_Pts">Inputs!$E$133</definedName>
    <definedName name="Osz9b_Pts">Inputs!$E$134</definedName>
    <definedName name="Part_Fee">Inputs!$E$11</definedName>
    <definedName name="PB_Rate">Inputs!$E$10</definedName>
    <definedName name="PPA_Esc">Inputs!$E$56</definedName>
    <definedName name="Rate_Cash">Inputs!$E$30</definedName>
    <definedName name="Rate_Devex">Inputs!$E$31</definedName>
    <definedName name="Sale_Costs">Inputs!$E$36</definedName>
    <definedName name="Sale_Date">Inputs!$E$34</definedName>
    <definedName name="Sale_Date_A">Inputs!$E$35</definedName>
    <definedName name="Share_Exempt">Inputs!$E$40</definedName>
    <definedName name="Subs_Lump">Inputs!$E$48</definedName>
    <definedName name="Thousand">Inputs!$E$74</definedName>
    <definedName name="Tolerance">Inputs!$E$77</definedName>
    <definedName name="TSO_Rate">Inputs!$E$12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6" i="1" l="1" a="1"/>
  <c r="E36" i="1"/>
  <c r="F36" i="1" a="1"/>
  <c r="F36" i="1"/>
  <c r="G36" i="1" a="1"/>
  <c r="G36" i="1" s="1"/>
  <c r="G439" i="1"/>
  <c r="F439" i="1"/>
  <c r="E439" i="1"/>
  <c r="G434" i="1"/>
  <c r="F434" i="1"/>
  <c r="E43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G399" i="1"/>
  <c r="AK397" i="1"/>
  <c r="AK398" i="1" s="1"/>
  <c r="AI397" i="1"/>
  <c r="AI398" i="1" s="1"/>
  <c r="M397" i="1"/>
  <c r="M398" i="1" s="1"/>
  <c r="K397" i="1"/>
  <c r="K398" i="1" s="1"/>
  <c r="G397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N368" i="1"/>
  <c r="M368" i="1"/>
  <c r="L368" i="1"/>
  <c r="F367" i="1"/>
  <c r="Z365" i="1"/>
  <c r="F365" i="1"/>
  <c r="AI364" i="1"/>
  <c r="W364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H360" i="1" s="1"/>
  <c r="T360" i="1"/>
  <c r="S360" i="1"/>
  <c r="R360" i="1"/>
  <c r="Q360" i="1"/>
  <c r="P360" i="1"/>
  <c r="O360" i="1"/>
  <c r="N360" i="1"/>
  <c r="M360" i="1"/>
  <c r="L360" i="1"/>
  <c r="K360" i="1"/>
  <c r="J360" i="1"/>
  <c r="AL336" i="1"/>
  <c r="AN335" i="1"/>
  <c r="AN336" i="1" s="1"/>
  <c r="AM335" i="1"/>
  <c r="AM336" i="1" s="1"/>
  <c r="AL335" i="1"/>
  <c r="AK335" i="1"/>
  <c r="AK336" i="1" s="1"/>
  <c r="AJ335" i="1"/>
  <c r="AJ336" i="1" s="1"/>
  <c r="Z335" i="1"/>
  <c r="Z336" i="1" s="1"/>
  <c r="Y335" i="1"/>
  <c r="Y336" i="1" s="1"/>
  <c r="P335" i="1"/>
  <c r="P336" i="1" s="1"/>
  <c r="O335" i="1"/>
  <c r="O336" i="1" s="1"/>
  <c r="N335" i="1"/>
  <c r="N336" i="1" s="1"/>
  <c r="M335" i="1"/>
  <c r="M336" i="1" s="1"/>
  <c r="L335" i="1"/>
  <c r="L336" i="1" s="1"/>
  <c r="E335" i="1"/>
  <c r="AL333" i="1"/>
  <c r="AL334" i="1" s="1"/>
  <c r="AB333" i="1"/>
  <c r="AB334" i="1" s="1"/>
  <c r="AA333" i="1"/>
  <c r="AA334" i="1" s="1"/>
  <c r="Z333" i="1"/>
  <c r="Z334" i="1" s="1"/>
  <c r="S333" i="1"/>
  <c r="S334" i="1" s="1"/>
  <c r="R333" i="1"/>
  <c r="R334" i="1" s="1"/>
  <c r="N333" i="1"/>
  <c r="E333" i="1"/>
  <c r="AN332" i="1"/>
  <c r="AM332" i="1"/>
  <c r="AB332" i="1"/>
  <c r="S332" i="1"/>
  <c r="S343" i="1" s="1"/>
  <c r="J332" i="1"/>
  <c r="J347" i="1" s="1"/>
  <c r="AS328" i="1"/>
  <c r="AS329" i="1" s="1"/>
  <c r="AR328" i="1"/>
  <c r="AR329" i="1" s="1"/>
  <c r="AQ328" i="1"/>
  <c r="AQ364" i="1" s="1"/>
  <c r="AQ375" i="1" s="1"/>
  <c r="AP328" i="1"/>
  <c r="AP329" i="1" s="1"/>
  <c r="AO328" i="1"/>
  <c r="AO146" i="1" s="1"/>
  <c r="AN328" i="1"/>
  <c r="AN329" i="1" s="1"/>
  <c r="AM328" i="1"/>
  <c r="AL328" i="1"/>
  <c r="AL367" i="1" s="1"/>
  <c r="AK328" i="1"/>
  <c r="AK367" i="1" s="1"/>
  <c r="AJ328" i="1"/>
  <c r="AJ367" i="1" s="1"/>
  <c r="AJ368" i="1" s="1"/>
  <c r="AI328" i="1"/>
  <c r="AH328" i="1"/>
  <c r="AG328" i="1"/>
  <c r="AF328" i="1"/>
  <c r="AF365" i="1" s="1"/>
  <c r="AF366" i="1" s="1"/>
  <c r="AE328" i="1"/>
  <c r="AE335" i="1" s="1"/>
  <c r="AE336" i="1" s="1"/>
  <c r="AD328" i="1"/>
  <c r="AD146" i="1" s="1"/>
  <c r="AC328" i="1"/>
  <c r="AC146" i="1" s="1"/>
  <c r="AB328" i="1"/>
  <c r="AA328" i="1"/>
  <c r="Z328" i="1"/>
  <c r="Y328" i="1"/>
  <c r="X328" i="1"/>
  <c r="X335" i="1" s="1"/>
  <c r="X336" i="1" s="1"/>
  <c r="W328" i="1"/>
  <c r="V328" i="1"/>
  <c r="V329" i="1" s="1"/>
  <c r="U328" i="1"/>
  <c r="U399" i="1" s="1"/>
  <c r="U400" i="1" s="1"/>
  <c r="T328" i="1"/>
  <c r="S328" i="1"/>
  <c r="S364" i="1" s="1"/>
  <c r="R328" i="1"/>
  <c r="R367" i="1" s="1"/>
  <c r="R368" i="1" s="1"/>
  <c r="Q328" i="1"/>
  <c r="Q364" i="1" s="1"/>
  <c r="P328" i="1"/>
  <c r="P367" i="1" s="1"/>
  <c r="P368" i="1" s="1"/>
  <c r="O328" i="1"/>
  <c r="N328" i="1"/>
  <c r="N367" i="1" s="1"/>
  <c r="M328" i="1"/>
  <c r="M367" i="1" s="1"/>
  <c r="L328" i="1"/>
  <c r="L367" i="1" s="1"/>
  <c r="K328" i="1"/>
  <c r="K146" i="1" s="1"/>
  <c r="J328" i="1"/>
  <c r="L325" i="1"/>
  <c r="K325" i="1"/>
  <c r="J325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G299" i="1"/>
  <c r="F299" i="1"/>
  <c r="E299" i="1"/>
  <c r="H299" i="1" s="1"/>
  <c r="H298" i="1"/>
  <c r="G298" i="1"/>
  <c r="F298" i="1"/>
  <c r="E298" i="1"/>
  <c r="H297" i="1"/>
  <c r="G297" i="1"/>
  <c r="F297" i="1"/>
  <c r="E297" i="1"/>
  <c r="E296" i="1"/>
  <c r="H296" i="1" s="1"/>
  <c r="G281" i="1"/>
  <c r="G296" i="1" s="1"/>
  <c r="F281" i="1"/>
  <c r="F296" i="1" s="1"/>
  <c r="E281" i="1"/>
  <c r="H281" i="1" s="1"/>
  <c r="L278" i="1"/>
  <c r="K278" i="1"/>
  <c r="J278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G253" i="1"/>
  <c r="F253" i="1"/>
  <c r="H253" i="1" s="1"/>
  <c r="E253" i="1"/>
  <c r="G252" i="1"/>
  <c r="H252" i="1" s="1"/>
  <c r="F252" i="1"/>
  <c r="E252" i="1"/>
  <c r="G251" i="1"/>
  <c r="F251" i="1"/>
  <c r="E251" i="1"/>
  <c r="H251" i="1" s="1"/>
  <c r="G250" i="1"/>
  <c r="F250" i="1"/>
  <c r="G236" i="1"/>
  <c r="F236" i="1"/>
  <c r="E236" i="1"/>
  <c r="E211" i="1"/>
  <c r="E218" i="1" s="1"/>
  <c r="G210" i="1"/>
  <c r="G211" i="1" s="1"/>
  <c r="F210" i="1"/>
  <c r="F211" i="1" s="1"/>
  <c r="E210" i="1"/>
  <c r="G206" i="1"/>
  <c r="G208" i="1" s="1"/>
  <c r="F206" i="1"/>
  <c r="F207" i="1" s="1"/>
  <c r="K277" i="1" s="1"/>
  <c r="E206" i="1"/>
  <c r="E207" i="1" s="1"/>
  <c r="E224" i="1" s="1"/>
  <c r="G205" i="1"/>
  <c r="G238" i="1" s="1"/>
  <c r="F205" i="1"/>
  <c r="F238" i="1" s="1"/>
  <c r="E205" i="1"/>
  <c r="E238" i="1" s="1"/>
  <c r="G204" i="1"/>
  <c r="L276" i="1" s="1"/>
  <c r="G203" i="1"/>
  <c r="F203" i="1"/>
  <c r="F204" i="1" s="1"/>
  <c r="E203" i="1"/>
  <c r="E204" i="1" s="1"/>
  <c r="F186" i="1"/>
  <c r="E186" i="1"/>
  <c r="E187" i="1" s="1"/>
  <c r="G184" i="1"/>
  <c r="F184" i="1"/>
  <c r="E184" i="1"/>
  <c r="G182" i="1"/>
  <c r="F182" i="1"/>
  <c r="E182" i="1"/>
  <c r="E183" i="1" s="1"/>
  <c r="G180" i="1"/>
  <c r="F180" i="1"/>
  <c r="E180" i="1"/>
  <c r="G178" i="1"/>
  <c r="F178" i="1"/>
  <c r="E178" i="1"/>
  <c r="E176" i="1"/>
  <c r="G175" i="1"/>
  <c r="F175" i="1"/>
  <c r="E175" i="1"/>
  <c r="E177" i="1" s="1"/>
  <c r="AN146" i="1"/>
  <c r="AM146" i="1"/>
  <c r="AL146" i="1"/>
  <c r="AK146" i="1"/>
  <c r="AJ146" i="1"/>
  <c r="AI146" i="1"/>
  <c r="AE146" i="1"/>
  <c r="AB146" i="1"/>
  <c r="AA146" i="1"/>
  <c r="Z146" i="1"/>
  <c r="Y146" i="1"/>
  <c r="X146" i="1"/>
  <c r="W146" i="1"/>
  <c r="P146" i="1"/>
  <c r="O146" i="1"/>
  <c r="N146" i="1"/>
  <c r="M146" i="1"/>
  <c r="G128" i="1"/>
  <c r="H128" i="1" s="1"/>
  <c r="F128" i="1"/>
  <c r="E128" i="1"/>
  <c r="G127" i="1"/>
  <c r="H127" i="1" s="1"/>
  <c r="F127" i="1"/>
  <c r="E127" i="1"/>
  <c r="G125" i="1"/>
  <c r="E125" i="1"/>
  <c r="G98" i="1"/>
  <c r="F98" i="1"/>
  <c r="E98" i="1"/>
  <c r="G96" i="1"/>
  <c r="F96" i="1"/>
  <c r="E96" i="1"/>
  <c r="G95" i="1"/>
  <c r="F95" i="1"/>
  <c r="E95" i="1"/>
  <c r="H95" i="1" s="1"/>
  <c r="G94" i="1"/>
  <c r="F94" i="1"/>
  <c r="E94" i="1"/>
  <c r="G93" i="1"/>
  <c r="F93" i="1"/>
  <c r="E93" i="1"/>
  <c r="G90" i="1"/>
  <c r="F90" i="1"/>
  <c r="E90" i="1"/>
  <c r="G88" i="1"/>
  <c r="F88" i="1"/>
  <c r="E88" i="1"/>
  <c r="J69" i="1"/>
  <c r="J68" i="1"/>
  <c r="G68" i="1"/>
  <c r="G104" i="1" s="1"/>
  <c r="J66" i="1"/>
  <c r="J65" i="1"/>
  <c r="F65" i="1"/>
  <c r="F321" i="1" s="1"/>
  <c r="J64" i="1"/>
  <c r="J63" i="1"/>
  <c r="J62" i="1"/>
  <c r="J61" i="1"/>
  <c r="G61" i="1"/>
  <c r="F61" i="1"/>
  <c r="J57" i="1"/>
  <c r="G57" i="1"/>
  <c r="G69" i="1" s="1"/>
  <c r="F57" i="1"/>
  <c r="F69" i="1" s="1"/>
  <c r="F271" i="1" s="1"/>
  <c r="E57" i="1"/>
  <c r="E69" i="1" s="1"/>
  <c r="E271" i="1" s="1"/>
  <c r="J56" i="1"/>
  <c r="G56" i="1"/>
  <c r="F56" i="1"/>
  <c r="F68" i="1" s="1"/>
  <c r="E56" i="1"/>
  <c r="E68" i="1" s="1"/>
  <c r="J55" i="1"/>
  <c r="E433" i="1" s="1"/>
  <c r="G55" i="1"/>
  <c r="G67" i="1" s="1"/>
  <c r="F55" i="1"/>
  <c r="F67" i="1" s="1"/>
  <c r="E55" i="1"/>
  <c r="E67" i="1" s="1"/>
  <c r="J54" i="1"/>
  <c r="G54" i="1"/>
  <c r="G66" i="1" s="1"/>
  <c r="F54" i="1"/>
  <c r="F66" i="1" s="1"/>
  <c r="J53" i="1"/>
  <c r="G53" i="1"/>
  <c r="G65" i="1" s="1"/>
  <c r="F53" i="1"/>
  <c r="E53" i="1"/>
  <c r="J52" i="1"/>
  <c r="G52" i="1"/>
  <c r="G64" i="1" s="1"/>
  <c r="F52" i="1"/>
  <c r="F64" i="1" s="1"/>
  <c r="E52" i="1"/>
  <c r="E54" i="1" s="1"/>
  <c r="J51" i="1"/>
  <c r="J50" i="1"/>
  <c r="J49" i="1"/>
  <c r="G49" i="1"/>
  <c r="F49" i="1"/>
  <c r="E49" i="1"/>
  <c r="H49" i="1" s="1"/>
  <c r="G45" i="1"/>
  <c r="F45" i="1"/>
  <c r="E45" i="1"/>
  <c r="H45" i="1" s="1"/>
  <c r="G44" i="1"/>
  <c r="F44" i="1"/>
  <c r="E44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5" i="1"/>
  <c r="F35" i="1"/>
  <c r="E35" i="1"/>
  <c r="G34" i="1"/>
  <c r="F34" i="1"/>
  <c r="E34" i="1"/>
  <c r="G33" i="1"/>
  <c r="F33" i="1"/>
  <c r="E33" i="1"/>
  <c r="H30" i="1"/>
  <c r="H29" i="1"/>
  <c r="H28" i="1"/>
  <c r="H27" i="1"/>
  <c r="H26" i="1"/>
  <c r="H6" i="1"/>
  <c r="F221" i="1" l="1"/>
  <c r="H54" i="1"/>
  <c r="E66" i="1"/>
  <c r="G277" i="1"/>
  <c r="G263" i="1"/>
  <c r="AP390" i="1"/>
  <c r="AP358" i="1"/>
  <c r="AP422" i="1"/>
  <c r="J276" i="1"/>
  <c r="E221" i="1"/>
  <c r="E223" i="1" s="1"/>
  <c r="E231" i="1" s="1"/>
  <c r="Q367" i="1"/>
  <c r="Q368" i="1" s="1"/>
  <c r="Q146" i="1"/>
  <c r="R146" i="1"/>
  <c r="S146" i="1"/>
  <c r="H238" i="1"/>
  <c r="AC332" i="1"/>
  <c r="AC345" i="1" s="1"/>
  <c r="AP364" i="1"/>
  <c r="AP375" i="1" s="1"/>
  <c r="AP397" i="1"/>
  <c r="AP398" i="1" s="1"/>
  <c r="G97" i="1"/>
  <c r="H68" i="1"/>
  <c r="F202" i="1"/>
  <c r="F110" i="1" s="1"/>
  <c r="E216" i="1"/>
  <c r="E276" i="1"/>
  <c r="H276" i="1" s="1"/>
  <c r="U329" i="1"/>
  <c r="R335" i="1"/>
  <c r="R336" i="1" s="1"/>
  <c r="AP335" i="1"/>
  <c r="AP336" i="1" s="1"/>
  <c r="S365" i="1"/>
  <c r="S366" i="1" s="1"/>
  <c r="AQ369" i="1"/>
  <c r="F276" i="1"/>
  <c r="AO332" i="1"/>
  <c r="AO345" i="1" s="1"/>
  <c r="L146" i="1"/>
  <c r="AP146" i="1"/>
  <c r="G207" i="1"/>
  <c r="G224" i="1" s="1"/>
  <c r="G276" i="1"/>
  <c r="AK368" i="1"/>
  <c r="AK377" i="1" s="1"/>
  <c r="AP332" i="1"/>
  <c r="AQ333" i="1"/>
  <c r="AQ334" i="1" s="1"/>
  <c r="K364" i="1"/>
  <c r="K369" i="1" s="1"/>
  <c r="AO365" i="1"/>
  <c r="AO366" i="1" s="1"/>
  <c r="R396" i="1"/>
  <c r="F433" i="1"/>
  <c r="AO364" i="1"/>
  <c r="AO375" i="1" s="1"/>
  <c r="H205" i="1"/>
  <c r="AD332" i="1"/>
  <c r="H52" i="1"/>
  <c r="E188" i="1"/>
  <c r="E189" i="1" s="1"/>
  <c r="E197" i="1" s="1"/>
  <c r="E212" i="1"/>
  <c r="S329" i="1"/>
  <c r="AC333" i="1"/>
  <c r="AC334" i="1" s="1"/>
  <c r="Q335" i="1"/>
  <c r="Q336" i="1" s="1"/>
  <c r="AO335" i="1"/>
  <c r="AO336" i="1" s="1"/>
  <c r="R365" i="1"/>
  <c r="R366" i="1" s="1"/>
  <c r="AP333" i="1"/>
  <c r="AP334" i="1" s="1"/>
  <c r="S335" i="1"/>
  <c r="S336" i="1" s="1"/>
  <c r="S345" i="1" s="1"/>
  <c r="G433" i="1"/>
  <c r="E64" i="1"/>
  <c r="H64" i="1" s="1"/>
  <c r="AQ146" i="1"/>
  <c r="F208" i="1"/>
  <c r="F277" i="1" s="1"/>
  <c r="AL368" i="1"/>
  <c r="AL377" i="1" s="1"/>
  <c r="AO329" i="1"/>
  <c r="AO422" i="1" s="1"/>
  <c r="AQ332" i="1"/>
  <c r="AQ347" i="1" s="1"/>
  <c r="AP365" i="1"/>
  <c r="AP366" i="1" s="1"/>
  <c r="AE396" i="1"/>
  <c r="AP399" i="1"/>
  <c r="AP400" i="1" s="1"/>
  <c r="H434" i="1"/>
  <c r="Z366" i="1"/>
  <c r="AQ379" i="1"/>
  <c r="L399" i="1"/>
  <c r="L400" i="1" s="1"/>
  <c r="H56" i="1"/>
  <c r="R364" i="1"/>
  <c r="R377" i="1" s="1"/>
  <c r="AQ396" i="1"/>
  <c r="AQ411" i="1" s="1"/>
  <c r="E179" i="1"/>
  <c r="E222" i="1"/>
  <c r="AQ329" i="1"/>
  <c r="H90" i="1"/>
  <c r="E309" i="1"/>
  <c r="E324" i="1"/>
  <c r="H67" i="1"/>
  <c r="E105" i="1"/>
  <c r="AR422" i="1"/>
  <c r="AR390" i="1"/>
  <c r="AR358" i="1"/>
  <c r="AS422" i="1"/>
  <c r="AS390" i="1"/>
  <c r="AS358" i="1"/>
  <c r="U422" i="1"/>
  <c r="U390" i="1"/>
  <c r="U358" i="1"/>
  <c r="G275" i="1"/>
  <c r="G92" i="1"/>
  <c r="G124" i="1" s="1"/>
  <c r="G320" i="1"/>
  <c r="E234" i="1"/>
  <c r="E199" i="1"/>
  <c r="E50" i="1"/>
  <c r="E46" i="1"/>
  <c r="H44" i="1"/>
  <c r="G322" i="1"/>
  <c r="F309" i="1"/>
  <c r="F324" i="1"/>
  <c r="F105" i="1"/>
  <c r="G324" i="1"/>
  <c r="G309" i="1"/>
  <c r="G105" i="1"/>
  <c r="H125" i="1"/>
  <c r="G179" i="1"/>
  <c r="G190" i="1" s="1"/>
  <c r="F234" i="1"/>
  <c r="F199" i="1"/>
  <c r="F46" i="1"/>
  <c r="F272" i="1"/>
  <c r="F317" i="1"/>
  <c r="F262" i="1"/>
  <c r="F308" i="1"/>
  <c r="H53" i="1"/>
  <c r="E65" i="1"/>
  <c r="E92" i="1" s="1"/>
  <c r="F316" i="1"/>
  <c r="F261" i="1"/>
  <c r="F307" i="1"/>
  <c r="AN422" i="1"/>
  <c r="AN390" i="1"/>
  <c r="AN358" i="1"/>
  <c r="AN343" i="1"/>
  <c r="AN347" i="1"/>
  <c r="AN349" i="1" s="1"/>
  <c r="AN337" i="1"/>
  <c r="AN341" i="1" s="1"/>
  <c r="G50" i="1"/>
  <c r="G62" i="1" s="1"/>
  <c r="E323" i="1"/>
  <c r="E283" i="1"/>
  <c r="E435" i="1"/>
  <c r="G316" i="1"/>
  <c r="G271" i="1"/>
  <c r="G261" i="1"/>
  <c r="AP341" i="1"/>
  <c r="AQ341" i="1"/>
  <c r="H96" i="1"/>
  <c r="F218" i="1"/>
  <c r="F213" i="1"/>
  <c r="F219" i="1"/>
  <c r="F212" i="1"/>
  <c r="F214" i="1" s="1"/>
  <c r="F227" i="1" s="1"/>
  <c r="F216" i="1"/>
  <c r="F224" i="1"/>
  <c r="AO358" i="1"/>
  <c r="AO390" i="1"/>
  <c r="G321" i="1"/>
  <c r="G75" i="1"/>
  <c r="G202" i="1"/>
  <c r="G110" i="1" s="1"/>
  <c r="F323" i="1"/>
  <c r="F283" i="1"/>
  <c r="F126" i="1"/>
  <c r="F435" i="1"/>
  <c r="H69" i="1"/>
  <c r="K373" i="1"/>
  <c r="F125" i="1"/>
  <c r="G218" i="1"/>
  <c r="G213" i="1"/>
  <c r="G219" i="1"/>
  <c r="G212" i="1"/>
  <c r="G221" i="1"/>
  <c r="E322" i="1"/>
  <c r="H66" i="1"/>
  <c r="E126" i="1"/>
  <c r="AE407" i="1"/>
  <c r="AE401" i="1"/>
  <c r="AE405" i="1" s="1"/>
  <c r="AE411" i="1"/>
  <c r="E43" i="1"/>
  <c r="F322" i="1"/>
  <c r="H93" i="1"/>
  <c r="E97" i="1"/>
  <c r="E104" i="1"/>
  <c r="F215" i="1"/>
  <c r="G283" i="1"/>
  <c r="AG345" i="1"/>
  <c r="Q375" i="1"/>
  <c r="Q379" i="1"/>
  <c r="Q381" i="1" s="1"/>
  <c r="Q369" i="1"/>
  <c r="Q373" i="1" s="1"/>
  <c r="W373" i="1"/>
  <c r="F43" i="1"/>
  <c r="L323" i="1"/>
  <c r="G186" i="1"/>
  <c r="F73" i="1"/>
  <c r="F97" i="1"/>
  <c r="F104" i="1"/>
  <c r="F177" i="1"/>
  <c r="F187" i="1" s="1"/>
  <c r="F196" i="1" s="1"/>
  <c r="F176" i="1"/>
  <c r="F183" i="1" s="1"/>
  <c r="F193" i="1" s="1"/>
  <c r="G225" i="1"/>
  <c r="G215" i="1"/>
  <c r="G307" i="1"/>
  <c r="V422" i="1"/>
  <c r="V358" i="1"/>
  <c r="G308" i="1"/>
  <c r="G272" i="1"/>
  <c r="G317" i="1"/>
  <c r="G262" i="1"/>
  <c r="J277" i="1"/>
  <c r="E225" i="1"/>
  <c r="AP347" i="1"/>
  <c r="AP349" i="1" s="1"/>
  <c r="AP343" i="1"/>
  <c r="AP337" i="1"/>
  <c r="R411" i="1"/>
  <c r="R401" i="1"/>
  <c r="R405" i="1" s="1"/>
  <c r="R407" i="1"/>
  <c r="E316" i="1"/>
  <c r="E261" i="1"/>
  <c r="E307" i="1"/>
  <c r="G73" i="1"/>
  <c r="AR397" i="1"/>
  <c r="AR398" i="1" s="1"/>
  <c r="AR396" i="1"/>
  <c r="AR365" i="1"/>
  <c r="AR366" i="1" s="1"/>
  <c r="AR367" i="1"/>
  <c r="AR368" i="1" s="1"/>
  <c r="AR335" i="1"/>
  <c r="AR336" i="1" s="1"/>
  <c r="AR364" i="1"/>
  <c r="AR146" i="1"/>
  <c r="AR332" i="1"/>
  <c r="AR399" i="1"/>
  <c r="AR400" i="1" s="1"/>
  <c r="AR409" i="1" s="1"/>
  <c r="AR333" i="1"/>
  <c r="AR334" i="1" s="1"/>
  <c r="F263" i="1"/>
  <c r="G216" i="1"/>
  <c r="U367" i="1"/>
  <c r="U368" i="1" s="1"/>
  <c r="U397" i="1"/>
  <c r="U398" i="1" s="1"/>
  <c r="U365" i="1"/>
  <c r="U366" i="1" s="1"/>
  <c r="U396" i="1"/>
  <c r="U335" i="1"/>
  <c r="U336" i="1" s="1"/>
  <c r="U146" i="1"/>
  <c r="U332" i="1"/>
  <c r="U333" i="1"/>
  <c r="U334" i="1" s="1"/>
  <c r="AG399" i="1"/>
  <c r="AG400" i="1" s="1"/>
  <c r="AG367" i="1"/>
  <c r="AG368" i="1" s="1"/>
  <c r="AG365" i="1"/>
  <c r="AG366" i="1" s="1"/>
  <c r="AG364" i="1"/>
  <c r="AG377" i="1" s="1"/>
  <c r="AG335" i="1"/>
  <c r="AG336" i="1" s="1"/>
  <c r="AG333" i="1"/>
  <c r="AG334" i="1" s="1"/>
  <c r="AG332" i="1"/>
  <c r="AG329" i="1"/>
  <c r="AG397" i="1"/>
  <c r="AG398" i="1" s="1"/>
  <c r="AG146" i="1"/>
  <c r="AG396" i="1"/>
  <c r="AS399" i="1"/>
  <c r="AS400" i="1" s="1"/>
  <c r="AS397" i="1"/>
  <c r="AS398" i="1" s="1"/>
  <c r="AS396" i="1"/>
  <c r="AS367" i="1"/>
  <c r="AS368" i="1" s="1"/>
  <c r="AS377" i="1" s="1"/>
  <c r="AS365" i="1"/>
  <c r="AS366" i="1" s="1"/>
  <c r="AS364" i="1"/>
  <c r="AS335" i="1"/>
  <c r="AS336" i="1" s="1"/>
  <c r="AS146" i="1"/>
  <c r="AS332" i="1"/>
  <c r="AS333" i="1"/>
  <c r="AS334" i="1" s="1"/>
  <c r="U364" i="1"/>
  <c r="G234" i="1"/>
  <c r="G199" i="1"/>
  <c r="G46" i="1"/>
  <c r="E226" i="1"/>
  <c r="AP409" i="1"/>
  <c r="R409" i="1"/>
  <c r="N377" i="1"/>
  <c r="AJ377" i="1"/>
  <c r="Q377" i="1"/>
  <c r="U409" i="1"/>
  <c r="AN345" i="1"/>
  <c r="AM345" i="1"/>
  <c r="AQ345" i="1"/>
  <c r="AP345" i="1"/>
  <c r="AO377" i="1"/>
  <c r="AI345" i="1"/>
  <c r="K377" i="1"/>
  <c r="AD345" i="1"/>
  <c r="G43" i="1"/>
  <c r="G106" i="1"/>
  <c r="G176" i="1"/>
  <c r="G181" i="1" s="1"/>
  <c r="G185" i="1"/>
  <c r="G195" i="1" s="1"/>
  <c r="G177" i="1"/>
  <c r="E208" i="1"/>
  <c r="T397" i="1"/>
  <c r="T398" i="1" s="1"/>
  <c r="T367" i="1"/>
  <c r="T368" i="1" s="1"/>
  <c r="T396" i="1"/>
  <c r="T335" i="1"/>
  <c r="T336" i="1" s="1"/>
  <c r="T345" i="1" s="1"/>
  <c r="T399" i="1"/>
  <c r="T400" i="1" s="1"/>
  <c r="T409" i="1" s="1"/>
  <c r="T146" i="1"/>
  <c r="T332" i="1"/>
  <c r="T364" i="1"/>
  <c r="T365" i="1"/>
  <c r="T366" i="1" s="1"/>
  <c r="T333" i="1"/>
  <c r="T334" i="1" s="1"/>
  <c r="AF399" i="1"/>
  <c r="AF400" i="1" s="1"/>
  <c r="AF397" i="1"/>
  <c r="AF398" i="1" s="1"/>
  <c r="AF364" i="1"/>
  <c r="AF335" i="1"/>
  <c r="AF336" i="1" s="1"/>
  <c r="AF333" i="1"/>
  <c r="AF334" i="1" s="1"/>
  <c r="AF332" i="1"/>
  <c r="AF329" i="1"/>
  <c r="AF146" i="1"/>
  <c r="AF367" i="1"/>
  <c r="AF368" i="1" s="1"/>
  <c r="AF396" i="1"/>
  <c r="J337" i="1"/>
  <c r="J341" i="1" s="1"/>
  <c r="J343" i="1"/>
  <c r="AQ373" i="1"/>
  <c r="E61" i="1"/>
  <c r="H88" i="1"/>
  <c r="H94" i="1"/>
  <c r="F275" i="1"/>
  <c r="F92" i="1"/>
  <c r="F124" i="1" s="1"/>
  <c r="F320" i="1"/>
  <c r="AB343" i="1"/>
  <c r="AB337" i="1"/>
  <c r="AB341" i="1" s="1"/>
  <c r="AB347" i="1"/>
  <c r="F50" i="1"/>
  <c r="F62" i="1" s="1"/>
  <c r="E250" i="1"/>
  <c r="H250" i="1" s="1"/>
  <c r="H236" i="1"/>
  <c r="H55" i="1"/>
  <c r="H57" i="1"/>
  <c r="E275" i="1"/>
  <c r="E320" i="1"/>
  <c r="G435" i="1"/>
  <c r="G126" i="1"/>
  <c r="G323" i="1"/>
  <c r="E196" i="1"/>
  <c r="T329" i="1"/>
  <c r="AC343" i="1"/>
  <c r="AC337" i="1"/>
  <c r="AC341" i="1" s="1"/>
  <c r="AC347" i="1"/>
  <c r="AO337" i="1"/>
  <c r="AO341" i="1" s="1"/>
  <c r="V390" i="1"/>
  <c r="G222" i="1"/>
  <c r="J399" i="1"/>
  <c r="J400" i="1" s="1"/>
  <c r="J409" i="1" s="1"/>
  <c r="J396" i="1"/>
  <c r="J367" i="1"/>
  <c r="J368" i="1" s="1"/>
  <c r="J364" i="1"/>
  <c r="J377" i="1" s="1"/>
  <c r="J365" i="1"/>
  <c r="J366" i="1" s="1"/>
  <c r="J335" i="1"/>
  <c r="J336" i="1" s="1"/>
  <c r="J333" i="1"/>
  <c r="J334" i="1" s="1"/>
  <c r="V367" i="1"/>
  <c r="V368" i="1" s="1"/>
  <c r="V396" i="1"/>
  <c r="V409" i="1" s="1"/>
  <c r="V364" i="1"/>
  <c r="V397" i="1"/>
  <c r="V398" i="1" s="1"/>
  <c r="V335" i="1"/>
  <c r="V336" i="1" s="1"/>
  <c r="V399" i="1"/>
  <c r="V400" i="1" s="1"/>
  <c r="V333" i="1"/>
  <c r="V334" i="1" s="1"/>
  <c r="V365" i="1"/>
  <c r="V366" i="1" s="1"/>
  <c r="AH399" i="1"/>
  <c r="AH400" i="1" s="1"/>
  <c r="AH367" i="1"/>
  <c r="AH368" i="1" s="1"/>
  <c r="AH364" i="1"/>
  <c r="AH377" i="1" s="1"/>
  <c r="AH396" i="1"/>
  <c r="AH335" i="1"/>
  <c r="AH336" i="1" s="1"/>
  <c r="AH365" i="1"/>
  <c r="AH366" i="1" s="1"/>
  <c r="AH333" i="1"/>
  <c r="AH334" i="1" s="1"/>
  <c r="AH332" i="1"/>
  <c r="AH329" i="1"/>
  <c r="AH397" i="1"/>
  <c r="AH398" i="1" s="1"/>
  <c r="J329" i="1"/>
  <c r="S375" i="1"/>
  <c r="S369" i="1"/>
  <c r="S373" i="1" s="1"/>
  <c r="S422" i="1"/>
  <c r="S390" i="1"/>
  <c r="S358" i="1"/>
  <c r="AQ422" i="1"/>
  <c r="AQ390" i="1"/>
  <c r="AQ358" i="1"/>
  <c r="AM347" i="1"/>
  <c r="AM349" i="1" s="1"/>
  <c r="AM343" i="1"/>
  <c r="K276" i="1"/>
  <c r="F222" i="1"/>
  <c r="F223" i="1" s="1"/>
  <c r="F231" i="1" s="1"/>
  <c r="O397" i="1"/>
  <c r="O398" i="1" s="1"/>
  <c r="O396" i="1"/>
  <c r="O409" i="1" s="1"/>
  <c r="O399" i="1"/>
  <c r="O400" i="1" s="1"/>
  <c r="O364" i="1"/>
  <c r="O367" i="1"/>
  <c r="O368" i="1" s="1"/>
  <c r="O365" i="1"/>
  <c r="O366" i="1" s="1"/>
  <c r="O333" i="1"/>
  <c r="O334" i="1" s="1"/>
  <c r="O332" i="1"/>
  <c r="O345" i="1" s="1"/>
  <c r="O329" i="1"/>
  <c r="AA397" i="1"/>
  <c r="AA398" i="1" s="1"/>
  <c r="AA396" i="1"/>
  <c r="AA365" i="1"/>
  <c r="AA366" i="1" s="1"/>
  <c r="AA399" i="1"/>
  <c r="AA400" i="1" s="1"/>
  <c r="AA364" i="1"/>
  <c r="AA377" i="1" s="1"/>
  <c r="AA367" i="1"/>
  <c r="AA368" i="1" s="1"/>
  <c r="AA335" i="1"/>
  <c r="AA336" i="1" s="1"/>
  <c r="AM397" i="1"/>
  <c r="AM398" i="1" s="1"/>
  <c r="AM396" i="1"/>
  <c r="AM399" i="1"/>
  <c r="AM400" i="1" s="1"/>
  <c r="AM409" i="1" s="1"/>
  <c r="AM367" i="1"/>
  <c r="AM368" i="1" s="1"/>
  <c r="AM365" i="1"/>
  <c r="AM366" i="1" s="1"/>
  <c r="AM364" i="1"/>
  <c r="AA329" i="1"/>
  <c r="S337" i="1"/>
  <c r="S341" i="1" s="1"/>
  <c r="S347" i="1"/>
  <c r="AQ337" i="1"/>
  <c r="AO379" i="1"/>
  <c r="AO380" i="1" s="1"/>
  <c r="L324" i="1"/>
  <c r="K324" i="1"/>
  <c r="J324" i="1"/>
  <c r="G188" i="1"/>
  <c r="G189" i="1" s="1"/>
  <c r="G197" i="1" s="1"/>
  <c r="F188" i="1"/>
  <c r="F189" i="1" s="1"/>
  <c r="F197" i="1" s="1"/>
  <c r="E185" i="1"/>
  <c r="E195" i="1" s="1"/>
  <c r="F225" i="1"/>
  <c r="P397" i="1"/>
  <c r="P398" i="1" s="1"/>
  <c r="P396" i="1"/>
  <c r="P365" i="1"/>
  <c r="P366" i="1" s="1"/>
  <c r="P399" i="1"/>
  <c r="P400" i="1" s="1"/>
  <c r="P333" i="1"/>
  <c r="P334" i="1" s="1"/>
  <c r="P332" i="1"/>
  <c r="P345" i="1" s="1"/>
  <c r="P329" i="1"/>
  <c r="AB397" i="1"/>
  <c r="AB398" i="1" s="1"/>
  <c r="AB396" i="1"/>
  <c r="AB399" i="1"/>
  <c r="AB400" i="1" s="1"/>
  <c r="AB365" i="1"/>
  <c r="AB366" i="1" s="1"/>
  <c r="AB364" i="1"/>
  <c r="AB367" i="1"/>
  <c r="AB368" i="1" s="1"/>
  <c r="AB335" i="1"/>
  <c r="AB336" i="1" s="1"/>
  <c r="AB345" i="1" s="1"/>
  <c r="AN397" i="1"/>
  <c r="AN398" i="1" s="1"/>
  <c r="AN396" i="1"/>
  <c r="AN409" i="1" s="1"/>
  <c r="AN399" i="1"/>
  <c r="AN400" i="1" s="1"/>
  <c r="AN367" i="1"/>
  <c r="AN368" i="1" s="1"/>
  <c r="AN365" i="1"/>
  <c r="AN366" i="1" s="1"/>
  <c r="AN364" i="1"/>
  <c r="AN377" i="1" s="1"/>
  <c r="AB329" i="1"/>
  <c r="AP369" i="1"/>
  <c r="AP373" i="1" s="1"/>
  <c r="AP379" i="1"/>
  <c r="S379" i="1"/>
  <c r="S380" i="1" s="1"/>
  <c r="J67" i="1"/>
  <c r="F75" i="1"/>
  <c r="E213" i="1"/>
  <c r="Q396" i="1"/>
  <c r="Q399" i="1"/>
  <c r="Q400" i="1" s="1"/>
  <c r="Q365" i="1"/>
  <c r="Q366" i="1" s="1"/>
  <c r="Q397" i="1"/>
  <c r="Q398" i="1" s="1"/>
  <c r="Q333" i="1"/>
  <c r="Q334" i="1" s="1"/>
  <c r="Q332" i="1"/>
  <c r="Q329" i="1"/>
  <c r="AC396" i="1"/>
  <c r="AC399" i="1"/>
  <c r="AC400" i="1" s="1"/>
  <c r="AC397" i="1"/>
  <c r="AC398" i="1" s="1"/>
  <c r="AC365" i="1"/>
  <c r="AC366" i="1" s="1"/>
  <c r="AC364" i="1"/>
  <c r="AC367" i="1"/>
  <c r="AC368" i="1" s="1"/>
  <c r="AC335" i="1"/>
  <c r="AC336" i="1" s="1"/>
  <c r="AO396" i="1"/>
  <c r="AO397" i="1"/>
  <c r="AO398" i="1" s="1"/>
  <c r="AO399" i="1"/>
  <c r="AO400" i="1" s="1"/>
  <c r="AO367" i="1"/>
  <c r="AO368" i="1" s="1"/>
  <c r="AC329" i="1"/>
  <c r="AM333" i="1"/>
  <c r="AM334" i="1" s="1"/>
  <c r="E181" i="1"/>
  <c r="R399" i="1"/>
  <c r="R400" i="1" s="1"/>
  <c r="R397" i="1"/>
  <c r="R398" i="1" s="1"/>
  <c r="R332" i="1"/>
  <c r="R329" i="1"/>
  <c r="AD396" i="1"/>
  <c r="AD399" i="1"/>
  <c r="AD400" i="1" s="1"/>
  <c r="AD397" i="1"/>
  <c r="AD398" i="1" s="1"/>
  <c r="AD364" i="1"/>
  <c r="AD377" i="1" s="1"/>
  <c r="AD367" i="1"/>
  <c r="AD368" i="1" s="1"/>
  <c r="AD335" i="1"/>
  <c r="AD336" i="1" s="1"/>
  <c r="AD365" i="1"/>
  <c r="AD366" i="1" s="1"/>
  <c r="AD333" i="1"/>
  <c r="AD334" i="1" s="1"/>
  <c r="AP396" i="1"/>
  <c r="AP367" i="1"/>
  <c r="AP368" i="1" s="1"/>
  <c r="AP377" i="1" s="1"/>
  <c r="AD329" i="1"/>
  <c r="V332" i="1"/>
  <c r="AN333" i="1"/>
  <c r="AN334" i="1" s="1"/>
  <c r="AM337" i="1"/>
  <c r="AM341" i="1" s="1"/>
  <c r="K379" i="1"/>
  <c r="K380" i="1" s="1"/>
  <c r="K375" i="1"/>
  <c r="J397" i="1"/>
  <c r="J398" i="1" s="1"/>
  <c r="H98" i="1"/>
  <c r="J146" i="1"/>
  <c r="V146" i="1"/>
  <c r="AH146" i="1"/>
  <c r="E215" i="1"/>
  <c r="S399" i="1"/>
  <c r="S400" i="1" s="1"/>
  <c r="S367" i="1"/>
  <c r="S368" i="1" s="1"/>
  <c r="S377" i="1" s="1"/>
  <c r="S397" i="1"/>
  <c r="S398" i="1" s="1"/>
  <c r="S396" i="1"/>
  <c r="AE399" i="1"/>
  <c r="AE400" i="1" s="1"/>
  <c r="AE409" i="1" s="1"/>
  <c r="AE367" i="1"/>
  <c r="AE368" i="1" s="1"/>
  <c r="AE397" i="1"/>
  <c r="AE398" i="1" s="1"/>
  <c r="AE364" i="1"/>
  <c r="AE377" i="1" s="1"/>
  <c r="AE365" i="1"/>
  <c r="AE366" i="1" s="1"/>
  <c r="AE333" i="1"/>
  <c r="AE334" i="1" s="1"/>
  <c r="AE332" i="1"/>
  <c r="AE345" i="1" s="1"/>
  <c r="AE329" i="1"/>
  <c r="AQ399" i="1"/>
  <c r="AQ400" i="1" s="1"/>
  <c r="AQ397" i="1"/>
  <c r="AQ398" i="1" s="1"/>
  <c r="AQ367" i="1"/>
  <c r="AQ368" i="1" s="1"/>
  <c r="AQ377" i="1" s="1"/>
  <c r="AQ365" i="1"/>
  <c r="AQ366" i="1" s="1"/>
  <c r="AQ335" i="1"/>
  <c r="AQ336" i="1" s="1"/>
  <c r="AQ349" i="1" s="1"/>
  <c r="AM329" i="1"/>
  <c r="AA332" i="1"/>
  <c r="AA345" i="1" s="1"/>
  <c r="N334" i="1"/>
  <c r="AO333" i="1"/>
  <c r="AO334" i="1" s="1"/>
  <c r="P364" i="1"/>
  <c r="W379" i="1"/>
  <c r="W380" i="1" s="1"/>
  <c r="W369" i="1"/>
  <c r="E219" i="1"/>
  <c r="E220" i="1" s="1"/>
  <c r="AI379" i="1"/>
  <c r="AI375" i="1"/>
  <c r="AI369" i="1"/>
  <c r="AI373" i="1" s="1"/>
  <c r="W375" i="1"/>
  <c r="K367" i="1"/>
  <c r="K368" i="1" s="1"/>
  <c r="K365" i="1"/>
  <c r="K366" i="1" s="1"/>
  <c r="K399" i="1"/>
  <c r="K400" i="1" s="1"/>
  <c r="K396" i="1"/>
  <c r="W367" i="1"/>
  <c r="W368" i="1" s="1"/>
  <c r="W377" i="1" s="1"/>
  <c r="W397" i="1"/>
  <c r="W398" i="1" s="1"/>
  <c r="W365" i="1"/>
  <c r="W366" i="1" s="1"/>
  <c r="AI367" i="1"/>
  <c r="AI368" i="1" s="1"/>
  <c r="AI377" i="1" s="1"/>
  <c r="AI365" i="1"/>
  <c r="AI366" i="1" s="1"/>
  <c r="AI396" i="1"/>
  <c r="K329" i="1"/>
  <c r="W329" i="1"/>
  <c r="AI329" i="1"/>
  <c r="K332" i="1"/>
  <c r="W332" i="1"/>
  <c r="AI332" i="1"/>
  <c r="N365" i="1"/>
  <c r="N366" i="1" s="1"/>
  <c r="L397" i="1"/>
  <c r="L398" i="1" s="1"/>
  <c r="L365" i="1"/>
  <c r="L366" i="1" s="1"/>
  <c r="L364" i="1"/>
  <c r="L377" i="1" s="1"/>
  <c r="L396" i="1"/>
  <c r="X397" i="1"/>
  <c r="X398" i="1" s="1"/>
  <c r="X365" i="1"/>
  <c r="X366" i="1" s="1"/>
  <c r="X396" i="1"/>
  <c r="X364" i="1"/>
  <c r="X399" i="1"/>
  <c r="X400" i="1" s="1"/>
  <c r="X409" i="1" s="1"/>
  <c r="X367" i="1"/>
  <c r="X368" i="1" s="1"/>
  <c r="AJ397" i="1"/>
  <c r="AJ398" i="1" s="1"/>
  <c r="AJ365" i="1"/>
  <c r="AJ366" i="1" s="1"/>
  <c r="AJ364" i="1"/>
  <c r="AJ396" i="1"/>
  <c r="AJ399" i="1"/>
  <c r="AJ400" i="1" s="1"/>
  <c r="L329" i="1"/>
  <c r="X329" i="1"/>
  <c r="AJ329" i="1"/>
  <c r="L332" i="1"/>
  <c r="L345" i="1" s="1"/>
  <c r="X332" i="1"/>
  <c r="AJ332" i="1"/>
  <c r="AJ345" i="1" s="1"/>
  <c r="K333" i="1"/>
  <c r="K334" i="1" s="1"/>
  <c r="W333" i="1"/>
  <c r="W334" i="1" s="1"/>
  <c r="AI333" i="1"/>
  <c r="AI334" i="1" s="1"/>
  <c r="AL365" i="1"/>
  <c r="AL366" i="1" s="1"/>
  <c r="W399" i="1"/>
  <c r="W400" i="1" s="1"/>
  <c r="M399" i="1"/>
  <c r="M400" i="1" s="1"/>
  <c r="M396" i="1"/>
  <c r="M409" i="1" s="1"/>
  <c r="M365" i="1"/>
  <c r="M366" i="1" s="1"/>
  <c r="M364" i="1"/>
  <c r="M377" i="1" s="1"/>
  <c r="Y399" i="1"/>
  <c r="Y400" i="1" s="1"/>
  <c r="Y396" i="1"/>
  <c r="Y365" i="1"/>
  <c r="Y366" i="1" s="1"/>
  <c r="Y397" i="1"/>
  <c r="Y398" i="1" s="1"/>
  <c r="Y364" i="1"/>
  <c r="Y367" i="1"/>
  <c r="Y368" i="1" s="1"/>
  <c r="AK399" i="1"/>
  <c r="AK400" i="1" s="1"/>
  <c r="AK396" i="1"/>
  <c r="AK365" i="1"/>
  <c r="AK366" i="1" s="1"/>
  <c r="AK364" i="1"/>
  <c r="M329" i="1"/>
  <c r="Y329" i="1"/>
  <c r="AK329" i="1"/>
  <c r="M332" i="1"/>
  <c r="M345" i="1" s="1"/>
  <c r="Y332" i="1"/>
  <c r="AK332" i="1"/>
  <c r="L333" i="1"/>
  <c r="L334" i="1" s="1"/>
  <c r="X333" i="1"/>
  <c r="X334" i="1" s="1"/>
  <c r="AJ333" i="1"/>
  <c r="AJ334" i="1" s="1"/>
  <c r="H392" i="1"/>
  <c r="N399" i="1"/>
  <c r="N400" i="1" s="1"/>
  <c r="N397" i="1"/>
  <c r="N398" i="1" s="1"/>
  <c r="N364" i="1"/>
  <c r="N396" i="1"/>
  <c r="N409" i="1" s="1"/>
  <c r="Z399" i="1"/>
  <c r="Z400" i="1" s="1"/>
  <c r="Z397" i="1"/>
  <c r="Z398" i="1" s="1"/>
  <c r="Z364" i="1"/>
  <c r="Z396" i="1"/>
  <c r="Z409" i="1" s="1"/>
  <c r="Z367" i="1"/>
  <c r="Z368" i="1" s="1"/>
  <c r="AL399" i="1"/>
  <c r="AL400" i="1" s="1"/>
  <c r="AL397" i="1"/>
  <c r="AL398" i="1" s="1"/>
  <c r="AL364" i="1"/>
  <c r="AL396" i="1"/>
  <c r="N329" i="1"/>
  <c r="Z329" i="1"/>
  <c r="AL329" i="1"/>
  <c r="N332" i="1"/>
  <c r="N345" i="1" s="1"/>
  <c r="Z332" i="1"/>
  <c r="AL332" i="1"/>
  <c r="M333" i="1"/>
  <c r="M334" i="1" s="1"/>
  <c r="Y333" i="1"/>
  <c r="Y334" i="1" s="1"/>
  <c r="AK333" i="1"/>
  <c r="AK334" i="1" s="1"/>
  <c r="K335" i="1"/>
  <c r="K336" i="1" s="1"/>
  <c r="W335" i="1"/>
  <c r="W336" i="1" s="1"/>
  <c r="AI335" i="1"/>
  <c r="AI336" i="1" s="1"/>
  <c r="W396" i="1"/>
  <c r="AI399" i="1"/>
  <c r="AI400" i="1" s="1"/>
  <c r="H424" i="1"/>
  <c r="H439" i="1"/>
  <c r="AC377" i="1" l="1"/>
  <c r="E214" i="1"/>
  <c r="F185" i="1"/>
  <c r="AC349" i="1"/>
  <c r="AS409" i="1"/>
  <c r="V377" i="1"/>
  <c r="AO369" i="1"/>
  <c r="AO373" i="1" s="1"/>
  <c r="H97" i="1"/>
  <c r="AO347" i="1"/>
  <c r="AL409" i="1"/>
  <c r="E230" i="1"/>
  <c r="AQ413" i="1"/>
  <c r="S409" i="1"/>
  <c r="V345" i="1"/>
  <c r="AQ401" i="1"/>
  <c r="AQ405" i="1" s="1"/>
  <c r="O377" i="1"/>
  <c r="AR377" i="1"/>
  <c r="R413" i="1"/>
  <c r="R375" i="1"/>
  <c r="R376" i="1" s="1"/>
  <c r="G187" i="1"/>
  <c r="G196" i="1" s="1"/>
  <c r="H196" i="1" s="1"/>
  <c r="AO343" i="1"/>
  <c r="AO344" i="1" s="1"/>
  <c r="AK409" i="1"/>
  <c r="W409" i="1"/>
  <c r="E217" i="1"/>
  <c r="AQ407" i="1"/>
  <c r="AQ343" i="1"/>
  <c r="R379" i="1"/>
  <c r="R381" i="1" s="1"/>
  <c r="G220" i="1"/>
  <c r="G230" i="1" s="1"/>
  <c r="AD347" i="1"/>
  <c r="AD349" i="1" s="1"/>
  <c r="AD343" i="1"/>
  <c r="AD344" i="1" s="1"/>
  <c r="AD337" i="1"/>
  <c r="AD341" i="1" s="1"/>
  <c r="K381" i="1"/>
  <c r="F106" i="1"/>
  <c r="AI409" i="1"/>
  <c r="K345" i="1"/>
  <c r="R369" i="1"/>
  <c r="R373" i="1" s="1"/>
  <c r="H199" i="1"/>
  <c r="Q409" i="1"/>
  <c r="L277" i="1"/>
  <c r="AQ348" i="1"/>
  <c r="L402" i="1"/>
  <c r="AA409" i="1"/>
  <c r="AN402" i="1"/>
  <c r="AE413" i="1"/>
  <c r="F226" i="1"/>
  <c r="F232" i="1" s="1"/>
  <c r="H234" i="1"/>
  <c r="G51" i="1"/>
  <c r="G63" i="1" s="1"/>
  <c r="T402" i="1" s="1"/>
  <c r="E193" i="1"/>
  <c r="F181" i="1"/>
  <c r="AP381" i="1"/>
  <c r="S349" i="1"/>
  <c r="Z377" i="1"/>
  <c r="Y377" i="1"/>
  <c r="K409" i="1"/>
  <c r="H231" i="1"/>
  <c r="G217" i="1"/>
  <c r="G229" i="1" s="1"/>
  <c r="G223" i="1"/>
  <c r="G231" i="1" s="1"/>
  <c r="H433" i="1"/>
  <c r="AJ401" i="1"/>
  <c r="AJ405" i="1" s="1"/>
  <c r="AJ407" i="1"/>
  <c r="AJ411" i="1"/>
  <c r="AI381" i="1"/>
  <c r="AQ381" i="1"/>
  <c r="H316" i="1"/>
  <c r="AJ375" i="1"/>
  <c r="AJ376" i="1" s="1"/>
  <c r="AJ379" i="1"/>
  <c r="AJ369" i="1"/>
  <c r="AJ373" i="1" s="1"/>
  <c r="P401" i="1"/>
  <c r="P405" i="1" s="1"/>
  <c r="P407" i="1"/>
  <c r="P408" i="1" s="1"/>
  <c r="P411" i="1"/>
  <c r="P413" i="1" s="1"/>
  <c r="U369" i="1"/>
  <c r="U373" i="1" s="1"/>
  <c r="U375" i="1"/>
  <c r="U376" i="1" s="1"/>
  <c r="U379" i="1"/>
  <c r="AG401" i="1"/>
  <c r="AG405" i="1" s="1"/>
  <c r="AG407" i="1"/>
  <c r="AG408" i="1" s="1"/>
  <c r="AG411" i="1"/>
  <c r="AG413" i="1" s="1"/>
  <c r="U337" i="1"/>
  <c r="U341" i="1" s="1"/>
  <c r="U347" i="1"/>
  <c r="U343" i="1"/>
  <c r="AR337" i="1"/>
  <c r="AR341" i="1" s="1"/>
  <c r="AR343" i="1"/>
  <c r="AR344" i="1" s="1"/>
  <c r="AR347" i="1"/>
  <c r="AB348" i="1"/>
  <c r="AD411" i="1"/>
  <c r="AD401" i="1"/>
  <c r="AD405" i="1" s="1"/>
  <c r="AD407" i="1"/>
  <c r="P402" i="1"/>
  <c r="S402" i="1"/>
  <c r="AA407" i="1"/>
  <c r="AA408" i="1" s="1"/>
  <c r="AA411" i="1"/>
  <c r="AA401" i="1"/>
  <c r="AA405" i="1" s="1"/>
  <c r="H336" i="1"/>
  <c r="E438" i="1" s="1"/>
  <c r="F273" i="1"/>
  <c r="F318" i="1"/>
  <c r="F191" i="1"/>
  <c r="F228" i="1"/>
  <c r="AF407" i="1"/>
  <c r="AF408" i="1" s="1"/>
  <c r="AF401" i="1"/>
  <c r="AF405" i="1" s="1"/>
  <c r="AF411" i="1"/>
  <c r="AF413" i="1" s="1"/>
  <c r="AG409" i="1"/>
  <c r="Q380" i="1"/>
  <c r="G192" i="1"/>
  <c r="G274" i="1"/>
  <c r="Z407" i="1"/>
  <c r="Z408" i="1" s="1"/>
  <c r="Z411" i="1"/>
  <c r="Z413" i="1" s="1"/>
  <c r="Z401" i="1"/>
  <c r="Z405" i="1" s="1"/>
  <c r="AK347" i="1"/>
  <c r="AK349" i="1" s="1"/>
  <c r="AK343" i="1"/>
  <c r="AK344" i="1" s="1"/>
  <c r="AK337" i="1"/>
  <c r="AK341" i="1" s="1"/>
  <c r="R390" i="1"/>
  <c r="R358" i="1"/>
  <c r="R422" i="1"/>
  <c r="AB375" i="1"/>
  <c r="AB379" i="1"/>
  <c r="AB369" i="1"/>
  <c r="AB373" i="1" s="1"/>
  <c r="AM379" i="1"/>
  <c r="AM375" i="1"/>
  <c r="AM376" i="1" s="1"/>
  <c r="AM369" i="1"/>
  <c r="AM373" i="1" s="1"/>
  <c r="AD409" i="1"/>
  <c r="G183" i="1"/>
  <c r="G193" i="1" s="1"/>
  <c r="H193" i="1" s="1"/>
  <c r="AL347" i="1"/>
  <c r="AL343" i="1"/>
  <c r="AL337" i="1"/>
  <c r="AL341" i="1" s="1"/>
  <c r="Z379" i="1"/>
  <c r="Z369" i="1"/>
  <c r="Z373" i="1" s="1"/>
  <c r="Z375" i="1"/>
  <c r="Z376" i="1" s="1"/>
  <c r="Y347" i="1"/>
  <c r="Y349" i="1" s="1"/>
  <c r="Y337" i="1"/>
  <c r="Y341" i="1" s="1"/>
  <c r="Y343" i="1"/>
  <c r="Y344" i="1" s="1"/>
  <c r="AI347" i="1"/>
  <c r="AI349" i="1" s="1"/>
  <c r="AI343" i="1"/>
  <c r="AI337" i="1"/>
  <c r="AI341" i="1" s="1"/>
  <c r="P375" i="1"/>
  <c r="P379" i="1"/>
  <c r="P369" i="1"/>
  <c r="P373" i="1" s="1"/>
  <c r="AE337" i="1"/>
  <c r="AE341" i="1" s="1"/>
  <c r="AE343" i="1"/>
  <c r="AE344" i="1" s="1"/>
  <c r="AE347" i="1"/>
  <c r="AE349" i="1" s="1"/>
  <c r="R347" i="1"/>
  <c r="R343" i="1"/>
  <c r="R344" i="1" s="1"/>
  <c r="R337" i="1"/>
  <c r="R341" i="1" s="1"/>
  <c r="O422" i="1"/>
  <c r="O358" i="1"/>
  <c r="O390" i="1"/>
  <c r="AS337" i="1"/>
  <c r="AS341" i="1" s="1"/>
  <c r="AS347" i="1"/>
  <c r="AS349" i="1" s="1"/>
  <c r="AS343" i="1"/>
  <c r="AS344" i="1" s="1"/>
  <c r="AE412" i="1"/>
  <c r="G226" i="1"/>
  <c r="G232" i="1" s="1"/>
  <c r="Z347" i="1"/>
  <c r="Z349" i="1" s="1"/>
  <c r="Z343" i="1"/>
  <c r="Z344" i="1" s="1"/>
  <c r="Z337" i="1"/>
  <c r="Z341" i="1" s="1"/>
  <c r="M347" i="1"/>
  <c r="M349" i="1" s="1"/>
  <c r="M337" i="1"/>
  <c r="M341" i="1" s="1"/>
  <c r="M343" i="1"/>
  <c r="Y401" i="1"/>
  <c r="Y405" i="1" s="1"/>
  <c r="Y411" i="1"/>
  <c r="Y407" i="1"/>
  <c r="Y408" i="1" s="1"/>
  <c r="AJ347" i="1"/>
  <c r="AJ337" i="1"/>
  <c r="AJ341" i="1" s="1"/>
  <c r="AJ343" i="1"/>
  <c r="AJ344" i="1" s="1"/>
  <c r="W343" i="1"/>
  <c r="W344" i="1" s="1"/>
  <c r="W347" i="1"/>
  <c r="W349" i="1" s="1"/>
  <c r="W337" i="1"/>
  <c r="W341" i="1" s="1"/>
  <c r="AK402" i="1"/>
  <c r="AC411" i="1"/>
  <c r="AC401" i="1"/>
  <c r="AC405" i="1" s="1"/>
  <c r="AC407" i="1"/>
  <c r="O347" i="1"/>
  <c r="O349" i="1" s="1"/>
  <c r="O343" i="1"/>
  <c r="O344" i="1" s="1"/>
  <c r="O337" i="1"/>
  <c r="O341" i="1" s="1"/>
  <c r="H368" i="1"/>
  <c r="F438" i="1" s="1"/>
  <c r="H320" i="1"/>
  <c r="Q348" i="1"/>
  <c r="AF422" i="1"/>
  <c r="AF390" i="1"/>
  <c r="AF358" i="1"/>
  <c r="AR345" i="1"/>
  <c r="AK345" i="1"/>
  <c r="AC409" i="1"/>
  <c r="AG337" i="1"/>
  <c r="AG341" i="1" s="1"/>
  <c r="AG343" i="1"/>
  <c r="AG344" i="1" s="1"/>
  <c r="AG347" i="1"/>
  <c r="AG349" i="1" s="1"/>
  <c r="AI380" i="1"/>
  <c r="Y348" i="1"/>
  <c r="H435" i="1"/>
  <c r="E62" i="1"/>
  <c r="H50" i="1"/>
  <c r="H271" i="1"/>
  <c r="N347" i="1"/>
  <c r="N349" i="1" s="1"/>
  <c r="N343" i="1"/>
  <c r="N344" i="1" s="1"/>
  <c r="N337" i="1"/>
  <c r="N341" i="1" s="1"/>
  <c r="AK422" i="1"/>
  <c r="AK358" i="1"/>
  <c r="AK390" i="1"/>
  <c r="X347" i="1"/>
  <c r="X349" i="1" s="1"/>
  <c r="X343" i="1"/>
  <c r="X344" i="1" s="1"/>
  <c r="X337" i="1"/>
  <c r="X341" i="1" s="1"/>
  <c r="X369" i="1"/>
  <c r="X373" i="1" s="1"/>
  <c r="X375" i="1"/>
  <c r="X379" i="1"/>
  <c r="K337" i="1"/>
  <c r="K341" i="1" s="1"/>
  <c r="K343" i="1"/>
  <c r="K344" i="1" s="1"/>
  <c r="K347" i="1"/>
  <c r="K349" i="1" s="1"/>
  <c r="AP411" i="1"/>
  <c r="AP413" i="1" s="1"/>
  <c r="AP401" i="1"/>
  <c r="AP405" i="1" s="1"/>
  <c r="AP407" i="1"/>
  <c r="AP408" i="1" s="1"/>
  <c r="AA402" i="1"/>
  <c r="V402" i="1"/>
  <c r="AC422" i="1"/>
  <c r="AC358" i="1"/>
  <c r="AC390" i="1"/>
  <c r="Q358" i="1"/>
  <c r="Q390" i="1"/>
  <c r="Q422" i="1"/>
  <c r="AB422" i="1"/>
  <c r="AB390" i="1"/>
  <c r="AB358" i="1"/>
  <c r="AB401" i="1"/>
  <c r="AB405" i="1" s="1"/>
  <c r="AB407" i="1"/>
  <c r="AB408" i="1" s="1"/>
  <c r="AB411" i="1"/>
  <c r="AB413" i="1" s="1"/>
  <c r="J422" i="1"/>
  <c r="J390" i="1"/>
  <c r="J358" i="1"/>
  <c r="J411" i="1"/>
  <c r="J413" i="1" s="1"/>
  <c r="J401" i="1"/>
  <c r="J405" i="1" s="1"/>
  <c r="J407" i="1"/>
  <c r="H275" i="1"/>
  <c r="AF337" i="1"/>
  <c r="AF341" i="1" s="1"/>
  <c r="AF343" i="1"/>
  <c r="AF347" i="1"/>
  <c r="AF349" i="1" s="1"/>
  <c r="U377" i="1"/>
  <c r="AB409" i="1"/>
  <c r="AI348" i="1"/>
  <c r="AK348" i="1"/>
  <c r="R412" i="1"/>
  <c r="G214" i="1"/>
  <c r="G227" i="1" s="1"/>
  <c r="G194" i="1"/>
  <c r="H283" i="1"/>
  <c r="AL422" i="1"/>
  <c r="AL390" i="1"/>
  <c r="AL358" i="1"/>
  <c r="N401" i="1"/>
  <c r="N405" i="1" s="1"/>
  <c r="N407" i="1"/>
  <c r="N408" i="1" s="1"/>
  <c r="N411" i="1"/>
  <c r="Y422" i="1"/>
  <c r="Y390" i="1"/>
  <c r="Y358" i="1"/>
  <c r="M379" i="1"/>
  <c r="M375" i="1"/>
  <c r="M369" i="1"/>
  <c r="M373" i="1" s="1"/>
  <c r="L347" i="1"/>
  <c r="L349" i="1" s="1"/>
  <c r="L337" i="1"/>
  <c r="L341" i="1" s="1"/>
  <c r="L343" i="1"/>
  <c r="L344" i="1" s="1"/>
  <c r="X401" i="1"/>
  <c r="X405" i="1" s="1"/>
  <c r="X411" i="1"/>
  <c r="X413" i="1" s="1"/>
  <c r="X407" i="1"/>
  <c r="AI358" i="1"/>
  <c r="AI422" i="1"/>
  <c r="AI390" i="1"/>
  <c r="AE379" i="1"/>
  <c r="AE369" i="1"/>
  <c r="AE373" i="1" s="1"/>
  <c r="AE375" i="1"/>
  <c r="AE402" i="1"/>
  <c r="Q343" i="1"/>
  <c r="Q344" i="1" s="1"/>
  <c r="Q347" i="1"/>
  <c r="Q349" i="1" s="1"/>
  <c r="Q337" i="1"/>
  <c r="Q341" i="1" s="1"/>
  <c r="AN375" i="1"/>
  <c r="AN376" i="1" s="1"/>
  <c r="AN369" i="1"/>
  <c r="AN373" i="1" s="1"/>
  <c r="AN379" i="1"/>
  <c r="AO381" i="1"/>
  <c r="AM411" i="1"/>
  <c r="AM413" i="1" s="1"/>
  <c r="AM407" i="1"/>
  <c r="AM401" i="1"/>
  <c r="AM405" i="1" s="1"/>
  <c r="H400" i="1"/>
  <c r="G438" i="1" s="1"/>
  <c r="T422" i="1"/>
  <c r="T390" i="1"/>
  <c r="T358" i="1"/>
  <c r="AB349" i="1"/>
  <c r="T407" i="1"/>
  <c r="T408" i="1" s="1"/>
  <c r="T411" i="1"/>
  <c r="T401" i="1"/>
  <c r="T405" i="1" s="1"/>
  <c r="Q345" i="1"/>
  <c r="AQ409" i="1"/>
  <c r="AS369" i="1"/>
  <c r="AS373" i="1" s="1"/>
  <c r="AS375" i="1"/>
  <c r="AS376" i="1" s="1"/>
  <c r="AS379" i="1"/>
  <c r="AR407" i="1"/>
  <c r="AR408" i="1" s="1"/>
  <c r="AR401" i="1"/>
  <c r="AR405" i="1" s="1"/>
  <c r="AR411" i="1"/>
  <c r="F217" i="1"/>
  <c r="S348" i="1"/>
  <c r="F220" i="1"/>
  <c r="F230" i="1" s="1"/>
  <c r="H230" i="1" s="1"/>
  <c r="H323" i="1"/>
  <c r="E321" i="1"/>
  <c r="H321" i="1" s="1"/>
  <c r="H65" i="1"/>
  <c r="E194" i="1"/>
  <c r="E75" i="1"/>
  <c r="E202" i="1"/>
  <c r="AB376" i="1"/>
  <c r="P376" i="1"/>
  <c r="X376" i="1"/>
  <c r="AI376" i="1"/>
  <c r="S376" i="1"/>
  <c r="Q376" i="1"/>
  <c r="M376" i="1"/>
  <c r="AK376" i="1"/>
  <c r="AE376" i="1"/>
  <c r="W376" i="1"/>
  <c r="V376" i="1"/>
  <c r="K376" i="1"/>
  <c r="F86" i="1"/>
  <c r="F83" i="1"/>
  <c r="AQ376" i="1"/>
  <c r="AP376" i="1"/>
  <c r="F82" i="1"/>
  <c r="F87" i="1"/>
  <c r="F81" i="1"/>
  <c r="F85" i="1"/>
  <c r="AO376" i="1"/>
  <c r="F84" i="1"/>
  <c r="E51" i="1"/>
  <c r="E58" i="1" s="1"/>
  <c r="H197" i="1"/>
  <c r="T369" i="1"/>
  <c r="T373" i="1" s="1"/>
  <c r="T375" i="1"/>
  <c r="T376" i="1" s="1"/>
  <c r="T379" i="1"/>
  <c r="AE422" i="1"/>
  <c r="AE390" i="1"/>
  <c r="AE358" i="1"/>
  <c r="V337" i="1"/>
  <c r="V341" i="1" s="1"/>
  <c r="V347" i="1"/>
  <c r="V343" i="1"/>
  <c r="V344" i="1" s="1"/>
  <c r="R402" i="1"/>
  <c r="H92" i="1"/>
  <c r="E124" i="1"/>
  <c r="H124" i="1" s="1"/>
  <c r="Y345" i="1"/>
  <c r="U411" i="1"/>
  <c r="U413" i="1" s="1"/>
  <c r="U401" i="1"/>
  <c r="U405" i="1" s="1"/>
  <c r="U407" i="1"/>
  <c r="AO402" i="1"/>
  <c r="Y402" i="1"/>
  <c r="P422" i="1"/>
  <c r="P390" i="1"/>
  <c r="P358" i="1"/>
  <c r="AH422" i="1"/>
  <c r="AH358" i="1"/>
  <c r="AH390" i="1"/>
  <c r="E262" i="1"/>
  <c r="H262" i="1" s="1"/>
  <c r="E227" i="1"/>
  <c r="E272" i="1"/>
  <c r="E317" i="1"/>
  <c r="H317" i="1" s="1"/>
  <c r="E190" i="1"/>
  <c r="E308" i="1"/>
  <c r="H308" i="1" s="1"/>
  <c r="E73" i="1"/>
  <c r="H61" i="1"/>
  <c r="J345" i="1"/>
  <c r="AS345" i="1"/>
  <c r="AM377" i="1"/>
  <c r="AG369" i="1"/>
  <c r="AG373" i="1" s="1"/>
  <c r="AG379" i="1"/>
  <c r="AG375" i="1"/>
  <c r="AG376" i="1" s="1"/>
  <c r="E106" i="1"/>
  <c r="H106" i="1" s="1"/>
  <c r="H104" i="1"/>
  <c r="AF345" i="1"/>
  <c r="AP380" i="1"/>
  <c r="AM348" i="1"/>
  <c r="AQ380" i="1"/>
  <c r="X345" i="1"/>
  <c r="W403" i="1"/>
  <c r="K403" i="1"/>
  <c r="AH403" i="1"/>
  <c r="V403" i="1"/>
  <c r="J403" i="1"/>
  <c r="AR403" i="1"/>
  <c r="AQ403" i="1"/>
  <c r="AB403" i="1"/>
  <c r="N403" i="1"/>
  <c r="AN403" i="1"/>
  <c r="Z403" i="1"/>
  <c r="L403" i="1"/>
  <c r="AK403" i="1"/>
  <c r="M403" i="1"/>
  <c r="U403" i="1"/>
  <c r="T403" i="1"/>
  <c r="S403" i="1"/>
  <c r="AL403" i="1"/>
  <c r="AF403" i="1"/>
  <c r="G273" i="1"/>
  <c r="G282" i="1"/>
  <c r="G284" i="1" s="1"/>
  <c r="G191" i="1"/>
  <c r="G74" i="1"/>
  <c r="G318" i="1"/>
  <c r="AM403" i="1"/>
  <c r="R403" i="1"/>
  <c r="F51" i="1"/>
  <c r="F63" i="1" s="1"/>
  <c r="AE371" i="1" s="1"/>
  <c r="H105" i="1"/>
  <c r="H334" i="1"/>
  <c r="AH369" i="1"/>
  <c r="AH373" i="1" s="1"/>
  <c r="AH379" i="1"/>
  <c r="AH375" i="1"/>
  <c r="AH376" i="1" s="1"/>
  <c r="T337" i="1"/>
  <c r="T341" i="1" s="1"/>
  <c r="T347" i="1"/>
  <c r="T349" i="1" s="1"/>
  <c r="T343" i="1"/>
  <c r="AR369" i="1"/>
  <c r="AR373" i="1" s="1"/>
  <c r="AR375" i="1"/>
  <c r="AR376" i="1" s="1"/>
  <c r="AR379" i="1"/>
  <c r="AD422" i="1"/>
  <c r="AD390" i="1"/>
  <c r="AD358" i="1"/>
  <c r="AJ409" i="1"/>
  <c r="X422" i="1"/>
  <c r="X390" i="1"/>
  <c r="X358" i="1"/>
  <c r="P343" i="1"/>
  <c r="P337" i="1"/>
  <c r="P341" i="1" s="1"/>
  <c r="P347" i="1"/>
  <c r="O379" i="1"/>
  <c r="O375" i="1"/>
  <c r="O376" i="1" s="1"/>
  <c r="O369" i="1"/>
  <c r="O373" i="1" s="1"/>
  <c r="AH337" i="1"/>
  <c r="AH341" i="1" s="1"/>
  <c r="AH343" i="1"/>
  <c r="AH344" i="1" s="1"/>
  <c r="AH347" i="1"/>
  <c r="AH349" i="1" s="1"/>
  <c r="AH345" i="1"/>
  <c r="AF409" i="1"/>
  <c r="Y409" i="1"/>
  <c r="G76" i="1"/>
  <c r="G78" i="1" s="1"/>
  <c r="G70" i="1"/>
  <c r="G117" i="1" s="1"/>
  <c r="J348" i="1"/>
  <c r="L412" i="1"/>
  <c r="J349" i="1"/>
  <c r="Q411" i="1"/>
  <c r="Q413" i="1" s="1"/>
  <c r="Q401" i="1"/>
  <c r="Q405" i="1" s="1"/>
  <c r="Q407" i="1"/>
  <c r="S381" i="1"/>
  <c r="AH407" i="1"/>
  <c r="AH408" i="1" s="1"/>
  <c r="AH401" i="1"/>
  <c r="AH405" i="1" s="1"/>
  <c r="AH411" i="1"/>
  <c r="AH413" i="1" s="1"/>
  <c r="X402" i="1"/>
  <c r="AA390" i="1"/>
  <c r="AA358" i="1"/>
  <c r="AA422" i="1"/>
  <c r="U345" i="1"/>
  <c r="W411" i="1"/>
  <c r="W413" i="1" s="1"/>
  <c r="W407" i="1"/>
  <c r="W401" i="1"/>
  <c r="W405" i="1" s="1"/>
  <c r="AM422" i="1"/>
  <c r="AM358" i="1"/>
  <c r="AM390" i="1"/>
  <c r="H398" i="1"/>
  <c r="AP402" i="1"/>
  <c r="AR402" i="1"/>
  <c r="AM402" i="1"/>
  <c r="AH409" i="1"/>
  <c r="L401" i="1"/>
  <c r="L405" i="1" s="1"/>
  <c r="L407" i="1"/>
  <c r="L408" i="1" s="1"/>
  <c r="L411" i="1"/>
  <c r="L413" i="1" s="1"/>
  <c r="AI411" i="1"/>
  <c r="AI413" i="1" s="1"/>
  <c r="AI407" i="1"/>
  <c r="AI408" i="1" s="1"/>
  <c r="AI401" i="1"/>
  <c r="AI405" i="1" s="1"/>
  <c r="AQ402" i="1"/>
  <c r="AB402" i="1"/>
  <c r="K402" i="1"/>
  <c r="AO411" i="1"/>
  <c r="AO407" i="1"/>
  <c r="AO408" i="1" s="1"/>
  <c r="AO401" i="1"/>
  <c r="AO405" i="1" s="1"/>
  <c r="V369" i="1"/>
  <c r="V373" i="1" s="1"/>
  <c r="V375" i="1"/>
  <c r="V379" i="1"/>
  <c r="G58" i="1"/>
  <c r="E277" i="1"/>
  <c r="H277" i="1" s="1"/>
  <c r="E232" i="1"/>
  <c r="H208" i="1"/>
  <c r="E263" i="1"/>
  <c r="H263" i="1" s="1"/>
  <c r="R345" i="1"/>
  <c r="P409" i="1"/>
  <c r="Z345" i="1"/>
  <c r="P377" i="1"/>
  <c r="AS401" i="1"/>
  <c r="AS405" i="1" s="1"/>
  <c r="AS411" i="1"/>
  <c r="AS407" i="1"/>
  <c r="AS408" i="1" s="1"/>
  <c r="H307" i="1"/>
  <c r="AP348" i="1"/>
  <c r="T348" i="1"/>
  <c r="L348" i="1"/>
  <c r="AQ412" i="1"/>
  <c r="H324" i="1"/>
  <c r="AC375" i="1"/>
  <c r="AC376" i="1" s="1"/>
  <c r="AC379" i="1"/>
  <c r="AC369" i="1"/>
  <c r="AC373" i="1" s="1"/>
  <c r="Y379" i="1"/>
  <c r="Y375" i="1"/>
  <c r="Y376" i="1" s="1"/>
  <c r="Y369" i="1"/>
  <c r="Y373" i="1" s="1"/>
  <c r="T377" i="1"/>
  <c r="W381" i="1"/>
  <c r="AG402" i="1"/>
  <c r="H366" i="1"/>
  <c r="K411" i="1"/>
  <c r="K407" i="1"/>
  <c r="K408" i="1" s="1"/>
  <c r="K401" i="1"/>
  <c r="K405" i="1" s="1"/>
  <c r="J369" i="1"/>
  <c r="J373" i="1" s="1"/>
  <c r="J375" i="1"/>
  <c r="J376" i="1" s="1"/>
  <c r="J379" i="1"/>
  <c r="AG422" i="1"/>
  <c r="AG390" i="1"/>
  <c r="AG358" i="1"/>
  <c r="AN344" i="1"/>
  <c r="AB344" i="1"/>
  <c r="P344" i="1"/>
  <c r="AM344" i="1"/>
  <c r="AL344" i="1"/>
  <c r="M344" i="1"/>
  <c r="AQ344" i="1"/>
  <c r="AP344" i="1"/>
  <c r="U344" i="1"/>
  <c r="T344" i="1"/>
  <c r="AC344" i="1"/>
  <c r="H46" i="1"/>
  <c r="S344" i="1"/>
  <c r="E86" i="1"/>
  <c r="E83" i="1"/>
  <c r="J344" i="1"/>
  <c r="AI344" i="1"/>
  <c r="E85" i="1"/>
  <c r="AD348" i="1"/>
  <c r="AF344" i="1"/>
  <c r="E82" i="1"/>
  <c r="E87" i="1"/>
  <c r="E81" i="1"/>
  <c r="E84" i="1"/>
  <c r="AC348" i="1"/>
  <c r="Z422" i="1"/>
  <c r="Z358" i="1"/>
  <c r="Z390" i="1"/>
  <c r="N379" i="1"/>
  <c r="N375" i="1"/>
  <c r="N376" i="1" s="1"/>
  <c r="N369" i="1"/>
  <c r="N373" i="1" s="1"/>
  <c r="M422" i="1"/>
  <c r="M390" i="1"/>
  <c r="M358" i="1"/>
  <c r="AJ422" i="1"/>
  <c r="AJ390" i="1"/>
  <c r="AJ358" i="1"/>
  <c r="W422" i="1"/>
  <c r="W358" i="1"/>
  <c r="W390" i="1"/>
  <c r="AA347" i="1"/>
  <c r="AA343" i="1"/>
  <c r="AA344" i="1" s="1"/>
  <c r="AA337" i="1"/>
  <c r="AA341" i="1" s="1"/>
  <c r="N422" i="1"/>
  <c r="N390" i="1"/>
  <c r="N358" i="1"/>
  <c r="AK379" i="1"/>
  <c r="AK375" i="1"/>
  <c r="AK369" i="1"/>
  <c r="AK373" i="1" s="1"/>
  <c r="M401" i="1"/>
  <c r="M405" i="1" s="1"/>
  <c r="M407" i="1"/>
  <c r="M411" i="1"/>
  <c r="M413" i="1" s="1"/>
  <c r="K422" i="1"/>
  <c r="K390" i="1"/>
  <c r="K358" i="1"/>
  <c r="F179" i="1"/>
  <c r="F190" i="1" s="1"/>
  <c r="AF369" i="1"/>
  <c r="AF373" i="1" s="1"/>
  <c r="AF379" i="1"/>
  <c r="AF375" i="1"/>
  <c r="AF376" i="1" s="1"/>
  <c r="AQ408" i="1"/>
  <c r="AE408" i="1"/>
  <c r="S408" i="1"/>
  <c r="AD408" i="1"/>
  <c r="R408" i="1"/>
  <c r="Q408" i="1"/>
  <c r="X408" i="1"/>
  <c r="W408" i="1"/>
  <c r="AM408" i="1"/>
  <c r="U408" i="1"/>
  <c r="AJ408" i="1"/>
  <c r="AC408" i="1"/>
  <c r="AN408" i="1"/>
  <c r="J408" i="1"/>
  <c r="G86" i="1"/>
  <c r="G83" i="1"/>
  <c r="G82" i="1"/>
  <c r="U412" i="1"/>
  <c r="G87" i="1"/>
  <c r="G81" i="1"/>
  <c r="G84" i="1"/>
  <c r="M408" i="1"/>
  <c r="G85" i="1"/>
  <c r="J412" i="1"/>
  <c r="AL411" i="1"/>
  <c r="AL407" i="1"/>
  <c r="AL408" i="1" s="1"/>
  <c r="AL401" i="1"/>
  <c r="AL405" i="1" s="1"/>
  <c r="L422" i="1"/>
  <c r="L390" i="1"/>
  <c r="L358" i="1"/>
  <c r="AL379" i="1"/>
  <c r="AL369" i="1"/>
  <c r="AL373" i="1" s="1"/>
  <c r="AL375" i="1"/>
  <c r="AL376" i="1" s="1"/>
  <c r="AK401" i="1"/>
  <c r="AK405" i="1" s="1"/>
  <c r="AK411" i="1"/>
  <c r="AK413" i="1" s="1"/>
  <c r="AK407" i="1"/>
  <c r="AK408" i="1" s="1"/>
  <c r="L379" i="1"/>
  <c r="L375" i="1"/>
  <c r="L376" i="1" s="1"/>
  <c r="L369" i="1"/>
  <c r="L373" i="1" s="1"/>
  <c r="S407" i="1"/>
  <c r="S401" i="1"/>
  <c r="S405" i="1" s="1"/>
  <c r="S411" i="1"/>
  <c r="AD369" i="1"/>
  <c r="AD373" i="1" s="1"/>
  <c r="AD379" i="1"/>
  <c r="AD375" i="1"/>
  <c r="AD376" i="1" s="1"/>
  <c r="AS402" i="1"/>
  <c r="AC402" i="1"/>
  <c r="AN407" i="1"/>
  <c r="AN411" i="1"/>
  <c r="AN413" i="1" s="1"/>
  <c r="AN401" i="1"/>
  <c r="AN405" i="1" s="1"/>
  <c r="AA379" i="1"/>
  <c r="AA381" i="1" s="1"/>
  <c r="AA375" i="1"/>
  <c r="AA376" i="1" s="1"/>
  <c r="AA369" i="1"/>
  <c r="AA373" i="1" s="1"/>
  <c r="O411" i="1"/>
  <c r="O407" i="1"/>
  <c r="O408" i="1" s="1"/>
  <c r="O401" i="1"/>
  <c r="O405" i="1" s="1"/>
  <c r="V411" i="1"/>
  <c r="V401" i="1"/>
  <c r="V405" i="1" s="1"/>
  <c r="V407" i="1"/>
  <c r="V408" i="1" s="1"/>
  <c r="R380" i="1"/>
  <c r="AO409" i="1"/>
  <c r="W345" i="1"/>
  <c r="AL345" i="1"/>
  <c r="AF377" i="1"/>
  <c r="X377" i="1"/>
  <c r="AB377" i="1"/>
  <c r="L409" i="1"/>
  <c r="H261" i="1"/>
  <c r="G209" i="1"/>
  <c r="G111" i="1" s="1"/>
  <c r="H126" i="1"/>
  <c r="H322" i="1"/>
  <c r="AN348" i="1"/>
  <c r="H309" i="1"/>
  <c r="AO349" i="1" l="1"/>
  <c r="AO348" i="1"/>
  <c r="W348" i="1"/>
  <c r="F74" i="1"/>
  <c r="F76" i="1" s="1"/>
  <c r="F78" i="1" s="1"/>
  <c r="AF348" i="1"/>
  <c r="U370" i="1"/>
  <c r="Z371" i="1"/>
  <c r="H84" i="1"/>
  <c r="AH402" i="1"/>
  <c r="AO403" i="1"/>
  <c r="AP403" i="1"/>
  <c r="Q412" i="1"/>
  <c r="O403" i="1"/>
  <c r="H341" i="1"/>
  <c r="AI402" i="1"/>
  <c r="AA370" i="1"/>
  <c r="M412" i="1"/>
  <c r="AH371" i="1"/>
  <c r="G198" i="1"/>
  <c r="G319" i="1"/>
  <c r="X403" i="1"/>
  <c r="AI403" i="1"/>
  <c r="AA371" i="1"/>
  <c r="F195" i="1"/>
  <c r="H195" i="1" s="1"/>
  <c r="F194" i="1"/>
  <c r="AS403" i="1"/>
  <c r="AE403" i="1"/>
  <c r="AL371" i="1"/>
  <c r="AP412" i="1"/>
  <c r="AE348" i="1"/>
  <c r="AF402" i="1"/>
  <c r="G237" i="1"/>
  <c r="G239" i="1" s="1"/>
  <c r="G241" i="1" s="1"/>
  <c r="AG403" i="1"/>
  <c r="AC403" i="1"/>
  <c r="P412" i="1"/>
  <c r="AM412" i="1"/>
  <c r="AB371" i="1"/>
  <c r="N348" i="1"/>
  <c r="AD402" i="1"/>
  <c r="Q370" i="1"/>
  <c r="AL402" i="1"/>
  <c r="M370" i="1"/>
  <c r="Z402" i="1"/>
  <c r="AC370" i="1"/>
  <c r="Y403" i="1"/>
  <c r="AJ403" i="1"/>
  <c r="P403" i="1"/>
  <c r="H403" i="1" s="1"/>
  <c r="AJ402" i="1"/>
  <c r="AG412" i="1"/>
  <c r="AG348" i="1"/>
  <c r="J402" i="1"/>
  <c r="N402" i="1"/>
  <c r="O402" i="1"/>
  <c r="W402" i="1"/>
  <c r="M402" i="1"/>
  <c r="AA403" i="1"/>
  <c r="Q403" i="1"/>
  <c r="AD403" i="1"/>
  <c r="Q402" i="1"/>
  <c r="H402" i="1" s="1"/>
  <c r="AG370" i="1"/>
  <c r="U402" i="1"/>
  <c r="W371" i="1"/>
  <c r="AJ370" i="1"/>
  <c r="AL370" i="1"/>
  <c r="AM371" i="1"/>
  <c r="AH370" i="1"/>
  <c r="AI371" i="1"/>
  <c r="AN371" i="1"/>
  <c r="F58" i="1"/>
  <c r="H58" i="1" s="1"/>
  <c r="L371" i="1"/>
  <c r="T371" i="1"/>
  <c r="AS370" i="1"/>
  <c r="T370" i="1"/>
  <c r="J371" i="1"/>
  <c r="AF371" i="1"/>
  <c r="AN370" i="1"/>
  <c r="N370" i="1"/>
  <c r="K371" i="1"/>
  <c r="AR371" i="1"/>
  <c r="Y371" i="1"/>
  <c r="K370" i="1"/>
  <c r="J382" i="1"/>
  <c r="J385" i="1"/>
  <c r="J378" i="1"/>
  <c r="H376" i="1"/>
  <c r="AR417" i="1"/>
  <c r="AR414" i="1"/>
  <c r="AR410" i="1"/>
  <c r="AF417" i="1"/>
  <c r="AF410" i="1"/>
  <c r="AF414" i="1"/>
  <c r="AH382" i="1"/>
  <c r="AH378" i="1"/>
  <c r="AH385" i="1"/>
  <c r="L350" i="1"/>
  <c r="L346" i="1"/>
  <c r="L353" i="1"/>
  <c r="AA414" i="1"/>
  <c r="AA410" i="1"/>
  <c r="AA417" i="1"/>
  <c r="V410" i="1"/>
  <c r="V414" i="1"/>
  <c r="V417" i="1"/>
  <c r="AC385" i="1"/>
  <c r="AC382" i="1"/>
  <c r="AC378" i="1"/>
  <c r="L417" i="1"/>
  <c r="L414" i="1"/>
  <c r="L410" i="1"/>
  <c r="AS385" i="1"/>
  <c r="AS382" i="1"/>
  <c r="AS378" i="1"/>
  <c r="Q353" i="1"/>
  <c r="Q350" i="1"/>
  <c r="Q346" i="1"/>
  <c r="W353" i="1"/>
  <c r="W350" i="1"/>
  <c r="W346" i="1"/>
  <c r="AM378" i="1"/>
  <c r="AM382" i="1"/>
  <c r="AM385" i="1"/>
  <c r="AK417" i="1"/>
  <c r="AK410" i="1"/>
  <c r="AK414" i="1"/>
  <c r="K417" i="1"/>
  <c r="K410" i="1"/>
  <c r="K414" i="1"/>
  <c r="AH353" i="1"/>
  <c r="AH350" i="1"/>
  <c r="AH346" i="1"/>
  <c r="AP417" i="1"/>
  <c r="AP410" i="1"/>
  <c r="AP414" i="1"/>
  <c r="AJ353" i="1"/>
  <c r="AJ346" i="1"/>
  <c r="AJ350" i="1"/>
  <c r="R353" i="1"/>
  <c r="R346" i="1"/>
  <c r="R350" i="1"/>
  <c r="AA350" i="1"/>
  <c r="AA346" i="1"/>
  <c r="AA353" i="1"/>
  <c r="N378" i="1"/>
  <c r="N382" i="1"/>
  <c r="N385" i="1"/>
  <c r="AG353" i="1"/>
  <c r="AG350" i="1"/>
  <c r="AG346" i="1"/>
  <c r="Z378" i="1"/>
  <c r="Z385" i="1"/>
  <c r="Z382" i="1"/>
  <c r="O414" i="1"/>
  <c r="O417" i="1"/>
  <c r="O410" i="1"/>
  <c r="AD382" i="1"/>
  <c r="AD385" i="1"/>
  <c r="AD378" i="1"/>
  <c r="AL378" i="1"/>
  <c r="AL382" i="1"/>
  <c r="AL385" i="1"/>
  <c r="O378" i="1"/>
  <c r="O382" i="1"/>
  <c r="O385" i="1"/>
  <c r="T385" i="1"/>
  <c r="T382" i="1"/>
  <c r="T378" i="1"/>
  <c r="AE353" i="1"/>
  <c r="AE350" i="1"/>
  <c r="AE346" i="1"/>
  <c r="K353" i="1"/>
  <c r="K350" i="1"/>
  <c r="K346" i="1"/>
  <c r="AR385" i="1"/>
  <c r="AR382" i="1"/>
  <c r="AR378" i="1"/>
  <c r="AA378" i="1"/>
  <c r="AA385" i="1"/>
  <c r="AA382" i="1"/>
  <c r="AF385" i="1"/>
  <c r="AF382" i="1"/>
  <c r="AF378" i="1"/>
  <c r="AN378" i="1"/>
  <c r="AN382" i="1"/>
  <c r="AN385" i="1"/>
  <c r="AR353" i="1"/>
  <c r="AR350" i="1"/>
  <c r="AR346" i="1"/>
  <c r="P414" i="1"/>
  <c r="P417" i="1"/>
  <c r="P410" i="1"/>
  <c r="Y378" i="1"/>
  <c r="Y385" i="1"/>
  <c r="Y382" i="1"/>
  <c r="AS410" i="1"/>
  <c r="AS414" i="1"/>
  <c r="AS417" i="1"/>
  <c r="T417" i="1"/>
  <c r="T410" i="1"/>
  <c r="T414" i="1"/>
  <c r="AI417" i="1"/>
  <c r="AI414" i="1"/>
  <c r="AI410" i="1"/>
  <c r="AH417" i="1"/>
  <c r="AH410" i="1"/>
  <c r="AH414" i="1"/>
  <c r="AG385" i="1"/>
  <c r="AG378" i="1"/>
  <c r="AG382" i="1"/>
  <c r="V353" i="1"/>
  <c r="V346" i="1"/>
  <c r="V350" i="1"/>
  <c r="N414" i="1"/>
  <c r="N410" i="1"/>
  <c r="N417" i="1"/>
  <c r="U414" i="1"/>
  <c r="U417" i="1"/>
  <c r="U410" i="1"/>
  <c r="AS353" i="1"/>
  <c r="AS350" i="1"/>
  <c r="AS346" i="1"/>
  <c r="V382" i="1"/>
  <c r="V385" i="1"/>
  <c r="V378" i="1"/>
  <c r="W417" i="1"/>
  <c r="W410" i="1"/>
  <c r="W414" i="1"/>
  <c r="W382" i="1"/>
  <c r="W378" i="1"/>
  <c r="W385" i="1"/>
  <c r="AI382" i="1"/>
  <c r="AI378" i="1"/>
  <c r="AI385" i="1"/>
  <c r="AR413" i="1"/>
  <c r="AR412" i="1"/>
  <c r="AO410" i="1"/>
  <c r="AO414" i="1"/>
  <c r="AO417" i="1"/>
  <c r="AS348" i="1"/>
  <c r="AL353" i="1"/>
  <c r="AL346" i="1"/>
  <c r="AL350" i="1"/>
  <c r="H373" i="1"/>
  <c r="AC381" i="1"/>
  <c r="AC380" i="1"/>
  <c r="AI412" i="1"/>
  <c r="G240" i="1"/>
  <c r="G254" i="1" s="1"/>
  <c r="O370" i="1"/>
  <c r="AG381" i="1"/>
  <c r="AG380" i="1"/>
  <c r="H272" i="1"/>
  <c r="AI370" i="1"/>
  <c r="L382" i="1"/>
  <c r="L385" i="1"/>
  <c r="L378" i="1"/>
  <c r="H202" i="1"/>
  <c r="E110" i="1"/>
  <c r="H110" i="1" s="1"/>
  <c r="X370" i="1"/>
  <c r="N413" i="1"/>
  <c r="N412" i="1"/>
  <c r="H405" i="1"/>
  <c r="AM370" i="1"/>
  <c r="P371" i="1"/>
  <c r="H438" i="1"/>
  <c r="AR349" i="1"/>
  <c r="AR348" i="1"/>
  <c r="AL413" i="1"/>
  <c r="AL412" i="1"/>
  <c r="P378" i="1"/>
  <c r="P385" i="1"/>
  <c r="P382" i="1"/>
  <c r="U381" i="1"/>
  <c r="U380" i="1"/>
  <c r="V413" i="1"/>
  <c r="V412" i="1"/>
  <c r="F89" i="1"/>
  <c r="F91" i="1" s="1"/>
  <c r="AS413" i="1"/>
  <c r="AS412" i="1"/>
  <c r="R417" i="1"/>
  <c r="R410" i="1"/>
  <c r="R414" i="1"/>
  <c r="H194" i="1"/>
  <c r="AM346" i="1"/>
  <c r="AM350" i="1"/>
  <c r="AM353" i="1"/>
  <c r="AQ385" i="1"/>
  <c r="AQ378" i="1"/>
  <c r="AQ382" i="1"/>
  <c r="X348" i="1"/>
  <c r="AB414" i="1"/>
  <c r="AB417" i="1"/>
  <c r="AB410" i="1"/>
  <c r="AE410" i="1"/>
  <c r="AE417" i="1"/>
  <c r="AE414" i="1"/>
  <c r="H86" i="1"/>
  <c r="AB350" i="1"/>
  <c r="AB346" i="1"/>
  <c r="AB353" i="1"/>
  <c r="F77" i="1"/>
  <c r="J370" i="1"/>
  <c r="AF370" i="1"/>
  <c r="AB381" i="1"/>
  <c r="AB380" i="1"/>
  <c r="X371" i="1"/>
  <c r="N371" i="1"/>
  <c r="AJ371" i="1"/>
  <c r="AP371" i="1"/>
  <c r="AJ413" i="1"/>
  <c r="AJ412" i="1"/>
  <c r="AC353" i="1"/>
  <c r="AC350" i="1"/>
  <c r="AC346" i="1"/>
  <c r="AM414" i="1"/>
  <c r="AM410" i="1"/>
  <c r="AM417" i="1"/>
  <c r="Y381" i="1"/>
  <c r="Y380" i="1"/>
  <c r="AB385" i="1"/>
  <c r="AB382" i="1"/>
  <c r="AB378" i="1"/>
  <c r="X417" i="1"/>
  <c r="X414" i="1"/>
  <c r="X410" i="1"/>
  <c r="U353" i="1"/>
  <c r="U346" i="1"/>
  <c r="U350" i="1"/>
  <c r="H75" i="1"/>
  <c r="AO353" i="1"/>
  <c r="AO350" i="1"/>
  <c r="AO346" i="1"/>
  <c r="AS381" i="1"/>
  <c r="AS380" i="1"/>
  <c r="N381" i="1"/>
  <c r="N380" i="1"/>
  <c r="E63" i="1"/>
  <c r="P338" i="1" s="1"/>
  <c r="H51" i="1"/>
  <c r="AN414" i="1"/>
  <c r="AN417" i="1"/>
  <c r="AN410" i="1"/>
  <c r="AC410" i="1"/>
  <c r="AC414" i="1"/>
  <c r="AC417" i="1"/>
  <c r="AQ414" i="1"/>
  <c r="AQ410" i="1"/>
  <c r="AQ417" i="1"/>
  <c r="S353" i="1"/>
  <c r="S346" i="1"/>
  <c r="S350" i="1"/>
  <c r="AQ353" i="1"/>
  <c r="AQ350" i="1"/>
  <c r="AQ346" i="1"/>
  <c r="AN353" i="1"/>
  <c r="AN346" i="1"/>
  <c r="AN350" i="1"/>
  <c r="AO413" i="1"/>
  <c r="AO412" i="1"/>
  <c r="L370" i="1"/>
  <c r="H73" i="1"/>
  <c r="Q385" i="1"/>
  <c r="Q378" i="1"/>
  <c r="Q382" i="1"/>
  <c r="E318" i="1"/>
  <c r="H318" i="1" s="1"/>
  <c r="E273" i="1"/>
  <c r="H273" i="1" s="1"/>
  <c r="AN339" i="1"/>
  <c r="X339" i="1"/>
  <c r="H62" i="1"/>
  <c r="AI339" i="1"/>
  <c r="E191" i="1"/>
  <c r="H191" i="1" s="1"/>
  <c r="E228" i="1"/>
  <c r="O338" i="1"/>
  <c r="S338" i="1"/>
  <c r="Y413" i="1"/>
  <c r="Y412" i="1"/>
  <c r="M348" i="1"/>
  <c r="AD370" i="1"/>
  <c r="AG371" i="1"/>
  <c r="O371" i="1"/>
  <c r="U371" i="1"/>
  <c r="S371" i="1"/>
  <c r="AJ381" i="1"/>
  <c r="AJ380" i="1"/>
  <c r="AK412" i="1"/>
  <c r="M414" i="1"/>
  <c r="M417" i="1"/>
  <c r="M410" i="1"/>
  <c r="H227" i="1"/>
  <c r="P349" i="1"/>
  <c r="P348" i="1"/>
  <c r="AE385" i="1"/>
  <c r="AE382" i="1"/>
  <c r="AE378" i="1"/>
  <c r="G89" i="1"/>
  <c r="G91" i="1"/>
  <c r="AR381" i="1"/>
  <c r="AR380" i="1"/>
  <c r="W412" i="1"/>
  <c r="AP353" i="1"/>
  <c r="AP346" i="1"/>
  <c r="AP350" i="1"/>
  <c r="H82" i="1"/>
  <c r="M350" i="1"/>
  <c r="M346" i="1"/>
  <c r="M353" i="1"/>
  <c r="H232" i="1"/>
  <c r="P370" i="1"/>
  <c r="AO385" i="1"/>
  <c r="AO378" i="1"/>
  <c r="AO382" i="1"/>
  <c r="K382" i="1"/>
  <c r="K378" i="1"/>
  <c r="K385" i="1"/>
  <c r="AF412" i="1"/>
  <c r="K348" i="1"/>
  <c r="V370" i="1"/>
  <c r="F282" i="1"/>
  <c r="F284" i="1" s="1"/>
  <c r="AO371" i="1"/>
  <c r="AK371" i="1"/>
  <c r="L381" i="1"/>
  <c r="L380" i="1"/>
  <c r="Q410" i="1"/>
  <c r="Q417" i="1"/>
  <c r="Q414" i="1"/>
  <c r="AK346" i="1"/>
  <c r="AK353" i="1"/>
  <c r="AK350" i="1"/>
  <c r="H190" i="1"/>
  <c r="T381" i="1"/>
  <c r="T380" i="1"/>
  <c r="U385" i="1"/>
  <c r="U382" i="1"/>
  <c r="U378" i="1"/>
  <c r="AG410" i="1"/>
  <c r="AG417" i="1"/>
  <c r="AG414" i="1"/>
  <c r="H85" i="1"/>
  <c r="AD350" i="1"/>
  <c r="AD353" i="1"/>
  <c r="AD346" i="1"/>
  <c r="N350" i="1"/>
  <c r="N346" i="1"/>
  <c r="N353" i="1"/>
  <c r="J381" i="1"/>
  <c r="J380" i="1"/>
  <c r="AH381" i="1"/>
  <c r="AH380" i="1"/>
  <c r="S385" i="1"/>
  <c r="S378" i="1"/>
  <c r="S382" i="1"/>
  <c r="R349" i="1"/>
  <c r="R348" i="1"/>
  <c r="J414" i="1"/>
  <c r="J410" i="1"/>
  <c r="J417" i="1"/>
  <c r="H408" i="1"/>
  <c r="AI350" i="1"/>
  <c r="AI353" i="1"/>
  <c r="AI346" i="1"/>
  <c r="T353" i="1"/>
  <c r="T350" i="1"/>
  <c r="T346" i="1"/>
  <c r="Z346" i="1"/>
  <c r="Z350" i="1"/>
  <c r="Z353" i="1"/>
  <c r="V381" i="1"/>
  <c r="V380" i="1"/>
  <c r="O413" i="1"/>
  <c r="O412" i="1"/>
  <c r="Z414" i="1"/>
  <c r="Z417" i="1"/>
  <c r="Z410" i="1"/>
  <c r="E89" i="1"/>
  <c r="H81" i="1"/>
  <c r="E91" i="1"/>
  <c r="J353" i="1"/>
  <c r="H344" i="1"/>
  <c r="J350" i="1"/>
  <c r="J346" i="1"/>
  <c r="O346" i="1"/>
  <c r="O350" i="1"/>
  <c r="O353" i="1"/>
  <c r="O381" i="1"/>
  <c r="O380" i="1"/>
  <c r="G285" i="1"/>
  <c r="G300" i="1" s="1"/>
  <c r="X382" i="1"/>
  <c r="X385" i="1"/>
  <c r="X378" i="1"/>
  <c r="Z381" i="1"/>
  <c r="Z380" i="1"/>
  <c r="AD381" i="1"/>
  <c r="AD380" i="1"/>
  <c r="AD417" i="1"/>
  <c r="AD410" i="1"/>
  <c r="AD414" i="1"/>
  <c r="H87" i="1"/>
  <c r="AP385" i="1"/>
  <c r="AP378" i="1"/>
  <c r="AP382" i="1"/>
  <c r="AJ382" i="1"/>
  <c r="AJ385" i="1"/>
  <c r="AJ378" i="1"/>
  <c r="AA413" i="1"/>
  <c r="AA412" i="1"/>
  <c r="AL381" i="1"/>
  <c r="AL380" i="1"/>
  <c r="AL414" i="1"/>
  <c r="AL417" i="1"/>
  <c r="AL410" i="1"/>
  <c r="Y410" i="1"/>
  <c r="Y417" i="1"/>
  <c r="Y414" i="1"/>
  <c r="AA349" i="1"/>
  <c r="AA348" i="1"/>
  <c r="K413" i="1"/>
  <c r="H413" i="1" s="1"/>
  <c r="K412" i="1"/>
  <c r="F192" i="1"/>
  <c r="F319" i="1"/>
  <c r="F229" i="1"/>
  <c r="F233" i="1" s="1"/>
  <c r="F274" i="1"/>
  <c r="AQ370" i="1"/>
  <c r="R370" i="1"/>
  <c r="AK370" i="1"/>
  <c r="F70" i="1"/>
  <c r="F117" i="1" s="1"/>
  <c r="S370" i="1"/>
  <c r="AB370" i="1"/>
  <c r="AE370" i="1"/>
  <c r="Y370" i="1"/>
  <c r="AP370" i="1"/>
  <c r="V349" i="1"/>
  <c r="V348" i="1"/>
  <c r="AK378" i="1"/>
  <c r="AK382" i="1"/>
  <c r="AK385" i="1"/>
  <c r="AH412" i="1"/>
  <c r="AR370" i="1"/>
  <c r="P381" i="1"/>
  <c r="P380" i="1"/>
  <c r="AM381" i="1"/>
  <c r="AM380" i="1"/>
  <c r="M371" i="1"/>
  <c r="AC371" i="1"/>
  <c r="R371" i="1"/>
  <c r="Z348" i="1"/>
  <c r="S413" i="1"/>
  <c r="S412" i="1"/>
  <c r="S410" i="1"/>
  <c r="S414" i="1"/>
  <c r="S417" i="1"/>
  <c r="H83" i="1"/>
  <c r="P350" i="1"/>
  <c r="P353" i="1"/>
  <c r="P346" i="1"/>
  <c r="Z412" i="1"/>
  <c r="AA380" i="1"/>
  <c r="M378" i="1"/>
  <c r="M382" i="1"/>
  <c r="M385" i="1"/>
  <c r="X412" i="1"/>
  <c r="X381" i="1"/>
  <c r="X380" i="1"/>
  <c r="W370" i="1"/>
  <c r="AJ349" i="1"/>
  <c r="AJ348" i="1"/>
  <c r="AL349" i="1"/>
  <c r="AL348" i="1"/>
  <c r="Z370" i="1"/>
  <c r="F237" i="1"/>
  <c r="F239" i="1" s="1"/>
  <c r="Q371" i="1"/>
  <c r="AD371" i="1"/>
  <c r="U349" i="1"/>
  <c r="U348" i="1"/>
  <c r="O348" i="1"/>
  <c r="AO370" i="1"/>
  <c r="AJ417" i="1"/>
  <c r="AJ410" i="1"/>
  <c r="AJ414" i="1"/>
  <c r="AF381" i="1"/>
  <c r="AF380" i="1"/>
  <c r="AK381" i="1"/>
  <c r="AK380" i="1"/>
  <c r="AF353" i="1"/>
  <c r="AF350" i="1"/>
  <c r="AF346" i="1"/>
  <c r="X353" i="1"/>
  <c r="X346" i="1"/>
  <c r="X350" i="1"/>
  <c r="Y353" i="1"/>
  <c r="Y346" i="1"/>
  <c r="Y350" i="1"/>
  <c r="AB412" i="1"/>
  <c r="G228" i="1"/>
  <c r="G233" i="1" s="1"/>
  <c r="F209" i="1"/>
  <c r="F111" i="1" s="1"/>
  <c r="R378" i="1"/>
  <c r="R382" i="1"/>
  <c r="R385" i="1"/>
  <c r="T413" i="1"/>
  <c r="T412" i="1"/>
  <c r="AN381" i="1"/>
  <c r="AN380" i="1"/>
  <c r="AE381" i="1"/>
  <c r="AE380" i="1"/>
  <c r="M381" i="1"/>
  <c r="M380" i="1"/>
  <c r="G77" i="1"/>
  <c r="AC413" i="1"/>
  <c r="AC412" i="1"/>
  <c r="AH348" i="1"/>
  <c r="AS371" i="1"/>
  <c r="V371" i="1"/>
  <c r="AQ371" i="1"/>
  <c r="AD413" i="1"/>
  <c r="AD412" i="1"/>
  <c r="AN412" i="1"/>
  <c r="H417" i="1" l="1"/>
  <c r="T338" i="1"/>
  <c r="F198" i="1"/>
  <c r="AO339" i="1"/>
  <c r="G242" i="1"/>
  <c r="AC338" i="1"/>
  <c r="R339" i="1"/>
  <c r="U338" i="1"/>
  <c r="M338" i="1"/>
  <c r="H228" i="1"/>
  <c r="H349" i="1"/>
  <c r="H371" i="1"/>
  <c r="H348" i="1"/>
  <c r="H89" i="1"/>
  <c r="H412" i="1"/>
  <c r="H353" i="1"/>
  <c r="AD354" i="1"/>
  <c r="AD351" i="1"/>
  <c r="AD150" i="1"/>
  <c r="K383" i="1"/>
  <c r="K384" i="1" s="1"/>
  <c r="K386" i="1"/>
  <c r="K158" i="1"/>
  <c r="AE418" i="1"/>
  <c r="AE415" i="1"/>
  <c r="AE166" i="1"/>
  <c r="K351" i="1"/>
  <c r="K150" i="1"/>
  <c r="K354" i="1"/>
  <c r="O386" i="1"/>
  <c r="O158" i="1"/>
  <c r="O383" i="1"/>
  <c r="O384" i="1" s="1"/>
  <c r="X386" i="1"/>
  <c r="X158" i="1"/>
  <c r="X383" i="1"/>
  <c r="AQ340" i="1"/>
  <c r="AE340" i="1"/>
  <c r="S340" i="1"/>
  <c r="AP340" i="1"/>
  <c r="AD340" i="1"/>
  <c r="R340" i="1"/>
  <c r="AO340" i="1"/>
  <c r="AC340" i="1"/>
  <c r="Q340" i="1"/>
  <c r="AN340" i="1"/>
  <c r="AB340" i="1"/>
  <c r="P340" i="1"/>
  <c r="P342" i="1" s="1"/>
  <c r="Z340" i="1"/>
  <c r="J340" i="1"/>
  <c r="AS340" i="1"/>
  <c r="Y340" i="1"/>
  <c r="AR340" i="1"/>
  <c r="X340" i="1"/>
  <c r="AM340" i="1"/>
  <c r="W340" i="1"/>
  <c r="AK340" i="1"/>
  <c r="M340" i="1"/>
  <c r="AJ340" i="1"/>
  <c r="L340" i="1"/>
  <c r="AI340" i="1"/>
  <c r="K340" i="1"/>
  <c r="AH340" i="1"/>
  <c r="AG340" i="1"/>
  <c r="H91" i="1"/>
  <c r="U340" i="1"/>
  <c r="T340" i="1"/>
  <c r="E123" i="1"/>
  <c r="AL340" i="1"/>
  <c r="AF340" i="1"/>
  <c r="AA340" i="1"/>
  <c r="V340" i="1"/>
  <c r="O340" i="1"/>
  <c r="N340" i="1"/>
  <c r="E99" i="1"/>
  <c r="Z354" i="1"/>
  <c r="Z351" i="1"/>
  <c r="Z150" i="1"/>
  <c r="J418" i="1"/>
  <c r="H410" i="1"/>
  <c r="G136" i="1" s="1"/>
  <c r="J415" i="1"/>
  <c r="J416" i="1" s="1"/>
  <c r="J166" i="1"/>
  <c r="Q418" i="1"/>
  <c r="Q415" i="1"/>
  <c r="Q166" i="1"/>
  <c r="M351" i="1"/>
  <c r="M352" i="1" s="1"/>
  <c r="M354" i="1"/>
  <c r="M150" i="1"/>
  <c r="AQ418" i="1"/>
  <c r="AQ166" i="1"/>
  <c r="AQ415" i="1"/>
  <c r="AQ416" i="1" s="1"/>
  <c r="E192" i="1"/>
  <c r="E319" i="1"/>
  <c r="H319" i="1" s="1"/>
  <c r="E274" i="1"/>
  <c r="H63" i="1"/>
  <c r="E229" i="1"/>
  <c r="H229" i="1" s="1"/>
  <c r="E209" i="1"/>
  <c r="AM415" i="1"/>
  <c r="AM416" i="1" s="1"/>
  <c r="AM418" i="1"/>
  <c r="AM166" i="1"/>
  <c r="AB418" i="1"/>
  <c r="AB415" i="1"/>
  <c r="AB166" i="1"/>
  <c r="R418" i="1"/>
  <c r="R415" i="1"/>
  <c r="R166" i="1"/>
  <c r="AG383" i="1"/>
  <c r="AG384" i="1" s="1"/>
  <c r="AG158" i="1"/>
  <c r="AG386" i="1"/>
  <c r="Z386" i="1"/>
  <c r="Z383" i="1"/>
  <c r="Z384" i="1" s="1"/>
  <c r="Z158" i="1"/>
  <c r="AF415" i="1"/>
  <c r="AF416" i="1" s="1"/>
  <c r="AF419" i="1" s="1"/>
  <c r="AF418" i="1"/>
  <c r="AF166" i="1"/>
  <c r="H414" i="1"/>
  <c r="N338" i="1"/>
  <c r="AP338" i="1"/>
  <c r="AJ339" i="1"/>
  <c r="AG339" i="1"/>
  <c r="Y339" i="1"/>
  <c r="AD339" i="1"/>
  <c r="Q386" i="1"/>
  <c r="Q383" i="1"/>
  <c r="Q158" i="1"/>
  <c r="U354" i="1"/>
  <c r="U351" i="1"/>
  <c r="U352" i="1" s="1"/>
  <c r="U150" i="1"/>
  <c r="P386" i="1"/>
  <c r="P383" i="1"/>
  <c r="P384" i="1" s="1"/>
  <c r="P158" i="1"/>
  <c r="U415" i="1"/>
  <c r="U416" i="1" s="1"/>
  <c r="U418" i="1"/>
  <c r="U166" i="1"/>
  <c r="AS418" i="1"/>
  <c r="AS415" i="1"/>
  <c r="AS416" i="1" s="1"/>
  <c r="AS166" i="1"/>
  <c r="AN386" i="1"/>
  <c r="AN383" i="1"/>
  <c r="AN158" i="1"/>
  <c r="AF384" i="1"/>
  <c r="S418" i="1"/>
  <c r="S415" i="1"/>
  <c r="S416" i="1" s="1"/>
  <c r="S166" i="1"/>
  <c r="AO386" i="1"/>
  <c r="AO383" i="1"/>
  <c r="AO384" i="1" s="1"/>
  <c r="AO387" i="1" s="1"/>
  <c r="AO158" i="1"/>
  <c r="AN338" i="1"/>
  <c r="AL338" i="1"/>
  <c r="AK339" i="1"/>
  <c r="AH339" i="1"/>
  <c r="AS339" i="1"/>
  <c r="AP339" i="1"/>
  <c r="AC354" i="1"/>
  <c r="AC351" i="1"/>
  <c r="AC352" i="1" s="1"/>
  <c r="AC150" i="1"/>
  <c r="AO418" i="1"/>
  <c r="AO415" i="1"/>
  <c r="AO416" i="1" s="1"/>
  <c r="AO166" i="1"/>
  <c r="AF386" i="1"/>
  <c r="AF158" i="1"/>
  <c r="AF383" i="1"/>
  <c r="AE354" i="1"/>
  <c r="AE351" i="1"/>
  <c r="AE352" i="1" s="1"/>
  <c r="AE355" i="1" s="1"/>
  <c r="AE150" i="1"/>
  <c r="AL386" i="1"/>
  <c r="AL158" i="1"/>
  <c r="AL383" i="1"/>
  <c r="AL384" i="1" s="1"/>
  <c r="AR415" i="1"/>
  <c r="AR416" i="1" s="1"/>
  <c r="AR418" i="1"/>
  <c r="AR166" i="1"/>
  <c r="Z415" i="1"/>
  <c r="Z166" i="1"/>
  <c r="Z418" i="1"/>
  <c r="AH338" i="1"/>
  <c r="Y338" i="1"/>
  <c r="Z338" i="1"/>
  <c r="Q338" i="1"/>
  <c r="J339" i="1"/>
  <c r="S339" i="1"/>
  <c r="S342" i="1" s="1"/>
  <c r="AN354" i="1"/>
  <c r="AN351" i="1"/>
  <c r="AN352" i="1" s="1"/>
  <c r="AN150" i="1"/>
  <c r="X418" i="1"/>
  <c r="X415" i="1"/>
  <c r="X416" i="1" s="1"/>
  <c r="X166" i="1"/>
  <c r="AD386" i="1"/>
  <c r="AD383" i="1"/>
  <c r="AD384" i="1" s="1"/>
  <c r="AD387" i="1" s="1"/>
  <c r="AD158" i="1"/>
  <c r="Y354" i="1"/>
  <c r="Y351" i="1"/>
  <c r="Y352" i="1" s="1"/>
  <c r="Y150" i="1"/>
  <c r="F240" i="1"/>
  <c r="F254" i="1" s="1"/>
  <c r="Y415" i="1"/>
  <c r="Y416" i="1" s="1"/>
  <c r="Y418" i="1"/>
  <c r="Y166" i="1"/>
  <c r="AD415" i="1"/>
  <c r="AD418" i="1"/>
  <c r="AD166" i="1"/>
  <c r="AI351" i="1"/>
  <c r="AI354" i="1"/>
  <c r="AI150" i="1"/>
  <c r="AH404" i="1"/>
  <c r="AH406" i="1" s="1"/>
  <c r="V404" i="1"/>
  <c r="V406" i="1" s="1"/>
  <c r="J404" i="1"/>
  <c r="AS404" i="1"/>
  <c r="AS406" i="1" s="1"/>
  <c r="AG404" i="1"/>
  <c r="AG406" i="1" s="1"/>
  <c r="U404" i="1"/>
  <c r="U406" i="1" s="1"/>
  <c r="AK404" i="1"/>
  <c r="AK406" i="1" s="1"/>
  <c r="W404" i="1"/>
  <c r="W406" i="1" s="1"/>
  <c r="AJ404" i="1"/>
  <c r="AJ406" i="1" s="1"/>
  <c r="T404" i="1"/>
  <c r="T406" i="1" s="1"/>
  <c r="AI404" i="1"/>
  <c r="AI406" i="1" s="1"/>
  <c r="S404" i="1"/>
  <c r="S406" i="1" s="1"/>
  <c r="AE404" i="1"/>
  <c r="AE406" i="1" s="1"/>
  <c r="Q404" i="1"/>
  <c r="Q406" i="1" s="1"/>
  <c r="AP404" i="1"/>
  <c r="AP406" i="1" s="1"/>
  <c r="X404" i="1"/>
  <c r="X406" i="1" s="1"/>
  <c r="AO404" i="1"/>
  <c r="AO406" i="1" s="1"/>
  <c r="R404" i="1"/>
  <c r="R406" i="1" s="1"/>
  <c r="AN404" i="1"/>
  <c r="AN406" i="1" s="1"/>
  <c r="P404" i="1"/>
  <c r="P406" i="1" s="1"/>
  <c r="AL404" i="1"/>
  <c r="AL406" i="1" s="1"/>
  <c r="N404" i="1"/>
  <c r="N406" i="1" s="1"/>
  <c r="Y404" i="1"/>
  <c r="Y406" i="1" s="1"/>
  <c r="O404" i="1"/>
  <c r="O406" i="1" s="1"/>
  <c r="M404" i="1"/>
  <c r="M406" i="1" s="1"/>
  <c r="AR404" i="1"/>
  <c r="AR406" i="1" s="1"/>
  <c r="L404" i="1"/>
  <c r="L406" i="1" s="1"/>
  <c r="AQ404" i="1"/>
  <c r="AQ406" i="1" s="1"/>
  <c r="AM404" i="1"/>
  <c r="AM406" i="1" s="1"/>
  <c r="AF404" i="1"/>
  <c r="AF406" i="1" s="1"/>
  <c r="AD404" i="1"/>
  <c r="AD406" i="1" s="1"/>
  <c r="AC404" i="1"/>
  <c r="AC406" i="1" s="1"/>
  <c r="AB404" i="1"/>
  <c r="AB406" i="1" s="1"/>
  <c r="AA404" i="1"/>
  <c r="AA406" i="1" s="1"/>
  <c r="Z404" i="1"/>
  <c r="Z406" i="1" s="1"/>
  <c r="K404" i="1"/>
  <c r="K406" i="1" s="1"/>
  <c r="G123" i="1"/>
  <c r="G129" i="1" s="1"/>
  <c r="G99" i="1"/>
  <c r="AG338" i="1"/>
  <c r="AG342" i="1" s="1"/>
  <c r="AE338" i="1"/>
  <c r="AF338" i="1"/>
  <c r="N339" i="1"/>
  <c r="Z339" i="1"/>
  <c r="AE339" i="1"/>
  <c r="AC418" i="1"/>
  <c r="AC415" i="1"/>
  <c r="AC416" i="1" s="1"/>
  <c r="AC166" i="1"/>
  <c r="AQ372" i="1"/>
  <c r="AQ374" i="1" s="1"/>
  <c r="AE372" i="1"/>
  <c r="AE374" i="1" s="1"/>
  <c r="S372" i="1"/>
  <c r="S374" i="1" s="1"/>
  <c r="AP372" i="1"/>
  <c r="AP374" i="1" s="1"/>
  <c r="AD372" i="1"/>
  <c r="AD374" i="1" s="1"/>
  <c r="R372" i="1"/>
  <c r="R374" i="1" s="1"/>
  <c r="AO372" i="1"/>
  <c r="AC372" i="1"/>
  <c r="AC374" i="1" s="1"/>
  <c r="Q372" i="1"/>
  <c r="Q374" i="1" s="1"/>
  <c r="AM372" i="1"/>
  <c r="AM374" i="1" s="1"/>
  <c r="AA372" i="1"/>
  <c r="AA374" i="1" s="1"/>
  <c r="O372" i="1"/>
  <c r="O374" i="1" s="1"/>
  <c r="AL372" i="1"/>
  <c r="AL374" i="1" s="1"/>
  <c r="V372" i="1"/>
  <c r="V374" i="1" s="1"/>
  <c r="AK372" i="1"/>
  <c r="AK374" i="1" s="1"/>
  <c r="U372" i="1"/>
  <c r="U374" i="1" s="1"/>
  <c r="AJ372" i="1"/>
  <c r="AJ374" i="1" s="1"/>
  <c r="T372" i="1"/>
  <c r="T374" i="1" s="1"/>
  <c r="AI372" i="1"/>
  <c r="AI374" i="1" s="1"/>
  <c r="P372" i="1"/>
  <c r="P374" i="1" s="1"/>
  <c r="W372" i="1"/>
  <c r="W374" i="1" s="1"/>
  <c r="N372" i="1"/>
  <c r="N374" i="1" s="1"/>
  <c r="AS372" i="1"/>
  <c r="AS374" i="1" s="1"/>
  <c r="M372" i="1"/>
  <c r="M374" i="1" s="1"/>
  <c r="AR372" i="1"/>
  <c r="AR374" i="1" s="1"/>
  <c r="L372" i="1"/>
  <c r="L374" i="1" s="1"/>
  <c r="J372" i="1"/>
  <c r="J374" i="1" s="1"/>
  <c r="AN372" i="1"/>
  <c r="AN374" i="1" s="1"/>
  <c r="AH372" i="1"/>
  <c r="AH374" i="1" s="1"/>
  <c r="AG372" i="1"/>
  <c r="AG374" i="1" s="1"/>
  <c r="AF372" i="1"/>
  <c r="AF374" i="1" s="1"/>
  <c r="AB372" i="1"/>
  <c r="AB374" i="1" s="1"/>
  <c r="Z372" i="1"/>
  <c r="F123" i="1"/>
  <c r="F129" i="1" s="1"/>
  <c r="Y372" i="1"/>
  <c r="Y374" i="1" s="1"/>
  <c r="X372" i="1"/>
  <c r="X374" i="1" s="1"/>
  <c r="F99" i="1"/>
  <c r="K372" i="1"/>
  <c r="K374" i="1" s="1"/>
  <c r="Y386" i="1"/>
  <c r="Y158" i="1"/>
  <c r="Y383" i="1"/>
  <c r="Y384" i="1" s="1"/>
  <c r="AJ418" i="1"/>
  <c r="AJ415" i="1"/>
  <c r="AJ166" i="1"/>
  <c r="Z374" i="1"/>
  <c r="M383" i="1"/>
  <c r="M386" i="1"/>
  <c r="M158" i="1"/>
  <c r="Z352" i="1"/>
  <c r="Z355" i="1" s="1"/>
  <c r="AK386" i="1"/>
  <c r="AK158" i="1"/>
  <c r="AK383" i="1"/>
  <c r="AK384" i="1" s="1"/>
  <c r="AL415" i="1"/>
  <c r="AL418" i="1"/>
  <c r="AL166" i="1"/>
  <c r="AG418" i="1"/>
  <c r="AG415" i="1"/>
  <c r="AG166" i="1"/>
  <c r="F285" i="1"/>
  <c r="F300" i="1" s="1"/>
  <c r="AB338" i="1"/>
  <c r="AO338" i="1"/>
  <c r="AK338" i="1"/>
  <c r="AL339" i="1"/>
  <c r="E282" i="1"/>
  <c r="AQ339" i="1"/>
  <c r="AQ354" i="1"/>
  <c r="AQ351" i="1"/>
  <c r="AQ352" i="1" s="1"/>
  <c r="AQ150" i="1"/>
  <c r="AO351" i="1"/>
  <c r="AO150" i="1"/>
  <c r="AO354" i="1"/>
  <c r="AQ386" i="1"/>
  <c r="AQ383" i="1"/>
  <c r="AQ158" i="1"/>
  <c r="V383" i="1"/>
  <c r="V384" i="1" s="1"/>
  <c r="V386" i="1"/>
  <c r="V158" i="1"/>
  <c r="AI418" i="1"/>
  <c r="AI415" i="1"/>
  <c r="AI416" i="1" s="1"/>
  <c r="AI166" i="1"/>
  <c r="P418" i="1"/>
  <c r="P415" i="1"/>
  <c r="P166" i="1"/>
  <c r="T386" i="1"/>
  <c r="T383" i="1"/>
  <c r="T384" i="1" s="1"/>
  <c r="T158" i="1"/>
  <c r="AP418" i="1"/>
  <c r="AP166" i="1"/>
  <c r="AP415" i="1"/>
  <c r="L351" i="1"/>
  <c r="L354" i="1"/>
  <c r="L150" i="1"/>
  <c r="R386" i="1"/>
  <c r="R383" i="1"/>
  <c r="R384" i="1" s="1"/>
  <c r="R158" i="1"/>
  <c r="H380" i="1"/>
  <c r="AE386" i="1"/>
  <c r="AE383" i="1"/>
  <c r="AE384" i="1" s="1"/>
  <c r="AE387" i="1" s="1"/>
  <c r="AE158" i="1"/>
  <c r="AS338" i="1"/>
  <c r="AQ338" i="1"/>
  <c r="V338" i="1"/>
  <c r="L339" i="1"/>
  <c r="O339" i="1"/>
  <c r="K339" i="1"/>
  <c r="E237" i="1"/>
  <c r="AB386" i="1"/>
  <c r="AB383" i="1"/>
  <c r="AB158" i="1"/>
  <c r="AJ416" i="1"/>
  <c r="AJ419" i="1"/>
  <c r="AJ167" i="1" s="1"/>
  <c r="AB354" i="1"/>
  <c r="AB351" i="1"/>
  <c r="AB352" i="1" s="1"/>
  <c r="AB150" i="1"/>
  <c r="AI383" i="1"/>
  <c r="AI158" i="1"/>
  <c r="AI386" i="1"/>
  <c r="N415" i="1"/>
  <c r="N418" i="1"/>
  <c r="N166" i="1"/>
  <c r="O418" i="1"/>
  <c r="O415" i="1"/>
  <c r="O416" i="1" s="1"/>
  <c r="O419" i="1" s="1"/>
  <c r="O166" i="1"/>
  <c r="N383" i="1"/>
  <c r="N384" i="1" s="1"/>
  <c r="N386" i="1"/>
  <c r="N158" i="1"/>
  <c r="AM386" i="1"/>
  <c r="AM383" i="1"/>
  <c r="AM384" i="1" s="1"/>
  <c r="AM158" i="1"/>
  <c r="X351" i="1"/>
  <c r="X354" i="1"/>
  <c r="X150" i="1"/>
  <c r="AO374" i="1"/>
  <c r="O354" i="1"/>
  <c r="O351" i="1"/>
  <c r="O352" i="1" s="1"/>
  <c r="O355" i="1" s="1"/>
  <c r="O150" i="1"/>
  <c r="H381" i="1"/>
  <c r="AJ338" i="1"/>
  <c r="R338" i="1"/>
  <c r="K338" i="1"/>
  <c r="W339" i="1"/>
  <c r="AM339" i="1"/>
  <c r="AA339" i="1"/>
  <c r="H370" i="1"/>
  <c r="AA386" i="1"/>
  <c r="AA383" i="1"/>
  <c r="AA158" i="1"/>
  <c r="AH351" i="1"/>
  <c r="AH352" i="1" s="1"/>
  <c r="AH354" i="1"/>
  <c r="AH150" i="1"/>
  <c r="W351" i="1"/>
  <c r="W150" i="1"/>
  <c r="W354" i="1"/>
  <c r="AC383" i="1"/>
  <c r="AC158" i="1"/>
  <c r="AC386" i="1"/>
  <c r="S386" i="1"/>
  <c r="S383" i="1"/>
  <c r="S384" i="1" s="1"/>
  <c r="S158" i="1"/>
  <c r="K418" i="1"/>
  <c r="K415" i="1"/>
  <c r="K416" i="1" s="1"/>
  <c r="K166" i="1"/>
  <c r="V418" i="1"/>
  <c r="V415" i="1"/>
  <c r="V416" i="1" s="1"/>
  <c r="V166" i="1"/>
  <c r="T354" i="1"/>
  <c r="T351" i="1"/>
  <c r="T352" i="1" s="1"/>
  <c r="T355" i="1" s="1"/>
  <c r="T150" i="1"/>
  <c r="AK415" i="1"/>
  <c r="AK418" i="1"/>
  <c r="AK166" i="1"/>
  <c r="L418" i="1"/>
  <c r="L415" i="1"/>
  <c r="L416" i="1" s="1"/>
  <c r="L166" i="1"/>
  <c r="E70" i="1"/>
  <c r="P354" i="1"/>
  <c r="P351" i="1"/>
  <c r="P352" i="1" s="1"/>
  <c r="P355" i="1" s="1"/>
  <c r="P150" i="1"/>
  <c r="AP386" i="1"/>
  <c r="AP383" i="1"/>
  <c r="AP384" i="1" s="1"/>
  <c r="AP158" i="1"/>
  <c r="J351" i="1"/>
  <c r="J352" i="1" s="1"/>
  <c r="J354" i="1"/>
  <c r="H346" i="1"/>
  <c r="E136" i="1" s="1"/>
  <c r="J150" i="1"/>
  <c r="K352" i="1"/>
  <c r="W338" i="1"/>
  <c r="AD338" i="1"/>
  <c r="AR338" i="1"/>
  <c r="M339" i="1"/>
  <c r="P339" i="1"/>
  <c r="T339" i="1"/>
  <c r="AN415" i="1"/>
  <c r="AN416" i="1" s="1"/>
  <c r="AN418" i="1"/>
  <c r="AN166" i="1"/>
  <c r="L383" i="1"/>
  <c r="L384" i="1" s="1"/>
  <c r="L158" i="1"/>
  <c r="L386" i="1"/>
  <c r="AL351" i="1"/>
  <c r="AL352" i="1" s="1"/>
  <c r="AL150" i="1"/>
  <c r="AL354" i="1"/>
  <c r="AS351" i="1"/>
  <c r="AS352" i="1" s="1"/>
  <c r="AS354" i="1"/>
  <c r="AS150" i="1"/>
  <c r="AR354" i="1"/>
  <c r="AR351" i="1"/>
  <c r="AR352" i="1" s="1"/>
  <c r="AR150" i="1"/>
  <c r="AR386" i="1"/>
  <c r="AR383" i="1"/>
  <c r="AR384" i="1" s="1"/>
  <c r="AR158" i="1"/>
  <c r="AA354" i="1"/>
  <c r="AA351" i="1"/>
  <c r="AA150" i="1"/>
  <c r="J383" i="1"/>
  <c r="J386" i="1"/>
  <c r="H378" i="1"/>
  <c r="F136" i="1" s="1"/>
  <c r="J158" i="1"/>
  <c r="AS383" i="1"/>
  <c r="AS384" i="1" s="1"/>
  <c r="AS386" i="1"/>
  <c r="AS158" i="1"/>
  <c r="AJ354" i="1"/>
  <c r="AJ351" i="1"/>
  <c r="AJ352" i="1" s="1"/>
  <c r="AJ150" i="1"/>
  <c r="AH418" i="1"/>
  <c r="AH415" i="1"/>
  <c r="AH416" i="1" s="1"/>
  <c r="AH166" i="1"/>
  <c r="AJ158" i="1"/>
  <c r="AJ386" i="1"/>
  <c r="AJ383" i="1"/>
  <c r="AJ384" i="1" s="1"/>
  <c r="AF354" i="1"/>
  <c r="AF351" i="1"/>
  <c r="AF150" i="1"/>
  <c r="G286" i="1"/>
  <c r="G287" i="1" s="1"/>
  <c r="H350" i="1"/>
  <c r="N351" i="1"/>
  <c r="N354" i="1"/>
  <c r="N150" i="1"/>
  <c r="U383" i="1"/>
  <c r="U384" i="1" s="1"/>
  <c r="U386" i="1"/>
  <c r="U158" i="1"/>
  <c r="AK354" i="1"/>
  <c r="AK351" i="1"/>
  <c r="AK150" i="1"/>
  <c r="M415" i="1"/>
  <c r="M416" i="1" s="1"/>
  <c r="M166" i="1"/>
  <c r="M418" i="1"/>
  <c r="AI338" i="1"/>
  <c r="AM338" i="1"/>
  <c r="L338" i="1"/>
  <c r="E74" i="1"/>
  <c r="U339" i="1"/>
  <c r="Q339" i="1"/>
  <c r="AF339" i="1"/>
  <c r="S354" i="1"/>
  <c r="S351" i="1"/>
  <c r="S150" i="1"/>
  <c r="AM354" i="1"/>
  <c r="AM150" i="1"/>
  <c r="AM351" i="1"/>
  <c r="G243" i="1"/>
  <c r="G257" i="1" s="1"/>
  <c r="W383" i="1"/>
  <c r="W384" i="1" s="1"/>
  <c r="W386" i="1"/>
  <c r="W158" i="1"/>
  <c r="V351" i="1"/>
  <c r="V354" i="1"/>
  <c r="V150" i="1"/>
  <c r="T415" i="1"/>
  <c r="T416" i="1" s="1"/>
  <c r="T166" i="1"/>
  <c r="T418" i="1"/>
  <c r="AH383" i="1"/>
  <c r="AH158" i="1"/>
  <c r="AH386" i="1"/>
  <c r="H385" i="1"/>
  <c r="R354" i="1"/>
  <c r="R150" i="1"/>
  <c r="R351" i="1"/>
  <c r="R352" i="1" s="1"/>
  <c r="AG351" i="1"/>
  <c r="AG354" i="1"/>
  <c r="AG150" i="1"/>
  <c r="AA415" i="1"/>
  <c r="AA418" i="1"/>
  <c r="AA166" i="1"/>
  <c r="W418" i="1"/>
  <c r="W415" i="1"/>
  <c r="W416" i="1" s="1"/>
  <c r="W166" i="1"/>
  <c r="AB416" i="1"/>
  <c r="AP354" i="1"/>
  <c r="AP351" i="1"/>
  <c r="AP150" i="1"/>
  <c r="X338" i="1"/>
  <c r="J338" i="1"/>
  <c r="AA338" i="1"/>
  <c r="AB339" i="1"/>
  <c r="V339" i="1"/>
  <c r="AC339" i="1"/>
  <c r="AR339" i="1"/>
  <c r="Q351" i="1"/>
  <c r="Q354" i="1"/>
  <c r="Q150" i="1"/>
  <c r="H382" i="1"/>
  <c r="AM387" i="1" l="1"/>
  <c r="O342" i="1"/>
  <c r="O357" i="1" s="1"/>
  <c r="O153" i="1" s="1"/>
  <c r="F241" i="1"/>
  <c r="AC342" i="1"/>
  <c r="AJ355" i="1"/>
  <c r="U342" i="1"/>
  <c r="Z387" i="1"/>
  <c r="Z388" i="1" s="1"/>
  <c r="Z389" i="1" s="1"/>
  <c r="Z161" i="1" s="1"/>
  <c r="F242" i="1"/>
  <c r="AN419" i="1"/>
  <c r="AN167" i="1" s="1"/>
  <c r="AK416" i="1"/>
  <c r="AK419" i="1" s="1"/>
  <c r="K355" i="1"/>
  <c r="K356" i="1" s="1"/>
  <c r="X342" i="1"/>
  <c r="X149" i="1" s="1"/>
  <c r="M384" i="1"/>
  <c r="M387" i="1" s="1"/>
  <c r="U419" i="1"/>
  <c r="U167" i="1" s="1"/>
  <c r="AR387" i="1"/>
  <c r="AR159" i="1" s="1"/>
  <c r="V419" i="1"/>
  <c r="V420" i="1" s="1"/>
  <c r="V421" i="1" s="1"/>
  <c r="V169" i="1" s="1"/>
  <c r="AC355" i="1"/>
  <c r="AC356" i="1" s="1"/>
  <c r="AL355" i="1"/>
  <c r="AL151" i="1" s="1"/>
  <c r="V387" i="1"/>
  <c r="V159" i="1" s="1"/>
  <c r="AF342" i="1"/>
  <c r="AF149" i="1" s="1"/>
  <c r="W387" i="1"/>
  <c r="W159" i="1" s="1"/>
  <c r="AO342" i="1"/>
  <c r="AO149" i="1" s="1"/>
  <c r="AG387" i="1"/>
  <c r="AG159" i="1" s="1"/>
  <c r="R355" i="1"/>
  <c r="R356" i="1" s="1"/>
  <c r="T387" i="1"/>
  <c r="T159" i="1" s="1"/>
  <c r="T342" i="1"/>
  <c r="T149" i="1" s="1"/>
  <c r="U387" i="1"/>
  <c r="U159" i="1" s="1"/>
  <c r="AM342" i="1"/>
  <c r="AM149" i="1" s="1"/>
  <c r="AH419" i="1"/>
  <c r="AC151" i="1"/>
  <c r="AB342" i="1"/>
  <c r="AB149" i="1" s="1"/>
  <c r="AS387" i="1"/>
  <c r="AS159" i="1" s="1"/>
  <c r="O387" i="1"/>
  <c r="O388" i="1" s="1"/>
  <c r="AF387" i="1"/>
  <c r="AF388" i="1" s="1"/>
  <c r="AK342" i="1"/>
  <c r="AK149" i="1" s="1"/>
  <c r="AM419" i="1"/>
  <c r="AM167" i="1" s="1"/>
  <c r="Y387" i="1"/>
  <c r="Y159" i="1" s="1"/>
  <c r="M355" i="1"/>
  <c r="M356" i="1" s="1"/>
  <c r="K419" i="1"/>
  <c r="K167" i="1" s="1"/>
  <c r="M419" i="1"/>
  <c r="M167" i="1" s="1"/>
  <c r="K387" i="1"/>
  <c r="K159" i="1" s="1"/>
  <c r="M342" i="1"/>
  <c r="M149" i="1" s="1"/>
  <c r="R342" i="1"/>
  <c r="AO419" i="1"/>
  <c r="AO167" i="1" s="1"/>
  <c r="W419" i="1"/>
  <c r="W167" i="1" s="1"/>
  <c r="L342" i="1"/>
  <c r="AK387" i="1"/>
  <c r="AK159" i="1" s="1"/>
  <c r="H386" i="1"/>
  <c r="AB419" i="1"/>
  <c r="AB167" i="1" s="1"/>
  <c r="X419" i="1"/>
  <c r="X167" i="1" s="1"/>
  <c r="AQ384" i="1"/>
  <c r="AQ387" i="1" s="1"/>
  <c r="AQ159" i="1" s="1"/>
  <c r="AQ419" i="1"/>
  <c r="AQ167" i="1" s="1"/>
  <c r="S387" i="1"/>
  <c r="S159" i="1" s="1"/>
  <c r="AH384" i="1"/>
  <c r="AH387" i="1" s="1"/>
  <c r="AP387" i="1"/>
  <c r="AP159" i="1" s="1"/>
  <c r="AF167" i="1"/>
  <c r="AF420" i="1"/>
  <c r="AM159" i="1"/>
  <c r="AM388" i="1"/>
  <c r="AM389" i="1" s="1"/>
  <c r="AM161" i="1" s="1"/>
  <c r="K151" i="1"/>
  <c r="O167" i="1"/>
  <c r="O420" i="1"/>
  <c r="AQ420" i="1"/>
  <c r="AQ421" i="1" s="1"/>
  <c r="AQ169" i="1" s="1"/>
  <c r="AH167" i="1"/>
  <c r="AH420" i="1"/>
  <c r="AH421" i="1" s="1"/>
  <c r="AH169" i="1" s="1"/>
  <c r="AJ151" i="1"/>
  <c r="AJ356" i="1"/>
  <c r="AD159" i="1"/>
  <c r="AD388" i="1"/>
  <c r="AD389" i="1" s="1"/>
  <c r="AD161" i="1" s="1"/>
  <c r="U149" i="1"/>
  <c r="O151" i="1"/>
  <c r="O356" i="1"/>
  <c r="AE151" i="1"/>
  <c r="AE356" i="1"/>
  <c r="O149" i="1"/>
  <c r="AD157" i="1"/>
  <c r="P149" i="1"/>
  <c r="T151" i="1"/>
  <c r="T356" i="1"/>
  <c r="AP157" i="1"/>
  <c r="Z159" i="1"/>
  <c r="U388" i="1"/>
  <c r="U389" i="1" s="1"/>
  <c r="U161" i="1" s="1"/>
  <c r="AE159" i="1"/>
  <c r="AE388" i="1"/>
  <c r="AE389" i="1" s="1"/>
  <c r="AE161" i="1" s="1"/>
  <c r="S157" i="1"/>
  <c r="Z151" i="1"/>
  <c r="Z356" i="1"/>
  <c r="V157" i="1"/>
  <c r="AR157" i="1"/>
  <c r="X157" i="1"/>
  <c r="O157" i="1"/>
  <c r="AK157" i="1"/>
  <c r="AS157" i="1"/>
  <c r="AO159" i="1"/>
  <c r="AO388" i="1"/>
  <c r="AO389" i="1" s="1"/>
  <c r="AO161" i="1" s="1"/>
  <c r="P151" i="1"/>
  <c r="P356" i="1"/>
  <c r="P357" i="1" s="1"/>
  <c r="P153" i="1" s="1"/>
  <c r="AN420" i="1"/>
  <c r="AN421" i="1" s="1"/>
  <c r="AN169" i="1" s="1"/>
  <c r="S149" i="1"/>
  <c r="N352" i="1"/>
  <c r="N355" i="1" s="1"/>
  <c r="Z157" i="1"/>
  <c r="AH157" i="1"/>
  <c r="AC165" i="1"/>
  <c r="W165" i="1"/>
  <c r="AI157" i="1"/>
  <c r="AC149" i="1"/>
  <c r="E101" i="1"/>
  <c r="H99" i="1"/>
  <c r="E135" i="1"/>
  <c r="E100" i="1"/>
  <c r="N157" i="1"/>
  <c r="H383" i="1"/>
  <c r="H374" i="1"/>
  <c r="F440" i="1" s="1"/>
  <c r="J157" i="1"/>
  <c r="AN157" i="1"/>
  <c r="U157" i="1"/>
  <c r="AD165" i="1"/>
  <c r="Q384" i="1"/>
  <c r="Q387" i="1" s="1"/>
  <c r="H209" i="1"/>
  <c r="E111" i="1"/>
  <c r="H111" i="1" s="1"/>
  <c r="H340" i="1"/>
  <c r="E436" i="1" s="1"/>
  <c r="L149" i="1"/>
  <c r="J419" i="1"/>
  <c r="H372" i="1"/>
  <c r="F436" i="1" s="1"/>
  <c r="AR419" i="1"/>
  <c r="H166" i="1"/>
  <c r="AI342" i="1"/>
  <c r="Y157" i="1"/>
  <c r="E117" i="1"/>
  <c r="H117" i="1" s="1"/>
  <c r="H70" i="1"/>
  <c r="AG149" i="1"/>
  <c r="AL387" i="1"/>
  <c r="N416" i="1"/>
  <c r="N419" i="1" s="1"/>
  <c r="AN355" i="1"/>
  <c r="AP165" i="1"/>
  <c r="AI419" i="1"/>
  <c r="AL342" i="1"/>
  <c r="Q157" i="1"/>
  <c r="P165" i="1"/>
  <c r="AM157" i="1"/>
  <c r="AJ420" i="1"/>
  <c r="AJ421" i="1" s="1"/>
  <c r="AJ169" i="1" s="1"/>
  <c r="T419" i="1"/>
  <c r="AE157" i="1"/>
  <c r="V342" i="1"/>
  <c r="AM165" i="1"/>
  <c r="AK165" i="1"/>
  <c r="AL416" i="1"/>
  <c r="AL419" i="1" s="1"/>
  <c r="U165" i="1"/>
  <c r="L157" i="1"/>
  <c r="J384" i="1"/>
  <c r="J387" i="1" s="1"/>
  <c r="AG165" i="1"/>
  <c r="AQ157" i="1"/>
  <c r="AJ387" i="1"/>
  <c r="AL157" i="1"/>
  <c r="AQ165" i="1"/>
  <c r="AS165" i="1"/>
  <c r="H274" i="1"/>
  <c r="AA342" i="1"/>
  <c r="AS342" i="1"/>
  <c r="M157" i="1"/>
  <c r="L165" i="1"/>
  <c r="AD352" i="1"/>
  <c r="AD355" i="1" s="1"/>
  <c r="AB384" i="1"/>
  <c r="AB387" i="1" s="1"/>
  <c r="AA416" i="1"/>
  <c r="AA419" i="1" s="1"/>
  <c r="AG416" i="1"/>
  <c r="AG419" i="1" s="1"/>
  <c r="Q165" i="1"/>
  <c r="AN384" i="1"/>
  <c r="AN387" i="1" s="1"/>
  <c r="H136" i="1"/>
  <c r="AD416" i="1"/>
  <c r="AD419" i="1" s="1"/>
  <c r="G288" i="1"/>
  <c r="G303" i="1" s="1"/>
  <c r="Z416" i="1"/>
  <c r="Z419" i="1" s="1"/>
  <c r="M165" i="1"/>
  <c r="AE165" i="1"/>
  <c r="S419" i="1"/>
  <c r="H418" i="1"/>
  <c r="U355" i="1"/>
  <c r="P157" i="1"/>
  <c r="O165" i="1"/>
  <c r="S165" i="1"/>
  <c r="Q352" i="1"/>
  <c r="Q355" i="1" s="1"/>
  <c r="AP342" i="1"/>
  <c r="AA352" i="1"/>
  <c r="AA355" i="1" s="1"/>
  <c r="AP352" i="1"/>
  <c r="AP355" i="1" s="1"/>
  <c r="AR342" i="1"/>
  <c r="H351" i="1"/>
  <c r="AR355" i="1"/>
  <c r="AJ342" i="1"/>
  <c r="AO157" i="1"/>
  <c r="AQ355" i="1"/>
  <c r="V352" i="1"/>
  <c r="V355" i="1" s="1"/>
  <c r="P416" i="1"/>
  <c r="P419" i="1" s="1"/>
  <c r="AC384" i="1"/>
  <c r="AC387" i="1" s="1"/>
  <c r="AC157" i="1"/>
  <c r="Z165" i="1"/>
  <c r="Y165" i="1"/>
  <c r="AI165" i="1"/>
  <c r="Z342" i="1"/>
  <c r="AC419" i="1"/>
  <c r="N342" i="1"/>
  <c r="AH355" i="1"/>
  <c r="AM352" i="1"/>
  <c r="AM355" i="1" s="1"/>
  <c r="AJ157" i="1"/>
  <c r="AI352" i="1"/>
  <c r="AI355" i="1" s="1"/>
  <c r="F286" i="1"/>
  <c r="AF421" i="1"/>
  <c r="AF169" i="1" s="1"/>
  <c r="AF165" i="1"/>
  <c r="AB157" i="1"/>
  <c r="AK352" i="1"/>
  <c r="AK355" i="1" s="1"/>
  <c r="K157" i="1"/>
  <c r="AO165" i="1"/>
  <c r="W157" i="1"/>
  <c r="L387" i="1"/>
  <c r="H415" i="1"/>
  <c r="H150" i="1"/>
  <c r="AI384" i="1"/>
  <c r="AI387" i="1" s="1"/>
  <c r="G101" i="1"/>
  <c r="G135" i="1"/>
  <c r="G100" i="1"/>
  <c r="H404" i="1"/>
  <c r="G436" i="1" s="1"/>
  <c r="J406" i="1"/>
  <c r="P387" i="1"/>
  <c r="H338" i="1"/>
  <c r="J342" i="1"/>
  <c r="E233" i="1"/>
  <c r="H233" i="1" s="1"/>
  <c r="AF157" i="1"/>
  <c r="AR165" i="1"/>
  <c r="V165" i="1"/>
  <c r="X352" i="1"/>
  <c r="X355" i="1" s="1"/>
  <c r="R157" i="1"/>
  <c r="AS419" i="1"/>
  <c r="H192" i="1"/>
  <c r="E198" i="1"/>
  <c r="H198" i="1" s="1"/>
  <c r="K342" i="1"/>
  <c r="H339" i="1"/>
  <c r="H123" i="1"/>
  <c r="E129" i="1"/>
  <c r="AE416" i="1"/>
  <c r="AE419" i="1" s="1"/>
  <c r="S352" i="1"/>
  <c r="S355" i="1" s="1"/>
  <c r="AO352" i="1"/>
  <c r="AO355" i="1" s="1"/>
  <c r="Q342" i="1"/>
  <c r="AP416" i="1"/>
  <c r="AP419" i="1" s="1"/>
  <c r="AF352" i="1"/>
  <c r="AF355" i="1" s="1"/>
  <c r="H158" i="1"/>
  <c r="AD342" i="1"/>
  <c r="L419" i="1"/>
  <c r="J355" i="1"/>
  <c r="AB355" i="1"/>
  <c r="AA384" i="1"/>
  <c r="AA387" i="1" s="1"/>
  <c r="AA165" i="1"/>
  <c r="N165" i="1"/>
  <c r="T165" i="1"/>
  <c r="X420" i="1"/>
  <c r="X421" i="1" s="1"/>
  <c r="X169" i="1" s="1"/>
  <c r="Y342" i="1"/>
  <c r="N387" i="1"/>
  <c r="Y419" i="1"/>
  <c r="Q416" i="1"/>
  <c r="Q419" i="1"/>
  <c r="X384" i="1"/>
  <c r="X387" i="1" s="1"/>
  <c r="H74" i="1"/>
  <c r="E76" i="1"/>
  <c r="AN165" i="1"/>
  <c r="R165" i="1"/>
  <c r="AE342" i="1"/>
  <c r="AQ342" i="1"/>
  <c r="F101" i="1"/>
  <c r="F135" i="1"/>
  <c r="F100" i="1"/>
  <c r="X165" i="1"/>
  <c r="AA157" i="1"/>
  <c r="AN342" i="1"/>
  <c r="R387" i="1"/>
  <c r="AS355" i="1"/>
  <c r="K165" i="1"/>
  <c r="AH165" i="1"/>
  <c r="Y355" i="1"/>
  <c r="AG352" i="1"/>
  <c r="AG355" i="1"/>
  <c r="AR388" i="1"/>
  <c r="H354" i="1"/>
  <c r="W342" i="1"/>
  <c r="W352" i="1"/>
  <c r="W355" i="1" s="1"/>
  <c r="H237" i="1"/>
  <c r="E239" i="1"/>
  <c r="L352" i="1"/>
  <c r="L355" i="1" s="1"/>
  <c r="H282" i="1"/>
  <c r="E284" i="1"/>
  <c r="AG157" i="1"/>
  <c r="T157" i="1"/>
  <c r="AB165" i="1"/>
  <c r="AL165" i="1"/>
  <c r="AJ165" i="1"/>
  <c r="AH342" i="1"/>
  <c r="R416" i="1"/>
  <c r="R419" i="1" s="1"/>
  <c r="G244" i="1"/>
  <c r="AK388" i="1" l="1"/>
  <c r="AK389" i="1" s="1"/>
  <c r="AK161" i="1" s="1"/>
  <c r="W420" i="1"/>
  <c r="W421" i="1" s="1"/>
  <c r="W169" i="1" s="1"/>
  <c r="R151" i="1"/>
  <c r="F243" i="1"/>
  <c r="AK167" i="1"/>
  <c r="AK420" i="1"/>
  <c r="V167" i="1"/>
  <c r="M420" i="1"/>
  <c r="M421" i="1" s="1"/>
  <c r="M169" i="1" s="1"/>
  <c r="M151" i="1"/>
  <c r="T388" i="1"/>
  <c r="T389" i="1" s="1"/>
  <c r="T161" i="1" s="1"/>
  <c r="U420" i="1"/>
  <c r="U421" i="1" s="1"/>
  <c r="U169" i="1" s="1"/>
  <c r="R357" i="1"/>
  <c r="R153" i="1" s="1"/>
  <c r="AL356" i="1"/>
  <c r="AL357" i="1" s="1"/>
  <c r="AL153" i="1" s="1"/>
  <c r="V388" i="1"/>
  <c r="V389" i="1" s="1"/>
  <c r="V161" i="1" s="1"/>
  <c r="AH159" i="1"/>
  <c r="AH388" i="1"/>
  <c r="AH389" i="1" s="1"/>
  <c r="AH161" i="1" s="1"/>
  <c r="AC359" i="1"/>
  <c r="AC152" i="1"/>
  <c r="AC357" i="1"/>
  <c r="AC153" i="1" s="1"/>
  <c r="M159" i="1"/>
  <c r="M388" i="1"/>
  <c r="M389" i="1" s="1"/>
  <c r="M161" i="1" s="1"/>
  <c r="AF159" i="1"/>
  <c r="W388" i="1"/>
  <c r="W389" i="1" s="1"/>
  <c r="W161" i="1" s="1"/>
  <c r="M357" i="1"/>
  <c r="M153" i="1" s="1"/>
  <c r="O159" i="1"/>
  <c r="AP388" i="1"/>
  <c r="AP389" i="1" s="1"/>
  <c r="AP161" i="1" s="1"/>
  <c r="S388" i="1"/>
  <c r="S389" i="1" s="1"/>
  <c r="S161" i="1" s="1"/>
  <c r="R149" i="1"/>
  <c r="AS388" i="1"/>
  <c r="AS389" i="1" s="1"/>
  <c r="AS161" i="1" s="1"/>
  <c r="K420" i="1"/>
  <c r="K421" i="1" s="1"/>
  <c r="K169" i="1" s="1"/>
  <c r="AG388" i="1"/>
  <c r="AG389" i="1" s="1"/>
  <c r="AG161" i="1" s="1"/>
  <c r="K388" i="1"/>
  <c r="K389" i="1" s="1"/>
  <c r="K161" i="1" s="1"/>
  <c r="AB420" i="1"/>
  <c r="AB421" i="1" s="1"/>
  <c r="AB169" i="1" s="1"/>
  <c r="AO420" i="1"/>
  <c r="AO168" i="1" s="1"/>
  <c r="Y388" i="1"/>
  <c r="Y389" i="1" s="1"/>
  <c r="Y161" i="1" s="1"/>
  <c r="F437" i="1"/>
  <c r="H416" i="1"/>
  <c r="AM420" i="1"/>
  <c r="AM421" i="1" s="1"/>
  <c r="AM169" i="1" s="1"/>
  <c r="AQ388" i="1"/>
  <c r="AQ389" i="1" s="1"/>
  <c r="AQ161" i="1" s="1"/>
  <c r="AB159" i="1"/>
  <c r="AB388" i="1"/>
  <c r="AC159" i="1"/>
  <c r="AC388" i="1"/>
  <c r="AD151" i="1"/>
  <c r="AD356" i="1"/>
  <c r="AD357" i="1" s="1"/>
  <c r="AD153" i="1" s="1"/>
  <c r="P167" i="1"/>
  <c r="P420" i="1"/>
  <c r="W151" i="1"/>
  <c r="W356" i="1"/>
  <c r="W357" i="1" s="1"/>
  <c r="W153" i="1" s="1"/>
  <c r="V151" i="1"/>
  <c r="V356" i="1"/>
  <c r="AA151" i="1"/>
  <c r="AA356" i="1"/>
  <c r="AF151" i="1"/>
  <c r="AF356" i="1"/>
  <c r="AM151" i="1"/>
  <c r="AM356" i="1"/>
  <c r="Z167" i="1"/>
  <c r="Z420" i="1"/>
  <c r="Q151" i="1"/>
  <c r="Q356" i="1"/>
  <c r="Q357" i="1" s="1"/>
  <c r="Q153" i="1" s="1"/>
  <c r="AK151" i="1"/>
  <c r="AK356" i="1"/>
  <c r="AO151" i="1"/>
  <c r="AO356" i="1"/>
  <c r="AN159" i="1"/>
  <c r="AN388" i="1"/>
  <c r="R167" i="1"/>
  <c r="R420" i="1"/>
  <c r="AA159" i="1"/>
  <c r="AA388" i="1"/>
  <c r="S151" i="1"/>
  <c r="S356" i="1"/>
  <c r="AG167" i="1"/>
  <c r="AG420" i="1"/>
  <c r="AL167" i="1"/>
  <c r="AL420" i="1"/>
  <c r="Q159" i="1"/>
  <c r="Q388" i="1"/>
  <c r="AI159" i="1"/>
  <c r="AI388" i="1"/>
  <c r="N151" i="1"/>
  <c r="N356" i="1"/>
  <c r="AH149" i="1"/>
  <c r="Y167" i="1"/>
  <c r="Y420" i="1"/>
  <c r="Q149" i="1"/>
  <c r="K357" i="1"/>
  <c r="K153" i="1" s="1"/>
  <c r="K149" i="1"/>
  <c r="AP167" i="1"/>
  <c r="AP420" i="1"/>
  <c r="Y160" i="1"/>
  <c r="AD167" i="1"/>
  <c r="AD420" i="1"/>
  <c r="W149" i="1"/>
  <c r="AS151" i="1"/>
  <c r="AS356" i="1"/>
  <c r="AS357" i="1" s="1"/>
  <c r="AS153" i="1" s="1"/>
  <c r="N159" i="1"/>
  <c r="N388" i="1"/>
  <c r="H352" i="1"/>
  <c r="AF391" i="1"/>
  <c r="AF160" i="1"/>
  <c r="AA167" i="1"/>
  <c r="AA420" i="1"/>
  <c r="O423" i="1"/>
  <c r="O168" i="1"/>
  <c r="R159" i="1"/>
  <c r="R388" i="1"/>
  <c r="H387" i="1"/>
  <c r="F137" i="1" s="1"/>
  <c r="J159" i="1"/>
  <c r="J388" i="1"/>
  <c r="Y149" i="1"/>
  <c r="AE167" i="1"/>
  <c r="AE420" i="1"/>
  <c r="U151" i="1"/>
  <c r="U356" i="1"/>
  <c r="AK423" i="1"/>
  <c r="AK168" i="1"/>
  <c r="T167" i="1"/>
  <c r="T420" i="1"/>
  <c r="X159" i="1"/>
  <c r="X388" i="1"/>
  <c r="AR391" i="1"/>
  <c r="AR160" i="1"/>
  <c r="AI167" i="1"/>
  <c r="AI420" i="1"/>
  <c r="AO391" i="1"/>
  <c r="AO160" i="1"/>
  <c r="N167" i="1"/>
  <c r="N420" i="1"/>
  <c r="K359" i="1"/>
  <c r="K152" i="1"/>
  <c r="AB151" i="1"/>
  <c r="AB356" i="1"/>
  <c r="AK421" i="1"/>
  <c r="AK169" i="1" s="1"/>
  <c r="H284" i="1"/>
  <c r="E285" i="1"/>
  <c r="E286" i="1" s="1"/>
  <c r="H286" i="1" s="1"/>
  <c r="AQ357" i="1"/>
  <c r="AQ153" i="1" s="1"/>
  <c r="AQ149" i="1"/>
  <c r="Z357" i="1"/>
  <c r="Z153" i="1" s="1"/>
  <c r="Z149" i="1"/>
  <c r="X151" i="1"/>
  <c r="X356" i="1"/>
  <c r="O391" i="1"/>
  <c r="O160" i="1"/>
  <c r="Y151" i="1"/>
  <c r="Y356" i="1"/>
  <c r="AS167" i="1"/>
  <c r="AS420" i="1"/>
  <c r="AR149" i="1"/>
  <c r="V391" i="1"/>
  <c r="V160" i="1"/>
  <c r="AE149" i="1"/>
  <c r="AE357" i="1"/>
  <c r="AE153" i="1" s="1"/>
  <c r="E78" i="1"/>
  <c r="H78" i="1" s="1"/>
  <c r="H76" i="1"/>
  <c r="H77" i="1" s="1"/>
  <c r="E77" i="1"/>
  <c r="AD149" i="1"/>
  <c r="AF389" i="1"/>
  <c r="AF161" i="1" s="1"/>
  <c r="F287" i="1"/>
  <c r="AL359" i="1"/>
  <c r="AL152" i="1"/>
  <c r="O421" i="1"/>
  <c r="O169" i="1" s="1"/>
  <c r="H384" i="1"/>
  <c r="AN151" i="1"/>
  <c r="AN356" i="1"/>
  <c r="AN357" i="1" s="1"/>
  <c r="AN153" i="1" s="1"/>
  <c r="H101" i="1"/>
  <c r="H100" i="1"/>
  <c r="R359" i="1"/>
  <c r="R152" i="1"/>
  <c r="AR389" i="1"/>
  <c r="AR161" i="1" s="1"/>
  <c r="Z359" i="1"/>
  <c r="Z152" i="1"/>
  <c r="AE391" i="1"/>
  <c r="AE160" i="1"/>
  <c r="AE359" i="1"/>
  <c r="AE152" i="1"/>
  <c r="H436" i="1"/>
  <c r="AR151" i="1"/>
  <c r="AR356" i="1"/>
  <c r="AN423" i="1"/>
  <c r="AN168" i="1"/>
  <c r="AJ359" i="1"/>
  <c r="AJ152" i="1"/>
  <c r="L151" i="1"/>
  <c r="L356" i="1"/>
  <c r="H129" i="1"/>
  <c r="AI151" i="1"/>
  <c r="AI356" i="1"/>
  <c r="AI357" i="1" s="1"/>
  <c r="AI153" i="1" s="1"/>
  <c r="AS149" i="1"/>
  <c r="AI149" i="1"/>
  <c r="K423" i="1"/>
  <c r="K168" i="1"/>
  <c r="V423" i="1"/>
  <c r="V168" i="1"/>
  <c r="AH423" i="1"/>
  <c r="AH168" i="1"/>
  <c r="AR167" i="1"/>
  <c r="AR420" i="1"/>
  <c r="S167" i="1"/>
  <c r="S420" i="1"/>
  <c r="T359" i="1"/>
  <c r="T152" i="1"/>
  <c r="H355" i="1"/>
  <c r="E137" i="1" s="1"/>
  <c r="J151" i="1"/>
  <c r="J356" i="1"/>
  <c r="J357" i="1" s="1"/>
  <c r="H135" i="1"/>
  <c r="E240" i="1"/>
  <c r="E241" i="1" s="1"/>
  <c r="H241" i="1" s="1"/>
  <c r="H239" i="1"/>
  <c r="H342" i="1"/>
  <c r="E437" i="1" s="1"/>
  <c r="J149" i="1"/>
  <c r="AA357" i="1"/>
  <c r="AA153" i="1" s="1"/>
  <c r="AA149" i="1"/>
  <c r="H419" i="1"/>
  <c r="G137" i="1" s="1"/>
  <c r="J167" i="1"/>
  <c r="J420" i="1"/>
  <c r="J421" i="1" s="1"/>
  <c r="H157" i="1"/>
  <c r="O389" i="1"/>
  <c r="O161" i="1" s="1"/>
  <c r="U391" i="1"/>
  <c r="U160" i="1"/>
  <c r="O359" i="1"/>
  <c r="O152" i="1"/>
  <c r="AF423" i="1"/>
  <c r="AF168" i="1"/>
  <c r="H406" i="1"/>
  <c r="J165" i="1"/>
  <c r="H165" i="1" s="1"/>
  <c r="AP149" i="1"/>
  <c r="AL149" i="1"/>
  <c r="AN149" i="1"/>
  <c r="AJ149" i="1"/>
  <c r="AJ357" i="1"/>
  <c r="AJ153" i="1" s="1"/>
  <c r="AC167" i="1"/>
  <c r="AC420" i="1"/>
  <c r="AS160" i="1"/>
  <c r="AS391" i="1"/>
  <c r="AM391" i="1"/>
  <c r="AM160" i="1"/>
  <c r="W423" i="1"/>
  <c r="W168" i="1"/>
  <c r="G258" i="1"/>
  <c r="G245" i="1"/>
  <c r="G246" i="1" s="1"/>
  <c r="Q167" i="1"/>
  <c r="Q420" i="1"/>
  <c r="L159" i="1"/>
  <c r="L388" i="1"/>
  <c r="AP151" i="1"/>
  <c r="AP356" i="1"/>
  <c r="AP357" i="1" s="1"/>
  <c r="AP153" i="1" s="1"/>
  <c r="AJ159" i="1"/>
  <c r="AJ388" i="1"/>
  <c r="V149" i="1"/>
  <c r="G289" i="1"/>
  <c r="G304" i="1" s="1"/>
  <c r="AL159" i="1"/>
  <c r="AL388" i="1"/>
  <c r="P359" i="1"/>
  <c r="P152" i="1"/>
  <c r="AQ423" i="1"/>
  <c r="AQ168" i="1"/>
  <c r="AH151" i="1"/>
  <c r="AH356" i="1"/>
  <c r="X423" i="1"/>
  <c r="X168" i="1"/>
  <c r="N149" i="1"/>
  <c r="AJ423" i="1"/>
  <c r="AJ168" i="1"/>
  <c r="AD391" i="1"/>
  <c r="AD160" i="1"/>
  <c r="AG151" i="1"/>
  <c r="AG356" i="1"/>
  <c r="L167" i="1"/>
  <c r="L420" i="1"/>
  <c r="M423" i="1"/>
  <c r="M168" i="1"/>
  <c r="P159" i="1"/>
  <c r="P388" i="1"/>
  <c r="AQ151" i="1"/>
  <c r="AQ356" i="1"/>
  <c r="K391" i="1"/>
  <c r="M359" i="1"/>
  <c r="M152" i="1"/>
  <c r="T357" i="1"/>
  <c r="T153" i="1" s="1"/>
  <c r="Z391" i="1"/>
  <c r="Z160" i="1"/>
  <c r="Y391" i="1" l="1"/>
  <c r="W160" i="1"/>
  <c r="M391" i="1"/>
  <c r="T160" i="1"/>
  <c r="AK160" i="1"/>
  <c r="AO421" i="1"/>
  <c r="AO169" i="1" s="1"/>
  <c r="AO423" i="1"/>
  <c r="T391" i="1"/>
  <c r="AK391" i="1"/>
  <c r="AG160" i="1"/>
  <c r="K160" i="1"/>
  <c r="AG391" i="1"/>
  <c r="E242" i="1"/>
  <c r="H242" i="1" s="1"/>
  <c r="F257" i="1"/>
  <c r="F244" i="1"/>
  <c r="F258" i="1" s="1"/>
  <c r="S391" i="1"/>
  <c r="AQ160" i="1"/>
  <c r="W391" i="1"/>
  <c r="AH391" i="1"/>
  <c r="U168" i="1"/>
  <c r="U423" i="1"/>
  <c r="AB423" i="1"/>
  <c r="AH160" i="1"/>
  <c r="S160" i="1"/>
  <c r="AQ391" i="1"/>
  <c r="M160" i="1"/>
  <c r="AP391" i="1"/>
  <c r="AB168" i="1"/>
  <c r="AP160" i="1"/>
  <c r="E440" i="1"/>
  <c r="AM168" i="1"/>
  <c r="AM423" i="1"/>
  <c r="J153" i="1"/>
  <c r="Q423" i="1"/>
  <c r="Q168" i="1"/>
  <c r="Q421" i="1"/>
  <c r="Q169" i="1" s="1"/>
  <c r="AR359" i="1"/>
  <c r="AR152" i="1"/>
  <c r="R391" i="1"/>
  <c r="R160" i="1"/>
  <c r="R389" i="1"/>
  <c r="R161" i="1" s="1"/>
  <c r="AP423" i="1"/>
  <c r="AP168" i="1"/>
  <c r="AP421" i="1"/>
  <c r="AP169" i="1" s="1"/>
  <c r="V359" i="1"/>
  <c r="V152" i="1"/>
  <c r="AR357" i="1"/>
  <c r="AR153" i="1" s="1"/>
  <c r="AI423" i="1"/>
  <c r="AI168" i="1"/>
  <c r="AI421" i="1"/>
  <c r="AI169" i="1" s="1"/>
  <c r="AH359" i="1"/>
  <c r="AH152" i="1"/>
  <c r="AC423" i="1"/>
  <c r="AC168" i="1"/>
  <c r="AC421" i="1"/>
  <c r="AC169" i="1" s="1"/>
  <c r="U152" i="1"/>
  <c r="U359" i="1"/>
  <c r="U357" i="1"/>
  <c r="U153" i="1" s="1"/>
  <c r="AA391" i="1"/>
  <c r="AA160" i="1"/>
  <c r="AA389" i="1"/>
  <c r="AA161" i="1" s="1"/>
  <c r="AS423" i="1"/>
  <c r="AS168" i="1"/>
  <c r="AS421" i="1"/>
  <c r="AS169" i="1" s="1"/>
  <c r="AE423" i="1"/>
  <c r="AE168" i="1"/>
  <c r="AE421" i="1"/>
  <c r="AE169" i="1" s="1"/>
  <c r="AA423" i="1"/>
  <c r="AA168" i="1"/>
  <c r="AA421" i="1"/>
  <c r="AA169" i="1" s="1"/>
  <c r="AD423" i="1"/>
  <c r="AD168" i="1"/>
  <c r="AD421" i="1"/>
  <c r="AD169" i="1" s="1"/>
  <c r="P168" i="1"/>
  <c r="P423" i="1"/>
  <c r="P421" i="1"/>
  <c r="P169" i="1" s="1"/>
  <c r="AJ160" i="1"/>
  <c r="AJ391" i="1"/>
  <c r="AJ389" i="1"/>
  <c r="AJ161" i="1" s="1"/>
  <c r="AN359" i="1"/>
  <c r="AN152" i="1"/>
  <c r="AB359" i="1"/>
  <c r="AB152" i="1"/>
  <c r="AB357" i="1"/>
  <c r="AB153" i="1" s="1"/>
  <c r="AD359" i="1"/>
  <c r="AD152" i="1"/>
  <c r="AQ359" i="1"/>
  <c r="AQ152" i="1"/>
  <c r="AP359" i="1"/>
  <c r="AP152" i="1"/>
  <c r="Y152" i="1"/>
  <c r="Y359" i="1"/>
  <c r="E300" i="1"/>
  <c r="H300" i="1" s="1"/>
  <c r="H285" i="1"/>
  <c r="Y357" i="1"/>
  <c r="Y153" i="1" s="1"/>
  <c r="W359" i="1"/>
  <c r="W152" i="1"/>
  <c r="AG359" i="1"/>
  <c r="AG152" i="1"/>
  <c r="AG357" i="1"/>
  <c r="AG153" i="1" s="1"/>
  <c r="R423" i="1"/>
  <c r="R168" i="1"/>
  <c r="R421" i="1"/>
  <c r="R169" i="1" s="1"/>
  <c r="AM359" i="1"/>
  <c r="AM152" i="1"/>
  <c r="AM357" i="1"/>
  <c r="AM153" i="1" s="1"/>
  <c r="G290" i="1"/>
  <c r="G291" i="1" s="1"/>
  <c r="J152" i="1"/>
  <c r="H356" i="1"/>
  <c r="E138" i="1" s="1"/>
  <c r="J359" i="1"/>
  <c r="X391" i="1"/>
  <c r="X160" i="1"/>
  <c r="X389" i="1"/>
  <c r="X161" i="1" s="1"/>
  <c r="Y423" i="1"/>
  <c r="Y168" i="1"/>
  <c r="Y421" i="1"/>
  <c r="Y169" i="1" s="1"/>
  <c r="AL423" i="1"/>
  <c r="AL168" i="1"/>
  <c r="AL421" i="1"/>
  <c r="AL169" i="1" s="1"/>
  <c r="AO359" i="1"/>
  <c r="AO152" i="1"/>
  <c r="AO357" i="1"/>
  <c r="AO153" i="1" s="1"/>
  <c r="AF152" i="1"/>
  <c r="AF359" i="1"/>
  <c r="AF357" i="1"/>
  <c r="AF153" i="1" s="1"/>
  <c r="AC391" i="1"/>
  <c r="AC160" i="1"/>
  <c r="AC389" i="1"/>
  <c r="AC161" i="1" s="1"/>
  <c r="S359" i="1"/>
  <c r="S152" i="1"/>
  <c r="S357" i="1"/>
  <c r="S153" i="1" s="1"/>
  <c r="L423" i="1"/>
  <c r="L168" i="1"/>
  <c r="L421" i="1"/>
  <c r="L169" i="1" s="1"/>
  <c r="H240" i="1"/>
  <c r="E254" i="1"/>
  <c r="H254" i="1" s="1"/>
  <c r="Z423" i="1"/>
  <c r="Z168" i="1"/>
  <c r="Z421" i="1"/>
  <c r="Z169" i="1" s="1"/>
  <c r="H149" i="1"/>
  <c r="AN391" i="1"/>
  <c r="AN160" i="1"/>
  <c r="AN389" i="1"/>
  <c r="AN161" i="1" s="1"/>
  <c r="P391" i="1"/>
  <c r="P160" i="1"/>
  <c r="P389" i="1"/>
  <c r="P161" i="1" s="1"/>
  <c r="L391" i="1"/>
  <c r="L160" i="1"/>
  <c r="L389" i="1"/>
  <c r="L161" i="1" s="1"/>
  <c r="H151" i="1"/>
  <c r="N423" i="1"/>
  <c r="N168" i="1"/>
  <c r="N421" i="1"/>
  <c r="N169" i="1" s="1"/>
  <c r="J391" i="1"/>
  <c r="H388" i="1"/>
  <c r="F138" i="1" s="1"/>
  <c r="J160" i="1"/>
  <c r="J389" i="1"/>
  <c r="N391" i="1"/>
  <c r="N160" i="1"/>
  <c r="N389" i="1"/>
  <c r="N161" i="1" s="1"/>
  <c r="N359" i="1"/>
  <c r="N152" i="1"/>
  <c r="G247" i="1"/>
  <c r="G259" i="1" s="1"/>
  <c r="G260" i="1" s="1"/>
  <c r="G248" i="1"/>
  <c r="G256" i="1" s="1"/>
  <c r="L359" i="1"/>
  <c r="L152" i="1"/>
  <c r="L357" i="1"/>
  <c r="L153" i="1" s="1"/>
  <c r="G255" i="1"/>
  <c r="AR423" i="1"/>
  <c r="AR168" i="1"/>
  <c r="AR421" i="1"/>
  <c r="AR169" i="1" s="1"/>
  <c r="AI391" i="1"/>
  <c r="AI160" i="1"/>
  <c r="AI389" i="1"/>
  <c r="AI161" i="1" s="1"/>
  <c r="Q391" i="1"/>
  <c r="Q160" i="1"/>
  <c r="Q389" i="1"/>
  <c r="Q161" i="1" s="1"/>
  <c r="N357" i="1"/>
  <c r="N153" i="1" s="1"/>
  <c r="J169" i="1"/>
  <c r="H420" i="1"/>
  <c r="G138" i="1" s="1"/>
  <c r="J423" i="1"/>
  <c r="J168" i="1"/>
  <c r="H137" i="1"/>
  <c r="AI359" i="1"/>
  <c r="AI152" i="1"/>
  <c r="T423" i="1"/>
  <c r="T168" i="1"/>
  <c r="T421" i="1"/>
  <c r="T169" i="1" s="1"/>
  <c r="H159" i="1"/>
  <c r="AG423" i="1"/>
  <c r="AG168" i="1"/>
  <c r="AG421" i="1"/>
  <c r="AG169" i="1" s="1"/>
  <c r="AK359" i="1"/>
  <c r="AK152" i="1"/>
  <c r="AK357" i="1"/>
  <c r="AK153" i="1" s="1"/>
  <c r="AA359" i="1"/>
  <c r="AA152" i="1"/>
  <c r="AB391" i="1"/>
  <c r="AB160" i="1"/>
  <c r="AB389" i="1"/>
  <c r="AB161" i="1" s="1"/>
  <c r="S423" i="1"/>
  <c r="S168" i="1"/>
  <c r="S421" i="1"/>
  <c r="S169" i="1" s="1"/>
  <c r="Q359" i="1"/>
  <c r="Q152" i="1"/>
  <c r="V357" i="1"/>
  <c r="V153" i="1" s="1"/>
  <c r="AL391" i="1"/>
  <c r="AL160" i="1"/>
  <c r="AL389" i="1"/>
  <c r="AL161" i="1" s="1"/>
  <c r="G440" i="1"/>
  <c r="H440" i="1" s="1"/>
  <c r="G437" i="1"/>
  <c r="H437" i="1" s="1"/>
  <c r="H167" i="1"/>
  <c r="F288" i="1"/>
  <c r="X359" i="1"/>
  <c r="X152" i="1"/>
  <c r="X357" i="1"/>
  <c r="X153" i="1" s="1"/>
  <c r="E287" i="1"/>
  <c r="E288" i="1" s="1"/>
  <c r="AS359" i="1"/>
  <c r="AS152" i="1"/>
  <c r="AH357" i="1"/>
  <c r="AH153" i="1" s="1"/>
  <c r="E243" i="1" l="1"/>
  <c r="E244" i="1" s="1"/>
  <c r="F245" i="1"/>
  <c r="F139" i="1" a="1"/>
  <c r="F139" i="1" s="1"/>
  <c r="E139" i="1" a="1"/>
  <c r="E139" i="1" s="1"/>
  <c r="G139" i="1" a="1"/>
  <c r="G139" i="1" s="1"/>
  <c r="G140" i="1"/>
  <c r="G278" i="1"/>
  <c r="G264" i="1"/>
  <c r="G265" i="1" s="1"/>
  <c r="H421" i="1"/>
  <c r="J161" i="1"/>
  <c r="H389" i="1"/>
  <c r="F140" i="1"/>
  <c r="G292" i="1"/>
  <c r="G305" i="1" s="1"/>
  <c r="G306" i="1" s="1"/>
  <c r="H160" i="1"/>
  <c r="E303" i="1"/>
  <c r="H288" i="1"/>
  <c r="H287" i="1"/>
  <c r="H359" i="1"/>
  <c r="H391" i="1"/>
  <c r="H138" i="1"/>
  <c r="AM154" i="1"/>
  <c r="AA154" i="1"/>
  <c r="O154" i="1"/>
  <c r="AL154" i="1"/>
  <c r="Z154" i="1"/>
  <c r="N154" i="1"/>
  <c r="AK154" i="1"/>
  <c r="Y154" i="1"/>
  <c r="M154" i="1"/>
  <c r="AJ154" i="1"/>
  <c r="X154" i="1"/>
  <c r="L154" i="1"/>
  <c r="AN154" i="1"/>
  <c r="T154" i="1"/>
  <c r="AI154" i="1"/>
  <c r="S154" i="1"/>
  <c r="AH154" i="1"/>
  <c r="R154" i="1"/>
  <c r="AG154" i="1"/>
  <c r="Q154" i="1"/>
  <c r="AF154" i="1"/>
  <c r="P154" i="1"/>
  <c r="AR154" i="1"/>
  <c r="AB154" i="1"/>
  <c r="AQ154" i="1"/>
  <c r="W154" i="1"/>
  <c r="AD154" i="1"/>
  <c r="AC154" i="1"/>
  <c r="V154" i="1"/>
  <c r="U154" i="1"/>
  <c r="AP154" i="1"/>
  <c r="K154" i="1"/>
  <c r="H153" i="1"/>
  <c r="J154" i="1"/>
  <c r="AS154" i="1"/>
  <c r="AO154" i="1"/>
  <c r="AE154" i="1"/>
  <c r="E140" i="1"/>
  <c r="H168" i="1"/>
  <c r="E257" i="1"/>
  <c r="H357" i="1"/>
  <c r="AO170" i="1"/>
  <c r="AC170" i="1"/>
  <c r="Q170" i="1"/>
  <c r="AN170" i="1"/>
  <c r="AB170" i="1"/>
  <c r="P170" i="1"/>
  <c r="AM170" i="1"/>
  <c r="AA170" i="1"/>
  <c r="O170" i="1"/>
  <c r="AL170" i="1"/>
  <c r="Z170" i="1"/>
  <c r="N170" i="1"/>
  <c r="AD170" i="1"/>
  <c r="J170" i="1"/>
  <c r="AS170" i="1"/>
  <c r="Y170" i="1"/>
  <c r="H169" i="1"/>
  <c r="AR170" i="1"/>
  <c r="X170" i="1"/>
  <c r="AQ170" i="1"/>
  <c r="W170" i="1"/>
  <c r="AP170" i="1"/>
  <c r="V170" i="1"/>
  <c r="AH170" i="1"/>
  <c r="R170" i="1"/>
  <c r="AG170" i="1"/>
  <c r="M170" i="1"/>
  <c r="T170" i="1"/>
  <c r="S170" i="1"/>
  <c r="L170" i="1"/>
  <c r="K170" i="1"/>
  <c r="AF170" i="1"/>
  <c r="AK170" i="1"/>
  <c r="AJ170" i="1"/>
  <c r="AI170" i="1"/>
  <c r="AE170" i="1"/>
  <c r="U170" i="1"/>
  <c r="H152" i="1"/>
  <c r="G301" i="1"/>
  <c r="F303" i="1"/>
  <c r="F289" i="1"/>
  <c r="F290" i="1" s="1"/>
  <c r="H423" i="1"/>
  <c r="E289" i="1"/>
  <c r="H244" i="1" l="1"/>
  <c r="E258" i="1"/>
  <c r="H258" i="1" s="1"/>
  <c r="E246" i="1"/>
  <c r="E245" i="1"/>
  <c r="H243" i="1"/>
  <c r="G293" i="1"/>
  <c r="G302" i="1" s="1"/>
  <c r="F246" i="1"/>
  <c r="F255" i="1"/>
  <c r="H140" i="1"/>
  <c r="H303" i="1"/>
  <c r="H257" i="1"/>
  <c r="E304" i="1"/>
  <c r="H289" i="1"/>
  <c r="AH162" i="1"/>
  <c r="V162" i="1"/>
  <c r="J162" i="1"/>
  <c r="AS162" i="1"/>
  <c r="AG162" i="1"/>
  <c r="U162" i="1"/>
  <c r="H161" i="1"/>
  <c r="AR162" i="1"/>
  <c r="AF162" i="1"/>
  <c r="T162" i="1"/>
  <c r="AQ162" i="1"/>
  <c r="AE162" i="1"/>
  <c r="S162" i="1"/>
  <c r="AI162" i="1"/>
  <c r="O162" i="1"/>
  <c r="AD162" i="1"/>
  <c r="N162" i="1"/>
  <c r="AC162" i="1"/>
  <c r="M162" i="1"/>
  <c r="AB162" i="1"/>
  <c r="L162" i="1"/>
  <c r="AA162" i="1"/>
  <c r="K162" i="1"/>
  <c r="AM162" i="1"/>
  <c r="W162" i="1"/>
  <c r="AL162" i="1"/>
  <c r="R162" i="1"/>
  <c r="Y162" i="1"/>
  <c r="AK162" i="1"/>
  <c r="X162" i="1"/>
  <c r="Q162" i="1"/>
  <c r="P162" i="1"/>
  <c r="AP162" i="1"/>
  <c r="AO162" i="1"/>
  <c r="AN162" i="1"/>
  <c r="AJ162" i="1"/>
  <c r="Z162" i="1"/>
  <c r="E130" i="1"/>
  <c r="P361" i="1"/>
  <c r="M361" i="1"/>
  <c r="AC361" i="1"/>
  <c r="AM361" i="1"/>
  <c r="O361" i="1"/>
  <c r="AG361" i="1"/>
  <c r="X361" i="1"/>
  <c r="U361" i="1"/>
  <c r="AB361" i="1"/>
  <c r="AF361" i="1"/>
  <c r="AK361" i="1"/>
  <c r="AO361" i="1"/>
  <c r="S361" i="1"/>
  <c r="R361" i="1"/>
  <c r="T361" i="1"/>
  <c r="L361" i="1"/>
  <c r="N361" i="1"/>
  <c r="AR361" i="1"/>
  <c r="AJ361" i="1"/>
  <c r="AE361" i="1"/>
  <c r="AS361" i="1"/>
  <c r="J361" i="1"/>
  <c r="W361" i="1"/>
  <c r="AA361" i="1"/>
  <c r="AN361" i="1"/>
  <c r="Y361" i="1"/>
  <c r="K361" i="1"/>
  <c r="AI361" i="1"/>
  <c r="AH361" i="1"/>
  <c r="AP361" i="1"/>
  <c r="AQ361" i="1"/>
  <c r="Q361" i="1"/>
  <c r="AL361" i="1"/>
  <c r="V361" i="1"/>
  <c r="Z361" i="1"/>
  <c r="AD361" i="1"/>
  <c r="G266" i="1"/>
  <c r="G113" i="1" s="1"/>
  <c r="G325" i="1"/>
  <c r="G310" i="1"/>
  <c r="E290" i="1"/>
  <c r="E291" i="1" s="1"/>
  <c r="F301" i="1"/>
  <c r="E247" i="1"/>
  <c r="H246" i="1"/>
  <c r="G112" i="1"/>
  <c r="G267" i="1"/>
  <c r="G114" i="1" s="1"/>
  <c r="G268" i="1"/>
  <c r="G115" i="1" s="1"/>
  <c r="G441" i="1"/>
  <c r="F130" i="1"/>
  <c r="AE393" i="1"/>
  <c r="AM393" i="1"/>
  <c r="AF393" i="1"/>
  <c r="AD393" i="1"/>
  <c r="O393" i="1"/>
  <c r="AJ393" i="1"/>
  <c r="V393" i="1"/>
  <c r="AP393" i="1"/>
  <c r="Q393" i="1"/>
  <c r="P393" i="1"/>
  <c r="L393" i="1"/>
  <c r="R393" i="1"/>
  <c r="AA393" i="1"/>
  <c r="AC393" i="1"/>
  <c r="AO393" i="1"/>
  <c r="T393" i="1"/>
  <c r="AL393" i="1"/>
  <c r="AR393" i="1"/>
  <c r="S393" i="1"/>
  <c r="U393" i="1"/>
  <c r="Y393" i="1"/>
  <c r="M393" i="1"/>
  <c r="Z393" i="1"/>
  <c r="K393" i="1"/>
  <c r="AS393" i="1"/>
  <c r="AK393" i="1"/>
  <c r="AN393" i="1"/>
  <c r="N393" i="1"/>
  <c r="AH393" i="1"/>
  <c r="AI393" i="1"/>
  <c r="X393" i="1"/>
  <c r="AB393" i="1"/>
  <c r="AG393" i="1"/>
  <c r="J393" i="1"/>
  <c r="AQ393" i="1"/>
  <c r="W393" i="1"/>
  <c r="G130" i="1"/>
  <c r="Y425" i="1"/>
  <c r="AJ425" i="1"/>
  <c r="AD425" i="1"/>
  <c r="M425" i="1"/>
  <c r="AL425" i="1"/>
  <c r="V425" i="1"/>
  <c r="AA425" i="1"/>
  <c r="X425" i="1"/>
  <c r="W425" i="1"/>
  <c r="AM425" i="1"/>
  <c r="N425" i="1"/>
  <c r="AH425" i="1"/>
  <c r="P425" i="1"/>
  <c r="O425" i="1"/>
  <c r="AI425" i="1"/>
  <c r="AB425" i="1"/>
  <c r="AE425" i="1"/>
  <c r="AQ425" i="1"/>
  <c r="AR425" i="1"/>
  <c r="R425" i="1"/>
  <c r="Q425" i="1"/>
  <c r="AP425" i="1"/>
  <c r="AK425" i="1"/>
  <c r="T425" i="1"/>
  <c r="S425" i="1"/>
  <c r="AF425" i="1"/>
  <c r="AO425" i="1"/>
  <c r="AN425" i="1"/>
  <c r="AG425" i="1"/>
  <c r="AS425" i="1"/>
  <c r="L425" i="1"/>
  <c r="Z425" i="1"/>
  <c r="AC425" i="1"/>
  <c r="U425" i="1"/>
  <c r="K425" i="1"/>
  <c r="J425" i="1"/>
  <c r="F304" i="1"/>
  <c r="F291" i="1"/>
  <c r="E255" i="1"/>
  <c r="H255" i="1" s="1"/>
  <c r="H245" i="1"/>
  <c r="G311" i="1" l="1"/>
  <c r="G312" i="1" s="1"/>
  <c r="G119" i="1" s="1"/>
  <c r="G269" i="1"/>
  <c r="F247" i="1"/>
  <c r="F259" i="1" s="1"/>
  <c r="F260" i="1" s="1"/>
  <c r="F248" i="1"/>
  <c r="F256" i="1" s="1"/>
  <c r="G133" i="1" a="1"/>
  <c r="G133" i="1" s="1"/>
  <c r="F133" i="1" a="1"/>
  <c r="F133" i="1" s="1"/>
  <c r="H130" i="1"/>
  <c r="E133" i="1" a="1"/>
  <c r="E133" i="1" s="1"/>
  <c r="G118" i="1"/>
  <c r="G314" i="1"/>
  <c r="G121" i="1" s="1"/>
  <c r="G313" i="1"/>
  <c r="G120" i="1" s="1"/>
  <c r="E259" i="1"/>
  <c r="E248" i="1"/>
  <c r="H361" i="1"/>
  <c r="E132" i="1"/>
  <c r="H304" i="1"/>
  <c r="H393" i="1"/>
  <c r="F132" i="1"/>
  <c r="H425" i="1"/>
  <c r="G132" i="1"/>
  <c r="E292" i="1"/>
  <c r="E293" i="1" s="1"/>
  <c r="H291" i="1"/>
  <c r="E301" i="1"/>
  <c r="H301" i="1" s="1"/>
  <c r="H290" i="1"/>
  <c r="F292" i="1"/>
  <c r="F305" i="1" s="1"/>
  <c r="F306" i="1" s="1"/>
  <c r="F293" i="1"/>
  <c r="G432" i="1"/>
  <c r="H247" i="1" l="1"/>
  <c r="F278" i="1"/>
  <c r="F264" i="1"/>
  <c r="E428" i="1"/>
  <c r="G428" i="1"/>
  <c r="G429" i="1" s="1"/>
  <c r="G131" i="1" s="1"/>
  <c r="F428" i="1"/>
  <c r="F429" i="1" s="1"/>
  <c r="F131" i="1" s="1"/>
  <c r="F310" i="1"/>
  <c r="F311" i="1" s="1"/>
  <c r="F325" i="1"/>
  <c r="H293" i="1"/>
  <c r="E302" i="1"/>
  <c r="E256" i="1"/>
  <c r="H256" i="1" s="1"/>
  <c r="H248" i="1"/>
  <c r="E305" i="1"/>
  <c r="H292" i="1"/>
  <c r="F302" i="1"/>
  <c r="H259" i="1"/>
  <c r="E260" i="1"/>
  <c r="F265" i="1" l="1"/>
  <c r="F266" i="1"/>
  <c r="F113" i="1" s="1"/>
  <c r="F441" i="1"/>
  <c r="F112" i="1"/>
  <c r="F268" i="1"/>
  <c r="F115" i="1" s="1"/>
  <c r="F267" i="1"/>
  <c r="F114" i="1" s="1"/>
  <c r="H428" i="1"/>
  <c r="E429" i="1"/>
  <c r="H305" i="1"/>
  <c r="E306" i="1"/>
  <c r="H302" i="1"/>
  <c r="E278" i="1"/>
  <c r="H260" i="1"/>
  <c r="E264" i="1"/>
  <c r="E265" i="1" s="1"/>
  <c r="H265" i="1" s="1"/>
  <c r="F118" i="1"/>
  <c r="F314" i="1"/>
  <c r="F121" i="1" s="1"/>
  <c r="F313" i="1"/>
  <c r="F120" i="1" s="1"/>
  <c r="F432" i="1"/>
  <c r="F312" i="1"/>
  <c r="F119" i="1" s="1"/>
  <c r="F269" i="1"/>
  <c r="E131" i="1" l="1"/>
  <c r="H131" i="1" s="1"/>
  <c r="H429" i="1"/>
  <c r="H264" i="1"/>
  <c r="E266" i="1"/>
  <c r="H278" i="1"/>
  <c r="H267" i="1" s="1"/>
  <c r="H114" i="1" s="1"/>
  <c r="E112" i="1"/>
  <c r="H112" i="1" s="1"/>
  <c r="E267" i="1"/>
  <c r="E114" i="1" s="1"/>
  <c r="E268" i="1"/>
  <c r="E115" i="1" s="1"/>
  <c r="E441" i="1"/>
  <c r="H441" i="1" s="1"/>
  <c r="E310" i="1"/>
  <c r="E311" i="1" s="1"/>
  <c r="H311" i="1" s="1"/>
  <c r="E325" i="1"/>
  <c r="H306" i="1"/>
  <c r="H325" i="1" l="1"/>
  <c r="H313" i="1" s="1"/>
  <c r="H120" i="1" s="1"/>
  <c r="E118" i="1"/>
  <c r="H118" i="1" s="1"/>
  <c r="E314" i="1"/>
  <c r="E121" i="1" s="1"/>
  <c r="E313" i="1"/>
  <c r="E120" i="1" s="1"/>
  <c r="E432" i="1"/>
  <c r="H432" i="1" s="1"/>
  <c r="H442" i="1" s="1"/>
  <c r="H3" i="1" s="1"/>
  <c r="E312" i="1"/>
  <c r="H310" i="1"/>
  <c r="H266" i="1"/>
  <c r="E113" i="1"/>
  <c r="H113" i="1" s="1"/>
  <c r="E269" i="1"/>
  <c r="H269" i="1" s="1"/>
  <c r="E119" i="1" l="1"/>
  <c r="H119" i="1" s="1"/>
  <c r="H3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<sst xmlns="http://schemas.openxmlformats.org/spreadsheetml/2006/main" count="1298" uniqueCount="558">
  <si>
    <t>HU wind projects</t>
  </si>
  <si>
    <t>Master check (0 = OK; checks at the end of the detail)</t>
  </si>
  <si>
    <t>flag</t>
  </si>
  <si>
    <t>x</t>
  </si>
  <si>
    <t>Key inputs: the bids</t>
  </si>
  <si>
    <t>Bora</t>
  </si>
  <si>
    <t>Iváncsa</t>
  </si>
  <si>
    <t>Dunaújváros</t>
  </si>
  <si>
    <t>Total</t>
  </si>
  <si>
    <t>Net connection capacity</t>
  </si>
  <si>
    <t>MVA</t>
  </si>
  <si>
    <t>Overbuild (ÖSZ-3)</t>
  </si>
  <si>
    <t>%</t>
  </si>
  <si>
    <t>BESS power, share of MVA (ÖSZ-4)</t>
  </si>
  <si>
    <t>BESS duration</t>
  </si>
  <si>
    <t>h</t>
  </si>
  <si>
    <t>Wind built below the bid</t>
  </si>
  <si>
    <t>Municipal one-off (ÖSZ-1), at COD</t>
  </si>
  <si>
    <t>EUR k/MVA</t>
  </si>
  <si>
    <t>Community contribution (ÖSZ-2)</t>
  </si>
  <si>
    <t>EUR/MWh</t>
  </si>
  <si>
    <t>Partial award accepted (ÖSZ-5)</t>
  </si>
  <si>
    <t>Performance security multiple (ÖSZ-6)</t>
  </si>
  <si>
    <t>Brownfield site (ÖSZ-7)</t>
  </si>
  <si>
    <t>Shared connection (ÖSZ-8)</t>
  </si>
  <si>
    <t>Turbine route (EU or CN; EU scores ÖSZ-9)</t>
  </si>
  <si>
    <t>text</t>
  </si>
  <si>
    <t>CN</t>
  </si>
  <si>
    <t>RtB premium</t>
  </si>
  <si>
    <t>FEP share of distributable proceeds</t>
  </si>
  <si>
    <t>Developer success fee (DSA) on</t>
  </si>
  <si>
    <t>JV with a developer (1 = yes; claims and DSA apply)</t>
  </si>
  <si>
    <t>Net P50 hours (project wind study)</t>
  </si>
  <si>
    <t>h/yr</t>
  </si>
  <si>
    <t>Case: turbine price, PPA, yield, O&amp;M</t>
  </si>
  <si>
    <t>Base</t>
  </si>
  <si>
    <t>Low</t>
  </si>
  <si>
    <t>High</t>
  </si>
  <si>
    <t>Live</t>
  </si>
  <si>
    <t>Case selected (Base, Low or High)</t>
  </si>
  <si>
    <t>case</t>
  </si>
  <si>
    <t>Turbine supply incl. transport, EU route</t>
  </si>
  <si>
    <t>EUR k/MW</t>
  </si>
  <si>
    <t>Bora Dashboard H8 / Inputs G162</t>
  </si>
  <si>
    <t>Turbine supply incl. transport, CN route</t>
  </si>
  <si>
    <t>Bora Inputs H162</t>
  </si>
  <si>
    <t>PPA price in the COD year</t>
  </si>
  <si>
    <t>Bora Dashboard H9</t>
  </si>
  <si>
    <t>Bora Dashboard H10</t>
  </si>
  <si>
    <t>O&amp;M full-service contract</t>
  </si>
  <si>
    <t>EUR k/MW/yr</t>
  </si>
  <si>
    <t>Bora Dashboard H11</t>
  </si>
  <si>
    <t>Bid points and capacity</t>
  </si>
  <si>
    <t>Points – municipal one-off</t>
  </si>
  <si>
    <t>points</t>
  </si>
  <si>
    <t>Points – community contribution</t>
  </si>
  <si>
    <t>Points – overbuild</t>
  </si>
  <si>
    <t>Points – BESS</t>
  </si>
  <si>
    <t>Points – partial award</t>
  </si>
  <si>
    <t>Points – performance security</t>
  </si>
  <si>
    <t>Points – brownfield</t>
  </si>
  <si>
    <t>Points – shared connection</t>
  </si>
  <si>
    <t>Points – EU turbines</t>
  </si>
  <si>
    <t>Points – EU transformers</t>
  </si>
  <si>
    <t>Points total</t>
  </si>
  <si>
    <t>Wind committed in the bid</t>
  </si>
  <si>
    <t>MW</t>
  </si>
  <si>
    <t>BESS energy</t>
  </si>
  <si>
    <t>MWh</t>
  </si>
  <si>
    <t>Wind built (committed less the build shortfall)</t>
  </si>
  <si>
    <t>Guarantees, securities and connection fees, DEVEX (HUF)</t>
  </si>
  <si>
    <t>Date</t>
  </si>
  <si>
    <t>Participation fee</t>
  </si>
  <si>
    <t>HUF</t>
  </si>
  <si>
    <t>Bid security</t>
  </si>
  <si>
    <t>Performance security payable (bid security deducted)</t>
  </si>
  <si>
    <t>TSO connection-request security</t>
  </si>
  <si>
    <t>Direct connection fee (per point ÷ bids sharing it)</t>
  </si>
  <si>
    <t>Indirect connection fee, payable (TSO security deducted)</t>
  </si>
  <si>
    <t>DEVEX – development (devex items excl. land)</t>
  </si>
  <si>
    <t>DEVEX – land (reservation and purchase)</t>
  </si>
  <si>
    <t>Signing fee and DD</t>
  </si>
  <si>
    <t>Total cash to RtB (incl. signing and DD)</t>
  </si>
  <si>
    <t>Guarantees, securities and connection fees, DEVEX (EUR k)</t>
  </si>
  <si>
    <t>EUR k</t>
  </si>
  <si>
    <t>Cash to RtB by nature: sunk, returned, or borne by the buyer (EUR k)</t>
  </si>
  <si>
    <t>Who bears it</t>
  </si>
  <si>
    <t>Sunk fees and devex (signing and DD, participation fee, land, development devex)</t>
  </si>
  <si>
    <t>FEP – sunk; recovered only via the claims at the sale</t>
  </si>
  <si>
    <t>Securities, returned (bid, performance, TSO connection request)</t>
  </si>
  <si>
    <t>FEP – cash out, returned or reimbursed at the sale</t>
  </si>
  <si>
    <t>Grid connection fees (direct + indirect, payable at HCSSZ)</t>
  </si>
  <si>
    <t>Buyer at RtB; FEP pays only if no buyer is found</t>
  </si>
  <si>
    <t>Total cash to RtB (= total above)</t>
  </si>
  <si>
    <t>Case A: FEP pre-funds everything</t>
  </si>
  <si>
    <t>Grid connection fees, share of the total</t>
  </si>
  <si>
    <t>FEP exposure if the buyer pays the grid connection fees</t>
  </si>
  <si>
    <t>Case B: FEP funds sunk fees, devex and securities only</t>
  </si>
  <si>
    <t>Capex breakdown to COD</t>
  </si>
  <si>
    <t>Turbines (route price, live case)</t>
  </si>
  <si>
    <t>Installation and erection</t>
  </si>
  <si>
    <t>Foundations</t>
  </si>
  <si>
    <t>Balance of plant – civil</t>
  </si>
  <si>
    <t>Balance of plant – electrical</t>
  </si>
  <si>
    <t>Owner's costs, engineering, PM, construction insurance</t>
  </si>
  <si>
    <t>Land purchase and easements</t>
  </si>
  <si>
    <t>Substation and 132 kV bay (scaled by MVA)</t>
  </si>
  <si>
    <t>Contingency (not on BESS)</t>
  </si>
  <si>
    <t>BESS (on BESS energy)</t>
  </si>
  <si>
    <t>Construction capex</t>
  </si>
  <si>
    <t>Connection fees (TSO security, direct, indirect)</t>
  </si>
  <si>
    <t>TSO connection-request security (returned)</t>
  </si>
  <si>
    <t>Bid security (returned)</t>
  </si>
  <si>
    <t>Performance security: 0 (returned)</t>
  </si>
  <si>
    <t>Municipal one-off</t>
  </si>
  <si>
    <t>Land</t>
  </si>
  <si>
    <t>All-in cost to COD for a buyer (securities excluded: returned)</t>
  </si>
  <si>
    <t>All-in cost per MW built</t>
  </si>
  <si>
    <t>All-in cost per MVA</t>
  </si>
  <si>
    <t>Devex breakdown (BORA_Devex 02-Oct-26 items × the scale; tender fee and securities above)</t>
  </si>
  <si>
    <t>Development devex (incl. contingency)</t>
  </si>
  <si>
    <t>Devex total (= DEVEX lines above; devex items × scale)</t>
  </si>
  <si>
    <t>Returns RTB COD HTM</t>
  </si>
  <si>
    <t>RTB exit, Case A: buyer pays the grid connection fees (FEP does not pre-fund)</t>
  </si>
  <si>
    <t>Grid connection fees paid by the buyer (not FEP cash)</t>
  </si>
  <si>
    <t>Total FEP cash out to RtB (peak exposure)</t>
  </si>
  <si>
    <t>Total proceeds to FEP at the sale</t>
  </si>
  <si>
    <t>FEP profit</t>
  </si>
  <si>
    <t>MOIC, pre-tax</t>
  </si>
  <si>
    <t>IRR, pre-tax</t>
  </si>
  <si>
    <t>RTB exit, Case B: FEP pre-funds the grid connection fees, buyer reimburses them at the sale</t>
  </si>
  <si>
    <t>COD exit (as the RtB buyer: pays the RtB price, securities and fees at the Case B sale, builds, sells at COD)</t>
  </si>
  <si>
    <t>Connection fees (direct, indirect; the TSO security is credited against the indirect fee)</t>
  </si>
  <si>
    <t>Development devex: 0 (FEP's cost, replaced by the RtB premium paid at the sale)</t>
  </si>
  <si>
    <t>RtB premium paid to FEP at the sale (150 k€/MVA × MVA)</t>
  </si>
  <si>
    <t>Total costs to COD (= all-in cost to COD for a buyer)</t>
  </si>
  <si>
    <t>Sale price at COD</t>
  </si>
  <si>
    <t>Buyer profit (sale price at COD less the costs above)</t>
  </si>
  <si>
    <t>Hold to maturity (as the RtB buyer; EBITDA only, no debt, no tax)</t>
  </si>
  <si>
    <t>Total capex and costs to COD (= all-in cost to COD for a buyer)</t>
  </si>
  <si>
    <t>Total revenue over the life</t>
  </si>
  <si>
    <t>Total opex over the life</t>
  </si>
  <si>
    <t>Total EBITDA over the life</t>
  </si>
  <si>
    <t>Project IRR, pre-tax</t>
  </si>
  <si>
    <t>NPV at the discount rate, at the first year end</t>
  </si>
  <si>
    <t>Annual cash flow per project (EUR k)</t>
  </si>
  <si>
    <t>Year</t>
  </si>
  <si>
    <t>year</t>
  </si>
  <si>
    <t>Spending (RtB purchase, capex, fees, securities), net</t>
  </si>
  <si>
    <t>Revenue</t>
  </si>
  <si>
    <t>Opex</t>
  </si>
  <si>
    <t>EBITDA</t>
  </si>
  <si>
    <t>Net cash flow</t>
  </si>
  <si>
    <t>Cumulative net cash flow</t>
  </si>
  <si>
    <t>Spending (capex, fees, securities, devex), net</t>
  </si>
  <si>
    <t>Detailed calculations: claims, waterfall, dated flows, timelines, checks – expand the group</t>
  </si>
  <si>
    <t>RtB exit, Case B: FEP claims at the sale (interest to the freeze, act/365, capitalised 31-Dec)</t>
  </si>
  <si>
    <t>Interest accrual end (earlier of freeze and sale)</t>
  </si>
  <si>
    <t>date</t>
  </si>
  <si>
    <t>Accrual factor in the end year, cash rate</t>
  </si>
  <si>
    <t>Accrual factor in the end year, devex rate</t>
  </si>
  <si>
    <t>Days to the first 31-Dec from bid submission</t>
  </si>
  <si>
    <t>days</t>
  </si>
  <si>
    <t>Accrual factor from bid submission</t>
  </si>
  <si>
    <t>Days to the first 31-Dec from performance security posting</t>
  </si>
  <si>
    <t>Accrual factor from performance security posting</t>
  </si>
  <si>
    <t>Days to the first 31-Dec from TSO security payment</t>
  </si>
  <si>
    <t>Accrual factor from TSO security payment</t>
  </si>
  <si>
    <t>Days to the first 31-Dec from connection agreement (HCSSZ)</t>
  </si>
  <si>
    <t>Accrual factor from connection agreement (HCSSZ)</t>
  </si>
  <si>
    <t>Days to the first 31-Dec from land payment (amount-weighted)</t>
  </si>
  <si>
    <t>Accrual factor from land payment (amount-weighted)</t>
  </si>
  <si>
    <t>Days to the first 31-Dec from development devex payment (amount-weighted)</t>
  </si>
  <si>
    <t>Accrual factor from development devex payment (amount-weighted)</t>
  </si>
  <si>
    <t>Claim on FEP's shareholder loan (JV only): participation fee (not reimbursed)</t>
  </si>
  <si>
    <t>Claim on FEP's shareholder loan (JV only): bid security (cash)</t>
  </si>
  <si>
    <t>Claim on FEP's shareholder loan (JV only): performance security payable (cash)</t>
  </si>
  <si>
    <t>Claim on FEP's shareholder loan (JV only): TSO connection-request security</t>
  </si>
  <si>
    <t>Claim on FEP's shareholder loan (JV only): direct connection fee</t>
  </si>
  <si>
    <t>Claim on FEP's shareholder loan (JV only): indirect connection fee, payable</t>
  </si>
  <si>
    <t>Claim on FEP's shareholder loan (JV only): land, MAX(20 % accrued, 1× principal)</t>
  </si>
  <si>
    <t>Claim on FEP's shareholder loan (JV only): development devex, MAX(20 % accrued, 1× principal)</t>
  </si>
  <si>
    <t>Total FEP claims on its shareholder loans (JV only)</t>
  </si>
  <si>
    <t>Developer success fee due (DSA, capped)</t>
  </si>
  <si>
    <t>RtB exit, Case A: buyer pays the grid connection fees directly (FEP does not pre-fund them)</t>
  </si>
  <si>
    <t>Grid connection fees paid by the buyer at HCSSZ (direct + indirect, payable)</t>
  </si>
  <si>
    <t>Case A devex – land: items paid by sale A (devex file, unscaled)</t>
  </si>
  <si>
    <t>Case A devex – land: amount-weighted payment date</t>
  </si>
  <si>
    <t>Case A devex – land (× scale)</t>
  </si>
  <si>
    <t>Case A devex – development: items paid by sale A (devex file, unscaled)</t>
  </si>
  <si>
    <t>Case A devex – development: amount-weighted payment date</t>
  </si>
  <si>
    <t>Case A devex – development (× scale)</t>
  </si>
  <si>
    <t>FEP cash out to RtB, Case A (peak exposure)</t>
  </si>
  <si>
    <t>Case A: interest accrual end (earlier of freeze and sale A)</t>
  </si>
  <si>
    <t>Case A: start of the accrual end year</t>
  </si>
  <si>
    <t>Case A, from bid submission: factor in the payment year (if before the end year)</t>
  </si>
  <si>
    <t>Case A, from bid submission: factor in the end year (to the accrual end)</t>
  </si>
  <si>
    <t>Case A, from bid submission: accrual factor</t>
  </si>
  <si>
    <t>Case A, from performance security posting: factor in the payment year (if before the end year)</t>
  </si>
  <si>
    <t>Case A, from performance security posting: factor in the end year (to the accrual end)</t>
  </si>
  <si>
    <t>Case A, from performance security posting: accrual factor</t>
  </si>
  <si>
    <t>Case A, from TSO security payment: factor in the payment year (if before the end year)</t>
  </si>
  <si>
    <t>Case A, from TSO security payment: factor in the end year (to the accrual end)</t>
  </si>
  <si>
    <t>Case A, from TSO security payment: accrual factor</t>
  </si>
  <si>
    <t>Case A, from land payment (amount-weighted): factor in the payment year (if before the end year)</t>
  </si>
  <si>
    <t>Case A, from land payment (amount-weighted): factor in the end year (to the accrual end)</t>
  </si>
  <si>
    <t>Case A, from land payment (amount-weighted): accrual factor</t>
  </si>
  <si>
    <t>Case A, from development devex payment (amount-weighted): factor in the payment year (if before the end year)</t>
  </si>
  <si>
    <t>Case A, from development devex payment (amount-weighted): factor in the end year (to the accrual end)</t>
  </si>
  <si>
    <t>Case A, from development devex payment (amount-weighted): accrual factor</t>
  </si>
  <si>
    <t>Case A: claim on FEP's shareholder loan (JV only): participation fee (not reimbursed)</t>
  </si>
  <si>
    <t>Case A: claim on FEP's shareholder loan (JV only): bid security (cash)</t>
  </si>
  <si>
    <t>Case A: claim on FEP's shareholder loan (JV only): performance security payable (cash)</t>
  </si>
  <si>
    <t>Case A: claim on FEP's shareholder loan (JV only): TSO connection-request security</t>
  </si>
  <si>
    <t>Case A: claim on FEP's shareholder loan (JV only): land, MAX(20 % accrued, 1× principal)</t>
  </si>
  <si>
    <t>Case A: claim on FEP's shareholder loan (JV only): development devex, MAX(20 % accrued, 1× principal)</t>
  </si>
  <si>
    <t>Case A: developer success fee due (DSA to sale A, capped)</t>
  </si>
  <si>
    <t>Total FEP claims on its shareholder loans, Case A (JV only; no connection-fee claims)</t>
  </si>
  <si>
    <t>Waterfall at the sale, Case A</t>
  </si>
  <si>
    <t>Buyer reimburses securities at cost (no connection fees to reimburse)</t>
  </si>
  <si>
    <t>Buyer pays the land at cost (on top of the premium)</t>
  </si>
  <si>
    <t>Total proceeds</t>
  </si>
  <si>
    <t>Less sale costs</t>
  </si>
  <si>
    <t>Less securities repaid to FEP</t>
  </si>
  <si>
    <t>Less land repaid to FEP at cost</t>
  </si>
  <si>
    <t>Less FEP claims at 12 % on FEP's shareholder loan (JV only)</t>
  </si>
  <si>
    <t>Less FEP land and devex return on FEP's shareholder loan (JV only)</t>
  </si>
  <si>
    <t>Less developer success fee (DSA)</t>
  </si>
  <si>
    <t>Distributable proceeds</t>
  </si>
  <si>
    <t>FEP share of distributable</t>
  </si>
  <si>
    <t>Developer share of distributable</t>
  </si>
  <si>
    <t>FEP profit, Case A (at sale A): what the buyer pays, less deductions</t>
  </si>
  <si>
    <t>Date: Bora</t>
  </si>
  <si>
    <t>Land: 0 (bought by the RtB buyer at cost; FEP's land outlay is repaid, not deducted)</t>
  </si>
  <si>
    <t>Bid security: 0 (paid back to FEP at the sale)</t>
  </si>
  <si>
    <t>Performance security: 0 (paid back to FEP at the sale)</t>
  </si>
  <si>
    <t>Less: sale costs</t>
  </si>
  <si>
    <t>Less: developer success fee (DSA)</t>
  </si>
  <si>
    <t>Less: developer share of distributable proceeds</t>
  </si>
  <si>
    <t>FEP claims at 12 % on FEP's shareholder loan (interest, JV only)</t>
  </si>
  <si>
    <t>FEP land and devex return on FEP's shareholder loan (JV only)</t>
  </si>
  <si>
    <t>FEP receipts at sale A (claims + return + FEP share)</t>
  </si>
  <si>
    <t>Less: signing fee and DD, Exit fees</t>
  </si>
  <si>
    <t>Less: participation fee (not reimbursed)</t>
  </si>
  <si>
    <t>Less: development devex</t>
  </si>
  <si>
    <t>FEP profit, pre-tax</t>
  </si>
  <si>
    <t>FEP profit, post-tax</t>
  </si>
  <si>
    <t>MOIC, pre-tax (dated cash flows below)</t>
  </si>
  <si>
    <t>IRR, pre-tax (dated cash flows below)</t>
  </si>
  <si>
    <t>Memo: pre-tax profit vs Case B (connection-fee claims no longer earned, FEP share)</t>
  </si>
  <si>
    <t>Memo: FEP dated cash flows, Case A, for MOIC and IRR (securities are paid and repaid at cost: net zero, excluded from the profit above)</t>
  </si>
  <si>
    <t>Performance security payable</t>
  </si>
  <si>
    <t>Development devex</t>
  </si>
  <si>
    <t>FEP receipts at sale A (receipts above + securities and land repaid)</t>
  </si>
  <si>
    <t>RtB exit, Case B: waterfall at the sale</t>
  </si>
  <si>
    <t>Buyer reimburses securities and connection fees at cost</t>
  </si>
  <si>
    <t>Less securities and fees repaid to FEP</t>
  </si>
  <si>
    <t>FEP profit, Case B (at the sale): what the buyer pays, less deductions</t>
  </si>
  <si>
    <t>FEP receipts at the sale (claims + return + FEP share)</t>
  </si>
  <si>
    <t>Memo: FEP dated cash flows, Case B, for MOIC and IRR (securities and connection fees are paid and repaid at cost: net zero, excluded from the profit above)</t>
  </si>
  <si>
    <t>Direct connection fee</t>
  </si>
  <si>
    <t>Indirect connection fee, payable</t>
  </si>
  <si>
    <t>FEP receipts at the sale (receipts above + securities, fees and land repaid)</t>
  </si>
  <si>
    <t>Annual timeline</t>
  </si>
  <si>
    <t>Year end</t>
  </si>
  <si>
    <t>Bora: annual cash flow (EUR k)</t>
  </si>
  <si>
    <t>Value</t>
  </si>
  <si>
    <t>Years from the COD year</t>
  </si>
  <si>
    <t>years</t>
  </si>
  <si>
    <t>Construction months by year end (value: construction period)</t>
  </si>
  <si>
    <t>months</t>
  </si>
  <si>
    <t>Construction share of the year (NTP to COD)</t>
  </si>
  <si>
    <t>Months operated by year end (value: operating life)</t>
  </si>
  <si>
    <t>Operating share of the year (COD to end of life)</t>
  </si>
  <si>
    <t>COD year flag</t>
  </si>
  <si>
    <t>Buyer pays at the Case B sale: RtB premium, land at cost, securities and connection fees reimbursed to FEP</t>
  </si>
  <si>
    <t>Performance security released (bid security included)</t>
  </si>
  <si>
    <t>Construction capex (straight-line NTP to COD)</t>
  </si>
  <si>
    <t>Municipal one-off at COD</t>
  </si>
  <si>
    <t>Investment cash flow</t>
  </si>
  <si>
    <t>Degradation factor (from the first full year)</t>
  </si>
  <si>
    <t>Net generation</t>
  </si>
  <si>
    <t>GWh</t>
  </si>
  <si>
    <t>PPA price</t>
  </si>
  <si>
    <t>Opex index (COD year = 1)</t>
  </si>
  <si>
    <t>O&amp;M, BoP, lease, insurance, management, property tax</t>
  </si>
  <si>
    <t>Administration, audit, compliance</t>
  </si>
  <si>
    <t>Balancing and grid charges</t>
  </si>
  <si>
    <t>MEKH supervisory fee</t>
  </si>
  <si>
    <t>Opex contingency</t>
  </si>
  <si>
    <t>Community contribution</t>
  </si>
  <si>
    <t>HIPA local business tax</t>
  </si>
  <si>
    <t>Total opex</t>
  </si>
  <si>
    <t>Unlevered pre-tax cash flow</t>
  </si>
  <si>
    <t>Discount factor to COD (buyer's rate)</t>
  </si>
  <si>
    <t>EBITDA valued at COD (total = COD price)</t>
  </si>
  <si>
    <t>RtB price: 0 (now in the sale-year payment above)</t>
  </si>
  <si>
    <t>COD exit: buyer's cash flow (to COD, price and securities at COD)</t>
  </si>
  <si>
    <t>Iváncsa: annual cash flow (EUR k)</t>
  </si>
  <si>
    <t>Dunaújváros: annual cash flow (EUR k)</t>
  </si>
  <si>
    <t>COD exit: tax on the gain (price and profit: totals of the cash-flow blocks above)</t>
  </si>
  <si>
    <t>Checks (0 = OK)</t>
  </si>
  <si>
    <t>Case B waterfall closes (proceeds = all amounts paid out)</t>
  </si>
  <si>
    <t>Claim lines paid before the accrual end year</t>
  </si>
  <si>
    <t>Turbine route is EU or CN</t>
  </si>
  <si>
    <t>Devex items × scale = project devex (land + development)</t>
  </si>
  <si>
    <t>Construction capex spread in full (timeline = capex)</t>
  </si>
  <si>
    <t>Investment cash flows = all-in cost to COD for a buyer (RtB price, capex, fees, municipal, land)</t>
  </si>
  <si>
    <t>Operating life inside the timeline</t>
  </si>
  <si>
    <t>Sale date A before the HCSSZ date (Case A exits before the connection fees)</t>
  </si>
  <si>
    <t>COD cost stack = timeline investment flows</t>
  </si>
  <si>
    <t>Case A waterfall closes (proceeds = all amounts paid out)</t>
  </si>
  <si>
    <t>Master check</t>
  </si>
  <si>
    <t>***END***</t>
  </si>
  <si>
    <t>HU wind bids – other inputs (blue) with sources</t>
  </si>
  <si>
    <t>Inputs</t>
  </si>
  <si>
    <t>Source</t>
  </si>
  <si>
    <t>Tender and grid (all projects; value in column E)</t>
  </si>
  <si>
    <t>FX rate</t>
  </si>
  <si>
    <t>HUF/EUR</t>
  </si>
  <si>
    <t>Bora Inputs E11; Bid_Cash E45</t>
  </si>
  <si>
    <t>Security base: benchmark investment, wind</t>
  </si>
  <si>
    <t>HUF/MW</t>
  </si>
  <si>
    <t>Bora Inputs E75; Bid_Cash E46</t>
  </si>
  <si>
    <t>Security base: benchmark investment, BESS</t>
  </si>
  <si>
    <t>HUF/MWh</t>
  </si>
  <si>
    <t>Bora Inputs E89; Bid_Cash E47</t>
  </si>
  <si>
    <t>Bid security, share of base</t>
  </si>
  <si>
    <t>Bora Inputs E76; Bid_Cash E49</t>
  </si>
  <si>
    <t>Performance security, minimum share of base</t>
  </si>
  <si>
    <t>Bora Inputs E77; Bid_Cash E50</t>
  </si>
  <si>
    <t>Participation fee per bid</t>
  </si>
  <si>
    <t>Bora Inputs E81; Bid_Cash E48</t>
  </si>
  <si>
    <t>HUF/MVA</t>
  </si>
  <si>
    <t>Bora Inputs E83; Bid_Cash E51</t>
  </si>
  <si>
    <t>Per project: fees, devex, dates</t>
  </si>
  <si>
    <t>Indirect connection fee</t>
  </si>
  <si>
    <t>Bora Inputs G290; Bid_Cash E52</t>
  </si>
  <si>
    <t>Direct connection fee per connection point</t>
  </si>
  <si>
    <t>Bora Inputs G291; Bid_Cash E53</t>
  </si>
  <si>
    <t>Bids sharing the connection point</t>
  </si>
  <si>
    <t>count</t>
  </si>
  <si>
    <t>Bora: 2 bids per point (SPEC §22.2)</t>
  </si>
  <si>
    <t>Bora E24+E25: 400 × 50/200; Bid_Cash E55</t>
  </si>
  <si>
    <t>Devex scale (bid MVA ÷ 200 MVA of the devex file)</t>
  </si>
  <si>
    <t>SPEC §26.2: 50/200; 1 = the full devex file</t>
  </si>
  <si>
    <t>EU transformers ≥ 80 % (ÖSZ-9)</t>
  </si>
  <si>
    <t>Bid_Cash E16; SPEC §23.1</t>
  </si>
  <si>
    <t>Signing fee and DD paid</t>
  </si>
  <si>
    <t>Bora Inputs E27; Bid_Cash E34</t>
  </si>
  <si>
    <t>Bid submission: fee paid, bid security posted</t>
  </si>
  <si>
    <t>Bora Inputs E95; Bid_Cash E35</t>
  </si>
  <si>
    <t>Performance security posted</t>
  </si>
  <si>
    <t>Bora Deposits K10 (E96 + 17 d); Bid_Cash E36</t>
  </si>
  <si>
    <t>TSO security paid</t>
  </si>
  <si>
    <t>Bora Inputs E97; Bid_Cash E37</t>
  </si>
  <si>
    <t>Connection agreement (HCSSZ): fees paid</t>
  </si>
  <si>
    <t>Bora Inputs E99; Bid_Cash E39</t>
  </si>
  <si>
    <t>Notice to proceed</t>
  </si>
  <si>
    <t>Bora Inputs E154; Bid_Cash E40</t>
  </si>
  <si>
    <t>COD</t>
  </si>
  <si>
    <t>Bora Inputs E155; Bid_Cash E41</t>
  </si>
  <si>
    <t>Performance security released</t>
  </si>
  <si>
    <t>Bid_Cash E42 (Kiírás XII.13, estimate)</t>
  </si>
  <si>
    <t>DSA accrual start</t>
  </si>
  <si>
    <t>Bora Inputs E70; others: signing (DSA off)</t>
  </si>
  <si>
    <t>RtB exit terms (all projects; value in column E)</t>
  </si>
  <si>
    <t>Claim rate, cash lines (incl. cash-posted securities)</t>
  </si>
  <si>
    <t>Devex file V18; SPEC §21.1</t>
  </si>
  <si>
    <t>Claim rate, devex</t>
  </si>
  <si>
    <t>Devex file V19</t>
  </si>
  <si>
    <t>Devex minimum return multiple</t>
  </si>
  <si>
    <t>Devex file V20</t>
  </si>
  <si>
    <t>Interest freeze date</t>
  </si>
  <si>
    <t>Devex file V24</t>
  </si>
  <si>
    <t>Sale date, Case B (RtB exit after HCSSZ)</t>
  </si>
  <si>
    <t>Bora Inputs E58; SPEC §21.1</t>
  </si>
  <si>
    <t>Sale date, Case A (before HCSSZ)</t>
  </si>
  <si>
    <t>SPEC §25.2 (user, 28-Oct-2026)</t>
  </si>
  <si>
    <t>Sale costs per project</t>
  </si>
  <si>
    <t>SPEC §21.1</t>
  </si>
  <si>
    <t>Developer success fee (on committed MW, 30/360)</t>
  </si>
  <si>
    <t>Bora Inputs E36</t>
  </si>
  <si>
    <t>Developer success fee cap</t>
  </si>
  <si>
    <t>Bora Inputs E37</t>
  </si>
  <si>
    <t>Corporate income tax on exit gains</t>
  </si>
  <si>
    <t>SPEC §22.2 (exit gains only)</t>
  </si>
  <si>
    <t>Share deal, participation exemption on the share gain (1 = on); claims taxed as interest</t>
  </si>
  <si>
    <t>Capex (per MW of wind built unless stated; turbines: case table on the Dashboard)</t>
  </si>
  <si>
    <t>Turbine installation and erection</t>
  </si>
  <si>
    <t>Bora Inputs G163</t>
  </si>
  <si>
    <t>Bora Inputs G164</t>
  </si>
  <si>
    <t>Bora Inputs G165</t>
  </si>
  <si>
    <t>Bora Inputs G166</t>
  </si>
  <si>
    <t>Bora Inputs G169</t>
  </si>
  <si>
    <t>Land is in the devex (Inputs rows 80, 81, 110) and bought by the buyer at cost; 0 so it is not counted twice (v3)</t>
  </si>
  <si>
    <t>On-site substation and 132 kV bay (lump sum)</t>
  </si>
  <si>
    <t>Bora Inputs G167</t>
  </si>
  <si>
    <t>Source basis of the lump sums</t>
  </si>
  <si>
    <t>Bora Inputs E305</t>
  </si>
  <si>
    <t>Capex contingency (not on BESS)</t>
  </si>
  <si>
    <t>Bora Inputs G173</t>
  </si>
  <si>
    <t>BESS capex</t>
  </si>
  <si>
    <t>EUR k/MWh</t>
  </si>
  <si>
    <t>CLAUDE.md standing assumption, 15-Oct-26</t>
  </si>
  <si>
    <t>Generation (hours and PPA price: case table on the Dashboard)</t>
  </si>
  <si>
    <t>Curtailment</t>
  </si>
  <si>
    <t>Bora Inputs G183</t>
  </si>
  <si>
    <t>Clipping</t>
  </si>
  <si>
    <t>Bora Dash_Clip_Override (user, 26-Oct-26)</t>
  </si>
  <si>
    <t>Degradation</t>
  </si>
  <si>
    <t>% p.a.</t>
  </si>
  <si>
    <t>Bora Inputs G184</t>
  </si>
  <si>
    <t>PPA escalation</t>
  </si>
  <si>
    <t>Bora Inputs G194</t>
  </si>
  <si>
    <t>Opex (COD-year prices; O&amp;M contract: case table on the Dashboard)</t>
  </si>
  <si>
    <t>Balance of plant maintenance</t>
  </si>
  <si>
    <t>Bora Inputs G204</t>
  </si>
  <si>
    <t>Land lease</t>
  </si>
  <si>
    <t>Bora Inputs G205</t>
  </si>
  <si>
    <t>Operational insurance</t>
  </si>
  <si>
    <t>Bora Inputs G206</t>
  </si>
  <si>
    <t>Asset and commercial management</t>
  </si>
  <si>
    <t>Bora Inputs G207</t>
  </si>
  <si>
    <t>Property tax</t>
  </si>
  <si>
    <t>Bora Inputs G208</t>
  </si>
  <si>
    <t>Administration, audit, compliance (at the source basis)</t>
  </si>
  <si>
    <t>EUR k/yr</t>
  </si>
  <si>
    <t>Bora Inputs G209</t>
  </si>
  <si>
    <t>Balancing cost</t>
  </si>
  <si>
    <t>Bora Inputs G196</t>
  </si>
  <si>
    <t>Grid use-of-system charges</t>
  </si>
  <si>
    <t>Bora Inputs G197</t>
  </si>
  <si>
    <t>% of rev.</t>
  </si>
  <si>
    <t>Bora Inputs G198</t>
  </si>
  <si>
    <t>Bora Inputs G212</t>
  </si>
  <si>
    <t>Opex contingency (not on community, HIPA)</t>
  </si>
  <si>
    <t>Bora Inputs G210</t>
  </si>
  <si>
    <t>Opex escalation</t>
  </si>
  <si>
    <t>Bora Inputs G211</t>
  </si>
  <si>
    <t>Valuation, timeline and constants</t>
  </si>
  <si>
    <t>Operating life from COD</t>
  </si>
  <si>
    <t>Bora Inputs G157</t>
  </si>
  <si>
    <t>Discount rate (buyer's pre-tax return at COD)</t>
  </si>
  <si>
    <t>Bora Inputs G226</t>
  </si>
  <si>
    <t>First year of the annual timeline</t>
  </si>
  <si>
    <t>Year of the first signing</t>
  </si>
  <si>
    <t>Thousand</t>
  </si>
  <si>
    <t>Constant</t>
  </si>
  <si>
    <t>Days in a year (act/365)</t>
  </si>
  <si>
    <t>Months in a year</t>
  </si>
  <si>
    <t>Check tolerance</t>
  </si>
  <si>
    <t>Devex items (BORA_Devex 02-Oct-26; all projects × the scale): HUF | date | class</t>
  </si>
  <si>
    <t>Capacity allocation process - Awarding – Land reservation fee</t>
  </si>
  <si>
    <t>BORA_Devex 02-Oct-26 row 14</t>
  </si>
  <si>
    <t>Capacity allocation process - Awarding – Land purchase price</t>
  </si>
  <si>
    <t>BORA_Devex 02-Oct-26 row 15</t>
  </si>
  <si>
    <t>Grid connection plan – Design fee</t>
  </si>
  <si>
    <t>Devex</t>
  </si>
  <si>
    <t>BORA_Devex 02-Oct-26 row 16</t>
  </si>
  <si>
    <t>Grid connection plan – Administrative fee</t>
  </si>
  <si>
    <t>BORA_Devex 02-Oct-26 row 17</t>
  </si>
  <si>
    <t>Land contracting (additional land) – Legal fee, agent fee</t>
  </si>
  <si>
    <t>BORA_Devex 02-Oct-26 row 20</t>
  </si>
  <si>
    <t>Wind measurement – Met Masts</t>
  </si>
  <si>
    <t>BORA_Devex 02-Oct-26 row 21</t>
  </si>
  <si>
    <t>Wind measurement – Design fee</t>
  </si>
  <si>
    <t>BORA_Devex 02-Oct-26 row 22</t>
  </si>
  <si>
    <t>Wind measurement – EYA</t>
  </si>
  <si>
    <t>BORA_Devex 02-Oct-26 row 23</t>
  </si>
  <si>
    <t>Land reclassification – Administrative fee</t>
  </si>
  <si>
    <t>BORA_Devex 02-Oct-26 row 24</t>
  </si>
  <si>
    <t>Land reclassification – Report fee</t>
  </si>
  <si>
    <t>BORA_Devex 02-Oct-26 row 25</t>
  </si>
  <si>
    <t>Zoning plan modification – Design fee</t>
  </si>
  <si>
    <t>BORA_Devex 02-Oct-26 row 26</t>
  </si>
  <si>
    <t>Municipality donation – Donation</t>
  </si>
  <si>
    <t>BORA_Devex 02-Oct-26 row 27</t>
  </si>
  <si>
    <t>Environmental assessment – Bird-bat monitoring</t>
  </si>
  <si>
    <t>BORA_Devex 02-Oct-26 row 28</t>
  </si>
  <si>
    <t>Environmental assessment – Administrative fee</t>
  </si>
  <si>
    <t>BORA_Devex 02-Oct-26 row 29</t>
  </si>
  <si>
    <t>Environmental assessment – Assessment fee</t>
  </si>
  <si>
    <t>BORA_Devex 02-Oct-26 row 30</t>
  </si>
  <si>
    <t>Other project development – Geotechnical assessment fee</t>
  </si>
  <si>
    <t>BORA_Devex 02-Oct-26 row 31</t>
  </si>
  <si>
    <t>Other project development – Archaeological</t>
  </si>
  <si>
    <t>BORA_Devex 02-Oct-26 row 32</t>
  </si>
  <si>
    <t>Other project development – Topography</t>
  </si>
  <si>
    <t>BORA_Devex 02-Oct-26 row 33</t>
  </si>
  <si>
    <t>Building permit - Turbines – Administrative fee</t>
  </si>
  <si>
    <t>BORA_Devex 02-Oct-26 row 34</t>
  </si>
  <si>
    <t>Building permit - Turbines – Design fee</t>
  </si>
  <si>
    <t>BORA_Devex 02-Oct-26 row 35</t>
  </si>
  <si>
    <t>Cable right – Administrative fee</t>
  </si>
  <si>
    <t>BORA_Devex 02-Oct-26 row 36</t>
  </si>
  <si>
    <t>Cable right – Design fee</t>
  </si>
  <si>
    <t>BORA_Devex 02-Oct-26 row 37</t>
  </si>
  <si>
    <t>Cable right – Compensation</t>
  </si>
  <si>
    <t>BORA_Devex 02-Oct-26 row 38</t>
  </si>
  <si>
    <t>Building permit - Substation, switching station – Administrative fee</t>
  </si>
  <si>
    <t>BORA_Devex 02-Oct-26 row 39</t>
  </si>
  <si>
    <t>Building permit - Substation, switching station – Design fee</t>
  </si>
  <si>
    <t>BORA_Devex 02-Oct-26 row 40</t>
  </si>
  <si>
    <t>Building permit - BESS – Administrative fee</t>
  </si>
  <si>
    <t>BORA_Devex 02-Oct-26 row 41</t>
  </si>
  <si>
    <t>Building permit - BESS – Design fee</t>
  </si>
  <si>
    <t>BORA_Devex 02-Oct-26 row 42</t>
  </si>
  <si>
    <t>HEPURA permit – Administrative fee</t>
  </si>
  <si>
    <t>BORA_Devex 02-Oct-26 row 43</t>
  </si>
  <si>
    <t>HEPURA permit – Report fee</t>
  </si>
  <si>
    <t>BORA_Devex 02-Oct-26 row 44</t>
  </si>
  <si>
    <t>Legal costs – Legal costs</t>
  </si>
  <si>
    <t>BORA_Devex 02-Oct-26 row 45; continuous: 31-Dec-27</t>
  </si>
  <si>
    <t>Financial costs – Financial costs</t>
  </si>
  <si>
    <t>BORA_Devex 02-Oct-26 row 46; continuous: 31-Dec-27</t>
  </si>
  <si>
    <t>RtB – Land purchase price</t>
  </si>
  <si>
    <t>BORA_Devex 02-Oct-26 row 47</t>
  </si>
  <si>
    <t>Contingency – Contingency</t>
  </si>
  <si>
    <t>BORA_Devex 02-Oct-26 row 48; continuous: 31-Dec-27</t>
  </si>
  <si>
    <t>Band tables for the points (ÖSZ, Kiírás Annex 4) – expand the group</t>
  </si>
  <si>
    <t>Values →</t>
  </si>
  <si>
    <t>Osz1_LB</t>
  </si>
  <si>
    <t>Osz1_Incl</t>
  </si>
  <si>
    <t>Osz1_Pts</t>
  </si>
  <si>
    <t>Osz2_LB</t>
  </si>
  <si>
    <t>Osz2_Incl</t>
  </si>
  <si>
    <t>Osz2_Pts</t>
  </si>
  <si>
    <t>Osz3_LB</t>
  </si>
  <si>
    <t>Osz3_Incl</t>
  </si>
  <si>
    <t>Osz3_Pts</t>
  </si>
  <si>
    <t>Osz6_LB</t>
  </si>
  <si>
    <t>Osz6_Incl</t>
  </si>
  <si>
    <t>Osz6_Pts</t>
  </si>
  <si>
    <t>Osz5_Pts</t>
  </si>
  <si>
    <t>Osz7_Pts</t>
  </si>
  <si>
    <t>Osz8_Pts</t>
  </si>
  <si>
    <t>Osz9a_Pts</t>
  </si>
  <si>
    <t>Osz9b_Pts</t>
  </si>
  <si>
    <t>Osz1_W</t>
  </si>
  <si>
    <t>Osz2_W</t>
  </si>
  <si>
    <t>Osz3_W</t>
  </si>
  <si>
    <t>Osz4_W</t>
  </si>
  <si>
    <t>Osz5_W</t>
  </si>
  <si>
    <t>Osz6_W</t>
  </si>
  <si>
    <t>Osz7_W</t>
  </si>
  <si>
    <t>Osz8_W</t>
  </si>
  <si>
    <t>Osz9_W</t>
  </si>
  <si>
    <t>Net P50 hours (not used: project P50 in row 22)</t>
  </si>
  <si>
    <t>Developer premium paid for the RtB project (150 k€/MVA × MVA; replaces FEP's devex, which the buyer does not bear)</t>
  </si>
  <si>
    <t>RtB premium paid by the buyer (150 k EUR/MVA × MVA)</t>
  </si>
  <si>
    <t>CIT on the exit gain (0 while the participation exemption flag is on)</t>
  </si>
  <si>
    <t>Buyer profit, post-tax</t>
  </si>
  <si>
    <t>Osz4_LB</t>
  </si>
  <si>
    <t>Osz4_Incl</t>
  </si>
  <si>
    <t>Osz4_Pts</t>
  </si>
  <si>
    <t>Kiírás Annex 4, ÖSZ-4: 2&lt;x&lt;5:10 … 40≤x&lt;50:90, 50&lt;x:100 (x = 50 % not defined; scored 90)</t>
  </si>
  <si>
    <t>Kiírás Annex 4, ÖSZ-6: 100 pts only if x &gt; 200 % (strict); 190≤x&lt;200: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</si>
</sst>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CHECK &quot;0;&quot;CHECK -&quot;0;&quot;OK&quot;"/>
    <numFmt numFmtId="165" formatCode="#,##0;\(#,##0\);\–"/>
    <numFmt numFmtId="166" formatCode="0.0%;\(0.0%\);\–"/>
    <numFmt numFmtId="167" formatCode="#,##0.0;\(#,##0.0\);\–"/>
    <numFmt numFmtId="168" formatCode="0.00\x"/>
    <numFmt numFmtId="169" formatCode="d\-mmm\-yy"/>
    <numFmt numFmtId="170" formatCode="0.0%"/>
    <numFmt numFmtId="171" formatCode="0.0000"/>
    <numFmt numFmtId="172" formatCode="_(* #,##0.00_);_(* \(#,##0.00\);_(* \-??_);_(@_)"/>
    <numFmt numFmtId="173" formatCode="_-* #,##0.00_-;\-* #,##0.00_-;_-* \-??_-;_-@_-"/>
    <numFmt numFmtId="174" formatCode="#,##0.00;\(#,##0.00\);\–"/>
    <numFmt numFmtId="175" formatCode="0;\-0;\–"/>
    <numFmt numFmtId="176" formatCode="0.000;\(0.000\);\–"/>
    <numFmt numFmtId="177" formatCode="0.000"/>
  </numFmts>
  <fonts count="21" x14ac:knownFonts="1">
    <font>
      <sz val="11"/>
      <color theme="1"/>
      <name val="Calibri"/>
      <family val="2"/>
      <charset val="1"/>
    </font>
    <font>
      <b/>
      <sz val="10"/>
      <color rgb="FF000000"/>
      <name val="Aptos Narrow"/>
      <charset val="1"/>
    </font>
    <font>
      <i/>
      <sz val="10"/>
      <color rgb="FF808080"/>
      <name val="Aptos Narrow"/>
      <charset val="1"/>
    </font>
    <font>
      <b/>
      <sz val="10"/>
      <color rgb="FFFFFFFF"/>
      <name val="Aptos Narrow"/>
      <charset val="1"/>
    </font>
    <font>
      <sz val="10"/>
      <color rgb="FF000000"/>
      <name val="Aptos Narrow"/>
      <charset val="1"/>
    </font>
    <font>
      <sz val="10"/>
      <color rgb="FF0000FF"/>
      <name val="Aptos Narrow"/>
      <charset val="1"/>
    </font>
    <font>
      <b/>
      <sz val="10"/>
      <color rgb="FF000000"/>
      <name val="Aptos Narrow"/>
      <family val="2"/>
      <charset val="1"/>
    </font>
    <font>
      <b/>
      <i/>
      <sz val="10"/>
      <color rgb="FF808080"/>
      <name val="Aptos Narrow"/>
      <family val="2"/>
      <charset val="1"/>
    </font>
    <font>
      <i/>
      <sz val="10"/>
      <color rgb="FF808080"/>
      <name val="Aptos Narrow"/>
      <family val="2"/>
      <charset val="1"/>
    </font>
    <font>
      <b/>
      <sz val="11"/>
      <color theme="1"/>
      <name val="Calibri"/>
      <family val="2"/>
      <charset val="238"/>
    </font>
    <font>
      <b/>
      <sz val="10"/>
      <color rgb="FFFFFFFF"/>
      <name val="Aptos Narrow"/>
      <family val="2"/>
      <charset val="1"/>
    </font>
    <font>
      <b/>
      <sz val="10"/>
      <color rgb="FFFFFFFF"/>
      <name val="Aptos Narrow"/>
      <family val="2"/>
      <charset val="238"/>
    </font>
    <font>
      <b/>
      <sz val="10"/>
      <color rgb="FF3C3C3B"/>
      <name val="Aptos Narrow"/>
      <family val="2"/>
      <charset val="1"/>
    </font>
    <font>
      <b/>
      <sz val="10"/>
      <color rgb="FF3C3C3B"/>
      <name val="Aptos Narrow"/>
      <charset val="1"/>
    </font>
    <font>
      <b/>
      <i/>
      <sz val="10"/>
      <color rgb="FF808080"/>
      <name val="Aptos Narrow"/>
      <charset val="1"/>
    </font>
    <font>
      <sz val="10"/>
      <color rgb="FF808080"/>
      <name val="Aptos Narrow"/>
      <charset val="1"/>
    </font>
    <font>
      <i/>
      <sz val="10"/>
      <color rgb="FF000000"/>
      <name val="Aptos Narrow"/>
      <family val="2"/>
      <charset val="1"/>
    </font>
    <font>
      <sz val="10"/>
      <name val="Arial"/>
      <charset val="1"/>
    </font>
    <font>
      <b/>
      <sz val="10"/>
      <color rgb="FF808080"/>
      <name val="Aptos Narrow"/>
      <charset val="1"/>
    </font>
    <font>
      <b/>
      <sz val="10"/>
      <color rgb="FF000000"/>
      <name val="Aptos Narrow"/>
      <family val="2"/>
    </font>
    <font>
      <b/>
      <i/>
      <sz val="10"/>
      <color rgb="FF80808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00563C"/>
        <bgColor rgb="FF003300"/>
      </patternFill>
    </fill>
    <fill>
      <patternFill patternType="solid">
        <fgColor rgb="FFFFF2CC"/>
        <bgColor rgb="FFFDEADA"/>
      </patternFill>
    </fill>
    <fill>
      <patternFill patternType="solid">
        <fgColor theme="0"/>
        <bgColor rgb="FFE6F4EC"/>
      </patternFill>
    </fill>
    <fill>
      <patternFill patternType="solid">
        <fgColor rgb="FFFFFF00"/>
        <bgColor rgb="FFFFFF00"/>
      </patternFill>
    </fill>
    <fill>
      <patternFill patternType="solid">
        <fgColor theme="9" tint="0.79979857783745845"/>
        <bgColor rgb="FFFDE9D9"/>
      </patternFill>
    </fill>
    <fill>
      <patternFill patternType="solid">
        <fgColor rgb="FFFDE9D9"/>
        <bgColor rgb="FFFDEADA"/>
      </patternFill>
    </fill>
    <fill>
      <patternFill patternType="solid">
        <fgColor rgb="FFE6F4EC"/>
        <bgColor rgb="FFFDEADA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72" fontId="17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4" fillId="0" borderId="0" xfId="0" applyFont="1"/>
    <xf numFmtId="165" fontId="5" fillId="3" borderId="1" xfId="0" applyNumberFormat="1" applyFont="1" applyFill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6" fontId="5" fillId="3" borderId="1" xfId="0" applyNumberFormat="1" applyFont="1" applyFill="1" applyBorder="1" applyAlignment="1">
      <alignment horizontal="right"/>
    </xf>
    <xf numFmtId="167" fontId="5" fillId="3" borderId="1" xfId="0" applyNumberFormat="1" applyFont="1" applyFill="1" applyBorder="1" applyAlignment="1">
      <alignment horizontal="right"/>
    </xf>
    <xf numFmtId="1" fontId="5" fillId="3" borderId="1" xfId="0" applyNumberFormat="1" applyFont="1" applyFill="1" applyBorder="1" applyAlignment="1">
      <alignment horizontal="right"/>
    </xf>
    <xf numFmtId="168" fontId="5" fillId="3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165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7" fontId="1" fillId="0" borderId="2" xfId="0" applyNumberFormat="1" applyFont="1" applyBorder="1" applyAlignment="1">
      <alignment horizontal="right"/>
    </xf>
    <xf numFmtId="0" fontId="0" fillId="4" borderId="0" xfId="0" applyFill="1"/>
    <xf numFmtId="0" fontId="3" fillId="4" borderId="0" xfId="0" applyFont="1" applyFill="1" applyAlignment="1">
      <alignment horizontal="right"/>
    </xf>
    <xf numFmtId="0" fontId="4" fillId="5" borderId="0" xfId="0" applyFont="1" applyFill="1"/>
    <xf numFmtId="0" fontId="2" fillId="5" borderId="0" xfId="0" applyFont="1" applyFill="1"/>
    <xf numFmtId="165" fontId="4" fillId="5" borderId="0" xfId="0" applyNumberFormat="1" applyFont="1" applyFill="1" applyAlignment="1">
      <alignment horizontal="right"/>
    </xf>
    <xf numFmtId="169" fontId="4" fillId="0" borderId="0" xfId="0" applyNumberFormat="1" applyFont="1" applyAlignment="1">
      <alignment horizontal="right"/>
    </xf>
    <xf numFmtId="169" fontId="4" fillId="4" borderId="0" xfId="0" applyNumberFormat="1" applyFont="1" applyFill="1" applyAlignment="1">
      <alignment horizontal="right"/>
    </xf>
    <xf numFmtId="0" fontId="4" fillId="6" borderId="0" xfId="0" applyFont="1" applyFill="1"/>
    <xf numFmtId="0" fontId="2" fillId="6" borderId="0" xfId="0" applyFont="1" applyFill="1"/>
    <xf numFmtId="165" fontId="4" fillId="7" borderId="0" xfId="0" applyNumberFormat="1" applyFont="1" applyFill="1" applyAlignment="1">
      <alignment horizontal="right"/>
    </xf>
    <xf numFmtId="0" fontId="6" fillId="6" borderId="0" xfId="0" applyFont="1" applyFill="1"/>
    <xf numFmtId="0" fontId="7" fillId="6" borderId="0" xfId="0" applyFont="1" applyFill="1"/>
    <xf numFmtId="165" fontId="6" fillId="7" borderId="0" xfId="0" applyNumberFormat="1" applyFont="1" applyFill="1" applyAlignment="1">
      <alignment horizontal="right"/>
    </xf>
    <xf numFmtId="165" fontId="1" fillId="0" borderId="2" xfId="0" applyNumberFormat="1" applyFont="1" applyBorder="1" applyAlignment="1">
      <alignment horizontal="right"/>
    </xf>
    <xf numFmtId="167" fontId="4" fillId="5" borderId="0" xfId="0" applyNumberFormat="1" applyFont="1" applyFill="1" applyAlignment="1">
      <alignment horizontal="right"/>
    </xf>
    <xf numFmtId="0" fontId="8" fillId="0" borderId="0" xfId="0" applyFont="1"/>
    <xf numFmtId="165" fontId="4" fillId="0" borderId="3" xfId="0" applyNumberFormat="1" applyFont="1" applyBorder="1" applyAlignment="1">
      <alignment horizontal="right"/>
    </xf>
    <xf numFmtId="170" fontId="0" fillId="0" borderId="0" xfId="0" applyNumberFormat="1"/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10" fillId="2" borderId="0" xfId="0" applyFont="1" applyFill="1" applyAlignment="1">
      <alignment horizontal="right"/>
    </xf>
    <xf numFmtId="0" fontId="12" fillId="8" borderId="0" xfId="0" applyFont="1" applyFill="1"/>
    <xf numFmtId="0" fontId="13" fillId="8" borderId="0" xfId="0" applyFont="1" applyFill="1"/>
    <xf numFmtId="0" fontId="13" fillId="8" borderId="0" xfId="0" applyFont="1" applyFill="1" applyAlignment="1">
      <alignment horizontal="right"/>
    </xf>
    <xf numFmtId="0" fontId="6" fillId="0" borderId="0" xfId="0" applyFont="1"/>
    <xf numFmtId="0" fontId="7" fillId="0" borderId="0" xfId="0" applyFont="1"/>
    <xf numFmtId="165" fontId="6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5" fontId="7" fillId="0" borderId="0" xfId="0" applyNumberFormat="1" applyFont="1"/>
    <xf numFmtId="0" fontId="14" fillId="0" borderId="0" xfId="0" applyFont="1"/>
    <xf numFmtId="165" fontId="0" fillId="0" borderId="0" xfId="0" applyNumberFormat="1"/>
    <xf numFmtId="166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15" fillId="0" borderId="0" xfId="0" applyFont="1"/>
    <xf numFmtId="165" fontId="6" fillId="0" borderId="2" xfId="0" applyNumberFormat="1" applyFont="1" applyBorder="1" applyAlignment="1">
      <alignment horizontal="right"/>
    </xf>
    <xf numFmtId="0" fontId="16" fillId="0" borderId="0" xfId="0" applyFont="1"/>
    <xf numFmtId="173" fontId="17" fillId="0" borderId="0" xfId="1" applyNumberFormat="1" applyAlignment="1">
      <alignment horizontal="right"/>
    </xf>
    <xf numFmtId="166" fontId="3" fillId="2" borderId="0" xfId="0" applyNumberFormat="1" applyFont="1" applyFill="1" applyAlignment="1">
      <alignment horizontal="right"/>
    </xf>
    <xf numFmtId="174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176" fontId="4" fillId="0" borderId="0" xfId="0" applyNumberFormat="1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0" fontId="18" fillId="0" borderId="0" xfId="0" applyFont="1"/>
    <xf numFmtId="169" fontId="5" fillId="3" borderId="1" xfId="0" applyNumberFormat="1" applyFont="1" applyFill="1" applyBorder="1" applyAlignment="1">
      <alignment horizontal="right"/>
    </xf>
    <xf numFmtId="177" fontId="5" fillId="3" borderId="1" xfId="0" applyNumberFormat="1" applyFont="1" applyFill="1" applyBorder="1" applyAlignment="1">
      <alignment horizontal="right"/>
    </xf>
    <xf numFmtId="0" fontId="4" fillId="9" borderId="0" xfId="0" applyFont="1" applyFill="1"/>
    <xf numFmtId="0" fontId="2" fillId="9" borderId="0" xfId="0" applyFont="1" applyFill="1"/>
    <xf numFmtId="165" fontId="4" fillId="9" borderId="0" xfId="0" applyNumberFormat="1" applyFont="1" applyFill="1" applyAlignment="1">
      <alignment horizontal="right"/>
    </xf>
    <xf numFmtId="169" fontId="4" fillId="9" borderId="0" xfId="0" applyNumberFormat="1" applyFont="1" applyFill="1" applyAlignment="1">
      <alignment horizontal="right"/>
    </xf>
    <xf numFmtId="0" fontId="0" fillId="9" borderId="0" xfId="0" applyFill="1"/>
    <xf numFmtId="171" fontId="4" fillId="9" borderId="0" xfId="0" applyNumberFormat="1" applyFont="1" applyFill="1" applyAlignment="1">
      <alignment horizontal="right"/>
    </xf>
    <xf numFmtId="167" fontId="4" fillId="9" borderId="0" xfId="0" applyNumberFormat="1" applyFont="1" applyFill="1" applyAlignment="1">
      <alignment horizontal="right"/>
    </xf>
    <xf numFmtId="1" fontId="4" fillId="9" borderId="0" xfId="0" applyNumberFormat="1" applyFont="1" applyFill="1" applyAlignment="1">
      <alignment horizontal="right"/>
    </xf>
    <xf numFmtId="0" fontId="1" fillId="9" borderId="0" xfId="0" applyFont="1" applyFill="1"/>
    <xf numFmtId="165" fontId="1" fillId="9" borderId="2" xfId="0" applyNumberFormat="1" applyFont="1" applyFill="1" applyBorder="1" applyAlignment="1">
      <alignment horizontal="right"/>
    </xf>
    <xf numFmtId="0" fontId="19" fillId="9" borderId="0" xfId="0" applyFont="1" applyFill="1"/>
    <xf numFmtId="0" fontId="20" fillId="9" borderId="0" xfId="0" applyFont="1" applyFill="1"/>
    <xf numFmtId="165" fontId="19" fillId="9" borderId="0" xfId="0" applyNumberFormat="1" applyFont="1" applyFill="1" applyAlignment="1">
      <alignment horizontal="right"/>
    </xf>
  </cellXfs>
  <cellStyles count="2">
    <cellStyle name="Comma" xfId="1" builtinId="3"/>
    <cellStyle name="Normal" xfId="0" builtinId="0"/>
  </cellStyles>
  <dxfs count="3">
    <dxf>
      <font>
        <b/>
        <color rgb="FFFF0000"/>
      </font>
    </dxf>
    <dxf>
      <font>
        <b/>
        <color rgb="FFFF0000"/>
      </font>
    </dxf>
    <dxf>
      <font>
        <b/>
        <color rgb="FF00B05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6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DA"/>
      <rgbColor rgb="FF99CCFF"/>
      <rgbColor rgb="FFFF99CC"/>
      <rgbColor rgb="FFCC99FF"/>
      <rgbColor rgb="FFFDE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63C"/>
      <rgbColor rgb="FF00B050"/>
      <rgbColor rgb="FF003300"/>
      <rgbColor rgb="FF333300"/>
      <rgbColor rgb="FF993300"/>
      <rgbColor rgb="FF993366"/>
      <rgbColor rgb="FF333399"/>
      <rgbColor rgb="FF3C3C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6182A0-AB7B-44DC-8B8D-45EA612DE7E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262567c-1881-4602-907a-42f74907006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S444"/>
  <sheetViews>
    <sheetView showGridLines="0" tabSelected="1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28" sqref="E128"/>
    </sheetView>
  </sheetViews>
  <sheetFormatPr defaultColWidth="8.6640625" defaultRowHeight="14.4" outlineLevelRow="1" x14ac:dyDescent="0.3"/>
  <cols>
    <col min="1" max="2" width="2" customWidth="1"/>
    <col min="3" max="3" width="56" customWidth="1"/>
    <col min="4" max="4" width="10" customWidth="1"/>
    <col min="5" max="7" width="13" customWidth="1"/>
    <col min="8" max="8" width="15" customWidth="1"/>
    <col min="9" max="9" width="2" customWidth="1"/>
    <col min="10" max="45" width="10" customWidth="1"/>
  </cols>
  <sheetData>
    <row r="2" spans="2:8" x14ac:dyDescent="0.3">
      <c r="C2" s="1" t="s">
        <v>0</v>
      </c>
    </row>
    <row r="3" spans="2:8" x14ac:dyDescent="0.3">
      <c r="C3" s="1" t="s">
        <v>1</v>
      </c>
      <c r="D3" s="2" t="s">
        <v>2</v>
      </c>
      <c r="H3" s="3">
        <f>Master_Check</f>
        <v>0</v>
      </c>
    </row>
    <row r="5" spans="2:8" x14ac:dyDescent="0.3">
      <c r="B5" s="4" t="s">
        <v>3</v>
      </c>
      <c r="C5" s="4" t="s">
        <v>4</v>
      </c>
      <c r="D5" s="4"/>
      <c r="E5" s="5" t="s">
        <v>5</v>
      </c>
      <c r="F5" s="5" t="s">
        <v>6</v>
      </c>
      <c r="G5" s="5" t="s">
        <v>7</v>
      </c>
      <c r="H5" s="5" t="s">
        <v>8</v>
      </c>
    </row>
    <row r="6" spans="2:8" x14ac:dyDescent="0.3">
      <c r="C6" s="6" t="s">
        <v>9</v>
      </c>
      <c r="D6" s="2" t="s">
        <v>10</v>
      </c>
      <c r="E6" s="7">
        <v>50</v>
      </c>
      <c r="F6" s="7">
        <v>50</v>
      </c>
      <c r="G6" s="7">
        <v>50</v>
      </c>
      <c r="H6" s="8">
        <f>SUM(E6:G6)</f>
        <v>150</v>
      </c>
    </row>
    <row r="7" spans="2:8" x14ac:dyDescent="0.3">
      <c r="C7" s="6" t="s">
        <v>11</v>
      </c>
      <c r="D7" s="2" t="s">
        <v>12</v>
      </c>
      <c r="E7" s="9">
        <v>0.2</v>
      </c>
      <c r="F7" s="9">
        <v>0.4</v>
      </c>
      <c r="G7" s="9">
        <v>0.4</v>
      </c>
    </row>
    <row r="8" spans="2:8" x14ac:dyDescent="0.3">
      <c r="C8" s="6" t="s">
        <v>13</v>
      </c>
      <c r="D8" s="2" t="s">
        <v>12</v>
      </c>
      <c r="E8" s="9">
        <v>0.1</v>
      </c>
      <c r="F8" s="9">
        <v>0.2</v>
      </c>
      <c r="G8" s="9">
        <v>0.2</v>
      </c>
    </row>
    <row r="9" spans="2:8" x14ac:dyDescent="0.3">
      <c r="C9" s="6" t="s">
        <v>14</v>
      </c>
      <c r="D9" s="2" t="s">
        <v>15</v>
      </c>
      <c r="E9" s="7">
        <v>4</v>
      </c>
      <c r="F9" s="7">
        <v>4</v>
      </c>
      <c r="G9" s="7">
        <v>4</v>
      </c>
    </row>
    <row r="10" spans="2:8" x14ac:dyDescent="0.3">
      <c r="C10" s="6" t="s">
        <v>16</v>
      </c>
      <c r="D10" s="2" t="s">
        <v>12</v>
      </c>
      <c r="E10" s="9">
        <v>0.1</v>
      </c>
      <c r="F10" s="9">
        <v>0.1</v>
      </c>
      <c r="G10" s="9">
        <v>0.1</v>
      </c>
    </row>
    <row r="11" spans="2:8" x14ac:dyDescent="0.3">
      <c r="C11" s="6" t="s">
        <v>17</v>
      </c>
      <c r="D11" s="2" t="s">
        <v>18</v>
      </c>
      <c r="E11" s="7">
        <v>20</v>
      </c>
      <c r="F11" s="7">
        <v>50</v>
      </c>
      <c r="G11" s="7">
        <v>50</v>
      </c>
    </row>
    <row r="12" spans="2:8" x14ac:dyDescent="0.3">
      <c r="C12" s="6" t="s">
        <v>19</v>
      </c>
      <c r="D12" s="2" t="s">
        <v>20</v>
      </c>
      <c r="E12" s="10">
        <v>0</v>
      </c>
      <c r="F12" s="10">
        <v>3</v>
      </c>
      <c r="G12" s="10">
        <v>3</v>
      </c>
    </row>
    <row r="13" spans="2:8" x14ac:dyDescent="0.3">
      <c r="C13" s="6" t="s">
        <v>21</v>
      </c>
      <c r="D13" s="2" t="s">
        <v>2</v>
      </c>
      <c r="E13" s="11">
        <v>1</v>
      </c>
      <c r="F13" s="11">
        <v>1</v>
      </c>
      <c r="G13" s="11">
        <v>1</v>
      </c>
    </row>
    <row r="14" spans="2:8" x14ac:dyDescent="0.3">
      <c r="C14" s="6" t="s">
        <v>22</v>
      </c>
      <c r="D14" s="2" t="s">
        <v>3</v>
      </c>
      <c r="E14" s="12">
        <v>1</v>
      </c>
      <c r="F14" s="12">
        <v>1</v>
      </c>
      <c r="G14" s="12">
        <v>1</v>
      </c>
    </row>
    <row r="15" spans="2:8" x14ac:dyDescent="0.3">
      <c r="C15" s="6" t="s">
        <v>23</v>
      </c>
      <c r="D15" s="2" t="s">
        <v>2</v>
      </c>
      <c r="E15" s="11">
        <v>0</v>
      </c>
      <c r="F15" s="11">
        <v>0</v>
      </c>
      <c r="G15" s="11">
        <v>0</v>
      </c>
    </row>
    <row r="16" spans="2:8" x14ac:dyDescent="0.3">
      <c r="C16" s="6" t="s">
        <v>24</v>
      </c>
      <c r="D16" s="2" t="s">
        <v>2</v>
      </c>
      <c r="E16" s="11">
        <v>1</v>
      </c>
      <c r="F16" s="11">
        <v>1</v>
      </c>
      <c r="G16" s="11">
        <v>1</v>
      </c>
    </row>
    <row r="17" spans="2:10" x14ac:dyDescent="0.3">
      <c r="C17" s="6" t="s">
        <v>25</v>
      </c>
      <c r="D17" s="2" t="s">
        <v>26</v>
      </c>
      <c r="E17" s="13" t="s">
        <v>27</v>
      </c>
      <c r="F17" s="13" t="s">
        <v>27</v>
      </c>
      <c r="G17" s="13" t="s">
        <v>27</v>
      </c>
    </row>
    <row r="18" spans="2:10" x14ac:dyDescent="0.3">
      <c r="C18" s="6" t="s">
        <v>28</v>
      </c>
      <c r="D18" s="2" t="s">
        <v>18</v>
      </c>
      <c r="E18" s="7">
        <v>150</v>
      </c>
      <c r="F18" s="7">
        <v>150</v>
      </c>
      <c r="G18" s="7">
        <v>150</v>
      </c>
    </row>
    <row r="19" spans="2:10" x14ac:dyDescent="0.3">
      <c r="C19" s="6" t="s">
        <v>29</v>
      </c>
      <c r="D19" s="2" t="s">
        <v>12</v>
      </c>
      <c r="E19" s="9">
        <v>0.7</v>
      </c>
      <c r="F19" s="9">
        <v>1</v>
      </c>
      <c r="G19" s="9">
        <v>1</v>
      </c>
    </row>
    <row r="20" spans="2:10" x14ac:dyDescent="0.3">
      <c r="C20" s="6" t="s">
        <v>30</v>
      </c>
      <c r="D20" s="2" t="s">
        <v>2</v>
      </c>
      <c r="E20" s="11">
        <v>1</v>
      </c>
      <c r="F20" s="11">
        <v>0</v>
      </c>
      <c r="G20" s="11">
        <v>0</v>
      </c>
    </row>
    <row r="21" spans="2:10" x14ac:dyDescent="0.3">
      <c r="C21" s="6" t="s">
        <v>31</v>
      </c>
      <c r="D21" s="2" t="s">
        <v>2</v>
      </c>
      <c r="E21" s="11">
        <v>1</v>
      </c>
      <c r="F21" s="11">
        <v>0</v>
      </c>
      <c r="G21" s="11">
        <v>0</v>
      </c>
    </row>
    <row r="22" spans="2:10" x14ac:dyDescent="0.3">
      <c r="C22" s="6" t="s">
        <v>32</v>
      </c>
      <c r="D22" s="2" t="s">
        <v>33</v>
      </c>
      <c r="E22" s="14">
        <v>2500</v>
      </c>
      <c r="F22" s="14">
        <v>2500</v>
      </c>
      <c r="G22" s="14">
        <v>2500</v>
      </c>
    </row>
    <row r="24" spans="2:10" x14ac:dyDescent="0.3">
      <c r="B24" s="4" t="s">
        <v>3</v>
      </c>
      <c r="C24" s="4" t="s">
        <v>34</v>
      </c>
      <c r="D24" s="4"/>
      <c r="E24" s="5" t="s">
        <v>35</v>
      </c>
      <c r="F24" s="5" t="s">
        <v>36</v>
      </c>
      <c r="G24" s="5" t="s">
        <v>37</v>
      </c>
      <c r="H24" s="5" t="s">
        <v>38</v>
      </c>
    </row>
    <row r="25" spans="2:10" x14ac:dyDescent="0.3">
      <c r="C25" s="1" t="s">
        <v>39</v>
      </c>
      <c r="D25" s="2" t="s">
        <v>40</v>
      </c>
      <c r="H25" s="13" t="s">
        <v>35</v>
      </c>
    </row>
    <row r="26" spans="2:10" x14ac:dyDescent="0.3">
      <c r="C26" s="6" t="s">
        <v>41</v>
      </c>
      <c r="D26" s="2" t="s">
        <v>42</v>
      </c>
      <c r="E26" s="7">
        <v>850</v>
      </c>
      <c r="F26" s="7">
        <v>950</v>
      </c>
      <c r="G26" s="7">
        <v>800</v>
      </c>
      <c r="H26" s="15">
        <f>INDEX(E26:G26,MATCH(Dash_Case,$E$24:$G$24,0))</f>
        <v>850</v>
      </c>
      <c r="J26" s="2" t="s">
        <v>43</v>
      </c>
    </row>
    <row r="27" spans="2:10" x14ac:dyDescent="0.3">
      <c r="C27" s="6" t="s">
        <v>44</v>
      </c>
      <c r="D27" s="2" t="s">
        <v>42</v>
      </c>
      <c r="E27" s="7">
        <v>500</v>
      </c>
      <c r="F27" s="7">
        <v>600</v>
      </c>
      <c r="G27" s="7">
        <v>480</v>
      </c>
      <c r="H27" s="15">
        <f>INDEX(E27:G27,MATCH(Dash_Case,$E$24:$G$24,0))</f>
        <v>500</v>
      </c>
      <c r="J27" s="2" t="s">
        <v>45</v>
      </c>
    </row>
    <row r="28" spans="2:10" x14ac:dyDescent="0.3">
      <c r="C28" s="6" t="s">
        <v>46</v>
      </c>
      <c r="D28" s="2" t="s">
        <v>20</v>
      </c>
      <c r="E28" s="10">
        <v>90</v>
      </c>
      <c r="F28" s="10">
        <v>90</v>
      </c>
      <c r="G28" s="10">
        <v>100</v>
      </c>
      <c r="H28" s="16">
        <f>INDEX(E28:G28,MATCH(Dash_Case,$E$24:$G$24,0))</f>
        <v>90</v>
      </c>
      <c r="J28" s="2" t="s">
        <v>47</v>
      </c>
    </row>
    <row r="29" spans="2:10" x14ac:dyDescent="0.3">
      <c r="C29" s="6" t="s">
        <v>548</v>
      </c>
      <c r="D29" s="2" t="s">
        <v>33</v>
      </c>
      <c r="E29" s="7">
        <v>2400</v>
      </c>
      <c r="F29" s="7">
        <v>2350</v>
      </c>
      <c r="G29" s="7">
        <v>2500</v>
      </c>
      <c r="H29" s="15">
        <f>INDEX(E29:G29,MATCH(Dash_Case,$E$24:$G$24,0))</f>
        <v>2400</v>
      </c>
      <c r="J29" s="2" t="s">
        <v>48</v>
      </c>
    </row>
    <row r="30" spans="2:10" x14ac:dyDescent="0.3">
      <c r="C30" s="6" t="s">
        <v>49</v>
      </c>
      <c r="D30" s="2" t="s">
        <v>50</v>
      </c>
      <c r="E30" s="10">
        <v>12</v>
      </c>
      <c r="F30" s="10">
        <v>12</v>
      </c>
      <c r="G30" s="10">
        <v>10</v>
      </c>
      <c r="H30" s="16">
        <f>INDEX(E30:G30,MATCH(Dash_Case,$E$24:$G$24,0))</f>
        <v>12</v>
      </c>
      <c r="J30" s="2" t="s">
        <v>51</v>
      </c>
    </row>
    <row r="32" spans="2:10" x14ac:dyDescent="0.3">
      <c r="B32" s="4" t="s">
        <v>3</v>
      </c>
      <c r="C32" s="4" t="s">
        <v>52</v>
      </c>
      <c r="D32" s="4"/>
      <c r="E32" s="5" t="s">
        <v>5</v>
      </c>
      <c r="F32" s="5" t="s">
        <v>6</v>
      </c>
      <c r="G32" s="5" t="s">
        <v>7</v>
      </c>
      <c r="H32" s="5" t="s">
        <v>8</v>
      </c>
    </row>
    <row r="33" spans="2:13" x14ac:dyDescent="0.3">
      <c r="C33" s="6" t="s">
        <v>53</v>
      </c>
      <c r="D33" s="2" t="s">
        <v>54</v>
      </c>
      <c r="E33" s="17">
        <f>INDEX(Osz1_Pts,1+SUMPRODUCT((Osz1_LB&lt;E11)+(Osz1_LB=E11)*Osz1_Incl))*Osz1_W</f>
        <v>4</v>
      </c>
      <c r="F33" s="17">
        <f>INDEX(Osz1_Pts,1+SUMPRODUCT((Osz1_LB&lt;F11)+(Osz1_LB=F11)*Osz1_Incl))*Osz1_W</f>
        <v>20</v>
      </c>
      <c r="G33" s="17">
        <f>INDEX(Osz1_Pts,1+SUMPRODUCT((Osz1_LB&lt;G11)+(Osz1_LB=G11)*Osz1_Incl))*Osz1_W</f>
        <v>20</v>
      </c>
    </row>
    <row r="34" spans="2:13" x14ac:dyDescent="0.3">
      <c r="C34" s="6" t="s">
        <v>55</v>
      </c>
      <c r="D34" s="2" t="s">
        <v>54</v>
      </c>
      <c r="E34" s="17">
        <f>INDEX(Osz2_Pts,1+SUMPRODUCT((Osz2_LB&lt;E12)+(Osz2_LB=E12)*Osz2_Incl))*Osz2_W</f>
        <v>0</v>
      </c>
      <c r="F34" s="17">
        <f>INDEX(Osz2_Pts,1+SUMPRODUCT((Osz2_LB&lt;F12)+(Osz2_LB=F12)*Osz2_Incl))*Osz2_W</f>
        <v>15</v>
      </c>
      <c r="G34" s="17">
        <f>INDEX(Osz2_Pts,1+SUMPRODUCT((Osz2_LB&lt;G12)+(Osz2_LB=G12)*Osz2_Incl))*Osz2_W</f>
        <v>15</v>
      </c>
    </row>
    <row r="35" spans="2:13" x14ac:dyDescent="0.3">
      <c r="C35" s="6" t="s">
        <v>56</v>
      </c>
      <c r="D35" s="2" t="s">
        <v>54</v>
      </c>
      <c r="E35" s="17">
        <f>INDEX(Osz3_Pts,1+SUMPRODUCT((Osz3_LB&lt;E7)+(Osz3_LB=E7)*Osz3_Incl))*Osz3_W</f>
        <v>5</v>
      </c>
      <c r="F35" s="17">
        <f>INDEX(Osz3_Pts,1+SUMPRODUCT((Osz3_LB&lt;F7)+(Osz3_LB=F7)*Osz3_Incl))*Osz3_W</f>
        <v>9</v>
      </c>
      <c r="G35" s="17">
        <f>INDEX(Osz3_Pts,1+SUMPRODUCT((Osz3_LB&lt;G7)+(Osz3_LB=G7)*Osz3_Incl))*Osz3_W</f>
        <v>9</v>
      </c>
    </row>
    <row r="36" spans="2:13" x14ac:dyDescent="0.3">
      <c r="C36" s="6" t="s">
        <v>57</v>
      </c>
      <c r="D36" s="2" t="s">
        <v>54</v>
      </c>
      <c r="E36" s="17" cm="1">
        <f t="array" ref="E36">INDEX(Osz4_Pts,1+SUMPRODUCT((Osz4_LB&lt;E8)+(Osz4_LB=E8)*Osz4_Incl))*Osz4_W</f>
        <v>4.5</v>
      </c>
      <c r="F36" s="17" cm="1">
        <f t="array" ref="F36">INDEX(Osz4_Pts,1+SUMPRODUCT((Osz4_LB&lt;F8)+(Osz4_LB=F8)*Osz4_Incl))*Osz4_W</f>
        <v>7.5</v>
      </c>
      <c r="G36" s="17" cm="1">
        <f t="array" ref="G36">INDEX(Osz4_Pts,1+SUMPRODUCT((Osz4_LB&lt;G8)+(Osz4_LB=G8)*Osz4_Incl))*Osz4_W</f>
        <v>7.5</v>
      </c>
    </row>
    <row r="37" spans="2:13" x14ac:dyDescent="0.3">
      <c r="C37" s="6" t="s">
        <v>58</v>
      </c>
      <c r="D37" s="2" t="s">
        <v>54</v>
      </c>
      <c r="E37" s="17">
        <f>E13*Osz5_Pts*Osz5_W</f>
        <v>5</v>
      </c>
      <c r="F37" s="17">
        <f>F13*Osz5_Pts*Osz5_W</f>
        <v>5</v>
      </c>
      <c r="G37" s="17">
        <f>G13*Osz5_Pts*Osz5_W</f>
        <v>5</v>
      </c>
    </row>
    <row r="38" spans="2:13" x14ac:dyDescent="0.3">
      <c r="C38" s="6" t="s">
        <v>59</v>
      </c>
      <c r="D38" s="2" t="s">
        <v>54</v>
      </c>
      <c r="E38" s="17">
        <f>INDEX(Osz6_Pts,1+SUMPRODUCT((Osz6_LB&lt;E14)+(Osz6_LB=E14)*Osz6_Incl))*Osz6_W</f>
        <v>0</v>
      </c>
      <c r="F38" s="17">
        <f>INDEX(Osz6_Pts,1+SUMPRODUCT((Osz6_LB&lt;F14)+(Osz6_LB=F14)*Osz6_Incl))*Osz6_W</f>
        <v>0</v>
      </c>
      <c r="G38" s="17">
        <f>INDEX(Osz6_Pts,1+SUMPRODUCT((Osz6_LB&lt;G14)+(Osz6_LB=G14)*Osz6_Incl))*Osz6_W</f>
        <v>0</v>
      </c>
    </row>
    <row r="39" spans="2:13" x14ac:dyDescent="0.3">
      <c r="C39" s="6" t="s">
        <v>60</v>
      </c>
      <c r="D39" s="2" t="s">
        <v>54</v>
      </c>
      <c r="E39" s="17">
        <f>E15*Osz7_Pts*Osz7_W</f>
        <v>0</v>
      </c>
      <c r="F39" s="17">
        <f>F15*Osz7_Pts*Osz7_W</f>
        <v>0</v>
      </c>
      <c r="G39" s="17">
        <f>G15*Osz7_Pts*Osz7_W</f>
        <v>0</v>
      </c>
    </row>
    <row r="40" spans="2:13" x14ac:dyDescent="0.3">
      <c r="C40" s="6" t="s">
        <v>61</v>
      </c>
      <c r="D40" s="2" t="s">
        <v>54</v>
      </c>
      <c r="E40" s="17">
        <f>E16*Osz8_Pts*Osz8_W</f>
        <v>5</v>
      </c>
      <c r="F40" s="17">
        <f>F16*Osz8_Pts*Osz8_W</f>
        <v>5</v>
      </c>
      <c r="G40" s="17">
        <f>G16*Osz8_Pts*Osz8_W</f>
        <v>5</v>
      </c>
    </row>
    <row r="41" spans="2:13" x14ac:dyDescent="0.3">
      <c r="C41" s="6" t="s">
        <v>62</v>
      </c>
      <c r="D41" s="2" t="s">
        <v>54</v>
      </c>
      <c r="E41" s="17">
        <f>N(E17="EU")*Osz9a_Pts*Osz9_W</f>
        <v>0</v>
      </c>
      <c r="F41" s="17">
        <f>N(F17="EU")*Osz9a_Pts*Osz9_W</f>
        <v>0</v>
      </c>
      <c r="G41" s="17">
        <f>N(G17="EU")*Osz9a_Pts*Osz9_W</f>
        <v>0</v>
      </c>
    </row>
    <row r="42" spans="2:13" x14ac:dyDescent="0.3">
      <c r="C42" s="6" t="s">
        <v>63</v>
      </c>
      <c r="D42" s="2" t="s">
        <v>54</v>
      </c>
      <c r="E42" s="17">
        <f>Inputs!E$19*Osz9b_Pts*Osz9_W</f>
        <v>0</v>
      </c>
      <c r="F42" s="17">
        <f>Inputs!F$19*Osz9b_Pts*Osz9_W</f>
        <v>0</v>
      </c>
      <c r="G42" s="17">
        <f>Inputs!G$19*Osz9b_Pts*Osz9_W</f>
        <v>0</v>
      </c>
    </row>
    <row r="43" spans="2:13" x14ac:dyDescent="0.3">
      <c r="C43" s="1" t="s">
        <v>64</v>
      </c>
      <c r="D43" s="2" t="s">
        <v>54</v>
      </c>
      <c r="E43" s="18">
        <f>SUM(E33:E42)</f>
        <v>23.5</v>
      </c>
      <c r="F43" s="18">
        <f>SUM(F33:F42)</f>
        <v>61.5</v>
      </c>
      <c r="G43" s="18">
        <f>SUM(G33:G42)</f>
        <v>61.5</v>
      </c>
    </row>
    <row r="44" spans="2:13" x14ac:dyDescent="0.3">
      <c r="C44" s="6" t="s">
        <v>65</v>
      </c>
      <c r="D44" s="2" t="s">
        <v>66</v>
      </c>
      <c r="E44" s="17">
        <f>E6*(1+E7)</f>
        <v>60</v>
      </c>
      <c r="F44" s="17">
        <f>F6*(1+F7)</f>
        <v>70</v>
      </c>
      <c r="G44" s="17">
        <f>G6*(1+G7)</f>
        <v>70</v>
      </c>
      <c r="H44" s="17">
        <f>SUM(E44:G44)</f>
        <v>200</v>
      </c>
    </row>
    <row r="45" spans="2:13" x14ac:dyDescent="0.3">
      <c r="C45" s="6" t="s">
        <v>67</v>
      </c>
      <c r="D45" s="2" t="s">
        <v>68</v>
      </c>
      <c r="E45" s="17">
        <f>E6*E8*E9</f>
        <v>20</v>
      </c>
      <c r="F45" s="17">
        <f>F6*F8*F9</f>
        <v>40</v>
      </c>
      <c r="G45" s="17">
        <f>G6*G8*G9</f>
        <v>40</v>
      </c>
      <c r="H45" s="17">
        <f>SUM(E45:G45)</f>
        <v>100</v>
      </c>
    </row>
    <row r="46" spans="2:13" x14ac:dyDescent="0.3">
      <c r="C46" s="6" t="s">
        <v>69</v>
      </c>
      <c r="D46" s="2" t="s">
        <v>66</v>
      </c>
      <c r="E46" s="17">
        <f>E44*(1-E10)</f>
        <v>54</v>
      </c>
      <c r="F46" s="17">
        <f>F44*(1-F10)</f>
        <v>63</v>
      </c>
      <c r="G46" s="17">
        <f>G44*(1-G10)</f>
        <v>63</v>
      </c>
      <c r="H46" s="17">
        <f>SUM(E46:G46)</f>
        <v>180</v>
      </c>
    </row>
    <row r="47" spans="2:13" x14ac:dyDescent="0.3">
      <c r="K47" s="19"/>
      <c r="L47" s="19"/>
      <c r="M47" s="19"/>
    </row>
    <row r="48" spans="2:13" x14ac:dyDescent="0.3">
      <c r="B48" s="4" t="s">
        <v>3</v>
      </c>
      <c r="C48" s="4" t="s">
        <v>70</v>
      </c>
      <c r="D48" s="4"/>
      <c r="E48" s="5" t="s">
        <v>5</v>
      </c>
      <c r="F48" s="5" t="s">
        <v>6</v>
      </c>
      <c r="G48" s="5" t="s">
        <v>7</v>
      </c>
      <c r="H48" s="5" t="s">
        <v>8</v>
      </c>
      <c r="J48" s="5" t="s">
        <v>71</v>
      </c>
      <c r="K48" s="20"/>
      <c r="L48" s="20"/>
      <c r="M48" s="19"/>
    </row>
    <row r="49" spans="2:13" x14ac:dyDescent="0.3">
      <c r="C49" s="21" t="s">
        <v>72</v>
      </c>
      <c r="D49" s="22" t="s">
        <v>73</v>
      </c>
      <c r="E49" s="23">
        <f>Part_Fee</f>
        <v>3000000</v>
      </c>
      <c r="F49" s="23">
        <f>Part_Fee</f>
        <v>3000000</v>
      </c>
      <c r="G49" s="23">
        <f>Part_Fee</f>
        <v>3000000</v>
      </c>
      <c r="H49" s="23">
        <f t="shared" ref="H49:H58" si="0">SUM(E49:G49)</f>
        <v>9000000</v>
      </c>
      <c r="J49" s="24">
        <f>Inputs!E$21</f>
        <v>46325</v>
      </c>
      <c r="K49" s="25"/>
      <c r="L49" s="25"/>
      <c r="M49" s="19"/>
    </row>
    <row r="50" spans="2:13" x14ac:dyDescent="0.3">
      <c r="C50" s="21" t="s">
        <v>74</v>
      </c>
      <c r="D50" s="22" t="s">
        <v>73</v>
      </c>
      <c r="E50" s="23">
        <f>Bid_Sec_Rate*(E44*Bench_Wind+E45*Bench_BESS)</f>
        <v>141800000</v>
      </c>
      <c r="F50" s="23">
        <f>Bid_Sec_Rate*(F44*Bench_Wind+F45*Bench_BESS)</f>
        <v>182100000</v>
      </c>
      <c r="G50" s="23">
        <f>Bid_Sec_Rate*(G44*Bench_Wind+G45*Bench_BESS)</f>
        <v>182100000</v>
      </c>
      <c r="H50" s="23">
        <f t="shared" si="0"/>
        <v>506000000</v>
      </c>
      <c r="J50" s="24">
        <f>Inputs!E$21</f>
        <v>46325</v>
      </c>
      <c r="K50" s="25"/>
      <c r="L50" s="25"/>
      <c r="M50" s="19"/>
    </row>
    <row r="51" spans="2:13" x14ac:dyDescent="0.3">
      <c r="C51" s="21" t="s">
        <v>75</v>
      </c>
      <c r="D51" s="22" t="s">
        <v>73</v>
      </c>
      <c r="E51" s="23">
        <f>PB_Rate*E14*(E44*Bench_Wind+E45*Bench_BESS)-E50</f>
        <v>567200000</v>
      </c>
      <c r="F51" s="23">
        <f>PB_Rate*F14*(F44*Bench_Wind+F45*Bench_BESS)-F50</f>
        <v>728400000</v>
      </c>
      <c r="G51" s="23">
        <f>PB_Rate*G14*(G44*Bench_Wind+G45*Bench_BESS)-G50</f>
        <v>728400000</v>
      </c>
      <c r="H51" s="23">
        <f t="shared" si="0"/>
        <v>2024000000</v>
      </c>
      <c r="J51" s="24">
        <f>Inputs!E$22</f>
        <v>46402</v>
      </c>
      <c r="K51" s="25"/>
      <c r="L51" s="25"/>
      <c r="M51" s="19"/>
    </row>
    <row r="52" spans="2:13" x14ac:dyDescent="0.3">
      <c r="C52" s="26" t="s">
        <v>76</v>
      </c>
      <c r="D52" s="27" t="s">
        <v>73</v>
      </c>
      <c r="E52" s="28">
        <f>TSO_Rate*E6</f>
        <v>225000000</v>
      </c>
      <c r="F52" s="28">
        <f>TSO_Rate*F6</f>
        <v>225000000</v>
      </c>
      <c r="G52" s="28">
        <f>TSO_Rate*G6</f>
        <v>225000000</v>
      </c>
      <c r="H52" s="28">
        <f t="shared" si="0"/>
        <v>675000000</v>
      </c>
      <c r="J52" s="24">
        <f>Inputs!E$23</f>
        <v>46402</v>
      </c>
      <c r="K52" s="25"/>
      <c r="L52" s="25"/>
      <c r="M52" s="19"/>
    </row>
    <row r="53" spans="2:13" x14ac:dyDescent="0.3">
      <c r="C53" s="29" t="s">
        <v>77</v>
      </c>
      <c r="D53" s="30" t="s">
        <v>73</v>
      </c>
      <c r="E53" s="31">
        <f>Inputs!E$15/Inputs!E$16</f>
        <v>254172902</v>
      </c>
      <c r="F53" s="31">
        <f>Inputs!F$15/Inputs!F$16</f>
        <v>460000000</v>
      </c>
      <c r="G53" s="31">
        <f>Inputs!G$15/Inputs!G$16</f>
        <v>460000000</v>
      </c>
      <c r="H53" s="31">
        <f t="shared" si="0"/>
        <v>1174172902</v>
      </c>
      <c r="J53" s="24">
        <f>Inputs!E$24</f>
        <v>47027</v>
      </c>
      <c r="K53" s="25"/>
      <c r="L53" s="25"/>
      <c r="M53" s="19"/>
    </row>
    <row r="54" spans="2:13" x14ac:dyDescent="0.3">
      <c r="C54" s="29" t="s">
        <v>78</v>
      </c>
      <c r="D54" s="30" t="s">
        <v>73</v>
      </c>
      <c r="E54" s="31">
        <f>Inputs!E$14*E6-E52</f>
        <v>3428565300</v>
      </c>
      <c r="F54" s="31">
        <f>Inputs!F$14*F6-F52</f>
        <v>766334000</v>
      </c>
      <c r="G54" s="31">
        <f>Inputs!G$14*G6-G52</f>
        <v>766334000</v>
      </c>
      <c r="H54" s="31">
        <f t="shared" si="0"/>
        <v>4961233300</v>
      </c>
      <c r="J54" s="24">
        <f>Inputs!E$24</f>
        <v>47027</v>
      </c>
      <c r="K54" s="25"/>
      <c r="L54" s="25"/>
      <c r="M54" s="19"/>
    </row>
    <row r="55" spans="2:13" x14ac:dyDescent="0.3">
      <c r="C55" s="6" t="s">
        <v>79</v>
      </c>
      <c r="D55" s="2" t="s">
        <v>73</v>
      </c>
      <c r="E55" s="8">
        <f>SUMIF(Devex_Class,"Devex",Devex_HUF)*Inputs!E$18</f>
        <v>255901067.96734697</v>
      </c>
      <c r="F55" s="8">
        <f>SUMIF(Devex_Class,"Devex",Devex_HUF)*Inputs!F$18</f>
        <v>255901067.96734697</v>
      </c>
      <c r="G55" s="8">
        <f>SUMIF(Devex_Class,"Devex",Devex_HUF)*Inputs!G$18</f>
        <v>255901067.96734697</v>
      </c>
      <c r="H55" s="8">
        <f t="shared" si="0"/>
        <v>767703203.90204096</v>
      </c>
      <c r="J55" s="24">
        <f>SUMPRODUCT((Devex_Class="Devex")*Devex_HUF,Devex_Date)/SUMIF(Devex_Class,"Devex",Devex_HUF)</f>
        <v>46714.124275888054</v>
      </c>
      <c r="K55" s="25"/>
      <c r="L55" s="25"/>
      <c r="M55" s="19"/>
    </row>
    <row r="56" spans="2:13" x14ac:dyDescent="0.3">
      <c r="C56" s="6" t="s">
        <v>80</v>
      </c>
      <c r="D56" s="2" t="s">
        <v>73</v>
      </c>
      <c r="E56" s="8">
        <f>SUMIF(Devex_Class,"Land",Devex_HUF)*Inputs!E$18</f>
        <v>39347625</v>
      </c>
      <c r="F56" s="8">
        <f>SUMIF(Devex_Class,"Land",Devex_HUF)*Inputs!F$18</f>
        <v>39347625</v>
      </c>
      <c r="G56" s="8">
        <f>SUMIF(Devex_Class,"Land",Devex_HUF)*Inputs!G$18</f>
        <v>39347625</v>
      </c>
      <c r="H56" s="8">
        <f t="shared" si="0"/>
        <v>118042875</v>
      </c>
      <c r="J56" s="24">
        <f>SUMPRODUCT((Devex_Class="Land")*Devex_HUF,Devex_Date)/SUMIF(Devex_Class,"Land",Devex_HUF)</f>
        <v>46877.176865820999</v>
      </c>
      <c r="K56" s="25"/>
      <c r="L56" s="25"/>
      <c r="M56" s="19"/>
    </row>
    <row r="57" spans="2:13" x14ac:dyDescent="0.3">
      <c r="C57" s="6" t="s">
        <v>81</v>
      </c>
      <c r="D57" s="2" t="s">
        <v>73</v>
      </c>
      <c r="E57" s="8">
        <f>Inputs!E$17*FX*Thousand</f>
        <v>36500000</v>
      </c>
      <c r="F57" s="8">
        <f>Inputs!F$17*FX*Thousand</f>
        <v>54750000</v>
      </c>
      <c r="G57" s="8">
        <f>Inputs!G$17*FX*Thousand</f>
        <v>54750000</v>
      </c>
      <c r="H57" s="8">
        <f t="shared" si="0"/>
        <v>146000000</v>
      </c>
      <c r="J57" s="24">
        <f>Inputs!E$20</f>
        <v>46234</v>
      </c>
      <c r="K57" s="25"/>
      <c r="L57" s="25"/>
      <c r="M57" s="19"/>
    </row>
    <row r="58" spans="2:13" x14ac:dyDescent="0.3">
      <c r="C58" s="1" t="s">
        <v>82</v>
      </c>
      <c r="D58" s="2" t="s">
        <v>73</v>
      </c>
      <c r="E58" s="32">
        <f>SUM(E49:E57)</f>
        <v>4951486894.9673471</v>
      </c>
      <c r="F58" s="32">
        <f>SUM(F49:F57)</f>
        <v>2714832692.9673471</v>
      </c>
      <c r="G58" s="32">
        <f>SUM(G49:G57)</f>
        <v>2714832692.9673471</v>
      </c>
      <c r="H58" s="32">
        <f t="shared" si="0"/>
        <v>10381152280.902042</v>
      </c>
      <c r="K58" s="19"/>
      <c r="L58" s="19"/>
      <c r="M58" s="19"/>
    </row>
    <row r="59" spans="2:13" x14ac:dyDescent="0.3">
      <c r="K59" s="19"/>
      <c r="L59" s="19"/>
      <c r="M59" s="19"/>
    </row>
    <row r="60" spans="2:13" x14ac:dyDescent="0.3">
      <c r="B60" s="4" t="s">
        <v>3</v>
      </c>
      <c r="C60" s="4" t="s">
        <v>83</v>
      </c>
      <c r="D60" s="4"/>
      <c r="E60" s="5" t="s">
        <v>5</v>
      </c>
      <c r="F60" s="5" t="s">
        <v>6</v>
      </c>
      <c r="G60" s="5" t="s">
        <v>7</v>
      </c>
      <c r="H60" s="5" t="s">
        <v>8</v>
      </c>
      <c r="J60" s="5" t="s">
        <v>71</v>
      </c>
      <c r="K60" s="20"/>
      <c r="L60" s="20"/>
      <c r="M60" s="19"/>
    </row>
    <row r="61" spans="2:13" x14ac:dyDescent="0.3">
      <c r="C61" s="21" t="s">
        <v>72</v>
      </c>
      <c r="D61" s="22" t="s">
        <v>84</v>
      </c>
      <c r="E61" s="33">
        <f t="shared" ref="E61:G69" si="1">E49/FX/Thousand</f>
        <v>8.2191780821917799</v>
      </c>
      <c r="F61" s="33">
        <f t="shared" si="1"/>
        <v>8.2191780821917799</v>
      </c>
      <c r="G61" s="33">
        <f t="shared" si="1"/>
        <v>8.2191780821917799</v>
      </c>
      <c r="H61" s="33">
        <f t="shared" ref="H61:H70" si="2">SUM(E61:G61)</f>
        <v>24.657534246575338</v>
      </c>
      <c r="J61" s="24">
        <f>Inputs!E$21</f>
        <v>46325</v>
      </c>
      <c r="K61" s="25"/>
      <c r="L61" s="25"/>
      <c r="M61" s="19"/>
    </row>
    <row r="62" spans="2:13" x14ac:dyDescent="0.3">
      <c r="C62" s="21" t="s">
        <v>74</v>
      </c>
      <c r="D62" s="22" t="s">
        <v>84</v>
      </c>
      <c r="E62" s="23">
        <f t="shared" si="1"/>
        <v>388.49315068493149</v>
      </c>
      <c r="F62" s="23">
        <f t="shared" si="1"/>
        <v>498.90410958904107</v>
      </c>
      <c r="G62" s="23">
        <f t="shared" si="1"/>
        <v>498.90410958904107</v>
      </c>
      <c r="H62" s="23">
        <f t="shared" si="2"/>
        <v>1386.3013698630136</v>
      </c>
      <c r="J62" s="24">
        <f>Inputs!E$21</f>
        <v>46325</v>
      </c>
      <c r="K62" s="25"/>
      <c r="L62" s="25"/>
      <c r="M62" s="19"/>
    </row>
    <row r="63" spans="2:13" x14ac:dyDescent="0.3">
      <c r="C63" s="21" t="s">
        <v>75</v>
      </c>
      <c r="D63" s="22" t="s">
        <v>84</v>
      </c>
      <c r="E63" s="23">
        <f t="shared" si="1"/>
        <v>1553.972602739726</v>
      </c>
      <c r="F63" s="23">
        <f t="shared" si="1"/>
        <v>1995.6164383561643</v>
      </c>
      <c r="G63" s="23">
        <f t="shared" si="1"/>
        <v>1995.6164383561643</v>
      </c>
      <c r="H63" s="23">
        <f t="shared" si="2"/>
        <v>5545.2054794520545</v>
      </c>
      <c r="J63" s="24">
        <f>Inputs!E$22</f>
        <v>46402</v>
      </c>
      <c r="K63" s="25"/>
      <c r="L63" s="25"/>
      <c r="M63" s="19"/>
    </row>
    <row r="64" spans="2:13" x14ac:dyDescent="0.3">
      <c r="C64" s="26" t="s">
        <v>76</v>
      </c>
      <c r="D64" s="27" t="s">
        <v>84</v>
      </c>
      <c r="E64" s="28">
        <f t="shared" si="1"/>
        <v>616.43835616438355</v>
      </c>
      <c r="F64" s="28">
        <f t="shared" si="1"/>
        <v>616.43835616438355</v>
      </c>
      <c r="G64" s="28">
        <f t="shared" si="1"/>
        <v>616.43835616438355</v>
      </c>
      <c r="H64" s="28">
        <f t="shared" si="2"/>
        <v>1849.3150684931506</v>
      </c>
      <c r="J64" s="24">
        <f>Inputs!E$23</f>
        <v>46402</v>
      </c>
      <c r="K64" s="24"/>
      <c r="L64" s="24"/>
    </row>
    <row r="65" spans="2:12" x14ac:dyDescent="0.3">
      <c r="C65" s="29" t="s">
        <v>77</v>
      </c>
      <c r="D65" s="30" t="s">
        <v>84</v>
      </c>
      <c r="E65" s="31">
        <f t="shared" si="1"/>
        <v>696.36411506849322</v>
      </c>
      <c r="F65" s="31">
        <f t="shared" si="1"/>
        <v>1260.2739726027396</v>
      </c>
      <c r="G65" s="31">
        <f t="shared" si="1"/>
        <v>1260.2739726027396</v>
      </c>
      <c r="H65" s="31">
        <f t="shared" si="2"/>
        <v>3216.9120602739722</v>
      </c>
      <c r="J65" s="24">
        <f>Inputs!E$24</f>
        <v>47027</v>
      </c>
      <c r="K65" s="24"/>
      <c r="L65" s="24"/>
    </row>
    <row r="66" spans="2:12" x14ac:dyDescent="0.3">
      <c r="C66" s="29" t="s">
        <v>78</v>
      </c>
      <c r="D66" s="30" t="s">
        <v>84</v>
      </c>
      <c r="E66" s="31">
        <f t="shared" si="1"/>
        <v>9393.3295890410955</v>
      </c>
      <c r="F66" s="31">
        <f t="shared" si="1"/>
        <v>2099.5452054794519</v>
      </c>
      <c r="G66" s="31">
        <f t="shared" si="1"/>
        <v>2099.5452054794519</v>
      </c>
      <c r="H66" s="31">
        <f t="shared" si="2"/>
        <v>13592.419999999998</v>
      </c>
      <c r="J66" s="24">
        <f>Inputs!E$24</f>
        <v>47027</v>
      </c>
      <c r="K66" s="24"/>
      <c r="L66" s="24"/>
    </row>
    <row r="67" spans="2:12" x14ac:dyDescent="0.3">
      <c r="C67" s="6" t="s">
        <v>79</v>
      </c>
      <c r="D67" s="2" t="s">
        <v>84</v>
      </c>
      <c r="E67" s="8">
        <f t="shared" si="1"/>
        <v>701.09881634889575</v>
      </c>
      <c r="F67" s="8">
        <f t="shared" si="1"/>
        <v>701.09881634889575</v>
      </c>
      <c r="G67" s="8">
        <f t="shared" si="1"/>
        <v>701.09881634889575</v>
      </c>
      <c r="H67" s="8">
        <f t="shared" si="2"/>
        <v>2103.2964490466875</v>
      </c>
      <c r="J67" s="24">
        <f>J55</f>
        <v>46714.124275888054</v>
      </c>
      <c r="K67" s="24"/>
      <c r="L67" s="24"/>
    </row>
    <row r="68" spans="2:12" x14ac:dyDescent="0.3">
      <c r="C68" s="6" t="s">
        <v>80</v>
      </c>
      <c r="D68" s="2" t="s">
        <v>84</v>
      </c>
      <c r="E68" s="8">
        <f t="shared" si="1"/>
        <v>107.80171232876712</v>
      </c>
      <c r="F68" s="8">
        <f t="shared" si="1"/>
        <v>107.80171232876712</v>
      </c>
      <c r="G68" s="8">
        <f t="shared" si="1"/>
        <v>107.80171232876712</v>
      </c>
      <c r="H68" s="8">
        <f t="shared" si="2"/>
        <v>323.40513698630139</v>
      </c>
      <c r="J68" s="24">
        <f>J56</f>
        <v>46877.176865820999</v>
      </c>
      <c r="K68" s="24"/>
      <c r="L68" s="24"/>
    </row>
    <row r="69" spans="2:12" x14ac:dyDescent="0.3">
      <c r="C69" s="6" t="s">
        <v>81</v>
      </c>
      <c r="D69" s="2" t="s">
        <v>84</v>
      </c>
      <c r="E69" s="8">
        <f t="shared" si="1"/>
        <v>100</v>
      </c>
      <c r="F69" s="8">
        <f t="shared" si="1"/>
        <v>150</v>
      </c>
      <c r="G69" s="8">
        <f t="shared" si="1"/>
        <v>150</v>
      </c>
      <c r="H69" s="8">
        <f t="shared" si="2"/>
        <v>400</v>
      </c>
      <c r="J69" s="24">
        <f>Inputs!E$20</f>
        <v>46234</v>
      </c>
      <c r="K69" s="24"/>
      <c r="L69" s="24"/>
    </row>
    <row r="70" spans="2:12" x14ac:dyDescent="0.3">
      <c r="C70" s="1" t="s">
        <v>82</v>
      </c>
      <c r="D70" s="2" t="s">
        <v>84</v>
      </c>
      <c r="E70" s="32">
        <f>SUM(E61:E69)</f>
        <v>13565.717520458486</v>
      </c>
      <c r="F70" s="32">
        <f>SUM(F61:F69)</f>
        <v>7437.8977889516354</v>
      </c>
      <c r="G70" s="32">
        <f>SUM(G61:G69)</f>
        <v>7437.8977889516354</v>
      </c>
      <c r="H70" s="32">
        <f t="shared" si="2"/>
        <v>28441.513098361756</v>
      </c>
    </row>
    <row r="72" spans="2:12" x14ac:dyDescent="0.3">
      <c r="B72" s="4" t="s">
        <v>3</v>
      </c>
      <c r="C72" s="4" t="s">
        <v>85</v>
      </c>
      <c r="D72" s="4"/>
      <c r="E72" s="5" t="s">
        <v>5</v>
      </c>
      <c r="F72" s="5" t="s">
        <v>6</v>
      </c>
      <c r="G72" s="5" t="s">
        <v>7</v>
      </c>
      <c r="H72" s="5" t="s">
        <v>8</v>
      </c>
      <c r="J72" s="5" t="s">
        <v>86</v>
      </c>
    </row>
    <row r="73" spans="2:12" x14ac:dyDescent="0.3">
      <c r="C73" s="6" t="s">
        <v>87</v>
      </c>
      <c r="D73" s="2" t="s">
        <v>84</v>
      </c>
      <c r="E73" s="8">
        <f>E61+SUM(E67:E69)</f>
        <v>917.11970675985469</v>
      </c>
      <c r="F73" s="8">
        <f>F61+SUM(F67:F69)</f>
        <v>967.11970675985469</v>
      </c>
      <c r="G73" s="8">
        <f>G61+SUM(G67:G69)</f>
        <v>967.11970675985469</v>
      </c>
      <c r="H73" s="8">
        <f>SUM(E73:G73)</f>
        <v>2851.3591202795642</v>
      </c>
      <c r="J73" s="34" t="s">
        <v>88</v>
      </c>
    </row>
    <row r="74" spans="2:12" x14ac:dyDescent="0.3">
      <c r="C74" s="6" t="s">
        <v>89</v>
      </c>
      <c r="D74" s="2" t="s">
        <v>84</v>
      </c>
      <c r="E74" s="8">
        <f>SUM(E62:E64)</f>
        <v>2558.9041095890411</v>
      </c>
      <c r="F74" s="8">
        <f>SUM(F62:F64)</f>
        <v>3110.9589041095887</v>
      </c>
      <c r="G74" s="8">
        <f>SUM(G62:G64)</f>
        <v>3110.9589041095887</v>
      </c>
      <c r="H74" s="8">
        <f>SUM(E74:G74)</f>
        <v>8780.8219178082181</v>
      </c>
      <c r="J74" s="34" t="s">
        <v>90</v>
      </c>
    </row>
    <row r="75" spans="2:12" x14ac:dyDescent="0.3">
      <c r="C75" s="6" t="s">
        <v>91</v>
      </c>
      <c r="D75" s="2" t="s">
        <v>84</v>
      </c>
      <c r="E75" s="35">
        <f>E65+E66</f>
        <v>10089.693704109588</v>
      </c>
      <c r="F75" s="35">
        <f>F65+F66</f>
        <v>3359.8191780821917</v>
      </c>
      <c r="G75" s="35">
        <f>G65+G66</f>
        <v>3359.8191780821917</v>
      </c>
      <c r="H75" s="35">
        <f>SUM(E75:G75)</f>
        <v>16809.33206027397</v>
      </c>
      <c r="J75" s="34" t="s">
        <v>92</v>
      </c>
    </row>
    <row r="76" spans="2:12" x14ac:dyDescent="0.3">
      <c r="C76" s="1" t="s">
        <v>93</v>
      </c>
      <c r="D76" s="2" t="s">
        <v>84</v>
      </c>
      <c r="E76" s="15">
        <f>SUM(E73:E75)</f>
        <v>13565.717520458484</v>
      </c>
      <c r="F76" s="15">
        <f>SUM(F73:F75)</f>
        <v>7437.8977889516354</v>
      </c>
      <c r="G76" s="15">
        <f>SUM(G73:G75)</f>
        <v>7437.8977889516354</v>
      </c>
      <c r="H76" s="15">
        <f>SUM(E76:G76)</f>
        <v>28441.513098361753</v>
      </c>
      <c r="J76" s="34" t="s">
        <v>94</v>
      </c>
    </row>
    <row r="77" spans="2:12" x14ac:dyDescent="0.3">
      <c r="C77" t="s">
        <v>95</v>
      </c>
      <c r="D77" t="s">
        <v>12</v>
      </c>
      <c r="E77" s="36">
        <f>E75/E76</f>
        <v>0.74376410159604922</v>
      </c>
      <c r="F77" s="36">
        <f>F75/F76</f>
        <v>0.45171623399731536</v>
      </c>
      <c r="G77" s="36">
        <f>G75/G76</f>
        <v>0.45171623399731536</v>
      </c>
      <c r="H77" s="36">
        <f>H75/H76</f>
        <v>0.59101398727067711</v>
      </c>
      <c r="J77" s="34"/>
    </row>
    <row r="78" spans="2:12" x14ac:dyDescent="0.3">
      <c r="C78" s="1" t="s">
        <v>96</v>
      </c>
      <c r="D78" s="2" t="s">
        <v>84</v>
      </c>
      <c r="E78" s="32">
        <f>E76-E75</f>
        <v>3476.0238163488957</v>
      </c>
      <c r="F78" s="32">
        <f>F76-F75</f>
        <v>4078.0786108694438</v>
      </c>
      <c r="G78" s="32">
        <f>G76-G75</f>
        <v>4078.0786108694438</v>
      </c>
      <c r="H78" s="32">
        <f>SUM(E78:G78)</f>
        <v>11632.181038087783</v>
      </c>
      <c r="J78" s="34" t="s">
        <v>97</v>
      </c>
    </row>
    <row r="80" spans="2:12" x14ac:dyDescent="0.3">
      <c r="B80" s="4" t="s">
        <v>3</v>
      </c>
      <c r="C80" s="4" t="s">
        <v>98</v>
      </c>
      <c r="D80" s="4"/>
      <c r="E80" s="5" t="s">
        <v>5</v>
      </c>
      <c r="F80" s="5" t="s">
        <v>6</v>
      </c>
      <c r="G80" s="5" t="s">
        <v>7</v>
      </c>
      <c r="H80" s="5" t="s">
        <v>8</v>
      </c>
    </row>
    <row r="81" spans="3:8" x14ac:dyDescent="0.3">
      <c r="C81" s="6" t="s">
        <v>99</v>
      </c>
      <c r="D81" s="2" t="s">
        <v>84</v>
      </c>
      <c r="E81" s="8">
        <f>IF(E17="EU",Case_EU,Case_CN)*E46</f>
        <v>27000</v>
      </c>
      <c r="F81" s="8">
        <f>IF(F17="EU",Case_EU,Case_CN)*F46</f>
        <v>31500</v>
      </c>
      <c r="G81" s="8">
        <f>IF(G17="EU",Case_EU,Case_CN)*G46</f>
        <v>31500</v>
      </c>
      <c r="H81" s="8">
        <f t="shared" ref="H81:H99" si="3">SUM(E81:G81)</f>
        <v>90000</v>
      </c>
    </row>
    <row r="82" spans="3:8" x14ac:dyDescent="0.3">
      <c r="C82" s="6" t="s">
        <v>100</v>
      </c>
      <c r="D82" s="2" t="s">
        <v>84</v>
      </c>
      <c r="E82" s="8">
        <f>Capex_Install*E46</f>
        <v>4320</v>
      </c>
      <c r="F82" s="8">
        <f>Capex_Install*F46</f>
        <v>5040</v>
      </c>
      <c r="G82" s="8">
        <f>Capex_Install*G46</f>
        <v>5040</v>
      </c>
      <c r="H82" s="8">
        <f t="shared" si="3"/>
        <v>14400</v>
      </c>
    </row>
    <row r="83" spans="3:8" x14ac:dyDescent="0.3">
      <c r="C83" s="6" t="s">
        <v>101</v>
      </c>
      <c r="D83" s="2" t="s">
        <v>84</v>
      </c>
      <c r="E83" s="8">
        <f>Capex_Fdn*E46</f>
        <v>4860</v>
      </c>
      <c r="F83" s="8">
        <f>Capex_Fdn*F46</f>
        <v>5670</v>
      </c>
      <c r="G83" s="8">
        <f>Capex_Fdn*G46</f>
        <v>5670</v>
      </c>
      <c r="H83" s="8">
        <f t="shared" si="3"/>
        <v>16200</v>
      </c>
    </row>
    <row r="84" spans="3:8" x14ac:dyDescent="0.3">
      <c r="C84" s="6" t="s">
        <v>102</v>
      </c>
      <c r="D84" s="2" t="s">
        <v>84</v>
      </c>
      <c r="E84" s="8">
        <f>Capex_Civil*E46</f>
        <v>3780</v>
      </c>
      <c r="F84" s="8">
        <f>Capex_Civil*F46</f>
        <v>4410</v>
      </c>
      <c r="G84" s="8">
        <f>Capex_Civil*G46</f>
        <v>4410</v>
      </c>
      <c r="H84" s="8">
        <f t="shared" si="3"/>
        <v>12600</v>
      </c>
    </row>
    <row r="85" spans="3:8" x14ac:dyDescent="0.3">
      <c r="C85" s="6" t="s">
        <v>103</v>
      </c>
      <c r="D85" s="2" t="s">
        <v>84</v>
      </c>
      <c r="E85" s="8">
        <f>Capex_Elec*E46</f>
        <v>3240</v>
      </c>
      <c r="F85" s="8">
        <f>Capex_Elec*F46</f>
        <v>3780</v>
      </c>
      <c r="G85" s="8">
        <f>Capex_Elec*G46</f>
        <v>3780</v>
      </c>
      <c r="H85" s="8">
        <f t="shared" si="3"/>
        <v>10800</v>
      </c>
    </row>
    <row r="86" spans="3:8" x14ac:dyDescent="0.3">
      <c r="C86" s="6" t="s">
        <v>104</v>
      </c>
      <c r="D86" s="2" t="s">
        <v>84</v>
      </c>
      <c r="E86" s="8">
        <f>Capex_Owner*E46</f>
        <v>2160</v>
      </c>
      <c r="F86" s="8">
        <f>Capex_Owner*F46</f>
        <v>2520</v>
      </c>
      <c r="G86" s="8">
        <f>Capex_Owner*G46</f>
        <v>2520</v>
      </c>
      <c r="H86" s="8">
        <f t="shared" si="3"/>
        <v>7200</v>
      </c>
    </row>
    <row r="87" spans="3:8" x14ac:dyDescent="0.3">
      <c r="C87" s="6" t="s">
        <v>105</v>
      </c>
      <c r="D87" s="2" t="s">
        <v>84</v>
      </c>
      <c r="E87" s="8">
        <f>Capex_Land*E46</f>
        <v>0</v>
      </c>
      <c r="F87" s="8">
        <f>Capex_Land*F46</f>
        <v>0</v>
      </c>
      <c r="G87" s="8">
        <f>Capex_Land*G46</f>
        <v>0</v>
      </c>
      <c r="H87" s="8">
        <f t="shared" si="3"/>
        <v>0</v>
      </c>
    </row>
    <row r="88" spans="3:8" x14ac:dyDescent="0.3">
      <c r="C88" s="6" t="s">
        <v>106</v>
      </c>
      <c r="D88" s="2" t="s">
        <v>84</v>
      </c>
      <c r="E88" s="8">
        <f>Subs_Lump*E6/Lump_Basis</f>
        <v>3000</v>
      </c>
      <c r="F88" s="8">
        <f>Subs_Lump*F6/Lump_Basis</f>
        <v>3000</v>
      </c>
      <c r="G88" s="8">
        <f>Subs_Lump*G6/Lump_Basis</f>
        <v>3000</v>
      </c>
      <c r="H88" s="8">
        <f t="shared" si="3"/>
        <v>9000</v>
      </c>
    </row>
    <row r="89" spans="3:8" x14ac:dyDescent="0.3">
      <c r="C89" s="6" t="s">
        <v>107</v>
      </c>
      <c r="D89" s="2" t="s">
        <v>84</v>
      </c>
      <c r="E89" s="8">
        <f>SUM(E81:E88)*Capex_Cont</f>
        <v>2418</v>
      </c>
      <c r="F89" s="8">
        <f>SUM(F81:F88)*Capex_Cont</f>
        <v>2796</v>
      </c>
      <c r="G89" s="8">
        <f>SUM(G81:G88)*Capex_Cont</f>
        <v>2796</v>
      </c>
      <c r="H89" s="8">
        <f t="shared" si="3"/>
        <v>8010</v>
      </c>
    </row>
    <row r="90" spans="3:8" x14ac:dyDescent="0.3">
      <c r="C90" s="6" t="s">
        <v>108</v>
      </c>
      <c r="D90" s="2" t="s">
        <v>84</v>
      </c>
      <c r="E90" s="8">
        <f>BESS_Capex*E45</f>
        <v>2000</v>
      </c>
      <c r="F90" s="8">
        <f>BESS_Capex*F45</f>
        <v>4000</v>
      </c>
      <c r="G90" s="8">
        <f>BESS_Capex*G45</f>
        <v>4000</v>
      </c>
      <c r="H90" s="8">
        <f t="shared" si="3"/>
        <v>10000</v>
      </c>
    </row>
    <row r="91" spans="3:8" x14ac:dyDescent="0.3">
      <c r="C91" s="1" t="s">
        <v>109</v>
      </c>
      <c r="D91" s="2" t="s">
        <v>84</v>
      </c>
      <c r="E91" s="32">
        <f>SUM(E81:E90)</f>
        <v>52778</v>
      </c>
      <c r="F91" s="32">
        <f>SUM(F81:F90)</f>
        <v>62716</v>
      </c>
      <c r="G91" s="32">
        <f>SUM(G81:G90)</f>
        <v>62716</v>
      </c>
      <c r="H91" s="32">
        <f t="shared" si="3"/>
        <v>178210</v>
      </c>
    </row>
    <row r="92" spans="3:8" x14ac:dyDescent="0.3">
      <c r="C92" s="29" t="s">
        <v>110</v>
      </c>
      <c r="D92" s="30" t="s">
        <v>84</v>
      </c>
      <c r="E92" s="31">
        <f>E64+E65+E66</f>
        <v>10706.132060273972</v>
      </c>
      <c r="F92" s="31">
        <f>F64+F65+F66</f>
        <v>3976.2575342465752</v>
      </c>
      <c r="G92" s="31">
        <f>G64+G65+G66</f>
        <v>3976.2575342465752</v>
      </c>
      <c r="H92" s="31">
        <f t="shared" si="3"/>
        <v>18658.647128767123</v>
      </c>
    </row>
    <row r="93" spans="3:8" x14ac:dyDescent="0.3">
      <c r="C93" s="29" t="s">
        <v>111</v>
      </c>
      <c r="D93" s="30" t="s">
        <v>84</v>
      </c>
      <c r="E93" s="31">
        <f>0</f>
        <v>0</v>
      </c>
      <c r="F93" s="31">
        <f>0</f>
        <v>0</v>
      </c>
      <c r="G93" s="31">
        <f>0</f>
        <v>0</v>
      </c>
      <c r="H93" s="31">
        <f t="shared" si="3"/>
        <v>0</v>
      </c>
    </row>
    <row r="94" spans="3:8" x14ac:dyDescent="0.3">
      <c r="C94" s="29" t="s">
        <v>112</v>
      </c>
      <c r="D94" s="30" t="s">
        <v>84</v>
      </c>
      <c r="E94" s="31">
        <f>0</f>
        <v>0</v>
      </c>
      <c r="F94" s="31">
        <f>0</f>
        <v>0</v>
      </c>
      <c r="G94" s="31">
        <f>0</f>
        <v>0</v>
      </c>
      <c r="H94" s="31">
        <f t="shared" si="3"/>
        <v>0</v>
      </c>
    </row>
    <row r="95" spans="3:8" x14ac:dyDescent="0.3">
      <c r="C95" s="29" t="s">
        <v>113</v>
      </c>
      <c r="D95" s="30" t="s">
        <v>84</v>
      </c>
      <c r="E95" s="31">
        <f>0</f>
        <v>0</v>
      </c>
      <c r="F95" s="31">
        <f>0</f>
        <v>0</v>
      </c>
      <c r="G95" s="31">
        <f>0</f>
        <v>0</v>
      </c>
      <c r="H95" s="31">
        <f t="shared" si="3"/>
        <v>0</v>
      </c>
    </row>
    <row r="96" spans="3:8" x14ac:dyDescent="0.3">
      <c r="C96" s="6" t="s">
        <v>114</v>
      </c>
      <c r="D96" s="2" t="s">
        <v>84</v>
      </c>
      <c r="E96" s="8">
        <f>E11*E6</f>
        <v>1000</v>
      </c>
      <c r="F96" s="8">
        <f>F11*F6</f>
        <v>2500</v>
      </c>
      <c r="G96" s="8">
        <f>G11*G6</f>
        <v>2500</v>
      </c>
      <c r="H96" s="8">
        <f t="shared" si="3"/>
        <v>6000</v>
      </c>
    </row>
    <row r="97" spans="1:45" x14ac:dyDescent="0.3">
      <c r="C97" s="6" t="s">
        <v>115</v>
      </c>
      <c r="D97" s="2" t="s">
        <v>84</v>
      </c>
      <c r="E97" s="8">
        <f>E68</f>
        <v>107.80171232876712</v>
      </c>
      <c r="F97" s="8">
        <f>F68</f>
        <v>107.80171232876712</v>
      </c>
      <c r="G97" s="8">
        <f>G68</f>
        <v>107.80171232876712</v>
      </c>
      <c r="H97" s="8">
        <f t="shared" si="3"/>
        <v>323.40513698630139</v>
      </c>
    </row>
    <row r="98" spans="1:45" x14ac:dyDescent="0.3">
      <c r="C98" s="6" t="s">
        <v>549</v>
      </c>
      <c r="D98" s="2" t="s">
        <v>84</v>
      </c>
      <c r="E98" s="8">
        <f>E18*E6</f>
        <v>7500</v>
      </c>
      <c r="F98" s="8">
        <f>F18*F6</f>
        <v>7500</v>
      </c>
      <c r="G98" s="8">
        <f>G18*G6</f>
        <v>7500</v>
      </c>
      <c r="H98" s="8">
        <f t="shared" si="3"/>
        <v>22500</v>
      </c>
    </row>
    <row r="99" spans="1:45" x14ac:dyDescent="0.3">
      <c r="C99" s="1" t="s">
        <v>116</v>
      </c>
      <c r="D99" s="2" t="s">
        <v>84</v>
      </c>
      <c r="E99" s="32">
        <f>E91+SUM(E92:E98)</f>
        <v>72091.93377260273</v>
      </c>
      <c r="F99" s="32">
        <f>F91+SUM(F92:F98)</f>
        <v>76800.059246575343</v>
      </c>
      <c r="G99" s="32">
        <f>G91+SUM(G92:G98)</f>
        <v>76800.059246575343</v>
      </c>
      <c r="H99" s="32">
        <f t="shared" si="3"/>
        <v>225692.05226575342</v>
      </c>
    </row>
    <row r="100" spans="1:45" x14ac:dyDescent="0.3">
      <c r="C100" s="6" t="s">
        <v>117</v>
      </c>
      <c r="D100" s="2" t="s">
        <v>42</v>
      </c>
      <c r="E100" s="17">
        <f>E99/E46</f>
        <v>1335.0358106037543</v>
      </c>
      <c r="F100" s="17">
        <f>F99/F46</f>
        <v>1219.0485594694499</v>
      </c>
      <c r="G100" s="17">
        <f>G99/G46</f>
        <v>1219.0485594694499</v>
      </c>
      <c r="H100" s="17">
        <f>H99/H46</f>
        <v>1253.8447348097411</v>
      </c>
    </row>
    <row r="101" spans="1:45" s="37" customFormat="1" x14ac:dyDescent="0.3">
      <c r="C101" s="6" t="s">
        <v>118</v>
      </c>
      <c r="D101" s="2" t="s">
        <v>18</v>
      </c>
      <c r="E101" s="17">
        <f>E99/E6</f>
        <v>1441.8386754520545</v>
      </c>
      <c r="F101" s="17">
        <f>F99/F6</f>
        <v>1536.0011849315069</v>
      </c>
      <c r="G101" s="17">
        <f>G99/G6</f>
        <v>1536.0011849315069</v>
      </c>
      <c r="H101" s="17">
        <f>H99/H6</f>
        <v>1504.6136817716895</v>
      </c>
    </row>
    <row r="103" spans="1:45" x14ac:dyDescent="0.3">
      <c r="B103" s="4" t="s">
        <v>3</v>
      </c>
      <c r="C103" s="4" t="s">
        <v>119</v>
      </c>
      <c r="D103" s="4"/>
      <c r="E103" s="5" t="s">
        <v>5</v>
      </c>
      <c r="F103" s="5" t="s">
        <v>6</v>
      </c>
      <c r="G103" s="5" t="s">
        <v>7</v>
      </c>
      <c r="H103" s="5" t="s">
        <v>8</v>
      </c>
    </row>
    <row r="104" spans="1:45" x14ac:dyDescent="0.3">
      <c r="C104" s="6" t="s">
        <v>115</v>
      </c>
      <c r="D104" s="2" t="s">
        <v>84</v>
      </c>
      <c r="E104" s="17">
        <f>E68</f>
        <v>107.80171232876712</v>
      </c>
      <c r="F104" s="17">
        <f>F68</f>
        <v>107.80171232876712</v>
      </c>
      <c r="G104" s="17">
        <f>G68</f>
        <v>107.80171232876712</v>
      </c>
      <c r="H104" s="17">
        <f>SUM(E104:G104)</f>
        <v>323.40513698630139</v>
      </c>
    </row>
    <row r="105" spans="1:45" x14ac:dyDescent="0.3">
      <c r="C105" s="6" t="s">
        <v>120</v>
      </c>
      <c r="D105" s="2" t="s">
        <v>84</v>
      </c>
      <c r="E105" s="17">
        <f>E67</f>
        <v>701.09881634889575</v>
      </c>
      <c r="F105" s="17">
        <f>F67</f>
        <v>701.09881634889575</v>
      </c>
      <c r="G105" s="17">
        <f>G67</f>
        <v>701.09881634889575</v>
      </c>
      <c r="H105" s="17">
        <f>SUM(E105:G105)</f>
        <v>2103.2964490466875</v>
      </c>
    </row>
    <row r="106" spans="1:45" x14ac:dyDescent="0.3">
      <c r="C106" s="1" t="s">
        <v>121</v>
      </c>
      <c r="D106" s="2" t="s">
        <v>84</v>
      </c>
      <c r="E106" s="18">
        <f>SUM(E104:E105)</f>
        <v>808.90052867766292</v>
      </c>
      <c r="F106" s="18">
        <f>SUM(F104:F105)</f>
        <v>808.90052867766292</v>
      </c>
      <c r="G106" s="18">
        <f>SUM(G104:G105)</f>
        <v>808.90052867766292</v>
      </c>
      <c r="H106" s="18">
        <f>SUM(E106:G106)</f>
        <v>2426.7015860329889</v>
      </c>
    </row>
    <row r="108" spans="1:45" x14ac:dyDescent="0.3">
      <c r="A108" s="37"/>
      <c r="B108" s="38" t="s">
        <v>3</v>
      </c>
      <c r="C108" s="39" t="s">
        <v>122</v>
      </c>
      <c r="D108" s="38"/>
      <c r="E108" s="40" t="s">
        <v>5</v>
      </c>
      <c r="F108" s="40" t="s">
        <v>6</v>
      </c>
      <c r="G108" s="40" t="s">
        <v>7</v>
      </c>
      <c r="H108" s="40" t="s">
        <v>8</v>
      </c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</row>
    <row r="109" spans="1:45" x14ac:dyDescent="0.3">
      <c r="C109" s="41" t="s">
        <v>123</v>
      </c>
      <c r="D109" s="42"/>
      <c r="E109" s="43"/>
      <c r="F109" s="43"/>
      <c r="G109" s="43"/>
      <c r="H109" s="43"/>
    </row>
    <row r="110" spans="1:45" x14ac:dyDescent="0.3">
      <c r="C110" s="6" t="s">
        <v>124</v>
      </c>
      <c r="D110" s="2" t="s">
        <v>84</v>
      </c>
      <c r="E110" s="8">
        <f>E202</f>
        <v>10089.693704109588</v>
      </c>
      <c r="F110" s="8">
        <f>F202</f>
        <v>3359.8191780821917</v>
      </c>
      <c r="G110" s="8">
        <f>G202</f>
        <v>3359.8191780821917</v>
      </c>
      <c r="H110" s="8">
        <f>SUM(E110:G110)</f>
        <v>16809.33206027397</v>
      </c>
    </row>
    <row r="111" spans="1:45" x14ac:dyDescent="0.3">
      <c r="C111" s="44" t="s">
        <v>125</v>
      </c>
      <c r="D111" s="45" t="s">
        <v>84</v>
      </c>
      <c r="E111" s="46">
        <f>E209</f>
        <v>3391.6402547050602</v>
      </c>
      <c r="F111" s="46">
        <f>F209</f>
        <v>3993.6950492256078</v>
      </c>
      <c r="G111" s="46">
        <f>G209</f>
        <v>3993.6950492256078</v>
      </c>
      <c r="H111" s="46">
        <f>SUM(E111:G111)</f>
        <v>11379.030353156275</v>
      </c>
    </row>
    <row r="112" spans="1:45" x14ac:dyDescent="0.3">
      <c r="C112" s="6" t="s">
        <v>126</v>
      </c>
      <c r="D112" s="2" t="s">
        <v>84</v>
      </c>
      <c r="E112" s="8">
        <f>E278</f>
        <v>7865.2049380432682</v>
      </c>
      <c r="F112" s="8">
        <f>F278</f>
        <v>10406.2948630137</v>
      </c>
      <c r="G112" s="8">
        <f>G278</f>
        <v>10406.2948630137</v>
      </c>
      <c r="H112" s="8">
        <f>SUM(E112:G112)</f>
        <v>28677.794664070669</v>
      </c>
    </row>
    <row r="113" spans="3:8" x14ac:dyDescent="0.3">
      <c r="C113" s="44" t="s">
        <v>127</v>
      </c>
      <c r="D113" s="45" t="s">
        <v>84</v>
      </c>
      <c r="E113" s="46">
        <f t="shared" ref="E113:G115" si="4">E266</f>
        <v>4473.5646833382089</v>
      </c>
      <c r="F113" s="46">
        <f t="shared" si="4"/>
        <v>6412.5998137880924</v>
      </c>
      <c r="G113" s="46">
        <f t="shared" si="4"/>
        <v>6412.5998137880924</v>
      </c>
      <c r="H113" s="46">
        <f>SUM(E113:G113)</f>
        <v>17298.764310914394</v>
      </c>
    </row>
    <row r="114" spans="3:8" x14ac:dyDescent="0.3">
      <c r="C114" s="6" t="s">
        <v>128</v>
      </c>
      <c r="D114" s="2" t="s">
        <v>3</v>
      </c>
      <c r="E114" s="47">
        <f t="shared" si="4"/>
        <v>2.3189974016649453</v>
      </c>
      <c r="F114" s="47">
        <f t="shared" si="4"/>
        <v>2.6056808881868729</v>
      </c>
      <c r="G114" s="47">
        <f t="shared" si="4"/>
        <v>2.6056808881868729</v>
      </c>
      <c r="H114" s="47">
        <f>H267</f>
        <v>2.5202318452482304</v>
      </c>
    </row>
    <row r="115" spans="3:8" x14ac:dyDescent="0.3">
      <c r="C115" s="6" t="s">
        <v>129</v>
      </c>
      <c r="D115" s="2" t="s">
        <v>12</v>
      </c>
      <c r="E115" s="48">
        <f t="shared" si="4"/>
        <v>0.68390167355537401</v>
      </c>
      <c r="F115" s="48">
        <f t="shared" si="4"/>
        <v>0.78992115259170559</v>
      </c>
      <c r="G115" s="48">
        <f t="shared" si="4"/>
        <v>0.78992115259170559</v>
      </c>
    </row>
    <row r="116" spans="3:8" x14ac:dyDescent="0.3">
      <c r="C116" s="41" t="s">
        <v>130</v>
      </c>
      <c r="D116" s="42"/>
      <c r="E116" s="43"/>
      <c r="F116" s="43"/>
      <c r="G116" s="43"/>
      <c r="H116" s="43"/>
    </row>
    <row r="117" spans="3:8" x14ac:dyDescent="0.3">
      <c r="C117" s="44" t="s">
        <v>125</v>
      </c>
      <c r="D117" s="49" t="s">
        <v>84</v>
      </c>
      <c r="E117" s="46">
        <f>E70</f>
        <v>13565.717520458486</v>
      </c>
      <c r="F117" s="46">
        <f>F70</f>
        <v>7437.8977889516354</v>
      </c>
      <c r="G117" s="46">
        <f>G70</f>
        <v>7437.8977889516354</v>
      </c>
      <c r="H117" s="46">
        <f>SUM(E117:G117)</f>
        <v>28441.513098361756</v>
      </c>
    </row>
    <row r="118" spans="3:8" x14ac:dyDescent="0.3">
      <c r="C118" s="6" t="s">
        <v>126</v>
      </c>
      <c r="D118" s="2" t="s">
        <v>84</v>
      </c>
      <c r="E118" s="8">
        <f>E325</f>
        <v>18298.07298617766</v>
      </c>
      <c r="F118" s="8">
        <f>F325</f>
        <v>13828.579794520547</v>
      </c>
      <c r="G118" s="8">
        <f>G325</f>
        <v>13828.579794520547</v>
      </c>
      <c r="H118" s="8">
        <f>SUM(E118:G118)</f>
        <v>45955.232575218753</v>
      </c>
    </row>
    <row r="119" spans="3:8" x14ac:dyDescent="0.3">
      <c r="C119" s="44" t="s">
        <v>127</v>
      </c>
      <c r="D119" s="45" t="s">
        <v>84</v>
      </c>
      <c r="E119" s="46">
        <f t="shared" ref="E119:G121" si="5">E312</f>
        <v>4732.3554657191753</v>
      </c>
      <c r="F119" s="46">
        <f t="shared" si="5"/>
        <v>6390.6820055689113</v>
      </c>
      <c r="G119" s="46">
        <f t="shared" si="5"/>
        <v>6390.6820055689113</v>
      </c>
      <c r="H119" s="15">
        <f>SUM(E119:G119)</f>
        <v>17513.719476856997</v>
      </c>
    </row>
    <row r="120" spans="3:8" x14ac:dyDescent="0.3">
      <c r="C120" s="6" t="s">
        <v>128</v>
      </c>
      <c r="D120" s="2" t="s">
        <v>3</v>
      </c>
      <c r="E120" s="47">
        <f t="shared" si="5"/>
        <v>1.3488466760849398</v>
      </c>
      <c r="F120" s="47">
        <f t="shared" si="5"/>
        <v>1.8592054081546705</v>
      </c>
      <c r="G120" s="47">
        <f t="shared" si="5"/>
        <v>1.8592054081546705</v>
      </c>
      <c r="H120" s="47">
        <f>H313</f>
        <v>1.6157801596661818</v>
      </c>
    </row>
    <row r="121" spans="3:8" x14ac:dyDescent="0.3">
      <c r="C121" s="6" t="s">
        <v>129</v>
      </c>
      <c r="D121" s="2" t="s">
        <v>12</v>
      </c>
      <c r="E121" s="48">
        <f t="shared" si="5"/>
        <v>0.22995948195457461</v>
      </c>
      <c r="F121" s="48">
        <f t="shared" si="5"/>
        <v>0.36981874108314516</v>
      </c>
      <c r="G121" s="48">
        <f t="shared" si="5"/>
        <v>0.36981874108314516</v>
      </c>
    </row>
    <row r="122" spans="3:8" x14ac:dyDescent="0.3">
      <c r="C122" s="41" t="s">
        <v>131</v>
      </c>
      <c r="D122" s="42"/>
      <c r="E122" s="43"/>
      <c r="F122" s="43"/>
      <c r="G122" s="43"/>
      <c r="H122" s="43"/>
    </row>
    <row r="123" spans="3:8" x14ac:dyDescent="0.3">
      <c r="C123" s="6" t="s">
        <v>109</v>
      </c>
      <c r="D123" s="2" t="s">
        <v>84</v>
      </c>
      <c r="E123" s="8">
        <f t="shared" ref="E123:G124" si="6">E91</f>
        <v>52778</v>
      </c>
      <c r="F123" s="8">
        <f t="shared" si="6"/>
        <v>62716</v>
      </c>
      <c r="G123" s="8">
        <f t="shared" si="6"/>
        <v>62716</v>
      </c>
      <c r="H123" s="8">
        <f t="shared" ref="H123:H131" si="7">SUM(E123:G123)</f>
        <v>178210</v>
      </c>
    </row>
    <row r="124" spans="3:8" x14ac:dyDescent="0.3">
      <c r="C124" s="6" t="s">
        <v>132</v>
      </c>
      <c r="D124" s="2" t="s">
        <v>84</v>
      </c>
      <c r="E124" s="8">
        <f t="shared" si="6"/>
        <v>10706.132060273972</v>
      </c>
      <c r="F124" s="8">
        <f t="shared" si="6"/>
        <v>3976.2575342465752</v>
      </c>
      <c r="G124" s="8">
        <f t="shared" si="6"/>
        <v>3976.2575342465752</v>
      </c>
      <c r="H124" s="8">
        <f t="shared" si="7"/>
        <v>18658.647128767123</v>
      </c>
    </row>
    <row r="125" spans="3:8" x14ac:dyDescent="0.3">
      <c r="C125" s="6" t="s">
        <v>114</v>
      </c>
      <c r="D125" s="2" t="s">
        <v>84</v>
      </c>
      <c r="E125" s="8">
        <f>E96</f>
        <v>1000</v>
      </c>
      <c r="F125" s="8">
        <f>F96</f>
        <v>2500</v>
      </c>
      <c r="G125" s="8">
        <f>G96</f>
        <v>2500</v>
      </c>
      <c r="H125" s="8">
        <f t="shared" si="7"/>
        <v>6000</v>
      </c>
    </row>
    <row r="126" spans="3:8" x14ac:dyDescent="0.3">
      <c r="C126" s="6" t="s">
        <v>115</v>
      </c>
      <c r="D126" s="2" t="s">
        <v>84</v>
      </c>
      <c r="E126" s="8">
        <f>E68</f>
        <v>107.80171232876712</v>
      </c>
      <c r="F126" s="8">
        <f>F68</f>
        <v>107.80171232876712</v>
      </c>
      <c r="G126" s="8">
        <f>G68</f>
        <v>107.80171232876712</v>
      </c>
      <c r="H126" s="8">
        <f t="shared" si="7"/>
        <v>323.40513698630139</v>
      </c>
    </row>
    <row r="127" spans="3:8" x14ac:dyDescent="0.3">
      <c r="C127" s="6" t="s">
        <v>133</v>
      </c>
      <c r="D127" s="2" t="s">
        <v>84</v>
      </c>
      <c r="E127" s="8">
        <f>0</f>
        <v>0</v>
      </c>
      <c r="F127" s="8">
        <f>0</f>
        <v>0</v>
      </c>
      <c r="G127" s="8">
        <f>0</f>
        <v>0</v>
      </c>
      <c r="H127" s="8">
        <f t="shared" si="7"/>
        <v>0</v>
      </c>
    </row>
    <row r="128" spans="3:8" x14ac:dyDescent="0.3">
      <c r="C128" s="6" t="s">
        <v>134</v>
      </c>
      <c r="D128" s="2" t="s">
        <v>84</v>
      </c>
      <c r="E128" s="8">
        <f>E98</f>
        <v>7500</v>
      </c>
      <c r="F128" s="8">
        <f>F98</f>
        <v>7500</v>
      </c>
      <c r="G128" s="8">
        <f>G98</f>
        <v>7500</v>
      </c>
      <c r="H128" s="8">
        <f t="shared" si="7"/>
        <v>22500</v>
      </c>
    </row>
    <row r="129" spans="3:10" x14ac:dyDescent="0.3">
      <c r="C129" s="1" t="s">
        <v>135</v>
      </c>
      <c r="D129" s="50" t="s">
        <v>84</v>
      </c>
      <c r="E129" s="15">
        <f>SUM(E123:E128)</f>
        <v>72091.93377260273</v>
      </c>
      <c r="F129" s="15">
        <f>SUM(F123:F128)</f>
        <v>76800.059246575343</v>
      </c>
      <c r="G129" s="15">
        <f>SUM(G123:G128)</f>
        <v>76800.059246575343</v>
      </c>
      <c r="H129" s="15">
        <f t="shared" si="7"/>
        <v>225692.05226575342</v>
      </c>
    </row>
    <row r="130" spans="3:10" x14ac:dyDescent="0.3">
      <c r="C130" s="6" t="s">
        <v>136</v>
      </c>
      <c r="D130" s="2" t="s">
        <v>84</v>
      </c>
      <c r="E130" s="8">
        <f>$H$359</f>
        <v>104654.65424661252</v>
      </c>
      <c r="F130" s="8">
        <f>$H$391</f>
        <v>117317.066600666</v>
      </c>
      <c r="G130" s="8">
        <f>$H$423</f>
        <v>117317.066600666</v>
      </c>
      <c r="H130" s="8">
        <f t="shared" si="7"/>
        <v>339288.78744794452</v>
      </c>
    </row>
    <row r="131" spans="3:10" x14ac:dyDescent="0.3">
      <c r="C131" s="1" t="s">
        <v>137</v>
      </c>
      <c r="D131" s="2" t="s">
        <v>84</v>
      </c>
      <c r="E131" s="15">
        <f>E429</f>
        <v>32562.72047400978</v>
      </c>
      <c r="F131" s="15">
        <f>F429</f>
        <v>40517.007354090667</v>
      </c>
      <c r="G131" s="15">
        <f>G429</f>
        <v>40517.007354090667</v>
      </c>
      <c r="H131" s="15">
        <f t="shared" si="7"/>
        <v>113596.7351821911</v>
      </c>
    </row>
    <row r="132" spans="3:10" x14ac:dyDescent="0.3">
      <c r="C132" s="6" t="s">
        <v>128</v>
      </c>
      <c r="D132" s="2" t="s">
        <v>3</v>
      </c>
      <c r="E132" s="47">
        <f>SUMIF($J$361:$AS$361,"&gt;0")/-SUMIF($J$361:$AS$361,"&lt;0")</f>
        <v>1.5441640232007177</v>
      </c>
      <c r="F132" s="47">
        <f>SUMIF($J$393:$AS$393,"&gt;0")/-SUMIF($J$393:$AS$393,"&lt;0")</f>
        <v>1.6629570968698117</v>
      </c>
      <c r="G132" s="47">
        <f>SUMIF($J$425:$AS$425,"&gt;0")/-SUMIF($J$425:$AS$425,"&lt;0")</f>
        <v>1.6629570968698117</v>
      </c>
    </row>
    <row r="133" spans="3:10" x14ac:dyDescent="0.3">
      <c r="C133" s="6" t="s">
        <v>129</v>
      </c>
      <c r="D133" s="2" t="s">
        <v>12</v>
      </c>
      <c r="E133" s="48" cm="1">
        <f t="array" ref="E133">XIRR(_xlfn._xlws.FILTER($J$361:$AS$361,$J$361:$AS$361&lt;&gt;0),_xlfn._xlws.FILTER($J$329:$AS$329,$J$361:$AS$361&lt;&gt;0))</f>
        <v>0.31374874711036693</v>
      </c>
      <c r="F133" s="48" cm="1">
        <f t="array" ref="F133">XIRR(_xlfn._xlws.FILTER($J$393:$AS$393,$J$393:$AS$393&lt;&gt;0),_xlfn._xlws.FILTER($J$329:$AS$329,$J$393:$AS$393&lt;&gt;0))</f>
        <v>0.39481799006462104</v>
      </c>
      <c r="G133" s="48" cm="1">
        <f t="array" ref="G133">XIRR(_xlfn._xlws.FILTER($J$425:$AS$425,$J$425:$AS$425&lt;&gt;0),_xlfn._xlws.FILTER($J$329:$AS$329,$J$425:$AS$425&lt;&gt;0))</f>
        <v>0.39481799006462104</v>
      </c>
      <c r="J133" s="51"/>
    </row>
    <row r="134" spans="3:10" x14ac:dyDescent="0.3">
      <c r="C134" s="41" t="s">
        <v>138</v>
      </c>
      <c r="D134" s="42"/>
      <c r="E134" s="43"/>
      <c r="F134" s="43"/>
      <c r="G134" s="43"/>
      <c r="H134" s="43"/>
    </row>
    <row r="135" spans="3:10" x14ac:dyDescent="0.3">
      <c r="C135" s="6" t="s">
        <v>139</v>
      </c>
      <c r="D135" s="2" t="s">
        <v>84</v>
      </c>
      <c r="E135" s="8">
        <f>E99</f>
        <v>72091.93377260273</v>
      </c>
      <c r="F135" s="8">
        <f>F99</f>
        <v>76800.059246575343</v>
      </c>
      <c r="G135" s="8">
        <f>G99</f>
        <v>76800.059246575343</v>
      </c>
      <c r="H135" s="8">
        <f>SUM(E135:G135)</f>
        <v>225692.05226575342</v>
      </c>
    </row>
    <row r="136" spans="3:10" x14ac:dyDescent="0.3">
      <c r="C136" s="6" t="s">
        <v>140</v>
      </c>
      <c r="D136" s="2" t="s">
        <v>84</v>
      </c>
      <c r="E136" s="8">
        <f>$H$346</f>
        <v>382397.73062524654</v>
      </c>
      <c r="F136" s="8">
        <f>$H$378</f>
        <v>446130.68572945433</v>
      </c>
      <c r="G136" s="8">
        <f>$H$410</f>
        <v>446130.68572945433</v>
      </c>
      <c r="H136" s="8">
        <f>SUM(E136:G136)</f>
        <v>1274659.1020841552</v>
      </c>
    </row>
    <row r="137" spans="3:10" x14ac:dyDescent="0.3">
      <c r="C137" s="6" t="s">
        <v>141</v>
      </c>
      <c r="D137" s="2" t="s">
        <v>84</v>
      </c>
      <c r="E137" s="8">
        <f>$H$355</f>
        <v>-101080.46916459691</v>
      </c>
      <c r="F137" s="8">
        <f>$H$387</f>
        <v>-130425.69762342949</v>
      </c>
      <c r="G137" s="8">
        <f>$H$419</f>
        <v>-130425.69762342949</v>
      </c>
      <c r="H137" s="8">
        <f>SUM(E137:G137)</f>
        <v>-361931.86441145587</v>
      </c>
    </row>
    <row r="138" spans="3:10" x14ac:dyDescent="0.3">
      <c r="C138" s="6" t="s">
        <v>142</v>
      </c>
      <c r="D138" s="2" t="s">
        <v>84</v>
      </c>
      <c r="E138" s="8">
        <f>$H$356</f>
        <v>281317.26146064978</v>
      </c>
      <c r="F138" s="8">
        <f>$H$388</f>
        <v>315704.98810602498</v>
      </c>
      <c r="G138" s="8">
        <f>$H$420</f>
        <v>315704.98810602498</v>
      </c>
      <c r="H138" s="8">
        <f>SUM(E138:G138)</f>
        <v>912727.23767269962</v>
      </c>
    </row>
    <row r="139" spans="3:10" x14ac:dyDescent="0.3">
      <c r="C139" s="1" t="s">
        <v>143</v>
      </c>
      <c r="D139" s="2" t="s">
        <v>12</v>
      </c>
      <c r="E139" s="52" cm="1">
        <f t="array" ref="E139">XIRR(_xlfn._xlws.FILTER($J$357:$AS$357,$J$357:$AS$357&lt;&gt;0),_xlfn._xlws.FILTER($J$329:$AS$329,$J$357:$AS$357&lt;&gt;0))</f>
        <v>0.1125669300556183</v>
      </c>
      <c r="F139" s="52" cm="1">
        <f t="array" ref="F139">XIRR(_xlfn._xlws.FILTER($J$389:$AS$389,$J$389:$AS$389&lt;&gt;0),_xlfn._xlws.FILTER($J$329:$AS$329,$J$389:$AS$389&lt;&gt;0))</f>
        <v>0.11992369294166563</v>
      </c>
      <c r="G139" s="52" cm="1">
        <f t="array" ref="G139">XIRR(_xlfn._xlws.FILTER($J$421:$AS$421,$J$421:$AS$421&lt;&gt;0),_xlfn._xlws.FILTER($J$329:$AS$329,$J$421:$AS$421&lt;&gt;0))</f>
        <v>0.11992369294166563</v>
      </c>
    </row>
    <row r="140" spans="3:10" x14ac:dyDescent="0.3">
      <c r="C140" s="6" t="s">
        <v>144</v>
      </c>
      <c r="D140" s="2" t="s">
        <v>84</v>
      </c>
      <c r="E140" s="8">
        <f>XNPV(Discount_Rate,$J$357:$AS$357,$J$329:$AS$329)</f>
        <v>19561.25490925206</v>
      </c>
      <c r="F140" s="8">
        <f>XNPV(Discount_Rate,$J$389:$AS$389,$J$329:$AS$329)</f>
        <v>25408.541358567592</v>
      </c>
      <c r="G140" s="8">
        <f>XNPV(Discount_Rate,$J$421:$AS$421,$J$329:$AS$329)</f>
        <v>25408.541358567592</v>
      </c>
      <c r="H140" s="8">
        <f>SUM(E140:G140)</f>
        <v>70378.337626387249</v>
      </c>
    </row>
    <row r="145" spans="2:45" x14ac:dyDescent="0.3">
      <c r="B145" s="4" t="s">
        <v>3</v>
      </c>
      <c r="C145" s="4" t="s">
        <v>145</v>
      </c>
      <c r="D145" s="4"/>
      <c r="E145" s="5"/>
      <c r="F145" s="5"/>
      <c r="G145" s="5"/>
      <c r="H145" s="5" t="s">
        <v>8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</row>
    <row r="146" spans="2:45" x14ac:dyDescent="0.3">
      <c r="C146" s="6" t="s">
        <v>146</v>
      </c>
      <c r="D146" s="2" t="s">
        <v>147</v>
      </c>
      <c r="J146" s="53">
        <f t="shared" ref="J146:AS146" si="8">J328</f>
        <v>2026</v>
      </c>
      <c r="K146" s="53">
        <f t="shared" si="8"/>
        <v>2027</v>
      </c>
      <c r="L146" s="53">
        <f t="shared" si="8"/>
        <v>2028</v>
      </c>
      <c r="M146" s="53">
        <f t="shared" si="8"/>
        <v>2029</v>
      </c>
      <c r="N146" s="53">
        <f t="shared" si="8"/>
        <v>2030</v>
      </c>
      <c r="O146" s="53">
        <f t="shared" si="8"/>
        <v>2031</v>
      </c>
      <c r="P146" s="53">
        <f t="shared" si="8"/>
        <v>2032</v>
      </c>
      <c r="Q146" s="53">
        <f t="shared" si="8"/>
        <v>2033</v>
      </c>
      <c r="R146" s="53">
        <f t="shared" si="8"/>
        <v>2034</v>
      </c>
      <c r="S146" s="53">
        <f t="shared" si="8"/>
        <v>2035</v>
      </c>
      <c r="T146" s="53">
        <f t="shared" si="8"/>
        <v>2036</v>
      </c>
      <c r="U146" s="53">
        <f t="shared" si="8"/>
        <v>2037</v>
      </c>
      <c r="V146" s="53">
        <f t="shared" si="8"/>
        <v>2038</v>
      </c>
      <c r="W146" s="53">
        <f t="shared" si="8"/>
        <v>2039</v>
      </c>
      <c r="X146" s="53">
        <f t="shared" si="8"/>
        <v>2040</v>
      </c>
      <c r="Y146" s="53">
        <f t="shared" si="8"/>
        <v>2041</v>
      </c>
      <c r="Z146" s="53">
        <f t="shared" si="8"/>
        <v>2042</v>
      </c>
      <c r="AA146" s="53">
        <f t="shared" si="8"/>
        <v>2043</v>
      </c>
      <c r="AB146" s="53">
        <f t="shared" si="8"/>
        <v>2044</v>
      </c>
      <c r="AC146" s="53">
        <f t="shared" si="8"/>
        <v>2045</v>
      </c>
      <c r="AD146" s="53">
        <f t="shared" si="8"/>
        <v>2046</v>
      </c>
      <c r="AE146" s="53">
        <f t="shared" si="8"/>
        <v>2047</v>
      </c>
      <c r="AF146" s="53">
        <f t="shared" si="8"/>
        <v>2048</v>
      </c>
      <c r="AG146" s="53">
        <f t="shared" si="8"/>
        <v>2049</v>
      </c>
      <c r="AH146" s="53">
        <f t="shared" si="8"/>
        <v>2050</v>
      </c>
      <c r="AI146" s="53">
        <f t="shared" si="8"/>
        <v>2051</v>
      </c>
      <c r="AJ146" s="53">
        <f t="shared" si="8"/>
        <v>2052</v>
      </c>
      <c r="AK146" s="53">
        <f t="shared" si="8"/>
        <v>2053</v>
      </c>
      <c r="AL146" s="53">
        <f t="shared" si="8"/>
        <v>2054</v>
      </c>
      <c r="AM146" s="53">
        <f t="shared" si="8"/>
        <v>2055</v>
      </c>
      <c r="AN146" s="53">
        <f t="shared" si="8"/>
        <v>2056</v>
      </c>
      <c r="AO146" s="53">
        <f t="shared" si="8"/>
        <v>2057</v>
      </c>
      <c r="AP146" s="53">
        <f t="shared" si="8"/>
        <v>2058</v>
      </c>
      <c r="AQ146" s="53">
        <f t="shared" si="8"/>
        <v>2059</v>
      </c>
      <c r="AR146" s="53">
        <f t="shared" si="8"/>
        <v>2060</v>
      </c>
      <c r="AS146" s="53">
        <f t="shared" si="8"/>
        <v>2061</v>
      </c>
    </row>
    <row r="148" spans="2:45" x14ac:dyDescent="0.3">
      <c r="C148" s="42" t="s">
        <v>5</v>
      </c>
      <c r="D148" s="42"/>
      <c r="E148" s="43"/>
      <c r="F148" s="43"/>
      <c r="G148" s="43"/>
      <c r="H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</row>
    <row r="149" spans="2:45" x14ac:dyDescent="0.3">
      <c r="C149" s="6" t="s">
        <v>148</v>
      </c>
      <c r="D149" s="2" t="s">
        <v>84</v>
      </c>
      <c r="H149" s="8">
        <f>SUM(J149:AS149)</f>
        <v>-72091.933772602744</v>
      </c>
      <c r="J149" s="8">
        <f t="shared" ref="J149:AS149" si="9">J342</f>
        <v>0</v>
      </c>
      <c r="K149" s="8">
        <f t="shared" si="9"/>
        <v>0</v>
      </c>
      <c r="L149" s="8">
        <f t="shared" si="9"/>
        <v>0</v>
      </c>
      <c r="M149" s="8">
        <f t="shared" si="9"/>
        <v>-33450.899526027395</v>
      </c>
      <c r="N149" s="8">
        <f t="shared" si="9"/>
        <v>-26389</v>
      </c>
      <c r="O149" s="8">
        <f t="shared" si="9"/>
        <v>-14194.5</v>
      </c>
      <c r="P149" s="8">
        <f t="shared" si="9"/>
        <v>0</v>
      </c>
      <c r="Q149" s="8">
        <f t="shared" si="9"/>
        <v>1942.4657534246576</v>
      </c>
      <c r="R149" s="8">
        <f t="shared" si="9"/>
        <v>0</v>
      </c>
      <c r="S149" s="8">
        <f t="shared" si="9"/>
        <v>0</v>
      </c>
      <c r="T149" s="8">
        <f t="shared" si="9"/>
        <v>0</v>
      </c>
      <c r="U149" s="8">
        <f t="shared" si="9"/>
        <v>0</v>
      </c>
      <c r="V149" s="8">
        <f t="shared" si="9"/>
        <v>0</v>
      </c>
      <c r="W149" s="8">
        <f t="shared" si="9"/>
        <v>0</v>
      </c>
      <c r="X149" s="8">
        <f t="shared" si="9"/>
        <v>0</v>
      </c>
      <c r="Y149" s="8">
        <f t="shared" si="9"/>
        <v>0</v>
      </c>
      <c r="Z149" s="8">
        <f t="shared" si="9"/>
        <v>0</v>
      </c>
      <c r="AA149" s="8">
        <f t="shared" si="9"/>
        <v>0</v>
      </c>
      <c r="AB149" s="8">
        <f t="shared" si="9"/>
        <v>0</v>
      </c>
      <c r="AC149" s="8">
        <f t="shared" si="9"/>
        <v>0</v>
      </c>
      <c r="AD149" s="8">
        <f t="shared" si="9"/>
        <v>0</v>
      </c>
      <c r="AE149" s="8">
        <f t="shared" si="9"/>
        <v>0</v>
      </c>
      <c r="AF149" s="8">
        <f t="shared" si="9"/>
        <v>0</v>
      </c>
      <c r="AG149" s="8">
        <f t="shared" si="9"/>
        <v>0</v>
      </c>
      <c r="AH149" s="8">
        <f t="shared" si="9"/>
        <v>0</v>
      </c>
      <c r="AI149" s="8">
        <f t="shared" si="9"/>
        <v>0</v>
      </c>
      <c r="AJ149" s="8">
        <f t="shared" si="9"/>
        <v>0</v>
      </c>
      <c r="AK149" s="8">
        <f t="shared" si="9"/>
        <v>0</v>
      </c>
      <c r="AL149" s="8">
        <f t="shared" si="9"/>
        <v>0</v>
      </c>
      <c r="AM149" s="8">
        <f t="shared" si="9"/>
        <v>0</v>
      </c>
      <c r="AN149" s="8">
        <f t="shared" si="9"/>
        <v>0</v>
      </c>
      <c r="AO149" s="8">
        <f t="shared" si="9"/>
        <v>0</v>
      </c>
      <c r="AP149" s="8">
        <f t="shared" si="9"/>
        <v>0</v>
      </c>
      <c r="AQ149" s="8">
        <f t="shared" si="9"/>
        <v>0</v>
      </c>
      <c r="AR149" s="8">
        <f t="shared" si="9"/>
        <v>0</v>
      </c>
      <c r="AS149" s="8">
        <f t="shared" si="9"/>
        <v>0</v>
      </c>
    </row>
    <row r="150" spans="2:45" x14ac:dyDescent="0.3">
      <c r="C150" s="6" t="s">
        <v>149</v>
      </c>
      <c r="D150" s="2" t="s">
        <v>84</v>
      </c>
      <c r="H150" s="8">
        <f>SUM(J150:AS150)</f>
        <v>382397.73062524654</v>
      </c>
      <c r="J150" s="8">
        <f t="shared" ref="J150:AS150" si="10">J346</f>
        <v>0</v>
      </c>
      <c r="K150" s="8">
        <f t="shared" si="10"/>
        <v>0</v>
      </c>
      <c r="L150" s="8">
        <f t="shared" si="10"/>
        <v>0</v>
      </c>
      <c r="M150" s="8">
        <f t="shared" si="10"/>
        <v>0</v>
      </c>
      <c r="N150" s="8">
        <f t="shared" si="10"/>
        <v>0</v>
      </c>
      <c r="O150" s="8">
        <f t="shared" si="10"/>
        <v>5715.36</v>
      </c>
      <c r="P150" s="8">
        <f t="shared" si="10"/>
        <v>11545.0272</v>
      </c>
      <c r="Q150" s="8">
        <f t="shared" si="10"/>
        <v>11625.496039583999</v>
      </c>
      <c r="R150" s="8">
        <f t="shared" si="10"/>
        <v>11706.5257469799</v>
      </c>
      <c r="S150" s="8">
        <f t="shared" si="10"/>
        <v>11788.120231436349</v>
      </c>
      <c r="T150" s="8">
        <f t="shared" si="10"/>
        <v>11870.283429449461</v>
      </c>
      <c r="U150" s="8">
        <f t="shared" si="10"/>
        <v>11953.019304952726</v>
      </c>
      <c r="V150" s="8">
        <f t="shared" si="10"/>
        <v>12036.331849508244</v>
      </c>
      <c r="W150" s="8">
        <f t="shared" si="10"/>
        <v>12120.225082499319</v>
      </c>
      <c r="X150" s="8">
        <f t="shared" si="10"/>
        <v>12204.703051324341</v>
      </c>
      <c r="Y150" s="8">
        <f t="shared" si="10"/>
        <v>12289.76983159207</v>
      </c>
      <c r="Z150" s="8">
        <f t="shared" si="10"/>
        <v>12375.429527318265</v>
      </c>
      <c r="AA150" s="8">
        <f t="shared" si="10"/>
        <v>12461.686271123675</v>
      </c>
      <c r="AB150" s="8">
        <f t="shared" si="10"/>
        <v>12548.544224433408</v>
      </c>
      <c r="AC150" s="8">
        <f t="shared" si="10"/>
        <v>12636.007577677708</v>
      </c>
      <c r="AD150" s="8">
        <f t="shared" si="10"/>
        <v>12724.08055049412</v>
      </c>
      <c r="AE150" s="8">
        <f t="shared" si="10"/>
        <v>12812.767391931069</v>
      </c>
      <c r="AF150" s="8">
        <f t="shared" si="10"/>
        <v>12902.072380652829</v>
      </c>
      <c r="AG150" s="8">
        <f t="shared" si="10"/>
        <v>12991.999825145978</v>
      </c>
      <c r="AH150" s="8">
        <f t="shared" si="10"/>
        <v>13082.554063927246</v>
      </c>
      <c r="AI150" s="8">
        <f t="shared" si="10"/>
        <v>13173.739465752818</v>
      </c>
      <c r="AJ150" s="8">
        <f t="shared" si="10"/>
        <v>13265.560429829115</v>
      </c>
      <c r="AK150" s="8">
        <f t="shared" si="10"/>
        <v>13358.021386025026</v>
      </c>
      <c r="AL150" s="8">
        <f t="shared" si="10"/>
        <v>13451.126795085622</v>
      </c>
      <c r="AM150" s="8">
        <f t="shared" si="10"/>
        <v>13544.881148847369</v>
      </c>
      <c r="AN150" s="8">
        <f t="shared" si="10"/>
        <v>13639.288970454838</v>
      </c>
      <c r="AO150" s="8">
        <f t="shared" si="10"/>
        <v>13734.354814578906</v>
      </c>
      <c r="AP150" s="8">
        <f t="shared" si="10"/>
        <v>13830.083267636519</v>
      </c>
      <c r="AQ150" s="8">
        <f t="shared" si="10"/>
        <v>13926.478948011945</v>
      </c>
      <c r="AR150" s="8">
        <f t="shared" si="10"/>
        <v>14023.546506279588</v>
      </c>
      <c r="AS150" s="8">
        <f t="shared" si="10"/>
        <v>7060.6453127141804</v>
      </c>
    </row>
    <row r="151" spans="2:45" x14ac:dyDescent="0.3">
      <c r="C151" s="6" t="s">
        <v>150</v>
      </c>
      <c r="D151" s="2" t="s">
        <v>84</v>
      </c>
      <c r="H151" s="8">
        <f>SUM(J151:AS151)</f>
        <v>-101080.46916459691</v>
      </c>
      <c r="J151" s="8">
        <f t="shared" ref="J151:AS151" si="11">J355</f>
        <v>0</v>
      </c>
      <c r="K151" s="8">
        <f t="shared" si="11"/>
        <v>0</v>
      </c>
      <c r="L151" s="8">
        <f t="shared" si="11"/>
        <v>0</v>
      </c>
      <c r="M151" s="8">
        <f t="shared" si="11"/>
        <v>0</v>
      </c>
      <c r="N151" s="8">
        <f t="shared" si="11"/>
        <v>0</v>
      </c>
      <c r="O151" s="8">
        <f t="shared" si="11"/>
        <v>-1182.141828</v>
      </c>
      <c r="P151" s="8">
        <f t="shared" si="11"/>
        <v>-2419.7814975599995</v>
      </c>
      <c r="Q151" s="8">
        <f t="shared" si="11"/>
        <v>-2473.7926884732433</v>
      </c>
      <c r="R151" s="8">
        <f t="shared" si="11"/>
        <v>-2529.0775401325345</v>
      </c>
      <c r="S151" s="8">
        <f t="shared" si="11"/>
        <v>-2585.6666709169326</v>
      </c>
      <c r="T151" s="8">
        <f t="shared" si="11"/>
        <v>-2643.5914410310643</v>
      </c>
      <c r="U151" s="8">
        <f t="shared" si="11"/>
        <v>-2702.8839705547771</v>
      </c>
      <c r="V151" s="8">
        <f t="shared" si="11"/>
        <v>-2763.577157933315</v>
      </c>
      <c r="W151" s="8">
        <f t="shared" si="11"/>
        <v>-2825.7046989187938</v>
      </c>
      <c r="X151" s="8">
        <f t="shared" si="11"/>
        <v>-2889.3011059740261</v>
      </c>
      <c r="Y151" s="8">
        <f t="shared" si="11"/>
        <v>-2954.4017281499937</v>
      </c>
      <c r="Z151" s="8">
        <f t="shared" si="11"/>
        <v>-3021.0427714485832</v>
      </c>
      <c r="AA151" s="8">
        <f t="shared" si="11"/>
        <v>-3089.2613196824336</v>
      </c>
      <c r="AB151" s="8">
        <f t="shared" si="11"/>
        <v>-3159.0953558440924</v>
      </c>
      <c r="AC151" s="8">
        <f t="shared" si="11"/>
        <v>-3230.5837839969195</v>
      </c>
      <c r="AD151" s="8">
        <f t="shared" si="11"/>
        <v>-3303.7664517005283</v>
      </c>
      <c r="AE151" s="8">
        <f t="shared" si="11"/>
        <v>-3378.6841729838452</v>
      </c>
      <c r="AF151" s="8">
        <f t="shared" si="11"/>
        <v>-3455.3787518791828</v>
      </c>
      <c r="AG151" s="8">
        <f t="shared" si="11"/>
        <v>-3533.8930065310806</v>
      </c>
      <c r="AH151" s="8">
        <f t="shared" si="11"/>
        <v>-3614.2707938939725</v>
      </c>
      <c r="AI151" s="8">
        <f t="shared" si="11"/>
        <v>-3696.5570350330941</v>
      </c>
      <c r="AJ151" s="8">
        <f t="shared" si="11"/>
        <v>-3780.7977410434187</v>
      </c>
      <c r="AK151" s="8">
        <f t="shared" si="11"/>
        <v>-3867.0400396017426</v>
      </c>
      <c r="AL151" s="8">
        <f t="shared" si="11"/>
        <v>-3955.3322021674194</v>
      </c>
      <c r="AM151" s="8">
        <f t="shared" si="11"/>
        <v>-4045.723671847642</v>
      </c>
      <c r="AN151" s="8">
        <f t="shared" si="11"/>
        <v>-4138.26509194355</v>
      </c>
      <c r="AO151" s="8">
        <f t="shared" si="11"/>
        <v>-4233.0083351938156</v>
      </c>
      <c r="AP151" s="8">
        <f t="shared" si="11"/>
        <v>-4330.006533732816</v>
      </c>
      <c r="AQ151" s="8">
        <f t="shared" si="11"/>
        <v>-4429.314109780883</v>
      </c>
      <c r="AR151" s="8">
        <f t="shared" si="11"/>
        <v>-4530.9868070845678</v>
      </c>
      <c r="AS151" s="8">
        <f t="shared" si="11"/>
        <v>-2317.5408615626452</v>
      </c>
    </row>
    <row r="152" spans="2:45" x14ac:dyDescent="0.3">
      <c r="C152" s="6" t="s">
        <v>151</v>
      </c>
      <c r="D152" s="2" t="s">
        <v>84</v>
      </c>
      <c r="H152" s="8">
        <f>SUM(J152:AS152)</f>
        <v>281317.26146064978</v>
      </c>
      <c r="J152" s="8">
        <f t="shared" ref="J152:AS152" si="12">J356</f>
        <v>0</v>
      </c>
      <c r="K152" s="8">
        <f t="shared" si="12"/>
        <v>0</v>
      </c>
      <c r="L152" s="8">
        <f t="shared" si="12"/>
        <v>0</v>
      </c>
      <c r="M152" s="8">
        <f t="shared" si="12"/>
        <v>0</v>
      </c>
      <c r="N152" s="8">
        <f t="shared" si="12"/>
        <v>0</v>
      </c>
      <c r="O152" s="8">
        <f t="shared" si="12"/>
        <v>4533.2181719999999</v>
      </c>
      <c r="P152" s="8">
        <f t="shared" si="12"/>
        <v>9125.245702440001</v>
      </c>
      <c r="Q152" s="8">
        <f t="shared" si="12"/>
        <v>9151.7033511107547</v>
      </c>
      <c r="R152" s="8">
        <f t="shared" si="12"/>
        <v>9177.4482068473662</v>
      </c>
      <c r="S152" s="8">
        <f t="shared" si="12"/>
        <v>9202.453560519416</v>
      </c>
      <c r="T152" s="8">
        <f t="shared" si="12"/>
        <v>9226.6919884183953</v>
      </c>
      <c r="U152" s="8">
        <f t="shared" si="12"/>
        <v>9250.1353343979499</v>
      </c>
      <c r="V152" s="8">
        <f t="shared" si="12"/>
        <v>9272.7546915749299</v>
      </c>
      <c r="W152" s="8">
        <f t="shared" si="12"/>
        <v>9294.520383580526</v>
      </c>
      <c r="X152" s="8">
        <f t="shared" si="12"/>
        <v>9315.4019453503151</v>
      </c>
      <c r="Y152" s="8">
        <f t="shared" si="12"/>
        <v>9335.368103442077</v>
      </c>
      <c r="Z152" s="8">
        <f t="shared" si="12"/>
        <v>9354.386755869682</v>
      </c>
      <c r="AA152" s="8">
        <f t="shared" si="12"/>
        <v>9372.4249514412422</v>
      </c>
      <c r="AB152" s="8">
        <f t="shared" si="12"/>
        <v>9389.4488685893157</v>
      </c>
      <c r="AC152" s="8">
        <f t="shared" si="12"/>
        <v>9405.4237936807895</v>
      </c>
      <c r="AD152" s="8">
        <f t="shared" si="12"/>
        <v>9420.3140987935913</v>
      </c>
      <c r="AE152" s="8">
        <f t="shared" si="12"/>
        <v>9434.0832189472239</v>
      </c>
      <c r="AF152" s="8">
        <f t="shared" si="12"/>
        <v>9446.6936287736462</v>
      </c>
      <c r="AG152" s="8">
        <f t="shared" si="12"/>
        <v>9458.1068186148987</v>
      </c>
      <c r="AH152" s="8">
        <f t="shared" si="12"/>
        <v>9468.2832700332729</v>
      </c>
      <c r="AI152" s="8">
        <f t="shared" si="12"/>
        <v>9477.1824307197239</v>
      </c>
      <c r="AJ152" s="8">
        <f t="shared" si="12"/>
        <v>9484.7626887856968</v>
      </c>
      <c r="AK152" s="8">
        <f t="shared" si="12"/>
        <v>9490.981346423283</v>
      </c>
      <c r="AL152" s="8">
        <f t="shared" si="12"/>
        <v>9495.7945929182024</v>
      </c>
      <c r="AM152" s="8">
        <f t="shared" si="12"/>
        <v>9499.1574769997278</v>
      </c>
      <c r="AN152" s="8">
        <f t="shared" si="12"/>
        <v>9501.0238785112888</v>
      </c>
      <c r="AO152" s="8">
        <f t="shared" si="12"/>
        <v>9501.3464793850908</v>
      </c>
      <c r="AP152" s="8">
        <f t="shared" si="12"/>
        <v>9500.0767339037029</v>
      </c>
      <c r="AQ152" s="8">
        <f t="shared" si="12"/>
        <v>9497.1648382310632</v>
      </c>
      <c r="AR152" s="8">
        <f t="shared" si="12"/>
        <v>9492.5596991950206</v>
      </c>
      <c r="AS152" s="8">
        <f t="shared" si="12"/>
        <v>4743.1044511515356</v>
      </c>
    </row>
    <row r="153" spans="2:45" x14ac:dyDescent="0.3">
      <c r="C153" s="1" t="s">
        <v>152</v>
      </c>
      <c r="D153" s="2" t="s">
        <v>84</v>
      </c>
      <c r="H153" s="15">
        <f>SUM(J153:AS153)</f>
        <v>209225.32768804702</v>
      </c>
      <c r="J153" s="15">
        <f t="shared" ref="J153:AS153" si="13">J357</f>
        <v>0</v>
      </c>
      <c r="K153" s="15">
        <f t="shared" si="13"/>
        <v>0</v>
      </c>
      <c r="L153" s="15">
        <f t="shared" si="13"/>
        <v>0</v>
      </c>
      <c r="M153" s="15">
        <f t="shared" si="13"/>
        <v>-33450.899526027395</v>
      </c>
      <c r="N153" s="15">
        <f t="shared" si="13"/>
        <v>-26389</v>
      </c>
      <c r="O153" s="15">
        <f t="shared" si="13"/>
        <v>-9661.2818279999992</v>
      </c>
      <c r="P153" s="15">
        <f t="shared" si="13"/>
        <v>9125.245702440001</v>
      </c>
      <c r="Q153" s="15">
        <f t="shared" si="13"/>
        <v>11094.169104535413</v>
      </c>
      <c r="R153" s="15">
        <f t="shared" si="13"/>
        <v>9177.4482068473662</v>
      </c>
      <c r="S153" s="15">
        <f t="shared" si="13"/>
        <v>9202.453560519416</v>
      </c>
      <c r="T153" s="15">
        <f t="shared" si="13"/>
        <v>9226.6919884183953</v>
      </c>
      <c r="U153" s="15">
        <f t="shared" si="13"/>
        <v>9250.1353343979499</v>
      </c>
      <c r="V153" s="15">
        <f t="shared" si="13"/>
        <v>9272.7546915749299</v>
      </c>
      <c r="W153" s="15">
        <f t="shared" si="13"/>
        <v>9294.520383580526</v>
      </c>
      <c r="X153" s="15">
        <f t="shared" si="13"/>
        <v>9315.4019453503151</v>
      </c>
      <c r="Y153" s="15">
        <f t="shared" si="13"/>
        <v>9335.368103442077</v>
      </c>
      <c r="Z153" s="15">
        <f t="shared" si="13"/>
        <v>9354.386755869682</v>
      </c>
      <c r="AA153" s="15">
        <f t="shared" si="13"/>
        <v>9372.4249514412422</v>
      </c>
      <c r="AB153" s="15">
        <f t="shared" si="13"/>
        <v>9389.4488685893157</v>
      </c>
      <c r="AC153" s="15">
        <f t="shared" si="13"/>
        <v>9405.4237936807895</v>
      </c>
      <c r="AD153" s="15">
        <f t="shared" si="13"/>
        <v>9420.3140987935913</v>
      </c>
      <c r="AE153" s="15">
        <f t="shared" si="13"/>
        <v>9434.0832189472239</v>
      </c>
      <c r="AF153" s="15">
        <f t="shared" si="13"/>
        <v>9446.6936287736462</v>
      </c>
      <c r="AG153" s="15">
        <f t="shared" si="13"/>
        <v>9458.1068186148987</v>
      </c>
      <c r="AH153" s="15">
        <f t="shared" si="13"/>
        <v>9468.2832700332729</v>
      </c>
      <c r="AI153" s="15">
        <f t="shared" si="13"/>
        <v>9477.1824307197239</v>
      </c>
      <c r="AJ153" s="15">
        <f t="shared" si="13"/>
        <v>9484.7626887856968</v>
      </c>
      <c r="AK153" s="15">
        <f t="shared" si="13"/>
        <v>9490.981346423283</v>
      </c>
      <c r="AL153" s="15">
        <f t="shared" si="13"/>
        <v>9495.7945929182024</v>
      </c>
      <c r="AM153" s="15">
        <f t="shared" si="13"/>
        <v>9499.1574769997278</v>
      </c>
      <c r="AN153" s="15">
        <f t="shared" si="13"/>
        <v>9501.0238785112888</v>
      </c>
      <c r="AO153" s="15">
        <f t="shared" si="13"/>
        <v>9501.3464793850908</v>
      </c>
      <c r="AP153" s="15">
        <f t="shared" si="13"/>
        <v>9500.0767339037029</v>
      </c>
      <c r="AQ153" s="15">
        <f t="shared" si="13"/>
        <v>9497.1648382310632</v>
      </c>
      <c r="AR153" s="15">
        <f t="shared" si="13"/>
        <v>9492.5596991950206</v>
      </c>
      <c r="AS153" s="15">
        <f t="shared" si="13"/>
        <v>4743.1044511515356</v>
      </c>
    </row>
    <row r="154" spans="2:45" x14ac:dyDescent="0.3">
      <c r="C154" s="6" t="s">
        <v>153</v>
      </c>
      <c r="D154" s="2" t="s">
        <v>84</v>
      </c>
      <c r="J154" s="8">
        <f>SUM($J153:J153)</f>
        <v>0</v>
      </c>
      <c r="K154" s="8">
        <f>SUM($J153:K153)</f>
        <v>0</v>
      </c>
      <c r="L154" s="8">
        <f>SUM($J153:L153)</f>
        <v>0</v>
      </c>
      <c r="M154" s="8">
        <f>SUM($J153:M153)</f>
        <v>-33450.899526027395</v>
      </c>
      <c r="N154" s="8">
        <f>SUM($J153:N153)</f>
        <v>-59839.899526027395</v>
      </c>
      <c r="O154" s="8">
        <f>SUM($J153:O153)</f>
        <v>-69501.181354027387</v>
      </c>
      <c r="P154" s="8">
        <f>SUM($J153:P153)</f>
        <v>-60375.935651587388</v>
      </c>
      <c r="Q154" s="8">
        <f>SUM($J153:Q153)</f>
        <v>-49281.766547051971</v>
      </c>
      <c r="R154" s="8">
        <f>SUM($J153:R153)</f>
        <v>-40104.318340204605</v>
      </c>
      <c r="S154" s="8">
        <f>SUM($J153:S153)</f>
        <v>-30901.864779685187</v>
      </c>
      <c r="T154" s="8">
        <f>SUM($J153:T153)</f>
        <v>-21675.172791266792</v>
      </c>
      <c r="U154" s="8">
        <f>SUM($J153:U153)</f>
        <v>-12425.037456868842</v>
      </c>
      <c r="V154" s="8">
        <f>SUM($J153:V153)</f>
        <v>-3152.2827652939122</v>
      </c>
      <c r="W154" s="8">
        <f>SUM($J153:W153)</f>
        <v>6142.2376182866137</v>
      </c>
      <c r="X154" s="8">
        <f>SUM($J153:X153)</f>
        <v>15457.639563636929</v>
      </c>
      <c r="Y154" s="8">
        <f>SUM($J153:Y153)</f>
        <v>24793.007667079008</v>
      </c>
      <c r="Z154" s="8">
        <f>SUM($J153:Z153)</f>
        <v>34147.394422948688</v>
      </c>
      <c r="AA154" s="8">
        <f>SUM($J153:AA153)</f>
        <v>43519.819374389932</v>
      </c>
      <c r="AB154" s="8">
        <f>SUM($J153:AB153)</f>
        <v>52909.268242979248</v>
      </c>
      <c r="AC154" s="8">
        <f>SUM($J153:AC153)</f>
        <v>62314.692036660039</v>
      </c>
      <c r="AD154" s="8">
        <f>SUM($J153:AD153)</f>
        <v>71735.00613545363</v>
      </c>
      <c r="AE154" s="8">
        <f>SUM($J153:AE153)</f>
        <v>81169.089354400858</v>
      </c>
      <c r="AF154" s="8">
        <f>SUM($J153:AF153)</f>
        <v>90615.782983174504</v>
      </c>
      <c r="AG154" s="8">
        <f>SUM($J153:AG153)</f>
        <v>100073.8898017894</v>
      </c>
      <c r="AH154" s="8">
        <f>SUM($J153:AH153)</f>
        <v>109542.17307182268</v>
      </c>
      <c r="AI154" s="8">
        <f>SUM($J153:AI153)</f>
        <v>119019.3555025424</v>
      </c>
      <c r="AJ154" s="8">
        <f>SUM($J153:AJ153)</f>
        <v>128504.1181913281</v>
      </c>
      <c r="AK154" s="8">
        <f>SUM($J153:AK153)</f>
        <v>137995.09953775138</v>
      </c>
      <c r="AL154" s="8">
        <f>SUM($J153:AL153)</f>
        <v>147490.89413066959</v>
      </c>
      <c r="AM154" s="8">
        <f>SUM($J153:AM153)</f>
        <v>156990.05160766933</v>
      </c>
      <c r="AN154" s="8">
        <f>SUM($J153:AN153)</f>
        <v>166491.07548618061</v>
      </c>
      <c r="AO154" s="8">
        <f>SUM($J153:AO153)</f>
        <v>175992.42196556571</v>
      </c>
      <c r="AP154" s="8">
        <f>SUM($J153:AP153)</f>
        <v>185492.4986994694</v>
      </c>
      <c r="AQ154" s="8">
        <f>SUM($J153:AQ153)</f>
        <v>194989.66353770046</v>
      </c>
      <c r="AR154" s="8">
        <f>SUM($J153:AR153)</f>
        <v>204482.22323689549</v>
      </c>
      <c r="AS154" s="8">
        <f>SUM($J153:AS153)</f>
        <v>209225.32768804702</v>
      </c>
    </row>
    <row r="156" spans="2:45" x14ac:dyDescent="0.3">
      <c r="C156" s="42" t="s">
        <v>6</v>
      </c>
      <c r="D156" s="42"/>
      <c r="E156" s="43"/>
      <c r="F156" s="43"/>
      <c r="G156" s="43"/>
      <c r="H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</row>
    <row r="157" spans="2:45" x14ac:dyDescent="0.3">
      <c r="C157" s="6" t="s">
        <v>154</v>
      </c>
      <c r="D157" s="2" t="s">
        <v>84</v>
      </c>
      <c r="H157" s="8">
        <f>SUM(J157:AS157)</f>
        <v>-76800.059246575343</v>
      </c>
      <c r="J157" s="8">
        <f t="shared" ref="J157:AS157" si="14">J374</f>
        <v>0</v>
      </c>
      <c r="K157" s="8">
        <f t="shared" si="14"/>
        <v>0</v>
      </c>
      <c r="L157" s="8">
        <f t="shared" si="14"/>
        <v>0</v>
      </c>
      <c r="M157" s="8">
        <f t="shared" si="14"/>
        <v>-29757.579794520549</v>
      </c>
      <c r="N157" s="8">
        <f t="shared" si="14"/>
        <v>-31358</v>
      </c>
      <c r="O157" s="8">
        <f t="shared" si="14"/>
        <v>-18179</v>
      </c>
      <c r="P157" s="8">
        <f t="shared" si="14"/>
        <v>0</v>
      </c>
      <c r="Q157" s="8">
        <f t="shared" si="14"/>
        <v>2494.5205479452052</v>
      </c>
      <c r="R157" s="8">
        <f t="shared" si="14"/>
        <v>0</v>
      </c>
      <c r="S157" s="8">
        <f t="shared" si="14"/>
        <v>0</v>
      </c>
      <c r="T157" s="8">
        <f t="shared" si="14"/>
        <v>0</v>
      </c>
      <c r="U157" s="8">
        <f t="shared" si="14"/>
        <v>0</v>
      </c>
      <c r="V157" s="8">
        <f t="shared" si="14"/>
        <v>0</v>
      </c>
      <c r="W157" s="8">
        <f t="shared" si="14"/>
        <v>0</v>
      </c>
      <c r="X157" s="8">
        <f t="shared" si="14"/>
        <v>0</v>
      </c>
      <c r="Y157" s="8">
        <f t="shared" si="14"/>
        <v>0</v>
      </c>
      <c r="Z157" s="8">
        <f t="shared" si="14"/>
        <v>0</v>
      </c>
      <c r="AA157" s="8">
        <f t="shared" si="14"/>
        <v>0</v>
      </c>
      <c r="AB157" s="8">
        <f t="shared" si="14"/>
        <v>0</v>
      </c>
      <c r="AC157" s="8">
        <f t="shared" si="14"/>
        <v>0</v>
      </c>
      <c r="AD157" s="8">
        <f t="shared" si="14"/>
        <v>0</v>
      </c>
      <c r="AE157" s="8">
        <f t="shared" si="14"/>
        <v>0</v>
      </c>
      <c r="AF157" s="8">
        <f t="shared" si="14"/>
        <v>0</v>
      </c>
      <c r="AG157" s="8">
        <f t="shared" si="14"/>
        <v>0</v>
      </c>
      <c r="AH157" s="8">
        <f t="shared" si="14"/>
        <v>0</v>
      </c>
      <c r="AI157" s="8">
        <f t="shared" si="14"/>
        <v>0</v>
      </c>
      <c r="AJ157" s="8">
        <f t="shared" si="14"/>
        <v>0</v>
      </c>
      <c r="AK157" s="8">
        <f t="shared" si="14"/>
        <v>0</v>
      </c>
      <c r="AL157" s="8">
        <f t="shared" si="14"/>
        <v>0</v>
      </c>
      <c r="AM157" s="8">
        <f t="shared" si="14"/>
        <v>0</v>
      </c>
      <c r="AN157" s="8">
        <f t="shared" si="14"/>
        <v>0</v>
      </c>
      <c r="AO157" s="8">
        <f t="shared" si="14"/>
        <v>0</v>
      </c>
      <c r="AP157" s="8">
        <f t="shared" si="14"/>
        <v>0</v>
      </c>
      <c r="AQ157" s="8">
        <f t="shared" si="14"/>
        <v>0</v>
      </c>
      <c r="AR157" s="8">
        <f t="shared" si="14"/>
        <v>0</v>
      </c>
      <c r="AS157" s="8">
        <f t="shared" si="14"/>
        <v>0</v>
      </c>
    </row>
    <row r="158" spans="2:45" x14ac:dyDescent="0.3">
      <c r="C158" s="6" t="s">
        <v>149</v>
      </c>
      <c r="D158" s="2" t="s">
        <v>84</v>
      </c>
      <c r="H158" s="8">
        <f>SUM(J158:AS158)</f>
        <v>446130.68572945433</v>
      </c>
      <c r="J158" s="8">
        <f t="shared" ref="J158:AS158" si="15">J378</f>
        <v>0</v>
      </c>
      <c r="K158" s="8">
        <f t="shared" si="15"/>
        <v>0</v>
      </c>
      <c r="L158" s="8">
        <f t="shared" si="15"/>
        <v>0</v>
      </c>
      <c r="M158" s="8">
        <f t="shared" si="15"/>
        <v>0</v>
      </c>
      <c r="N158" s="8">
        <f t="shared" si="15"/>
        <v>0</v>
      </c>
      <c r="O158" s="8">
        <f t="shared" si="15"/>
        <v>6667.9199999999992</v>
      </c>
      <c r="P158" s="8">
        <f t="shared" si="15"/>
        <v>13469.198399999999</v>
      </c>
      <c r="Q158" s="8">
        <f t="shared" si="15"/>
        <v>13563.078712847999</v>
      </c>
      <c r="R158" s="8">
        <f t="shared" si="15"/>
        <v>13657.613371476547</v>
      </c>
      <c r="S158" s="8">
        <f t="shared" si="15"/>
        <v>13752.806936675741</v>
      </c>
      <c r="T158" s="8">
        <f t="shared" si="15"/>
        <v>13848.664001024374</v>
      </c>
      <c r="U158" s="8">
        <f t="shared" si="15"/>
        <v>13945.189189111516</v>
      </c>
      <c r="V158" s="8">
        <f t="shared" si="15"/>
        <v>14042.387157759618</v>
      </c>
      <c r="W158" s="8">
        <f t="shared" si="15"/>
        <v>14140.262596249206</v>
      </c>
      <c r="X158" s="8">
        <f t="shared" si="15"/>
        <v>14238.820226545064</v>
      </c>
      <c r="Y158" s="8">
        <f t="shared" si="15"/>
        <v>14338.064803524083</v>
      </c>
      <c r="Z158" s="8">
        <f t="shared" si="15"/>
        <v>14438.001115204645</v>
      </c>
      <c r="AA158" s="8">
        <f t="shared" si="15"/>
        <v>14538.633982977623</v>
      </c>
      <c r="AB158" s="8">
        <f t="shared" si="15"/>
        <v>14639.968261838976</v>
      </c>
      <c r="AC158" s="8">
        <f t="shared" si="15"/>
        <v>14742.008840623994</v>
      </c>
      <c r="AD158" s="8">
        <f t="shared" si="15"/>
        <v>14844.760642243142</v>
      </c>
      <c r="AE158" s="8">
        <f t="shared" si="15"/>
        <v>14948.228623919576</v>
      </c>
      <c r="AF158" s="8">
        <f t="shared" si="15"/>
        <v>15052.417777428302</v>
      </c>
      <c r="AG158" s="8">
        <f t="shared" si="15"/>
        <v>15157.333129336976</v>
      </c>
      <c r="AH158" s="8">
        <f t="shared" si="15"/>
        <v>15262.979741248453</v>
      </c>
      <c r="AI158" s="8">
        <f t="shared" si="15"/>
        <v>15369.362710044956</v>
      </c>
      <c r="AJ158" s="8">
        <f t="shared" si="15"/>
        <v>15476.487168133966</v>
      </c>
      <c r="AK158" s="8">
        <f t="shared" si="15"/>
        <v>15584.358283695865</v>
      </c>
      <c r="AL158" s="8">
        <f t="shared" si="15"/>
        <v>15692.981260933226</v>
      </c>
      <c r="AM158" s="8">
        <f t="shared" si="15"/>
        <v>15802.36134032193</v>
      </c>
      <c r="AN158" s="8">
        <f t="shared" si="15"/>
        <v>15912.503798863978</v>
      </c>
      <c r="AO158" s="8">
        <f t="shared" si="15"/>
        <v>16023.413950342057</v>
      </c>
      <c r="AP158" s="8">
        <f t="shared" si="15"/>
        <v>16135.097145575935</v>
      </c>
      <c r="AQ158" s="8">
        <f t="shared" si="15"/>
        <v>16247.558772680604</v>
      </c>
      <c r="AR158" s="8">
        <f t="shared" si="15"/>
        <v>16360.804257326188</v>
      </c>
      <c r="AS158" s="8">
        <f t="shared" si="15"/>
        <v>8237.419531499876</v>
      </c>
    </row>
    <row r="159" spans="2:45" x14ac:dyDescent="0.3">
      <c r="C159" s="6" t="s">
        <v>150</v>
      </c>
      <c r="D159" s="2" t="s">
        <v>84</v>
      </c>
      <c r="H159" s="8">
        <f>SUM(J159:AS159)</f>
        <v>-130425.69762342949</v>
      </c>
      <c r="J159" s="8">
        <f t="shared" ref="J159:AS159" si="16">J387</f>
        <v>0</v>
      </c>
      <c r="K159" s="8">
        <f t="shared" si="16"/>
        <v>0</v>
      </c>
      <c r="L159" s="8">
        <f t="shared" si="16"/>
        <v>0</v>
      </c>
      <c r="M159" s="8">
        <f t="shared" si="16"/>
        <v>0</v>
      </c>
      <c r="N159" s="8">
        <f t="shared" si="16"/>
        <v>0</v>
      </c>
      <c r="O159" s="8">
        <f t="shared" si="16"/>
        <v>-1598.148216</v>
      </c>
      <c r="P159" s="8">
        <f t="shared" si="16"/>
        <v>-3260.8798513199995</v>
      </c>
      <c r="Q159" s="8">
        <f t="shared" si="16"/>
        <v>-3322.39115932295</v>
      </c>
      <c r="R159" s="8">
        <f t="shared" si="16"/>
        <v>-3385.3882015133945</v>
      </c>
      <c r="S159" s="8">
        <f t="shared" si="16"/>
        <v>-3449.9065822287721</v>
      </c>
      <c r="T159" s="8">
        <f t="shared" si="16"/>
        <v>-3515.98276867813</v>
      </c>
      <c r="U159" s="8">
        <f t="shared" si="16"/>
        <v>-3583.6541119342505</v>
      </c>
      <c r="V159" s="8">
        <f t="shared" si="16"/>
        <v>-3652.9588684380865</v>
      </c>
      <c r="W159" s="8">
        <f t="shared" si="16"/>
        <v>-3723.9362220280277</v>
      </c>
      <c r="X159" s="8">
        <f t="shared" si="16"/>
        <v>-3796.626306506846</v>
      </c>
      <c r="Y159" s="8">
        <f t="shared" si="16"/>
        <v>-3871.0702287594695</v>
      </c>
      <c r="Z159" s="8">
        <f t="shared" si="16"/>
        <v>-3947.3100924350747</v>
      </c>
      <c r="AA159" s="8">
        <f t="shared" si="16"/>
        <v>-4025.3890222072937</v>
      </c>
      <c r="AB159" s="8">
        <f t="shared" si="16"/>
        <v>-4105.351188626707</v>
      </c>
      <c r="AC159" s="8">
        <f t="shared" si="16"/>
        <v>-4187.2418335800867</v>
      </c>
      <c r="AD159" s="8">
        <f t="shared" si="16"/>
        <v>-4271.1072963712768</v>
      </c>
      <c r="AE159" s="8">
        <f t="shared" si="16"/>
        <v>-4356.9950404388892</v>
      </c>
      <c r="AF159" s="8">
        <f t="shared" si="16"/>
        <v>-4444.9536807264467</v>
      </c>
      <c r="AG159" s="8">
        <f t="shared" si="16"/>
        <v>-4535.0330117209023</v>
      </c>
      <c r="AH159" s="8">
        <f t="shared" si="16"/>
        <v>-4627.2840361759263</v>
      </c>
      <c r="AI159" s="8">
        <f t="shared" si="16"/>
        <v>-4721.7589945367235</v>
      </c>
      <c r="AJ159" s="8">
        <f t="shared" si="16"/>
        <v>-4818.5113950835375</v>
      </c>
      <c r="AK159" s="8">
        <f t="shared" si="16"/>
        <v>-4917.5960448114747</v>
      </c>
      <c r="AL159" s="8">
        <f t="shared" si="16"/>
        <v>-5019.0690810646302</v>
      </c>
      <c r="AM159" s="8">
        <f t="shared" si="16"/>
        <v>-5122.9880039430363</v>
      </c>
      <c r="AN159" s="8">
        <f t="shared" si="16"/>
        <v>-5229.4117095013307</v>
      </c>
      <c r="AO159" s="8">
        <f t="shared" si="16"/>
        <v>-5338.400523758537</v>
      </c>
      <c r="AP159" s="8">
        <f t="shared" si="16"/>
        <v>-5450.01623753884</v>
      </c>
      <c r="AQ159" s="8">
        <f t="shared" si="16"/>
        <v>-5564.3221421636708</v>
      </c>
      <c r="AR159" s="8">
        <f t="shared" si="16"/>
        <v>-5681.3830660160138</v>
      </c>
      <c r="AS159" s="8">
        <f t="shared" si="16"/>
        <v>-2900.6327059991249</v>
      </c>
    </row>
    <row r="160" spans="2:45" x14ac:dyDescent="0.3">
      <c r="C160" s="6" t="s">
        <v>151</v>
      </c>
      <c r="D160" s="2" t="s">
        <v>84</v>
      </c>
      <c r="H160" s="8">
        <f>SUM(J160:AS160)</f>
        <v>315704.98810602498</v>
      </c>
      <c r="J160" s="8">
        <f t="shared" ref="J160:AS160" si="17">J388</f>
        <v>0</v>
      </c>
      <c r="K160" s="8">
        <f t="shared" si="17"/>
        <v>0</v>
      </c>
      <c r="L160" s="8">
        <f t="shared" si="17"/>
        <v>0</v>
      </c>
      <c r="M160" s="8">
        <f t="shared" si="17"/>
        <v>0</v>
      </c>
      <c r="N160" s="8">
        <f t="shared" si="17"/>
        <v>0</v>
      </c>
      <c r="O160" s="8">
        <f t="shared" si="17"/>
        <v>5069.7717839999987</v>
      </c>
      <c r="P160" s="8">
        <f t="shared" si="17"/>
        <v>10208.318548679999</v>
      </c>
      <c r="Q160" s="8">
        <f t="shared" si="17"/>
        <v>10240.687553525049</v>
      </c>
      <c r="R160" s="8">
        <f t="shared" si="17"/>
        <v>10272.225169963152</v>
      </c>
      <c r="S160" s="8">
        <f t="shared" si="17"/>
        <v>10302.900354446969</v>
      </c>
      <c r="T160" s="8">
        <f t="shared" si="17"/>
        <v>10332.681232346244</v>
      </c>
      <c r="U160" s="8">
        <f t="shared" si="17"/>
        <v>10361.535077177265</v>
      </c>
      <c r="V160" s="8">
        <f t="shared" si="17"/>
        <v>10389.428289321531</v>
      </c>
      <c r="W160" s="8">
        <f t="shared" si="17"/>
        <v>10416.326374221178</v>
      </c>
      <c r="X160" s="8">
        <f t="shared" si="17"/>
        <v>10442.193920038218</v>
      </c>
      <c r="Y160" s="8">
        <f t="shared" si="17"/>
        <v>10466.994574764612</v>
      </c>
      <c r="Z160" s="8">
        <f t="shared" si="17"/>
        <v>10490.69102276957</v>
      </c>
      <c r="AA160" s="8">
        <f t="shared" si="17"/>
        <v>10513.244960770329</v>
      </c>
      <c r="AB160" s="8">
        <f t="shared" si="17"/>
        <v>10534.61707321227</v>
      </c>
      <c r="AC160" s="8">
        <f t="shared" si="17"/>
        <v>10554.767007043907</v>
      </c>
      <c r="AD160" s="8">
        <f t="shared" si="17"/>
        <v>10573.653345871866</v>
      </c>
      <c r="AE160" s="8">
        <f t="shared" si="17"/>
        <v>10591.233583480687</v>
      </c>
      <c r="AF160" s="8">
        <f t="shared" si="17"/>
        <v>10607.464096701855</v>
      </c>
      <c r="AG160" s="8">
        <f t="shared" si="17"/>
        <v>10622.300117616072</v>
      </c>
      <c r="AH160" s="8">
        <f t="shared" si="17"/>
        <v>10635.695705072527</v>
      </c>
      <c r="AI160" s="8">
        <f t="shared" si="17"/>
        <v>10647.603715508232</v>
      </c>
      <c r="AJ160" s="8">
        <f t="shared" si="17"/>
        <v>10657.975773050428</v>
      </c>
      <c r="AK160" s="8">
        <f t="shared" si="17"/>
        <v>10666.76223888439</v>
      </c>
      <c r="AL160" s="8">
        <f t="shared" si="17"/>
        <v>10673.912179868596</v>
      </c>
      <c r="AM160" s="8">
        <f t="shared" si="17"/>
        <v>10679.373336378892</v>
      </c>
      <c r="AN160" s="8">
        <f t="shared" si="17"/>
        <v>10683.092089362646</v>
      </c>
      <c r="AO160" s="8">
        <f t="shared" si="17"/>
        <v>10685.01342658352</v>
      </c>
      <c r="AP160" s="8">
        <f t="shared" si="17"/>
        <v>10685.080908037096</v>
      </c>
      <c r="AQ160" s="8">
        <f t="shared" si="17"/>
        <v>10683.236630516934</v>
      </c>
      <c r="AR160" s="8">
        <f t="shared" si="17"/>
        <v>10679.421191310175</v>
      </c>
      <c r="AS160" s="8">
        <f t="shared" si="17"/>
        <v>5336.7868255007506</v>
      </c>
    </row>
    <row r="161" spans="2:45" x14ac:dyDescent="0.3">
      <c r="C161" s="1" t="s">
        <v>152</v>
      </c>
      <c r="D161" s="2" t="s">
        <v>84</v>
      </c>
      <c r="H161" s="15">
        <f>SUM(J161:AS161)</f>
        <v>238904.9288594496</v>
      </c>
      <c r="J161" s="15">
        <f t="shared" ref="J161:AS161" si="18">J389</f>
        <v>0</v>
      </c>
      <c r="K161" s="15">
        <f t="shared" si="18"/>
        <v>0</v>
      </c>
      <c r="L161" s="15">
        <f t="shared" si="18"/>
        <v>0</v>
      </c>
      <c r="M161" s="15">
        <f t="shared" si="18"/>
        <v>-29757.579794520549</v>
      </c>
      <c r="N161" s="15">
        <f t="shared" si="18"/>
        <v>-31358</v>
      </c>
      <c r="O161" s="15">
        <f t="shared" si="18"/>
        <v>-13109.228216000001</v>
      </c>
      <c r="P161" s="15">
        <f t="shared" si="18"/>
        <v>10208.318548679999</v>
      </c>
      <c r="Q161" s="15">
        <f t="shared" si="18"/>
        <v>12735.208101470254</v>
      </c>
      <c r="R161" s="15">
        <f t="shared" si="18"/>
        <v>10272.225169963152</v>
      </c>
      <c r="S161" s="15">
        <f t="shared" si="18"/>
        <v>10302.900354446969</v>
      </c>
      <c r="T161" s="15">
        <f t="shared" si="18"/>
        <v>10332.681232346244</v>
      </c>
      <c r="U161" s="15">
        <f t="shared" si="18"/>
        <v>10361.535077177265</v>
      </c>
      <c r="V161" s="15">
        <f t="shared" si="18"/>
        <v>10389.428289321531</v>
      </c>
      <c r="W161" s="15">
        <f t="shared" si="18"/>
        <v>10416.326374221178</v>
      </c>
      <c r="X161" s="15">
        <f t="shared" si="18"/>
        <v>10442.193920038218</v>
      </c>
      <c r="Y161" s="15">
        <f t="shared" si="18"/>
        <v>10466.994574764612</v>
      </c>
      <c r="Z161" s="15">
        <f t="shared" si="18"/>
        <v>10490.69102276957</v>
      </c>
      <c r="AA161" s="15">
        <f t="shared" si="18"/>
        <v>10513.244960770329</v>
      </c>
      <c r="AB161" s="15">
        <f t="shared" si="18"/>
        <v>10534.61707321227</v>
      </c>
      <c r="AC161" s="15">
        <f t="shared" si="18"/>
        <v>10554.767007043907</v>
      </c>
      <c r="AD161" s="15">
        <f t="shared" si="18"/>
        <v>10573.653345871866</v>
      </c>
      <c r="AE161" s="15">
        <f t="shared" si="18"/>
        <v>10591.233583480687</v>
      </c>
      <c r="AF161" s="15">
        <f t="shared" si="18"/>
        <v>10607.464096701855</v>
      </c>
      <c r="AG161" s="15">
        <f t="shared" si="18"/>
        <v>10622.300117616072</v>
      </c>
      <c r="AH161" s="15">
        <f t="shared" si="18"/>
        <v>10635.695705072527</v>
      </c>
      <c r="AI161" s="15">
        <f t="shared" si="18"/>
        <v>10647.603715508232</v>
      </c>
      <c r="AJ161" s="15">
        <f t="shared" si="18"/>
        <v>10657.975773050428</v>
      </c>
      <c r="AK161" s="15">
        <f t="shared" si="18"/>
        <v>10666.76223888439</v>
      </c>
      <c r="AL161" s="15">
        <f t="shared" si="18"/>
        <v>10673.912179868596</v>
      </c>
      <c r="AM161" s="15">
        <f t="shared" si="18"/>
        <v>10679.373336378892</v>
      </c>
      <c r="AN161" s="15">
        <f t="shared" si="18"/>
        <v>10683.092089362646</v>
      </c>
      <c r="AO161" s="15">
        <f t="shared" si="18"/>
        <v>10685.01342658352</v>
      </c>
      <c r="AP161" s="15">
        <f t="shared" si="18"/>
        <v>10685.080908037096</v>
      </c>
      <c r="AQ161" s="15">
        <f t="shared" si="18"/>
        <v>10683.236630516934</v>
      </c>
      <c r="AR161" s="15">
        <f t="shared" si="18"/>
        <v>10679.421191310175</v>
      </c>
      <c r="AS161" s="15">
        <f t="shared" si="18"/>
        <v>5336.7868255007506</v>
      </c>
    </row>
    <row r="162" spans="2:45" x14ac:dyDescent="0.3">
      <c r="C162" s="6" t="s">
        <v>153</v>
      </c>
      <c r="D162" s="2" t="s">
        <v>84</v>
      </c>
      <c r="J162" s="8">
        <f>SUM($J161:J161)</f>
        <v>0</v>
      </c>
      <c r="K162" s="8">
        <f>SUM($J161:K161)</f>
        <v>0</v>
      </c>
      <c r="L162" s="8">
        <f>SUM($J161:L161)</f>
        <v>0</v>
      </c>
      <c r="M162" s="8">
        <f>SUM($J161:M161)</f>
        <v>-29757.579794520549</v>
      </c>
      <c r="N162" s="8">
        <f>SUM($J161:N161)</f>
        <v>-61115.579794520549</v>
      </c>
      <c r="O162" s="8">
        <f>SUM($J161:O161)</f>
        <v>-74224.808010520544</v>
      </c>
      <c r="P162" s="8">
        <f>SUM($J161:P161)</f>
        <v>-64016.489461840545</v>
      </c>
      <c r="Q162" s="8">
        <f>SUM($J161:Q161)</f>
        <v>-51281.281360370289</v>
      </c>
      <c r="R162" s="8">
        <f>SUM($J161:R161)</f>
        <v>-41009.056190407136</v>
      </c>
      <c r="S162" s="8">
        <f>SUM($J161:S161)</f>
        <v>-30706.155835960169</v>
      </c>
      <c r="T162" s="8">
        <f>SUM($J161:T161)</f>
        <v>-20373.474603613926</v>
      </c>
      <c r="U162" s="8">
        <f>SUM($J161:U161)</f>
        <v>-10011.939526436661</v>
      </c>
      <c r="V162" s="8">
        <f>SUM($J161:V161)</f>
        <v>377.48876288487008</v>
      </c>
      <c r="W162" s="8">
        <f>SUM($J161:W161)</f>
        <v>10793.815137106048</v>
      </c>
      <c r="X162" s="8">
        <f>SUM($J161:X161)</f>
        <v>21236.009057144267</v>
      </c>
      <c r="Y162" s="8">
        <f>SUM($J161:Y161)</f>
        <v>31703.003631908879</v>
      </c>
      <c r="Z162" s="8">
        <f>SUM($J161:Z161)</f>
        <v>42193.694654678446</v>
      </c>
      <c r="AA162" s="8">
        <f>SUM($J161:AA161)</f>
        <v>52706.939615448777</v>
      </c>
      <c r="AB162" s="8">
        <f>SUM($J161:AB161)</f>
        <v>63241.556688661047</v>
      </c>
      <c r="AC162" s="8">
        <f>SUM($J161:AC161)</f>
        <v>73796.323695704952</v>
      </c>
      <c r="AD162" s="8">
        <f>SUM($J161:AD161)</f>
        <v>84369.977041576814</v>
      </c>
      <c r="AE162" s="8">
        <f>SUM($J161:AE161)</f>
        <v>94961.210625057502</v>
      </c>
      <c r="AF162" s="8">
        <f>SUM($J161:AF161)</f>
        <v>105568.67472175935</v>
      </c>
      <c r="AG162" s="8">
        <f>SUM($J161:AG161)</f>
        <v>116190.97483937543</v>
      </c>
      <c r="AH162" s="8">
        <f>SUM($J161:AH161)</f>
        <v>126826.67054444796</v>
      </c>
      <c r="AI162" s="8">
        <f>SUM($J161:AI161)</f>
        <v>137474.2742599562</v>
      </c>
      <c r="AJ162" s="8">
        <f>SUM($J161:AJ161)</f>
        <v>148132.25003300663</v>
      </c>
      <c r="AK162" s="8">
        <f>SUM($J161:AK161)</f>
        <v>158799.01227189103</v>
      </c>
      <c r="AL162" s="8">
        <f>SUM($J161:AL161)</f>
        <v>169472.92445175961</v>
      </c>
      <c r="AM162" s="8">
        <f>SUM($J161:AM161)</f>
        <v>180152.2977881385</v>
      </c>
      <c r="AN162" s="8">
        <f>SUM($J161:AN161)</f>
        <v>190835.38987750115</v>
      </c>
      <c r="AO162" s="8">
        <f>SUM($J161:AO161)</f>
        <v>201520.40330408467</v>
      </c>
      <c r="AP162" s="8">
        <f>SUM($J161:AP161)</f>
        <v>212205.48421212175</v>
      </c>
      <c r="AQ162" s="8">
        <f>SUM($J161:AQ161)</f>
        <v>222888.72084263869</v>
      </c>
      <c r="AR162" s="8">
        <f>SUM($J161:AR161)</f>
        <v>233568.14203394885</v>
      </c>
      <c r="AS162" s="8">
        <f>SUM($J161:AS161)</f>
        <v>238904.9288594496</v>
      </c>
    </row>
    <row r="164" spans="2:45" x14ac:dyDescent="0.3">
      <c r="C164" s="42" t="s">
        <v>7</v>
      </c>
      <c r="D164" s="42"/>
      <c r="E164" s="43"/>
      <c r="F164" s="43"/>
      <c r="G164" s="43"/>
      <c r="H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</row>
    <row r="165" spans="2:45" x14ac:dyDescent="0.3">
      <c r="C165" s="6" t="s">
        <v>154</v>
      </c>
      <c r="D165" s="2" t="s">
        <v>84</v>
      </c>
      <c r="H165" s="8">
        <f>SUM(J165:AS165)</f>
        <v>-76800.059246575343</v>
      </c>
      <c r="J165" s="8">
        <f t="shared" ref="J165:AS165" si="19">J406</f>
        <v>0</v>
      </c>
      <c r="K165" s="8">
        <f t="shared" si="19"/>
        <v>0</v>
      </c>
      <c r="L165" s="8">
        <f t="shared" si="19"/>
        <v>0</v>
      </c>
      <c r="M165" s="8">
        <f t="shared" si="19"/>
        <v>-29757.579794520549</v>
      </c>
      <c r="N165" s="8">
        <f t="shared" si="19"/>
        <v>-31358</v>
      </c>
      <c r="O165" s="8">
        <f t="shared" si="19"/>
        <v>-18179</v>
      </c>
      <c r="P165" s="8">
        <f t="shared" si="19"/>
        <v>0</v>
      </c>
      <c r="Q165" s="8">
        <f t="shared" si="19"/>
        <v>2494.5205479452052</v>
      </c>
      <c r="R165" s="8">
        <f t="shared" si="19"/>
        <v>0</v>
      </c>
      <c r="S165" s="8">
        <f t="shared" si="19"/>
        <v>0</v>
      </c>
      <c r="T165" s="8">
        <f t="shared" si="19"/>
        <v>0</v>
      </c>
      <c r="U165" s="8">
        <f t="shared" si="19"/>
        <v>0</v>
      </c>
      <c r="V165" s="8">
        <f t="shared" si="19"/>
        <v>0</v>
      </c>
      <c r="W165" s="8">
        <f t="shared" si="19"/>
        <v>0</v>
      </c>
      <c r="X165" s="8">
        <f t="shared" si="19"/>
        <v>0</v>
      </c>
      <c r="Y165" s="8">
        <f t="shared" si="19"/>
        <v>0</v>
      </c>
      <c r="Z165" s="8">
        <f t="shared" si="19"/>
        <v>0</v>
      </c>
      <c r="AA165" s="8">
        <f t="shared" si="19"/>
        <v>0</v>
      </c>
      <c r="AB165" s="8">
        <f t="shared" si="19"/>
        <v>0</v>
      </c>
      <c r="AC165" s="8">
        <f t="shared" si="19"/>
        <v>0</v>
      </c>
      <c r="AD165" s="8">
        <f t="shared" si="19"/>
        <v>0</v>
      </c>
      <c r="AE165" s="8">
        <f t="shared" si="19"/>
        <v>0</v>
      </c>
      <c r="AF165" s="8">
        <f t="shared" si="19"/>
        <v>0</v>
      </c>
      <c r="AG165" s="8">
        <f t="shared" si="19"/>
        <v>0</v>
      </c>
      <c r="AH165" s="8">
        <f t="shared" si="19"/>
        <v>0</v>
      </c>
      <c r="AI165" s="8">
        <f t="shared" si="19"/>
        <v>0</v>
      </c>
      <c r="AJ165" s="8">
        <f t="shared" si="19"/>
        <v>0</v>
      </c>
      <c r="AK165" s="8">
        <f t="shared" si="19"/>
        <v>0</v>
      </c>
      <c r="AL165" s="8">
        <f t="shared" si="19"/>
        <v>0</v>
      </c>
      <c r="AM165" s="8">
        <f t="shared" si="19"/>
        <v>0</v>
      </c>
      <c r="AN165" s="8">
        <f t="shared" si="19"/>
        <v>0</v>
      </c>
      <c r="AO165" s="8">
        <f t="shared" si="19"/>
        <v>0</v>
      </c>
      <c r="AP165" s="8">
        <f t="shared" si="19"/>
        <v>0</v>
      </c>
      <c r="AQ165" s="8">
        <f t="shared" si="19"/>
        <v>0</v>
      </c>
      <c r="AR165" s="8">
        <f t="shared" si="19"/>
        <v>0</v>
      </c>
      <c r="AS165" s="8">
        <f t="shared" si="19"/>
        <v>0</v>
      </c>
    </row>
    <row r="166" spans="2:45" x14ac:dyDescent="0.3">
      <c r="C166" s="6" t="s">
        <v>149</v>
      </c>
      <c r="D166" s="2" t="s">
        <v>84</v>
      </c>
      <c r="H166" s="8">
        <f>SUM(J166:AS166)</f>
        <v>446130.68572945433</v>
      </c>
      <c r="J166" s="8">
        <f t="shared" ref="J166:AS166" si="20">J410</f>
        <v>0</v>
      </c>
      <c r="K166" s="8">
        <f t="shared" si="20"/>
        <v>0</v>
      </c>
      <c r="L166" s="8">
        <f t="shared" si="20"/>
        <v>0</v>
      </c>
      <c r="M166" s="8">
        <f t="shared" si="20"/>
        <v>0</v>
      </c>
      <c r="N166" s="8">
        <f t="shared" si="20"/>
        <v>0</v>
      </c>
      <c r="O166" s="8">
        <f t="shared" si="20"/>
        <v>6667.9199999999992</v>
      </c>
      <c r="P166" s="8">
        <f t="shared" si="20"/>
        <v>13469.198399999999</v>
      </c>
      <c r="Q166" s="8">
        <f t="shared" si="20"/>
        <v>13563.078712847999</v>
      </c>
      <c r="R166" s="8">
        <f t="shared" si="20"/>
        <v>13657.613371476547</v>
      </c>
      <c r="S166" s="8">
        <f t="shared" si="20"/>
        <v>13752.806936675741</v>
      </c>
      <c r="T166" s="8">
        <f t="shared" si="20"/>
        <v>13848.664001024374</v>
      </c>
      <c r="U166" s="8">
        <f t="shared" si="20"/>
        <v>13945.189189111516</v>
      </c>
      <c r="V166" s="8">
        <f t="shared" si="20"/>
        <v>14042.387157759618</v>
      </c>
      <c r="W166" s="8">
        <f t="shared" si="20"/>
        <v>14140.262596249206</v>
      </c>
      <c r="X166" s="8">
        <f t="shared" si="20"/>
        <v>14238.820226545064</v>
      </c>
      <c r="Y166" s="8">
        <f t="shared" si="20"/>
        <v>14338.064803524083</v>
      </c>
      <c r="Z166" s="8">
        <f t="shared" si="20"/>
        <v>14438.001115204645</v>
      </c>
      <c r="AA166" s="8">
        <f t="shared" si="20"/>
        <v>14538.633982977623</v>
      </c>
      <c r="AB166" s="8">
        <f t="shared" si="20"/>
        <v>14639.968261838976</v>
      </c>
      <c r="AC166" s="8">
        <f t="shared" si="20"/>
        <v>14742.008840623994</v>
      </c>
      <c r="AD166" s="8">
        <f t="shared" si="20"/>
        <v>14844.760642243142</v>
      </c>
      <c r="AE166" s="8">
        <f t="shared" si="20"/>
        <v>14948.228623919576</v>
      </c>
      <c r="AF166" s="8">
        <f t="shared" si="20"/>
        <v>15052.417777428302</v>
      </c>
      <c r="AG166" s="8">
        <f t="shared" si="20"/>
        <v>15157.333129336976</v>
      </c>
      <c r="AH166" s="8">
        <f t="shared" si="20"/>
        <v>15262.979741248453</v>
      </c>
      <c r="AI166" s="8">
        <f t="shared" si="20"/>
        <v>15369.362710044956</v>
      </c>
      <c r="AJ166" s="8">
        <f t="shared" si="20"/>
        <v>15476.487168133966</v>
      </c>
      <c r="AK166" s="8">
        <f t="shared" si="20"/>
        <v>15584.358283695865</v>
      </c>
      <c r="AL166" s="8">
        <f t="shared" si="20"/>
        <v>15692.981260933226</v>
      </c>
      <c r="AM166" s="8">
        <f t="shared" si="20"/>
        <v>15802.36134032193</v>
      </c>
      <c r="AN166" s="8">
        <f t="shared" si="20"/>
        <v>15912.503798863978</v>
      </c>
      <c r="AO166" s="8">
        <f t="shared" si="20"/>
        <v>16023.413950342057</v>
      </c>
      <c r="AP166" s="8">
        <f t="shared" si="20"/>
        <v>16135.097145575935</v>
      </c>
      <c r="AQ166" s="8">
        <f t="shared" si="20"/>
        <v>16247.558772680604</v>
      </c>
      <c r="AR166" s="8">
        <f t="shared" si="20"/>
        <v>16360.804257326188</v>
      </c>
      <c r="AS166" s="8">
        <f t="shared" si="20"/>
        <v>8237.419531499876</v>
      </c>
    </row>
    <row r="167" spans="2:45" x14ac:dyDescent="0.3">
      <c r="C167" s="6" t="s">
        <v>150</v>
      </c>
      <c r="D167" s="2" t="s">
        <v>84</v>
      </c>
      <c r="H167" s="8">
        <f>SUM(J167:AS167)</f>
        <v>-130425.69762342949</v>
      </c>
      <c r="J167" s="8">
        <f t="shared" ref="J167:AS167" si="21">J419</f>
        <v>0</v>
      </c>
      <c r="K167" s="8">
        <f t="shared" si="21"/>
        <v>0</v>
      </c>
      <c r="L167" s="8">
        <f t="shared" si="21"/>
        <v>0</v>
      </c>
      <c r="M167" s="8">
        <f t="shared" si="21"/>
        <v>0</v>
      </c>
      <c r="N167" s="8">
        <f t="shared" si="21"/>
        <v>0</v>
      </c>
      <c r="O167" s="8">
        <f t="shared" si="21"/>
        <v>-1598.148216</v>
      </c>
      <c r="P167" s="8">
        <f t="shared" si="21"/>
        <v>-3260.8798513199995</v>
      </c>
      <c r="Q167" s="8">
        <f t="shared" si="21"/>
        <v>-3322.39115932295</v>
      </c>
      <c r="R167" s="8">
        <f t="shared" si="21"/>
        <v>-3385.3882015133945</v>
      </c>
      <c r="S167" s="8">
        <f t="shared" si="21"/>
        <v>-3449.9065822287721</v>
      </c>
      <c r="T167" s="8">
        <f t="shared" si="21"/>
        <v>-3515.98276867813</v>
      </c>
      <c r="U167" s="8">
        <f t="shared" si="21"/>
        <v>-3583.6541119342505</v>
      </c>
      <c r="V167" s="8">
        <f t="shared" si="21"/>
        <v>-3652.9588684380865</v>
      </c>
      <c r="W167" s="8">
        <f t="shared" si="21"/>
        <v>-3723.9362220280277</v>
      </c>
      <c r="X167" s="8">
        <f t="shared" si="21"/>
        <v>-3796.626306506846</v>
      </c>
      <c r="Y167" s="8">
        <f t="shared" si="21"/>
        <v>-3871.0702287594695</v>
      </c>
      <c r="Z167" s="8">
        <f t="shared" si="21"/>
        <v>-3947.3100924350747</v>
      </c>
      <c r="AA167" s="8">
        <f t="shared" si="21"/>
        <v>-4025.3890222072937</v>
      </c>
      <c r="AB167" s="8">
        <f t="shared" si="21"/>
        <v>-4105.351188626707</v>
      </c>
      <c r="AC167" s="8">
        <f t="shared" si="21"/>
        <v>-4187.2418335800867</v>
      </c>
      <c r="AD167" s="8">
        <f t="shared" si="21"/>
        <v>-4271.1072963712768</v>
      </c>
      <c r="AE167" s="8">
        <f t="shared" si="21"/>
        <v>-4356.9950404388892</v>
      </c>
      <c r="AF167" s="8">
        <f t="shared" si="21"/>
        <v>-4444.9536807264467</v>
      </c>
      <c r="AG167" s="8">
        <f t="shared" si="21"/>
        <v>-4535.0330117209023</v>
      </c>
      <c r="AH167" s="8">
        <f t="shared" si="21"/>
        <v>-4627.2840361759263</v>
      </c>
      <c r="AI167" s="8">
        <f t="shared" si="21"/>
        <v>-4721.7589945367235</v>
      </c>
      <c r="AJ167" s="8">
        <f t="shared" si="21"/>
        <v>-4818.5113950835375</v>
      </c>
      <c r="AK167" s="8">
        <f t="shared" si="21"/>
        <v>-4917.5960448114747</v>
      </c>
      <c r="AL167" s="8">
        <f t="shared" si="21"/>
        <v>-5019.0690810646302</v>
      </c>
      <c r="AM167" s="8">
        <f t="shared" si="21"/>
        <v>-5122.9880039430363</v>
      </c>
      <c r="AN167" s="8">
        <f t="shared" si="21"/>
        <v>-5229.4117095013307</v>
      </c>
      <c r="AO167" s="8">
        <f t="shared" si="21"/>
        <v>-5338.400523758537</v>
      </c>
      <c r="AP167" s="8">
        <f t="shared" si="21"/>
        <v>-5450.01623753884</v>
      </c>
      <c r="AQ167" s="8">
        <f t="shared" si="21"/>
        <v>-5564.3221421636708</v>
      </c>
      <c r="AR167" s="8">
        <f t="shared" si="21"/>
        <v>-5681.3830660160138</v>
      </c>
      <c r="AS167" s="8">
        <f t="shared" si="21"/>
        <v>-2900.6327059991249</v>
      </c>
    </row>
    <row r="168" spans="2:45" x14ac:dyDescent="0.3">
      <c r="C168" s="6" t="s">
        <v>151</v>
      </c>
      <c r="D168" s="2" t="s">
        <v>84</v>
      </c>
      <c r="H168" s="8">
        <f>SUM(J168:AS168)</f>
        <v>315704.98810602498</v>
      </c>
      <c r="J168" s="8">
        <f t="shared" ref="J168:AS168" si="22">J420</f>
        <v>0</v>
      </c>
      <c r="K168" s="8">
        <f t="shared" si="22"/>
        <v>0</v>
      </c>
      <c r="L168" s="8">
        <f t="shared" si="22"/>
        <v>0</v>
      </c>
      <c r="M168" s="8">
        <f t="shared" si="22"/>
        <v>0</v>
      </c>
      <c r="N168" s="8">
        <f t="shared" si="22"/>
        <v>0</v>
      </c>
      <c r="O168" s="8">
        <f t="shared" si="22"/>
        <v>5069.7717839999987</v>
      </c>
      <c r="P168" s="8">
        <f t="shared" si="22"/>
        <v>10208.318548679999</v>
      </c>
      <c r="Q168" s="8">
        <f t="shared" si="22"/>
        <v>10240.687553525049</v>
      </c>
      <c r="R168" s="8">
        <f t="shared" si="22"/>
        <v>10272.225169963152</v>
      </c>
      <c r="S168" s="8">
        <f t="shared" si="22"/>
        <v>10302.900354446969</v>
      </c>
      <c r="T168" s="8">
        <f t="shared" si="22"/>
        <v>10332.681232346244</v>
      </c>
      <c r="U168" s="8">
        <f t="shared" si="22"/>
        <v>10361.535077177265</v>
      </c>
      <c r="V168" s="8">
        <f t="shared" si="22"/>
        <v>10389.428289321531</v>
      </c>
      <c r="W168" s="8">
        <f t="shared" si="22"/>
        <v>10416.326374221178</v>
      </c>
      <c r="X168" s="8">
        <f t="shared" si="22"/>
        <v>10442.193920038218</v>
      </c>
      <c r="Y168" s="8">
        <f t="shared" si="22"/>
        <v>10466.994574764612</v>
      </c>
      <c r="Z168" s="8">
        <f t="shared" si="22"/>
        <v>10490.69102276957</v>
      </c>
      <c r="AA168" s="8">
        <f t="shared" si="22"/>
        <v>10513.244960770329</v>
      </c>
      <c r="AB168" s="8">
        <f t="shared" si="22"/>
        <v>10534.61707321227</v>
      </c>
      <c r="AC168" s="8">
        <f t="shared" si="22"/>
        <v>10554.767007043907</v>
      </c>
      <c r="AD168" s="8">
        <f t="shared" si="22"/>
        <v>10573.653345871866</v>
      </c>
      <c r="AE168" s="8">
        <f t="shared" si="22"/>
        <v>10591.233583480687</v>
      </c>
      <c r="AF168" s="8">
        <f t="shared" si="22"/>
        <v>10607.464096701855</v>
      </c>
      <c r="AG168" s="8">
        <f t="shared" si="22"/>
        <v>10622.300117616072</v>
      </c>
      <c r="AH168" s="8">
        <f t="shared" si="22"/>
        <v>10635.695705072527</v>
      </c>
      <c r="AI168" s="8">
        <f t="shared" si="22"/>
        <v>10647.603715508232</v>
      </c>
      <c r="AJ168" s="8">
        <f t="shared" si="22"/>
        <v>10657.975773050428</v>
      </c>
      <c r="AK168" s="8">
        <f t="shared" si="22"/>
        <v>10666.76223888439</v>
      </c>
      <c r="AL168" s="8">
        <f t="shared" si="22"/>
        <v>10673.912179868596</v>
      </c>
      <c r="AM168" s="8">
        <f t="shared" si="22"/>
        <v>10679.373336378892</v>
      </c>
      <c r="AN168" s="8">
        <f t="shared" si="22"/>
        <v>10683.092089362646</v>
      </c>
      <c r="AO168" s="8">
        <f t="shared" si="22"/>
        <v>10685.01342658352</v>
      </c>
      <c r="AP168" s="8">
        <f t="shared" si="22"/>
        <v>10685.080908037096</v>
      </c>
      <c r="AQ168" s="8">
        <f t="shared" si="22"/>
        <v>10683.236630516934</v>
      </c>
      <c r="AR168" s="8">
        <f t="shared" si="22"/>
        <v>10679.421191310175</v>
      </c>
      <c r="AS168" s="8">
        <f t="shared" si="22"/>
        <v>5336.7868255007506</v>
      </c>
    </row>
    <row r="169" spans="2:45" x14ac:dyDescent="0.3">
      <c r="C169" s="1" t="s">
        <v>152</v>
      </c>
      <c r="D169" s="2" t="s">
        <v>84</v>
      </c>
      <c r="H169" s="15">
        <f>SUM(J169:AS169)</f>
        <v>238904.9288594496</v>
      </c>
      <c r="J169" s="15">
        <f t="shared" ref="J169:AS169" si="23">J421</f>
        <v>0</v>
      </c>
      <c r="K169" s="15">
        <f t="shared" si="23"/>
        <v>0</v>
      </c>
      <c r="L169" s="15">
        <f t="shared" si="23"/>
        <v>0</v>
      </c>
      <c r="M169" s="15">
        <f t="shared" si="23"/>
        <v>-29757.579794520549</v>
      </c>
      <c r="N169" s="15">
        <f t="shared" si="23"/>
        <v>-31358</v>
      </c>
      <c r="O169" s="15">
        <f t="shared" si="23"/>
        <v>-13109.228216000001</v>
      </c>
      <c r="P169" s="15">
        <f t="shared" si="23"/>
        <v>10208.318548679999</v>
      </c>
      <c r="Q169" s="15">
        <f t="shared" si="23"/>
        <v>12735.208101470254</v>
      </c>
      <c r="R169" s="15">
        <f t="shared" si="23"/>
        <v>10272.225169963152</v>
      </c>
      <c r="S169" s="15">
        <f t="shared" si="23"/>
        <v>10302.900354446969</v>
      </c>
      <c r="T169" s="15">
        <f t="shared" si="23"/>
        <v>10332.681232346244</v>
      </c>
      <c r="U169" s="15">
        <f t="shared" si="23"/>
        <v>10361.535077177265</v>
      </c>
      <c r="V169" s="15">
        <f t="shared" si="23"/>
        <v>10389.428289321531</v>
      </c>
      <c r="W169" s="15">
        <f t="shared" si="23"/>
        <v>10416.326374221178</v>
      </c>
      <c r="X169" s="15">
        <f t="shared" si="23"/>
        <v>10442.193920038218</v>
      </c>
      <c r="Y169" s="15">
        <f t="shared" si="23"/>
        <v>10466.994574764612</v>
      </c>
      <c r="Z169" s="15">
        <f t="shared" si="23"/>
        <v>10490.69102276957</v>
      </c>
      <c r="AA169" s="15">
        <f t="shared" si="23"/>
        <v>10513.244960770329</v>
      </c>
      <c r="AB169" s="15">
        <f t="shared" si="23"/>
        <v>10534.61707321227</v>
      </c>
      <c r="AC169" s="15">
        <f t="shared" si="23"/>
        <v>10554.767007043907</v>
      </c>
      <c r="AD169" s="15">
        <f t="shared" si="23"/>
        <v>10573.653345871866</v>
      </c>
      <c r="AE169" s="15">
        <f t="shared" si="23"/>
        <v>10591.233583480687</v>
      </c>
      <c r="AF169" s="15">
        <f t="shared" si="23"/>
        <v>10607.464096701855</v>
      </c>
      <c r="AG169" s="15">
        <f t="shared" si="23"/>
        <v>10622.300117616072</v>
      </c>
      <c r="AH169" s="15">
        <f t="shared" si="23"/>
        <v>10635.695705072527</v>
      </c>
      <c r="AI169" s="15">
        <f t="shared" si="23"/>
        <v>10647.603715508232</v>
      </c>
      <c r="AJ169" s="15">
        <f t="shared" si="23"/>
        <v>10657.975773050428</v>
      </c>
      <c r="AK169" s="15">
        <f t="shared" si="23"/>
        <v>10666.76223888439</v>
      </c>
      <c r="AL169" s="15">
        <f t="shared" si="23"/>
        <v>10673.912179868596</v>
      </c>
      <c r="AM169" s="15">
        <f t="shared" si="23"/>
        <v>10679.373336378892</v>
      </c>
      <c r="AN169" s="15">
        <f t="shared" si="23"/>
        <v>10683.092089362646</v>
      </c>
      <c r="AO169" s="15">
        <f t="shared" si="23"/>
        <v>10685.01342658352</v>
      </c>
      <c r="AP169" s="15">
        <f t="shared" si="23"/>
        <v>10685.080908037096</v>
      </c>
      <c r="AQ169" s="15">
        <f t="shared" si="23"/>
        <v>10683.236630516934</v>
      </c>
      <c r="AR169" s="15">
        <f t="shared" si="23"/>
        <v>10679.421191310175</v>
      </c>
      <c r="AS169" s="15">
        <f t="shared" si="23"/>
        <v>5336.7868255007506</v>
      </c>
    </row>
    <row r="170" spans="2:45" x14ac:dyDescent="0.3">
      <c r="C170" s="6" t="s">
        <v>153</v>
      </c>
      <c r="D170" s="2" t="s">
        <v>84</v>
      </c>
      <c r="J170" s="8">
        <f>SUM($J169:J169)</f>
        <v>0</v>
      </c>
      <c r="K170" s="8">
        <f>SUM($J169:K169)</f>
        <v>0</v>
      </c>
      <c r="L170" s="8">
        <f>SUM($J169:L169)</f>
        <v>0</v>
      </c>
      <c r="M170" s="8">
        <f>SUM($J169:M169)</f>
        <v>-29757.579794520549</v>
      </c>
      <c r="N170" s="8">
        <f>SUM($J169:N169)</f>
        <v>-61115.579794520549</v>
      </c>
      <c r="O170" s="8">
        <f>SUM($J169:O169)</f>
        <v>-74224.808010520544</v>
      </c>
      <c r="P170" s="8">
        <f>SUM($J169:P169)</f>
        <v>-64016.489461840545</v>
      </c>
      <c r="Q170" s="8">
        <f>SUM($J169:Q169)</f>
        <v>-51281.281360370289</v>
      </c>
      <c r="R170" s="8">
        <f>SUM($J169:R169)</f>
        <v>-41009.056190407136</v>
      </c>
      <c r="S170" s="8">
        <f>SUM($J169:S169)</f>
        <v>-30706.155835960169</v>
      </c>
      <c r="T170" s="8">
        <f>SUM($J169:T169)</f>
        <v>-20373.474603613926</v>
      </c>
      <c r="U170" s="8">
        <f>SUM($J169:U169)</f>
        <v>-10011.939526436661</v>
      </c>
      <c r="V170" s="8">
        <f>SUM($J169:V169)</f>
        <v>377.48876288487008</v>
      </c>
      <c r="W170" s="8">
        <f>SUM($J169:W169)</f>
        <v>10793.815137106048</v>
      </c>
      <c r="X170" s="8">
        <f>SUM($J169:X169)</f>
        <v>21236.009057144267</v>
      </c>
      <c r="Y170" s="8">
        <f>SUM($J169:Y169)</f>
        <v>31703.003631908879</v>
      </c>
      <c r="Z170" s="8">
        <f>SUM($J169:Z169)</f>
        <v>42193.694654678446</v>
      </c>
      <c r="AA170" s="8">
        <f>SUM($J169:AA169)</f>
        <v>52706.939615448777</v>
      </c>
      <c r="AB170" s="8">
        <f>SUM($J169:AB169)</f>
        <v>63241.556688661047</v>
      </c>
      <c r="AC170" s="8">
        <f>SUM($J169:AC169)</f>
        <v>73796.323695704952</v>
      </c>
      <c r="AD170" s="8">
        <f>SUM($J169:AD169)</f>
        <v>84369.977041576814</v>
      </c>
      <c r="AE170" s="8">
        <f>SUM($J169:AE169)</f>
        <v>94961.210625057502</v>
      </c>
      <c r="AF170" s="8">
        <f>SUM($J169:AF169)</f>
        <v>105568.67472175935</v>
      </c>
      <c r="AG170" s="8">
        <f>SUM($J169:AG169)</f>
        <v>116190.97483937543</v>
      </c>
      <c r="AH170" s="8">
        <f>SUM($J169:AH169)</f>
        <v>126826.67054444796</v>
      </c>
      <c r="AI170" s="8">
        <f>SUM($J169:AI169)</f>
        <v>137474.2742599562</v>
      </c>
      <c r="AJ170" s="8">
        <f>SUM($J169:AJ169)</f>
        <v>148132.25003300663</v>
      </c>
      <c r="AK170" s="8">
        <f>SUM($J169:AK169)</f>
        <v>158799.01227189103</v>
      </c>
      <c r="AL170" s="8">
        <f>SUM($J169:AL169)</f>
        <v>169472.92445175961</v>
      </c>
      <c r="AM170" s="8">
        <f>SUM($J169:AM169)</f>
        <v>180152.2977881385</v>
      </c>
      <c r="AN170" s="8">
        <f>SUM($J169:AN169)</f>
        <v>190835.38987750115</v>
      </c>
      <c r="AO170" s="8">
        <f>SUM($J169:AO169)</f>
        <v>201520.40330408467</v>
      </c>
      <c r="AP170" s="8">
        <f>SUM($J169:AP169)</f>
        <v>212205.48421212175</v>
      </c>
      <c r="AQ170" s="8">
        <f>SUM($J169:AQ169)</f>
        <v>222888.72084263869</v>
      </c>
      <c r="AR170" s="8">
        <f>SUM($J169:AR169)</f>
        <v>233568.14203394885</v>
      </c>
      <c r="AS170" s="8">
        <f>SUM($J169:AS169)</f>
        <v>238904.9288594496</v>
      </c>
    </row>
    <row r="172" spans="2:45" x14ac:dyDescent="0.3">
      <c r="B172" s="4" t="s">
        <v>3</v>
      </c>
      <c r="C172" s="4" t="s">
        <v>155</v>
      </c>
      <c r="D172" s="4"/>
      <c r="E172" s="5" t="s">
        <v>5</v>
      </c>
      <c r="F172" s="5" t="s">
        <v>6</v>
      </c>
      <c r="G172" s="5" t="s">
        <v>7</v>
      </c>
      <c r="H172" s="5" t="s">
        <v>8</v>
      </c>
    </row>
    <row r="174" spans="2:45" x14ac:dyDescent="0.3">
      <c r="B174" s="4" t="s">
        <v>3</v>
      </c>
      <c r="C174" s="4" t="s">
        <v>156</v>
      </c>
      <c r="D174" s="4"/>
      <c r="E174" s="5" t="s">
        <v>5</v>
      </c>
      <c r="F174" s="5" t="s">
        <v>6</v>
      </c>
      <c r="G174" s="5" t="s">
        <v>7</v>
      </c>
      <c r="H174" s="5" t="s">
        <v>8</v>
      </c>
    </row>
    <row r="175" spans="2:45" x14ac:dyDescent="0.3">
      <c r="C175" s="67" t="s">
        <v>157</v>
      </c>
      <c r="D175" s="68" t="s">
        <v>158</v>
      </c>
      <c r="E175" s="70">
        <f>MIN(Freeze_Date,Sale_Date)</f>
        <v>47299</v>
      </c>
      <c r="F175" s="70">
        <f>MIN(Freeze_Date,Sale_Date)</f>
        <v>47299</v>
      </c>
      <c r="G175" s="70">
        <f>MIN(Freeze_Date,Sale_Date)</f>
        <v>47299</v>
      </c>
      <c r="H175" s="71"/>
    </row>
    <row r="176" spans="2:45" x14ac:dyDescent="0.3">
      <c r="C176" s="67" t="s">
        <v>159</v>
      </c>
      <c r="D176" s="68" t="s">
        <v>3</v>
      </c>
      <c r="E176" s="72">
        <f>1+Rate_Cash*(E175-DATE(YEAR(E175),1,1)+1)/Days_In_Year</f>
        <v>1.0595068493150686</v>
      </c>
      <c r="F176" s="72">
        <f>1+Rate_Cash*(F175-DATE(YEAR(F175),1,1)+1)/Days_In_Year</f>
        <v>1.0595068493150686</v>
      </c>
      <c r="G176" s="72">
        <f>1+Rate_Cash*(G175-DATE(YEAR(G175),1,1)+1)/Days_In_Year</f>
        <v>1.0595068493150686</v>
      </c>
      <c r="H176" s="71"/>
    </row>
    <row r="177" spans="3:8" x14ac:dyDescent="0.3">
      <c r="C177" s="67" t="s">
        <v>160</v>
      </c>
      <c r="D177" s="68" t="s">
        <v>3</v>
      </c>
      <c r="E177" s="72">
        <f>1+Rate_Devex*(E175-DATE(YEAR(E175),1,1)+1)/Days_In_Year</f>
        <v>1.0991780821917809</v>
      </c>
      <c r="F177" s="72">
        <f>1+Rate_Devex*(F175-DATE(YEAR(F175),1,1)+1)/Days_In_Year</f>
        <v>1.0991780821917809</v>
      </c>
      <c r="G177" s="72">
        <f>1+Rate_Devex*(G175-DATE(YEAR(G175),1,1)+1)/Days_In_Year</f>
        <v>1.0991780821917809</v>
      </c>
      <c r="H177" s="71"/>
    </row>
    <row r="178" spans="3:8" x14ac:dyDescent="0.3">
      <c r="C178" s="67" t="s">
        <v>161</v>
      </c>
      <c r="D178" s="68" t="s">
        <v>162</v>
      </c>
      <c r="E178" s="74">
        <f>DATE(YEAR(Inputs!E$21)+1,1,1)-Inputs!E$21</f>
        <v>63</v>
      </c>
      <c r="F178" s="74">
        <f>DATE(YEAR(Inputs!F$21)+1,1,1)-Inputs!F$21</f>
        <v>63</v>
      </c>
      <c r="G178" s="74">
        <f>DATE(YEAR(Inputs!G$21)+1,1,1)-Inputs!G$21</f>
        <v>63</v>
      </c>
      <c r="H178" s="71"/>
    </row>
    <row r="179" spans="3:8" x14ac:dyDescent="0.3">
      <c r="C179" s="67" t="s">
        <v>163</v>
      </c>
      <c r="D179" s="68" t="s">
        <v>3</v>
      </c>
      <c r="E179" s="72">
        <f>(1+Rate_Cash*E178/Days_In_Year)*(1+Rate_Cash)^(YEAR(E175)-YEAR(Inputs!E$21)-1)*E176</f>
        <v>1.3565730168818169</v>
      </c>
      <c r="F179" s="72">
        <f>(1+Rate_Cash*F178/Days_In_Year)*(1+Rate_Cash)^(YEAR(F175)-YEAR(Inputs!F$21)-1)*F176</f>
        <v>1.3565730168818169</v>
      </c>
      <c r="G179" s="72">
        <f>(1+Rate_Cash*G178/Days_In_Year)*(1+Rate_Cash)^(YEAR(G175)-YEAR(Inputs!G$21)-1)*G176</f>
        <v>1.3565730168818169</v>
      </c>
      <c r="H179" s="71"/>
    </row>
    <row r="180" spans="3:8" x14ac:dyDescent="0.3">
      <c r="C180" s="67" t="s">
        <v>164</v>
      </c>
      <c r="D180" s="68" t="s">
        <v>162</v>
      </c>
      <c r="E180" s="74">
        <f>DATE(YEAR(Inputs!E$22)+1,1,1)-Inputs!E$22</f>
        <v>351</v>
      </c>
      <c r="F180" s="74">
        <f>DATE(YEAR(Inputs!F$22)+1,1,1)-Inputs!F$22</f>
        <v>351</v>
      </c>
      <c r="G180" s="74">
        <f>DATE(YEAR(Inputs!G$22)+1,1,1)-Inputs!G$22</f>
        <v>351</v>
      </c>
      <c r="H180" s="71"/>
    </row>
    <row r="181" spans="3:8" x14ac:dyDescent="0.3">
      <c r="C181" s="67" t="s">
        <v>165</v>
      </c>
      <c r="D181" s="68" t="s">
        <v>3</v>
      </c>
      <c r="E181" s="72">
        <f>(1+Rate_Cash*E180/Days_In_Year)*(1+Rate_Cash)^(YEAR(E175)-YEAR(Inputs!E$22)-1)*E176</f>
        <v>1.3235835614036406</v>
      </c>
      <c r="F181" s="72">
        <f>(1+Rate_Cash*F180/Days_In_Year)*(1+Rate_Cash)^(YEAR(F175)-YEAR(Inputs!F$22)-1)*F176</f>
        <v>1.3235835614036406</v>
      </c>
      <c r="G181" s="72">
        <f>(1+Rate_Cash*G180/Days_In_Year)*(1+Rate_Cash)^(YEAR(G175)-YEAR(Inputs!G$22)-1)*G176</f>
        <v>1.3235835614036406</v>
      </c>
      <c r="H181" s="71"/>
    </row>
    <row r="182" spans="3:8" x14ac:dyDescent="0.3">
      <c r="C182" s="67" t="s">
        <v>166</v>
      </c>
      <c r="D182" s="68" t="s">
        <v>162</v>
      </c>
      <c r="E182" s="74">
        <f>DATE(YEAR(Inputs!E$23)+1,1,1)-Inputs!E$23</f>
        <v>351</v>
      </c>
      <c r="F182" s="74">
        <f>DATE(YEAR(Inputs!F$23)+1,1,1)-Inputs!F$23</f>
        <v>351</v>
      </c>
      <c r="G182" s="74">
        <f>DATE(YEAR(Inputs!G$23)+1,1,1)-Inputs!G$23</f>
        <v>351</v>
      </c>
      <c r="H182" s="71"/>
    </row>
    <row r="183" spans="3:8" x14ac:dyDescent="0.3">
      <c r="C183" s="67" t="s">
        <v>167</v>
      </c>
      <c r="D183" s="68" t="s">
        <v>3</v>
      </c>
      <c r="E183" s="72">
        <f>(1+Rate_Cash*E182/Days_In_Year)*(1+Rate_Cash)^(YEAR(E175)-YEAR(Inputs!E$23)-1)*E176</f>
        <v>1.3235835614036406</v>
      </c>
      <c r="F183" s="72">
        <f>(1+Rate_Cash*F182/Days_In_Year)*(1+Rate_Cash)^(YEAR(F175)-YEAR(Inputs!F$23)-1)*F176</f>
        <v>1.3235835614036406</v>
      </c>
      <c r="G183" s="72">
        <f>(1+Rate_Cash*G182/Days_In_Year)*(1+Rate_Cash)^(YEAR(G175)-YEAR(Inputs!G$23)-1)*G176</f>
        <v>1.3235835614036406</v>
      </c>
      <c r="H183" s="71"/>
    </row>
    <row r="184" spans="3:8" x14ac:dyDescent="0.3">
      <c r="C184" s="67" t="s">
        <v>168</v>
      </c>
      <c r="D184" s="68" t="s">
        <v>162</v>
      </c>
      <c r="E184" s="74">
        <f>DATE(YEAR(Inputs!E$24)+1,1,1)-Inputs!E$24</f>
        <v>92</v>
      </c>
      <c r="F184" s="74">
        <f>DATE(YEAR(Inputs!F$24)+1,1,1)-Inputs!F$24</f>
        <v>92</v>
      </c>
      <c r="G184" s="74">
        <f>DATE(YEAR(Inputs!G$24)+1,1,1)-Inputs!G$24</f>
        <v>92</v>
      </c>
      <c r="H184" s="71"/>
    </row>
    <row r="185" spans="3:8" x14ac:dyDescent="0.3">
      <c r="C185" s="67" t="s">
        <v>169</v>
      </c>
      <c r="D185" s="68" t="s">
        <v>3</v>
      </c>
      <c r="E185" s="72">
        <f>(1+Rate_Cash*E184/Days_In_Year)*(1+Rate_Cash)^(YEAR(E175)-YEAR(Inputs!E$24)-1)*E176</f>
        <v>1.0915533030587352</v>
      </c>
      <c r="F185" s="72">
        <f>(1+Rate_Cash*F184/Days_In_Year)*(1+Rate_Cash)^(YEAR(F175)-YEAR(Inputs!F$24)-1)*F176</f>
        <v>1.0915533030587352</v>
      </c>
      <c r="G185" s="72">
        <f>(1+Rate_Cash*G184/Days_In_Year)*(1+Rate_Cash)^(YEAR(G175)-YEAR(Inputs!G$24)-1)*G176</f>
        <v>1.0915533030587352</v>
      </c>
      <c r="H185" s="71"/>
    </row>
    <row r="186" spans="3:8" x14ac:dyDescent="0.3">
      <c r="C186" s="67" t="s">
        <v>170</v>
      </c>
      <c r="D186" s="68" t="s">
        <v>162</v>
      </c>
      <c r="E186" s="74">
        <f>DATE(YEAR($J$56)+1,1,1)-$J$56</f>
        <v>241.8231341790015</v>
      </c>
      <c r="F186" s="74">
        <f>DATE(YEAR($J$56)+1,1,1)-$J$56</f>
        <v>241.8231341790015</v>
      </c>
      <c r="G186" s="74">
        <f>DATE(YEAR($J$56)+1,1,1)-$J$56</f>
        <v>241.8231341790015</v>
      </c>
      <c r="H186" s="71"/>
    </row>
    <row r="187" spans="3:8" x14ac:dyDescent="0.3">
      <c r="C187" s="67" t="s">
        <v>171</v>
      </c>
      <c r="D187" s="68" t="s">
        <v>3</v>
      </c>
      <c r="E187" s="72">
        <f>(1+Rate_Devex*E186/Days_In_Year)*(1+Rate_Devex)^(YEAR(E175)-YEAR($J$56)-1)*E177</f>
        <v>1.2448255829350581</v>
      </c>
      <c r="F187" s="72">
        <f>(1+Rate_Devex*F186/Days_In_Year)*(1+Rate_Devex)^(YEAR(F175)-YEAR($J$56)-1)*F177</f>
        <v>1.2448255829350581</v>
      </c>
      <c r="G187" s="72">
        <f>(1+Rate_Devex*G186/Days_In_Year)*(1+Rate_Devex)^(YEAR(G175)-YEAR($J$56)-1)*G177</f>
        <v>1.2448255829350581</v>
      </c>
      <c r="H187" s="71"/>
    </row>
    <row r="188" spans="3:8" x14ac:dyDescent="0.3">
      <c r="C188" s="67" t="s">
        <v>172</v>
      </c>
      <c r="D188" s="68" t="s">
        <v>162</v>
      </c>
      <c r="E188" s="74">
        <f>DATE(YEAR($J$55)+1,1,1)-$J$55</f>
        <v>38.875724111945601</v>
      </c>
      <c r="F188" s="74">
        <f>DATE(YEAR($J$55)+1,1,1)-$J$55</f>
        <v>38.875724111945601</v>
      </c>
      <c r="G188" s="74">
        <f>DATE(YEAR($J$55)+1,1,1)-$J$55</f>
        <v>38.875724111945601</v>
      </c>
      <c r="H188" s="71"/>
    </row>
    <row r="189" spans="3:8" x14ac:dyDescent="0.3">
      <c r="C189" s="67" t="s">
        <v>173</v>
      </c>
      <c r="D189" s="68" t="s">
        <v>3</v>
      </c>
      <c r="E189" s="72">
        <f>(1+Rate_Devex*E188/Days_In_Year)*(1+Rate_Devex)^(YEAR(E175)-YEAR($J$55)-1)*E177</f>
        <v>1.3471110206289438</v>
      </c>
      <c r="F189" s="72">
        <f>(1+Rate_Devex*F188/Days_In_Year)*(1+Rate_Devex)^(YEAR(F175)-YEAR($J$55)-1)*F177</f>
        <v>1.3471110206289438</v>
      </c>
      <c r="G189" s="72">
        <f>(1+Rate_Devex*G188/Days_In_Year)*(1+Rate_Devex)^(YEAR(G175)-YEAR($J$55)-1)*G177</f>
        <v>1.3471110206289438</v>
      </c>
      <c r="H189" s="71"/>
    </row>
    <row r="190" spans="3:8" x14ac:dyDescent="0.3">
      <c r="C190" s="67" t="s">
        <v>174</v>
      </c>
      <c r="D190" s="68" t="s">
        <v>84</v>
      </c>
      <c r="E190" s="73">
        <f>E$21*E61*(E179-1)</f>
        <v>2.9307371250560288</v>
      </c>
      <c r="F190" s="73">
        <f>F$21*F61*(F179-1)</f>
        <v>0</v>
      </c>
      <c r="G190" s="73">
        <f>G$21*G61*(G179-1)</f>
        <v>0</v>
      </c>
      <c r="H190" s="73">
        <f t="shared" ref="H190:H199" si="24">SUM(E190:G190)</f>
        <v>2.9307371250560288</v>
      </c>
    </row>
    <row r="191" spans="3:8" x14ac:dyDescent="0.3">
      <c r="C191" s="67" t="s">
        <v>175</v>
      </c>
      <c r="D191" s="68" t="s">
        <v>84</v>
      </c>
      <c r="E191" s="69">
        <f>E$21*E62*(E179-1)</f>
        <v>138.52617477764829</v>
      </c>
      <c r="F191" s="69">
        <f>F$21*F62*(F179-1)</f>
        <v>0</v>
      </c>
      <c r="G191" s="69">
        <f>G$21*G62*(G179-1)</f>
        <v>0</v>
      </c>
      <c r="H191" s="69">
        <f t="shared" si="24"/>
        <v>138.52617477764829</v>
      </c>
    </row>
    <row r="192" spans="3:8" x14ac:dyDescent="0.3">
      <c r="C192" s="67" t="s">
        <v>176</v>
      </c>
      <c r="D192" s="68" t="s">
        <v>84</v>
      </c>
      <c r="E192" s="69">
        <f>E$21*E63*(E181-1)</f>
        <v>502.83998911820538</v>
      </c>
      <c r="F192" s="69">
        <f>F$21*F63*(F181-1)</f>
        <v>0</v>
      </c>
      <c r="G192" s="69">
        <f>G$21*G63*(G181-1)</f>
        <v>0</v>
      </c>
      <c r="H192" s="69">
        <f t="shared" si="24"/>
        <v>502.83998911820538</v>
      </c>
    </row>
    <row r="193" spans="2:8" x14ac:dyDescent="0.3">
      <c r="C193" s="67" t="s">
        <v>177</v>
      </c>
      <c r="D193" s="68" t="s">
        <v>84</v>
      </c>
      <c r="E193" s="69">
        <f>E$21*E64*(E183-1)</f>
        <v>199.46931867347709</v>
      </c>
      <c r="F193" s="69">
        <f>F$21*F64*(F183-1)</f>
        <v>0</v>
      </c>
      <c r="G193" s="69">
        <f>G$21*G64*(G183-1)</f>
        <v>0</v>
      </c>
      <c r="H193" s="69">
        <f t="shared" si="24"/>
        <v>199.46931867347709</v>
      </c>
    </row>
    <row r="194" spans="2:8" x14ac:dyDescent="0.3">
      <c r="C194" s="67" t="s">
        <v>178</v>
      </c>
      <c r="D194" s="68" t="s">
        <v>84</v>
      </c>
      <c r="E194" s="69">
        <f>E$21*E65*(E185-1)</f>
        <v>63.754434866093717</v>
      </c>
      <c r="F194" s="69">
        <f>F$21*F65*(F185-1)</f>
        <v>0</v>
      </c>
      <c r="G194" s="69">
        <f>G$21*G65*(G185-1)</f>
        <v>0</v>
      </c>
      <c r="H194" s="69">
        <f t="shared" si="24"/>
        <v>63.754434866093717</v>
      </c>
    </row>
    <row r="195" spans="2:8" x14ac:dyDescent="0.3">
      <c r="C195" s="67" t="s">
        <v>179</v>
      </c>
      <c r="D195" s="68" t="s">
        <v>84</v>
      </c>
      <c r="E195" s="69">
        <f>E$21*E66*(E185-1)</f>
        <v>859.9903505960641</v>
      </c>
      <c r="F195" s="69">
        <f>F$21*F66*(F185-1)</f>
        <v>0</v>
      </c>
      <c r="G195" s="69">
        <f>G$21*G66*(G185-1)</f>
        <v>0</v>
      </c>
      <c r="H195" s="69">
        <f t="shared" si="24"/>
        <v>859.9903505960641</v>
      </c>
    </row>
    <row r="196" spans="2:8" x14ac:dyDescent="0.3">
      <c r="C196" s="67" t="s">
        <v>180</v>
      </c>
      <c r="D196" s="68" t="s">
        <v>84</v>
      </c>
      <c r="E196" s="69">
        <f>E$21*E68*MAX(E187-1,Devex_Floor-1)</f>
        <v>107.80171232876712</v>
      </c>
      <c r="F196" s="69">
        <f>F$21*F68*MAX(F187-1,Devex_Floor-1)</f>
        <v>0</v>
      </c>
      <c r="G196" s="69">
        <f>G$21*G68*MAX(G187-1,Devex_Floor-1)</f>
        <v>0</v>
      </c>
      <c r="H196" s="69">
        <f t="shared" si="24"/>
        <v>107.80171232876712</v>
      </c>
    </row>
    <row r="197" spans="2:8" x14ac:dyDescent="0.3">
      <c r="C197" s="67" t="s">
        <v>181</v>
      </c>
      <c r="D197" s="68" t="s">
        <v>84</v>
      </c>
      <c r="E197" s="69">
        <f>E$21*E67*MAX(E189-1,Devex_Floor-1)</f>
        <v>701.09881634889575</v>
      </c>
      <c r="F197" s="69">
        <f>F$21*F67*MAX(F189-1,Devex_Floor-1)</f>
        <v>0</v>
      </c>
      <c r="G197" s="69">
        <f>G$21*G67*MAX(G189-1,Devex_Floor-1)</f>
        <v>0</v>
      </c>
      <c r="H197" s="69">
        <f t="shared" si="24"/>
        <v>701.09881634889575</v>
      </c>
    </row>
    <row r="198" spans="2:8" x14ac:dyDescent="0.3">
      <c r="C198" s="75" t="s">
        <v>182</v>
      </c>
      <c r="D198" s="68" t="s">
        <v>84</v>
      </c>
      <c r="E198" s="76">
        <f>SUM(E190:E197)</f>
        <v>2576.4115338342071</v>
      </c>
      <c r="F198" s="76">
        <f>SUM(F190:F197)</f>
        <v>0</v>
      </c>
      <c r="G198" s="76">
        <f>SUM(G190:G197)</f>
        <v>0</v>
      </c>
      <c r="H198" s="76">
        <f t="shared" si="24"/>
        <v>2576.4115338342071</v>
      </c>
    </row>
    <row r="199" spans="2:8" x14ac:dyDescent="0.3">
      <c r="C199" s="67" t="s">
        <v>183</v>
      </c>
      <c r="D199" s="68" t="s">
        <v>84</v>
      </c>
      <c r="E199" s="69">
        <f>E20*MIN(DSA_Rate*YEARFRAC(Inputs!E$28,Sale_Date),DSA_Cap)*E44</f>
        <v>437.49999999999994</v>
      </c>
      <c r="F199" s="69">
        <f>F20*MIN(DSA_Rate*YEARFRAC(Inputs!F$28,Sale_Date),DSA_Cap)*F44</f>
        <v>0</v>
      </c>
      <c r="G199" s="69">
        <f>G20*MIN(DSA_Rate*YEARFRAC(Inputs!G$28,Sale_Date),DSA_Cap)*G44</f>
        <v>0</v>
      </c>
      <c r="H199" s="69">
        <f t="shared" si="24"/>
        <v>437.49999999999994</v>
      </c>
    </row>
    <row r="201" spans="2:8" x14ac:dyDescent="0.3">
      <c r="B201" s="4" t="s">
        <v>3</v>
      </c>
      <c r="C201" s="4" t="s">
        <v>184</v>
      </c>
      <c r="D201" s="4"/>
      <c r="E201" s="5" t="s">
        <v>5</v>
      </c>
      <c r="F201" s="5" t="s">
        <v>6</v>
      </c>
      <c r="G201" s="5" t="s">
        <v>7</v>
      </c>
      <c r="H201" s="5" t="s">
        <v>8</v>
      </c>
    </row>
    <row r="202" spans="2:8" x14ac:dyDescent="0.3">
      <c r="C202" s="67" t="s">
        <v>185</v>
      </c>
      <c r="D202" s="68" t="s">
        <v>84</v>
      </c>
      <c r="E202" s="69">
        <f>E65+E66</f>
        <v>10089.693704109588</v>
      </c>
      <c r="F202" s="69">
        <f>F65+F66</f>
        <v>3359.8191780821917</v>
      </c>
      <c r="G202" s="69">
        <f>G65+G66</f>
        <v>3359.8191780821917</v>
      </c>
      <c r="H202" s="69">
        <f>SUM(E202:G202)</f>
        <v>16809.33206027397</v>
      </c>
    </row>
    <row r="203" spans="2:8" x14ac:dyDescent="0.3">
      <c r="C203" s="67" t="s">
        <v>186</v>
      </c>
      <c r="D203" s="68" t="s">
        <v>73</v>
      </c>
      <c r="E203" s="69">
        <f>SUMIFS(Devex_HUF,Devex_Class,"Land",Devex_Date,"&lt;="&amp;Sale_Date_A)</f>
        <v>66190500</v>
      </c>
      <c r="F203" s="69">
        <f>SUMIFS(Devex_HUF,Devex_Class,"Land",Devex_Date,"&lt;="&amp;Sale_Date_A)</f>
        <v>66190500</v>
      </c>
      <c r="G203" s="69">
        <f>SUMIFS(Devex_HUF,Devex_Class,"Land",Devex_Date,"&lt;="&amp;Sale_Date_A)</f>
        <v>66190500</v>
      </c>
      <c r="H203" s="69"/>
    </row>
    <row r="204" spans="2:8" x14ac:dyDescent="0.3">
      <c r="C204" s="67" t="s">
        <v>187</v>
      </c>
      <c r="D204" s="68" t="s">
        <v>158</v>
      </c>
      <c r="E204" s="70">
        <f>SUMPRODUCT((Devex_Class="Land")*(Devex_Date&lt;=Sale_Date_A)*Devex_HUF,Devex_Date)/E203</f>
        <v>46431</v>
      </c>
      <c r="F204" s="70">
        <f>SUMPRODUCT((Devex_Class="Land")*(Devex_Date&lt;=Sale_Date_A)*Devex_HUF,Devex_Date)/F203</f>
        <v>46431</v>
      </c>
      <c r="G204" s="70">
        <f>SUMPRODUCT((Devex_Class="Land")*(Devex_Date&lt;=Sale_Date_A)*Devex_HUF,Devex_Date)/G203</f>
        <v>46431</v>
      </c>
      <c r="H204" s="71"/>
    </row>
    <row r="205" spans="2:8" x14ac:dyDescent="0.3">
      <c r="C205" s="67" t="s">
        <v>188</v>
      </c>
      <c r="D205" s="68" t="s">
        <v>84</v>
      </c>
      <c r="E205" s="69">
        <f>E203/FX/Thousand*Inputs!E$18</f>
        <v>45.335958904109589</v>
      </c>
      <c r="F205" s="69">
        <f>F203/FX/Thousand*Inputs!F$18</f>
        <v>45.335958904109589</v>
      </c>
      <c r="G205" s="69">
        <f>G203/FX/Thousand*Inputs!G$18</f>
        <v>45.335958904109589</v>
      </c>
      <c r="H205" s="69">
        <f>SUM(E205:G205)</f>
        <v>136.00787671232877</v>
      </c>
    </row>
    <row r="206" spans="2:8" x14ac:dyDescent="0.3">
      <c r="C206" s="67" t="s">
        <v>189</v>
      </c>
      <c r="D206" s="68" t="s">
        <v>73</v>
      </c>
      <c r="E206" s="69">
        <f>SUMIFS(Devex_HUF,Devex_Class,"Devex",Devex_Date,"&lt;="&amp;Sale_Date_A)</f>
        <v>991604271.86938787</v>
      </c>
      <c r="F206" s="69">
        <f>SUMIFS(Devex_HUF,Devex_Class,"Devex",Devex_Date,"&lt;="&amp;Sale_Date_A)</f>
        <v>991604271.86938787</v>
      </c>
      <c r="G206" s="69">
        <f>SUMIFS(Devex_HUF,Devex_Class,"Devex",Devex_Date,"&lt;="&amp;Sale_Date_A)</f>
        <v>991604271.86938787</v>
      </c>
      <c r="H206" s="69"/>
    </row>
    <row r="207" spans="2:8" x14ac:dyDescent="0.3">
      <c r="C207" s="67" t="s">
        <v>190</v>
      </c>
      <c r="D207" s="68" t="s">
        <v>158</v>
      </c>
      <c r="E207" s="70">
        <f>SUMPRODUCT((Devex_Class="Devex")*(Devex_Date&lt;=Sale_Date_A)*Devex_HUF,Devex_Date)/E206</f>
        <v>46701.558756027902</v>
      </c>
      <c r="F207" s="70">
        <f>SUMPRODUCT((Devex_Class="Devex")*(Devex_Date&lt;=Sale_Date_A)*Devex_HUF,Devex_Date)/F206</f>
        <v>46701.558756027902</v>
      </c>
      <c r="G207" s="70">
        <f>SUMPRODUCT((Devex_Class="Devex")*(Devex_Date&lt;=Sale_Date_A)*Devex_HUF,Devex_Date)/G206</f>
        <v>46701.558756027902</v>
      </c>
      <c r="H207" s="71"/>
    </row>
    <row r="208" spans="2:8" x14ac:dyDescent="0.3">
      <c r="C208" s="67" t="s">
        <v>191</v>
      </c>
      <c r="D208" s="68" t="s">
        <v>84</v>
      </c>
      <c r="E208" s="69">
        <f>E206/FX/Thousand*Inputs!E$18</f>
        <v>679.18100812971761</v>
      </c>
      <c r="F208" s="69">
        <f>F206/FX/Thousand*Inputs!F$18</f>
        <v>679.18100812971761</v>
      </c>
      <c r="G208" s="69">
        <f>G206/FX/Thousand*Inputs!G$18</f>
        <v>679.18100812971761</v>
      </c>
      <c r="H208" s="69">
        <f>SUM(E208:G208)</f>
        <v>2037.5430243891528</v>
      </c>
    </row>
    <row r="209" spans="3:8" x14ac:dyDescent="0.3">
      <c r="C209" s="67" t="s">
        <v>192</v>
      </c>
      <c r="D209" s="68" t="s">
        <v>84</v>
      </c>
      <c r="E209" s="69">
        <f>E61+SUM(E62:E64)+E205+E208+E69</f>
        <v>3391.6402547050602</v>
      </c>
      <c r="F209" s="69">
        <f>F61+SUM(F62:F64)+F205+F208+F69</f>
        <v>3993.6950492256078</v>
      </c>
      <c r="G209" s="69">
        <f>G61+SUM(G62:G64)+G205+G208+G69</f>
        <v>3993.6950492256078</v>
      </c>
      <c r="H209" s="69">
        <f>SUM(E209:G209)</f>
        <v>11379.030353156275</v>
      </c>
    </row>
    <row r="210" spans="3:8" x14ac:dyDescent="0.3">
      <c r="C210" s="67" t="s">
        <v>193</v>
      </c>
      <c r="D210" s="68" t="s">
        <v>158</v>
      </c>
      <c r="E210" s="70">
        <f>MIN(Freeze_Date,Sale_Date_A)</f>
        <v>47026</v>
      </c>
      <c r="F210" s="70">
        <f>MIN(Freeze_Date,Sale_Date_A)</f>
        <v>47026</v>
      </c>
      <c r="G210" s="70">
        <f>MIN(Freeze_Date,Sale_Date_A)</f>
        <v>47026</v>
      </c>
      <c r="H210" s="71"/>
    </row>
    <row r="211" spans="3:8" x14ac:dyDescent="0.3">
      <c r="C211" s="67" t="s">
        <v>194</v>
      </c>
      <c r="D211" s="68" t="s">
        <v>158</v>
      </c>
      <c r="E211" s="70">
        <f>DATE(YEAR(E210),1,1)</f>
        <v>46753</v>
      </c>
      <c r="F211" s="70">
        <f>DATE(YEAR(F210),1,1)</f>
        <v>46753</v>
      </c>
      <c r="G211" s="70">
        <f>DATE(YEAR(G210),1,1)</f>
        <v>46753</v>
      </c>
      <c r="H211" s="71"/>
    </row>
    <row r="212" spans="3:8" x14ac:dyDescent="0.3">
      <c r="C212" s="67" t="s">
        <v>195</v>
      </c>
      <c r="D212" s="68" t="s">
        <v>3</v>
      </c>
      <c r="E212" s="72">
        <f>1+Rate_Cash*(DATE(YEAR(Inputs!E$21)+1,1,1)-Inputs!E$21)*(Inputs!E$21&lt;E211)/Days_In_Year</f>
        <v>1.0207123287671234</v>
      </c>
      <c r="F212" s="72">
        <f>1+Rate_Cash*(DATE(YEAR(Inputs!F$21)+1,1,1)-Inputs!F$21)*(Inputs!F$21&lt;F211)/Days_In_Year</f>
        <v>1.0207123287671234</v>
      </c>
      <c r="G212" s="72">
        <f>1+Rate_Cash*(DATE(YEAR(Inputs!G$21)+1,1,1)-Inputs!G$21)*(Inputs!G$21&lt;G211)/Days_In_Year</f>
        <v>1.0207123287671234</v>
      </c>
      <c r="H212" s="71"/>
    </row>
    <row r="213" spans="3:8" x14ac:dyDescent="0.3">
      <c r="C213" s="67" t="s">
        <v>196</v>
      </c>
      <c r="D213" s="68" t="s">
        <v>3</v>
      </c>
      <c r="E213" s="72">
        <f>1+Rate_Cash*MAX(0,E210-MAX(Inputs!E$21,E211)+1)/Days_In_Year</f>
        <v>1.0900821917808219</v>
      </c>
      <c r="F213" s="72">
        <f>1+Rate_Cash*MAX(0,F210-MAX(Inputs!F$21,F211)+1)/Days_In_Year</f>
        <v>1.0900821917808219</v>
      </c>
      <c r="G213" s="72">
        <f>1+Rate_Cash*MAX(0,G210-MAX(Inputs!G$21,G211)+1)/Days_In_Year</f>
        <v>1.0900821917808219</v>
      </c>
      <c r="H213" s="71"/>
    </row>
    <row r="214" spans="3:8" x14ac:dyDescent="0.3">
      <c r="C214" s="67" t="s">
        <v>197</v>
      </c>
      <c r="D214" s="68" t="s">
        <v>3</v>
      </c>
      <c r="E214" s="72">
        <f>E212*(1+Rate_Cash)^MAX(0,YEAR(E211)-YEAR(Inputs!E$21)-1)*E213</f>
        <v>1.2461795724225935</v>
      </c>
      <c r="F214" s="72">
        <f>F212*(1+Rate_Cash)^MAX(0,YEAR(F211)-YEAR(Inputs!F$21)-1)*F213</f>
        <v>1.2461795724225935</v>
      </c>
      <c r="G214" s="72">
        <f>G212*(1+Rate_Cash)^MAX(0,YEAR(G211)-YEAR(Inputs!G$21)-1)*G213</f>
        <v>1.2461795724225935</v>
      </c>
      <c r="H214" s="71"/>
    </row>
    <row r="215" spans="3:8" x14ac:dyDescent="0.3">
      <c r="C215" s="67" t="s">
        <v>198</v>
      </c>
      <c r="D215" s="68" t="s">
        <v>3</v>
      </c>
      <c r="E215" s="72">
        <f>1+Rate_Cash*(DATE(YEAR(Inputs!E$22)+1,1,1)-Inputs!E$22)*(Inputs!E$22&lt;E211)/Days_In_Year</f>
        <v>1.1153972602739726</v>
      </c>
      <c r="F215" s="72">
        <f>1+Rate_Cash*(DATE(YEAR(Inputs!F$22)+1,1,1)-Inputs!F$22)*(Inputs!F$22&lt;F211)/Days_In_Year</f>
        <v>1.1153972602739726</v>
      </c>
      <c r="G215" s="72">
        <f>1+Rate_Cash*(DATE(YEAR(Inputs!G$22)+1,1,1)-Inputs!G$22)*(Inputs!G$22&lt;G211)/Days_In_Year</f>
        <v>1.1153972602739726</v>
      </c>
      <c r="H215" s="71"/>
    </row>
    <row r="216" spans="3:8" x14ac:dyDescent="0.3">
      <c r="C216" s="67" t="s">
        <v>199</v>
      </c>
      <c r="D216" s="68" t="s">
        <v>3</v>
      </c>
      <c r="E216" s="72">
        <f>1+Rate_Cash*MAX(0,E210-MAX(Inputs!E$22,E211)+1)/Days_In_Year</f>
        <v>1.0900821917808219</v>
      </c>
      <c r="F216" s="72">
        <f>1+Rate_Cash*MAX(0,F210-MAX(Inputs!F$22,F211)+1)/Days_In_Year</f>
        <v>1.0900821917808219</v>
      </c>
      <c r="G216" s="72">
        <f>1+Rate_Cash*MAX(0,G210-MAX(Inputs!G$22,G211)+1)/Days_In_Year</f>
        <v>1.0900821917808219</v>
      </c>
      <c r="H216" s="71"/>
    </row>
    <row r="217" spans="3:8" x14ac:dyDescent="0.3">
      <c r="C217" s="67" t="s">
        <v>200</v>
      </c>
      <c r="D217" s="68" t="s">
        <v>3</v>
      </c>
      <c r="E217" s="72">
        <f>E215*(1+Rate_Cash)^MAX(0,YEAR(E211)-YEAR(Inputs!E$22)-1)*E216</f>
        <v>1.2158746901857758</v>
      </c>
      <c r="F217" s="72">
        <f>F215*(1+Rate_Cash)^MAX(0,YEAR(F211)-YEAR(Inputs!F$22)-1)*F216</f>
        <v>1.2158746901857758</v>
      </c>
      <c r="G217" s="72">
        <f>G215*(1+Rate_Cash)^MAX(0,YEAR(G211)-YEAR(Inputs!G$22)-1)*G216</f>
        <v>1.2158746901857758</v>
      </c>
      <c r="H217" s="71"/>
    </row>
    <row r="218" spans="3:8" x14ac:dyDescent="0.3">
      <c r="C218" s="67" t="s">
        <v>201</v>
      </c>
      <c r="D218" s="68" t="s">
        <v>3</v>
      </c>
      <c r="E218" s="72">
        <f>1+Rate_Cash*(DATE(YEAR(Inputs!E$23)+1,1,1)-Inputs!E$23)*(Inputs!E$23&lt;E211)/Days_In_Year</f>
        <v>1.1153972602739726</v>
      </c>
      <c r="F218" s="72">
        <f>1+Rate_Cash*(DATE(YEAR(Inputs!F$23)+1,1,1)-Inputs!F$23)*(Inputs!F$23&lt;F211)/Days_In_Year</f>
        <v>1.1153972602739726</v>
      </c>
      <c r="G218" s="72">
        <f>1+Rate_Cash*(DATE(YEAR(Inputs!G$23)+1,1,1)-Inputs!G$23)*(Inputs!G$23&lt;G211)/Days_In_Year</f>
        <v>1.1153972602739726</v>
      </c>
      <c r="H218" s="71"/>
    </row>
    <row r="219" spans="3:8" x14ac:dyDescent="0.3">
      <c r="C219" s="67" t="s">
        <v>202</v>
      </c>
      <c r="D219" s="68" t="s">
        <v>3</v>
      </c>
      <c r="E219" s="72">
        <f>1+Rate_Cash*MAX(0,E210-MAX(Inputs!E$23,E211)+1)/Days_In_Year</f>
        <v>1.0900821917808219</v>
      </c>
      <c r="F219" s="72">
        <f>1+Rate_Cash*MAX(0,F210-MAX(Inputs!F$23,F211)+1)/Days_In_Year</f>
        <v>1.0900821917808219</v>
      </c>
      <c r="G219" s="72">
        <f>1+Rate_Cash*MAX(0,G210-MAX(Inputs!G$23,G211)+1)/Days_In_Year</f>
        <v>1.0900821917808219</v>
      </c>
      <c r="H219" s="71"/>
    </row>
    <row r="220" spans="3:8" x14ac:dyDescent="0.3">
      <c r="C220" s="67" t="s">
        <v>203</v>
      </c>
      <c r="D220" s="68" t="s">
        <v>3</v>
      </c>
      <c r="E220" s="72">
        <f>E218*(1+Rate_Cash)^MAX(0,YEAR(E211)-YEAR(Inputs!E$23)-1)*E219</f>
        <v>1.2158746901857758</v>
      </c>
      <c r="F220" s="72">
        <f>F218*(1+Rate_Cash)^MAX(0,YEAR(F211)-YEAR(Inputs!F$23)-1)*F219</f>
        <v>1.2158746901857758</v>
      </c>
      <c r="G220" s="72">
        <f>G218*(1+Rate_Cash)^MAX(0,YEAR(G211)-YEAR(Inputs!G$23)-1)*G219</f>
        <v>1.2158746901857758</v>
      </c>
      <c r="H220" s="71"/>
    </row>
    <row r="221" spans="3:8" x14ac:dyDescent="0.3">
      <c r="C221" s="67" t="s">
        <v>204</v>
      </c>
      <c r="D221" s="68" t="s">
        <v>3</v>
      </c>
      <c r="E221" s="72">
        <f>1+Rate_Devex*(DATE(YEAR(E204)+1,1,1)-E204)*(E204&lt;E211)/Days_In_Year</f>
        <v>1.1764383561643836</v>
      </c>
      <c r="F221" s="72">
        <f>1+Rate_Devex*(DATE(YEAR(F204)+1,1,1)-F204)*(F204&lt;F211)/Days_In_Year</f>
        <v>1.1764383561643836</v>
      </c>
      <c r="G221" s="72">
        <f>1+Rate_Devex*(DATE(YEAR(G204)+1,1,1)-G204)*(G204&lt;G211)/Days_In_Year</f>
        <v>1.1764383561643836</v>
      </c>
      <c r="H221" s="71"/>
    </row>
    <row r="222" spans="3:8" x14ac:dyDescent="0.3">
      <c r="C222" s="67" t="s">
        <v>205</v>
      </c>
      <c r="D222" s="68" t="s">
        <v>3</v>
      </c>
      <c r="E222" s="72">
        <f>1+Rate_Devex*MAX(0,E210-MAX(E204,E211)+1)/Days_In_Year</f>
        <v>1.15013698630137</v>
      </c>
      <c r="F222" s="72">
        <f>1+Rate_Devex*MAX(0,F210-MAX(F204,F211)+1)/Days_In_Year</f>
        <v>1.15013698630137</v>
      </c>
      <c r="G222" s="72">
        <f>1+Rate_Devex*MAX(0,G210-MAX(G204,G211)+1)/Days_In_Year</f>
        <v>1.15013698630137</v>
      </c>
      <c r="H222" s="71"/>
    </row>
    <row r="223" spans="3:8" x14ac:dyDescent="0.3">
      <c r="C223" s="67" t="s">
        <v>206</v>
      </c>
      <c r="D223" s="68" t="s">
        <v>3</v>
      </c>
      <c r="E223" s="72">
        <f>E221*(1+Rate_Devex)^MAX(0,YEAR(E211)-YEAR(E204)-1)*E222</f>
        <v>1.3530652655282418</v>
      </c>
      <c r="F223" s="72">
        <f>F221*(1+Rate_Devex)^MAX(0,YEAR(F211)-YEAR(F204)-1)*F222</f>
        <v>1.3530652655282418</v>
      </c>
      <c r="G223" s="72">
        <f>G221*(1+Rate_Devex)^MAX(0,YEAR(G211)-YEAR(G204)-1)*G222</f>
        <v>1.3530652655282418</v>
      </c>
      <c r="H223" s="71"/>
    </row>
    <row r="224" spans="3:8" x14ac:dyDescent="0.3">
      <c r="C224" s="67" t="s">
        <v>207</v>
      </c>
      <c r="D224" s="68" t="s">
        <v>3</v>
      </c>
      <c r="E224" s="72">
        <f>1+Rate_Devex*(DATE(YEAR(E207)+1,1,1)-E207)*(E207&lt;E211)/Days_In_Year</f>
        <v>1.02818698299841</v>
      </c>
      <c r="F224" s="72">
        <f>1+Rate_Devex*(DATE(YEAR(F207)+1,1,1)-F207)*(F207&lt;F211)/Days_In_Year</f>
        <v>1.02818698299841</v>
      </c>
      <c r="G224" s="72">
        <f>1+Rate_Devex*(DATE(YEAR(G207)+1,1,1)-G207)*(G207&lt;G211)/Days_In_Year</f>
        <v>1.02818698299841</v>
      </c>
      <c r="H224" s="71"/>
    </row>
    <row r="225" spans="3:8" x14ac:dyDescent="0.3">
      <c r="C225" s="67" t="s">
        <v>208</v>
      </c>
      <c r="D225" s="68" t="s">
        <v>3</v>
      </c>
      <c r="E225" s="72">
        <f>1+Rate_Devex*MAX(0,E210-MAX(E207,E211)+1)/Days_In_Year</f>
        <v>1.15013698630137</v>
      </c>
      <c r="F225" s="72">
        <f>1+Rate_Devex*MAX(0,F210-MAX(F207,F211)+1)/Days_In_Year</f>
        <v>1.15013698630137</v>
      </c>
      <c r="G225" s="72">
        <f>1+Rate_Devex*MAX(0,G210-MAX(G207,G211)+1)/Days_In_Year</f>
        <v>1.15013698630137</v>
      </c>
      <c r="H225" s="71"/>
    </row>
    <row r="226" spans="3:8" x14ac:dyDescent="0.3">
      <c r="C226" s="67" t="s">
        <v>209</v>
      </c>
      <c r="D226" s="68" t="s">
        <v>3</v>
      </c>
      <c r="E226" s="72">
        <f>E224*(1+Rate_Devex)^MAX(0,YEAR(E211)-YEAR(E207)-1)*E225</f>
        <v>1.1825558779800893</v>
      </c>
      <c r="F226" s="72">
        <f>F224*(1+Rate_Devex)^MAX(0,YEAR(F211)-YEAR(F207)-1)*F225</f>
        <v>1.1825558779800893</v>
      </c>
      <c r="G226" s="72">
        <f>G224*(1+Rate_Devex)^MAX(0,YEAR(G211)-YEAR(G207)-1)*G225</f>
        <v>1.1825558779800893</v>
      </c>
      <c r="H226" s="71"/>
    </row>
    <row r="227" spans="3:8" x14ac:dyDescent="0.3">
      <c r="C227" s="67" t="s">
        <v>210</v>
      </c>
      <c r="D227" s="68" t="s">
        <v>84</v>
      </c>
      <c r="E227" s="73">
        <f>E$21*E61*(E214-1)</f>
        <v>2.0233937459391242</v>
      </c>
      <c r="F227" s="73">
        <f>F$21*F61*(F214-1)</f>
        <v>0</v>
      </c>
      <c r="G227" s="73">
        <f>G$21*G61*(G214-1)</f>
        <v>0</v>
      </c>
      <c r="H227" s="73">
        <f t="shared" ref="H227:H234" si="25">SUM(E227:G227)</f>
        <v>2.0233937459391242</v>
      </c>
    </row>
    <row r="228" spans="3:8" x14ac:dyDescent="0.3">
      <c r="C228" s="67" t="s">
        <v>211</v>
      </c>
      <c r="D228" s="68" t="s">
        <v>84</v>
      </c>
      <c r="E228" s="73">
        <f>E$21*E62*(E214-1)</f>
        <v>95.639077724722611</v>
      </c>
      <c r="F228" s="73">
        <f>F$21*F62*(F214-1)</f>
        <v>0</v>
      </c>
      <c r="G228" s="73">
        <f>G$21*G62*(G214-1)</f>
        <v>0</v>
      </c>
      <c r="H228" s="73">
        <f t="shared" si="25"/>
        <v>95.639077724722611</v>
      </c>
    </row>
    <row r="229" spans="3:8" x14ac:dyDescent="0.3">
      <c r="C229" s="67" t="s">
        <v>212</v>
      </c>
      <c r="D229" s="68" t="s">
        <v>84</v>
      </c>
      <c r="E229" s="73">
        <f>E$21*E63*(E217-1)</f>
        <v>335.46335417362195</v>
      </c>
      <c r="F229" s="73">
        <f>F$21*F63*(F217-1)</f>
        <v>0</v>
      </c>
      <c r="G229" s="73">
        <f>G$21*G63*(G217-1)</f>
        <v>0</v>
      </c>
      <c r="H229" s="73">
        <f t="shared" si="25"/>
        <v>335.46335417362195</v>
      </c>
    </row>
    <row r="230" spans="3:8" x14ac:dyDescent="0.3">
      <c r="C230" s="67" t="s">
        <v>213</v>
      </c>
      <c r="D230" s="68" t="s">
        <v>84</v>
      </c>
      <c r="E230" s="73">
        <f>E$21*E64*(E220-1)</f>
        <v>133.0734391556152</v>
      </c>
      <c r="F230" s="73">
        <f>F$21*F64*(F220-1)</f>
        <v>0</v>
      </c>
      <c r="G230" s="73">
        <f>G$21*G64*(G220-1)</f>
        <v>0</v>
      </c>
      <c r="H230" s="73">
        <f t="shared" si="25"/>
        <v>133.0734391556152</v>
      </c>
    </row>
    <row r="231" spans="3:8" x14ac:dyDescent="0.3">
      <c r="C231" s="67" t="s">
        <v>214</v>
      </c>
      <c r="D231" s="68" t="s">
        <v>84</v>
      </c>
      <c r="E231" s="73">
        <f>E$21*E205*MAX(E223-1,Devex_Floor-1)</f>
        <v>45.335958904109589</v>
      </c>
      <c r="F231" s="73">
        <f>F$21*F205*MAX(F223-1,Devex_Floor-1)</f>
        <v>0</v>
      </c>
      <c r="G231" s="73">
        <f>G$21*G205*MAX(G223-1,Devex_Floor-1)</f>
        <v>0</v>
      </c>
      <c r="H231" s="73">
        <f t="shared" si="25"/>
        <v>45.335958904109589</v>
      </c>
    </row>
    <row r="232" spans="3:8" x14ac:dyDescent="0.3">
      <c r="C232" s="67" t="s">
        <v>215</v>
      </c>
      <c r="D232" s="68" t="s">
        <v>84</v>
      </c>
      <c r="E232" s="73">
        <f>E$21*E208*MAX(E226-1,Devex_Floor-1)</f>
        <v>679.18100812971761</v>
      </c>
      <c r="F232" s="73">
        <f>F$21*F208*MAX(F226-1,Devex_Floor-1)</f>
        <v>0</v>
      </c>
      <c r="G232" s="73">
        <f>G$21*G208*MAX(G226-1,Devex_Floor-1)</f>
        <v>0</v>
      </c>
      <c r="H232" s="73">
        <f t="shared" si="25"/>
        <v>679.18100812971761</v>
      </c>
    </row>
    <row r="233" spans="3:8" x14ac:dyDescent="0.3">
      <c r="C233" s="77" t="s">
        <v>217</v>
      </c>
      <c r="D233" s="78" t="s">
        <v>84</v>
      </c>
      <c r="E233" s="79">
        <f>SUM(E227:E232)</f>
        <v>1290.7162318337259</v>
      </c>
      <c r="F233" s="79">
        <f>SUM(F227:F232)</f>
        <v>0</v>
      </c>
      <c r="G233" s="79">
        <f>SUM(G227:G232)</f>
        <v>0</v>
      </c>
      <c r="H233" s="79">
        <f>SUM(E233:G233)</f>
        <v>1290.7162318337259</v>
      </c>
    </row>
    <row r="234" spans="3:8" x14ac:dyDescent="0.3">
      <c r="C234" s="67" t="s">
        <v>216</v>
      </c>
      <c r="D234" s="68" t="s">
        <v>84</v>
      </c>
      <c r="E234" s="73">
        <f>E20*MIN(DSA_Rate*YEARFRAC(Inputs!E$28,Sale_Date_A),DSA_Cap)*E44</f>
        <v>287.5</v>
      </c>
      <c r="F234" s="73">
        <f>F20*MIN(DSA_Rate*YEARFRAC(Inputs!F$28,Sale_Date_A),DSA_Cap)*F44</f>
        <v>0</v>
      </c>
      <c r="G234" s="73">
        <f>G20*MIN(DSA_Rate*YEARFRAC(Inputs!G$28,Sale_Date_A),DSA_Cap)*G44</f>
        <v>0</v>
      </c>
      <c r="H234" s="73">
        <f>SUM(E234:G234)</f>
        <v>287.5</v>
      </c>
    </row>
    <row r="235" spans="3:8" x14ac:dyDescent="0.3">
      <c r="C235" s="41" t="s">
        <v>218</v>
      </c>
      <c r="D235" s="42"/>
      <c r="E235" s="43"/>
      <c r="F235" s="43"/>
      <c r="G235" s="43"/>
      <c r="H235" s="43"/>
    </row>
    <row r="236" spans="3:8" x14ac:dyDescent="0.3">
      <c r="C236" s="6" t="s">
        <v>28</v>
      </c>
      <c r="D236" s="2" t="s">
        <v>84</v>
      </c>
      <c r="E236" s="8">
        <f>E18*E6</f>
        <v>7500</v>
      </c>
      <c r="F236" s="8">
        <f>F18*F6</f>
        <v>7500</v>
      </c>
      <c r="G236" s="8">
        <f>G18*G6</f>
        <v>7500</v>
      </c>
      <c r="H236" s="8">
        <f t="shared" ref="H236:H248" si="26">SUM(E236:G236)</f>
        <v>22500</v>
      </c>
    </row>
    <row r="237" spans="3:8" x14ac:dyDescent="0.3">
      <c r="C237" s="6" t="s">
        <v>219</v>
      </c>
      <c r="D237" s="2" t="s">
        <v>84</v>
      </c>
      <c r="E237" s="8">
        <f>SUM(E62:E64)</f>
        <v>2558.9041095890411</v>
      </c>
      <c r="F237" s="8">
        <f>SUM(F62:F64)</f>
        <v>3110.9589041095887</v>
      </c>
      <c r="G237" s="8">
        <f>SUM(G62:G64)</f>
        <v>3110.9589041095887</v>
      </c>
      <c r="H237" s="8">
        <f t="shared" si="26"/>
        <v>8780.8219178082181</v>
      </c>
    </row>
    <row r="238" spans="3:8" x14ac:dyDescent="0.3">
      <c r="C238" s="6" t="s">
        <v>220</v>
      </c>
      <c r="D238" s="2" t="s">
        <v>84</v>
      </c>
      <c r="E238" s="8">
        <f>E205</f>
        <v>45.335958904109589</v>
      </c>
      <c r="F238" s="8">
        <f>F205</f>
        <v>45.335958904109589</v>
      </c>
      <c r="G238" s="8">
        <f>G205</f>
        <v>45.335958904109589</v>
      </c>
      <c r="H238" s="8">
        <f t="shared" si="26"/>
        <v>136.00787671232877</v>
      </c>
    </row>
    <row r="239" spans="3:8" x14ac:dyDescent="0.3">
      <c r="C239" s="6" t="s">
        <v>221</v>
      </c>
      <c r="D239" s="2" t="s">
        <v>84</v>
      </c>
      <c r="E239" s="8">
        <f>SUM(E236:E238)</f>
        <v>10104.240068493151</v>
      </c>
      <c r="F239" s="8">
        <f>SUM(F236:F238)</f>
        <v>10656.2948630137</v>
      </c>
      <c r="G239" s="8">
        <f>SUM(G236:G238)</f>
        <v>10656.2948630137</v>
      </c>
      <c r="H239" s="8">
        <f t="shared" si="26"/>
        <v>31416.829794520552</v>
      </c>
    </row>
    <row r="240" spans="3:8" x14ac:dyDescent="0.3">
      <c r="C240" s="6" t="s">
        <v>222</v>
      </c>
      <c r="D240" s="2" t="s">
        <v>84</v>
      </c>
      <c r="E240" s="8">
        <f>-MIN(E239,Sale_Costs)</f>
        <v>-250</v>
      </c>
      <c r="F240" s="8">
        <f>-MIN(F239,Sale_Costs)</f>
        <v>-250</v>
      </c>
      <c r="G240" s="8">
        <f>-MIN(G239,Sale_Costs)</f>
        <v>-250</v>
      </c>
      <c r="H240" s="8">
        <f t="shared" si="26"/>
        <v>-750</v>
      </c>
    </row>
    <row r="241" spans="3:12" x14ac:dyDescent="0.3">
      <c r="C241" s="6" t="s">
        <v>223</v>
      </c>
      <c r="D241" s="2" t="s">
        <v>84</v>
      </c>
      <c r="E241" s="8">
        <f>-MIN(SUM(E239:E240),E237)</f>
        <v>-2558.9041095890411</v>
      </c>
      <c r="F241" s="8">
        <f>-MIN(SUM(F239:F240),F237)</f>
        <v>-3110.9589041095887</v>
      </c>
      <c r="G241" s="8">
        <f>-MIN(SUM(G239:G240),G237)</f>
        <v>-3110.9589041095887</v>
      </c>
      <c r="H241" s="8">
        <f t="shared" si="26"/>
        <v>-8780.8219178082181</v>
      </c>
    </row>
    <row r="242" spans="3:12" x14ac:dyDescent="0.3">
      <c r="C242" s="6" t="s">
        <v>224</v>
      </c>
      <c r="D242" s="2" t="s">
        <v>84</v>
      </c>
      <c r="E242" s="8">
        <f>-MIN(SUM(E239:E241),E238)</f>
        <v>-45.335958904109589</v>
      </c>
      <c r="F242" s="8">
        <f>-MIN(SUM(F239:F241),F238)</f>
        <v>-45.335958904109589</v>
      </c>
      <c r="G242" s="8">
        <f>-MIN(SUM(G239:G241),G238)</f>
        <v>-45.335958904109589</v>
      </c>
      <c r="H242" s="8">
        <f t="shared" si="26"/>
        <v>-136.00787671232877</v>
      </c>
    </row>
    <row r="243" spans="3:12" x14ac:dyDescent="0.3">
      <c r="C243" s="6" t="s">
        <v>225</v>
      </c>
      <c r="D243" s="2" t="s">
        <v>84</v>
      </c>
      <c r="E243" s="8">
        <f>-MIN(SUM(E239:E242),SUM(E227:E230))</f>
        <v>-566.19926479989886</v>
      </c>
      <c r="F243" s="8">
        <f>-MIN(SUM(F239:F242),SUM(F227:F230))</f>
        <v>0</v>
      </c>
      <c r="G243" s="8">
        <f>-MIN(SUM(G239:G242),SUM(G227:G230))</f>
        <v>0</v>
      </c>
      <c r="H243" s="8">
        <f t="shared" si="26"/>
        <v>-566.19926479989886</v>
      </c>
    </row>
    <row r="244" spans="3:12" x14ac:dyDescent="0.3">
      <c r="C244" s="6" t="s">
        <v>226</v>
      </c>
      <c r="D244" s="2" t="s">
        <v>84</v>
      </c>
      <c r="E244" s="8">
        <f>-MIN(SUM(E239:E243),SUM(E231:E232))</f>
        <v>-724.5169670338272</v>
      </c>
      <c r="F244" s="8">
        <f>-MIN(SUM(F239:F243),SUM(F231:F232))</f>
        <v>0</v>
      </c>
      <c r="G244" s="8">
        <f>-MIN(SUM(G239:G243),SUM(G231:G232))</f>
        <v>0</v>
      </c>
      <c r="H244" s="8">
        <f t="shared" si="26"/>
        <v>-724.5169670338272</v>
      </c>
    </row>
    <row r="245" spans="3:12" x14ac:dyDescent="0.3">
      <c r="C245" s="6" t="s">
        <v>227</v>
      </c>
      <c r="D245" s="2" t="s">
        <v>84</v>
      </c>
      <c r="E245" s="8">
        <f>-MIN(SUM(E239:E244),E234)</f>
        <v>-287.5</v>
      </c>
      <c r="F245" s="8">
        <f>-MIN(SUM(F239:F244),F234)</f>
        <v>0</v>
      </c>
      <c r="G245" s="8">
        <f>-MIN(SUM(G239:G244),G234)</f>
        <v>0</v>
      </c>
      <c r="H245" s="8">
        <f t="shared" si="26"/>
        <v>-287.5</v>
      </c>
    </row>
    <row r="246" spans="3:12" x14ac:dyDescent="0.3">
      <c r="C246" s="6" t="s">
        <v>228</v>
      </c>
      <c r="D246" s="2" t="s">
        <v>84</v>
      </c>
      <c r="E246" s="8">
        <f>SUM(E239:E245)</f>
        <v>5671.783768166275</v>
      </c>
      <c r="F246" s="8">
        <f>SUM(F239:F245)</f>
        <v>7250.0000000000018</v>
      </c>
      <c r="G246" s="8">
        <f>SUM(G239:G245)</f>
        <v>7250.0000000000018</v>
      </c>
      <c r="H246" s="8">
        <f t="shared" si="26"/>
        <v>20171.783768166279</v>
      </c>
    </row>
    <row r="247" spans="3:12" x14ac:dyDescent="0.3">
      <c r="C247" s="6" t="s">
        <v>229</v>
      </c>
      <c r="D247" s="2" t="s">
        <v>84</v>
      </c>
      <c r="E247" s="8">
        <f>E246*E19</f>
        <v>3970.2486377163923</v>
      </c>
      <c r="F247" s="8">
        <f>F246*F19</f>
        <v>7250.0000000000018</v>
      </c>
      <c r="G247" s="8">
        <f>G246*G19</f>
        <v>7250.0000000000018</v>
      </c>
      <c r="H247" s="8">
        <f t="shared" si="26"/>
        <v>18470.248637716395</v>
      </c>
    </row>
    <row r="248" spans="3:12" x14ac:dyDescent="0.3">
      <c r="C248" s="6" t="s">
        <v>230</v>
      </c>
      <c r="D248" s="2" t="s">
        <v>84</v>
      </c>
      <c r="E248" s="8">
        <f>E246-E247</f>
        <v>1701.5351304498827</v>
      </c>
      <c r="F248" s="8">
        <f>F246-F247</f>
        <v>0</v>
      </c>
      <c r="G248" s="8">
        <f>G246-G247</f>
        <v>0</v>
      </c>
      <c r="H248" s="8">
        <f t="shared" si="26"/>
        <v>1701.5351304498827</v>
      </c>
    </row>
    <row r="249" spans="3:12" x14ac:dyDescent="0.3">
      <c r="C249" s="42" t="s">
        <v>231</v>
      </c>
      <c r="D249" s="42"/>
      <c r="E249" s="43" t="s">
        <v>5</v>
      </c>
      <c r="F249" s="43" t="s">
        <v>6</v>
      </c>
      <c r="G249" s="43" t="s">
        <v>7</v>
      </c>
      <c r="H249" s="43" t="s">
        <v>8</v>
      </c>
      <c r="J249" s="43" t="s">
        <v>232</v>
      </c>
      <c r="K249" s="43" t="s">
        <v>6</v>
      </c>
      <c r="L249" s="43" t="s">
        <v>7</v>
      </c>
    </row>
    <row r="250" spans="3:12" x14ac:dyDescent="0.3">
      <c r="C250" s="6" t="s">
        <v>550</v>
      </c>
      <c r="D250" s="2" t="s">
        <v>84</v>
      </c>
      <c r="E250" s="8">
        <f>E236</f>
        <v>7500</v>
      </c>
      <c r="F250" s="8">
        <f>F236</f>
        <v>7500</v>
      </c>
      <c r="G250" s="8">
        <f>G236</f>
        <v>7500</v>
      </c>
      <c r="H250" s="8">
        <f t="shared" ref="H250:H266" si="27">SUM(E250:G250)</f>
        <v>22500</v>
      </c>
      <c r="J250" s="24"/>
      <c r="K250" s="24"/>
      <c r="L250" s="24"/>
    </row>
    <row r="251" spans="3:12" x14ac:dyDescent="0.3">
      <c r="C251" s="6" t="s">
        <v>233</v>
      </c>
      <c r="D251" s="2" t="s">
        <v>84</v>
      </c>
      <c r="E251" s="8">
        <f>0</f>
        <v>0</v>
      </c>
      <c r="F251" s="8">
        <f>0</f>
        <v>0</v>
      </c>
      <c r="G251" s="8">
        <f>0</f>
        <v>0</v>
      </c>
      <c r="H251" s="8">
        <f t="shared" si="27"/>
        <v>0</v>
      </c>
      <c r="J251" s="24"/>
      <c r="K251" s="24"/>
      <c r="L251" s="24"/>
    </row>
    <row r="252" spans="3:12" x14ac:dyDescent="0.3">
      <c r="C252" s="6" t="s">
        <v>234</v>
      </c>
      <c r="D252" s="2" t="s">
        <v>84</v>
      </c>
      <c r="E252" s="8">
        <f>0</f>
        <v>0</v>
      </c>
      <c r="F252" s="8">
        <f>0</f>
        <v>0</v>
      </c>
      <c r="G252" s="8">
        <f>0</f>
        <v>0</v>
      </c>
      <c r="H252" s="8">
        <f t="shared" si="27"/>
        <v>0</v>
      </c>
      <c r="J252" s="24"/>
      <c r="K252" s="24"/>
      <c r="L252" s="24"/>
    </row>
    <row r="253" spans="3:12" x14ac:dyDescent="0.3">
      <c r="C253" s="6" t="s">
        <v>235</v>
      </c>
      <c r="D253" s="2" t="s">
        <v>84</v>
      </c>
      <c r="E253" s="8">
        <f>0</f>
        <v>0</v>
      </c>
      <c r="F253" s="8">
        <f>0</f>
        <v>0</v>
      </c>
      <c r="G253" s="8">
        <f>0</f>
        <v>0</v>
      </c>
      <c r="H253" s="8">
        <f t="shared" si="27"/>
        <v>0</v>
      </c>
      <c r="J253" s="24"/>
      <c r="K253" s="24"/>
      <c r="L253" s="24"/>
    </row>
    <row r="254" spans="3:12" x14ac:dyDescent="0.3">
      <c r="C254" s="6" t="s">
        <v>236</v>
      </c>
      <c r="D254" s="2" t="s">
        <v>84</v>
      </c>
      <c r="E254" s="8">
        <f>E240</f>
        <v>-250</v>
      </c>
      <c r="F254" s="8">
        <f>F240</f>
        <v>-250</v>
      </c>
      <c r="G254" s="8">
        <f>G240</f>
        <v>-250</v>
      </c>
      <c r="H254" s="8">
        <f t="shared" si="27"/>
        <v>-750</v>
      </c>
      <c r="J254" s="24"/>
      <c r="K254" s="24"/>
      <c r="L254" s="24"/>
    </row>
    <row r="255" spans="3:12" x14ac:dyDescent="0.3">
      <c r="C255" s="6" t="s">
        <v>237</v>
      </c>
      <c r="D255" s="2" t="s">
        <v>84</v>
      </c>
      <c r="E255" s="8">
        <f>E245</f>
        <v>-287.5</v>
      </c>
      <c r="F255" s="8">
        <f>F245</f>
        <v>0</v>
      </c>
      <c r="G255" s="8">
        <f>G245</f>
        <v>0</v>
      </c>
      <c r="H255" s="8">
        <f t="shared" si="27"/>
        <v>-287.5</v>
      </c>
      <c r="J255" s="24"/>
      <c r="K255" s="24"/>
      <c r="L255" s="24"/>
    </row>
    <row r="256" spans="3:12" x14ac:dyDescent="0.3">
      <c r="C256" s="6" t="s">
        <v>238</v>
      </c>
      <c r="D256" s="2" t="s">
        <v>84</v>
      </c>
      <c r="E256" s="8">
        <f>-E248</f>
        <v>-1701.5351304498827</v>
      </c>
      <c r="F256" s="8">
        <f>-F248</f>
        <v>0</v>
      </c>
      <c r="G256" s="8">
        <f>-G248</f>
        <v>0</v>
      </c>
      <c r="H256" s="8">
        <f t="shared" si="27"/>
        <v>-1701.5351304498827</v>
      </c>
      <c r="J256" s="24"/>
      <c r="K256" s="24"/>
      <c r="L256" s="24"/>
    </row>
    <row r="257" spans="3:12" x14ac:dyDescent="0.3">
      <c r="C257" s="6" t="s">
        <v>239</v>
      </c>
      <c r="D257" s="55" t="s">
        <v>84</v>
      </c>
      <c r="E257" s="8">
        <f t="shared" ref="E257:G258" si="28">-E243</f>
        <v>566.19926479989886</v>
      </c>
      <c r="F257" s="8">
        <f t="shared" si="28"/>
        <v>0</v>
      </c>
      <c r="G257" s="8">
        <f t="shared" si="28"/>
        <v>0</v>
      </c>
      <c r="H257" s="8">
        <f t="shared" si="27"/>
        <v>566.19926479989886</v>
      </c>
      <c r="J257" s="24"/>
      <c r="K257" s="24"/>
      <c r="L257" s="24"/>
    </row>
    <row r="258" spans="3:12" x14ac:dyDescent="0.3">
      <c r="C258" s="6" t="s">
        <v>240</v>
      </c>
      <c r="D258" s="55" t="s">
        <v>84</v>
      </c>
      <c r="E258" s="8">
        <f t="shared" si="28"/>
        <v>724.5169670338272</v>
      </c>
      <c r="F258" s="8">
        <f t="shared" si="28"/>
        <v>0</v>
      </c>
      <c r="G258" s="8">
        <f t="shared" si="28"/>
        <v>0</v>
      </c>
      <c r="H258" s="8">
        <f t="shared" si="27"/>
        <v>724.5169670338272</v>
      </c>
      <c r="J258" s="24"/>
      <c r="K258" s="24"/>
      <c r="L258" s="24"/>
    </row>
    <row r="259" spans="3:12" x14ac:dyDescent="0.3">
      <c r="C259" s="6" t="s">
        <v>29</v>
      </c>
      <c r="D259" s="55" t="s">
        <v>84</v>
      </c>
      <c r="E259" s="8">
        <f>E247</f>
        <v>3970.2486377163923</v>
      </c>
      <c r="F259" s="8">
        <f>F247</f>
        <v>7250.0000000000018</v>
      </c>
      <c r="G259" s="8">
        <f>G247</f>
        <v>7250.0000000000018</v>
      </c>
      <c r="H259" s="8">
        <f t="shared" si="27"/>
        <v>18470.248637716395</v>
      </c>
      <c r="J259" s="24"/>
      <c r="K259" s="24"/>
      <c r="L259" s="24"/>
    </row>
    <row r="260" spans="3:12" x14ac:dyDescent="0.3">
      <c r="C260" s="44" t="s">
        <v>241</v>
      </c>
      <c r="D260" s="45" t="s">
        <v>84</v>
      </c>
      <c r="E260" s="56">
        <f>SUM(E257:E259)</f>
        <v>5260.9648695501182</v>
      </c>
      <c r="F260" s="56">
        <f>SUM(F257:F259)</f>
        <v>7250.0000000000018</v>
      </c>
      <c r="G260" s="56">
        <f>SUM(G257:G259)</f>
        <v>7250.0000000000018</v>
      </c>
      <c r="H260" s="56">
        <f t="shared" si="27"/>
        <v>19760.964869550124</v>
      </c>
    </row>
    <row r="261" spans="3:12" x14ac:dyDescent="0.3">
      <c r="C261" s="6" t="s">
        <v>242</v>
      </c>
      <c r="D261" s="2" t="s">
        <v>84</v>
      </c>
      <c r="E261" s="8">
        <f>-E69</f>
        <v>-100</v>
      </c>
      <c r="F261" s="8">
        <f>-F69</f>
        <v>-150</v>
      </c>
      <c r="G261" s="8">
        <f>-G69</f>
        <v>-150</v>
      </c>
      <c r="H261" s="8">
        <f t="shared" si="27"/>
        <v>-400</v>
      </c>
      <c r="J261" s="24"/>
      <c r="K261" s="24"/>
      <c r="L261" s="24"/>
    </row>
    <row r="262" spans="3:12" x14ac:dyDescent="0.3">
      <c r="C262" s="6" t="s">
        <v>243</v>
      </c>
      <c r="D262" s="2" t="s">
        <v>84</v>
      </c>
      <c r="E262" s="8">
        <f>-E61</f>
        <v>-8.2191780821917799</v>
      </c>
      <c r="F262" s="8">
        <f>-F61</f>
        <v>-8.2191780821917799</v>
      </c>
      <c r="G262" s="8">
        <f>-G61</f>
        <v>-8.2191780821917799</v>
      </c>
      <c r="H262" s="8">
        <f t="shared" si="27"/>
        <v>-24.657534246575338</v>
      </c>
      <c r="J262" s="24"/>
      <c r="K262" s="24"/>
      <c r="L262" s="24"/>
    </row>
    <row r="263" spans="3:12" x14ac:dyDescent="0.3">
      <c r="C263" s="6" t="s">
        <v>244</v>
      </c>
      <c r="D263" s="2" t="s">
        <v>84</v>
      </c>
      <c r="E263" s="8">
        <f>-E208</f>
        <v>-679.18100812971761</v>
      </c>
      <c r="F263" s="8">
        <f>-F208</f>
        <v>-679.18100812971761</v>
      </c>
      <c r="G263" s="8">
        <f>-G208</f>
        <v>-679.18100812971761</v>
      </c>
      <c r="H263" s="8">
        <f t="shared" si="27"/>
        <v>-2037.5430243891528</v>
      </c>
      <c r="J263" s="24"/>
      <c r="K263" s="24"/>
      <c r="L263" s="24"/>
    </row>
    <row r="264" spans="3:12" x14ac:dyDescent="0.3">
      <c r="C264" s="44" t="s">
        <v>245</v>
      </c>
      <c r="D264" s="45" t="s">
        <v>84</v>
      </c>
      <c r="E264" s="56">
        <f>E260+SUM(E261:E263)</f>
        <v>4473.5646833382089</v>
      </c>
      <c r="F264" s="56">
        <f>F260+SUM(F261:F263)</f>
        <v>6412.5998137880924</v>
      </c>
      <c r="G264" s="56">
        <f>G260+SUM(G261:G263)</f>
        <v>6412.5998137880924</v>
      </c>
      <c r="H264" s="56">
        <f t="shared" si="27"/>
        <v>17298.764310914394</v>
      </c>
    </row>
    <row r="265" spans="3:12" x14ac:dyDescent="0.3">
      <c r="C265" s="1" t="s">
        <v>551</v>
      </c>
      <c r="D265" s="2" t="s">
        <v>84</v>
      </c>
      <c r="E265" s="32">
        <f>-MAX(0,E264)*CIT_Rate*(1-Share_Exempt)</f>
        <v>0</v>
      </c>
      <c r="F265" s="32">
        <f>-MAX(0,F264)*CIT_Rate*(1-Share_Exempt)</f>
        <v>0</v>
      </c>
      <c r="G265" s="32">
        <f>-MAX(0,G264)*CIT_Rate*(1-Share_Exempt)</f>
        <v>0</v>
      </c>
      <c r="H265" s="32">
        <f t="shared" si="27"/>
        <v>0</v>
      </c>
    </row>
    <row r="266" spans="3:12" x14ac:dyDescent="0.3">
      <c r="C266" s="44" t="s">
        <v>246</v>
      </c>
      <c r="D266" s="45" t="s">
        <v>84</v>
      </c>
      <c r="E266" s="56">
        <f>E264+E265</f>
        <v>4473.5646833382089</v>
      </c>
      <c r="F266" s="56">
        <f>F264+F265</f>
        <v>6412.5998137880924</v>
      </c>
      <c r="G266" s="56">
        <f>G264+G265</f>
        <v>6412.5998137880924</v>
      </c>
      <c r="H266" s="56">
        <f t="shared" si="27"/>
        <v>17298.764310914394</v>
      </c>
    </row>
    <row r="267" spans="3:12" x14ac:dyDescent="0.3">
      <c r="C267" s="6" t="s">
        <v>247</v>
      </c>
      <c r="D267" s="2" t="s">
        <v>3</v>
      </c>
      <c r="E267" s="47">
        <f>SUMIF(E271:E278,"&gt;0")/-SUMIF(E271:E278,"&lt;0")</f>
        <v>2.3189974016649453</v>
      </c>
      <c r="F267" s="47">
        <f>SUMIF(F271:F278,"&gt;0")/-SUMIF(F271:F278,"&lt;0")</f>
        <v>2.6056808881868729</v>
      </c>
      <c r="G267" s="47">
        <f>SUMIF(G271:G278,"&gt;0")/-SUMIF(G271:G278,"&lt;0")</f>
        <v>2.6056808881868729</v>
      </c>
      <c r="H267" s="47">
        <f>SUMIF(H271:H278,"&gt;0")/-SUMIF(H271:H278,"&lt;0")</f>
        <v>2.5202318452482304</v>
      </c>
    </row>
    <row r="268" spans="3:12" x14ac:dyDescent="0.3">
      <c r="C268" s="6" t="s">
        <v>248</v>
      </c>
      <c r="D268" s="2" t="s">
        <v>12</v>
      </c>
      <c r="E268" s="48">
        <f>XIRR(E271:E278,J271:J278)</f>
        <v>0.68390167355537401</v>
      </c>
      <c r="F268" s="48">
        <f>XIRR(F271:F278,K271:K278)</f>
        <v>0.78992115259170559</v>
      </c>
      <c r="G268" s="48">
        <f>XIRR(G271:G278,L271:L278)</f>
        <v>0.78992115259170559</v>
      </c>
    </row>
    <row r="269" spans="3:12" x14ac:dyDescent="0.3">
      <c r="C269" s="57" t="s">
        <v>249</v>
      </c>
      <c r="D269" s="34" t="s">
        <v>84</v>
      </c>
      <c r="E269" s="8">
        <f>E264-E310</f>
        <v>-258.79078238096645</v>
      </c>
      <c r="F269" s="8">
        <f>F264-F310</f>
        <v>21.917808219181097</v>
      </c>
      <c r="G269" s="8">
        <f>G264-G310</f>
        <v>21.917808219181097</v>
      </c>
      <c r="H269" s="8">
        <f>SUM(E269:G269)</f>
        <v>-214.95516594260425</v>
      </c>
    </row>
    <row r="270" spans="3:12" x14ac:dyDescent="0.3">
      <c r="C270" s="42" t="s">
        <v>250</v>
      </c>
      <c r="D270" s="42"/>
      <c r="E270" s="43"/>
      <c r="F270" s="43"/>
      <c r="G270" s="43"/>
      <c r="H270" s="43"/>
      <c r="J270" s="43" t="s">
        <v>232</v>
      </c>
      <c r="K270" s="43" t="s">
        <v>6</v>
      </c>
      <c r="L270" s="43" t="s">
        <v>7</v>
      </c>
    </row>
    <row r="271" spans="3:12" outlineLevel="1" x14ac:dyDescent="0.3">
      <c r="C271" s="6" t="s">
        <v>81</v>
      </c>
      <c r="D271" s="2" t="s">
        <v>84</v>
      </c>
      <c r="E271" s="8">
        <f>-E69</f>
        <v>-100</v>
      </c>
      <c r="F271" s="8">
        <f>-F69</f>
        <v>-150</v>
      </c>
      <c r="G271" s="8">
        <f>-G69</f>
        <v>-150</v>
      </c>
      <c r="H271" s="8">
        <f t="shared" ref="H271:H278" si="29">SUM(E271:G271)</f>
        <v>-400</v>
      </c>
      <c r="J271" s="24">
        <f>Inputs!E$20</f>
        <v>46234</v>
      </c>
      <c r="K271" s="24">
        <f>Inputs!F$20</f>
        <v>46234</v>
      </c>
      <c r="L271" s="24">
        <f>Inputs!G$20</f>
        <v>46234</v>
      </c>
    </row>
    <row r="272" spans="3:12" outlineLevel="1" x14ac:dyDescent="0.3">
      <c r="C272" s="6" t="s">
        <v>72</v>
      </c>
      <c r="D272" s="2" t="s">
        <v>84</v>
      </c>
      <c r="E272" s="8">
        <f t="shared" ref="E272:G275" si="30">-E61</f>
        <v>-8.2191780821917799</v>
      </c>
      <c r="F272" s="8">
        <f t="shared" si="30"/>
        <v>-8.2191780821917799</v>
      </c>
      <c r="G272" s="8">
        <f t="shared" si="30"/>
        <v>-8.2191780821917799</v>
      </c>
      <c r="H272" s="8">
        <f t="shared" si="29"/>
        <v>-24.657534246575338</v>
      </c>
      <c r="J272" s="24">
        <f>Inputs!E$21</f>
        <v>46325</v>
      </c>
      <c r="K272" s="24">
        <f>Inputs!F$21</f>
        <v>46325</v>
      </c>
      <c r="L272" s="24">
        <f>Inputs!G$21</f>
        <v>46325</v>
      </c>
    </row>
    <row r="273" spans="2:14" outlineLevel="1" x14ac:dyDescent="0.3">
      <c r="C273" s="6" t="s">
        <v>74</v>
      </c>
      <c r="D273" s="2" t="s">
        <v>84</v>
      </c>
      <c r="E273" s="8">
        <f t="shared" si="30"/>
        <v>-388.49315068493149</v>
      </c>
      <c r="F273" s="8">
        <f t="shared" si="30"/>
        <v>-498.90410958904107</v>
      </c>
      <c r="G273" s="8">
        <f t="shared" si="30"/>
        <v>-498.90410958904107</v>
      </c>
      <c r="H273" s="8">
        <f t="shared" si="29"/>
        <v>-1386.3013698630136</v>
      </c>
      <c r="J273" s="24">
        <f>Inputs!E$21</f>
        <v>46325</v>
      </c>
      <c r="K273" s="24">
        <f>Inputs!F$21</f>
        <v>46325</v>
      </c>
      <c r="L273" s="24">
        <f>Inputs!G$21</f>
        <v>46325</v>
      </c>
    </row>
    <row r="274" spans="2:14" outlineLevel="1" x14ac:dyDescent="0.3">
      <c r="C274" s="6" t="s">
        <v>251</v>
      </c>
      <c r="D274" s="2" t="s">
        <v>84</v>
      </c>
      <c r="E274" s="8">
        <f t="shared" si="30"/>
        <v>-1553.972602739726</v>
      </c>
      <c r="F274" s="8">
        <f t="shared" si="30"/>
        <v>-1995.6164383561643</v>
      </c>
      <c r="G274" s="8">
        <f t="shared" si="30"/>
        <v>-1995.6164383561643</v>
      </c>
      <c r="H274" s="8">
        <f t="shared" si="29"/>
        <v>-5545.2054794520545</v>
      </c>
      <c r="J274" s="24">
        <f>Inputs!E$22</f>
        <v>46402</v>
      </c>
      <c r="K274" s="24">
        <f>Inputs!F$22</f>
        <v>46402</v>
      </c>
      <c r="L274" s="24">
        <f>Inputs!G$22</f>
        <v>46402</v>
      </c>
    </row>
    <row r="275" spans="2:14" outlineLevel="1" x14ac:dyDescent="0.3">
      <c r="C275" s="6" t="s">
        <v>76</v>
      </c>
      <c r="D275" s="2" t="s">
        <v>84</v>
      </c>
      <c r="E275" s="8">
        <f t="shared" si="30"/>
        <v>-616.43835616438355</v>
      </c>
      <c r="F275" s="8">
        <f t="shared" si="30"/>
        <v>-616.43835616438355</v>
      </c>
      <c r="G275" s="8">
        <f t="shared" si="30"/>
        <v>-616.43835616438355</v>
      </c>
      <c r="H275" s="8">
        <f t="shared" si="29"/>
        <v>-1849.3150684931506</v>
      </c>
      <c r="J275" s="24">
        <f>Inputs!E$23</f>
        <v>46402</v>
      </c>
      <c r="K275" s="24">
        <f>Inputs!F$23</f>
        <v>46402</v>
      </c>
      <c r="L275" s="24">
        <f>Inputs!G$23</f>
        <v>46402</v>
      </c>
    </row>
    <row r="276" spans="2:14" outlineLevel="1" x14ac:dyDescent="0.3">
      <c r="C276" s="6" t="s">
        <v>115</v>
      </c>
      <c r="D276" s="2" t="s">
        <v>84</v>
      </c>
      <c r="E276" s="8">
        <f>-E205</f>
        <v>-45.335958904109589</v>
      </c>
      <c r="F276" s="8">
        <f>-F205</f>
        <v>-45.335958904109589</v>
      </c>
      <c r="G276" s="8">
        <f>-G205</f>
        <v>-45.335958904109589</v>
      </c>
      <c r="H276" s="8">
        <f t="shared" si="29"/>
        <v>-136.00787671232877</v>
      </c>
      <c r="J276" s="24">
        <f>E204</f>
        <v>46431</v>
      </c>
      <c r="K276" s="24">
        <f>F204</f>
        <v>46431</v>
      </c>
      <c r="L276" s="24">
        <f>G204</f>
        <v>46431</v>
      </c>
    </row>
    <row r="277" spans="2:14" outlineLevel="1" x14ac:dyDescent="0.3">
      <c r="C277" s="6" t="s">
        <v>252</v>
      </c>
      <c r="D277" s="2" t="s">
        <v>84</v>
      </c>
      <c r="E277" s="8">
        <f>-E208</f>
        <v>-679.18100812971761</v>
      </c>
      <c r="F277" s="8">
        <f>-F208</f>
        <v>-679.18100812971761</v>
      </c>
      <c r="G277" s="8">
        <f>-G208</f>
        <v>-679.18100812971761</v>
      </c>
      <c r="H277" s="8">
        <f t="shared" si="29"/>
        <v>-2037.5430243891528</v>
      </c>
      <c r="J277" s="24">
        <f>E207</f>
        <v>46701.558756027902</v>
      </c>
      <c r="K277" s="24">
        <f>F207</f>
        <v>46701.558756027902</v>
      </c>
      <c r="L277" s="24">
        <f>G207</f>
        <v>46701.558756027902</v>
      </c>
    </row>
    <row r="278" spans="2:14" outlineLevel="1" x14ac:dyDescent="0.3">
      <c r="C278" s="6" t="s">
        <v>253</v>
      </c>
      <c r="D278" s="2" t="s">
        <v>84</v>
      </c>
      <c r="E278" s="8">
        <f>E260-E241-E242</f>
        <v>7865.2049380432682</v>
      </c>
      <c r="F278" s="8">
        <f>F260-F241-F242</f>
        <v>10406.2948630137</v>
      </c>
      <c r="G278" s="8">
        <f>G260-G241-G242</f>
        <v>10406.2948630137</v>
      </c>
      <c r="H278" s="8">
        <f t="shared" si="29"/>
        <v>28677.794664070669</v>
      </c>
      <c r="J278" s="24">
        <f>Sale_Date_A</f>
        <v>47026</v>
      </c>
      <c r="K278" s="24">
        <f>Sale_Date_A</f>
        <v>47026</v>
      </c>
      <c r="L278" s="24">
        <f>Sale_Date_A</f>
        <v>47026</v>
      </c>
    </row>
    <row r="280" spans="2:14" x14ac:dyDescent="0.3">
      <c r="B280" s="4" t="s">
        <v>3</v>
      </c>
      <c r="C280" s="4" t="s">
        <v>254</v>
      </c>
      <c r="D280" s="4"/>
      <c r="E280" s="5" t="s">
        <v>5</v>
      </c>
      <c r="F280" s="5" t="s">
        <v>6</v>
      </c>
      <c r="G280" s="5" t="s">
        <v>7</v>
      </c>
      <c r="H280" s="5" t="s">
        <v>8</v>
      </c>
    </row>
    <row r="281" spans="2:14" x14ac:dyDescent="0.3">
      <c r="C281" s="6" t="s">
        <v>28</v>
      </c>
      <c r="D281" s="2" t="s">
        <v>84</v>
      </c>
      <c r="E281" s="8">
        <f>E18*E6</f>
        <v>7500</v>
      </c>
      <c r="F281" s="8">
        <f>F18*F6</f>
        <v>7500</v>
      </c>
      <c r="G281" s="8">
        <f>G18*G6</f>
        <v>7500</v>
      </c>
      <c r="H281" s="8">
        <f t="shared" ref="H281:H293" si="31">SUM(E281:G281)</f>
        <v>22500</v>
      </c>
    </row>
    <row r="282" spans="2:14" x14ac:dyDescent="0.3">
      <c r="C282" s="6" t="s">
        <v>255</v>
      </c>
      <c r="D282" s="2" t="s">
        <v>84</v>
      </c>
      <c r="E282" s="8">
        <f>SUM(E62:E66)</f>
        <v>12648.59781369863</v>
      </c>
      <c r="F282" s="8">
        <f>SUM(F62:F66)</f>
        <v>6470.7780821917804</v>
      </c>
      <c r="G282" s="8">
        <f>SUM(G62:G66)</f>
        <v>6470.7780821917804</v>
      </c>
      <c r="H282" s="8">
        <f t="shared" si="31"/>
        <v>25590.153978082191</v>
      </c>
    </row>
    <row r="283" spans="2:14" x14ac:dyDescent="0.3">
      <c r="C283" s="1" t="s">
        <v>220</v>
      </c>
      <c r="D283" s="2" t="s">
        <v>84</v>
      </c>
      <c r="E283" s="15">
        <f>E68</f>
        <v>107.80171232876712</v>
      </c>
      <c r="F283" s="15">
        <f>F68</f>
        <v>107.80171232876712</v>
      </c>
      <c r="G283" s="15">
        <f>G68</f>
        <v>107.80171232876712</v>
      </c>
      <c r="H283" s="15">
        <f t="shared" si="31"/>
        <v>323.40513698630139</v>
      </c>
    </row>
    <row r="284" spans="2:14" x14ac:dyDescent="0.3">
      <c r="C284" s="6" t="s">
        <v>221</v>
      </c>
      <c r="D284" s="2" t="s">
        <v>84</v>
      </c>
      <c r="E284" s="8">
        <f>SUM(E281:E283)</f>
        <v>20256.399526027399</v>
      </c>
      <c r="F284" s="8">
        <f>SUM(F281:F283)</f>
        <v>14078.579794520547</v>
      </c>
      <c r="G284" s="8">
        <f>SUM(G281:G283)</f>
        <v>14078.579794520547</v>
      </c>
      <c r="H284" s="8">
        <f t="shared" si="31"/>
        <v>48413.559115068492</v>
      </c>
    </row>
    <row r="285" spans="2:14" x14ac:dyDescent="0.3">
      <c r="C285" s="6" t="s">
        <v>222</v>
      </c>
      <c r="D285" s="2" t="s">
        <v>84</v>
      </c>
      <c r="E285" s="8">
        <f>-MIN(E284,Sale_Costs)</f>
        <v>-250</v>
      </c>
      <c r="F285" s="8">
        <f>-MIN(F284,Sale_Costs)</f>
        <v>-250</v>
      </c>
      <c r="G285" s="8">
        <f>-MIN(G284,Sale_Costs)</f>
        <v>-250</v>
      </c>
      <c r="H285" s="8">
        <f t="shared" si="31"/>
        <v>-750</v>
      </c>
    </row>
    <row r="286" spans="2:14" x14ac:dyDescent="0.3">
      <c r="C286" s="6" t="s">
        <v>256</v>
      </c>
      <c r="D286" s="2" t="s">
        <v>84</v>
      </c>
      <c r="E286" s="8">
        <f>-MIN(SUM(E284:E285),E282)</f>
        <v>-12648.59781369863</v>
      </c>
      <c r="F286" s="8">
        <f>-MIN(SUM(F284:F285),F282)</f>
        <v>-6470.7780821917804</v>
      </c>
      <c r="G286" s="8">
        <f>-MIN(SUM(G284:G285),G282)</f>
        <v>-6470.7780821917804</v>
      </c>
      <c r="H286" s="8">
        <f t="shared" si="31"/>
        <v>-25590.153978082191</v>
      </c>
    </row>
    <row r="287" spans="2:14" x14ac:dyDescent="0.3">
      <c r="C287" s="6" t="s">
        <v>224</v>
      </c>
      <c r="D287" s="2" t="s">
        <v>84</v>
      </c>
      <c r="E287" s="8">
        <f>-MIN(SUM(E284:E286),E283)</f>
        <v>-107.80171232876712</v>
      </c>
      <c r="F287" s="8">
        <f>-MIN(SUM(F284:F286),F283)</f>
        <v>-107.80171232876712</v>
      </c>
      <c r="G287" s="8">
        <f>-MIN(SUM(G284:G286),G283)</f>
        <v>-107.80171232876712</v>
      </c>
      <c r="H287" s="8">
        <f t="shared" si="31"/>
        <v>-323.40513698630139</v>
      </c>
    </row>
    <row r="288" spans="2:14" x14ac:dyDescent="0.3">
      <c r="C288" s="6" t="s">
        <v>225</v>
      </c>
      <c r="D288" s="2" t="s">
        <v>84</v>
      </c>
      <c r="E288" s="8">
        <f>-MIN(SUM(E284:E287),SUM(E190:E195))</f>
        <v>-1767.5110051565446</v>
      </c>
      <c r="F288" s="8">
        <f>-MIN(SUM(F284:F287),SUM(F190:F195))</f>
        <v>0</v>
      </c>
      <c r="G288" s="8">
        <f>-MIN(SUM(G284:G287),SUM(G190:G195))</f>
        <v>0</v>
      </c>
      <c r="H288" s="8">
        <f t="shared" si="31"/>
        <v>-1767.5110051565446</v>
      </c>
      <c r="N288" s="58"/>
    </row>
    <row r="289" spans="3:14" x14ac:dyDescent="0.3">
      <c r="C289" s="6" t="s">
        <v>226</v>
      </c>
      <c r="D289" s="2" t="s">
        <v>84</v>
      </c>
      <c r="E289" s="8">
        <f>-MIN(SUM(E284:E288),SUM(E196:E197))</f>
        <v>-808.90052867766292</v>
      </c>
      <c r="F289" s="8">
        <f>-MIN(SUM(F284:F288),SUM(F196:F197))</f>
        <v>0</v>
      </c>
      <c r="G289" s="8">
        <f>-MIN(SUM(G284:G288),SUM(G196:G197))</f>
        <v>0</v>
      </c>
      <c r="H289" s="8">
        <f t="shared" si="31"/>
        <v>-808.90052867766292</v>
      </c>
      <c r="N289" s="58"/>
    </row>
    <row r="290" spans="3:14" x14ac:dyDescent="0.3">
      <c r="C290" s="6" t="s">
        <v>227</v>
      </c>
      <c r="D290" s="2" t="s">
        <v>84</v>
      </c>
      <c r="E290" s="8">
        <f>-MIN(SUM(E284:E289),E199)</f>
        <v>-437.49999999999994</v>
      </c>
      <c r="F290" s="8">
        <f>-MIN(SUM(F284:F289),F199)</f>
        <v>0</v>
      </c>
      <c r="G290" s="8">
        <f>-MIN(SUM(G284:G289),G199)</f>
        <v>0</v>
      </c>
      <c r="H290" s="8">
        <f t="shared" si="31"/>
        <v>-437.49999999999994</v>
      </c>
    </row>
    <row r="291" spans="3:14" x14ac:dyDescent="0.3">
      <c r="C291" s="1" t="s">
        <v>228</v>
      </c>
      <c r="D291" s="2" t="s">
        <v>84</v>
      </c>
      <c r="E291" s="32">
        <f>SUM(E284:E290)</f>
        <v>4236.0884661657938</v>
      </c>
      <c r="F291" s="32">
        <f>SUM(F284:F290)</f>
        <v>7249.9999999999991</v>
      </c>
      <c r="G291" s="32">
        <f>SUM(G284:G290)</f>
        <v>7249.9999999999991</v>
      </c>
      <c r="H291" s="32">
        <f t="shared" si="31"/>
        <v>18736.088466165791</v>
      </c>
    </row>
    <row r="292" spans="3:14" x14ac:dyDescent="0.3">
      <c r="C292" s="6" t="s">
        <v>229</v>
      </c>
      <c r="D292" s="2" t="s">
        <v>84</v>
      </c>
      <c r="E292" s="8">
        <f>E291*E19</f>
        <v>2965.2619263160555</v>
      </c>
      <c r="F292" s="8">
        <f>F291*F19</f>
        <v>7249.9999999999991</v>
      </c>
      <c r="G292" s="8">
        <f>G291*G19</f>
        <v>7249.9999999999991</v>
      </c>
      <c r="H292" s="8">
        <f t="shared" si="31"/>
        <v>17465.261926316052</v>
      </c>
    </row>
    <row r="293" spans="3:14" x14ac:dyDescent="0.3">
      <c r="C293" s="6" t="s">
        <v>230</v>
      </c>
      <c r="D293" s="2" t="s">
        <v>84</v>
      </c>
      <c r="E293" s="8">
        <f>E291-E292</f>
        <v>1270.8265398497383</v>
      </c>
      <c r="F293" s="8">
        <f>F291-F292</f>
        <v>0</v>
      </c>
      <c r="G293" s="8">
        <f>G291-G292</f>
        <v>0</v>
      </c>
      <c r="H293" s="8">
        <f t="shared" si="31"/>
        <v>1270.8265398497383</v>
      </c>
    </row>
    <row r="295" spans="3:14" x14ac:dyDescent="0.3">
      <c r="C295" s="42" t="s">
        <v>257</v>
      </c>
      <c r="D295" s="42"/>
      <c r="E295" s="43" t="s">
        <v>5</v>
      </c>
      <c r="F295" s="43" t="s">
        <v>6</v>
      </c>
      <c r="G295" s="43" t="s">
        <v>7</v>
      </c>
      <c r="H295" s="43" t="s">
        <v>8</v>
      </c>
      <c r="J295" s="43"/>
      <c r="K295" s="43"/>
      <c r="L295" s="43"/>
    </row>
    <row r="296" spans="3:14" x14ac:dyDescent="0.3">
      <c r="C296" s="6" t="s">
        <v>550</v>
      </c>
      <c r="D296" s="2" t="s">
        <v>84</v>
      </c>
      <c r="E296" s="8">
        <f>E281</f>
        <v>7500</v>
      </c>
      <c r="F296" s="8">
        <f>F281</f>
        <v>7500</v>
      </c>
      <c r="G296" s="8">
        <f>G281</f>
        <v>7500</v>
      </c>
      <c r="H296" s="8">
        <f t="shared" ref="H296:H312" si="32">SUM(E296:G296)</f>
        <v>22500</v>
      </c>
      <c r="J296" s="24"/>
      <c r="K296" s="24"/>
      <c r="L296" s="24"/>
    </row>
    <row r="297" spans="3:14" x14ac:dyDescent="0.3">
      <c r="C297" s="6" t="s">
        <v>233</v>
      </c>
      <c r="D297" s="2" t="s">
        <v>84</v>
      </c>
      <c r="E297" s="8">
        <f>0</f>
        <v>0</v>
      </c>
      <c r="F297" s="8">
        <f>0</f>
        <v>0</v>
      </c>
      <c r="G297" s="8">
        <f>0</f>
        <v>0</v>
      </c>
      <c r="H297" s="8">
        <f t="shared" si="32"/>
        <v>0</v>
      </c>
      <c r="J297" s="24"/>
      <c r="K297" s="24"/>
      <c r="L297" s="24"/>
    </row>
    <row r="298" spans="3:14" x14ac:dyDescent="0.3">
      <c r="C298" s="6" t="s">
        <v>234</v>
      </c>
      <c r="D298" s="2" t="s">
        <v>84</v>
      </c>
      <c r="E298" s="8">
        <f>0</f>
        <v>0</v>
      </c>
      <c r="F298" s="8">
        <f>0</f>
        <v>0</v>
      </c>
      <c r="G298" s="8">
        <f>0</f>
        <v>0</v>
      </c>
      <c r="H298" s="8">
        <f t="shared" si="32"/>
        <v>0</v>
      </c>
      <c r="J298" s="24"/>
      <c r="K298" s="24"/>
      <c r="L298" s="24"/>
    </row>
    <row r="299" spans="3:14" x14ac:dyDescent="0.3">
      <c r="C299" s="6" t="s">
        <v>235</v>
      </c>
      <c r="D299" s="2" t="s">
        <v>84</v>
      </c>
      <c r="E299" s="8">
        <f>0</f>
        <v>0</v>
      </c>
      <c r="F299" s="8">
        <f>0</f>
        <v>0</v>
      </c>
      <c r="G299" s="8">
        <f>0</f>
        <v>0</v>
      </c>
      <c r="H299" s="8">
        <f t="shared" si="32"/>
        <v>0</v>
      </c>
      <c r="J299" s="24"/>
      <c r="K299" s="24"/>
      <c r="L299" s="24"/>
    </row>
    <row r="300" spans="3:14" x14ac:dyDescent="0.3">
      <c r="C300" s="6" t="s">
        <v>236</v>
      </c>
      <c r="D300" s="2" t="s">
        <v>84</v>
      </c>
      <c r="E300" s="8">
        <f>E285</f>
        <v>-250</v>
      </c>
      <c r="F300" s="8">
        <f>F285</f>
        <v>-250</v>
      </c>
      <c r="G300" s="8">
        <f>G285</f>
        <v>-250</v>
      </c>
      <c r="H300" s="8">
        <f t="shared" si="32"/>
        <v>-750</v>
      </c>
      <c r="J300" s="24"/>
      <c r="K300" s="24"/>
      <c r="L300" s="24"/>
    </row>
    <row r="301" spans="3:14" x14ac:dyDescent="0.3">
      <c r="C301" s="6" t="s">
        <v>237</v>
      </c>
      <c r="D301" s="2" t="s">
        <v>84</v>
      </c>
      <c r="E301" s="8">
        <f>E290</f>
        <v>-437.49999999999994</v>
      </c>
      <c r="F301" s="8">
        <f>F290</f>
        <v>0</v>
      </c>
      <c r="G301" s="8">
        <f>G290</f>
        <v>0</v>
      </c>
      <c r="H301" s="8">
        <f t="shared" si="32"/>
        <v>-437.49999999999994</v>
      </c>
      <c r="J301" s="24"/>
      <c r="K301" s="24"/>
      <c r="L301" s="24"/>
    </row>
    <row r="302" spans="3:14" x14ac:dyDescent="0.3">
      <c r="C302" s="6" t="s">
        <v>238</v>
      </c>
      <c r="D302" s="2" t="s">
        <v>84</v>
      </c>
      <c r="E302" s="8">
        <f>-E293</f>
        <v>-1270.8265398497383</v>
      </c>
      <c r="F302" s="8">
        <f>-F293</f>
        <v>0</v>
      </c>
      <c r="G302" s="8">
        <f>-G293</f>
        <v>0</v>
      </c>
      <c r="H302" s="8">
        <f t="shared" si="32"/>
        <v>-1270.8265398497383</v>
      </c>
      <c r="J302" s="24"/>
      <c r="K302" s="24"/>
      <c r="L302" s="24"/>
    </row>
    <row r="303" spans="3:14" x14ac:dyDescent="0.3">
      <c r="C303" s="6" t="s">
        <v>239</v>
      </c>
      <c r="D303" s="55" t="s">
        <v>84</v>
      </c>
      <c r="E303" s="8">
        <f t="shared" ref="E303:G304" si="33">-E288</f>
        <v>1767.5110051565446</v>
      </c>
      <c r="F303" s="8">
        <f t="shared" si="33"/>
        <v>0</v>
      </c>
      <c r="G303" s="8">
        <f t="shared" si="33"/>
        <v>0</v>
      </c>
      <c r="H303" s="8">
        <f t="shared" si="32"/>
        <v>1767.5110051565446</v>
      </c>
      <c r="J303" s="24"/>
      <c r="K303" s="24"/>
      <c r="L303" s="24"/>
    </row>
    <row r="304" spans="3:14" x14ac:dyDescent="0.3">
      <c r="C304" s="6" t="s">
        <v>240</v>
      </c>
      <c r="D304" s="55" t="s">
        <v>84</v>
      </c>
      <c r="E304" s="8">
        <f t="shared" si="33"/>
        <v>808.90052867766292</v>
      </c>
      <c r="F304" s="8">
        <f t="shared" si="33"/>
        <v>0</v>
      </c>
      <c r="G304" s="8">
        <f t="shared" si="33"/>
        <v>0</v>
      </c>
      <c r="H304" s="8">
        <f t="shared" si="32"/>
        <v>808.90052867766292</v>
      </c>
      <c r="J304" s="24"/>
      <c r="K304" s="24"/>
      <c r="L304" s="24"/>
    </row>
    <row r="305" spans="3:12" x14ac:dyDescent="0.3">
      <c r="C305" s="6" t="s">
        <v>29</v>
      </c>
      <c r="D305" s="55" t="s">
        <v>84</v>
      </c>
      <c r="E305" s="8">
        <f>E292</f>
        <v>2965.2619263160555</v>
      </c>
      <c r="F305" s="8">
        <f>F292</f>
        <v>7249.9999999999991</v>
      </c>
      <c r="G305" s="8">
        <f>G292</f>
        <v>7249.9999999999991</v>
      </c>
      <c r="H305" s="8">
        <f t="shared" si="32"/>
        <v>17465.261926316052</v>
      </c>
      <c r="J305" s="24"/>
      <c r="K305" s="24"/>
      <c r="L305" s="24"/>
    </row>
    <row r="306" spans="3:12" x14ac:dyDescent="0.3">
      <c r="C306" s="44" t="s">
        <v>258</v>
      </c>
      <c r="D306" s="45" t="s">
        <v>84</v>
      </c>
      <c r="E306" s="56">
        <f>SUM(E303:E305)</f>
        <v>5541.6734601502631</v>
      </c>
      <c r="F306" s="56">
        <f>SUM(F303:F305)</f>
        <v>7249.9999999999991</v>
      </c>
      <c r="G306" s="56">
        <f>SUM(G303:G305)</f>
        <v>7249.9999999999991</v>
      </c>
      <c r="H306" s="56">
        <f t="shared" si="32"/>
        <v>20041.673460150261</v>
      </c>
    </row>
    <row r="307" spans="3:12" x14ac:dyDescent="0.3">
      <c r="C307" s="6" t="s">
        <v>242</v>
      </c>
      <c r="D307" s="2" t="s">
        <v>84</v>
      </c>
      <c r="E307" s="8">
        <f>-E69</f>
        <v>-100</v>
      </c>
      <c r="F307" s="8">
        <f>-F69</f>
        <v>-150</v>
      </c>
      <c r="G307" s="8">
        <f>-G69</f>
        <v>-150</v>
      </c>
      <c r="H307" s="8">
        <f t="shared" si="32"/>
        <v>-400</v>
      </c>
      <c r="J307" s="24"/>
      <c r="K307" s="24"/>
      <c r="L307" s="24"/>
    </row>
    <row r="308" spans="3:12" x14ac:dyDescent="0.3">
      <c r="C308" s="6" t="s">
        <v>243</v>
      </c>
      <c r="D308" s="2" t="s">
        <v>84</v>
      </c>
      <c r="E308" s="8">
        <f>-E61</f>
        <v>-8.2191780821917799</v>
      </c>
      <c r="F308" s="8">
        <f>-F61</f>
        <v>-8.2191780821917799</v>
      </c>
      <c r="G308" s="8">
        <f>-G61</f>
        <v>-8.2191780821917799</v>
      </c>
      <c r="H308" s="8">
        <f t="shared" si="32"/>
        <v>-24.657534246575338</v>
      </c>
      <c r="J308" s="24"/>
      <c r="K308" s="24"/>
      <c r="L308" s="24"/>
    </row>
    <row r="309" spans="3:12" x14ac:dyDescent="0.3">
      <c r="C309" s="6" t="s">
        <v>244</v>
      </c>
      <c r="D309" s="2" t="s">
        <v>84</v>
      </c>
      <c r="E309" s="8">
        <f>-E67</f>
        <v>-701.09881634889575</v>
      </c>
      <c r="F309" s="8">
        <f>-F67</f>
        <v>-701.09881634889575</v>
      </c>
      <c r="G309" s="8">
        <f>-G67</f>
        <v>-701.09881634889575</v>
      </c>
      <c r="H309" s="8">
        <f t="shared" si="32"/>
        <v>-2103.2964490466875</v>
      </c>
      <c r="J309" s="24"/>
      <c r="K309" s="24"/>
      <c r="L309" s="24"/>
    </row>
    <row r="310" spans="3:12" x14ac:dyDescent="0.3">
      <c r="C310" s="44" t="s">
        <v>245</v>
      </c>
      <c r="D310" s="45" t="s">
        <v>84</v>
      </c>
      <c r="E310" s="56">
        <f>E306+SUM(E307:E309)</f>
        <v>4732.3554657191753</v>
      </c>
      <c r="F310" s="56">
        <f>F306+SUM(F307:F309)</f>
        <v>6390.6820055689113</v>
      </c>
      <c r="G310" s="56">
        <f>G306+SUM(G307:G309)</f>
        <v>6390.6820055689113</v>
      </c>
      <c r="H310" s="56">
        <f t="shared" si="32"/>
        <v>17513.719476856997</v>
      </c>
    </row>
    <row r="311" spans="3:12" x14ac:dyDescent="0.3">
      <c r="C311" s="1" t="s">
        <v>551</v>
      </c>
      <c r="D311" s="2" t="s">
        <v>84</v>
      </c>
      <c r="E311" s="32">
        <f>-MAX(0,E310)*CIT_Rate*(1-Share_Exempt)</f>
        <v>0</v>
      </c>
      <c r="F311" s="32">
        <f>-MAX(0,F310)*CIT_Rate*(1-Share_Exempt)</f>
        <v>0</v>
      </c>
      <c r="G311" s="32">
        <f>-MAX(0,G310)*CIT_Rate*(1-Share_Exempt)</f>
        <v>0</v>
      </c>
      <c r="H311" s="32">
        <f t="shared" si="32"/>
        <v>0</v>
      </c>
    </row>
    <row r="312" spans="3:12" x14ac:dyDescent="0.3">
      <c r="C312" s="44" t="s">
        <v>246</v>
      </c>
      <c r="D312" s="45" t="s">
        <v>84</v>
      </c>
      <c r="E312" s="56">
        <f>E310+E311</f>
        <v>4732.3554657191753</v>
      </c>
      <c r="F312" s="56">
        <f>F310+F311</f>
        <v>6390.6820055689113</v>
      </c>
      <c r="G312" s="56">
        <f>G310+G311</f>
        <v>6390.6820055689113</v>
      </c>
      <c r="H312" s="56">
        <f t="shared" si="32"/>
        <v>17513.719476856997</v>
      </c>
    </row>
    <row r="313" spans="3:12" x14ac:dyDescent="0.3">
      <c r="C313" s="6" t="s">
        <v>247</v>
      </c>
      <c r="D313" s="2" t="s">
        <v>3</v>
      </c>
      <c r="E313" s="47">
        <f>SUMIF(E316:E325,"&gt;0")/-SUMIF(E316:E325,"&lt;0")</f>
        <v>1.3488466760849398</v>
      </c>
      <c r="F313" s="47">
        <f>SUMIF(F316:F325,"&gt;0")/-SUMIF(F316:F325,"&lt;0")</f>
        <v>1.8592054081546705</v>
      </c>
      <c r="G313" s="47">
        <f>SUMIF(G316:G325,"&gt;0")/-SUMIF(G316:G325,"&lt;0")</f>
        <v>1.8592054081546705</v>
      </c>
      <c r="H313" s="47">
        <f>SUMIF(H316:H325,"&gt;0")/-SUMIF(H316:H325,"&lt;0")</f>
        <v>1.6157801596661818</v>
      </c>
    </row>
    <row r="314" spans="3:12" x14ac:dyDescent="0.3">
      <c r="C314" s="6" t="s">
        <v>248</v>
      </c>
      <c r="D314" s="2" t="s">
        <v>12</v>
      </c>
      <c r="E314" s="48">
        <f>XIRR(E316:E325,J316:J325)</f>
        <v>0.22995948195457461</v>
      </c>
      <c r="F314" s="48">
        <f>XIRR(F316:F325,K316:K325)</f>
        <v>0.36981874108314516</v>
      </c>
      <c r="G314" s="48">
        <f>XIRR(G316:G325,L316:L325)</f>
        <v>0.36981874108314516</v>
      </c>
    </row>
    <row r="315" spans="3:12" x14ac:dyDescent="0.3">
      <c r="C315" s="42" t="s">
        <v>259</v>
      </c>
      <c r="D315" s="42"/>
      <c r="E315" s="43"/>
      <c r="F315" s="43"/>
      <c r="G315" s="43"/>
      <c r="H315" s="43"/>
      <c r="J315" s="43" t="s">
        <v>232</v>
      </c>
      <c r="K315" s="43" t="s">
        <v>6</v>
      </c>
      <c r="L315" s="43" t="s">
        <v>7</v>
      </c>
    </row>
    <row r="316" spans="3:12" outlineLevel="1" x14ac:dyDescent="0.3">
      <c r="C316" s="6" t="s">
        <v>81</v>
      </c>
      <c r="D316" s="2" t="s">
        <v>84</v>
      </c>
      <c r="E316" s="8">
        <f>-E69</f>
        <v>-100</v>
      </c>
      <c r="F316" s="8">
        <f>-F69</f>
        <v>-150</v>
      </c>
      <c r="G316" s="8">
        <f>-G69</f>
        <v>-150</v>
      </c>
      <c r="H316" s="8">
        <f t="shared" ref="H316:H325" si="34">SUM(E316:G316)</f>
        <v>-400</v>
      </c>
      <c r="J316" s="24">
        <f>Inputs!E$20</f>
        <v>46234</v>
      </c>
      <c r="K316" s="24">
        <f>Inputs!F$20</f>
        <v>46234</v>
      </c>
      <c r="L316" s="24">
        <f>Inputs!G$20</f>
        <v>46234</v>
      </c>
    </row>
    <row r="317" spans="3:12" outlineLevel="1" x14ac:dyDescent="0.3">
      <c r="C317" s="6" t="s">
        <v>72</v>
      </c>
      <c r="D317" s="2" t="s">
        <v>84</v>
      </c>
      <c r="E317" s="8">
        <f t="shared" ref="E317:G322" si="35">-E61</f>
        <v>-8.2191780821917799</v>
      </c>
      <c r="F317" s="8">
        <f t="shared" si="35"/>
        <v>-8.2191780821917799</v>
      </c>
      <c r="G317" s="8">
        <f t="shared" si="35"/>
        <v>-8.2191780821917799</v>
      </c>
      <c r="H317" s="8">
        <f t="shared" si="34"/>
        <v>-24.657534246575338</v>
      </c>
      <c r="J317" s="24">
        <f>Inputs!E$21</f>
        <v>46325</v>
      </c>
      <c r="K317" s="24">
        <f>Inputs!F$21</f>
        <v>46325</v>
      </c>
      <c r="L317" s="24">
        <f>Inputs!G$21</f>
        <v>46325</v>
      </c>
    </row>
    <row r="318" spans="3:12" outlineLevel="1" x14ac:dyDescent="0.3">
      <c r="C318" s="6" t="s">
        <v>74</v>
      </c>
      <c r="D318" s="2" t="s">
        <v>84</v>
      </c>
      <c r="E318" s="8">
        <f t="shared" si="35"/>
        <v>-388.49315068493149</v>
      </c>
      <c r="F318" s="8">
        <f t="shared" si="35"/>
        <v>-498.90410958904107</v>
      </c>
      <c r="G318" s="8">
        <f t="shared" si="35"/>
        <v>-498.90410958904107</v>
      </c>
      <c r="H318" s="8">
        <f t="shared" si="34"/>
        <v>-1386.3013698630136</v>
      </c>
      <c r="J318" s="24">
        <f>Inputs!E$21</f>
        <v>46325</v>
      </c>
      <c r="K318" s="24">
        <f>Inputs!F$21</f>
        <v>46325</v>
      </c>
      <c r="L318" s="24">
        <f>Inputs!G$21</f>
        <v>46325</v>
      </c>
    </row>
    <row r="319" spans="3:12" outlineLevel="1" x14ac:dyDescent="0.3">
      <c r="C319" s="6" t="s">
        <v>251</v>
      </c>
      <c r="D319" s="2" t="s">
        <v>84</v>
      </c>
      <c r="E319" s="8">
        <f t="shared" si="35"/>
        <v>-1553.972602739726</v>
      </c>
      <c r="F319" s="8">
        <f t="shared" si="35"/>
        <v>-1995.6164383561643</v>
      </c>
      <c r="G319" s="8">
        <f t="shared" si="35"/>
        <v>-1995.6164383561643</v>
      </c>
      <c r="H319" s="8">
        <f t="shared" si="34"/>
        <v>-5545.2054794520545</v>
      </c>
      <c r="J319" s="24">
        <f>Inputs!E$22</f>
        <v>46402</v>
      </c>
      <c r="K319" s="24">
        <f>Inputs!F$22</f>
        <v>46402</v>
      </c>
      <c r="L319" s="24">
        <f>Inputs!G$22</f>
        <v>46402</v>
      </c>
    </row>
    <row r="320" spans="3:12" outlineLevel="1" x14ac:dyDescent="0.3">
      <c r="C320" s="6" t="s">
        <v>76</v>
      </c>
      <c r="D320" s="2" t="s">
        <v>84</v>
      </c>
      <c r="E320" s="8">
        <f t="shared" si="35"/>
        <v>-616.43835616438355</v>
      </c>
      <c r="F320" s="8">
        <f t="shared" si="35"/>
        <v>-616.43835616438355</v>
      </c>
      <c r="G320" s="8">
        <f t="shared" si="35"/>
        <v>-616.43835616438355</v>
      </c>
      <c r="H320" s="8">
        <f t="shared" si="34"/>
        <v>-1849.3150684931506</v>
      </c>
      <c r="J320" s="24">
        <f>Inputs!E$23</f>
        <v>46402</v>
      </c>
      <c r="K320" s="24">
        <f>Inputs!F$23</f>
        <v>46402</v>
      </c>
      <c r="L320" s="24">
        <f>Inputs!G$23</f>
        <v>46402</v>
      </c>
    </row>
    <row r="321" spans="2:45" outlineLevel="1" x14ac:dyDescent="0.3">
      <c r="C321" s="6" t="s">
        <v>260</v>
      </c>
      <c r="D321" s="2" t="s">
        <v>84</v>
      </c>
      <c r="E321" s="8">
        <f t="shared" si="35"/>
        <v>-696.36411506849322</v>
      </c>
      <c r="F321" s="8">
        <f t="shared" si="35"/>
        <v>-1260.2739726027396</v>
      </c>
      <c r="G321" s="8">
        <f t="shared" si="35"/>
        <v>-1260.2739726027396</v>
      </c>
      <c r="H321" s="8">
        <f t="shared" si="34"/>
        <v>-3216.9120602739722</v>
      </c>
      <c r="J321" s="24">
        <f>Inputs!E$24</f>
        <v>47027</v>
      </c>
      <c r="K321" s="24">
        <f>Inputs!F$24</f>
        <v>47027</v>
      </c>
      <c r="L321" s="24">
        <f>Inputs!G$24</f>
        <v>47027</v>
      </c>
    </row>
    <row r="322" spans="2:45" outlineLevel="1" x14ac:dyDescent="0.3">
      <c r="C322" s="6" t="s">
        <v>261</v>
      </c>
      <c r="D322" s="2" t="s">
        <v>84</v>
      </c>
      <c r="E322" s="8">
        <f t="shared" si="35"/>
        <v>-9393.3295890410955</v>
      </c>
      <c r="F322" s="8">
        <f t="shared" si="35"/>
        <v>-2099.5452054794519</v>
      </c>
      <c r="G322" s="8">
        <f t="shared" si="35"/>
        <v>-2099.5452054794519</v>
      </c>
      <c r="H322" s="8">
        <f t="shared" si="34"/>
        <v>-13592.419999999998</v>
      </c>
      <c r="J322" s="24">
        <f>Inputs!E$24</f>
        <v>47027</v>
      </c>
      <c r="K322" s="24">
        <f>Inputs!F$24</f>
        <v>47027</v>
      </c>
      <c r="L322" s="24">
        <f>Inputs!G$24</f>
        <v>47027</v>
      </c>
    </row>
    <row r="323" spans="2:45" outlineLevel="1" x14ac:dyDescent="0.3">
      <c r="C323" s="6" t="s">
        <v>115</v>
      </c>
      <c r="D323" s="2" t="s">
        <v>84</v>
      </c>
      <c r="E323" s="8">
        <f>-E68</f>
        <v>-107.80171232876712</v>
      </c>
      <c r="F323" s="8">
        <f>-F68</f>
        <v>-107.80171232876712</v>
      </c>
      <c r="G323" s="8">
        <f>-G68</f>
        <v>-107.80171232876712</v>
      </c>
      <c r="H323" s="8">
        <f t="shared" si="34"/>
        <v>-323.40513698630139</v>
      </c>
      <c r="J323" s="24">
        <f>$J$56</f>
        <v>46877.176865820999</v>
      </c>
      <c r="K323" s="24">
        <f>$J$56</f>
        <v>46877.176865820999</v>
      </c>
      <c r="L323" s="24">
        <f>$J$56</f>
        <v>46877.176865820999</v>
      </c>
    </row>
    <row r="324" spans="2:45" outlineLevel="1" x14ac:dyDescent="0.3">
      <c r="C324" s="6" t="s">
        <v>252</v>
      </c>
      <c r="D324" s="2" t="s">
        <v>84</v>
      </c>
      <c r="E324" s="8">
        <f>-E67</f>
        <v>-701.09881634889575</v>
      </c>
      <c r="F324" s="8">
        <f>-F67</f>
        <v>-701.09881634889575</v>
      </c>
      <c r="G324" s="8">
        <f>-G67</f>
        <v>-701.09881634889575</v>
      </c>
      <c r="H324" s="8">
        <f t="shared" si="34"/>
        <v>-2103.2964490466875</v>
      </c>
      <c r="J324" s="24">
        <f>$J$55</f>
        <v>46714.124275888054</v>
      </c>
      <c r="K324" s="24">
        <f>$J$55</f>
        <v>46714.124275888054</v>
      </c>
      <c r="L324" s="24">
        <f>$J$55</f>
        <v>46714.124275888054</v>
      </c>
    </row>
    <row r="325" spans="2:45" outlineLevel="1" x14ac:dyDescent="0.3">
      <c r="C325" s="6" t="s">
        <v>262</v>
      </c>
      <c r="D325" s="2" t="s">
        <v>84</v>
      </c>
      <c r="E325" s="8">
        <f>E306-E286-E287</f>
        <v>18298.07298617766</v>
      </c>
      <c r="F325" s="8">
        <f>F306-F286-F287</f>
        <v>13828.579794520547</v>
      </c>
      <c r="G325" s="8">
        <f>G306-G286-G287</f>
        <v>13828.579794520547</v>
      </c>
      <c r="H325" s="8">
        <f t="shared" si="34"/>
        <v>45955.232575218753</v>
      </c>
      <c r="J325" s="24">
        <f>Sale_Date</f>
        <v>47391</v>
      </c>
      <c r="K325" s="24">
        <f>Sale_Date</f>
        <v>47391</v>
      </c>
      <c r="L325" s="24">
        <f>Sale_Date</f>
        <v>47391</v>
      </c>
    </row>
    <row r="326" spans="2:45" x14ac:dyDescent="0.3">
      <c r="C326" s="1"/>
      <c r="D326" s="2"/>
      <c r="E326" s="15"/>
      <c r="F326" s="15"/>
      <c r="G326" s="15"/>
      <c r="H326" s="15"/>
    </row>
    <row r="327" spans="2:45" x14ac:dyDescent="0.3">
      <c r="B327" s="4" t="s">
        <v>3</v>
      </c>
      <c r="C327" s="4" t="s">
        <v>263</v>
      </c>
      <c r="D327" s="4"/>
      <c r="E327" s="59"/>
      <c r="F327" s="59"/>
      <c r="G327" s="59"/>
      <c r="H327" s="5" t="s">
        <v>8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</row>
    <row r="328" spans="2:45" x14ac:dyDescent="0.3">
      <c r="C328" s="6" t="s">
        <v>146</v>
      </c>
      <c r="D328" s="2" t="s">
        <v>147</v>
      </c>
      <c r="J328" s="54">
        <f t="shared" ref="J328:AS328" si="36">First_Year+COLUMN()-COLUMN($J$1)</f>
        <v>2026</v>
      </c>
      <c r="K328" s="54">
        <f t="shared" si="36"/>
        <v>2027</v>
      </c>
      <c r="L328" s="54">
        <f t="shared" si="36"/>
        <v>2028</v>
      </c>
      <c r="M328" s="54">
        <f t="shared" si="36"/>
        <v>2029</v>
      </c>
      <c r="N328" s="54">
        <f t="shared" si="36"/>
        <v>2030</v>
      </c>
      <c r="O328" s="54">
        <f t="shared" si="36"/>
        <v>2031</v>
      </c>
      <c r="P328" s="54">
        <f t="shared" si="36"/>
        <v>2032</v>
      </c>
      <c r="Q328" s="54">
        <f t="shared" si="36"/>
        <v>2033</v>
      </c>
      <c r="R328" s="54">
        <f t="shared" si="36"/>
        <v>2034</v>
      </c>
      <c r="S328" s="54">
        <f t="shared" si="36"/>
        <v>2035</v>
      </c>
      <c r="T328" s="54">
        <f t="shared" si="36"/>
        <v>2036</v>
      </c>
      <c r="U328" s="54">
        <f t="shared" si="36"/>
        <v>2037</v>
      </c>
      <c r="V328" s="54">
        <f t="shared" si="36"/>
        <v>2038</v>
      </c>
      <c r="W328" s="54">
        <f t="shared" si="36"/>
        <v>2039</v>
      </c>
      <c r="X328" s="54">
        <f t="shared" si="36"/>
        <v>2040</v>
      </c>
      <c r="Y328" s="54">
        <f t="shared" si="36"/>
        <v>2041</v>
      </c>
      <c r="Z328" s="54">
        <f t="shared" si="36"/>
        <v>2042</v>
      </c>
      <c r="AA328" s="54">
        <f t="shared" si="36"/>
        <v>2043</v>
      </c>
      <c r="AB328" s="54">
        <f t="shared" si="36"/>
        <v>2044</v>
      </c>
      <c r="AC328" s="54">
        <f t="shared" si="36"/>
        <v>2045</v>
      </c>
      <c r="AD328" s="54">
        <f t="shared" si="36"/>
        <v>2046</v>
      </c>
      <c r="AE328" s="54">
        <f t="shared" si="36"/>
        <v>2047</v>
      </c>
      <c r="AF328" s="54">
        <f t="shared" si="36"/>
        <v>2048</v>
      </c>
      <c r="AG328" s="54">
        <f t="shared" si="36"/>
        <v>2049</v>
      </c>
      <c r="AH328" s="54">
        <f t="shared" si="36"/>
        <v>2050</v>
      </c>
      <c r="AI328" s="54">
        <f t="shared" si="36"/>
        <v>2051</v>
      </c>
      <c r="AJ328" s="54">
        <f t="shared" si="36"/>
        <v>2052</v>
      </c>
      <c r="AK328" s="54">
        <f t="shared" si="36"/>
        <v>2053</v>
      </c>
      <c r="AL328" s="54">
        <f t="shared" si="36"/>
        <v>2054</v>
      </c>
      <c r="AM328" s="54">
        <f t="shared" si="36"/>
        <v>2055</v>
      </c>
      <c r="AN328" s="54">
        <f t="shared" si="36"/>
        <v>2056</v>
      </c>
      <c r="AO328" s="54">
        <f t="shared" si="36"/>
        <v>2057</v>
      </c>
      <c r="AP328" s="54">
        <f t="shared" si="36"/>
        <v>2058</v>
      </c>
      <c r="AQ328" s="54">
        <f t="shared" si="36"/>
        <v>2059</v>
      </c>
      <c r="AR328" s="54">
        <f t="shared" si="36"/>
        <v>2060</v>
      </c>
      <c r="AS328" s="54">
        <f t="shared" si="36"/>
        <v>2061</v>
      </c>
    </row>
    <row r="329" spans="2:45" x14ac:dyDescent="0.3">
      <c r="C329" s="6" t="s">
        <v>264</v>
      </c>
      <c r="D329" s="2" t="s">
        <v>158</v>
      </c>
      <c r="J329" s="24">
        <f t="shared" ref="J329:AS329" si="37">DATE(J328+1,1,1)-1</f>
        <v>46387</v>
      </c>
      <c r="K329" s="24">
        <f t="shared" si="37"/>
        <v>46752</v>
      </c>
      <c r="L329" s="24">
        <f t="shared" si="37"/>
        <v>47118</v>
      </c>
      <c r="M329" s="24">
        <f t="shared" si="37"/>
        <v>47483</v>
      </c>
      <c r="N329" s="24">
        <f t="shared" si="37"/>
        <v>47848</v>
      </c>
      <c r="O329" s="24">
        <f t="shared" si="37"/>
        <v>48213</v>
      </c>
      <c r="P329" s="24">
        <f t="shared" si="37"/>
        <v>48579</v>
      </c>
      <c r="Q329" s="24">
        <f t="shared" si="37"/>
        <v>48944</v>
      </c>
      <c r="R329" s="24">
        <f t="shared" si="37"/>
        <v>49309</v>
      </c>
      <c r="S329" s="24">
        <f t="shared" si="37"/>
        <v>49674</v>
      </c>
      <c r="T329" s="24">
        <f t="shared" si="37"/>
        <v>50040</v>
      </c>
      <c r="U329" s="24">
        <f t="shared" si="37"/>
        <v>50405</v>
      </c>
      <c r="V329" s="24">
        <f t="shared" si="37"/>
        <v>50770</v>
      </c>
      <c r="W329" s="24">
        <f t="shared" si="37"/>
        <v>51135</v>
      </c>
      <c r="X329" s="24">
        <f t="shared" si="37"/>
        <v>51501</v>
      </c>
      <c r="Y329" s="24">
        <f t="shared" si="37"/>
        <v>51866</v>
      </c>
      <c r="Z329" s="24">
        <f t="shared" si="37"/>
        <v>52231</v>
      </c>
      <c r="AA329" s="24">
        <f t="shared" si="37"/>
        <v>52596</v>
      </c>
      <c r="AB329" s="24">
        <f t="shared" si="37"/>
        <v>52962</v>
      </c>
      <c r="AC329" s="24">
        <f t="shared" si="37"/>
        <v>53327</v>
      </c>
      <c r="AD329" s="24">
        <f t="shared" si="37"/>
        <v>53692</v>
      </c>
      <c r="AE329" s="24">
        <f t="shared" si="37"/>
        <v>54057</v>
      </c>
      <c r="AF329" s="24">
        <f t="shared" si="37"/>
        <v>54423</v>
      </c>
      <c r="AG329" s="24">
        <f t="shared" si="37"/>
        <v>54788</v>
      </c>
      <c r="AH329" s="24">
        <f t="shared" si="37"/>
        <v>55153</v>
      </c>
      <c r="AI329" s="24">
        <f t="shared" si="37"/>
        <v>55518</v>
      </c>
      <c r="AJ329" s="24">
        <f t="shared" si="37"/>
        <v>55884</v>
      </c>
      <c r="AK329" s="24">
        <f t="shared" si="37"/>
        <v>56249</v>
      </c>
      <c r="AL329" s="24">
        <f t="shared" si="37"/>
        <v>56614</v>
      </c>
      <c r="AM329" s="24">
        <f t="shared" si="37"/>
        <v>56979</v>
      </c>
      <c r="AN329" s="24">
        <f t="shared" si="37"/>
        <v>57345</v>
      </c>
      <c r="AO329" s="24">
        <f t="shared" si="37"/>
        <v>57710</v>
      </c>
      <c r="AP329" s="24">
        <f t="shared" si="37"/>
        <v>58075</v>
      </c>
      <c r="AQ329" s="24">
        <f t="shared" si="37"/>
        <v>58440</v>
      </c>
      <c r="AR329" s="24">
        <f t="shared" si="37"/>
        <v>58806</v>
      </c>
      <c r="AS329" s="24">
        <f t="shared" si="37"/>
        <v>59171</v>
      </c>
    </row>
    <row r="331" spans="2:45" x14ac:dyDescent="0.3">
      <c r="B331" s="4" t="s">
        <v>3</v>
      </c>
      <c r="C331" s="4" t="s">
        <v>265</v>
      </c>
      <c r="D331" s="4"/>
      <c r="E331" s="5" t="s">
        <v>266</v>
      </c>
      <c r="F331" s="5"/>
      <c r="G331" s="5"/>
      <c r="H331" s="5" t="s">
        <v>8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</row>
    <row r="332" spans="2:45" x14ac:dyDescent="0.3">
      <c r="C332" s="6" t="s">
        <v>267</v>
      </c>
      <c r="D332" s="2" t="s">
        <v>268</v>
      </c>
      <c r="J332" s="54">
        <f>J$328-YEAR(Inputs!$E$26)</f>
        <v>-5</v>
      </c>
      <c r="K332" s="54">
        <f>K$328-YEAR(Inputs!$E$26)</f>
        <v>-4</v>
      </c>
      <c r="L332" s="54">
        <f>L$328-YEAR(Inputs!$E$26)</f>
        <v>-3</v>
      </c>
      <c r="M332" s="54">
        <f>M$328-YEAR(Inputs!$E$26)</f>
        <v>-2</v>
      </c>
      <c r="N332" s="54">
        <f>N$328-YEAR(Inputs!$E$26)</f>
        <v>-1</v>
      </c>
      <c r="O332" s="54">
        <f>O$328-YEAR(Inputs!$E$26)</f>
        <v>0</v>
      </c>
      <c r="P332" s="54">
        <f>P$328-YEAR(Inputs!$E$26)</f>
        <v>1</v>
      </c>
      <c r="Q332" s="54">
        <f>Q$328-YEAR(Inputs!$E$26)</f>
        <v>2</v>
      </c>
      <c r="R332" s="54">
        <f>R$328-YEAR(Inputs!$E$26)</f>
        <v>3</v>
      </c>
      <c r="S332" s="54">
        <f>S$328-YEAR(Inputs!$E$26)</f>
        <v>4</v>
      </c>
      <c r="T332" s="54">
        <f>T$328-YEAR(Inputs!$E$26)</f>
        <v>5</v>
      </c>
      <c r="U332" s="54">
        <f>U$328-YEAR(Inputs!$E$26)</f>
        <v>6</v>
      </c>
      <c r="V332" s="54">
        <f>V$328-YEAR(Inputs!$E$26)</f>
        <v>7</v>
      </c>
      <c r="W332" s="54">
        <f>W$328-YEAR(Inputs!$E$26)</f>
        <v>8</v>
      </c>
      <c r="X332" s="54">
        <f>X$328-YEAR(Inputs!$E$26)</f>
        <v>9</v>
      </c>
      <c r="Y332" s="54">
        <f>Y$328-YEAR(Inputs!$E$26)</f>
        <v>10</v>
      </c>
      <c r="Z332" s="54">
        <f>Z$328-YEAR(Inputs!$E$26)</f>
        <v>11</v>
      </c>
      <c r="AA332" s="54">
        <f>AA$328-YEAR(Inputs!$E$26)</f>
        <v>12</v>
      </c>
      <c r="AB332" s="54">
        <f>AB$328-YEAR(Inputs!$E$26)</f>
        <v>13</v>
      </c>
      <c r="AC332" s="54">
        <f>AC$328-YEAR(Inputs!$E$26)</f>
        <v>14</v>
      </c>
      <c r="AD332" s="54">
        <f>AD$328-YEAR(Inputs!$E$26)</f>
        <v>15</v>
      </c>
      <c r="AE332" s="54">
        <f>AE$328-YEAR(Inputs!$E$26)</f>
        <v>16</v>
      </c>
      <c r="AF332" s="54">
        <f>AF$328-YEAR(Inputs!$E$26)</f>
        <v>17</v>
      </c>
      <c r="AG332" s="54">
        <f>AG$328-YEAR(Inputs!$E$26)</f>
        <v>18</v>
      </c>
      <c r="AH332" s="54">
        <f>AH$328-YEAR(Inputs!$E$26)</f>
        <v>19</v>
      </c>
      <c r="AI332" s="54">
        <f>AI$328-YEAR(Inputs!$E$26)</f>
        <v>20</v>
      </c>
      <c r="AJ332" s="54">
        <f>AJ$328-YEAR(Inputs!$E$26)</f>
        <v>21</v>
      </c>
      <c r="AK332" s="54">
        <f>AK$328-YEAR(Inputs!$E$26)</f>
        <v>22</v>
      </c>
      <c r="AL332" s="54">
        <f>AL$328-YEAR(Inputs!$E$26)</f>
        <v>23</v>
      </c>
      <c r="AM332" s="54">
        <f>AM$328-YEAR(Inputs!$E$26)</f>
        <v>24</v>
      </c>
      <c r="AN332" s="54">
        <f>AN$328-YEAR(Inputs!$E$26)</f>
        <v>25</v>
      </c>
      <c r="AO332" s="54">
        <f>AO$328-YEAR(Inputs!$E$26)</f>
        <v>26</v>
      </c>
      <c r="AP332" s="54">
        <f>AP$328-YEAR(Inputs!$E$26)</f>
        <v>27</v>
      </c>
      <c r="AQ332" s="54">
        <f>AQ$328-YEAR(Inputs!$E$26)</f>
        <v>28</v>
      </c>
      <c r="AR332" s="54">
        <f>AR$328-YEAR(Inputs!$E$26)</f>
        <v>29</v>
      </c>
      <c r="AS332" s="54">
        <f>AS$328-YEAR(Inputs!$E$26)</f>
        <v>30</v>
      </c>
    </row>
    <row r="333" spans="2:45" x14ac:dyDescent="0.3">
      <c r="C333" s="6" t="s">
        <v>269</v>
      </c>
      <c r="D333" s="2" t="s">
        <v>270</v>
      </c>
      <c r="E333" s="54">
        <f>DATEDIF(Inputs!$E$25,Inputs!$E$26,"m")</f>
        <v>24</v>
      </c>
      <c r="J333" s="54">
        <f>(J$328+1-YEAR(Inputs!$E$25))*Months_In_Year-MONTH(Inputs!$E$25)</f>
        <v>-30</v>
      </c>
      <c r="K333" s="54">
        <f>(K$328+1-YEAR(Inputs!$E$25))*Months_In_Year-MONTH(Inputs!$E$25)</f>
        <v>-18</v>
      </c>
      <c r="L333" s="54">
        <f>(L$328+1-YEAR(Inputs!$E$25))*Months_In_Year-MONTH(Inputs!$E$25)</f>
        <v>-6</v>
      </c>
      <c r="M333" s="54">
        <f>(M$328+1-YEAR(Inputs!$E$25))*Months_In_Year-MONTH(Inputs!$E$25)</f>
        <v>6</v>
      </c>
      <c r="N333" s="54">
        <f>(N$328+1-YEAR(Inputs!$E$25))*Months_In_Year-MONTH(Inputs!$E$25)</f>
        <v>18</v>
      </c>
      <c r="O333" s="54">
        <f>(O$328+1-YEAR(Inputs!$E$25))*Months_In_Year-MONTH(Inputs!$E$25)</f>
        <v>30</v>
      </c>
      <c r="P333" s="54">
        <f>(P$328+1-YEAR(Inputs!$E$25))*Months_In_Year-MONTH(Inputs!$E$25)</f>
        <v>42</v>
      </c>
      <c r="Q333" s="54">
        <f>(Q$328+1-YEAR(Inputs!$E$25))*Months_In_Year-MONTH(Inputs!$E$25)</f>
        <v>54</v>
      </c>
      <c r="R333" s="54">
        <f>(R$328+1-YEAR(Inputs!$E$25))*Months_In_Year-MONTH(Inputs!$E$25)</f>
        <v>66</v>
      </c>
      <c r="S333" s="54">
        <f>(S$328+1-YEAR(Inputs!$E$25))*Months_In_Year-MONTH(Inputs!$E$25)</f>
        <v>78</v>
      </c>
      <c r="T333" s="54">
        <f>(T$328+1-YEAR(Inputs!$E$25))*Months_In_Year-MONTH(Inputs!$E$25)</f>
        <v>90</v>
      </c>
      <c r="U333" s="54">
        <f>(U$328+1-YEAR(Inputs!$E$25))*Months_In_Year-MONTH(Inputs!$E$25)</f>
        <v>102</v>
      </c>
      <c r="V333" s="54">
        <f>(V$328+1-YEAR(Inputs!$E$25))*Months_In_Year-MONTH(Inputs!$E$25)</f>
        <v>114</v>
      </c>
      <c r="W333" s="54">
        <f>(W$328+1-YEAR(Inputs!$E$25))*Months_In_Year-MONTH(Inputs!$E$25)</f>
        <v>126</v>
      </c>
      <c r="X333" s="54">
        <f>(X$328+1-YEAR(Inputs!$E$25))*Months_In_Year-MONTH(Inputs!$E$25)</f>
        <v>138</v>
      </c>
      <c r="Y333" s="54">
        <f>(Y$328+1-YEAR(Inputs!$E$25))*Months_In_Year-MONTH(Inputs!$E$25)</f>
        <v>150</v>
      </c>
      <c r="Z333" s="54">
        <f>(Z$328+1-YEAR(Inputs!$E$25))*Months_In_Year-MONTH(Inputs!$E$25)</f>
        <v>162</v>
      </c>
      <c r="AA333" s="54">
        <f>(AA$328+1-YEAR(Inputs!$E$25))*Months_In_Year-MONTH(Inputs!$E$25)</f>
        <v>174</v>
      </c>
      <c r="AB333" s="54">
        <f>(AB$328+1-YEAR(Inputs!$E$25))*Months_In_Year-MONTH(Inputs!$E$25)</f>
        <v>186</v>
      </c>
      <c r="AC333" s="54">
        <f>(AC$328+1-YEAR(Inputs!$E$25))*Months_In_Year-MONTH(Inputs!$E$25)</f>
        <v>198</v>
      </c>
      <c r="AD333" s="54">
        <f>(AD$328+1-YEAR(Inputs!$E$25))*Months_In_Year-MONTH(Inputs!$E$25)</f>
        <v>210</v>
      </c>
      <c r="AE333" s="54">
        <f>(AE$328+1-YEAR(Inputs!$E$25))*Months_In_Year-MONTH(Inputs!$E$25)</f>
        <v>222</v>
      </c>
      <c r="AF333" s="54">
        <f>(AF$328+1-YEAR(Inputs!$E$25))*Months_In_Year-MONTH(Inputs!$E$25)</f>
        <v>234</v>
      </c>
      <c r="AG333" s="54">
        <f>(AG$328+1-YEAR(Inputs!$E$25))*Months_In_Year-MONTH(Inputs!$E$25)</f>
        <v>246</v>
      </c>
      <c r="AH333" s="54">
        <f>(AH$328+1-YEAR(Inputs!$E$25))*Months_In_Year-MONTH(Inputs!$E$25)</f>
        <v>258</v>
      </c>
      <c r="AI333" s="54">
        <f>(AI$328+1-YEAR(Inputs!$E$25))*Months_In_Year-MONTH(Inputs!$E$25)</f>
        <v>270</v>
      </c>
      <c r="AJ333" s="54">
        <f>(AJ$328+1-YEAR(Inputs!$E$25))*Months_In_Year-MONTH(Inputs!$E$25)</f>
        <v>282</v>
      </c>
      <c r="AK333" s="54">
        <f>(AK$328+1-YEAR(Inputs!$E$25))*Months_In_Year-MONTH(Inputs!$E$25)</f>
        <v>294</v>
      </c>
      <c r="AL333" s="54">
        <f>(AL$328+1-YEAR(Inputs!$E$25))*Months_In_Year-MONTH(Inputs!$E$25)</f>
        <v>306</v>
      </c>
      <c r="AM333" s="54">
        <f>(AM$328+1-YEAR(Inputs!$E$25))*Months_In_Year-MONTH(Inputs!$E$25)</f>
        <v>318</v>
      </c>
      <c r="AN333" s="54">
        <f>(AN$328+1-YEAR(Inputs!$E$25))*Months_In_Year-MONTH(Inputs!$E$25)</f>
        <v>330</v>
      </c>
      <c r="AO333" s="54">
        <f>(AO$328+1-YEAR(Inputs!$E$25))*Months_In_Year-MONTH(Inputs!$E$25)</f>
        <v>342</v>
      </c>
      <c r="AP333" s="54">
        <f>(AP$328+1-YEAR(Inputs!$E$25))*Months_In_Year-MONTH(Inputs!$E$25)</f>
        <v>354</v>
      </c>
      <c r="AQ333" s="54">
        <f>(AQ$328+1-YEAR(Inputs!$E$25))*Months_In_Year-MONTH(Inputs!$E$25)</f>
        <v>366</v>
      </c>
      <c r="AR333" s="54">
        <f>(AR$328+1-YEAR(Inputs!$E$25))*Months_In_Year-MONTH(Inputs!$E$25)</f>
        <v>378</v>
      </c>
      <c r="AS333" s="54">
        <f>(AS$328+1-YEAR(Inputs!$E$25))*Months_In_Year-MONTH(Inputs!$E$25)</f>
        <v>390</v>
      </c>
    </row>
    <row r="334" spans="2:45" x14ac:dyDescent="0.3">
      <c r="C334" s="6" t="s">
        <v>271</v>
      </c>
      <c r="D334" s="2" t="s">
        <v>12</v>
      </c>
      <c r="H334" s="60">
        <f>SUM(J334:AS334)</f>
        <v>1</v>
      </c>
      <c r="J334" s="48">
        <f t="shared" ref="J334:AS334" si="38">MAX(0,MIN(J333,$E333)-MAX(J333-Months_In_Year,0))/$E333</f>
        <v>0</v>
      </c>
      <c r="K334" s="48">
        <f t="shared" si="38"/>
        <v>0</v>
      </c>
      <c r="L334" s="48">
        <f t="shared" si="38"/>
        <v>0</v>
      </c>
      <c r="M334" s="48">
        <f t="shared" si="38"/>
        <v>0.25</v>
      </c>
      <c r="N334" s="48">
        <f t="shared" si="38"/>
        <v>0.5</v>
      </c>
      <c r="O334" s="48">
        <f t="shared" si="38"/>
        <v>0.25</v>
      </c>
      <c r="P334" s="48">
        <f t="shared" si="38"/>
        <v>0</v>
      </c>
      <c r="Q334" s="48">
        <f t="shared" si="38"/>
        <v>0</v>
      </c>
      <c r="R334" s="48">
        <f t="shared" si="38"/>
        <v>0</v>
      </c>
      <c r="S334" s="48">
        <f t="shared" si="38"/>
        <v>0</v>
      </c>
      <c r="T334" s="48">
        <f t="shared" si="38"/>
        <v>0</v>
      </c>
      <c r="U334" s="48">
        <f t="shared" si="38"/>
        <v>0</v>
      </c>
      <c r="V334" s="48">
        <f t="shared" si="38"/>
        <v>0</v>
      </c>
      <c r="W334" s="48">
        <f t="shared" si="38"/>
        <v>0</v>
      </c>
      <c r="X334" s="48">
        <f t="shared" si="38"/>
        <v>0</v>
      </c>
      <c r="Y334" s="48">
        <f t="shared" si="38"/>
        <v>0</v>
      </c>
      <c r="Z334" s="48">
        <f t="shared" si="38"/>
        <v>0</v>
      </c>
      <c r="AA334" s="48">
        <f t="shared" si="38"/>
        <v>0</v>
      </c>
      <c r="AB334" s="48">
        <f t="shared" si="38"/>
        <v>0</v>
      </c>
      <c r="AC334" s="48">
        <f t="shared" si="38"/>
        <v>0</v>
      </c>
      <c r="AD334" s="48">
        <f t="shared" si="38"/>
        <v>0</v>
      </c>
      <c r="AE334" s="48">
        <f t="shared" si="38"/>
        <v>0</v>
      </c>
      <c r="AF334" s="48">
        <f t="shared" si="38"/>
        <v>0</v>
      </c>
      <c r="AG334" s="48">
        <f t="shared" si="38"/>
        <v>0</v>
      </c>
      <c r="AH334" s="48">
        <f t="shared" si="38"/>
        <v>0</v>
      </c>
      <c r="AI334" s="48">
        <f t="shared" si="38"/>
        <v>0</v>
      </c>
      <c r="AJ334" s="48">
        <f t="shared" si="38"/>
        <v>0</v>
      </c>
      <c r="AK334" s="48">
        <f t="shared" si="38"/>
        <v>0</v>
      </c>
      <c r="AL334" s="48">
        <f t="shared" si="38"/>
        <v>0</v>
      </c>
      <c r="AM334" s="48">
        <f t="shared" si="38"/>
        <v>0</v>
      </c>
      <c r="AN334" s="48">
        <f t="shared" si="38"/>
        <v>0</v>
      </c>
      <c r="AO334" s="48">
        <f t="shared" si="38"/>
        <v>0</v>
      </c>
      <c r="AP334" s="48">
        <f t="shared" si="38"/>
        <v>0</v>
      </c>
      <c r="AQ334" s="48">
        <f t="shared" si="38"/>
        <v>0</v>
      </c>
      <c r="AR334" s="48">
        <f t="shared" si="38"/>
        <v>0</v>
      </c>
      <c r="AS334" s="48">
        <f t="shared" si="38"/>
        <v>0</v>
      </c>
    </row>
    <row r="335" spans="2:45" x14ac:dyDescent="0.3">
      <c r="C335" s="6" t="s">
        <v>272</v>
      </c>
      <c r="D335" s="2" t="s">
        <v>270</v>
      </c>
      <c r="E335" s="54">
        <f>Life*Months_In_Year</f>
        <v>360</v>
      </c>
      <c r="J335" s="54">
        <f>(J$328+1-YEAR(Inputs!$E$26))*Months_In_Year-MONTH(Inputs!$E$26)</f>
        <v>-54</v>
      </c>
      <c r="K335" s="54">
        <f>(K$328+1-YEAR(Inputs!$E$26))*Months_In_Year-MONTH(Inputs!$E$26)</f>
        <v>-42</v>
      </c>
      <c r="L335" s="54">
        <f>(L$328+1-YEAR(Inputs!$E$26))*Months_In_Year-MONTH(Inputs!$E$26)</f>
        <v>-30</v>
      </c>
      <c r="M335" s="54">
        <f>(M$328+1-YEAR(Inputs!$E$26))*Months_In_Year-MONTH(Inputs!$E$26)</f>
        <v>-18</v>
      </c>
      <c r="N335" s="54">
        <f>(N$328+1-YEAR(Inputs!$E$26))*Months_In_Year-MONTH(Inputs!$E$26)</f>
        <v>-6</v>
      </c>
      <c r="O335" s="54">
        <f>(O$328+1-YEAR(Inputs!$E$26))*Months_In_Year-MONTH(Inputs!$E$26)</f>
        <v>6</v>
      </c>
      <c r="P335" s="54">
        <f>(P$328+1-YEAR(Inputs!$E$26))*Months_In_Year-MONTH(Inputs!$E$26)</f>
        <v>18</v>
      </c>
      <c r="Q335" s="54">
        <f>(Q$328+1-YEAR(Inputs!$E$26))*Months_In_Year-MONTH(Inputs!$E$26)</f>
        <v>30</v>
      </c>
      <c r="R335" s="54">
        <f>(R$328+1-YEAR(Inputs!$E$26))*Months_In_Year-MONTH(Inputs!$E$26)</f>
        <v>42</v>
      </c>
      <c r="S335" s="54">
        <f>(S$328+1-YEAR(Inputs!$E$26))*Months_In_Year-MONTH(Inputs!$E$26)</f>
        <v>54</v>
      </c>
      <c r="T335" s="54">
        <f>(T$328+1-YEAR(Inputs!$E$26))*Months_In_Year-MONTH(Inputs!$E$26)</f>
        <v>66</v>
      </c>
      <c r="U335" s="54">
        <f>(U$328+1-YEAR(Inputs!$E$26))*Months_In_Year-MONTH(Inputs!$E$26)</f>
        <v>78</v>
      </c>
      <c r="V335" s="54">
        <f>(V$328+1-YEAR(Inputs!$E$26))*Months_In_Year-MONTH(Inputs!$E$26)</f>
        <v>90</v>
      </c>
      <c r="W335" s="54">
        <f>(W$328+1-YEAR(Inputs!$E$26))*Months_In_Year-MONTH(Inputs!$E$26)</f>
        <v>102</v>
      </c>
      <c r="X335" s="54">
        <f>(X$328+1-YEAR(Inputs!$E$26))*Months_In_Year-MONTH(Inputs!$E$26)</f>
        <v>114</v>
      </c>
      <c r="Y335" s="54">
        <f>(Y$328+1-YEAR(Inputs!$E$26))*Months_In_Year-MONTH(Inputs!$E$26)</f>
        <v>126</v>
      </c>
      <c r="Z335" s="54">
        <f>(Z$328+1-YEAR(Inputs!$E$26))*Months_In_Year-MONTH(Inputs!$E$26)</f>
        <v>138</v>
      </c>
      <c r="AA335" s="54">
        <f>(AA$328+1-YEAR(Inputs!$E$26))*Months_In_Year-MONTH(Inputs!$E$26)</f>
        <v>150</v>
      </c>
      <c r="AB335" s="54">
        <f>(AB$328+1-YEAR(Inputs!$E$26))*Months_In_Year-MONTH(Inputs!$E$26)</f>
        <v>162</v>
      </c>
      <c r="AC335" s="54">
        <f>(AC$328+1-YEAR(Inputs!$E$26))*Months_In_Year-MONTH(Inputs!$E$26)</f>
        <v>174</v>
      </c>
      <c r="AD335" s="54">
        <f>(AD$328+1-YEAR(Inputs!$E$26))*Months_In_Year-MONTH(Inputs!$E$26)</f>
        <v>186</v>
      </c>
      <c r="AE335" s="54">
        <f>(AE$328+1-YEAR(Inputs!$E$26))*Months_In_Year-MONTH(Inputs!$E$26)</f>
        <v>198</v>
      </c>
      <c r="AF335" s="54">
        <f>(AF$328+1-YEAR(Inputs!$E$26))*Months_In_Year-MONTH(Inputs!$E$26)</f>
        <v>210</v>
      </c>
      <c r="AG335" s="54">
        <f>(AG$328+1-YEAR(Inputs!$E$26))*Months_In_Year-MONTH(Inputs!$E$26)</f>
        <v>222</v>
      </c>
      <c r="AH335" s="54">
        <f>(AH$328+1-YEAR(Inputs!$E$26))*Months_In_Year-MONTH(Inputs!$E$26)</f>
        <v>234</v>
      </c>
      <c r="AI335" s="54">
        <f>(AI$328+1-YEAR(Inputs!$E$26))*Months_In_Year-MONTH(Inputs!$E$26)</f>
        <v>246</v>
      </c>
      <c r="AJ335" s="54">
        <f>(AJ$328+1-YEAR(Inputs!$E$26))*Months_In_Year-MONTH(Inputs!$E$26)</f>
        <v>258</v>
      </c>
      <c r="AK335" s="54">
        <f>(AK$328+1-YEAR(Inputs!$E$26))*Months_In_Year-MONTH(Inputs!$E$26)</f>
        <v>270</v>
      </c>
      <c r="AL335" s="54">
        <f>(AL$328+1-YEAR(Inputs!$E$26))*Months_In_Year-MONTH(Inputs!$E$26)</f>
        <v>282</v>
      </c>
      <c r="AM335" s="54">
        <f>(AM$328+1-YEAR(Inputs!$E$26))*Months_In_Year-MONTH(Inputs!$E$26)</f>
        <v>294</v>
      </c>
      <c r="AN335" s="54">
        <f>(AN$328+1-YEAR(Inputs!$E$26))*Months_In_Year-MONTH(Inputs!$E$26)</f>
        <v>306</v>
      </c>
      <c r="AO335" s="54">
        <f>(AO$328+1-YEAR(Inputs!$E$26))*Months_In_Year-MONTH(Inputs!$E$26)</f>
        <v>318</v>
      </c>
      <c r="AP335" s="54">
        <f>(AP$328+1-YEAR(Inputs!$E$26))*Months_In_Year-MONTH(Inputs!$E$26)</f>
        <v>330</v>
      </c>
      <c r="AQ335" s="54">
        <f>(AQ$328+1-YEAR(Inputs!$E$26))*Months_In_Year-MONTH(Inputs!$E$26)</f>
        <v>342</v>
      </c>
      <c r="AR335" s="54">
        <f>(AR$328+1-YEAR(Inputs!$E$26))*Months_In_Year-MONTH(Inputs!$E$26)</f>
        <v>354</v>
      </c>
      <c r="AS335" s="54">
        <f>(AS$328+1-YEAR(Inputs!$E$26))*Months_In_Year-MONTH(Inputs!$E$26)</f>
        <v>366</v>
      </c>
    </row>
    <row r="336" spans="2:45" x14ac:dyDescent="0.3">
      <c r="C336" s="6" t="s">
        <v>273</v>
      </c>
      <c r="D336" s="2" t="s">
        <v>12</v>
      </c>
      <c r="H336" s="60">
        <f>SUM(J336:AS336)</f>
        <v>30</v>
      </c>
      <c r="J336" s="48">
        <f t="shared" ref="J336:AS336" si="39">MAX(0,MIN(J335,$E335)-MAX(J335-Months_In_Year,0))/Months_In_Year</f>
        <v>0</v>
      </c>
      <c r="K336" s="48">
        <f t="shared" si="39"/>
        <v>0</v>
      </c>
      <c r="L336" s="48">
        <f t="shared" si="39"/>
        <v>0</v>
      </c>
      <c r="M336" s="48">
        <f t="shared" si="39"/>
        <v>0</v>
      </c>
      <c r="N336" s="48">
        <f t="shared" si="39"/>
        <v>0</v>
      </c>
      <c r="O336" s="48">
        <f t="shared" si="39"/>
        <v>0.5</v>
      </c>
      <c r="P336" s="48">
        <f t="shared" si="39"/>
        <v>1</v>
      </c>
      <c r="Q336" s="48">
        <f t="shared" si="39"/>
        <v>1</v>
      </c>
      <c r="R336" s="48">
        <f t="shared" si="39"/>
        <v>1</v>
      </c>
      <c r="S336" s="48">
        <f t="shared" si="39"/>
        <v>1</v>
      </c>
      <c r="T336" s="48">
        <f t="shared" si="39"/>
        <v>1</v>
      </c>
      <c r="U336" s="48">
        <f t="shared" si="39"/>
        <v>1</v>
      </c>
      <c r="V336" s="48">
        <f t="shared" si="39"/>
        <v>1</v>
      </c>
      <c r="W336" s="48">
        <f t="shared" si="39"/>
        <v>1</v>
      </c>
      <c r="X336" s="48">
        <f t="shared" si="39"/>
        <v>1</v>
      </c>
      <c r="Y336" s="48">
        <f t="shared" si="39"/>
        <v>1</v>
      </c>
      <c r="Z336" s="48">
        <f t="shared" si="39"/>
        <v>1</v>
      </c>
      <c r="AA336" s="48">
        <f t="shared" si="39"/>
        <v>1</v>
      </c>
      <c r="AB336" s="48">
        <f t="shared" si="39"/>
        <v>1</v>
      </c>
      <c r="AC336" s="48">
        <f t="shared" si="39"/>
        <v>1</v>
      </c>
      <c r="AD336" s="48">
        <f t="shared" si="39"/>
        <v>1</v>
      </c>
      <c r="AE336" s="48">
        <f t="shared" si="39"/>
        <v>1</v>
      </c>
      <c r="AF336" s="48">
        <f t="shared" si="39"/>
        <v>1</v>
      </c>
      <c r="AG336" s="48">
        <f t="shared" si="39"/>
        <v>1</v>
      </c>
      <c r="AH336" s="48">
        <f t="shared" si="39"/>
        <v>1</v>
      </c>
      <c r="AI336" s="48">
        <f t="shared" si="39"/>
        <v>1</v>
      </c>
      <c r="AJ336" s="48">
        <f t="shared" si="39"/>
        <v>1</v>
      </c>
      <c r="AK336" s="48">
        <f t="shared" si="39"/>
        <v>1</v>
      </c>
      <c r="AL336" s="48">
        <f t="shared" si="39"/>
        <v>1</v>
      </c>
      <c r="AM336" s="48">
        <f t="shared" si="39"/>
        <v>1</v>
      </c>
      <c r="AN336" s="48">
        <f t="shared" si="39"/>
        <v>1</v>
      </c>
      <c r="AO336" s="48">
        <f t="shared" si="39"/>
        <v>1</v>
      </c>
      <c r="AP336" s="48">
        <f t="shared" si="39"/>
        <v>1</v>
      </c>
      <c r="AQ336" s="48">
        <f t="shared" si="39"/>
        <v>1</v>
      </c>
      <c r="AR336" s="48">
        <f t="shared" si="39"/>
        <v>1</v>
      </c>
      <c r="AS336" s="48">
        <f t="shared" si="39"/>
        <v>0.5</v>
      </c>
    </row>
    <row r="337" spans="3:45" x14ac:dyDescent="0.3">
      <c r="C337" s="6" t="s">
        <v>274</v>
      </c>
      <c r="D337" s="2" t="s">
        <v>2</v>
      </c>
      <c r="J337" s="61">
        <f t="shared" ref="J337:AS337" si="40">N(J332=0)</f>
        <v>0</v>
      </c>
      <c r="K337" s="61">
        <f t="shared" si="40"/>
        <v>0</v>
      </c>
      <c r="L337" s="61">
        <f t="shared" si="40"/>
        <v>0</v>
      </c>
      <c r="M337" s="61">
        <f t="shared" si="40"/>
        <v>0</v>
      </c>
      <c r="N337" s="61">
        <f t="shared" si="40"/>
        <v>0</v>
      </c>
      <c r="O337" s="61">
        <f t="shared" si="40"/>
        <v>1</v>
      </c>
      <c r="P337" s="61">
        <f t="shared" si="40"/>
        <v>0</v>
      </c>
      <c r="Q337" s="61">
        <f t="shared" si="40"/>
        <v>0</v>
      </c>
      <c r="R337" s="61">
        <f t="shared" si="40"/>
        <v>0</v>
      </c>
      <c r="S337" s="61">
        <f t="shared" si="40"/>
        <v>0</v>
      </c>
      <c r="T337" s="61">
        <f t="shared" si="40"/>
        <v>0</v>
      </c>
      <c r="U337" s="61">
        <f t="shared" si="40"/>
        <v>0</v>
      </c>
      <c r="V337" s="61">
        <f t="shared" si="40"/>
        <v>0</v>
      </c>
      <c r="W337" s="61">
        <f t="shared" si="40"/>
        <v>0</v>
      </c>
      <c r="X337" s="61">
        <f t="shared" si="40"/>
        <v>0</v>
      </c>
      <c r="Y337" s="61">
        <f t="shared" si="40"/>
        <v>0</v>
      </c>
      <c r="Z337" s="61">
        <f t="shared" si="40"/>
        <v>0</v>
      </c>
      <c r="AA337" s="61">
        <f t="shared" si="40"/>
        <v>0</v>
      </c>
      <c r="AB337" s="61">
        <f t="shared" si="40"/>
        <v>0</v>
      </c>
      <c r="AC337" s="61">
        <f t="shared" si="40"/>
        <v>0</v>
      </c>
      <c r="AD337" s="61">
        <f t="shared" si="40"/>
        <v>0</v>
      </c>
      <c r="AE337" s="61">
        <f t="shared" si="40"/>
        <v>0</v>
      </c>
      <c r="AF337" s="61">
        <f t="shared" si="40"/>
        <v>0</v>
      </c>
      <c r="AG337" s="61">
        <f t="shared" si="40"/>
        <v>0</v>
      </c>
      <c r="AH337" s="61">
        <f t="shared" si="40"/>
        <v>0</v>
      </c>
      <c r="AI337" s="61">
        <f t="shared" si="40"/>
        <v>0</v>
      </c>
      <c r="AJ337" s="61">
        <f t="shared" si="40"/>
        <v>0</v>
      </c>
      <c r="AK337" s="61">
        <f t="shared" si="40"/>
        <v>0</v>
      </c>
      <c r="AL337" s="61">
        <f t="shared" si="40"/>
        <v>0</v>
      </c>
      <c r="AM337" s="61">
        <f t="shared" si="40"/>
        <v>0</v>
      </c>
      <c r="AN337" s="61">
        <f t="shared" si="40"/>
        <v>0</v>
      </c>
      <c r="AO337" s="61">
        <f t="shared" si="40"/>
        <v>0</v>
      </c>
      <c r="AP337" s="61">
        <f t="shared" si="40"/>
        <v>0</v>
      </c>
      <c r="AQ337" s="61">
        <f t="shared" si="40"/>
        <v>0</v>
      </c>
      <c r="AR337" s="61">
        <f t="shared" si="40"/>
        <v>0</v>
      </c>
      <c r="AS337" s="61">
        <f t="shared" si="40"/>
        <v>0</v>
      </c>
    </row>
    <row r="338" spans="3:45" x14ac:dyDescent="0.3">
      <c r="C338" s="6" t="s">
        <v>275</v>
      </c>
      <c r="D338" s="2" t="s">
        <v>84</v>
      </c>
      <c r="H338" s="8">
        <f>SUM(J338:AS338)</f>
        <v>-20256.399526027395</v>
      </c>
      <c r="J338" s="8">
        <f t="shared" ref="J338:AS338" si="41">-($E$98+$E$68+$E$62+$E$63+$E$92)*(J$328=YEAR(Sale_Date))</f>
        <v>0</v>
      </c>
      <c r="K338" s="8">
        <f t="shared" si="41"/>
        <v>0</v>
      </c>
      <c r="L338" s="8">
        <f t="shared" si="41"/>
        <v>0</v>
      </c>
      <c r="M338" s="8">
        <f t="shared" si="41"/>
        <v>-20256.399526027395</v>
      </c>
      <c r="N338" s="8">
        <f t="shared" si="41"/>
        <v>0</v>
      </c>
      <c r="O338" s="8">
        <f t="shared" si="41"/>
        <v>0</v>
      </c>
      <c r="P338" s="8">
        <f t="shared" si="41"/>
        <v>0</v>
      </c>
      <c r="Q338" s="8">
        <f t="shared" si="41"/>
        <v>0</v>
      </c>
      <c r="R338" s="8">
        <f t="shared" si="41"/>
        <v>0</v>
      </c>
      <c r="S338" s="8">
        <f t="shared" si="41"/>
        <v>0</v>
      </c>
      <c r="T338" s="8">
        <f t="shared" si="41"/>
        <v>0</v>
      </c>
      <c r="U338" s="8">
        <f t="shared" si="41"/>
        <v>0</v>
      </c>
      <c r="V338" s="8">
        <f t="shared" si="41"/>
        <v>0</v>
      </c>
      <c r="W338" s="8">
        <f t="shared" si="41"/>
        <v>0</v>
      </c>
      <c r="X338" s="8">
        <f t="shared" si="41"/>
        <v>0</v>
      </c>
      <c r="Y338" s="8">
        <f t="shared" si="41"/>
        <v>0</v>
      </c>
      <c r="Z338" s="8">
        <f t="shared" si="41"/>
        <v>0</v>
      </c>
      <c r="AA338" s="8">
        <f t="shared" si="41"/>
        <v>0</v>
      </c>
      <c r="AB338" s="8">
        <f t="shared" si="41"/>
        <v>0</v>
      </c>
      <c r="AC338" s="8">
        <f t="shared" si="41"/>
        <v>0</v>
      </c>
      <c r="AD338" s="8">
        <f t="shared" si="41"/>
        <v>0</v>
      </c>
      <c r="AE338" s="8">
        <f t="shared" si="41"/>
        <v>0</v>
      </c>
      <c r="AF338" s="8">
        <f t="shared" si="41"/>
        <v>0</v>
      </c>
      <c r="AG338" s="8">
        <f t="shared" si="41"/>
        <v>0</v>
      </c>
      <c r="AH338" s="8">
        <f t="shared" si="41"/>
        <v>0</v>
      </c>
      <c r="AI338" s="8">
        <f t="shared" si="41"/>
        <v>0</v>
      </c>
      <c r="AJ338" s="8">
        <f t="shared" si="41"/>
        <v>0</v>
      </c>
      <c r="AK338" s="8">
        <f t="shared" si="41"/>
        <v>0</v>
      </c>
      <c r="AL338" s="8">
        <f t="shared" si="41"/>
        <v>0</v>
      </c>
      <c r="AM338" s="8">
        <f t="shared" si="41"/>
        <v>0</v>
      </c>
      <c r="AN338" s="8">
        <f t="shared" si="41"/>
        <v>0</v>
      </c>
      <c r="AO338" s="8">
        <f t="shared" si="41"/>
        <v>0</v>
      </c>
      <c r="AP338" s="8">
        <f t="shared" si="41"/>
        <v>0</v>
      </c>
      <c r="AQ338" s="8">
        <f t="shared" si="41"/>
        <v>0</v>
      </c>
      <c r="AR338" s="8">
        <f t="shared" si="41"/>
        <v>0</v>
      </c>
      <c r="AS338" s="8">
        <f t="shared" si="41"/>
        <v>0</v>
      </c>
    </row>
    <row r="339" spans="3:45" x14ac:dyDescent="0.3">
      <c r="C339" s="6" t="s">
        <v>276</v>
      </c>
      <c r="D339" s="2" t="s">
        <v>84</v>
      </c>
      <c r="H339" s="8">
        <f>SUM(J339:AS339)</f>
        <v>1942.4657534246576</v>
      </c>
      <c r="J339" s="8">
        <f>($E$62+$E$63)*(J$328=YEAR(Inputs!$E$27))</f>
        <v>0</v>
      </c>
      <c r="K339" s="8">
        <f>($E$62+$E$63)*(K$328=YEAR(Inputs!$E$27))</f>
        <v>0</v>
      </c>
      <c r="L339" s="8">
        <f>($E$62+$E$63)*(L$328=YEAR(Inputs!$E$27))</f>
        <v>0</v>
      </c>
      <c r="M339" s="8">
        <f>($E$62+$E$63)*(M$328=YEAR(Inputs!$E$27))</f>
        <v>0</v>
      </c>
      <c r="N339" s="8">
        <f>($E$62+$E$63)*(N$328=YEAR(Inputs!$E$27))</f>
        <v>0</v>
      </c>
      <c r="O339" s="8">
        <f>($E$62+$E$63)*(O$328=YEAR(Inputs!$E$27))</f>
        <v>0</v>
      </c>
      <c r="P339" s="8">
        <f>($E$62+$E$63)*(P$328=YEAR(Inputs!$E$27))</f>
        <v>0</v>
      </c>
      <c r="Q339" s="8">
        <f>($E$62+$E$63)*(Q$328=YEAR(Inputs!$E$27))</f>
        <v>1942.4657534246576</v>
      </c>
      <c r="R339" s="8">
        <f>($E$62+$E$63)*(R$328=YEAR(Inputs!$E$27))</f>
        <v>0</v>
      </c>
      <c r="S339" s="8">
        <f>($E$62+$E$63)*(S$328=YEAR(Inputs!$E$27))</f>
        <v>0</v>
      </c>
      <c r="T339" s="8">
        <f>($E$62+$E$63)*(T$328=YEAR(Inputs!$E$27))</f>
        <v>0</v>
      </c>
      <c r="U339" s="8">
        <f>($E$62+$E$63)*(U$328=YEAR(Inputs!$E$27))</f>
        <v>0</v>
      </c>
      <c r="V339" s="8">
        <f>($E$62+$E$63)*(V$328=YEAR(Inputs!$E$27))</f>
        <v>0</v>
      </c>
      <c r="W339" s="8">
        <f>($E$62+$E$63)*(W$328=YEAR(Inputs!$E$27))</f>
        <v>0</v>
      </c>
      <c r="X339" s="8">
        <f>($E$62+$E$63)*(X$328=YEAR(Inputs!$E$27))</f>
        <v>0</v>
      </c>
      <c r="Y339" s="8">
        <f>($E$62+$E$63)*(Y$328=YEAR(Inputs!$E$27))</f>
        <v>0</v>
      </c>
      <c r="Z339" s="8">
        <f>($E$62+$E$63)*(Z$328=YEAR(Inputs!$E$27))</f>
        <v>0</v>
      </c>
      <c r="AA339" s="8">
        <f>($E$62+$E$63)*(AA$328=YEAR(Inputs!$E$27))</f>
        <v>0</v>
      </c>
      <c r="AB339" s="8">
        <f>($E$62+$E$63)*(AB$328=YEAR(Inputs!$E$27))</f>
        <v>0</v>
      </c>
      <c r="AC339" s="8">
        <f>($E$62+$E$63)*(AC$328=YEAR(Inputs!$E$27))</f>
        <v>0</v>
      </c>
      <c r="AD339" s="8">
        <f>($E$62+$E$63)*(AD$328=YEAR(Inputs!$E$27))</f>
        <v>0</v>
      </c>
      <c r="AE339" s="8">
        <f>($E$62+$E$63)*(AE$328=YEAR(Inputs!$E$27))</f>
        <v>0</v>
      </c>
      <c r="AF339" s="8">
        <f>($E$62+$E$63)*(AF$328=YEAR(Inputs!$E$27))</f>
        <v>0</v>
      </c>
      <c r="AG339" s="8">
        <f>($E$62+$E$63)*(AG$328=YEAR(Inputs!$E$27))</f>
        <v>0</v>
      </c>
      <c r="AH339" s="8">
        <f>($E$62+$E$63)*(AH$328=YEAR(Inputs!$E$27))</f>
        <v>0</v>
      </c>
      <c r="AI339" s="8">
        <f>($E$62+$E$63)*(AI$328=YEAR(Inputs!$E$27))</f>
        <v>0</v>
      </c>
      <c r="AJ339" s="8">
        <f>($E$62+$E$63)*(AJ$328=YEAR(Inputs!$E$27))</f>
        <v>0</v>
      </c>
      <c r="AK339" s="8">
        <f>($E$62+$E$63)*(AK$328=YEAR(Inputs!$E$27))</f>
        <v>0</v>
      </c>
      <c r="AL339" s="8">
        <f>($E$62+$E$63)*(AL$328=YEAR(Inputs!$E$27))</f>
        <v>0</v>
      </c>
      <c r="AM339" s="8">
        <f>($E$62+$E$63)*(AM$328=YEAR(Inputs!$E$27))</f>
        <v>0</v>
      </c>
      <c r="AN339" s="8">
        <f>($E$62+$E$63)*(AN$328=YEAR(Inputs!$E$27))</f>
        <v>0</v>
      </c>
      <c r="AO339" s="8">
        <f>($E$62+$E$63)*(AO$328=YEAR(Inputs!$E$27))</f>
        <v>0</v>
      </c>
      <c r="AP339" s="8">
        <f>($E$62+$E$63)*(AP$328=YEAR(Inputs!$E$27))</f>
        <v>0</v>
      </c>
      <c r="AQ339" s="8">
        <f>($E$62+$E$63)*(AQ$328=YEAR(Inputs!$E$27))</f>
        <v>0</v>
      </c>
      <c r="AR339" s="8">
        <f>($E$62+$E$63)*(AR$328=YEAR(Inputs!$E$27))</f>
        <v>0</v>
      </c>
      <c r="AS339" s="8">
        <f>($E$62+$E$63)*(AS$328=YEAR(Inputs!$E$27))</f>
        <v>0</v>
      </c>
    </row>
    <row r="340" spans="3:45" x14ac:dyDescent="0.3">
      <c r="C340" s="6" t="s">
        <v>277</v>
      </c>
      <c r="D340" s="2" t="s">
        <v>84</v>
      </c>
      <c r="H340" s="8">
        <f>SUM(J340:AS340)</f>
        <v>-52778</v>
      </c>
      <c r="J340" s="8">
        <f t="shared" ref="J340:AS340" si="42">-$E$91*J334</f>
        <v>0</v>
      </c>
      <c r="K340" s="8">
        <f t="shared" si="42"/>
        <v>0</v>
      </c>
      <c r="L340" s="8">
        <f t="shared" si="42"/>
        <v>0</v>
      </c>
      <c r="M340" s="8">
        <f t="shared" si="42"/>
        <v>-13194.5</v>
      </c>
      <c r="N340" s="8">
        <f t="shared" si="42"/>
        <v>-26389</v>
      </c>
      <c r="O340" s="8">
        <f t="shared" si="42"/>
        <v>-13194.5</v>
      </c>
      <c r="P340" s="8">
        <f t="shared" si="42"/>
        <v>0</v>
      </c>
      <c r="Q340" s="8">
        <f t="shared" si="42"/>
        <v>0</v>
      </c>
      <c r="R340" s="8">
        <f t="shared" si="42"/>
        <v>0</v>
      </c>
      <c r="S340" s="8">
        <f t="shared" si="42"/>
        <v>0</v>
      </c>
      <c r="T340" s="8">
        <f t="shared" si="42"/>
        <v>0</v>
      </c>
      <c r="U340" s="8">
        <f t="shared" si="42"/>
        <v>0</v>
      </c>
      <c r="V340" s="8">
        <f t="shared" si="42"/>
        <v>0</v>
      </c>
      <c r="W340" s="8">
        <f t="shared" si="42"/>
        <v>0</v>
      </c>
      <c r="X340" s="8">
        <f t="shared" si="42"/>
        <v>0</v>
      </c>
      <c r="Y340" s="8">
        <f t="shared" si="42"/>
        <v>0</v>
      </c>
      <c r="Z340" s="8">
        <f t="shared" si="42"/>
        <v>0</v>
      </c>
      <c r="AA340" s="8">
        <f t="shared" si="42"/>
        <v>0</v>
      </c>
      <c r="AB340" s="8">
        <f t="shared" si="42"/>
        <v>0</v>
      </c>
      <c r="AC340" s="8">
        <f t="shared" si="42"/>
        <v>0</v>
      </c>
      <c r="AD340" s="8">
        <f t="shared" si="42"/>
        <v>0</v>
      </c>
      <c r="AE340" s="8">
        <f t="shared" si="42"/>
        <v>0</v>
      </c>
      <c r="AF340" s="8">
        <f t="shared" si="42"/>
        <v>0</v>
      </c>
      <c r="AG340" s="8">
        <f t="shared" si="42"/>
        <v>0</v>
      </c>
      <c r="AH340" s="8">
        <f t="shared" si="42"/>
        <v>0</v>
      </c>
      <c r="AI340" s="8">
        <f t="shared" si="42"/>
        <v>0</v>
      </c>
      <c r="AJ340" s="8">
        <f t="shared" si="42"/>
        <v>0</v>
      </c>
      <c r="AK340" s="8">
        <f t="shared" si="42"/>
        <v>0</v>
      </c>
      <c r="AL340" s="8">
        <f t="shared" si="42"/>
        <v>0</v>
      </c>
      <c r="AM340" s="8">
        <f t="shared" si="42"/>
        <v>0</v>
      </c>
      <c r="AN340" s="8">
        <f t="shared" si="42"/>
        <v>0</v>
      </c>
      <c r="AO340" s="8">
        <f t="shared" si="42"/>
        <v>0</v>
      </c>
      <c r="AP340" s="8">
        <f t="shared" si="42"/>
        <v>0</v>
      </c>
      <c r="AQ340" s="8">
        <f t="shared" si="42"/>
        <v>0</v>
      </c>
      <c r="AR340" s="8">
        <f t="shared" si="42"/>
        <v>0</v>
      </c>
      <c r="AS340" s="8">
        <f t="shared" si="42"/>
        <v>0</v>
      </c>
    </row>
    <row r="341" spans="3:45" x14ac:dyDescent="0.3">
      <c r="C341" s="6" t="s">
        <v>278</v>
      </c>
      <c r="D341" s="2" t="s">
        <v>84</v>
      </c>
      <c r="H341" s="8">
        <f>SUM(J341:AS341)</f>
        <v>-1000</v>
      </c>
      <c r="J341" s="8">
        <f t="shared" ref="J341:AS341" si="43">-$E$96*J337</f>
        <v>0</v>
      </c>
      <c r="K341" s="8">
        <f t="shared" si="43"/>
        <v>0</v>
      </c>
      <c r="L341" s="8">
        <f t="shared" si="43"/>
        <v>0</v>
      </c>
      <c r="M341" s="8">
        <f t="shared" si="43"/>
        <v>0</v>
      </c>
      <c r="N341" s="8">
        <f t="shared" si="43"/>
        <v>0</v>
      </c>
      <c r="O341" s="8">
        <f t="shared" si="43"/>
        <v>-1000</v>
      </c>
      <c r="P341" s="8">
        <f t="shared" si="43"/>
        <v>0</v>
      </c>
      <c r="Q341" s="8">
        <f t="shared" si="43"/>
        <v>0</v>
      </c>
      <c r="R341" s="8">
        <f t="shared" si="43"/>
        <v>0</v>
      </c>
      <c r="S341" s="8">
        <f t="shared" si="43"/>
        <v>0</v>
      </c>
      <c r="T341" s="8">
        <f t="shared" si="43"/>
        <v>0</v>
      </c>
      <c r="U341" s="8">
        <f t="shared" si="43"/>
        <v>0</v>
      </c>
      <c r="V341" s="8">
        <f t="shared" si="43"/>
        <v>0</v>
      </c>
      <c r="W341" s="8">
        <f t="shared" si="43"/>
        <v>0</v>
      </c>
      <c r="X341" s="8">
        <f t="shared" si="43"/>
        <v>0</v>
      </c>
      <c r="Y341" s="8">
        <f t="shared" si="43"/>
        <v>0</v>
      </c>
      <c r="Z341" s="8">
        <f t="shared" si="43"/>
        <v>0</v>
      </c>
      <c r="AA341" s="8">
        <f t="shared" si="43"/>
        <v>0</v>
      </c>
      <c r="AB341" s="8">
        <f t="shared" si="43"/>
        <v>0</v>
      </c>
      <c r="AC341" s="8">
        <f t="shared" si="43"/>
        <v>0</v>
      </c>
      <c r="AD341" s="8">
        <f t="shared" si="43"/>
        <v>0</v>
      </c>
      <c r="AE341" s="8">
        <f t="shared" si="43"/>
        <v>0</v>
      </c>
      <c r="AF341" s="8">
        <f t="shared" si="43"/>
        <v>0</v>
      </c>
      <c r="AG341" s="8">
        <f t="shared" si="43"/>
        <v>0</v>
      </c>
      <c r="AH341" s="8">
        <f t="shared" si="43"/>
        <v>0</v>
      </c>
      <c r="AI341" s="8">
        <f t="shared" si="43"/>
        <v>0</v>
      </c>
      <c r="AJ341" s="8">
        <f t="shared" si="43"/>
        <v>0</v>
      </c>
      <c r="AK341" s="8">
        <f t="shared" si="43"/>
        <v>0</v>
      </c>
      <c r="AL341" s="8">
        <f t="shared" si="43"/>
        <v>0</v>
      </c>
      <c r="AM341" s="8">
        <f t="shared" si="43"/>
        <v>0</v>
      </c>
      <c r="AN341" s="8">
        <f t="shared" si="43"/>
        <v>0</v>
      </c>
      <c r="AO341" s="8">
        <f t="shared" si="43"/>
        <v>0</v>
      </c>
      <c r="AP341" s="8">
        <f t="shared" si="43"/>
        <v>0</v>
      </c>
      <c r="AQ341" s="8">
        <f t="shared" si="43"/>
        <v>0</v>
      </c>
      <c r="AR341" s="8">
        <f t="shared" si="43"/>
        <v>0</v>
      </c>
      <c r="AS341" s="8">
        <f t="shared" si="43"/>
        <v>0</v>
      </c>
    </row>
    <row r="342" spans="3:45" x14ac:dyDescent="0.3">
      <c r="C342" s="1" t="s">
        <v>279</v>
      </c>
      <c r="D342" s="2" t="s">
        <v>84</v>
      </c>
      <c r="H342" s="15">
        <f>SUM(J342:AS342)</f>
        <v>-72091.933772602744</v>
      </c>
      <c r="J342" s="15">
        <f t="shared" ref="J342:AS342" si="44">SUM(J338:J341)</f>
        <v>0</v>
      </c>
      <c r="K342" s="15">
        <f t="shared" si="44"/>
        <v>0</v>
      </c>
      <c r="L342" s="15">
        <f t="shared" si="44"/>
        <v>0</v>
      </c>
      <c r="M342" s="15">
        <f t="shared" si="44"/>
        <v>-33450.899526027395</v>
      </c>
      <c r="N342" s="15">
        <f t="shared" si="44"/>
        <v>-26389</v>
      </c>
      <c r="O342" s="15">
        <f t="shared" si="44"/>
        <v>-14194.5</v>
      </c>
      <c r="P342" s="15">
        <f t="shared" si="44"/>
        <v>0</v>
      </c>
      <c r="Q342" s="15">
        <f t="shared" si="44"/>
        <v>1942.4657534246576</v>
      </c>
      <c r="R342" s="15">
        <f t="shared" si="44"/>
        <v>0</v>
      </c>
      <c r="S342" s="15">
        <f t="shared" si="44"/>
        <v>0</v>
      </c>
      <c r="T342" s="15">
        <f t="shared" si="44"/>
        <v>0</v>
      </c>
      <c r="U342" s="15">
        <f t="shared" si="44"/>
        <v>0</v>
      </c>
      <c r="V342" s="15">
        <f t="shared" si="44"/>
        <v>0</v>
      </c>
      <c r="W342" s="15">
        <f t="shared" si="44"/>
        <v>0</v>
      </c>
      <c r="X342" s="15">
        <f t="shared" si="44"/>
        <v>0</v>
      </c>
      <c r="Y342" s="15">
        <f t="shared" si="44"/>
        <v>0</v>
      </c>
      <c r="Z342" s="15">
        <f t="shared" si="44"/>
        <v>0</v>
      </c>
      <c r="AA342" s="15">
        <f t="shared" si="44"/>
        <v>0</v>
      </c>
      <c r="AB342" s="15">
        <f t="shared" si="44"/>
        <v>0</v>
      </c>
      <c r="AC342" s="15">
        <f t="shared" si="44"/>
        <v>0</v>
      </c>
      <c r="AD342" s="15">
        <f t="shared" si="44"/>
        <v>0</v>
      </c>
      <c r="AE342" s="15">
        <f t="shared" si="44"/>
        <v>0</v>
      </c>
      <c r="AF342" s="15">
        <f t="shared" si="44"/>
        <v>0</v>
      </c>
      <c r="AG342" s="15">
        <f t="shared" si="44"/>
        <v>0</v>
      </c>
      <c r="AH342" s="15">
        <f t="shared" si="44"/>
        <v>0</v>
      </c>
      <c r="AI342" s="15">
        <f t="shared" si="44"/>
        <v>0</v>
      </c>
      <c r="AJ342" s="15">
        <f t="shared" si="44"/>
        <v>0</v>
      </c>
      <c r="AK342" s="15">
        <f t="shared" si="44"/>
        <v>0</v>
      </c>
      <c r="AL342" s="15">
        <f t="shared" si="44"/>
        <v>0</v>
      </c>
      <c r="AM342" s="15">
        <f t="shared" si="44"/>
        <v>0</v>
      </c>
      <c r="AN342" s="15">
        <f t="shared" si="44"/>
        <v>0</v>
      </c>
      <c r="AO342" s="15">
        <f t="shared" si="44"/>
        <v>0</v>
      </c>
      <c r="AP342" s="15">
        <f t="shared" si="44"/>
        <v>0</v>
      </c>
      <c r="AQ342" s="15">
        <f t="shared" si="44"/>
        <v>0</v>
      </c>
      <c r="AR342" s="15">
        <f t="shared" si="44"/>
        <v>0</v>
      </c>
      <c r="AS342" s="15">
        <f t="shared" si="44"/>
        <v>0</v>
      </c>
    </row>
    <row r="343" spans="3:45" x14ac:dyDescent="0.3">
      <c r="C343" s="6" t="s">
        <v>280</v>
      </c>
      <c r="D343" s="2" t="s">
        <v>3</v>
      </c>
      <c r="J343" s="62">
        <f t="shared" ref="J343:AS343" si="45">(1-Degradation)^MAX(J332-1,0)</f>
        <v>1</v>
      </c>
      <c r="K343" s="62">
        <f t="shared" si="45"/>
        <v>1</v>
      </c>
      <c r="L343" s="62">
        <f t="shared" si="45"/>
        <v>1</v>
      </c>
      <c r="M343" s="62">
        <f t="shared" si="45"/>
        <v>1</v>
      </c>
      <c r="N343" s="62">
        <f t="shared" si="45"/>
        <v>1</v>
      </c>
      <c r="O343" s="62">
        <f t="shared" si="45"/>
        <v>1</v>
      </c>
      <c r="P343" s="62">
        <f t="shared" si="45"/>
        <v>1</v>
      </c>
      <c r="Q343" s="62">
        <f t="shared" si="45"/>
        <v>0.997</v>
      </c>
      <c r="R343" s="62">
        <f t="shared" si="45"/>
        <v>0.99400900000000003</v>
      </c>
      <c r="S343" s="62">
        <f t="shared" si="45"/>
        <v>0.99102697299999998</v>
      </c>
      <c r="T343" s="62">
        <f t="shared" si="45"/>
        <v>0.98805389208100003</v>
      </c>
      <c r="U343" s="62">
        <f t="shared" si="45"/>
        <v>0.985089730404757</v>
      </c>
      <c r="V343" s="62">
        <f t="shared" si="45"/>
        <v>0.98213446121354275</v>
      </c>
      <c r="W343" s="62">
        <f t="shared" si="45"/>
        <v>0.97918805782990215</v>
      </c>
      <c r="X343" s="62">
        <f t="shared" si="45"/>
        <v>0.97625049365641248</v>
      </c>
      <c r="Y343" s="62">
        <f t="shared" si="45"/>
        <v>0.97332174217544321</v>
      </c>
      <c r="Z343" s="62">
        <f t="shared" si="45"/>
        <v>0.97040177694891694</v>
      </c>
      <c r="AA343" s="62">
        <f t="shared" si="45"/>
        <v>0.96749057161807017</v>
      </c>
      <c r="AB343" s="62">
        <f t="shared" si="45"/>
        <v>0.96458809990321592</v>
      </c>
      <c r="AC343" s="62">
        <f t="shared" si="45"/>
        <v>0.96169433560350626</v>
      </c>
      <c r="AD343" s="62">
        <f t="shared" si="45"/>
        <v>0.9588092525966958</v>
      </c>
      <c r="AE343" s="62">
        <f t="shared" si="45"/>
        <v>0.95593282483890574</v>
      </c>
      <c r="AF343" s="62">
        <f t="shared" si="45"/>
        <v>0.95306502636438906</v>
      </c>
      <c r="AG343" s="62">
        <f t="shared" si="45"/>
        <v>0.9502058312852959</v>
      </c>
      <c r="AH343" s="62">
        <f t="shared" si="45"/>
        <v>0.94735521379144005</v>
      </c>
      <c r="AI343" s="62">
        <f t="shared" si="45"/>
        <v>0.94451314815006571</v>
      </c>
      <c r="AJ343" s="62">
        <f t="shared" si="45"/>
        <v>0.94167960870561551</v>
      </c>
      <c r="AK343" s="62">
        <f t="shared" si="45"/>
        <v>0.93885456987949867</v>
      </c>
      <c r="AL343" s="62">
        <f t="shared" si="45"/>
        <v>0.93603800616986021</v>
      </c>
      <c r="AM343" s="62">
        <f t="shared" si="45"/>
        <v>0.93322989215135066</v>
      </c>
      <c r="AN343" s="62">
        <f t="shared" si="45"/>
        <v>0.93043020247489661</v>
      </c>
      <c r="AO343" s="62">
        <f t="shared" si="45"/>
        <v>0.92763891186747183</v>
      </c>
      <c r="AP343" s="62">
        <f t="shared" si="45"/>
        <v>0.92485599513186956</v>
      </c>
      <c r="AQ343" s="62">
        <f t="shared" si="45"/>
        <v>0.9220814271464739</v>
      </c>
      <c r="AR343" s="62">
        <f t="shared" si="45"/>
        <v>0.91931518286503444</v>
      </c>
      <c r="AS343" s="62">
        <f t="shared" si="45"/>
        <v>0.91655723731643934</v>
      </c>
    </row>
    <row r="344" spans="3:45" x14ac:dyDescent="0.3">
      <c r="C344" s="6" t="s">
        <v>281</v>
      </c>
      <c r="D344" s="2" t="s">
        <v>282</v>
      </c>
      <c r="H344" s="17">
        <f>SUM(J344:AS344)</f>
        <v>3654.3418517697769</v>
      </c>
      <c r="J344" s="17">
        <f t="shared" ref="J344:AS344" si="46">$E$46*$E$22*(1-Curtailment)*(1-Clipping)*J336*J343/Thousand</f>
        <v>0</v>
      </c>
      <c r="K344" s="17">
        <f t="shared" si="46"/>
        <v>0</v>
      </c>
      <c r="L344" s="17">
        <f t="shared" si="46"/>
        <v>0</v>
      </c>
      <c r="M344" s="17">
        <f t="shared" si="46"/>
        <v>0</v>
      </c>
      <c r="N344" s="17">
        <f t="shared" si="46"/>
        <v>0</v>
      </c>
      <c r="O344" s="17">
        <f t="shared" si="46"/>
        <v>63.503999999999998</v>
      </c>
      <c r="P344" s="17">
        <f t="shared" si="46"/>
        <v>127.008</v>
      </c>
      <c r="Q344" s="17">
        <f t="shared" si="46"/>
        <v>126.626976</v>
      </c>
      <c r="R344" s="17">
        <f t="shared" si="46"/>
        <v>126.24709507200001</v>
      </c>
      <c r="S344" s="17">
        <f t="shared" si="46"/>
        <v>125.86835378678398</v>
      </c>
      <c r="T344" s="17">
        <f t="shared" si="46"/>
        <v>125.49074872542364</v>
      </c>
      <c r="U344" s="17">
        <f t="shared" si="46"/>
        <v>125.11427647924738</v>
      </c>
      <c r="V344" s="17">
        <f t="shared" si="46"/>
        <v>124.73893364980964</v>
      </c>
      <c r="W344" s="17">
        <f t="shared" si="46"/>
        <v>124.36471684886021</v>
      </c>
      <c r="X344" s="17">
        <f t="shared" si="46"/>
        <v>123.99162269831363</v>
      </c>
      <c r="Y344" s="17">
        <f t="shared" si="46"/>
        <v>123.61964783021868</v>
      </c>
      <c r="Z344" s="17">
        <f t="shared" si="46"/>
        <v>123.24878888672804</v>
      </c>
      <c r="AA344" s="17">
        <f t="shared" si="46"/>
        <v>122.87904252006786</v>
      </c>
      <c r="AB344" s="17">
        <f t="shared" si="46"/>
        <v>122.51040539250765</v>
      </c>
      <c r="AC344" s="17">
        <f t="shared" si="46"/>
        <v>122.14287417633012</v>
      </c>
      <c r="AD344" s="17">
        <f t="shared" si="46"/>
        <v>121.77644555380114</v>
      </c>
      <c r="AE344" s="17">
        <f t="shared" si="46"/>
        <v>121.41111621713975</v>
      </c>
      <c r="AF344" s="17">
        <f t="shared" si="46"/>
        <v>121.04688286848832</v>
      </c>
      <c r="AG344" s="17">
        <f t="shared" si="46"/>
        <v>120.68374221988286</v>
      </c>
      <c r="AH344" s="17">
        <f t="shared" si="46"/>
        <v>120.32169099322323</v>
      </c>
      <c r="AI344" s="17">
        <f t="shared" si="46"/>
        <v>119.96072592024355</v>
      </c>
      <c r="AJ344" s="17">
        <f t="shared" si="46"/>
        <v>119.60084374248281</v>
      </c>
      <c r="AK344" s="17">
        <f t="shared" si="46"/>
        <v>119.24204121125535</v>
      </c>
      <c r="AL344" s="17">
        <f t="shared" si="46"/>
        <v>118.88431508762162</v>
      </c>
      <c r="AM344" s="17">
        <f t="shared" si="46"/>
        <v>118.52766214235875</v>
      </c>
      <c r="AN344" s="17">
        <f t="shared" si="46"/>
        <v>118.17207915593167</v>
      </c>
      <c r="AO344" s="17">
        <f t="shared" si="46"/>
        <v>117.81756291846386</v>
      </c>
      <c r="AP344" s="17">
        <f t="shared" si="46"/>
        <v>117.46411022970848</v>
      </c>
      <c r="AQ344" s="17">
        <f t="shared" si="46"/>
        <v>117.11171789901935</v>
      </c>
      <c r="AR344" s="17">
        <f t="shared" si="46"/>
        <v>116.76038274532229</v>
      </c>
      <c r="AS344" s="17">
        <f t="shared" si="46"/>
        <v>58.205050798543162</v>
      </c>
    </row>
    <row r="345" spans="3:45" x14ac:dyDescent="0.3">
      <c r="C345" s="6" t="s">
        <v>283</v>
      </c>
      <c r="D345" s="2" t="s">
        <v>20</v>
      </c>
      <c r="J345" s="17">
        <f t="shared" ref="J345:AS345" si="47">Case_PPA*(1+PPA_Esc)^J332*(J336&gt;0)</f>
        <v>0</v>
      </c>
      <c r="K345" s="17">
        <f t="shared" si="47"/>
        <v>0</v>
      </c>
      <c r="L345" s="17">
        <f t="shared" si="47"/>
        <v>0</v>
      </c>
      <c r="M345" s="17">
        <f t="shared" si="47"/>
        <v>0</v>
      </c>
      <c r="N345" s="17">
        <f t="shared" si="47"/>
        <v>0</v>
      </c>
      <c r="O345" s="17">
        <f t="shared" si="47"/>
        <v>90</v>
      </c>
      <c r="P345" s="17">
        <f t="shared" si="47"/>
        <v>90.9</v>
      </c>
      <c r="Q345" s="17">
        <f t="shared" si="47"/>
        <v>91.808999999999997</v>
      </c>
      <c r="R345" s="17">
        <f t="shared" si="47"/>
        <v>92.72708999999999</v>
      </c>
      <c r="S345" s="17">
        <f t="shared" si="47"/>
        <v>93.6543609</v>
      </c>
      <c r="T345" s="17">
        <f t="shared" si="47"/>
        <v>94.590904508999998</v>
      </c>
      <c r="U345" s="17">
        <f t="shared" si="47"/>
        <v>95.536813554090017</v>
      </c>
      <c r="V345" s="17">
        <f t="shared" si="47"/>
        <v>96.492181689630883</v>
      </c>
      <c r="W345" s="17">
        <f t="shared" si="47"/>
        <v>97.457103506527218</v>
      </c>
      <c r="X345" s="17">
        <f t="shared" si="47"/>
        <v>98.4316745415925</v>
      </c>
      <c r="Y345" s="17">
        <f t="shared" si="47"/>
        <v>99.415991287008424</v>
      </c>
      <c r="Z345" s="17">
        <f t="shared" si="47"/>
        <v>100.41015119987848</v>
      </c>
      <c r="AA345" s="17">
        <f t="shared" si="47"/>
        <v>101.41425271187728</v>
      </c>
      <c r="AB345" s="17">
        <f t="shared" si="47"/>
        <v>102.42839523899606</v>
      </c>
      <c r="AC345" s="17">
        <f t="shared" si="47"/>
        <v>103.45267919138603</v>
      </c>
      <c r="AD345" s="17">
        <f t="shared" si="47"/>
        <v>104.48720598329986</v>
      </c>
      <c r="AE345" s="17">
        <f t="shared" si="47"/>
        <v>105.53207804313288</v>
      </c>
      <c r="AF345" s="17">
        <f t="shared" si="47"/>
        <v>106.58739882356423</v>
      </c>
      <c r="AG345" s="17">
        <f t="shared" si="47"/>
        <v>107.65327281179987</v>
      </c>
      <c r="AH345" s="17">
        <f t="shared" si="47"/>
        <v>108.72980553991785</v>
      </c>
      <c r="AI345" s="17">
        <f t="shared" si="47"/>
        <v>109.81710359531704</v>
      </c>
      <c r="AJ345" s="17">
        <f t="shared" si="47"/>
        <v>110.91527463127019</v>
      </c>
      <c r="AK345" s="17">
        <f t="shared" si="47"/>
        <v>112.02442737758292</v>
      </c>
      <c r="AL345" s="17">
        <f t="shared" si="47"/>
        <v>113.14467165135873</v>
      </c>
      <c r="AM345" s="17">
        <f t="shared" si="47"/>
        <v>114.27611836787234</v>
      </c>
      <c r="AN345" s="17">
        <f t="shared" si="47"/>
        <v>115.41887955155109</v>
      </c>
      <c r="AO345" s="17">
        <f t="shared" si="47"/>
        <v>116.5730683470666</v>
      </c>
      <c r="AP345" s="17">
        <f t="shared" si="47"/>
        <v>117.73879903053722</v>
      </c>
      <c r="AQ345" s="17">
        <f t="shared" si="47"/>
        <v>118.9161870208426</v>
      </c>
      <c r="AR345" s="17">
        <f t="shared" si="47"/>
        <v>120.10534889105104</v>
      </c>
      <c r="AS345" s="17">
        <f t="shared" si="47"/>
        <v>121.30640237996157</v>
      </c>
    </row>
    <row r="346" spans="3:45" x14ac:dyDescent="0.3">
      <c r="C346" s="1" t="s">
        <v>149</v>
      </c>
      <c r="D346" s="2" t="s">
        <v>84</v>
      </c>
      <c r="H346" s="32">
        <f>SUM(J346:AS346)</f>
        <v>382397.73062524654</v>
      </c>
      <c r="J346" s="32">
        <f t="shared" ref="J346:AS346" si="48">J344*J345</f>
        <v>0</v>
      </c>
      <c r="K346" s="32">
        <f t="shared" si="48"/>
        <v>0</v>
      </c>
      <c r="L346" s="32">
        <f t="shared" si="48"/>
        <v>0</v>
      </c>
      <c r="M346" s="32">
        <f t="shared" si="48"/>
        <v>0</v>
      </c>
      <c r="N346" s="32">
        <f t="shared" si="48"/>
        <v>0</v>
      </c>
      <c r="O346" s="32">
        <f t="shared" si="48"/>
        <v>5715.36</v>
      </c>
      <c r="P346" s="32">
        <f t="shared" si="48"/>
        <v>11545.0272</v>
      </c>
      <c r="Q346" s="32">
        <f t="shared" si="48"/>
        <v>11625.496039583999</v>
      </c>
      <c r="R346" s="32">
        <f t="shared" si="48"/>
        <v>11706.5257469799</v>
      </c>
      <c r="S346" s="32">
        <f t="shared" si="48"/>
        <v>11788.120231436349</v>
      </c>
      <c r="T346" s="32">
        <f t="shared" si="48"/>
        <v>11870.283429449461</v>
      </c>
      <c r="U346" s="32">
        <f t="shared" si="48"/>
        <v>11953.019304952726</v>
      </c>
      <c r="V346" s="32">
        <f t="shared" si="48"/>
        <v>12036.331849508244</v>
      </c>
      <c r="W346" s="32">
        <f t="shared" si="48"/>
        <v>12120.225082499319</v>
      </c>
      <c r="X346" s="32">
        <f t="shared" si="48"/>
        <v>12204.703051324341</v>
      </c>
      <c r="Y346" s="32">
        <f t="shared" si="48"/>
        <v>12289.76983159207</v>
      </c>
      <c r="Z346" s="32">
        <f t="shared" si="48"/>
        <v>12375.429527318265</v>
      </c>
      <c r="AA346" s="32">
        <f t="shared" si="48"/>
        <v>12461.686271123675</v>
      </c>
      <c r="AB346" s="32">
        <f t="shared" si="48"/>
        <v>12548.544224433408</v>
      </c>
      <c r="AC346" s="32">
        <f t="shared" si="48"/>
        <v>12636.007577677708</v>
      </c>
      <c r="AD346" s="32">
        <f t="shared" si="48"/>
        <v>12724.08055049412</v>
      </c>
      <c r="AE346" s="32">
        <f t="shared" si="48"/>
        <v>12812.767391931069</v>
      </c>
      <c r="AF346" s="32">
        <f t="shared" si="48"/>
        <v>12902.072380652829</v>
      </c>
      <c r="AG346" s="32">
        <f t="shared" si="48"/>
        <v>12991.999825145978</v>
      </c>
      <c r="AH346" s="32">
        <f t="shared" si="48"/>
        <v>13082.554063927246</v>
      </c>
      <c r="AI346" s="32">
        <f t="shared" si="48"/>
        <v>13173.739465752818</v>
      </c>
      <c r="AJ346" s="32">
        <f t="shared" si="48"/>
        <v>13265.560429829115</v>
      </c>
      <c r="AK346" s="32">
        <f t="shared" si="48"/>
        <v>13358.021386025026</v>
      </c>
      <c r="AL346" s="32">
        <f t="shared" si="48"/>
        <v>13451.126795085622</v>
      </c>
      <c r="AM346" s="32">
        <f t="shared" si="48"/>
        <v>13544.881148847369</v>
      </c>
      <c r="AN346" s="32">
        <f t="shared" si="48"/>
        <v>13639.288970454838</v>
      </c>
      <c r="AO346" s="32">
        <f t="shared" si="48"/>
        <v>13734.354814578906</v>
      </c>
      <c r="AP346" s="32">
        <f t="shared" si="48"/>
        <v>13830.083267636519</v>
      </c>
      <c r="AQ346" s="32">
        <f t="shared" si="48"/>
        <v>13926.478948011945</v>
      </c>
      <c r="AR346" s="32">
        <f t="shared" si="48"/>
        <v>14023.546506279588</v>
      </c>
      <c r="AS346" s="32">
        <f t="shared" si="48"/>
        <v>7060.6453127141804</v>
      </c>
    </row>
    <row r="347" spans="3:45" x14ac:dyDescent="0.3">
      <c r="C347" s="6" t="s">
        <v>284</v>
      </c>
      <c r="D347" s="2" t="s">
        <v>3</v>
      </c>
      <c r="J347" s="62">
        <f t="shared" ref="J347:AS347" si="49">(1+Opex_Esc)^J332</f>
        <v>0.88385428760951712</v>
      </c>
      <c r="K347" s="62">
        <f t="shared" si="49"/>
        <v>0.90595064479975507</v>
      </c>
      <c r="L347" s="62">
        <f t="shared" si="49"/>
        <v>0.92859941091974885</v>
      </c>
      <c r="M347" s="62">
        <f t="shared" si="49"/>
        <v>0.95181439619274244</v>
      </c>
      <c r="N347" s="62">
        <f t="shared" si="49"/>
        <v>0.97560975609756106</v>
      </c>
      <c r="O347" s="62">
        <f t="shared" si="49"/>
        <v>1</v>
      </c>
      <c r="P347" s="62">
        <f t="shared" si="49"/>
        <v>1.0249999999999999</v>
      </c>
      <c r="Q347" s="62">
        <f t="shared" si="49"/>
        <v>1.0506249999999999</v>
      </c>
      <c r="R347" s="62">
        <f t="shared" si="49"/>
        <v>1.0768906249999999</v>
      </c>
      <c r="S347" s="62">
        <f t="shared" si="49"/>
        <v>1.1038128906249998</v>
      </c>
      <c r="T347" s="62">
        <f t="shared" si="49"/>
        <v>1.1314082128906247</v>
      </c>
      <c r="U347" s="62">
        <f t="shared" si="49"/>
        <v>1.1596934182128902</v>
      </c>
      <c r="V347" s="62">
        <f t="shared" si="49"/>
        <v>1.1886857536682125</v>
      </c>
      <c r="W347" s="62">
        <f t="shared" si="49"/>
        <v>1.2184028975099177</v>
      </c>
      <c r="X347" s="62">
        <f t="shared" si="49"/>
        <v>1.2488629699476654</v>
      </c>
      <c r="Y347" s="62">
        <f t="shared" si="49"/>
        <v>1.2800845441963571</v>
      </c>
      <c r="Z347" s="62">
        <f t="shared" si="49"/>
        <v>1.312086657801266</v>
      </c>
      <c r="AA347" s="62">
        <f t="shared" si="49"/>
        <v>1.3448888242462975</v>
      </c>
      <c r="AB347" s="62">
        <f t="shared" si="49"/>
        <v>1.3785110448524549</v>
      </c>
      <c r="AC347" s="62">
        <f t="shared" si="49"/>
        <v>1.4129738209737661</v>
      </c>
      <c r="AD347" s="62">
        <f t="shared" si="49"/>
        <v>1.4482981664981105</v>
      </c>
      <c r="AE347" s="62">
        <f t="shared" si="49"/>
        <v>1.4845056206605631</v>
      </c>
      <c r="AF347" s="62">
        <f t="shared" si="49"/>
        <v>1.521618261177077</v>
      </c>
      <c r="AG347" s="62">
        <f t="shared" si="49"/>
        <v>1.559658717706504</v>
      </c>
      <c r="AH347" s="62">
        <f t="shared" si="49"/>
        <v>1.5986501856491666</v>
      </c>
      <c r="AI347" s="62">
        <f t="shared" si="49"/>
        <v>1.6386164402903955</v>
      </c>
      <c r="AJ347" s="62">
        <f t="shared" si="49"/>
        <v>1.6795818512976552</v>
      </c>
      <c r="AK347" s="62">
        <f t="shared" si="49"/>
        <v>1.7215713975800966</v>
      </c>
      <c r="AL347" s="62">
        <f t="shared" si="49"/>
        <v>1.7646106825195991</v>
      </c>
      <c r="AM347" s="62">
        <f t="shared" si="49"/>
        <v>1.8087259495825889</v>
      </c>
      <c r="AN347" s="62">
        <f t="shared" si="49"/>
        <v>1.8539440983221533</v>
      </c>
      <c r="AO347" s="62">
        <f t="shared" si="49"/>
        <v>1.9002927007802071</v>
      </c>
      <c r="AP347" s="62">
        <f t="shared" si="49"/>
        <v>1.9478000182997122</v>
      </c>
      <c r="AQ347" s="62">
        <f t="shared" si="49"/>
        <v>1.9964950187572048</v>
      </c>
      <c r="AR347" s="62">
        <f t="shared" si="49"/>
        <v>2.0464073942261352</v>
      </c>
      <c r="AS347" s="62">
        <f t="shared" si="49"/>
        <v>2.097567579081788</v>
      </c>
    </row>
    <row r="348" spans="3:45" x14ac:dyDescent="0.3">
      <c r="C348" s="6" t="s">
        <v>285</v>
      </c>
      <c r="D348" s="2" t="s">
        <v>84</v>
      </c>
      <c r="H348" s="8">
        <f t="shared" ref="H348:H357" si="50">SUM(J348:AS348)</f>
        <v>-60009.507386296886</v>
      </c>
      <c r="J348" s="8">
        <f t="shared" ref="J348:AS348" si="51">-(Case_OM+SUM(Opex_Per_MW))*$E$46*J347*J336</f>
        <v>0</v>
      </c>
      <c r="K348" s="8">
        <f t="shared" si="51"/>
        <v>0</v>
      </c>
      <c r="L348" s="8">
        <f t="shared" si="51"/>
        <v>0</v>
      </c>
      <c r="M348" s="8">
        <f t="shared" si="51"/>
        <v>0</v>
      </c>
      <c r="N348" s="8">
        <f t="shared" si="51"/>
        <v>0</v>
      </c>
      <c r="O348" s="8">
        <f t="shared" si="51"/>
        <v>-675</v>
      </c>
      <c r="P348" s="8">
        <f t="shared" si="51"/>
        <v>-1383.7499999999998</v>
      </c>
      <c r="Q348" s="8">
        <f t="shared" si="51"/>
        <v>-1418.34375</v>
      </c>
      <c r="R348" s="8">
        <f t="shared" si="51"/>
        <v>-1453.8023437499999</v>
      </c>
      <c r="S348" s="8">
        <f t="shared" si="51"/>
        <v>-1490.1474023437497</v>
      </c>
      <c r="T348" s="8">
        <f t="shared" si="51"/>
        <v>-1527.4010874023434</v>
      </c>
      <c r="U348" s="8">
        <f t="shared" si="51"/>
        <v>-1565.5861145874017</v>
      </c>
      <c r="V348" s="8">
        <f t="shared" si="51"/>
        <v>-1604.725767452087</v>
      </c>
      <c r="W348" s="8">
        <f t="shared" si="51"/>
        <v>-1644.8439116383888</v>
      </c>
      <c r="X348" s="8">
        <f t="shared" si="51"/>
        <v>-1685.9650094293484</v>
      </c>
      <c r="Y348" s="8">
        <f t="shared" si="51"/>
        <v>-1728.114134665082</v>
      </c>
      <c r="Z348" s="8">
        <f t="shared" si="51"/>
        <v>-1771.3169880317091</v>
      </c>
      <c r="AA348" s="8">
        <f t="shared" si="51"/>
        <v>-1815.5999127325017</v>
      </c>
      <c r="AB348" s="8">
        <f t="shared" si="51"/>
        <v>-1860.9899105508141</v>
      </c>
      <c r="AC348" s="8">
        <f t="shared" si="51"/>
        <v>-1907.5146583145843</v>
      </c>
      <c r="AD348" s="8">
        <f t="shared" si="51"/>
        <v>-1955.2025247724491</v>
      </c>
      <c r="AE348" s="8">
        <f t="shared" si="51"/>
        <v>-2004.0825878917601</v>
      </c>
      <c r="AF348" s="8">
        <f t="shared" si="51"/>
        <v>-2054.1846525890537</v>
      </c>
      <c r="AG348" s="8">
        <f t="shared" si="51"/>
        <v>-2105.5392689037803</v>
      </c>
      <c r="AH348" s="8">
        <f t="shared" si="51"/>
        <v>-2158.1777506263747</v>
      </c>
      <c r="AI348" s="8">
        <f t="shared" si="51"/>
        <v>-2212.1321943920339</v>
      </c>
      <c r="AJ348" s="8">
        <f t="shared" si="51"/>
        <v>-2267.4354992518347</v>
      </c>
      <c r="AK348" s="8">
        <f t="shared" si="51"/>
        <v>-2324.1213867331303</v>
      </c>
      <c r="AL348" s="8">
        <f t="shared" si="51"/>
        <v>-2382.2244214014586</v>
      </c>
      <c r="AM348" s="8">
        <f t="shared" si="51"/>
        <v>-2441.7800319364951</v>
      </c>
      <c r="AN348" s="8">
        <f t="shared" si="51"/>
        <v>-2502.8245327349068</v>
      </c>
      <c r="AO348" s="8">
        <f t="shared" si="51"/>
        <v>-2565.3951460532794</v>
      </c>
      <c r="AP348" s="8">
        <f t="shared" si="51"/>
        <v>-2629.5300247046116</v>
      </c>
      <c r="AQ348" s="8">
        <f t="shared" si="51"/>
        <v>-2695.2682753222266</v>
      </c>
      <c r="AR348" s="8">
        <f t="shared" si="51"/>
        <v>-2762.6499822052824</v>
      </c>
      <c r="AS348" s="8">
        <f t="shared" si="51"/>
        <v>-1415.8581158802069</v>
      </c>
    </row>
    <row r="349" spans="3:45" x14ac:dyDescent="0.3">
      <c r="C349" s="6" t="s">
        <v>286</v>
      </c>
      <c r="D349" s="2" t="s">
        <v>84</v>
      </c>
      <c r="H349" s="8">
        <f t="shared" si="50"/>
        <v>-1666.9307607304695</v>
      </c>
      <c r="J349" s="8">
        <f t="shared" ref="J349:AS349" si="52">-Opex_Admin*$E$6/Lump_Basis*J347*J336</f>
        <v>0</v>
      </c>
      <c r="K349" s="8">
        <f t="shared" si="52"/>
        <v>0</v>
      </c>
      <c r="L349" s="8">
        <f t="shared" si="52"/>
        <v>0</v>
      </c>
      <c r="M349" s="8">
        <f t="shared" si="52"/>
        <v>0</v>
      </c>
      <c r="N349" s="8">
        <f t="shared" si="52"/>
        <v>0</v>
      </c>
      <c r="O349" s="8">
        <f t="shared" si="52"/>
        <v>-18.75</v>
      </c>
      <c r="P349" s="8">
        <f t="shared" si="52"/>
        <v>-38.4375</v>
      </c>
      <c r="Q349" s="8">
        <f t="shared" si="52"/>
        <v>-39.3984375</v>
      </c>
      <c r="R349" s="8">
        <f t="shared" si="52"/>
        <v>-40.383398437499999</v>
      </c>
      <c r="S349" s="8">
        <f t="shared" si="52"/>
        <v>-41.392983398437494</v>
      </c>
      <c r="T349" s="8">
        <f t="shared" si="52"/>
        <v>-42.427807983398424</v>
      </c>
      <c r="U349" s="8">
        <f t="shared" si="52"/>
        <v>-43.488503182983379</v>
      </c>
      <c r="V349" s="8">
        <f t="shared" si="52"/>
        <v>-44.575715762557969</v>
      </c>
      <c r="W349" s="8">
        <f t="shared" si="52"/>
        <v>-45.690108656621916</v>
      </c>
      <c r="X349" s="8">
        <f t="shared" si="52"/>
        <v>-46.83236137303745</v>
      </c>
      <c r="Y349" s="8">
        <f t="shared" si="52"/>
        <v>-48.003170407363392</v>
      </c>
      <c r="Z349" s="8">
        <f t="shared" si="52"/>
        <v>-49.203249667547475</v>
      </c>
      <c r="AA349" s="8">
        <f t="shared" si="52"/>
        <v>-50.433330909236155</v>
      </c>
      <c r="AB349" s="8">
        <f t="shared" si="52"/>
        <v>-51.694164181967061</v>
      </c>
      <c r="AC349" s="8">
        <f t="shared" si="52"/>
        <v>-52.98651828651623</v>
      </c>
      <c r="AD349" s="8">
        <f t="shared" si="52"/>
        <v>-54.311181243679144</v>
      </c>
      <c r="AE349" s="8">
        <f t="shared" si="52"/>
        <v>-55.668960774771115</v>
      </c>
      <c r="AF349" s="8">
        <f t="shared" si="52"/>
        <v>-57.060684794140386</v>
      </c>
      <c r="AG349" s="8">
        <f t="shared" si="52"/>
        <v>-58.4872019139939</v>
      </c>
      <c r="AH349" s="8">
        <f t="shared" si="52"/>
        <v>-59.949381961843748</v>
      </c>
      <c r="AI349" s="8">
        <f t="shared" si="52"/>
        <v>-61.448116510889832</v>
      </c>
      <c r="AJ349" s="8">
        <f t="shared" si="52"/>
        <v>-62.984319423662072</v>
      </c>
      <c r="AK349" s="8">
        <f t="shared" si="52"/>
        <v>-64.558927409253627</v>
      </c>
      <c r="AL349" s="8">
        <f t="shared" si="52"/>
        <v>-66.172900594484972</v>
      </c>
      <c r="AM349" s="8">
        <f t="shared" si="52"/>
        <v>-67.827223109347088</v>
      </c>
      <c r="AN349" s="8">
        <f t="shared" si="52"/>
        <v>-69.522903687080756</v>
      </c>
      <c r="AO349" s="8">
        <f t="shared" si="52"/>
        <v>-71.260976279257761</v>
      </c>
      <c r="AP349" s="8">
        <f t="shared" si="52"/>
        <v>-73.042500686239208</v>
      </c>
      <c r="AQ349" s="8">
        <f t="shared" si="52"/>
        <v>-74.868563203395183</v>
      </c>
      <c r="AR349" s="8">
        <f t="shared" si="52"/>
        <v>-76.740277283480069</v>
      </c>
      <c r="AS349" s="8">
        <f t="shared" si="52"/>
        <v>-39.329392107783526</v>
      </c>
    </row>
    <row r="350" spans="3:45" x14ac:dyDescent="0.3">
      <c r="C350" s="6" t="s">
        <v>287</v>
      </c>
      <c r="D350" s="2" t="s">
        <v>84</v>
      </c>
      <c r="H350" s="8">
        <f t="shared" si="50"/>
        <v>-26924.511314815936</v>
      </c>
      <c r="J350" s="8">
        <f t="shared" ref="J350:AS350" si="53">-J344*(Balancing+Grid_Charges)*J347</f>
        <v>0</v>
      </c>
      <c r="K350" s="8">
        <f t="shared" si="53"/>
        <v>0</v>
      </c>
      <c r="L350" s="8">
        <f t="shared" si="53"/>
        <v>0</v>
      </c>
      <c r="M350" s="8">
        <f t="shared" si="53"/>
        <v>0</v>
      </c>
      <c r="N350" s="8">
        <f t="shared" si="53"/>
        <v>0</v>
      </c>
      <c r="O350" s="8">
        <f t="shared" si="53"/>
        <v>-317.52</v>
      </c>
      <c r="P350" s="8">
        <f t="shared" si="53"/>
        <v>-650.91599999999994</v>
      </c>
      <c r="Q350" s="8">
        <f t="shared" si="53"/>
        <v>-665.18733329999986</v>
      </c>
      <c r="R350" s="8">
        <f t="shared" si="53"/>
        <v>-679.77156558260242</v>
      </c>
      <c r="S350" s="8">
        <f t="shared" si="53"/>
        <v>-694.67555715800074</v>
      </c>
      <c r="T350" s="8">
        <f t="shared" si="53"/>
        <v>-709.90631874868996</v>
      </c>
      <c r="U350" s="8">
        <f t="shared" si="53"/>
        <v>-725.47101478725506</v>
      </c>
      <c r="V350" s="8">
        <f t="shared" si="53"/>
        <v>-741.37696678646557</v>
      </c>
      <c r="W350" s="8">
        <f t="shared" si="53"/>
        <v>-757.63165678325879</v>
      </c>
      <c r="X350" s="8">
        <f t="shared" si="53"/>
        <v>-774.24273085823165</v>
      </c>
      <c r="Y350" s="8">
        <f t="shared" si="53"/>
        <v>-791.21800273229826</v>
      </c>
      <c r="Z350" s="8">
        <f t="shared" si="53"/>
        <v>-808.56545744220398</v>
      </c>
      <c r="AA350" s="8">
        <f t="shared" si="53"/>
        <v>-826.29325509662431</v>
      </c>
      <c r="AB350" s="8">
        <f t="shared" si="53"/>
        <v>-844.40973471461768</v>
      </c>
      <c r="AC350" s="8">
        <f t="shared" si="53"/>
        <v>-862.92341814823567</v>
      </c>
      <c r="AD350" s="8">
        <f t="shared" si="53"/>
        <v>-881.84301409113584</v>
      </c>
      <c r="AE350" s="8">
        <f t="shared" si="53"/>
        <v>-901.17742217508408</v>
      </c>
      <c r="AF350" s="8">
        <f t="shared" si="53"/>
        <v>-920.93573715627258</v>
      </c>
      <c r="AG350" s="8">
        <f t="shared" si="53"/>
        <v>-941.12725319342383</v>
      </c>
      <c r="AH350" s="8">
        <f t="shared" si="53"/>
        <v>-961.76146821968985</v>
      </c>
      <c r="AI350" s="8">
        <f t="shared" si="53"/>
        <v>-982.84808841040626</v>
      </c>
      <c r="AJ350" s="8">
        <f t="shared" si="53"/>
        <v>-1004.3970327488043</v>
      </c>
      <c r="AK350" s="8">
        <f t="shared" si="53"/>
        <v>-1026.4184376918217</v>
      </c>
      <c r="AL350" s="8">
        <f t="shared" si="53"/>
        <v>-1048.9226619382152</v>
      </c>
      <c r="AM350" s="8">
        <f t="shared" si="53"/>
        <v>-1071.9202913012107</v>
      </c>
      <c r="AN350" s="8">
        <f t="shared" si="53"/>
        <v>-1095.4221436879893</v>
      </c>
      <c r="AO350" s="8">
        <f t="shared" si="53"/>
        <v>-1119.4392741883485</v>
      </c>
      <c r="AP350" s="8">
        <f t="shared" si="53"/>
        <v>-1143.982980274928</v>
      </c>
      <c r="AQ350" s="8">
        <f t="shared" si="53"/>
        <v>-1169.0648071174555</v>
      </c>
      <c r="AR350" s="8">
        <f t="shared" si="53"/>
        <v>-1194.696553013506</v>
      </c>
      <c r="AS350" s="8">
        <f t="shared" si="53"/>
        <v>-610.44513746916334</v>
      </c>
    </row>
    <row r="351" spans="3:45" x14ac:dyDescent="0.3">
      <c r="C351" s="6" t="s">
        <v>288</v>
      </c>
      <c r="D351" s="2" t="s">
        <v>84</v>
      </c>
      <c r="H351" s="8">
        <f t="shared" si="50"/>
        <v>-382.39773062524665</v>
      </c>
      <c r="J351" s="8">
        <f t="shared" ref="J351:AS351" si="54">-J346*MEKH_Fee</f>
        <v>0</v>
      </c>
      <c r="K351" s="8">
        <f t="shared" si="54"/>
        <v>0</v>
      </c>
      <c r="L351" s="8">
        <f t="shared" si="54"/>
        <v>0</v>
      </c>
      <c r="M351" s="8">
        <f t="shared" si="54"/>
        <v>0</v>
      </c>
      <c r="N351" s="8">
        <f t="shared" si="54"/>
        <v>0</v>
      </c>
      <c r="O351" s="8">
        <f t="shared" si="54"/>
        <v>-5.7153599999999996</v>
      </c>
      <c r="P351" s="8">
        <f t="shared" si="54"/>
        <v>-11.5450272</v>
      </c>
      <c r="Q351" s="8">
        <f t="shared" si="54"/>
        <v>-11.625496039583998</v>
      </c>
      <c r="R351" s="8">
        <f t="shared" si="54"/>
        <v>-11.706525746979899</v>
      </c>
      <c r="S351" s="8">
        <f t="shared" si="54"/>
        <v>-11.788120231436348</v>
      </c>
      <c r="T351" s="8">
        <f t="shared" si="54"/>
        <v>-11.870283429449461</v>
      </c>
      <c r="U351" s="8">
        <f t="shared" si="54"/>
        <v>-11.953019304952726</v>
      </c>
      <c r="V351" s="8">
        <f t="shared" si="54"/>
        <v>-12.036331849508244</v>
      </c>
      <c r="W351" s="8">
        <f t="shared" si="54"/>
        <v>-12.120225082499319</v>
      </c>
      <c r="X351" s="8">
        <f t="shared" si="54"/>
        <v>-12.204703051324341</v>
      </c>
      <c r="Y351" s="8">
        <f t="shared" si="54"/>
        <v>-12.28976983159207</v>
      </c>
      <c r="Z351" s="8">
        <f t="shared" si="54"/>
        <v>-12.375429527318266</v>
      </c>
      <c r="AA351" s="8">
        <f t="shared" si="54"/>
        <v>-12.461686271123675</v>
      </c>
      <c r="AB351" s="8">
        <f t="shared" si="54"/>
        <v>-12.548544224433408</v>
      </c>
      <c r="AC351" s="8">
        <f t="shared" si="54"/>
        <v>-12.636007577677709</v>
      </c>
      <c r="AD351" s="8">
        <f t="shared" si="54"/>
        <v>-12.72408055049412</v>
      </c>
      <c r="AE351" s="8">
        <f t="shared" si="54"/>
        <v>-12.81276739193107</v>
      </c>
      <c r="AF351" s="8">
        <f t="shared" si="54"/>
        <v>-12.902072380652831</v>
      </c>
      <c r="AG351" s="8">
        <f t="shared" si="54"/>
        <v>-12.991999825145978</v>
      </c>
      <c r="AH351" s="8">
        <f t="shared" si="54"/>
        <v>-13.082554063927246</v>
      </c>
      <c r="AI351" s="8">
        <f t="shared" si="54"/>
        <v>-13.173739465752819</v>
      </c>
      <c r="AJ351" s="8">
        <f t="shared" si="54"/>
        <v>-13.265560429829115</v>
      </c>
      <c r="AK351" s="8">
        <f t="shared" si="54"/>
        <v>-13.358021386025026</v>
      </c>
      <c r="AL351" s="8">
        <f t="shared" si="54"/>
        <v>-13.451126795085623</v>
      </c>
      <c r="AM351" s="8">
        <f t="shared" si="54"/>
        <v>-13.54488114884737</v>
      </c>
      <c r="AN351" s="8">
        <f t="shared" si="54"/>
        <v>-13.639288970454839</v>
      </c>
      <c r="AO351" s="8">
        <f t="shared" si="54"/>
        <v>-13.734354814578907</v>
      </c>
      <c r="AP351" s="8">
        <f t="shared" si="54"/>
        <v>-13.830083267636519</v>
      </c>
      <c r="AQ351" s="8">
        <f t="shared" si="54"/>
        <v>-13.926478948011946</v>
      </c>
      <c r="AR351" s="8">
        <f t="shared" si="54"/>
        <v>-14.023546506279589</v>
      </c>
      <c r="AS351" s="8">
        <f t="shared" si="54"/>
        <v>-7.0606453127141808</v>
      </c>
    </row>
    <row r="352" spans="3:45" x14ac:dyDescent="0.3">
      <c r="C352" s="6" t="s">
        <v>289</v>
      </c>
      <c r="D352" s="2" t="s">
        <v>84</v>
      </c>
      <c r="H352" s="8">
        <f t="shared" si="50"/>
        <v>-4449.1673596234286</v>
      </c>
      <c r="J352" s="8">
        <f t="shared" ref="J352:AS352" si="55">SUM(J348:J351)*Opex_Cont</f>
        <v>0</v>
      </c>
      <c r="K352" s="8">
        <f t="shared" si="55"/>
        <v>0</v>
      </c>
      <c r="L352" s="8">
        <f t="shared" si="55"/>
        <v>0</v>
      </c>
      <c r="M352" s="8">
        <f t="shared" si="55"/>
        <v>0</v>
      </c>
      <c r="N352" s="8">
        <f t="shared" si="55"/>
        <v>0</v>
      </c>
      <c r="O352" s="8">
        <f t="shared" si="55"/>
        <v>-50.849268000000002</v>
      </c>
      <c r="P352" s="8">
        <f t="shared" si="55"/>
        <v>-104.23242635999998</v>
      </c>
      <c r="Q352" s="8">
        <f t="shared" si="55"/>
        <v>-106.7277508419792</v>
      </c>
      <c r="R352" s="8">
        <f t="shared" si="55"/>
        <v>-109.28319167585413</v>
      </c>
      <c r="S352" s="8">
        <f t="shared" si="55"/>
        <v>-111.90020315658124</v>
      </c>
      <c r="T352" s="8">
        <f t="shared" si="55"/>
        <v>-114.58027487819407</v>
      </c>
      <c r="U352" s="8">
        <f t="shared" si="55"/>
        <v>-117.32493259312965</v>
      </c>
      <c r="V352" s="8">
        <f t="shared" si="55"/>
        <v>-120.13573909253097</v>
      </c>
      <c r="W352" s="8">
        <f t="shared" si="55"/>
        <v>-123.01429510803847</v>
      </c>
      <c r="X352" s="8">
        <f t="shared" si="55"/>
        <v>-125.96224023559711</v>
      </c>
      <c r="Y352" s="8">
        <f t="shared" si="55"/>
        <v>-128.98125388181677</v>
      </c>
      <c r="Z352" s="8">
        <f t="shared" si="55"/>
        <v>-132.07305623343896</v>
      </c>
      <c r="AA352" s="8">
        <f t="shared" si="55"/>
        <v>-135.2394092504743</v>
      </c>
      <c r="AB352" s="8">
        <f t="shared" si="55"/>
        <v>-138.48211768359164</v>
      </c>
      <c r="AC352" s="8">
        <f t="shared" si="55"/>
        <v>-141.80303011635073</v>
      </c>
      <c r="AD352" s="8">
        <f t="shared" si="55"/>
        <v>-145.20404003288792</v>
      </c>
      <c r="AE352" s="8">
        <f t="shared" si="55"/>
        <v>-148.68708691167734</v>
      </c>
      <c r="AF352" s="8">
        <f t="shared" si="55"/>
        <v>-152.254157346006</v>
      </c>
      <c r="AG352" s="8">
        <f t="shared" si="55"/>
        <v>-155.90728619181721</v>
      </c>
      <c r="AH352" s="8">
        <f t="shared" si="55"/>
        <v>-159.64855774359179</v>
      </c>
      <c r="AI352" s="8">
        <f t="shared" si="55"/>
        <v>-163.48010693895418</v>
      </c>
      <c r="AJ352" s="8">
        <f t="shared" si="55"/>
        <v>-167.40412059270651</v>
      </c>
      <c r="AK352" s="8">
        <f t="shared" si="55"/>
        <v>-171.42283866101153</v>
      </c>
      <c r="AL352" s="8">
        <f t="shared" si="55"/>
        <v>-175.53855553646224</v>
      </c>
      <c r="AM352" s="8">
        <f t="shared" si="55"/>
        <v>-179.75362137479499</v>
      </c>
      <c r="AN352" s="8">
        <f t="shared" si="55"/>
        <v>-184.07044345402159</v>
      </c>
      <c r="AO352" s="8">
        <f t="shared" si="55"/>
        <v>-188.49148756677323</v>
      </c>
      <c r="AP352" s="8">
        <f t="shared" si="55"/>
        <v>-193.01927944667077</v>
      </c>
      <c r="AQ352" s="8">
        <f t="shared" si="55"/>
        <v>-197.65640622955448</v>
      </c>
      <c r="AR352" s="8">
        <f t="shared" si="55"/>
        <v>-202.40551795042745</v>
      </c>
      <c r="AS352" s="8">
        <f t="shared" si="55"/>
        <v>-103.63466453849342</v>
      </c>
    </row>
    <row r="353" spans="2:45" x14ac:dyDescent="0.3">
      <c r="C353" s="6" t="s">
        <v>290</v>
      </c>
      <c r="D353" s="2" t="s">
        <v>84</v>
      </c>
      <c r="H353" s="8">
        <f t="shared" si="50"/>
        <v>0</v>
      </c>
      <c r="J353" s="8">
        <f t="shared" ref="J353:AS353" si="56">-J344*$E$12</f>
        <v>0</v>
      </c>
      <c r="K353" s="8">
        <f t="shared" si="56"/>
        <v>0</v>
      </c>
      <c r="L353" s="8">
        <f t="shared" si="56"/>
        <v>0</v>
      </c>
      <c r="M353" s="8">
        <f t="shared" si="56"/>
        <v>0</v>
      </c>
      <c r="N353" s="8">
        <f t="shared" si="56"/>
        <v>0</v>
      </c>
      <c r="O353" s="8">
        <f t="shared" si="56"/>
        <v>0</v>
      </c>
      <c r="P353" s="8">
        <f t="shared" si="56"/>
        <v>0</v>
      </c>
      <c r="Q353" s="8">
        <f t="shared" si="56"/>
        <v>0</v>
      </c>
      <c r="R353" s="8">
        <f t="shared" si="56"/>
        <v>0</v>
      </c>
      <c r="S353" s="8">
        <f t="shared" si="56"/>
        <v>0</v>
      </c>
      <c r="T353" s="8">
        <f t="shared" si="56"/>
        <v>0</v>
      </c>
      <c r="U353" s="8">
        <f t="shared" si="56"/>
        <v>0</v>
      </c>
      <c r="V353" s="8">
        <f t="shared" si="56"/>
        <v>0</v>
      </c>
      <c r="W353" s="8">
        <f t="shared" si="56"/>
        <v>0</v>
      </c>
      <c r="X353" s="8">
        <f t="shared" si="56"/>
        <v>0</v>
      </c>
      <c r="Y353" s="8">
        <f t="shared" si="56"/>
        <v>0</v>
      </c>
      <c r="Z353" s="8">
        <f t="shared" si="56"/>
        <v>0</v>
      </c>
      <c r="AA353" s="8">
        <f t="shared" si="56"/>
        <v>0</v>
      </c>
      <c r="AB353" s="8">
        <f t="shared" si="56"/>
        <v>0</v>
      </c>
      <c r="AC353" s="8">
        <f t="shared" si="56"/>
        <v>0</v>
      </c>
      <c r="AD353" s="8">
        <f t="shared" si="56"/>
        <v>0</v>
      </c>
      <c r="AE353" s="8">
        <f t="shared" si="56"/>
        <v>0</v>
      </c>
      <c r="AF353" s="8">
        <f t="shared" si="56"/>
        <v>0</v>
      </c>
      <c r="AG353" s="8">
        <f t="shared" si="56"/>
        <v>0</v>
      </c>
      <c r="AH353" s="8">
        <f t="shared" si="56"/>
        <v>0</v>
      </c>
      <c r="AI353" s="8">
        <f t="shared" si="56"/>
        <v>0</v>
      </c>
      <c r="AJ353" s="8">
        <f t="shared" si="56"/>
        <v>0</v>
      </c>
      <c r="AK353" s="8">
        <f t="shared" si="56"/>
        <v>0</v>
      </c>
      <c r="AL353" s="8">
        <f t="shared" si="56"/>
        <v>0</v>
      </c>
      <c r="AM353" s="8">
        <f t="shared" si="56"/>
        <v>0</v>
      </c>
      <c r="AN353" s="8">
        <f t="shared" si="56"/>
        <v>0</v>
      </c>
      <c r="AO353" s="8">
        <f t="shared" si="56"/>
        <v>0</v>
      </c>
      <c r="AP353" s="8">
        <f t="shared" si="56"/>
        <v>0</v>
      </c>
      <c r="AQ353" s="8">
        <f t="shared" si="56"/>
        <v>0</v>
      </c>
      <c r="AR353" s="8">
        <f t="shared" si="56"/>
        <v>0</v>
      </c>
      <c r="AS353" s="8">
        <f t="shared" si="56"/>
        <v>0</v>
      </c>
    </row>
    <row r="354" spans="2:45" x14ac:dyDescent="0.3">
      <c r="C354" s="6" t="s">
        <v>291</v>
      </c>
      <c r="D354" s="2" t="s">
        <v>84</v>
      </c>
      <c r="H354" s="8">
        <f t="shared" si="50"/>
        <v>-7647.9546125049319</v>
      </c>
      <c r="J354" s="8">
        <f t="shared" ref="J354:AS354" si="57">-J346*HIPA_Rate</f>
        <v>0</v>
      </c>
      <c r="K354" s="8">
        <f t="shared" si="57"/>
        <v>0</v>
      </c>
      <c r="L354" s="8">
        <f t="shared" si="57"/>
        <v>0</v>
      </c>
      <c r="M354" s="8">
        <f t="shared" si="57"/>
        <v>0</v>
      </c>
      <c r="N354" s="8">
        <f t="shared" si="57"/>
        <v>0</v>
      </c>
      <c r="O354" s="8">
        <f t="shared" si="57"/>
        <v>-114.30719999999999</v>
      </c>
      <c r="P354" s="8">
        <f t="shared" si="57"/>
        <v>-230.90054400000002</v>
      </c>
      <c r="Q354" s="8">
        <f t="shared" si="57"/>
        <v>-232.50992079167997</v>
      </c>
      <c r="R354" s="8">
        <f t="shared" si="57"/>
        <v>-234.13051493959802</v>
      </c>
      <c r="S354" s="8">
        <f t="shared" si="57"/>
        <v>-235.76240462872698</v>
      </c>
      <c r="T354" s="8">
        <f t="shared" si="57"/>
        <v>-237.40566858898922</v>
      </c>
      <c r="U354" s="8">
        <f t="shared" si="57"/>
        <v>-239.06038609905454</v>
      </c>
      <c r="V354" s="8">
        <f t="shared" si="57"/>
        <v>-240.72663699016488</v>
      </c>
      <c r="W354" s="8">
        <f t="shared" si="57"/>
        <v>-242.40450164998637</v>
      </c>
      <c r="X354" s="8">
        <f t="shared" si="57"/>
        <v>-244.09406102648683</v>
      </c>
      <c r="Y354" s="8">
        <f t="shared" si="57"/>
        <v>-245.79539663184141</v>
      </c>
      <c r="Z354" s="8">
        <f t="shared" si="57"/>
        <v>-247.5085905463653</v>
      </c>
      <c r="AA354" s="8">
        <f t="shared" si="57"/>
        <v>-249.23372542247353</v>
      </c>
      <c r="AB354" s="8">
        <f t="shared" si="57"/>
        <v>-250.97088448866816</v>
      </c>
      <c r="AC354" s="8">
        <f t="shared" si="57"/>
        <v>-252.72015155355419</v>
      </c>
      <c r="AD354" s="8">
        <f t="shared" si="57"/>
        <v>-254.48161100988241</v>
      </c>
      <c r="AE354" s="8">
        <f t="shared" si="57"/>
        <v>-256.25534783862139</v>
      </c>
      <c r="AF354" s="8">
        <f t="shared" si="57"/>
        <v>-258.04144761305662</v>
      </c>
      <c r="AG354" s="8">
        <f t="shared" si="57"/>
        <v>-259.83999650291958</v>
      </c>
      <c r="AH354" s="8">
        <f t="shared" si="57"/>
        <v>-261.65108127854489</v>
      </c>
      <c r="AI354" s="8">
        <f t="shared" si="57"/>
        <v>-263.4747893150564</v>
      </c>
      <c r="AJ354" s="8">
        <f t="shared" si="57"/>
        <v>-265.31120859658228</v>
      </c>
      <c r="AK354" s="8">
        <f t="shared" si="57"/>
        <v>-267.16042772050054</v>
      </c>
      <c r="AL354" s="8">
        <f t="shared" si="57"/>
        <v>-269.02253590171244</v>
      </c>
      <c r="AM354" s="8">
        <f t="shared" si="57"/>
        <v>-270.89762297694739</v>
      </c>
      <c r="AN354" s="8">
        <f t="shared" si="57"/>
        <v>-272.78577940909679</v>
      </c>
      <c r="AO354" s="8">
        <f t="shared" si="57"/>
        <v>-274.68709629157814</v>
      </c>
      <c r="AP354" s="8">
        <f t="shared" si="57"/>
        <v>-276.60166535273038</v>
      </c>
      <c r="AQ354" s="8">
        <f t="shared" si="57"/>
        <v>-278.52957896023889</v>
      </c>
      <c r="AR354" s="8">
        <f t="shared" si="57"/>
        <v>-280.47093012559179</v>
      </c>
      <c r="AS354" s="8">
        <f t="shared" si="57"/>
        <v>-141.21290625428361</v>
      </c>
    </row>
    <row r="355" spans="2:45" x14ac:dyDescent="0.3">
      <c r="C355" s="1" t="s">
        <v>292</v>
      </c>
      <c r="D355" s="2" t="s">
        <v>84</v>
      </c>
      <c r="H355" s="32">
        <f t="shared" si="50"/>
        <v>-101080.46916459691</v>
      </c>
      <c r="J355" s="32">
        <f t="shared" ref="J355:AS355" si="58">SUM(J348:J354)</f>
        <v>0</v>
      </c>
      <c r="K355" s="32">
        <f t="shared" si="58"/>
        <v>0</v>
      </c>
      <c r="L355" s="32">
        <f t="shared" si="58"/>
        <v>0</v>
      </c>
      <c r="M355" s="32">
        <f t="shared" si="58"/>
        <v>0</v>
      </c>
      <c r="N355" s="32">
        <f t="shared" si="58"/>
        <v>0</v>
      </c>
      <c r="O355" s="32">
        <f t="shared" si="58"/>
        <v>-1182.141828</v>
      </c>
      <c r="P355" s="32">
        <f t="shared" si="58"/>
        <v>-2419.7814975599995</v>
      </c>
      <c r="Q355" s="32">
        <f t="shared" si="58"/>
        <v>-2473.7926884732433</v>
      </c>
      <c r="R355" s="32">
        <f t="shared" si="58"/>
        <v>-2529.0775401325345</v>
      </c>
      <c r="S355" s="32">
        <f t="shared" si="58"/>
        <v>-2585.6666709169326</v>
      </c>
      <c r="T355" s="32">
        <f t="shared" si="58"/>
        <v>-2643.5914410310643</v>
      </c>
      <c r="U355" s="32">
        <f t="shared" si="58"/>
        <v>-2702.8839705547771</v>
      </c>
      <c r="V355" s="32">
        <f t="shared" si="58"/>
        <v>-2763.577157933315</v>
      </c>
      <c r="W355" s="32">
        <f t="shared" si="58"/>
        <v>-2825.7046989187938</v>
      </c>
      <c r="X355" s="32">
        <f t="shared" si="58"/>
        <v>-2889.3011059740261</v>
      </c>
      <c r="Y355" s="32">
        <f t="shared" si="58"/>
        <v>-2954.4017281499937</v>
      </c>
      <c r="Z355" s="32">
        <f t="shared" si="58"/>
        <v>-3021.0427714485832</v>
      </c>
      <c r="AA355" s="32">
        <f t="shared" si="58"/>
        <v>-3089.2613196824336</v>
      </c>
      <c r="AB355" s="32">
        <f t="shared" si="58"/>
        <v>-3159.0953558440924</v>
      </c>
      <c r="AC355" s="32">
        <f t="shared" si="58"/>
        <v>-3230.5837839969195</v>
      </c>
      <c r="AD355" s="32">
        <f t="shared" si="58"/>
        <v>-3303.7664517005283</v>
      </c>
      <c r="AE355" s="32">
        <f t="shared" si="58"/>
        <v>-3378.6841729838452</v>
      </c>
      <c r="AF355" s="32">
        <f t="shared" si="58"/>
        <v>-3455.3787518791828</v>
      </c>
      <c r="AG355" s="32">
        <f t="shared" si="58"/>
        <v>-3533.8930065310806</v>
      </c>
      <c r="AH355" s="32">
        <f t="shared" si="58"/>
        <v>-3614.2707938939725</v>
      </c>
      <c r="AI355" s="32">
        <f t="shared" si="58"/>
        <v>-3696.5570350330941</v>
      </c>
      <c r="AJ355" s="32">
        <f t="shared" si="58"/>
        <v>-3780.7977410434187</v>
      </c>
      <c r="AK355" s="32">
        <f t="shared" si="58"/>
        <v>-3867.0400396017426</v>
      </c>
      <c r="AL355" s="32">
        <f t="shared" si="58"/>
        <v>-3955.3322021674194</v>
      </c>
      <c r="AM355" s="32">
        <f t="shared" si="58"/>
        <v>-4045.723671847642</v>
      </c>
      <c r="AN355" s="32">
        <f t="shared" si="58"/>
        <v>-4138.26509194355</v>
      </c>
      <c r="AO355" s="32">
        <f t="shared" si="58"/>
        <v>-4233.0083351938156</v>
      </c>
      <c r="AP355" s="32">
        <f t="shared" si="58"/>
        <v>-4330.006533732816</v>
      </c>
      <c r="AQ355" s="32">
        <f t="shared" si="58"/>
        <v>-4429.314109780883</v>
      </c>
      <c r="AR355" s="32">
        <f t="shared" si="58"/>
        <v>-4530.9868070845678</v>
      </c>
      <c r="AS355" s="32">
        <f t="shared" si="58"/>
        <v>-2317.5408615626452</v>
      </c>
    </row>
    <row r="356" spans="2:45" x14ac:dyDescent="0.3">
      <c r="C356" s="1" t="s">
        <v>151</v>
      </c>
      <c r="D356" s="2" t="s">
        <v>84</v>
      </c>
      <c r="H356" s="15">
        <f t="shared" si="50"/>
        <v>281317.26146064978</v>
      </c>
      <c r="J356" s="15">
        <f t="shared" ref="J356:AS356" si="59">J346+J355</f>
        <v>0</v>
      </c>
      <c r="K356" s="15">
        <f t="shared" si="59"/>
        <v>0</v>
      </c>
      <c r="L356" s="15">
        <f t="shared" si="59"/>
        <v>0</v>
      </c>
      <c r="M356" s="15">
        <f t="shared" si="59"/>
        <v>0</v>
      </c>
      <c r="N356" s="15">
        <f t="shared" si="59"/>
        <v>0</v>
      </c>
      <c r="O356" s="15">
        <f t="shared" si="59"/>
        <v>4533.2181719999999</v>
      </c>
      <c r="P356" s="15">
        <f t="shared" si="59"/>
        <v>9125.245702440001</v>
      </c>
      <c r="Q356" s="15">
        <f t="shared" si="59"/>
        <v>9151.7033511107547</v>
      </c>
      <c r="R356" s="15">
        <f t="shared" si="59"/>
        <v>9177.4482068473662</v>
      </c>
      <c r="S356" s="15">
        <f t="shared" si="59"/>
        <v>9202.453560519416</v>
      </c>
      <c r="T356" s="15">
        <f t="shared" si="59"/>
        <v>9226.6919884183953</v>
      </c>
      <c r="U356" s="15">
        <f t="shared" si="59"/>
        <v>9250.1353343979499</v>
      </c>
      <c r="V356" s="15">
        <f t="shared" si="59"/>
        <v>9272.7546915749299</v>
      </c>
      <c r="W356" s="15">
        <f t="shared" si="59"/>
        <v>9294.520383580526</v>
      </c>
      <c r="X356" s="15">
        <f t="shared" si="59"/>
        <v>9315.4019453503151</v>
      </c>
      <c r="Y356" s="15">
        <f t="shared" si="59"/>
        <v>9335.368103442077</v>
      </c>
      <c r="Z356" s="15">
        <f t="shared" si="59"/>
        <v>9354.386755869682</v>
      </c>
      <c r="AA356" s="15">
        <f t="shared" si="59"/>
        <v>9372.4249514412422</v>
      </c>
      <c r="AB356" s="15">
        <f t="shared" si="59"/>
        <v>9389.4488685893157</v>
      </c>
      <c r="AC356" s="15">
        <f t="shared" si="59"/>
        <v>9405.4237936807895</v>
      </c>
      <c r="AD356" s="15">
        <f t="shared" si="59"/>
        <v>9420.3140987935913</v>
      </c>
      <c r="AE356" s="15">
        <f t="shared" si="59"/>
        <v>9434.0832189472239</v>
      </c>
      <c r="AF356" s="15">
        <f t="shared" si="59"/>
        <v>9446.6936287736462</v>
      </c>
      <c r="AG356" s="15">
        <f t="shared" si="59"/>
        <v>9458.1068186148987</v>
      </c>
      <c r="AH356" s="15">
        <f t="shared" si="59"/>
        <v>9468.2832700332729</v>
      </c>
      <c r="AI356" s="15">
        <f t="shared" si="59"/>
        <v>9477.1824307197239</v>
      </c>
      <c r="AJ356" s="15">
        <f t="shared" si="59"/>
        <v>9484.7626887856968</v>
      </c>
      <c r="AK356" s="15">
        <f t="shared" si="59"/>
        <v>9490.981346423283</v>
      </c>
      <c r="AL356" s="15">
        <f t="shared" si="59"/>
        <v>9495.7945929182024</v>
      </c>
      <c r="AM356" s="15">
        <f t="shared" si="59"/>
        <v>9499.1574769997278</v>
      </c>
      <c r="AN356" s="15">
        <f t="shared" si="59"/>
        <v>9501.0238785112888</v>
      </c>
      <c r="AO356" s="15">
        <f t="shared" si="59"/>
        <v>9501.3464793850908</v>
      </c>
      <c r="AP356" s="15">
        <f t="shared" si="59"/>
        <v>9500.0767339037029</v>
      </c>
      <c r="AQ356" s="15">
        <f t="shared" si="59"/>
        <v>9497.1648382310632</v>
      </c>
      <c r="AR356" s="15">
        <f t="shared" si="59"/>
        <v>9492.5596991950206</v>
      </c>
      <c r="AS356" s="15">
        <f t="shared" si="59"/>
        <v>4743.1044511515356</v>
      </c>
    </row>
    <row r="357" spans="2:45" x14ac:dyDescent="0.3">
      <c r="C357" s="1" t="s">
        <v>293</v>
      </c>
      <c r="D357" s="2" t="s">
        <v>84</v>
      </c>
      <c r="H357" s="32">
        <f t="shared" si="50"/>
        <v>209225.32768804702</v>
      </c>
      <c r="J357" s="32">
        <f t="shared" ref="J357:AS357" si="60">J342+J356</f>
        <v>0</v>
      </c>
      <c r="K357" s="32">
        <f t="shared" si="60"/>
        <v>0</v>
      </c>
      <c r="L357" s="32">
        <f t="shared" si="60"/>
        <v>0</v>
      </c>
      <c r="M357" s="32">
        <f t="shared" si="60"/>
        <v>-33450.899526027395</v>
      </c>
      <c r="N357" s="32">
        <f t="shared" si="60"/>
        <v>-26389</v>
      </c>
      <c r="O357" s="32">
        <f t="shared" si="60"/>
        <v>-9661.2818279999992</v>
      </c>
      <c r="P357" s="32">
        <f t="shared" si="60"/>
        <v>9125.245702440001</v>
      </c>
      <c r="Q357" s="32">
        <f t="shared" si="60"/>
        <v>11094.169104535413</v>
      </c>
      <c r="R357" s="32">
        <f t="shared" si="60"/>
        <v>9177.4482068473662</v>
      </c>
      <c r="S357" s="32">
        <f t="shared" si="60"/>
        <v>9202.453560519416</v>
      </c>
      <c r="T357" s="32">
        <f t="shared" si="60"/>
        <v>9226.6919884183953</v>
      </c>
      <c r="U357" s="32">
        <f t="shared" si="60"/>
        <v>9250.1353343979499</v>
      </c>
      <c r="V357" s="32">
        <f t="shared" si="60"/>
        <v>9272.7546915749299</v>
      </c>
      <c r="W357" s="32">
        <f t="shared" si="60"/>
        <v>9294.520383580526</v>
      </c>
      <c r="X357" s="32">
        <f t="shared" si="60"/>
        <v>9315.4019453503151</v>
      </c>
      <c r="Y357" s="32">
        <f t="shared" si="60"/>
        <v>9335.368103442077</v>
      </c>
      <c r="Z357" s="32">
        <f t="shared" si="60"/>
        <v>9354.386755869682</v>
      </c>
      <c r="AA357" s="32">
        <f t="shared" si="60"/>
        <v>9372.4249514412422</v>
      </c>
      <c r="AB357" s="32">
        <f t="shared" si="60"/>
        <v>9389.4488685893157</v>
      </c>
      <c r="AC357" s="32">
        <f t="shared" si="60"/>
        <v>9405.4237936807895</v>
      </c>
      <c r="AD357" s="32">
        <f t="shared" si="60"/>
        <v>9420.3140987935913</v>
      </c>
      <c r="AE357" s="32">
        <f t="shared" si="60"/>
        <v>9434.0832189472239</v>
      </c>
      <c r="AF357" s="32">
        <f t="shared" si="60"/>
        <v>9446.6936287736462</v>
      </c>
      <c r="AG357" s="32">
        <f t="shared" si="60"/>
        <v>9458.1068186148987</v>
      </c>
      <c r="AH357" s="32">
        <f t="shared" si="60"/>
        <v>9468.2832700332729</v>
      </c>
      <c r="AI357" s="32">
        <f t="shared" si="60"/>
        <v>9477.1824307197239</v>
      </c>
      <c r="AJ357" s="32">
        <f t="shared" si="60"/>
        <v>9484.7626887856968</v>
      </c>
      <c r="AK357" s="32">
        <f t="shared" si="60"/>
        <v>9490.981346423283</v>
      </c>
      <c r="AL357" s="32">
        <f t="shared" si="60"/>
        <v>9495.7945929182024</v>
      </c>
      <c r="AM357" s="32">
        <f t="shared" si="60"/>
        <v>9499.1574769997278</v>
      </c>
      <c r="AN357" s="32">
        <f t="shared" si="60"/>
        <v>9501.0238785112888</v>
      </c>
      <c r="AO357" s="32">
        <f t="shared" si="60"/>
        <v>9501.3464793850908</v>
      </c>
      <c r="AP357" s="32">
        <f t="shared" si="60"/>
        <v>9500.0767339037029</v>
      </c>
      <c r="AQ357" s="32">
        <f t="shared" si="60"/>
        <v>9497.1648382310632</v>
      </c>
      <c r="AR357" s="32">
        <f t="shared" si="60"/>
        <v>9492.5596991950206</v>
      </c>
      <c r="AS357" s="32">
        <f t="shared" si="60"/>
        <v>4743.1044511515356</v>
      </c>
    </row>
    <row r="358" spans="2:45" x14ac:dyDescent="0.3">
      <c r="C358" s="6" t="s">
        <v>294</v>
      </c>
      <c r="D358" s="2" t="s">
        <v>3</v>
      </c>
      <c r="J358" s="62">
        <f>(1+Discount_Rate)^((Inputs!$E$26-J$329)/Days_In_Year)</f>
        <v>1.4137125510793771</v>
      </c>
      <c r="K358" s="62">
        <f>(1+Discount_Rate)^((Inputs!$E$26-K$329)/Days_In_Year)</f>
        <v>1.3089931028512751</v>
      </c>
      <c r="L358" s="62">
        <f>(1+Discount_Rate)^((Inputs!$E$26-L$329)/Days_In_Year)</f>
        <v>1.2117751184391485</v>
      </c>
      <c r="M358" s="62">
        <f>(1+Discount_Rate)^((Inputs!$E$26-M$329)/Days_In_Year)</f>
        <v>1.122013998554767</v>
      </c>
      <c r="N358" s="62">
        <f>(1+Discount_Rate)^((Inputs!$E$26-N$329)/Days_In_Year)</f>
        <v>1.0389018505136731</v>
      </c>
      <c r="O358" s="62">
        <f>(1+Discount_Rate)^((Inputs!$E$26-O$329)/Days_In_Year)</f>
        <v>0.96194615788303062</v>
      </c>
      <c r="P358" s="62">
        <f>(1+Discount_Rate)^((Inputs!$E$26-P$329)/Days_In_Year)</f>
        <v>0.8905031026227137</v>
      </c>
      <c r="Q358" s="62">
        <f>(1+Discount_Rate)^((Inputs!$E$26-Q$329)/Days_In_Year)</f>
        <v>0.8245399098358458</v>
      </c>
      <c r="R358" s="62">
        <f>(1+Discount_Rate)^((Inputs!$E$26-R$329)/Days_In_Year)</f>
        <v>0.76346287947763503</v>
      </c>
      <c r="S358" s="62">
        <f>(1+Discount_Rate)^((Inputs!$E$26-S$329)/Days_In_Year)</f>
        <v>0.7069100735904027</v>
      </c>
      <c r="T358" s="62">
        <f>(1+Discount_Rate)^((Inputs!$E$26-T$329)/Days_In_Year)</f>
        <v>0.6544083664649869</v>
      </c>
      <c r="U358" s="62">
        <f>(1+Discount_Rate)^((Inputs!$E$26-U$329)/Days_In_Year)</f>
        <v>0.60593367265276554</v>
      </c>
      <c r="V358" s="62">
        <f>(1+Discount_Rate)^((Inputs!$E$26-V$329)/Days_In_Year)</f>
        <v>0.56104969690070883</v>
      </c>
      <c r="W358" s="62">
        <f>(1+Discount_Rate)^((Inputs!$E$26-W$329)/Days_In_Year)</f>
        <v>0.51949046009324884</v>
      </c>
      <c r="X358" s="62">
        <f>(1+Discount_Rate)^((Inputs!$E$26-X$329)/Days_In_Year)</f>
        <v>0.48090827402856651</v>
      </c>
      <c r="Y358" s="62">
        <f>(1+Discount_Rate)^((Inputs!$E$26-Y$329)/Days_In_Year)</f>
        <v>0.44528543891533923</v>
      </c>
      <c r="Z358" s="62">
        <f>(1+Discount_Rate)^((Inputs!$E$26-Z$329)/Days_In_Year)</f>
        <v>0.41230133232901778</v>
      </c>
      <c r="AA358" s="62">
        <f>(1+Discount_Rate)^((Inputs!$E$26-AA$329)/Days_In_Year)</f>
        <v>0.38176049289723868</v>
      </c>
      <c r="AB358" s="62">
        <f>(1+Discount_Rate)^((Inputs!$E$26-AB$329)/Days_In_Year)</f>
        <v>0.35340741329215369</v>
      </c>
      <c r="AC358" s="62">
        <f>(1+Discount_Rate)^((Inputs!$E$26-AC$329)/Days_In_Year)</f>
        <v>0.32722908638162373</v>
      </c>
      <c r="AD358" s="62">
        <f>(1+Discount_Rate)^((Inputs!$E$26-AD$329)/Days_In_Year)</f>
        <v>0.30298989479779975</v>
      </c>
      <c r="AE358" s="62">
        <f>(1+Discount_Rate)^((Inputs!$E$26-AE$329)/Days_In_Year)</f>
        <v>0.28054619888685151</v>
      </c>
      <c r="AF358" s="62">
        <f>(1+Discount_Rate)^((Inputs!$E$26-AF$329)/Days_In_Year)</f>
        <v>0.25971023273022764</v>
      </c>
      <c r="AG358" s="62">
        <f>(1+Discount_Rate)^((Inputs!$E$26-AG$329)/Days_In_Year)</f>
        <v>0.24047243771317375</v>
      </c>
      <c r="AH358" s="62">
        <f>(1+Discount_Rate)^((Inputs!$E$26-AH$329)/Days_In_Year)</f>
        <v>0.22265966454923491</v>
      </c>
      <c r="AI358" s="62">
        <f>(1+Discount_Rate)^((Inputs!$E$26-AI$329)/Days_In_Year)</f>
        <v>0.20616635606410641</v>
      </c>
      <c r="AJ358" s="62">
        <f>(1+Discount_Rate)^((Inputs!$E$26-AJ$329)/Days_In_Year)</f>
        <v>0.19085452779970458</v>
      </c>
      <c r="AK358" s="62">
        <f>(1+Discount_Rate)^((Inputs!$E$26-AK$329)/Days_In_Year)</f>
        <v>0.17671715537009683</v>
      </c>
      <c r="AL358" s="62">
        <f>(1+Discount_Rate)^((Inputs!$E$26-AL$329)/Days_In_Year)</f>
        <v>0.16362699571305259</v>
      </c>
      <c r="AM358" s="62">
        <f>(1+Discount_Rate)^((Inputs!$E$26-AM$329)/Days_In_Year)</f>
        <v>0.15150647751208571</v>
      </c>
      <c r="AN358" s="62">
        <f>(1+Discount_Rate)^((Inputs!$E$26-AN$329)/Days_In_Year)</f>
        <v>0.14025419945422371</v>
      </c>
      <c r="AO358" s="62">
        <f>(1+Discount_Rate)^((Inputs!$E$26-AO$329)/Days_In_Year)</f>
        <v>0.12986499949465158</v>
      </c>
      <c r="AP358" s="62">
        <f>(1+Discount_Rate)^((Inputs!$E$26-AP$329)/Days_In_Year)</f>
        <v>0.12024536990245513</v>
      </c>
      <c r="AQ358" s="62">
        <f>(1+Discount_Rate)^((Inputs!$E$26-AQ$329)/Days_In_Year)</f>
        <v>0.1113383054652362</v>
      </c>
      <c r="AR358" s="62">
        <f>(1+Discount_Rate)^((Inputs!$E$26-AR$329)/Days_In_Year)</f>
        <v>0.1030692889046335</v>
      </c>
      <c r="AS358" s="62">
        <f>(1+Discount_Rate)^((Inputs!$E$26-AS$329)/Days_In_Year)</f>
        <v>9.5434526763549549E-2</v>
      </c>
    </row>
    <row r="359" spans="2:45" x14ac:dyDescent="0.3">
      <c r="C359" s="6" t="s">
        <v>295</v>
      </c>
      <c r="D359" s="2" t="s">
        <v>84</v>
      </c>
      <c r="H359" s="8">
        <f>SUM(J359:AS359)</f>
        <v>104654.65424661252</v>
      </c>
      <c r="J359" s="8">
        <f t="shared" ref="J359:AS359" si="61">J356*J358</f>
        <v>0</v>
      </c>
      <c r="K359" s="8">
        <f t="shared" si="61"/>
        <v>0</v>
      </c>
      <c r="L359" s="8">
        <f t="shared" si="61"/>
        <v>0</v>
      </c>
      <c r="M359" s="8">
        <f t="shared" si="61"/>
        <v>0</v>
      </c>
      <c r="N359" s="8">
        <f t="shared" si="61"/>
        <v>0</v>
      </c>
      <c r="O359" s="8">
        <f t="shared" si="61"/>
        <v>4360.7118034009354</v>
      </c>
      <c r="P359" s="8">
        <f t="shared" si="61"/>
        <v>8126.059610217405</v>
      </c>
      <c r="Q359" s="8">
        <f t="shared" si="61"/>
        <v>7545.9446559692697</v>
      </c>
      <c r="R359" s="8">
        <f t="shared" si="61"/>
        <v>7006.6410342565487</v>
      </c>
      <c r="S359" s="8">
        <f t="shared" si="61"/>
        <v>6505.3071236790438</v>
      </c>
      <c r="T359" s="8">
        <f t="shared" si="61"/>
        <v>6038.0244320164638</v>
      </c>
      <c r="U359" s="8">
        <f t="shared" si="61"/>
        <v>5604.9684757068671</v>
      </c>
      <c r="V359" s="8">
        <f t="shared" si="61"/>
        <v>5202.4762091427401</v>
      </c>
      <c r="W359" s="8">
        <f t="shared" si="61"/>
        <v>4828.4146704123268</v>
      </c>
      <c r="X359" s="8">
        <f t="shared" si="61"/>
        <v>4479.8538714207707</v>
      </c>
      <c r="Y359" s="8">
        <f t="shared" si="61"/>
        <v>4156.9034833774631</v>
      </c>
      <c r="Z359" s="8">
        <f t="shared" si="61"/>
        <v>3856.826122565988</v>
      </c>
      <c r="AA359" s="8">
        <f t="shared" si="61"/>
        <v>3578.0215691045869</v>
      </c>
      <c r="AB359" s="8">
        <f t="shared" si="61"/>
        <v>3318.3008368870892</v>
      </c>
      <c r="AC359" s="8">
        <f t="shared" si="61"/>
        <v>3077.7282350381502</v>
      </c>
      <c r="AD359" s="8">
        <f t="shared" si="61"/>
        <v>2854.2599777557002</v>
      </c>
      <c r="AE359" s="8">
        <f t="shared" si="61"/>
        <v>2646.6961870578762</v>
      </c>
      <c r="AF359" s="8">
        <f t="shared" si="61"/>
        <v>2453.4030008599625</v>
      </c>
      <c r="AG359" s="8">
        <f t="shared" si="61"/>
        <v>2274.4140028239153</v>
      </c>
      <c r="AH359" s="8">
        <f t="shared" si="61"/>
        <v>2108.2047767627414</v>
      </c>
      <c r="AI359" s="8">
        <f t="shared" si="61"/>
        <v>1953.8761674962561</v>
      </c>
      <c r="AJ359" s="8">
        <f t="shared" si="61"/>
        <v>1810.2099042604505</v>
      </c>
      <c r="AK359" s="8">
        <f t="shared" si="61"/>
        <v>1677.219225210574</v>
      </c>
      <c r="AL359" s="8">
        <f t="shared" si="61"/>
        <v>1553.7683411474545</v>
      </c>
      <c r="AM359" s="8">
        <f t="shared" si="61"/>
        <v>1439.1838886728201</v>
      </c>
      <c r="AN359" s="8">
        <f t="shared" si="61"/>
        <v>1332.5584980760646</v>
      </c>
      <c r="AO359" s="8">
        <f t="shared" si="61"/>
        <v>1233.8923557438543</v>
      </c>
      <c r="AP359" s="8">
        <f t="shared" si="61"/>
        <v>1142.3402409699586</v>
      </c>
      <c r="AQ359" s="8">
        <f t="shared" si="61"/>
        <v>1057.3982398126707</v>
      </c>
      <c r="AR359" s="8">
        <f t="shared" si="61"/>
        <v>978.3913780808125</v>
      </c>
      <c r="AS359" s="8">
        <f t="shared" si="61"/>
        <v>452.65592868573219</v>
      </c>
    </row>
    <row r="360" spans="2:45" x14ac:dyDescent="0.3">
      <c r="C360" s="6" t="s">
        <v>296</v>
      </c>
      <c r="D360" s="2" t="s">
        <v>84</v>
      </c>
      <c r="H360" s="8">
        <f>SUM(J360:AS360)</f>
        <v>0</v>
      </c>
      <c r="J360" s="8">
        <f>0</f>
        <v>0</v>
      </c>
      <c r="K360" s="8">
        <f>0</f>
        <v>0</v>
      </c>
      <c r="L360" s="8">
        <f>0</f>
        <v>0</v>
      </c>
      <c r="M360" s="8">
        <f>0</f>
        <v>0</v>
      </c>
      <c r="N360" s="8">
        <f>0</f>
        <v>0</v>
      </c>
      <c r="O360" s="8">
        <f>0</f>
        <v>0</v>
      </c>
      <c r="P360" s="8">
        <f>0</f>
        <v>0</v>
      </c>
      <c r="Q360" s="8">
        <f>0</f>
        <v>0</v>
      </c>
      <c r="R360" s="8">
        <f>0</f>
        <v>0</v>
      </c>
      <c r="S360" s="8">
        <f>0</f>
        <v>0</v>
      </c>
      <c r="T360" s="8">
        <f>0</f>
        <v>0</v>
      </c>
      <c r="U360" s="8">
        <f>0</f>
        <v>0</v>
      </c>
      <c r="V360" s="8">
        <f>0</f>
        <v>0</v>
      </c>
      <c r="W360" s="8">
        <f>0</f>
        <v>0</v>
      </c>
      <c r="X360" s="8">
        <f>0</f>
        <v>0</v>
      </c>
      <c r="Y360" s="8">
        <f>0</f>
        <v>0</v>
      </c>
      <c r="Z360" s="8">
        <f>0</f>
        <v>0</v>
      </c>
      <c r="AA360" s="8">
        <f>0</f>
        <v>0</v>
      </c>
      <c r="AB360" s="8">
        <f>0</f>
        <v>0</v>
      </c>
      <c r="AC360" s="8">
        <f>0</f>
        <v>0</v>
      </c>
      <c r="AD360" s="8">
        <f>0</f>
        <v>0</v>
      </c>
      <c r="AE360" s="8">
        <f>0</f>
        <v>0</v>
      </c>
      <c r="AF360" s="8">
        <f>0</f>
        <v>0</v>
      </c>
      <c r="AG360" s="8">
        <f>0</f>
        <v>0</v>
      </c>
      <c r="AH360" s="8">
        <f>0</f>
        <v>0</v>
      </c>
      <c r="AI360" s="8">
        <f>0</f>
        <v>0</v>
      </c>
      <c r="AJ360" s="8">
        <f>0</f>
        <v>0</v>
      </c>
      <c r="AK360" s="8">
        <f>0</f>
        <v>0</v>
      </c>
      <c r="AL360" s="8">
        <f>0</f>
        <v>0</v>
      </c>
      <c r="AM360" s="8">
        <f>0</f>
        <v>0</v>
      </c>
      <c r="AN360" s="8">
        <f>0</f>
        <v>0</v>
      </c>
      <c r="AO360" s="8">
        <f>0</f>
        <v>0</v>
      </c>
      <c r="AP360" s="8">
        <f>0</f>
        <v>0</v>
      </c>
      <c r="AQ360" s="8">
        <f>0</f>
        <v>0</v>
      </c>
      <c r="AR360" s="8">
        <f>0</f>
        <v>0</v>
      </c>
      <c r="AS360" s="8">
        <f>0</f>
        <v>0</v>
      </c>
    </row>
    <row r="361" spans="2:45" x14ac:dyDescent="0.3">
      <c r="C361" s="1" t="s">
        <v>297</v>
      </c>
      <c r="D361" s="2" t="s">
        <v>84</v>
      </c>
      <c r="H361" s="32">
        <f>SUM(J361:AS361)</f>
        <v>32562.72047400978</v>
      </c>
      <c r="J361" s="32">
        <f t="shared" ref="J361:AS361" si="62">J342*(J332&lt;=0)+J337*($H359+$E$62+$E$63)+J360</f>
        <v>0</v>
      </c>
      <c r="K361" s="32">
        <f t="shared" si="62"/>
        <v>0</v>
      </c>
      <c r="L361" s="32">
        <f t="shared" si="62"/>
        <v>0</v>
      </c>
      <c r="M361" s="32">
        <f t="shared" si="62"/>
        <v>-33450.899526027395</v>
      </c>
      <c r="N361" s="32">
        <f t="shared" si="62"/>
        <v>-26389</v>
      </c>
      <c r="O361" s="32">
        <f t="shared" si="62"/>
        <v>92402.620000037175</v>
      </c>
      <c r="P361" s="32">
        <f t="shared" si="62"/>
        <v>0</v>
      </c>
      <c r="Q361" s="32">
        <f t="shared" si="62"/>
        <v>0</v>
      </c>
      <c r="R361" s="32">
        <f t="shared" si="62"/>
        <v>0</v>
      </c>
      <c r="S361" s="32">
        <f t="shared" si="62"/>
        <v>0</v>
      </c>
      <c r="T361" s="32">
        <f t="shared" si="62"/>
        <v>0</v>
      </c>
      <c r="U361" s="32">
        <f t="shared" si="62"/>
        <v>0</v>
      </c>
      <c r="V361" s="32">
        <f t="shared" si="62"/>
        <v>0</v>
      </c>
      <c r="W361" s="32">
        <f t="shared" si="62"/>
        <v>0</v>
      </c>
      <c r="X361" s="32">
        <f t="shared" si="62"/>
        <v>0</v>
      </c>
      <c r="Y361" s="32">
        <f t="shared" si="62"/>
        <v>0</v>
      </c>
      <c r="Z361" s="32">
        <f t="shared" si="62"/>
        <v>0</v>
      </c>
      <c r="AA361" s="32">
        <f t="shared" si="62"/>
        <v>0</v>
      </c>
      <c r="AB361" s="32">
        <f t="shared" si="62"/>
        <v>0</v>
      </c>
      <c r="AC361" s="32">
        <f t="shared" si="62"/>
        <v>0</v>
      </c>
      <c r="AD361" s="32">
        <f t="shared" si="62"/>
        <v>0</v>
      </c>
      <c r="AE361" s="32">
        <f t="shared" si="62"/>
        <v>0</v>
      </c>
      <c r="AF361" s="32">
        <f t="shared" si="62"/>
        <v>0</v>
      </c>
      <c r="AG361" s="32">
        <f t="shared" si="62"/>
        <v>0</v>
      </c>
      <c r="AH361" s="32">
        <f t="shared" si="62"/>
        <v>0</v>
      </c>
      <c r="AI361" s="32">
        <f t="shared" si="62"/>
        <v>0</v>
      </c>
      <c r="AJ361" s="32">
        <f t="shared" si="62"/>
        <v>0</v>
      </c>
      <c r="AK361" s="32">
        <f t="shared" si="62"/>
        <v>0</v>
      </c>
      <c r="AL361" s="32">
        <f t="shared" si="62"/>
        <v>0</v>
      </c>
      <c r="AM361" s="32">
        <f t="shared" si="62"/>
        <v>0</v>
      </c>
      <c r="AN361" s="32">
        <f t="shared" si="62"/>
        <v>0</v>
      </c>
      <c r="AO361" s="32">
        <f t="shared" si="62"/>
        <v>0</v>
      </c>
      <c r="AP361" s="32">
        <f t="shared" si="62"/>
        <v>0</v>
      </c>
      <c r="AQ361" s="32">
        <f t="shared" si="62"/>
        <v>0</v>
      </c>
      <c r="AR361" s="32">
        <f t="shared" si="62"/>
        <v>0</v>
      </c>
      <c r="AS361" s="32">
        <f t="shared" si="62"/>
        <v>0</v>
      </c>
    </row>
    <row r="363" spans="2:45" x14ac:dyDescent="0.3">
      <c r="B363" s="4" t="s">
        <v>3</v>
      </c>
      <c r="C363" s="4" t="s">
        <v>298</v>
      </c>
      <c r="D363" s="4"/>
      <c r="E363" s="5"/>
      <c r="F363" s="5" t="s">
        <v>266</v>
      </c>
      <c r="G363" s="5"/>
      <c r="H363" s="5" t="s">
        <v>8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</row>
    <row r="364" spans="2:45" x14ac:dyDescent="0.3">
      <c r="C364" s="6" t="s">
        <v>267</v>
      </c>
      <c r="D364" s="2" t="s">
        <v>268</v>
      </c>
      <c r="J364" s="54">
        <f>J$328-YEAR(Inputs!$F$26)</f>
        <v>-5</v>
      </c>
      <c r="K364" s="54">
        <f>K$328-YEAR(Inputs!$F$26)</f>
        <v>-4</v>
      </c>
      <c r="L364" s="54">
        <f>L$328-YEAR(Inputs!$F$26)</f>
        <v>-3</v>
      </c>
      <c r="M364" s="54">
        <f>M$328-YEAR(Inputs!$F$26)</f>
        <v>-2</v>
      </c>
      <c r="N364" s="54">
        <f>N$328-YEAR(Inputs!$F$26)</f>
        <v>-1</v>
      </c>
      <c r="O364" s="54">
        <f>O$328-YEAR(Inputs!$F$26)</f>
        <v>0</v>
      </c>
      <c r="P364" s="54">
        <f>P$328-YEAR(Inputs!$F$26)</f>
        <v>1</v>
      </c>
      <c r="Q364" s="54">
        <f>Q$328-YEAR(Inputs!$F$26)</f>
        <v>2</v>
      </c>
      <c r="R364" s="54">
        <f>R$328-YEAR(Inputs!$F$26)</f>
        <v>3</v>
      </c>
      <c r="S364" s="54">
        <f>S$328-YEAR(Inputs!$F$26)</f>
        <v>4</v>
      </c>
      <c r="T364" s="54">
        <f>T$328-YEAR(Inputs!$F$26)</f>
        <v>5</v>
      </c>
      <c r="U364" s="54">
        <f>U$328-YEAR(Inputs!$F$26)</f>
        <v>6</v>
      </c>
      <c r="V364" s="54">
        <f>V$328-YEAR(Inputs!$F$26)</f>
        <v>7</v>
      </c>
      <c r="W364" s="54">
        <f>W$328-YEAR(Inputs!$F$26)</f>
        <v>8</v>
      </c>
      <c r="X364" s="54">
        <f>X$328-YEAR(Inputs!$F$26)</f>
        <v>9</v>
      </c>
      <c r="Y364" s="54">
        <f>Y$328-YEAR(Inputs!$F$26)</f>
        <v>10</v>
      </c>
      <c r="Z364" s="54">
        <f>Z$328-YEAR(Inputs!$F$26)</f>
        <v>11</v>
      </c>
      <c r="AA364" s="54">
        <f>AA$328-YEAR(Inputs!$F$26)</f>
        <v>12</v>
      </c>
      <c r="AB364" s="54">
        <f>AB$328-YEAR(Inputs!$F$26)</f>
        <v>13</v>
      </c>
      <c r="AC364" s="54">
        <f>AC$328-YEAR(Inputs!$F$26)</f>
        <v>14</v>
      </c>
      <c r="AD364" s="54">
        <f>AD$328-YEAR(Inputs!$F$26)</f>
        <v>15</v>
      </c>
      <c r="AE364" s="54">
        <f>AE$328-YEAR(Inputs!$F$26)</f>
        <v>16</v>
      </c>
      <c r="AF364" s="54">
        <f>AF$328-YEAR(Inputs!$F$26)</f>
        <v>17</v>
      </c>
      <c r="AG364" s="54">
        <f>AG$328-YEAR(Inputs!$F$26)</f>
        <v>18</v>
      </c>
      <c r="AH364" s="54">
        <f>AH$328-YEAR(Inputs!$F$26)</f>
        <v>19</v>
      </c>
      <c r="AI364" s="54">
        <f>AI$328-YEAR(Inputs!$F$26)</f>
        <v>20</v>
      </c>
      <c r="AJ364" s="54">
        <f>AJ$328-YEAR(Inputs!$F$26)</f>
        <v>21</v>
      </c>
      <c r="AK364" s="54">
        <f>AK$328-YEAR(Inputs!$F$26)</f>
        <v>22</v>
      </c>
      <c r="AL364" s="54">
        <f>AL$328-YEAR(Inputs!$F$26)</f>
        <v>23</v>
      </c>
      <c r="AM364" s="54">
        <f>AM$328-YEAR(Inputs!$F$26)</f>
        <v>24</v>
      </c>
      <c r="AN364" s="54">
        <f>AN$328-YEAR(Inputs!$F$26)</f>
        <v>25</v>
      </c>
      <c r="AO364" s="54">
        <f>AO$328-YEAR(Inputs!$F$26)</f>
        <v>26</v>
      </c>
      <c r="AP364" s="54">
        <f>AP$328-YEAR(Inputs!$F$26)</f>
        <v>27</v>
      </c>
      <c r="AQ364" s="54">
        <f>AQ$328-YEAR(Inputs!$F$26)</f>
        <v>28</v>
      </c>
      <c r="AR364" s="54">
        <f>AR$328-YEAR(Inputs!$F$26)</f>
        <v>29</v>
      </c>
      <c r="AS364" s="54">
        <f>AS$328-YEAR(Inputs!$F$26)</f>
        <v>30</v>
      </c>
    </row>
    <row r="365" spans="2:45" x14ac:dyDescent="0.3">
      <c r="C365" s="6" t="s">
        <v>269</v>
      </c>
      <c r="D365" s="2" t="s">
        <v>270</v>
      </c>
      <c r="F365" s="54">
        <f>DATEDIF(Inputs!$F$25,Inputs!$F$26,"m")</f>
        <v>24</v>
      </c>
      <c r="J365" s="54">
        <f>(J$328+1-YEAR(Inputs!$F$25))*Months_In_Year-MONTH(Inputs!$F$25)</f>
        <v>-30</v>
      </c>
      <c r="K365" s="54">
        <f>(K$328+1-YEAR(Inputs!$F$25))*Months_In_Year-MONTH(Inputs!$F$25)</f>
        <v>-18</v>
      </c>
      <c r="L365" s="54">
        <f>(L$328+1-YEAR(Inputs!$F$25))*Months_In_Year-MONTH(Inputs!$F$25)</f>
        <v>-6</v>
      </c>
      <c r="M365" s="54">
        <f>(M$328+1-YEAR(Inputs!$F$25))*Months_In_Year-MONTH(Inputs!$F$25)</f>
        <v>6</v>
      </c>
      <c r="N365" s="54">
        <f>(N$328+1-YEAR(Inputs!$F$25))*Months_In_Year-MONTH(Inputs!$F$25)</f>
        <v>18</v>
      </c>
      <c r="O365" s="54">
        <f>(O$328+1-YEAR(Inputs!$F$25))*Months_In_Year-MONTH(Inputs!$F$25)</f>
        <v>30</v>
      </c>
      <c r="P365" s="54">
        <f>(P$328+1-YEAR(Inputs!$F$25))*Months_In_Year-MONTH(Inputs!$F$25)</f>
        <v>42</v>
      </c>
      <c r="Q365" s="54">
        <f>(Q$328+1-YEAR(Inputs!$F$25))*Months_In_Year-MONTH(Inputs!$F$25)</f>
        <v>54</v>
      </c>
      <c r="R365" s="54">
        <f>(R$328+1-YEAR(Inputs!$F$25))*Months_In_Year-MONTH(Inputs!$F$25)</f>
        <v>66</v>
      </c>
      <c r="S365" s="54">
        <f>(S$328+1-YEAR(Inputs!$F$25))*Months_In_Year-MONTH(Inputs!$F$25)</f>
        <v>78</v>
      </c>
      <c r="T365" s="54">
        <f>(T$328+1-YEAR(Inputs!$F$25))*Months_In_Year-MONTH(Inputs!$F$25)</f>
        <v>90</v>
      </c>
      <c r="U365" s="54">
        <f>(U$328+1-YEAR(Inputs!$F$25))*Months_In_Year-MONTH(Inputs!$F$25)</f>
        <v>102</v>
      </c>
      <c r="V365" s="54">
        <f>(V$328+1-YEAR(Inputs!$F$25))*Months_In_Year-MONTH(Inputs!$F$25)</f>
        <v>114</v>
      </c>
      <c r="W365" s="54">
        <f>(W$328+1-YEAR(Inputs!$F$25))*Months_In_Year-MONTH(Inputs!$F$25)</f>
        <v>126</v>
      </c>
      <c r="X365" s="54">
        <f>(X$328+1-YEAR(Inputs!$F$25))*Months_In_Year-MONTH(Inputs!$F$25)</f>
        <v>138</v>
      </c>
      <c r="Y365" s="54">
        <f>(Y$328+1-YEAR(Inputs!$F$25))*Months_In_Year-MONTH(Inputs!$F$25)</f>
        <v>150</v>
      </c>
      <c r="Z365" s="54">
        <f>(Z$328+1-YEAR(Inputs!$F$25))*Months_In_Year-MONTH(Inputs!$F$25)</f>
        <v>162</v>
      </c>
      <c r="AA365" s="54">
        <f>(AA$328+1-YEAR(Inputs!$F$25))*Months_In_Year-MONTH(Inputs!$F$25)</f>
        <v>174</v>
      </c>
      <c r="AB365" s="54">
        <f>(AB$328+1-YEAR(Inputs!$F$25))*Months_In_Year-MONTH(Inputs!$F$25)</f>
        <v>186</v>
      </c>
      <c r="AC365" s="54">
        <f>(AC$328+1-YEAR(Inputs!$F$25))*Months_In_Year-MONTH(Inputs!$F$25)</f>
        <v>198</v>
      </c>
      <c r="AD365" s="54">
        <f>(AD$328+1-YEAR(Inputs!$F$25))*Months_In_Year-MONTH(Inputs!$F$25)</f>
        <v>210</v>
      </c>
      <c r="AE365" s="54">
        <f>(AE$328+1-YEAR(Inputs!$F$25))*Months_In_Year-MONTH(Inputs!$F$25)</f>
        <v>222</v>
      </c>
      <c r="AF365" s="54">
        <f>(AF$328+1-YEAR(Inputs!$F$25))*Months_In_Year-MONTH(Inputs!$F$25)</f>
        <v>234</v>
      </c>
      <c r="AG365" s="54">
        <f>(AG$328+1-YEAR(Inputs!$F$25))*Months_In_Year-MONTH(Inputs!$F$25)</f>
        <v>246</v>
      </c>
      <c r="AH365" s="54">
        <f>(AH$328+1-YEAR(Inputs!$F$25))*Months_In_Year-MONTH(Inputs!$F$25)</f>
        <v>258</v>
      </c>
      <c r="AI365" s="54">
        <f>(AI$328+1-YEAR(Inputs!$F$25))*Months_In_Year-MONTH(Inputs!$F$25)</f>
        <v>270</v>
      </c>
      <c r="AJ365" s="54">
        <f>(AJ$328+1-YEAR(Inputs!$F$25))*Months_In_Year-MONTH(Inputs!$F$25)</f>
        <v>282</v>
      </c>
      <c r="AK365" s="54">
        <f>(AK$328+1-YEAR(Inputs!$F$25))*Months_In_Year-MONTH(Inputs!$F$25)</f>
        <v>294</v>
      </c>
      <c r="AL365" s="54">
        <f>(AL$328+1-YEAR(Inputs!$F$25))*Months_In_Year-MONTH(Inputs!$F$25)</f>
        <v>306</v>
      </c>
      <c r="AM365" s="54">
        <f>(AM$328+1-YEAR(Inputs!$F$25))*Months_In_Year-MONTH(Inputs!$F$25)</f>
        <v>318</v>
      </c>
      <c r="AN365" s="54">
        <f>(AN$328+1-YEAR(Inputs!$F$25))*Months_In_Year-MONTH(Inputs!$F$25)</f>
        <v>330</v>
      </c>
      <c r="AO365" s="54">
        <f>(AO$328+1-YEAR(Inputs!$F$25))*Months_In_Year-MONTH(Inputs!$F$25)</f>
        <v>342</v>
      </c>
      <c r="AP365" s="54">
        <f>(AP$328+1-YEAR(Inputs!$F$25))*Months_In_Year-MONTH(Inputs!$F$25)</f>
        <v>354</v>
      </c>
      <c r="AQ365" s="54">
        <f>(AQ$328+1-YEAR(Inputs!$F$25))*Months_In_Year-MONTH(Inputs!$F$25)</f>
        <v>366</v>
      </c>
      <c r="AR365" s="54">
        <f>(AR$328+1-YEAR(Inputs!$F$25))*Months_In_Year-MONTH(Inputs!$F$25)</f>
        <v>378</v>
      </c>
      <c r="AS365" s="54">
        <f>(AS$328+1-YEAR(Inputs!$F$25))*Months_In_Year-MONTH(Inputs!$F$25)</f>
        <v>390</v>
      </c>
    </row>
    <row r="366" spans="2:45" x14ac:dyDescent="0.3">
      <c r="C366" s="6" t="s">
        <v>271</v>
      </c>
      <c r="D366" s="2" t="s">
        <v>12</v>
      </c>
      <c r="H366" s="60">
        <f>SUM(J366:AS366)</f>
        <v>1</v>
      </c>
      <c r="J366" s="48">
        <f t="shared" ref="J366:AS366" si="63">MAX(0,MIN(J365,$F365)-MAX(J365-Months_In_Year,0))/$F365</f>
        <v>0</v>
      </c>
      <c r="K366" s="48">
        <f t="shared" si="63"/>
        <v>0</v>
      </c>
      <c r="L366" s="48">
        <f t="shared" si="63"/>
        <v>0</v>
      </c>
      <c r="M366" s="48">
        <f t="shared" si="63"/>
        <v>0.25</v>
      </c>
      <c r="N366" s="48">
        <f t="shared" si="63"/>
        <v>0.5</v>
      </c>
      <c r="O366" s="48">
        <f t="shared" si="63"/>
        <v>0.25</v>
      </c>
      <c r="P366" s="48">
        <f t="shared" si="63"/>
        <v>0</v>
      </c>
      <c r="Q366" s="48">
        <f t="shared" si="63"/>
        <v>0</v>
      </c>
      <c r="R366" s="48">
        <f t="shared" si="63"/>
        <v>0</v>
      </c>
      <c r="S366" s="48">
        <f t="shared" si="63"/>
        <v>0</v>
      </c>
      <c r="T366" s="48">
        <f t="shared" si="63"/>
        <v>0</v>
      </c>
      <c r="U366" s="48">
        <f t="shared" si="63"/>
        <v>0</v>
      </c>
      <c r="V366" s="48">
        <f t="shared" si="63"/>
        <v>0</v>
      </c>
      <c r="W366" s="48">
        <f t="shared" si="63"/>
        <v>0</v>
      </c>
      <c r="X366" s="48">
        <f t="shared" si="63"/>
        <v>0</v>
      </c>
      <c r="Y366" s="48">
        <f t="shared" si="63"/>
        <v>0</v>
      </c>
      <c r="Z366" s="48">
        <f t="shared" si="63"/>
        <v>0</v>
      </c>
      <c r="AA366" s="48">
        <f t="shared" si="63"/>
        <v>0</v>
      </c>
      <c r="AB366" s="48">
        <f t="shared" si="63"/>
        <v>0</v>
      </c>
      <c r="AC366" s="48">
        <f t="shared" si="63"/>
        <v>0</v>
      </c>
      <c r="AD366" s="48">
        <f t="shared" si="63"/>
        <v>0</v>
      </c>
      <c r="AE366" s="48">
        <f t="shared" si="63"/>
        <v>0</v>
      </c>
      <c r="AF366" s="48">
        <f t="shared" si="63"/>
        <v>0</v>
      </c>
      <c r="AG366" s="48">
        <f t="shared" si="63"/>
        <v>0</v>
      </c>
      <c r="AH366" s="48">
        <f t="shared" si="63"/>
        <v>0</v>
      </c>
      <c r="AI366" s="48">
        <f t="shared" si="63"/>
        <v>0</v>
      </c>
      <c r="AJ366" s="48">
        <f t="shared" si="63"/>
        <v>0</v>
      </c>
      <c r="AK366" s="48">
        <f t="shared" si="63"/>
        <v>0</v>
      </c>
      <c r="AL366" s="48">
        <f t="shared" si="63"/>
        <v>0</v>
      </c>
      <c r="AM366" s="48">
        <f t="shared" si="63"/>
        <v>0</v>
      </c>
      <c r="AN366" s="48">
        <f t="shared" si="63"/>
        <v>0</v>
      </c>
      <c r="AO366" s="48">
        <f t="shared" si="63"/>
        <v>0</v>
      </c>
      <c r="AP366" s="48">
        <f t="shared" si="63"/>
        <v>0</v>
      </c>
      <c r="AQ366" s="48">
        <f t="shared" si="63"/>
        <v>0</v>
      </c>
      <c r="AR366" s="48">
        <f t="shared" si="63"/>
        <v>0</v>
      </c>
      <c r="AS366" s="48">
        <f t="shared" si="63"/>
        <v>0</v>
      </c>
    </row>
    <row r="367" spans="2:45" x14ac:dyDescent="0.3">
      <c r="C367" s="6" t="s">
        <v>272</v>
      </c>
      <c r="D367" s="2" t="s">
        <v>270</v>
      </c>
      <c r="F367" s="54">
        <f>Life*Months_In_Year</f>
        <v>360</v>
      </c>
      <c r="J367" s="54">
        <f>(J$328+1-YEAR(Inputs!$F$26))*Months_In_Year-MONTH(Inputs!$F$26)</f>
        <v>-54</v>
      </c>
      <c r="K367" s="54">
        <f>(K$328+1-YEAR(Inputs!$F$26))*Months_In_Year-MONTH(Inputs!$F$26)</f>
        <v>-42</v>
      </c>
      <c r="L367" s="54">
        <f>(L$328+1-YEAR(Inputs!$F$26))*Months_In_Year-MONTH(Inputs!$F$26)</f>
        <v>-30</v>
      </c>
      <c r="M367" s="54">
        <f>(M$328+1-YEAR(Inputs!$F$26))*Months_In_Year-MONTH(Inputs!$F$26)</f>
        <v>-18</v>
      </c>
      <c r="N367" s="54">
        <f>(N$328+1-YEAR(Inputs!$F$26))*Months_In_Year-MONTH(Inputs!$F$26)</f>
        <v>-6</v>
      </c>
      <c r="O367" s="54">
        <f>(O$328+1-YEAR(Inputs!$F$26))*Months_In_Year-MONTH(Inputs!$F$26)</f>
        <v>6</v>
      </c>
      <c r="P367" s="54">
        <f>(P$328+1-YEAR(Inputs!$F$26))*Months_In_Year-MONTH(Inputs!$F$26)</f>
        <v>18</v>
      </c>
      <c r="Q367" s="54">
        <f>(Q$328+1-YEAR(Inputs!$F$26))*Months_In_Year-MONTH(Inputs!$F$26)</f>
        <v>30</v>
      </c>
      <c r="R367" s="54">
        <f>(R$328+1-YEAR(Inputs!$F$26))*Months_In_Year-MONTH(Inputs!$F$26)</f>
        <v>42</v>
      </c>
      <c r="S367" s="54">
        <f>(S$328+1-YEAR(Inputs!$F$26))*Months_In_Year-MONTH(Inputs!$F$26)</f>
        <v>54</v>
      </c>
      <c r="T367" s="54">
        <f>(T$328+1-YEAR(Inputs!$F$26))*Months_In_Year-MONTH(Inputs!$F$26)</f>
        <v>66</v>
      </c>
      <c r="U367" s="54">
        <f>(U$328+1-YEAR(Inputs!$F$26))*Months_In_Year-MONTH(Inputs!$F$26)</f>
        <v>78</v>
      </c>
      <c r="V367" s="54">
        <f>(V$328+1-YEAR(Inputs!$F$26))*Months_In_Year-MONTH(Inputs!$F$26)</f>
        <v>90</v>
      </c>
      <c r="W367" s="54">
        <f>(W$328+1-YEAR(Inputs!$F$26))*Months_In_Year-MONTH(Inputs!$F$26)</f>
        <v>102</v>
      </c>
      <c r="X367" s="54">
        <f>(X$328+1-YEAR(Inputs!$F$26))*Months_In_Year-MONTH(Inputs!$F$26)</f>
        <v>114</v>
      </c>
      <c r="Y367" s="54">
        <f>(Y$328+1-YEAR(Inputs!$F$26))*Months_In_Year-MONTH(Inputs!$F$26)</f>
        <v>126</v>
      </c>
      <c r="Z367" s="54">
        <f>(Z$328+1-YEAR(Inputs!$F$26))*Months_In_Year-MONTH(Inputs!$F$26)</f>
        <v>138</v>
      </c>
      <c r="AA367" s="54">
        <f>(AA$328+1-YEAR(Inputs!$F$26))*Months_In_Year-MONTH(Inputs!$F$26)</f>
        <v>150</v>
      </c>
      <c r="AB367" s="54">
        <f>(AB$328+1-YEAR(Inputs!$F$26))*Months_In_Year-MONTH(Inputs!$F$26)</f>
        <v>162</v>
      </c>
      <c r="AC367" s="54">
        <f>(AC$328+1-YEAR(Inputs!$F$26))*Months_In_Year-MONTH(Inputs!$F$26)</f>
        <v>174</v>
      </c>
      <c r="AD367" s="54">
        <f>(AD$328+1-YEAR(Inputs!$F$26))*Months_In_Year-MONTH(Inputs!$F$26)</f>
        <v>186</v>
      </c>
      <c r="AE367" s="54">
        <f>(AE$328+1-YEAR(Inputs!$F$26))*Months_In_Year-MONTH(Inputs!$F$26)</f>
        <v>198</v>
      </c>
      <c r="AF367" s="54">
        <f>(AF$328+1-YEAR(Inputs!$F$26))*Months_In_Year-MONTH(Inputs!$F$26)</f>
        <v>210</v>
      </c>
      <c r="AG367" s="54">
        <f>(AG$328+1-YEAR(Inputs!$F$26))*Months_In_Year-MONTH(Inputs!$F$26)</f>
        <v>222</v>
      </c>
      <c r="AH367" s="54">
        <f>(AH$328+1-YEAR(Inputs!$F$26))*Months_In_Year-MONTH(Inputs!$F$26)</f>
        <v>234</v>
      </c>
      <c r="AI367" s="54">
        <f>(AI$328+1-YEAR(Inputs!$F$26))*Months_In_Year-MONTH(Inputs!$F$26)</f>
        <v>246</v>
      </c>
      <c r="AJ367" s="54">
        <f>(AJ$328+1-YEAR(Inputs!$F$26))*Months_In_Year-MONTH(Inputs!$F$26)</f>
        <v>258</v>
      </c>
      <c r="AK367" s="54">
        <f>(AK$328+1-YEAR(Inputs!$F$26))*Months_In_Year-MONTH(Inputs!$F$26)</f>
        <v>270</v>
      </c>
      <c r="AL367" s="54">
        <f>(AL$328+1-YEAR(Inputs!$F$26))*Months_In_Year-MONTH(Inputs!$F$26)</f>
        <v>282</v>
      </c>
      <c r="AM367" s="54">
        <f>(AM$328+1-YEAR(Inputs!$F$26))*Months_In_Year-MONTH(Inputs!$F$26)</f>
        <v>294</v>
      </c>
      <c r="AN367" s="54">
        <f>(AN$328+1-YEAR(Inputs!$F$26))*Months_In_Year-MONTH(Inputs!$F$26)</f>
        <v>306</v>
      </c>
      <c r="AO367" s="54">
        <f>(AO$328+1-YEAR(Inputs!$F$26))*Months_In_Year-MONTH(Inputs!$F$26)</f>
        <v>318</v>
      </c>
      <c r="AP367" s="54">
        <f>(AP$328+1-YEAR(Inputs!$F$26))*Months_In_Year-MONTH(Inputs!$F$26)</f>
        <v>330</v>
      </c>
      <c r="AQ367" s="54">
        <f>(AQ$328+1-YEAR(Inputs!$F$26))*Months_In_Year-MONTH(Inputs!$F$26)</f>
        <v>342</v>
      </c>
      <c r="AR367" s="54">
        <f>(AR$328+1-YEAR(Inputs!$F$26))*Months_In_Year-MONTH(Inputs!$F$26)</f>
        <v>354</v>
      </c>
      <c r="AS367" s="54">
        <f>(AS$328+1-YEAR(Inputs!$F$26))*Months_In_Year-MONTH(Inputs!$F$26)</f>
        <v>366</v>
      </c>
    </row>
    <row r="368" spans="2:45" x14ac:dyDescent="0.3">
      <c r="C368" s="6" t="s">
        <v>273</v>
      </c>
      <c r="D368" s="2" t="s">
        <v>12</v>
      </c>
      <c r="H368" s="60">
        <f>SUM(J368:AS368)</f>
        <v>30</v>
      </c>
      <c r="J368" s="48">
        <f t="shared" ref="J368:AS368" si="64">MAX(0,MIN(J367,$F367)-MAX(J367-Months_In_Year,0))/Months_In_Year</f>
        <v>0</v>
      </c>
      <c r="K368" s="48">
        <f t="shared" si="64"/>
        <v>0</v>
      </c>
      <c r="L368" s="48">
        <f t="shared" si="64"/>
        <v>0</v>
      </c>
      <c r="M368" s="48">
        <f t="shared" si="64"/>
        <v>0</v>
      </c>
      <c r="N368" s="48">
        <f t="shared" si="64"/>
        <v>0</v>
      </c>
      <c r="O368" s="48">
        <f t="shared" si="64"/>
        <v>0.5</v>
      </c>
      <c r="P368" s="48">
        <f t="shared" si="64"/>
        <v>1</v>
      </c>
      <c r="Q368" s="48">
        <f t="shared" si="64"/>
        <v>1</v>
      </c>
      <c r="R368" s="48">
        <f t="shared" si="64"/>
        <v>1</v>
      </c>
      <c r="S368" s="48">
        <f t="shared" si="64"/>
        <v>1</v>
      </c>
      <c r="T368" s="48">
        <f t="shared" si="64"/>
        <v>1</v>
      </c>
      <c r="U368" s="48">
        <f t="shared" si="64"/>
        <v>1</v>
      </c>
      <c r="V368" s="48">
        <f t="shared" si="64"/>
        <v>1</v>
      </c>
      <c r="W368" s="48">
        <f t="shared" si="64"/>
        <v>1</v>
      </c>
      <c r="X368" s="48">
        <f t="shared" si="64"/>
        <v>1</v>
      </c>
      <c r="Y368" s="48">
        <f t="shared" si="64"/>
        <v>1</v>
      </c>
      <c r="Z368" s="48">
        <f t="shared" si="64"/>
        <v>1</v>
      </c>
      <c r="AA368" s="48">
        <f t="shared" si="64"/>
        <v>1</v>
      </c>
      <c r="AB368" s="48">
        <f t="shared" si="64"/>
        <v>1</v>
      </c>
      <c r="AC368" s="48">
        <f t="shared" si="64"/>
        <v>1</v>
      </c>
      <c r="AD368" s="48">
        <f t="shared" si="64"/>
        <v>1</v>
      </c>
      <c r="AE368" s="48">
        <f t="shared" si="64"/>
        <v>1</v>
      </c>
      <c r="AF368" s="48">
        <f t="shared" si="64"/>
        <v>1</v>
      </c>
      <c r="AG368" s="48">
        <f t="shared" si="64"/>
        <v>1</v>
      </c>
      <c r="AH368" s="48">
        <f t="shared" si="64"/>
        <v>1</v>
      </c>
      <c r="AI368" s="48">
        <f t="shared" si="64"/>
        <v>1</v>
      </c>
      <c r="AJ368" s="48">
        <f t="shared" si="64"/>
        <v>1</v>
      </c>
      <c r="AK368" s="48">
        <f t="shared" si="64"/>
        <v>1</v>
      </c>
      <c r="AL368" s="48">
        <f t="shared" si="64"/>
        <v>1</v>
      </c>
      <c r="AM368" s="48">
        <f t="shared" si="64"/>
        <v>1</v>
      </c>
      <c r="AN368" s="48">
        <f t="shared" si="64"/>
        <v>1</v>
      </c>
      <c r="AO368" s="48">
        <f t="shared" si="64"/>
        <v>1</v>
      </c>
      <c r="AP368" s="48">
        <f t="shared" si="64"/>
        <v>1</v>
      </c>
      <c r="AQ368" s="48">
        <f t="shared" si="64"/>
        <v>1</v>
      </c>
      <c r="AR368" s="48">
        <f t="shared" si="64"/>
        <v>1</v>
      </c>
      <c r="AS368" s="48">
        <f t="shared" si="64"/>
        <v>0.5</v>
      </c>
    </row>
    <row r="369" spans="3:45" x14ac:dyDescent="0.3">
      <c r="C369" s="6" t="s">
        <v>274</v>
      </c>
      <c r="D369" s="2" t="s">
        <v>2</v>
      </c>
      <c r="J369" s="61">
        <f t="shared" ref="J369:AS369" si="65">N(J364=0)</f>
        <v>0</v>
      </c>
      <c r="K369" s="61">
        <f t="shared" si="65"/>
        <v>0</v>
      </c>
      <c r="L369" s="61">
        <f t="shared" si="65"/>
        <v>0</v>
      </c>
      <c r="M369" s="61">
        <f t="shared" si="65"/>
        <v>0</v>
      </c>
      <c r="N369" s="61">
        <f t="shared" si="65"/>
        <v>0</v>
      </c>
      <c r="O369" s="61">
        <f t="shared" si="65"/>
        <v>1</v>
      </c>
      <c r="P369" s="61">
        <f t="shared" si="65"/>
        <v>0</v>
      </c>
      <c r="Q369" s="61">
        <f t="shared" si="65"/>
        <v>0</v>
      </c>
      <c r="R369" s="61">
        <f t="shared" si="65"/>
        <v>0</v>
      </c>
      <c r="S369" s="61">
        <f t="shared" si="65"/>
        <v>0</v>
      </c>
      <c r="T369" s="61">
        <f t="shared" si="65"/>
        <v>0</v>
      </c>
      <c r="U369" s="61">
        <f t="shared" si="65"/>
        <v>0</v>
      </c>
      <c r="V369" s="61">
        <f t="shared" si="65"/>
        <v>0</v>
      </c>
      <c r="W369" s="61">
        <f t="shared" si="65"/>
        <v>0</v>
      </c>
      <c r="X369" s="61">
        <f t="shared" si="65"/>
        <v>0</v>
      </c>
      <c r="Y369" s="61">
        <f t="shared" si="65"/>
        <v>0</v>
      </c>
      <c r="Z369" s="61">
        <f t="shared" si="65"/>
        <v>0</v>
      </c>
      <c r="AA369" s="61">
        <f t="shared" si="65"/>
        <v>0</v>
      </c>
      <c r="AB369" s="61">
        <f t="shared" si="65"/>
        <v>0</v>
      </c>
      <c r="AC369" s="61">
        <f t="shared" si="65"/>
        <v>0</v>
      </c>
      <c r="AD369" s="61">
        <f t="shared" si="65"/>
        <v>0</v>
      </c>
      <c r="AE369" s="61">
        <f t="shared" si="65"/>
        <v>0</v>
      </c>
      <c r="AF369" s="61">
        <f t="shared" si="65"/>
        <v>0</v>
      </c>
      <c r="AG369" s="61">
        <f t="shared" si="65"/>
        <v>0</v>
      </c>
      <c r="AH369" s="61">
        <f t="shared" si="65"/>
        <v>0</v>
      </c>
      <c r="AI369" s="61">
        <f t="shared" si="65"/>
        <v>0</v>
      </c>
      <c r="AJ369" s="61">
        <f t="shared" si="65"/>
        <v>0</v>
      </c>
      <c r="AK369" s="61">
        <f t="shared" si="65"/>
        <v>0</v>
      </c>
      <c r="AL369" s="61">
        <f t="shared" si="65"/>
        <v>0</v>
      </c>
      <c r="AM369" s="61">
        <f t="shared" si="65"/>
        <v>0</v>
      </c>
      <c r="AN369" s="61">
        <f t="shared" si="65"/>
        <v>0</v>
      </c>
      <c r="AO369" s="61">
        <f t="shared" si="65"/>
        <v>0</v>
      </c>
      <c r="AP369" s="61">
        <f t="shared" si="65"/>
        <v>0</v>
      </c>
      <c r="AQ369" s="61">
        <f t="shared" si="65"/>
        <v>0</v>
      </c>
      <c r="AR369" s="61">
        <f t="shared" si="65"/>
        <v>0</v>
      </c>
      <c r="AS369" s="61">
        <f t="shared" si="65"/>
        <v>0</v>
      </c>
    </row>
    <row r="370" spans="3:45" x14ac:dyDescent="0.3">
      <c r="C370" s="6" t="s">
        <v>275</v>
      </c>
      <c r="D370" s="2" t="s">
        <v>84</v>
      </c>
      <c r="H370" s="8">
        <f>SUM(J370:AS370)</f>
        <v>-14078.579794520547</v>
      </c>
      <c r="J370" s="8">
        <f t="shared" ref="J370:AS370" si="66">-($F$98+$F$68+$F$62+$F$63+$F$92)*(J$328=YEAR(Sale_Date))</f>
        <v>0</v>
      </c>
      <c r="K370" s="8">
        <f t="shared" si="66"/>
        <v>0</v>
      </c>
      <c r="L370" s="8">
        <f t="shared" si="66"/>
        <v>0</v>
      </c>
      <c r="M370" s="8">
        <f t="shared" si="66"/>
        <v>-14078.579794520547</v>
      </c>
      <c r="N370" s="8">
        <f t="shared" si="66"/>
        <v>0</v>
      </c>
      <c r="O370" s="8">
        <f t="shared" si="66"/>
        <v>0</v>
      </c>
      <c r="P370" s="8">
        <f t="shared" si="66"/>
        <v>0</v>
      </c>
      <c r="Q370" s="8">
        <f t="shared" si="66"/>
        <v>0</v>
      </c>
      <c r="R370" s="8">
        <f t="shared" si="66"/>
        <v>0</v>
      </c>
      <c r="S370" s="8">
        <f t="shared" si="66"/>
        <v>0</v>
      </c>
      <c r="T370" s="8">
        <f t="shared" si="66"/>
        <v>0</v>
      </c>
      <c r="U370" s="8">
        <f t="shared" si="66"/>
        <v>0</v>
      </c>
      <c r="V370" s="8">
        <f t="shared" si="66"/>
        <v>0</v>
      </c>
      <c r="W370" s="8">
        <f t="shared" si="66"/>
        <v>0</v>
      </c>
      <c r="X370" s="8">
        <f t="shared" si="66"/>
        <v>0</v>
      </c>
      <c r="Y370" s="8">
        <f t="shared" si="66"/>
        <v>0</v>
      </c>
      <c r="Z370" s="8">
        <f t="shared" si="66"/>
        <v>0</v>
      </c>
      <c r="AA370" s="8">
        <f t="shared" si="66"/>
        <v>0</v>
      </c>
      <c r="AB370" s="8">
        <f t="shared" si="66"/>
        <v>0</v>
      </c>
      <c r="AC370" s="8">
        <f t="shared" si="66"/>
        <v>0</v>
      </c>
      <c r="AD370" s="8">
        <f t="shared" si="66"/>
        <v>0</v>
      </c>
      <c r="AE370" s="8">
        <f t="shared" si="66"/>
        <v>0</v>
      </c>
      <c r="AF370" s="8">
        <f t="shared" si="66"/>
        <v>0</v>
      </c>
      <c r="AG370" s="8">
        <f t="shared" si="66"/>
        <v>0</v>
      </c>
      <c r="AH370" s="8">
        <f t="shared" si="66"/>
        <v>0</v>
      </c>
      <c r="AI370" s="8">
        <f t="shared" si="66"/>
        <v>0</v>
      </c>
      <c r="AJ370" s="8">
        <f t="shared" si="66"/>
        <v>0</v>
      </c>
      <c r="AK370" s="8">
        <f t="shared" si="66"/>
        <v>0</v>
      </c>
      <c r="AL370" s="8">
        <f t="shared" si="66"/>
        <v>0</v>
      </c>
      <c r="AM370" s="8">
        <f t="shared" si="66"/>
        <v>0</v>
      </c>
      <c r="AN370" s="8">
        <f t="shared" si="66"/>
        <v>0</v>
      </c>
      <c r="AO370" s="8">
        <f t="shared" si="66"/>
        <v>0</v>
      </c>
      <c r="AP370" s="8">
        <f t="shared" si="66"/>
        <v>0</v>
      </c>
      <c r="AQ370" s="8">
        <f t="shared" si="66"/>
        <v>0</v>
      </c>
      <c r="AR370" s="8">
        <f t="shared" si="66"/>
        <v>0</v>
      </c>
      <c r="AS370" s="8">
        <f t="shared" si="66"/>
        <v>0</v>
      </c>
    </row>
    <row r="371" spans="3:45" x14ac:dyDescent="0.3">
      <c r="C371" s="6" t="s">
        <v>276</v>
      </c>
      <c r="D371" s="2" t="s">
        <v>84</v>
      </c>
      <c r="H371" s="8">
        <f>SUM(J371:AS371)</f>
        <v>2494.5205479452052</v>
      </c>
      <c r="J371" s="8">
        <f>($F$62+$F$63)*(J$328=YEAR(Inputs!$F$27))</f>
        <v>0</v>
      </c>
      <c r="K371" s="8">
        <f>($F$62+$F$63)*(K$328=YEAR(Inputs!$F$27))</f>
        <v>0</v>
      </c>
      <c r="L371" s="8">
        <f>($F$62+$F$63)*(L$328=YEAR(Inputs!$F$27))</f>
        <v>0</v>
      </c>
      <c r="M371" s="8">
        <f>($F$62+$F$63)*(M$328=YEAR(Inputs!$F$27))</f>
        <v>0</v>
      </c>
      <c r="N371" s="8">
        <f>($F$62+$F$63)*(N$328=YEAR(Inputs!$F$27))</f>
        <v>0</v>
      </c>
      <c r="O371" s="8">
        <f>($F$62+$F$63)*(O$328=YEAR(Inputs!$F$27))</f>
        <v>0</v>
      </c>
      <c r="P371" s="8">
        <f>($F$62+$F$63)*(P$328=YEAR(Inputs!$F$27))</f>
        <v>0</v>
      </c>
      <c r="Q371" s="8">
        <f>($F$62+$F$63)*(Q$328=YEAR(Inputs!$F$27))</f>
        <v>2494.5205479452052</v>
      </c>
      <c r="R371" s="8">
        <f>($F$62+$F$63)*(R$328=YEAR(Inputs!$F$27))</f>
        <v>0</v>
      </c>
      <c r="S371" s="8">
        <f>($F$62+$F$63)*(S$328=YEAR(Inputs!$F$27))</f>
        <v>0</v>
      </c>
      <c r="T371" s="8">
        <f>($F$62+$F$63)*(T$328=YEAR(Inputs!$F$27))</f>
        <v>0</v>
      </c>
      <c r="U371" s="8">
        <f>($F$62+$F$63)*(U$328=YEAR(Inputs!$F$27))</f>
        <v>0</v>
      </c>
      <c r="V371" s="8">
        <f>($F$62+$F$63)*(V$328=YEAR(Inputs!$F$27))</f>
        <v>0</v>
      </c>
      <c r="W371" s="8">
        <f>($F$62+$F$63)*(W$328=YEAR(Inputs!$F$27))</f>
        <v>0</v>
      </c>
      <c r="X371" s="8">
        <f>($F$62+$F$63)*(X$328=YEAR(Inputs!$F$27))</f>
        <v>0</v>
      </c>
      <c r="Y371" s="8">
        <f>($F$62+$F$63)*(Y$328=YEAR(Inputs!$F$27))</f>
        <v>0</v>
      </c>
      <c r="Z371" s="8">
        <f>($F$62+$F$63)*(Z$328=YEAR(Inputs!$F$27))</f>
        <v>0</v>
      </c>
      <c r="AA371" s="8">
        <f>($F$62+$F$63)*(AA$328=YEAR(Inputs!$F$27))</f>
        <v>0</v>
      </c>
      <c r="AB371" s="8">
        <f>($F$62+$F$63)*(AB$328=YEAR(Inputs!$F$27))</f>
        <v>0</v>
      </c>
      <c r="AC371" s="8">
        <f>($F$62+$F$63)*(AC$328=YEAR(Inputs!$F$27))</f>
        <v>0</v>
      </c>
      <c r="AD371" s="8">
        <f>($F$62+$F$63)*(AD$328=YEAR(Inputs!$F$27))</f>
        <v>0</v>
      </c>
      <c r="AE371" s="8">
        <f>($F$62+$F$63)*(AE$328=YEAR(Inputs!$F$27))</f>
        <v>0</v>
      </c>
      <c r="AF371" s="8">
        <f>($F$62+$F$63)*(AF$328=YEAR(Inputs!$F$27))</f>
        <v>0</v>
      </c>
      <c r="AG371" s="8">
        <f>($F$62+$F$63)*(AG$328=YEAR(Inputs!$F$27))</f>
        <v>0</v>
      </c>
      <c r="AH371" s="8">
        <f>($F$62+$F$63)*(AH$328=YEAR(Inputs!$F$27))</f>
        <v>0</v>
      </c>
      <c r="AI371" s="8">
        <f>($F$62+$F$63)*(AI$328=YEAR(Inputs!$F$27))</f>
        <v>0</v>
      </c>
      <c r="AJ371" s="8">
        <f>($F$62+$F$63)*(AJ$328=YEAR(Inputs!$F$27))</f>
        <v>0</v>
      </c>
      <c r="AK371" s="8">
        <f>($F$62+$F$63)*(AK$328=YEAR(Inputs!$F$27))</f>
        <v>0</v>
      </c>
      <c r="AL371" s="8">
        <f>($F$62+$F$63)*(AL$328=YEAR(Inputs!$F$27))</f>
        <v>0</v>
      </c>
      <c r="AM371" s="8">
        <f>($F$62+$F$63)*(AM$328=YEAR(Inputs!$F$27))</f>
        <v>0</v>
      </c>
      <c r="AN371" s="8">
        <f>($F$62+$F$63)*(AN$328=YEAR(Inputs!$F$27))</f>
        <v>0</v>
      </c>
      <c r="AO371" s="8">
        <f>($F$62+$F$63)*(AO$328=YEAR(Inputs!$F$27))</f>
        <v>0</v>
      </c>
      <c r="AP371" s="8">
        <f>($F$62+$F$63)*(AP$328=YEAR(Inputs!$F$27))</f>
        <v>0</v>
      </c>
      <c r="AQ371" s="8">
        <f>($F$62+$F$63)*(AQ$328=YEAR(Inputs!$F$27))</f>
        <v>0</v>
      </c>
      <c r="AR371" s="8">
        <f>($F$62+$F$63)*(AR$328=YEAR(Inputs!$F$27))</f>
        <v>0</v>
      </c>
      <c r="AS371" s="8">
        <f>($F$62+$F$63)*(AS$328=YEAR(Inputs!$F$27))</f>
        <v>0</v>
      </c>
    </row>
    <row r="372" spans="3:45" x14ac:dyDescent="0.3">
      <c r="C372" s="6" t="s">
        <v>277</v>
      </c>
      <c r="D372" s="2" t="s">
        <v>84</v>
      </c>
      <c r="H372" s="8">
        <f>SUM(J372:AS372)</f>
        <v>-62716</v>
      </c>
      <c r="J372" s="8">
        <f t="shared" ref="J372:AS372" si="67">-$F$91*J366</f>
        <v>0</v>
      </c>
      <c r="K372" s="8">
        <f t="shared" si="67"/>
        <v>0</v>
      </c>
      <c r="L372" s="8">
        <f t="shared" si="67"/>
        <v>0</v>
      </c>
      <c r="M372" s="8">
        <f t="shared" si="67"/>
        <v>-15679</v>
      </c>
      <c r="N372" s="8">
        <f t="shared" si="67"/>
        <v>-31358</v>
      </c>
      <c r="O372" s="8">
        <f t="shared" si="67"/>
        <v>-15679</v>
      </c>
      <c r="P372" s="8">
        <f t="shared" si="67"/>
        <v>0</v>
      </c>
      <c r="Q372" s="8">
        <f t="shared" si="67"/>
        <v>0</v>
      </c>
      <c r="R372" s="8">
        <f t="shared" si="67"/>
        <v>0</v>
      </c>
      <c r="S372" s="8">
        <f t="shared" si="67"/>
        <v>0</v>
      </c>
      <c r="T372" s="8">
        <f t="shared" si="67"/>
        <v>0</v>
      </c>
      <c r="U372" s="8">
        <f t="shared" si="67"/>
        <v>0</v>
      </c>
      <c r="V372" s="8">
        <f t="shared" si="67"/>
        <v>0</v>
      </c>
      <c r="W372" s="8">
        <f t="shared" si="67"/>
        <v>0</v>
      </c>
      <c r="X372" s="8">
        <f t="shared" si="67"/>
        <v>0</v>
      </c>
      <c r="Y372" s="8">
        <f t="shared" si="67"/>
        <v>0</v>
      </c>
      <c r="Z372" s="8">
        <f t="shared" si="67"/>
        <v>0</v>
      </c>
      <c r="AA372" s="8">
        <f t="shared" si="67"/>
        <v>0</v>
      </c>
      <c r="AB372" s="8">
        <f t="shared" si="67"/>
        <v>0</v>
      </c>
      <c r="AC372" s="8">
        <f t="shared" si="67"/>
        <v>0</v>
      </c>
      <c r="AD372" s="8">
        <f t="shared" si="67"/>
        <v>0</v>
      </c>
      <c r="AE372" s="8">
        <f t="shared" si="67"/>
        <v>0</v>
      </c>
      <c r="AF372" s="8">
        <f t="shared" si="67"/>
        <v>0</v>
      </c>
      <c r="AG372" s="8">
        <f t="shared" si="67"/>
        <v>0</v>
      </c>
      <c r="AH372" s="8">
        <f t="shared" si="67"/>
        <v>0</v>
      </c>
      <c r="AI372" s="8">
        <f t="shared" si="67"/>
        <v>0</v>
      </c>
      <c r="AJ372" s="8">
        <f t="shared" si="67"/>
        <v>0</v>
      </c>
      <c r="AK372" s="8">
        <f t="shared" si="67"/>
        <v>0</v>
      </c>
      <c r="AL372" s="8">
        <f t="shared" si="67"/>
        <v>0</v>
      </c>
      <c r="AM372" s="8">
        <f t="shared" si="67"/>
        <v>0</v>
      </c>
      <c r="AN372" s="8">
        <f t="shared" si="67"/>
        <v>0</v>
      </c>
      <c r="AO372" s="8">
        <f t="shared" si="67"/>
        <v>0</v>
      </c>
      <c r="AP372" s="8">
        <f t="shared" si="67"/>
        <v>0</v>
      </c>
      <c r="AQ372" s="8">
        <f t="shared" si="67"/>
        <v>0</v>
      </c>
      <c r="AR372" s="8">
        <f t="shared" si="67"/>
        <v>0</v>
      </c>
      <c r="AS372" s="8">
        <f t="shared" si="67"/>
        <v>0</v>
      </c>
    </row>
    <row r="373" spans="3:45" x14ac:dyDescent="0.3">
      <c r="C373" s="6" t="s">
        <v>278</v>
      </c>
      <c r="D373" s="2" t="s">
        <v>84</v>
      </c>
      <c r="H373" s="8">
        <f>SUM(J373:AS373)</f>
        <v>-2500</v>
      </c>
      <c r="J373" s="8">
        <f t="shared" ref="J373:AS373" si="68">-$F$96*J369</f>
        <v>0</v>
      </c>
      <c r="K373" s="8">
        <f t="shared" si="68"/>
        <v>0</v>
      </c>
      <c r="L373" s="8">
        <f t="shared" si="68"/>
        <v>0</v>
      </c>
      <c r="M373" s="8">
        <f t="shared" si="68"/>
        <v>0</v>
      </c>
      <c r="N373" s="8">
        <f t="shared" si="68"/>
        <v>0</v>
      </c>
      <c r="O373" s="8">
        <f t="shared" si="68"/>
        <v>-2500</v>
      </c>
      <c r="P373" s="8">
        <f t="shared" si="68"/>
        <v>0</v>
      </c>
      <c r="Q373" s="8">
        <f t="shared" si="68"/>
        <v>0</v>
      </c>
      <c r="R373" s="8">
        <f t="shared" si="68"/>
        <v>0</v>
      </c>
      <c r="S373" s="8">
        <f t="shared" si="68"/>
        <v>0</v>
      </c>
      <c r="T373" s="8">
        <f t="shared" si="68"/>
        <v>0</v>
      </c>
      <c r="U373" s="8">
        <f t="shared" si="68"/>
        <v>0</v>
      </c>
      <c r="V373" s="8">
        <f t="shared" si="68"/>
        <v>0</v>
      </c>
      <c r="W373" s="8">
        <f t="shared" si="68"/>
        <v>0</v>
      </c>
      <c r="X373" s="8">
        <f t="shared" si="68"/>
        <v>0</v>
      </c>
      <c r="Y373" s="8">
        <f t="shared" si="68"/>
        <v>0</v>
      </c>
      <c r="Z373" s="8">
        <f t="shared" si="68"/>
        <v>0</v>
      </c>
      <c r="AA373" s="8">
        <f t="shared" si="68"/>
        <v>0</v>
      </c>
      <c r="AB373" s="8">
        <f t="shared" si="68"/>
        <v>0</v>
      </c>
      <c r="AC373" s="8">
        <f t="shared" si="68"/>
        <v>0</v>
      </c>
      <c r="AD373" s="8">
        <f t="shared" si="68"/>
        <v>0</v>
      </c>
      <c r="AE373" s="8">
        <f t="shared" si="68"/>
        <v>0</v>
      </c>
      <c r="AF373" s="8">
        <f t="shared" si="68"/>
        <v>0</v>
      </c>
      <c r="AG373" s="8">
        <f t="shared" si="68"/>
        <v>0</v>
      </c>
      <c r="AH373" s="8">
        <f t="shared" si="68"/>
        <v>0</v>
      </c>
      <c r="AI373" s="8">
        <f t="shared" si="68"/>
        <v>0</v>
      </c>
      <c r="AJ373" s="8">
        <f t="shared" si="68"/>
        <v>0</v>
      </c>
      <c r="AK373" s="8">
        <f t="shared" si="68"/>
        <v>0</v>
      </c>
      <c r="AL373" s="8">
        <f t="shared" si="68"/>
        <v>0</v>
      </c>
      <c r="AM373" s="8">
        <f t="shared" si="68"/>
        <v>0</v>
      </c>
      <c r="AN373" s="8">
        <f t="shared" si="68"/>
        <v>0</v>
      </c>
      <c r="AO373" s="8">
        <f t="shared" si="68"/>
        <v>0</v>
      </c>
      <c r="AP373" s="8">
        <f t="shared" si="68"/>
        <v>0</v>
      </c>
      <c r="AQ373" s="8">
        <f t="shared" si="68"/>
        <v>0</v>
      </c>
      <c r="AR373" s="8">
        <f t="shared" si="68"/>
        <v>0</v>
      </c>
      <c r="AS373" s="8">
        <f t="shared" si="68"/>
        <v>0</v>
      </c>
    </row>
    <row r="374" spans="3:45" x14ac:dyDescent="0.3">
      <c r="C374" s="1" t="s">
        <v>279</v>
      </c>
      <c r="D374" s="2" t="s">
        <v>84</v>
      </c>
      <c r="H374" s="15">
        <f>SUM(J374:AS374)</f>
        <v>-76800.059246575343</v>
      </c>
      <c r="J374" s="15">
        <f t="shared" ref="J374:AS374" si="69">SUM(J370:J373)</f>
        <v>0</v>
      </c>
      <c r="K374" s="15">
        <f t="shared" si="69"/>
        <v>0</v>
      </c>
      <c r="L374" s="15">
        <f t="shared" si="69"/>
        <v>0</v>
      </c>
      <c r="M374" s="15">
        <f t="shared" si="69"/>
        <v>-29757.579794520549</v>
      </c>
      <c r="N374" s="15">
        <f t="shared" si="69"/>
        <v>-31358</v>
      </c>
      <c r="O374" s="15">
        <f t="shared" si="69"/>
        <v>-18179</v>
      </c>
      <c r="P374" s="15">
        <f t="shared" si="69"/>
        <v>0</v>
      </c>
      <c r="Q374" s="15">
        <f t="shared" si="69"/>
        <v>2494.5205479452052</v>
      </c>
      <c r="R374" s="15">
        <f t="shared" si="69"/>
        <v>0</v>
      </c>
      <c r="S374" s="15">
        <f t="shared" si="69"/>
        <v>0</v>
      </c>
      <c r="T374" s="15">
        <f t="shared" si="69"/>
        <v>0</v>
      </c>
      <c r="U374" s="15">
        <f t="shared" si="69"/>
        <v>0</v>
      </c>
      <c r="V374" s="15">
        <f t="shared" si="69"/>
        <v>0</v>
      </c>
      <c r="W374" s="15">
        <f t="shared" si="69"/>
        <v>0</v>
      </c>
      <c r="X374" s="15">
        <f t="shared" si="69"/>
        <v>0</v>
      </c>
      <c r="Y374" s="15">
        <f t="shared" si="69"/>
        <v>0</v>
      </c>
      <c r="Z374" s="15">
        <f t="shared" si="69"/>
        <v>0</v>
      </c>
      <c r="AA374" s="15">
        <f t="shared" si="69"/>
        <v>0</v>
      </c>
      <c r="AB374" s="15">
        <f t="shared" si="69"/>
        <v>0</v>
      </c>
      <c r="AC374" s="15">
        <f t="shared" si="69"/>
        <v>0</v>
      </c>
      <c r="AD374" s="15">
        <f t="shared" si="69"/>
        <v>0</v>
      </c>
      <c r="AE374" s="15">
        <f t="shared" si="69"/>
        <v>0</v>
      </c>
      <c r="AF374" s="15">
        <f t="shared" si="69"/>
        <v>0</v>
      </c>
      <c r="AG374" s="15">
        <f t="shared" si="69"/>
        <v>0</v>
      </c>
      <c r="AH374" s="15">
        <f t="shared" si="69"/>
        <v>0</v>
      </c>
      <c r="AI374" s="15">
        <f t="shared" si="69"/>
        <v>0</v>
      </c>
      <c r="AJ374" s="15">
        <f t="shared" si="69"/>
        <v>0</v>
      </c>
      <c r="AK374" s="15">
        <f t="shared" si="69"/>
        <v>0</v>
      </c>
      <c r="AL374" s="15">
        <f t="shared" si="69"/>
        <v>0</v>
      </c>
      <c r="AM374" s="15">
        <f t="shared" si="69"/>
        <v>0</v>
      </c>
      <c r="AN374" s="15">
        <f t="shared" si="69"/>
        <v>0</v>
      </c>
      <c r="AO374" s="15">
        <f t="shared" si="69"/>
        <v>0</v>
      </c>
      <c r="AP374" s="15">
        <f t="shared" si="69"/>
        <v>0</v>
      </c>
      <c r="AQ374" s="15">
        <f t="shared" si="69"/>
        <v>0</v>
      </c>
      <c r="AR374" s="15">
        <f t="shared" si="69"/>
        <v>0</v>
      </c>
      <c r="AS374" s="15">
        <f t="shared" si="69"/>
        <v>0</v>
      </c>
    </row>
    <row r="375" spans="3:45" x14ac:dyDescent="0.3">
      <c r="C375" s="6" t="s">
        <v>280</v>
      </c>
      <c r="D375" s="2" t="s">
        <v>3</v>
      </c>
      <c r="J375" s="62">
        <f t="shared" ref="J375:AS375" si="70">(1-Degradation)^MAX(J364-1,0)</f>
        <v>1</v>
      </c>
      <c r="K375" s="62">
        <f t="shared" si="70"/>
        <v>1</v>
      </c>
      <c r="L375" s="62">
        <f t="shared" si="70"/>
        <v>1</v>
      </c>
      <c r="M375" s="62">
        <f t="shared" si="70"/>
        <v>1</v>
      </c>
      <c r="N375" s="62">
        <f t="shared" si="70"/>
        <v>1</v>
      </c>
      <c r="O375" s="62">
        <f t="shared" si="70"/>
        <v>1</v>
      </c>
      <c r="P375" s="62">
        <f t="shared" si="70"/>
        <v>1</v>
      </c>
      <c r="Q375" s="62">
        <f t="shared" si="70"/>
        <v>0.997</v>
      </c>
      <c r="R375" s="62">
        <f t="shared" si="70"/>
        <v>0.99400900000000003</v>
      </c>
      <c r="S375" s="62">
        <f t="shared" si="70"/>
        <v>0.99102697299999998</v>
      </c>
      <c r="T375" s="62">
        <f t="shared" si="70"/>
        <v>0.98805389208100003</v>
      </c>
      <c r="U375" s="62">
        <f t="shared" si="70"/>
        <v>0.985089730404757</v>
      </c>
      <c r="V375" s="62">
        <f t="shared" si="70"/>
        <v>0.98213446121354275</v>
      </c>
      <c r="W375" s="62">
        <f t="shared" si="70"/>
        <v>0.97918805782990215</v>
      </c>
      <c r="X375" s="62">
        <f t="shared" si="70"/>
        <v>0.97625049365641248</v>
      </c>
      <c r="Y375" s="62">
        <f t="shared" si="70"/>
        <v>0.97332174217544321</v>
      </c>
      <c r="Z375" s="62">
        <f t="shared" si="70"/>
        <v>0.97040177694891694</v>
      </c>
      <c r="AA375" s="62">
        <f t="shared" si="70"/>
        <v>0.96749057161807017</v>
      </c>
      <c r="AB375" s="62">
        <f t="shared" si="70"/>
        <v>0.96458809990321592</v>
      </c>
      <c r="AC375" s="62">
        <f t="shared" si="70"/>
        <v>0.96169433560350626</v>
      </c>
      <c r="AD375" s="62">
        <f t="shared" si="70"/>
        <v>0.9588092525966958</v>
      </c>
      <c r="AE375" s="62">
        <f t="shared" si="70"/>
        <v>0.95593282483890574</v>
      </c>
      <c r="AF375" s="62">
        <f t="shared" si="70"/>
        <v>0.95306502636438906</v>
      </c>
      <c r="AG375" s="62">
        <f t="shared" si="70"/>
        <v>0.9502058312852959</v>
      </c>
      <c r="AH375" s="62">
        <f t="shared" si="70"/>
        <v>0.94735521379144005</v>
      </c>
      <c r="AI375" s="62">
        <f t="shared" si="70"/>
        <v>0.94451314815006571</v>
      </c>
      <c r="AJ375" s="62">
        <f t="shared" si="70"/>
        <v>0.94167960870561551</v>
      </c>
      <c r="AK375" s="62">
        <f t="shared" si="70"/>
        <v>0.93885456987949867</v>
      </c>
      <c r="AL375" s="62">
        <f t="shared" si="70"/>
        <v>0.93603800616986021</v>
      </c>
      <c r="AM375" s="62">
        <f t="shared" si="70"/>
        <v>0.93322989215135066</v>
      </c>
      <c r="AN375" s="62">
        <f t="shared" si="70"/>
        <v>0.93043020247489661</v>
      </c>
      <c r="AO375" s="62">
        <f t="shared" si="70"/>
        <v>0.92763891186747183</v>
      </c>
      <c r="AP375" s="62">
        <f t="shared" si="70"/>
        <v>0.92485599513186956</v>
      </c>
      <c r="AQ375" s="62">
        <f t="shared" si="70"/>
        <v>0.9220814271464739</v>
      </c>
      <c r="AR375" s="62">
        <f t="shared" si="70"/>
        <v>0.91931518286503444</v>
      </c>
      <c r="AS375" s="62">
        <f t="shared" si="70"/>
        <v>0.91655723731643934</v>
      </c>
    </row>
    <row r="376" spans="3:45" x14ac:dyDescent="0.3">
      <c r="C376" s="6" t="s">
        <v>281</v>
      </c>
      <c r="D376" s="2" t="s">
        <v>282</v>
      </c>
      <c r="H376" s="17">
        <f>SUM(J376:AS376)</f>
        <v>4263.3988270647396</v>
      </c>
      <c r="J376" s="17">
        <f t="shared" ref="J376:AS376" si="71">$F$46*$F$22*(1-Curtailment)*(1-Clipping)*J368*J375/Thousand</f>
        <v>0</v>
      </c>
      <c r="K376" s="17">
        <f t="shared" si="71"/>
        <v>0</v>
      </c>
      <c r="L376" s="17">
        <f t="shared" si="71"/>
        <v>0</v>
      </c>
      <c r="M376" s="17">
        <f t="shared" si="71"/>
        <v>0</v>
      </c>
      <c r="N376" s="17">
        <f t="shared" si="71"/>
        <v>0</v>
      </c>
      <c r="O376" s="17">
        <f t="shared" si="71"/>
        <v>74.087999999999994</v>
      </c>
      <c r="P376" s="17">
        <f t="shared" si="71"/>
        <v>148.17599999999999</v>
      </c>
      <c r="Q376" s="17">
        <f t="shared" si="71"/>
        <v>147.731472</v>
      </c>
      <c r="R376" s="17">
        <f t="shared" si="71"/>
        <v>147.28827758399999</v>
      </c>
      <c r="S376" s="17">
        <f t="shared" si="71"/>
        <v>146.84641275124798</v>
      </c>
      <c r="T376" s="17">
        <f t="shared" si="71"/>
        <v>146.40587351299428</v>
      </c>
      <c r="U376" s="17">
        <f t="shared" si="71"/>
        <v>145.96665589245529</v>
      </c>
      <c r="V376" s="17">
        <f t="shared" si="71"/>
        <v>145.52875592477793</v>
      </c>
      <c r="W376" s="17">
        <f t="shared" si="71"/>
        <v>145.09216965700358</v>
      </c>
      <c r="X376" s="17">
        <f t="shared" si="71"/>
        <v>144.65689314803257</v>
      </c>
      <c r="Y376" s="17">
        <f t="shared" si="71"/>
        <v>144.22292246858848</v>
      </c>
      <c r="Z376" s="17">
        <f t="shared" si="71"/>
        <v>143.79025370118273</v>
      </c>
      <c r="AA376" s="17">
        <f t="shared" si="71"/>
        <v>143.35888294007918</v>
      </c>
      <c r="AB376" s="17">
        <f t="shared" si="71"/>
        <v>142.92880629125892</v>
      </c>
      <c r="AC376" s="17">
        <f t="shared" si="71"/>
        <v>142.50001987238514</v>
      </c>
      <c r="AD376" s="17">
        <f t="shared" si="71"/>
        <v>142.07251981276801</v>
      </c>
      <c r="AE376" s="17">
        <f t="shared" si="71"/>
        <v>141.64630225332968</v>
      </c>
      <c r="AF376" s="17">
        <f t="shared" si="71"/>
        <v>141.22136334656972</v>
      </c>
      <c r="AG376" s="17">
        <f t="shared" si="71"/>
        <v>140.79769925653</v>
      </c>
      <c r="AH376" s="17">
        <f t="shared" si="71"/>
        <v>140.37530615876042</v>
      </c>
      <c r="AI376" s="17">
        <f t="shared" si="71"/>
        <v>139.95418024028413</v>
      </c>
      <c r="AJ376" s="17">
        <f t="shared" si="71"/>
        <v>139.53431769956327</v>
      </c>
      <c r="AK376" s="17">
        <f t="shared" si="71"/>
        <v>139.11571474646459</v>
      </c>
      <c r="AL376" s="17">
        <f t="shared" si="71"/>
        <v>138.69836760222523</v>
      </c>
      <c r="AM376" s="17">
        <f t="shared" si="71"/>
        <v>138.28227249941853</v>
      </c>
      <c r="AN376" s="17">
        <f t="shared" si="71"/>
        <v>137.86742568192028</v>
      </c>
      <c r="AO376" s="17">
        <f t="shared" si="71"/>
        <v>137.4538234048745</v>
      </c>
      <c r="AP376" s="17">
        <f t="shared" si="71"/>
        <v>137.04146193465988</v>
      </c>
      <c r="AQ376" s="17">
        <f t="shared" si="71"/>
        <v>136.63033754885592</v>
      </c>
      <c r="AR376" s="17">
        <f t="shared" si="71"/>
        <v>136.22044653620935</v>
      </c>
      <c r="AS376" s="17">
        <f t="shared" si="71"/>
        <v>67.905892598300355</v>
      </c>
    </row>
    <row r="377" spans="3:45" x14ac:dyDescent="0.3">
      <c r="C377" s="6" t="s">
        <v>283</v>
      </c>
      <c r="D377" s="2" t="s">
        <v>20</v>
      </c>
      <c r="J377" s="17">
        <f t="shared" ref="J377:AS377" si="72">Case_PPA*(1+PPA_Esc)^J364*(J368&gt;0)</f>
        <v>0</v>
      </c>
      <c r="K377" s="17">
        <f t="shared" si="72"/>
        <v>0</v>
      </c>
      <c r="L377" s="17">
        <f t="shared" si="72"/>
        <v>0</v>
      </c>
      <c r="M377" s="17">
        <f t="shared" si="72"/>
        <v>0</v>
      </c>
      <c r="N377" s="17">
        <f t="shared" si="72"/>
        <v>0</v>
      </c>
      <c r="O377" s="17">
        <f t="shared" si="72"/>
        <v>90</v>
      </c>
      <c r="P377" s="17">
        <f t="shared" si="72"/>
        <v>90.9</v>
      </c>
      <c r="Q377" s="17">
        <f t="shared" si="72"/>
        <v>91.808999999999997</v>
      </c>
      <c r="R377" s="17">
        <f t="shared" si="72"/>
        <v>92.72708999999999</v>
      </c>
      <c r="S377" s="17">
        <f t="shared" si="72"/>
        <v>93.6543609</v>
      </c>
      <c r="T377" s="17">
        <f t="shared" si="72"/>
        <v>94.590904508999998</v>
      </c>
      <c r="U377" s="17">
        <f t="shared" si="72"/>
        <v>95.536813554090017</v>
      </c>
      <c r="V377" s="17">
        <f t="shared" si="72"/>
        <v>96.492181689630883</v>
      </c>
      <c r="W377" s="17">
        <f t="shared" si="72"/>
        <v>97.457103506527218</v>
      </c>
      <c r="X377" s="17">
        <f t="shared" si="72"/>
        <v>98.4316745415925</v>
      </c>
      <c r="Y377" s="17">
        <f t="shared" si="72"/>
        <v>99.415991287008424</v>
      </c>
      <c r="Z377" s="17">
        <f t="shared" si="72"/>
        <v>100.41015119987848</v>
      </c>
      <c r="AA377" s="17">
        <f t="shared" si="72"/>
        <v>101.41425271187728</v>
      </c>
      <c r="AB377" s="17">
        <f t="shared" si="72"/>
        <v>102.42839523899606</v>
      </c>
      <c r="AC377" s="17">
        <f t="shared" si="72"/>
        <v>103.45267919138603</v>
      </c>
      <c r="AD377" s="17">
        <f t="shared" si="72"/>
        <v>104.48720598329986</v>
      </c>
      <c r="AE377" s="17">
        <f t="shared" si="72"/>
        <v>105.53207804313288</v>
      </c>
      <c r="AF377" s="17">
        <f t="shared" si="72"/>
        <v>106.58739882356423</v>
      </c>
      <c r="AG377" s="17">
        <f t="shared" si="72"/>
        <v>107.65327281179987</v>
      </c>
      <c r="AH377" s="17">
        <f t="shared" si="72"/>
        <v>108.72980553991785</v>
      </c>
      <c r="AI377" s="17">
        <f t="shared" si="72"/>
        <v>109.81710359531704</v>
      </c>
      <c r="AJ377" s="17">
        <f t="shared" si="72"/>
        <v>110.91527463127019</v>
      </c>
      <c r="AK377" s="17">
        <f t="shared" si="72"/>
        <v>112.02442737758292</v>
      </c>
      <c r="AL377" s="17">
        <f t="shared" si="72"/>
        <v>113.14467165135873</v>
      </c>
      <c r="AM377" s="17">
        <f t="shared" si="72"/>
        <v>114.27611836787234</v>
      </c>
      <c r="AN377" s="17">
        <f t="shared" si="72"/>
        <v>115.41887955155109</v>
      </c>
      <c r="AO377" s="17">
        <f t="shared" si="72"/>
        <v>116.5730683470666</v>
      </c>
      <c r="AP377" s="17">
        <f t="shared" si="72"/>
        <v>117.73879903053722</v>
      </c>
      <c r="AQ377" s="17">
        <f t="shared" si="72"/>
        <v>118.9161870208426</v>
      </c>
      <c r="AR377" s="17">
        <f t="shared" si="72"/>
        <v>120.10534889105104</v>
      </c>
      <c r="AS377" s="17">
        <f t="shared" si="72"/>
        <v>121.30640237996157</v>
      </c>
    </row>
    <row r="378" spans="3:45" x14ac:dyDescent="0.3">
      <c r="C378" s="1" t="s">
        <v>149</v>
      </c>
      <c r="D378" s="2" t="s">
        <v>84</v>
      </c>
      <c r="H378" s="32">
        <f>SUM(J378:AS378)</f>
        <v>446130.68572945433</v>
      </c>
      <c r="J378" s="32">
        <f t="shared" ref="J378:AS378" si="73">J376*J377</f>
        <v>0</v>
      </c>
      <c r="K378" s="32">
        <f t="shared" si="73"/>
        <v>0</v>
      </c>
      <c r="L378" s="32">
        <f t="shared" si="73"/>
        <v>0</v>
      </c>
      <c r="M378" s="32">
        <f t="shared" si="73"/>
        <v>0</v>
      </c>
      <c r="N378" s="32">
        <f t="shared" si="73"/>
        <v>0</v>
      </c>
      <c r="O378" s="32">
        <f t="shared" si="73"/>
        <v>6667.9199999999992</v>
      </c>
      <c r="P378" s="32">
        <f t="shared" si="73"/>
        <v>13469.198399999999</v>
      </c>
      <c r="Q378" s="32">
        <f t="shared" si="73"/>
        <v>13563.078712847999</v>
      </c>
      <c r="R378" s="32">
        <f t="shared" si="73"/>
        <v>13657.613371476547</v>
      </c>
      <c r="S378" s="32">
        <f t="shared" si="73"/>
        <v>13752.806936675741</v>
      </c>
      <c r="T378" s="32">
        <f t="shared" si="73"/>
        <v>13848.664001024374</v>
      </c>
      <c r="U378" s="32">
        <f t="shared" si="73"/>
        <v>13945.189189111516</v>
      </c>
      <c r="V378" s="32">
        <f t="shared" si="73"/>
        <v>14042.387157759618</v>
      </c>
      <c r="W378" s="32">
        <f t="shared" si="73"/>
        <v>14140.262596249206</v>
      </c>
      <c r="X378" s="32">
        <f t="shared" si="73"/>
        <v>14238.820226545064</v>
      </c>
      <c r="Y378" s="32">
        <f t="shared" si="73"/>
        <v>14338.064803524083</v>
      </c>
      <c r="Z378" s="32">
        <f t="shared" si="73"/>
        <v>14438.001115204645</v>
      </c>
      <c r="AA378" s="32">
        <f t="shared" si="73"/>
        <v>14538.633982977623</v>
      </c>
      <c r="AB378" s="32">
        <f t="shared" si="73"/>
        <v>14639.968261838976</v>
      </c>
      <c r="AC378" s="32">
        <f t="shared" si="73"/>
        <v>14742.008840623994</v>
      </c>
      <c r="AD378" s="32">
        <f t="shared" si="73"/>
        <v>14844.760642243142</v>
      </c>
      <c r="AE378" s="32">
        <f t="shared" si="73"/>
        <v>14948.228623919576</v>
      </c>
      <c r="AF378" s="32">
        <f t="shared" si="73"/>
        <v>15052.417777428302</v>
      </c>
      <c r="AG378" s="32">
        <f t="shared" si="73"/>
        <v>15157.333129336976</v>
      </c>
      <c r="AH378" s="32">
        <f t="shared" si="73"/>
        <v>15262.979741248453</v>
      </c>
      <c r="AI378" s="32">
        <f t="shared" si="73"/>
        <v>15369.362710044956</v>
      </c>
      <c r="AJ378" s="32">
        <f t="shared" si="73"/>
        <v>15476.487168133966</v>
      </c>
      <c r="AK378" s="32">
        <f t="shared" si="73"/>
        <v>15584.358283695865</v>
      </c>
      <c r="AL378" s="32">
        <f t="shared" si="73"/>
        <v>15692.981260933226</v>
      </c>
      <c r="AM378" s="32">
        <f t="shared" si="73"/>
        <v>15802.36134032193</v>
      </c>
      <c r="AN378" s="32">
        <f t="shared" si="73"/>
        <v>15912.503798863978</v>
      </c>
      <c r="AO378" s="32">
        <f t="shared" si="73"/>
        <v>16023.413950342057</v>
      </c>
      <c r="AP378" s="32">
        <f t="shared" si="73"/>
        <v>16135.097145575935</v>
      </c>
      <c r="AQ378" s="32">
        <f t="shared" si="73"/>
        <v>16247.558772680604</v>
      </c>
      <c r="AR378" s="32">
        <f t="shared" si="73"/>
        <v>16360.804257326188</v>
      </c>
      <c r="AS378" s="32">
        <f t="shared" si="73"/>
        <v>8237.419531499876</v>
      </c>
    </row>
    <row r="379" spans="3:45" x14ac:dyDescent="0.3">
      <c r="C379" s="6" t="s">
        <v>284</v>
      </c>
      <c r="D379" s="2" t="s">
        <v>3</v>
      </c>
      <c r="J379" s="62">
        <f t="shared" ref="J379:AS379" si="74">(1+Opex_Esc)^J364</f>
        <v>0.88385428760951712</v>
      </c>
      <c r="K379" s="62">
        <f t="shared" si="74"/>
        <v>0.90595064479975507</v>
      </c>
      <c r="L379" s="62">
        <f t="shared" si="74"/>
        <v>0.92859941091974885</v>
      </c>
      <c r="M379" s="62">
        <f t="shared" si="74"/>
        <v>0.95181439619274244</v>
      </c>
      <c r="N379" s="62">
        <f t="shared" si="74"/>
        <v>0.97560975609756106</v>
      </c>
      <c r="O379" s="62">
        <f t="shared" si="74"/>
        <v>1</v>
      </c>
      <c r="P379" s="62">
        <f t="shared" si="74"/>
        <v>1.0249999999999999</v>
      </c>
      <c r="Q379" s="62">
        <f t="shared" si="74"/>
        <v>1.0506249999999999</v>
      </c>
      <c r="R379" s="62">
        <f t="shared" si="74"/>
        <v>1.0768906249999999</v>
      </c>
      <c r="S379" s="62">
        <f t="shared" si="74"/>
        <v>1.1038128906249998</v>
      </c>
      <c r="T379" s="62">
        <f t="shared" si="74"/>
        <v>1.1314082128906247</v>
      </c>
      <c r="U379" s="62">
        <f t="shared" si="74"/>
        <v>1.1596934182128902</v>
      </c>
      <c r="V379" s="62">
        <f t="shared" si="74"/>
        <v>1.1886857536682125</v>
      </c>
      <c r="W379" s="62">
        <f t="shared" si="74"/>
        <v>1.2184028975099177</v>
      </c>
      <c r="X379" s="62">
        <f t="shared" si="74"/>
        <v>1.2488629699476654</v>
      </c>
      <c r="Y379" s="62">
        <f t="shared" si="74"/>
        <v>1.2800845441963571</v>
      </c>
      <c r="Z379" s="62">
        <f t="shared" si="74"/>
        <v>1.312086657801266</v>
      </c>
      <c r="AA379" s="62">
        <f t="shared" si="74"/>
        <v>1.3448888242462975</v>
      </c>
      <c r="AB379" s="62">
        <f t="shared" si="74"/>
        <v>1.3785110448524549</v>
      </c>
      <c r="AC379" s="62">
        <f t="shared" si="74"/>
        <v>1.4129738209737661</v>
      </c>
      <c r="AD379" s="62">
        <f t="shared" si="74"/>
        <v>1.4482981664981105</v>
      </c>
      <c r="AE379" s="62">
        <f t="shared" si="74"/>
        <v>1.4845056206605631</v>
      </c>
      <c r="AF379" s="62">
        <f t="shared" si="74"/>
        <v>1.521618261177077</v>
      </c>
      <c r="AG379" s="62">
        <f t="shared" si="74"/>
        <v>1.559658717706504</v>
      </c>
      <c r="AH379" s="62">
        <f t="shared" si="74"/>
        <v>1.5986501856491666</v>
      </c>
      <c r="AI379" s="62">
        <f t="shared" si="74"/>
        <v>1.6386164402903955</v>
      </c>
      <c r="AJ379" s="62">
        <f t="shared" si="74"/>
        <v>1.6795818512976552</v>
      </c>
      <c r="AK379" s="62">
        <f t="shared" si="74"/>
        <v>1.7215713975800966</v>
      </c>
      <c r="AL379" s="62">
        <f t="shared" si="74"/>
        <v>1.7646106825195991</v>
      </c>
      <c r="AM379" s="62">
        <f t="shared" si="74"/>
        <v>1.8087259495825889</v>
      </c>
      <c r="AN379" s="62">
        <f t="shared" si="74"/>
        <v>1.8539440983221533</v>
      </c>
      <c r="AO379" s="62">
        <f t="shared" si="74"/>
        <v>1.9002927007802071</v>
      </c>
      <c r="AP379" s="62">
        <f t="shared" si="74"/>
        <v>1.9478000182997122</v>
      </c>
      <c r="AQ379" s="62">
        <f t="shared" si="74"/>
        <v>1.9964950187572048</v>
      </c>
      <c r="AR379" s="62">
        <f t="shared" si="74"/>
        <v>2.0464073942261352</v>
      </c>
      <c r="AS379" s="62">
        <f t="shared" si="74"/>
        <v>2.097567579081788</v>
      </c>
    </row>
    <row r="380" spans="3:45" x14ac:dyDescent="0.3">
      <c r="C380" s="6" t="s">
        <v>285</v>
      </c>
      <c r="D380" s="2" t="s">
        <v>84</v>
      </c>
      <c r="H380" s="8">
        <f t="shared" ref="H380:H389" si="75">SUM(J380:AS380)</f>
        <v>-70011.091950679722</v>
      </c>
      <c r="J380" s="8">
        <f t="shared" ref="J380:AS380" si="76">-(Case_OM+SUM(Opex_Per_MW))*$F$46*J379*J368</f>
        <v>0</v>
      </c>
      <c r="K380" s="8">
        <f t="shared" si="76"/>
        <v>0</v>
      </c>
      <c r="L380" s="8">
        <f t="shared" si="76"/>
        <v>0</v>
      </c>
      <c r="M380" s="8">
        <f t="shared" si="76"/>
        <v>0</v>
      </c>
      <c r="N380" s="8">
        <f t="shared" si="76"/>
        <v>0</v>
      </c>
      <c r="O380" s="8">
        <f t="shared" si="76"/>
        <v>-787.5</v>
      </c>
      <c r="P380" s="8">
        <f t="shared" si="76"/>
        <v>-1614.3749999999998</v>
      </c>
      <c r="Q380" s="8">
        <f t="shared" si="76"/>
        <v>-1654.7343749999998</v>
      </c>
      <c r="R380" s="8">
        <f t="shared" si="76"/>
        <v>-1696.1027343749997</v>
      </c>
      <c r="S380" s="8">
        <f t="shared" si="76"/>
        <v>-1738.5053027343747</v>
      </c>
      <c r="T380" s="8">
        <f t="shared" si="76"/>
        <v>-1781.9679353027338</v>
      </c>
      <c r="U380" s="8">
        <f t="shared" si="76"/>
        <v>-1826.517133685302</v>
      </c>
      <c r="V380" s="8">
        <f t="shared" si="76"/>
        <v>-1872.1800620274346</v>
      </c>
      <c r="W380" s="8">
        <f t="shared" si="76"/>
        <v>-1918.9845635781203</v>
      </c>
      <c r="X380" s="8">
        <f t="shared" si="76"/>
        <v>-1966.9591776675732</v>
      </c>
      <c r="Y380" s="8">
        <f t="shared" si="76"/>
        <v>-2016.1331571092624</v>
      </c>
      <c r="Z380" s="8">
        <f t="shared" si="76"/>
        <v>-2066.5364860369941</v>
      </c>
      <c r="AA380" s="8">
        <f t="shared" si="76"/>
        <v>-2118.1998981879187</v>
      </c>
      <c r="AB380" s="8">
        <f t="shared" si="76"/>
        <v>-2171.1548956426163</v>
      </c>
      <c r="AC380" s="8">
        <f t="shared" si="76"/>
        <v>-2225.4337680336816</v>
      </c>
      <c r="AD380" s="8">
        <f t="shared" si="76"/>
        <v>-2281.0696122345239</v>
      </c>
      <c r="AE380" s="8">
        <f t="shared" si="76"/>
        <v>-2338.0963525403868</v>
      </c>
      <c r="AF380" s="8">
        <f t="shared" si="76"/>
        <v>-2396.5487613538962</v>
      </c>
      <c r="AG380" s="8">
        <f t="shared" si="76"/>
        <v>-2456.4624803877437</v>
      </c>
      <c r="AH380" s="8">
        <f t="shared" si="76"/>
        <v>-2517.8740423974373</v>
      </c>
      <c r="AI380" s="8">
        <f t="shared" si="76"/>
        <v>-2580.8208934573731</v>
      </c>
      <c r="AJ380" s="8">
        <f t="shared" si="76"/>
        <v>-2645.3414157938068</v>
      </c>
      <c r="AK380" s="8">
        <f t="shared" si="76"/>
        <v>-2711.4749511886521</v>
      </c>
      <c r="AL380" s="8">
        <f t="shared" si="76"/>
        <v>-2779.2618249683687</v>
      </c>
      <c r="AM380" s="8">
        <f t="shared" si="76"/>
        <v>-2848.7433705925778</v>
      </c>
      <c r="AN380" s="8">
        <f t="shared" si="76"/>
        <v>-2919.9619548573914</v>
      </c>
      <c r="AO380" s="8">
        <f t="shared" si="76"/>
        <v>-2992.9610037288262</v>
      </c>
      <c r="AP380" s="8">
        <f t="shared" si="76"/>
        <v>-3067.7850288220466</v>
      </c>
      <c r="AQ380" s="8">
        <f t="shared" si="76"/>
        <v>-3144.4796545425975</v>
      </c>
      <c r="AR380" s="8">
        <f t="shared" si="76"/>
        <v>-3223.0916459061627</v>
      </c>
      <c r="AS380" s="8">
        <f t="shared" si="76"/>
        <v>-1651.834468526908</v>
      </c>
    </row>
    <row r="381" spans="3:45" x14ac:dyDescent="0.3">
      <c r="C381" s="6" t="s">
        <v>286</v>
      </c>
      <c r="D381" s="2" t="s">
        <v>84</v>
      </c>
      <c r="H381" s="8">
        <f t="shared" si="75"/>
        <v>-1666.9307607304695</v>
      </c>
      <c r="J381" s="8">
        <f t="shared" ref="J381:AS381" si="77">-Opex_Admin*$F$6/Lump_Basis*J379*J368</f>
        <v>0</v>
      </c>
      <c r="K381" s="8">
        <f t="shared" si="77"/>
        <v>0</v>
      </c>
      <c r="L381" s="8">
        <f t="shared" si="77"/>
        <v>0</v>
      </c>
      <c r="M381" s="8">
        <f t="shared" si="77"/>
        <v>0</v>
      </c>
      <c r="N381" s="8">
        <f t="shared" si="77"/>
        <v>0</v>
      </c>
      <c r="O381" s="8">
        <f t="shared" si="77"/>
        <v>-18.75</v>
      </c>
      <c r="P381" s="8">
        <f t="shared" si="77"/>
        <v>-38.4375</v>
      </c>
      <c r="Q381" s="8">
        <f t="shared" si="77"/>
        <v>-39.3984375</v>
      </c>
      <c r="R381" s="8">
        <f t="shared" si="77"/>
        <v>-40.383398437499999</v>
      </c>
      <c r="S381" s="8">
        <f t="shared" si="77"/>
        <v>-41.392983398437494</v>
      </c>
      <c r="T381" s="8">
        <f t="shared" si="77"/>
        <v>-42.427807983398424</v>
      </c>
      <c r="U381" s="8">
        <f t="shared" si="77"/>
        <v>-43.488503182983379</v>
      </c>
      <c r="V381" s="8">
        <f t="shared" si="77"/>
        <v>-44.575715762557969</v>
      </c>
      <c r="W381" s="8">
        <f t="shared" si="77"/>
        <v>-45.690108656621916</v>
      </c>
      <c r="X381" s="8">
        <f t="shared" si="77"/>
        <v>-46.83236137303745</v>
      </c>
      <c r="Y381" s="8">
        <f t="shared" si="77"/>
        <v>-48.003170407363392</v>
      </c>
      <c r="Z381" s="8">
        <f t="shared" si="77"/>
        <v>-49.203249667547475</v>
      </c>
      <c r="AA381" s="8">
        <f t="shared" si="77"/>
        <v>-50.433330909236155</v>
      </c>
      <c r="AB381" s="8">
        <f t="shared" si="77"/>
        <v>-51.694164181967061</v>
      </c>
      <c r="AC381" s="8">
        <f t="shared" si="77"/>
        <v>-52.98651828651623</v>
      </c>
      <c r="AD381" s="8">
        <f t="shared" si="77"/>
        <v>-54.311181243679144</v>
      </c>
      <c r="AE381" s="8">
        <f t="shared" si="77"/>
        <v>-55.668960774771115</v>
      </c>
      <c r="AF381" s="8">
        <f t="shared" si="77"/>
        <v>-57.060684794140386</v>
      </c>
      <c r="AG381" s="8">
        <f t="shared" si="77"/>
        <v>-58.4872019139939</v>
      </c>
      <c r="AH381" s="8">
        <f t="shared" si="77"/>
        <v>-59.949381961843748</v>
      </c>
      <c r="AI381" s="8">
        <f t="shared" si="77"/>
        <v>-61.448116510889832</v>
      </c>
      <c r="AJ381" s="8">
        <f t="shared" si="77"/>
        <v>-62.984319423662072</v>
      </c>
      <c r="AK381" s="8">
        <f t="shared" si="77"/>
        <v>-64.558927409253627</v>
      </c>
      <c r="AL381" s="8">
        <f t="shared" si="77"/>
        <v>-66.172900594484972</v>
      </c>
      <c r="AM381" s="8">
        <f t="shared" si="77"/>
        <v>-67.827223109347088</v>
      </c>
      <c r="AN381" s="8">
        <f t="shared" si="77"/>
        <v>-69.522903687080756</v>
      </c>
      <c r="AO381" s="8">
        <f t="shared" si="77"/>
        <v>-71.260976279257761</v>
      </c>
      <c r="AP381" s="8">
        <f t="shared" si="77"/>
        <v>-73.042500686239208</v>
      </c>
      <c r="AQ381" s="8">
        <f t="shared" si="77"/>
        <v>-74.868563203395183</v>
      </c>
      <c r="AR381" s="8">
        <f t="shared" si="77"/>
        <v>-76.740277283480069</v>
      </c>
      <c r="AS381" s="8">
        <f t="shared" si="77"/>
        <v>-39.329392107783526</v>
      </c>
    </row>
    <row r="382" spans="3:45" x14ac:dyDescent="0.3">
      <c r="C382" s="6" t="s">
        <v>287</v>
      </c>
      <c r="D382" s="2" t="s">
        <v>84</v>
      </c>
      <c r="H382" s="8">
        <f t="shared" si="75"/>
        <v>-31411.929867285264</v>
      </c>
      <c r="J382" s="8">
        <f t="shared" ref="J382:AS382" si="78">-J376*(Balancing+Grid_Charges)*J379</f>
        <v>0</v>
      </c>
      <c r="K382" s="8">
        <f t="shared" si="78"/>
        <v>0</v>
      </c>
      <c r="L382" s="8">
        <f t="shared" si="78"/>
        <v>0</v>
      </c>
      <c r="M382" s="8">
        <f t="shared" si="78"/>
        <v>0</v>
      </c>
      <c r="N382" s="8">
        <f t="shared" si="78"/>
        <v>0</v>
      </c>
      <c r="O382" s="8">
        <f t="shared" si="78"/>
        <v>-370.43999999999994</v>
      </c>
      <c r="P382" s="8">
        <f t="shared" si="78"/>
        <v>-759.40199999999982</v>
      </c>
      <c r="Q382" s="8">
        <f t="shared" si="78"/>
        <v>-776.05188884999984</v>
      </c>
      <c r="R382" s="8">
        <f t="shared" si="78"/>
        <v>-793.06682651303606</v>
      </c>
      <c r="S382" s="8">
        <f t="shared" si="78"/>
        <v>-810.45481668433422</v>
      </c>
      <c r="T382" s="8">
        <f t="shared" si="78"/>
        <v>-828.22403854013851</v>
      </c>
      <c r="U382" s="8">
        <f t="shared" si="78"/>
        <v>-846.38285058513088</v>
      </c>
      <c r="V382" s="8">
        <f t="shared" si="78"/>
        <v>-864.93979458420995</v>
      </c>
      <c r="W382" s="8">
        <f t="shared" si="78"/>
        <v>-883.90359958046861</v>
      </c>
      <c r="X382" s="8">
        <f t="shared" si="78"/>
        <v>-903.28318600127034</v>
      </c>
      <c r="Y382" s="8">
        <f t="shared" si="78"/>
        <v>-923.08766985434806</v>
      </c>
      <c r="Z382" s="8">
        <f t="shared" si="78"/>
        <v>-943.32636701590491</v>
      </c>
      <c r="AA382" s="8">
        <f t="shared" si="78"/>
        <v>-964.00879761272847</v>
      </c>
      <c r="AB382" s="8">
        <f t="shared" si="78"/>
        <v>-985.14469050038747</v>
      </c>
      <c r="AC382" s="8">
        <f t="shared" si="78"/>
        <v>-1006.7439878396082</v>
      </c>
      <c r="AD382" s="8">
        <f t="shared" si="78"/>
        <v>-1028.8168497729919</v>
      </c>
      <c r="AE382" s="8">
        <f t="shared" si="78"/>
        <v>-1051.3736592042644</v>
      </c>
      <c r="AF382" s="8">
        <f t="shared" si="78"/>
        <v>-1074.425026682318</v>
      </c>
      <c r="AG382" s="8">
        <f t="shared" si="78"/>
        <v>-1097.9817953923277</v>
      </c>
      <c r="AH382" s="8">
        <f t="shared" si="78"/>
        <v>-1122.0550462563046</v>
      </c>
      <c r="AI382" s="8">
        <f t="shared" si="78"/>
        <v>-1146.6561031454739</v>
      </c>
      <c r="AJ382" s="8">
        <f t="shared" si="78"/>
        <v>-1171.7965382069383</v>
      </c>
      <c r="AK382" s="8">
        <f t="shared" si="78"/>
        <v>-1197.4881773071256</v>
      </c>
      <c r="AL382" s="8">
        <f t="shared" si="78"/>
        <v>-1223.7431055945847</v>
      </c>
      <c r="AM382" s="8">
        <f t="shared" si="78"/>
        <v>-1250.5736731847453</v>
      </c>
      <c r="AN382" s="8">
        <f t="shared" si="78"/>
        <v>-1277.9925009693209</v>
      </c>
      <c r="AO382" s="8">
        <f t="shared" si="78"/>
        <v>-1306.0124865530729</v>
      </c>
      <c r="AP382" s="8">
        <f t="shared" si="78"/>
        <v>-1334.6468103207492</v>
      </c>
      <c r="AQ382" s="8">
        <f t="shared" si="78"/>
        <v>-1363.9089416370316</v>
      </c>
      <c r="AR382" s="8">
        <f t="shared" si="78"/>
        <v>-1393.8126451824237</v>
      </c>
      <c r="AS382" s="8">
        <f t="shared" si="78"/>
        <v>-712.18599371402388</v>
      </c>
    </row>
    <row r="383" spans="3:45" x14ac:dyDescent="0.3">
      <c r="C383" s="6" t="s">
        <v>288</v>
      </c>
      <c r="D383" s="2" t="s">
        <v>84</v>
      </c>
      <c r="H383" s="8">
        <f t="shared" si="75"/>
        <v>-446.1306857294544</v>
      </c>
      <c r="J383" s="8">
        <f t="shared" ref="J383:AS383" si="79">-J378*MEKH_Fee</f>
        <v>0</v>
      </c>
      <c r="K383" s="8">
        <f t="shared" si="79"/>
        <v>0</v>
      </c>
      <c r="L383" s="8">
        <f t="shared" si="79"/>
        <v>0</v>
      </c>
      <c r="M383" s="8">
        <f t="shared" si="79"/>
        <v>0</v>
      </c>
      <c r="N383" s="8">
        <f t="shared" si="79"/>
        <v>0</v>
      </c>
      <c r="O383" s="8">
        <f t="shared" si="79"/>
        <v>-6.6679199999999996</v>
      </c>
      <c r="P383" s="8">
        <f t="shared" si="79"/>
        <v>-13.4691984</v>
      </c>
      <c r="Q383" s="8">
        <f t="shared" si="79"/>
        <v>-13.563078712847998</v>
      </c>
      <c r="R383" s="8">
        <f t="shared" si="79"/>
        <v>-13.657613371476547</v>
      </c>
      <c r="S383" s="8">
        <f t="shared" si="79"/>
        <v>-13.752806936675741</v>
      </c>
      <c r="T383" s="8">
        <f t="shared" si="79"/>
        <v>-13.848664001024375</v>
      </c>
      <c r="U383" s="8">
        <f t="shared" si="79"/>
        <v>-13.945189189111517</v>
      </c>
      <c r="V383" s="8">
        <f t="shared" si="79"/>
        <v>-14.042387157759618</v>
      </c>
      <c r="W383" s="8">
        <f t="shared" si="79"/>
        <v>-14.140262596249206</v>
      </c>
      <c r="X383" s="8">
        <f t="shared" si="79"/>
        <v>-14.238820226545064</v>
      </c>
      <c r="Y383" s="8">
        <f t="shared" si="79"/>
        <v>-14.338064803524084</v>
      </c>
      <c r="Z383" s="8">
        <f t="shared" si="79"/>
        <v>-14.438001115204646</v>
      </c>
      <c r="AA383" s="8">
        <f t="shared" si="79"/>
        <v>-14.538633982977624</v>
      </c>
      <c r="AB383" s="8">
        <f t="shared" si="79"/>
        <v>-14.639968261838977</v>
      </c>
      <c r="AC383" s="8">
        <f t="shared" si="79"/>
        <v>-14.742008840623994</v>
      </c>
      <c r="AD383" s="8">
        <f t="shared" si="79"/>
        <v>-14.844760642243141</v>
      </c>
      <c r="AE383" s="8">
        <f t="shared" si="79"/>
        <v>-14.948228623919576</v>
      </c>
      <c r="AF383" s="8">
        <f t="shared" si="79"/>
        <v>-15.052417777428301</v>
      </c>
      <c r="AG383" s="8">
        <f t="shared" si="79"/>
        <v>-15.157333129336976</v>
      </c>
      <c r="AH383" s="8">
        <f t="shared" si="79"/>
        <v>-15.262979741248454</v>
      </c>
      <c r="AI383" s="8">
        <f t="shared" si="79"/>
        <v>-15.369362710044957</v>
      </c>
      <c r="AJ383" s="8">
        <f t="shared" si="79"/>
        <v>-15.476487168133966</v>
      </c>
      <c r="AK383" s="8">
        <f t="shared" si="79"/>
        <v>-15.584358283695865</v>
      </c>
      <c r="AL383" s="8">
        <f t="shared" si="79"/>
        <v>-15.692981260933227</v>
      </c>
      <c r="AM383" s="8">
        <f t="shared" si="79"/>
        <v>-15.80236134032193</v>
      </c>
      <c r="AN383" s="8">
        <f t="shared" si="79"/>
        <v>-15.912503798863979</v>
      </c>
      <c r="AO383" s="8">
        <f t="shared" si="79"/>
        <v>-16.023413950342057</v>
      </c>
      <c r="AP383" s="8">
        <f t="shared" si="79"/>
        <v>-16.135097145575937</v>
      </c>
      <c r="AQ383" s="8">
        <f t="shared" si="79"/>
        <v>-16.247558772680605</v>
      </c>
      <c r="AR383" s="8">
        <f t="shared" si="79"/>
        <v>-16.360804257326187</v>
      </c>
      <c r="AS383" s="8">
        <f t="shared" si="79"/>
        <v>-8.2374195314998762</v>
      </c>
    </row>
    <row r="384" spans="3:45" x14ac:dyDescent="0.3">
      <c r="C384" s="6" t="s">
        <v>289</v>
      </c>
      <c r="D384" s="2" t="s">
        <v>84</v>
      </c>
      <c r="H384" s="8">
        <f t="shared" si="75"/>
        <v>-5176.8041632212435</v>
      </c>
      <c r="J384" s="8">
        <f t="shared" ref="J384:AS384" si="80">SUM(J380:J383)*Opex_Cont</f>
        <v>0</v>
      </c>
      <c r="K384" s="8">
        <f t="shared" si="80"/>
        <v>0</v>
      </c>
      <c r="L384" s="8">
        <f t="shared" si="80"/>
        <v>0</v>
      </c>
      <c r="M384" s="8">
        <f t="shared" si="80"/>
        <v>0</v>
      </c>
      <c r="N384" s="8">
        <f t="shared" si="80"/>
        <v>0</v>
      </c>
      <c r="O384" s="8">
        <f t="shared" si="80"/>
        <v>-59.167896000000013</v>
      </c>
      <c r="P384" s="8">
        <f t="shared" si="80"/>
        <v>-121.28418491999999</v>
      </c>
      <c r="Q384" s="8">
        <f t="shared" si="80"/>
        <v>-124.18738900314239</v>
      </c>
      <c r="R384" s="8">
        <f t="shared" si="80"/>
        <v>-127.16052863485064</v>
      </c>
      <c r="S384" s="8">
        <f t="shared" si="80"/>
        <v>-130.20529548769113</v>
      </c>
      <c r="T384" s="8">
        <f t="shared" si="80"/>
        <v>-133.32342229136475</v>
      </c>
      <c r="U384" s="8">
        <f t="shared" si="80"/>
        <v>-136.5166838321264</v>
      </c>
      <c r="V384" s="8">
        <f t="shared" si="80"/>
        <v>-139.78689797659811</v>
      </c>
      <c r="W384" s="8">
        <f t="shared" si="80"/>
        <v>-143.135926720573</v>
      </c>
      <c r="X384" s="8">
        <f t="shared" si="80"/>
        <v>-146.56567726342129</v>
      </c>
      <c r="Y384" s="8">
        <f t="shared" si="80"/>
        <v>-150.07810310872489</v>
      </c>
      <c r="Z384" s="8">
        <f t="shared" si="80"/>
        <v>-153.67520519178257</v>
      </c>
      <c r="AA384" s="8">
        <f t="shared" si="80"/>
        <v>-157.35903303464306</v>
      </c>
      <c r="AB384" s="8">
        <f t="shared" si="80"/>
        <v>-161.13168592934051</v>
      </c>
      <c r="AC384" s="8">
        <f t="shared" si="80"/>
        <v>-164.9953141500215</v>
      </c>
      <c r="AD384" s="8">
        <f t="shared" si="80"/>
        <v>-168.95212019467192</v>
      </c>
      <c r="AE384" s="8">
        <f t="shared" si="80"/>
        <v>-173.0043600571671</v>
      </c>
      <c r="AF384" s="8">
        <f t="shared" si="80"/>
        <v>-177.15434453038915</v>
      </c>
      <c r="AG384" s="8">
        <f t="shared" si="80"/>
        <v>-181.40444054117015</v>
      </c>
      <c r="AH384" s="8">
        <f t="shared" si="80"/>
        <v>-185.75707251784172</v>
      </c>
      <c r="AI384" s="8">
        <f t="shared" si="80"/>
        <v>-190.21472379118913</v>
      </c>
      <c r="AJ384" s="8">
        <f t="shared" si="80"/>
        <v>-194.77993802962706</v>
      </c>
      <c r="AK384" s="8">
        <f t="shared" si="80"/>
        <v>-199.45532070943636</v>
      </c>
      <c r="AL384" s="8">
        <f t="shared" si="80"/>
        <v>-204.24354062091857</v>
      </c>
      <c r="AM384" s="8">
        <f t="shared" si="80"/>
        <v>-209.14733141134963</v>
      </c>
      <c r="AN384" s="8">
        <f t="shared" si="80"/>
        <v>-214.16949316563287</v>
      </c>
      <c r="AO384" s="8">
        <f t="shared" si="80"/>
        <v>-219.31289402557491</v>
      </c>
      <c r="AP384" s="8">
        <f t="shared" si="80"/>
        <v>-224.58047184873055</v>
      </c>
      <c r="AQ384" s="8">
        <f t="shared" si="80"/>
        <v>-229.97523590778525</v>
      </c>
      <c r="AR384" s="8">
        <f t="shared" si="80"/>
        <v>-235.50026863146965</v>
      </c>
      <c r="AS384" s="8">
        <f t="shared" si="80"/>
        <v>-120.57936369401078</v>
      </c>
    </row>
    <row r="385" spans="2:45" x14ac:dyDescent="0.3">
      <c r="C385" s="6" t="s">
        <v>290</v>
      </c>
      <c r="D385" s="2" t="s">
        <v>84</v>
      </c>
      <c r="H385" s="8">
        <f t="shared" si="75"/>
        <v>-12790.19648119422</v>
      </c>
      <c r="J385" s="8">
        <f t="shared" ref="J385:AS385" si="81">-J376*$F$12</f>
        <v>0</v>
      </c>
      <c r="K385" s="8">
        <f t="shared" si="81"/>
        <v>0</v>
      </c>
      <c r="L385" s="8">
        <f t="shared" si="81"/>
        <v>0</v>
      </c>
      <c r="M385" s="8">
        <f t="shared" si="81"/>
        <v>0</v>
      </c>
      <c r="N385" s="8">
        <f t="shared" si="81"/>
        <v>0</v>
      </c>
      <c r="O385" s="8">
        <f t="shared" si="81"/>
        <v>-222.26399999999998</v>
      </c>
      <c r="P385" s="8">
        <f t="shared" si="81"/>
        <v>-444.52799999999996</v>
      </c>
      <c r="Q385" s="8">
        <f t="shared" si="81"/>
        <v>-443.19441599999999</v>
      </c>
      <c r="R385" s="8">
        <f t="shared" si="81"/>
        <v>-441.86483275199998</v>
      </c>
      <c r="S385" s="8">
        <f t="shared" si="81"/>
        <v>-440.53923825374397</v>
      </c>
      <c r="T385" s="8">
        <f t="shared" si="81"/>
        <v>-439.21762053898283</v>
      </c>
      <c r="U385" s="8">
        <f t="shared" si="81"/>
        <v>-437.89996767736591</v>
      </c>
      <c r="V385" s="8">
        <f t="shared" si="81"/>
        <v>-436.58626777433381</v>
      </c>
      <c r="W385" s="8">
        <f t="shared" si="81"/>
        <v>-435.27650897101074</v>
      </c>
      <c r="X385" s="8">
        <f t="shared" si="81"/>
        <v>-433.9706794440977</v>
      </c>
      <c r="Y385" s="8">
        <f t="shared" si="81"/>
        <v>-432.66876740576544</v>
      </c>
      <c r="Z385" s="8">
        <f t="shared" si="81"/>
        <v>-431.3707611035482</v>
      </c>
      <c r="AA385" s="8">
        <f t="shared" si="81"/>
        <v>-430.07664882023755</v>
      </c>
      <c r="AB385" s="8">
        <f t="shared" si="81"/>
        <v>-428.78641887377677</v>
      </c>
      <c r="AC385" s="8">
        <f t="shared" si="81"/>
        <v>-427.50005961715544</v>
      </c>
      <c r="AD385" s="8">
        <f t="shared" si="81"/>
        <v>-426.21755943830402</v>
      </c>
      <c r="AE385" s="8">
        <f t="shared" si="81"/>
        <v>-424.93890675998904</v>
      </c>
      <c r="AF385" s="8">
        <f t="shared" si="81"/>
        <v>-423.66409003970915</v>
      </c>
      <c r="AG385" s="8">
        <f t="shared" si="81"/>
        <v>-422.39309776958999</v>
      </c>
      <c r="AH385" s="8">
        <f t="shared" si="81"/>
        <v>-421.1259184762813</v>
      </c>
      <c r="AI385" s="8">
        <f t="shared" si="81"/>
        <v>-419.86254072085239</v>
      </c>
      <c r="AJ385" s="8">
        <f t="shared" si="81"/>
        <v>-418.6029530986898</v>
      </c>
      <c r="AK385" s="8">
        <f t="shared" si="81"/>
        <v>-417.34714423939374</v>
      </c>
      <c r="AL385" s="8">
        <f t="shared" si="81"/>
        <v>-416.0951028066757</v>
      </c>
      <c r="AM385" s="8">
        <f t="shared" si="81"/>
        <v>-414.84681749825558</v>
      </c>
      <c r="AN385" s="8">
        <f t="shared" si="81"/>
        <v>-413.60227704576084</v>
      </c>
      <c r="AO385" s="8">
        <f t="shared" si="81"/>
        <v>-412.36147021462352</v>
      </c>
      <c r="AP385" s="8">
        <f t="shared" si="81"/>
        <v>-411.12438580397964</v>
      </c>
      <c r="AQ385" s="8">
        <f t="shared" si="81"/>
        <v>-409.89101264656779</v>
      </c>
      <c r="AR385" s="8">
        <f t="shared" si="81"/>
        <v>-408.66133960862805</v>
      </c>
      <c r="AS385" s="8">
        <f t="shared" si="81"/>
        <v>-203.71767779490108</v>
      </c>
    </row>
    <row r="386" spans="2:45" x14ac:dyDescent="0.3">
      <c r="C386" s="6" t="s">
        <v>291</v>
      </c>
      <c r="D386" s="2" t="s">
        <v>84</v>
      </c>
      <c r="H386" s="8">
        <f t="shared" si="75"/>
        <v>-8922.613714589088</v>
      </c>
      <c r="J386" s="8">
        <f t="shared" ref="J386:AS386" si="82">-J378*HIPA_Rate</f>
        <v>0</v>
      </c>
      <c r="K386" s="8">
        <f t="shared" si="82"/>
        <v>0</v>
      </c>
      <c r="L386" s="8">
        <f t="shared" si="82"/>
        <v>0</v>
      </c>
      <c r="M386" s="8">
        <f t="shared" si="82"/>
        <v>0</v>
      </c>
      <c r="N386" s="8">
        <f t="shared" si="82"/>
        <v>0</v>
      </c>
      <c r="O386" s="8">
        <f t="shared" si="82"/>
        <v>-133.35839999999999</v>
      </c>
      <c r="P386" s="8">
        <f t="shared" si="82"/>
        <v>-269.38396799999998</v>
      </c>
      <c r="Q386" s="8">
        <f t="shared" si="82"/>
        <v>-271.26157425695999</v>
      </c>
      <c r="R386" s="8">
        <f t="shared" si="82"/>
        <v>-273.15226742953098</v>
      </c>
      <c r="S386" s="8">
        <f t="shared" si="82"/>
        <v>-275.05613873351484</v>
      </c>
      <c r="T386" s="8">
        <f t="shared" si="82"/>
        <v>-276.97328002048749</v>
      </c>
      <c r="U386" s="8">
        <f t="shared" si="82"/>
        <v>-278.90378378223033</v>
      </c>
      <c r="V386" s="8">
        <f t="shared" si="82"/>
        <v>-280.84774315519235</v>
      </c>
      <c r="W386" s="8">
        <f t="shared" si="82"/>
        <v>-282.80525192498413</v>
      </c>
      <c r="X386" s="8">
        <f t="shared" si="82"/>
        <v>-284.77640453090129</v>
      </c>
      <c r="Y386" s="8">
        <f t="shared" si="82"/>
        <v>-286.76129607048165</v>
      </c>
      <c r="Z386" s="8">
        <f t="shared" si="82"/>
        <v>-288.7600223040929</v>
      </c>
      <c r="AA386" s="8">
        <f t="shared" si="82"/>
        <v>-290.77267965955247</v>
      </c>
      <c r="AB386" s="8">
        <f t="shared" si="82"/>
        <v>-292.79936523677952</v>
      </c>
      <c r="AC386" s="8">
        <f t="shared" si="82"/>
        <v>-294.84017681247991</v>
      </c>
      <c r="AD386" s="8">
        <f t="shared" si="82"/>
        <v>-296.89521284486284</v>
      </c>
      <c r="AE386" s="8">
        <f t="shared" si="82"/>
        <v>-298.96457247839152</v>
      </c>
      <c r="AF386" s="8">
        <f t="shared" si="82"/>
        <v>-301.04835554856606</v>
      </c>
      <c r="AG386" s="8">
        <f t="shared" si="82"/>
        <v>-303.14666258673952</v>
      </c>
      <c r="AH386" s="8">
        <f t="shared" si="82"/>
        <v>-305.25959482496904</v>
      </c>
      <c r="AI386" s="8">
        <f t="shared" si="82"/>
        <v>-307.38725420089912</v>
      </c>
      <c r="AJ386" s="8">
        <f t="shared" si="82"/>
        <v>-309.52974336267931</v>
      </c>
      <c r="AK386" s="8">
        <f t="shared" si="82"/>
        <v>-311.68716567391732</v>
      </c>
      <c r="AL386" s="8">
        <f t="shared" si="82"/>
        <v>-313.85962521866452</v>
      </c>
      <c r="AM386" s="8">
        <f t="shared" si="82"/>
        <v>-316.04722680643857</v>
      </c>
      <c r="AN386" s="8">
        <f t="shared" si="82"/>
        <v>-318.25007597727955</v>
      </c>
      <c r="AO386" s="8">
        <f t="shared" si="82"/>
        <v>-320.46827900684116</v>
      </c>
      <c r="AP386" s="8">
        <f t="shared" si="82"/>
        <v>-322.7019429115187</v>
      </c>
      <c r="AQ386" s="8">
        <f t="shared" si="82"/>
        <v>-324.95117545361211</v>
      </c>
      <c r="AR386" s="8">
        <f t="shared" si="82"/>
        <v>-327.21608514652377</v>
      </c>
      <c r="AS386" s="8">
        <f t="shared" si="82"/>
        <v>-164.74839062999752</v>
      </c>
    </row>
    <row r="387" spans="2:45" x14ac:dyDescent="0.3">
      <c r="C387" s="1" t="s">
        <v>292</v>
      </c>
      <c r="D387" s="2" t="s">
        <v>84</v>
      </c>
      <c r="H387" s="32">
        <f t="shared" si="75"/>
        <v>-130425.69762342949</v>
      </c>
      <c r="J387" s="32">
        <f t="shared" ref="J387:AS387" si="83">SUM(J380:J386)</f>
        <v>0</v>
      </c>
      <c r="K387" s="32">
        <f t="shared" si="83"/>
        <v>0</v>
      </c>
      <c r="L387" s="32">
        <f t="shared" si="83"/>
        <v>0</v>
      </c>
      <c r="M387" s="32">
        <f t="shared" si="83"/>
        <v>0</v>
      </c>
      <c r="N387" s="32">
        <f t="shared" si="83"/>
        <v>0</v>
      </c>
      <c r="O387" s="32">
        <f t="shared" si="83"/>
        <v>-1598.148216</v>
      </c>
      <c r="P387" s="32">
        <f t="shared" si="83"/>
        <v>-3260.8798513199995</v>
      </c>
      <c r="Q387" s="32">
        <f t="shared" si="83"/>
        <v>-3322.39115932295</v>
      </c>
      <c r="R387" s="32">
        <f t="shared" si="83"/>
        <v>-3385.3882015133945</v>
      </c>
      <c r="S387" s="32">
        <f t="shared" si="83"/>
        <v>-3449.9065822287721</v>
      </c>
      <c r="T387" s="32">
        <f t="shared" si="83"/>
        <v>-3515.98276867813</v>
      </c>
      <c r="U387" s="32">
        <f t="shared" si="83"/>
        <v>-3583.6541119342505</v>
      </c>
      <c r="V387" s="32">
        <f t="shared" si="83"/>
        <v>-3652.9588684380865</v>
      </c>
      <c r="W387" s="32">
        <f t="shared" si="83"/>
        <v>-3723.9362220280277</v>
      </c>
      <c r="X387" s="32">
        <f t="shared" si="83"/>
        <v>-3796.626306506846</v>
      </c>
      <c r="Y387" s="32">
        <f t="shared" si="83"/>
        <v>-3871.0702287594695</v>
      </c>
      <c r="Z387" s="32">
        <f t="shared" si="83"/>
        <v>-3947.3100924350747</v>
      </c>
      <c r="AA387" s="32">
        <f t="shared" si="83"/>
        <v>-4025.3890222072937</v>
      </c>
      <c r="AB387" s="32">
        <f t="shared" si="83"/>
        <v>-4105.351188626707</v>
      </c>
      <c r="AC387" s="32">
        <f t="shared" si="83"/>
        <v>-4187.2418335800867</v>
      </c>
      <c r="AD387" s="32">
        <f t="shared" si="83"/>
        <v>-4271.1072963712768</v>
      </c>
      <c r="AE387" s="32">
        <f t="shared" si="83"/>
        <v>-4356.9950404388892</v>
      </c>
      <c r="AF387" s="32">
        <f t="shared" si="83"/>
        <v>-4444.9536807264467</v>
      </c>
      <c r="AG387" s="32">
        <f t="shared" si="83"/>
        <v>-4535.0330117209023</v>
      </c>
      <c r="AH387" s="32">
        <f t="shared" si="83"/>
        <v>-4627.2840361759263</v>
      </c>
      <c r="AI387" s="32">
        <f t="shared" si="83"/>
        <v>-4721.7589945367235</v>
      </c>
      <c r="AJ387" s="32">
        <f t="shared" si="83"/>
        <v>-4818.5113950835375</v>
      </c>
      <c r="AK387" s="32">
        <f t="shared" si="83"/>
        <v>-4917.5960448114747</v>
      </c>
      <c r="AL387" s="32">
        <f t="shared" si="83"/>
        <v>-5019.0690810646302</v>
      </c>
      <c r="AM387" s="32">
        <f t="shared" si="83"/>
        <v>-5122.9880039430363</v>
      </c>
      <c r="AN387" s="32">
        <f t="shared" si="83"/>
        <v>-5229.4117095013307</v>
      </c>
      <c r="AO387" s="32">
        <f t="shared" si="83"/>
        <v>-5338.400523758537</v>
      </c>
      <c r="AP387" s="32">
        <f t="shared" si="83"/>
        <v>-5450.01623753884</v>
      </c>
      <c r="AQ387" s="32">
        <f t="shared" si="83"/>
        <v>-5564.3221421636708</v>
      </c>
      <c r="AR387" s="32">
        <f t="shared" si="83"/>
        <v>-5681.3830660160138</v>
      </c>
      <c r="AS387" s="32">
        <f t="shared" si="83"/>
        <v>-2900.6327059991249</v>
      </c>
    </row>
    <row r="388" spans="2:45" x14ac:dyDescent="0.3">
      <c r="C388" s="1" t="s">
        <v>151</v>
      </c>
      <c r="D388" s="2" t="s">
        <v>84</v>
      </c>
      <c r="H388" s="15">
        <f t="shared" si="75"/>
        <v>315704.98810602498</v>
      </c>
      <c r="J388" s="15">
        <f t="shared" ref="J388:AS388" si="84">J378+J387</f>
        <v>0</v>
      </c>
      <c r="K388" s="15">
        <f t="shared" si="84"/>
        <v>0</v>
      </c>
      <c r="L388" s="15">
        <f t="shared" si="84"/>
        <v>0</v>
      </c>
      <c r="M388" s="15">
        <f t="shared" si="84"/>
        <v>0</v>
      </c>
      <c r="N388" s="15">
        <f t="shared" si="84"/>
        <v>0</v>
      </c>
      <c r="O388" s="15">
        <f t="shared" si="84"/>
        <v>5069.7717839999987</v>
      </c>
      <c r="P388" s="15">
        <f t="shared" si="84"/>
        <v>10208.318548679999</v>
      </c>
      <c r="Q388" s="15">
        <f t="shared" si="84"/>
        <v>10240.687553525049</v>
      </c>
      <c r="R388" s="15">
        <f t="shared" si="84"/>
        <v>10272.225169963152</v>
      </c>
      <c r="S388" s="15">
        <f t="shared" si="84"/>
        <v>10302.900354446969</v>
      </c>
      <c r="T388" s="15">
        <f t="shared" si="84"/>
        <v>10332.681232346244</v>
      </c>
      <c r="U388" s="15">
        <f t="shared" si="84"/>
        <v>10361.535077177265</v>
      </c>
      <c r="V388" s="15">
        <f t="shared" si="84"/>
        <v>10389.428289321531</v>
      </c>
      <c r="W388" s="15">
        <f t="shared" si="84"/>
        <v>10416.326374221178</v>
      </c>
      <c r="X388" s="15">
        <f t="shared" si="84"/>
        <v>10442.193920038218</v>
      </c>
      <c r="Y388" s="15">
        <f t="shared" si="84"/>
        <v>10466.994574764612</v>
      </c>
      <c r="Z388" s="15">
        <f t="shared" si="84"/>
        <v>10490.69102276957</v>
      </c>
      <c r="AA388" s="15">
        <f t="shared" si="84"/>
        <v>10513.244960770329</v>
      </c>
      <c r="AB388" s="15">
        <f t="shared" si="84"/>
        <v>10534.61707321227</v>
      </c>
      <c r="AC388" s="15">
        <f t="shared" si="84"/>
        <v>10554.767007043907</v>
      </c>
      <c r="AD388" s="15">
        <f t="shared" si="84"/>
        <v>10573.653345871866</v>
      </c>
      <c r="AE388" s="15">
        <f t="shared" si="84"/>
        <v>10591.233583480687</v>
      </c>
      <c r="AF388" s="15">
        <f t="shared" si="84"/>
        <v>10607.464096701855</v>
      </c>
      <c r="AG388" s="15">
        <f t="shared" si="84"/>
        <v>10622.300117616072</v>
      </c>
      <c r="AH388" s="15">
        <f t="shared" si="84"/>
        <v>10635.695705072527</v>
      </c>
      <c r="AI388" s="15">
        <f t="shared" si="84"/>
        <v>10647.603715508232</v>
      </c>
      <c r="AJ388" s="15">
        <f t="shared" si="84"/>
        <v>10657.975773050428</v>
      </c>
      <c r="AK388" s="15">
        <f t="shared" si="84"/>
        <v>10666.76223888439</v>
      </c>
      <c r="AL388" s="15">
        <f t="shared" si="84"/>
        <v>10673.912179868596</v>
      </c>
      <c r="AM388" s="15">
        <f t="shared" si="84"/>
        <v>10679.373336378892</v>
      </c>
      <c r="AN388" s="15">
        <f t="shared" si="84"/>
        <v>10683.092089362646</v>
      </c>
      <c r="AO388" s="15">
        <f t="shared" si="84"/>
        <v>10685.01342658352</v>
      </c>
      <c r="AP388" s="15">
        <f t="shared" si="84"/>
        <v>10685.080908037096</v>
      </c>
      <c r="AQ388" s="15">
        <f t="shared" si="84"/>
        <v>10683.236630516934</v>
      </c>
      <c r="AR388" s="15">
        <f t="shared" si="84"/>
        <v>10679.421191310175</v>
      </c>
      <c r="AS388" s="15">
        <f t="shared" si="84"/>
        <v>5336.7868255007506</v>
      </c>
    </row>
    <row r="389" spans="2:45" x14ac:dyDescent="0.3">
      <c r="C389" s="1" t="s">
        <v>293</v>
      </c>
      <c r="D389" s="2" t="s">
        <v>84</v>
      </c>
      <c r="H389" s="32">
        <f t="shared" si="75"/>
        <v>238904.9288594496</v>
      </c>
      <c r="J389" s="32">
        <f t="shared" ref="J389:AS389" si="85">J374+J388</f>
        <v>0</v>
      </c>
      <c r="K389" s="32">
        <f t="shared" si="85"/>
        <v>0</v>
      </c>
      <c r="L389" s="32">
        <f t="shared" si="85"/>
        <v>0</v>
      </c>
      <c r="M389" s="32">
        <f t="shared" si="85"/>
        <v>-29757.579794520549</v>
      </c>
      <c r="N389" s="32">
        <f t="shared" si="85"/>
        <v>-31358</v>
      </c>
      <c r="O389" s="32">
        <f t="shared" si="85"/>
        <v>-13109.228216000001</v>
      </c>
      <c r="P389" s="32">
        <f t="shared" si="85"/>
        <v>10208.318548679999</v>
      </c>
      <c r="Q389" s="32">
        <f t="shared" si="85"/>
        <v>12735.208101470254</v>
      </c>
      <c r="R389" s="32">
        <f t="shared" si="85"/>
        <v>10272.225169963152</v>
      </c>
      <c r="S389" s="32">
        <f t="shared" si="85"/>
        <v>10302.900354446969</v>
      </c>
      <c r="T389" s="32">
        <f t="shared" si="85"/>
        <v>10332.681232346244</v>
      </c>
      <c r="U389" s="32">
        <f t="shared" si="85"/>
        <v>10361.535077177265</v>
      </c>
      <c r="V389" s="32">
        <f t="shared" si="85"/>
        <v>10389.428289321531</v>
      </c>
      <c r="W389" s="32">
        <f t="shared" si="85"/>
        <v>10416.326374221178</v>
      </c>
      <c r="X389" s="32">
        <f t="shared" si="85"/>
        <v>10442.193920038218</v>
      </c>
      <c r="Y389" s="32">
        <f t="shared" si="85"/>
        <v>10466.994574764612</v>
      </c>
      <c r="Z389" s="32">
        <f t="shared" si="85"/>
        <v>10490.69102276957</v>
      </c>
      <c r="AA389" s="32">
        <f t="shared" si="85"/>
        <v>10513.244960770329</v>
      </c>
      <c r="AB389" s="32">
        <f t="shared" si="85"/>
        <v>10534.61707321227</v>
      </c>
      <c r="AC389" s="32">
        <f t="shared" si="85"/>
        <v>10554.767007043907</v>
      </c>
      <c r="AD389" s="32">
        <f t="shared" si="85"/>
        <v>10573.653345871866</v>
      </c>
      <c r="AE389" s="32">
        <f t="shared" si="85"/>
        <v>10591.233583480687</v>
      </c>
      <c r="AF389" s="32">
        <f t="shared" si="85"/>
        <v>10607.464096701855</v>
      </c>
      <c r="AG389" s="32">
        <f t="shared" si="85"/>
        <v>10622.300117616072</v>
      </c>
      <c r="AH389" s="32">
        <f t="shared" si="85"/>
        <v>10635.695705072527</v>
      </c>
      <c r="AI389" s="32">
        <f t="shared" si="85"/>
        <v>10647.603715508232</v>
      </c>
      <c r="AJ389" s="32">
        <f t="shared" si="85"/>
        <v>10657.975773050428</v>
      </c>
      <c r="AK389" s="32">
        <f t="shared" si="85"/>
        <v>10666.76223888439</v>
      </c>
      <c r="AL389" s="32">
        <f t="shared" si="85"/>
        <v>10673.912179868596</v>
      </c>
      <c r="AM389" s="32">
        <f t="shared" si="85"/>
        <v>10679.373336378892</v>
      </c>
      <c r="AN389" s="32">
        <f t="shared" si="85"/>
        <v>10683.092089362646</v>
      </c>
      <c r="AO389" s="32">
        <f t="shared" si="85"/>
        <v>10685.01342658352</v>
      </c>
      <c r="AP389" s="32">
        <f t="shared" si="85"/>
        <v>10685.080908037096</v>
      </c>
      <c r="AQ389" s="32">
        <f t="shared" si="85"/>
        <v>10683.236630516934</v>
      </c>
      <c r="AR389" s="32">
        <f t="shared" si="85"/>
        <v>10679.421191310175</v>
      </c>
      <c r="AS389" s="32">
        <f t="shared" si="85"/>
        <v>5336.7868255007506</v>
      </c>
    </row>
    <row r="390" spans="2:45" x14ac:dyDescent="0.3">
      <c r="C390" s="6" t="s">
        <v>294</v>
      </c>
      <c r="D390" s="2" t="s">
        <v>3</v>
      </c>
      <c r="J390" s="62">
        <f>(1+Discount_Rate)^((Inputs!$F$26-J$329)/Days_In_Year)</f>
        <v>1.4137125510793771</v>
      </c>
      <c r="K390" s="62">
        <f>(1+Discount_Rate)^((Inputs!$F$26-K$329)/Days_In_Year)</f>
        <v>1.3089931028512751</v>
      </c>
      <c r="L390" s="62">
        <f>(1+Discount_Rate)^((Inputs!$F$26-L$329)/Days_In_Year)</f>
        <v>1.2117751184391485</v>
      </c>
      <c r="M390" s="62">
        <f>(1+Discount_Rate)^((Inputs!$F$26-M$329)/Days_In_Year)</f>
        <v>1.122013998554767</v>
      </c>
      <c r="N390" s="62">
        <f>(1+Discount_Rate)^((Inputs!$F$26-N$329)/Days_In_Year)</f>
        <v>1.0389018505136731</v>
      </c>
      <c r="O390" s="62">
        <f>(1+Discount_Rate)^((Inputs!$F$26-O$329)/Days_In_Year)</f>
        <v>0.96194615788303062</v>
      </c>
      <c r="P390" s="62">
        <f>(1+Discount_Rate)^((Inputs!$F$26-P$329)/Days_In_Year)</f>
        <v>0.8905031026227137</v>
      </c>
      <c r="Q390" s="62">
        <f>(1+Discount_Rate)^((Inputs!$F$26-Q$329)/Days_In_Year)</f>
        <v>0.8245399098358458</v>
      </c>
      <c r="R390" s="62">
        <f>(1+Discount_Rate)^((Inputs!$F$26-R$329)/Days_In_Year)</f>
        <v>0.76346287947763503</v>
      </c>
      <c r="S390" s="62">
        <f>(1+Discount_Rate)^((Inputs!$F$26-S$329)/Days_In_Year)</f>
        <v>0.7069100735904027</v>
      </c>
      <c r="T390" s="62">
        <f>(1+Discount_Rate)^((Inputs!$F$26-T$329)/Days_In_Year)</f>
        <v>0.6544083664649869</v>
      </c>
      <c r="U390" s="62">
        <f>(1+Discount_Rate)^((Inputs!$F$26-U$329)/Days_In_Year)</f>
        <v>0.60593367265276554</v>
      </c>
      <c r="V390" s="62">
        <f>(1+Discount_Rate)^((Inputs!$F$26-V$329)/Days_In_Year)</f>
        <v>0.56104969690070883</v>
      </c>
      <c r="W390" s="62">
        <f>(1+Discount_Rate)^((Inputs!$F$26-W$329)/Days_In_Year)</f>
        <v>0.51949046009324884</v>
      </c>
      <c r="X390" s="62">
        <f>(1+Discount_Rate)^((Inputs!$F$26-X$329)/Days_In_Year)</f>
        <v>0.48090827402856651</v>
      </c>
      <c r="Y390" s="62">
        <f>(1+Discount_Rate)^((Inputs!$F$26-Y$329)/Days_In_Year)</f>
        <v>0.44528543891533923</v>
      </c>
      <c r="Z390" s="62">
        <f>(1+Discount_Rate)^((Inputs!$F$26-Z$329)/Days_In_Year)</f>
        <v>0.41230133232901778</v>
      </c>
      <c r="AA390" s="62">
        <f>(1+Discount_Rate)^((Inputs!$F$26-AA$329)/Days_In_Year)</f>
        <v>0.38176049289723868</v>
      </c>
      <c r="AB390" s="62">
        <f>(1+Discount_Rate)^((Inputs!$F$26-AB$329)/Days_In_Year)</f>
        <v>0.35340741329215369</v>
      </c>
      <c r="AC390" s="62">
        <f>(1+Discount_Rate)^((Inputs!$F$26-AC$329)/Days_In_Year)</f>
        <v>0.32722908638162373</v>
      </c>
      <c r="AD390" s="62">
        <f>(1+Discount_Rate)^((Inputs!$F$26-AD$329)/Days_In_Year)</f>
        <v>0.30298989479779975</v>
      </c>
      <c r="AE390" s="62">
        <f>(1+Discount_Rate)^((Inputs!$F$26-AE$329)/Days_In_Year)</f>
        <v>0.28054619888685151</v>
      </c>
      <c r="AF390" s="62">
        <f>(1+Discount_Rate)^((Inputs!$F$26-AF$329)/Days_In_Year)</f>
        <v>0.25971023273022764</v>
      </c>
      <c r="AG390" s="62">
        <f>(1+Discount_Rate)^((Inputs!$F$26-AG$329)/Days_In_Year)</f>
        <v>0.24047243771317375</v>
      </c>
      <c r="AH390" s="62">
        <f>(1+Discount_Rate)^((Inputs!$F$26-AH$329)/Days_In_Year)</f>
        <v>0.22265966454923491</v>
      </c>
      <c r="AI390" s="62">
        <f>(1+Discount_Rate)^((Inputs!$F$26-AI$329)/Days_In_Year)</f>
        <v>0.20616635606410641</v>
      </c>
      <c r="AJ390" s="62">
        <f>(1+Discount_Rate)^((Inputs!$F$26-AJ$329)/Days_In_Year)</f>
        <v>0.19085452779970458</v>
      </c>
      <c r="AK390" s="62">
        <f>(1+Discount_Rate)^((Inputs!$F$26-AK$329)/Days_In_Year)</f>
        <v>0.17671715537009683</v>
      </c>
      <c r="AL390" s="62">
        <f>(1+Discount_Rate)^((Inputs!$F$26-AL$329)/Days_In_Year)</f>
        <v>0.16362699571305259</v>
      </c>
      <c r="AM390" s="62">
        <f>(1+Discount_Rate)^((Inputs!$F$26-AM$329)/Days_In_Year)</f>
        <v>0.15150647751208571</v>
      </c>
      <c r="AN390" s="62">
        <f>(1+Discount_Rate)^((Inputs!$F$26-AN$329)/Days_In_Year)</f>
        <v>0.14025419945422371</v>
      </c>
      <c r="AO390" s="62">
        <f>(1+Discount_Rate)^((Inputs!$F$26-AO$329)/Days_In_Year)</f>
        <v>0.12986499949465158</v>
      </c>
      <c r="AP390" s="62">
        <f>(1+Discount_Rate)^((Inputs!$F$26-AP$329)/Days_In_Year)</f>
        <v>0.12024536990245513</v>
      </c>
      <c r="AQ390" s="62">
        <f>(1+Discount_Rate)^((Inputs!$F$26-AQ$329)/Days_In_Year)</f>
        <v>0.1113383054652362</v>
      </c>
      <c r="AR390" s="62">
        <f>(1+Discount_Rate)^((Inputs!$F$26-AR$329)/Days_In_Year)</f>
        <v>0.1030692889046335</v>
      </c>
      <c r="AS390" s="62">
        <f>(1+Discount_Rate)^((Inputs!$F$26-AS$329)/Days_In_Year)</f>
        <v>9.5434526763549549E-2</v>
      </c>
    </row>
    <row r="391" spans="2:45" x14ac:dyDescent="0.3">
      <c r="C391" s="6" t="s">
        <v>295</v>
      </c>
      <c r="D391" s="2" t="s">
        <v>84</v>
      </c>
      <c r="H391" s="8">
        <f>SUM(J391:AS391)</f>
        <v>117317.066600666</v>
      </c>
      <c r="J391" s="8">
        <f t="shared" ref="J391:AS391" si="86">J388*J390</f>
        <v>0</v>
      </c>
      <c r="K391" s="8">
        <f t="shared" si="86"/>
        <v>0</v>
      </c>
      <c r="L391" s="8">
        <f t="shared" si="86"/>
        <v>0</v>
      </c>
      <c r="M391" s="8">
        <f t="shared" si="86"/>
        <v>0</v>
      </c>
      <c r="N391" s="8">
        <f t="shared" si="86"/>
        <v>0</v>
      </c>
      <c r="O391" s="8">
        <f t="shared" si="86"/>
        <v>4876.8474889625968</v>
      </c>
      <c r="P391" s="8">
        <f t="shared" si="86"/>
        <v>9090.5393401605379</v>
      </c>
      <c r="Q391" s="8">
        <f t="shared" si="86"/>
        <v>8443.8555920406125</v>
      </c>
      <c r="R391" s="8">
        <f t="shared" si="86"/>
        <v>7842.4626069027072</v>
      </c>
      <c r="S391" s="8">
        <f t="shared" si="86"/>
        <v>7283.2240477566929</v>
      </c>
      <c r="T391" s="8">
        <f t="shared" si="86"/>
        <v>6761.7930464631327</v>
      </c>
      <c r="U391" s="8">
        <f t="shared" si="86"/>
        <v>6278.4030036344766</v>
      </c>
      <c r="V391" s="8">
        <f t="shared" si="86"/>
        <v>5828.9855926954951</v>
      </c>
      <c r="W391" s="8">
        <f t="shared" si="86"/>
        <v>5411.1821806256021</v>
      </c>
      <c r="X391" s="8">
        <f t="shared" si="86"/>
        <v>5021.7374551571711</v>
      </c>
      <c r="Y391" s="8">
        <f t="shared" si="86"/>
        <v>4660.8002733485346</v>
      </c>
      <c r="Z391" s="8">
        <f t="shared" si="86"/>
        <v>4325.3258857399596</v>
      </c>
      <c r="AA391" s="8">
        <f t="shared" si="86"/>
        <v>4013.5415781730917</v>
      </c>
      <c r="AB391" s="8">
        <f t="shared" si="86"/>
        <v>3723.0117698673071</v>
      </c>
      <c r="AC391" s="8">
        <f t="shared" si="86"/>
        <v>3453.8267646858831</v>
      </c>
      <c r="AD391" s="8">
        <f t="shared" si="86"/>
        <v>3203.7101148941201</v>
      </c>
      <c r="AE391" s="8">
        <f t="shared" si="86"/>
        <v>2971.3303233682736</v>
      </c>
      <c r="AF391" s="8">
        <f t="shared" si="86"/>
        <v>2754.8669692319727</v>
      </c>
      <c r="AG391" s="8">
        <f t="shared" si="86"/>
        <v>2554.3704034040693</v>
      </c>
      <c r="AH391" s="8">
        <f t="shared" si="86"/>
        <v>2368.1404379391874</v>
      </c>
      <c r="AI391" s="8">
        <f t="shared" si="86"/>
        <v>2195.1776588409725</v>
      </c>
      <c r="AJ391" s="8">
        <f t="shared" si="86"/>
        <v>2034.1229334662307</v>
      </c>
      <c r="AK391" s="8">
        <f t="shared" si="86"/>
        <v>1884.9998798648146</v>
      </c>
      <c r="AL391" s="8">
        <f t="shared" si="86"/>
        <v>1746.5401824968585</v>
      </c>
      <c r="AM391" s="8">
        <f t="shared" si="86"/>
        <v>1617.9942362312563</v>
      </c>
      <c r="AN391" s="8">
        <f t="shared" si="86"/>
        <v>1498.3485286893081</v>
      </c>
      <c r="AO391" s="8">
        <f t="shared" si="86"/>
        <v>1387.6092632436141</v>
      </c>
      <c r="AP391" s="8">
        <f t="shared" si="86"/>
        <v>1284.8315062245817</v>
      </c>
      <c r="AQ391" s="8">
        <f t="shared" si="86"/>
        <v>1189.4534633258952</v>
      </c>
      <c r="AR391" s="8">
        <f t="shared" si="86"/>
        <v>1100.7203481014137</v>
      </c>
      <c r="AS391" s="8">
        <f t="shared" si="86"/>
        <v>509.31372512961002</v>
      </c>
    </row>
    <row r="392" spans="2:45" x14ac:dyDescent="0.3">
      <c r="C392" s="6" t="s">
        <v>296</v>
      </c>
      <c r="D392" s="2" t="s">
        <v>84</v>
      </c>
      <c r="H392" s="8">
        <f>SUM(J392:AS392)</f>
        <v>0</v>
      </c>
      <c r="J392" s="8">
        <f>0</f>
        <v>0</v>
      </c>
      <c r="K392" s="8">
        <f>0</f>
        <v>0</v>
      </c>
      <c r="L392" s="8">
        <f>0</f>
        <v>0</v>
      </c>
      <c r="M392" s="8">
        <f>0</f>
        <v>0</v>
      </c>
      <c r="N392" s="8">
        <f>0</f>
        <v>0</v>
      </c>
      <c r="O392" s="8">
        <f>0</f>
        <v>0</v>
      </c>
      <c r="P392" s="8">
        <f>0</f>
        <v>0</v>
      </c>
      <c r="Q392" s="8">
        <f>0</f>
        <v>0</v>
      </c>
      <c r="R392" s="8">
        <f>0</f>
        <v>0</v>
      </c>
      <c r="S392" s="8">
        <f>0</f>
        <v>0</v>
      </c>
      <c r="T392" s="8">
        <f>0</f>
        <v>0</v>
      </c>
      <c r="U392" s="8">
        <f>0</f>
        <v>0</v>
      </c>
      <c r="V392" s="8">
        <f>0</f>
        <v>0</v>
      </c>
      <c r="W392" s="8">
        <f>0</f>
        <v>0</v>
      </c>
      <c r="X392" s="8">
        <f>0</f>
        <v>0</v>
      </c>
      <c r="Y392" s="8">
        <f>0</f>
        <v>0</v>
      </c>
      <c r="Z392" s="8">
        <f>0</f>
        <v>0</v>
      </c>
      <c r="AA392" s="8">
        <f>0</f>
        <v>0</v>
      </c>
      <c r="AB392" s="8">
        <f>0</f>
        <v>0</v>
      </c>
      <c r="AC392" s="8">
        <f>0</f>
        <v>0</v>
      </c>
      <c r="AD392" s="8">
        <f>0</f>
        <v>0</v>
      </c>
      <c r="AE392" s="8">
        <f>0</f>
        <v>0</v>
      </c>
      <c r="AF392" s="8">
        <f>0</f>
        <v>0</v>
      </c>
      <c r="AG392" s="8">
        <f>0</f>
        <v>0</v>
      </c>
      <c r="AH392" s="8">
        <f>0</f>
        <v>0</v>
      </c>
      <c r="AI392" s="8">
        <f>0</f>
        <v>0</v>
      </c>
      <c r="AJ392" s="8">
        <f>0</f>
        <v>0</v>
      </c>
      <c r="AK392" s="8">
        <f>0</f>
        <v>0</v>
      </c>
      <c r="AL392" s="8">
        <f>0</f>
        <v>0</v>
      </c>
      <c r="AM392" s="8">
        <f>0</f>
        <v>0</v>
      </c>
      <c r="AN392" s="8">
        <f>0</f>
        <v>0</v>
      </c>
      <c r="AO392" s="8">
        <f>0</f>
        <v>0</v>
      </c>
      <c r="AP392" s="8">
        <f>0</f>
        <v>0</v>
      </c>
      <c r="AQ392" s="8">
        <f>0</f>
        <v>0</v>
      </c>
      <c r="AR392" s="8">
        <f>0</f>
        <v>0</v>
      </c>
      <c r="AS392" s="8">
        <f>0</f>
        <v>0</v>
      </c>
    </row>
    <row r="393" spans="2:45" x14ac:dyDescent="0.3">
      <c r="C393" s="1" t="s">
        <v>297</v>
      </c>
      <c r="D393" s="2" t="s">
        <v>84</v>
      </c>
      <c r="H393" s="32">
        <f>SUM(J393:AS393)</f>
        <v>40517.007354090667</v>
      </c>
      <c r="J393" s="32">
        <f t="shared" ref="J393:AS393" si="87">J374*(J364&lt;=0)+J369*($H391+$F$62+$F$63)+J392</f>
        <v>0</v>
      </c>
      <c r="K393" s="32">
        <f t="shared" si="87"/>
        <v>0</v>
      </c>
      <c r="L393" s="32">
        <f t="shared" si="87"/>
        <v>0</v>
      </c>
      <c r="M393" s="32">
        <f t="shared" si="87"/>
        <v>-29757.579794520549</v>
      </c>
      <c r="N393" s="32">
        <f t="shared" si="87"/>
        <v>-31358</v>
      </c>
      <c r="O393" s="32">
        <f t="shared" si="87"/>
        <v>101632.58714861122</v>
      </c>
      <c r="P393" s="32">
        <f t="shared" si="87"/>
        <v>0</v>
      </c>
      <c r="Q393" s="32">
        <f t="shared" si="87"/>
        <v>0</v>
      </c>
      <c r="R393" s="32">
        <f t="shared" si="87"/>
        <v>0</v>
      </c>
      <c r="S393" s="32">
        <f t="shared" si="87"/>
        <v>0</v>
      </c>
      <c r="T393" s="32">
        <f t="shared" si="87"/>
        <v>0</v>
      </c>
      <c r="U393" s="32">
        <f t="shared" si="87"/>
        <v>0</v>
      </c>
      <c r="V393" s="32">
        <f t="shared" si="87"/>
        <v>0</v>
      </c>
      <c r="W393" s="32">
        <f t="shared" si="87"/>
        <v>0</v>
      </c>
      <c r="X393" s="32">
        <f t="shared" si="87"/>
        <v>0</v>
      </c>
      <c r="Y393" s="32">
        <f t="shared" si="87"/>
        <v>0</v>
      </c>
      <c r="Z393" s="32">
        <f t="shared" si="87"/>
        <v>0</v>
      </c>
      <c r="AA393" s="32">
        <f t="shared" si="87"/>
        <v>0</v>
      </c>
      <c r="AB393" s="32">
        <f t="shared" si="87"/>
        <v>0</v>
      </c>
      <c r="AC393" s="32">
        <f t="shared" si="87"/>
        <v>0</v>
      </c>
      <c r="AD393" s="32">
        <f t="shared" si="87"/>
        <v>0</v>
      </c>
      <c r="AE393" s="32">
        <f t="shared" si="87"/>
        <v>0</v>
      </c>
      <c r="AF393" s="32">
        <f t="shared" si="87"/>
        <v>0</v>
      </c>
      <c r="AG393" s="32">
        <f t="shared" si="87"/>
        <v>0</v>
      </c>
      <c r="AH393" s="32">
        <f t="shared" si="87"/>
        <v>0</v>
      </c>
      <c r="AI393" s="32">
        <f t="shared" si="87"/>
        <v>0</v>
      </c>
      <c r="AJ393" s="32">
        <f t="shared" si="87"/>
        <v>0</v>
      </c>
      <c r="AK393" s="32">
        <f t="shared" si="87"/>
        <v>0</v>
      </c>
      <c r="AL393" s="32">
        <f t="shared" si="87"/>
        <v>0</v>
      </c>
      <c r="AM393" s="32">
        <f t="shared" si="87"/>
        <v>0</v>
      </c>
      <c r="AN393" s="32">
        <f t="shared" si="87"/>
        <v>0</v>
      </c>
      <c r="AO393" s="32">
        <f t="shared" si="87"/>
        <v>0</v>
      </c>
      <c r="AP393" s="32">
        <f t="shared" si="87"/>
        <v>0</v>
      </c>
      <c r="AQ393" s="32">
        <f t="shared" si="87"/>
        <v>0</v>
      </c>
      <c r="AR393" s="32">
        <f t="shared" si="87"/>
        <v>0</v>
      </c>
      <c r="AS393" s="32">
        <f t="shared" si="87"/>
        <v>0</v>
      </c>
    </row>
    <row r="395" spans="2:45" x14ac:dyDescent="0.3">
      <c r="B395" s="4" t="s">
        <v>3</v>
      </c>
      <c r="C395" s="4" t="s">
        <v>299</v>
      </c>
      <c r="D395" s="4"/>
      <c r="E395" s="5"/>
      <c r="F395" s="5"/>
      <c r="G395" s="5" t="s">
        <v>266</v>
      </c>
      <c r="H395" s="5" t="s">
        <v>8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</row>
    <row r="396" spans="2:45" x14ac:dyDescent="0.3">
      <c r="C396" s="6" t="s">
        <v>267</v>
      </c>
      <c r="D396" s="2" t="s">
        <v>268</v>
      </c>
      <c r="J396" s="54">
        <f>J$328-YEAR(Inputs!$G$26)</f>
        <v>-5</v>
      </c>
      <c r="K396" s="54">
        <f>K$328-YEAR(Inputs!$G$26)</f>
        <v>-4</v>
      </c>
      <c r="L396" s="54">
        <f>L$328-YEAR(Inputs!$G$26)</f>
        <v>-3</v>
      </c>
      <c r="M396" s="54">
        <f>M$328-YEAR(Inputs!$G$26)</f>
        <v>-2</v>
      </c>
      <c r="N396" s="54">
        <f>N$328-YEAR(Inputs!$G$26)</f>
        <v>-1</v>
      </c>
      <c r="O396" s="54">
        <f>O$328-YEAR(Inputs!$G$26)</f>
        <v>0</v>
      </c>
      <c r="P396" s="54">
        <f>P$328-YEAR(Inputs!$G$26)</f>
        <v>1</v>
      </c>
      <c r="Q396" s="54">
        <f>Q$328-YEAR(Inputs!$G$26)</f>
        <v>2</v>
      </c>
      <c r="R396" s="54">
        <f>R$328-YEAR(Inputs!$G$26)</f>
        <v>3</v>
      </c>
      <c r="S396" s="54">
        <f>S$328-YEAR(Inputs!$G$26)</f>
        <v>4</v>
      </c>
      <c r="T396" s="54">
        <f>T$328-YEAR(Inputs!$G$26)</f>
        <v>5</v>
      </c>
      <c r="U396" s="54">
        <f>U$328-YEAR(Inputs!$G$26)</f>
        <v>6</v>
      </c>
      <c r="V396" s="54">
        <f>V$328-YEAR(Inputs!$G$26)</f>
        <v>7</v>
      </c>
      <c r="W396" s="54">
        <f>W$328-YEAR(Inputs!$G$26)</f>
        <v>8</v>
      </c>
      <c r="X396" s="54">
        <f>X$328-YEAR(Inputs!$G$26)</f>
        <v>9</v>
      </c>
      <c r="Y396" s="54">
        <f>Y$328-YEAR(Inputs!$G$26)</f>
        <v>10</v>
      </c>
      <c r="Z396" s="54">
        <f>Z$328-YEAR(Inputs!$G$26)</f>
        <v>11</v>
      </c>
      <c r="AA396" s="54">
        <f>AA$328-YEAR(Inputs!$G$26)</f>
        <v>12</v>
      </c>
      <c r="AB396" s="54">
        <f>AB$328-YEAR(Inputs!$G$26)</f>
        <v>13</v>
      </c>
      <c r="AC396" s="54">
        <f>AC$328-YEAR(Inputs!$G$26)</f>
        <v>14</v>
      </c>
      <c r="AD396" s="54">
        <f>AD$328-YEAR(Inputs!$G$26)</f>
        <v>15</v>
      </c>
      <c r="AE396" s="54">
        <f>AE$328-YEAR(Inputs!$G$26)</f>
        <v>16</v>
      </c>
      <c r="AF396" s="54">
        <f>AF$328-YEAR(Inputs!$G$26)</f>
        <v>17</v>
      </c>
      <c r="AG396" s="54">
        <f>AG$328-YEAR(Inputs!$G$26)</f>
        <v>18</v>
      </c>
      <c r="AH396" s="54">
        <f>AH$328-YEAR(Inputs!$G$26)</f>
        <v>19</v>
      </c>
      <c r="AI396" s="54">
        <f>AI$328-YEAR(Inputs!$G$26)</f>
        <v>20</v>
      </c>
      <c r="AJ396" s="54">
        <f>AJ$328-YEAR(Inputs!$G$26)</f>
        <v>21</v>
      </c>
      <c r="AK396" s="54">
        <f>AK$328-YEAR(Inputs!$G$26)</f>
        <v>22</v>
      </c>
      <c r="AL396" s="54">
        <f>AL$328-YEAR(Inputs!$G$26)</f>
        <v>23</v>
      </c>
      <c r="AM396" s="54">
        <f>AM$328-YEAR(Inputs!$G$26)</f>
        <v>24</v>
      </c>
      <c r="AN396" s="54">
        <f>AN$328-YEAR(Inputs!$G$26)</f>
        <v>25</v>
      </c>
      <c r="AO396" s="54">
        <f>AO$328-YEAR(Inputs!$G$26)</f>
        <v>26</v>
      </c>
      <c r="AP396" s="54">
        <f>AP$328-YEAR(Inputs!$G$26)</f>
        <v>27</v>
      </c>
      <c r="AQ396" s="54">
        <f>AQ$328-YEAR(Inputs!$G$26)</f>
        <v>28</v>
      </c>
      <c r="AR396" s="54">
        <f>AR$328-YEAR(Inputs!$G$26)</f>
        <v>29</v>
      </c>
      <c r="AS396" s="54">
        <f>AS$328-YEAR(Inputs!$G$26)</f>
        <v>30</v>
      </c>
    </row>
    <row r="397" spans="2:45" x14ac:dyDescent="0.3">
      <c r="C397" s="6" t="s">
        <v>269</v>
      </c>
      <c r="D397" s="2" t="s">
        <v>270</v>
      </c>
      <c r="G397" s="54">
        <f>DATEDIF(Inputs!$G$25,Inputs!$G$26,"m")</f>
        <v>24</v>
      </c>
      <c r="J397" s="54">
        <f>(J$328+1-YEAR(Inputs!$G$25))*Months_In_Year-MONTH(Inputs!$G$25)</f>
        <v>-30</v>
      </c>
      <c r="K397" s="54">
        <f>(K$328+1-YEAR(Inputs!$G$25))*Months_In_Year-MONTH(Inputs!$G$25)</f>
        <v>-18</v>
      </c>
      <c r="L397" s="54">
        <f>(L$328+1-YEAR(Inputs!$G$25))*Months_In_Year-MONTH(Inputs!$G$25)</f>
        <v>-6</v>
      </c>
      <c r="M397" s="54">
        <f>(M$328+1-YEAR(Inputs!$G$25))*Months_In_Year-MONTH(Inputs!$G$25)</f>
        <v>6</v>
      </c>
      <c r="N397" s="54">
        <f>(N$328+1-YEAR(Inputs!$G$25))*Months_In_Year-MONTH(Inputs!$G$25)</f>
        <v>18</v>
      </c>
      <c r="O397" s="54">
        <f>(O$328+1-YEAR(Inputs!$G$25))*Months_In_Year-MONTH(Inputs!$G$25)</f>
        <v>30</v>
      </c>
      <c r="P397" s="54">
        <f>(P$328+1-YEAR(Inputs!$G$25))*Months_In_Year-MONTH(Inputs!$G$25)</f>
        <v>42</v>
      </c>
      <c r="Q397" s="54">
        <f>(Q$328+1-YEAR(Inputs!$G$25))*Months_In_Year-MONTH(Inputs!$G$25)</f>
        <v>54</v>
      </c>
      <c r="R397" s="54">
        <f>(R$328+1-YEAR(Inputs!$G$25))*Months_In_Year-MONTH(Inputs!$G$25)</f>
        <v>66</v>
      </c>
      <c r="S397" s="54">
        <f>(S$328+1-YEAR(Inputs!$G$25))*Months_In_Year-MONTH(Inputs!$G$25)</f>
        <v>78</v>
      </c>
      <c r="T397" s="54">
        <f>(T$328+1-YEAR(Inputs!$G$25))*Months_In_Year-MONTH(Inputs!$G$25)</f>
        <v>90</v>
      </c>
      <c r="U397" s="54">
        <f>(U$328+1-YEAR(Inputs!$G$25))*Months_In_Year-MONTH(Inputs!$G$25)</f>
        <v>102</v>
      </c>
      <c r="V397" s="54">
        <f>(V$328+1-YEAR(Inputs!$G$25))*Months_In_Year-MONTH(Inputs!$G$25)</f>
        <v>114</v>
      </c>
      <c r="W397" s="54">
        <f>(W$328+1-YEAR(Inputs!$G$25))*Months_In_Year-MONTH(Inputs!$G$25)</f>
        <v>126</v>
      </c>
      <c r="X397" s="54">
        <f>(X$328+1-YEAR(Inputs!$G$25))*Months_In_Year-MONTH(Inputs!$G$25)</f>
        <v>138</v>
      </c>
      <c r="Y397" s="54">
        <f>(Y$328+1-YEAR(Inputs!$G$25))*Months_In_Year-MONTH(Inputs!$G$25)</f>
        <v>150</v>
      </c>
      <c r="Z397" s="54">
        <f>(Z$328+1-YEAR(Inputs!$G$25))*Months_In_Year-MONTH(Inputs!$G$25)</f>
        <v>162</v>
      </c>
      <c r="AA397" s="54">
        <f>(AA$328+1-YEAR(Inputs!$G$25))*Months_In_Year-MONTH(Inputs!$G$25)</f>
        <v>174</v>
      </c>
      <c r="AB397" s="54">
        <f>(AB$328+1-YEAR(Inputs!$G$25))*Months_In_Year-MONTH(Inputs!$G$25)</f>
        <v>186</v>
      </c>
      <c r="AC397" s="54">
        <f>(AC$328+1-YEAR(Inputs!$G$25))*Months_In_Year-MONTH(Inputs!$G$25)</f>
        <v>198</v>
      </c>
      <c r="AD397" s="54">
        <f>(AD$328+1-YEAR(Inputs!$G$25))*Months_In_Year-MONTH(Inputs!$G$25)</f>
        <v>210</v>
      </c>
      <c r="AE397" s="54">
        <f>(AE$328+1-YEAR(Inputs!$G$25))*Months_In_Year-MONTH(Inputs!$G$25)</f>
        <v>222</v>
      </c>
      <c r="AF397" s="54">
        <f>(AF$328+1-YEAR(Inputs!$G$25))*Months_In_Year-MONTH(Inputs!$G$25)</f>
        <v>234</v>
      </c>
      <c r="AG397" s="54">
        <f>(AG$328+1-YEAR(Inputs!$G$25))*Months_In_Year-MONTH(Inputs!$G$25)</f>
        <v>246</v>
      </c>
      <c r="AH397" s="54">
        <f>(AH$328+1-YEAR(Inputs!$G$25))*Months_In_Year-MONTH(Inputs!$G$25)</f>
        <v>258</v>
      </c>
      <c r="AI397" s="54">
        <f>(AI$328+1-YEAR(Inputs!$G$25))*Months_In_Year-MONTH(Inputs!$G$25)</f>
        <v>270</v>
      </c>
      <c r="AJ397" s="54">
        <f>(AJ$328+1-YEAR(Inputs!$G$25))*Months_In_Year-MONTH(Inputs!$G$25)</f>
        <v>282</v>
      </c>
      <c r="AK397" s="54">
        <f>(AK$328+1-YEAR(Inputs!$G$25))*Months_In_Year-MONTH(Inputs!$G$25)</f>
        <v>294</v>
      </c>
      <c r="AL397" s="54">
        <f>(AL$328+1-YEAR(Inputs!$G$25))*Months_In_Year-MONTH(Inputs!$G$25)</f>
        <v>306</v>
      </c>
      <c r="AM397" s="54">
        <f>(AM$328+1-YEAR(Inputs!$G$25))*Months_In_Year-MONTH(Inputs!$G$25)</f>
        <v>318</v>
      </c>
      <c r="AN397" s="54">
        <f>(AN$328+1-YEAR(Inputs!$G$25))*Months_In_Year-MONTH(Inputs!$G$25)</f>
        <v>330</v>
      </c>
      <c r="AO397" s="54">
        <f>(AO$328+1-YEAR(Inputs!$G$25))*Months_In_Year-MONTH(Inputs!$G$25)</f>
        <v>342</v>
      </c>
      <c r="AP397" s="54">
        <f>(AP$328+1-YEAR(Inputs!$G$25))*Months_In_Year-MONTH(Inputs!$G$25)</f>
        <v>354</v>
      </c>
      <c r="AQ397" s="54">
        <f>(AQ$328+1-YEAR(Inputs!$G$25))*Months_In_Year-MONTH(Inputs!$G$25)</f>
        <v>366</v>
      </c>
      <c r="AR397" s="54">
        <f>(AR$328+1-YEAR(Inputs!$G$25))*Months_In_Year-MONTH(Inputs!$G$25)</f>
        <v>378</v>
      </c>
      <c r="AS397" s="54">
        <f>(AS$328+1-YEAR(Inputs!$G$25))*Months_In_Year-MONTH(Inputs!$G$25)</f>
        <v>390</v>
      </c>
    </row>
    <row r="398" spans="2:45" x14ac:dyDescent="0.3">
      <c r="C398" s="6" t="s">
        <v>271</v>
      </c>
      <c r="D398" s="2" t="s">
        <v>12</v>
      </c>
      <c r="H398" s="60">
        <f>SUM(J398:AS398)</f>
        <v>1</v>
      </c>
      <c r="J398" s="48">
        <f t="shared" ref="J398:AS398" si="88">MAX(0,MIN(J397,$G397)-MAX(J397-Months_In_Year,0))/$G397</f>
        <v>0</v>
      </c>
      <c r="K398" s="48">
        <f t="shared" si="88"/>
        <v>0</v>
      </c>
      <c r="L398" s="48">
        <f t="shared" si="88"/>
        <v>0</v>
      </c>
      <c r="M398" s="48">
        <f t="shared" si="88"/>
        <v>0.25</v>
      </c>
      <c r="N398" s="48">
        <f t="shared" si="88"/>
        <v>0.5</v>
      </c>
      <c r="O398" s="48">
        <f t="shared" si="88"/>
        <v>0.25</v>
      </c>
      <c r="P398" s="48">
        <f t="shared" si="88"/>
        <v>0</v>
      </c>
      <c r="Q398" s="48">
        <f t="shared" si="88"/>
        <v>0</v>
      </c>
      <c r="R398" s="48">
        <f t="shared" si="88"/>
        <v>0</v>
      </c>
      <c r="S398" s="48">
        <f t="shared" si="88"/>
        <v>0</v>
      </c>
      <c r="T398" s="48">
        <f t="shared" si="88"/>
        <v>0</v>
      </c>
      <c r="U398" s="48">
        <f t="shared" si="88"/>
        <v>0</v>
      </c>
      <c r="V398" s="48">
        <f t="shared" si="88"/>
        <v>0</v>
      </c>
      <c r="W398" s="48">
        <f t="shared" si="88"/>
        <v>0</v>
      </c>
      <c r="X398" s="48">
        <f t="shared" si="88"/>
        <v>0</v>
      </c>
      <c r="Y398" s="48">
        <f t="shared" si="88"/>
        <v>0</v>
      </c>
      <c r="Z398" s="48">
        <f t="shared" si="88"/>
        <v>0</v>
      </c>
      <c r="AA398" s="48">
        <f t="shared" si="88"/>
        <v>0</v>
      </c>
      <c r="AB398" s="48">
        <f t="shared" si="88"/>
        <v>0</v>
      </c>
      <c r="AC398" s="48">
        <f t="shared" si="88"/>
        <v>0</v>
      </c>
      <c r="AD398" s="48">
        <f t="shared" si="88"/>
        <v>0</v>
      </c>
      <c r="AE398" s="48">
        <f t="shared" si="88"/>
        <v>0</v>
      </c>
      <c r="AF398" s="48">
        <f t="shared" si="88"/>
        <v>0</v>
      </c>
      <c r="AG398" s="48">
        <f t="shared" si="88"/>
        <v>0</v>
      </c>
      <c r="AH398" s="48">
        <f t="shared" si="88"/>
        <v>0</v>
      </c>
      <c r="AI398" s="48">
        <f t="shared" si="88"/>
        <v>0</v>
      </c>
      <c r="AJ398" s="48">
        <f t="shared" si="88"/>
        <v>0</v>
      </c>
      <c r="AK398" s="48">
        <f t="shared" si="88"/>
        <v>0</v>
      </c>
      <c r="AL398" s="48">
        <f t="shared" si="88"/>
        <v>0</v>
      </c>
      <c r="AM398" s="48">
        <f t="shared" si="88"/>
        <v>0</v>
      </c>
      <c r="AN398" s="48">
        <f t="shared" si="88"/>
        <v>0</v>
      </c>
      <c r="AO398" s="48">
        <f t="shared" si="88"/>
        <v>0</v>
      </c>
      <c r="AP398" s="48">
        <f t="shared" si="88"/>
        <v>0</v>
      </c>
      <c r="AQ398" s="48">
        <f t="shared" si="88"/>
        <v>0</v>
      </c>
      <c r="AR398" s="48">
        <f t="shared" si="88"/>
        <v>0</v>
      </c>
      <c r="AS398" s="48">
        <f t="shared" si="88"/>
        <v>0</v>
      </c>
    </row>
    <row r="399" spans="2:45" x14ac:dyDescent="0.3">
      <c r="C399" s="6" t="s">
        <v>272</v>
      </c>
      <c r="D399" s="2" t="s">
        <v>270</v>
      </c>
      <c r="G399" s="54">
        <f>Life*Months_In_Year</f>
        <v>360</v>
      </c>
      <c r="J399" s="54">
        <f>(J$328+1-YEAR(Inputs!$G$26))*Months_In_Year-MONTH(Inputs!$G$26)</f>
        <v>-54</v>
      </c>
      <c r="K399" s="54">
        <f>(K$328+1-YEAR(Inputs!$G$26))*Months_In_Year-MONTH(Inputs!$G$26)</f>
        <v>-42</v>
      </c>
      <c r="L399" s="54">
        <f>(L$328+1-YEAR(Inputs!$G$26))*Months_In_Year-MONTH(Inputs!$G$26)</f>
        <v>-30</v>
      </c>
      <c r="M399" s="54">
        <f>(M$328+1-YEAR(Inputs!$G$26))*Months_In_Year-MONTH(Inputs!$G$26)</f>
        <v>-18</v>
      </c>
      <c r="N399" s="54">
        <f>(N$328+1-YEAR(Inputs!$G$26))*Months_In_Year-MONTH(Inputs!$G$26)</f>
        <v>-6</v>
      </c>
      <c r="O399" s="54">
        <f>(O$328+1-YEAR(Inputs!$G$26))*Months_In_Year-MONTH(Inputs!$G$26)</f>
        <v>6</v>
      </c>
      <c r="P399" s="54">
        <f>(P$328+1-YEAR(Inputs!$G$26))*Months_In_Year-MONTH(Inputs!$G$26)</f>
        <v>18</v>
      </c>
      <c r="Q399" s="54">
        <f>(Q$328+1-YEAR(Inputs!$G$26))*Months_In_Year-MONTH(Inputs!$G$26)</f>
        <v>30</v>
      </c>
      <c r="R399" s="54">
        <f>(R$328+1-YEAR(Inputs!$G$26))*Months_In_Year-MONTH(Inputs!$G$26)</f>
        <v>42</v>
      </c>
      <c r="S399" s="54">
        <f>(S$328+1-YEAR(Inputs!$G$26))*Months_In_Year-MONTH(Inputs!$G$26)</f>
        <v>54</v>
      </c>
      <c r="T399" s="54">
        <f>(T$328+1-YEAR(Inputs!$G$26))*Months_In_Year-MONTH(Inputs!$G$26)</f>
        <v>66</v>
      </c>
      <c r="U399" s="54">
        <f>(U$328+1-YEAR(Inputs!$G$26))*Months_In_Year-MONTH(Inputs!$G$26)</f>
        <v>78</v>
      </c>
      <c r="V399" s="54">
        <f>(V$328+1-YEAR(Inputs!$G$26))*Months_In_Year-MONTH(Inputs!$G$26)</f>
        <v>90</v>
      </c>
      <c r="W399" s="54">
        <f>(W$328+1-YEAR(Inputs!$G$26))*Months_In_Year-MONTH(Inputs!$G$26)</f>
        <v>102</v>
      </c>
      <c r="X399" s="54">
        <f>(X$328+1-YEAR(Inputs!$G$26))*Months_In_Year-MONTH(Inputs!$G$26)</f>
        <v>114</v>
      </c>
      <c r="Y399" s="54">
        <f>(Y$328+1-YEAR(Inputs!$G$26))*Months_In_Year-MONTH(Inputs!$G$26)</f>
        <v>126</v>
      </c>
      <c r="Z399" s="54">
        <f>(Z$328+1-YEAR(Inputs!$G$26))*Months_In_Year-MONTH(Inputs!$G$26)</f>
        <v>138</v>
      </c>
      <c r="AA399" s="54">
        <f>(AA$328+1-YEAR(Inputs!$G$26))*Months_In_Year-MONTH(Inputs!$G$26)</f>
        <v>150</v>
      </c>
      <c r="AB399" s="54">
        <f>(AB$328+1-YEAR(Inputs!$G$26))*Months_In_Year-MONTH(Inputs!$G$26)</f>
        <v>162</v>
      </c>
      <c r="AC399" s="54">
        <f>(AC$328+1-YEAR(Inputs!$G$26))*Months_In_Year-MONTH(Inputs!$G$26)</f>
        <v>174</v>
      </c>
      <c r="AD399" s="54">
        <f>(AD$328+1-YEAR(Inputs!$G$26))*Months_In_Year-MONTH(Inputs!$G$26)</f>
        <v>186</v>
      </c>
      <c r="AE399" s="54">
        <f>(AE$328+1-YEAR(Inputs!$G$26))*Months_In_Year-MONTH(Inputs!$G$26)</f>
        <v>198</v>
      </c>
      <c r="AF399" s="54">
        <f>(AF$328+1-YEAR(Inputs!$G$26))*Months_In_Year-MONTH(Inputs!$G$26)</f>
        <v>210</v>
      </c>
      <c r="AG399" s="54">
        <f>(AG$328+1-YEAR(Inputs!$G$26))*Months_In_Year-MONTH(Inputs!$G$26)</f>
        <v>222</v>
      </c>
      <c r="AH399" s="54">
        <f>(AH$328+1-YEAR(Inputs!$G$26))*Months_In_Year-MONTH(Inputs!$G$26)</f>
        <v>234</v>
      </c>
      <c r="AI399" s="54">
        <f>(AI$328+1-YEAR(Inputs!$G$26))*Months_In_Year-MONTH(Inputs!$G$26)</f>
        <v>246</v>
      </c>
      <c r="AJ399" s="54">
        <f>(AJ$328+1-YEAR(Inputs!$G$26))*Months_In_Year-MONTH(Inputs!$G$26)</f>
        <v>258</v>
      </c>
      <c r="AK399" s="54">
        <f>(AK$328+1-YEAR(Inputs!$G$26))*Months_In_Year-MONTH(Inputs!$G$26)</f>
        <v>270</v>
      </c>
      <c r="AL399" s="54">
        <f>(AL$328+1-YEAR(Inputs!$G$26))*Months_In_Year-MONTH(Inputs!$G$26)</f>
        <v>282</v>
      </c>
      <c r="AM399" s="54">
        <f>(AM$328+1-YEAR(Inputs!$G$26))*Months_In_Year-MONTH(Inputs!$G$26)</f>
        <v>294</v>
      </c>
      <c r="AN399" s="54">
        <f>(AN$328+1-YEAR(Inputs!$G$26))*Months_In_Year-MONTH(Inputs!$G$26)</f>
        <v>306</v>
      </c>
      <c r="AO399" s="54">
        <f>(AO$328+1-YEAR(Inputs!$G$26))*Months_In_Year-MONTH(Inputs!$G$26)</f>
        <v>318</v>
      </c>
      <c r="AP399" s="54">
        <f>(AP$328+1-YEAR(Inputs!$G$26))*Months_In_Year-MONTH(Inputs!$G$26)</f>
        <v>330</v>
      </c>
      <c r="AQ399" s="54">
        <f>(AQ$328+1-YEAR(Inputs!$G$26))*Months_In_Year-MONTH(Inputs!$G$26)</f>
        <v>342</v>
      </c>
      <c r="AR399" s="54">
        <f>(AR$328+1-YEAR(Inputs!$G$26))*Months_In_Year-MONTH(Inputs!$G$26)</f>
        <v>354</v>
      </c>
      <c r="AS399" s="54">
        <f>(AS$328+1-YEAR(Inputs!$G$26))*Months_In_Year-MONTH(Inputs!$G$26)</f>
        <v>366</v>
      </c>
    </row>
    <row r="400" spans="2:45" x14ac:dyDescent="0.3">
      <c r="C400" s="6" t="s">
        <v>273</v>
      </c>
      <c r="D400" s="2" t="s">
        <v>12</v>
      </c>
      <c r="H400" s="60">
        <f>SUM(J400:AS400)</f>
        <v>30</v>
      </c>
      <c r="J400" s="48">
        <f t="shared" ref="J400:AS400" si="89">MAX(0,MIN(J399,$G399)-MAX(J399-Months_In_Year,0))/Months_In_Year</f>
        <v>0</v>
      </c>
      <c r="K400" s="48">
        <f t="shared" si="89"/>
        <v>0</v>
      </c>
      <c r="L400" s="48">
        <f t="shared" si="89"/>
        <v>0</v>
      </c>
      <c r="M400" s="48">
        <f t="shared" si="89"/>
        <v>0</v>
      </c>
      <c r="N400" s="48">
        <f t="shared" si="89"/>
        <v>0</v>
      </c>
      <c r="O400" s="48">
        <f t="shared" si="89"/>
        <v>0.5</v>
      </c>
      <c r="P400" s="48">
        <f t="shared" si="89"/>
        <v>1</v>
      </c>
      <c r="Q400" s="48">
        <f t="shared" si="89"/>
        <v>1</v>
      </c>
      <c r="R400" s="48">
        <f t="shared" si="89"/>
        <v>1</v>
      </c>
      <c r="S400" s="48">
        <f t="shared" si="89"/>
        <v>1</v>
      </c>
      <c r="T400" s="48">
        <f t="shared" si="89"/>
        <v>1</v>
      </c>
      <c r="U400" s="48">
        <f t="shared" si="89"/>
        <v>1</v>
      </c>
      <c r="V400" s="48">
        <f t="shared" si="89"/>
        <v>1</v>
      </c>
      <c r="W400" s="48">
        <f t="shared" si="89"/>
        <v>1</v>
      </c>
      <c r="X400" s="48">
        <f t="shared" si="89"/>
        <v>1</v>
      </c>
      <c r="Y400" s="48">
        <f t="shared" si="89"/>
        <v>1</v>
      </c>
      <c r="Z400" s="48">
        <f t="shared" si="89"/>
        <v>1</v>
      </c>
      <c r="AA400" s="48">
        <f t="shared" si="89"/>
        <v>1</v>
      </c>
      <c r="AB400" s="48">
        <f t="shared" si="89"/>
        <v>1</v>
      </c>
      <c r="AC400" s="48">
        <f t="shared" si="89"/>
        <v>1</v>
      </c>
      <c r="AD400" s="48">
        <f t="shared" si="89"/>
        <v>1</v>
      </c>
      <c r="AE400" s="48">
        <f t="shared" si="89"/>
        <v>1</v>
      </c>
      <c r="AF400" s="48">
        <f t="shared" si="89"/>
        <v>1</v>
      </c>
      <c r="AG400" s="48">
        <f t="shared" si="89"/>
        <v>1</v>
      </c>
      <c r="AH400" s="48">
        <f t="shared" si="89"/>
        <v>1</v>
      </c>
      <c r="AI400" s="48">
        <f t="shared" si="89"/>
        <v>1</v>
      </c>
      <c r="AJ400" s="48">
        <f t="shared" si="89"/>
        <v>1</v>
      </c>
      <c r="AK400" s="48">
        <f t="shared" si="89"/>
        <v>1</v>
      </c>
      <c r="AL400" s="48">
        <f t="shared" si="89"/>
        <v>1</v>
      </c>
      <c r="AM400" s="48">
        <f t="shared" si="89"/>
        <v>1</v>
      </c>
      <c r="AN400" s="48">
        <f t="shared" si="89"/>
        <v>1</v>
      </c>
      <c r="AO400" s="48">
        <f t="shared" si="89"/>
        <v>1</v>
      </c>
      <c r="AP400" s="48">
        <f t="shared" si="89"/>
        <v>1</v>
      </c>
      <c r="AQ400" s="48">
        <f t="shared" si="89"/>
        <v>1</v>
      </c>
      <c r="AR400" s="48">
        <f t="shared" si="89"/>
        <v>1</v>
      </c>
      <c r="AS400" s="48">
        <f t="shared" si="89"/>
        <v>0.5</v>
      </c>
    </row>
    <row r="401" spans="3:45" x14ac:dyDescent="0.3">
      <c r="C401" s="6" t="s">
        <v>274</v>
      </c>
      <c r="D401" s="2" t="s">
        <v>2</v>
      </c>
      <c r="J401" s="61">
        <f t="shared" ref="J401:AS401" si="90">N(J396=0)</f>
        <v>0</v>
      </c>
      <c r="K401" s="61">
        <f t="shared" si="90"/>
        <v>0</v>
      </c>
      <c r="L401" s="61">
        <f t="shared" si="90"/>
        <v>0</v>
      </c>
      <c r="M401" s="61">
        <f t="shared" si="90"/>
        <v>0</v>
      </c>
      <c r="N401" s="61">
        <f t="shared" si="90"/>
        <v>0</v>
      </c>
      <c r="O401" s="61">
        <f t="shared" si="90"/>
        <v>1</v>
      </c>
      <c r="P401" s="61">
        <f t="shared" si="90"/>
        <v>0</v>
      </c>
      <c r="Q401" s="61">
        <f t="shared" si="90"/>
        <v>0</v>
      </c>
      <c r="R401" s="61">
        <f t="shared" si="90"/>
        <v>0</v>
      </c>
      <c r="S401" s="61">
        <f t="shared" si="90"/>
        <v>0</v>
      </c>
      <c r="T401" s="61">
        <f t="shared" si="90"/>
        <v>0</v>
      </c>
      <c r="U401" s="61">
        <f t="shared" si="90"/>
        <v>0</v>
      </c>
      <c r="V401" s="61">
        <f t="shared" si="90"/>
        <v>0</v>
      </c>
      <c r="W401" s="61">
        <f t="shared" si="90"/>
        <v>0</v>
      </c>
      <c r="X401" s="61">
        <f t="shared" si="90"/>
        <v>0</v>
      </c>
      <c r="Y401" s="61">
        <f t="shared" si="90"/>
        <v>0</v>
      </c>
      <c r="Z401" s="61">
        <f t="shared" si="90"/>
        <v>0</v>
      </c>
      <c r="AA401" s="61">
        <f t="shared" si="90"/>
        <v>0</v>
      </c>
      <c r="AB401" s="61">
        <f t="shared" si="90"/>
        <v>0</v>
      </c>
      <c r="AC401" s="61">
        <f t="shared" si="90"/>
        <v>0</v>
      </c>
      <c r="AD401" s="61">
        <f t="shared" si="90"/>
        <v>0</v>
      </c>
      <c r="AE401" s="61">
        <f t="shared" si="90"/>
        <v>0</v>
      </c>
      <c r="AF401" s="61">
        <f t="shared" si="90"/>
        <v>0</v>
      </c>
      <c r="AG401" s="61">
        <f t="shared" si="90"/>
        <v>0</v>
      </c>
      <c r="AH401" s="61">
        <f t="shared" si="90"/>
        <v>0</v>
      </c>
      <c r="AI401" s="61">
        <f t="shared" si="90"/>
        <v>0</v>
      </c>
      <c r="AJ401" s="61">
        <f t="shared" si="90"/>
        <v>0</v>
      </c>
      <c r="AK401" s="61">
        <f t="shared" si="90"/>
        <v>0</v>
      </c>
      <c r="AL401" s="61">
        <f t="shared" si="90"/>
        <v>0</v>
      </c>
      <c r="AM401" s="61">
        <f t="shared" si="90"/>
        <v>0</v>
      </c>
      <c r="AN401" s="61">
        <f t="shared" si="90"/>
        <v>0</v>
      </c>
      <c r="AO401" s="61">
        <f t="shared" si="90"/>
        <v>0</v>
      </c>
      <c r="AP401" s="61">
        <f t="shared" si="90"/>
        <v>0</v>
      </c>
      <c r="AQ401" s="61">
        <f t="shared" si="90"/>
        <v>0</v>
      </c>
      <c r="AR401" s="61">
        <f t="shared" si="90"/>
        <v>0</v>
      </c>
      <c r="AS401" s="61">
        <f t="shared" si="90"/>
        <v>0</v>
      </c>
    </row>
    <row r="402" spans="3:45" x14ac:dyDescent="0.3">
      <c r="C402" s="6" t="s">
        <v>275</v>
      </c>
      <c r="D402" s="2" t="s">
        <v>84</v>
      </c>
      <c r="H402" s="8">
        <f>SUM(J402:AS402)</f>
        <v>-14078.579794520547</v>
      </c>
      <c r="J402" s="8">
        <f t="shared" ref="J402:AS402" si="91">-($G$98+$G$68+$G$62+$G$63+$G$92)*(J$328=YEAR(Sale_Date))</f>
        <v>0</v>
      </c>
      <c r="K402" s="8">
        <f t="shared" si="91"/>
        <v>0</v>
      </c>
      <c r="L402" s="8">
        <f t="shared" si="91"/>
        <v>0</v>
      </c>
      <c r="M402" s="8">
        <f t="shared" si="91"/>
        <v>-14078.579794520547</v>
      </c>
      <c r="N402" s="8">
        <f t="shared" si="91"/>
        <v>0</v>
      </c>
      <c r="O402" s="8">
        <f t="shared" si="91"/>
        <v>0</v>
      </c>
      <c r="P402" s="8">
        <f t="shared" si="91"/>
        <v>0</v>
      </c>
      <c r="Q402" s="8">
        <f t="shared" si="91"/>
        <v>0</v>
      </c>
      <c r="R402" s="8">
        <f t="shared" si="91"/>
        <v>0</v>
      </c>
      <c r="S402" s="8">
        <f t="shared" si="91"/>
        <v>0</v>
      </c>
      <c r="T402" s="8">
        <f t="shared" si="91"/>
        <v>0</v>
      </c>
      <c r="U402" s="8">
        <f t="shared" si="91"/>
        <v>0</v>
      </c>
      <c r="V402" s="8">
        <f t="shared" si="91"/>
        <v>0</v>
      </c>
      <c r="W402" s="8">
        <f t="shared" si="91"/>
        <v>0</v>
      </c>
      <c r="X402" s="8">
        <f t="shared" si="91"/>
        <v>0</v>
      </c>
      <c r="Y402" s="8">
        <f t="shared" si="91"/>
        <v>0</v>
      </c>
      <c r="Z402" s="8">
        <f t="shared" si="91"/>
        <v>0</v>
      </c>
      <c r="AA402" s="8">
        <f t="shared" si="91"/>
        <v>0</v>
      </c>
      <c r="AB402" s="8">
        <f t="shared" si="91"/>
        <v>0</v>
      </c>
      <c r="AC402" s="8">
        <f t="shared" si="91"/>
        <v>0</v>
      </c>
      <c r="AD402" s="8">
        <f t="shared" si="91"/>
        <v>0</v>
      </c>
      <c r="AE402" s="8">
        <f t="shared" si="91"/>
        <v>0</v>
      </c>
      <c r="AF402" s="8">
        <f t="shared" si="91"/>
        <v>0</v>
      </c>
      <c r="AG402" s="8">
        <f t="shared" si="91"/>
        <v>0</v>
      </c>
      <c r="AH402" s="8">
        <f t="shared" si="91"/>
        <v>0</v>
      </c>
      <c r="AI402" s="8">
        <f t="shared" si="91"/>
        <v>0</v>
      </c>
      <c r="AJ402" s="8">
        <f t="shared" si="91"/>
        <v>0</v>
      </c>
      <c r="AK402" s="8">
        <f t="shared" si="91"/>
        <v>0</v>
      </c>
      <c r="AL402" s="8">
        <f t="shared" si="91"/>
        <v>0</v>
      </c>
      <c r="AM402" s="8">
        <f t="shared" si="91"/>
        <v>0</v>
      </c>
      <c r="AN402" s="8">
        <f t="shared" si="91"/>
        <v>0</v>
      </c>
      <c r="AO402" s="8">
        <f t="shared" si="91"/>
        <v>0</v>
      </c>
      <c r="AP402" s="8">
        <f t="shared" si="91"/>
        <v>0</v>
      </c>
      <c r="AQ402" s="8">
        <f t="shared" si="91"/>
        <v>0</v>
      </c>
      <c r="AR402" s="8">
        <f t="shared" si="91"/>
        <v>0</v>
      </c>
      <c r="AS402" s="8">
        <f t="shared" si="91"/>
        <v>0</v>
      </c>
    </row>
    <row r="403" spans="3:45" x14ac:dyDescent="0.3">
      <c r="C403" s="6" t="s">
        <v>276</v>
      </c>
      <c r="D403" s="2" t="s">
        <v>84</v>
      </c>
      <c r="H403" s="8">
        <f>SUM(J403:AS403)</f>
        <v>2494.5205479452052</v>
      </c>
      <c r="J403" s="8">
        <f>($G$62+$G$63)*(J$328=YEAR(Inputs!$G$27))</f>
        <v>0</v>
      </c>
      <c r="K403" s="8">
        <f>($G$62+$G$63)*(K$328=YEAR(Inputs!$G$27))</f>
        <v>0</v>
      </c>
      <c r="L403" s="8">
        <f>($G$62+$G$63)*(L$328=YEAR(Inputs!$G$27))</f>
        <v>0</v>
      </c>
      <c r="M403" s="8">
        <f>($G$62+$G$63)*(M$328=YEAR(Inputs!$G$27))</f>
        <v>0</v>
      </c>
      <c r="N403" s="8">
        <f>($G$62+$G$63)*(N$328=YEAR(Inputs!$G$27))</f>
        <v>0</v>
      </c>
      <c r="O403" s="8">
        <f>($G$62+$G$63)*(O$328=YEAR(Inputs!$G$27))</f>
        <v>0</v>
      </c>
      <c r="P403" s="8">
        <f>($G$62+$G$63)*(P$328=YEAR(Inputs!$G$27))</f>
        <v>0</v>
      </c>
      <c r="Q403" s="8">
        <f>($G$62+$G$63)*(Q$328=YEAR(Inputs!$G$27))</f>
        <v>2494.5205479452052</v>
      </c>
      <c r="R403" s="8">
        <f>($G$62+$G$63)*(R$328=YEAR(Inputs!$G$27))</f>
        <v>0</v>
      </c>
      <c r="S403" s="8">
        <f>($G$62+$G$63)*(S$328=YEAR(Inputs!$G$27))</f>
        <v>0</v>
      </c>
      <c r="T403" s="8">
        <f>($G$62+$G$63)*(T$328=YEAR(Inputs!$G$27))</f>
        <v>0</v>
      </c>
      <c r="U403" s="8">
        <f>($G$62+$G$63)*(U$328=YEAR(Inputs!$G$27))</f>
        <v>0</v>
      </c>
      <c r="V403" s="8">
        <f>($G$62+$G$63)*(V$328=YEAR(Inputs!$G$27))</f>
        <v>0</v>
      </c>
      <c r="W403" s="8">
        <f>($G$62+$G$63)*(W$328=YEAR(Inputs!$G$27))</f>
        <v>0</v>
      </c>
      <c r="X403" s="8">
        <f>($G$62+$G$63)*(X$328=YEAR(Inputs!$G$27))</f>
        <v>0</v>
      </c>
      <c r="Y403" s="8">
        <f>($G$62+$G$63)*(Y$328=YEAR(Inputs!$G$27))</f>
        <v>0</v>
      </c>
      <c r="Z403" s="8">
        <f>($G$62+$G$63)*(Z$328=YEAR(Inputs!$G$27))</f>
        <v>0</v>
      </c>
      <c r="AA403" s="8">
        <f>($G$62+$G$63)*(AA$328=YEAR(Inputs!$G$27))</f>
        <v>0</v>
      </c>
      <c r="AB403" s="8">
        <f>($G$62+$G$63)*(AB$328=YEAR(Inputs!$G$27))</f>
        <v>0</v>
      </c>
      <c r="AC403" s="8">
        <f>($G$62+$G$63)*(AC$328=YEAR(Inputs!$G$27))</f>
        <v>0</v>
      </c>
      <c r="AD403" s="8">
        <f>($G$62+$G$63)*(AD$328=YEAR(Inputs!$G$27))</f>
        <v>0</v>
      </c>
      <c r="AE403" s="8">
        <f>($G$62+$G$63)*(AE$328=YEAR(Inputs!$G$27))</f>
        <v>0</v>
      </c>
      <c r="AF403" s="8">
        <f>($G$62+$G$63)*(AF$328=YEAR(Inputs!$G$27))</f>
        <v>0</v>
      </c>
      <c r="AG403" s="8">
        <f>($G$62+$G$63)*(AG$328=YEAR(Inputs!$G$27))</f>
        <v>0</v>
      </c>
      <c r="AH403" s="8">
        <f>($G$62+$G$63)*(AH$328=YEAR(Inputs!$G$27))</f>
        <v>0</v>
      </c>
      <c r="AI403" s="8">
        <f>($G$62+$G$63)*(AI$328=YEAR(Inputs!$G$27))</f>
        <v>0</v>
      </c>
      <c r="AJ403" s="8">
        <f>($G$62+$G$63)*(AJ$328=YEAR(Inputs!$G$27))</f>
        <v>0</v>
      </c>
      <c r="AK403" s="8">
        <f>($G$62+$G$63)*(AK$328=YEAR(Inputs!$G$27))</f>
        <v>0</v>
      </c>
      <c r="AL403" s="8">
        <f>($G$62+$G$63)*(AL$328=YEAR(Inputs!$G$27))</f>
        <v>0</v>
      </c>
      <c r="AM403" s="8">
        <f>($G$62+$G$63)*(AM$328=YEAR(Inputs!$G$27))</f>
        <v>0</v>
      </c>
      <c r="AN403" s="8">
        <f>($G$62+$G$63)*(AN$328=YEAR(Inputs!$G$27))</f>
        <v>0</v>
      </c>
      <c r="AO403" s="8">
        <f>($G$62+$G$63)*(AO$328=YEAR(Inputs!$G$27))</f>
        <v>0</v>
      </c>
      <c r="AP403" s="8">
        <f>($G$62+$G$63)*(AP$328=YEAR(Inputs!$G$27))</f>
        <v>0</v>
      </c>
      <c r="AQ403" s="8">
        <f>($G$62+$G$63)*(AQ$328=YEAR(Inputs!$G$27))</f>
        <v>0</v>
      </c>
      <c r="AR403" s="8">
        <f>($G$62+$G$63)*(AR$328=YEAR(Inputs!$G$27))</f>
        <v>0</v>
      </c>
      <c r="AS403" s="8">
        <f>($G$62+$G$63)*(AS$328=YEAR(Inputs!$G$27))</f>
        <v>0</v>
      </c>
    </row>
    <row r="404" spans="3:45" x14ac:dyDescent="0.3">
      <c r="C404" s="6" t="s">
        <v>277</v>
      </c>
      <c r="D404" s="2" t="s">
        <v>84</v>
      </c>
      <c r="H404" s="8">
        <f>SUM(J404:AS404)</f>
        <v>-62716</v>
      </c>
      <c r="J404" s="8">
        <f t="shared" ref="J404:AS404" si="92">-$G$91*J398</f>
        <v>0</v>
      </c>
      <c r="K404" s="8">
        <f t="shared" si="92"/>
        <v>0</v>
      </c>
      <c r="L404" s="8">
        <f t="shared" si="92"/>
        <v>0</v>
      </c>
      <c r="M404" s="8">
        <f t="shared" si="92"/>
        <v>-15679</v>
      </c>
      <c r="N404" s="8">
        <f t="shared" si="92"/>
        <v>-31358</v>
      </c>
      <c r="O404" s="8">
        <f t="shared" si="92"/>
        <v>-15679</v>
      </c>
      <c r="P404" s="8">
        <f t="shared" si="92"/>
        <v>0</v>
      </c>
      <c r="Q404" s="8">
        <f t="shared" si="92"/>
        <v>0</v>
      </c>
      <c r="R404" s="8">
        <f t="shared" si="92"/>
        <v>0</v>
      </c>
      <c r="S404" s="8">
        <f t="shared" si="92"/>
        <v>0</v>
      </c>
      <c r="T404" s="8">
        <f t="shared" si="92"/>
        <v>0</v>
      </c>
      <c r="U404" s="8">
        <f t="shared" si="92"/>
        <v>0</v>
      </c>
      <c r="V404" s="8">
        <f t="shared" si="92"/>
        <v>0</v>
      </c>
      <c r="W404" s="8">
        <f t="shared" si="92"/>
        <v>0</v>
      </c>
      <c r="X404" s="8">
        <f t="shared" si="92"/>
        <v>0</v>
      </c>
      <c r="Y404" s="8">
        <f t="shared" si="92"/>
        <v>0</v>
      </c>
      <c r="Z404" s="8">
        <f t="shared" si="92"/>
        <v>0</v>
      </c>
      <c r="AA404" s="8">
        <f t="shared" si="92"/>
        <v>0</v>
      </c>
      <c r="AB404" s="8">
        <f t="shared" si="92"/>
        <v>0</v>
      </c>
      <c r="AC404" s="8">
        <f t="shared" si="92"/>
        <v>0</v>
      </c>
      <c r="AD404" s="8">
        <f t="shared" si="92"/>
        <v>0</v>
      </c>
      <c r="AE404" s="8">
        <f t="shared" si="92"/>
        <v>0</v>
      </c>
      <c r="AF404" s="8">
        <f t="shared" si="92"/>
        <v>0</v>
      </c>
      <c r="AG404" s="8">
        <f t="shared" si="92"/>
        <v>0</v>
      </c>
      <c r="AH404" s="8">
        <f t="shared" si="92"/>
        <v>0</v>
      </c>
      <c r="AI404" s="8">
        <f t="shared" si="92"/>
        <v>0</v>
      </c>
      <c r="AJ404" s="8">
        <f t="shared" si="92"/>
        <v>0</v>
      </c>
      <c r="AK404" s="8">
        <f t="shared" si="92"/>
        <v>0</v>
      </c>
      <c r="AL404" s="8">
        <f t="shared" si="92"/>
        <v>0</v>
      </c>
      <c r="AM404" s="8">
        <f t="shared" si="92"/>
        <v>0</v>
      </c>
      <c r="AN404" s="8">
        <f t="shared" si="92"/>
        <v>0</v>
      </c>
      <c r="AO404" s="8">
        <f t="shared" si="92"/>
        <v>0</v>
      </c>
      <c r="AP404" s="8">
        <f t="shared" si="92"/>
        <v>0</v>
      </c>
      <c r="AQ404" s="8">
        <f t="shared" si="92"/>
        <v>0</v>
      </c>
      <c r="AR404" s="8">
        <f t="shared" si="92"/>
        <v>0</v>
      </c>
      <c r="AS404" s="8">
        <f t="shared" si="92"/>
        <v>0</v>
      </c>
    </row>
    <row r="405" spans="3:45" x14ac:dyDescent="0.3">
      <c r="C405" s="6" t="s">
        <v>278</v>
      </c>
      <c r="D405" s="2" t="s">
        <v>84</v>
      </c>
      <c r="H405" s="8">
        <f>SUM(J405:AS405)</f>
        <v>-2500</v>
      </c>
      <c r="J405" s="8">
        <f t="shared" ref="J405:AS405" si="93">-$G$96*J401</f>
        <v>0</v>
      </c>
      <c r="K405" s="8">
        <f t="shared" si="93"/>
        <v>0</v>
      </c>
      <c r="L405" s="8">
        <f t="shared" si="93"/>
        <v>0</v>
      </c>
      <c r="M405" s="8">
        <f t="shared" si="93"/>
        <v>0</v>
      </c>
      <c r="N405" s="8">
        <f t="shared" si="93"/>
        <v>0</v>
      </c>
      <c r="O405" s="8">
        <f t="shared" si="93"/>
        <v>-2500</v>
      </c>
      <c r="P405" s="8">
        <f t="shared" si="93"/>
        <v>0</v>
      </c>
      <c r="Q405" s="8">
        <f t="shared" si="93"/>
        <v>0</v>
      </c>
      <c r="R405" s="8">
        <f t="shared" si="93"/>
        <v>0</v>
      </c>
      <c r="S405" s="8">
        <f t="shared" si="93"/>
        <v>0</v>
      </c>
      <c r="T405" s="8">
        <f t="shared" si="93"/>
        <v>0</v>
      </c>
      <c r="U405" s="8">
        <f t="shared" si="93"/>
        <v>0</v>
      </c>
      <c r="V405" s="8">
        <f t="shared" si="93"/>
        <v>0</v>
      </c>
      <c r="W405" s="8">
        <f t="shared" si="93"/>
        <v>0</v>
      </c>
      <c r="X405" s="8">
        <f t="shared" si="93"/>
        <v>0</v>
      </c>
      <c r="Y405" s="8">
        <f t="shared" si="93"/>
        <v>0</v>
      </c>
      <c r="Z405" s="8">
        <f t="shared" si="93"/>
        <v>0</v>
      </c>
      <c r="AA405" s="8">
        <f t="shared" si="93"/>
        <v>0</v>
      </c>
      <c r="AB405" s="8">
        <f t="shared" si="93"/>
        <v>0</v>
      </c>
      <c r="AC405" s="8">
        <f t="shared" si="93"/>
        <v>0</v>
      </c>
      <c r="AD405" s="8">
        <f t="shared" si="93"/>
        <v>0</v>
      </c>
      <c r="AE405" s="8">
        <f t="shared" si="93"/>
        <v>0</v>
      </c>
      <c r="AF405" s="8">
        <f t="shared" si="93"/>
        <v>0</v>
      </c>
      <c r="AG405" s="8">
        <f t="shared" si="93"/>
        <v>0</v>
      </c>
      <c r="AH405" s="8">
        <f t="shared" si="93"/>
        <v>0</v>
      </c>
      <c r="AI405" s="8">
        <f t="shared" si="93"/>
        <v>0</v>
      </c>
      <c r="AJ405" s="8">
        <f t="shared" si="93"/>
        <v>0</v>
      </c>
      <c r="AK405" s="8">
        <f t="shared" si="93"/>
        <v>0</v>
      </c>
      <c r="AL405" s="8">
        <f t="shared" si="93"/>
        <v>0</v>
      </c>
      <c r="AM405" s="8">
        <f t="shared" si="93"/>
        <v>0</v>
      </c>
      <c r="AN405" s="8">
        <f t="shared" si="93"/>
        <v>0</v>
      </c>
      <c r="AO405" s="8">
        <f t="shared" si="93"/>
        <v>0</v>
      </c>
      <c r="AP405" s="8">
        <f t="shared" si="93"/>
        <v>0</v>
      </c>
      <c r="AQ405" s="8">
        <f t="shared" si="93"/>
        <v>0</v>
      </c>
      <c r="AR405" s="8">
        <f t="shared" si="93"/>
        <v>0</v>
      </c>
      <c r="AS405" s="8">
        <f t="shared" si="93"/>
        <v>0</v>
      </c>
    </row>
    <row r="406" spans="3:45" x14ac:dyDescent="0.3">
      <c r="C406" s="1" t="s">
        <v>279</v>
      </c>
      <c r="D406" s="2" t="s">
        <v>84</v>
      </c>
      <c r="H406" s="15">
        <f>SUM(J406:AS406)</f>
        <v>-76800.059246575343</v>
      </c>
      <c r="J406" s="15">
        <f t="shared" ref="J406:AS406" si="94">SUM(J402:J405)</f>
        <v>0</v>
      </c>
      <c r="K406" s="15">
        <f t="shared" si="94"/>
        <v>0</v>
      </c>
      <c r="L406" s="15">
        <f t="shared" si="94"/>
        <v>0</v>
      </c>
      <c r="M406" s="15">
        <f t="shared" si="94"/>
        <v>-29757.579794520549</v>
      </c>
      <c r="N406" s="15">
        <f t="shared" si="94"/>
        <v>-31358</v>
      </c>
      <c r="O406" s="15">
        <f t="shared" si="94"/>
        <v>-18179</v>
      </c>
      <c r="P406" s="15">
        <f t="shared" si="94"/>
        <v>0</v>
      </c>
      <c r="Q406" s="15">
        <f t="shared" si="94"/>
        <v>2494.5205479452052</v>
      </c>
      <c r="R406" s="15">
        <f t="shared" si="94"/>
        <v>0</v>
      </c>
      <c r="S406" s="15">
        <f t="shared" si="94"/>
        <v>0</v>
      </c>
      <c r="T406" s="15">
        <f t="shared" si="94"/>
        <v>0</v>
      </c>
      <c r="U406" s="15">
        <f t="shared" si="94"/>
        <v>0</v>
      </c>
      <c r="V406" s="15">
        <f t="shared" si="94"/>
        <v>0</v>
      </c>
      <c r="W406" s="15">
        <f t="shared" si="94"/>
        <v>0</v>
      </c>
      <c r="X406" s="15">
        <f t="shared" si="94"/>
        <v>0</v>
      </c>
      <c r="Y406" s="15">
        <f t="shared" si="94"/>
        <v>0</v>
      </c>
      <c r="Z406" s="15">
        <f t="shared" si="94"/>
        <v>0</v>
      </c>
      <c r="AA406" s="15">
        <f t="shared" si="94"/>
        <v>0</v>
      </c>
      <c r="AB406" s="15">
        <f t="shared" si="94"/>
        <v>0</v>
      </c>
      <c r="AC406" s="15">
        <f t="shared" si="94"/>
        <v>0</v>
      </c>
      <c r="AD406" s="15">
        <f t="shared" si="94"/>
        <v>0</v>
      </c>
      <c r="AE406" s="15">
        <f t="shared" si="94"/>
        <v>0</v>
      </c>
      <c r="AF406" s="15">
        <f t="shared" si="94"/>
        <v>0</v>
      </c>
      <c r="AG406" s="15">
        <f t="shared" si="94"/>
        <v>0</v>
      </c>
      <c r="AH406" s="15">
        <f t="shared" si="94"/>
        <v>0</v>
      </c>
      <c r="AI406" s="15">
        <f t="shared" si="94"/>
        <v>0</v>
      </c>
      <c r="AJ406" s="15">
        <f t="shared" si="94"/>
        <v>0</v>
      </c>
      <c r="AK406" s="15">
        <f t="shared" si="94"/>
        <v>0</v>
      </c>
      <c r="AL406" s="15">
        <f t="shared" si="94"/>
        <v>0</v>
      </c>
      <c r="AM406" s="15">
        <f t="shared" si="94"/>
        <v>0</v>
      </c>
      <c r="AN406" s="15">
        <f t="shared" si="94"/>
        <v>0</v>
      </c>
      <c r="AO406" s="15">
        <f t="shared" si="94"/>
        <v>0</v>
      </c>
      <c r="AP406" s="15">
        <f t="shared" si="94"/>
        <v>0</v>
      </c>
      <c r="AQ406" s="15">
        <f t="shared" si="94"/>
        <v>0</v>
      </c>
      <c r="AR406" s="15">
        <f t="shared" si="94"/>
        <v>0</v>
      </c>
      <c r="AS406" s="15">
        <f t="shared" si="94"/>
        <v>0</v>
      </c>
    </row>
    <row r="407" spans="3:45" x14ac:dyDescent="0.3">
      <c r="C407" s="6" t="s">
        <v>280</v>
      </c>
      <c r="D407" s="2" t="s">
        <v>3</v>
      </c>
      <c r="J407" s="62">
        <f t="shared" ref="J407:AS407" si="95">(1-Degradation)^MAX(J396-1,0)</f>
        <v>1</v>
      </c>
      <c r="K407" s="62">
        <f t="shared" si="95"/>
        <v>1</v>
      </c>
      <c r="L407" s="62">
        <f t="shared" si="95"/>
        <v>1</v>
      </c>
      <c r="M407" s="62">
        <f t="shared" si="95"/>
        <v>1</v>
      </c>
      <c r="N407" s="62">
        <f t="shared" si="95"/>
        <v>1</v>
      </c>
      <c r="O407" s="62">
        <f t="shared" si="95"/>
        <v>1</v>
      </c>
      <c r="P407" s="62">
        <f t="shared" si="95"/>
        <v>1</v>
      </c>
      <c r="Q407" s="62">
        <f t="shared" si="95"/>
        <v>0.997</v>
      </c>
      <c r="R407" s="62">
        <f t="shared" si="95"/>
        <v>0.99400900000000003</v>
      </c>
      <c r="S407" s="62">
        <f t="shared" si="95"/>
        <v>0.99102697299999998</v>
      </c>
      <c r="T407" s="62">
        <f t="shared" si="95"/>
        <v>0.98805389208100003</v>
      </c>
      <c r="U407" s="62">
        <f t="shared" si="95"/>
        <v>0.985089730404757</v>
      </c>
      <c r="V407" s="62">
        <f t="shared" si="95"/>
        <v>0.98213446121354275</v>
      </c>
      <c r="W407" s="62">
        <f t="shared" si="95"/>
        <v>0.97918805782990215</v>
      </c>
      <c r="X407" s="62">
        <f t="shared" si="95"/>
        <v>0.97625049365641248</v>
      </c>
      <c r="Y407" s="62">
        <f t="shared" si="95"/>
        <v>0.97332174217544321</v>
      </c>
      <c r="Z407" s="62">
        <f t="shared" si="95"/>
        <v>0.97040177694891694</v>
      </c>
      <c r="AA407" s="62">
        <f t="shared" si="95"/>
        <v>0.96749057161807017</v>
      </c>
      <c r="AB407" s="62">
        <f t="shared" si="95"/>
        <v>0.96458809990321592</v>
      </c>
      <c r="AC407" s="62">
        <f t="shared" si="95"/>
        <v>0.96169433560350626</v>
      </c>
      <c r="AD407" s="62">
        <f t="shared" si="95"/>
        <v>0.9588092525966958</v>
      </c>
      <c r="AE407" s="62">
        <f t="shared" si="95"/>
        <v>0.95593282483890574</v>
      </c>
      <c r="AF407" s="62">
        <f t="shared" si="95"/>
        <v>0.95306502636438906</v>
      </c>
      <c r="AG407" s="62">
        <f t="shared" si="95"/>
        <v>0.9502058312852959</v>
      </c>
      <c r="AH407" s="62">
        <f t="shared" si="95"/>
        <v>0.94735521379144005</v>
      </c>
      <c r="AI407" s="62">
        <f t="shared" si="95"/>
        <v>0.94451314815006571</v>
      </c>
      <c r="AJ407" s="62">
        <f t="shared" si="95"/>
        <v>0.94167960870561551</v>
      </c>
      <c r="AK407" s="62">
        <f t="shared" si="95"/>
        <v>0.93885456987949867</v>
      </c>
      <c r="AL407" s="62">
        <f t="shared" si="95"/>
        <v>0.93603800616986021</v>
      </c>
      <c r="AM407" s="62">
        <f t="shared" si="95"/>
        <v>0.93322989215135066</v>
      </c>
      <c r="AN407" s="62">
        <f t="shared" si="95"/>
        <v>0.93043020247489661</v>
      </c>
      <c r="AO407" s="62">
        <f t="shared" si="95"/>
        <v>0.92763891186747183</v>
      </c>
      <c r="AP407" s="62">
        <f t="shared" si="95"/>
        <v>0.92485599513186956</v>
      </c>
      <c r="AQ407" s="62">
        <f t="shared" si="95"/>
        <v>0.9220814271464739</v>
      </c>
      <c r="AR407" s="62">
        <f t="shared" si="95"/>
        <v>0.91931518286503444</v>
      </c>
      <c r="AS407" s="62">
        <f t="shared" si="95"/>
        <v>0.91655723731643934</v>
      </c>
    </row>
    <row r="408" spans="3:45" x14ac:dyDescent="0.3">
      <c r="C408" s="6" t="s">
        <v>281</v>
      </c>
      <c r="D408" s="2" t="s">
        <v>282</v>
      </c>
      <c r="H408" s="17">
        <f>SUM(J408:AS408)</f>
        <v>4263.3988270647396</v>
      </c>
      <c r="J408" s="17">
        <f t="shared" ref="J408:AS408" si="96">$G$46*$G$22*(1-Curtailment)*(1-Clipping)*J400*J407/Thousand</f>
        <v>0</v>
      </c>
      <c r="K408" s="17">
        <f t="shared" si="96"/>
        <v>0</v>
      </c>
      <c r="L408" s="17">
        <f t="shared" si="96"/>
        <v>0</v>
      </c>
      <c r="M408" s="17">
        <f t="shared" si="96"/>
        <v>0</v>
      </c>
      <c r="N408" s="17">
        <f t="shared" si="96"/>
        <v>0</v>
      </c>
      <c r="O408" s="17">
        <f t="shared" si="96"/>
        <v>74.087999999999994</v>
      </c>
      <c r="P408" s="17">
        <f t="shared" si="96"/>
        <v>148.17599999999999</v>
      </c>
      <c r="Q408" s="17">
        <f t="shared" si="96"/>
        <v>147.731472</v>
      </c>
      <c r="R408" s="17">
        <f t="shared" si="96"/>
        <v>147.28827758399999</v>
      </c>
      <c r="S408" s="17">
        <f t="shared" si="96"/>
        <v>146.84641275124798</v>
      </c>
      <c r="T408" s="17">
        <f t="shared" si="96"/>
        <v>146.40587351299428</v>
      </c>
      <c r="U408" s="17">
        <f t="shared" si="96"/>
        <v>145.96665589245529</v>
      </c>
      <c r="V408" s="17">
        <f t="shared" si="96"/>
        <v>145.52875592477793</v>
      </c>
      <c r="W408" s="17">
        <f t="shared" si="96"/>
        <v>145.09216965700358</v>
      </c>
      <c r="X408" s="17">
        <f t="shared" si="96"/>
        <v>144.65689314803257</v>
      </c>
      <c r="Y408" s="17">
        <f t="shared" si="96"/>
        <v>144.22292246858848</v>
      </c>
      <c r="Z408" s="17">
        <f t="shared" si="96"/>
        <v>143.79025370118273</v>
      </c>
      <c r="AA408" s="17">
        <f t="shared" si="96"/>
        <v>143.35888294007918</v>
      </c>
      <c r="AB408" s="17">
        <f t="shared" si="96"/>
        <v>142.92880629125892</v>
      </c>
      <c r="AC408" s="17">
        <f t="shared" si="96"/>
        <v>142.50001987238514</v>
      </c>
      <c r="AD408" s="17">
        <f t="shared" si="96"/>
        <v>142.07251981276801</v>
      </c>
      <c r="AE408" s="17">
        <f t="shared" si="96"/>
        <v>141.64630225332968</v>
      </c>
      <c r="AF408" s="17">
        <f t="shared" si="96"/>
        <v>141.22136334656972</v>
      </c>
      <c r="AG408" s="17">
        <f t="shared" si="96"/>
        <v>140.79769925653</v>
      </c>
      <c r="AH408" s="17">
        <f t="shared" si="96"/>
        <v>140.37530615876042</v>
      </c>
      <c r="AI408" s="17">
        <f t="shared" si="96"/>
        <v>139.95418024028413</v>
      </c>
      <c r="AJ408" s="17">
        <f t="shared" si="96"/>
        <v>139.53431769956327</v>
      </c>
      <c r="AK408" s="17">
        <f t="shared" si="96"/>
        <v>139.11571474646459</v>
      </c>
      <c r="AL408" s="17">
        <f t="shared" si="96"/>
        <v>138.69836760222523</v>
      </c>
      <c r="AM408" s="17">
        <f t="shared" si="96"/>
        <v>138.28227249941853</v>
      </c>
      <c r="AN408" s="17">
        <f t="shared" si="96"/>
        <v>137.86742568192028</v>
      </c>
      <c r="AO408" s="17">
        <f t="shared" si="96"/>
        <v>137.4538234048745</v>
      </c>
      <c r="AP408" s="17">
        <f t="shared" si="96"/>
        <v>137.04146193465988</v>
      </c>
      <c r="AQ408" s="17">
        <f t="shared" si="96"/>
        <v>136.63033754885592</v>
      </c>
      <c r="AR408" s="17">
        <f t="shared" si="96"/>
        <v>136.22044653620935</v>
      </c>
      <c r="AS408" s="17">
        <f t="shared" si="96"/>
        <v>67.905892598300355</v>
      </c>
    </row>
    <row r="409" spans="3:45" x14ac:dyDescent="0.3">
      <c r="C409" s="6" t="s">
        <v>283</v>
      </c>
      <c r="D409" s="2" t="s">
        <v>20</v>
      </c>
      <c r="J409" s="17">
        <f t="shared" ref="J409:AS409" si="97">Case_PPA*(1+PPA_Esc)^J396*(J400&gt;0)</f>
        <v>0</v>
      </c>
      <c r="K409" s="17">
        <f t="shared" si="97"/>
        <v>0</v>
      </c>
      <c r="L409" s="17">
        <f t="shared" si="97"/>
        <v>0</v>
      </c>
      <c r="M409" s="17">
        <f t="shared" si="97"/>
        <v>0</v>
      </c>
      <c r="N409" s="17">
        <f t="shared" si="97"/>
        <v>0</v>
      </c>
      <c r="O409" s="17">
        <f t="shared" si="97"/>
        <v>90</v>
      </c>
      <c r="P409" s="17">
        <f t="shared" si="97"/>
        <v>90.9</v>
      </c>
      <c r="Q409" s="17">
        <f t="shared" si="97"/>
        <v>91.808999999999997</v>
      </c>
      <c r="R409" s="17">
        <f t="shared" si="97"/>
        <v>92.72708999999999</v>
      </c>
      <c r="S409" s="17">
        <f t="shared" si="97"/>
        <v>93.6543609</v>
      </c>
      <c r="T409" s="17">
        <f t="shared" si="97"/>
        <v>94.590904508999998</v>
      </c>
      <c r="U409" s="17">
        <f t="shared" si="97"/>
        <v>95.536813554090017</v>
      </c>
      <c r="V409" s="17">
        <f t="shared" si="97"/>
        <v>96.492181689630883</v>
      </c>
      <c r="W409" s="17">
        <f t="shared" si="97"/>
        <v>97.457103506527218</v>
      </c>
      <c r="X409" s="17">
        <f t="shared" si="97"/>
        <v>98.4316745415925</v>
      </c>
      <c r="Y409" s="17">
        <f t="shared" si="97"/>
        <v>99.415991287008424</v>
      </c>
      <c r="Z409" s="17">
        <f t="shared" si="97"/>
        <v>100.41015119987848</v>
      </c>
      <c r="AA409" s="17">
        <f t="shared" si="97"/>
        <v>101.41425271187728</v>
      </c>
      <c r="AB409" s="17">
        <f t="shared" si="97"/>
        <v>102.42839523899606</v>
      </c>
      <c r="AC409" s="17">
        <f t="shared" si="97"/>
        <v>103.45267919138603</v>
      </c>
      <c r="AD409" s="17">
        <f t="shared" si="97"/>
        <v>104.48720598329986</v>
      </c>
      <c r="AE409" s="17">
        <f t="shared" si="97"/>
        <v>105.53207804313288</v>
      </c>
      <c r="AF409" s="17">
        <f t="shared" si="97"/>
        <v>106.58739882356423</v>
      </c>
      <c r="AG409" s="17">
        <f t="shared" si="97"/>
        <v>107.65327281179987</v>
      </c>
      <c r="AH409" s="17">
        <f t="shared" si="97"/>
        <v>108.72980553991785</v>
      </c>
      <c r="AI409" s="17">
        <f t="shared" si="97"/>
        <v>109.81710359531704</v>
      </c>
      <c r="AJ409" s="17">
        <f t="shared" si="97"/>
        <v>110.91527463127019</v>
      </c>
      <c r="AK409" s="17">
        <f t="shared" si="97"/>
        <v>112.02442737758292</v>
      </c>
      <c r="AL409" s="17">
        <f t="shared" si="97"/>
        <v>113.14467165135873</v>
      </c>
      <c r="AM409" s="17">
        <f t="shared" si="97"/>
        <v>114.27611836787234</v>
      </c>
      <c r="AN409" s="17">
        <f t="shared" si="97"/>
        <v>115.41887955155109</v>
      </c>
      <c r="AO409" s="17">
        <f t="shared" si="97"/>
        <v>116.5730683470666</v>
      </c>
      <c r="AP409" s="17">
        <f t="shared" si="97"/>
        <v>117.73879903053722</v>
      </c>
      <c r="AQ409" s="17">
        <f t="shared" si="97"/>
        <v>118.9161870208426</v>
      </c>
      <c r="AR409" s="17">
        <f t="shared" si="97"/>
        <v>120.10534889105104</v>
      </c>
      <c r="AS409" s="17">
        <f t="shared" si="97"/>
        <v>121.30640237996157</v>
      </c>
    </row>
    <row r="410" spans="3:45" x14ac:dyDescent="0.3">
      <c r="C410" s="1" t="s">
        <v>149</v>
      </c>
      <c r="D410" s="2" t="s">
        <v>84</v>
      </c>
      <c r="H410" s="32">
        <f>SUM(J410:AS410)</f>
        <v>446130.68572945433</v>
      </c>
      <c r="J410" s="32">
        <f t="shared" ref="J410:AS410" si="98">J408*J409</f>
        <v>0</v>
      </c>
      <c r="K410" s="32">
        <f t="shared" si="98"/>
        <v>0</v>
      </c>
      <c r="L410" s="32">
        <f t="shared" si="98"/>
        <v>0</v>
      </c>
      <c r="M410" s="32">
        <f t="shared" si="98"/>
        <v>0</v>
      </c>
      <c r="N410" s="32">
        <f t="shared" si="98"/>
        <v>0</v>
      </c>
      <c r="O410" s="32">
        <f t="shared" si="98"/>
        <v>6667.9199999999992</v>
      </c>
      <c r="P410" s="32">
        <f t="shared" si="98"/>
        <v>13469.198399999999</v>
      </c>
      <c r="Q410" s="32">
        <f t="shared" si="98"/>
        <v>13563.078712847999</v>
      </c>
      <c r="R410" s="32">
        <f t="shared" si="98"/>
        <v>13657.613371476547</v>
      </c>
      <c r="S410" s="32">
        <f t="shared" si="98"/>
        <v>13752.806936675741</v>
      </c>
      <c r="T410" s="32">
        <f t="shared" si="98"/>
        <v>13848.664001024374</v>
      </c>
      <c r="U410" s="32">
        <f t="shared" si="98"/>
        <v>13945.189189111516</v>
      </c>
      <c r="V410" s="32">
        <f t="shared" si="98"/>
        <v>14042.387157759618</v>
      </c>
      <c r="W410" s="32">
        <f t="shared" si="98"/>
        <v>14140.262596249206</v>
      </c>
      <c r="X410" s="32">
        <f t="shared" si="98"/>
        <v>14238.820226545064</v>
      </c>
      <c r="Y410" s="32">
        <f t="shared" si="98"/>
        <v>14338.064803524083</v>
      </c>
      <c r="Z410" s="32">
        <f t="shared" si="98"/>
        <v>14438.001115204645</v>
      </c>
      <c r="AA410" s="32">
        <f t="shared" si="98"/>
        <v>14538.633982977623</v>
      </c>
      <c r="AB410" s="32">
        <f t="shared" si="98"/>
        <v>14639.968261838976</v>
      </c>
      <c r="AC410" s="32">
        <f t="shared" si="98"/>
        <v>14742.008840623994</v>
      </c>
      <c r="AD410" s="32">
        <f t="shared" si="98"/>
        <v>14844.760642243142</v>
      </c>
      <c r="AE410" s="32">
        <f t="shared" si="98"/>
        <v>14948.228623919576</v>
      </c>
      <c r="AF410" s="32">
        <f t="shared" si="98"/>
        <v>15052.417777428302</v>
      </c>
      <c r="AG410" s="32">
        <f t="shared" si="98"/>
        <v>15157.333129336976</v>
      </c>
      <c r="AH410" s="32">
        <f t="shared" si="98"/>
        <v>15262.979741248453</v>
      </c>
      <c r="AI410" s="32">
        <f t="shared" si="98"/>
        <v>15369.362710044956</v>
      </c>
      <c r="AJ410" s="32">
        <f t="shared" si="98"/>
        <v>15476.487168133966</v>
      </c>
      <c r="AK410" s="32">
        <f t="shared" si="98"/>
        <v>15584.358283695865</v>
      </c>
      <c r="AL410" s="32">
        <f t="shared" si="98"/>
        <v>15692.981260933226</v>
      </c>
      <c r="AM410" s="32">
        <f t="shared" si="98"/>
        <v>15802.36134032193</v>
      </c>
      <c r="AN410" s="32">
        <f t="shared" si="98"/>
        <v>15912.503798863978</v>
      </c>
      <c r="AO410" s="32">
        <f t="shared" si="98"/>
        <v>16023.413950342057</v>
      </c>
      <c r="AP410" s="32">
        <f t="shared" si="98"/>
        <v>16135.097145575935</v>
      </c>
      <c r="AQ410" s="32">
        <f t="shared" si="98"/>
        <v>16247.558772680604</v>
      </c>
      <c r="AR410" s="32">
        <f t="shared" si="98"/>
        <v>16360.804257326188</v>
      </c>
      <c r="AS410" s="32">
        <f t="shared" si="98"/>
        <v>8237.419531499876</v>
      </c>
    </row>
    <row r="411" spans="3:45" x14ac:dyDescent="0.3">
      <c r="C411" s="6" t="s">
        <v>284</v>
      </c>
      <c r="D411" s="2" t="s">
        <v>3</v>
      </c>
      <c r="J411" s="62">
        <f t="shared" ref="J411:AS411" si="99">(1+Opex_Esc)^J396</f>
        <v>0.88385428760951712</v>
      </c>
      <c r="K411" s="62">
        <f t="shared" si="99"/>
        <v>0.90595064479975507</v>
      </c>
      <c r="L411" s="62">
        <f t="shared" si="99"/>
        <v>0.92859941091974885</v>
      </c>
      <c r="M411" s="62">
        <f t="shared" si="99"/>
        <v>0.95181439619274244</v>
      </c>
      <c r="N411" s="62">
        <f t="shared" si="99"/>
        <v>0.97560975609756106</v>
      </c>
      <c r="O411" s="62">
        <f t="shared" si="99"/>
        <v>1</v>
      </c>
      <c r="P411" s="62">
        <f t="shared" si="99"/>
        <v>1.0249999999999999</v>
      </c>
      <c r="Q411" s="62">
        <f t="shared" si="99"/>
        <v>1.0506249999999999</v>
      </c>
      <c r="R411" s="62">
        <f t="shared" si="99"/>
        <v>1.0768906249999999</v>
      </c>
      <c r="S411" s="62">
        <f t="shared" si="99"/>
        <v>1.1038128906249998</v>
      </c>
      <c r="T411" s="62">
        <f t="shared" si="99"/>
        <v>1.1314082128906247</v>
      </c>
      <c r="U411" s="62">
        <f t="shared" si="99"/>
        <v>1.1596934182128902</v>
      </c>
      <c r="V411" s="62">
        <f t="shared" si="99"/>
        <v>1.1886857536682125</v>
      </c>
      <c r="W411" s="62">
        <f t="shared" si="99"/>
        <v>1.2184028975099177</v>
      </c>
      <c r="X411" s="62">
        <f t="shared" si="99"/>
        <v>1.2488629699476654</v>
      </c>
      <c r="Y411" s="62">
        <f t="shared" si="99"/>
        <v>1.2800845441963571</v>
      </c>
      <c r="Z411" s="62">
        <f t="shared" si="99"/>
        <v>1.312086657801266</v>
      </c>
      <c r="AA411" s="62">
        <f t="shared" si="99"/>
        <v>1.3448888242462975</v>
      </c>
      <c r="AB411" s="62">
        <f t="shared" si="99"/>
        <v>1.3785110448524549</v>
      </c>
      <c r="AC411" s="62">
        <f t="shared" si="99"/>
        <v>1.4129738209737661</v>
      </c>
      <c r="AD411" s="62">
        <f t="shared" si="99"/>
        <v>1.4482981664981105</v>
      </c>
      <c r="AE411" s="62">
        <f t="shared" si="99"/>
        <v>1.4845056206605631</v>
      </c>
      <c r="AF411" s="62">
        <f t="shared" si="99"/>
        <v>1.521618261177077</v>
      </c>
      <c r="AG411" s="62">
        <f t="shared" si="99"/>
        <v>1.559658717706504</v>
      </c>
      <c r="AH411" s="62">
        <f t="shared" si="99"/>
        <v>1.5986501856491666</v>
      </c>
      <c r="AI411" s="62">
        <f t="shared" si="99"/>
        <v>1.6386164402903955</v>
      </c>
      <c r="AJ411" s="62">
        <f t="shared" si="99"/>
        <v>1.6795818512976552</v>
      </c>
      <c r="AK411" s="62">
        <f t="shared" si="99"/>
        <v>1.7215713975800966</v>
      </c>
      <c r="AL411" s="62">
        <f t="shared" si="99"/>
        <v>1.7646106825195991</v>
      </c>
      <c r="AM411" s="62">
        <f t="shared" si="99"/>
        <v>1.8087259495825889</v>
      </c>
      <c r="AN411" s="62">
        <f t="shared" si="99"/>
        <v>1.8539440983221533</v>
      </c>
      <c r="AO411" s="62">
        <f t="shared" si="99"/>
        <v>1.9002927007802071</v>
      </c>
      <c r="AP411" s="62">
        <f t="shared" si="99"/>
        <v>1.9478000182997122</v>
      </c>
      <c r="AQ411" s="62">
        <f t="shared" si="99"/>
        <v>1.9964950187572048</v>
      </c>
      <c r="AR411" s="62">
        <f t="shared" si="99"/>
        <v>2.0464073942261352</v>
      </c>
      <c r="AS411" s="62">
        <f t="shared" si="99"/>
        <v>2.097567579081788</v>
      </c>
    </row>
    <row r="412" spans="3:45" x14ac:dyDescent="0.3">
      <c r="C412" s="6" t="s">
        <v>285</v>
      </c>
      <c r="D412" s="2" t="s">
        <v>84</v>
      </c>
      <c r="H412" s="8">
        <f t="shared" ref="H412:H421" si="100">SUM(J412:AS412)</f>
        <v>-70011.091950679722</v>
      </c>
      <c r="J412" s="8">
        <f t="shared" ref="J412:AS412" si="101">-(Case_OM+SUM(Opex_Per_MW))*$G$46*J411*J400</f>
        <v>0</v>
      </c>
      <c r="K412" s="8">
        <f t="shared" si="101"/>
        <v>0</v>
      </c>
      <c r="L412" s="8">
        <f t="shared" si="101"/>
        <v>0</v>
      </c>
      <c r="M412" s="8">
        <f t="shared" si="101"/>
        <v>0</v>
      </c>
      <c r="N412" s="8">
        <f t="shared" si="101"/>
        <v>0</v>
      </c>
      <c r="O412" s="8">
        <f t="shared" si="101"/>
        <v>-787.5</v>
      </c>
      <c r="P412" s="8">
        <f t="shared" si="101"/>
        <v>-1614.3749999999998</v>
      </c>
      <c r="Q412" s="8">
        <f t="shared" si="101"/>
        <v>-1654.7343749999998</v>
      </c>
      <c r="R412" s="8">
        <f t="shared" si="101"/>
        <v>-1696.1027343749997</v>
      </c>
      <c r="S412" s="8">
        <f t="shared" si="101"/>
        <v>-1738.5053027343747</v>
      </c>
      <c r="T412" s="8">
        <f t="shared" si="101"/>
        <v>-1781.9679353027338</v>
      </c>
      <c r="U412" s="8">
        <f t="shared" si="101"/>
        <v>-1826.517133685302</v>
      </c>
      <c r="V412" s="8">
        <f t="shared" si="101"/>
        <v>-1872.1800620274346</v>
      </c>
      <c r="W412" s="8">
        <f t="shared" si="101"/>
        <v>-1918.9845635781203</v>
      </c>
      <c r="X412" s="8">
        <f t="shared" si="101"/>
        <v>-1966.9591776675732</v>
      </c>
      <c r="Y412" s="8">
        <f t="shared" si="101"/>
        <v>-2016.1331571092624</v>
      </c>
      <c r="Z412" s="8">
        <f t="shared" si="101"/>
        <v>-2066.5364860369941</v>
      </c>
      <c r="AA412" s="8">
        <f t="shared" si="101"/>
        <v>-2118.1998981879187</v>
      </c>
      <c r="AB412" s="8">
        <f t="shared" si="101"/>
        <v>-2171.1548956426163</v>
      </c>
      <c r="AC412" s="8">
        <f t="shared" si="101"/>
        <v>-2225.4337680336816</v>
      </c>
      <c r="AD412" s="8">
        <f t="shared" si="101"/>
        <v>-2281.0696122345239</v>
      </c>
      <c r="AE412" s="8">
        <f t="shared" si="101"/>
        <v>-2338.0963525403868</v>
      </c>
      <c r="AF412" s="8">
        <f t="shared" si="101"/>
        <v>-2396.5487613538962</v>
      </c>
      <c r="AG412" s="8">
        <f t="shared" si="101"/>
        <v>-2456.4624803877437</v>
      </c>
      <c r="AH412" s="8">
        <f t="shared" si="101"/>
        <v>-2517.8740423974373</v>
      </c>
      <c r="AI412" s="8">
        <f t="shared" si="101"/>
        <v>-2580.8208934573731</v>
      </c>
      <c r="AJ412" s="8">
        <f t="shared" si="101"/>
        <v>-2645.3414157938068</v>
      </c>
      <c r="AK412" s="8">
        <f t="shared" si="101"/>
        <v>-2711.4749511886521</v>
      </c>
      <c r="AL412" s="8">
        <f t="shared" si="101"/>
        <v>-2779.2618249683687</v>
      </c>
      <c r="AM412" s="8">
        <f t="shared" si="101"/>
        <v>-2848.7433705925778</v>
      </c>
      <c r="AN412" s="8">
        <f t="shared" si="101"/>
        <v>-2919.9619548573914</v>
      </c>
      <c r="AO412" s="8">
        <f t="shared" si="101"/>
        <v>-2992.9610037288262</v>
      </c>
      <c r="AP412" s="8">
        <f t="shared" si="101"/>
        <v>-3067.7850288220466</v>
      </c>
      <c r="AQ412" s="8">
        <f t="shared" si="101"/>
        <v>-3144.4796545425975</v>
      </c>
      <c r="AR412" s="8">
        <f t="shared" si="101"/>
        <v>-3223.0916459061627</v>
      </c>
      <c r="AS412" s="8">
        <f t="shared" si="101"/>
        <v>-1651.834468526908</v>
      </c>
    </row>
    <row r="413" spans="3:45" x14ac:dyDescent="0.3">
      <c r="C413" s="6" t="s">
        <v>286</v>
      </c>
      <c r="D413" s="2" t="s">
        <v>84</v>
      </c>
      <c r="H413" s="8">
        <f t="shared" si="100"/>
        <v>-1666.9307607304695</v>
      </c>
      <c r="J413" s="8">
        <f t="shared" ref="J413:AS413" si="102">-Opex_Admin*$G$6/Lump_Basis*J411*J400</f>
        <v>0</v>
      </c>
      <c r="K413" s="8">
        <f t="shared" si="102"/>
        <v>0</v>
      </c>
      <c r="L413" s="8">
        <f t="shared" si="102"/>
        <v>0</v>
      </c>
      <c r="M413" s="8">
        <f t="shared" si="102"/>
        <v>0</v>
      </c>
      <c r="N413" s="8">
        <f t="shared" si="102"/>
        <v>0</v>
      </c>
      <c r="O413" s="8">
        <f t="shared" si="102"/>
        <v>-18.75</v>
      </c>
      <c r="P413" s="8">
        <f t="shared" si="102"/>
        <v>-38.4375</v>
      </c>
      <c r="Q413" s="8">
        <f t="shared" si="102"/>
        <v>-39.3984375</v>
      </c>
      <c r="R413" s="8">
        <f t="shared" si="102"/>
        <v>-40.383398437499999</v>
      </c>
      <c r="S413" s="8">
        <f t="shared" si="102"/>
        <v>-41.392983398437494</v>
      </c>
      <c r="T413" s="8">
        <f t="shared" si="102"/>
        <v>-42.427807983398424</v>
      </c>
      <c r="U413" s="8">
        <f t="shared" si="102"/>
        <v>-43.488503182983379</v>
      </c>
      <c r="V413" s="8">
        <f t="shared" si="102"/>
        <v>-44.575715762557969</v>
      </c>
      <c r="W413" s="8">
        <f t="shared" si="102"/>
        <v>-45.690108656621916</v>
      </c>
      <c r="X413" s="8">
        <f t="shared" si="102"/>
        <v>-46.83236137303745</v>
      </c>
      <c r="Y413" s="8">
        <f t="shared" si="102"/>
        <v>-48.003170407363392</v>
      </c>
      <c r="Z413" s="8">
        <f t="shared" si="102"/>
        <v>-49.203249667547475</v>
      </c>
      <c r="AA413" s="8">
        <f t="shared" si="102"/>
        <v>-50.433330909236155</v>
      </c>
      <c r="AB413" s="8">
        <f t="shared" si="102"/>
        <v>-51.694164181967061</v>
      </c>
      <c r="AC413" s="8">
        <f t="shared" si="102"/>
        <v>-52.98651828651623</v>
      </c>
      <c r="AD413" s="8">
        <f t="shared" si="102"/>
        <v>-54.311181243679144</v>
      </c>
      <c r="AE413" s="8">
        <f t="shared" si="102"/>
        <v>-55.668960774771115</v>
      </c>
      <c r="AF413" s="8">
        <f t="shared" si="102"/>
        <v>-57.060684794140386</v>
      </c>
      <c r="AG413" s="8">
        <f t="shared" si="102"/>
        <v>-58.4872019139939</v>
      </c>
      <c r="AH413" s="8">
        <f t="shared" si="102"/>
        <v>-59.949381961843748</v>
      </c>
      <c r="AI413" s="8">
        <f t="shared" si="102"/>
        <v>-61.448116510889832</v>
      </c>
      <c r="AJ413" s="8">
        <f t="shared" si="102"/>
        <v>-62.984319423662072</v>
      </c>
      <c r="AK413" s="8">
        <f t="shared" si="102"/>
        <v>-64.558927409253627</v>
      </c>
      <c r="AL413" s="8">
        <f t="shared" si="102"/>
        <v>-66.172900594484972</v>
      </c>
      <c r="AM413" s="8">
        <f t="shared" si="102"/>
        <v>-67.827223109347088</v>
      </c>
      <c r="AN413" s="8">
        <f t="shared" si="102"/>
        <v>-69.522903687080756</v>
      </c>
      <c r="AO413" s="8">
        <f t="shared" si="102"/>
        <v>-71.260976279257761</v>
      </c>
      <c r="AP413" s="8">
        <f t="shared" si="102"/>
        <v>-73.042500686239208</v>
      </c>
      <c r="AQ413" s="8">
        <f t="shared" si="102"/>
        <v>-74.868563203395183</v>
      </c>
      <c r="AR413" s="8">
        <f t="shared" si="102"/>
        <v>-76.740277283480069</v>
      </c>
      <c r="AS413" s="8">
        <f t="shared" si="102"/>
        <v>-39.329392107783526</v>
      </c>
    </row>
    <row r="414" spans="3:45" x14ac:dyDescent="0.3">
      <c r="C414" s="6" t="s">
        <v>287</v>
      </c>
      <c r="D414" s="2" t="s">
        <v>84</v>
      </c>
      <c r="H414" s="8">
        <f t="shared" si="100"/>
        <v>-31411.929867285264</v>
      </c>
      <c r="J414" s="8">
        <f t="shared" ref="J414:AS414" si="103">-J408*(Balancing+Grid_Charges)*J411</f>
        <v>0</v>
      </c>
      <c r="K414" s="8">
        <f t="shared" si="103"/>
        <v>0</v>
      </c>
      <c r="L414" s="8">
        <f t="shared" si="103"/>
        <v>0</v>
      </c>
      <c r="M414" s="8">
        <f t="shared" si="103"/>
        <v>0</v>
      </c>
      <c r="N414" s="8">
        <f t="shared" si="103"/>
        <v>0</v>
      </c>
      <c r="O414" s="8">
        <f t="shared" si="103"/>
        <v>-370.43999999999994</v>
      </c>
      <c r="P414" s="8">
        <f t="shared" si="103"/>
        <v>-759.40199999999982</v>
      </c>
      <c r="Q414" s="8">
        <f t="shared" si="103"/>
        <v>-776.05188884999984</v>
      </c>
      <c r="R414" s="8">
        <f t="shared" si="103"/>
        <v>-793.06682651303606</v>
      </c>
      <c r="S414" s="8">
        <f t="shared" si="103"/>
        <v>-810.45481668433422</v>
      </c>
      <c r="T414" s="8">
        <f t="shared" si="103"/>
        <v>-828.22403854013851</v>
      </c>
      <c r="U414" s="8">
        <f t="shared" si="103"/>
        <v>-846.38285058513088</v>
      </c>
      <c r="V414" s="8">
        <f t="shared" si="103"/>
        <v>-864.93979458420995</v>
      </c>
      <c r="W414" s="8">
        <f t="shared" si="103"/>
        <v>-883.90359958046861</v>
      </c>
      <c r="X414" s="8">
        <f t="shared" si="103"/>
        <v>-903.28318600127034</v>
      </c>
      <c r="Y414" s="8">
        <f t="shared" si="103"/>
        <v>-923.08766985434806</v>
      </c>
      <c r="Z414" s="8">
        <f t="shared" si="103"/>
        <v>-943.32636701590491</v>
      </c>
      <c r="AA414" s="8">
        <f t="shared" si="103"/>
        <v>-964.00879761272847</v>
      </c>
      <c r="AB414" s="8">
        <f t="shared" si="103"/>
        <v>-985.14469050038747</v>
      </c>
      <c r="AC414" s="8">
        <f t="shared" si="103"/>
        <v>-1006.7439878396082</v>
      </c>
      <c r="AD414" s="8">
        <f t="shared" si="103"/>
        <v>-1028.8168497729919</v>
      </c>
      <c r="AE414" s="8">
        <f t="shared" si="103"/>
        <v>-1051.3736592042644</v>
      </c>
      <c r="AF414" s="8">
        <f t="shared" si="103"/>
        <v>-1074.425026682318</v>
      </c>
      <c r="AG414" s="8">
        <f t="shared" si="103"/>
        <v>-1097.9817953923277</v>
      </c>
      <c r="AH414" s="8">
        <f t="shared" si="103"/>
        <v>-1122.0550462563046</v>
      </c>
      <c r="AI414" s="8">
        <f t="shared" si="103"/>
        <v>-1146.6561031454739</v>
      </c>
      <c r="AJ414" s="8">
        <f t="shared" si="103"/>
        <v>-1171.7965382069383</v>
      </c>
      <c r="AK414" s="8">
        <f t="shared" si="103"/>
        <v>-1197.4881773071256</v>
      </c>
      <c r="AL414" s="8">
        <f t="shared" si="103"/>
        <v>-1223.7431055945847</v>
      </c>
      <c r="AM414" s="8">
        <f t="shared" si="103"/>
        <v>-1250.5736731847453</v>
      </c>
      <c r="AN414" s="8">
        <f t="shared" si="103"/>
        <v>-1277.9925009693209</v>
      </c>
      <c r="AO414" s="8">
        <f t="shared" si="103"/>
        <v>-1306.0124865530729</v>
      </c>
      <c r="AP414" s="8">
        <f t="shared" si="103"/>
        <v>-1334.6468103207492</v>
      </c>
      <c r="AQ414" s="8">
        <f t="shared" si="103"/>
        <v>-1363.9089416370316</v>
      </c>
      <c r="AR414" s="8">
        <f t="shared" si="103"/>
        <v>-1393.8126451824237</v>
      </c>
      <c r="AS414" s="8">
        <f t="shared" si="103"/>
        <v>-712.18599371402388</v>
      </c>
    </row>
    <row r="415" spans="3:45" x14ac:dyDescent="0.3">
      <c r="C415" s="6" t="s">
        <v>288</v>
      </c>
      <c r="D415" s="2" t="s">
        <v>84</v>
      </c>
      <c r="H415" s="8">
        <f t="shared" si="100"/>
        <v>-446.1306857294544</v>
      </c>
      <c r="J415" s="8">
        <f t="shared" ref="J415:AS415" si="104">-J410*MEKH_Fee</f>
        <v>0</v>
      </c>
      <c r="K415" s="8">
        <f t="shared" si="104"/>
        <v>0</v>
      </c>
      <c r="L415" s="8">
        <f t="shared" si="104"/>
        <v>0</v>
      </c>
      <c r="M415" s="8">
        <f t="shared" si="104"/>
        <v>0</v>
      </c>
      <c r="N415" s="8">
        <f t="shared" si="104"/>
        <v>0</v>
      </c>
      <c r="O415" s="8">
        <f t="shared" si="104"/>
        <v>-6.6679199999999996</v>
      </c>
      <c r="P415" s="8">
        <f t="shared" si="104"/>
        <v>-13.4691984</v>
      </c>
      <c r="Q415" s="8">
        <f t="shared" si="104"/>
        <v>-13.563078712847998</v>
      </c>
      <c r="R415" s="8">
        <f t="shared" si="104"/>
        <v>-13.657613371476547</v>
      </c>
      <c r="S415" s="8">
        <f t="shared" si="104"/>
        <v>-13.752806936675741</v>
      </c>
      <c r="T415" s="8">
        <f t="shared" si="104"/>
        <v>-13.848664001024375</v>
      </c>
      <c r="U415" s="8">
        <f t="shared" si="104"/>
        <v>-13.945189189111517</v>
      </c>
      <c r="V415" s="8">
        <f t="shared" si="104"/>
        <v>-14.042387157759618</v>
      </c>
      <c r="W415" s="8">
        <f t="shared" si="104"/>
        <v>-14.140262596249206</v>
      </c>
      <c r="X415" s="8">
        <f t="shared" si="104"/>
        <v>-14.238820226545064</v>
      </c>
      <c r="Y415" s="8">
        <f t="shared" si="104"/>
        <v>-14.338064803524084</v>
      </c>
      <c r="Z415" s="8">
        <f t="shared" si="104"/>
        <v>-14.438001115204646</v>
      </c>
      <c r="AA415" s="8">
        <f t="shared" si="104"/>
        <v>-14.538633982977624</v>
      </c>
      <c r="AB415" s="8">
        <f t="shared" si="104"/>
        <v>-14.639968261838977</v>
      </c>
      <c r="AC415" s="8">
        <f t="shared" si="104"/>
        <v>-14.742008840623994</v>
      </c>
      <c r="AD415" s="8">
        <f t="shared" si="104"/>
        <v>-14.844760642243141</v>
      </c>
      <c r="AE415" s="8">
        <f t="shared" si="104"/>
        <v>-14.948228623919576</v>
      </c>
      <c r="AF415" s="8">
        <f t="shared" si="104"/>
        <v>-15.052417777428301</v>
      </c>
      <c r="AG415" s="8">
        <f t="shared" si="104"/>
        <v>-15.157333129336976</v>
      </c>
      <c r="AH415" s="8">
        <f t="shared" si="104"/>
        <v>-15.262979741248454</v>
      </c>
      <c r="AI415" s="8">
        <f t="shared" si="104"/>
        <v>-15.369362710044957</v>
      </c>
      <c r="AJ415" s="8">
        <f t="shared" si="104"/>
        <v>-15.476487168133966</v>
      </c>
      <c r="AK415" s="8">
        <f t="shared" si="104"/>
        <v>-15.584358283695865</v>
      </c>
      <c r="AL415" s="8">
        <f t="shared" si="104"/>
        <v>-15.692981260933227</v>
      </c>
      <c r="AM415" s="8">
        <f t="shared" si="104"/>
        <v>-15.80236134032193</v>
      </c>
      <c r="AN415" s="8">
        <f t="shared" si="104"/>
        <v>-15.912503798863979</v>
      </c>
      <c r="AO415" s="8">
        <f t="shared" si="104"/>
        <v>-16.023413950342057</v>
      </c>
      <c r="AP415" s="8">
        <f t="shared" si="104"/>
        <v>-16.135097145575937</v>
      </c>
      <c r="AQ415" s="8">
        <f t="shared" si="104"/>
        <v>-16.247558772680605</v>
      </c>
      <c r="AR415" s="8">
        <f t="shared" si="104"/>
        <v>-16.360804257326187</v>
      </c>
      <c r="AS415" s="8">
        <f t="shared" si="104"/>
        <v>-8.2374195314998762</v>
      </c>
    </row>
    <row r="416" spans="3:45" x14ac:dyDescent="0.3">
      <c r="C416" s="6" t="s">
        <v>289</v>
      </c>
      <c r="D416" s="2" t="s">
        <v>84</v>
      </c>
      <c r="H416" s="8">
        <f t="shared" si="100"/>
        <v>-5176.8041632212435</v>
      </c>
      <c r="J416" s="8">
        <f t="shared" ref="J416:AS416" si="105">SUM(J412:J415)*Opex_Cont</f>
        <v>0</v>
      </c>
      <c r="K416" s="8">
        <f t="shared" si="105"/>
        <v>0</v>
      </c>
      <c r="L416" s="8">
        <f t="shared" si="105"/>
        <v>0</v>
      </c>
      <c r="M416" s="8">
        <f t="shared" si="105"/>
        <v>0</v>
      </c>
      <c r="N416" s="8">
        <f t="shared" si="105"/>
        <v>0</v>
      </c>
      <c r="O416" s="8">
        <f t="shared" si="105"/>
        <v>-59.167896000000013</v>
      </c>
      <c r="P416" s="8">
        <f t="shared" si="105"/>
        <v>-121.28418491999999</v>
      </c>
      <c r="Q416" s="8">
        <f t="shared" si="105"/>
        <v>-124.18738900314239</v>
      </c>
      <c r="R416" s="8">
        <f t="shared" si="105"/>
        <v>-127.16052863485064</v>
      </c>
      <c r="S416" s="8">
        <f t="shared" si="105"/>
        <v>-130.20529548769113</v>
      </c>
      <c r="T416" s="8">
        <f t="shared" si="105"/>
        <v>-133.32342229136475</v>
      </c>
      <c r="U416" s="8">
        <f t="shared" si="105"/>
        <v>-136.5166838321264</v>
      </c>
      <c r="V416" s="8">
        <f t="shared" si="105"/>
        <v>-139.78689797659811</v>
      </c>
      <c r="W416" s="8">
        <f t="shared" si="105"/>
        <v>-143.135926720573</v>
      </c>
      <c r="X416" s="8">
        <f t="shared" si="105"/>
        <v>-146.56567726342129</v>
      </c>
      <c r="Y416" s="8">
        <f t="shared" si="105"/>
        <v>-150.07810310872489</v>
      </c>
      <c r="Z416" s="8">
        <f t="shared" si="105"/>
        <v>-153.67520519178257</v>
      </c>
      <c r="AA416" s="8">
        <f t="shared" si="105"/>
        <v>-157.35903303464306</v>
      </c>
      <c r="AB416" s="8">
        <f t="shared" si="105"/>
        <v>-161.13168592934051</v>
      </c>
      <c r="AC416" s="8">
        <f t="shared" si="105"/>
        <v>-164.9953141500215</v>
      </c>
      <c r="AD416" s="8">
        <f t="shared" si="105"/>
        <v>-168.95212019467192</v>
      </c>
      <c r="AE416" s="8">
        <f t="shared" si="105"/>
        <v>-173.0043600571671</v>
      </c>
      <c r="AF416" s="8">
        <f t="shared" si="105"/>
        <v>-177.15434453038915</v>
      </c>
      <c r="AG416" s="8">
        <f t="shared" si="105"/>
        <v>-181.40444054117015</v>
      </c>
      <c r="AH416" s="8">
        <f t="shared" si="105"/>
        <v>-185.75707251784172</v>
      </c>
      <c r="AI416" s="8">
        <f t="shared" si="105"/>
        <v>-190.21472379118913</v>
      </c>
      <c r="AJ416" s="8">
        <f t="shared" si="105"/>
        <v>-194.77993802962706</v>
      </c>
      <c r="AK416" s="8">
        <f t="shared" si="105"/>
        <v>-199.45532070943636</v>
      </c>
      <c r="AL416" s="8">
        <f t="shared" si="105"/>
        <v>-204.24354062091857</v>
      </c>
      <c r="AM416" s="8">
        <f t="shared" si="105"/>
        <v>-209.14733141134963</v>
      </c>
      <c r="AN416" s="8">
        <f t="shared" si="105"/>
        <v>-214.16949316563287</v>
      </c>
      <c r="AO416" s="8">
        <f t="shared" si="105"/>
        <v>-219.31289402557491</v>
      </c>
      <c r="AP416" s="8">
        <f t="shared" si="105"/>
        <v>-224.58047184873055</v>
      </c>
      <c r="AQ416" s="8">
        <f t="shared" si="105"/>
        <v>-229.97523590778525</v>
      </c>
      <c r="AR416" s="8">
        <f t="shared" si="105"/>
        <v>-235.50026863146965</v>
      </c>
      <c r="AS416" s="8">
        <f t="shared" si="105"/>
        <v>-120.57936369401078</v>
      </c>
    </row>
    <row r="417" spans="2:45" x14ac:dyDescent="0.3">
      <c r="C417" s="6" t="s">
        <v>290</v>
      </c>
      <c r="D417" s="2" t="s">
        <v>84</v>
      </c>
      <c r="H417" s="8">
        <f t="shared" si="100"/>
        <v>-12790.19648119422</v>
      </c>
      <c r="J417" s="8">
        <f t="shared" ref="J417:AS417" si="106">-J408*$G$12</f>
        <v>0</v>
      </c>
      <c r="K417" s="8">
        <f t="shared" si="106"/>
        <v>0</v>
      </c>
      <c r="L417" s="8">
        <f t="shared" si="106"/>
        <v>0</v>
      </c>
      <c r="M417" s="8">
        <f t="shared" si="106"/>
        <v>0</v>
      </c>
      <c r="N417" s="8">
        <f t="shared" si="106"/>
        <v>0</v>
      </c>
      <c r="O417" s="8">
        <f t="shared" si="106"/>
        <v>-222.26399999999998</v>
      </c>
      <c r="P417" s="8">
        <f t="shared" si="106"/>
        <v>-444.52799999999996</v>
      </c>
      <c r="Q417" s="8">
        <f t="shared" si="106"/>
        <v>-443.19441599999999</v>
      </c>
      <c r="R417" s="8">
        <f t="shared" si="106"/>
        <v>-441.86483275199998</v>
      </c>
      <c r="S417" s="8">
        <f t="shared" si="106"/>
        <v>-440.53923825374397</v>
      </c>
      <c r="T417" s="8">
        <f t="shared" si="106"/>
        <v>-439.21762053898283</v>
      </c>
      <c r="U417" s="8">
        <f t="shared" si="106"/>
        <v>-437.89996767736591</v>
      </c>
      <c r="V417" s="8">
        <f t="shared" si="106"/>
        <v>-436.58626777433381</v>
      </c>
      <c r="W417" s="8">
        <f t="shared" si="106"/>
        <v>-435.27650897101074</v>
      </c>
      <c r="X417" s="8">
        <f t="shared" si="106"/>
        <v>-433.9706794440977</v>
      </c>
      <c r="Y417" s="8">
        <f t="shared" si="106"/>
        <v>-432.66876740576544</v>
      </c>
      <c r="Z417" s="8">
        <f t="shared" si="106"/>
        <v>-431.3707611035482</v>
      </c>
      <c r="AA417" s="8">
        <f t="shared" si="106"/>
        <v>-430.07664882023755</v>
      </c>
      <c r="AB417" s="8">
        <f t="shared" si="106"/>
        <v>-428.78641887377677</v>
      </c>
      <c r="AC417" s="8">
        <f t="shared" si="106"/>
        <v>-427.50005961715544</v>
      </c>
      <c r="AD417" s="8">
        <f t="shared" si="106"/>
        <v>-426.21755943830402</v>
      </c>
      <c r="AE417" s="8">
        <f t="shared" si="106"/>
        <v>-424.93890675998904</v>
      </c>
      <c r="AF417" s="8">
        <f t="shared" si="106"/>
        <v>-423.66409003970915</v>
      </c>
      <c r="AG417" s="8">
        <f t="shared" si="106"/>
        <v>-422.39309776958999</v>
      </c>
      <c r="AH417" s="8">
        <f t="shared" si="106"/>
        <v>-421.1259184762813</v>
      </c>
      <c r="AI417" s="8">
        <f t="shared" si="106"/>
        <v>-419.86254072085239</v>
      </c>
      <c r="AJ417" s="8">
        <f t="shared" si="106"/>
        <v>-418.6029530986898</v>
      </c>
      <c r="AK417" s="8">
        <f t="shared" si="106"/>
        <v>-417.34714423939374</v>
      </c>
      <c r="AL417" s="8">
        <f t="shared" si="106"/>
        <v>-416.0951028066757</v>
      </c>
      <c r="AM417" s="8">
        <f t="shared" si="106"/>
        <v>-414.84681749825558</v>
      </c>
      <c r="AN417" s="8">
        <f t="shared" si="106"/>
        <v>-413.60227704576084</v>
      </c>
      <c r="AO417" s="8">
        <f t="shared" si="106"/>
        <v>-412.36147021462352</v>
      </c>
      <c r="AP417" s="8">
        <f t="shared" si="106"/>
        <v>-411.12438580397964</v>
      </c>
      <c r="AQ417" s="8">
        <f t="shared" si="106"/>
        <v>-409.89101264656779</v>
      </c>
      <c r="AR417" s="8">
        <f t="shared" si="106"/>
        <v>-408.66133960862805</v>
      </c>
      <c r="AS417" s="8">
        <f t="shared" si="106"/>
        <v>-203.71767779490108</v>
      </c>
    </row>
    <row r="418" spans="2:45" x14ac:dyDescent="0.3">
      <c r="C418" s="6" t="s">
        <v>291</v>
      </c>
      <c r="D418" s="2" t="s">
        <v>84</v>
      </c>
      <c r="H418" s="8">
        <f t="shared" si="100"/>
        <v>-8922.613714589088</v>
      </c>
      <c r="J418" s="8">
        <f t="shared" ref="J418:AS418" si="107">-J410*HIPA_Rate</f>
        <v>0</v>
      </c>
      <c r="K418" s="8">
        <f t="shared" si="107"/>
        <v>0</v>
      </c>
      <c r="L418" s="8">
        <f t="shared" si="107"/>
        <v>0</v>
      </c>
      <c r="M418" s="8">
        <f t="shared" si="107"/>
        <v>0</v>
      </c>
      <c r="N418" s="8">
        <f t="shared" si="107"/>
        <v>0</v>
      </c>
      <c r="O418" s="8">
        <f t="shared" si="107"/>
        <v>-133.35839999999999</v>
      </c>
      <c r="P418" s="8">
        <f t="shared" si="107"/>
        <v>-269.38396799999998</v>
      </c>
      <c r="Q418" s="8">
        <f t="shared" si="107"/>
        <v>-271.26157425695999</v>
      </c>
      <c r="R418" s="8">
        <f t="shared" si="107"/>
        <v>-273.15226742953098</v>
      </c>
      <c r="S418" s="8">
        <f t="shared" si="107"/>
        <v>-275.05613873351484</v>
      </c>
      <c r="T418" s="8">
        <f t="shared" si="107"/>
        <v>-276.97328002048749</v>
      </c>
      <c r="U418" s="8">
        <f t="shared" si="107"/>
        <v>-278.90378378223033</v>
      </c>
      <c r="V418" s="8">
        <f t="shared" si="107"/>
        <v>-280.84774315519235</v>
      </c>
      <c r="W418" s="8">
        <f t="shared" si="107"/>
        <v>-282.80525192498413</v>
      </c>
      <c r="X418" s="8">
        <f t="shared" si="107"/>
        <v>-284.77640453090129</v>
      </c>
      <c r="Y418" s="8">
        <f t="shared" si="107"/>
        <v>-286.76129607048165</v>
      </c>
      <c r="Z418" s="8">
        <f t="shared" si="107"/>
        <v>-288.7600223040929</v>
      </c>
      <c r="AA418" s="8">
        <f t="shared" si="107"/>
        <v>-290.77267965955247</v>
      </c>
      <c r="AB418" s="8">
        <f t="shared" si="107"/>
        <v>-292.79936523677952</v>
      </c>
      <c r="AC418" s="8">
        <f t="shared" si="107"/>
        <v>-294.84017681247991</v>
      </c>
      <c r="AD418" s="8">
        <f t="shared" si="107"/>
        <v>-296.89521284486284</v>
      </c>
      <c r="AE418" s="8">
        <f t="shared" si="107"/>
        <v>-298.96457247839152</v>
      </c>
      <c r="AF418" s="8">
        <f t="shared" si="107"/>
        <v>-301.04835554856606</v>
      </c>
      <c r="AG418" s="8">
        <f t="shared" si="107"/>
        <v>-303.14666258673952</v>
      </c>
      <c r="AH418" s="8">
        <f t="shared" si="107"/>
        <v>-305.25959482496904</v>
      </c>
      <c r="AI418" s="8">
        <f t="shared" si="107"/>
        <v>-307.38725420089912</v>
      </c>
      <c r="AJ418" s="8">
        <f t="shared" si="107"/>
        <v>-309.52974336267931</v>
      </c>
      <c r="AK418" s="8">
        <f t="shared" si="107"/>
        <v>-311.68716567391732</v>
      </c>
      <c r="AL418" s="8">
        <f t="shared" si="107"/>
        <v>-313.85962521866452</v>
      </c>
      <c r="AM418" s="8">
        <f t="shared" si="107"/>
        <v>-316.04722680643857</v>
      </c>
      <c r="AN418" s="8">
        <f t="shared" si="107"/>
        <v>-318.25007597727955</v>
      </c>
      <c r="AO418" s="8">
        <f t="shared" si="107"/>
        <v>-320.46827900684116</v>
      </c>
      <c r="AP418" s="8">
        <f t="shared" si="107"/>
        <v>-322.7019429115187</v>
      </c>
      <c r="AQ418" s="8">
        <f t="shared" si="107"/>
        <v>-324.95117545361211</v>
      </c>
      <c r="AR418" s="8">
        <f t="shared" si="107"/>
        <v>-327.21608514652377</v>
      </c>
      <c r="AS418" s="8">
        <f t="shared" si="107"/>
        <v>-164.74839062999752</v>
      </c>
    </row>
    <row r="419" spans="2:45" x14ac:dyDescent="0.3">
      <c r="C419" s="1" t="s">
        <v>292</v>
      </c>
      <c r="D419" s="2" t="s">
        <v>84</v>
      </c>
      <c r="H419" s="32">
        <f t="shared" si="100"/>
        <v>-130425.69762342949</v>
      </c>
      <c r="J419" s="32">
        <f t="shared" ref="J419:AS419" si="108">SUM(J412:J418)</f>
        <v>0</v>
      </c>
      <c r="K419" s="32">
        <f t="shared" si="108"/>
        <v>0</v>
      </c>
      <c r="L419" s="32">
        <f t="shared" si="108"/>
        <v>0</v>
      </c>
      <c r="M419" s="32">
        <f t="shared" si="108"/>
        <v>0</v>
      </c>
      <c r="N419" s="32">
        <f t="shared" si="108"/>
        <v>0</v>
      </c>
      <c r="O419" s="32">
        <f t="shared" si="108"/>
        <v>-1598.148216</v>
      </c>
      <c r="P419" s="32">
        <f t="shared" si="108"/>
        <v>-3260.8798513199995</v>
      </c>
      <c r="Q419" s="32">
        <f t="shared" si="108"/>
        <v>-3322.39115932295</v>
      </c>
      <c r="R419" s="32">
        <f t="shared" si="108"/>
        <v>-3385.3882015133945</v>
      </c>
      <c r="S419" s="32">
        <f t="shared" si="108"/>
        <v>-3449.9065822287721</v>
      </c>
      <c r="T419" s="32">
        <f t="shared" si="108"/>
        <v>-3515.98276867813</v>
      </c>
      <c r="U419" s="32">
        <f t="shared" si="108"/>
        <v>-3583.6541119342505</v>
      </c>
      <c r="V419" s="32">
        <f t="shared" si="108"/>
        <v>-3652.9588684380865</v>
      </c>
      <c r="W419" s="32">
        <f t="shared" si="108"/>
        <v>-3723.9362220280277</v>
      </c>
      <c r="X419" s="32">
        <f t="shared" si="108"/>
        <v>-3796.626306506846</v>
      </c>
      <c r="Y419" s="32">
        <f t="shared" si="108"/>
        <v>-3871.0702287594695</v>
      </c>
      <c r="Z419" s="32">
        <f t="shared" si="108"/>
        <v>-3947.3100924350747</v>
      </c>
      <c r="AA419" s="32">
        <f t="shared" si="108"/>
        <v>-4025.3890222072937</v>
      </c>
      <c r="AB419" s="32">
        <f t="shared" si="108"/>
        <v>-4105.351188626707</v>
      </c>
      <c r="AC419" s="32">
        <f t="shared" si="108"/>
        <v>-4187.2418335800867</v>
      </c>
      <c r="AD419" s="32">
        <f t="shared" si="108"/>
        <v>-4271.1072963712768</v>
      </c>
      <c r="AE419" s="32">
        <f t="shared" si="108"/>
        <v>-4356.9950404388892</v>
      </c>
      <c r="AF419" s="32">
        <f t="shared" si="108"/>
        <v>-4444.9536807264467</v>
      </c>
      <c r="AG419" s="32">
        <f t="shared" si="108"/>
        <v>-4535.0330117209023</v>
      </c>
      <c r="AH419" s="32">
        <f t="shared" si="108"/>
        <v>-4627.2840361759263</v>
      </c>
      <c r="AI419" s="32">
        <f t="shared" si="108"/>
        <v>-4721.7589945367235</v>
      </c>
      <c r="AJ419" s="32">
        <f t="shared" si="108"/>
        <v>-4818.5113950835375</v>
      </c>
      <c r="AK419" s="32">
        <f t="shared" si="108"/>
        <v>-4917.5960448114747</v>
      </c>
      <c r="AL419" s="32">
        <f t="shared" si="108"/>
        <v>-5019.0690810646302</v>
      </c>
      <c r="AM419" s="32">
        <f t="shared" si="108"/>
        <v>-5122.9880039430363</v>
      </c>
      <c r="AN419" s="32">
        <f t="shared" si="108"/>
        <v>-5229.4117095013307</v>
      </c>
      <c r="AO419" s="32">
        <f t="shared" si="108"/>
        <v>-5338.400523758537</v>
      </c>
      <c r="AP419" s="32">
        <f t="shared" si="108"/>
        <v>-5450.01623753884</v>
      </c>
      <c r="AQ419" s="32">
        <f t="shared" si="108"/>
        <v>-5564.3221421636708</v>
      </c>
      <c r="AR419" s="32">
        <f t="shared" si="108"/>
        <v>-5681.3830660160138</v>
      </c>
      <c r="AS419" s="32">
        <f t="shared" si="108"/>
        <v>-2900.6327059991249</v>
      </c>
    </row>
    <row r="420" spans="2:45" x14ac:dyDescent="0.3">
      <c r="C420" s="1" t="s">
        <v>151</v>
      </c>
      <c r="D420" s="2" t="s">
        <v>84</v>
      </c>
      <c r="H420" s="15">
        <f t="shared" si="100"/>
        <v>315704.98810602498</v>
      </c>
      <c r="J420" s="15">
        <f t="shared" ref="J420:AS420" si="109">J410+J419</f>
        <v>0</v>
      </c>
      <c r="K420" s="15">
        <f t="shared" si="109"/>
        <v>0</v>
      </c>
      <c r="L420" s="15">
        <f t="shared" si="109"/>
        <v>0</v>
      </c>
      <c r="M420" s="15">
        <f t="shared" si="109"/>
        <v>0</v>
      </c>
      <c r="N420" s="15">
        <f t="shared" si="109"/>
        <v>0</v>
      </c>
      <c r="O420" s="15">
        <f t="shared" si="109"/>
        <v>5069.7717839999987</v>
      </c>
      <c r="P420" s="15">
        <f t="shared" si="109"/>
        <v>10208.318548679999</v>
      </c>
      <c r="Q420" s="15">
        <f t="shared" si="109"/>
        <v>10240.687553525049</v>
      </c>
      <c r="R420" s="15">
        <f t="shared" si="109"/>
        <v>10272.225169963152</v>
      </c>
      <c r="S420" s="15">
        <f t="shared" si="109"/>
        <v>10302.900354446969</v>
      </c>
      <c r="T420" s="15">
        <f t="shared" si="109"/>
        <v>10332.681232346244</v>
      </c>
      <c r="U420" s="15">
        <f t="shared" si="109"/>
        <v>10361.535077177265</v>
      </c>
      <c r="V420" s="15">
        <f t="shared" si="109"/>
        <v>10389.428289321531</v>
      </c>
      <c r="W420" s="15">
        <f t="shared" si="109"/>
        <v>10416.326374221178</v>
      </c>
      <c r="X420" s="15">
        <f t="shared" si="109"/>
        <v>10442.193920038218</v>
      </c>
      <c r="Y420" s="15">
        <f t="shared" si="109"/>
        <v>10466.994574764612</v>
      </c>
      <c r="Z420" s="15">
        <f t="shared" si="109"/>
        <v>10490.69102276957</v>
      </c>
      <c r="AA420" s="15">
        <f t="shared" si="109"/>
        <v>10513.244960770329</v>
      </c>
      <c r="AB420" s="15">
        <f t="shared" si="109"/>
        <v>10534.61707321227</v>
      </c>
      <c r="AC420" s="15">
        <f t="shared" si="109"/>
        <v>10554.767007043907</v>
      </c>
      <c r="AD420" s="15">
        <f t="shared" si="109"/>
        <v>10573.653345871866</v>
      </c>
      <c r="AE420" s="15">
        <f t="shared" si="109"/>
        <v>10591.233583480687</v>
      </c>
      <c r="AF420" s="15">
        <f t="shared" si="109"/>
        <v>10607.464096701855</v>
      </c>
      <c r="AG420" s="15">
        <f t="shared" si="109"/>
        <v>10622.300117616072</v>
      </c>
      <c r="AH420" s="15">
        <f t="shared" si="109"/>
        <v>10635.695705072527</v>
      </c>
      <c r="AI420" s="15">
        <f t="shared" si="109"/>
        <v>10647.603715508232</v>
      </c>
      <c r="AJ420" s="15">
        <f t="shared" si="109"/>
        <v>10657.975773050428</v>
      </c>
      <c r="AK420" s="15">
        <f t="shared" si="109"/>
        <v>10666.76223888439</v>
      </c>
      <c r="AL420" s="15">
        <f t="shared" si="109"/>
        <v>10673.912179868596</v>
      </c>
      <c r="AM420" s="15">
        <f t="shared" si="109"/>
        <v>10679.373336378892</v>
      </c>
      <c r="AN420" s="15">
        <f t="shared" si="109"/>
        <v>10683.092089362646</v>
      </c>
      <c r="AO420" s="15">
        <f t="shared" si="109"/>
        <v>10685.01342658352</v>
      </c>
      <c r="AP420" s="15">
        <f t="shared" si="109"/>
        <v>10685.080908037096</v>
      </c>
      <c r="AQ420" s="15">
        <f t="shared" si="109"/>
        <v>10683.236630516934</v>
      </c>
      <c r="AR420" s="15">
        <f t="shared" si="109"/>
        <v>10679.421191310175</v>
      </c>
      <c r="AS420" s="15">
        <f t="shared" si="109"/>
        <v>5336.7868255007506</v>
      </c>
    </row>
    <row r="421" spans="2:45" x14ac:dyDescent="0.3">
      <c r="C421" s="1" t="s">
        <v>293</v>
      </c>
      <c r="D421" s="2" t="s">
        <v>84</v>
      </c>
      <c r="H421" s="32">
        <f t="shared" si="100"/>
        <v>238904.9288594496</v>
      </c>
      <c r="J421" s="32">
        <f t="shared" ref="J421:AS421" si="110">J406+J420</f>
        <v>0</v>
      </c>
      <c r="K421" s="32">
        <f t="shared" si="110"/>
        <v>0</v>
      </c>
      <c r="L421" s="32">
        <f t="shared" si="110"/>
        <v>0</v>
      </c>
      <c r="M421" s="32">
        <f t="shared" si="110"/>
        <v>-29757.579794520549</v>
      </c>
      <c r="N421" s="32">
        <f t="shared" si="110"/>
        <v>-31358</v>
      </c>
      <c r="O421" s="32">
        <f t="shared" si="110"/>
        <v>-13109.228216000001</v>
      </c>
      <c r="P421" s="32">
        <f t="shared" si="110"/>
        <v>10208.318548679999</v>
      </c>
      <c r="Q421" s="32">
        <f t="shared" si="110"/>
        <v>12735.208101470254</v>
      </c>
      <c r="R421" s="32">
        <f t="shared" si="110"/>
        <v>10272.225169963152</v>
      </c>
      <c r="S421" s="32">
        <f t="shared" si="110"/>
        <v>10302.900354446969</v>
      </c>
      <c r="T421" s="32">
        <f t="shared" si="110"/>
        <v>10332.681232346244</v>
      </c>
      <c r="U421" s="32">
        <f t="shared" si="110"/>
        <v>10361.535077177265</v>
      </c>
      <c r="V421" s="32">
        <f t="shared" si="110"/>
        <v>10389.428289321531</v>
      </c>
      <c r="W421" s="32">
        <f t="shared" si="110"/>
        <v>10416.326374221178</v>
      </c>
      <c r="X421" s="32">
        <f t="shared" si="110"/>
        <v>10442.193920038218</v>
      </c>
      <c r="Y421" s="32">
        <f t="shared" si="110"/>
        <v>10466.994574764612</v>
      </c>
      <c r="Z421" s="32">
        <f t="shared" si="110"/>
        <v>10490.69102276957</v>
      </c>
      <c r="AA421" s="32">
        <f t="shared" si="110"/>
        <v>10513.244960770329</v>
      </c>
      <c r="AB421" s="32">
        <f t="shared" si="110"/>
        <v>10534.61707321227</v>
      </c>
      <c r="AC421" s="32">
        <f t="shared" si="110"/>
        <v>10554.767007043907</v>
      </c>
      <c r="AD421" s="32">
        <f t="shared" si="110"/>
        <v>10573.653345871866</v>
      </c>
      <c r="AE421" s="32">
        <f t="shared" si="110"/>
        <v>10591.233583480687</v>
      </c>
      <c r="AF421" s="32">
        <f t="shared" si="110"/>
        <v>10607.464096701855</v>
      </c>
      <c r="AG421" s="32">
        <f t="shared" si="110"/>
        <v>10622.300117616072</v>
      </c>
      <c r="AH421" s="32">
        <f t="shared" si="110"/>
        <v>10635.695705072527</v>
      </c>
      <c r="AI421" s="32">
        <f t="shared" si="110"/>
        <v>10647.603715508232</v>
      </c>
      <c r="AJ421" s="32">
        <f t="shared" si="110"/>
        <v>10657.975773050428</v>
      </c>
      <c r="AK421" s="32">
        <f t="shared" si="110"/>
        <v>10666.76223888439</v>
      </c>
      <c r="AL421" s="32">
        <f t="shared" si="110"/>
        <v>10673.912179868596</v>
      </c>
      <c r="AM421" s="32">
        <f t="shared" si="110"/>
        <v>10679.373336378892</v>
      </c>
      <c r="AN421" s="32">
        <f t="shared" si="110"/>
        <v>10683.092089362646</v>
      </c>
      <c r="AO421" s="32">
        <f t="shared" si="110"/>
        <v>10685.01342658352</v>
      </c>
      <c r="AP421" s="32">
        <f t="shared" si="110"/>
        <v>10685.080908037096</v>
      </c>
      <c r="AQ421" s="32">
        <f t="shared" si="110"/>
        <v>10683.236630516934</v>
      </c>
      <c r="AR421" s="32">
        <f t="shared" si="110"/>
        <v>10679.421191310175</v>
      </c>
      <c r="AS421" s="32">
        <f t="shared" si="110"/>
        <v>5336.7868255007506</v>
      </c>
    </row>
    <row r="422" spans="2:45" x14ac:dyDescent="0.3">
      <c r="C422" s="6" t="s">
        <v>294</v>
      </c>
      <c r="D422" s="2" t="s">
        <v>3</v>
      </c>
      <c r="J422" s="62">
        <f>(1+Discount_Rate)^((Inputs!$G$26-J$329)/Days_In_Year)</f>
        <v>1.4137125510793771</v>
      </c>
      <c r="K422" s="62">
        <f>(1+Discount_Rate)^((Inputs!$G$26-K$329)/Days_In_Year)</f>
        <v>1.3089931028512751</v>
      </c>
      <c r="L422" s="62">
        <f>(1+Discount_Rate)^((Inputs!$G$26-L$329)/Days_In_Year)</f>
        <v>1.2117751184391485</v>
      </c>
      <c r="M422" s="62">
        <f>(1+Discount_Rate)^((Inputs!$G$26-M$329)/Days_In_Year)</f>
        <v>1.122013998554767</v>
      </c>
      <c r="N422" s="62">
        <f>(1+Discount_Rate)^((Inputs!$G$26-N$329)/Days_In_Year)</f>
        <v>1.0389018505136731</v>
      </c>
      <c r="O422" s="62">
        <f>(1+Discount_Rate)^((Inputs!$G$26-O$329)/Days_In_Year)</f>
        <v>0.96194615788303062</v>
      </c>
      <c r="P422" s="62">
        <f>(1+Discount_Rate)^((Inputs!$G$26-P$329)/Days_In_Year)</f>
        <v>0.8905031026227137</v>
      </c>
      <c r="Q422" s="62">
        <f>(1+Discount_Rate)^((Inputs!$G$26-Q$329)/Days_In_Year)</f>
        <v>0.8245399098358458</v>
      </c>
      <c r="R422" s="62">
        <f>(1+Discount_Rate)^((Inputs!$G$26-R$329)/Days_In_Year)</f>
        <v>0.76346287947763503</v>
      </c>
      <c r="S422" s="62">
        <f>(1+Discount_Rate)^((Inputs!$G$26-S$329)/Days_In_Year)</f>
        <v>0.7069100735904027</v>
      </c>
      <c r="T422" s="62">
        <f>(1+Discount_Rate)^((Inputs!$G$26-T$329)/Days_In_Year)</f>
        <v>0.6544083664649869</v>
      </c>
      <c r="U422" s="62">
        <f>(1+Discount_Rate)^((Inputs!$G$26-U$329)/Days_In_Year)</f>
        <v>0.60593367265276554</v>
      </c>
      <c r="V422" s="62">
        <f>(1+Discount_Rate)^((Inputs!$G$26-V$329)/Days_In_Year)</f>
        <v>0.56104969690070883</v>
      </c>
      <c r="W422" s="62">
        <f>(1+Discount_Rate)^((Inputs!$G$26-W$329)/Days_In_Year)</f>
        <v>0.51949046009324884</v>
      </c>
      <c r="X422" s="62">
        <f>(1+Discount_Rate)^((Inputs!$G$26-X$329)/Days_In_Year)</f>
        <v>0.48090827402856651</v>
      </c>
      <c r="Y422" s="62">
        <f>(1+Discount_Rate)^((Inputs!$G$26-Y$329)/Days_In_Year)</f>
        <v>0.44528543891533923</v>
      </c>
      <c r="Z422" s="62">
        <f>(1+Discount_Rate)^((Inputs!$G$26-Z$329)/Days_In_Year)</f>
        <v>0.41230133232901778</v>
      </c>
      <c r="AA422" s="62">
        <f>(1+Discount_Rate)^((Inputs!$G$26-AA$329)/Days_In_Year)</f>
        <v>0.38176049289723868</v>
      </c>
      <c r="AB422" s="62">
        <f>(1+Discount_Rate)^((Inputs!$G$26-AB$329)/Days_In_Year)</f>
        <v>0.35340741329215369</v>
      </c>
      <c r="AC422" s="62">
        <f>(1+Discount_Rate)^((Inputs!$G$26-AC$329)/Days_In_Year)</f>
        <v>0.32722908638162373</v>
      </c>
      <c r="AD422" s="62">
        <f>(1+Discount_Rate)^((Inputs!$G$26-AD$329)/Days_In_Year)</f>
        <v>0.30298989479779975</v>
      </c>
      <c r="AE422" s="62">
        <f>(1+Discount_Rate)^((Inputs!$G$26-AE$329)/Days_In_Year)</f>
        <v>0.28054619888685151</v>
      </c>
      <c r="AF422" s="62">
        <f>(1+Discount_Rate)^((Inputs!$G$26-AF$329)/Days_In_Year)</f>
        <v>0.25971023273022764</v>
      </c>
      <c r="AG422" s="62">
        <f>(1+Discount_Rate)^((Inputs!$G$26-AG$329)/Days_In_Year)</f>
        <v>0.24047243771317375</v>
      </c>
      <c r="AH422" s="62">
        <f>(1+Discount_Rate)^((Inputs!$G$26-AH$329)/Days_In_Year)</f>
        <v>0.22265966454923491</v>
      </c>
      <c r="AI422" s="62">
        <f>(1+Discount_Rate)^((Inputs!$G$26-AI$329)/Days_In_Year)</f>
        <v>0.20616635606410641</v>
      </c>
      <c r="AJ422" s="62">
        <f>(1+Discount_Rate)^((Inputs!$G$26-AJ$329)/Days_In_Year)</f>
        <v>0.19085452779970458</v>
      </c>
      <c r="AK422" s="62">
        <f>(1+Discount_Rate)^((Inputs!$G$26-AK$329)/Days_In_Year)</f>
        <v>0.17671715537009683</v>
      </c>
      <c r="AL422" s="62">
        <f>(1+Discount_Rate)^((Inputs!$G$26-AL$329)/Days_In_Year)</f>
        <v>0.16362699571305259</v>
      </c>
      <c r="AM422" s="62">
        <f>(1+Discount_Rate)^((Inputs!$G$26-AM$329)/Days_In_Year)</f>
        <v>0.15150647751208571</v>
      </c>
      <c r="AN422" s="62">
        <f>(1+Discount_Rate)^((Inputs!$G$26-AN$329)/Days_In_Year)</f>
        <v>0.14025419945422371</v>
      </c>
      <c r="AO422" s="62">
        <f>(1+Discount_Rate)^((Inputs!$G$26-AO$329)/Days_In_Year)</f>
        <v>0.12986499949465158</v>
      </c>
      <c r="AP422" s="62">
        <f>(1+Discount_Rate)^((Inputs!$G$26-AP$329)/Days_In_Year)</f>
        <v>0.12024536990245513</v>
      </c>
      <c r="AQ422" s="62">
        <f>(1+Discount_Rate)^((Inputs!$G$26-AQ$329)/Days_In_Year)</f>
        <v>0.1113383054652362</v>
      </c>
      <c r="AR422" s="62">
        <f>(1+Discount_Rate)^((Inputs!$G$26-AR$329)/Days_In_Year)</f>
        <v>0.1030692889046335</v>
      </c>
      <c r="AS422" s="62">
        <f>(1+Discount_Rate)^((Inputs!$G$26-AS$329)/Days_In_Year)</f>
        <v>9.5434526763549549E-2</v>
      </c>
    </row>
    <row r="423" spans="2:45" x14ac:dyDescent="0.3">
      <c r="C423" s="6" t="s">
        <v>295</v>
      </c>
      <c r="D423" s="2" t="s">
        <v>84</v>
      </c>
      <c r="H423" s="8">
        <f>SUM(J423:AS423)</f>
        <v>117317.066600666</v>
      </c>
      <c r="J423" s="8">
        <f t="shared" ref="J423:AS423" si="111">J420*J422</f>
        <v>0</v>
      </c>
      <c r="K423" s="8">
        <f t="shared" si="111"/>
        <v>0</v>
      </c>
      <c r="L423" s="8">
        <f t="shared" si="111"/>
        <v>0</v>
      </c>
      <c r="M423" s="8">
        <f t="shared" si="111"/>
        <v>0</v>
      </c>
      <c r="N423" s="8">
        <f t="shared" si="111"/>
        <v>0</v>
      </c>
      <c r="O423" s="8">
        <f t="shared" si="111"/>
        <v>4876.8474889625968</v>
      </c>
      <c r="P423" s="8">
        <f t="shared" si="111"/>
        <v>9090.5393401605379</v>
      </c>
      <c r="Q423" s="8">
        <f t="shared" si="111"/>
        <v>8443.8555920406125</v>
      </c>
      <c r="R423" s="8">
        <f t="shared" si="111"/>
        <v>7842.4626069027072</v>
      </c>
      <c r="S423" s="8">
        <f t="shared" si="111"/>
        <v>7283.2240477566929</v>
      </c>
      <c r="T423" s="8">
        <f t="shared" si="111"/>
        <v>6761.7930464631327</v>
      </c>
      <c r="U423" s="8">
        <f t="shared" si="111"/>
        <v>6278.4030036344766</v>
      </c>
      <c r="V423" s="8">
        <f t="shared" si="111"/>
        <v>5828.9855926954951</v>
      </c>
      <c r="W423" s="8">
        <f t="shared" si="111"/>
        <v>5411.1821806256021</v>
      </c>
      <c r="X423" s="8">
        <f t="shared" si="111"/>
        <v>5021.7374551571711</v>
      </c>
      <c r="Y423" s="8">
        <f t="shared" si="111"/>
        <v>4660.8002733485346</v>
      </c>
      <c r="Z423" s="8">
        <f t="shared" si="111"/>
        <v>4325.3258857399596</v>
      </c>
      <c r="AA423" s="8">
        <f t="shared" si="111"/>
        <v>4013.5415781730917</v>
      </c>
      <c r="AB423" s="8">
        <f t="shared" si="111"/>
        <v>3723.0117698673071</v>
      </c>
      <c r="AC423" s="8">
        <f t="shared" si="111"/>
        <v>3453.8267646858831</v>
      </c>
      <c r="AD423" s="8">
        <f t="shared" si="111"/>
        <v>3203.7101148941201</v>
      </c>
      <c r="AE423" s="8">
        <f t="shared" si="111"/>
        <v>2971.3303233682736</v>
      </c>
      <c r="AF423" s="8">
        <f t="shared" si="111"/>
        <v>2754.8669692319727</v>
      </c>
      <c r="AG423" s="8">
        <f t="shared" si="111"/>
        <v>2554.3704034040693</v>
      </c>
      <c r="AH423" s="8">
        <f t="shared" si="111"/>
        <v>2368.1404379391874</v>
      </c>
      <c r="AI423" s="8">
        <f t="shared" si="111"/>
        <v>2195.1776588409725</v>
      </c>
      <c r="AJ423" s="8">
        <f t="shared" si="111"/>
        <v>2034.1229334662307</v>
      </c>
      <c r="AK423" s="8">
        <f t="shared" si="111"/>
        <v>1884.9998798648146</v>
      </c>
      <c r="AL423" s="8">
        <f t="shared" si="111"/>
        <v>1746.5401824968585</v>
      </c>
      <c r="AM423" s="8">
        <f t="shared" si="111"/>
        <v>1617.9942362312563</v>
      </c>
      <c r="AN423" s="8">
        <f t="shared" si="111"/>
        <v>1498.3485286893081</v>
      </c>
      <c r="AO423" s="8">
        <f t="shared" si="111"/>
        <v>1387.6092632436141</v>
      </c>
      <c r="AP423" s="8">
        <f t="shared" si="111"/>
        <v>1284.8315062245817</v>
      </c>
      <c r="AQ423" s="8">
        <f t="shared" si="111"/>
        <v>1189.4534633258952</v>
      </c>
      <c r="AR423" s="8">
        <f t="shared" si="111"/>
        <v>1100.7203481014137</v>
      </c>
      <c r="AS423" s="8">
        <f t="shared" si="111"/>
        <v>509.31372512961002</v>
      </c>
    </row>
    <row r="424" spans="2:45" x14ac:dyDescent="0.3">
      <c r="C424" s="6" t="s">
        <v>296</v>
      </c>
      <c r="D424" s="2" t="s">
        <v>84</v>
      </c>
      <c r="H424" s="8">
        <f>SUM(J424:AS424)</f>
        <v>0</v>
      </c>
      <c r="J424" s="8">
        <f>0</f>
        <v>0</v>
      </c>
      <c r="K424" s="8">
        <f>0</f>
        <v>0</v>
      </c>
      <c r="L424" s="8">
        <f>0</f>
        <v>0</v>
      </c>
      <c r="M424" s="8">
        <f>0</f>
        <v>0</v>
      </c>
      <c r="N424" s="8">
        <f>0</f>
        <v>0</v>
      </c>
      <c r="O424" s="8">
        <f>0</f>
        <v>0</v>
      </c>
      <c r="P424" s="8">
        <f>0</f>
        <v>0</v>
      </c>
      <c r="Q424" s="8">
        <f>0</f>
        <v>0</v>
      </c>
      <c r="R424" s="8">
        <f>0</f>
        <v>0</v>
      </c>
      <c r="S424" s="8">
        <f>0</f>
        <v>0</v>
      </c>
      <c r="T424" s="8">
        <f>0</f>
        <v>0</v>
      </c>
      <c r="U424" s="8">
        <f>0</f>
        <v>0</v>
      </c>
      <c r="V424" s="8">
        <f>0</f>
        <v>0</v>
      </c>
      <c r="W424" s="8">
        <f>0</f>
        <v>0</v>
      </c>
      <c r="X424" s="8">
        <f>0</f>
        <v>0</v>
      </c>
      <c r="Y424" s="8">
        <f>0</f>
        <v>0</v>
      </c>
      <c r="Z424" s="8">
        <f>0</f>
        <v>0</v>
      </c>
      <c r="AA424" s="8">
        <f>0</f>
        <v>0</v>
      </c>
      <c r="AB424" s="8">
        <f>0</f>
        <v>0</v>
      </c>
      <c r="AC424" s="8">
        <f>0</f>
        <v>0</v>
      </c>
      <c r="AD424" s="8">
        <f>0</f>
        <v>0</v>
      </c>
      <c r="AE424" s="8">
        <f>0</f>
        <v>0</v>
      </c>
      <c r="AF424" s="8">
        <f>0</f>
        <v>0</v>
      </c>
      <c r="AG424" s="8">
        <f>0</f>
        <v>0</v>
      </c>
      <c r="AH424" s="8">
        <f>0</f>
        <v>0</v>
      </c>
      <c r="AI424" s="8">
        <f>0</f>
        <v>0</v>
      </c>
      <c r="AJ424" s="8">
        <f>0</f>
        <v>0</v>
      </c>
      <c r="AK424" s="8">
        <f>0</f>
        <v>0</v>
      </c>
      <c r="AL424" s="8">
        <f>0</f>
        <v>0</v>
      </c>
      <c r="AM424" s="8">
        <f>0</f>
        <v>0</v>
      </c>
      <c r="AN424" s="8">
        <f>0</f>
        <v>0</v>
      </c>
      <c r="AO424" s="8">
        <f>0</f>
        <v>0</v>
      </c>
      <c r="AP424" s="8">
        <f>0</f>
        <v>0</v>
      </c>
      <c r="AQ424" s="8">
        <f>0</f>
        <v>0</v>
      </c>
      <c r="AR424" s="8">
        <f>0</f>
        <v>0</v>
      </c>
      <c r="AS424" s="8">
        <f>0</f>
        <v>0</v>
      </c>
    </row>
    <row r="425" spans="2:45" x14ac:dyDescent="0.3">
      <c r="C425" s="1" t="s">
        <v>297</v>
      </c>
      <c r="D425" s="2" t="s">
        <v>84</v>
      </c>
      <c r="H425" s="32">
        <f>SUM(J425:AS425)</f>
        <v>40517.007354090667</v>
      </c>
      <c r="J425" s="32">
        <f t="shared" ref="J425:AS425" si="112">J406*(J396&lt;=0)+J401*($H423+$G$62+$G$63)+J424</f>
        <v>0</v>
      </c>
      <c r="K425" s="32">
        <f t="shared" si="112"/>
        <v>0</v>
      </c>
      <c r="L425" s="32">
        <f t="shared" si="112"/>
        <v>0</v>
      </c>
      <c r="M425" s="32">
        <f t="shared" si="112"/>
        <v>-29757.579794520549</v>
      </c>
      <c r="N425" s="32">
        <f t="shared" si="112"/>
        <v>-31358</v>
      </c>
      <c r="O425" s="32">
        <f t="shared" si="112"/>
        <v>101632.58714861122</v>
      </c>
      <c r="P425" s="32">
        <f t="shared" si="112"/>
        <v>0</v>
      </c>
      <c r="Q425" s="32">
        <f t="shared" si="112"/>
        <v>0</v>
      </c>
      <c r="R425" s="32">
        <f t="shared" si="112"/>
        <v>0</v>
      </c>
      <c r="S425" s="32">
        <f t="shared" si="112"/>
        <v>0</v>
      </c>
      <c r="T425" s="32">
        <f t="shared" si="112"/>
        <v>0</v>
      </c>
      <c r="U425" s="32">
        <f t="shared" si="112"/>
        <v>0</v>
      </c>
      <c r="V425" s="32">
        <f t="shared" si="112"/>
        <v>0</v>
      </c>
      <c r="W425" s="32">
        <f t="shared" si="112"/>
        <v>0</v>
      </c>
      <c r="X425" s="32">
        <f t="shared" si="112"/>
        <v>0</v>
      </c>
      <c r="Y425" s="32">
        <f t="shared" si="112"/>
        <v>0</v>
      </c>
      <c r="Z425" s="32">
        <f t="shared" si="112"/>
        <v>0</v>
      </c>
      <c r="AA425" s="32">
        <f t="shared" si="112"/>
        <v>0</v>
      </c>
      <c r="AB425" s="32">
        <f t="shared" si="112"/>
        <v>0</v>
      </c>
      <c r="AC425" s="32">
        <f t="shared" si="112"/>
        <v>0</v>
      </c>
      <c r="AD425" s="32">
        <f t="shared" si="112"/>
        <v>0</v>
      </c>
      <c r="AE425" s="32">
        <f t="shared" si="112"/>
        <v>0</v>
      </c>
      <c r="AF425" s="32">
        <f t="shared" si="112"/>
        <v>0</v>
      </c>
      <c r="AG425" s="32">
        <f t="shared" si="112"/>
        <v>0</v>
      </c>
      <c r="AH425" s="32">
        <f t="shared" si="112"/>
        <v>0</v>
      </c>
      <c r="AI425" s="32">
        <f t="shared" si="112"/>
        <v>0</v>
      </c>
      <c r="AJ425" s="32">
        <f t="shared" si="112"/>
        <v>0</v>
      </c>
      <c r="AK425" s="32">
        <f t="shared" si="112"/>
        <v>0</v>
      </c>
      <c r="AL425" s="32">
        <f t="shared" si="112"/>
        <v>0</v>
      </c>
      <c r="AM425" s="32">
        <f t="shared" si="112"/>
        <v>0</v>
      </c>
      <c r="AN425" s="32">
        <f t="shared" si="112"/>
        <v>0</v>
      </c>
      <c r="AO425" s="32">
        <f t="shared" si="112"/>
        <v>0</v>
      </c>
      <c r="AP425" s="32">
        <f t="shared" si="112"/>
        <v>0</v>
      </c>
      <c r="AQ425" s="32">
        <f t="shared" si="112"/>
        <v>0</v>
      </c>
      <c r="AR425" s="32">
        <f t="shared" si="112"/>
        <v>0</v>
      </c>
      <c r="AS425" s="32">
        <f t="shared" si="112"/>
        <v>0</v>
      </c>
    </row>
    <row r="427" spans="2:45" x14ac:dyDescent="0.3">
      <c r="B427" s="4" t="s">
        <v>3</v>
      </c>
      <c r="C427" s="4" t="s">
        <v>300</v>
      </c>
      <c r="D427" s="4" t="s">
        <v>84</v>
      </c>
      <c r="E427" s="5" t="s">
        <v>5</v>
      </c>
      <c r="F427" s="5" t="s">
        <v>6</v>
      </c>
      <c r="G427" s="5" t="s">
        <v>7</v>
      </c>
      <c r="H427" s="5" t="s">
        <v>8</v>
      </c>
    </row>
    <row r="428" spans="2:45" x14ac:dyDescent="0.3">
      <c r="C428" s="6" t="s">
        <v>551</v>
      </c>
      <c r="D428" s="2" t="s">
        <v>84</v>
      </c>
      <c r="E428" s="8">
        <f>-MAX(0,$H$361)*CIT_Rate*(1-Share_Exempt)</f>
        <v>0</v>
      </c>
      <c r="F428" s="8">
        <f>-MAX(0,$H$393)*CIT_Rate*(1-Share_Exempt)</f>
        <v>0</v>
      </c>
      <c r="G428" s="8">
        <f>-MAX(0,$H$425)*CIT_Rate*(1-Share_Exempt)</f>
        <v>0</v>
      </c>
      <c r="H428" s="8">
        <f>SUM(E428:G428)</f>
        <v>0</v>
      </c>
    </row>
    <row r="429" spans="2:45" x14ac:dyDescent="0.3">
      <c r="C429" s="1" t="s">
        <v>552</v>
      </c>
      <c r="D429" s="2" t="s">
        <v>84</v>
      </c>
      <c r="E429" s="15">
        <f>$H$361+E428</f>
        <v>32562.72047400978</v>
      </c>
      <c r="F429" s="15">
        <f>$H$393+F428</f>
        <v>40517.007354090667</v>
      </c>
      <c r="G429" s="15">
        <f>$H$425+G428</f>
        <v>40517.007354090667</v>
      </c>
      <c r="H429" s="15">
        <f>SUM(E429:G429)</f>
        <v>113596.7351821911</v>
      </c>
    </row>
    <row r="431" spans="2:45" x14ac:dyDescent="0.3">
      <c r="B431" s="4" t="s">
        <v>3</v>
      </c>
      <c r="C431" s="4" t="s">
        <v>301</v>
      </c>
      <c r="D431" s="4"/>
      <c r="E431" s="5" t="s">
        <v>5</v>
      </c>
      <c r="F431" s="5" t="s">
        <v>6</v>
      </c>
      <c r="G431" s="5" t="s">
        <v>7</v>
      </c>
      <c r="H431" s="5" t="s">
        <v>8</v>
      </c>
    </row>
    <row r="432" spans="2:45" x14ac:dyDescent="0.3">
      <c r="C432" s="6" t="s">
        <v>302</v>
      </c>
      <c r="D432" s="2" t="s">
        <v>2</v>
      </c>
      <c r="E432" s="61">
        <f>N(ABS(E284+E285+E290-E293-E325)&gt;Tolerance)</f>
        <v>0</v>
      </c>
      <c r="F432" s="61">
        <f>N(ABS(F284+F285+F290-F293-F325)&gt;Tolerance)</f>
        <v>0</v>
      </c>
      <c r="G432" s="61">
        <f>N(ABS(G284+G285+G290-G293-G325)&gt;Tolerance)</f>
        <v>0</v>
      </c>
      <c r="H432" s="61">
        <f t="shared" ref="H432:H441" si="113">SUM(E432:G432)</f>
        <v>0</v>
      </c>
    </row>
    <row r="433" spans="3:8" x14ac:dyDescent="0.3">
      <c r="C433" s="6" t="s">
        <v>303</v>
      </c>
      <c r="D433" s="2" t="s">
        <v>2</v>
      </c>
      <c r="E433" s="61">
        <f>N(MAX(YEAR(Inputs!E$21),YEAR(Inputs!E$22),YEAR(Inputs!E$23),YEAR(Inputs!E$24),YEAR($J$55),YEAR($J$56))&gt;=YEAR(E175))</f>
        <v>0</v>
      </c>
      <c r="F433" s="61">
        <f>N(MAX(YEAR(Inputs!F$21),YEAR(Inputs!F$22),YEAR(Inputs!F$23),YEAR(Inputs!F$24),YEAR($J$55),YEAR($J$56))&gt;=YEAR(F175))</f>
        <v>0</v>
      </c>
      <c r="G433" s="61">
        <f>N(MAX(YEAR(Inputs!G$21),YEAR(Inputs!G$22),YEAR(Inputs!G$23),YEAR(Inputs!G$24),YEAR($J$55),YEAR($J$56))&gt;=YEAR(G175))</f>
        <v>0</v>
      </c>
      <c r="H433" s="61">
        <f t="shared" si="113"/>
        <v>0</v>
      </c>
    </row>
    <row r="434" spans="3:8" x14ac:dyDescent="0.3">
      <c r="C434" s="6" t="s">
        <v>304</v>
      </c>
      <c r="D434" s="2" t="s">
        <v>2</v>
      </c>
      <c r="E434" s="61">
        <f>N(AND(E17&lt;&gt;"EU",E17&lt;&gt;"CN"))</f>
        <v>0</v>
      </c>
      <c r="F434" s="61">
        <f>N(AND(F17&lt;&gt;"EU",F17&lt;&gt;"CN"))</f>
        <v>0</v>
      </c>
      <c r="G434" s="61">
        <f>N(AND(G17&lt;&gt;"EU",G17&lt;&gt;"CN"))</f>
        <v>0</v>
      </c>
      <c r="H434" s="61">
        <f t="shared" si="113"/>
        <v>0</v>
      </c>
    </row>
    <row r="435" spans="3:8" x14ac:dyDescent="0.3">
      <c r="C435" s="6" t="s">
        <v>305</v>
      </c>
      <c r="D435" s="2" t="s">
        <v>2</v>
      </c>
      <c r="E435" s="61">
        <f>(ABS(SUM(Devex_HUF)/FX/Thousand*Inputs!E$18-E68-E67)&gt;Tolerance)*1</f>
        <v>0</v>
      </c>
      <c r="F435" s="61">
        <f>(ABS(SUM(Devex_HUF)/FX/Thousand*Inputs!F$18-F68-F67)&gt;Tolerance)*1</f>
        <v>0</v>
      </c>
      <c r="G435" s="61">
        <f>(ABS(SUM(Devex_HUF)/FX/Thousand*Inputs!G$18-G68-G67)&gt;Tolerance)*1</f>
        <v>0</v>
      </c>
      <c r="H435" s="61">
        <f t="shared" si="113"/>
        <v>0</v>
      </c>
    </row>
    <row r="436" spans="3:8" x14ac:dyDescent="0.3">
      <c r="C436" s="6" t="s">
        <v>306</v>
      </c>
      <c r="D436" s="2" t="s">
        <v>2</v>
      </c>
      <c r="E436" s="61">
        <f>N(ABS(E91+$H$340)&gt;Tolerance)</f>
        <v>0</v>
      </c>
      <c r="F436" s="61">
        <f>N(ABS(F91+$H$372)&gt;Tolerance)</f>
        <v>0</v>
      </c>
      <c r="G436" s="61">
        <f>N(ABS(G91+$H$404)&gt;Tolerance)</f>
        <v>0</v>
      </c>
      <c r="H436" s="61">
        <f t="shared" si="113"/>
        <v>0</v>
      </c>
    </row>
    <row r="437" spans="3:8" x14ac:dyDescent="0.3">
      <c r="C437" s="6" t="s">
        <v>307</v>
      </c>
      <c r="D437" s="2" t="s">
        <v>2</v>
      </c>
      <c r="E437" s="61">
        <f>N(ABS(E99+$H$342)&gt;Tolerance)</f>
        <v>0</v>
      </c>
      <c r="F437" s="61">
        <f>N(ABS(F99+$H$374)&gt;Tolerance)</f>
        <v>0</v>
      </c>
      <c r="G437" s="61">
        <f>N(ABS(G99+$H$406)&gt;Tolerance)</f>
        <v>0</v>
      </c>
      <c r="H437" s="61">
        <f t="shared" si="113"/>
        <v>0</v>
      </c>
    </row>
    <row r="438" spans="3:8" x14ac:dyDescent="0.3">
      <c r="C438" s="6" t="s">
        <v>308</v>
      </c>
      <c r="D438" s="2" t="s">
        <v>2</v>
      </c>
      <c r="E438" s="61">
        <f>N(ABS($H$336-Life)&gt;Tolerance)</f>
        <v>0</v>
      </c>
      <c r="F438" s="61">
        <f>N(ABS($H$368-Life)&gt;Tolerance)</f>
        <v>0</v>
      </c>
      <c r="G438" s="61">
        <f>N(ABS($H$400-Life)&gt;Tolerance)</f>
        <v>0</v>
      </c>
      <c r="H438" s="61">
        <f t="shared" si="113"/>
        <v>0</v>
      </c>
    </row>
    <row r="439" spans="3:8" x14ac:dyDescent="0.3">
      <c r="C439" s="6" t="s">
        <v>309</v>
      </c>
      <c r="D439" s="2" t="s">
        <v>2</v>
      </c>
      <c r="E439" s="61">
        <f>N(Sale_Date_A&gt;=Inputs!E$24)</f>
        <v>0</v>
      </c>
      <c r="F439" s="61">
        <f>N(Sale_Date_A&gt;=Inputs!F$24)</f>
        <v>0</v>
      </c>
      <c r="G439" s="61">
        <f>N(Sale_Date_A&gt;=Inputs!G$24)</f>
        <v>0</v>
      </c>
      <c r="H439" s="61">
        <f t="shared" si="113"/>
        <v>0</v>
      </c>
    </row>
    <row r="440" spans="3:8" x14ac:dyDescent="0.3">
      <c r="C440" s="6" t="s">
        <v>310</v>
      </c>
      <c r="D440" s="2" t="s">
        <v>2</v>
      </c>
      <c r="E440" s="61">
        <f>N(ABS(E129+$H$342+$H$360)&gt;Tolerance)</f>
        <v>0</v>
      </c>
      <c r="F440" s="61">
        <f>N(ABS(F129+$H$374+$H$392)&gt;Tolerance)</f>
        <v>0</v>
      </c>
      <c r="G440" s="61">
        <f>N(ABS(G129+$H$406+$H$424)&gt;Tolerance)</f>
        <v>0</v>
      </c>
      <c r="H440" s="61">
        <f t="shared" si="113"/>
        <v>0</v>
      </c>
    </row>
    <row r="441" spans="3:8" x14ac:dyDescent="0.3">
      <c r="C441" s="6" t="s">
        <v>311</v>
      </c>
      <c r="D441" s="2" t="s">
        <v>2</v>
      </c>
      <c r="E441" s="61">
        <f>N(ABS(E239+E240+E245-E248-E278)&gt;Tolerance)</f>
        <v>0</v>
      </c>
      <c r="F441" s="61">
        <f>N(ABS(F239+F240+F245-F248-F278)&gt;Tolerance)</f>
        <v>0</v>
      </c>
      <c r="G441" s="61">
        <f>N(ABS(G239+G240+G245-G248-G278)&gt;Tolerance)</f>
        <v>0</v>
      </c>
      <c r="H441" s="61">
        <f t="shared" si="113"/>
        <v>0</v>
      </c>
    </row>
    <row r="442" spans="3:8" x14ac:dyDescent="0.3">
      <c r="C442" s="1" t="s">
        <v>312</v>
      </c>
      <c r="D442" s="2" t="s">
        <v>2</v>
      </c>
      <c r="H442" s="63">
        <f>SUM(H432:H441)</f>
        <v>0</v>
      </c>
    </row>
    <row r="444" spans="3:8" x14ac:dyDescent="0.3">
      <c r="C444" s="64" t="s">
        <v>313</v>
      </c>
    </row>
  </sheetData>
  <conditionalFormatting sqref="H3">
    <cfRule type="cellIs" dxfId="2" priority="2" operator="equal">
      <formula>0</formula>
    </cfRule>
    <cfRule type="cellIs" dxfId="1" priority="3" operator="notEqual">
      <formula>0</formula>
    </cfRule>
  </conditionalFormatting>
  <conditionalFormatting sqref="H442">
    <cfRule type="cellIs" dxfId="0" priority="4" operator="notEqual">
      <formula>0</formula>
    </cfRule>
  </conditionalFormatting>
  <dataValidations count="1">
    <dataValidation type="list" sqref="H25" xr:uid="{00000000-0002-0000-0000-000000000000}">
      <formula1>"Base,Low,High"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45"/>
  <sheetViews>
    <sheetView showGridLines="0" zoomScaleNormal="100" workbookViewId="0">
      <pane xSplit="4" ySplit="4" topLeftCell="E111" activePane="bottomRight" state="frozen"/>
      <selection pane="topRight" activeCell="E1" sqref="E1"/>
      <selection pane="bottomLeft" activeCell="A53" sqref="A53"/>
      <selection pane="bottomRight" activeCell="C124" sqref="C124"/>
    </sheetView>
  </sheetViews>
  <sheetFormatPr defaultColWidth="8.6640625" defaultRowHeight="14.4" x14ac:dyDescent="0.3"/>
  <cols>
    <col min="1" max="2" width="2" customWidth="1"/>
    <col min="3" max="3" width="54" customWidth="1"/>
    <col min="4" max="4" width="11" customWidth="1"/>
    <col min="5" max="7" width="13" customWidth="1"/>
    <col min="8" max="8" width="50" customWidth="1"/>
  </cols>
  <sheetData>
    <row r="2" spans="2:8" x14ac:dyDescent="0.3">
      <c r="C2" s="1" t="s">
        <v>314</v>
      </c>
    </row>
    <row r="4" spans="2:8" x14ac:dyDescent="0.3">
      <c r="B4" s="4" t="s">
        <v>3</v>
      </c>
      <c r="C4" s="4" t="s">
        <v>315</v>
      </c>
      <c r="D4" s="4"/>
      <c r="E4" s="5" t="s">
        <v>5</v>
      </c>
      <c r="F4" s="5" t="s">
        <v>6</v>
      </c>
      <c r="G4" s="5" t="s">
        <v>7</v>
      </c>
      <c r="H4" s="4" t="s">
        <v>316</v>
      </c>
    </row>
    <row r="5" spans="2:8" x14ac:dyDescent="0.3">
      <c r="C5" s="42" t="s">
        <v>317</v>
      </c>
      <c r="D5" s="42"/>
      <c r="E5" s="43"/>
      <c r="F5" s="43"/>
      <c r="G5" s="43"/>
      <c r="H5" s="43"/>
    </row>
    <row r="6" spans="2:8" x14ac:dyDescent="0.3">
      <c r="C6" s="6" t="s">
        <v>318</v>
      </c>
      <c r="D6" s="2" t="s">
        <v>319</v>
      </c>
      <c r="E6" s="7">
        <v>365</v>
      </c>
      <c r="H6" s="2" t="s">
        <v>320</v>
      </c>
    </row>
    <row r="7" spans="2:8" x14ac:dyDescent="0.3">
      <c r="C7" s="6" t="s">
        <v>321</v>
      </c>
      <c r="D7" s="2" t="s">
        <v>322</v>
      </c>
      <c r="E7" s="7">
        <v>406000000</v>
      </c>
      <c r="H7" s="2" t="s">
        <v>323</v>
      </c>
    </row>
    <row r="8" spans="2:8" x14ac:dyDescent="0.3">
      <c r="C8" s="6" t="s">
        <v>324</v>
      </c>
      <c r="D8" s="2" t="s">
        <v>325</v>
      </c>
      <c r="E8" s="7">
        <v>200000000</v>
      </c>
      <c r="H8" s="2" t="s">
        <v>326</v>
      </c>
    </row>
    <row r="9" spans="2:8" x14ac:dyDescent="0.3">
      <c r="C9" s="6" t="s">
        <v>327</v>
      </c>
      <c r="D9" s="2" t="s">
        <v>12</v>
      </c>
      <c r="E9" s="9">
        <v>5.0000000000000001E-3</v>
      </c>
      <c r="H9" s="2" t="s">
        <v>328</v>
      </c>
    </row>
    <row r="10" spans="2:8" x14ac:dyDescent="0.3">
      <c r="C10" s="6" t="s">
        <v>329</v>
      </c>
      <c r="D10" s="2" t="s">
        <v>12</v>
      </c>
      <c r="E10" s="9">
        <v>2.5000000000000001E-2</v>
      </c>
      <c r="H10" s="2" t="s">
        <v>330</v>
      </c>
    </row>
    <row r="11" spans="2:8" x14ac:dyDescent="0.3">
      <c r="C11" s="6" t="s">
        <v>331</v>
      </c>
      <c r="D11" s="2" t="s">
        <v>73</v>
      </c>
      <c r="E11" s="7">
        <v>3000000</v>
      </c>
      <c r="H11" s="2" t="s">
        <v>332</v>
      </c>
    </row>
    <row r="12" spans="2:8" x14ac:dyDescent="0.3">
      <c r="C12" s="6" t="s">
        <v>76</v>
      </c>
      <c r="D12" s="2" t="s">
        <v>333</v>
      </c>
      <c r="E12" s="7">
        <v>4500000</v>
      </c>
      <c r="H12" s="2" t="s">
        <v>334</v>
      </c>
    </row>
    <row r="13" spans="2:8" x14ac:dyDescent="0.3">
      <c r="C13" s="42" t="s">
        <v>335</v>
      </c>
      <c r="D13" s="42"/>
      <c r="E13" s="43"/>
      <c r="F13" s="43"/>
      <c r="G13" s="43"/>
      <c r="H13" s="43"/>
    </row>
    <row r="14" spans="2:8" x14ac:dyDescent="0.3">
      <c r="C14" s="6" t="s">
        <v>336</v>
      </c>
      <c r="D14" s="2" t="s">
        <v>333</v>
      </c>
      <c r="E14" s="7">
        <v>73071306</v>
      </c>
      <c r="F14" s="7">
        <v>19826680</v>
      </c>
      <c r="G14" s="7">
        <v>19826680</v>
      </c>
      <c r="H14" s="2" t="s">
        <v>337</v>
      </c>
    </row>
    <row r="15" spans="2:8" x14ac:dyDescent="0.3">
      <c r="C15" s="6" t="s">
        <v>338</v>
      </c>
      <c r="D15" s="2" t="s">
        <v>73</v>
      </c>
      <c r="E15" s="7">
        <v>508345804</v>
      </c>
      <c r="F15" s="7">
        <v>460000000</v>
      </c>
      <c r="G15" s="7">
        <v>460000000</v>
      </c>
      <c r="H15" s="2" t="s">
        <v>339</v>
      </c>
    </row>
    <row r="16" spans="2:8" x14ac:dyDescent="0.3">
      <c r="C16" s="6" t="s">
        <v>340</v>
      </c>
      <c r="D16" s="2" t="s">
        <v>341</v>
      </c>
      <c r="E16" s="11">
        <v>2</v>
      </c>
      <c r="F16" s="11">
        <v>1</v>
      </c>
      <c r="G16" s="11">
        <v>1</v>
      </c>
      <c r="H16" s="2" t="s">
        <v>342</v>
      </c>
    </row>
    <row r="17" spans="3:8" x14ac:dyDescent="0.3">
      <c r="C17" s="6" t="s">
        <v>81</v>
      </c>
      <c r="D17" s="2" t="s">
        <v>84</v>
      </c>
      <c r="E17" s="7">
        <v>100</v>
      </c>
      <c r="F17" s="7">
        <v>150</v>
      </c>
      <c r="G17" s="7">
        <v>150</v>
      </c>
      <c r="H17" s="2" t="s">
        <v>343</v>
      </c>
    </row>
    <row r="18" spans="3:8" x14ac:dyDescent="0.3">
      <c r="C18" s="6" t="s">
        <v>344</v>
      </c>
      <c r="D18" s="2" t="s">
        <v>3</v>
      </c>
      <c r="E18" s="12">
        <v>0.25</v>
      </c>
      <c r="F18" s="12">
        <v>0.25</v>
      </c>
      <c r="G18" s="12">
        <v>0.25</v>
      </c>
      <c r="H18" s="2" t="s">
        <v>345</v>
      </c>
    </row>
    <row r="19" spans="3:8" x14ac:dyDescent="0.3">
      <c r="C19" s="6" t="s">
        <v>346</v>
      </c>
      <c r="D19" s="2" t="s">
        <v>2</v>
      </c>
      <c r="E19" s="11">
        <v>0</v>
      </c>
      <c r="F19" s="11">
        <v>0</v>
      </c>
      <c r="G19" s="11">
        <v>0</v>
      </c>
      <c r="H19" s="2" t="s">
        <v>347</v>
      </c>
    </row>
    <row r="20" spans="3:8" x14ac:dyDescent="0.3">
      <c r="C20" s="6" t="s">
        <v>348</v>
      </c>
      <c r="D20" s="2" t="s">
        <v>158</v>
      </c>
      <c r="E20" s="65">
        <v>46234</v>
      </c>
      <c r="F20" s="65">
        <v>46234</v>
      </c>
      <c r="G20" s="65">
        <v>46234</v>
      </c>
      <c r="H20" s="2" t="s">
        <v>349</v>
      </c>
    </row>
    <row r="21" spans="3:8" x14ac:dyDescent="0.3">
      <c r="C21" s="6" t="s">
        <v>350</v>
      </c>
      <c r="D21" s="2" t="s">
        <v>158</v>
      </c>
      <c r="E21" s="65">
        <v>46325</v>
      </c>
      <c r="F21" s="65">
        <v>46325</v>
      </c>
      <c r="G21" s="65">
        <v>46325</v>
      </c>
      <c r="H21" s="2" t="s">
        <v>351</v>
      </c>
    </row>
    <row r="22" spans="3:8" x14ac:dyDescent="0.3">
      <c r="C22" s="6" t="s">
        <v>352</v>
      </c>
      <c r="D22" s="2" t="s">
        <v>158</v>
      </c>
      <c r="E22" s="65">
        <v>46402</v>
      </c>
      <c r="F22" s="65">
        <v>46402</v>
      </c>
      <c r="G22" s="65">
        <v>46402</v>
      </c>
      <c r="H22" s="2" t="s">
        <v>353</v>
      </c>
    </row>
    <row r="23" spans="3:8" x14ac:dyDescent="0.3">
      <c r="C23" s="6" t="s">
        <v>354</v>
      </c>
      <c r="D23" s="2" t="s">
        <v>158</v>
      </c>
      <c r="E23" s="65">
        <v>46402</v>
      </c>
      <c r="F23" s="65">
        <v>46402</v>
      </c>
      <c r="G23" s="65">
        <v>46402</v>
      </c>
      <c r="H23" s="2" t="s">
        <v>355</v>
      </c>
    </row>
    <row r="24" spans="3:8" x14ac:dyDescent="0.3">
      <c r="C24" s="6" t="s">
        <v>356</v>
      </c>
      <c r="D24" s="2" t="s">
        <v>158</v>
      </c>
      <c r="E24" s="65">
        <v>47027</v>
      </c>
      <c r="F24" s="65">
        <v>47027</v>
      </c>
      <c r="G24" s="65">
        <v>47027</v>
      </c>
      <c r="H24" s="2" t="s">
        <v>357</v>
      </c>
    </row>
    <row r="25" spans="3:8" x14ac:dyDescent="0.3">
      <c r="C25" s="6" t="s">
        <v>358</v>
      </c>
      <c r="D25" s="2" t="s">
        <v>158</v>
      </c>
      <c r="E25" s="65">
        <v>47299</v>
      </c>
      <c r="F25" s="65">
        <v>47299</v>
      </c>
      <c r="G25" s="65">
        <v>47299</v>
      </c>
      <c r="H25" s="2" t="s">
        <v>359</v>
      </c>
    </row>
    <row r="26" spans="3:8" x14ac:dyDescent="0.3">
      <c r="C26" s="6" t="s">
        <v>360</v>
      </c>
      <c r="D26" s="2" t="s">
        <v>158</v>
      </c>
      <c r="E26" s="65">
        <v>48029</v>
      </c>
      <c r="F26" s="65">
        <v>48029</v>
      </c>
      <c r="G26" s="65">
        <v>48029</v>
      </c>
      <c r="H26" s="2" t="s">
        <v>361</v>
      </c>
    </row>
    <row r="27" spans="3:8" x14ac:dyDescent="0.3">
      <c r="C27" s="6" t="s">
        <v>362</v>
      </c>
      <c r="D27" s="2" t="s">
        <v>158</v>
      </c>
      <c r="E27" s="65">
        <v>48669</v>
      </c>
      <c r="F27" s="65">
        <v>48669</v>
      </c>
      <c r="G27" s="65">
        <v>48669</v>
      </c>
      <c r="H27" s="2" t="s">
        <v>363</v>
      </c>
    </row>
    <row r="28" spans="3:8" x14ac:dyDescent="0.3">
      <c r="C28" s="6" t="s">
        <v>364</v>
      </c>
      <c r="D28" s="2" t="s">
        <v>158</v>
      </c>
      <c r="E28" s="65">
        <v>46325</v>
      </c>
      <c r="F28" s="65">
        <v>46325</v>
      </c>
      <c r="G28" s="65">
        <v>46325</v>
      </c>
      <c r="H28" s="2" t="s">
        <v>365</v>
      </c>
    </row>
    <row r="29" spans="3:8" x14ac:dyDescent="0.3">
      <c r="C29" s="42" t="s">
        <v>366</v>
      </c>
      <c r="D29" s="42"/>
      <c r="E29" s="43"/>
      <c r="F29" s="43"/>
      <c r="G29" s="43"/>
      <c r="H29" s="43"/>
    </row>
    <row r="30" spans="3:8" x14ac:dyDescent="0.3">
      <c r="C30" s="6" t="s">
        <v>367</v>
      </c>
      <c r="D30" s="2" t="s">
        <v>12</v>
      </c>
      <c r="E30" s="9">
        <v>0.12</v>
      </c>
      <c r="H30" s="2" t="s">
        <v>368</v>
      </c>
    </row>
    <row r="31" spans="3:8" x14ac:dyDescent="0.3">
      <c r="C31" s="6" t="s">
        <v>369</v>
      </c>
      <c r="D31" s="2" t="s">
        <v>12</v>
      </c>
      <c r="E31" s="9">
        <v>0.2</v>
      </c>
      <c r="H31" s="2" t="s">
        <v>370</v>
      </c>
    </row>
    <row r="32" spans="3:8" x14ac:dyDescent="0.3">
      <c r="C32" s="6" t="s">
        <v>371</v>
      </c>
      <c r="D32" s="2" t="s">
        <v>3</v>
      </c>
      <c r="E32" s="12">
        <v>2</v>
      </c>
      <c r="H32" s="2" t="s">
        <v>372</v>
      </c>
    </row>
    <row r="33" spans="3:8" x14ac:dyDescent="0.3">
      <c r="C33" s="6" t="s">
        <v>373</v>
      </c>
      <c r="D33" s="2" t="s">
        <v>158</v>
      </c>
      <c r="E33" s="65">
        <v>47299</v>
      </c>
      <c r="H33" s="2" t="s">
        <v>374</v>
      </c>
    </row>
    <row r="34" spans="3:8" x14ac:dyDescent="0.3">
      <c r="C34" s="6" t="s">
        <v>375</v>
      </c>
      <c r="D34" s="2" t="s">
        <v>158</v>
      </c>
      <c r="E34" s="65">
        <v>47391</v>
      </c>
      <c r="H34" s="2" t="s">
        <v>376</v>
      </c>
    </row>
    <row r="35" spans="3:8" x14ac:dyDescent="0.3">
      <c r="C35" s="6" t="s">
        <v>377</v>
      </c>
      <c r="D35" s="2" t="s">
        <v>158</v>
      </c>
      <c r="E35" s="65">
        <v>47026</v>
      </c>
      <c r="H35" s="2" t="s">
        <v>378</v>
      </c>
    </row>
    <row r="36" spans="3:8" x14ac:dyDescent="0.3">
      <c r="C36" s="6" t="s">
        <v>379</v>
      </c>
      <c r="D36" s="2" t="s">
        <v>84</v>
      </c>
      <c r="E36" s="7">
        <v>250</v>
      </c>
      <c r="H36" s="2" t="s">
        <v>380</v>
      </c>
    </row>
    <row r="37" spans="3:8" x14ac:dyDescent="0.3">
      <c r="C37" s="6" t="s">
        <v>381</v>
      </c>
      <c r="D37" s="2" t="s">
        <v>50</v>
      </c>
      <c r="E37" s="10">
        <v>2.5</v>
      </c>
      <c r="H37" s="2" t="s">
        <v>382</v>
      </c>
    </row>
    <row r="38" spans="3:8" x14ac:dyDescent="0.3">
      <c r="C38" s="6" t="s">
        <v>383</v>
      </c>
      <c r="D38" s="2" t="s">
        <v>42</v>
      </c>
      <c r="E38" s="10">
        <v>10</v>
      </c>
      <c r="H38" s="2" t="s">
        <v>384</v>
      </c>
    </row>
    <row r="39" spans="3:8" x14ac:dyDescent="0.3">
      <c r="C39" s="6" t="s">
        <v>385</v>
      </c>
      <c r="D39" s="2" t="s">
        <v>12</v>
      </c>
      <c r="E39" s="9">
        <v>0.15</v>
      </c>
      <c r="H39" s="2" t="s">
        <v>386</v>
      </c>
    </row>
    <row r="40" spans="3:8" x14ac:dyDescent="0.3">
      <c r="C40" s="6" t="s">
        <v>387</v>
      </c>
      <c r="D40" s="2" t="s">
        <v>2</v>
      </c>
      <c r="E40" s="11">
        <v>1</v>
      </c>
      <c r="H40" s="2"/>
    </row>
    <row r="41" spans="3:8" x14ac:dyDescent="0.3">
      <c r="C41" s="42" t="s">
        <v>388</v>
      </c>
      <c r="D41" s="42"/>
      <c r="E41" s="43"/>
      <c r="F41" s="43"/>
      <c r="G41" s="43"/>
      <c r="H41" s="43"/>
    </row>
    <row r="42" spans="3:8" x14ac:dyDescent="0.3">
      <c r="C42" s="6" t="s">
        <v>389</v>
      </c>
      <c r="D42" s="2" t="s">
        <v>42</v>
      </c>
      <c r="E42" s="7">
        <v>80</v>
      </c>
      <c r="H42" s="2" t="s">
        <v>390</v>
      </c>
    </row>
    <row r="43" spans="3:8" x14ac:dyDescent="0.3">
      <c r="C43" s="6" t="s">
        <v>101</v>
      </c>
      <c r="D43" s="2" t="s">
        <v>42</v>
      </c>
      <c r="E43" s="7">
        <v>90</v>
      </c>
      <c r="H43" s="2" t="s">
        <v>391</v>
      </c>
    </row>
    <row r="44" spans="3:8" x14ac:dyDescent="0.3">
      <c r="C44" s="6" t="s">
        <v>102</v>
      </c>
      <c r="D44" s="2" t="s">
        <v>42</v>
      </c>
      <c r="E44" s="7">
        <v>70</v>
      </c>
      <c r="H44" s="2" t="s">
        <v>392</v>
      </c>
    </row>
    <row r="45" spans="3:8" x14ac:dyDescent="0.3">
      <c r="C45" s="6" t="s">
        <v>103</v>
      </c>
      <c r="D45" s="2" t="s">
        <v>42</v>
      </c>
      <c r="E45" s="7">
        <v>60</v>
      </c>
      <c r="H45" s="2" t="s">
        <v>393</v>
      </c>
    </row>
    <row r="46" spans="3:8" x14ac:dyDescent="0.3">
      <c r="C46" s="6" t="s">
        <v>104</v>
      </c>
      <c r="D46" s="2" t="s">
        <v>42</v>
      </c>
      <c r="E46" s="7">
        <v>40</v>
      </c>
      <c r="H46" s="2" t="s">
        <v>394</v>
      </c>
    </row>
    <row r="47" spans="3:8" x14ac:dyDescent="0.3">
      <c r="C47" s="6" t="s">
        <v>105</v>
      </c>
      <c r="D47" s="2" t="s">
        <v>42</v>
      </c>
      <c r="E47" s="7">
        <v>0</v>
      </c>
      <c r="H47" s="2" t="s">
        <v>395</v>
      </c>
    </row>
    <row r="48" spans="3:8" x14ac:dyDescent="0.3">
      <c r="C48" s="6" t="s">
        <v>396</v>
      </c>
      <c r="D48" s="2" t="s">
        <v>84</v>
      </c>
      <c r="E48" s="7">
        <v>12000</v>
      </c>
      <c r="H48" s="2" t="s">
        <v>397</v>
      </c>
    </row>
    <row r="49" spans="3:8" x14ac:dyDescent="0.3">
      <c r="C49" s="6" t="s">
        <v>398</v>
      </c>
      <c r="D49" s="2" t="s">
        <v>10</v>
      </c>
      <c r="E49" s="7">
        <v>200</v>
      </c>
      <c r="H49" s="2" t="s">
        <v>399</v>
      </c>
    </row>
    <row r="50" spans="3:8" x14ac:dyDescent="0.3">
      <c r="C50" s="6" t="s">
        <v>400</v>
      </c>
      <c r="D50" s="2" t="s">
        <v>12</v>
      </c>
      <c r="E50" s="9">
        <v>0.05</v>
      </c>
      <c r="H50" s="2" t="s">
        <v>401</v>
      </c>
    </row>
    <row r="51" spans="3:8" x14ac:dyDescent="0.3">
      <c r="C51" s="6" t="s">
        <v>402</v>
      </c>
      <c r="D51" s="2" t="s">
        <v>403</v>
      </c>
      <c r="E51" s="7">
        <v>100</v>
      </c>
      <c r="H51" s="2" t="s">
        <v>404</v>
      </c>
    </row>
    <row r="52" spans="3:8" x14ac:dyDescent="0.3">
      <c r="C52" s="42" t="s">
        <v>405</v>
      </c>
      <c r="D52" s="42"/>
      <c r="E52" s="43"/>
      <c r="F52" s="43"/>
      <c r="G52" s="43"/>
      <c r="H52" s="43"/>
    </row>
    <row r="53" spans="3:8" x14ac:dyDescent="0.3">
      <c r="C53" s="6" t="s">
        <v>406</v>
      </c>
      <c r="D53" s="2" t="s">
        <v>12</v>
      </c>
      <c r="E53" s="9">
        <v>0.02</v>
      </c>
      <c r="H53" s="2" t="s">
        <v>407</v>
      </c>
    </row>
    <row r="54" spans="3:8" x14ac:dyDescent="0.3">
      <c r="C54" s="6" t="s">
        <v>408</v>
      </c>
      <c r="D54" s="2" t="s">
        <v>12</v>
      </c>
      <c r="E54" s="9">
        <v>0.04</v>
      </c>
      <c r="H54" s="2" t="s">
        <v>409</v>
      </c>
    </row>
    <row r="55" spans="3:8" x14ac:dyDescent="0.3">
      <c r="C55" s="6" t="s">
        <v>410</v>
      </c>
      <c r="D55" s="2" t="s">
        <v>411</v>
      </c>
      <c r="E55" s="9">
        <v>3.0000000000000001E-3</v>
      </c>
      <c r="H55" s="2" t="s">
        <v>412</v>
      </c>
    </row>
    <row r="56" spans="3:8" x14ac:dyDescent="0.3">
      <c r="C56" s="6" t="s">
        <v>413</v>
      </c>
      <c r="D56" s="2" t="s">
        <v>411</v>
      </c>
      <c r="E56" s="9">
        <v>0.01</v>
      </c>
      <c r="H56" s="2" t="s">
        <v>414</v>
      </c>
    </row>
    <row r="57" spans="3:8" x14ac:dyDescent="0.3">
      <c r="C57" s="42" t="s">
        <v>415</v>
      </c>
      <c r="D57" s="42"/>
      <c r="E57" s="43"/>
      <c r="F57" s="43"/>
      <c r="G57" s="43"/>
      <c r="H57" s="43"/>
    </row>
    <row r="58" spans="3:8" x14ac:dyDescent="0.3">
      <c r="C58" s="6" t="s">
        <v>416</v>
      </c>
      <c r="D58" s="2" t="s">
        <v>50</v>
      </c>
      <c r="E58" s="10">
        <v>3</v>
      </c>
      <c r="H58" s="2" t="s">
        <v>417</v>
      </c>
    </row>
    <row r="59" spans="3:8" x14ac:dyDescent="0.3">
      <c r="C59" s="6" t="s">
        <v>418</v>
      </c>
      <c r="D59" s="2" t="s">
        <v>50</v>
      </c>
      <c r="E59" s="10">
        <v>3</v>
      </c>
      <c r="H59" s="2" t="s">
        <v>419</v>
      </c>
    </row>
    <row r="60" spans="3:8" x14ac:dyDescent="0.3">
      <c r="C60" s="6" t="s">
        <v>420</v>
      </c>
      <c r="D60" s="2" t="s">
        <v>50</v>
      </c>
      <c r="E60" s="10">
        <v>2.5</v>
      </c>
      <c r="H60" s="2" t="s">
        <v>421</v>
      </c>
    </row>
    <row r="61" spans="3:8" x14ac:dyDescent="0.3">
      <c r="C61" s="6" t="s">
        <v>422</v>
      </c>
      <c r="D61" s="2" t="s">
        <v>50</v>
      </c>
      <c r="E61" s="10">
        <v>1.5</v>
      </c>
      <c r="H61" s="2" t="s">
        <v>423</v>
      </c>
    </row>
    <row r="62" spans="3:8" x14ac:dyDescent="0.3">
      <c r="C62" s="6" t="s">
        <v>424</v>
      </c>
      <c r="D62" s="2" t="s">
        <v>50</v>
      </c>
      <c r="E62" s="10">
        <v>3</v>
      </c>
      <c r="H62" s="2" t="s">
        <v>425</v>
      </c>
    </row>
    <row r="63" spans="3:8" x14ac:dyDescent="0.3">
      <c r="C63" s="6" t="s">
        <v>426</v>
      </c>
      <c r="D63" s="2" t="s">
        <v>427</v>
      </c>
      <c r="E63" s="7">
        <v>150</v>
      </c>
      <c r="H63" s="2" t="s">
        <v>428</v>
      </c>
    </row>
    <row r="64" spans="3:8" x14ac:dyDescent="0.3">
      <c r="C64" s="6" t="s">
        <v>429</v>
      </c>
      <c r="D64" s="2" t="s">
        <v>20</v>
      </c>
      <c r="E64" s="10">
        <v>4</v>
      </c>
      <c r="H64" s="2" t="s">
        <v>430</v>
      </c>
    </row>
    <row r="65" spans="3:8" x14ac:dyDescent="0.3">
      <c r="C65" s="6" t="s">
        <v>431</v>
      </c>
      <c r="D65" s="2" t="s">
        <v>20</v>
      </c>
      <c r="E65" s="10">
        <v>1</v>
      </c>
      <c r="H65" s="2" t="s">
        <v>432</v>
      </c>
    </row>
    <row r="66" spans="3:8" x14ac:dyDescent="0.3">
      <c r="C66" s="6" t="s">
        <v>288</v>
      </c>
      <c r="D66" s="2" t="s">
        <v>433</v>
      </c>
      <c r="E66" s="9">
        <v>1E-3</v>
      </c>
      <c r="H66" s="2" t="s">
        <v>434</v>
      </c>
    </row>
    <row r="67" spans="3:8" x14ac:dyDescent="0.3">
      <c r="C67" s="6" t="s">
        <v>291</v>
      </c>
      <c r="D67" s="2" t="s">
        <v>433</v>
      </c>
      <c r="E67" s="9">
        <v>0.02</v>
      </c>
      <c r="H67" s="2" t="s">
        <v>435</v>
      </c>
    </row>
    <row r="68" spans="3:8" x14ac:dyDescent="0.3">
      <c r="C68" s="6" t="s">
        <v>436</v>
      </c>
      <c r="D68" s="2" t="s">
        <v>12</v>
      </c>
      <c r="E68" s="9">
        <v>0.05</v>
      </c>
      <c r="H68" s="2" t="s">
        <v>437</v>
      </c>
    </row>
    <row r="69" spans="3:8" x14ac:dyDescent="0.3">
      <c r="C69" s="6" t="s">
        <v>438</v>
      </c>
      <c r="D69" s="2" t="s">
        <v>411</v>
      </c>
      <c r="E69" s="9">
        <v>2.5000000000000001E-2</v>
      </c>
      <c r="H69" s="2" t="s">
        <v>439</v>
      </c>
    </row>
    <row r="70" spans="3:8" x14ac:dyDescent="0.3">
      <c r="C70" s="42" t="s">
        <v>440</v>
      </c>
      <c r="D70" s="42"/>
      <c r="E70" s="43"/>
      <c r="F70" s="43"/>
      <c r="G70" s="43"/>
      <c r="H70" s="43"/>
    </row>
    <row r="71" spans="3:8" x14ac:dyDescent="0.3">
      <c r="C71" s="6" t="s">
        <v>441</v>
      </c>
      <c r="D71" s="2" t="s">
        <v>268</v>
      </c>
      <c r="E71" s="11">
        <v>30</v>
      </c>
      <c r="H71" s="2" t="s">
        <v>442</v>
      </c>
    </row>
    <row r="72" spans="3:8" x14ac:dyDescent="0.3">
      <c r="C72" s="6" t="s">
        <v>443</v>
      </c>
      <c r="D72" s="2" t="s">
        <v>12</v>
      </c>
      <c r="E72" s="9">
        <v>0.08</v>
      </c>
      <c r="H72" s="2" t="s">
        <v>444</v>
      </c>
    </row>
    <row r="73" spans="3:8" x14ac:dyDescent="0.3">
      <c r="C73" s="6" t="s">
        <v>445</v>
      </c>
      <c r="D73" s="2" t="s">
        <v>147</v>
      </c>
      <c r="E73" s="11">
        <v>2026</v>
      </c>
      <c r="H73" s="2" t="s">
        <v>446</v>
      </c>
    </row>
    <row r="74" spans="3:8" x14ac:dyDescent="0.3">
      <c r="C74" s="6" t="s">
        <v>447</v>
      </c>
      <c r="D74" s="2" t="s">
        <v>3</v>
      </c>
      <c r="E74" s="7">
        <v>1000</v>
      </c>
      <c r="H74" s="2" t="s">
        <v>448</v>
      </c>
    </row>
    <row r="75" spans="3:8" x14ac:dyDescent="0.3">
      <c r="C75" s="6" t="s">
        <v>449</v>
      </c>
      <c r="D75" s="2" t="s">
        <v>162</v>
      </c>
      <c r="E75" s="11">
        <v>365</v>
      </c>
      <c r="H75" s="2" t="s">
        <v>448</v>
      </c>
    </row>
    <row r="76" spans="3:8" x14ac:dyDescent="0.3">
      <c r="C76" s="6" t="s">
        <v>450</v>
      </c>
      <c r="D76" s="2" t="s">
        <v>270</v>
      </c>
      <c r="E76" s="11">
        <v>12</v>
      </c>
      <c r="H76" s="2" t="s">
        <v>448</v>
      </c>
    </row>
    <row r="77" spans="3:8" x14ac:dyDescent="0.3">
      <c r="C77" s="6" t="s">
        <v>451</v>
      </c>
      <c r="D77" s="2" t="s">
        <v>84</v>
      </c>
      <c r="E77" s="66">
        <v>1E-3</v>
      </c>
      <c r="H77" s="2" t="s">
        <v>448</v>
      </c>
    </row>
    <row r="79" spans="3:8" x14ac:dyDescent="0.3">
      <c r="C79" s="42" t="s">
        <v>452</v>
      </c>
      <c r="D79" s="42"/>
      <c r="E79" s="43"/>
      <c r="F79" s="43"/>
      <c r="G79" s="43"/>
      <c r="H79" s="43"/>
    </row>
    <row r="80" spans="3:8" x14ac:dyDescent="0.3">
      <c r="C80" s="6" t="s">
        <v>453</v>
      </c>
      <c r="D80" s="2" t="s">
        <v>73</v>
      </c>
      <c r="E80" s="7">
        <v>20590500</v>
      </c>
      <c r="F80" s="65">
        <v>46431</v>
      </c>
      <c r="G80" s="13" t="s">
        <v>115</v>
      </c>
      <c r="H80" s="2" t="s">
        <v>454</v>
      </c>
    </row>
    <row r="81" spans="3:8" x14ac:dyDescent="0.3">
      <c r="C81" s="6" t="s">
        <v>455</v>
      </c>
      <c r="D81" s="2" t="s">
        <v>73</v>
      </c>
      <c r="E81" s="7">
        <v>45600000</v>
      </c>
      <c r="F81" s="65">
        <v>46431</v>
      </c>
      <c r="G81" s="13" t="s">
        <v>115</v>
      </c>
      <c r="H81" s="2" t="s">
        <v>456</v>
      </c>
    </row>
    <row r="82" spans="3:8" x14ac:dyDescent="0.3">
      <c r="C82" s="6" t="s">
        <v>457</v>
      </c>
      <c r="D82" s="2" t="s">
        <v>73</v>
      </c>
      <c r="E82" s="7">
        <v>59142857.142857097</v>
      </c>
      <c r="F82" s="65">
        <v>46976</v>
      </c>
      <c r="G82" s="13" t="s">
        <v>458</v>
      </c>
      <c r="H82" s="2" t="s">
        <v>459</v>
      </c>
    </row>
    <row r="83" spans="3:8" x14ac:dyDescent="0.3">
      <c r="C83" s="6" t="s">
        <v>460</v>
      </c>
      <c r="D83" s="2" t="s">
        <v>73</v>
      </c>
      <c r="E83" s="7">
        <v>750544</v>
      </c>
      <c r="F83" s="65">
        <v>46976</v>
      </c>
      <c r="G83" s="13" t="s">
        <v>458</v>
      </c>
      <c r="H83" s="2" t="s">
        <v>461</v>
      </c>
    </row>
    <row r="84" spans="3:8" x14ac:dyDescent="0.3">
      <c r="C84" s="6" t="s">
        <v>462</v>
      </c>
      <c r="D84" s="2" t="s">
        <v>73</v>
      </c>
      <c r="E84" s="7">
        <v>65580000</v>
      </c>
      <c r="F84" s="65">
        <v>46296</v>
      </c>
      <c r="G84" s="13" t="s">
        <v>458</v>
      </c>
      <c r="H84" s="2" t="s">
        <v>463</v>
      </c>
    </row>
    <row r="85" spans="3:8" x14ac:dyDescent="0.3">
      <c r="C85" s="6" t="s">
        <v>464</v>
      </c>
      <c r="D85" s="2" t="s">
        <v>73</v>
      </c>
      <c r="E85" s="7">
        <v>147260000</v>
      </c>
      <c r="F85" s="65">
        <v>46447</v>
      </c>
      <c r="G85" s="13" t="s">
        <v>458</v>
      </c>
      <c r="H85" s="2" t="s">
        <v>465</v>
      </c>
    </row>
    <row r="86" spans="3:8" x14ac:dyDescent="0.3">
      <c r="C86" s="6" t="s">
        <v>466</v>
      </c>
      <c r="D86" s="2" t="s">
        <v>73</v>
      </c>
      <c r="E86" s="7">
        <v>3600000</v>
      </c>
      <c r="F86" s="65">
        <v>46388</v>
      </c>
      <c r="G86" s="13" t="s">
        <v>458</v>
      </c>
      <c r="H86" s="2" t="s">
        <v>467</v>
      </c>
    </row>
    <row r="87" spans="3:8" x14ac:dyDescent="0.3">
      <c r="C87" s="6" t="s">
        <v>468</v>
      </c>
      <c r="D87" s="2" t="s">
        <v>73</v>
      </c>
      <c r="E87" s="7">
        <v>1665000</v>
      </c>
      <c r="F87" s="65">
        <v>46932</v>
      </c>
      <c r="G87" s="13" t="s">
        <v>458</v>
      </c>
      <c r="H87" s="2" t="s">
        <v>469</v>
      </c>
    </row>
    <row r="88" spans="3:8" x14ac:dyDescent="0.3">
      <c r="C88" s="6" t="s">
        <v>470</v>
      </c>
      <c r="D88" s="2" t="s">
        <v>73</v>
      </c>
      <c r="E88" s="7">
        <v>960000</v>
      </c>
      <c r="F88" s="65">
        <v>46746</v>
      </c>
      <c r="G88" s="13" t="s">
        <v>458</v>
      </c>
      <c r="H88" s="2" t="s">
        <v>471</v>
      </c>
    </row>
    <row r="89" spans="3:8" x14ac:dyDescent="0.3">
      <c r="C89" s="6" t="s">
        <v>472</v>
      </c>
      <c r="D89" s="2" t="s">
        <v>73</v>
      </c>
      <c r="E89" s="7">
        <v>8000000</v>
      </c>
      <c r="F89" s="65">
        <v>46596</v>
      </c>
      <c r="G89" s="13" t="s">
        <v>458</v>
      </c>
      <c r="H89" s="2" t="s">
        <v>473</v>
      </c>
    </row>
    <row r="90" spans="3:8" x14ac:dyDescent="0.3">
      <c r="C90" s="6" t="s">
        <v>474</v>
      </c>
      <c r="D90" s="2" t="s">
        <v>73</v>
      </c>
      <c r="E90" s="7">
        <v>50000000</v>
      </c>
      <c r="F90" s="65">
        <v>46806</v>
      </c>
      <c r="G90" s="13" t="s">
        <v>458</v>
      </c>
      <c r="H90" s="2" t="s">
        <v>475</v>
      </c>
    </row>
    <row r="91" spans="3:8" x14ac:dyDescent="0.3">
      <c r="C91" s="6" t="s">
        <v>476</v>
      </c>
      <c r="D91" s="2" t="s">
        <v>73</v>
      </c>
      <c r="E91" s="7">
        <v>35000000</v>
      </c>
      <c r="F91" s="65">
        <v>46806</v>
      </c>
      <c r="G91" s="13" t="s">
        <v>458</v>
      </c>
      <c r="H91" s="2" t="s">
        <v>477</v>
      </c>
    </row>
    <row r="92" spans="3:8" x14ac:dyDescent="0.3">
      <c r="C92" s="6" t="s">
        <v>478</v>
      </c>
      <c r="D92" s="2" t="s">
        <v>73</v>
      </c>
      <c r="E92" s="7">
        <v>14832000</v>
      </c>
      <c r="F92" s="65">
        <v>46751</v>
      </c>
      <c r="G92" s="13" t="s">
        <v>458</v>
      </c>
      <c r="H92" s="2" t="s">
        <v>479</v>
      </c>
    </row>
    <row r="93" spans="3:8" x14ac:dyDescent="0.3">
      <c r="C93" s="6" t="s">
        <v>480</v>
      </c>
      <c r="D93" s="2" t="s">
        <v>73</v>
      </c>
      <c r="E93" s="7">
        <v>40000</v>
      </c>
      <c r="F93" s="65">
        <v>46871</v>
      </c>
      <c r="G93" s="13" t="s">
        <v>458</v>
      </c>
      <c r="H93" s="2" t="s">
        <v>481</v>
      </c>
    </row>
    <row r="94" spans="3:8" x14ac:dyDescent="0.3">
      <c r="C94" s="6" t="s">
        <v>482</v>
      </c>
      <c r="D94" s="2" t="s">
        <v>73</v>
      </c>
      <c r="E94" s="7">
        <v>32610000</v>
      </c>
      <c r="F94" s="65">
        <v>46841</v>
      </c>
      <c r="G94" s="13" t="s">
        <v>458</v>
      </c>
      <c r="H94" s="2" t="s">
        <v>483</v>
      </c>
    </row>
    <row r="95" spans="3:8" x14ac:dyDescent="0.3">
      <c r="C95" s="6" t="s">
        <v>484</v>
      </c>
      <c r="D95" s="2" t="s">
        <v>73</v>
      </c>
      <c r="E95" s="7">
        <v>8000000</v>
      </c>
      <c r="F95" s="65">
        <v>46596</v>
      </c>
      <c r="G95" s="13" t="s">
        <v>458</v>
      </c>
      <c r="H95" s="2" t="s">
        <v>485</v>
      </c>
    </row>
    <row r="96" spans="3:8" x14ac:dyDescent="0.3">
      <c r="C96" s="6" t="s">
        <v>486</v>
      </c>
      <c r="D96" s="2" t="s">
        <v>73</v>
      </c>
      <c r="E96" s="7">
        <v>8000000</v>
      </c>
      <c r="F96" s="65">
        <v>46566</v>
      </c>
      <c r="G96" s="13" t="s">
        <v>458</v>
      </c>
      <c r="H96" s="2" t="s">
        <v>487</v>
      </c>
    </row>
    <row r="97" spans="3:8" x14ac:dyDescent="0.3">
      <c r="C97" s="6" t="s">
        <v>488</v>
      </c>
      <c r="D97" s="2" t="s">
        <v>73</v>
      </c>
      <c r="E97" s="7">
        <v>8000000</v>
      </c>
      <c r="F97" s="65">
        <v>46566</v>
      </c>
      <c r="G97" s="13" t="s">
        <v>458</v>
      </c>
      <c r="H97" s="2" t="s">
        <v>489</v>
      </c>
    </row>
    <row r="98" spans="3:8" x14ac:dyDescent="0.3">
      <c r="C98" s="6" t="s">
        <v>490</v>
      </c>
      <c r="D98" s="2" t="s">
        <v>73</v>
      </c>
      <c r="E98" s="7">
        <v>4590000</v>
      </c>
      <c r="F98" s="65">
        <v>46780</v>
      </c>
      <c r="G98" s="13" t="s">
        <v>458</v>
      </c>
      <c r="H98" s="2" t="s">
        <v>491</v>
      </c>
    </row>
    <row r="99" spans="3:8" x14ac:dyDescent="0.3">
      <c r="C99" s="6" t="s">
        <v>492</v>
      </c>
      <c r="D99" s="2" t="s">
        <v>73</v>
      </c>
      <c r="E99" s="7">
        <v>138000000</v>
      </c>
      <c r="F99" s="65">
        <v>46780</v>
      </c>
      <c r="G99" s="13" t="s">
        <v>458</v>
      </c>
      <c r="H99" s="2" t="s">
        <v>493</v>
      </c>
    </row>
    <row r="100" spans="3:8" x14ac:dyDescent="0.3">
      <c r="C100" s="6" t="s">
        <v>494</v>
      </c>
      <c r="D100" s="2" t="s">
        <v>73</v>
      </c>
      <c r="E100" s="7">
        <v>45000000</v>
      </c>
      <c r="F100" s="65">
        <v>46780</v>
      </c>
      <c r="G100" s="13" t="s">
        <v>458</v>
      </c>
      <c r="H100" s="2" t="s">
        <v>495</v>
      </c>
    </row>
    <row r="101" spans="3:8" x14ac:dyDescent="0.3">
      <c r="C101" s="6" t="s">
        <v>496</v>
      </c>
      <c r="D101" s="2" t="s">
        <v>73</v>
      </c>
      <c r="E101" s="7">
        <v>74896683.673469394</v>
      </c>
      <c r="F101" s="65">
        <v>46780</v>
      </c>
      <c r="G101" s="13" t="s">
        <v>458</v>
      </c>
      <c r="H101" s="2" t="s">
        <v>497</v>
      </c>
    </row>
    <row r="102" spans="3:8" x14ac:dyDescent="0.3">
      <c r="C102" s="6" t="s">
        <v>498</v>
      </c>
      <c r="D102" s="2" t="s">
        <v>73</v>
      </c>
      <c r="E102" s="7">
        <v>15000000</v>
      </c>
      <c r="F102" s="65">
        <v>46720</v>
      </c>
      <c r="G102" s="13" t="s">
        <v>458</v>
      </c>
      <c r="H102" s="2" t="s">
        <v>499</v>
      </c>
    </row>
    <row r="103" spans="3:8" x14ac:dyDescent="0.3">
      <c r="C103" s="6" t="s">
        <v>500</v>
      </c>
      <c r="D103" s="2" t="s">
        <v>73</v>
      </c>
      <c r="E103" s="7">
        <v>6000000</v>
      </c>
      <c r="F103" s="65">
        <v>46780</v>
      </c>
      <c r="G103" s="13" t="s">
        <v>458</v>
      </c>
      <c r="H103" s="2" t="s">
        <v>501</v>
      </c>
    </row>
    <row r="104" spans="3:8" x14ac:dyDescent="0.3">
      <c r="C104" s="6" t="s">
        <v>502</v>
      </c>
      <c r="D104" s="2" t="s">
        <v>73</v>
      </c>
      <c r="E104" s="7">
        <v>45178571.428571403</v>
      </c>
      <c r="F104" s="65">
        <v>46780</v>
      </c>
      <c r="G104" s="13" t="s">
        <v>458</v>
      </c>
      <c r="H104" s="2" t="s">
        <v>503</v>
      </c>
    </row>
    <row r="105" spans="3:8" x14ac:dyDescent="0.3">
      <c r="C105" s="6" t="s">
        <v>504</v>
      </c>
      <c r="D105" s="2" t="s">
        <v>73</v>
      </c>
      <c r="E105" s="7">
        <v>4590000</v>
      </c>
      <c r="F105" s="65">
        <v>46780</v>
      </c>
      <c r="G105" s="13" t="s">
        <v>458</v>
      </c>
      <c r="H105" s="2" t="s">
        <v>505</v>
      </c>
    </row>
    <row r="106" spans="3:8" x14ac:dyDescent="0.3">
      <c r="C106" s="6" t="s">
        <v>506</v>
      </c>
      <c r="D106" s="2" t="s">
        <v>73</v>
      </c>
      <c r="E106" s="7">
        <v>70000000</v>
      </c>
      <c r="F106" s="65">
        <v>46780</v>
      </c>
      <c r="G106" s="13" t="s">
        <v>458</v>
      </c>
      <c r="H106" s="2" t="s">
        <v>507</v>
      </c>
    </row>
    <row r="107" spans="3:8" x14ac:dyDescent="0.3">
      <c r="C107" s="6" t="s">
        <v>508</v>
      </c>
      <c r="D107" s="2" t="s">
        <v>73</v>
      </c>
      <c r="E107" s="7">
        <v>20000000</v>
      </c>
      <c r="F107" s="65">
        <v>47126</v>
      </c>
      <c r="G107" s="13" t="s">
        <v>458</v>
      </c>
      <c r="H107" s="2" t="s">
        <v>509</v>
      </c>
    </row>
    <row r="108" spans="3:8" x14ac:dyDescent="0.3">
      <c r="C108" s="6" t="s">
        <v>510</v>
      </c>
      <c r="D108" s="2" t="s">
        <v>73</v>
      </c>
      <c r="E108" s="7">
        <v>12000000</v>
      </c>
      <c r="F108" s="65">
        <v>47066</v>
      </c>
      <c r="G108" s="13" t="s">
        <v>458</v>
      </c>
      <c r="H108" s="2" t="s">
        <v>511</v>
      </c>
    </row>
    <row r="109" spans="3:8" x14ac:dyDescent="0.3">
      <c r="C109" s="6" t="s">
        <v>512</v>
      </c>
      <c r="D109" s="2" t="s">
        <v>73</v>
      </c>
      <c r="E109" s="7">
        <v>7400000</v>
      </c>
      <c r="F109" s="65">
        <v>46752</v>
      </c>
      <c r="G109" s="13" t="s">
        <v>458</v>
      </c>
      <c r="H109" s="2" t="s">
        <v>513</v>
      </c>
    </row>
    <row r="110" spans="3:8" x14ac:dyDescent="0.3">
      <c r="C110" s="6" t="s">
        <v>514</v>
      </c>
      <c r="D110" s="2" t="s">
        <v>73</v>
      </c>
      <c r="E110" s="7">
        <v>29600000</v>
      </c>
      <c r="F110" s="65">
        <v>46752</v>
      </c>
      <c r="G110" s="13" t="s">
        <v>458</v>
      </c>
      <c r="H110" s="2" t="s">
        <v>515</v>
      </c>
    </row>
    <row r="111" spans="3:8" x14ac:dyDescent="0.3">
      <c r="C111" s="6" t="s">
        <v>516</v>
      </c>
      <c r="D111" s="2" t="s">
        <v>73</v>
      </c>
      <c r="E111" s="7">
        <v>91200000</v>
      </c>
      <c r="F111" s="65">
        <v>47201</v>
      </c>
      <c r="G111" s="13" t="s">
        <v>115</v>
      </c>
      <c r="H111" s="2" t="s">
        <v>517</v>
      </c>
    </row>
    <row r="112" spans="3:8" x14ac:dyDescent="0.3">
      <c r="C112" s="6" t="s">
        <v>518</v>
      </c>
      <c r="D112" s="2" t="s">
        <v>73</v>
      </c>
      <c r="E112" s="7">
        <v>107908615.62448999</v>
      </c>
      <c r="F112" s="65">
        <v>46752</v>
      </c>
      <c r="G112" s="13" t="s">
        <v>458</v>
      </c>
      <c r="H112" s="2" t="s">
        <v>519</v>
      </c>
    </row>
    <row r="114" spans="2:16" x14ac:dyDescent="0.3">
      <c r="B114" s="4" t="s">
        <v>3</v>
      </c>
      <c r="C114" s="4" t="s">
        <v>520</v>
      </c>
      <c r="D114" s="4"/>
      <c r="E114" s="5" t="s">
        <v>521</v>
      </c>
      <c r="F114" s="5"/>
      <c r="G114" s="5"/>
      <c r="H114" s="5"/>
    </row>
    <row r="115" spans="2:16" x14ac:dyDescent="0.3">
      <c r="C115" s="6" t="s">
        <v>522</v>
      </c>
      <c r="E115" s="13">
        <v>10</v>
      </c>
      <c r="F115" s="13">
        <v>15</v>
      </c>
      <c r="G115" s="13">
        <v>20</v>
      </c>
      <c r="H115" s="13">
        <v>25</v>
      </c>
      <c r="I115" s="13">
        <v>30</v>
      </c>
      <c r="J115" s="13">
        <v>35</v>
      </c>
      <c r="K115" s="13">
        <v>40</v>
      </c>
      <c r="L115" s="13">
        <v>45</v>
      </c>
      <c r="M115" s="13">
        <v>50</v>
      </c>
    </row>
    <row r="116" spans="2:16" x14ac:dyDescent="0.3">
      <c r="C116" s="6" t="s">
        <v>523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1</v>
      </c>
    </row>
    <row r="117" spans="2:16" x14ac:dyDescent="0.3">
      <c r="C117" s="6" t="s">
        <v>524</v>
      </c>
      <c r="E117" s="13">
        <v>0</v>
      </c>
      <c r="F117" s="13">
        <v>10</v>
      </c>
      <c r="G117" s="13">
        <v>20</v>
      </c>
      <c r="H117" s="13">
        <v>30</v>
      </c>
      <c r="I117" s="13">
        <v>40</v>
      </c>
      <c r="J117" s="13">
        <v>55</v>
      </c>
      <c r="K117" s="13">
        <v>70</v>
      </c>
      <c r="L117" s="13">
        <v>80</v>
      </c>
      <c r="M117" s="13">
        <v>90</v>
      </c>
      <c r="N117" s="13">
        <v>100</v>
      </c>
    </row>
    <row r="118" spans="2:16" x14ac:dyDescent="0.3">
      <c r="C118" s="6" t="s">
        <v>525</v>
      </c>
      <c r="E118" s="13">
        <v>2</v>
      </c>
      <c r="F118" s="13">
        <v>2.1</v>
      </c>
      <c r="G118" s="13">
        <v>2.2000000000000002</v>
      </c>
      <c r="H118" s="13">
        <v>2.2999999999999998</v>
      </c>
      <c r="I118" s="13">
        <v>2.4</v>
      </c>
      <c r="J118" s="13">
        <v>2.5</v>
      </c>
      <c r="K118" s="13">
        <v>2.6</v>
      </c>
      <c r="L118" s="13">
        <v>2.7</v>
      </c>
      <c r="M118" s="13">
        <v>2.8</v>
      </c>
      <c r="N118" s="13">
        <v>2.9</v>
      </c>
      <c r="O118" s="13">
        <v>3</v>
      </c>
    </row>
    <row r="119" spans="2:16" x14ac:dyDescent="0.3">
      <c r="C119" s="6" t="s">
        <v>526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</row>
    <row r="120" spans="2:16" x14ac:dyDescent="0.3">
      <c r="C120" s="6" t="s">
        <v>527</v>
      </c>
      <c r="E120" s="13">
        <v>0</v>
      </c>
      <c r="F120" s="13">
        <v>5</v>
      </c>
      <c r="G120" s="13">
        <v>10</v>
      </c>
      <c r="H120" s="13">
        <v>20</v>
      </c>
      <c r="I120" s="13">
        <v>30</v>
      </c>
      <c r="J120" s="13">
        <v>40</v>
      </c>
      <c r="K120" s="13">
        <v>50</v>
      </c>
      <c r="L120" s="13">
        <v>60</v>
      </c>
      <c r="M120" s="13">
        <v>70</v>
      </c>
      <c r="N120" s="13">
        <v>80</v>
      </c>
      <c r="O120" s="13">
        <v>90</v>
      </c>
      <c r="P120" s="13">
        <v>100</v>
      </c>
    </row>
    <row r="121" spans="2:16" x14ac:dyDescent="0.3">
      <c r="C121" s="6" t="s">
        <v>528</v>
      </c>
      <c r="E121" s="13">
        <v>0.02</v>
      </c>
      <c r="F121" s="13">
        <v>0.05</v>
      </c>
      <c r="G121" s="13">
        <v>0.1</v>
      </c>
      <c r="H121" s="13">
        <v>0.15</v>
      </c>
      <c r="I121" s="13">
        <v>0.2</v>
      </c>
      <c r="J121" s="13">
        <v>0.25</v>
      </c>
      <c r="K121" s="13">
        <v>0.3</v>
      </c>
      <c r="L121" s="13">
        <v>0.35</v>
      </c>
      <c r="M121" s="13">
        <v>0.4</v>
      </c>
      <c r="N121" s="13">
        <v>0.5</v>
      </c>
    </row>
    <row r="122" spans="2:16" x14ac:dyDescent="0.3">
      <c r="C122" s="6" t="s">
        <v>529</v>
      </c>
      <c r="E122" s="13">
        <v>0</v>
      </c>
      <c r="F122" s="13">
        <v>1</v>
      </c>
      <c r="G122" s="13">
        <v>1</v>
      </c>
      <c r="H122" s="13">
        <v>1</v>
      </c>
      <c r="I122" s="13">
        <v>1</v>
      </c>
      <c r="J122" s="13">
        <v>1</v>
      </c>
      <c r="K122" s="13">
        <v>1</v>
      </c>
      <c r="L122" s="13">
        <v>1</v>
      </c>
      <c r="M122" s="13">
        <v>1</v>
      </c>
      <c r="N122" s="13">
        <v>0</v>
      </c>
    </row>
    <row r="123" spans="2:16" x14ac:dyDescent="0.3">
      <c r="C123" s="6" t="s">
        <v>530</v>
      </c>
      <c r="E123" s="13">
        <v>0</v>
      </c>
      <c r="F123" s="13">
        <v>10</v>
      </c>
      <c r="G123" s="13">
        <v>20</v>
      </c>
      <c r="H123" s="13">
        <v>30</v>
      </c>
      <c r="I123" s="13">
        <v>40</v>
      </c>
      <c r="J123" s="13">
        <v>50</v>
      </c>
      <c r="K123" s="13">
        <v>60</v>
      </c>
      <c r="L123" s="13">
        <v>70</v>
      </c>
      <c r="M123" s="13">
        <v>80</v>
      </c>
      <c r="N123" s="13">
        <v>90</v>
      </c>
      <c r="O123" s="13">
        <v>100</v>
      </c>
    </row>
    <row r="124" spans="2:16" x14ac:dyDescent="0.3">
      <c r="B124" t="s">
        <v>553</v>
      </c>
      <c r="C124" s="6"/>
      <c r="E124" s="13">
        <v>0.02</v>
      </c>
      <c r="F124" s="13">
        <v>0.05</v>
      </c>
      <c r="G124" s="13">
        <v>0.1</v>
      </c>
      <c r="H124" s="13">
        <v>0.15</v>
      </c>
      <c r="I124" s="13">
        <v>0.2</v>
      </c>
      <c r="J124" s="13">
        <v>0.25</v>
      </c>
      <c r="K124" s="13">
        <v>0.3</v>
      </c>
      <c r="L124" s="13">
        <v>0.35</v>
      </c>
      <c r="M124" s="13">
        <v>0.4</v>
      </c>
      <c r="N124" s="13">
        <v>0.5</v>
      </c>
    </row>
    <row r="125" spans="2:16" x14ac:dyDescent="0.3">
      <c r="B125" t="s">
        <v>554</v>
      </c>
      <c r="C125" s="6"/>
      <c r="E125" s="13">
        <v>0</v>
      </c>
      <c r="F125" s="13">
        <v>1</v>
      </c>
      <c r="G125" s="13">
        <v>1</v>
      </c>
      <c r="H125" s="13">
        <v>1</v>
      </c>
      <c r="I125" s="13">
        <v>1</v>
      </c>
      <c r="J125" s="13">
        <v>1</v>
      </c>
      <c r="K125" s="13">
        <v>1</v>
      </c>
      <c r="L125" s="13">
        <v>1</v>
      </c>
      <c r="M125" s="13">
        <v>1</v>
      </c>
      <c r="N125" s="13">
        <v>0</v>
      </c>
    </row>
    <row r="126" spans="2:16" x14ac:dyDescent="0.3">
      <c r="B126" t="s">
        <v>555</v>
      </c>
      <c r="C126" s="6"/>
      <c r="E126" s="13">
        <v>0</v>
      </c>
      <c r="F126" s="13">
        <v>10</v>
      </c>
      <c r="G126" s="13">
        <v>20</v>
      </c>
      <c r="H126" s="13">
        <v>30</v>
      </c>
      <c r="I126" s="13">
        <v>40</v>
      </c>
      <c r="J126" s="13">
        <v>50</v>
      </c>
      <c r="K126" s="13">
        <v>60</v>
      </c>
      <c r="L126" s="13">
        <v>70</v>
      </c>
      <c r="M126" s="13">
        <v>80</v>
      </c>
      <c r="N126" s="13">
        <v>90</v>
      </c>
      <c r="O126" s="13">
        <v>100</v>
      </c>
      <c r="P126" t="s">
        <v>556</v>
      </c>
    </row>
    <row r="127" spans="2:16" x14ac:dyDescent="0.3">
      <c r="C127" s="6" t="s">
        <v>531</v>
      </c>
      <c r="E127" s="13">
        <v>1</v>
      </c>
      <c r="F127" s="13">
        <v>1.2</v>
      </c>
      <c r="G127" s="13">
        <v>1.3</v>
      </c>
      <c r="H127" s="13">
        <v>1.4</v>
      </c>
      <c r="I127" s="13">
        <v>1.5</v>
      </c>
      <c r="J127" s="13">
        <v>1.6</v>
      </c>
      <c r="K127" s="13">
        <v>1.7</v>
      </c>
      <c r="L127" s="13">
        <v>1.8</v>
      </c>
      <c r="M127" s="13">
        <v>1.9</v>
      </c>
      <c r="N127" s="13">
        <v>2</v>
      </c>
    </row>
    <row r="128" spans="2:16" x14ac:dyDescent="0.3">
      <c r="C128" s="6" t="s">
        <v>532</v>
      </c>
      <c r="E128" s="13">
        <v>0</v>
      </c>
      <c r="F128" s="13">
        <v>1</v>
      </c>
      <c r="G128" s="13">
        <v>1</v>
      </c>
      <c r="H128" s="13">
        <v>1</v>
      </c>
      <c r="I128" s="13">
        <v>1</v>
      </c>
      <c r="J128" s="13">
        <v>1</v>
      </c>
      <c r="K128" s="13">
        <v>1</v>
      </c>
      <c r="L128" s="13">
        <v>1</v>
      </c>
      <c r="M128" s="13">
        <v>1</v>
      </c>
      <c r="N128" s="13">
        <v>0</v>
      </c>
      <c r="P128" t="s">
        <v>557</v>
      </c>
    </row>
    <row r="129" spans="3:15" x14ac:dyDescent="0.3">
      <c r="C129" s="6" t="s">
        <v>533</v>
      </c>
      <c r="E129" s="13">
        <v>0</v>
      </c>
      <c r="F129" s="13">
        <v>10</v>
      </c>
      <c r="G129" s="13">
        <v>20</v>
      </c>
      <c r="H129" s="13">
        <v>30</v>
      </c>
      <c r="I129" s="13">
        <v>40</v>
      </c>
      <c r="J129" s="13">
        <v>50</v>
      </c>
      <c r="K129" s="13">
        <v>60</v>
      </c>
      <c r="L129" s="13">
        <v>70</v>
      </c>
      <c r="M129" s="13">
        <v>80</v>
      </c>
      <c r="N129" s="13">
        <v>90</v>
      </c>
      <c r="O129" s="13">
        <v>100</v>
      </c>
    </row>
    <row r="130" spans="3:15" x14ac:dyDescent="0.3">
      <c r="C130" s="6" t="s">
        <v>534</v>
      </c>
      <c r="E130" s="13">
        <v>100</v>
      </c>
    </row>
    <row r="131" spans="3:15" x14ac:dyDescent="0.3">
      <c r="C131" s="6" t="s">
        <v>535</v>
      </c>
      <c r="E131" s="13">
        <v>100</v>
      </c>
    </row>
    <row r="132" spans="3:15" x14ac:dyDescent="0.3">
      <c r="C132" s="6" t="s">
        <v>536</v>
      </c>
      <c r="E132" s="13">
        <v>100</v>
      </c>
    </row>
    <row r="133" spans="3:15" x14ac:dyDescent="0.3">
      <c r="C133" s="6" t="s">
        <v>537</v>
      </c>
      <c r="E133" s="13">
        <v>80</v>
      </c>
    </row>
    <row r="134" spans="3:15" x14ac:dyDescent="0.3">
      <c r="C134" s="6" t="s">
        <v>538</v>
      </c>
      <c r="E134" s="13">
        <v>20</v>
      </c>
    </row>
    <row r="135" spans="3:15" x14ac:dyDescent="0.3">
      <c r="C135" s="6" t="s">
        <v>539</v>
      </c>
      <c r="E135" s="13">
        <v>0.2</v>
      </c>
    </row>
    <row r="136" spans="3:15" x14ac:dyDescent="0.3">
      <c r="C136" s="6" t="s">
        <v>540</v>
      </c>
      <c r="E136" s="13">
        <v>0.15</v>
      </c>
    </row>
    <row r="137" spans="3:15" x14ac:dyDescent="0.3">
      <c r="C137" s="6" t="s">
        <v>541</v>
      </c>
      <c r="E137" s="13">
        <v>0.1</v>
      </c>
    </row>
    <row r="138" spans="3:15" x14ac:dyDescent="0.3">
      <c r="C138" s="6" t="s">
        <v>542</v>
      </c>
      <c r="E138" s="13">
        <v>0.15</v>
      </c>
    </row>
    <row r="139" spans="3:15" x14ac:dyDescent="0.3">
      <c r="C139" s="6" t="s">
        <v>543</v>
      </c>
      <c r="E139" s="13">
        <v>0.05</v>
      </c>
    </row>
    <row r="140" spans="3:15" x14ac:dyDescent="0.3">
      <c r="C140" s="6" t="s">
        <v>544</v>
      </c>
      <c r="E140" s="13">
        <v>0.05</v>
      </c>
    </row>
    <row r="141" spans="3:15" x14ac:dyDescent="0.3">
      <c r="C141" s="6" t="s">
        <v>545</v>
      </c>
      <c r="E141" s="13">
        <v>0.1</v>
      </c>
    </row>
    <row r="142" spans="3:15" x14ac:dyDescent="0.3">
      <c r="C142" s="6" t="s">
        <v>546</v>
      </c>
      <c r="E142" s="13">
        <v>0.05</v>
      </c>
    </row>
    <row r="143" spans="3:15" x14ac:dyDescent="0.3">
      <c r="C143" s="6" t="s">
        <v>547</v>
      </c>
      <c r="E143" s="13">
        <v>0.15</v>
      </c>
    </row>
    <row r="145" spans="3:3" x14ac:dyDescent="0.3">
      <c r="C145" s="64" t="s">
        <v>313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113</vt:i4>
      </vt:variant>
    </vt:vector>
  </HeadingPairs>
  <TitlesOfParts>
    <vt:vector size="115" baseType="lpstr">
      <vt:lpstr>Dashboard</vt:lpstr>
      <vt:lpstr>Inputs</vt:lpstr>
      <vt:lpstr>Balancing</vt:lpstr>
      <vt:lpstr>Bench_BESS</vt:lpstr>
      <vt:lpstr>Bench_Wind</vt:lpstr>
      <vt:lpstr>BESS_Capex</vt:lpstr>
      <vt:lpstr>Bid_Sec_Rate</vt:lpstr>
      <vt:lpstr>Capex_Civil</vt:lpstr>
      <vt:lpstr>Capex_Cont</vt:lpstr>
      <vt:lpstr>Capex_Elec</vt:lpstr>
      <vt:lpstr>Capex_Fdn</vt:lpstr>
      <vt:lpstr>Capex_Install</vt:lpstr>
      <vt:lpstr>Capex_Land</vt:lpstr>
      <vt:lpstr>Capex_Owner</vt:lpstr>
      <vt:lpstr>Case_CN</vt:lpstr>
      <vt:lpstr>Case_EU</vt:lpstr>
      <vt:lpstr>Case_OM</vt:lpstr>
      <vt:lpstr>Case_P50</vt:lpstr>
      <vt:lpstr>Case_PPA</vt:lpstr>
      <vt:lpstr>CIT_Rate</vt:lpstr>
      <vt:lpstr>Clipping</vt:lpstr>
      <vt:lpstr>Curtailment</vt:lpstr>
      <vt:lpstr>Dash_BESS_Share</vt:lpstr>
      <vt:lpstr>Dash_Brownfield</vt:lpstr>
      <vt:lpstr>Dash_Case</vt:lpstr>
      <vt:lpstr>Dash_Case_CN</vt:lpstr>
      <vt:lpstr>Dash_Case_EU</vt:lpstr>
      <vt:lpstr>Dash_Case_OM</vt:lpstr>
      <vt:lpstr>Dash_Case_P50</vt:lpstr>
      <vt:lpstr>Dash_Case_PPA</vt:lpstr>
      <vt:lpstr>Dash_Community</vt:lpstr>
      <vt:lpstr>Dash_DSA</vt:lpstr>
      <vt:lpstr>Dash_FEP_Share</vt:lpstr>
      <vt:lpstr>Dash_Hours</vt:lpstr>
      <vt:lpstr>Dash_JV</vt:lpstr>
      <vt:lpstr>Dash_Municipal</vt:lpstr>
      <vt:lpstr>Dash_MVA</vt:lpstr>
      <vt:lpstr>Dash_Overbuild</vt:lpstr>
      <vt:lpstr>Dash_P50</vt:lpstr>
      <vt:lpstr>Dash_Partial</vt:lpstr>
      <vt:lpstr>Dash_PB_Mult</vt:lpstr>
      <vt:lpstr>Dash_Premium</vt:lpstr>
      <vt:lpstr>Dash_Shared</vt:lpstr>
      <vt:lpstr>Dash_Shortfall</vt:lpstr>
      <vt:lpstr>Dash_Turbine</vt:lpstr>
      <vt:lpstr>Days_In_Year</vt:lpstr>
      <vt:lpstr>Degradation</vt:lpstr>
      <vt:lpstr>Devex_Class</vt:lpstr>
      <vt:lpstr>Devex_Date</vt:lpstr>
      <vt:lpstr>Devex_Floor</vt:lpstr>
      <vt:lpstr>Devex_HUF</vt:lpstr>
      <vt:lpstr>Discount_Rate</vt:lpstr>
      <vt:lpstr>DSA_Cap</vt:lpstr>
      <vt:lpstr>DSA_Rate</vt:lpstr>
      <vt:lpstr>First_Year</vt:lpstr>
      <vt:lpstr>Freeze_Date</vt:lpstr>
      <vt:lpstr>FX</vt:lpstr>
      <vt:lpstr>Grid_Charges</vt:lpstr>
      <vt:lpstr>HIPA_Rate</vt:lpstr>
      <vt:lpstr>Life</vt:lpstr>
      <vt:lpstr>Lump_Basis</vt:lpstr>
      <vt:lpstr>Master_Check</vt:lpstr>
      <vt:lpstr>MEKH_Fee</vt:lpstr>
      <vt:lpstr>Months_In_Year</vt:lpstr>
      <vt:lpstr>Opex_Admin</vt:lpstr>
      <vt:lpstr>Opex_BoP</vt:lpstr>
      <vt:lpstr>Opex_Cont</vt:lpstr>
      <vt:lpstr>Opex_Esc</vt:lpstr>
      <vt:lpstr>Opex_Ins</vt:lpstr>
      <vt:lpstr>Opex_Lease</vt:lpstr>
      <vt:lpstr>Opex_Mgmt</vt:lpstr>
      <vt:lpstr>Opex_Per_MW</vt:lpstr>
      <vt:lpstr>Opex_PropTax</vt:lpstr>
      <vt:lpstr>Osz1_Incl</vt:lpstr>
      <vt:lpstr>Osz1_LB</vt:lpstr>
      <vt:lpstr>Osz1_Pts</vt:lpstr>
      <vt:lpstr>Osz1_W</vt:lpstr>
      <vt:lpstr>Osz2_Incl</vt:lpstr>
      <vt:lpstr>Osz2_LB</vt:lpstr>
      <vt:lpstr>Osz2_Pts</vt:lpstr>
      <vt:lpstr>Osz2_W</vt:lpstr>
      <vt:lpstr>Osz3_Incl</vt:lpstr>
      <vt:lpstr>Osz3_LB</vt:lpstr>
      <vt:lpstr>Osz3_Pts</vt:lpstr>
      <vt:lpstr>Osz3_W</vt:lpstr>
      <vt:lpstr>Osz4_Incl</vt:lpstr>
      <vt:lpstr>Osz4_LB</vt:lpstr>
      <vt:lpstr>Osz4_Pts</vt:lpstr>
      <vt:lpstr>Osz4_W</vt:lpstr>
      <vt:lpstr>Osz5_Pts</vt:lpstr>
      <vt:lpstr>Osz5_W</vt:lpstr>
      <vt:lpstr>Osz6_Incl</vt:lpstr>
      <vt:lpstr>Osz6_LB</vt:lpstr>
      <vt:lpstr>Osz6_Pts</vt:lpstr>
      <vt:lpstr>Osz6_W</vt:lpstr>
      <vt:lpstr>Osz7_Pts</vt:lpstr>
      <vt:lpstr>Osz7_W</vt:lpstr>
      <vt:lpstr>Osz8_Pts</vt:lpstr>
      <vt:lpstr>Osz8_W</vt:lpstr>
      <vt:lpstr>Osz9_W</vt:lpstr>
      <vt:lpstr>Osz9a_Pts</vt:lpstr>
      <vt:lpstr>Osz9b_Pts</vt:lpstr>
      <vt:lpstr>Part_Fee</vt:lpstr>
      <vt:lpstr>PB_Rate</vt:lpstr>
      <vt:lpstr>PPA_Esc</vt:lpstr>
      <vt:lpstr>Rate_Cash</vt:lpstr>
      <vt:lpstr>Rate_Devex</vt:lpstr>
      <vt:lpstr>Sale_Costs</vt:lpstr>
      <vt:lpstr>Sale_Date</vt:lpstr>
      <vt:lpstr>Sale_Date_A</vt:lpstr>
      <vt:lpstr>Share_Exempt</vt:lpstr>
      <vt:lpstr>Subs_Lump</vt:lpstr>
      <vt:lpstr>Thousand</vt:lpstr>
      <vt:lpstr>Tolerance</vt:lpstr>
      <vt:lpstr>TSO_Rate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Zádeczki Zalán</cp:lastModifiedBy>
  <dcterms:modified xsi:type="dcterms:W3CDTF">2026-10-28T19:53:48Z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2026-10-27T15:34:29Z</dcterms:created>
  <dc:creator>openpyxl</dc:creator>
  <dc:description/>
  <dc:language>en-US</dc:language>
  <cp:lastModifiedBy>Zádeczki Zalán</cp:lastModifiedBy>
  <dcterms:modified xsi:type="dcterms:W3CDTF">2026-10-28T19:37:56Z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0x010100CB25C80BA76C054AAAC0D3CDDFCEC309</vt:lpwstr>
  </property>
  <property fmtid="{D5CDD505-2E9C-101B-9397-08002B2CF9AE}" pid="3" name="MediaServiceImageTags">
    <vt:lpwstr/>
  </property>
</Properties>
</file>