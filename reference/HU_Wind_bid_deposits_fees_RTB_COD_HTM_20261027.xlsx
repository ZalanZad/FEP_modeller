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adeczkiz\Downloads\"/>
    </mc:Choice>
  </mc:AlternateContent>
  <xr:revisionPtr revIDLastSave="0" documentId="13_ncr:1_{A8D60AA8-AA04-4B93-AB3D-B778AA7BB1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d_Cash" sheetId="1" r:id="rId1"/>
  </sheets>
  <definedNames>
    <definedName name="Days_In_Year">Bid_Cash!$K$30</definedName>
    <definedName name="Master_Check">Bid_Cash!$G$335</definedName>
    <definedName name="Months_In_Year">Bid_Cash!$E$91</definedName>
    <definedName name="Osz1_Incl">Bid_Cash!$K$4:$S$4</definedName>
    <definedName name="Osz1_LB">Bid_Cash!$K$3:$S$3</definedName>
    <definedName name="Osz1_Pts">Bid_Cash!$K$5:$T$5</definedName>
    <definedName name="Osz1_W">Bid_Cash!$K$20</definedName>
    <definedName name="Osz2_Incl">Bid_Cash!$K$7:$U$7</definedName>
    <definedName name="Osz2_LB">Bid_Cash!$K$6:$U$6</definedName>
    <definedName name="Osz2_Pts">Bid_Cash!$K$8:$V$8</definedName>
    <definedName name="Osz2_W">Bid_Cash!$K$21</definedName>
    <definedName name="Osz3_Incl">Bid_Cash!$K$10:$T$10</definedName>
    <definedName name="Osz3_LB">Bid_Cash!$K$9:$T$9</definedName>
    <definedName name="Osz3_Pts">Bid_Cash!$K$11:$U$11</definedName>
    <definedName name="Osz3_W">Bid_Cash!$K$22</definedName>
    <definedName name="Osz4_W">Bid_Cash!$K$23</definedName>
    <definedName name="Osz5_Pts">Bid_Cash!$K$15</definedName>
    <definedName name="Osz5_W">Bid_Cash!$K$24</definedName>
    <definedName name="Osz6_Incl">Bid_Cash!$K$13:$T$13</definedName>
    <definedName name="Osz6_LB">Bid_Cash!$K$12:$T$12</definedName>
    <definedName name="Osz6_Pts">Bid_Cash!$K$14:$U$14</definedName>
    <definedName name="Osz6_W">Bid_Cash!$K$25</definedName>
    <definedName name="Osz7_Pts">Bid_Cash!$K$16</definedName>
    <definedName name="Osz7_W">Bid_Cash!$K$26</definedName>
    <definedName name="Osz8_Pts">Bid_Cash!$K$17</definedName>
    <definedName name="Osz8_W">Bid_Cash!$K$27</definedName>
    <definedName name="Osz9_W">Bid_Cash!$K$28</definedName>
    <definedName name="Osz9a_Pts">Bid_Cash!$K$18</definedName>
    <definedName name="Osz9b_Pts">Bid_Cash!$K$19</definedName>
    <definedName name="Thousand">Bid_Cash!$K$29</definedName>
    <definedName name="Tolerance">Bid_Cash!$E$92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7" i="1" l="1"/>
  <c r="F97" i="1"/>
  <c r="E330" i="1"/>
  <c r="G330" i="1" s="1"/>
  <c r="E251" i="1"/>
  <c r="E249" i="1"/>
  <c r="BC246" i="1"/>
  <c r="AT246" i="1"/>
  <c r="AT249" i="1" s="1"/>
  <c r="AT250" i="1" s="1"/>
  <c r="E246" i="1"/>
  <c r="F206" i="1"/>
  <c r="E206" i="1"/>
  <c r="F201" i="1"/>
  <c r="E201" i="1"/>
  <c r="H170" i="1"/>
  <c r="H169" i="1"/>
  <c r="H168" i="1"/>
  <c r="H167" i="1"/>
  <c r="H166" i="1"/>
  <c r="H165" i="1"/>
  <c r="H164" i="1"/>
  <c r="H163" i="1"/>
  <c r="H162" i="1"/>
  <c r="F162" i="1"/>
  <c r="E162" i="1"/>
  <c r="F149" i="1"/>
  <c r="E149" i="1"/>
  <c r="X145" i="1"/>
  <c r="H145" i="1"/>
  <c r="Y145" i="1" s="1"/>
  <c r="X144" i="1"/>
  <c r="H144" i="1"/>
  <c r="Y144" i="1" s="1"/>
  <c r="X143" i="1"/>
  <c r="H143" i="1"/>
  <c r="Y143" i="1" s="1"/>
  <c r="X142" i="1"/>
  <c r="H142" i="1"/>
  <c r="Y142" i="1" s="1"/>
  <c r="X141" i="1"/>
  <c r="H141" i="1"/>
  <c r="Y141" i="1" s="1"/>
  <c r="X140" i="1"/>
  <c r="H140" i="1"/>
  <c r="Y140" i="1" s="1"/>
  <c r="X139" i="1"/>
  <c r="H139" i="1"/>
  <c r="Y139" i="1" s="1"/>
  <c r="E138" i="1"/>
  <c r="AA142" i="1" s="1"/>
  <c r="H76" i="1"/>
  <c r="H75" i="1"/>
  <c r="H74" i="1"/>
  <c r="H73" i="1"/>
  <c r="H72" i="1"/>
  <c r="H71" i="1"/>
  <c r="F66" i="1"/>
  <c r="F77" i="1" s="1"/>
  <c r="E66" i="1"/>
  <c r="H65" i="1"/>
  <c r="E65" i="1"/>
  <c r="H64" i="1"/>
  <c r="F64" i="1"/>
  <c r="F75" i="1" s="1"/>
  <c r="F167" i="1" s="1"/>
  <c r="E64" i="1"/>
  <c r="E75" i="1" s="1"/>
  <c r="H63" i="1"/>
  <c r="F63" i="1"/>
  <c r="F74" i="1" s="1"/>
  <c r="E63" i="1"/>
  <c r="H62" i="1"/>
  <c r="H61" i="1"/>
  <c r="H60" i="1"/>
  <c r="F60" i="1"/>
  <c r="F71" i="1" s="1"/>
  <c r="E60" i="1"/>
  <c r="E71" i="1" s="1"/>
  <c r="G71" i="1" s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 a="1"/>
  <c r="E22" i="1" s="1"/>
  <c r="F21" i="1"/>
  <c r="E21" i="1"/>
  <c r="F18" i="1"/>
  <c r="F19" i="1" s="1"/>
  <c r="F203" i="1" s="1"/>
  <c r="E18" i="1"/>
  <c r="E19" i="1" s="1"/>
  <c r="E203" i="1" s="1"/>
  <c r="F17" i="1"/>
  <c r="F193" i="1" s="1"/>
  <c r="F197" i="1" s="1"/>
  <c r="E17" i="1"/>
  <c r="G64" i="1" l="1"/>
  <c r="AQ246" i="1"/>
  <c r="BE246" i="1"/>
  <c r="G75" i="1"/>
  <c r="Z143" i="1"/>
  <c r="AS246" i="1"/>
  <c r="AS249" i="1" s="1"/>
  <c r="AS250" i="1" s="1"/>
  <c r="G203" i="1"/>
  <c r="G149" i="1"/>
  <c r="AQ251" i="1"/>
  <c r="AQ252" i="1" s="1"/>
  <c r="AQ247" i="1"/>
  <c r="F31" i="1"/>
  <c r="Z144" i="1"/>
  <c r="AB246" i="1"/>
  <c r="AB251" i="1" s="1"/>
  <c r="AB252" i="1" s="1"/>
  <c r="AC246" i="1"/>
  <c r="AC251" i="1" s="1"/>
  <c r="AC252" i="1" s="1"/>
  <c r="E31" i="1"/>
  <c r="G201" i="1"/>
  <c r="Z139" i="1"/>
  <c r="Z140" i="1"/>
  <c r="Z145" i="1"/>
  <c r="AA246" i="1"/>
  <c r="AA248" i="1" s="1"/>
  <c r="AM246" i="1"/>
  <c r="Z141" i="1"/>
  <c r="AN246" i="1"/>
  <c r="AN248" i="1" s="1"/>
  <c r="AN297" i="1" s="1"/>
  <c r="Z142" i="1"/>
  <c r="AS251" i="1"/>
  <c r="AS252" i="1" s="1"/>
  <c r="F196" i="1"/>
  <c r="F195" i="1"/>
  <c r="F194" i="1"/>
  <c r="F199" i="1"/>
  <c r="F200" i="1"/>
  <c r="F198" i="1"/>
  <c r="AA139" i="1"/>
  <c r="BC249" i="1"/>
  <c r="BC250" i="1" s="1"/>
  <c r="BC251" i="1"/>
  <c r="BC252" i="1" s="1"/>
  <c r="BE248" i="1"/>
  <c r="BE249" i="1"/>
  <c r="BE250" i="1" s="1"/>
  <c r="BE251" i="1"/>
  <c r="BE252" i="1" s="1"/>
  <c r="F207" i="1"/>
  <c r="E76" i="1"/>
  <c r="AB142" i="1"/>
  <c r="G66" i="1"/>
  <c r="E77" i="1"/>
  <c r="E207" i="1" s="1"/>
  <c r="AQ316" i="1"/>
  <c r="AQ280" i="1"/>
  <c r="AB139" i="1"/>
  <c r="AA143" i="1"/>
  <c r="G63" i="1"/>
  <c r="E74" i="1"/>
  <c r="AM249" i="1"/>
  <c r="AM250" i="1" s="1"/>
  <c r="AM251" i="1"/>
  <c r="AM252" i="1" s="1"/>
  <c r="AM248" i="1"/>
  <c r="AM247" i="1"/>
  <c r="AS247" i="1"/>
  <c r="E61" i="1"/>
  <c r="E193" i="1"/>
  <c r="E163" i="1"/>
  <c r="AN253" i="1"/>
  <c r="AN261" i="1"/>
  <c r="AN301" i="1"/>
  <c r="AN302" i="1" s="1"/>
  <c r="AN265" i="1"/>
  <c r="AN267" i="1" s="1"/>
  <c r="E62" i="1"/>
  <c r="E67" i="1" s="1"/>
  <c r="E78" i="1" s="1"/>
  <c r="F169" i="1"/>
  <c r="AB247" i="1"/>
  <c r="AB248" i="1"/>
  <c r="AB249" i="1"/>
  <c r="AB250" i="1" s="1"/>
  <c r="BC248" i="1"/>
  <c r="F166" i="1"/>
  <c r="E329" i="1"/>
  <c r="G329" i="1" s="1"/>
  <c r="AB141" i="1"/>
  <c r="AB144" i="1"/>
  <c r="AA141" i="1"/>
  <c r="AC141" i="1" s="1"/>
  <c r="AA144" i="1"/>
  <c r="AB140" i="1"/>
  <c r="AB145" i="1"/>
  <c r="AA140" i="1"/>
  <c r="AA145" i="1"/>
  <c r="AB143" i="1"/>
  <c r="AC143" i="1" s="1"/>
  <c r="F163" i="1"/>
  <c r="AN247" i="1"/>
  <c r="AN251" i="1"/>
  <c r="AN252" i="1" s="1"/>
  <c r="AN299" i="1" s="1"/>
  <c r="BC247" i="1"/>
  <c r="AQ249" i="1"/>
  <c r="AQ250" i="1" s="1"/>
  <c r="AQ248" i="1"/>
  <c r="BE247" i="1"/>
  <c r="F61" i="1"/>
  <c r="F72" i="1" s="1"/>
  <c r="F62" i="1"/>
  <c r="F73" i="1" s="1"/>
  <c r="F65" i="1"/>
  <c r="F76" i="1" s="1"/>
  <c r="F205" i="1" s="1"/>
  <c r="E167" i="1"/>
  <c r="G167" i="1" s="1"/>
  <c r="BD246" i="1"/>
  <c r="AR246" i="1"/>
  <c r="AF246" i="1"/>
  <c r="AY246" i="1"/>
  <c r="AL246" i="1"/>
  <c r="Y246" i="1"/>
  <c r="AX246" i="1"/>
  <c r="AK246" i="1"/>
  <c r="X246" i="1"/>
  <c r="AV246" i="1"/>
  <c r="AI246" i="1"/>
  <c r="AO246" i="1"/>
  <c r="BF246" i="1"/>
  <c r="Z246" i="1"/>
  <c r="AP246" i="1"/>
  <c r="BG246" i="1"/>
  <c r="AT251" i="1"/>
  <c r="AT252" i="1" s="1"/>
  <c r="AT248" i="1"/>
  <c r="G60" i="1"/>
  <c r="AW246" i="1"/>
  <c r="G162" i="1"/>
  <c r="G206" i="1"/>
  <c r="AG246" i="1"/>
  <c r="AZ246" i="1"/>
  <c r="AU246" i="1"/>
  <c r="AE246" i="1"/>
  <c r="AH246" i="1"/>
  <c r="BA246" i="1"/>
  <c r="AT247" i="1"/>
  <c r="AD246" i="1"/>
  <c r="AJ246" i="1"/>
  <c r="BB246" i="1"/>
  <c r="AN259" i="1" l="1"/>
  <c r="AS248" i="1"/>
  <c r="AC142" i="1"/>
  <c r="F142" i="1" s="1"/>
  <c r="AC249" i="1"/>
  <c r="AC250" i="1" s="1"/>
  <c r="AA247" i="1"/>
  <c r="AA316" i="1" s="1"/>
  <c r="AC247" i="1"/>
  <c r="AC316" i="1" s="1"/>
  <c r="AC144" i="1"/>
  <c r="E144" i="1" s="1"/>
  <c r="AC145" i="1"/>
  <c r="F145" i="1" s="1"/>
  <c r="AC140" i="1"/>
  <c r="F140" i="1" s="1"/>
  <c r="AC248" i="1"/>
  <c r="AC301" i="1" s="1"/>
  <c r="AA251" i="1"/>
  <c r="AA252" i="1" s="1"/>
  <c r="AA299" i="1" s="1"/>
  <c r="AN249" i="1"/>
  <c r="AN250" i="1" s="1"/>
  <c r="AA249" i="1"/>
  <c r="AA250" i="1" s="1"/>
  <c r="G207" i="1"/>
  <c r="AC139" i="1"/>
  <c r="E139" i="1" s="1"/>
  <c r="E150" i="1"/>
  <c r="F143" i="1"/>
  <c r="E143" i="1"/>
  <c r="X251" i="1"/>
  <c r="X252" i="1" s="1"/>
  <c r="X249" i="1"/>
  <c r="X250" i="1" s="1"/>
  <c r="X247" i="1"/>
  <c r="X248" i="1"/>
  <c r="AZ249" i="1"/>
  <c r="AZ250" i="1" s="1"/>
  <c r="AZ248" i="1"/>
  <c r="AZ247" i="1"/>
  <c r="AZ251" i="1"/>
  <c r="AZ252" i="1" s="1"/>
  <c r="AK251" i="1"/>
  <c r="AK252" i="1" s="1"/>
  <c r="AK249" i="1"/>
  <c r="AK250" i="1" s="1"/>
  <c r="AK247" i="1"/>
  <c r="AK248" i="1"/>
  <c r="BC293" i="1"/>
  <c r="AQ293" i="1"/>
  <c r="AE293" i="1"/>
  <c r="BB293" i="1"/>
  <c r="AP293" i="1"/>
  <c r="AD293" i="1"/>
  <c r="BA293" i="1"/>
  <c r="AO293" i="1"/>
  <c r="AC293" i="1"/>
  <c r="AZ293" i="1"/>
  <c r="AN293" i="1"/>
  <c r="AB293" i="1"/>
  <c r="AY293" i="1"/>
  <c r="AI293" i="1"/>
  <c r="AW293" i="1"/>
  <c r="AG293" i="1"/>
  <c r="AU293" i="1"/>
  <c r="AA293" i="1"/>
  <c r="AL293" i="1"/>
  <c r="AK293" i="1"/>
  <c r="BE293" i="1"/>
  <c r="AF293" i="1"/>
  <c r="AJ293" i="1"/>
  <c r="AH293" i="1"/>
  <c r="Z293" i="1"/>
  <c r="BF293" i="1"/>
  <c r="X293" i="1"/>
  <c r="AT293" i="1"/>
  <c r="AR293" i="1"/>
  <c r="AM293" i="1"/>
  <c r="Y293" i="1"/>
  <c r="BD293" i="1"/>
  <c r="AX293" i="1"/>
  <c r="F164" i="1"/>
  <c r="AQ292" i="1" s="1"/>
  <c r="AV293" i="1"/>
  <c r="BG293" i="1"/>
  <c r="AS293" i="1"/>
  <c r="AG249" i="1"/>
  <c r="AG250" i="1" s="1"/>
  <c r="AG248" i="1"/>
  <c r="AG247" i="1"/>
  <c r="AG251" i="1"/>
  <c r="AG252" i="1" s="1"/>
  <c r="AX251" i="1"/>
  <c r="AX252" i="1" s="1"/>
  <c r="AX248" i="1"/>
  <c r="AX247" i="1"/>
  <c r="AX249" i="1"/>
  <c r="AX250" i="1" s="1"/>
  <c r="AN298" i="1"/>
  <c r="F165" i="1"/>
  <c r="AD292" i="1" s="1"/>
  <c r="F141" i="1"/>
  <c r="G76" i="1"/>
  <c r="E168" i="1"/>
  <c r="BB247" i="1"/>
  <c r="BB248" i="1"/>
  <c r="BB249" i="1"/>
  <c r="BB250" i="1" s="1"/>
  <c r="BB251" i="1"/>
  <c r="BB252" i="1" s="1"/>
  <c r="Y251" i="1"/>
  <c r="Y252" i="1" s="1"/>
  <c r="Y247" i="1"/>
  <c r="Y249" i="1"/>
  <c r="Y250" i="1" s="1"/>
  <c r="Y248" i="1"/>
  <c r="AT301" i="1"/>
  <c r="AT297" i="1"/>
  <c r="AT298" i="1" s="1"/>
  <c r="AT263" i="1"/>
  <c r="AT261" i="1"/>
  <c r="AT262" i="1" s="1"/>
  <c r="AT253" i="1"/>
  <c r="AT299" i="1"/>
  <c r="AT265" i="1"/>
  <c r="AT267" i="1" s="1"/>
  <c r="BE280" i="1"/>
  <c r="BE316" i="1"/>
  <c r="AJ249" i="1"/>
  <c r="AJ250" i="1" s="1"/>
  <c r="AJ251" i="1"/>
  <c r="AJ252" i="1" s="1"/>
  <c r="AJ247" i="1"/>
  <c r="AJ248" i="1"/>
  <c r="AL251" i="1"/>
  <c r="AL252" i="1" s="1"/>
  <c r="AL247" i="1"/>
  <c r="AL248" i="1"/>
  <c r="AL249" i="1"/>
  <c r="AL250" i="1" s="1"/>
  <c r="AD248" i="1"/>
  <c r="AD249" i="1"/>
  <c r="AD250" i="1" s="1"/>
  <c r="AD247" i="1"/>
  <c r="AD251" i="1"/>
  <c r="AD252" i="1" s="1"/>
  <c r="AA280" i="1"/>
  <c r="Z249" i="1"/>
  <c r="Z250" i="1" s="1"/>
  <c r="Z248" i="1"/>
  <c r="Z251" i="1"/>
  <c r="Z252" i="1" s="1"/>
  <c r="Z247" i="1"/>
  <c r="AR248" i="1"/>
  <c r="AR247" i="1"/>
  <c r="AR249" i="1"/>
  <c r="AR250" i="1" s="1"/>
  <c r="AR251" i="1"/>
  <c r="AR252" i="1" s="1"/>
  <c r="AB316" i="1"/>
  <c r="AB280" i="1"/>
  <c r="AM316" i="1"/>
  <c r="AM280" i="1"/>
  <c r="AC297" i="1"/>
  <c r="AC298" i="1" s="1"/>
  <c r="AN295" i="1"/>
  <c r="BF248" i="1"/>
  <c r="BF251" i="1"/>
  <c r="BF252" i="1" s="1"/>
  <c r="BF247" i="1"/>
  <c r="BF249" i="1"/>
  <c r="BF250" i="1" s="1"/>
  <c r="BD248" i="1"/>
  <c r="BD247" i="1"/>
  <c r="BD251" i="1"/>
  <c r="BD252" i="1" s="1"/>
  <c r="BD249" i="1"/>
  <c r="BD250" i="1" s="1"/>
  <c r="BC316" i="1"/>
  <c r="BC280" i="1"/>
  <c r="AN303" i="1"/>
  <c r="AM299" i="1"/>
  <c r="AM297" i="1"/>
  <c r="AM298" i="1" s="1"/>
  <c r="AM265" i="1"/>
  <c r="AM267" i="1" s="1"/>
  <c r="AM261" i="1"/>
  <c r="AM262" i="1" s="1"/>
  <c r="AM263" i="1"/>
  <c r="AM253" i="1"/>
  <c r="AM301" i="1"/>
  <c r="E169" i="1"/>
  <c r="G169" i="1" s="1"/>
  <c r="G77" i="1"/>
  <c r="AE249" i="1"/>
  <c r="AE250" i="1" s="1"/>
  <c r="AE248" i="1"/>
  <c r="AE251" i="1"/>
  <c r="AE252" i="1" s="1"/>
  <c r="AE247" i="1"/>
  <c r="AO251" i="1"/>
  <c r="AO252" i="1" s="1"/>
  <c r="AO247" i="1"/>
  <c r="AO248" i="1"/>
  <c r="AO249" i="1"/>
  <c r="AO250" i="1" s="1"/>
  <c r="AN263" i="1"/>
  <c r="AS299" i="1"/>
  <c r="AS265" i="1"/>
  <c r="AS267" i="1" s="1"/>
  <c r="AS297" i="1"/>
  <c r="AS298" i="1" s="1"/>
  <c r="AS263" i="1"/>
  <c r="AS253" i="1"/>
  <c r="AS301" i="1"/>
  <c r="AS261" i="1"/>
  <c r="AS262" i="1" s="1"/>
  <c r="E73" i="1"/>
  <c r="G62" i="1"/>
  <c r="AQ299" i="1"/>
  <c r="AQ297" i="1"/>
  <c r="AQ298" i="1" s="1"/>
  <c r="AQ265" i="1"/>
  <c r="AQ267" i="1" s="1"/>
  <c r="AQ253" i="1"/>
  <c r="AQ263" i="1"/>
  <c r="AQ261" i="1"/>
  <c r="AQ262" i="1" s="1"/>
  <c r="AQ301" i="1"/>
  <c r="BC265" i="1"/>
  <c r="BC267" i="1" s="1"/>
  <c r="BC301" i="1"/>
  <c r="BC261" i="1"/>
  <c r="BC262" i="1" s="1"/>
  <c r="BC297" i="1"/>
  <c r="BC298" i="1" s="1"/>
  <c r="BC299" i="1"/>
  <c r="BC253" i="1"/>
  <c r="BC263" i="1"/>
  <c r="BE266" i="1"/>
  <c r="AN266" i="1"/>
  <c r="E200" i="1"/>
  <c r="G200" i="1" s="1"/>
  <c r="E196" i="1"/>
  <c r="G196" i="1" s="1"/>
  <c r="E197" i="1"/>
  <c r="G197" i="1" s="1"/>
  <c r="E195" i="1"/>
  <c r="G195" i="1" s="1"/>
  <c r="E194" i="1"/>
  <c r="E198" i="1"/>
  <c r="G198" i="1" s="1"/>
  <c r="AB266" i="1"/>
  <c r="E199" i="1"/>
  <c r="G199" i="1" s="1"/>
  <c r="AN262" i="1"/>
  <c r="G193" i="1"/>
  <c r="BC266" i="1"/>
  <c r="F67" i="1"/>
  <c r="F78" i="1" s="1"/>
  <c r="F150" i="1" s="1"/>
  <c r="F151" i="1" s="1"/>
  <c r="AY251" i="1"/>
  <c r="AY252" i="1" s="1"/>
  <c r="AY247" i="1"/>
  <c r="AY248" i="1"/>
  <c r="AY249" i="1"/>
  <c r="AY250" i="1" s="1"/>
  <c r="AA297" i="1"/>
  <c r="AA298" i="1" s="1"/>
  <c r="AA265" i="1"/>
  <c r="AA267" i="1" s="1"/>
  <c r="AA261" i="1"/>
  <c r="AA262" i="1" s="1"/>
  <c r="AA301" i="1"/>
  <c r="AA253" i="1"/>
  <c r="AA263" i="1"/>
  <c r="BE299" i="1"/>
  <c r="BE297" i="1"/>
  <c r="BE298" i="1" s="1"/>
  <c r="BE261" i="1"/>
  <c r="BE262" i="1" s="1"/>
  <c r="BE253" i="1"/>
  <c r="BE301" i="1"/>
  <c r="BE265" i="1"/>
  <c r="BE267" i="1" s="1"/>
  <c r="BE263" i="1"/>
  <c r="AP247" i="1"/>
  <c r="AP251" i="1"/>
  <c r="AP252" i="1" s="1"/>
  <c r="AP248" i="1"/>
  <c r="AP249" i="1"/>
  <c r="AP250" i="1" s="1"/>
  <c r="AF248" i="1"/>
  <c r="AF247" i="1"/>
  <c r="AF249" i="1"/>
  <c r="AF250" i="1" s="1"/>
  <c r="AF251" i="1"/>
  <c r="AF252" i="1" s="1"/>
  <c r="AB297" i="1"/>
  <c r="AB298" i="1" s="1"/>
  <c r="AB301" i="1"/>
  <c r="AB265" i="1"/>
  <c r="AB267" i="1" s="1"/>
  <c r="AB299" i="1"/>
  <c r="AB253" i="1"/>
  <c r="AB263" i="1"/>
  <c r="AB261" i="1"/>
  <c r="AB262" i="1" s="1"/>
  <c r="AS280" i="1"/>
  <c r="AS316" i="1"/>
  <c r="BA251" i="1"/>
  <c r="BA252" i="1" s="1"/>
  <c r="BA247" i="1"/>
  <c r="BA249" i="1"/>
  <c r="BA250" i="1" s="1"/>
  <c r="BA248" i="1"/>
  <c r="F202" i="1"/>
  <c r="F204" i="1" s="1"/>
  <c r="AN316" i="1"/>
  <c r="AN280" i="1"/>
  <c r="E205" i="1"/>
  <c r="G205" i="1" s="1"/>
  <c r="E166" i="1"/>
  <c r="G166" i="1" s="1"/>
  <c r="E142" i="1"/>
  <c r="G142" i="1" s="1"/>
  <c r="G74" i="1"/>
  <c r="G163" i="1"/>
  <c r="BG249" i="1"/>
  <c r="BG250" i="1" s="1"/>
  <c r="BG251" i="1"/>
  <c r="BG252" i="1" s="1"/>
  <c r="BG247" i="1"/>
  <c r="BG248" i="1"/>
  <c r="G61" i="1"/>
  <c r="E72" i="1"/>
  <c r="AT280" i="1"/>
  <c r="AT316" i="1"/>
  <c r="AW249" i="1"/>
  <c r="AW250" i="1" s="1"/>
  <c r="AW248" i="1"/>
  <c r="AW247" i="1"/>
  <c r="AW251" i="1"/>
  <c r="AW252" i="1" s="1"/>
  <c r="AU249" i="1"/>
  <c r="AU250" i="1" s="1"/>
  <c r="AU248" i="1"/>
  <c r="AU247" i="1"/>
  <c r="AU251" i="1"/>
  <c r="AU252" i="1" s="1"/>
  <c r="AI251" i="1"/>
  <c r="AI252" i="1" s="1"/>
  <c r="AI248" i="1"/>
  <c r="AI247" i="1"/>
  <c r="AI249" i="1"/>
  <c r="AI250" i="1" s="1"/>
  <c r="AH249" i="1"/>
  <c r="AH250" i="1" s="1"/>
  <c r="AH248" i="1"/>
  <c r="AH247" i="1"/>
  <c r="AH251" i="1"/>
  <c r="AH252" i="1" s="1"/>
  <c r="AV251" i="1"/>
  <c r="AV252" i="1" s="1"/>
  <c r="AV249" i="1"/>
  <c r="AV250" i="1" s="1"/>
  <c r="AV248" i="1"/>
  <c r="AV247" i="1"/>
  <c r="F168" i="1"/>
  <c r="G65" i="1"/>
  <c r="AC280" i="1" l="1"/>
  <c r="F144" i="1"/>
  <c r="AC253" i="1"/>
  <c r="AC259" i="1" s="1"/>
  <c r="AC265" i="1"/>
  <c r="AC267" i="1" s="1"/>
  <c r="AC299" i="1"/>
  <c r="AC263" i="1"/>
  <c r="F154" i="1"/>
  <c r="F215" i="1"/>
  <c r="E145" i="1"/>
  <c r="G145" i="1" s="1"/>
  <c r="AC261" i="1"/>
  <c r="AC262" i="1" s="1"/>
  <c r="G67" i="1"/>
  <c r="BA292" i="1"/>
  <c r="AC266" i="1"/>
  <c r="F139" i="1"/>
  <c r="AT304" i="1"/>
  <c r="AT300" i="1"/>
  <c r="AT307" i="1"/>
  <c r="AT271" i="1"/>
  <c r="AT264" i="1"/>
  <c r="AT268" i="1"/>
  <c r="AA304" i="1"/>
  <c r="AA307" i="1"/>
  <c r="AA300" i="1"/>
  <c r="AM264" i="1"/>
  <c r="AM268" i="1"/>
  <c r="AM271" i="1"/>
  <c r="AB268" i="1"/>
  <c r="AB271" i="1"/>
  <c r="AB264" i="1"/>
  <c r="AQ307" i="1"/>
  <c r="AQ304" i="1"/>
  <c r="AQ300" i="1"/>
  <c r="BE271" i="1"/>
  <c r="BE264" i="1"/>
  <c r="BE268" i="1"/>
  <c r="AQ271" i="1"/>
  <c r="AQ268" i="1"/>
  <c r="AQ264" i="1"/>
  <c r="AS271" i="1"/>
  <c r="AS264" i="1"/>
  <c r="AS268" i="1"/>
  <c r="BE304" i="1"/>
  <c r="BE300" i="1"/>
  <c r="BE307" i="1"/>
  <c r="AV280" i="1"/>
  <c r="AV316" i="1"/>
  <c r="BE259" i="1"/>
  <c r="BE295" i="1"/>
  <c r="AU292" i="1"/>
  <c r="BB294" i="1"/>
  <c r="AP294" i="1"/>
  <c r="AD294" i="1"/>
  <c r="BA294" i="1"/>
  <c r="AO294" i="1"/>
  <c r="AC294" i="1"/>
  <c r="AZ294" i="1"/>
  <c r="AN294" i="1"/>
  <c r="AB294" i="1"/>
  <c r="AY294" i="1"/>
  <c r="AM294" i="1"/>
  <c r="AA294" i="1"/>
  <c r="AX294" i="1"/>
  <c r="AH294" i="1"/>
  <c r="AV294" i="1"/>
  <c r="AF294" i="1"/>
  <c r="AT294" i="1"/>
  <c r="Z294" i="1"/>
  <c r="AW294" i="1"/>
  <c r="X294" i="1"/>
  <c r="AU294" i="1"/>
  <c r="AQ294" i="1"/>
  <c r="AG294" i="1"/>
  <c r="BG294" i="1"/>
  <c r="AE294" i="1"/>
  <c r="BF294" i="1"/>
  <c r="Y294" i="1"/>
  <c r="BD294" i="1"/>
  <c r="AL294" i="1"/>
  <c r="BE294" i="1"/>
  <c r="AJ294" i="1"/>
  <c r="BC294" i="1"/>
  <c r="AR294" i="1"/>
  <c r="AS294" i="1"/>
  <c r="AK294" i="1"/>
  <c r="F208" i="1"/>
  <c r="AI294" i="1"/>
  <c r="BD292" i="1"/>
  <c r="AQ303" i="1"/>
  <c r="AQ302" i="1"/>
  <c r="AC303" i="1"/>
  <c r="AC302" i="1"/>
  <c r="AR280" i="1"/>
  <c r="AR316" i="1"/>
  <c r="AG280" i="1"/>
  <c r="AG316" i="1"/>
  <c r="X292" i="1"/>
  <c r="AK316" i="1"/>
  <c r="AK280" i="1"/>
  <c r="AU316" i="1"/>
  <c r="AU280" i="1"/>
  <c r="AG292" i="1"/>
  <c r="BA299" i="1"/>
  <c r="BA301" i="1"/>
  <c r="BA261" i="1"/>
  <c r="BA262" i="1" s="1"/>
  <c r="BA297" i="1"/>
  <c r="BA265" i="1"/>
  <c r="BA263" i="1"/>
  <c r="BA253" i="1"/>
  <c r="AB303" i="1"/>
  <c r="AB302" i="1"/>
  <c r="AN268" i="1"/>
  <c r="AN271" i="1"/>
  <c r="AN264" i="1"/>
  <c r="AS303" i="1"/>
  <c r="AS302" i="1"/>
  <c r="AM303" i="1"/>
  <c r="AM302" i="1"/>
  <c r="BD280" i="1"/>
  <c r="BD316" i="1"/>
  <c r="AC307" i="1"/>
  <c r="AC304" i="1"/>
  <c r="AC300" i="1"/>
  <c r="AR301" i="1"/>
  <c r="AR297" i="1"/>
  <c r="AR298" i="1" s="1"/>
  <c r="AR265" i="1"/>
  <c r="AR253" i="1"/>
  <c r="AR261" i="1"/>
  <c r="AR262" i="1" s="1"/>
  <c r="AR263" i="1"/>
  <c r="AR299" i="1"/>
  <c r="AD280" i="1"/>
  <c r="AD316" i="1"/>
  <c r="Y316" i="1"/>
  <c r="Y280" i="1"/>
  <c r="AN307" i="1"/>
  <c r="AN304" i="1"/>
  <c r="AN300" i="1"/>
  <c r="AG301" i="1"/>
  <c r="AG299" i="1"/>
  <c r="AG265" i="1"/>
  <c r="AG261" i="1"/>
  <c r="AG262" i="1" s="1"/>
  <c r="AG297" i="1"/>
  <c r="AG263" i="1"/>
  <c r="AG253" i="1"/>
  <c r="X301" i="1"/>
  <c r="X299" i="1"/>
  <c r="X297" i="1"/>
  <c r="X298" i="1" s="1"/>
  <c r="X265" i="1"/>
  <c r="X261" i="1"/>
  <c r="X262" i="1" s="1"/>
  <c r="X253" i="1"/>
  <c r="X263" i="1"/>
  <c r="AH280" i="1"/>
  <c r="AH316" i="1"/>
  <c r="AU301" i="1"/>
  <c r="AU299" i="1"/>
  <c r="AU261" i="1"/>
  <c r="AU262" i="1" s="1"/>
  <c r="AU297" i="1"/>
  <c r="AU298" i="1" s="1"/>
  <c r="AU263" i="1"/>
  <c r="AU265" i="1"/>
  <c r="AU253" i="1"/>
  <c r="AB300" i="1"/>
  <c r="AB307" i="1"/>
  <c r="AB304" i="1"/>
  <c r="BD262" i="1"/>
  <c r="AT266" i="1"/>
  <c r="AS295" i="1"/>
  <c r="AS259" i="1"/>
  <c r="AE280" i="1"/>
  <c r="AE316" i="1"/>
  <c r="AM295" i="1"/>
  <c r="AM259" i="1"/>
  <c r="BD301" i="1"/>
  <c r="BD299" i="1"/>
  <c r="BD261" i="1"/>
  <c r="BD253" i="1"/>
  <c r="BD297" i="1"/>
  <c r="BD298" i="1" s="1"/>
  <c r="BD265" i="1"/>
  <c r="BD263" i="1"/>
  <c r="Z316" i="1"/>
  <c r="Z280" i="1"/>
  <c r="AA292" i="1"/>
  <c r="AK301" i="1"/>
  <c r="AK299" i="1"/>
  <c r="AK297" i="1"/>
  <c r="AK298" i="1" s="1"/>
  <c r="AK263" i="1"/>
  <c r="AK265" i="1"/>
  <c r="AK253" i="1"/>
  <c r="AK261" i="1"/>
  <c r="AK262" i="1" s="1"/>
  <c r="X316" i="1"/>
  <c r="X280" i="1"/>
  <c r="G143" i="1"/>
  <c r="BE303" i="1"/>
  <c r="BE302" i="1"/>
  <c r="AQ295" i="1"/>
  <c r="AQ259" i="1"/>
  <c r="AD301" i="1"/>
  <c r="AD297" i="1"/>
  <c r="AD298" i="1" s="1"/>
  <c r="AD263" i="1"/>
  <c r="AD253" i="1"/>
  <c r="AD299" i="1"/>
  <c r="AD265" i="1"/>
  <c r="AD261" i="1"/>
  <c r="AD262" i="1" s="1"/>
  <c r="AS292" i="1"/>
  <c r="Z301" i="1"/>
  <c r="Z299" i="1"/>
  <c r="Z297" i="1"/>
  <c r="Z298" i="1" s="1"/>
  <c r="Z263" i="1"/>
  <c r="Z261" i="1"/>
  <c r="Z262" i="1" s="1"/>
  <c r="Z265" i="1"/>
  <c r="Z253" i="1"/>
  <c r="AV292" i="1"/>
  <c r="AW292" i="1"/>
  <c r="BC271" i="1"/>
  <c r="BC264" i="1"/>
  <c r="BC268" i="1"/>
  <c r="E202" i="1"/>
  <c r="G202" i="1" s="1"/>
  <c r="G194" i="1"/>
  <c r="AL301" i="1"/>
  <c r="AL299" i="1"/>
  <c r="AL297" i="1"/>
  <c r="AL298" i="1" s="1"/>
  <c r="AL263" i="1"/>
  <c r="AL261" i="1"/>
  <c r="AL262" i="1" s="1"/>
  <c r="AL265" i="1"/>
  <c r="AL253" i="1"/>
  <c r="AX257" i="1"/>
  <c r="AL257" i="1"/>
  <c r="Z257" i="1"/>
  <c r="AV257" i="1"/>
  <c r="AI257" i="1"/>
  <c r="AU257" i="1"/>
  <c r="AH257" i="1"/>
  <c r="E164" i="1"/>
  <c r="BF257" i="1"/>
  <c r="AS257" i="1"/>
  <c r="AF257" i="1"/>
  <c r="BB257" i="1"/>
  <c r="AO257" i="1"/>
  <c r="AB257" i="1"/>
  <c r="AY257" i="1"/>
  <c r="AD257" i="1"/>
  <c r="AQ257" i="1"/>
  <c r="AW257" i="1"/>
  <c r="AC257" i="1"/>
  <c r="AR257" i="1"/>
  <c r="AT257" i="1"/>
  <c r="AA257" i="1"/>
  <c r="Y257" i="1"/>
  <c r="X257" i="1"/>
  <c r="AP257" i="1"/>
  <c r="BD257" i="1"/>
  <c r="AK257" i="1"/>
  <c r="E140" i="1"/>
  <c r="G140" i="1" s="1"/>
  <c r="BC257" i="1"/>
  <c r="AJ257" i="1"/>
  <c r="AZ257" i="1"/>
  <c r="AN257" i="1"/>
  <c r="G72" i="1"/>
  <c r="AM257" i="1"/>
  <c r="AE257" i="1"/>
  <c r="AG257" i="1"/>
  <c r="BG257" i="1"/>
  <c r="BA257" i="1"/>
  <c r="BE257" i="1"/>
  <c r="AF297" i="1"/>
  <c r="AF298" i="1" s="1"/>
  <c r="AF301" i="1"/>
  <c r="AF263" i="1"/>
  <c r="AF299" i="1"/>
  <c r="AF261" i="1"/>
  <c r="AF262" i="1" s="1"/>
  <c r="AF253" i="1"/>
  <c r="AF265" i="1"/>
  <c r="AQ266" i="1"/>
  <c r="BC259" i="1"/>
  <c r="BC295" i="1"/>
  <c r="Y292" i="1"/>
  <c r="AM304" i="1"/>
  <c r="AM300" i="1"/>
  <c r="AM307" i="1"/>
  <c r="BF292" i="1"/>
  <c r="AC292" i="1"/>
  <c r="AL316" i="1"/>
  <c r="AL280" i="1"/>
  <c r="BB265" i="1"/>
  <c r="BB297" i="1"/>
  <c r="BB298" i="1" s="1"/>
  <c r="BB253" i="1"/>
  <c r="BB263" i="1"/>
  <c r="BB261" i="1"/>
  <c r="BB262" i="1" s="1"/>
  <c r="BB301" i="1"/>
  <c r="BB299" i="1"/>
  <c r="AX316" i="1"/>
  <c r="AX280" i="1"/>
  <c r="F152" i="1"/>
  <c r="F153" i="1"/>
  <c r="AY262" i="1"/>
  <c r="BF301" i="1"/>
  <c r="BF297" i="1"/>
  <c r="BF298" i="1" s="1"/>
  <c r="BF263" i="1"/>
  <c r="BF265" i="1"/>
  <c r="BF261" i="1"/>
  <c r="BF253" i="1"/>
  <c r="BF299" i="1"/>
  <c r="BB280" i="1"/>
  <c r="BB316" i="1"/>
  <c r="AX301" i="1"/>
  <c r="AX299" i="1"/>
  <c r="AX297" i="1"/>
  <c r="AX298" i="1" s="1"/>
  <c r="AX263" i="1"/>
  <c r="AX261" i="1"/>
  <c r="AX262" i="1" s="1"/>
  <c r="AX265" i="1"/>
  <c r="AX253" i="1"/>
  <c r="AH299" i="1"/>
  <c r="AH297" i="1"/>
  <c r="AH298" i="1" s="1"/>
  <c r="AH263" i="1"/>
  <c r="AH301" i="1"/>
  <c r="AH261" i="1"/>
  <c r="AH262" i="1" s="1"/>
  <c r="AH265" i="1"/>
  <c r="AH253" i="1"/>
  <c r="BA298" i="1"/>
  <c r="G252" i="1"/>
  <c r="E333" i="1" s="1"/>
  <c r="G333" i="1" s="1"/>
  <c r="F146" i="1"/>
  <c r="AY299" i="1"/>
  <c r="AY297" i="1"/>
  <c r="AY298" i="1" s="1"/>
  <c r="AY265" i="1"/>
  <c r="AY261" i="1"/>
  <c r="AY301" i="1"/>
  <c r="AY253" i="1"/>
  <c r="AY263" i="1"/>
  <c r="AE299" i="1"/>
  <c r="AE301" i="1"/>
  <c r="AE263" i="1"/>
  <c r="AE253" i="1"/>
  <c r="AE261" i="1"/>
  <c r="AE262" i="1" s="1"/>
  <c r="AE265" i="1"/>
  <c r="AE297" i="1"/>
  <c r="AE298" i="1" s="1"/>
  <c r="G250" i="1"/>
  <c r="AV301" i="1"/>
  <c r="AV299" i="1"/>
  <c r="AV297" i="1"/>
  <c r="AV298" i="1" s="1"/>
  <c r="AV263" i="1"/>
  <c r="AV265" i="1"/>
  <c r="AV261" i="1"/>
  <c r="AV262" i="1" s="1"/>
  <c r="AV253" i="1"/>
  <c r="AF280" i="1"/>
  <c r="AF316" i="1"/>
  <c r="AM266" i="1"/>
  <c r="AP292" i="1"/>
  <c r="AW316" i="1"/>
  <c r="AW280" i="1"/>
  <c r="BG280" i="1"/>
  <c r="BG316" i="1"/>
  <c r="AA259" i="1"/>
  <c r="AA295" i="1"/>
  <c r="AC271" i="1"/>
  <c r="AC264" i="1"/>
  <c r="AC268" i="1"/>
  <c r="AA264" i="1"/>
  <c r="AA271" i="1"/>
  <c r="AA268" i="1"/>
  <c r="AO292" i="1"/>
  <c r="AZ292" i="1"/>
  <c r="AJ301" i="1"/>
  <c r="AJ299" i="1"/>
  <c r="AJ261" i="1"/>
  <c r="AJ262" i="1" s="1"/>
  <c r="AJ253" i="1"/>
  <c r="AJ263" i="1"/>
  <c r="AJ297" i="1"/>
  <c r="AJ298" i="1" s="1"/>
  <c r="AJ265" i="1"/>
  <c r="AT303" i="1"/>
  <c r="AT302" i="1"/>
  <c r="G168" i="1"/>
  <c r="AN292" i="1"/>
  <c r="AT292" i="1"/>
  <c r="AZ316" i="1"/>
  <c r="AZ280" i="1"/>
  <c r="G139" i="1"/>
  <c r="AR292" i="1"/>
  <c r="AM292" i="1"/>
  <c r="BE292" i="1"/>
  <c r="AX292" i="1"/>
  <c r="BC292" i="1"/>
  <c r="AF292" i="1"/>
  <c r="AL292" i="1"/>
  <c r="AH292" i="1"/>
  <c r="AY292" i="1"/>
  <c r="AE292" i="1"/>
  <c r="AB292" i="1"/>
  <c r="BB292" i="1"/>
  <c r="BA316" i="1"/>
  <c r="BA280" i="1"/>
  <c r="AS304" i="1"/>
  <c r="AS300" i="1"/>
  <c r="AS307" i="1"/>
  <c r="BF280" i="1"/>
  <c r="BF316" i="1"/>
  <c r="AT259" i="1"/>
  <c r="AT295" i="1"/>
  <c r="AS266" i="1"/>
  <c r="BC307" i="1"/>
  <c r="BC304" i="1"/>
  <c r="BC300" i="1"/>
  <c r="G144" i="1"/>
  <c r="AI301" i="1"/>
  <c r="AI297" i="1"/>
  <c r="AI298" i="1" s="1"/>
  <c r="AI261" i="1"/>
  <c r="AI262" i="1" s="1"/>
  <c r="AI299" i="1"/>
  <c r="AI263" i="1"/>
  <c r="AI265" i="1"/>
  <c r="AI253" i="1"/>
  <c r="Z292" i="1"/>
  <c r="AW301" i="1"/>
  <c r="AW299" i="1"/>
  <c r="AW297" i="1"/>
  <c r="AW298" i="1" s="1"/>
  <c r="AW263" i="1"/>
  <c r="AW265" i="1"/>
  <c r="AW253" i="1"/>
  <c r="AW261" i="1"/>
  <c r="AW262" i="1" s="1"/>
  <c r="BG292" i="1"/>
  <c r="AB295" i="1"/>
  <c r="AB259" i="1"/>
  <c r="AP316" i="1"/>
  <c r="AP280" i="1"/>
  <c r="AA303" i="1"/>
  <c r="AA302" i="1"/>
  <c r="BF262" i="1"/>
  <c r="BC303" i="1"/>
  <c r="BC302" i="1"/>
  <c r="AO265" i="1"/>
  <c r="AO299" i="1"/>
  <c r="AO261" i="1"/>
  <c r="AO262" i="1" s="1"/>
  <c r="AO297" i="1"/>
  <c r="AO298" i="1" s="1"/>
  <c r="AO253" i="1"/>
  <c r="AO301" i="1"/>
  <c r="AO263" i="1"/>
  <c r="AJ280" i="1"/>
  <c r="AJ316" i="1"/>
  <c r="G293" i="1"/>
  <c r="AZ297" i="1"/>
  <c r="AZ298" i="1" s="1"/>
  <c r="AZ301" i="1"/>
  <c r="AZ253" i="1"/>
  <c r="AZ299" i="1"/>
  <c r="AZ265" i="1"/>
  <c r="AZ261" i="1"/>
  <c r="AZ263" i="1"/>
  <c r="G78" i="1"/>
  <c r="AI292" i="1"/>
  <c r="AY316" i="1"/>
  <c r="AY280" i="1"/>
  <c r="AI316" i="1"/>
  <c r="AI280" i="1"/>
  <c r="BG301" i="1"/>
  <c r="BG299" i="1"/>
  <c r="BG261" i="1"/>
  <c r="BG262" i="1" s="1"/>
  <c r="BG265" i="1"/>
  <c r="BG263" i="1"/>
  <c r="BG297" i="1"/>
  <c r="BG298" i="1" s="1"/>
  <c r="BG253" i="1"/>
  <c r="AP301" i="1"/>
  <c r="AP265" i="1"/>
  <c r="AP261" i="1"/>
  <c r="AP262" i="1" s="1"/>
  <c r="AP299" i="1"/>
  <c r="AP263" i="1"/>
  <c r="AP297" i="1"/>
  <c r="AP298" i="1" s="1"/>
  <c r="AP253" i="1"/>
  <c r="AK292" i="1"/>
  <c r="AZ262" i="1"/>
  <c r="AA266" i="1"/>
  <c r="G73" i="1"/>
  <c r="E141" i="1"/>
  <c r="G141" i="1" s="1"/>
  <c r="E165" i="1"/>
  <c r="G165" i="1" s="1"/>
  <c r="AO316" i="1"/>
  <c r="AO280" i="1"/>
  <c r="AJ292" i="1"/>
  <c r="Y301" i="1"/>
  <c r="Y299" i="1"/>
  <c r="Y297" i="1"/>
  <c r="Y298" i="1" s="1"/>
  <c r="Y263" i="1"/>
  <c r="Y261" i="1"/>
  <c r="Y262" i="1" s="1"/>
  <c r="Y265" i="1"/>
  <c r="Y253" i="1"/>
  <c r="AG298" i="1"/>
  <c r="G150" i="1"/>
  <c r="E151" i="1"/>
  <c r="F155" i="1" l="1"/>
  <c r="AI310" i="1"/>
  <c r="AU310" i="1"/>
  <c r="BG310" i="1"/>
  <c r="F213" i="1"/>
  <c r="AL310" i="1"/>
  <c r="AJ310" i="1"/>
  <c r="AV310" i="1"/>
  <c r="X310" i="1"/>
  <c r="AX310" i="1"/>
  <c r="Y310" i="1"/>
  <c r="AK310" i="1"/>
  <c r="AW310" i="1"/>
  <c r="Z310" i="1"/>
  <c r="AO310" i="1"/>
  <c r="BE310" i="1"/>
  <c r="F235" i="1"/>
  <c r="AP310" i="1"/>
  <c r="BF310" i="1"/>
  <c r="AB310" i="1"/>
  <c r="AR310" i="1"/>
  <c r="AC310" i="1"/>
  <c r="AA310" i="1"/>
  <c r="AQ310" i="1"/>
  <c r="AS310" i="1"/>
  <c r="AM310" i="1"/>
  <c r="AD310" i="1"/>
  <c r="AE310" i="1"/>
  <c r="AF310" i="1"/>
  <c r="AN310" i="1"/>
  <c r="BC310" i="1"/>
  <c r="AG310" i="1"/>
  <c r="AH310" i="1"/>
  <c r="AT310" i="1"/>
  <c r="F224" i="1"/>
  <c r="BA310" i="1"/>
  <c r="BB310" i="1"/>
  <c r="AY310" i="1"/>
  <c r="AZ310" i="1"/>
  <c r="BD310" i="1"/>
  <c r="E215" i="1"/>
  <c r="G215" i="1" s="1"/>
  <c r="AC295" i="1"/>
  <c r="AN296" i="1"/>
  <c r="AC296" i="1"/>
  <c r="G146" i="1"/>
  <c r="AQ296" i="1"/>
  <c r="AB296" i="1"/>
  <c r="E146" i="1"/>
  <c r="AO307" i="1"/>
  <c r="AO304" i="1"/>
  <c r="AO300" i="1"/>
  <c r="AJ300" i="1"/>
  <c r="AJ307" i="1"/>
  <c r="AJ304" i="1"/>
  <c r="AF307" i="1"/>
  <c r="AF304" i="1"/>
  <c r="AF300" i="1"/>
  <c r="AE271" i="1"/>
  <c r="AE264" i="1"/>
  <c r="AE268" i="1"/>
  <c r="AX264" i="1"/>
  <c r="AX271" i="1"/>
  <c r="AX268" i="1"/>
  <c r="BD307" i="1"/>
  <c r="BD304" i="1"/>
  <c r="BD300" i="1"/>
  <c r="AV300" i="1"/>
  <c r="AV304" i="1"/>
  <c r="AV307" i="1"/>
  <c r="AP307" i="1"/>
  <c r="AP300" i="1"/>
  <c r="AP304" i="1"/>
  <c r="AR307" i="1"/>
  <c r="AR304" i="1"/>
  <c r="AR300" i="1"/>
  <c r="BG304" i="1"/>
  <c r="BG300" i="1"/>
  <c r="BG307" i="1"/>
  <c r="AH268" i="1"/>
  <c r="AH264" i="1"/>
  <c r="AH271" i="1"/>
  <c r="AK300" i="1"/>
  <c r="AK304" i="1"/>
  <c r="AK307" i="1"/>
  <c r="AH304" i="1"/>
  <c r="AH307" i="1"/>
  <c r="AH300" i="1"/>
  <c r="Z300" i="1"/>
  <c r="Z307" i="1"/>
  <c r="Z304" i="1"/>
  <c r="X300" i="1"/>
  <c r="X307" i="1"/>
  <c r="G298" i="1"/>
  <c r="X304" i="1"/>
  <c r="BB268" i="1"/>
  <c r="BB271" i="1"/>
  <c r="BB264" i="1"/>
  <c r="Y300" i="1"/>
  <c r="Y304" i="1"/>
  <c r="Y307" i="1"/>
  <c r="AE307" i="1"/>
  <c r="AE300" i="1"/>
  <c r="AE304" i="1"/>
  <c r="AY300" i="1"/>
  <c r="AY307" i="1"/>
  <c r="AY304" i="1"/>
  <c r="AD307" i="1"/>
  <c r="AD300" i="1"/>
  <c r="AD304" i="1"/>
  <c r="F181" i="1"/>
  <c r="BG268" i="1"/>
  <c r="BG264" i="1"/>
  <c r="BG271" i="1"/>
  <c r="AY264" i="1"/>
  <c r="AY271" i="1"/>
  <c r="AY268" i="1"/>
  <c r="AC269" i="1"/>
  <c r="AC270" i="1" s="1"/>
  <c r="AC272" i="1"/>
  <c r="AR267" i="1"/>
  <c r="AR266" i="1"/>
  <c r="AI268" i="1"/>
  <c r="AI264" i="1"/>
  <c r="AI271" i="1"/>
  <c r="AI303" i="1"/>
  <c r="AI302" i="1"/>
  <c r="AS305" i="1"/>
  <c r="AS308" i="1"/>
  <c r="AZ307" i="1"/>
  <c r="AZ304" i="1"/>
  <c r="AZ300" i="1"/>
  <c r="AK271" i="1"/>
  <c r="AK264" i="1"/>
  <c r="AK268" i="1"/>
  <c r="AP271" i="1"/>
  <c r="AP268" i="1"/>
  <c r="AP264" i="1"/>
  <c r="AK259" i="1"/>
  <c r="AK295" i="1"/>
  <c r="AK296" i="1" s="1"/>
  <c r="AU303" i="1"/>
  <c r="AU302" i="1"/>
  <c r="BA267" i="1"/>
  <c r="BA266" i="1"/>
  <c r="AM269" i="1"/>
  <c r="AM272" i="1"/>
  <c r="Y303" i="1"/>
  <c r="Y302" i="1"/>
  <c r="BC308" i="1"/>
  <c r="BC305" i="1"/>
  <c r="BC306" i="1" s="1"/>
  <c r="BC309" i="1" s="1"/>
  <c r="AV303" i="1"/>
  <c r="AV302" i="1"/>
  <c r="AY303" i="1"/>
  <c r="AY302" i="1"/>
  <c r="BA307" i="1"/>
  <c r="BA300" i="1"/>
  <c r="BA304" i="1"/>
  <c r="BF303" i="1"/>
  <c r="BF302" i="1"/>
  <c r="AK267" i="1"/>
  <c r="AK266" i="1"/>
  <c r="BD295" i="1"/>
  <c r="BD296" i="1" s="1"/>
  <c r="BD259" i="1"/>
  <c r="BD271" i="1"/>
  <c r="BD268" i="1"/>
  <c r="BD264" i="1"/>
  <c r="AG271" i="1"/>
  <c r="AG264" i="1"/>
  <c r="AG268" i="1"/>
  <c r="BE305" i="1"/>
  <c r="BE308" i="1"/>
  <c r="BE272" i="1"/>
  <c r="BE269" i="1"/>
  <c r="BE270" i="1" s="1"/>
  <c r="AA308" i="1"/>
  <c r="AA305" i="1"/>
  <c r="AA306" i="1" s="1"/>
  <c r="AX300" i="1"/>
  <c r="AX307" i="1"/>
  <c r="AX304" i="1"/>
  <c r="AY267" i="1"/>
  <c r="AY266" i="1"/>
  <c r="AQ308" i="1"/>
  <c r="AQ305" i="1"/>
  <c r="AQ306" i="1" s="1"/>
  <c r="AP259" i="1"/>
  <c r="AP295" i="1"/>
  <c r="AP296" i="1" s="1"/>
  <c r="BB303" i="1"/>
  <c r="BB302" i="1"/>
  <c r="BD303" i="1"/>
  <c r="BD302" i="1"/>
  <c r="AS269" i="1"/>
  <c r="AS270" i="1" s="1"/>
  <c r="AS272" i="1"/>
  <c r="AZ259" i="1"/>
  <c r="AZ295" i="1"/>
  <c r="BG295" i="1"/>
  <c r="BG259" i="1"/>
  <c r="AW300" i="1"/>
  <c r="AW307" i="1"/>
  <c r="AW304" i="1"/>
  <c r="AF295" i="1"/>
  <c r="AF296" i="1" s="1"/>
  <c r="AF259" i="1"/>
  <c r="Z259" i="1"/>
  <c r="Z295" i="1"/>
  <c r="Z296" i="1" s="1"/>
  <c r="AD259" i="1"/>
  <c r="AD295" i="1"/>
  <c r="AD296" i="1" s="1"/>
  <c r="BD267" i="1"/>
  <c r="BD266" i="1"/>
  <c r="BE296" i="1"/>
  <c r="AJ267" i="1"/>
  <c r="AJ266" i="1"/>
  <c r="AY259" i="1"/>
  <c r="AY295" i="1"/>
  <c r="AY296" i="1" s="1"/>
  <c r="G164" i="1"/>
  <c r="X256" i="1"/>
  <c r="AD256" i="1"/>
  <c r="Y256" i="1"/>
  <c r="AG256" i="1"/>
  <c r="AT256" i="1"/>
  <c r="AL256" i="1"/>
  <c r="AV256" i="1"/>
  <c r="AP256" i="1"/>
  <c r="AZ256" i="1"/>
  <c r="AN256" i="1"/>
  <c r="AA256" i="1"/>
  <c r="BD256" i="1"/>
  <c r="AJ256" i="1"/>
  <c r="AW256" i="1"/>
  <c r="BG256" i="1"/>
  <c r="BB256" i="1"/>
  <c r="AO256" i="1"/>
  <c r="AQ256" i="1"/>
  <c r="BC256" i="1"/>
  <c r="Z256" i="1"/>
  <c r="AX256" i="1"/>
  <c r="AC256" i="1"/>
  <c r="AF256" i="1"/>
  <c r="BE256" i="1"/>
  <c r="AS256" i="1"/>
  <c r="AB256" i="1"/>
  <c r="BF256" i="1"/>
  <c r="AI256" i="1"/>
  <c r="AU256" i="1"/>
  <c r="BA256" i="1"/>
  <c r="AK256" i="1"/>
  <c r="AE256" i="1"/>
  <c r="AR256" i="1"/>
  <c r="AY256" i="1"/>
  <c r="AH256" i="1"/>
  <c r="AM256" i="1"/>
  <c r="Z267" i="1"/>
  <c r="Z266" i="1"/>
  <c r="G292" i="1"/>
  <c r="AU304" i="1"/>
  <c r="AU300" i="1"/>
  <c r="AU307" i="1"/>
  <c r="AM296" i="1"/>
  <c r="BG267" i="1"/>
  <c r="BG266" i="1"/>
  <c r="AO303" i="1"/>
  <c r="AO302" i="1"/>
  <c r="AW303" i="1"/>
  <c r="AW302" i="1"/>
  <c r="AA269" i="1"/>
  <c r="AA270" i="1" s="1"/>
  <c r="AA273" i="1" s="1"/>
  <c r="AA272" i="1"/>
  <c r="AH295" i="1"/>
  <c r="AH259" i="1"/>
  <c r="AL303" i="1"/>
  <c r="AL302" i="1"/>
  <c r="AD303" i="1"/>
  <c r="AD302" i="1"/>
  <c r="AG267" i="1"/>
  <c r="AG266" i="1"/>
  <c r="AR264" i="1"/>
  <c r="AR271" i="1"/>
  <c r="AR268" i="1"/>
  <c r="AS306" i="1"/>
  <c r="BA268" i="1"/>
  <c r="BA271" i="1"/>
  <c r="BA264" i="1"/>
  <c r="AI304" i="1"/>
  <c r="AI300" i="1"/>
  <c r="AI307" i="1"/>
  <c r="BB307" i="1"/>
  <c r="BB304" i="1"/>
  <c r="BB300" i="1"/>
  <c r="AX303" i="1"/>
  <c r="AX302" i="1"/>
  <c r="AF303" i="1"/>
  <c r="AF302" i="1"/>
  <c r="BA303" i="1"/>
  <c r="BA302" i="1"/>
  <c r="E152" i="1"/>
  <c r="G152" i="1" s="1"/>
  <c r="G151" i="1"/>
  <c r="X295" i="1"/>
  <c r="X259" i="1"/>
  <c r="BG303" i="1"/>
  <c r="BG302" i="1"/>
  <c r="AI259" i="1"/>
  <c r="AI295" i="1"/>
  <c r="AI296" i="1" s="1"/>
  <c r="AE267" i="1"/>
  <c r="AE266" i="1"/>
  <c r="AH303" i="1"/>
  <c r="AH302" i="1"/>
  <c r="Z303" i="1"/>
  <c r="Z302" i="1"/>
  <c r="AK303" i="1"/>
  <c r="AK302" i="1"/>
  <c r="X268" i="1"/>
  <c r="X264" i="1"/>
  <c r="X271" i="1"/>
  <c r="G262" i="1"/>
  <c r="AN308" i="1"/>
  <c r="AN305" i="1"/>
  <c r="AN306" i="1" s="1"/>
  <c r="AN309" i="1" s="1"/>
  <c r="AN311" i="1" s="1"/>
  <c r="AN269" i="1"/>
  <c r="AN270" i="1" s="1"/>
  <c r="AN272" i="1"/>
  <c r="AG304" i="1"/>
  <c r="AG300" i="1"/>
  <c r="AG307" i="1"/>
  <c r="AZ303" i="1"/>
  <c r="AZ302" i="1"/>
  <c r="AI267" i="1"/>
  <c r="AI266" i="1"/>
  <c r="AJ303" i="1"/>
  <c r="AJ302" i="1"/>
  <c r="AL300" i="1"/>
  <c r="AL307" i="1"/>
  <c r="AL304" i="1"/>
  <c r="X267" i="1"/>
  <c r="X266" i="1"/>
  <c r="Y295" i="1"/>
  <c r="Y296" i="1" s="1"/>
  <c r="Y259" i="1"/>
  <c r="AO267" i="1"/>
  <c r="AO266" i="1"/>
  <c r="AZ296" i="1"/>
  <c r="AV295" i="1"/>
  <c r="AV296" i="1" s="1"/>
  <c r="AV259" i="1"/>
  <c r="AE259" i="1"/>
  <c r="AE295" i="1"/>
  <c r="AE296" i="1" s="1"/>
  <c r="F156" i="1"/>
  <c r="F157" i="1" s="1"/>
  <c r="BB259" i="1"/>
  <c r="BB295" i="1"/>
  <c r="BB296" i="1" s="1"/>
  <c r="BC269" i="1"/>
  <c r="BC270" i="1" s="1"/>
  <c r="BC272" i="1"/>
  <c r="BC273" i="1" s="1"/>
  <c r="AU267" i="1"/>
  <c r="AU266" i="1"/>
  <c r="AC308" i="1"/>
  <c r="AC305" i="1"/>
  <c r="AQ269" i="1"/>
  <c r="AQ272" i="1"/>
  <c r="Z271" i="1"/>
  <c r="Z264" i="1"/>
  <c r="Z268" i="1"/>
  <c r="AZ267" i="1"/>
  <c r="AZ266" i="1"/>
  <c r="AM270" i="1"/>
  <c r="AR295" i="1"/>
  <c r="AR296" i="1" s="1"/>
  <c r="AR259" i="1"/>
  <c r="AG303" i="1"/>
  <c r="AG302" i="1"/>
  <c r="AT272" i="1"/>
  <c r="AT269" i="1"/>
  <c r="AT270" i="1" s="1"/>
  <c r="AT273" i="1" s="1"/>
  <c r="AH296" i="1"/>
  <c r="Y267" i="1"/>
  <c r="Y266" i="1"/>
  <c r="AW271" i="1"/>
  <c r="AW268" i="1"/>
  <c r="AW264" i="1"/>
  <c r="AH267" i="1"/>
  <c r="AH266" i="1"/>
  <c r="AM308" i="1"/>
  <c r="AM305" i="1"/>
  <c r="AM306" i="1" s="1"/>
  <c r="AB308" i="1"/>
  <c r="AB305" i="1"/>
  <c r="AB306" i="1" s="1"/>
  <c r="AB309" i="1" s="1"/>
  <c r="AS296" i="1"/>
  <c r="AU295" i="1"/>
  <c r="AU296" i="1" s="1"/>
  <c r="AU259" i="1"/>
  <c r="AR303" i="1"/>
  <c r="AR302" i="1"/>
  <c r="BG296" i="1"/>
  <c r="BF304" i="1"/>
  <c r="BF307" i="1"/>
  <c r="BF300" i="1"/>
  <c r="AV268" i="1"/>
  <c r="AV271" i="1"/>
  <c r="AV264" i="1"/>
  <c r="BF259" i="1"/>
  <c r="BF295" i="1"/>
  <c r="BF296" i="1" s="1"/>
  <c r="AQ270" i="1"/>
  <c r="G257" i="1"/>
  <c r="AL259" i="1"/>
  <c r="AL295" i="1"/>
  <c r="AL296" i="1" s="1"/>
  <c r="AD268" i="1"/>
  <c r="AD271" i="1"/>
  <c r="AD264" i="1"/>
  <c r="E181" i="1"/>
  <c r="G294" i="1"/>
  <c r="F331" i="1" s="1"/>
  <c r="Y271" i="1"/>
  <c r="Y268" i="1"/>
  <c r="Y264" i="1"/>
  <c r="AP267" i="1"/>
  <c r="AP266" i="1"/>
  <c r="AW259" i="1"/>
  <c r="AW295" i="1"/>
  <c r="AW296" i="1" s="1"/>
  <c r="AV267" i="1"/>
  <c r="AV266" i="1"/>
  <c r="AE303" i="1"/>
  <c r="AE302" i="1"/>
  <c r="AX295" i="1"/>
  <c r="AX296" i="1" s="1"/>
  <c r="AX259" i="1"/>
  <c r="BB267" i="1"/>
  <c r="BB266" i="1"/>
  <c r="AL267" i="1"/>
  <c r="AL266" i="1"/>
  <c r="AD267" i="1"/>
  <c r="AD266" i="1"/>
  <c r="X303" i="1"/>
  <c r="X302" i="1"/>
  <c r="AT305" i="1"/>
  <c r="AT306" i="1" s="1"/>
  <c r="AT308" i="1"/>
  <c r="AO295" i="1"/>
  <c r="AO296" i="1" s="1"/>
  <c r="AO259" i="1"/>
  <c r="AJ295" i="1"/>
  <c r="AJ296" i="1" s="1"/>
  <c r="AJ259" i="1"/>
  <c r="F179" i="1"/>
  <c r="F180" i="1"/>
  <c r="AJ268" i="1"/>
  <c r="AJ271" i="1"/>
  <c r="AJ264" i="1"/>
  <c r="AO268" i="1"/>
  <c r="AO264" i="1"/>
  <c r="AO271" i="1"/>
  <c r="E204" i="1"/>
  <c r="AF264" i="1"/>
  <c r="AF268" i="1"/>
  <c r="AF271" i="1"/>
  <c r="AA296" i="1"/>
  <c r="AC306" i="1"/>
  <c r="AB272" i="1"/>
  <c r="AB269" i="1"/>
  <c r="AB270" i="1" s="1"/>
  <c r="AT296" i="1"/>
  <c r="AZ268" i="1"/>
  <c r="AZ264" i="1"/>
  <c r="AZ271" i="1"/>
  <c r="AP303" i="1"/>
  <c r="AP302" i="1"/>
  <c r="BF271" i="1"/>
  <c r="BF268" i="1"/>
  <c r="BF264" i="1"/>
  <c r="AW267" i="1"/>
  <c r="AW266" i="1"/>
  <c r="BC296" i="1"/>
  <c r="AX267" i="1"/>
  <c r="AX266" i="1"/>
  <c r="BF267" i="1"/>
  <c r="BF266" i="1"/>
  <c r="AF267" i="1"/>
  <c r="AF266" i="1"/>
  <c r="AL264" i="1"/>
  <c r="AL268" i="1"/>
  <c r="AL271" i="1"/>
  <c r="AU264" i="1"/>
  <c r="AU271" i="1"/>
  <c r="AU268" i="1"/>
  <c r="AG295" i="1"/>
  <c r="AG296" i="1" s="1"/>
  <c r="AG259" i="1"/>
  <c r="BA295" i="1"/>
  <c r="BA296" i="1" s="1"/>
  <c r="BA259" i="1"/>
  <c r="BC317" i="1" l="1"/>
  <c r="BC311" i="1"/>
  <c r="AT281" i="1"/>
  <c r="BC281" i="1"/>
  <c r="AS309" i="1"/>
  <c r="AS312" i="1" s="1"/>
  <c r="E154" i="1"/>
  <c r="G154" i="1" s="1"/>
  <c r="AB311" i="1"/>
  <c r="AB313" i="1" s="1"/>
  <c r="AN313" i="1"/>
  <c r="AA281" i="1"/>
  <c r="G310" i="1"/>
  <c r="AA309" i="1"/>
  <c r="AM273" i="1"/>
  <c r="AC273" i="1"/>
  <c r="AM309" i="1"/>
  <c r="BE306" i="1"/>
  <c r="BE309" i="1" s="1"/>
  <c r="BE311" i="1" s="1"/>
  <c r="AS273" i="1"/>
  <c r="AC309" i="1"/>
  <c r="AC311" i="1" s="1"/>
  <c r="BE273" i="1"/>
  <c r="AQ273" i="1"/>
  <c r="AN317" i="1"/>
  <c r="AN312" i="1"/>
  <c r="AB317" i="1"/>
  <c r="AB312" i="1"/>
  <c r="AE308" i="1"/>
  <c r="AE305" i="1"/>
  <c r="AE306" i="1" s="1"/>
  <c r="AE309" i="1" s="1"/>
  <c r="AE311" i="1" s="1"/>
  <c r="AP308" i="1"/>
  <c r="AP305" i="1"/>
  <c r="AD306" i="1"/>
  <c r="BD270" i="1"/>
  <c r="BD273" i="1" s="1"/>
  <c r="AI269" i="1"/>
  <c r="AI272" i="1"/>
  <c r="AY269" i="1"/>
  <c r="AY270" i="1" s="1"/>
  <c r="AY273" i="1" s="1"/>
  <c r="AY272" i="1"/>
  <c r="G300" i="1"/>
  <c r="X305" i="1"/>
  <c r="X306" i="1" s="1"/>
  <c r="X308" i="1"/>
  <c r="AE269" i="1"/>
  <c r="AE270" i="1" s="1"/>
  <c r="AE272" i="1"/>
  <c r="BA258" i="1"/>
  <c r="BA260" i="1" s="1"/>
  <c r="AO258" i="1"/>
  <c r="AO260" i="1" s="1"/>
  <c r="AZ258" i="1"/>
  <c r="AZ260" i="1" s="1"/>
  <c r="AN258" i="1"/>
  <c r="AW258" i="1"/>
  <c r="AK258" i="1"/>
  <c r="Y258" i="1"/>
  <c r="Y260" i="1" s="1"/>
  <c r="E208" i="1"/>
  <c r="BD258" i="1"/>
  <c r="BD260" i="1" s="1"/>
  <c r="AM258" i="1"/>
  <c r="AM260" i="1" s="1"/>
  <c r="Z258" i="1"/>
  <c r="Z260" i="1" s="1"/>
  <c r="BC258" i="1"/>
  <c r="BC260" i="1" s="1"/>
  <c r="AL258" i="1"/>
  <c r="AL260" i="1" s="1"/>
  <c r="X258" i="1"/>
  <c r="BB258" i="1"/>
  <c r="BB260" i="1" s="1"/>
  <c r="AJ258" i="1"/>
  <c r="AJ260" i="1" s="1"/>
  <c r="AX258" i="1"/>
  <c r="AH258" i="1"/>
  <c r="AH260" i="1" s="1"/>
  <c r="AS258" i="1"/>
  <c r="AS260" i="1" s="1"/>
  <c r="AD258" i="1"/>
  <c r="AD260" i="1" s="1"/>
  <c r="AG258" i="1"/>
  <c r="AG260" i="1" s="1"/>
  <c r="BG258" i="1"/>
  <c r="BG260" i="1" s="1"/>
  <c r="AF258" i="1"/>
  <c r="AF260" i="1" s="1"/>
  <c r="BE258" i="1"/>
  <c r="BE260" i="1" s="1"/>
  <c r="AA258" i="1"/>
  <c r="BF258" i="1"/>
  <c r="BF260" i="1" s="1"/>
  <c r="AE258" i="1"/>
  <c r="AE260" i="1" s="1"/>
  <c r="AC258" i="1"/>
  <c r="AY258" i="1"/>
  <c r="AB258" i="1"/>
  <c r="AV258" i="1"/>
  <c r="AV260" i="1" s="1"/>
  <c r="AR258" i="1"/>
  <c r="AQ258" i="1"/>
  <c r="AQ260" i="1" s="1"/>
  <c r="AU258" i="1"/>
  <c r="AU260" i="1" s="1"/>
  <c r="AP258" i="1"/>
  <c r="AP260" i="1" s="1"/>
  <c r="AI258" i="1"/>
  <c r="AT258" i="1"/>
  <c r="AT260" i="1" s="1"/>
  <c r="G204" i="1"/>
  <c r="AI308" i="1"/>
  <c r="AI305" i="1"/>
  <c r="AB260" i="1"/>
  <c r="AQ309" i="1"/>
  <c r="AQ311" i="1" s="1"/>
  <c r="AK269" i="1"/>
  <c r="AK272" i="1"/>
  <c r="BG272" i="1"/>
  <c r="BG269" i="1"/>
  <c r="BG270" i="1" s="1"/>
  <c r="BG273" i="1" s="1"/>
  <c r="AI260" i="1"/>
  <c r="AL272" i="1"/>
  <c r="AL269" i="1"/>
  <c r="AL270" i="1" s="1"/>
  <c r="G271" i="1"/>
  <c r="AF305" i="1"/>
  <c r="AF308" i="1"/>
  <c r="Z269" i="1"/>
  <c r="Z270" i="1" s="1"/>
  <c r="Z272" i="1"/>
  <c r="X272" i="1"/>
  <c r="X269" i="1"/>
  <c r="X270" i="1" s="1"/>
  <c r="G264" i="1"/>
  <c r="BA272" i="1"/>
  <c r="BA269" i="1"/>
  <c r="BA270" i="1" s="1"/>
  <c r="BA273" i="1" s="1"/>
  <c r="AH305" i="1"/>
  <c r="AH306" i="1" s="1"/>
  <c r="AH308" i="1"/>
  <c r="Y272" i="1"/>
  <c r="Y269" i="1"/>
  <c r="G266" i="1"/>
  <c r="G268" i="1"/>
  <c r="AR260" i="1"/>
  <c r="Y308" i="1"/>
  <c r="Y305" i="1"/>
  <c r="BG308" i="1"/>
  <c r="BG305" i="1"/>
  <c r="BG306" i="1" s="1"/>
  <c r="BD305" i="1"/>
  <c r="BD306" i="1" s="1"/>
  <c r="BD308" i="1"/>
  <c r="AB273" i="1"/>
  <c r="AJ272" i="1"/>
  <c r="AJ269" i="1"/>
  <c r="AT309" i="1"/>
  <c r="G267" i="1"/>
  <c r="AG305" i="1"/>
  <c r="AG308" i="1"/>
  <c r="G259" i="1"/>
  <c r="AF306" i="1"/>
  <c r="AF309" i="1" s="1"/>
  <c r="AF311" i="1" s="1"/>
  <c r="AM312" i="1"/>
  <c r="AC260" i="1"/>
  <c r="AA260" i="1"/>
  <c r="AD308" i="1"/>
  <c r="AD305" i="1"/>
  <c r="AD309" i="1" s="1"/>
  <c r="AD311" i="1" s="1"/>
  <c r="BB272" i="1"/>
  <c r="BB269" i="1"/>
  <c r="AO269" i="1"/>
  <c r="AO270" i="1" s="1"/>
  <c r="AO272" i="1"/>
  <c r="Z305" i="1"/>
  <c r="Z308" i="1"/>
  <c r="AK270" i="1"/>
  <c r="AK273" i="1" s="1"/>
  <c r="AV305" i="1"/>
  <c r="AV308" i="1"/>
  <c r="G295" i="1"/>
  <c r="G302" i="1"/>
  <c r="E153" i="1"/>
  <c r="AU308" i="1"/>
  <c r="AU305" i="1"/>
  <c r="AK260" i="1"/>
  <c r="AJ308" i="1"/>
  <c r="AJ305" i="1"/>
  <c r="BC312" i="1"/>
  <c r="BF305" i="1"/>
  <c r="BF306" i="1" s="1"/>
  <c r="BF308" i="1"/>
  <c r="F158" i="1"/>
  <c r="F170" i="1" s="1"/>
  <c r="G256" i="1"/>
  <c r="AN260" i="1"/>
  <c r="AA312" i="1"/>
  <c r="AV272" i="1"/>
  <c r="AV269" i="1"/>
  <c r="AW272" i="1"/>
  <c r="AW269" i="1"/>
  <c r="G303" i="1"/>
  <c r="AN273" i="1"/>
  <c r="AX308" i="1"/>
  <c r="AX305" i="1"/>
  <c r="AX306" i="1" s="1"/>
  <c r="AG269" i="1"/>
  <c r="AG270" i="1" s="1"/>
  <c r="AG272" i="1"/>
  <c r="AP269" i="1"/>
  <c r="AP270" i="1" s="1"/>
  <c r="AP272" i="1"/>
  <c r="G304" i="1"/>
  <c r="AK308" i="1"/>
  <c r="AK305" i="1"/>
  <c r="AK306" i="1" s="1"/>
  <c r="AK309" i="1" s="1"/>
  <c r="AK311" i="1" s="1"/>
  <c r="AO308" i="1"/>
  <c r="AO305" i="1"/>
  <c r="AO306" i="1" s="1"/>
  <c r="BF272" i="1"/>
  <c r="BF269" i="1"/>
  <c r="BF270" i="1" s="1"/>
  <c r="AY260" i="1"/>
  <c r="AZ308" i="1"/>
  <c r="AZ305" i="1"/>
  <c r="AZ306" i="1" s="1"/>
  <c r="AR305" i="1"/>
  <c r="AR306" i="1" s="1"/>
  <c r="AR308" i="1"/>
  <c r="AZ272" i="1"/>
  <c r="AZ269" i="1"/>
  <c r="AZ270" i="1" s="1"/>
  <c r="AL305" i="1"/>
  <c r="AL306" i="1" s="1"/>
  <c r="AL308" i="1"/>
  <c r="BB308" i="1"/>
  <c r="BB305" i="1"/>
  <c r="BB306" i="1" s="1"/>
  <c r="BB309" i="1" s="1"/>
  <c r="BB311" i="1" s="1"/>
  <c r="AJ270" i="1"/>
  <c r="BA308" i="1"/>
  <c r="BA305" i="1"/>
  <c r="AI306" i="1"/>
  <c r="AI309" i="1" s="1"/>
  <c r="AI311" i="1" s="1"/>
  <c r="AY308" i="1"/>
  <c r="AY305" i="1"/>
  <c r="AY306" i="1" s="1"/>
  <c r="AX272" i="1"/>
  <c r="AX269" i="1"/>
  <c r="AF272" i="1"/>
  <c r="AF269" i="1"/>
  <c r="AF270" i="1" s="1"/>
  <c r="AT312" i="1"/>
  <c r="AW260" i="1"/>
  <c r="AX260" i="1"/>
  <c r="G181" i="1"/>
  <c r="AR272" i="1"/>
  <c r="AR269" i="1"/>
  <c r="AU269" i="1"/>
  <c r="AU270" i="1" s="1"/>
  <c r="AU272" i="1"/>
  <c r="AD269" i="1"/>
  <c r="AD270" i="1" s="1"/>
  <c r="AD272" i="1"/>
  <c r="Y270" i="1"/>
  <c r="X296" i="1"/>
  <c r="AW308" i="1"/>
  <c r="AW305" i="1"/>
  <c r="AW306" i="1" s="1"/>
  <c r="AW309" i="1" s="1"/>
  <c r="AW311" i="1" s="1"/>
  <c r="BD272" i="1"/>
  <c r="BD269" i="1"/>
  <c r="G307" i="1"/>
  <c r="AH272" i="1"/>
  <c r="AH269" i="1"/>
  <c r="E155" i="1" l="1"/>
  <c r="BA281" i="1"/>
  <c r="BA275" i="1"/>
  <c r="AE313" i="1"/>
  <c r="AC313" i="1"/>
  <c r="Y309" i="1"/>
  <c r="AX270" i="1"/>
  <c r="AX273" i="1" s="1"/>
  <c r="X309" i="1"/>
  <c r="X311" i="1" s="1"/>
  <c r="AC281" i="1"/>
  <c r="AC275" i="1"/>
  <c r="AI274" i="1"/>
  <c r="AU274" i="1"/>
  <c r="BG274" i="1"/>
  <c r="AX274" i="1"/>
  <c r="AJ274" i="1"/>
  <c r="AV274" i="1"/>
  <c r="X274" i="1"/>
  <c r="AL274" i="1"/>
  <c r="E213" i="1"/>
  <c r="G213" i="1" s="1"/>
  <c r="Y274" i="1"/>
  <c r="AK274" i="1"/>
  <c r="AK275" i="1" s="1"/>
  <c r="AW274" i="1"/>
  <c r="Z274" i="1"/>
  <c r="E235" i="1"/>
  <c r="G235" i="1" s="1"/>
  <c r="AC274" i="1"/>
  <c r="AS274" i="1"/>
  <c r="AD274" i="1"/>
  <c r="AT274" i="1"/>
  <c r="AT275" i="1" s="1"/>
  <c r="AT277" i="1" s="1"/>
  <c r="AZ274" i="1"/>
  <c r="AE274" i="1"/>
  <c r="AY274" i="1"/>
  <c r="AF274" i="1"/>
  <c r="BB274" i="1"/>
  <c r="AA274" i="1"/>
  <c r="AA275" i="1" s="1"/>
  <c r="AA277" i="1" s="1"/>
  <c r="BC274" i="1"/>
  <c r="BC275" i="1" s="1"/>
  <c r="AR274" i="1"/>
  <c r="BA274" i="1"/>
  <c r="AB274" i="1"/>
  <c r="BD274" i="1"/>
  <c r="AM274" i="1"/>
  <c r="AM275" i="1" s="1"/>
  <c r="AM277" i="1" s="1"/>
  <c r="AO274" i="1"/>
  <c r="AP274" i="1"/>
  <c r="AQ274" i="1"/>
  <c r="AG274" i="1"/>
  <c r="BE274" i="1"/>
  <c r="BE275" i="1" s="1"/>
  <c r="E224" i="1"/>
  <c r="G224" i="1" s="1"/>
  <c r="AH274" i="1"/>
  <c r="BF274" i="1"/>
  <c r="AN274" i="1"/>
  <c r="AM281" i="1"/>
  <c r="Z273" i="1"/>
  <c r="AQ313" i="1"/>
  <c r="AA317" i="1"/>
  <c r="AA311" i="1"/>
  <c r="AQ281" i="1"/>
  <c r="AQ275" i="1"/>
  <c r="AQ277" i="1" s="1"/>
  <c r="BE281" i="1"/>
  <c r="AK281" i="1"/>
  <c r="AR309" i="1"/>
  <c r="AR311" i="1" s="1"/>
  <c r="AS281" i="1"/>
  <c r="AS275" i="1"/>
  <c r="AA313" i="1"/>
  <c r="AM317" i="1"/>
  <c r="AM311" i="1"/>
  <c r="AM313" i="1" s="1"/>
  <c r="BB313" i="1"/>
  <c r="AJ273" i="1"/>
  <c r="AC312" i="1"/>
  <c r="BC313" i="1"/>
  <c r="AB281" i="1"/>
  <c r="AB275" i="1"/>
  <c r="AB277" i="1" s="1"/>
  <c r="BD281" i="1"/>
  <c r="BD275" i="1"/>
  <c r="AL309" i="1"/>
  <c r="BG281" i="1"/>
  <c r="BG275" i="1"/>
  <c r="AS317" i="1"/>
  <c r="AS311" i="1"/>
  <c r="AS313" i="1" s="1"/>
  <c r="Y306" i="1"/>
  <c r="AT317" i="1"/>
  <c r="AT311" i="1"/>
  <c r="AT313" i="1" s="1"/>
  <c r="AY281" i="1"/>
  <c r="AY275" i="1"/>
  <c r="AY277" i="1" s="1"/>
  <c r="AN281" i="1"/>
  <c r="AN275" i="1"/>
  <c r="AN277" i="1" s="1"/>
  <c r="AC317" i="1"/>
  <c r="AE323" i="1" a="1"/>
  <c r="AE323" i="1" s="1"/>
  <c r="AN323" i="1" a="1"/>
  <c r="AN323" i="1" s="1"/>
  <c r="AV323" i="1" a="1"/>
  <c r="AV323" i="1" s="1"/>
  <c r="BE323" i="1" a="1"/>
  <c r="BE323" i="1" s="1"/>
  <c r="AF323" i="1" a="1"/>
  <c r="AF323" i="1" s="1"/>
  <c r="AW323" i="1" a="1"/>
  <c r="AW323" i="1" s="1"/>
  <c r="BF323" i="1" a="1"/>
  <c r="BF323" i="1" s="1"/>
  <c r="AG323" i="1" a="1"/>
  <c r="AG323" i="1" s="1"/>
  <c r="AO323" i="1" a="1"/>
  <c r="AO323" i="1" s="1"/>
  <c r="AX323" i="1" a="1"/>
  <c r="AX323" i="1" s="1"/>
  <c r="BG323" i="1" a="1"/>
  <c r="BG323" i="1" s="1"/>
  <c r="AL323" i="1" a="1"/>
  <c r="AL323" i="1" s="1"/>
  <c r="BD323" i="1" a="1"/>
  <c r="BD323" i="1" s="1"/>
  <c r="BC323" i="1" a="1"/>
  <c r="BC323" i="1" s="1"/>
  <c r="Y323" i="1" a="1"/>
  <c r="Y323" i="1" s="1"/>
  <c r="AH323" i="1" a="1"/>
  <c r="AH323" i="1" s="1"/>
  <c r="AY323" i="1" a="1"/>
  <c r="AY323" i="1" s="1"/>
  <c r="Z323" i="1" a="1"/>
  <c r="Z323" i="1" s="1"/>
  <c r="AP323" i="1" a="1"/>
  <c r="AP323" i="1" s="1"/>
  <c r="AZ323" i="1" a="1"/>
  <c r="AZ323" i="1" s="1"/>
  <c r="X323" i="1" a="1"/>
  <c r="X323" i="1" s="1"/>
  <c r="AA323" i="1" a="1"/>
  <c r="AA323" i="1" s="1"/>
  <c r="AI323" i="1" a="1"/>
  <c r="AI323" i="1" s="1"/>
  <c r="AQ323" i="1" a="1"/>
  <c r="AQ323" i="1" s="1"/>
  <c r="AB323" i="1" a="1"/>
  <c r="AB323" i="1" s="1"/>
  <c r="AR323" i="1" a="1"/>
  <c r="AR323" i="1" s="1"/>
  <c r="BA323" i="1" a="1"/>
  <c r="BA323" i="1" s="1"/>
  <c r="AJ323" i="1" a="1"/>
  <c r="AJ323" i="1" s="1"/>
  <c r="AS323" i="1" a="1"/>
  <c r="AS323" i="1" s="1"/>
  <c r="AC323" i="1" a="1"/>
  <c r="AC323" i="1" s="1"/>
  <c r="AT323" i="1" a="1"/>
  <c r="AT323" i="1" s="1"/>
  <c r="BB323" i="1" a="1"/>
  <c r="BB323" i="1" s="1"/>
  <c r="AK323" i="1" a="1"/>
  <c r="AK323" i="1" s="1"/>
  <c r="AD323" i="1" a="1"/>
  <c r="AD323" i="1" s="1"/>
  <c r="AU323" i="1" a="1"/>
  <c r="AU323" i="1" s="1"/>
  <c r="AM323" i="1" a="1"/>
  <c r="AM323" i="1" s="1"/>
  <c r="F159" i="1"/>
  <c r="F328" i="1" s="1"/>
  <c r="BE317" i="1"/>
  <c r="BE312" i="1"/>
  <c r="BE313" i="1" s="1"/>
  <c r="AP273" i="1"/>
  <c r="BG309" i="1"/>
  <c r="AH309" i="1"/>
  <c r="AH311" i="1" s="1"/>
  <c r="AY309" i="1"/>
  <c r="AO273" i="1"/>
  <c r="G155" i="1"/>
  <c r="AF273" i="1"/>
  <c r="BD309" i="1"/>
  <c r="AU273" i="1"/>
  <c r="Y273" i="1"/>
  <c r="AE273" i="1"/>
  <c r="AG306" i="1"/>
  <c r="AG309" i="1" s="1"/>
  <c r="AG311" i="1" s="1"/>
  <c r="BB270" i="1"/>
  <c r="BB273" i="1" s="1"/>
  <c r="AP306" i="1"/>
  <c r="AP309" i="1" s="1"/>
  <c r="BF309" i="1"/>
  <c r="AJ306" i="1"/>
  <c r="AJ309" i="1" s="1"/>
  <c r="AJ311" i="1" s="1"/>
  <c r="AP276" i="1"/>
  <c r="Z276" i="1"/>
  <c r="AU309" i="1"/>
  <c r="AU311" i="1" s="1"/>
  <c r="AM276" i="1"/>
  <c r="AF317" i="1"/>
  <c r="AF312" i="1"/>
  <c r="AF313" i="1" s="1"/>
  <c r="AQ276" i="1"/>
  <c r="AI317" i="1"/>
  <c r="AI312" i="1"/>
  <c r="AI313" i="1" s="1"/>
  <c r="AW317" i="1"/>
  <c r="AW312" i="1"/>
  <c r="AW313" i="1" s="1"/>
  <c r="AR317" i="1"/>
  <c r="AR312" i="1"/>
  <c r="AE317" i="1"/>
  <c r="AE312" i="1"/>
  <c r="BC276" i="1"/>
  <c r="AK317" i="1"/>
  <c r="AK312" i="1"/>
  <c r="AK313" i="1" s="1"/>
  <c r="AJ276" i="1"/>
  <c r="AO276" i="1"/>
  <c r="AH317" i="1"/>
  <c r="AH312" i="1"/>
  <c r="BD276" i="1"/>
  <c r="AS276" i="1"/>
  <c r="AS277" i="1" s="1"/>
  <c r="BB317" i="1"/>
  <c r="BB312" i="1"/>
  <c r="AT276" i="1"/>
  <c r="AL276" i="1"/>
  <c r="BA276" i="1"/>
  <c r="BA277" i="1" s="1"/>
  <c r="BG312" i="1"/>
  <c r="AA276" i="1"/>
  <c r="AV306" i="1"/>
  <c r="AV309" i="1" s="1"/>
  <c r="AV311" i="1" s="1"/>
  <c r="AI270" i="1"/>
  <c r="AI273" i="1" s="1"/>
  <c r="AI275" i="1" s="1"/>
  <c r="BE276" i="1"/>
  <c r="AZ273" i="1"/>
  <c r="BF273" i="1"/>
  <c r="AV270" i="1"/>
  <c r="AV273" i="1" s="1"/>
  <c r="AC276" i="1"/>
  <c r="AL273" i="1"/>
  <c r="AQ317" i="1"/>
  <c r="AQ312" i="1"/>
  <c r="AD317" i="1"/>
  <c r="F182" i="1"/>
  <c r="G258" i="1"/>
  <c r="E331" i="1" s="1"/>
  <c r="G331" i="1" s="1"/>
  <c r="AK276" i="1"/>
  <c r="Y276" i="1"/>
  <c r="AW270" i="1"/>
  <c r="AW273" i="1" s="1"/>
  <c r="AW275" i="1" s="1"/>
  <c r="AN276" i="1"/>
  <c r="G296" i="1"/>
  <c r="F332" i="1" s="1"/>
  <c r="AU306" i="1"/>
  <c r="AG273" i="1"/>
  <c r="X260" i="1"/>
  <c r="G308" i="1"/>
  <c r="G153" i="1"/>
  <c r="E156" i="1"/>
  <c r="AH270" i="1"/>
  <c r="AH273" i="1" s="1"/>
  <c r="AH275" i="1" s="1"/>
  <c r="AR270" i="1"/>
  <c r="AR273" i="1" s="1"/>
  <c r="AR275" i="1" s="1"/>
  <c r="BG276" i="1"/>
  <c r="AB276" i="1"/>
  <c r="BA306" i="1"/>
  <c r="BA309" i="1" s="1"/>
  <c r="BA311" i="1" s="1"/>
  <c r="E180" i="1"/>
  <c r="G208" i="1"/>
  <c r="E179" i="1"/>
  <c r="F171" i="1"/>
  <c r="F173" i="1"/>
  <c r="F172" i="1"/>
  <c r="AZ309" i="1"/>
  <c r="AZ311" i="1" s="1"/>
  <c r="AX309" i="1"/>
  <c r="AX311" i="1" s="1"/>
  <c r="G269" i="1"/>
  <c r="G305" i="1"/>
  <c r="AE276" i="1"/>
  <c r="Z306" i="1"/>
  <c r="Z309" i="1" s="1"/>
  <c r="Z311" i="1" s="1"/>
  <c r="AO309" i="1"/>
  <c r="AO311" i="1" s="1"/>
  <c r="AD273" i="1"/>
  <c r="AY276" i="1"/>
  <c r="X273" i="1"/>
  <c r="X275" i="1" s="1"/>
  <c r="AD312" i="1"/>
  <c r="AD313" i="1" s="1"/>
  <c r="AL312" i="1"/>
  <c r="G272" i="1"/>
  <c r="AX281" i="1" l="1"/>
  <c r="AX275" i="1"/>
  <c r="AX276" i="1"/>
  <c r="AP312" i="1"/>
  <c r="AP311" i="1"/>
  <c r="AP313" i="1" s="1"/>
  <c r="AP317" i="1"/>
  <c r="Y317" i="1"/>
  <c r="Y311" i="1"/>
  <c r="Y313" i="1" s="1"/>
  <c r="X277" i="1"/>
  <c r="BF317" i="1"/>
  <c r="BF311" i="1"/>
  <c r="BD277" i="1"/>
  <c r="AH313" i="1"/>
  <c r="Z281" i="1"/>
  <c r="Z275" i="1"/>
  <c r="Z277" i="1" s="1"/>
  <c r="AL281" i="1"/>
  <c r="AL275" i="1"/>
  <c r="AL277" i="1" s="1"/>
  <c r="BF281" i="1"/>
  <c r="BF275" i="1"/>
  <c r="BF277" i="1" s="1"/>
  <c r="AU281" i="1"/>
  <c r="AU275" i="1"/>
  <c r="AZ281" i="1"/>
  <c r="AZ275" i="1"/>
  <c r="BD317" i="1"/>
  <c r="BD311" i="1"/>
  <c r="BD313" i="1" s="1"/>
  <c r="AX313" i="1"/>
  <c r="AH277" i="1"/>
  <c r="AK277" i="1"/>
  <c r="BE277" i="1"/>
  <c r="AF281" i="1"/>
  <c r="AF275" i="1"/>
  <c r="AZ276" i="1"/>
  <c r="AV313" i="1"/>
  <c r="X317" i="1"/>
  <c r="AJ313" i="1"/>
  <c r="AO281" i="1"/>
  <c r="AO275" i="1"/>
  <c r="AO277" i="1" s="1"/>
  <c r="AL317" i="1"/>
  <c r="AL311" i="1"/>
  <c r="AL313" i="1" s="1"/>
  <c r="F183" i="1"/>
  <c r="F234" i="1"/>
  <c r="F223" i="1"/>
  <c r="F212" i="1"/>
  <c r="F214" i="1" s="1"/>
  <c r="AY317" i="1"/>
  <c r="AY311" i="1"/>
  <c r="G274" i="1"/>
  <c r="BG313" i="1"/>
  <c r="BB275" i="1"/>
  <c r="AR313" i="1"/>
  <c r="AO313" i="1"/>
  <c r="BD312" i="1"/>
  <c r="AP281" i="1"/>
  <c r="AP275" i="1"/>
  <c r="AP277" i="1" s="1"/>
  <c r="Z313" i="1"/>
  <c r="X312" i="1"/>
  <c r="BA313" i="1"/>
  <c r="AC277" i="1"/>
  <c r="AY312" i="1"/>
  <c r="AE281" i="1"/>
  <c r="AE275" i="1"/>
  <c r="AE277" i="1" s="1"/>
  <c r="BG277" i="1"/>
  <c r="AD276" i="1"/>
  <c r="AD275" i="1"/>
  <c r="AD277" i="1" s="1"/>
  <c r="AG281" i="1"/>
  <c r="AG275" i="1"/>
  <c r="BG317" i="1"/>
  <c r="BG311" i="1"/>
  <c r="Y312" i="1"/>
  <c r="AV275" i="1"/>
  <c r="Y281" i="1"/>
  <c r="Y275" i="1"/>
  <c r="Y277" i="1" s="1"/>
  <c r="AJ281" i="1"/>
  <c r="AJ275" i="1"/>
  <c r="AJ277" i="1" s="1"/>
  <c r="BC277" i="1"/>
  <c r="G323" i="1"/>
  <c r="F334" i="1" s="1"/>
  <c r="F219" i="1"/>
  <c r="F174" i="1"/>
  <c r="AJ317" i="1"/>
  <c r="AJ312" i="1"/>
  <c r="AG317" i="1"/>
  <c r="AG312" i="1"/>
  <c r="AG313" i="1" s="1"/>
  <c r="AI281" i="1"/>
  <c r="AI276" i="1"/>
  <c r="AI277" i="1" s="1"/>
  <c r="BB281" i="1"/>
  <c r="BB276" i="1"/>
  <c r="AU276" i="1"/>
  <c r="BF312" i="1"/>
  <c r="AG276" i="1"/>
  <c r="AG277" i="1" s="1"/>
  <c r="AF276" i="1"/>
  <c r="Z317" i="1"/>
  <c r="Z312" i="1"/>
  <c r="G309" i="1"/>
  <c r="AV281" i="1"/>
  <c r="AV276" i="1"/>
  <c r="AW281" i="1"/>
  <c r="AW276" i="1"/>
  <c r="AW277" i="1" s="1"/>
  <c r="AR281" i="1"/>
  <c r="AR276" i="1"/>
  <c r="AR277" i="1" s="1"/>
  <c r="AH281" i="1"/>
  <c r="AH276" i="1"/>
  <c r="AV317" i="1"/>
  <c r="AV312" i="1"/>
  <c r="AX317" i="1"/>
  <c r="AX312" i="1"/>
  <c r="AZ317" i="1"/>
  <c r="AZ312" i="1"/>
  <c r="AZ313" i="1" s="1"/>
  <c r="G306" i="1"/>
  <c r="G270" i="1"/>
  <c r="X281" i="1"/>
  <c r="G273" i="1"/>
  <c r="G260" i="1"/>
  <c r="E332" i="1" s="1"/>
  <c r="G332" i="1" s="1"/>
  <c r="X276" i="1"/>
  <c r="BA317" i="1"/>
  <c r="BA312" i="1"/>
  <c r="AU317" i="1"/>
  <c r="AU312" i="1"/>
  <c r="AU313" i="1" s="1"/>
  <c r="BF276" i="1"/>
  <c r="G156" i="1"/>
  <c r="E157" i="1"/>
  <c r="G180" i="1"/>
  <c r="G179" i="1"/>
  <c r="AD281" i="1"/>
  <c r="E182" i="1"/>
  <c r="AO317" i="1"/>
  <c r="AO312" i="1"/>
  <c r="AF278" i="1" l="1"/>
  <c r="BG278" i="1"/>
  <c r="BG279" i="1" s="1"/>
  <c r="Z278" i="1"/>
  <c r="Z279" i="1" s="1"/>
  <c r="AA278" i="1"/>
  <c r="AA279" i="1" s="1"/>
  <c r="AD278" i="1"/>
  <c r="AD279" i="1" s="1"/>
  <c r="AB278" i="1"/>
  <c r="AB279" i="1" s="1"/>
  <c r="AC278" i="1"/>
  <c r="AC279" i="1" s="1"/>
  <c r="Y278" i="1"/>
  <c r="Y279" i="1" s="1"/>
  <c r="AE278" i="1"/>
  <c r="AE279" i="1" s="1"/>
  <c r="X278" i="1"/>
  <c r="X279" i="1" s="1"/>
  <c r="AL278" i="1"/>
  <c r="AL279" i="1" s="1"/>
  <c r="AN278" i="1"/>
  <c r="AN279" i="1" s="1"/>
  <c r="F236" i="1"/>
  <c r="AZ277" i="1"/>
  <c r="E234" i="1"/>
  <c r="E236" i="1" s="1"/>
  <c r="E223" i="1"/>
  <c r="E225" i="1" s="1"/>
  <c r="E212" i="1"/>
  <c r="G275" i="1"/>
  <c r="E239" i="1" s="1"/>
  <c r="G223" i="1"/>
  <c r="G225" i="1" s="1"/>
  <c r="F225" i="1"/>
  <c r="G311" i="1"/>
  <c r="F239" i="1" s="1"/>
  <c r="AX277" i="1"/>
  <c r="F241" i="1"/>
  <c r="X313" i="1"/>
  <c r="BF313" i="1"/>
  <c r="AV277" i="1"/>
  <c r="F178" i="1"/>
  <c r="E241" i="1"/>
  <c r="G241" i="1" a="1"/>
  <c r="G241" i="1" s="1"/>
  <c r="AY313" i="1"/>
  <c r="BB277" i="1"/>
  <c r="AF277" i="1"/>
  <c r="AI278" i="1" s="1"/>
  <c r="AI279" i="1" s="1"/>
  <c r="AU277" i="1"/>
  <c r="AJ324" i="1"/>
  <c r="AJ325" i="1" s="1"/>
  <c r="F216" i="1"/>
  <c r="AB324" i="1"/>
  <c r="AB325" i="1" s="1"/>
  <c r="AQ324" i="1"/>
  <c r="AQ325" i="1" s="1"/>
  <c r="BF324" i="1"/>
  <c r="BF325" i="1" s="1"/>
  <c r="AC324" i="1"/>
  <c r="AC325" i="1" s="1"/>
  <c r="AR324" i="1"/>
  <c r="AR325" i="1" s="1"/>
  <c r="BG324" i="1"/>
  <c r="BG325" i="1" s="1"/>
  <c r="AD324" i="1"/>
  <c r="AD325" i="1" s="1"/>
  <c r="AS324" i="1"/>
  <c r="AS325" i="1" s="1"/>
  <c r="AA324" i="1"/>
  <c r="AA325" i="1" s="1"/>
  <c r="AE324" i="1"/>
  <c r="AE325" i="1" s="1"/>
  <c r="AT324" i="1"/>
  <c r="AT325" i="1" s="1"/>
  <c r="AF324" i="1"/>
  <c r="AF325" i="1" s="1"/>
  <c r="AU324" i="1"/>
  <c r="AU325" i="1" s="1"/>
  <c r="AG324" i="1"/>
  <c r="AG325" i="1" s="1"/>
  <c r="AY324" i="1"/>
  <c r="AY325" i="1" s="1"/>
  <c r="AH324" i="1"/>
  <c r="AH325" i="1" s="1"/>
  <c r="AZ324" i="1"/>
  <c r="AZ325" i="1" s="1"/>
  <c r="AI324" i="1"/>
  <c r="AI325" i="1" s="1"/>
  <c r="BA324" i="1"/>
  <c r="BA325" i="1" s="1"/>
  <c r="AM324" i="1"/>
  <c r="AM325" i="1" s="1"/>
  <c r="BB324" i="1"/>
  <c r="BB325" i="1" s="1"/>
  <c r="AN324" i="1"/>
  <c r="AN325" i="1" s="1"/>
  <c r="BC324" i="1"/>
  <c r="BC325" i="1" s="1"/>
  <c r="AO324" i="1"/>
  <c r="AO325" i="1" s="1"/>
  <c r="BD324" i="1"/>
  <c r="BD325" i="1" s="1"/>
  <c r="AP324" i="1"/>
  <c r="AP325" i="1" s="1"/>
  <c r="BE324" i="1"/>
  <c r="BE325" i="1" s="1"/>
  <c r="AX324" i="1"/>
  <c r="AX325" i="1" s="1"/>
  <c r="AL324" i="1"/>
  <c r="AL325" i="1" s="1"/>
  <c r="Z324" i="1"/>
  <c r="Z325" i="1" s="1"/>
  <c r="AW324" i="1"/>
  <c r="AW325" i="1" s="1"/>
  <c r="AK324" i="1"/>
  <c r="AK325" i="1" s="1"/>
  <c r="Y324" i="1"/>
  <c r="Y325" i="1" s="1"/>
  <c r="X324" i="1"/>
  <c r="AV324" i="1"/>
  <c r="AV325" i="1" s="1"/>
  <c r="G317" i="1"/>
  <c r="AB318" i="1" s="1"/>
  <c r="F177" i="1"/>
  <c r="AN318" i="1"/>
  <c r="AQ318" i="1"/>
  <c r="AL318" i="1"/>
  <c r="AJ318" i="1"/>
  <c r="Y318" i="1"/>
  <c r="AS318" i="1"/>
  <c r="AV318" i="1"/>
  <c r="AP318" i="1"/>
  <c r="AX318" i="1"/>
  <c r="AM318" i="1"/>
  <c r="AW318" i="1"/>
  <c r="AE318" i="1"/>
  <c r="AI318" i="1"/>
  <c r="BC318" i="1"/>
  <c r="Z318" i="1"/>
  <c r="BA318" i="1"/>
  <c r="AO318" i="1"/>
  <c r="AY318" i="1"/>
  <c r="AZ318" i="1"/>
  <c r="AU318" i="1"/>
  <c r="BB318" i="1"/>
  <c r="AA318" i="1"/>
  <c r="AR318" i="1"/>
  <c r="AF318" i="1"/>
  <c r="BG318" i="1"/>
  <c r="X318" i="1"/>
  <c r="E177" i="1"/>
  <c r="G276" i="1"/>
  <c r="E238" i="1" s="1"/>
  <c r="G238" i="1" s="1"/>
  <c r="E178" i="1"/>
  <c r="E158" i="1"/>
  <c r="E159" i="1" s="1"/>
  <c r="G157" i="1"/>
  <c r="G281" i="1"/>
  <c r="G312" i="1"/>
  <c r="F238" i="1" s="1"/>
  <c r="E183" i="1"/>
  <c r="G182" i="1"/>
  <c r="G183" i="1" s="1"/>
  <c r="AK278" i="1" l="1"/>
  <c r="AK279" i="1" s="1"/>
  <c r="AX278" i="1"/>
  <c r="AX279" i="1" s="1"/>
  <c r="AJ278" i="1"/>
  <c r="AJ279" i="1" s="1"/>
  <c r="AT278" i="1"/>
  <c r="AT279" i="1" s="1"/>
  <c r="AZ278" i="1"/>
  <c r="AZ279" i="1" s="1"/>
  <c r="AH278" i="1"/>
  <c r="AH279" i="1" s="1"/>
  <c r="G234" i="1"/>
  <c r="G236" i="1" s="1"/>
  <c r="AM278" i="1"/>
  <c r="AM279" i="1" s="1"/>
  <c r="AW278" i="1"/>
  <c r="AW279" i="1" s="1"/>
  <c r="AS278" i="1"/>
  <c r="AS279" i="1" s="1"/>
  <c r="AK318" i="1"/>
  <c r="AG318" i="1"/>
  <c r="F185" i="1"/>
  <c r="F226" i="1" s="1"/>
  <c r="G239" i="1"/>
  <c r="AQ278" i="1"/>
  <c r="AQ279" i="1" s="1"/>
  <c r="AG278" i="1"/>
  <c r="AG279" i="1" s="1"/>
  <c r="AO278" i="1"/>
  <c r="AO279" i="1" s="1"/>
  <c r="BE278" i="1"/>
  <c r="BE279" i="1" s="1"/>
  <c r="AF279" i="1"/>
  <c r="G212" i="1"/>
  <c r="G214" i="1" s="1"/>
  <c r="E214" i="1"/>
  <c r="BF278" i="1"/>
  <c r="BF279" i="1" s="1"/>
  <c r="AV278" i="1"/>
  <c r="AV279" i="1" s="1"/>
  <c r="AJ314" i="1"/>
  <c r="AJ315" i="1" s="1"/>
  <c r="AV314" i="1"/>
  <c r="AV315" i="1" s="1"/>
  <c r="X314" i="1"/>
  <c r="AA314" i="1"/>
  <c r="AA315" i="1" s="1"/>
  <c r="AB314" i="1"/>
  <c r="AB315" i="1" s="1"/>
  <c r="AZ314" i="1"/>
  <c r="AZ315" i="1" s="1"/>
  <c r="Y314" i="1"/>
  <c r="Y315" i="1" s="1"/>
  <c r="AK314" i="1"/>
  <c r="AK315" i="1" s="1"/>
  <c r="AW314" i="1"/>
  <c r="AW315" i="1" s="1"/>
  <c r="AY314" i="1"/>
  <c r="AY315" i="1" s="1"/>
  <c r="AN314" i="1"/>
  <c r="AN315" i="1" s="1"/>
  <c r="Z314" i="1"/>
  <c r="Z315" i="1" s="1"/>
  <c r="AL314" i="1"/>
  <c r="AL315" i="1" s="1"/>
  <c r="AX314" i="1"/>
  <c r="AX315" i="1" s="1"/>
  <c r="AM314" i="1"/>
  <c r="AM315" i="1" s="1"/>
  <c r="AO314" i="1"/>
  <c r="AO315" i="1" s="1"/>
  <c r="BF314" i="1"/>
  <c r="BF315" i="1" s="1"/>
  <c r="AP314" i="1"/>
  <c r="AP315" i="1" s="1"/>
  <c r="BG314" i="1"/>
  <c r="BG315" i="1" s="1"/>
  <c r="AR314" i="1"/>
  <c r="AR315" i="1" s="1"/>
  <c r="AS314" i="1"/>
  <c r="AS315" i="1" s="1"/>
  <c r="AQ314" i="1"/>
  <c r="AQ315" i="1" s="1"/>
  <c r="AI314" i="1"/>
  <c r="AI315" i="1" s="1"/>
  <c r="AD314" i="1"/>
  <c r="AD315" i="1" s="1"/>
  <c r="AE314" i="1"/>
  <c r="AE315" i="1" s="1"/>
  <c r="AF314" i="1"/>
  <c r="AF315" i="1" s="1"/>
  <c r="AH314" i="1"/>
  <c r="AH315" i="1" s="1"/>
  <c r="AT314" i="1"/>
  <c r="AT315" i="1" s="1"/>
  <c r="AU314" i="1"/>
  <c r="AU315" i="1" s="1"/>
  <c r="AC314" i="1"/>
  <c r="AC315" i="1" s="1"/>
  <c r="BD314" i="1"/>
  <c r="BD315" i="1" s="1"/>
  <c r="BE314" i="1"/>
  <c r="BE315" i="1" s="1"/>
  <c r="BA314" i="1"/>
  <c r="BA315" i="1" s="1"/>
  <c r="BB314" i="1"/>
  <c r="BB315" i="1" s="1"/>
  <c r="BC314" i="1"/>
  <c r="BC315" i="1" s="1"/>
  <c r="AG314" i="1"/>
  <c r="AG315" i="1" s="1"/>
  <c r="G313" i="1"/>
  <c r="AY278" i="1"/>
  <c r="AY279" i="1" s="1"/>
  <c r="AU278" i="1"/>
  <c r="AU279" i="1" s="1"/>
  <c r="BA278" i="1"/>
  <c r="BA279" i="1" s="1"/>
  <c r="AP278" i="1"/>
  <c r="AP279" i="1" s="1"/>
  <c r="BD278" i="1"/>
  <c r="BD279" i="1" s="1"/>
  <c r="BB278" i="1"/>
  <c r="BB279" i="1" s="1"/>
  <c r="G178" i="1"/>
  <c r="BD318" i="1"/>
  <c r="BE318" i="1"/>
  <c r="G277" i="1"/>
  <c r="BC278" i="1"/>
  <c r="BC279" i="1" s="1"/>
  <c r="AR278" i="1"/>
  <c r="AR279" i="1" s="1"/>
  <c r="G324" i="1"/>
  <c r="F217" i="1" s="1"/>
  <c r="X325" i="1"/>
  <c r="BF318" i="1"/>
  <c r="AD318" i="1"/>
  <c r="AC318" i="1"/>
  <c r="AT318" i="1"/>
  <c r="AH318" i="1"/>
  <c r="E185" i="1"/>
  <c r="E226" i="1" s="1"/>
  <c r="AP282" i="1"/>
  <c r="AF282" i="1"/>
  <c r="AJ282" i="1"/>
  <c r="AS282" i="1"/>
  <c r="AL282" i="1"/>
  <c r="AZ282" i="1"/>
  <c r="BA282" i="1"/>
  <c r="AB282" i="1"/>
  <c r="AK282" i="1"/>
  <c r="AG282" i="1"/>
  <c r="AA282" i="1"/>
  <c r="AE282" i="1"/>
  <c r="AT282" i="1"/>
  <c r="AQ282" i="1"/>
  <c r="AH282" i="1"/>
  <c r="AW282" i="1"/>
  <c r="BB282" i="1"/>
  <c r="AY282" i="1"/>
  <c r="Z282" i="1"/>
  <c r="BF282" i="1"/>
  <c r="AR282" i="1"/>
  <c r="AC282" i="1"/>
  <c r="AV282" i="1"/>
  <c r="AO282" i="1"/>
  <c r="AM282" i="1"/>
  <c r="AU282" i="1"/>
  <c r="BC282" i="1"/>
  <c r="BD282" i="1"/>
  <c r="Y282" i="1"/>
  <c r="AI282" i="1"/>
  <c r="AX282" i="1"/>
  <c r="AD282" i="1"/>
  <c r="BE282" i="1"/>
  <c r="AN282" i="1"/>
  <c r="BG282" i="1"/>
  <c r="X282" i="1"/>
  <c r="G159" i="1"/>
  <c r="E170" i="1"/>
  <c r="G158" i="1"/>
  <c r="F190" i="1"/>
  <c r="F187" i="1"/>
  <c r="F186" i="1"/>
  <c r="E243" i="1" l="1"/>
  <c r="F189" i="1"/>
  <c r="E237" i="1"/>
  <c r="F230" i="1"/>
  <c r="G279" i="1"/>
  <c r="E240" i="1" s="1"/>
  <c r="E242" i="1"/>
  <c r="G278" i="1"/>
  <c r="G314" i="1"/>
  <c r="G318" i="1"/>
  <c r="E230" i="1"/>
  <c r="G230" i="1" a="1"/>
  <c r="G230" i="1" s="1"/>
  <c r="G226" i="1"/>
  <c r="X315" i="1"/>
  <c r="G325" i="1"/>
  <c r="F218" i="1" s="1"/>
  <c r="F221" i="1"/>
  <c r="F220" i="1"/>
  <c r="AC287" i="1" a="1"/>
  <c r="AC287" i="1" s="1"/>
  <c r="AK287" i="1" a="1"/>
  <c r="AK287" i="1" s="1"/>
  <c r="AS287" i="1" a="1"/>
  <c r="AS287" i="1" s="1"/>
  <c r="BB287" i="1" a="1"/>
  <c r="BB287" i="1" s="1"/>
  <c r="AM287" i="1" a="1"/>
  <c r="AM287" i="1" s="1"/>
  <c r="BD287" i="1" a="1"/>
  <c r="BD287" i="1" s="1"/>
  <c r="AF287" i="1" a="1"/>
  <c r="AF287" i="1" s="1"/>
  <c r="AO287" i="1" a="1"/>
  <c r="AO287" i="1" s="1"/>
  <c r="AX287" i="1" a="1"/>
  <c r="AX287" i="1" s="1"/>
  <c r="AY287" i="1" a="1"/>
  <c r="AY287" i="1" s="1"/>
  <c r="AI287" i="1" a="1"/>
  <c r="AI287" i="1" s="1"/>
  <c r="AR287" i="1" a="1"/>
  <c r="AR287" i="1" s="1"/>
  <c r="AD287" i="1" a="1"/>
  <c r="AD287" i="1" s="1"/>
  <c r="AT287" i="1" a="1"/>
  <c r="AT287" i="1" s="1"/>
  <c r="BC287" i="1" a="1"/>
  <c r="BC287" i="1" s="1"/>
  <c r="AL287" i="1" a="1"/>
  <c r="AL287" i="1" s="1"/>
  <c r="AE287" i="1" a="1"/>
  <c r="AE287" i="1" s="1"/>
  <c r="AU287" i="1" a="1"/>
  <c r="AU287" i="1" s="1"/>
  <c r="BF287" i="1" a="1"/>
  <c r="BF287" i="1" s="1"/>
  <c r="AG287" i="1" a="1"/>
  <c r="AG287" i="1" s="1"/>
  <c r="AP287" i="1" a="1"/>
  <c r="AP287" i="1" s="1"/>
  <c r="BG287" i="1" a="1"/>
  <c r="BG287" i="1" s="1"/>
  <c r="Z287" i="1" a="1"/>
  <c r="Z287" i="1" s="1"/>
  <c r="AQ287" i="1" a="1"/>
  <c r="AQ287" i="1" s="1"/>
  <c r="AJ287" i="1" a="1"/>
  <c r="AJ287" i="1" s="1"/>
  <c r="AN287" i="1" a="1"/>
  <c r="AN287" i="1" s="1"/>
  <c r="AV287" i="1" a="1"/>
  <c r="AV287" i="1" s="1"/>
  <c r="BE287" i="1" a="1"/>
  <c r="BE287" i="1" s="1"/>
  <c r="AW287" i="1" a="1"/>
  <c r="AW287" i="1" s="1"/>
  <c r="Y287" i="1" a="1"/>
  <c r="Y287" i="1" s="1"/>
  <c r="AH287" i="1" a="1"/>
  <c r="AH287" i="1" s="1"/>
  <c r="X287" i="1" a="1"/>
  <c r="X287" i="1" s="1"/>
  <c r="AA287" i="1" a="1"/>
  <c r="AA287" i="1" s="1"/>
  <c r="AZ287" i="1" a="1"/>
  <c r="AZ287" i="1" s="1"/>
  <c r="AB287" i="1" a="1"/>
  <c r="AB287" i="1" s="1"/>
  <c r="BA287" i="1" a="1"/>
  <c r="BA287" i="1" s="1"/>
  <c r="G170" i="1"/>
  <c r="E173" i="1"/>
  <c r="E172" i="1"/>
  <c r="E171" i="1"/>
  <c r="E328" i="1"/>
  <c r="G328" i="1" s="1"/>
  <c r="E190" i="1"/>
  <c r="E189" i="1"/>
  <c r="G282" i="1"/>
  <c r="E186" i="1"/>
  <c r="E187" i="1"/>
  <c r="G185" i="1"/>
  <c r="F243" i="1" l="1"/>
  <c r="F242" i="1"/>
  <c r="F237" i="1"/>
  <c r="G237" i="1" s="1"/>
  <c r="G315" i="1"/>
  <c r="F240" i="1" s="1"/>
  <c r="G242" i="1" a="1"/>
  <c r="G242" i="1" s="1"/>
  <c r="G243" i="1"/>
  <c r="G240" i="1"/>
  <c r="E188" i="1"/>
  <c r="AH283" i="1"/>
  <c r="AH284" i="1" s="1"/>
  <c r="AT283" i="1"/>
  <c r="AT284" i="1" s="1"/>
  <c r="BF283" i="1"/>
  <c r="BF284" i="1" s="1"/>
  <c r="Y283" i="1"/>
  <c r="Y284" i="1" s="1"/>
  <c r="AI283" i="1"/>
  <c r="AI284" i="1" s="1"/>
  <c r="AU283" i="1"/>
  <c r="AU284" i="1" s="1"/>
  <c r="BG283" i="1"/>
  <c r="BG284" i="1" s="1"/>
  <c r="AK283" i="1"/>
  <c r="AK284" i="1" s="1"/>
  <c r="AJ283" i="1"/>
  <c r="AJ284" i="1" s="1"/>
  <c r="AV283" i="1"/>
  <c r="AV284" i="1" s="1"/>
  <c r="X283" i="1"/>
  <c r="AW283" i="1"/>
  <c r="AW284" i="1" s="1"/>
  <c r="AN283" i="1"/>
  <c r="AN284" i="1" s="1"/>
  <c r="BD283" i="1"/>
  <c r="BD284" i="1" s="1"/>
  <c r="AQ283" i="1"/>
  <c r="AQ284" i="1" s="1"/>
  <c r="AO283" i="1"/>
  <c r="AO284" i="1" s="1"/>
  <c r="BE283" i="1"/>
  <c r="BE284" i="1" s="1"/>
  <c r="AA283" i="1"/>
  <c r="AA284" i="1" s="1"/>
  <c r="Z283" i="1"/>
  <c r="Z284" i="1" s="1"/>
  <c r="AP283" i="1"/>
  <c r="AP284" i="1" s="1"/>
  <c r="E227" i="1"/>
  <c r="AC283" i="1"/>
  <c r="AC284" i="1" s="1"/>
  <c r="BA283" i="1"/>
  <c r="BA284" i="1" s="1"/>
  <c r="AB283" i="1"/>
  <c r="AB284" i="1" s="1"/>
  <c r="AD283" i="1"/>
  <c r="AD284" i="1" s="1"/>
  <c r="BB283" i="1"/>
  <c r="BB284" i="1" s="1"/>
  <c r="AS283" i="1"/>
  <c r="AS284" i="1" s="1"/>
  <c r="AZ283" i="1"/>
  <c r="AZ284" i="1" s="1"/>
  <c r="AE283" i="1"/>
  <c r="AE284" i="1" s="1"/>
  <c r="BC283" i="1"/>
  <c r="BC284" i="1" s="1"/>
  <c r="AM283" i="1"/>
  <c r="AM284" i="1" s="1"/>
  <c r="AY283" i="1"/>
  <c r="AY284" i="1" s="1"/>
  <c r="AF283" i="1"/>
  <c r="AF284" i="1" s="1"/>
  <c r="AG283" i="1"/>
  <c r="AG284" i="1" s="1"/>
  <c r="AL283" i="1"/>
  <c r="AL284" i="1" s="1"/>
  <c r="AR283" i="1"/>
  <c r="AR284" i="1" s="1"/>
  <c r="AX283" i="1"/>
  <c r="AX284" i="1" s="1"/>
  <c r="F188" i="1"/>
  <c r="AD319" i="1"/>
  <c r="AD320" i="1" s="1"/>
  <c r="AP319" i="1"/>
  <c r="AP320" i="1" s="1"/>
  <c r="BB319" i="1"/>
  <c r="BB320" i="1" s="1"/>
  <c r="AS319" i="1"/>
  <c r="AS320" i="1" s="1"/>
  <c r="AE319" i="1"/>
  <c r="AE320" i="1" s="1"/>
  <c r="AQ319" i="1"/>
  <c r="AQ320" i="1" s="1"/>
  <c r="BC319" i="1"/>
  <c r="BC320" i="1" s="1"/>
  <c r="AF319" i="1"/>
  <c r="AF320" i="1" s="1"/>
  <c r="AR319" i="1"/>
  <c r="AR320" i="1" s="1"/>
  <c r="BD319" i="1"/>
  <c r="BD320" i="1" s="1"/>
  <c r="AG319" i="1"/>
  <c r="AG320" i="1" s="1"/>
  <c r="BE319" i="1"/>
  <c r="BE320" i="1" s="1"/>
  <c r="AB319" i="1"/>
  <c r="AB320" i="1" s="1"/>
  <c r="AV319" i="1"/>
  <c r="AV320" i="1" s="1"/>
  <c r="AC319" i="1"/>
  <c r="AC320" i="1" s="1"/>
  <c r="AW319" i="1"/>
  <c r="AW320" i="1" s="1"/>
  <c r="AI319" i="1"/>
  <c r="AI320" i="1" s="1"/>
  <c r="AY319" i="1"/>
  <c r="AY320" i="1" s="1"/>
  <c r="AJ319" i="1"/>
  <c r="AJ320" i="1" s="1"/>
  <c r="AH319" i="1"/>
  <c r="AH320" i="1" s="1"/>
  <c r="AX319" i="1"/>
  <c r="AX320" i="1" s="1"/>
  <c r="AZ319" i="1"/>
  <c r="AZ320" i="1" s="1"/>
  <c r="Y319" i="1"/>
  <c r="Y320" i="1" s="1"/>
  <c r="BG319" i="1"/>
  <c r="BG320" i="1" s="1"/>
  <c r="F227" i="1"/>
  <c r="Z319" i="1"/>
  <c r="Z320" i="1" s="1"/>
  <c r="X319" i="1"/>
  <c r="AA319" i="1"/>
  <c r="AA320" i="1" s="1"/>
  <c r="AN319" i="1"/>
  <c r="AN320" i="1" s="1"/>
  <c r="AO319" i="1"/>
  <c r="AO320" i="1" s="1"/>
  <c r="AT319" i="1"/>
  <c r="AT320" i="1" s="1"/>
  <c r="BA319" i="1"/>
  <c r="BA320" i="1" s="1"/>
  <c r="BF319" i="1"/>
  <c r="BF320" i="1" s="1"/>
  <c r="AK319" i="1"/>
  <c r="AK320" i="1" s="1"/>
  <c r="AL319" i="1"/>
  <c r="AL320" i="1" s="1"/>
  <c r="AM319" i="1"/>
  <c r="AM320" i="1" s="1"/>
  <c r="AU319" i="1"/>
  <c r="AU320" i="1" s="1"/>
  <c r="E219" i="1"/>
  <c r="G287" i="1"/>
  <c r="E334" i="1" s="1"/>
  <c r="G334" i="1" s="1"/>
  <c r="G335" i="1" s="1"/>
  <c r="G219" i="1" a="1"/>
  <c r="G219" i="1" s="1"/>
  <c r="E174" i="1"/>
  <c r="G187" i="1"/>
  <c r="G186" i="1"/>
  <c r="G171" i="1"/>
  <c r="G174" i="1" s="1"/>
  <c r="G172" i="1"/>
  <c r="G173" i="1"/>
  <c r="G188" i="1" l="1"/>
  <c r="G283" i="1"/>
  <c r="E228" i="1" s="1"/>
  <c r="X284" i="1"/>
  <c r="G319" i="1"/>
  <c r="F228" i="1" s="1"/>
  <c r="X320" i="1"/>
  <c r="G227" i="1"/>
  <c r="G284" i="1"/>
  <c r="Y288" i="1"/>
  <c r="Y289" i="1" s="1"/>
  <c r="AO288" i="1"/>
  <c r="AO289" i="1" s="1"/>
  <c r="BD288" i="1"/>
  <c r="BD289" i="1" s="1"/>
  <c r="AC288" i="1"/>
  <c r="AC289" i="1" s="1"/>
  <c r="BG288" i="1"/>
  <c r="BG289" i="1" s="1"/>
  <c r="AH288" i="1"/>
  <c r="AH289" i="1" s="1"/>
  <c r="E216" i="1"/>
  <c r="G216" i="1" s="1"/>
  <c r="AN288" i="1"/>
  <c r="AN289" i="1" s="1"/>
  <c r="AP288" i="1"/>
  <c r="AP289" i="1" s="1"/>
  <c r="BE288" i="1"/>
  <c r="BE289" i="1" s="1"/>
  <c r="AB288" i="1"/>
  <c r="AB289" i="1" s="1"/>
  <c r="AQ288" i="1"/>
  <c r="AQ289" i="1" s="1"/>
  <c r="BF288" i="1"/>
  <c r="BF289" i="1" s="1"/>
  <c r="AR288" i="1"/>
  <c r="AR289" i="1" s="1"/>
  <c r="AV288" i="1"/>
  <c r="AV289" i="1" s="1"/>
  <c r="BB288" i="1"/>
  <c r="BB289" i="1" s="1"/>
  <c r="AE288" i="1"/>
  <c r="AE289" i="1" s="1"/>
  <c r="AU288" i="1"/>
  <c r="AU289" i="1" s="1"/>
  <c r="AD288" i="1"/>
  <c r="AD289" i="1" s="1"/>
  <c r="AS288" i="1"/>
  <c r="AS289" i="1" s="1"/>
  <c r="X288" i="1"/>
  <c r="AT288" i="1"/>
  <c r="AT289" i="1" s="1"/>
  <c r="AF288" i="1"/>
  <c r="AF289" i="1" s="1"/>
  <c r="AG288" i="1"/>
  <c r="AG289" i="1" s="1"/>
  <c r="AZ288" i="1"/>
  <c r="AZ289" i="1" s="1"/>
  <c r="AI288" i="1"/>
  <c r="AI289" i="1" s="1"/>
  <c r="BA288" i="1"/>
  <c r="BA289" i="1" s="1"/>
  <c r="AJ288" i="1"/>
  <c r="AJ289" i="1" s="1"/>
  <c r="BC288" i="1"/>
  <c r="BC289" i="1" s="1"/>
  <c r="AY288" i="1"/>
  <c r="AY289" i="1" s="1"/>
  <c r="AM288" i="1"/>
  <c r="AM289" i="1" s="1"/>
  <c r="AA288" i="1"/>
  <c r="AA289" i="1" s="1"/>
  <c r="AX288" i="1"/>
  <c r="AX289" i="1" s="1"/>
  <c r="AL288" i="1"/>
  <c r="AL289" i="1" s="1"/>
  <c r="Z288" i="1"/>
  <c r="Z289" i="1" s="1"/>
  <c r="AK288" i="1"/>
  <c r="AK289" i="1" s="1"/>
  <c r="AW288" i="1"/>
  <c r="AW289" i="1" s="1"/>
  <c r="G320" i="1" l="1"/>
  <c r="G228" i="1"/>
  <c r="AN285" i="1"/>
  <c r="AN286" i="1" s="1"/>
  <c r="AA285" i="1"/>
  <c r="AA286" i="1" s="1"/>
  <c r="AB285" i="1"/>
  <c r="AB286" i="1" s="1"/>
  <c r="AQ285" i="1"/>
  <c r="AQ286" i="1" s="1"/>
  <c r="AT285" i="1"/>
  <c r="AT286" i="1" s="1"/>
  <c r="BE285" i="1"/>
  <c r="BE286" i="1" s="1"/>
  <c r="AM285" i="1"/>
  <c r="AM286" i="1" s="1"/>
  <c r="AS285" i="1"/>
  <c r="AS286" i="1" s="1"/>
  <c r="BC285" i="1"/>
  <c r="BC286" i="1" s="1"/>
  <c r="BA285" i="1"/>
  <c r="BA286" i="1" s="1"/>
  <c r="BB285" i="1"/>
  <c r="BB286" i="1" s="1"/>
  <c r="BG285" i="1"/>
  <c r="BG286" i="1" s="1"/>
  <c r="AG285" i="1"/>
  <c r="AG286" i="1" s="1"/>
  <c r="AL285" i="1"/>
  <c r="AL286" i="1" s="1"/>
  <c r="AP285" i="1"/>
  <c r="AP286" i="1" s="1"/>
  <c r="BF285" i="1"/>
  <c r="BF286" i="1" s="1"/>
  <c r="AD285" i="1"/>
  <c r="AD286" i="1" s="1"/>
  <c r="AE285" i="1"/>
  <c r="AE286" i="1" s="1"/>
  <c r="AI285" i="1"/>
  <c r="AI286" i="1" s="1"/>
  <c r="AV285" i="1"/>
  <c r="AV286" i="1" s="1"/>
  <c r="Z285" i="1"/>
  <c r="Z286" i="1" s="1"/>
  <c r="AR285" i="1"/>
  <c r="AR286" i="1" s="1"/>
  <c r="AX285" i="1"/>
  <c r="AX286" i="1" s="1"/>
  <c r="AK285" i="1"/>
  <c r="AK286" i="1" s="1"/>
  <c r="AH285" i="1"/>
  <c r="AH286" i="1" s="1"/>
  <c r="BD285" i="1"/>
  <c r="BD286" i="1" s="1"/>
  <c r="AC285" i="1"/>
  <c r="AC286" i="1" s="1"/>
  <c r="AJ285" i="1"/>
  <c r="AJ286" i="1" s="1"/>
  <c r="Y285" i="1"/>
  <c r="Y286" i="1" s="1"/>
  <c r="AF285" i="1"/>
  <c r="AF286" i="1" s="1"/>
  <c r="AO285" i="1"/>
  <c r="AO286" i="1" s="1"/>
  <c r="X285" i="1"/>
  <c r="AU285" i="1"/>
  <c r="AU286" i="1" s="1"/>
  <c r="AY285" i="1"/>
  <c r="AY286" i="1" s="1"/>
  <c r="AZ285" i="1"/>
  <c r="AZ286" i="1" s="1"/>
  <c r="AW285" i="1"/>
  <c r="AW286" i="1" s="1"/>
  <c r="X289" i="1"/>
  <c r="G288" i="1"/>
  <c r="E217" i="1" s="1"/>
  <c r="G217" i="1" s="1"/>
  <c r="G285" i="1" l="1"/>
  <c r="X286" i="1"/>
  <c r="AN321" i="1"/>
  <c r="AN322" i="1" s="1"/>
  <c r="AA321" i="1"/>
  <c r="AA322" i="1" s="1"/>
  <c r="AS321" i="1"/>
  <c r="AS322" i="1" s="1"/>
  <c r="AT321" i="1"/>
  <c r="AT322" i="1" s="1"/>
  <c r="BE321" i="1"/>
  <c r="BE322" i="1" s="1"/>
  <c r="AM321" i="1"/>
  <c r="AM322" i="1" s="1"/>
  <c r="BC321" i="1"/>
  <c r="BC322" i="1" s="1"/>
  <c r="AB321" i="1"/>
  <c r="AB322" i="1" s="1"/>
  <c r="AQ321" i="1"/>
  <c r="AQ322" i="1" s="1"/>
  <c r="BB321" i="1"/>
  <c r="BB322" i="1" s="1"/>
  <c r="BF321" i="1"/>
  <c r="BF322" i="1" s="1"/>
  <c r="Y321" i="1"/>
  <c r="Y322" i="1" s="1"/>
  <c r="AW321" i="1"/>
  <c r="AW322" i="1" s="1"/>
  <c r="AG321" i="1"/>
  <c r="AG322" i="1" s="1"/>
  <c r="AL321" i="1"/>
  <c r="AL322" i="1" s="1"/>
  <c r="AP321" i="1"/>
  <c r="AP322" i="1" s="1"/>
  <c r="AD321" i="1"/>
  <c r="AD322" i="1" s="1"/>
  <c r="BG321" i="1"/>
  <c r="BG322" i="1" s="1"/>
  <c r="AX321" i="1"/>
  <c r="AX322" i="1" s="1"/>
  <c r="Z321" i="1"/>
  <c r="Z322" i="1" s="1"/>
  <c r="AH321" i="1"/>
  <c r="AH322" i="1" s="1"/>
  <c r="BA321" i="1"/>
  <c r="BA322" i="1" s="1"/>
  <c r="AE321" i="1"/>
  <c r="AE322" i="1" s="1"/>
  <c r="AI321" i="1"/>
  <c r="AI322" i="1" s="1"/>
  <c r="AR321" i="1"/>
  <c r="AR322" i="1" s="1"/>
  <c r="BD321" i="1"/>
  <c r="BD322" i="1" s="1"/>
  <c r="AC321" i="1"/>
  <c r="AC322" i="1" s="1"/>
  <c r="AK321" i="1"/>
  <c r="AK322" i="1" s="1"/>
  <c r="AO321" i="1"/>
  <c r="AO322" i="1" s="1"/>
  <c r="AV321" i="1"/>
  <c r="AV322" i="1" s="1"/>
  <c r="AJ321" i="1"/>
  <c r="AJ322" i="1" s="1"/>
  <c r="AY321" i="1"/>
  <c r="AY322" i="1" s="1"/>
  <c r="X321" i="1"/>
  <c r="AZ321" i="1"/>
  <c r="AZ322" i="1" s="1"/>
  <c r="AU321" i="1"/>
  <c r="AU322" i="1" s="1"/>
  <c r="AF321" i="1"/>
  <c r="AF322" i="1" s="1"/>
  <c r="G220" i="1" a="1"/>
  <c r="G220" i="1" s="1"/>
  <c r="E221" i="1"/>
  <c r="G221" i="1"/>
  <c r="E220" i="1"/>
  <c r="G289" i="1"/>
  <c r="E218" i="1" s="1"/>
  <c r="G218" i="1" s="1"/>
  <c r="G321" i="1" l="1"/>
  <c r="X322" i="1"/>
  <c r="G232" i="1" s="1"/>
  <c r="G231" i="1" a="1"/>
  <c r="G231" i="1" s="1"/>
  <c r="G286" i="1"/>
  <c r="E229" i="1" s="1"/>
  <c r="E231" i="1"/>
  <c r="E232" i="1"/>
  <c r="F232" i="1" l="1"/>
  <c r="F231" i="1"/>
  <c r="G322" i="1"/>
  <c r="F229" i="1" s="1"/>
  <c r="G2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<sst xmlns="http://schemas.openxmlformats.org/spreadsheetml/2006/main" count="672" uniqueCount="312">
  <si>
    <t>Iváncsa, Dunaújváros</t>
  </si>
  <si>
    <t>Band tables (model Inputs block U) and constants</t>
  </si>
  <si>
    <t>Osz1_LB</t>
  </si>
  <si>
    <t>The bid: commitments and points</t>
  </si>
  <si>
    <t>Iváncsa</t>
  </si>
  <si>
    <t>Dunaújváros</t>
  </si>
  <si>
    <t>Osz1_Incl</t>
  </si>
  <si>
    <t>Net connection capacity</t>
  </si>
  <si>
    <t>MVA</t>
  </si>
  <si>
    <t>Osz1_Pts</t>
  </si>
  <si>
    <t>Overbuild (ÖSZ-3)</t>
  </si>
  <si>
    <t>%</t>
  </si>
  <si>
    <t>Osz2_LB</t>
  </si>
  <si>
    <t>BESS power, share of MVA (ÖSZ-4)</t>
  </si>
  <si>
    <t>Osz2_Incl</t>
  </si>
  <si>
    <t>BESS duration</t>
  </si>
  <si>
    <t>h</t>
  </si>
  <si>
    <t>Osz2_Pts</t>
  </si>
  <si>
    <t>Municipal one-off (ÖSZ-1)</t>
  </si>
  <si>
    <t>EUR k/MW</t>
  </si>
  <si>
    <t>Osz3_LB</t>
  </si>
  <si>
    <t>Community contribution (ÖSZ-2)</t>
  </si>
  <si>
    <t>EUR/MWh</t>
  </si>
  <si>
    <t>Osz3_Incl</t>
  </si>
  <si>
    <t>Partial award accepted (ÖSZ-5)</t>
  </si>
  <si>
    <t>flag</t>
  </si>
  <si>
    <t>Osz3_Pts</t>
  </si>
  <si>
    <t>Performance security multiple (ÖSZ-6)</t>
  </si>
  <si>
    <t>x</t>
  </si>
  <si>
    <t>Osz6_LB</t>
  </si>
  <si>
    <t>Brownfield site (ÖSZ-7)</t>
  </si>
  <si>
    <t>Osz6_Incl</t>
  </si>
  <si>
    <t>Shared connection (ÖSZ-8)</t>
  </si>
  <si>
    <t>Osz6_Pts</t>
  </si>
  <si>
    <t>EU turbines ≥ 80 % (ÖSZ-9)</t>
  </si>
  <si>
    <t>Osz5_Pts</t>
  </si>
  <si>
    <t>EU transformers ≥ 80 % (ÖSZ-9)</t>
  </si>
  <si>
    <t>Osz7_Pts</t>
  </si>
  <si>
    <t>Wind committed</t>
  </si>
  <si>
    <t>MW</t>
  </si>
  <si>
    <t>Osz8_Pts</t>
  </si>
  <si>
    <t>BESS power</t>
  </si>
  <si>
    <t>Osz9a_Pts</t>
  </si>
  <si>
    <t>BESS energy</t>
  </si>
  <si>
    <t>MWh</t>
  </si>
  <si>
    <t>Osz9b_Pts</t>
  </si>
  <si>
    <t>Osz1_W</t>
  </si>
  <si>
    <t>Points – municipal one-off</t>
  </si>
  <si>
    <t>points</t>
  </si>
  <si>
    <t>Osz2_W</t>
  </si>
  <si>
    <t>Points – community contribution</t>
  </si>
  <si>
    <t>Osz3_W</t>
  </si>
  <si>
    <t>Points – overbuild</t>
  </si>
  <si>
    <t>Osz4_W</t>
  </si>
  <si>
    <t>Points – BESS</t>
  </si>
  <si>
    <t>Osz5_W</t>
  </si>
  <si>
    <t>Points – partial award</t>
  </si>
  <si>
    <t>Osz6_W</t>
  </si>
  <si>
    <t>Points – performance security</t>
  </si>
  <si>
    <t>Osz7_W</t>
  </si>
  <si>
    <t>Points – brownfield</t>
  </si>
  <si>
    <t>Osz8_W</t>
  </si>
  <si>
    <t>Points – shared connection</t>
  </si>
  <si>
    <t>Osz9_W</t>
  </si>
  <si>
    <t>Points – EU turbines</t>
  </si>
  <si>
    <t>Thousand</t>
  </si>
  <si>
    <t>Points – EU transformers</t>
  </si>
  <si>
    <t>Days_In_Year</t>
  </si>
  <si>
    <t>Points total</t>
  </si>
  <si>
    <t>Key dates</t>
  </si>
  <si>
    <t>Signing fee and DD paid</t>
  </si>
  <si>
    <t>date</t>
  </si>
  <si>
    <t>Bid submission: fee paid, bid security posted</t>
  </si>
  <si>
    <t>Performance security posted (bid security released)</t>
  </si>
  <si>
    <t>TSO security paid</t>
  </si>
  <si>
    <t>Devex contingency paid</t>
  </si>
  <si>
    <t>Connection agreement (HCSSZ): fees paid</t>
  </si>
  <si>
    <t>Notice to proceed</t>
  </si>
  <si>
    <t>COD</t>
  </si>
  <si>
    <t>Performance security released</t>
  </si>
  <si>
    <t>model has no PB release date; Kiírás XII.13, estimate</t>
  </si>
  <si>
    <t>Rates and fees</t>
  </si>
  <si>
    <t>FX rate</t>
  </si>
  <si>
    <t>HUF/EUR</t>
  </si>
  <si>
    <t>Security base: benchmark investment, wind</t>
  </si>
  <si>
    <t>HUF/MW</t>
  </si>
  <si>
    <t>Security base: benchmark investment, BESS</t>
  </si>
  <si>
    <t>HUF/MWh</t>
  </si>
  <si>
    <t>Participation fee per bid</t>
  </si>
  <si>
    <t>HUF</t>
  </si>
  <si>
    <t>Bid security, share of base</t>
  </si>
  <si>
    <t>Performance security, minimum share of base</t>
  </si>
  <si>
    <t>TSO security</t>
  </si>
  <si>
    <t>HUF/MVA</t>
  </si>
  <si>
    <t>Indirect connection fee (közvetett)</t>
  </si>
  <si>
    <t>Direct connection fee per bid (model: per MVA of the shared point)</t>
  </si>
  <si>
    <t>Signing fee and DD</t>
  </si>
  <si>
    <t>EUR k</t>
  </si>
  <si>
    <t>Devex incl. contingency</t>
  </si>
  <si>
    <t>Guarantees, securities and connection fees, DEVEX (HUF)</t>
  </si>
  <si>
    <t>Total</t>
  </si>
  <si>
    <t>Date</t>
  </si>
  <si>
    <t>Participation fee</t>
  </si>
  <si>
    <t xml:space="preserve">Bid security </t>
  </si>
  <si>
    <t>Performance security payable (bid security deducted)</t>
  </si>
  <si>
    <t xml:space="preserve">TSO connection-request security </t>
  </si>
  <si>
    <t>Direct connection fee</t>
  </si>
  <si>
    <t>Indirect connection fee, payable (TSO conn.-req sec. deducted)</t>
  </si>
  <si>
    <t>DEVEX</t>
  </si>
  <si>
    <t>continous</t>
  </si>
  <si>
    <t>Total cash: fee, securities, connection fees</t>
  </si>
  <si>
    <t>Guarantees, securities and connection fees, DEVEX (EUR)</t>
  </si>
  <si>
    <t>Inputs for the exit cases</t>
  </si>
  <si>
    <t>Dates and claim terms (both projects)</t>
  </si>
  <si>
    <t>RtB date</t>
  </si>
  <si>
    <t>Sale date (RtB exit)</t>
  </si>
  <si>
    <t>Interest freeze date</t>
  </si>
  <si>
    <t>Devex average payment date (spent continuously)</t>
  </si>
  <si>
    <t>Claim rate, cash lines (incl. cash-posted securities)</t>
  </si>
  <si>
    <t>Claim rate, devex</t>
  </si>
  <si>
    <t>Devex minimum return multiple</t>
  </si>
  <si>
    <t>Operating life from COD</t>
  </si>
  <si>
    <t>years</t>
  </si>
  <si>
    <t>Months in a year</t>
  </si>
  <si>
    <t>months</t>
  </si>
  <si>
    <t>Check tolerance</t>
  </si>
  <si>
    <t>Exit and valuation</t>
  </si>
  <si>
    <t>RtB premium</t>
  </si>
  <si>
    <t>EUR k/MVA</t>
  </si>
  <si>
    <t>Sale costs</t>
  </si>
  <si>
    <t>Developer success fee (DSA)</t>
  </si>
  <si>
    <t>Discount rate (buyer's pre-tax return at COD)</t>
  </si>
  <si>
    <t>Capex (per MW of wind built unless stated)</t>
  </si>
  <si>
    <t>Build shortfall (wind built = committed less this)</t>
  </si>
  <si>
    <t>Turbine supply incl. transport</t>
  </si>
  <si>
    <t>Turbine installation and erection</t>
  </si>
  <si>
    <t>Foundations</t>
  </si>
  <si>
    <t>Balance of plant – civil</t>
  </si>
  <si>
    <t>Balance of plant – electrical</t>
  </si>
  <si>
    <t>Owner's costs, engineering, PM, construction insurance</t>
  </si>
  <si>
    <t>Land purchase and easements</t>
  </si>
  <si>
    <t>On-site substation and 132 kV bay (lump sum)</t>
  </si>
  <si>
    <t>Source basis of the lump sums</t>
  </si>
  <si>
    <t>Capex contingency (not on BESS)</t>
  </si>
  <si>
    <t>BESS capex</t>
  </si>
  <si>
    <t>EUR k/MWh</t>
  </si>
  <si>
    <t>Generation and revenue</t>
  </si>
  <si>
    <t>Net P50 hours</t>
  </si>
  <si>
    <t>h/yr</t>
  </si>
  <si>
    <t>Curtailment</t>
  </si>
  <si>
    <t>Clipping</t>
  </si>
  <si>
    <t>Degradation</t>
  </si>
  <si>
    <t>% p.a.</t>
  </si>
  <si>
    <t>PPA price in the COD year</t>
  </si>
  <si>
    <t>PPA escalation</t>
  </si>
  <si>
    <t>Opex (COD-year prices)</t>
  </si>
  <si>
    <t>O&amp;M full-service contract</t>
  </si>
  <si>
    <t>EUR k/MW/yr</t>
  </si>
  <si>
    <t>Balance of plant maintenance</t>
  </si>
  <si>
    <t>Land lease</t>
  </si>
  <si>
    <t>Operational insurance</t>
  </si>
  <si>
    <t>Asset and commercial management</t>
  </si>
  <si>
    <t>Property tax</t>
  </si>
  <si>
    <t>Administration, audit, compliance (at the source basis)</t>
  </si>
  <si>
    <t>EUR k/yr</t>
  </si>
  <si>
    <t>Balancing cost</t>
  </si>
  <si>
    <t>Grid use-of-system charges</t>
  </si>
  <si>
    <t>MEKH supervisory fee</t>
  </si>
  <si>
    <t>% of rev.</t>
  </si>
  <si>
    <t>HIPA local business tax</t>
  </si>
  <si>
    <t>Opex contingency (not on community, HIPA)</t>
  </si>
  <si>
    <t>Opex escalation</t>
  </si>
  <si>
    <t>RtB exit: FEP claims at the sale, interest to the freeze (act/365, capitalised 31-Dec)</t>
  </si>
  <si>
    <t>Paid</t>
  </si>
  <si>
    <t>Rate</t>
  </si>
  <si>
    <t>Year paid</t>
  </si>
  <si>
    <t>Days, 1st yr</t>
  </si>
  <si>
    <t>Full years</t>
  </si>
  <si>
    <t>Days, last yr</t>
  </si>
  <si>
    <t>Factor</t>
  </si>
  <si>
    <t>Interest accrual end (earlier of freeze and sale)</t>
  </si>
  <si>
    <t>Participation fee (not reimbursed)</t>
  </si>
  <si>
    <t>Bid security (cash)</t>
  </si>
  <si>
    <t>Performance security payable (cash)</t>
  </si>
  <si>
    <t>TSO connection-request security</t>
  </si>
  <si>
    <t>Indirect connection fee, payable</t>
  </si>
  <si>
    <t>Devex: MAX(20 % accrued, 1× principal), not reimbursed</t>
  </si>
  <si>
    <t>RtB exit: waterfall at the sale</t>
  </si>
  <si>
    <t>Buyer reimburses deposits and fees at cost (not fee, devex)</t>
  </si>
  <si>
    <t>Total proceeds</t>
  </si>
  <si>
    <t>Less sale costs</t>
  </si>
  <si>
    <t>Less deposits and fees repaid to FEP</t>
  </si>
  <si>
    <t>Less developer success fee (DSA)</t>
  </si>
  <si>
    <t>Distributable proceeds</t>
  </si>
  <si>
    <t>FEP share of distributable</t>
  </si>
  <si>
    <t>Developer share of distributable</t>
  </si>
  <si>
    <t>FEP cash flows, dated (outlays, then receipts at the sale)</t>
  </si>
  <si>
    <t>Bid security</t>
  </si>
  <si>
    <t>Performance security payable</t>
  </si>
  <si>
    <t>Devex</t>
  </si>
  <si>
    <t>FEP receipts at the sale (repaid, claims, share)</t>
  </si>
  <si>
    <t>FEP profit, pre-tax</t>
  </si>
  <si>
    <t>FEP MOIC</t>
  </si>
  <si>
    <t>FEP IRR, pre-tax (XIRR on the dated flows)</t>
  </si>
  <si>
    <t>FEP profit per MVA</t>
  </si>
  <si>
    <t>Project IRR, pre-tax (unlevered)</t>
  </si>
  <si>
    <t>NPV at the discount rate, at the first year end</t>
  </si>
  <si>
    <t>All-in cost to COD per MW built</t>
  </si>
  <si>
    <t>All-in cost to COD per MVA</t>
  </si>
  <si>
    <t>First full operating year: net generation</t>
  </si>
  <si>
    <t>GWh</t>
  </si>
  <si>
    <t>First full operating year: EBITDA</t>
  </si>
  <si>
    <t>First full operating year: EBITDA per MW built</t>
  </si>
  <si>
    <t>COD exit: sale at COD to a buyer earning the discount rate, pre-tax</t>
  </si>
  <si>
    <t>Price at COD (EBITDA after COD at the buyer's rate)</t>
  </si>
  <si>
    <t>Price per MW built</t>
  </si>
  <si>
    <t>Price per MVA</t>
  </si>
  <si>
    <t>FEP IRR, pre-tax</t>
  </si>
  <si>
    <t>Capex and all-in cost to COD</t>
  </si>
  <si>
    <t>Wind built (committed less the build shortfall)</t>
  </si>
  <si>
    <t>On-site substation and 132 kV bay (scaled by MVA)</t>
  </si>
  <si>
    <t>Capex contingency</t>
  </si>
  <si>
    <t>BESS (on BESS energy)</t>
  </si>
  <si>
    <t>Construction capex</t>
  </si>
  <si>
    <t>Connection fees (TSO security, direct, indirect)</t>
  </si>
  <si>
    <t>Municipal one-off</t>
  </si>
  <si>
    <t>Development (participation fee, signing and DD, devex)</t>
  </si>
  <si>
    <t>All-in cost to COD (securities excluded: returned)</t>
  </si>
  <si>
    <t>Annual timeline (key dates common to both projects)</t>
  </si>
  <si>
    <t>Value</t>
  </si>
  <si>
    <t>Year</t>
  </si>
  <si>
    <t>year</t>
  </si>
  <si>
    <t>Year end</t>
  </si>
  <si>
    <t>Years from the COD year</t>
  </si>
  <si>
    <t>Construction months by year end (E: construction period)</t>
  </si>
  <si>
    <t>Construction share of the year (NTP to COD)</t>
  </si>
  <si>
    <t>Months operated by year end (E: operating life)</t>
  </si>
  <si>
    <t>Operating share of the year (COD to end of life)</t>
  </si>
  <si>
    <t>COD year flag</t>
  </si>
  <si>
    <t>Iváncsa: annual cash flow (EUR k)</t>
  </si>
  <si>
    <t>FEP outlays at their dates (signing, fee, securities, fees, devex)</t>
  </si>
  <si>
    <t>Performance security released (bid security included)</t>
  </si>
  <si>
    <t>Construction capex (straight-line NTP to COD)</t>
  </si>
  <si>
    <t>Municipal one-off at COD</t>
  </si>
  <si>
    <t>Investment cash flow</t>
  </si>
  <si>
    <t>Degradation factor (from the first full year)</t>
  </si>
  <si>
    <t>Net generation</t>
  </si>
  <si>
    <t>PPA price</t>
  </si>
  <si>
    <t>Revenue</t>
  </si>
  <si>
    <t>Opex index (COD year = 1)</t>
  </si>
  <si>
    <t>O&amp;M, BoP, lease, insurance, management, property tax</t>
  </si>
  <si>
    <t>Administration, audit, compliance</t>
  </si>
  <si>
    <t>Balancing and grid charges</t>
  </si>
  <si>
    <t>Opex contingency</t>
  </si>
  <si>
    <t>Community contribution</t>
  </si>
  <si>
    <t>EBITDA</t>
  </si>
  <si>
    <t>Unlevered pre-tax cash flow</t>
  </si>
  <si>
    <t>Discount factor to COD (buyer's rate)</t>
  </si>
  <si>
    <t>EBITDA valued at COD (total = COD price)</t>
  </si>
  <si>
    <t>COD exit: FEP cash flow (to COD, price and security at COD)</t>
  </si>
  <si>
    <t>Dunaújváros: annual cash flow (EUR k)</t>
  </si>
  <si>
    <t>Checks (0 = OK)</t>
  </si>
  <si>
    <t>RtB waterfall closes (proceeds = all amounts paid out)</t>
  </si>
  <si>
    <t>Claim lines paid before the interest accrual end</t>
  </si>
  <si>
    <t>RtB date not after the sale date</t>
  </si>
  <si>
    <t>Construction capex spread in full (timeline = capex)</t>
  </si>
  <si>
    <t>Investment cash flows = all-in cost to COD</t>
  </si>
  <si>
    <t>Operating life inside the timeline</t>
  </si>
  <si>
    <t>Master check</t>
  </si>
  <si>
    <t>***END***</t>
  </si>
  <si>
    <t>FEP share of equity / distributable proceeds</t>
  </si>
  <si>
    <t>Corporate income tax (CIT)</t>
  </si>
  <si>
    <t>Tax depreciation life (straight-line from COD)</t>
  </si>
  <si>
    <t>Tax depreciation (all-in cost less land, straight-line)</t>
  </si>
  <si>
    <t>CIT on (EBITDA less tax depreciation), no loss carry-forward</t>
  </si>
  <si>
    <t>Unlevered post-tax cash flow</t>
  </si>
  <si>
    <t>COD exit: CIT on the FEP gain (in the COD year)</t>
  </si>
  <si>
    <t>COD exit: FEP cash flow, post-tax</t>
  </si>
  <si>
    <t>RtB exit: FEP cash flow, pre-tax (dated flows by year)</t>
  </si>
  <si>
    <t>RtB exit: CIT on the FEP gain (in the sale year)</t>
  </si>
  <si>
    <t>RtB exit: FEP cash flow, post-tax</t>
  </si>
  <si>
    <t>Case summary: RtB sale, COD sale, operating (annual flows below)</t>
  </si>
  <si>
    <t>RtB sale (sale at the RtB date)</t>
  </si>
  <si>
    <t>Yield on capex (first-year EBITDA / all-in capex)</t>
  </si>
  <si>
    <t>Sale proceeds (RtB premium + reimbursed deposits and fees)</t>
  </si>
  <si>
    <t>CIT on the gain</t>
  </si>
  <si>
    <t>FEP profit, post-tax</t>
  </si>
  <si>
    <t>FEP IRR, pre-tax (annual flows)</t>
  </si>
  <si>
    <t>FEP IRR, post-tax (annual flows)</t>
  </si>
  <si>
    <t>FEP MOIC, post-tax</t>
  </si>
  <si>
    <t>COD sale (sale at COD to a buyer earning the discount rate)</t>
  </si>
  <si>
    <t>Sale price at COD</t>
  </si>
  <si>
    <t>Operating: build and hold to end of life (unlevered, no debt)</t>
  </si>
  <si>
    <t>Net cash flow, pre-tax (life of project)</t>
  </si>
  <si>
    <t>CIT over the life</t>
  </si>
  <si>
    <t>Project IRR, pre-tax (annual flows)</t>
  </si>
  <si>
    <t>RtB annual flows = dated flows (pre-tax profit)</t>
  </si>
  <si>
    <t>Build and operate, hold to maturity – EBITDA only (no debt; pre-tax, post-tax in the case summary)</t>
  </si>
  <si>
    <t>All-in capex to COD (incl. connection, municipal, devex)</t>
  </si>
  <si>
    <t>Less FEP claims (12 % p.a. carry; zero if no JV, i.e. developer share = 0)</t>
  </si>
  <si>
    <t>Less FEP devex return (zero if no JV)</t>
  </si>
  <si>
    <t>Total FEP claims (only applied in the waterfall if there is a JV partner)</t>
  </si>
  <si>
    <t>Developer share of cash (share × cash after FEP has recovered its cost)</t>
  </si>
  <si>
    <t>FEP post-tax cash flow after the developer share</t>
  </si>
  <si>
    <t>COD exit: developer share of the gain (in the COD year)</t>
  </si>
  <si>
    <t>COD exit: FEP cash flow, post-tax, after the developer share</t>
  </si>
  <si>
    <t>FEP profit, post-tax, after the developer share</t>
  </si>
  <si>
    <t>FEP NPV post-tax after the developer share, at the discount rate</t>
  </si>
  <si>
    <t>FEP net cash flow, post-tax, after the developer share</t>
  </si>
  <si>
    <t>FEP IRR, post-tax, after the developer share (annual flows)</t>
  </si>
  <si>
    <t>FEP MOIC, post-tax, after the developer share</t>
  </si>
  <si>
    <t>Developer share of equity (applies to all three cases; FEP = 1 − this)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</si>
</sst>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;\(#,##0\);&quot;–&quot;"/>
    <numFmt numFmtId="165" formatCode="0.0%;\(0.0%\);&quot;–&quot;"/>
    <numFmt numFmtId="166" formatCode="0.00&quot;x&quot;"/>
    <numFmt numFmtId="167" formatCode="#,##0.0;\(#,##0.0\);&quot;–&quot;"/>
    <numFmt numFmtId="168" formatCode="dd\-mmm\-yy"/>
    <numFmt numFmtId="170" formatCode="0.000"/>
    <numFmt numFmtId="171" formatCode="0.0000"/>
    <numFmt numFmtId="172" formatCode="#,##0.00;\(#,##0.00\);&quot;–&quot;"/>
    <numFmt numFmtId="173" formatCode="0;\-0;&quot;–&quot;"/>
    <numFmt numFmtId="174" formatCode="0.000;\(0.000\);&quot;–&quot;"/>
    <numFmt numFmtId="175" formatCode="&quot;CHECK&quot;\ 0;&quot;CHECK&quot;\ \-0;&quot;OK&quot;"/>
    <numFmt numFmtId="176" formatCode="0.00\x"/>
  </numFmts>
  <fonts count="20" x14ac:knownFonts="1">
    <font>
      <sz val="11"/>
      <color theme="1"/>
      <name val="Calibri"/>
      <family val="2"/>
      <scheme val="minor"/>
    </font>
    <font>
      <b/>
      <sz val="14"/>
      <color rgb="FF0000FF"/>
      <name val="Aptos Narrow"/>
    </font>
    <font>
      <sz val="10"/>
      <color rgb="FF000000"/>
      <name val="Aptos Narrow"/>
    </font>
    <font>
      <b/>
      <sz val="10"/>
      <color rgb="FFFFFFFF"/>
      <name val="Aptos Narrow"/>
    </font>
    <font>
      <i/>
      <sz val="10"/>
      <color rgb="FF808080"/>
      <name val="Aptos Narrow"/>
    </font>
    <font>
      <sz val="10"/>
      <color rgb="FF0000FF"/>
      <name val="Aptos Narrow"/>
    </font>
    <font>
      <sz val="10"/>
      <color rgb="FF7030A0"/>
      <name val="Aptos Narrow"/>
    </font>
    <font>
      <b/>
      <sz val="10"/>
      <color rgb="FF000000"/>
      <name val="Aptos Narrow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0"/>
      <color rgb="FFFFFFFF"/>
      <name val="Aptos Narrow"/>
    </font>
    <font>
      <b/>
      <sz val="10"/>
      <color rgb="FF3C3C3B"/>
      <name val="Aptos Narrow"/>
    </font>
    <font>
      <sz val="10"/>
      <color rgb="FF000000"/>
      <name val="Aptos Narrow"/>
    </font>
    <font>
      <i/>
      <sz val="10"/>
      <color rgb="FF808080"/>
      <name val="Aptos Narrow"/>
    </font>
    <font>
      <sz val="10"/>
      <color rgb="FF0000FF"/>
      <name val="Aptos Narrow"/>
    </font>
    <font>
      <b/>
      <sz val="10"/>
      <color rgb="FF000000"/>
      <name val="Aptos Narrow"/>
    </font>
    <font>
      <b/>
      <sz val="10"/>
      <color rgb="FF808080"/>
      <name val="Aptos Narrow"/>
    </font>
    <font>
      <sz val="11"/>
      <color rgb="FF000000"/>
      <name val="Calibri"/>
      <family val="2"/>
      <scheme val="minor"/>
    </font>
    <font>
      <b/>
      <i/>
      <sz val="10"/>
      <color rgb="FF808080"/>
      <name val="Aptos Narrow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00563C"/>
      </patternFill>
    </fill>
    <fill>
      <patternFill patternType="solid">
        <fgColor rgb="FFEDEDED"/>
      </patternFill>
    </fill>
    <fill>
      <patternFill patternType="solid">
        <fgColor theme="0"/>
        <bgColor indexed="64"/>
      </patternFill>
    </fill>
    <fill>
      <patternFill patternType="solid">
        <fgColor rgb="FF00563C"/>
      </patternFill>
    </fill>
    <fill>
      <patternFill patternType="solid">
        <fgColor rgb="FFE6F4EC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4" fillId="0" borderId="0" xfId="0" applyFont="1"/>
    <xf numFmtId="164" fontId="5" fillId="2" borderId="1" xfId="0" applyNumberFormat="1" applyFont="1" applyFill="1" applyBorder="1"/>
    <xf numFmtId="165" fontId="5" fillId="2" borderId="1" xfId="0" applyNumberFormat="1" applyFont="1" applyFill="1" applyBorder="1"/>
    <xf numFmtId="166" fontId="5" fillId="2" borderId="1" xfId="0" applyNumberFormat="1" applyFont="1" applyFill="1" applyBorder="1"/>
    <xf numFmtId="167" fontId="6" fillId="4" borderId="1" xfId="0" applyNumberFormat="1" applyFont="1" applyFill="1" applyBorder="1"/>
    <xf numFmtId="0" fontId="7" fillId="0" borderId="0" xfId="0" applyFont="1"/>
    <xf numFmtId="4" fontId="7" fillId="0" borderId="0" xfId="0" applyNumberFormat="1" applyFont="1"/>
    <xf numFmtId="168" fontId="5" fillId="2" borderId="1" xfId="0" applyNumberFormat="1" applyFont="1" applyFill="1" applyBorder="1"/>
    <xf numFmtId="165" fontId="5" fillId="0" borderId="0" xfId="0" applyNumberFormat="1" applyFont="1"/>
    <xf numFmtId="164" fontId="2" fillId="0" borderId="0" xfId="0" applyNumberFormat="1" applyFont="1"/>
    <xf numFmtId="164" fontId="7" fillId="0" borderId="0" xfId="0" applyNumberFormat="1" applyFont="1"/>
    <xf numFmtId="0" fontId="2" fillId="5" borderId="0" xfId="0" applyFont="1" applyFill="1"/>
    <xf numFmtId="0" fontId="4" fillId="5" borderId="0" xfId="0" applyFont="1" applyFill="1"/>
    <xf numFmtId="164" fontId="2" fillId="5" borderId="0" xfId="0" applyNumberFormat="1" applyFont="1" applyFill="1"/>
    <xf numFmtId="0" fontId="8" fillId="5" borderId="0" xfId="0" applyFont="1" applyFill="1"/>
    <xf numFmtId="0" fontId="8" fillId="0" borderId="0" xfId="0" applyFont="1"/>
    <xf numFmtId="164" fontId="2" fillId="0" borderId="2" xfId="0" applyNumberFormat="1" applyFont="1" applyBorder="1"/>
    <xf numFmtId="164" fontId="9" fillId="0" borderId="0" xfId="0" applyNumberFormat="1" applyFont="1"/>
    <xf numFmtId="168" fontId="2" fillId="0" borderId="0" xfId="0" applyNumberFormat="1" applyFont="1" applyAlignment="1">
      <alignment horizontal="right"/>
    </xf>
    <xf numFmtId="168" fontId="2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0" fillId="5" borderId="0" xfId="0" applyFill="1"/>
    <xf numFmtId="168" fontId="2" fillId="0" borderId="2" xfId="0" applyNumberFormat="1" applyFont="1" applyBorder="1" applyAlignment="1">
      <alignment horizontal="right"/>
    </xf>
    <xf numFmtId="0" fontId="10" fillId="6" borderId="0" xfId="0" applyFont="1" applyFill="1"/>
    <xf numFmtId="0" fontId="10" fillId="6" borderId="0" xfId="0" applyFont="1" applyFill="1" applyAlignment="1">
      <alignment horizontal="right"/>
    </xf>
    <xf numFmtId="0" fontId="11" fillId="7" borderId="0" xfId="0" applyFont="1" applyFill="1"/>
    <xf numFmtId="0" fontId="12" fillId="0" borderId="0" xfId="0" applyFont="1"/>
    <xf numFmtId="0" fontId="13" fillId="0" borderId="0" xfId="0" applyFont="1"/>
    <xf numFmtId="168" fontId="14" fillId="8" borderId="3" xfId="0" applyNumberFormat="1" applyFont="1" applyFill="1" applyBorder="1" applyAlignment="1">
      <alignment horizontal="right"/>
    </xf>
    <xf numFmtId="165" fontId="14" fillId="8" borderId="3" xfId="0" applyNumberFormat="1" applyFont="1" applyFill="1" applyBorder="1" applyAlignment="1">
      <alignment horizontal="right"/>
    </xf>
    <xf numFmtId="166" fontId="14" fillId="8" borderId="3" xfId="0" applyNumberFormat="1" applyFont="1" applyFill="1" applyBorder="1" applyAlignment="1">
      <alignment horizontal="right"/>
    </xf>
    <xf numFmtId="1" fontId="14" fillId="8" borderId="3" xfId="0" applyNumberFormat="1" applyFont="1" applyFill="1" applyBorder="1" applyAlignment="1">
      <alignment horizontal="right"/>
    </xf>
    <xf numFmtId="170" fontId="14" fillId="8" borderId="3" xfId="0" applyNumberFormat="1" applyFont="1" applyFill="1" applyBorder="1" applyAlignment="1">
      <alignment horizontal="right"/>
    </xf>
    <xf numFmtId="164" fontId="14" fillId="8" borderId="3" xfId="0" applyNumberFormat="1" applyFont="1" applyFill="1" applyBorder="1" applyAlignment="1">
      <alignment horizontal="right"/>
    </xf>
    <xf numFmtId="167" fontId="14" fillId="8" borderId="3" xfId="0" applyNumberFormat="1" applyFont="1" applyFill="1" applyBorder="1" applyAlignment="1">
      <alignment horizontal="right"/>
    </xf>
    <xf numFmtId="168" fontId="12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1" fontId="12" fillId="0" borderId="0" xfId="0" applyNumberFormat="1" applyFont="1" applyAlignment="1">
      <alignment horizontal="right"/>
    </xf>
    <xf numFmtId="171" fontId="12" fillId="0" borderId="0" xfId="0" applyNumberFormat="1" applyFont="1" applyAlignment="1">
      <alignment horizontal="right"/>
    </xf>
    <xf numFmtId="0" fontId="15" fillId="0" borderId="0" xfId="0" applyFont="1"/>
    <xf numFmtId="164" fontId="15" fillId="0" borderId="4" xfId="0" applyNumberFormat="1" applyFont="1" applyBorder="1" applyAlignment="1">
      <alignment horizontal="right"/>
    </xf>
    <xf numFmtId="164" fontId="15" fillId="0" borderId="0" xfId="0" applyNumberFormat="1" applyFont="1" applyAlignment="1">
      <alignment horizontal="right"/>
    </xf>
    <xf numFmtId="167" fontId="12" fillId="0" borderId="0" xfId="0" applyNumberFormat="1" applyFont="1" applyAlignment="1">
      <alignment horizontal="right"/>
    </xf>
    <xf numFmtId="166" fontId="12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172" fontId="12" fillId="0" borderId="0" xfId="0" applyNumberFormat="1" applyFont="1" applyAlignment="1">
      <alignment horizontal="right"/>
    </xf>
    <xf numFmtId="173" fontId="12" fillId="0" borderId="0" xfId="0" applyNumberFormat="1" applyFont="1" applyAlignment="1">
      <alignment horizontal="right"/>
    </xf>
    <xf numFmtId="174" fontId="12" fillId="0" borderId="0" xfId="0" applyNumberFormat="1" applyFont="1" applyAlignment="1">
      <alignment horizontal="right"/>
    </xf>
    <xf numFmtId="175" fontId="15" fillId="0" borderId="4" xfId="0" applyNumberFormat="1" applyFont="1" applyBorder="1" applyAlignment="1">
      <alignment horizontal="right"/>
    </xf>
    <xf numFmtId="0" fontId="16" fillId="0" borderId="0" xfId="0" applyFont="1"/>
    <xf numFmtId="0" fontId="10" fillId="5" borderId="0" xfId="0" applyFont="1" applyFill="1" applyAlignment="1">
      <alignment horizontal="right"/>
    </xf>
    <xf numFmtId="0" fontId="11" fillId="5" borderId="0" xfId="0" applyFont="1" applyFill="1"/>
    <xf numFmtId="164" fontId="13" fillId="5" borderId="0" xfId="0" applyNumberFormat="1" applyFont="1" applyFill="1"/>
    <xf numFmtId="0" fontId="13" fillId="5" borderId="0" xfId="0" applyFont="1" applyFill="1"/>
    <xf numFmtId="165" fontId="2" fillId="0" borderId="3" xfId="0" applyNumberFormat="1" applyFont="1" applyFill="1" applyBorder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17" fillId="0" borderId="0" xfId="0" applyNumberFormat="1" applyFont="1"/>
    <xf numFmtId="0" fontId="18" fillId="0" borderId="0" xfId="0" applyFont="1"/>
    <xf numFmtId="164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5" fontId="19" fillId="0" borderId="0" xfId="0" applyNumberFormat="1" applyFont="1"/>
    <xf numFmtId="176" fontId="2" fillId="0" borderId="0" xfId="0" applyNumberFormat="1" applyFont="1" applyAlignment="1">
      <alignment horizontal="right"/>
    </xf>
    <xf numFmtId="176" fontId="17" fillId="0" borderId="0" xfId="0" applyNumberFormat="1" applyFont="1"/>
  </cellXfs>
  <cellStyles count="1">
    <cellStyle name="Normal" xfId="0" builtinId="0"/>
  </cellStyles>
  <dxfs count="2">
    <dxf>
      <font>
        <b/>
        <color rgb="FFFF0000"/>
      </font>
    </dxf>
    <dxf>
      <font>
        <b/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EBD9F9-CAC7-4D35-B206-CAE2A04454D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e2c6f8e-6fde-4d12-95e1-ea3df8e11d9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G337"/>
  <sheetViews>
    <sheetView showGridLines="0" tabSelected="1" zoomScale="70" zoomScaleNormal="70" workbookViewId="0">
      <pane xSplit="4" ySplit="4" topLeftCell="E89" activePane="bottomRight" state="frozen"/>
      <selection pane="topRight"/>
      <selection pane="bottomLeft"/>
      <selection pane="bottomRight" activeCell="E186" sqref="E186"/>
    </sheetView>
  </sheetViews>
  <sheetFormatPr defaultRowHeight="15" x14ac:dyDescent="0.25"/>
  <cols>
    <col min="1" max="2" width="2" customWidth="1"/>
    <col min="3" max="3" width="52" customWidth="1"/>
    <col min="4" max="4" width="9" customWidth="1"/>
    <col min="5" max="7" width="13" customWidth="1"/>
    <col min="8" max="8" width="8.85546875" bestFit="1" customWidth="1"/>
    <col min="9" max="9" width="0" hidden="1"/>
    <col min="10" max="23" width="13" hidden="1" customWidth="1"/>
    <col min="24" max="59" width="10" customWidth="1"/>
  </cols>
  <sheetData>
    <row r="1" spans="2:22" ht="18" customHeight="1" x14ac:dyDescent="0.3">
      <c r="C1" s="1" t="s">
        <v>0</v>
      </c>
    </row>
    <row r="2" spans="2:22" x14ac:dyDescent="0.25">
      <c r="C2" s="2"/>
      <c r="J2" t="s">
        <v>1</v>
      </c>
    </row>
    <row r="3" spans="2:22" x14ac:dyDescent="0.25">
      <c r="J3" t="s">
        <v>2</v>
      </c>
      <c r="K3">
        <v>10</v>
      </c>
      <c r="L3">
        <v>15</v>
      </c>
      <c r="M3">
        <v>20</v>
      </c>
      <c r="N3">
        <v>25</v>
      </c>
      <c r="O3">
        <v>30</v>
      </c>
      <c r="P3">
        <v>35</v>
      </c>
      <c r="Q3">
        <v>40</v>
      </c>
      <c r="R3">
        <v>45</v>
      </c>
      <c r="S3">
        <v>50</v>
      </c>
    </row>
    <row r="4" spans="2:22" x14ac:dyDescent="0.25">
      <c r="B4" s="3"/>
      <c r="C4" s="3" t="s">
        <v>3</v>
      </c>
      <c r="D4" s="3"/>
      <c r="E4" s="4" t="s">
        <v>4</v>
      </c>
      <c r="F4" s="4" t="s">
        <v>5</v>
      </c>
      <c r="G4" s="4"/>
      <c r="J4" t="s">
        <v>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</row>
    <row r="5" spans="2:22" x14ac:dyDescent="0.25">
      <c r="C5" s="2" t="s">
        <v>7</v>
      </c>
      <c r="D5" s="5" t="s">
        <v>8</v>
      </c>
      <c r="E5" s="6">
        <v>50</v>
      </c>
      <c r="F5" s="6">
        <v>50</v>
      </c>
      <c r="J5" t="s">
        <v>9</v>
      </c>
      <c r="K5">
        <v>0</v>
      </c>
      <c r="L5">
        <v>10</v>
      </c>
      <c r="M5">
        <v>20</v>
      </c>
      <c r="N5">
        <v>30</v>
      </c>
      <c r="O5">
        <v>40</v>
      </c>
      <c r="P5">
        <v>55</v>
      </c>
      <c r="Q5">
        <v>70</v>
      </c>
      <c r="R5">
        <v>80</v>
      </c>
      <c r="S5">
        <v>90</v>
      </c>
      <c r="T5">
        <v>100</v>
      </c>
    </row>
    <row r="6" spans="2:22" x14ac:dyDescent="0.25">
      <c r="C6" s="2" t="s">
        <v>10</v>
      </c>
      <c r="D6" s="5" t="s">
        <v>11</v>
      </c>
      <c r="E6" s="7">
        <v>0.41</v>
      </c>
      <c r="F6" s="7">
        <v>0.41</v>
      </c>
      <c r="J6" t="s">
        <v>12</v>
      </c>
      <c r="K6">
        <v>2</v>
      </c>
      <c r="L6">
        <v>2.1</v>
      </c>
      <c r="M6">
        <v>2.2000000000000002</v>
      </c>
      <c r="N6">
        <v>2.2999999999999998</v>
      </c>
      <c r="O6">
        <v>2.4</v>
      </c>
      <c r="P6">
        <v>2.5</v>
      </c>
      <c r="Q6">
        <v>2.6</v>
      </c>
      <c r="R6">
        <v>2.7</v>
      </c>
      <c r="S6">
        <v>2.8</v>
      </c>
      <c r="T6">
        <v>2.9</v>
      </c>
      <c r="U6">
        <v>3</v>
      </c>
    </row>
    <row r="7" spans="2:22" x14ac:dyDescent="0.25">
      <c r="C7" s="2" t="s">
        <v>13</v>
      </c>
      <c r="D7" s="5" t="s">
        <v>11</v>
      </c>
      <c r="E7" s="7">
        <v>0.4</v>
      </c>
      <c r="F7" s="7">
        <v>0.4</v>
      </c>
      <c r="J7" t="s">
        <v>14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</row>
    <row r="8" spans="2:22" x14ac:dyDescent="0.25">
      <c r="C8" s="2" t="s">
        <v>15</v>
      </c>
      <c r="D8" s="5" t="s">
        <v>16</v>
      </c>
      <c r="E8" s="6">
        <v>4</v>
      </c>
      <c r="F8" s="6">
        <v>4</v>
      </c>
      <c r="J8" t="s">
        <v>17</v>
      </c>
      <c r="K8">
        <v>0</v>
      </c>
      <c r="L8">
        <v>5</v>
      </c>
      <c r="M8">
        <v>10</v>
      </c>
      <c r="N8">
        <v>20</v>
      </c>
      <c r="O8">
        <v>30</v>
      </c>
      <c r="P8">
        <v>40</v>
      </c>
      <c r="Q8">
        <v>50</v>
      </c>
      <c r="R8">
        <v>60</v>
      </c>
      <c r="S8">
        <v>70</v>
      </c>
      <c r="T8">
        <v>80</v>
      </c>
      <c r="U8">
        <v>90</v>
      </c>
      <c r="V8">
        <v>100</v>
      </c>
    </row>
    <row r="9" spans="2:22" x14ac:dyDescent="0.25">
      <c r="C9" s="2" t="s">
        <v>18</v>
      </c>
      <c r="D9" s="5" t="s">
        <v>19</v>
      </c>
      <c r="E9" s="6">
        <v>50</v>
      </c>
      <c r="F9" s="6">
        <v>50</v>
      </c>
      <c r="J9" t="s">
        <v>20</v>
      </c>
      <c r="K9">
        <v>0.02</v>
      </c>
      <c r="L9">
        <v>0.05</v>
      </c>
      <c r="M9">
        <v>0.1</v>
      </c>
      <c r="N9">
        <v>0.15</v>
      </c>
      <c r="O9">
        <v>0.2</v>
      </c>
      <c r="P9">
        <v>0.25</v>
      </c>
      <c r="Q9">
        <v>0.3</v>
      </c>
      <c r="R9">
        <v>0.35</v>
      </c>
      <c r="S9">
        <v>0.4</v>
      </c>
      <c r="T9">
        <v>0.5</v>
      </c>
    </row>
    <row r="10" spans="2:22" x14ac:dyDescent="0.25">
      <c r="C10" s="2" t="s">
        <v>21</v>
      </c>
      <c r="D10" s="5" t="s">
        <v>22</v>
      </c>
      <c r="E10" s="6">
        <v>3</v>
      </c>
      <c r="F10" s="6">
        <v>3</v>
      </c>
      <c r="J10" t="s">
        <v>23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</row>
    <row r="11" spans="2:22" x14ac:dyDescent="0.25">
      <c r="C11" s="2" t="s">
        <v>24</v>
      </c>
      <c r="D11" s="5" t="s">
        <v>25</v>
      </c>
      <c r="E11" s="6">
        <v>0</v>
      </c>
      <c r="F11" s="6">
        <v>0</v>
      </c>
      <c r="J11" t="s">
        <v>26</v>
      </c>
      <c r="K11">
        <v>0</v>
      </c>
      <c r="L11">
        <v>10</v>
      </c>
      <c r="M11">
        <v>20</v>
      </c>
      <c r="N11">
        <v>30</v>
      </c>
      <c r="O11">
        <v>40</v>
      </c>
      <c r="P11">
        <v>50</v>
      </c>
      <c r="Q11">
        <v>60</v>
      </c>
      <c r="R11">
        <v>70</v>
      </c>
      <c r="S11">
        <v>80</v>
      </c>
      <c r="T11">
        <v>90</v>
      </c>
      <c r="U11">
        <v>100</v>
      </c>
    </row>
    <row r="12" spans="2:22" x14ac:dyDescent="0.25">
      <c r="C12" s="2" t="s">
        <v>27</v>
      </c>
      <c r="D12" s="5" t="s">
        <v>28</v>
      </c>
      <c r="E12" s="8">
        <v>1</v>
      </c>
      <c r="F12" s="8">
        <v>1</v>
      </c>
      <c r="J12" t="s">
        <v>29</v>
      </c>
      <c r="K12">
        <v>1</v>
      </c>
      <c r="L12">
        <v>1.2</v>
      </c>
      <c r="M12">
        <v>1.3</v>
      </c>
      <c r="N12">
        <v>1.4</v>
      </c>
      <c r="O12">
        <v>1.5</v>
      </c>
      <c r="P12">
        <v>1.6</v>
      </c>
      <c r="Q12">
        <v>1.7</v>
      </c>
      <c r="R12">
        <v>1.8</v>
      </c>
      <c r="S12">
        <v>1.9</v>
      </c>
      <c r="T12">
        <v>2</v>
      </c>
    </row>
    <row r="13" spans="2:22" x14ac:dyDescent="0.25">
      <c r="C13" s="2" t="s">
        <v>30</v>
      </c>
      <c r="D13" s="5" t="s">
        <v>25</v>
      </c>
      <c r="E13" s="6">
        <v>0</v>
      </c>
      <c r="F13" s="6">
        <v>0</v>
      </c>
      <c r="J13" t="s">
        <v>31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2:22" x14ac:dyDescent="0.25">
      <c r="C14" s="2" t="s">
        <v>32</v>
      </c>
      <c r="D14" s="5" t="s">
        <v>25</v>
      </c>
      <c r="E14" s="6">
        <v>0</v>
      </c>
      <c r="F14" s="6">
        <v>0</v>
      </c>
      <c r="J14" t="s">
        <v>33</v>
      </c>
      <c r="K14">
        <v>0</v>
      </c>
      <c r="L14">
        <v>10</v>
      </c>
      <c r="M14">
        <v>20</v>
      </c>
      <c r="N14">
        <v>30</v>
      </c>
      <c r="O14">
        <v>40</v>
      </c>
      <c r="P14">
        <v>50</v>
      </c>
      <c r="Q14">
        <v>60</v>
      </c>
      <c r="R14">
        <v>70</v>
      </c>
      <c r="S14">
        <v>80</v>
      </c>
      <c r="T14">
        <v>90</v>
      </c>
      <c r="U14">
        <v>100</v>
      </c>
    </row>
    <row r="15" spans="2:22" x14ac:dyDescent="0.25">
      <c r="C15" s="2" t="s">
        <v>34</v>
      </c>
      <c r="D15" s="5" t="s">
        <v>25</v>
      </c>
      <c r="E15" s="6">
        <v>1</v>
      </c>
      <c r="F15" s="6">
        <v>1</v>
      </c>
      <c r="J15" t="s">
        <v>35</v>
      </c>
      <c r="K15">
        <v>100</v>
      </c>
    </row>
    <row r="16" spans="2:22" x14ac:dyDescent="0.25">
      <c r="C16" s="2" t="s">
        <v>36</v>
      </c>
      <c r="D16" s="5" t="s">
        <v>25</v>
      </c>
      <c r="E16" s="6">
        <v>0</v>
      </c>
      <c r="F16" s="6">
        <v>0</v>
      </c>
      <c r="J16" t="s">
        <v>37</v>
      </c>
      <c r="K16">
        <v>100</v>
      </c>
    </row>
    <row r="17" spans="3:11" x14ac:dyDescent="0.25">
      <c r="C17" s="2" t="s">
        <v>38</v>
      </c>
      <c r="D17" s="5" t="s">
        <v>39</v>
      </c>
      <c r="E17" s="9">
        <f>E5*(1+E6)</f>
        <v>70.5</v>
      </c>
      <c r="F17" s="9">
        <f>F5*(1+F6)</f>
        <v>70.5</v>
      </c>
      <c r="J17" t="s">
        <v>40</v>
      </c>
      <c r="K17">
        <v>100</v>
      </c>
    </row>
    <row r="18" spans="3:11" x14ac:dyDescent="0.25">
      <c r="C18" s="2" t="s">
        <v>41</v>
      </c>
      <c r="D18" s="5" t="s">
        <v>39</v>
      </c>
      <c r="E18" s="9">
        <f>E5*E7</f>
        <v>20</v>
      </c>
      <c r="F18" s="9">
        <f>F5*F7</f>
        <v>20</v>
      </c>
      <c r="J18" t="s">
        <v>42</v>
      </c>
      <c r="K18">
        <v>80</v>
      </c>
    </row>
    <row r="19" spans="3:11" x14ac:dyDescent="0.25">
      <c r="C19" s="2" t="s">
        <v>43</v>
      </c>
      <c r="D19" s="5" t="s">
        <v>44</v>
      </c>
      <c r="E19" s="9">
        <f>E18*E8</f>
        <v>80</v>
      </c>
      <c r="F19" s="9">
        <f>F18*F8</f>
        <v>80</v>
      </c>
      <c r="J19" t="s">
        <v>45</v>
      </c>
      <c r="K19">
        <v>20</v>
      </c>
    </row>
    <row r="20" spans="3:11" x14ac:dyDescent="0.25">
      <c r="J20" t="s">
        <v>46</v>
      </c>
      <c r="K20">
        <v>0.2</v>
      </c>
    </row>
    <row r="21" spans="3:11" x14ac:dyDescent="0.25">
      <c r="C21" s="2" t="s">
        <v>47</v>
      </c>
      <c r="D21" s="5" t="s">
        <v>48</v>
      </c>
      <c r="E21" s="9">
        <f>INDEX(Osz1_Pts,1+SUMPRODUCT((Osz1_LB&lt;E9)+(Osz1_LB=E9)*Osz1_Incl))*Osz1_W</f>
        <v>20</v>
      </c>
      <c r="F21" s="9">
        <f>INDEX(Osz1_Pts,1+SUMPRODUCT((Osz1_LB&lt;F9)+(Osz1_LB=F9)*Osz1_Incl))*Osz1_W</f>
        <v>20</v>
      </c>
      <c r="J21" t="s">
        <v>49</v>
      </c>
      <c r="K21">
        <v>0.15</v>
      </c>
    </row>
    <row r="22" spans="3:11" x14ac:dyDescent="0.25">
      <c r="C22" s="2" t="s">
        <v>50</v>
      </c>
      <c r="D22" s="5" t="s">
        <v>48</v>
      </c>
      <c r="E22" s="9">
        <f t="array" ref="E22">_xlfn.SINGLE(INDEX(Osz2_Pts,1+SUMPRODUCT((Osz2_LB&lt;E10)+(Osz2_LB=E10)*Osz2_Incl)))*Osz2_W</f>
        <v>15</v>
      </c>
      <c r="F22" s="9">
        <f>INDEX(Osz2_Pts,1+SUMPRODUCT((Osz2_LB&lt;F10)+(Osz2_LB=F10)*Osz2_Incl))*Osz2_W</f>
        <v>15</v>
      </c>
      <c r="J22" t="s">
        <v>51</v>
      </c>
      <c r="K22">
        <v>0.1</v>
      </c>
    </row>
    <row r="23" spans="3:11" x14ac:dyDescent="0.25">
      <c r="C23" s="2" t="s">
        <v>52</v>
      </c>
      <c r="D23" s="5" t="s">
        <v>48</v>
      </c>
      <c r="E23" s="9">
        <f>INDEX(Osz3_Pts,1+SUMPRODUCT((Osz3_LB&lt;E6)+(Osz3_LB=E6)*Osz3_Incl))*Osz3_W</f>
        <v>9</v>
      </c>
      <c r="F23" s="9">
        <f>INDEX(Osz3_Pts,1+SUMPRODUCT((Osz3_LB&lt;F6)+(Osz3_LB=F6)*Osz3_Incl))*Osz3_W</f>
        <v>9</v>
      </c>
      <c r="J23" t="s">
        <v>53</v>
      </c>
      <c r="K23">
        <v>0.15</v>
      </c>
    </row>
    <row r="24" spans="3:11" x14ac:dyDescent="0.25">
      <c r="C24" s="2" t="s">
        <v>54</v>
      </c>
      <c r="D24" s="5" t="s">
        <v>48</v>
      </c>
      <c r="E24" s="9">
        <f>INDEX(Osz3_Pts,1+SUMPRODUCT((Osz3_LB&lt;E7)+(Osz3_LB=E7)*Osz3_Incl))*Osz4_W</f>
        <v>13.5</v>
      </c>
      <c r="F24" s="9">
        <f>INDEX(Osz3_Pts,1+SUMPRODUCT((Osz3_LB&lt;F7)+(Osz3_LB=F7)*Osz3_Incl))*Osz4_W</f>
        <v>13.5</v>
      </c>
      <c r="J24" t="s">
        <v>55</v>
      </c>
      <c r="K24">
        <v>0.05</v>
      </c>
    </row>
    <row r="25" spans="3:11" x14ac:dyDescent="0.25">
      <c r="C25" s="2" t="s">
        <v>56</v>
      </c>
      <c r="D25" s="5" t="s">
        <v>48</v>
      </c>
      <c r="E25" s="9">
        <f>E11*Osz5_Pts*Osz5_W</f>
        <v>0</v>
      </c>
      <c r="F25" s="9">
        <f>F11*Osz5_Pts*Osz5_W</f>
        <v>0</v>
      </c>
      <c r="J25" t="s">
        <v>57</v>
      </c>
      <c r="K25">
        <v>0.05</v>
      </c>
    </row>
    <row r="26" spans="3:11" x14ac:dyDescent="0.25">
      <c r="C26" s="2" t="s">
        <v>58</v>
      </c>
      <c r="D26" s="5" t="s">
        <v>48</v>
      </c>
      <c r="E26" s="9">
        <f>INDEX(Osz6_Pts,1+SUMPRODUCT((Osz6_LB&lt;E12)+(Osz6_LB=E12)*Osz6_Incl))*Osz6_W</f>
        <v>0</v>
      </c>
      <c r="F26" s="9">
        <f>INDEX(Osz6_Pts,1+SUMPRODUCT((Osz6_LB&lt;F12)+(Osz6_LB=F12)*Osz6_Incl))*Osz6_W</f>
        <v>0</v>
      </c>
      <c r="J26" t="s">
        <v>59</v>
      </c>
      <c r="K26">
        <v>0.1</v>
      </c>
    </row>
    <row r="27" spans="3:11" x14ac:dyDescent="0.25">
      <c r="C27" s="2" t="s">
        <v>60</v>
      </c>
      <c r="D27" s="5" t="s">
        <v>48</v>
      </c>
      <c r="E27" s="9">
        <f>E13*Osz7_Pts*Osz7_W</f>
        <v>0</v>
      </c>
      <c r="F27" s="9">
        <f>F13*Osz7_Pts*Osz7_W</f>
        <v>0</v>
      </c>
      <c r="J27" t="s">
        <v>61</v>
      </c>
      <c r="K27">
        <v>0.05</v>
      </c>
    </row>
    <row r="28" spans="3:11" x14ac:dyDescent="0.25">
      <c r="C28" s="2" t="s">
        <v>62</v>
      </c>
      <c r="D28" s="5" t="s">
        <v>48</v>
      </c>
      <c r="E28" s="9">
        <f>E14*Osz8_Pts*Osz8_W</f>
        <v>0</v>
      </c>
      <c r="F28" s="9">
        <f>F14*Osz8_Pts*Osz8_W</f>
        <v>0</v>
      </c>
      <c r="J28" t="s">
        <v>63</v>
      </c>
      <c r="K28">
        <v>0.15</v>
      </c>
    </row>
    <row r="29" spans="3:11" x14ac:dyDescent="0.25">
      <c r="C29" s="2" t="s">
        <v>64</v>
      </c>
      <c r="D29" s="5" t="s">
        <v>48</v>
      </c>
      <c r="E29" s="9">
        <f>E15*Osz9a_Pts*Osz9_W</f>
        <v>12</v>
      </c>
      <c r="F29" s="9">
        <f>F15*Osz9a_Pts*Osz9_W</f>
        <v>12</v>
      </c>
      <c r="J29" t="s">
        <v>65</v>
      </c>
      <c r="K29">
        <v>1000</v>
      </c>
    </row>
    <row r="30" spans="3:11" x14ac:dyDescent="0.25">
      <c r="C30" s="2" t="s">
        <v>66</v>
      </c>
      <c r="D30" s="5" t="s">
        <v>48</v>
      </c>
      <c r="E30" s="9">
        <f>E16*Osz9b_Pts*Osz9_W</f>
        <v>0</v>
      </c>
      <c r="F30" s="9">
        <f>F16*Osz9b_Pts*Osz9_W</f>
        <v>0</v>
      </c>
      <c r="J30" t="s">
        <v>67</v>
      </c>
      <c r="K30">
        <v>365</v>
      </c>
    </row>
    <row r="31" spans="3:11" x14ac:dyDescent="0.25">
      <c r="C31" s="10" t="s">
        <v>68</v>
      </c>
      <c r="D31" s="5" t="s">
        <v>48</v>
      </c>
      <c r="E31" s="11">
        <f>SUM(E21:E30)</f>
        <v>69.5</v>
      </c>
      <c r="F31" s="11">
        <f>SUM(F21:F30)</f>
        <v>69.5</v>
      </c>
    </row>
    <row r="33" spans="2:7" x14ac:dyDescent="0.25">
      <c r="B33" s="3"/>
      <c r="C33" s="3" t="s">
        <v>69</v>
      </c>
      <c r="D33" s="3"/>
      <c r="E33" s="4"/>
      <c r="F33" s="4"/>
      <c r="G33" s="4"/>
    </row>
    <row r="34" spans="2:7" x14ac:dyDescent="0.25">
      <c r="C34" s="2" t="s">
        <v>70</v>
      </c>
      <c r="D34" s="5" t="s">
        <v>71</v>
      </c>
      <c r="E34" s="12">
        <v>46234</v>
      </c>
    </row>
    <row r="35" spans="2:7" x14ac:dyDescent="0.25">
      <c r="C35" s="2" t="s">
        <v>72</v>
      </c>
      <c r="D35" s="5" t="s">
        <v>71</v>
      </c>
      <c r="E35" s="12">
        <v>46325</v>
      </c>
    </row>
    <row r="36" spans="2:7" x14ac:dyDescent="0.25">
      <c r="C36" s="2" t="s">
        <v>73</v>
      </c>
      <c r="D36" s="5" t="s">
        <v>71</v>
      </c>
      <c r="E36" s="12">
        <v>46402</v>
      </c>
    </row>
    <row r="37" spans="2:7" x14ac:dyDescent="0.25">
      <c r="C37" s="2" t="s">
        <v>74</v>
      </c>
      <c r="D37" s="5" t="s">
        <v>71</v>
      </c>
      <c r="E37" s="12">
        <v>46402</v>
      </c>
    </row>
    <row r="38" spans="2:7" x14ac:dyDescent="0.25">
      <c r="C38" s="2" t="s">
        <v>75</v>
      </c>
      <c r="D38" s="5" t="s">
        <v>71</v>
      </c>
      <c r="E38" s="12">
        <v>47118</v>
      </c>
    </row>
    <row r="39" spans="2:7" x14ac:dyDescent="0.25">
      <c r="C39" s="2" t="s">
        <v>76</v>
      </c>
      <c r="D39" s="5" t="s">
        <v>71</v>
      </c>
      <c r="E39" s="12">
        <v>47027</v>
      </c>
    </row>
    <row r="40" spans="2:7" x14ac:dyDescent="0.25">
      <c r="C40" s="2" t="s">
        <v>77</v>
      </c>
      <c r="D40" s="5" t="s">
        <v>71</v>
      </c>
      <c r="E40" s="12">
        <v>47299</v>
      </c>
    </row>
    <row r="41" spans="2:7" x14ac:dyDescent="0.25">
      <c r="C41" s="2" t="s">
        <v>78</v>
      </c>
      <c r="D41" s="5" t="s">
        <v>71</v>
      </c>
      <c r="E41" s="12">
        <v>48029</v>
      </c>
    </row>
    <row r="42" spans="2:7" x14ac:dyDescent="0.25">
      <c r="C42" s="2" t="s">
        <v>79</v>
      </c>
      <c r="D42" s="5" t="s">
        <v>71</v>
      </c>
      <c r="E42" s="12">
        <v>48669</v>
      </c>
      <c r="F42" s="5" t="s">
        <v>80</v>
      </c>
    </row>
    <row r="44" spans="2:7" x14ac:dyDescent="0.25">
      <c r="B44" s="3"/>
      <c r="C44" s="3" t="s">
        <v>81</v>
      </c>
      <c r="D44" s="3"/>
      <c r="E44" s="4" t="s">
        <v>4</v>
      </c>
      <c r="F44" s="4" t="s">
        <v>5</v>
      </c>
      <c r="G44" s="4"/>
    </row>
    <row r="45" spans="2:7" x14ac:dyDescent="0.25">
      <c r="C45" s="2" t="s">
        <v>82</v>
      </c>
      <c r="D45" s="5" t="s">
        <v>83</v>
      </c>
      <c r="E45" s="6">
        <v>365</v>
      </c>
      <c r="F45" s="6">
        <v>365</v>
      </c>
    </row>
    <row r="46" spans="2:7" x14ac:dyDescent="0.25">
      <c r="C46" s="2" t="s">
        <v>84</v>
      </c>
      <c r="D46" s="5" t="s">
        <v>85</v>
      </c>
      <c r="E46" s="6">
        <v>406000000</v>
      </c>
      <c r="F46" s="6">
        <v>406000000</v>
      </c>
    </row>
    <row r="47" spans="2:7" x14ac:dyDescent="0.25">
      <c r="C47" s="2" t="s">
        <v>86</v>
      </c>
      <c r="D47" s="5" t="s">
        <v>87</v>
      </c>
      <c r="E47" s="6">
        <v>200000000</v>
      </c>
      <c r="F47" s="6">
        <v>200000000</v>
      </c>
    </row>
    <row r="48" spans="2:7" x14ac:dyDescent="0.25">
      <c r="C48" s="2" t="s">
        <v>88</v>
      </c>
      <c r="D48" s="5" t="s">
        <v>89</v>
      </c>
      <c r="E48" s="6">
        <v>3000000</v>
      </c>
      <c r="F48" s="6">
        <v>3000000</v>
      </c>
    </row>
    <row r="49" spans="2:9" x14ac:dyDescent="0.25">
      <c r="C49" s="2" t="s">
        <v>90</v>
      </c>
      <c r="D49" s="5" t="s">
        <v>11</v>
      </c>
      <c r="E49" s="7">
        <v>5.0000000000000001E-3</v>
      </c>
      <c r="F49" s="7">
        <v>5.0000000000000001E-3</v>
      </c>
    </row>
    <row r="50" spans="2:9" x14ac:dyDescent="0.25">
      <c r="C50" s="2" t="s">
        <v>91</v>
      </c>
      <c r="D50" s="5" t="s">
        <v>11</v>
      </c>
      <c r="E50" s="7">
        <v>2.5000000000000001E-2</v>
      </c>
      <c r="F50" s="7">
        <v>2.5000000000000001E-2</v>
      </c>
    </row>
    <row r="51" spans="2:9" x14ac:dyDescent="0.25">
      <c r="C51" s="2" t="s">
        <v>92</v>
      </c>
      <c r="D51" s="5" t="s">
        <v>93</v>
      </c>
      <c r="E51" s="6">
        <v>4500000</v>
      </c>
      <c r="F51" s="6">
        <v>4500000</v>
      </c>
    </row>
    <row r="52" spans="2:9" x14ac:dyDescent="0.25">
      <c r="C52" s="2" t="s">
        <v>94</v>
      </c>
      <c r="D52" s="5" t="s">
        <v>93</v>
      </c>
      <c r="E52" s="6">
        <v>19826680</v>
      </c>
      <c r="F52" s="6">
        <v>19826680</v>
      </c>
    </row>
    <row r="53" spans="2:9" x14ac:dyDescent="0.25">
      <c r="C53" s="2" t="s">
        <v>95</v>
      </c>
      <c r="D53" s="5" t="s">
        <v>89</v>
      </c>
      <c r="E53" s="6">
        <v>460000000</v>
      </c>
      <c r="F53" s="6">
        <v>460000000</v>
      </c>
    </row>
    <row r="54" spans="2:9" x14ac:dyDescent="0.25">
      <c r="C54" s="2"/>
      <c r="D54" s="5"/>
      <c r="E54" s="7"/>
      <c r="F54" s="7"/>
    </row>
    <row r="55" spans="2:9" x14ac:dyDescent="0.25">
      <c r="C55" s="2" t="s">
        <v>96</v>
      </c>
      <c r="D55" s="5" t="s">
        <v>97</v>
      </c>
      <c r="E55" s="6">
        <v>150</v>
      </c>
      <c r="F55" s="6">
        <v>150</v>
      </c>
    </row>
    <row r="56" spans="2:9" x14ac:dyDescent="0.25">
      <c r="C56" s="2" t="s">
        <v>98</v>
      </c>
      <c r="D56" s="5" t="s">
        <v>97</v>
      </c>
      <c r="E56" s="6">
        <v>1000</v>
      </c>
      <c r="F56" s="6">
        <v>1000</v>
      </c>
    </row>
    <row r="57" spans="2:9" x14ac:dyDescent="0.25">
      <c r="C57" s="2"/>
      <c r="D57" s="5"/>
      <c r="E57" s="13"/>
      <c r="F57" s="13"/>
    </row>
    <row r="59" spans="2:9" x14ac:dyDescent="0.25">
      <c r="B59" s="3"/>
      <c r="C59" s="3" t="s">
        <v>99</v>
      </c>
      <c r="D59" s="3"/>
      <c r="E59" s="4" t="s">
        <v>4</v>
      </c>
      <c r="F59" s="4" t="s">
        <v>5</v>
      </c>
      <c r="G59" s="4" t="s">
        <v>100</v>
      </c>
      <c r="H59" s="4" t="s">
        <v>101</v>
      </c>
      <c r="I59" s="25"/>
    </row>
    <row r="60" spans="2:9" x14ac:dyDescent="0.25">
      <c r="C60" s="2" t="s">
        <v>102</v>
      </c>
      <c r="D60" s="5" t="s">
        <v>89</v>
      </c>
      <c r="E60" s="14">
        <f>E$48</f>
        <v>3000000</v>
      </c>
      <c r="F60" s="14">
        <f>F$48</f>
        <v>3000000</v>
      </c>
      <c r="G60" s="14">
        <f t="shared" ref="G60:G66" si="0">E60+F60</f>
        <v>6000000</v>
      </c>
      <c r="H60" s="23">
        <f>$E$35</f>
        <v>46325</v>
      </c>
      <c r="I60" s="24"/>
    </row>
    <row r="61" spans="2:9" x14ac:dyDescent="0.25">
      <c r="C61" s="16" t="s">
        <v>103</v>
      </c>
      <c r="D61" s="17" t="s">
        <v>89</v>
      </c>
      <c r="E61" s="18">
        <f>E$49*(E$17*E$46+E$19*E$47)</f>
        <v>223115000</v>
      </c>
      <c r="F61" s="18">
        <f>F$49*(F$17*F$46+F$19*F$47)</f>
        <v>223115000</v>
      </c>
      <c r="G61" s="14">
        <f t="shared" si="0"/>
        <v>446230000</v>
      </c>
      <c r="H61" s="24">
        <f>$E$35</f>
        <v>46325</v>
      </c>
      <c r="I61" s="24"/>
    </row>
    <row r="62" spans="2:9" x14ac:dyDescent="0.25">
      <c r="C62" s="19" t="s">
        <v>104</v>
      </c>
      <c r="D62" s="17" t="s">
        <v>89</v>
      </c>
      <c r="E62" s="18">
        <f>E$50*E$12*(E$17*E$46+E$19*E$47)-E61</f>
        <v>892460000</v>
      </c>
      <c r="F62" s="18">
        <f>F$50*F$12*(F$17*F$46+F$19*F$47)-F61</f>
        <v>892460000</v>
      </c>
      <c r="G62" s="14">
        <f t="shared" si="0"/>
        <v>1784920000</v>
      </c>
      <c r="H62" s="24">
        <f>$E$36</f>
        <v>46402</v>
      </c>
      <c r="I62" s="24"/>
    </row>
    <row r="63" spans="2:9" x14ac:dyDescent="0.25">
      <c r="C63" s="2" t="s">
        <v>105</v>
      </c>
      <c r="D63" s="5" t="s">
        <v>89</v>
      </c>
      <c r="E63" s="14">
        <f>E$51*E$5</f>
        <v>225000000</v>
      </c>
      <c r="F63" s="14">
        <f>F$51*F$5</f>
        <v>225000000</v>
      </c>
      <c r="G63" s="14">
        <f t="shared" si="0"/>
        <v>450000000</v>
      </c>
      <c r="H63" s="23">
        <f>$E$37</f>
        <v>46402</v>
      </c>
      <c r="I63" s="24"/>
    </row>
    <row r="64" spans="2:9" x14ac:dyDescent="0.25">
      <c r="C64" s="2" t="s">
        <v>106</v>
      </c>
      <c r="D64" s="5" t="s">
        <v>89</v>
      </c>
      <c r="E64" s="14">
        <f>E$53</f>
        <v>460000000</v>
      </c>
      <c r="F64" s="14">
        <f>F$53</f>
        <v>460000000</v>
      </c>
      <c r="G64" s="14">
        <f t="shared" si="0"/>
        <v>920000000</v>
      </c>
      <c r="H64" s="23">
        <f>$E$39</f>
        <v>47027</v>
      </c>
      <c r="I64" s="24"/>
    </row>
    <row r="65" spans="2:9" x14ac:dyDescent="0.25">
      <c r="C65" s="20" t="s">
        <v>107</v>
      </c>
      <c r="D65" s="5" t="s">
        <v>89</v>
      </c>
      <c r="E65" s="14">
        <f>E$52*E$5-E63</f>
        <v>766334000</v>
      </c>
      <c r="F65" s="14">
        <f>F$52*F$5-F63</f>
        <v>766334000</v>
      </c>
      <c r="G65" s="14">
        <f t="shared" si="0"/>
        <v>1532668000</v>
      </c>
      <c r="H65" s="23">
        <f>$E$39</f>
        <v>47027</v>
      </c>
      <c r="I65" s="24"/>
    </row>
    <row r="66" spans="2:9" ht="15" customHeight="1" thickBot="1" x14ac:dyDescent="0.3">
      <c r="C66" s="20" t="s">
        <v>108</v>
      </c>
      <c r="D66" s="5"/>
      <c r="E66" s="21">
        <f>E56*E45*1000</f>
        <v>365000000</v>
      </c>
      <c r="F66" s="21">
        <f>F56*F45*1000</f>
        <v>365000000</v>
      </c>
      <c r="G66" s="21">
        <f t="shared" si="0"/>
        <v>730000000</v>
      </c>
      <c r="H66" s="27" t="s">
        <v>109</v>
      </c>
      <c r="I66" s="24"/>
    </row>
    <row r="67" spans="2:9" x14ac:dyDescent="0.25">
      <c r="C67" s="10" t="s">
        <v>110</v>
      </c>
      <c r="D67" s="5" t="s">
        <v>89</v>
      </c>
      <c r="E67" s="15">
        <f>SUM(E60:E66)</f>
        <v>2934909000</v>
      </c>
      <c r="F67" s="15">
        <f>SUM(F60:F66)</f>
        <v>2934909000</v>
      </c>
      <c r="G67" s="15">
        <f>SUM(G60:G66)</f>
        <v>5869818000</v>
      </c>
      <c r="H67" s="15"/>
      <c r="I67" s="26"/>
    </row>
    <row r="68" spans="2:9" x14ac:dyDescent="0.25">
      <c r="C68" s="10"/>
      <c r="D68" s="5"/>
      <c r="E68" s="15"/>
      <c r="F68" s="15"/>
      <c r="G68" s="15"/>
      <c r="I68" s="26"/>
    </row>
    <row r="69" spans="2:9" x14ac:dyDescent="0.25">
      <c r="I69" s="26"/>
    </row>
    <row r="70" spans="2:9" x14ac:dyDescent="0.25">
      <c r="B70" s="3"/>
      <c r="C70" s="3" t="s">
        <v>111</v>
      </c>
      <c r="D70" s="3"/>
      <c r="E70" s="4" t="s">
        <v>4</v>
      </c>
      <c r="F70" s="4" t="s">
        <v>5</v>
      </c>
      <c r="G70" s="4" t="s">
        <v>100</v>
      </c>
      <c r="H70" s="4" t="s">
        <v>101</v>
      </c>
      <c r="I70" s="25"/>
    </row>
    <row r="71" spans="2:9" x14ac:dyDescent="0.25">
      <c r="C71" s="2" t="s">
        <v>102</v>
      </c>
      <c r="D71" s="5" t="s">
        <v>97</v>
      </c>
      <c r="E71" s="14">
        <f t="shared" ref="E71:F78" si="1">E60/E$45/Thousand</f>
        <v>8.2191780821917799</v>
      </c>
      <c r="F71" s="14">
        <f t="shared" si="1"/>
        <v>8.2191780821917799</v>
      </c>
      <c r="G71" s="14">
        <f t="shared" ref="G71:G78" si="2">E71+F71</f>
        <v>16.43835616438356</v>
      </c>
      <c r="H71" s="23">
        <f>$E$35</f>
        <v>46325</v>
      </c>
      <c r="I71" s="24"/>
    </row>
    <row r="72" spans="2:9" x14ac:dyDescent="0.25">
      <c r="C72" s="16" t="s">
        <v>103</v>
      </c>
      <c r="D72" s="17" t="s">
        <v>97</v>
      </c>
      <c r="E72" s="18">
        <f t="shared" si="1"/>
        <v>611.27397260273972</v>
      </c>
      <c r="F72" s="18">
        <f t="shared" si="1"/>
        <v>611.27397260273972</v>
      </c>
      <c r="G72" s="14">
        <f t="shared" si="2"/>
        <v>1222.5479452054794</v>
      </c>
      <c r="H72" s="24">
        <f>$E$35</f>
        <v>46325</v>
      </c>
      <c r="I72" s="24"/>
    </row>
    <row r="73" spans="2:9" x14ac:dyDescent="0.25">
      <c r="C73" s="19" t="s">
        <v>104</v>
      </c>
      <c r="D73" s="17" t="s">
        <v>97</v>
      </c>
      <c r="E73" s="18">
        <f t="shared" si="1"/>
        <v>2445.0958904109589</v>
      </c>
      <c r="F73" s="18">
        <f t="shared" si="1"/>
        <v>2445.0958904109589</v>
      </c>
      <c r="G73" s="14">
        <f t="shared" si="2"/>
        <v>4890.1917808219177</v>
      </c>
      <c r="H73" s="24">
        <f>$E$36</f>
        <v>46402</v>
      </c>
      <c r="I73" s="24"/>
    </row>
    <row r="74" spans="2:9" x14ac:dyDescent="0.25">
      <c r="C74" s="2" t="s">
        <v>105</v>
      </c>
      <c r="D74" s="5" t="s">
        <v>97</v>
      </c>
      <c r="E74" s="14">
        <f t="shared" si="1"/>
        <v>616.43835616438355</v>
      </c>
      <c r="F74" s="14">
        <f t="shared" si="1"/>
        <v>616.43835616438355</v>
      </c>
      <c r="G74" s="14">
        <f t="shared" si="2"/>
        <v>1232.8767123287671</v>
      </c>
      <c r="H74" s="23">
        <f>$E$37</f>
        <v>46402</v>
      </c>
      <c r="I74" s="24"/>
    </row>
    <row r="75" spans="2:9" x14ac:dyDescent="0.25">
      <c r="C75" s="2" t="s">
        <v>106</v>
      </c>
      <c r="D75" s="5" t="s">
        <v>97</v>
      </c>
      <c r="E75" s="14">
        <f t="shared" si="1"/>
        <v>1260.2739726027396</v>
      </c>
      <c r="F75" s="14">
        <f t="shared" si="1"/>
        <v>1260.2739726027396</v>
      </c>
      <c r="G75" s="14">
        <f t="shared" si="2"/>
        <v>2520.5479452054792</v>
      </c>
      <c r="H75" s="23">
        <f>$E$39</f>
        <v>47027</v>
      </c>
      <c r="I75" s="24"/>
    </row>
    <row r="76" spans="2:9" x14ac:dyDescent="0.25">
      <c r="C76" s="20" t="s">
        <v>107</v>
      </c>
      <c r="D76" s="5" t="s">
        <v>97</v>
      </c>
      <c r="E76" s="14">
        <f t="shared" si="1"/>
        <v>2099.5452054794519</v>
      </c>
      <c r="F76" s="14">
        <f t="shared" si="1"/>
        <v>2099.5452054794519</v>
      </c>
      <c r="G76" s="14">
        <f t="shared" si="2"/>
        <v>4199.0904109589037</v>
      </c>
      <c r="H76" s="23">
        <f>$E$39</f>
        <v>47027</v>
      </c>
      <c r="I76" s="24"/>
    </row>
    <row r="77" spans="2:9" ht="15" customHeight="1" thickBot="1" x14ac:dyDescent="0.3">
      <c r="C77" s="20" t="s">
        <v>108</v>
      </c>
      <c r="D77" s="5"/>
      <c r="E77" s="21">
        <f t="shared" si="1"/>
        <v>1000</v>
      </c>
      <c r="F77" s="21">
        <f t="shared" si="1"/>
        <v>1000</v>
      </c>
      <c r="G77" s="21">
        <f t="shared" si="2"/>
        <v>2000</v>
      </c>
      <c r="H77" s="27" t="s">
        <v>109</v>
      </c>
      <c r="I77" s="24"/>
    </row>
    <row r="78" spans="2:9" x14ac:dyDescent="0.25">
      <c r="C78" s="10" t="s">
        <v>110</v>
      </c>
      <c r="D78" s="5" t="s">
        <v>97</v>
      </c>
      <c r="E78" s="22">
        <f t="shared" si="1"/>
        <v>8040.8465753424662</v>
      </c>
      <c r="F78" s="22">
        <f t="shared" si="1"/>
        <v>8040.8465753424662</v>
      </c>
      <c r="G78" s="22">
        <f t="shared" si="2"/>
        <v>16081.693150684932</v>
      </c>
    </row>
    <row r="81" spans="2:8" x14ac:dyDescent="0.25">
      <c r="B81" s="28"/>
      <c r="C81" s="28" t="s">
        <v>112</v>
      </c>
      <c r="D81" s="28"/>
      <c r="E81" s="29" t="s">
        <v>4</v>
      </c>
      <c r="F81" s="29" t="s">
        <v>5</v>
      </c>
      <c r="G81" s="56"/>
      <c r="H81" s="56"/>
    </row>
    <row r="82" spans="2:8" x14ac:dyDescent="0.25">
      <c r="C82" s="30" t="s">
        <v>113</v>
      </c>
      <c r="D82" s="30"/>
      <c r="E82" s="30"/>
      <c r="F82" s="30"/>
      <c r="G82" s="57"/>
      <c r="H82" s="57"/>
    </row>
    <row r="83" spans="2:8" x14ac:dyDescent="0.25">
      <c r="C83" s="31" t="s">
        <v>114</v>
      </c>
      <c r="D83" s="32" t="s">
        <v>71</v>
      </c>
      <c r="E83" s="33">
        <v>47208</v>
      </c>
      <c r="F83" s="14"/>
      <c r="G83" s="58"/>
      <c r="H83" s="26"/>
    </row>
    <row r="84" spans="2:8" x14ac:dyDescent="0.25">
      <c r="C84" s="31" t="s">
        <v>115</v>
      </c>
      <c r="D84" s="32" t="s">
        <v>71</v>
      </c>
      <c r="E84" s="33">
        <v>47391</v>
      </c>
      <c r="F84" s="14"/>
      <c r="G84" s="58"/>
      <c r="H84" s="26"/>
    </row>
    <row r="85" spans="2:8" x14ac:dyDescent="0.25">
      <c r="C85" s="31" t="s">
        <v>116</v>
      </c>
      <c r="D85" s="32" t="s">
        <v>71</v>
      </c>
      <c r="E85" s="33">
        <v>47299</v>
      </c>
      <c r="G85" s="59"/>
      <c r="H85" s="26"/>
    </row>
    <row r="86" spans="2:8" x14ac:dyDescent="0.25">
      <c r="C86" s="31" t="s">
        <v>117</v>
      </c>
      <c r="D86" s="32" t="s">
        <v>71</v>
      </c>
      <c r="E86" s="33">
        <v>46752</v>
      </c>
      <c r="G86" s="59"/>
      <c r="H86" s="26"/>
    </row>
    <row r="87" spans="2:8" x14ac:dyDescent="0.25">
      <c r="C87" s="31" t="s">
        <v>118</v>
      </c>
      <c r="D87" s="32" t="s">
        <v>11</v>
      </c>
      <c r="E87" s="34">
        <v>0.12</v>
      </c>
      <c r="G87" s="59"/>
      <c r="H87" s="26"/>
    </row>
    <row r="88" spans="2:8" x14ac:dyDescent="0.25">
      <c r="C88" s="31" t="s">
        <v>119</v>
      </c>
      <c r="D88" s="32" t="s">
        <v>11</v>
      </c>
      <c r="E88" s="34">
        <v>0.2</v>
      </c>
      <c r="G88" s="59"/>
      <c r="H88" s="26"/>
    </row>
    <row r="89" spans="2:8" x14ac:dyDescent="0.25">
      <c r="C89" s="31" t="s">
        <v>120</v>
      </c>
      <c r="D89" s="32" t="s">
        <v>28</v>
      </c>
      <c r="E89" s="35">
        <v>2</v>
      </c>
      <c r="G89" s="59"/>
      <c r="H89" s="26"/>
    </row>
    <row r="90" spans="2:8" x14ac:dyDescent="0.25">
      <c r="C90" s="31" t="s">
        <v>121</v>
      </c>
      <c r="D90" s="32" t="s">
        <v>122</v>
      </c>
      <c r="E90" s="36">
        <v>30</v>
      </c>
      <c r="G90" s="59"/>
      <c r="H90" s="26"/>
    </row>
    <row r="91" spans="2:8" x14ac:dyDescent="0.25">
      <c r="C91" s="31" t="s">
        <v>123</v>
      </c>
      <c r="D91" s="32" t="s">
        <v>124</v>
      </c>
      <c r="E91" s="36">
        <v>12</v>
      </c>
      <c r="G91" s="59"/>
      <c r="H91" s="26"/>
    </row>
    <row r="92" spans="2:8" x14ac:dyDescent="0.25">
      <c r="C92" s="31" t="s">
        <v>125</v>
      </c>
      <c r="D92" s="32" t="s">
        <v>97</v>
      </c>
      <c r="E92" s="37">
        <v>1E-3</v>
      </c>
      <c r="G92" s="59"/>
      <c r="H92" s="26"/>
    </row>
    <row r="93" spans="2:8" x14ac:dyDescent="0.25">
      <c r="C93" s="30" t="s">
        <v>126</v>
      </c>
      <c r="D93" s="30"/>
      <c r="E93" s="30"/>
      <c r="F93" s="30"/>
      <c r="G93" s="57"/>
      <c r="H93" s="57"/>
    </row>
    <row r="94" spans="2:8" x14ac:dyDescent="0.25">
      <c r="C94" s="31" t="s">
        <v>127</v>
      </c>
      <c r="D94" s="32" t="s">
        <v>128</v>
      </c>
      <c r="E94" s="38">
        <v>150</v>
      </c>
      <c r="F94" s="38">
        <v>150</v>
      </c>
      <c r="G94" s="59"/>
      <c r="H94" s="26"/>
    </row>
    <row r="95" spans="2:8" x14ac:dyDescent="0.25">
      <c r="C95" s="31" t="s">
        <v>129</v>
      </c>
      <c r="D95" s="32" t="s">
        <v>97</v>
      </c>
      <c r="E95" s="38">
        <v>250</v>
      </c>
      <c r="F95" s="38">
        <v>250</v>
      </c>
      <c r="G95" s="59"/>
      <c r="H95" s="26"/>
    </row>
    <row r="96" spans="2:8" x14ac:dyDescent="0.25">
      <c r="C96" s="31" t="s">
        <v>311</v>
      </c>
      <c r="D96" s="32" t="s">
        <v>11</v>
      </c>
      <c r="E96" s="34">
        <v>0</v>
      </c>
      <c r="F96" s="34">
        <v>0</v>
      </c>
      <c r="G96" s="59"/>
      <c r="H96" s="26"/>
    </row>
    <row r="97" spans="3:8" x14ac:dyDescent="0.25">
      <c r="C97" s="31" t="s">
        <v>270</v>
      </c>
      <c r="D97" s="32" t="s">
        <v>11</v>
      </c>
      <c r="E97" s="60">
        <f>1-E96</f>
        <v>1</v>
      </c>
      <c r="F97" s="60">
        <f>1-F96</f>
        <v>1</v>
      </c>
      <c r="G97" s="59"/>
      <c r="H97" s="26"/>
    </row>
    <row r="98" spans="3:8" x14ac:dyDescent="0.25">
      <c r="C98" s="31" t="s">
        <v>130</v>
      </c>
      <c r="D98" s="32" t="s">
        <v>97</v>
      </c>
      <c r="E98" s="38">
        <v>0</v>
      </c>
      <c r="F98" s="38">
        <v>0</v>
      </c>
      <c r="G98" s="59"/>
      <c r="H98" s="26"/>
    </row>
    <row r="99" spans="3:8" x14ac:dyDescent="0.25">
      <c r="C99" s="31" t="s">
        <v>131</v>
      </c>
      <c r="D99" s="32" t="s">
        <v>11</v>
      </c>
      <c r="E99" s="34">
        <v>0.08</v>
      </c>
      <c r="F99" s="34">
        <v>0.08</v>
      </c>
      <c r="G99" s="59"/>
      <c r="H99" s="26"/>
    </row>
    <row r="100" spans="3:8" x14ac:dyDescent="0.25">
      <c r="C100" s="31" t="s">
        <v>271</v>
      </c>
      <c r="D100" s="32" t="s">
        <v>11</v>
      </c>
      <c r="E100" s="34">
        <v>0.15</v>
      </c>
      <c r="F100" s="34">
        <v>0.15</v>
      </c>
      <c r="G100" s="59"/>
      <c r="H100" s="26"/>
    </row>
    <row r="101" spans="3:8" x14ac:dyDescent="0.25">
      <c r="C101" s="31" t="s">
        <v>272</v>
      </c>
      <c r="D101" s="32" t="s">
        <v>122</v>
      </c>
      <c r="E101" s="36">
        <v>20</v>
      </c>
      <c r="F101" s="36">
        <v>20</v>
      </c>
      <c r="G101" s="59"/>
      <c r="H101" s="26"/>
    </row>
    <row r="102" spans="3:8" x14ac:dyDescent="0.25">
      <c r="C102" s="30" t="s">
        <v>132</v>
      </c>
      <c r="D102" s="30"/>
      <c r="E102" s="30"/>
      <c r="F102" s="30"/>
      <c r="G102" s="57"/>
      <c r="H102" s="57"/>
    </row>
    <row r="103" spans="3:8" x14ac:dyDescent="0.25">
      <c r="C103" s="31" t="s">
        <v>133</v>
      </c>
      <c r="D103" s="32" t="s">
        <v>11</v>
      </c>
      <c r="E103" s="34">
        <v>0.1</v>
      </c>
      <c r="F103" s="34">
        <v>0.1</v>
      </c>
      <c r="G103" s="59"/>
      <c r="H103" s="26"/>
    </row>
    <row r="104" spans="3:8" x14ac:dyDescent="0.25">
      <c r="C104" s="31" t="s">
        <v>134</v>
      </c>
      <c r="D104" s="32" t="s">
        <v>19</v>
      </c>
      <c r="E104" s="38">
        <v>850</v>
      </c>
      <c r="F104" s="38">
        <v>850</v>
      </c>
      <c r="G104" s="59"/>
      <c r="H104" s="26"/>
    </row>
    <row r="105" spans="3:8" x14ac:dyDescent="0.25">
      <c r="C105" s="31" t="s">
        <v>135</v>
      </c>
      <c r="D105" s="32" t="s">
        <v>19</v>
      </c>
      <c r="E105" s="38">
        <v>80</v>
      </c>
      <c r="F105" s="38">
        <v>80</v>
      </c>
      <c r="G105" s="59"/>
      <c r="H105" s="26"/>
    </row>
    <row r="106" spans="3:8" x14ac:dyDescent="0.25">
      <c r="C106" s="31" t="s">
        <v>136</v>
      </c>
      <c r="D106" s="32" t="s">
        <v>19</v>
      </c>
      <c r="E106" s="38">
        <v>90</v>
      </c>
      <c r="F106" s="38">
        <v>90</v>
      </c>
      <c r="G106" s="59"/>
      <c r="H106" s="26"/>
    </row>
    <row r="107" spans="3:8" x14ac:dyDescent="0.25">
      <c r="C107" s="31" t="s">
        <v>137</v>
      </c>
      <c r="D107" s="32" t="s">
        <v>19</v>
      </c>
      <c r="E107" s="38">
        <v>70</v>
      </c>
      <c r="F107" s="38">
        <v>70</v>
      </c>
      <c r="G107" s="59"/>
      <c r="H107" s="26"/>
    </row>
    <row r="108" spans="3:8" x14ac:dyDescent="0.25">
      <c r="C108" s="31" t="s">
        <v>138</v>
      </c>
      <c r="D108" s="32" t="s">
        <v>19</v>
      </c>
      <c r="E108" s="38">
        <v>60</v>
      </c>
      <c r="F108" s="38">
        <v>60</v>
      </c>
      <c r="G108" s="59"/>
      <c r="H108" s="26"/>
    </row>
    <row r="109" spans="3:8" x14ac:dyDescent="0.25">
      <c r="C109" s="31" t="s">
        <v>139</v>
      </c>
      <c r="D109" s="32" t="s">
        <v>19</v>
      </c>
      <c r="E109" s="38">
        <v>40</v>
      </c>
      <c r="F109" s="38">
        <v>40</v>
      </c>
      <c r="G109" s="59"/>
      <c r="H109" s="26"/>
    </row>
    <row r="110" spans="3:8" x14ac:dyDescent="0.25">
      <c r="C110" s="31" t="s">
        <v>140</v>
      </c>
      <c r="D110" s="32" t="s">
        <v>19</v>
      </c>
      <c r="E110" s="38">
        <v>15</v>
      </c>
      <c r="F110" s="38">
        <v>15</v>
      </c>
      <c r="G110" s="59"/>
      <c r="H110" s="26"/>
    </row>
    <row r="111" spans="3:8" x14ac:dyDescent="0.25">
      <c r="C111" s="31" t="s">
        <v>141</v>
      </c>
      <c r="D111" s="32" t="s">
        <v>97</v>
      </c>
      <c r="E111" s="38">
        <v>12000</v>
      </c>
      <c r="F111" s="38">
        <v>12000</v>
      </c>
      <c r="G111" s="59"/>
      <c r="H111" s="26"/>
    </row>
    <row r="112" spans="3:8" x14ac:dyDescent="0.25">
      <c r="C112" s="31" t="s">
        <v>142</v>
      </c>
      <c r="D112" s="32" t="s">
        <v>8</v>
      </c>
      <c r="E112" s="38">
        <v>200</v>
      </c>
      <c r="F112" s="38">
        <v>200</v>
      </c>
      <c r="G112" s="59"/>
      <c r="H112" s="26"/>
    </row>
    <row r="113" spans="3:8" x14ac:dyDescent="0.25">
      <c r="C113" s="31" t="s">
        <v>143</v>
      </c>
      <c r="D113" s="32" t="s">
        <v>11</v>
      </c>
      <c r="E113" s="34">
        <v>0.05</v>
      </c>
      <c r="F113" s="34">
        <v>0.05</v>
      </c>
      <c r="G113" s="59"/>
      <c r="H113" s="26"/>
    </row>
    <row r="114" spans="3:8" x14ac:dyDescent="0.25">
      <c r="C114" s="31" t="s">
        <v>144</v>
      </c>
      <c r="D114" s="32" t="s">
        <v>145</v>
      </c>
      <c r="E114" s="38">
        <v>100</v>
      </c>
      <c r="F114" s="38">
        <v>100</v>
      </c>
      <c r="G114" s="59"/>
      <c r="H114" s="26"/>
    </row>
    <row r="115" spans="3:8" x14ac:dyDescent="0.25">
      <c r="C115" s="30" t="s">
        <v>146</v>
      </c>
      <c r="D115" s="30"/>
      <c r="E115" s="30"/>
      <c r="F115" s="30"/>
      <c r="G115" s="57"/>
      <c r="H115" s="57"/>
    </row>
    <row r="116" spans="3:8" x14ac:dyDescent="0.25">
      <c r="C116" s="31" t="s">
        <v>147</v>
      </c>
      <c r="D116" s="32" t="s">
        <v>148</v>
      </c>
      <c r="E116" s="38">
        <v>2500</v>
      </c>
      <c r="F116" s="38">
        <v>2500</v>
      </c>
      <c r="G116" s="59"/>
      <c r="H116" s="26"/>
    </row>
    <row r="117" spans="3:8" x14ac:dyDescent="0.25">
      <c r="C117" s="31" t="s">
        <v>149</v>
      </c>
      <c r="D117" s="32" t="s">
        <v>11</v>
      </c>
      <c r="E117" s="34">
        <v>0.02</v>
      </c>
      <c r="F117" s="34">
        <v>0.02</v>
      </c>
      <c r="G117" s="59"/>
      <c r="H117" s="26"/>
    </row>
    <row r="118" spans="3:8" x14ac:dyDescent="0.25">
      <c r="C118" s="31" t="s">
        <v>150</v>
      </c>
      <c r="D118" s="32" t="s">
        <v>11</v>
      </c>
      <c r="E118" s="34">
        <v>0.04</v>
      </c>
      <c r="F118" s="34">
        <v>0.04</v>
      </c>
      <c r="G118" s="59"/>
      <c r="H118" s="26"/>
    </row>
    <row r="119" spans="3:8" x14ac:dyDescent="0.25">
      <c r="C119" s="31" t="s">
        <v>151</v>
      </c>
      <c r="D119" s="32" t="s">
        <v>152</v>
      </c>
      <c r="E119" s="34">
        <v>3.0000000000000001E-3</v>
      </c>
      <c r="F119" s="34">
        <v>3.0000000000000001E-3</v>
      </c>
      <c r="G119" s="59"/>
      <c r="H119" s="26"/>
    </row>
    <row r="120" spans="3:8" x14ac:dyDescent="0.25">
      <c r="C120" s="31" t="s">
        <v>153</v>
      </c>
      <c r="D120" s="32" t="s">
        <v>22</v>
      </c>
      <c r="E120" s="39">
        <v>90</v>
      </c>
      <c r="F120" s="39">
        <v>90</v>
      </c>
      <c r="G120" s="59"/>
      <c r="H120" s="26"/>
    </row>
    <row r="121" spans="3:8" x14ac:dyDescent="0.25">
      <c r="C121" s="31" t="s">
        <v>154</v>
      </c>
      <c r="D121" s="32" t="s">
        <v>152</v>
      </c>
      <c r="E121" s="34">
        <v>0.01</v>
      </c>
      <c r="F121" s="34">
        <v>0.01</v>
      </c>
      <c r="G121" s="59"/>
      <c r="H121" s="26"/>
    </row>
    <row r="122" spans="3:8" x14ac:dyDescent="0.25">
      <c r="C122" s="30" t="s">
        <v>155</v>
      </c>
      <c r="D122" s="30"/>
      <c r="E122" s="30"/>
      <c r="F122" s="30"/>
      <c r="G122" s="57"/>
      <c r="H122" s="57"/>
    </row>
    <row r="123" spans="3:8" x14ac:dyDescent="0.25">
      <c r="C123" s="31" t="s">
        <v>156</v>
      </c>
      <c r="D123" s="32" t="s">
        <v>157</v>
      </c>
      <c r="E123" s="39">
        <v>12</v>
      </c>
      <c r="F123" s="39">
        <v>12</v>
      </c>
      <c r="G123" s="59"/>
      <c r="H123" s="26"/>
    </row>
    <row r="124" spans="3:8" x14ac:dyDescent="0.25">
      <c r="C124" s="31" t="s">
        <v>158</v>
      </c>
      <c r="D124" s="32" t="s">
        <v>157</v>
      </c>
      <c r="E124" s="39">
        <v>3</v>
      </c>
      <c r="F124" s="39">
        <v>3</v>
      </c>
      <c r="G124" s="59"/>
      <c r="H124" s="26"/>
    </row>
    <row r="125" spans="3:8" x14ac:dyDescent="0.25">
      <c r="C125" s="31" t="s">
        <v>159</v>
      </c>
      <c r="D125" s="32" t="s">
        <v>157</v>
      </c>
      <c r="E125" s="39">
        <v>3</v>
      </c>
      <c r="F125" s="39">
        <v>3</v>
      </c>
      <c r="G125" s="59"/>
      <c r="H125" s="26"/>
    </row>
    <row r="126" spans="3:8" x14ac:dyDescent="0.25">
      <c r="C126" s="31" t="s">
        <v>160</v>
      </c>
      <c r="D126" s="32" t="s">
        <v>157</v>
      </c>
      <c r="E126" s="39">
        <v>2.5</v>
      </c>
      <c r="F126" s="39">
        <v>2.5</v>
      </c>
      <c r="G126" s="59"/>
      <c r="H126" s="26"/>
    </row>
    <row r="127" spans="3:8" x14ac:dyDescent="0.25">
      <c r="C127" s="31" t="s">
        <v>161</v>
      </c>
      <c r="D127" s="32" t="s">
        <v>157</v>
      </c>
      <c r="E127" s="39">
        <v>1.5</v>
      </c>
      <c r="F127" s="39">
        <v>1.5</v>
      </c>
      <c r="G127" s="59"/>
      <c r="H127" s="26"/>
    </row>
    <row r="128" spans="3:8" x14ac:dyDescent="0.25">
      <c r="C128" s="31" t="s">
        <v>162</v>
      </c>
      <c r="D128" s="32" t="s">
        <v>157</v>
      </c>
      <c r="E128" s="39">
        <v>3</v>
      </c>
      <c r="F128" s="39">
        <v>3</v>
      </c>
      <c r="G128" s="59"/>
      <c r="H128" s="26"/>
    </row>
    <row r="129" spans="2:29" x14ac:dyDescent="0.25">
      <c r="C129" s="31" t="s">
        <v>163</v>
      </c>
      <c r="D129" s="32" t="s">
        <v>164</v>
      </c>
      <c r="E129" s="38">
        <v>150</v>
      </c>
      <c r="F129" s="38">
        <v>150</v>
      </c>
      <c r="G129" s="59"/>
      <c r="H129" s="26"/>
    </row>
    <row r="130" spans="2:29" x14ac:dyDescent="0.25">
      <c r="C130" s="31" t="s">
        <v>165</v>
      </c>
      <c r="D130" s="32" t="s">
        <v>22</v>
      </c>
      <c r="E130" s="39">
        <v>4</v>
      </c>
      <c r="F130" s="39">
        <v>4</v>
      </c>
      <c r="G130" s="59"/>
      <c r="H130" s="26"/>
    </row>
    <row r="131" spans="2:29" x14ac:dyDescent="0.25">
      <c r="C131" s="31" t="s">
        <v>166</v>
      </c>
      <c r="D131" s="32" t="s">
        <v>22</v>
      </c>
      <c r="E131" s="39">
        <v>1</v>
      </c>
      <c r="F131" s="39">
        <v>1</v>
      </c>
      <c r="G131" s="59"/>
      <c r="H131" s="26"/>
    </row>
    <row r="132" spans="2:29" x14ac:dyDescent="0.25">
      <c r="C132" s="31" t="s">
        <v>167</v>
      </c>
      <c r="D132" s="32" t="s">
        <v>168</v>
      </c>
      <c r="E132" s="34">
        <v>1E-3</v>
      </c>
      <c r="F132" s="34">
        <v>1E-3</v>
      </c>
      <c r="G132" s="59"/>
      <c r="H132" s="26"/>
    </row>
    <row r="133" spans="2:29" x14ac:dyDescent="0.25">
      <c r="C133" s="31" t="s">
        <v>169</v>
      </c>
      <c r="D133" s="32" t="s">
        <v>168</v>
      </c>
      <c r="E133" s="34">
        <v>0.02</v>
      </c>
      <c r="F133" s="34">
        <v>0.02</v>
      </c>
      <c r="G133" s="59"/>
      <c r="H133" s="26"/>
    </row>
    <row r="134" spans="2:29" x14ac:dyDescent="0.25">
      <c r="C134" s="31" t="s">
        <v>170</v>
      </c>
      <c r="D134" s="32" t="s">
        <v>11</v>
      </c>
      <c r="E134" s="34">
        <v>0.05</v>
      </c>
      <c r="F134" s="34">
        <v>0.05</v>
      </c>
      <c r="G134" s="59"/>
      <c r="H134" s="26"/>
    </row>
    <row r="135" spans="2:29" x14ac:dyDescent="0.25">
      <c r="C135" s="31" t="s">
        <v>171</v>
      </c>
      <c r="D135" s="32" t="s">
        <v>152</v>
      </c>
      <c r="E135" s="34">
        <v>2.5000000000000001E-2</v>
      </c>
      <c r="F135" s="34">
        <v>2.5000000000000001E-2</v>
      </c>
      <c r="G135" s="59"/>
      <c r="H135" s="26"/>
    </row>
    <row r="137" spans="2:29" x14ac:dyDescent="0.25">
      <c r="B137" s="28"/>
      <c r="C137" s="28" t="s">
        <v>172</v>
      </c>
      <c r="D137" s="28"/>
      <c r="E137" s="29" t="s">
        <v>4</v>
      </c>
      <c r="F137" s="29" t="s">
        <v>5</v>
      </c>
      <c r="G137" s="29" t="s">
        <v>100</v>
      </c>
      <c r="H137" s="29" t="s">
        <v>173</v>
      </c>
      <c r="X137" s="29" t="s">
        <v>174</v>
      </c>
      <c r="Y137" s="29" t="s">
        <v>175</v>
      </c>
      <c r="Z137" s="29" t="s">
        <v>176</v>
      </c>
      <c r="AA137" s="29" t="s">
        <v>177</v>
      </c>
      <c r="AB137" s="29" t="s">
        <v>178</v>
      </c>
      <c r="AC137" s="29" t="s">
        <v>179</v>
      </c>
    </row>
    <row r="138" spans="2:29" x14ac:dyDescent="0.25">
      <c r="C138" s="31" t="s">
        <v>180</v>
      </c>
      <c r="D138" s="32" t="s">
        <v>71</v>
      </c>
      <c r="E138" s="40">
        <f>MIN($E$85,$E$84)</f>
        <v>47299</v>
      </c>
    </row>
    <row r="139" spans="2:29" x14ac:dyDescent="0.25">
      <c r="C139" s="31" t="s">
        <v>181</v>
      </c>
      <c r="D139" s="32" t="s">
        <v>97</v>
      </c>
      <c r="E139" s="41">
        <f>E71*($AC139-1)</f>
        <v>2.9307371250560288</v>
      </c>
      <c r="F139" s="41">
        <f>F71*($AC139-1)</f>
        <v>2.9307371250560288</v>
      </c>
      <c r="G139" s="41">
        <f t="shared" ref="G139:G145" si="3">E139+F139</f>
        <v>5.8614742501120576</v>
      </c>
      <c r="H139" s="40">
        <f>$E$35</f>
        <v>46325</v>
      </c>
      <c r="X139" s="42">
        <f t="shared" ref="X139:X144" si="4">$E$87</f>
        <v>0.12</v>
      </c>
      <c r="Y139" s="43">
        <f t="shared" ref="Y139:Y145" si="5">YEAR(H139)</f>
        <v>2026</v>
      </c>
      <c r="Z139" s="43">
        <f t="shared" ref="Z139:Z145" si="6">MIN(DATE(Y139+1,1,1),$E$138+1)-H139</f>
        <v>63</v>
      </c>
      <c r="AA139" s="43">
        <f t="shared" ref="AA139:AA145" si="7">MAX(0,YEAR($E$138)-Y139-1)</f>
        <v>2</v>
      </c>
      <c r="AB139" s="43">
        <f t="shared" ref="AB139:AB145" si="8">(YEAR($E$138)&gt;Y139)*($E$138-DATE(YEAR($E$138),1,1)+1)</f>
        <v>181</v>
      </c>
      <c r="AC139" s="44">
        <f t="shared" ref="AC139:AC145" si="9">(1+X139*Z139/Days_In_Year)*(1+X139)^AA139*(1+X139*AB139/Days_In_Year)</f>
        <v>1.3565730168818169</v>
      </c>
    </row>
    <row r="140" spans="2:29" x14ac:dyDescent="0.25">
      <c r="C140" s="31" t="s">
        <v>182</v>
      </c>
      <c r="D140" s="32" t="s">
        <v>97</v>
      </c>
      <c r="E140" s="41">
        <f>E72*($AC140-1)</f>
        <v>217.96380455229198</v>
      </c>
      <c r="F140" s="41">
        <f>F72*($AC140-1)</f>
        <v>217.96380455229198</v>
      </c>
      <c r="G140" s="41">
        <f t="shared" si="3"/>
        <v>435.92760910458395</v>
      </c>
      <c r="H140" s="40">
        <f>$E$35</f>
        <v>46325</v>
      </c>
      <c r="X140" s="42">
        <f t="shared" si="4"/>
        <v>0.12</v>
      </c>
      <c r="Y140" s="43">
        <f t="shared" si="5"/>
        <v>2026</v>
      </c>
      <c r="Z140" s="43">
        <f t="shared" si="6"/>
        <v>63</v>
      </c>
      <c r="AA140" s="43">
        <f t="shared" si="7"/>
        <v>2</v>
      </c>
      <c r="AB140" s="43">
        <f t="shared" si="8"/>
        <v>181</v>
      </c>
      <c r="AC140" s="44">
        <f t="shared" si="9"/>
        <v>1.3565730168818169</v>
      </c>
    </row>
    <row r="141" spans="2:29" x14ac:dyDescent="0.25">
      <c r="C141" s="31" t="s">
        <v>183</v>
      </c>
      <c r="D141" s="32" t="s">
        <v>97</v>
      </c>
      <c r="E141" s="41">
        <f>E73*($AC141-1)</f>
        <v>791.19283619258385</v>
      </c>
      <c r="F141" s="41">
        <f>F73*($AC141-1)</f>
        <v>791.19283619258385</v>
      </c>
      <c r="G141" s="41">
        <f t="shared" si="3"/>
        <v>1582.3856723851677</v>
      </c>
      <c r="H141" s="40">
        <f>$E$36</f>
        <v>46402</v>
      </c>
      <c r="X141" s="42">
        <f t="shared" si="4"/>
        <v>0.12</v>
      </c>
      <c r="Y141" s="43">
        <f t="shared" si="5"/>
        <v>2027</v>
      </c>
      <c r="Z141" s="43">
        <f t="shared" si="6"/>
        <v>351</v>
      </c>
      <c r="AA141" s="43">
        <f t="shared" si="7"/>
        <v>1</v>
      </c>
      <c r="AB141" s="43">
        <f t="shared" si="8"/>
        <v>181</v>
      </c>
      <c r="AC141" s="44">
        <f t="shared" si="9"/>
        <v>1.3235835614036406</v>
      </c>
    </row>
    <row r="142" spans="2:29" x14ac:dyDescent="0.25">
      <c r="C142" s="31" t="s">
        <v>184</v>
      </c>
      <c r="D142" s="32" t="s">
        <v>97</v>
      </c>
      <c r="E142" s="41">
        <f>E74*($AC142-1)</f>
        <v>199.46931867347709</v>
      </c>
      <c r="F142" s="41">
        <f>F74*($AC142-1)</f>
        <v>199.46931867347709</v>
      </c>
      <c r="G142" s="41">
        <f t="shared" si="3"/>
        <v>398.93863734695418</v>
      </c>
      <c r="H142" s="40">
        <f>$E$37</f>
        <v>46402</v>
      </c>
      <c r="X142" s="42">
        <f t="shared" si="4"/>
        <v>0.12</v>
      </c>
      <c r="Y142" s="43">
        <f t="shared" si="5"/>
        <v>2027</v>
      </c>
      <c r="Z142" s="43">
        <f t="shared" si="6"/>
        <v>351</v>
      </c>
      <c r="AA142" s="43">
        <f t="shared" si="7"/>
        <v>1</v>
      </c>
      <c r="AB142" s="43">
        <f t="shared" si="8"/>
        <v>181</v>
      </c>
      <c r="AC142" s="44">
        <f t="shared" si="9"/>
        <v>1.3235835614036406</v>
      </c>
    </row>
    <row r="143" spans="2:29" x14ac:dyDescent="0.25">
      <c r="C143" s="31" t="s">
        <v>106</v>
      </c>
      <c r="D143" s="32" t="s">
        <v>97</v>
      </c>
      <c r="E143" s="41">
        <f>E75*($AC143-1)</f>
        <v>115.38224495073477</v>
      </c>
      <c r="F143" s="41">
        <f>F75*($AC143-1)</f>
        <v>115.38224495073477</v>
      </c>
      <c r="G143" s="41">
        <f t="shared" si="3"/>
        <v>230.76448990146955</v>
      </c>
      <c r="H143" s="40">
        <f>$E$39</f>
        <v>47027</v>
      </c>
      <c r="X143" s="42">
        <f t="shared" si="4"/>
        <v>0.12</v>
      </c>
      <c r="Y143" s="43">
        <f t="shared" si="5"/>
        <v>2028</v>
      </c>
      <c r="Z143" s="43">
        <f t="shared" si="6"/>
        <v>92</v>
      </c>
      <c r="AA143" s="43">
        <f t="shared" si="7"/>
        <v>0</v>
      </c>
      <c r="AB143" s="43">
        <f t="shared" si="8"/>
        <v>181</v>
      </c>
      <c r="AC143" s="44">
        <f t="shared" si="9"/>
        <v>1.0915533030587352</v>
      </c>
    </row>
    <row r="144" spans="2:29" x14ac:dyDescent="0.25">
      <c r="C144" s="31" t="s">
        <v>185</v>
      </c>
      <c r="D144" s="32" t="s">
        <v>97</v>
      </c>
      <c r="E144" s="41">
        <f>E76*($AC144-1)</f>
        <v>192.22029848277475</v>
      </c>
      <c r="F144" s="41">
        <f>F76*($AC144-1)</f>
        <v>192.22029848277475</v>
      </c>
      <c r="G144" s="41">
        <f t="shared" si="3"/>
        <v>384.4405969655495</v>
      </c>
      <c r="H144" s="40">
        <f>$E$39</f>
        <v>47027</v>
      </c>
      <c r="X144" s="42">
        <f t="shared" si="4"/>
        <v>0.12</v>
      </c>
      <c r="Y144" s="43">
        <f t="shared" si="5"/>
        <v>2028</v>
      </c>
      <c r="Z144" s="43">
        <f t="shared" si="6"/>
        <v>92</v>
      </c>
      <c r="AA144" s="43">
        <f t="shared" si="7"/>
        <v>0</v>
      </c>
      <c r="AB144" s="43">
        <f t="shared" si="8"/>
        <v>181</v>
      </c>
      <c r="AC144" s="44">
        <f t="shared" si="9"/>
        <v>1.0915533030587352</v>
      </c>
    </row>
    <row r="145" spans="2:29" x14ac:dyDescent="0.25">
      <c r="C145" s="31" t="s">
        <v>186</v>
      </c>
      <c r="D145" s="32" t="s">
        <v>97</v>
      </c>
      <c r="E145" s="41">
        <f>E77*MAX($AC145-1,$E$89-1)</f>
        <v>1000</v>
      </c>
      <c r="F145" s="41">
        <f>F77*MAX($AC145-1,$E$89-1)</f>
        <v>1000</v>
      </c>
      <c r="G145" s="41">
        <f t="shared" si="3"/>
        <v>2000</v>
      </c>
      <c r="H145" s="40">
        <f>$E$86</f>
        <v>46752</v>
      </c>
      <c r="X145" s="42">
        <f>$E$88</f>
        <v>0.2</v>
      </c>
      <c r="Y145" s="43">
        <f t="shared" si="5"/>
        <v>2027</v>
      </c>
      <c r="Z145" s="43">
        <f t="shared" si="6"/>
        <v>1</v>
      </c>
      <c r="AA145" s="43">
        <f t="shared" si="7"/>
        <v>1</v>
      </c>
      <c r="AB145" s="43">
        <f t="shared" si="8"/>
        <v>181</v>
      </c>
      <c r="AC145" s="44">
        <f t="shared" si="9"/>
        <v>1.3197364458622631</v>
      </c>
    </row>
    <row r="146" spans="2:29" x14ac:dyDescent="0.25">
      <c r="C146" s="45" t="s">
        <v>301</v>
      </c>
      <c r="D146" s="32" t="s">
        <v>97</v>
      </c>
      <c r="E146" s="46">
        <f>SUM(E139:E145)</f>
        <v>2519.1592399769183</v>
      </c>
      <c r="F146" s="46">
        <f>SUM(F139:F145)</f>
        <v>2519.1592399769183</v>
      </c>
      <c r="G146" s="46">
        <f>SUM(G139:G145)</f>
        <v>5038.3184799538367</v>
      </c>
    </row>
    <row r="148" spans="2:29" x14ac:dyDescent="0.25">
      <c r="B148" s="28"/>
      <c r="C148" s="28" t="s">
        <v>187</v>
      </c>
      <c r="D148" s="28"/>
      <c r="E148" s="29" t="s">
        <v>4</v>
      </c>
      <c r="F148" s="29" t="s">
        <v>5</v>
      </c>
      <c r="G148" s="29" t="s">
        <v>100</v>
      </c>
      <c r="H148" s="29" t="s">
        <v>101</v>
      </c>
    </row>
    <row r="149" spans="2:29" x14ac:dyDescent="0.25">
      <c r="C149" s="31" t="s">
        <v>127</v>
      </c>
      <c r="D149" s="32" t="s">
        <v>97</v>
      </c>
      <c r="E149" s="41">
        <f>E94*E5</f>
        <v>7500</v>
      </c>
      <c r="F149" s="41">
        <f>F94*F5</f>
        <v>7500</v>
      </c>
      <c r="G149" s="41">
        <f t="shared" ref="G149:G159" si="10">E149+F149</f>
        <v>15000</v>
      </c>
    </row>
    <row r="150" spans="2:29" x14ac:dyDescent="0.25">
      <c r="C150" s="31" t="s">
        <v>188</v>
      </c>
      <c r="D150" s="32" t="s">
        <v>97</v>
      </c>
      <c r="E150" s="41">
        <f>E78-E71-E77</f>
        <v>7032.6273972602739</v>
      </c>
      <c r="F150" s="41">
        <f>F78-F71-F77</f>
        <v>7032.6273972602739</v>
      </c>
      <c r="G150" s="41">
        <f t="shared" si="10"/>
        <v>14065.254794520548</v>
      </c>
    </row>
    <row r="151" spans="2:29" x14ac:dyDescent="0.25">
      <c r="C151" s="45" t="s">
        <v>189</v>
      </c>
      <c r="D151" s="32" t="s">
        <v>97</v>
      </c>
      <c r="E151" s="47">
        <f>E149+E150</f>
        <v>14532.627397260274</v>
      </c>
      <c r="F151" s="47">
        <f>F149+F150</f>
        <v>14532.627397260274</v>
      </c>
      <c r="G151" s="47">
        <f t="shared" si="10"/>
        <v>29065.254794520548</v>
      </c>
    </row>
    <row r="152" spans="2:29" x14ac:dyDescent="0.25">
      <c r="C152" s="31" t="s">
        <v>190</v>
      </c>
      <c r="D152" s="32" t="s">
        <v>97</v>
      </c>
      <c r="E152" s="41">
        <f>-MIN(E151,E95)</f>
        <v>-250</v>
      </c>
      <c r="F152" s="41">
        <f>-MIN(F151,F95)</f>
        <v>-250</v>
      </c>
      <c r="G152" s="41">
        <f t="shared" si="10"/>
        <v>-500</v>
      </c>
    </row>
    <row r="153" spans="2:29" x14ac:dyDescent="0.25">
      <c r="C153" s="31" t="s">
        <v>191</v>
      </c>
      <c r="D153" s="32" t="s">
        <v>97</v>
      </c>
      <c r="E153" s="41">
        <f>-MIN(SUM(E151:E152),E150)</f>
        <v>-7032.6273972602739</v>
      </c>
      <c r="F153" s="41">
        <f>-MIN(SUM(F151:F152),F150)</f>
        <v>-7032.6273972602739</v>
      </c>
      <c r="G153" s="41">
        <f t="shared" si="10"/>
        <v>-14065.254794520548</v>
      </c>
    </row>
    <row r="154" spans="2:29" x14ac:dyDescent="0.25">
      <c r="C154" s="31" t="s">
        <v>299</v>
      </c>
      <c r="D154" s="32" t="s">
        <v>97</v>
      </c>
      <c r="E154" s="41">
        <f>-MIN(SUM(E151:E153),SUM(E139:E144))*(E$96&gt;0)</f>
        <v>0</v>
      </c>
      <c r="F154" s="41">
        <f>-MIN(SUM(F151:F153),SUM(F139:F144))*(F$96&gt;0)</f>
        <v>0</v>
      </c>
      <c r="G154" s="41">
        <f t="shared" si="10"/>
        <v>0</v>
      </c>
    </row>
    <row r="155" spans="2:29" x14ac:dyDescent="0.25">
      <c r="C155" s="31" t="s">
        <v>300</v>
      </c>
      <c r="D155" s="32" t="s">
        <v>97</v>
      </c>
      <c r="E155" s="41">
        <f>-MIN(SUM(E151:E154),E145)*(E$96&gt;0)</f>
        <v>0</v>
      </c>
      <c r="F155" s="41">
        <f>-MIN(SUM(F151:F154),F145)*(F$96&gt;0)</f>
        <v>0</v>
      </c>
      <c r="G155" s="41">
        <f t="shared" si="10"/>
        <v>0</v>
      </c>
    </row>
    <row r="156" spans="2:29" x14ac:dyDescent="0.25">
      <c r="C156" s="31" t="s">
        <v>192</v>
      </c>
      <c r="D156" s="32" t="s">
        <v>97</v>
      </c>
      <c r="E156" s="41">
        <f>-MIN(SUM(E151:E155),E98)</f>
        <v>0</v>
      </c>
      <c r="F156" s="41">
        <f>-MIN(SUM(F151:F155),F98)</f>
        <v>0</v>
      </c>
      <c r="G156" s="41">
        <f t="shared" si="10"/>
        <v>0</v>
      </c>
    </row>
    <row r="157" spans="2:29" x14ac:dyDescent="0.25">
      <c r="C157" s="45" t="s">
        <v>193</v>
      </c>
      <c r="D157" s="32" t="s">
        <v>97</v>
      </c>
      <c r="E157" s="46">
        <f>SUM(E151:E156)</f>
        <v>7250</v>
      </c>
      <c r="F157" s="46">
        <f>SUM(F151:F156)</f>
        <v>7250</v>
      </c>
      <c r="G157" s="46">
        <f t="shared" si="10"/>
        <v>14500</v>
      </c>
    </row>
    <row r="158" spans="2:29" x14ac:dyDescent="0.25">
      <c r="C158" s="31" t="s">
        <v>194</v>
      </c>
      <c r="D158" s="32" t="s">
        <v>97</v>
      </c>
      <c r="E158" s="41">
        <f>E157*E97</f>
        <v>7250</v>
      </c>
      <c r="F158" s="41">
        <f>F157*F97</f>
        <v>7250</v>
      </c>
      <c r="G158" s="41">
        <f t="shared" si="10"/>
        <v>14500</v>
      </c>
    </row>
    <row r="159" spans="2:29" x14ac:dyDescent="0.25">
      <c r="C159" s="31" t="s">
        <v>195</v>
      </c>
      <c r="D159" s="32" t="s">
        <v>97</v>
      </c>
      <c r="E159" s="41">
        <f>E157-E158</f>
        <v>0</v>
      </c>
      <c r="F159" s="41">
        <f>F157-F158</f>
        <v>0</v>
      </c>
      <c r="G159" s="41">
        <f t="shared" si="10"/>
        <v>0</v>
      </c>
    </row>
    <row r="161" spans="2:8" x14ac:dyDescent="0.25">
      <c r="C161" s="30" t="s">
        <v>196</v>
      </c>
      <c r="D161" s="30"/>
      <c r="E161" s="30"/>
      <c r="F161" s="30"/>
      <c r="G161" s="30"/>
      <c r="H161" s="30"/>
    </row>
    <row r="162" spans="2:8" x14ac:dyDescent="0.25">
      <c r="C162" s="31" t="s">
        <v>96</v>
      </c>
      <c r="D162" s="32" t="s">
        <v>97</v>
      </c>
      <c r="E162" s="41">
        <f>-E55</f>
        <v>-150</v>
      </c>
      <c r="F162" s="41">
        <f>-F55</f>
        <v>-150</v>
      </c>
      <c r="G162" s="41">
        <f t="shared" ref="G162:G170" si="11">E162+F162</f>
        <v>-300</v>
      </c>
      <c r="H162" s="40">
        <f>$E$34</f>
        <v>46234</v>
      </c>
    </row>
    <row r="163" spans="2:8" x14ac:dyDescent="0.25">
      <c r="C163" s="31" t="s">
        <v>102</v>
      </c>
      <c r="D163" s="32" t="s">
        <v>97</v>
      </c>
      <c r="E163" s="48">
        <f t="shared" ref="E163:F169" si="12">-E71</f>
        <v>-8.2191780821917799</v>
      </c>
      <c r="F163" s="48">
        <f t="shared" si="12"/>
        <v>-8.2191780821917799</v>
      </c>
      <c r="G163" s="41">
        <f t="shared" si="11"/>
        <v>-16.43835616438356</v>
      </c>
      <c r="H163" s="40">
        <f>$E$35</f>
        <v>46325</v>
      </c>
    </row>
    <row r="164" spans="2:8" x14ac:dyDescent="0.25">
      <c r="C164" s="31" t="s">
        <v>197</v>
      </c>
      <c r="D164" s="32" t="s">
        <v>97</v>
      </c>
      <c r="E164" s="41">
        <f t="shared" si="12"/>
        <v>-611.27397260273972</v>
      </c>
      <c r="F164" s="41">
        <f t="shared" si="12"/>
        <v>-611.27397260273972</v>
      </c>
      <c r="G164" s="41">
        <f t="shared" si="11"/>
        <v>-1222.5479452054794</v>
      </c>
      <c r="H164" s="40">
        <f>$E$35</f>
        <v>46325</v>
      </c>
    </row>
    <row r="165" spans="2:8" x14ac:dyDescent="0.25">
      <c r="C165" s="31" t="s">
        <v>198</v>
      </c>
      <c r="D165" s="32" t="s">
        <v>97</v>
      </c>
      <c r="E165" s="41">
        <f t="shared" si="12"/>
        <v>-2445.0958904109589</v>
      </c>
      <c r="F165" s="41">
        <f t="shared" si="12"/>
        <v>-2445.0958904109589</v>
      </c>
      <c r="G165" s="41">
        <f t="shared" si="11"/>
        <v>-4890.1917808219177</v>
      </c>
      <c r="H165" s="40">
        <f>$E$36</f>
        <v>46402</v>
      </c>
    </row>
    <row r="166" spans="2:8" x14ac:dyDescent="0.25">
      <c r="C166" s="31" t="s">
        <v>184</v>
      </c>
      <c r="D166" s="32" t="s">
        <v>97</v>
      </c>
      <c r="E166" s="41">
        <f t="shared" si="12"/>
        <v>-616.43835616438355</v>
      </c>
      <c r="F166" s="41">
        <f t="shared" si="12"/>
        <v>-616.43835616438355</v>
      </c>
      <c r="G166" s="41">
        <f t="shared" si="11"/>
        <v>-1232.8767123287671</v>
      </c>
      <c r="H166" s="40">
        <f>$E$37</f>
        <v>46402</v>
      </c>
    </row>
    <row r="167" spans="2:8" x14ac:dyDescent="0.25">
      <c r="C167" s="31" t="s">
        <v>106</v>
      </c>
      <c r="D167" s="32" t="s">
        <v>97</v>
      </c>
      <c r="E167" s="41">
        <f t="shared" si="12"/>
        <v>-1260.2739726027396</v>
      </c>
      <c r="F167" s="41">
        <f t="shared" si="12"/>
        <v>-1260.2739726027396</v>
      </c>
      <c r="G167" s="41">
        <f t="shared" si="11"/>
        <v>-2520.5479452054792</v>
      </c>
      <c r="H167" s="40">
        <f>$E$39</f>
        <v>47027</v>
      </c>
    </row>
    <row r="168" spans="2:8" x14ac:dyDescent="0.25">
      <c r="C168" s="31" t="s">
        <v>185</v>
      </c>
      <c r="D168" s="32" t="s">
        <v>97</v>
      </c>
      <c r="E168" s="41">
        <f t="shared" si="12"/>
        <v>-2099.5452054794519</v>
      </c>
      <c r="F168" s="41">
        <f t="shared" si="12"/>
        <v>-2099.5452054794519</v>
      </c>
      <c r="G168" s="41">
        <f t="shared" si="11"/>
        <v>-4199.0904109589037</v>
      </c>
      <c r="H168" s="40">
        <f>$E$39</f>
        <v>47027</v>
      </c>
    </row>
    <row r="169" spans="2:8" x14ac:dyDescent="0.25">
      <c r="C169" s="31" t="s">
        <v>199</v>
      </c>
      <c r="D169" s="32" t="s">
        <v>97</v>
      </c>
      <c r="E169" s="41">
        <f t="shared" si="12"/>
        <v>-1000</v>
      </c>
      <c r="F169" s="41">
        <f t="shared" si="12"/>
        <v>-1000</v>
      </c>
      <c r="G169" s="41">
        <f t="shared" si="11"/>
        <v>-2000</v>
      </c>
      <c r="H169" s="40">
        <f>$E$86</f>
        <v>46752</v>
      </c>
    </row>
    <row r="170" spans="2:8" x14ac:dyDescent="0.25">
      <c r="C170" s="45" t="s">
        <v>200</v>
      </c>
      <c r="D170" s="32" t="s">
        <v>97</v>
      </c>
      <c r="E170" s="47">
        <f>E158-SUM(E153:E155)</f>
        <v>14282.627397260274</v>
      </c>
      <c r="F170" s="47">
        <f>F158-SUM(F153:F155)</f>
        <v>14282.627397260274</v>
      </c>
      <c r="G170" s="47">
        <f t="shared" si="11"/>
        <v>28565.254794520548</v>
      </c>
      <c r="H170" s="40">
        <f>$E$84</f>
        <v>47391</v>
      </c>
    </row>
    <row r="171" spans="2:8" x14ac:dyDescent="0.25">
      <c r="C171" s="45" t="s">
        <v>201</v>
      </c>
      <c r="D171" s="32" t="s">
        <v>97</v>
      </c>
      <c r="E171" s="46">
        <f>SUM(E162:E170)</f>
        <v>6091.7808219178078</v>
      </c>
      <c r="F171" s="46">
        <f>SUM(F162:F170)</f>
        <v>6091.7808219178078</v>
      </c>
      <c r="G171" s="46">
        <f>SUM(G162:G170)</f>
        <v>12183.561643835616</v>
      </c>
    </row>
    <row r="172" spans="2:8" x14ac:dyDescent="0.25">
      <c r="C172" s="31" t="s">
        <v>202</v>
      </c>
      <c r="D172" s="32" t="s">
        <v>28</v>
      </c>
      <c r="E172" s="49">
        <f>SUMIF(E162:E170,"&gt;0")/-SUMIF(E162:E170,"&lt;0")</f>
        <v>1.7437303050280983</v>
      </c>
      <c r="F172" s="49">
        <f>SUMIF(F162:F170,"&gt;0")/-SUMIF(F162:F170,"&lt;0")</f>
        <v>1.7437303050280983</v>
      </c>
      <c r="G172" s="49">
        <f>SUMIF(G162:G170,"&gt;0")/-SUMIF(G162:G170,"&lt;0")</f>
        <v>1.7437303050280983</v>
      </c>
    </row>
    <row r="173" spans="2:8" x14ac:dyDescent="0.25">
      <c r="C173" s="31" t="s">
        <v>203</v>
      </c>
      <c r="D173" s="32" t="s">
        <v>11</v>
      </c>
      <c r="E173" s="42">
        <f>XIRR(E162:E170,$H$162:$H$170)</f>
        <v>0.31884954571723945</v>
      </c>
      <c r="F173" s="42">
        <f>XIRR(F162:F170,$H$162:$H$170)</f>
        <v>0.31884954571723945</v>
      </c>
      <c r="G173" s="42">
        <f>XIRR(G162:G170,$H$162:$H$170)</f>
        <v>0.31884954571723945</v>
      </c>
    </row>
    <row r="174" spans="2:8" x14ac:dyDescent="0.25">
      <c r="C174" s="31" t="s">
        <v>204</v>
      </c>
      <c r="D174" s="32" t="s">
        <v>128</v>
      </c>
      <c r="E174" s="48">
        <f>E171/E5</f>
        <v>121.83561643835615</v>
      </c>
      <c r="F174" s="48">
        <f>F171/F5</f>
        <v>121.83561643835615</v>
      </c>
      <c r="G174" s="48">
        <f>G171/(E5+F5)</f>
        <v>121.83561643835615</v>
      </c>
    </row>
    <row r="176" spans="2:8" x14ac:dyDescent="0.25">
      <c r="B176" s="28"/>
      <c r="C176" s="28" t="s">
        <v>297</v>
      </c>
      <c r="D176" s="28"/>
      <c r="E176" s="29" t="s">
        <v>4</v>
      </c>
      <c r="F176" s="29" t="s">
        <v>5</v>
      </c>
      <c r="G176" s="29" t="s">
        <v>100</v>
      </c>
      <c r="H176" s="29"/>
    </row>
    <row r="177" spans="3:8" x14ac:dyDescent="0.25">
      <c r="C177" s="45" t="s">
        <v>205</v>
      </c>
      <c r="D177" s="32" t="s">
        <v>11</v>
      </c>
      <c r="E177" s="50">
        <f>XIRR(X276:BG276,X$247:BG$247)</f>
        <v>9.1354814171791102E-2</v>
      </c>
      <c r="F177" s="50">
        <f>XIRR(X312:BG312,X$247:BG$247)</f>
        <v>9.1354814171791102E-2</v>
      </c>
    </row>
    <row r="178" spans="3:8" x14ac:dyDescent="0.25">
      <c r="C178" s="31" t="s">
        <v>206</v>
      </c>
      <c r="D178" s="32" t="s">
        <v>97</v>
      </c>
      <c r="E178" s="41">
        <f>XNPV(E99,X276:BG276,X$247:BG$247)</f>
        <v>8962.9482012130229</v>
      </c>
      <c r="F178" s="41">
        <f>XNPV(F99,X312:BG312,X$247:BG$247)</f>
        <v>8962.9482012130229</v>
      </c>
      <c r="G178" s="41">
        <f>E178+F178</f>
        <v>17925.896402426046</v>
      </c>
    </row>
    <row r="179" spans="3:8" x14ac:dyDescent="0.25">
      <c r="C179" s="31" t="s">
        <v>207</v>
      </c>
      <c r="D179" s="32" t="s">
        <v>19</v>
      </c>
      <c r="E179" s="48">
        <f>E208/E193</f>
        <v>1561.3016424322896</v>
      </c>
      <c r="F179" s="48">
        <f>F208/F193</f>
        <v>1561.3016424322896</v>
      </c>
      <c r="G179" s="48">
        <f>G208/G193</f>
        <v>1561.3016424322896</v>
      </c>
    </row>
    <row r="180" spans="3:8" x14ac:dyDescent="0.25">
      <c r="C180" s="31" t="s">
        <v>208</v>
      </c>
      <c r="D180" s="32" t="s">
        <v>128</v>
      </c>
      <c r="E180" s="48">
        <f>E208/E5</f>
        <v>1981.2917842465756</v>
      </c>
      <c r="F180" s="48">
        <f>F208/F5</f>
        <v>1981.2917842465756</v>
      </c>
      <c r="G180" s="48">
        <f>G208/(E5+F5)</f>
        <v>1981.2917842465756</v>
      </c>
    </row>
    <row r="181" spans="3:8" x14ac:dyDescent="0.25">
      <c r="C181" s="31" t="s">
        <v>209</v>
      </c>
      <c r="D181" s="32" t="s">
        <v>210</v>
      </c>
      <c r="E181" s="48">
        <f>SUMIF(X$246:BG$246,YEAR($E$41)+1,X262:BG262)</f>
        <v>149.23439999999999</v>
      </c>
      <c r="F181" s="48">
        <f>SUMIF(X$246:BG$246,YEAR($E$41)+1,X298:BG298)</f>
        <v>149.23439999999999</v>
      </c>
      <c r="G181" s="48">
        <f>E181+F181</f>
        <v>298.46879999999999</v>
      </c>
    </row>
    <row r="182" spans="3:8" x14ac:dyDescent="0.25">
      <c r="C182" s="31" t="s">
        <v>211</v>
      </c>
      <c r="D182" s="32" t="s">
        <v>97</v>
      </c>
      <c r="E182" s="41">
        <f>SUMIF(X$246:BG$246,YEAR($E$41)+1,X273:BG273)</f>
        <v>10281.523390992001</v>
      </c>
      <c r="F182" s="41">
        <f>SUMIF(X$246:BG$246,YEAR($E$41)+1,X309:BG309)</f>
        <v>10281.523390992001</v>
      </c>
      <c r="G182" s="41">
        <f>E182+F182</f>
        <v>20563.046781984001</v>
      </c>
    </row>
    <row r="183" spans="3:8" x14ac:dyDescent="0.25">
      <c r="C183" s="31" t="s">
        <v>212</v>
      </c>
      <c r="D183" s="32" t="s">
        <v>19</v>
      </c>
      <c r="E183" s="48">
        <f>E182/E193</f>
        <v>162.04134579971631</v>
      </c>
      <c r="F183" s="48">
        <f>F182/F193</f>
        <v>162.04134579971631</v>
      </c>
      <c r="G183" s="48">
        <f>G182/G193</f>
        <v>162.04134579971631</v>
      </c>
    </row>
    <row r="184" spans="3:8" x14ac:dyDescent="0.25">
      <c r="C184" s="30" t="s">
        <v>213</v>
      </c>
      <c r="D184" s="30"/>
      <c r="E184" s="30"/>
      <c r="F184" s="30"/>
      <c r="G184" s="30"/>
      <c r="H184" s="30"/>
    </row>
    <row r="185" spans="3:8" x14ac:dyDescent="0.25">
      <c r="C185" s="45" t="s">
        <v>214</v>
      </c>
      <c r="D185" s="32" t="s">
        <v>97</v>
      </c>
      <c r="E185" s="47">
        <f>G281</f>
        <v>118159.14097508944</v>
      </c>
      <c r="F185" s="47">
        <f>G317</f>
        <v>118159.14097508944</v>
      </c>
      <c r="G185" s="47">
        <f>E185+F185</f>
        <v>236318.28195017888</v>
      </c>
    </row>
    <row r="186" spans="3:8" x14ac:dyDescent="0.25">
      <c r="C186" s="31" t="s">
        <v>215</v>
      </c>
      <c r="D186" s="32" t="s">
        <v>19</v>
      </c>
      <c r="E186" s="48">
        <f>E185/E193</f>
        <v>1862.2402044931353</v>
      </c>
      <c r="F186" s="48">
        <f>F185/F193</f>
        <v>1862.2402044931353</v>
      </c>
      <c r="G186" s="48">
        <f>G185/G193</f>
        <v>1862.2402044931353</v>
      </c>
    </row>
    <row r="187" spans="3:8" x14ac:dyDescent="0.25">
      <c r="C187" s="31" t="s">
        <v>216</v>
      </c>
      <c r="D187" s="32" t="s">
        <v>128</v>
      </c>
      <c r="E187" s="48">
        <f>E185/E5</f>
        <v>2363.1828195017888</v>
      </c>
      <c r="F187" s="48">
        <f>F185/F5</f>
        <v>2363.1828195017888</v>
      </c>
      <c r="G187" s="48">
        <f>G185/(E5+F5)</f>
        <v>2363.1828195017888</v>
      </c>
    </row>
    <row r="188" spans="3:8" x14ac:dyDescent="0.25">
      <c r="C188" s="45" t="s">
        <v>201</v>
      </c>
      <c r="D188" s="32" t="s">
        <v>97</v>
      </c>
      <c r="E188" s="47">
        <f>G282</f>
        <v>19094.55176276066</v>
      </c>
      <c r="F188" s="47">
        <f>G318</f>
        <v>19094.55176276066</v>
      </c>
      <c r="G188" s="47">
        <f>E188+F188</f>
        <v>38189.103525521321</v>
      </c>
    </row>
    <row r="189" spans="3:8" x14ac:dyDescent="0.25">
      <c r="C189" s="31" t="s">
        <v>217</v>
      </c>
      <c r="D189" s="32" t="s">
        <v>11</v>
      </c>
      <c r="E189" s="42">
        <f>XIRR(X282:BG282,X$247:BG$247)</f>
        <v>0.14503875374794009</v>
      </c>
      <c r="F189" s="42">
        <f>XIRR(X318:BG318,X$247:BG$247)</f>
        <v>0.14503875374794009</v>
      </c>
    </row>
    <row r="190" spans="3:8" x14ac:dyDescent="0.25">
      <c r="C190" s="31" t="s">
        <v>202</v>
      </c>
      <c r="D190" s="32" t="s">
        <v>28</v>
      </c>
      <c r="E190" s="49">
        <f>SUMIF(X282:BG282,"&gt;0")/-SUMIF(X282:BG282,"&lt;0")</f>
        <v>1.2487454185719336</v>
      </c>
      <c r="F190" s="49">
        <f>SUMIF(X318:BG318,"&gt;0")/-SUMIF(X318:BG318,"&lt;0")</f>
        <v>1.2487454185719336</v>
      </c>
    </row>
    <row r="192" spans="3:8" x14ac:dyDescent="0.25">
      <c r="C192" s="30" t="s">
        <v>218</v>
      </c>
      <c r="D192" s="30"/>
      <c r="E192" s="30"/>
      <c r="F192" s="30"/>
      <c r="G192" s="30"/>
      <c r="H192" s="30"/>
    </row>
    <row r="193" spans="3:7" x14ac:dyDescent="0.25">
      <c r="C193" s="31" t="s">
        <v>219</v>
      </c>
      <c r="D193" s="32" t="s">
        <v>39</v>
      </c>
      <c r="E193" s="48">
        <f>E17*(1-E103)</f>
        <v>63.45</v>
      </c>
      <c r="F193" s="48">
        <f>F17*(1-F103)</f>
        <v>63.45</v>
      </c>
      <c r="G193" s="48">
        <f t="shared" ref="G193:G208" si="13">E193+F193</f>
        <v>126.9</v>
      </c>
    </row>
    <row r="194" spans="3:7" x14ac:dyDescent="0.25">
      <c r="C194" s="31" t="s">
        <v>134</v>
      </c>
      <c r="D194" s="32" t="s">
        <v>97</v>
      </c>
      <c r="E194" s="41">
        <f>E104*E193</f>
        <v>53932.5</v>
      </c>
      <c r="F194" s="41">
        <f>F104*F193</f>
        <v>53932.5</v>
      </c>
      <c r="G194" s="41">
        <f t="shared" si="13"/>
        <v>107865</v>
      </c>
    </row>
    <row r="195" spans="3:7" x14ac:dyDescent="0.25">
      <c r="C195" s="31" t="s">
        <v>135</v>
      </c>
      <c r="D195" s="32" t="s">
        <v>97</v>
      </c>
      <c r="E195" s="41">
        <f>E105*E193</f>
        <v>5076</v>
      </c>
      <c r="F195" s="41">
        <f>F105*F193</f>
        <v>5076</v>
      </c>
      <c r="G195" s="41">
        <f t="shared" si="13"/>
        <v>10152</v>
      </c>
    </row>
    <row r="196" spans="3:7" x14ac:dyDescent="0.25">
      <c r="C196" s="31" t="s">
        <v>136</v>
      </c>
      <c r="D196" s="32" t="s">
        <v>97</v>
      </c>
      <c r="E196" s="41">
        <f>E106*E193</f>
        <v>5710.5</v>
      </c>
      <c r="F196" s="41">
        <f>F106*F193</f>
        <v>5710.5</v>
      </c>
      <c r="G196" s="41">
        <f t="shared" si="13"/>
        <v>11421</v>
      </c>
    </row>
    <row r="197" spans="3:7" x14ac:dyDescent="0.25">
      <c r="C197" s="31" t="s">
        <v>137</v>
      </c>
      <c r="D197" s="32" t="s">
        <v>97</v>
      </c>
      <c r="E197" s="41">
        <f>E107*E193</f>
        <v>4441.5</v>
      </c>
      <c r="F197" s="41">
        <f>F107*F193</f>
        <v>4441.5</v>
      </c>
      <c r="G197" s="41">
        <f t="shared" si="13"/>
        <v>8883</v>
      </c>
    </row>
    <row r="198" spans="3:7" x14ac:dyDescent="0.25">
      <c r="C198" s="31" t="s">
        <v>138</v>
      </c>
      <c r="D198" s="32" t="s">
        <v>97</v>
      </c>
      <c r="E198" s="41">
        <f>E108*E193</f>
        <v>3807</v>
      </c>
      <c r="F198" s="41">
        <f>F108*F193</f>
        <v>3807</v>
      </c>
      <c r="G198" s="41">
        <f t="shared" si="13"/>
        <v>7614</v>
      </c>
    </row>
    <row r="199" spans="3:7" x14ac:dyDescent="0.25">
      <c r="C199" s="31" t="s">
        <v>139</v>
      </c>
      <c r="D199" s="32" t="s">
        <v>97</v>
      </c>
      <c r="E199" s="41">
        <f>E109*E193</f>
        <v>2538</v>
      </c>
      <c r="F199" s="41">
        <f>F109*F193</f>
        <v>2538</v>
      </c>
      <c r="G199" s="41">
        <f t="shared" si="13"/>
        <v>5076</v>
      </c>
    </row>
    <row r="200" spans="3:7" x14ac:dyDescent="0.25">
      <c r="C200" s="31" t="s">
        <v>140</v>
      </c>
      <c r="D200" s="32" t="s">
        <v>97</v>
      </c>
      <c r="E200" s="41">
        <f>E110*E193</f>
        <v>951.75</v>
      </c>
      <c r="F200" s="41">
        <f>F110*F193</f>
        <v>951.75</v>
      </c>
      <c r="G200" s="41">
        <f t="shared" si="13"/>
        <v>1903.5</v>
      </c>
    </row>
    <row r="201" spans="3:7" x14ac:dyDescent="0.25">
      <c r="C201" s="31" t="s">
        <v>220</v>
      </c>
      <c r="D201" s="32" t="s">
        <v>97</v>
      </c>
      <c r="E201" s="41">
        <f>E111*E5/E112</f>
        <v>3000</v>
      </c>
      <c r="F201" s="41">
        <f>F111*F5/F112</f>
        <v>3000</v>
      </c>
      <c r="G201" s="41">
        <f t="shared" si="13"/>
        <v>6000</v>
      </c>
    </row>
    <row r="202" spans="3:7" x14ac:dyDescent="0.25">
      <c r="C202" s="31" t="s">
        <v>221</v>
      </c>
      <c r="D202" s="32" t="s">
        <v>97</v>
      </c>
      <c r="E202" s="41">
        <f>SUM(E194:E201)*E113</f>
        <v>3972.8625000000002</v>
      </c>
      <c r="F202" s="41">
        <f>SUM(F194:F201)*F113</f>
        <v>3972.8625000000002</v>
      </c>
      <c r="G202" s="41">
        <f t="shared" si="13"/>
        <v>7945.7250000000004</v>
      </c>
    </row>
    <row r="203" spans="3:7" x14ac:dyDescent="0.25">
      <c r="C203" s="31" t="s">
        <v>222</v>
      </c>
      <c r="D203" s="32" t="s">
        <v>97</v>
      </c>
      <c r="E203" s="41">
        <f>E114*E19</f>
        <v>8000</v>
      </c>
      <c r="F203" s="41">
        <f>F114*F19</f>
        <v>8000</v>
      </c>
      <c r="G203" s="41">
        <f t="shared" si="13"/>
        <v>16000</v>
      </c>
    </row>
    <row r="204" spans="3:7" x14ac:dyDescent="0.25">
      <c r="C204" s="45" t="s">
        <v>223</v>
      </c>
      <c r="D204" s="32" t="s">
        <v>97</v>
      </c>
      <c r="E204" s="46">
        <f>SUM(E194:E203)</f>
        <v>91430.112500000003</v>
      </c>
      <c r="F204" s="46">
        <f>SUM(F194:F203)</f>
        <v>91430.112500000003</v>
      </c>
      <c r="G204" s="46">
        <f t="shared" si="13"/>
        <v>182860.22500000001</v>
      </c>
    </row>
    <row r="205" spans="3:7" x14ac:dyDescent="0.25">
      <c r="C205" s="31" t="s">
        <v>224</v>
      </c>
      <c r="D205" s="32" t="s">
        <v>97</v>
      </c>
      <c r="E205" s="41">
        <f>E74+E75+E76</f>
        <v>3976.2575342465752</v>
      </c>
      <c r="F205" s="41">
        <f>F74+F75+F76</f>
        <v>3976.2575342465752</v>
      </c>
      <c r="G205" s="41">
        <f t="shared" si="13"/>
        <v>7952.5150684931505</v>
      </c>
    </row>
    <row r="206" spans="3:7" x14ac:dyDescent="0.25">
      <c r="C206" s="31" t="s">
        <v>225</v>
      </c>
      <c r="D206" s="32" t="s">
        <v>97</v>
      </c>
      <c r="E206" s="41">
        <f>E9*E5</f>
        <v>2500</v>
      </c>
      <c r="F206" s="41">
        <f>F9*F5</f>
        <v>2500</v>
      </c>
      <c r="G206" s="41">
        <f t="shared" si="13"/>
        <v>5000</v>
      </c>
    </row>
    <row r="207" spans="3:7" x14ac:dyDescent="0.25">
      <c r="C207" s="31" t="s">
        <v>226</v>
      </c>
      <c r="D207" s="32" t="s">
        <v>97</v>
      </c>
      <c r="E207" s="41">
        <f>E71+E55+E77</f>
        <v>1158.2191780821918</v>
      </c>
      <c r="F207" s="41">
        <f>F71+F55+F77</f>
        <v>1158.2191780821918</v>
      </c>
      <c r="G207" s="41">
        <f t="shared" si="13"/>
        <v>2316.4383561643835</v>
      </c>
    </row>
    <row r="208" spans="3:7" x14ac:dyDescent="0.25">
      <c r="C208" s="45" t="s">
        <v>227</v>
      </c>
      <c r="D208" s="32" t="s">
        <v>97</v>
      </c>
      <c r="E208" s="46">
        <f>E204+SUM(E205:E207)</f>
        <v>99064.589212328778</v>
      </c>
      <c r="F208" s="46">
        <f>F204+SUM(F205:F207)</f>
        <v>99064.589212328778</v>
      </c>
      <c r="G208" s="46">
        <f t="shared" si="13"/>
        <v>198129.17842465756</v>
      </c>
    </row>
    <row r="210" spans="3:7" x14ac:dyDescent="0.25">
      <c r="C210" s="28" t="s">
        <v>281</v>
      </c>
      <c r="D210" s="28"/>
      <c r="E210" s="29" t="s">
        <v>4</v>
      </c>
      <c r="F210" s="29" t="s">
        <v>5</v>
      </c>
      <c r="G210" s="29" t="s">
        <v>100</v>
      </c>
    </row>
    <row r="211" spans="3:7" x14ac:dyDescent="0.25">
      <c r="C211" s="30" t="s">
        <v>282</v>
      </c>
      <c r="D211" s="30"/>
      <c r="E211" s="30"/>
      <c r="F211" s="30"/>
      <c r="G211" s="30"/>
    </row>
    <row r="212" spans="3:7" x14ac:dyDescent="0.25">
      <c r="C212" s="2" t="s">
        <v>211</v>
      </c>
      <c r="D212" s="5" t="s">
        <v>97</v>
      </c>
      <c r="E212" s="61">
        <f>E$182</f>
        <v>10281.523390992001</v>
      </c>
      <c r="F212" s="61">
        <f>F$182</f>
        <v>10281.523390992001</v>
      </c>
      <c r="G212" s="61">
        <f>E212+F212</f>
        <v>20563.046781984001</v>
      </c>
    </row>
    <row r="213" spans="3:7" x14ac:dyDescent="0.25">
      <c r="C213" s="2" t="s">
        <v>298</v>
      </c>
      <c r="D213" s="5" t="s">
        <v>97</v>
      </c>
      <c r="E213" s="61">
        <f>E$208</f>
        <v>99064.589212328778</v>
      </c>
      <c r="F213" s="61">
        <f>F$208</f>
        <v>99064.589212328778</v>
      </c>
      <c r="G213" s="61">
        <f>E213+F213</f>
        <v>198129.17842465756</v>
      </c>
    </row>
    <row r="214" spans="3:7" x14ac:dyDescent="0.25">
      <c r="C214" s="2" t="s">
        <v>283</v>
      </c>
      <c r="D214" s="5" t="s">
        <v>11</v>
      </c>
      <c r="E214" s="62">
        <f>E212/E213</f>
        <v>0.103786059910421</v>
      </c>
      <c r="F214" s="62">
        <f>F212/F213</f>
        <v>0.103786059910421</v>
      </c>
      <c r="G214" s="63">
        <f>G212/G213</f>
        <v>0.103786059910421</v>
      </c>
    </row>
    <row r="215" spans="3:7" x14ac:dyDescent="0.25">
      <c r="C215" s="2" t="s">
        <v>284</v>
      </c>
      <c r="D215" s="5" t="s">
        <v>97</v>
      </c>
      <c r="E215" s="61">
        <f>E151</f>
        <v>14532.627397260274</v>
      </c>
      <c r="F215" s="61">
        <f>F151</f>
        <v>14532.627397260274</v>
      </c>
      <c r="G215" s="61">
        <f>E215+F215</f>
        <v>29065.254794520548</v>
      </c>
    </row>
    <row r="216" spans="3:7" x14ac:dyDescent="0.25">
      <c r="C216" s="2" t="s">
        <v>201</v>
      </c>
      <c r="D216" s="5" t="s">
        <v>97</v>
      </c>
      <c r="E216" s="61">
        <f>$G287</f>
        <v>6091.7808219178087</v>
      </c>
      <c r="F216" s="61">
        <f>$G323</f>
        <v>6091.7808219178087</v>
      </c>
      <c r="G216" s="61">
        <f>E216+F216</f>
        <v>12183.561643835617</v>
      </c>
    </row>
    <row r="217" spans="3:7" x14ac:dyDescent="0.25">
      <c r="C217" s="2" t="s">
        <v>285</v>
      </c>
      <c r="D217" s="5" t="s">
        <v>97</v>
      </c>
      <c r="E217" s="61">
        <f>$G288</f>
        <v>-913.76712328767132</v>
      </c>
      <c r="F217" s="61">
        <f>$G324</f>
        <v>-913.76712328767132</v>
      </c>
      <c r="G217" s="61">
        <f>E217+F217</f>
        <v>-1827.5342465753426</v>
      </c>
    </row>
    <row r="218" spans="3:7" x14ac:dyDescent="0.25">
      <c r="C218" s="10" t="s">
        <v>286</v>
      </c>
      <c r="D218" s="64" t="s">
        <v>97</v>
      </c>
      <c r="E218" s="65">
        <f>$G289</f>
        <v>5178.0136986301377</v>
      </c>
      <c r="F218" s="65">
        <f>$G325</f>
        <v>5178.0136986301377</v>
      </c>
      <c r="G218" s="65">
        <f>E218+F218</f>
        <v>10356.027397260275</v>
      </c>
    </row>
    <row r="219" spans="3:7" x14ac:dyDescent="0.25">
      <c r="C219" s="2" t="s">
        <v>287</v>
      </c>
      <c r="D219" s="5" t="s">
        <v>11</v>
      </c>
      <c r="E219" s="62">
        <f>XIRR(X287:BG287,X$247:BG$247)</f>
        <v>0.37368940711021426</v>
      </c>
      <c r="F219" s="62">
        <f>XIRR(X323:BG323,X$247:BG$247)</f>
        <v>0.37368940711021426</v>
      </c>
      <c r="G219" s="63" cm="1">
        <f t="array" ref="G219">XIRR(X287:BG287+X323:BG323,X$247:BG$247)</f>
        <v>0.37368940711021426</v>
      </c>
    </row>
    <row r="220" spans="3:7" x14ac:dyDescent="0.25">
      <c r="C220" s="10" t="s">
        <v>288</v>
      </c>
      <c r="D220" s="64" t="s">
        <v>11</v>
      </c>
      <c r="E220" s="66">
        <f>XIRR(X289:BG289,X$247:BG$247)</f>
        <v>0.32443363070487974</v>
      </c>
      <c r="F220" s="66">
        <f>XIRR(X325:BG325,X$247:BG$247)</f>
        <v>0.32443363070487974</v>
      </c>
      <c r="G220" s="67" cm="1">
        <f t="array" ref="G220">XIRR(X289:BG289+X325:BG325,X$247:BG$247)</f>
        <v>0.32443363070487974</v>
      </c>
    </row>
    <row r="221" spans="3:7" x14ac:dyDescent="0.25">
      <c r="C221" s="2" t="s">
        <v>289</v>
      </c>
      <c r="D221" s="5" t="s">
        <v>28</v>
      </c>
      <c r="E221" s="68">
        <f>SUMIF(X289:BG289,"&gt;0")/-SUMIF(X289:BG289,"&lt;0")</f>
        <v>1.6321707592738839</v>
      </c>
      <c r="F221" s="68">
        <f>SUMIF(X325:BG325,"&gt;0")/-SUMIF(X325:BG325,"&lt;0")</f>
        <v>1.6321707592738839</v>
      </c>
      <c r="G221" s="69">
        <f>(SUMIF(X289:BG289,"&gt;0")+SUMIF(X325:BG325,"&gt;0"))/-(SUMIF(X289:BG289,"&lt;0")+SUMIF(X325:BG325,"&lt;0"))</f>
        <v>1.6321707592738839</v>
      </c>
    </row>
    <row r="222" spans="3:7" x14ac:dyDescent="0.25">
      <c r="C222" s="30" t="s">
        <v>290</v>
      </c>
      <c r="D222" s="30"/>
      <c r="E222" s="30"/>
      <c r="F222" s="30"/>
      <c r="G222" s="30"/>
    </row>
    <row r="223" spans="3:7" x14ac:dyDescent="0.25">
      <c r="C223" s="2" t="s">
        <v>211</v>
      </c>
      <c r="D223" s="5" t="s">
        <v>97</v>
      </c>
      <c r="E223" s="61">
        <f>E$182</f>
        <v>10281.523390992001</v>
      </c>
      <c r="F223" s="61">
        <f>F$182</f>
        <v>10281.523390992001</v>
      </c>
      <c r="G223" s="61">
        <f>E223+F223</f>
        <v>20563.046781984001</v>
      </c>
    </row>
    <row r="224" spans="3:7" x14ac:dyDescent="0.25">
      <c r="C224" s="2" t="s">
        <v>298</v>
      </c>
      <c r="D224" s="5" t="s">
        <v>97</v>
      </c>
      <c r="E224" s="61">
        <f>E$208</f>
        <v>99064.589212328778</v>
      </c>
      <c r="F224" s="61">
        <f>F$208</f>
        <v>99064.589212328778</v>
      </c>
      <c r="G224" s="61">
        <f>E224+F224</f>
        <v>198129.17842465756</v>
      </c>
    </row>
    <row r="225" spans="3:7" x14ac:dyDescent="0.25">
      <c r="C225" s="2" t="s">
        <v>283</v>
      </c>
      <c r="D225" s="5" t="s">
        <v>11</v>
      </c>
      <c r="E225" s="62">
        <f>E223/E224</f>
        <v>0.103786059910421</v>
      </c>
      <c r="F225" s="62">
        <f>F223/F224</f>
        <v>0.103786059910421</v>
      </c>
      <c r="G225" s="63">
        <f>G223/G224</f>
        <v>0.103786059910421</v>
      </c>
    </row>
    <row r="226" spans="3:7" x14ac:dyDescent="0.25">
      <c r="C226" s="2" t="s">
        <v>291</v>
      </c>
      <c r="D226" s="5" t="s">
        <v>97</v>
      </c>
      <c r="E226" s="61">
        <f>E185</f>
        <v>118159.14097508944</v>
      </c>
      <c r="F226" s="61">
        <f>F185</f>
        <v>118159.14097508944</v>
      </c>
      <c r="G226" s="61">
        <f>E226+F226</f>
        <v>236318.28195017888</v>
      </c>
    </row>
    <row r="227" spans="3:7" x14ac:dyDescent="0.25">
      <c r="C227" s="2" t="s">
        <v>201</v>
      </c>
      <c r="D227" s="5" t="s">
        <v>97</v>
      </c>
      <c r="E227" s="61">
        <f>$G282</f>
        <v>19094.55176276066</v>
      </c>
      <c r="F227" s="61">
        <f>$G318</f>
        <v>19094.55176276066</v>
      </c>
      <c r="G227" s="61">
        <f>E227+F227</f>
        <v>38189.103525521321</v>
      </c>
    </row>
    <row r="228" spans="3:7" x14ac:dyDescent="0.25">
      <c r="C228" s="2" t="s">
        <v>285</v>
      </c>
      <c r="D228" s="5" t="s">
        <v>97</v>
      </c>
      <c r="E228" s="61">
        <f>$G283</f>
        <v>-2864.182764414099</v>
      </c>
      <c r="F228" s="61">
        <f>$G319</f>
        <v>-2864.182764414099</v>
      </c>
      <c r="G228" s="61">
        <f>E228+F228</f>
        <v>-5728.365528828198</v>
      </c>
    </row>
    <row r="229" spans="3:7" x14ac:dyDescent="0.25">
      <c r="C229" s="10" t="s">
        <v>306</v>
      </c>
      <c r="D229" s="64" t="s">
        <v>97</v>
      </c>
      <c r="E229" s="65">
        <f>$G286</f>
        <v>16230.368998346559</v>
      </c>
      <c r="F229" s="65">
        <f>$G322</f>
        <v>16230.368998346559</v>
      </c>
      <c r="G229" s="65">
        <f>E229+F229</f>
        <v>32460.737996693118</v>
      </c>
    </row>
    <row r="230" spans="3:7" x14ac:dyDescent="0.25">
      <c r="C230" s="2" t="s">
        <v>287</v>
      </c>
      <c r="D230" s="5" t="s">
        <v>11</v>
      </c>
      <c r="E230" s="62">
        <f>XIRR(X282:BG282,X$247:BG$247)</f>
        <v>0.14503875374794009</v>
      </c>
      <c r="F230" s="62">
        <f>XIRR(X318:BG318,X$247:BG$247)</f>
        <v>0.14503875374794009</v>
      </c>
      <c r="G230" s="63" cm="1">
        <f t="array" ref="G230">XIRR(X282:BG282+X318:BG318,X$247:BG$247)</f>
        <v>0.14503875374794009</v>
      </c>
    </row>
    <row r="231" spans="3:7" x14ac:dyDescent="0.25">
      <c r="C231" s="10" t="s">
        <v>309</v>
      </c>
      <c r="D231" s="64" t="s">
        <v>11</v>
      </c>
      <c r="E231" s="66">
        <f>XIRR(X286:BG286,X$247:BG$247)</f>
        <v>0.12468754649162289</v>
      </c>
      <c r="F231" s="66">
        <f>XIRR(X322:BG322,X$247:BG$247)</f>
        <v>0.12468754649162289</v>
      </c>
      <c r="G231" s="67" cm="1">
        <f t="array" ref="G231">XIRR(X286:BG286+X322:BG322,X$247:BG$247)</f>
        <v>0.12468754649162289</v>
      </c>
    </row>
    <row r="232" spans="3:7" x14ac:dyDescent="0.25">
      <c r="C232" s="2" t="s">
        <v>310</v>
      </c>
      <c r="D232" s="5" t="s">
        <v>28</v>
      </c>
      <c r="E232" s="68">
        <f>SUMIF(X286:BG286,"&gt;0")/-SUMIF(X286:BG286,"&lt;0")</f>
        <v>1.2114336057861435</v>
      </c>
      <c r="F232" s="68">
        <f>SUMIF(X322:BG322,"&gt;0")/-SUMIF(X322:BG322,"&lt;0")</f>
        <v>1.2114336057861435</v>
      </c>
      <c r="G232" s="69">
        <f>(SUMIF(X286:BG286,"&gt;0")+SUMIF(X322:BG322,"&gt;0"))/-(SUMIF(X286:BG286,"&lt;0")+SUMIF(X322:BG322,"&lt;0"))</f>
        <v>1.2114336057861435</v>
      </c>
    </row>
    <row r="233" spans="3:7" x14ac:dyDescent="0.25">
      <c r="C233" s="30" t="s">
        <v>292</v>
      </c>
      <c r="D233" s="30"/>
      <c r="E233" s="30"/>
      <c r="F233" s="30"/>
      <c r="G233" s="30"/>
    </row>
    <row r="234" spans="3:7" x14ac:dyDescent="0.25">
      <c r="C234" s="2" t="s">
        <v>211</v>
      </c>
      <c r="D234" s="5" t="s">
        <v>97</v>
      </c>
      <c r="E234" s="61">
        <f>E$182</f>
        <v>10281.523390992001</v>
      </c>
      <c r="F234" s="61">
        <f>F$182</f>
        <v>10281.523390992001</v>
      </c>
      <c r="G234" s="61">
        <f>E234+F234</f>
        <v>20563.046781984001</v>
      </c>
    </row>
    <row r="235" spans="3:7" x14ac:dyDescent="0.25">
      <c r="C235" s="2" t="s">
        <v>298</v>
      </c>
      <c r="D235" s="5" t="s">
        <v>97</v>
      </c>
      <c r="E235" s="61">
        <f>E$208</f>
        <v>99064.589212328778</v>
      </c>
      <c r="F235" s="61">
        <f>F$208</f>
        <v>99064.589212328778</v>
      </c>
      <c r="G235" s="61">
        <f>E235+F235</f>
        <v>198129.17842465756</v>
      </c>
    </row>
    <row r="236" spans="3:7" x14ac:dyDescent="0.25">
      <c r="C236" s="2" t="s">
        <v>283</v>
      </c>
      <c r="D236" s="5" t="s">
        <v>11</v>
      </c>
      <c r="E236" s="62">
        <f>E234/E235</f>
        <v>0.103786059910421</v>
      </c>
      <c r="F236" s="62">
        <f>F234/F235</f>
        <v>0.103786059910421</v>
      </c>
      <c r="G236" s="63">
        <f>G234/G235</f>
        <v>0.103786059910421</v>
      </c>
    </row>
    <row r="237" spans="3:7" x14ac:dyDescent="0.25">
      <c r="C237" s="2" t="s">
        <v>307</v>
      </c>
      <c r="D237" s="5" t="s">
        <v>97</v>
      </c>
      <c r="E237" s="61">
        <f>XNPV(E$99,X279:BG279,X$247:BG$247)</f>
        <v>1535.9728590674463</v>
      </c>
      <c r="F237" s="61">
        <f>XNPV(F$99,X315:BG315,X$247:BG$247)</f>
        <v>1535.9728590674463</v>
      </c>
      <c r="G237" s="61">
        <f>E237+F237</f>
        <v>3071.9457181348926</v>
      </c>
    </row>
    <row r="238" spans="3:7" x14ac:dyDescent="0.25">
      <c r="C238" s="2" t="s">
        <v>293</v>
      </c>
      <c r="D238" s="5" t="s">
        <v>97</v>
      </c>
      <c r="E238" s="61">
        <f>$G276</f>
        <v>218907.93650373042</v>
      </c>
      <c r="F238" s="61">
        <f>$G312</f>
        <v>218907.93650373042</v>
      </c>
      <c r="G238" s="61">
        <f>E238+F238</f>
        <v>437815.87300746085</v>
      </c>
    </row>
    <row r="239" spans="3:7" x14ac:dyDescent="0.25">
      <c r="C239" s="2" t="s">
        <v>294</v>
      </c>
      <c r="D239" s="5" t="s">
        <v>97</v>
      </c>
      <c r="E239" s="61">
        <f>$G275</f>
        <v>-32978.952975559565</v>
      </c>
      <c r="F239" s="61">
        <f>$G311</f>
        <v>-32978.952975559565</v>
      </c>
      <c r="G239" s="61">
        <f>E239+F239</f>
        <v>-65957.90595111913</v>
      </c>
    </row>
    <row r="240" spans="3:7" x14ac:dyDescent="0.25">
      <c r="C240" s="10" t="s">
        <v>308</v>
      </c>
      <c r="D240" s="64" t="s">
        <v>97</v>
      </c>
      <c r="E240" s="65">
        <f>$G279</f>
        <v>185928.98352817085</v>
      </c>
      <c r="F240" s="65">
        <f>$G315</f>
        <v>185928.98352817085</v>
      </c>
      <c r="G240" s="65">
        <f>E240+F240</f>
        <v>371857.9670563417</v>
      </c>
    </row>
    <row r="241" spans="2:59" x14ac:dyDescent="0.25">
      <c r="C241" s="2" t="s">
        <v>295</v>
      </c>
      <c r="D241" s="5" t="s">
        <v>11</v>
      </c>
      <c r="E241" s="62">
        <f>XIRR(X276:BG276,X$247:BG$247)</f>
        <v>9.1354814171791102E-2</v>
      </c>
      <c r="F241" s="62">
        <f>XIRR(X312:BG312,X$247:BG$247)</f>
        <v>9.1354814171791102E-2</v>
      </c>
      <c r="G241" s="63" cm="1">
        <f t="array" ref="G241">XIRR(X276:BG276+X312:BG312,X$247:BG$247)</f>
        <v>9.1354814171791102E-2</v>
      </c>
    </row>
    <row r="242" spans="2:59" x14ac:dyDescent="0.25">
      <c r="C242" s="10" t="s">
        <v>309</v>
      </c>
      <c r="D242" s="64" t="s">
        <v>11</v>
      </c>
      <c r="E242" s="66">
        <f>XIRR(X279:BG279,X$247:BG$247)</f>
        <v>8.2013425230979931E-2</v>
      </c>
      <c r="F242" s="66">
        <f>XIRR(X315:BG315,X$247:BG$247)</f>
        <v>8.2013425230979931E-2</v>
      </c>
      <c r="G242" s="67" cm="1">
        <f t="array" ref="G242">XIRR(X279:BG279+X315:BG315,X$247:BG$247)</f>
        <v>8.2013425230979931E-2</v>
      </c>
    </row>
    <row r="243" spans="2:59" x14ac:dyDescent="0.25">
      <c r="C243" s="2" t="s">
        <v>310</v>
      </c>
      <c r="D243" s="5" t="s">
        <v>28</v>
      </c>
      <c r="E243" s="68">
        <f>SUMIF(X279:BG279,"&gt;0")/-SUMIF(X279:BG279,"&lt;0")</f>
        <v>2.9086703902042714</v>
      </c>
      <c r="F243" s="68">
        <f>SUMIF(X315:BG315,"&gt;0")/-SUMIF(X315:BG315,"&lt;0")</f>
        <v>2.9086703902042714</v>
      </c>
      <c r="G243" s="69">
        <f>(SUMIF(X279:BG279,"&gt;0")+SUMIF(X315:BG315,"&gt;0"))/-(SUMIF(X279:BG279,"&lt;0")+SUMIF(X315:BG315,"&lt;0"))</f>
        <v>2.9086703902042714</v>
      </c>
    </row>
    <row r="245" spans="2:59" x14ac:dyDescent="0.25">
      <c r="B245" s="28"/>
      <c r="C245" s="28" t="s">
        <v>228</v>
      </c>
      <c r="D245" s="28"/>
      <c r="E245" s="29" t="s">
        <v>229</v>
      </c>
      <c r="F245" s="29"/>
      <c r="G245" s="29" t="s">
        <v>100</v>
      </c>
      <c r="H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8"/>
      <c r="BD245" s="29"/>
      <c r="BE245" s="29"/>
      <c r="BF245" s="29"/>
      <c r="BG245" s="29"/>
    </row>
    <row r="246" spans="2:59" x14ac:dyDescent="0.25">
      <c r="C246" s="31" t="s">
        <v>230</v>
      </c>
      <c r="D246" s="32" t="s">
        <v>231</v>
      </c>
      <c r="E246" s="43">
        <f>YEAR($E$34)</f>
        <v>2026</v>
      </c>
      <c r="X246" s="43">
        <f t="shared" ref="X246:BG246" si="14">$E246+COLUMN()-COLUMN($X$1)</f>
        <v>2026</v>
      </c>
      <c r="Y246" s="43">
        <f t="shared" si="14"/>
        <v>2027</v>
      </c>
      <c r="Z246" s="43">
        <f t="shared" si="14"/>
        <v>2028</v>
      </c>
      <c r="AA246" s="43">
        <f t="shared" si="14"/>
        <v>2029</v>
      </c>
      <c r="AB246" s="43">
        <f t="shared" si="14"/>
        <v>2030</v>
      </c>
      <c r="AC246" s="43">
        <f t="shared" si="14"/>
        <v>2031</v>
      </c>
      <c r="AD246" s="43">
        <f t="shared" si="14"/>
        <v>2032</v>
      </c>
      <c r="AE246" s="43">
        <f t="shared" si="14"/>
        <v>2033</v>
      </c>
      <c r="AF246" s="43">
        <f t="shared" si="14"/>
        <v>2034</v>
      </c>
      <c r="AG246" s="43">
        <f t="shared" si="14"/>
        <v>2035</v>
      </c>
      <c r="AH246" s="43">
        <f t="shared" si="14"/>
        <v>2036</v>
      </c>
      <c r="AI246" s="43">
        <f t="shared" si="14"/>
        <v>2037</v>
      </c>
      <c r="AJ246" s="43">
        <f t="shared" si="14"/>
        <v>2038</v>
      </c>
      <c r="AK246" s="43">
        <f t="shared" si="14"/>
        <v>2039</v>
      </c>
      <c r="AL246" s="43">
        <f t="shared" si="14"/>
        <v>2040</v>
      </c>
      <c r="AM246" s="43">
        <f t="shared" si="14"/>
        <v>2041</v>
      </c>
      <c r="AN246" s="43">
        <f t="shared" si="14"/>
        <v>2042</v>
      </c>
      <c r="AO246" s="43">
        <f t="shared" si="14"/>
        <v>2043</v>
      </c>
      <c r="AP246" s="43">
        <f t="shared" si="14"/>
        <v>2044</v>
      </c>
      <c r="AQ246" s="43">
        <f t="shared" si="14"/>
        <v>2045</v>
      </c>
      <c r="AR246" s="43">
        <f t="shared" si="14"/>
        <v>2046</v>
      </c>
      <c r="AS246" s="43">
        <f t="shared" si="14"/>
        <v>2047</v>
      </c>
      <c r="AT246" s="43">
        <f t="shared" si="14"/>
        <v>2048</v>
      </c>
      <c r="AU246" s="43">
        <f t="shared" si="14"/>
        <v>2049</v>
      </c>
      <c r="AV246" s="43">
        <f t="shared" si="14"/>
        <v>2050</v>
      </c>
      <c r="AW246" s="43">
        <f t="shared" si="14"/>
        <v>2051</v>
      </c>
      <c r="AX246" s="43">
        <f t="shared" si="14"/>
        <v>2052</v>
      </c>
      <c r="AY246" s="43">
        <f t="shared" si="14"/>
        <v>2053</v>
      </c>
      <c r="AZ246" s="43">
        <f t="shared" si="14"/>
        <v>2054</v>
      </c>
      <c r="BA246" s="43">
        <f t="shared" si="14"/>
        <v>2055</v>
      </c>
      <c r="BB246" s="43">
        <f t="shared" si="14"/>
        <v>2056</v>
      </c>
      <c r="BC246" s="43">
        <f t="shared" si="14"/>
        <v>2057</v>
      </c>
      <c r="BD246" s="43">
        <f t="shared" si="14"/>
        <v>2058</v>
      </c>
      <c r="BE246" s="43">
        <f t="shared" si="14"/>
        <v>2059</v>
      </c>
      <c r="BF246" s="43">
        <f t="shared" si="14"/>
        <v>2060</v>
      </c>
      <c r="BG246" s="43">
        <f t="shared" si="14"/>
        <v>2061</v>
      </c>
    </row>
    <row r="247" spans="2:59" x14ac:dyDescent="0.25">
      <c r="C247" s="31" t="s">
        <v>232</v>
      </c>
      <c r="D247" s="32" t="s">
        <v>71</v>
      </c>
      <c r="X247" s="40">
        <f t="shared" ref="X247:BG247" si="15">DATE(X246+1,1,1)-1</f>
        <v>46387</v>
      </c>
      <c r="Y247" s="40">
        <f t="shared" si="15"/>
        <v>46752</v>
      </c>
      <c r="Z247" s="40">
        <f t="shared" si="15"/>
        <v>47118</v>
      </c>
      <c r="AA247" s="40">
        <f t="shared" si="15"/>
        <v>47483</v>
      </c>
      <c r="AB247" s="40">
        <f t="shared" si="15"/>
        <v>47848</v>
      </c>
      <c r="AC247" s="40">
        <f t="shared" si="15"/>
        <v>48213</v>
      </c>
      <c r="AD247" s="40">
        <f t="shared" si="15"/>
        <v>48579</v>
      </c>
      <c r="AE247" s="40">
        <f t="shared" si="15"/>
        <v>48944</v>
      </c>
      <c r="AF247" s="40">
        <f t="shared" si="15"/>
        <v>49309</v>
      </c>
      <c r="AG247" s="40">
        <f t="shared" si="15"/>
        <v>49674</v>
      </c>
      <c r="AH247" s="40">
        <f t="shared" si="15"/>
        <v>50040</v>
      </c>
      <c r="AI247" s="40">
        <f t="shared" si="15"/>
        <v>50405</v>
      </c>
      <c r="AJ247" s="40">
        <f t="shared" si="15"/>
        <v>50770</v>
      </c>
      <c r="AK247" s="40">
        <f t="shared" si="15"/>
        <v>51135</v>
      </c>
      <c r="AL247" s="40">
        <f t="shared" si="15"/>
        <v>51501</v>
      </c>
      <c r="AM247" s="40">
        <f t="shared" si="15"/>
        <v>51866</v>
      </c>
      <c r="AN247" s="40">
        <f t="shared" si="15"/>
        <v>52231</v>
      </c>
      <c r="AO247" s="40">
        <f t="shared" si="15"/>
        <v>52596</v>
      </c>
      <c r="AP247" s="40">
        <f t="shared" si="15"/>
        <v>52962</v>
      </c>
      <c r="AQ247" s="40">
        <f t="shared" si="15"/>
        <v>53327</v>
      </c>
      <c r="AR247" s="40">
        <f t="shared" si="15"/>
        <v>53692</v>
      </c>
      <c r="AS247" s="40">
        <f t="shared" si="15"/>
        <v>54057</v>
      </c>
      <c r="AT247" s="40">
        <f t="shared" si="15"/>
        <v>54423</v>
      </c>
      <c r="AU247" s="40">
        <f t="shared" si="15"/>
        <v>54788</v>
      </c>
      <c r="AV247" s="40">
        <f t="shared" si="15"/>
        <v>55153</v>
      </c>
      <c r="AW247" s="40">
        <f t="shared" si="15"/>
        <v>55518</v>
      </c>
      <c r="AX247" s="40">
        <f t="shared" si="15"/>
        <v>55884</v>
      </c>
      <c r="AY247" s="40">
        <f t="shared" si="15"/>
        <v>56249</v>
      </c>
      <c r="AZ247" s="40">
        <f t="shared" si="15"/>
        <v>56614</v>
      </c>
      <c r="BA247" s="40">
        <f t="shared" si="15"/>
        <v>56979</v>
      </c>
      <c r="BB247" s="40">
        <f t="shared" si="15"/>
        <v>57345</v>
      </c>
      <c r="BC247" s="40">
        <f t="shared" si="15"/>
        <v>57710</v>
      </c>
      <c r="BD247" s="40">
        <f t="shared" si="15"/>
        <v>58075</v>
      </c>
      <c r="BE247" s="40">
        <f t="shared" si="15"/>
        <v>58440</v>
      </c>
      <c r="BF247" s="40">
        <f t="shared" si="15"/>
        <v>58806</v>
      </c>
      <c r="BG247" s="40">
        <f t="shared" si="15"/>
        <v>59171</v>
      </c>
    </row>
    <row r="248" spans="2:59" x14ac:dyDescent="0.25">
      <c r="C248" s="31" t="s">
        <v>233</v>
      </c>
      <c r="D248" s="32" t="s">
        <v>122</v>
      </c>
      <c r="X248" s="43">
        <f t="shared" ref="X248:BG248" si="16">X246-YEAR($E$41)</f>
        <v>-5</v>
      </c>
      <c r="Y248" s="43">
        <f t="shared" si="16"/>
        <v>-4</v>
      </c>
      <c r="Z248" s="43">
        <f t="shared" si="16"/>
        <v>-3</v>
      </c>
      <c r="AA248" s="43">
        <f t="shared" si="16"/>
        <v>-2</v>
      </c>
      <c r="AB248" s="43">
        <f t="shared" si="16"/>
        <v>-1</v>
      </c>
      <c r="AC248" s="43">
        <f t="shared" si="16"/>
        <v>0</v>
      </c>
      <c r="AD248" s="43">
        <f t="shared" si="16"/>
        <v>1</v>
      </c>
      <c r="AE248" s="43">
        <f t="shared" si="16"/>
        <v>2</v>
      </c>
      <c r="AF248" s="43">
        <f t="shared" si="16"/>
        <v>3</v>
      </c>
      <c r="AG248" s="43">
        <f t="shared" si="16"/>
        <v>4</v>
      </c>
      <c r="AH248" s="43">
        <f t="shared" si="16"/>
        <v>5</v>
      </c>
      <c r="AI248" s="43">
        <f t="shared" si="16"/>
        <v>6</v>
      </c>
      <c r="AJ248" s="43">
        <f t="shared" si="16"/>
        <v>7</v>
      </c>
      <c r="AK248" s="43">
        <f t="shared" si="16"/>
        <v>8</v>
      </c>
      <c r="AL248" s="43">
        <f t="shared" si="16"/>
        <v>9</v>
      </c>
      <c r="AM248" s="43">
        <f t="shared" si="16"/>
        <v>10</v>
      </c>
      <c r="AN248" s="43">
        <f t="shared" si="16"/>
        <v>11</v>
      </c>
      <c r="AO248" s="43">
        <f t="shared" si="16"/>
        <v>12</v>
      </c>
      <c r="AP248" s="43">
        <f t="shared" si="16"/>
        <v>13</v>
      </c>
      <c r="AQ248" s="43">
        <f t="shared" si="16"/>
        <v>14</v>
      </c>
      <c r="AR248" s="43">
        <f t="shared" si="16"/>
        <v>15</v>
      </c>
      <c r="AS248" s="43">
        <f t="shared" si="16"/>
        <v>16</v>
      </c>
      <c r="AT248" s="43">
        <f t="shared" si="16"/>
        <v>17</v>
      </c>
      <c r="AU248" s="43">
        <f t="shared" si="16"/>
        <v>18</v>
      </c>
      <c r="AV248" s="43">
        <f t="shared" si="16"/>
        <v>19</v>
      </c>
      <c r="AW248" s="43">
        <f t="shared" si="16"/>
        <v>20</v>
      </c>
      <c r="AX248" s="43">
        <f t="shared" si="16"/>
        <v>21</v>
      </c>
      <c r="AY248" s="43">
        <f t="shared" si="16"/>
        <v>22</v>
      </c>
      <c r="AZ248" s="43">
        <f t="shared" si="16"/>
        <v>23</v>
      </c>
      <c r="BA248" s="43">
        <f t="shared" si="16"/>
        <v>24</v>
      </c>
      <c r="BB248" s="43">
        <f t="shared" si="16"/>
        <v>25</v>
      </c>
      <c r="BC248" s="43">
        <f t="shared" si="16"/>
        <v>26</v>
      </c>
      <c r="BD248" s="43">
        <f t="shared" si="16"/>
        <v>27</v>
      </c>
      <c r="BE248" s="43">
        <f t="shared" si="16"/>
        <v>28</v>
      </c>
      <c r="BF248" s="43">
        <f t="shared" si="16"/>
        <v>29</v>
      </c>
      <c r="BG248" s="43">
        <f t="shared" si="16"/>
        <v>30</v>
      </c>
    </row>
    <row r="249" spans="2:59" x14ac:dyDescent="0.25">
      <c r="C249" s="31" t="s">
        <v>234</v>
      </c>
      <c r="D249" s="32" t="s">
        <v>124</v>
      </c>
      <c r="E249" s="43">
        <f>DATEDIF($E$40,$E$41,"m")</f>
        <v>24</v>
      </c>
      <c r="X249" s="43">
        <f t="shared" ref="X249:BG249" si="17">(X246+1-YEAR($E$40))*Months_In_Year-MONTH($E$40)</f>
        <v>-30</v>
      </c>
      <c r="Y249" s="43">
        <f t="shared" si="17"/>
        <v>-18</v>
      </c>
      <c r="Z249" s="43">
        <f t="shared" si="17"/>
        <v>-6</v>
      </c>
      <c r="AA249" s="43">
        <f t="shared" si="17"/>
        <v>6</v>
      </c>
      <c r="AB249" s="43">
        <f t="shared" si="17"/>
        <v>18</v>
      </c>
      <c r="AC249" s="43">
        <f t="shared" si="17"/>
        <v>30</v>
      </c>
      <c r="AD249" s="43">
        <f t="shared" si="17"/>
        <v>42</v>
      </c>
      <c r="AE249" s="43">
        <f t="shared" si="17"/>
        <v>54</v>
      </c>
      <c r="AF249" s="43">
        <f t="shared" si="17"/>
        <v>66</v>
      </c>
      <c r="AG249" s="43">
        <f t="shared" si="17"/>
        <v>78</v>
      </c>
      <c r="AH249" s="43">
        <f t="shared" si="17"/>
        <v>90</v>
      </c>
      <c r="AI249" s="43">
        <f t="shared" si="17"/>
        <v>102</v>
      </c>
      <c r="AJ249" s="43">
        <f t="shared" si="17"/>
        <v>114</v>
      </c>
      <c r="AK249" s="43">
        <f t="shared" si="17"/>
        <v>126</v>
      </c>
      <c r="AL249" s="43">
        <f t="shared" si="17"/>
        <v>138</v>
      </c>
      <c r="AM249" s="43">
        <f t="shared" si="17"/>
        <v>150</v>
      </c>
      <c r="AN249" s="43">
        <f t="shared" si="17"/>
        <v>162</v>
      </c>
      <c r="AO249" s="43">
        <f t="shared" si="17"/>
        <v>174</v>
      </c>
      <c r="AP249" s="43">
        <f t="shared" si="17"/>
        <v>186</v>
      </c>
      <c r="AQ249" s="43">
        <f t="shared" si="17"/>
        <v>198</v>
      </c>
      <c r="AR249" s="43">
        <f t="shared" si="17"/>
        <v>210</v>
      </c>
      <c r="AS249" s="43">
        <f t="shared" si="17"/>
        <v>222</v>
      </c>
      <c r="AT249" s="43">
        <f t="shared" si="17"/>
        <v>234</v>
      </c>
      <c r="AU249" s="43">
        <f t="shared" si="17"/>
        <v>246</v>
      </c>
      <c r="AV249" s="43">
        <f t="shared" si="17"/>
        <v>258</v>
      </c>
      <c r="AW249" s="43">
        <f t="shared" si="17"/>
        <v>270</v>
      </c>
      <c r="AX249" s="43">
        <f t="shared" si="17"/>
        <v>282</v>
      </c>
      <c r="AY249" s="43">
        <f t="shared" si="17"/>
        <v>294</v>
      </c>
      <c r="AZ249" s="43">
        <f t="shared" si="17"/>
        <v>306</v>
      </c>
      <c r="BA249" s="43">
        <f t="shared" si="17"/>
        <v>318</v>
      </c>
      <c r="BB249" s="43">
        <f t="shared" si="17"/>
        <v>330</v>
      </c>
      <c r="BC249" s="43">
        <f t="shared" si="17"/>
        <v>342</v>
      </c>
      <c r="BD249" s="43">
        <f t="shared" si="17"/>
        <v>354</v>
      </c>
      <c r="BE249" s="43">
        <f t="shared" si="17"/>
        <v>366</v>
      </c>
      <c r="BF249" s="43">
        <f t="shared" si="17"/>
        <v>378</v>
      </c>
      <c r="BG249" s="43">
        <f t="shared" si="17"/>
        <v>390</v>
      </c>
    </row>
    <row r="250" spans="2:59" x14ac:dyDescent="0.25">
      <c r="C250" s="31" t="s">
        <v>235</v>
      </c>
      <c r="D250" s="32" t="s">
        <v>11</v>
      </c>
      <c r="G250" s="51">
        <f>SUM(X250:BG250)</f>
        <v>1</v>
      </c>
      <c r="X250" s="42">
        <f t="shared" ref="X250:BG250" si="18">MAX(0,MIN(X249,$E249)-MAX(X249-Months_In_Year,0))/$E249</f>
        <v>0</v>
      </c>
      <c r="Y250" s="42">
        <f t="shared" si="18"/>
        <v>0</v>
      </c>
      <c r="Z250" s="42">
        <f t="shared" si="18"/>
        <v>0</v>
      </c>
      <c r="AA250" s="42">
        <f t="shared" si="18"/>
        <v>0.25</v>
      </c>
      <c r="AB250" s="42">
        <f t="shared" si="18"/>
        <v>0.5</v>
      </c>
      <c r="AC250" s="42">
        <f t="shared" si="18"/>
        <v>0.25</v>
      </c>
      <c r="AD250" s="42">
        <f t="shared" si="18"/>
        <v>0</v>
      </c>
      <c r="AE250" s="42">
        <f t="shared" si="18"/>
        <v>0</v>
      </c>
      <c r="AF250" s="42">
        <f t="shared" si="18"/>
        <v>0</v>
      </c>
      <c r="AG250" s="42">
        <f t="shared" si="18"/>
        <v>0</v>
      </c>
      <c r="AH250" s="42">
        <f t="shared" si="18"/>
        <v>0</v>
      </c>
      <c r="AI250" s="42">
        <f t="shared" si="18"/>
        <v>0</v>
      </c>
      <c r="AJ250" s="42">
        <f t="shared" si="18"/>
        <v>0</v>
      </c>
      <c r="AK250" s="42">
        <f t="shared" si="18"/>
        <v>0</v>
      </c>
      <c r="AL250" s="42">
        <f t="shared" si="18"/>
        <v>0</v>
      </c>
      <c r="AM250" s="42">
        <f t="shared" si="18"/>
        <v>0</v>
      </c>
      <c r="AN250" s="42">
        <f t="shared" si="18"/>
        <v>0</v>
      </c>
      <c r="AO250" s="42">
        <f t="shared" si="18"/>
        <v>0</v>
      </c>
      <c r="AP250" s="42">
        <f t="shared" si="18"/>
        <v>0</v>
      </c>
      <c r="AQ250" s="42">
        <f t="shared" si="18"/>
        <v>0</v>
      </c>
      <c r="AR250" s="42">
        <f t="shared" si="18"/>
        <v>0</v>
      </c>
      <c r="AS250" s="42">
        <f t="shared" si="18"/>
        <v>0</v>
      </c>
      <c r="AT250" s="42">
        <f t="shared" si="18"/>
        <v>0</v>
      </c>
      <c r="AU250" s="42">
        <f t="shared" si="18"/>
        <v>0</v>
      </c>
      <c r="AV250" s="42">
        <f t="shared" si="18"/>
        <v>0</v>
      </c>
      <c r="AW250" s="42">
        <f t="shared" si="18"/>
        <v>0</v>
      </c>
      <c r="AX250" s="42">
        <f t="shared" si="18"/>
        <v>0</v>
      </c>
      <c r="AY250" s="42">
        <f t="shared" si="18"/>
        <v>0</v>
      </c>
      <c r="AZ250" s="42">
        <f t="shared" si="18"/>
        <v>0</v>
      </c>
      <c r="BA250" s="42">
        <f t="shared" si="18"/>
        <v>0</v>
      </c>
      <c r="BB250" s="42">
        <f t="shared" si="18"/>
        <v>0</v>
      </c>
      <c r="BC250" s="42">
        <f t="shared" si="18"/>
        <v>0</v>
      </c>
      <c r="BD250" s="42">
        <f t="shared" si="18"/>
        <v>0</v>
      </c>
      <c r="BE250" s="42">
        <f t="shared" si="18"/>
        <v>0</v>
      </c>
      <c r="BF250" s="42">
        <f t="shared" si="18"/>
        <v>0</v>
      </c>
      <c r="BG250" s="42">
        <f t="shared" si="18"/>
        <v>0</v>
      </c>
    </row>
    <row r="251" spans="2:59" x14ac:dyDescent="0.25">
      <c r="C251" s="31" t="s">
        <v>236</v>
      </c>
      <c r="D251" s="32" t="s">
        <v>124</v>
      </c>
      <c r="E251" s="43">
        <f>$E$90*Months_In_Year</f>
        <v>360</v>
      </c>
      <c r="X251" s="43">
        <f t="shared" ref="X251:BG251" si="19">(X246+1-YEAR($E$41))*Months_In_Year-MONTH($E$41)</f>
        <v>-54</v>
      </c>
      <c r="Y251" s="43">
        <f t="shared" si="19"/>
        <v>-42</v>
      </c>
      <c r="Z251" s="43">
        <f t="shared" si="19"/>
        <v>-30</v>
      </c>
      <c r="AA251" s="43">
        <f t="shared" si="19"/>
        <v>-18</v>
      </c>
      <c r="AB251" s="43">
        <f t="shared" si="19"/>
        <v>-6</v>
      </c>
      <c r="AC251" s="43">
        <f t="shared" si="19"/>
        <v>6</v>
      </c>
      <c r="AD251" s="43">
        <f t="shared" si="19"/>
        <v>18</v>
      </c>
      <c r="AE251" s="43">
        <f t="shared" si="19"/>
        <v>30</v>
      </c>
      <c r="AF251" s="43">
        <f t="shared" si="19"/>
        <v>42</v>
      </c>
      <c r="AG251" s="43">
        <f t="shared" si="19"/>
        <v>54</v>
      </c>
      <c r="AH251" s="43">
        <f t="shared" si="19"/>
        <v>66</v>
      </c>
      <c r="AI251" s="43">
        <f t="shared" si="19"/>
        <v>78</v>
      </c>
      <c r="AJ251" s="43">
        <f t="shared" si="19"/>
        <v>90</v>
      </c>
      <c r="AK251" s="43">
        <f t="shared" si="19"/>
        <v>102</v>
      </c>
      <c r="AL251" s="43">
        <f t="shared" si="19"/>
        <v>114</v>
      </c>
      <c r="AM251" s="43">
        <f t="shared" si="19"/>
        <v>126</v>
      </c>
      <c r="AN251" s="43">
        <f t="shared" si="19"/>
        <v>138</v>
      </c>
      <c r="AO251" s="43">
        <f t="shared" si="19"/>
        <v>150</v>
      </c>
      <c r="AP251" s="43">
        <f t="shared" si="19"/>
        <v>162</v>
      </c>
      <c r="AQ251" s="43">
        <f t="shared" si="19"/>
        <v>174</v>
      </c>
      <c r="AR251" s="43">
        <f t="shared" si="19"/>
        <v>186</v>
      </c>
      <c r="AS251" s="43">
        <f t="shared" si="19"/>
        <v>198</v>
      </c>
      <c r="AT251" s="43">
        <f t="shared" si="19"/>
        <v>210</v>
      </c>
      <c r="AU251" s="43">
        <f t="shared" si="19"/>
        <v>222</v>
      </c>
      <c r="AV251" s="43">
        <f t="shared" si="19"/>
        <v>234</v>
      </c>
      <c r="AW251" s="43">
        <f t="shared" si="19"/>
        <v>246</v>
      </c>
      <c r="AX251" s="43">
        <f t="shared" si="19"/>
        <v>258</v>
      </c>
      <c r="AY251" s="43">
        <f t="shared" si="19"/>
        <v>270</v>
      </c>
      <c r="AZ251" s="43">
        <f t="shared" si="19"/>
        <v>282</v>
      </c>
      <c r="BA251" s="43">
        <f t="shared" si="19"/>
        <v>294</v>
      </c>
      <c r="BB251" s="43">
        <f t="shared" si="19"/>
        <v>306</v>
      </c>
      <c r="BC251" s="43">
        <f t="shared" si="19"/>
        <v>318</v>
      </c>
      <c r="BD251" s="43">
        <f t="shared" si="19"/>
        <v>330</v>
      </c>
      <c r="BE251" s="43">
        <f t="shared" si="19"/>
        <v>342</v>
      </c>
      <c r="BF251" s="43">
        <f t="shared" si="19"/>
        <v>354</v>
      </c>
      <c r="BG251" s="43">
        <f t="shared" si="19"/>
        <v>366</v>
      </c>
    </row>
    <row r="252" spans="2:59" x14ac:dyDescent="0.25">
      <c r="C252" s="31" t="s">
        <v>237</v>
      </c>
      <c r="D252" s="32" t="s">
        <v>11</v>
      </c>
      <c r="G252" s="51">
        <f>SUM(X252:BG252)</f>
        <v>30</v>
      </c>
      <c r="X252" s="42">
        <f t="shared" ref="X252:BG252" si="20">MAX(0,MIN(X251,$E251)-MAX(X251-Months_In_Year,0))/Months_In_Year</f>
        <v>0</v>
      </c>
      <c r="Y252" s="42">
        <f t="shared" si="20"/>
        <v>0</v>
      </c>
      <c r="Z252" s="42">
        <f t="shared" si="20"/>
        <v>0</v>
      </c>
      <c r="AA252" s="42">
        <f t="shared" si="20"/>
        <v>0</v>
      </c>
      <c r="AB252" s="42">
        <f t="shared" si="20"/>
        <v>0</v>
      </c>
      <c r="AC252" s="42">
        <f t="shared" si="20"/>
        <v>0.5</v>
      </c>
      <c r="AD252" s="42">
        <f t="shared" si="20"/>
        <v>1</v>
      </c>
      <c r="AE252" s="42">
        <f t="shared" si="20"/>
        <v>1</v>
      </c>
      <c r="AF252" s="42">
        <f t="shared" si="20"/>
        <v>1</v>
      </c>
      <c r="AG252" s="42">
        <f t="shared" si="20"/>
        <v>1</v>
      </c>
      <c r="AH252" s="42">
        <f t="shared" si="20"/>
        <v>1</v>
      </c>
      <c r="AI252" s="42">
        <f t="shared" si="20"/>
        <v>1</v>
      </c>
      <c r="AJ252" s="42">
        <f t="shared" si="20"/>
        <v>1</v>
      </c>
      <c r="AK252" s="42">
        <f t="shared" si="20"/>
        <v>1</v>
      </c>
      <c r="AL252" s="42">
        <f t="shared" si="20"/>
        <v>1</v>
      </c>
      <c r="AM252" s="42">
        <f t="shared" si="20"/>
        <v>1</v>
      </c>
      <c r="AN252" s="42">
        <f t="shared" si="20"/>
        <v>1</v>
      </c>
      <c r="AO252" s="42">
        <f t="shared" si="20"/>
        <v>1</v>
      </c>
      <c r="AP252" s="42">
        <f t="shared" si="20"/>
        <v>1</v>
      </c>
      <c r="AQ252" s="42">
        <f t="shared" si="20"/>
        <v>1</v>
      </c>
      <c r="AR252" s="42">
        <f t="shared" si="20"/>
        <v>1</v>
      </c>
      <c r="AS252" s="42">
        <f t="shared" si="20"/>
        <v>1</v>
      </c>
      <c r="AT252" s="42">
        <f t="shared" si="20"/>
        <v>1</v>
      </c>
      <c r="AU252" s="42">
        <f t="shared" si="20"/>
        <v>1</v>
      </c>
      <c r="AV252" s="42">
        <f t="shared" si="20"/>
        <v>1</v>
      </c>
      <c r="AW252" s="42">
        <f t="shared" si="20"/>
        <v>1</v>
      </c>
      <c r="AX252" s="42">
        <f t="shared" si="20"/>
        <v>1</v>
      </c>
      <c r="AY252" s="42">
        <f t="shared" si="20"/>
        <v>1</v>
      </c>
      <c r="AZ252" s="42">
        <f t="shared" si="20"/>
        <v>1</v>
      </c>
      <c r="BA252" s="42">
        <f t="shared" si="20"/>
        <v>1</v>
      </c>
      <c r="BB252" s="42">
        <f t="shared" si="20"/>
        <v>1</v>
      </c>
      <c r="BC252" s="42">
        <f t="shared" si="20"/>
        <v>1</v>
      </c>
      <c r="BD252" s="42">
        <f t="shared" si="20"/>
        <v>1</v>
      </c>
      <c r="BE252" s="42">
        <f t="shared" si="20"/>
        <v>1</v>
      </c>
      <c r="BF252" s="42">
        <f t="shared" si="20"/>
        <v>1</v>
      </c>
      <c r="BG252" s="42">
        <f t="shared" si="20"/>
        <v>0.5</v>
      </c>
    </row>
    <row r="253" spans="2:59" x14ac:dyDescent="0.25">
      <c r="C253" s="31" t="s">
        <v>238</v>
      </c>
      <c r="D253" s="32" t="s">
        <v>25</v>
      </c>
      <c r="X253" s="52">
        <f t="shared" ref="X253:BG253" si="21">N(X248=0)</f>
        <v>0</v>
      </c>
      <c r="Y253" s="52">
        <f t="shared" si="21"/>
        <v>0</v>
      </c>
      <c r="Z253" s="52">
        <f t="shared" si="21"/>
        <v>0</v>
      </c>
      <c r="AA253" s="52">
        <f t="shared" si="21"/>
        <v>0</v>
      </c>
      <c r="AB253" s="52">
        <f t="shared" si="21"/>
        <v>0</v>
      </c>
      <c r="AC253" s="52">
        <f t="shared" si="21"/>
        <v>1</v>
      </c>
      <c r="AD253" s="52">
        <f t="shared" si="21"/>
        <v>0</v>
      </c>
      <c r="AE253" s="52">
        <f t="shared" si="21"/>
        <v>0</v>
      </c>
      <c r="AF253" s="52">
        <f t="shared" si="21"/>
        <v>0</v>
      </c>
      <c r="AG253" s="52">
        <f t="shared" si="21"/>
        <v>0</v>
      </c>
      <c r="AH253" s="52">
        <f t="shared" si="21"/>
        <v>0</v>
      </c>
      <c r="AI253" s="52">
        <f t="shared" si="21"/>
        <v>0</v>
      </c>
      <c r="AJ253" s="52">
        <f t="shared" si="21"/>
        <v>0</v>
      </c>
      <c r="AK253" s="52">
        <f t="shared" si="21"/>
        <v>0</v>
      </c>
      <c r="AL253" s="52">
        <f t="shared" si="21"/>
        <v>0</v>
      </c>
      <c r="AM253" s="52">
        <f t="shared" si="21"/>
        <v>0</v>
      </c>
      <c r="AN253" s="52">
        <f t="shared" si="21"/>
        <v>0</v>
      </c>
      <c r="AO253" s="52">
        <f t="shared" si="21"/>
        <v>0</v>
      </c>
      <c r="AP253" s="52">
        <f t="shared" si="21"/>
        <v>0</v>
      </c>
      <c r="AQ253" s="52">
        <f t="shared" si="21"/>
        <v>0</v>
      </c>
      <c r="AR253" s="52">
        <f t="shared" si="21"/>
        <v>0</v>
      </c>
      <c r="AS253" s="52">
        <f t="shared" si="21"/>
        <v>0</v>
      </c>
      <c r="AT253" s="52">
        <f t="shared" si="21"/>
        <v>0</v>
      </c>
      <c r="AU253" s="52">
        <f t="shared" si="21"/>
        <v>0</v>
      </c>
      <c r="AV253" s="52">
        <f t="shared" si="21"/>
        <v>0</v>
      </c>
      <c r="AW253" s="52">
        <f t="shared" si="21"/>
        <v>0</v>
      </c>
      <c r="AX253" s="52">
        <f t="shared" si="21"/>
        <v>0</v>
      </c>
      <c r="AY253" s="52">
        <f t="shared" si="21"/>
        <v>0</v>
      </c>
      <c r="AZ253" s="52">
        <f t="shared" si="21"/>
        <v>0</v>
      </c>
      <c r="BA253" s="52">
        <f t="shared" si="21"/>
        <v>0</v>
      </c>
      <c r="BB253" s="52">
        <f t="shared" si="21"/>
        <v>0</v>
      </c>
      <c r="BC253" s="52">
        <f t="shared" si="21"/>
        <v>0</v>
      </c>
      <c r="BD253" s="52">
        <f t="shared" si="21"/>
        <v>0</v>
      </c>
      <c r="BE253" s="52">
        <f t="shared" si="21"/>
        <v>0</v>
      </c>
      <c r="BF253" s="52">
        <f t="shared" si="21"/>
        <v>0</v>
      </c>
      <c r="BG253" s="52">
        <f t="shared" si="21"/>
        <v>0</v>
      </c>
    </row>
    <row r="255" spans="2:59" x14ac:dyDescent="0.25">
      <c r="B255" s="28"/>
      <c r="C255" s="28" t="s">
        <v>239</v>
      </c>
      <c r="D255" s="28"/>
      <c r="E255" s="29"/>
      <c r="F255" s="29"/>
      <c r="G255" s="29" t="s">
        <v>100</v>
      </c>
      <c r="H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8"/>
      <c r="BD255" s="29"/>
      <c r="BE255" s="29"/>
      <c r="BF255" s="29"/>
      <c r="BG255" s="29"/>
    </row>
    <row r="256" spans="2:59" x14ac:dyDescent="0.25">
      <c r="C256" s="31" t="s">
        <v>240</v>
      </c>
      <c r="D256" s="32" t="s">
        <v>97</v>
      </c>
      <c r="G256" s="41">
        <f>SUM(X256:BG256)</f>
        <v>-8190.8465753424653</v>
      </c>
      <c r="X256" s="41">
        <f t="shared" ref="X256:BG256" si="22">SUMPRODUCT((YEAR($H$162:$H$169)=X$246)*$E$162:$E$169)</f>
        <v>-769.49315068493149</v>
      </c>
      <c r="Y256" s="41">
        <f t="shared" si="22"/>
        <v>-4061.5342465753424</v>
      </c>
      <c r="Z256" s="41">
        <f t="shared" si="22"/>
        <v>-3359.8191780821917</v>
      </c>
      <c r="AA256" s="41">
        <f t="shared" si="22"/>
        <v>0</v>
      </c>
      <c r="AB256" s="41">
        <f t="shared" si="22"/>
        <v>0</v>
      </c>
      <c r="AC256" s="41">
        <f t="shared" si="22"/>
        <v>0</v>
      </c>
      <c r="AD256" s="41">
        <f t="shared" si="22"/>
        <v>0</v>
      </c>
      <c r="AE256" s="41">
        <f t="shared" si="22"/>
        <v>0</v>
      </c>
      <c r="AF256" s="41">
        <f t="shared" si="22"/>
        <v>0</v>
      </c>
      <c r="AG256" s="41">
        <f t="shared" si="22"/>
        <v>0</v>
      </c>
      <c r="AH256" s="41">
        <f t="shared" si="22"/>
        <v>0</v>
      </c>
      <c r="AI256" s="41">
        <f t="shared" si="22"/>
        <v>0</v>
      </c>
      <c r="AJ256" s="41">
        <f t="shared" si="22"/>
        <v>0</v>
      </c>
      <c r="AK256" s="41">
        <f t="shared" si="22"/>
        <v>0</v>
      </c>
      <c r="AL256" s="41">
        <f t="shared" si="22"/>
        <v>0</v>
      </c>
      <c r="AM256" s="41">
        <f t="shared" si="22"/>
        <v>0</v>
      </c>
      <c r="AN256" s="41">
        <f t="shared" si="22"/>
        <v>0</v>
      </c>
      <c r="AO256" s="41">
        <f t="shared" si="22"/>
        <v>0</v>
      </c>
      <c r="AP256" s="41">
        <f t="shared" si="22"/>
        <v>0</v>
      </c>
      <c r="AQ256" s="41">
        <f t="shared" si="22"/>
        <v>0</v>
      </c>
      <c r="AR256" s="41">
        <f t="shared" si="22"/>
        <v>0</v>
      </c>
      <c r="AS256" s="41">
        <f t="shared" si="22"/>
        <v>0</v>
      </c>
      <c r="AT256" s="41">
        <f t="shared" si="22"/>
        <v>0</v>
      </c>
      <c r="AU256" s="41">
        <f t="shared" si="22"/>
        <v>0</v>
      </c>
      <c r="AV256" s="41">
        <f t="shared" si="22"/>
        <v>0</v>
      </c>
      <c r="AW256" s="41">
        <f t="shared" si="22"/>
        <v>0</v>
      </c>
      <c r="AX256" s="41">
        <f t="shared" si="22"/>
        <v>0</v>
      </c>
      <c r="AY256" s="41">
        <f t="shared" si="22"/>
        <v>0</v>
      </c>
      <c r="AZ256" s="41">
        <f t="shared" si="22"/>
        <v>0</v>
      </c>
      <c r="BA256" s="41">
        <f t="shared" si="22"/>
        <v>0</v>
      </c>
      <c r="BB256" s="41">
        <f t="shared" si="22"/>
        <v>0</v>
      </c>
      <c r="BC256" s="41">
        <f t="shared" si="22"/>
        <v>0</v>
      </c>
      <c r="BD256" s="41">
        <f t="shared" si="22"/>
        <v>0</v>
      </c>
      <c r="BE256" s="41">
        <f t="shared" si="22"/>
        <v>0</v>
      </c>
      <c r="BF256" s="41">
        <f t="shared" si="22"/>
        <v>0</v>
      </c>
      <c r="BG256" s="41">
        <f t="shared" si="22"/>
        <v>0</v>
      </c>
    </row>
    <row r="257" spans="3:59" x14ac:dyDescent="0.25">
      <c r="C257" s="31" t="s">
        <v>241</v>
      </c>
      <c r="D257" s="32" t="s">
        <v>97</v>
      </c>
      <c r="G257" s="41">
        <f>SUM(X257:BG257)</f>
        <v>3056.3698630136987</v>
      </c>
      <c r="X257" s="41">
        <f t="shared" ref="X257:BG257" si="23">($E$72+$E$73)*(X$246=YEAR($E$42))</f>
        <v>0</v>
      </c>
      <c r="Y257" s="41">
        <f t="shared" si="23"/>
        <v>0</v>
      </c>
      <c r="Z257" s="41">
        <f t="shared" si="23"/>
        <v>0</v>
      </c>
      <c r="AA257" s="41">
        <f t="shared" si="23"/>
        <v>0</v>
      </c>
      <c r="AB257" s="41">
        <f t="shared" si="23"/>
        <v>0</v>
      </c>
      <c r="AC257" s="41">
        <f t="shared" si="23"/>
        <v>0</v>
      </c>
      <c r="AD257" s="41">
        <f t="shared" si="23"/>
        <v>0</v>
      </c>
      <c r="AE257" s="41">
        <f t="shared" si="23"/>
        <v>3056.3698630136987</v>
      </c>
      <c r="AF257" s="41">
        <f t="shared" si="23"/>
        <v>0</v>
      </c>
      <c r="AG257" s="41">
        <f t="shared" si="23"/>
        <v>0</v>
      </c>
      <c r="AH257" s="41">
        <f t="shared" si="23"/>
        <v>0</v>
      </c>
      <c r="AI257" s="41">
        <f t="shared" si="23"/>
        <v>0</v>
      </c>
      <c r="AJ257" s="41">
        <f t="shared" si="23"/>
        <v>0</v>
      </c>
      <c r="AK257" s="41">
        <f t="shared" si="23"/>
        <v>0</v>
      </c>
      <c r="AL257" s="41">
        <f t="shared" si="23"/>
        <v>0</v>
      </c>
      <c r="AM257" s="41">
        <f t="shared" si="23"/>
        <v>0</v>
      </c>
      <c r="AN257" s="41">
        <f t="shared" si="23"/>
        <v>0</v>
      </c>
      <c r="AO257" s="41">
        <f t="shared" si="23"/>
        <v>0</v>
      </c>
      <c r="AP257" s="41">
        <f t="shared" si="23"/>
        <v>0</v>
      </c>
      <c r="AQ257" s="41">
        <f t="shared" si="23"/>
        <v>0</v>
      </c>
      <c r="AR257" s="41">
        <f t="shared" si="23"/>
        <v>0</v>
      </c>
      <c r="AS257" s="41">
        <f t="shared" si="23"/>
        <v>0</v>
      </c>
      <c r="AT257" s="41">
        <f t="shared" si="23"/>
        <v>0</v>
      </c>
      <c r="AU257" s="41">
        <f t="shared" si="23"/>
        <v>0</v>
      </c>
      <c r="AV257" s="41">
        <f t="shared" si="23"/>
        <v>0</v>
      </c>
      <c r="AW257" s="41">
        <f t="shared" si="23"/>
        <v>0</v>
      </c>
      <c r="AX257" s="41">
        <f t="shared" si="23"/>
        <v>0</v>
      </c>
      <c r="AY257" s="41">
        <f t="shared" si="23"/>
        <v>0</v>
      </c>
      <c r="AZ257" s="41">
        <f t="shared" si="23"/>
        <v>0</v>
      </c>
      <c r="BA257" s="41">
        <f t="shared" si="23"/>
        <v>0</v>
      </c>
      <c r="BB257" s="41">
        <f t="shared" si="23"/>
        <v>0</v>
      </c>
      <c r="BC257" s="41">
        <f t="shared" si="23"/>
        <v>0</v>
      </c>
      <c r="BD257" s="41">
        <f t="shared" si="23"/>
        <v>0</v>
      </c>
      <c r="BE257" s="41">
        <f t="shared" si="23"/>
        <v>0</v>
      </c>
      <c r="BF257" s="41">
        <f t="shared" si="23"/>
        <v>0</v>
      </c>
      <c r="BG257" s="41">
        <f t="shared" si="23"/>
        <v>0</v>
      </c>
    </row>
    <row r="258" spans="3:59" x14ac:dyDescent="0.25">
      <c r="C258" s="31" t="s">
        <v>242</v>
      </c>
      <c r="D258" s="32" t="s">
        <v>97</v>
      </c>
      <c r="G258" s="41">
        <f>SUM(X258:BG258)</f>
        <v>-91430.112500000003</v>
      </c>
      <c r="X258" s="41">
        <f t="shared" ref="X258:BG258" si="24">-$E$204*X$250</f>
        <v>0</v>
      </c>
      <c r="Y258" s="41">
        <f t="shared" si="24"/>
        <v>0</v>
      </c>
      <c r="Z258" s="41">
        <f t="shared" si="24"/>
        <v>0</v>
      </c>
      <c r="AA258" s="41">
        <f t="shared" si="24"/>
        <v>-22857.528125000001</v>
      </c>
      <c r="AB258" s="41">
        <f t="shared" si="24"/>
        <v>-45715.056250000001</v>
      </c>
      <c r="AC258" s="41">
        <f t="shared" si="24"/>
        <v>-22857.528125000001</v>
      </c>
      <c r="AD258" s="41">
        <f t="shared" si="24"/>
        <v>0</v>
      </c>
      <c r="AE258" s="41">
        <f t="shared" si="24"/>
        <v>0</v>
      </c>
      <c r="AF258" s="41">
        <f t="shared" si="24"/>
        <v>0</v>
      </c>
      <c r="AG258" s="41">
        <f t="shared" si="24"/>
        <v>0</v>
      </c>
      <c r="AH258" s="41">
        <f t="shared" si="24"/>
        <v>0</v>
      </c>
      <c r="AI258" s="41">
        <f t="shared" si="24"/>
        <v>0</v>
      </c>
      <c r="AJ258" s="41">
        <f t="shared" si="24"/>
        <v>0</v>
      </c>
      <c r="AK258" s="41">
        <f t="shared" si="24"/>
        <v>0</v>
      </c>
      <c r="AL258" s="41">
        <f t="shared" si="24"/>
        <v>0</v>
      </c>
      <c r="AM258" s="41">
        <f t="shared" si="24"/>
        <v>0</v>
      </c>
      <c r="AN258" s="41">
        <f t="shared" si="24"/>
        <v>0</v>
      </c>
      <c r="AO258" s="41">
        <f t="shared" si="24"/>
        <v>0</v>
      </c>
      <c r="AP258" s="41">
        <f t="shared" si="24"/>
        <v>0</v>
      </c>
      <c r="AQ258" s="41">
        <f t="shared" si="24"/>
        <v>0</v>
      </c>
      <c r="AR258" s="41">
        <f t="shared" si="24"/>
        <v>0</v>
      </c>
      <c r="AS258" s="41">
        <f t="shared" si="24"/>
        <v>0</v>
      </c>
      <c r="AT258" s="41">
        <f t="shared" si="24"/>
        <v>0</v>
      </c>
      <c r="AU258" s="41">
        <f t="shared" si="24"/>
        <v>0</v>
      </c>
      <c r="AV258" s="41">
        <f t="shared" si="24"/>
        <v>0</v>
      </c>
      <c r="AW258" s="41">
        <f t="shared" si="24"/>
        <v>0</v>
      </c>
      <c r="AX258" s="41">
        <f t="shared" si="24"/>
        <v>0</v>
      </c>
      <c r="AY258" s="41">
        <f t="shared" si="24"/>
        <v>0</v>
      </c>
      <c r="AZ258" s="41">
        <f t="shared" si="24"/>
        <v>0</v>
      </c>
      <c r="BA258" s="41">
        <f t="shared" si="24"/>
        <v>0</v>
      </c>
      <c r="BB258" s="41">
        <f t="shared" si="24"/>
        <v>0</v>
      </c>
      <c r="BC258" s="41">
        <f t="shared" si="24"/>
        <v>0</v>
      </c>
      <c r="BD258" s="41">
        <f t="shared" si="24"/>
        <v>0</v>
      </c>
      <c r="BE258" s="41">
        <f t="shared" si="24"/>
        <v>0</v>
      </c>
      <c r="BF258" s="41">
        <f t="shared" si="24"/>
        <v>0</v>
      </c>
      <c r="BG258" s="41">
        <f t="shared" si="24"/>
        <v>0</v>
      </c>
    </row>
    <row r="259" spans="3:59" x14ac:dyDescent="0.25">
      <c r="C259" s="31" t="s">
        <v>243</v>
      </c>
      <c r="D259" s="32" t="s">
        <v>97</v>
      </c>
      <c r="G259" s="41">
        <f>SUM(X259:BG259)</f>
        <v>-2500</v>
      </c>
      <c r="X259" s="41">
        <f t="shared" ref="X259:BG259" si="25">-$E$206*X$253</f>
        <v>0</v>
      </c>
      <c r="Y259" s="41">
        <f t="shared" si="25"/>
        <v>0</v>
      </c>
      <c r="Z259" s="41">
        <f t="shared" si="25"/>
        <v>0</v>
      </c>
      <c r="AA259" s="41">
        <f t="shared" si="25"/>
        <v>0</v>
      </c>
      <c r="AB259" s="41">
        <f t="shared" si="25"/>
        <v>0</v>
      </c>
      <c r="AC259" s="41">
        <f t="shared" si="25"/>
        <v>-2500</v>
      </c>
      <c r="AD259" s="41">
        <f t="shared" si="25"/>
        <v>0</v>
      </c>
      <c r="AE259" s="41">
        <f t="shared" si="25"/>
        <v>0</v>
      </c>
      <c r="AF259" s="41">
        <f t="shared" si="25"/>
        <v>0</v>
      </c>
      <c r="AG259" s="41">
        <f t="shared" si="25"/>
        <v>0</v>
      </c>
      <c r="AH259" s="41">
        <f t="shared" si="25"/>
        <v>0</v>
      </c>
      <c r="AI259" s="41">
        <f t="shared" si="25"/>
        <v>0</v>
      </c>
      <c r="AJ259" s="41">
        <f t="shared" si="25"/>
        <v>0</v>
      </c>
      <c r="AK259" s="41">
        <f t="shared" si="25"/>
        <v>0</v>
      </c>
      <c r="AL259" s="41">
        <f t="shared" si="25"/>
        <v>0</v>
      </c>
      <c r="AM259" s="41">
        <f t="shared" si="25"/>
        <v>0</v>
      </c>
      <c r="AN259" s="41">
        <f t="shared" si="25"/>
        <v>0</v>
      </c>
      <c r="AO259" s="41">
        <f t="shared" si="25"/>
        <v>0</v>
      </c>
      <c r="AP259" s="41">
        <f t="shared" si="25"/>
        <v>0</v>
      </c>
      <c r="AQ259" s="41">
        <f t="shared" si="25"/>
        <v>0</v>
      </c>
      <c r="AR259" s="41">
        <f t="shared" si="25"/>
        <v>0</v>
      </c>
      <c r="AS259" s="41">
        <f t="shared" si="25"/>
        <v>0</v>
      </c>
      <c r="AT259" s="41">
        <f t="shared" si="25"/>
        <v>0</v>
      </c>
      <c r="AU259" s="41">
        <f t="shared" si="25"/>
        <v>0</v>
      </c>
      <c r="AV259" s="41">
        <f t="shared" si="25"/>
        <v>0</v>
      </c>
      <c r="AW259" s="41">
        <f t="shared" si="25"/>
        <v>0</v>
      </c>
      <c r="AX259" s="41">
        <f t="shared" si="25"/>
        <v>0</v>
      </c>
      <c r="AY259" s="41">
        <f t="shared" si="25"/>
        <v>0</v>
      </c>
      <c r="AZ259" s="41">
        <f t="shared" si="25"/>
        <v>0</v>
      </c>
      <c r="BA259" s="41">
        <f t="shared" si="25"/>
        <v>0</v>
      </c>
      <c r="BB259" s="41">
        <f t="shared" si="25"/>
        <v>0</v>
      </c>
      <c r="BC259" s="41">
        <f t="shared" si="25"/>
        <v>0</v>
      </c>
      <c r="BD259" s="41">
        <f t="shared" si="25"/>
        <v>0</v>
      </c>
      <c r="BE259" s="41">
        <f t="shared" si="25"/>
        <v>0</v>
      </c>
      <c r="BF259" s="41">
        <f t="shared" si="25"/>
        <v>0</v>
      </c>
      <c r="BG259" s="41">
        <f t="shared" si="25"/>
        <v>0</v>
      </c>
    </row>
    <row r="260" spans="3:59" x14ac:dyDescent="0.25">
      <c r="C260" s="45" t="s">
        <v>244</v>
      </c>
      <c r="D260" s="32" t="s">
        <v>97</v>
      </c>
      <c r="G260" s="47">
        <f>SUM(X260:BG260)</f>
        <v>-99064.589212328778</v>
      </c>
      <c r="X260" s="47">
        <f t="shared" ref="X260:BG260" si="26">SUM(X256:X259)</f>
        <v>-769.49315068493149</v>
      </c>
      <c r="Y260" s="47">
        <f t="shared" si="26"/>
        <v>-4061.5342465753424</v>
      </c>
      <c r="Z260" s="47">
        <f t="shared" si="26"/>
        <v>-3359.8191780821917</v>
      </c>
      <c r="AA260" s="47">
        <f t="shared" si="26"/>
        <v>-22857.528125000001</v>
      </c>
      <c r="AB260" s="47">
        <f t="shared" si="26"/>
        <v>-45715.056250000001</v>
      </c>
      <c r="AC260" s="47">
        <f t="shared" si="26"/>
        <v>-25357.528125000001</v>
      </c>
      <c r="AD260" s="47">
        <f t="shared" si="26"/>
        <v>0</v>
      </c>
      <c r="AE260" s="47">
        <f t="shared" si="26"/>
        <v>3056.3698630136987</v>
      </c>
      <c r="AF260" s="47">
        <f t="shared" si="26"/>
        <v>0</v>
      </c>
      <c r="AG260" s="47">
        <f t="shared" si="26"/>
        <v>0</v>
      </c>
      <c r="AH260" s="47">
        <f t="shared" si="26"/>
        <v>0</v>
      </c>
      <c r="AI260" s="47">
        <f t="shared" si="26"/>
        <v>0</v>
      </c>
      <c r="AJ260" s="47">
        <f t="shared" si="26"/>
        <v>0</v>
      </c>
      <c r="AK260" s="47">
        <f t="shared" si="26"/>
        <v>0</v>
      </c>
      <c r="AL260" s="47">
        <f t="shared" si="26"/>
        <v>0</v>
      </c>
      <c r="AM260" s="47">
        <f t="shared" si="26"/>
        <v>0</v>
      </c>
      <c r="AN260" s="47">
        <f t="shared" si="26"/>
        <v>0</v>
      </c>
      <c r="AO260" s="47">
        <f t="shared" si="26"/>
        <v>0</v>
      </c>
      <c r="AP260" s="47">
        <f t="shared" si="26"/>
        <v>0</v>
      </c>
      <c r="AQ260" s="47">
        <f t="shared" si="26"/>
        <v>0</v>
      </c>
      <c r="AR260" s="47">
        <f t="shared" si="26"/>
        <v>0</v>
      </c>
      <c r="AS260" s="47">
        <f t="shared" si="26"/>
        <v>0</v>
      </c>
      <c r="AT260" s="47">
        <f t="shared" si="26"/>
        <v>0</v>
      </c>
      <c r="AU260" s="47">
        <f t="shared" si="26"/>
        <v>0</v>
      </c>
      <c r="AV260" s="47">
        <f t="shared" si="26"/>
        <v>0</v>
      </c>
      <c r="AW260" s="47">
        <f t="shared" si="26"/>
        <v>0</v>
      </c>
      <c r="AX260" s="47">
        <f t="shared" si="26"/>
        <v>0</v>
      </c>
      <c r="AY260" s="47">
        <f t="shared" si="26"/>
        <v>0</v>
      </c>
      <c r="AZ260" s="47">
        <f t="shared" si="26"/>
        <v>0</v>
      </c>
      <c r="BA260" s="47">
        <f t="shared" si="26"/>
        <v>0</v>
      </c>
      <c r="BB260" s="47">
        <f t="shared" si="26"/>
        <v>0</v>
      </c>
      <c r="BC260" s="47">
        <f t="shared" si="26"/>
        <v>0</v>
      </c>
      <c r="BD260" s="47">
        <f t="shared" si="26"/>
        <v>0</v>
      </c>
      <c r="BE260" s="47">
        <f t="shared" si="26"/>
        <v>0</v>
      </c>
      <c r="BF260" s="47">
        <f t="shared" si="26"/>
        <v>0</v>
      </c>
      <c r="BG260" s="47">
        <f t="shared" si="26"/>
        <v>0</v>
      </c>
    </row>
    <row r="261" spans="3:59" x14ac:dyDescent="0.25">
      <c r="C261" s="31" t="s">
        <v>245</v>
      </c>
      <c r="D261" s="32" t="s">
        <v>28</v>
      </c>
      <c r="X261" s="53">
        <f t="shared" ref="X261:BG261" si="27">(1-$E$119)^MAX(X$248-1,0)</f>
        <v>1</v>
      </c>
      <c r="Y261" s="53">
        <f t="shared" si="27"/>
        <v>1</v>
      </c>
      <c r="Z261" s="53">
        <f t="shared" si="27"/>
        <v>1</v>
      </c>
      <c r="AA261" s="53">
        <f t="shared" si="27"/>
        <v>1</v>
      </c>
      <c r="AB261" s="53">
        <f t="shared" si="27"/>
        <v>1</v>
      </c>
      <c r="AC261" s="53">
        <f t="shared" si="27"/>
        <v>1</v>
      </c>
      <c r="AD261" s="53">
        <f t="shared" si="27"/>
        <v>1</v>
      </c>
      <c r="AE261" s="53">
        <f t="shared" si="27"/>
        <v>0.997</v>
      </c>
      <c r="AF261" s="53">
        <f t="shared" si="27"/>
        <v>0.99400900000000003</v>
      </c>
      <c r="AG261" s="53">
        <f t="shared" si="27"/>
        <v>0.99102697299999998</v>
      </c>
      <c r="AH261" s="53">
        <f t="shared" si="27"/>
        <v>0.98805389208100003</v>
      </c>
      <c r="AI261" s="53">
        <f t="shared" si="27"/>
        <v>0.985089730404757</v>
      </c>
      <c r="AJ261" s="53">
        <f t="shared" si="27"/>
        <v>0.98213446121354275</v>
      </c>
      <c r="AK261" s="53">
        <f t="shared" si="27"/>
        <v>0.97918805782990215</v>
      </c>
      <c r="AL261" s="53">
        <f t="shared" si="27"/>
        <v>0.97625049365641248</v>
      </c>
      <c r="AM261" s="53">
        <f t="shared" si="27"/>
        <v>0.97332174217544321</v>
      </c>
      <c r="AN261" s="53">
        <f t="shared" si="27"/>
        <v>0.97040177694891694</v>
      </c>
      <c r="AO261" s="53">
        <f t="shared" si="27"/>
        <v>0.96749057161807017</v>
      </c>
      <c r="AP261" s="53">
        <f t="shared" si="27"/>
        <v>0.96458809990321592</v>
      </c>
      <c r="AQ261" s="53">
        <f t="shared" si="27"/>
        <v>0.96169433560350626</v>
      </c>
      <c r="AR261" s="53">
        <f t="shared" si="27"/>
        <v>0.9588092525966958</v>
      </c>
      <c r="AS261" s="53">
        <f t="shared" si="27"/>
        <v>0.95593282483890574</v>
      </c>
      <c r="AT261" s="53">
        <f t="shared" si="27"/>
        <v>0.95306502636438906</v>
      </c>
      <c r="AU261" s="53">
        <f t="shared" si="27"/>
        <v>0.9502058312852959</v>
      </c>
      <c r="AV261" s="53">
        <f t="shared" si="27"/>
        <v>0.94735521379144005</v>
      </c>
      <c r="AW261" s="53">
        <f t="shared" si="27"/>
        <v>0.94451314815006571</v>
      </c>
      <c r="AX261" s="53">
        <f t="shared" si="27"/>
        <v>0.94167960870561551</v>
      </c>
      <c r="AY261" s="53">
        <f t="shared" si="27"/>
        <v>0.93885456987949867</v>
      </c>
      <c r="AZ261" s="53">
        <f t="shared" si="27"/>
        <v>0.93603800616986021</v>
      </c>
      <c r="BA261" s="53">
        <f t="shared" si="27"/>
        <v>0.93322989215135066</v>
      </c>
      <c r="BB261" s="53">
        <f t="shared" si="27"/>
        <v>0.93043020247489661</v>
      </c>
      <c r="BC261" s="53">
        <f t="shared" si="27"/>
        <v>0.92763891186747183</v>
      </c>
      <c r="BD261" s="53">
        <f t="shared" si="27"/>
        <v>0.92485599513186956</v>
      </c>
      <c r="BE261" s="53">
        <f t="shared" si="27"/>
        <v>0.9220814271464739</v>
      </c>
      <c r="BF261" s="53">
        <f t="shared" si="27"/>
        <v>0.91931518286503444</v>
      </c>
      <c r="BG261" s="53">
        <f t="shared" si="27"/>
        <v>0.91655723731643934</v>
      </c>
    </row>
    <row r="262" spans="3:59" x14ac:dyDescent="0.25">
      <c r="C262" s="31" t="s">
        <v>246</v>
      </c>
      <c r="D262" s="32" t="s">
        <v>210</v>
      </c>
      <c r="G262" s="48">
        <f>SUM(X262:BG262)</f>
        <v>4293.8516758294882</v>
      </c>
      <c r="X262" s="48">
        <f t="shared" ref="X262:BG262" si="28">$E$193*$E$116*(1-$E$117)*(1-$E$118)*X$252*X261/Thousand</f>
        <v>0</v>
      </c>
      <c r="Y262" s="48">
        <f t="shared" si="28"/>
        <v>0</v>
      </c>
      <c r="Z262" s="48">
        <f t="shared" si="28"/>
        <v>0</v>
      </c>
      <c r="AA262" s="48">
        <f t="shared" si="28"/>
        <v>0</v>
      </c>
      <c r="AB262" s="48">
        <f t="shared" si="28"/>
        <v>0</v>
      </c>
      <c r="AC262" s="48">
        <f t="shared" si="28"/>
        <v>74.617199999999997</v>
      </c>
      <c r="AD262" s="48">
        <f t="shared" si="28"/>
        <v>149.23439999999999</v>
      </c>
      <c r="AE262" s="48">
        <f t="shared" si="28"/>
        <v>148.78669680000002</v>
      </c>
      <c r="AF262" s="48">
        <f t="shared" si="28"/>
        <v>148.3403367096</v>
      </c>
      <c r="AG262" s="48">
        <f t="shared" si="28"/>
        <v>147.89531569947118</v>
      </c>
      <c r="AH262" s="48">
        <f t="shared" si="28"/>
        <v>147.45162975237281</v>
      </c>
      <c r="AI262" s="48">
        <f t="shared" si="28"/>
        <v>147.00927486311565</v>
      </c>
      <c r="AJ262" s="48">
        <f t="shared" si="28"/>
        <v>146.56824703852632</v>
      </c>
      <c r="AK262" s="48">
        <f t="shared" si="28"/>
        <v>146.12854229741075</v>
      </c>
      <c r="AL262" s="48">
        <f t="shared" si="28"/>
        <v>145.69015667051852</v>
      </c>
      <c r="AM262" s="48">
        <f t="shared" si="28"/>
        <v>145.25308620050694</v>
      </c>
      <c r="AN262" s="48">
        <f t="shared" si="28"/>
        <v>144.81732694190546</v>
      </c>
      <c r="AO262" s="48">
        <f t="shared" si="28"/>
        <v>144.38287496107975</v>
      </c>
      <c r="AP262" s="48">
        <f t="shared" si="28"/>
        <v>143.94972633619648</v>
      </c>
      <c r="AQ262" s="48">
        <f t="shared" si="28"/>
        <v>143.51787715718788</v>
      </c>
      <c r="AR262" s="48">
        <f t="shared" si="28"/>
        <v>143.08732352571636</v>
      </c>
      <c r="AS262" s="48">
        <f t="shared" si="28"/>
        <v>142.6580615551392</v>
      </c>
      <c r="AT262" s="48">
        <f t="shared" si="28"/>
        <v>142.23008737047377</v>
      </c>
      <c r="AU262" s="48">
        <f t="shared" si="28"/>
        <v>141.80339710836236</v>
      </c>
      <c r="AV262" s="48">
        <f t="shared" si="28"/>
        <v>141.37798691703728</v>
      </c>
      <c r="AW262" s="48">
        <f t="shared" si="28"/>
        <v>140.95385295628617</v>
      </c>
      <c r="AX262" s="48">
        <f t="shared" si="28"/>
        <v>140.5309913974173</v>
      </c>
      <c r="AY262" s="48">
        <f t="shared" si="28"/>
        <v>140.10939842322503</v>
      </c>
      <c r="AZ262" s="48">
        <f t="shared" si="28"/>
        <v>139.68907022795537</v>
      </c>
      <c r="BA262" s="48">
        <f t="shared" si="28"/>
        <v>139.27000301727151</v>
      </c>
      <c r="BB262" s="48">
        <f t="shared" si="28"/>
        <v>138.8521930082197</v>
      </c>
      <c r="BC262" s="48">
        <f t="shared" si="28"/>
        <v>138.43563642919503</v>
      </c>
      <c r="BD262" s="48">
        <f t="shared" si="28"/>
        <v>138.02032951990748</v>
      </c>
      <c r="BE262" s="48">
        <f t="shared" si="28"/>
        <v>137.60626853134775</v>
      </c>
      <c r="BF262" s="48">
        <f t="shared" si="28"/>
        <v>137.19344972575368</v>
      </c>
      <c r="BG262" s="48">
        <f t="shared" si="28"/>
        <v>68.390934688288212</v>
      </c>
    </row>
    <row r="263" spans="3:59" x14ac:dyDescent="0.25">
      <c r="C263" s="31" t="s">
        <v>247</v>
      </c>
      <c r="D263" s="32" t="s">
        <v>22</v>
      </c>
      <c r="X263" s="48">
        <f t="shared" ref="X263:BG263" si="29">$E$120*(1+$E$121)^X$248*(X$252&gt;0)</f>
        <v>0</v>
      </c>
      <c r="Y263" s="48">
        <f t="shared" si="29"/>
        <v>0</v>
      </c>
      <c r="Z263" s="48">
        <f t="shared" si="29"/>
        <v>0</v>
      </c>
      <c r="AA263" s="48">
        <f t="shared" si="29"/>
        <v>0</v>
      </c>
      <c r="AB263" s="48">
        <f t="shared" si="29"/>
        <v>0</v>
      </c>
      <c r="AC263" s="48">
        <f t="shared" si="29"/>
        <v>90</v>
      </c>
      <c r="AD263" s="48">
        <f t="shared" si="29"/>
        <v>90.9</v>
      </c>
      <c r="AE263" s="48">
        <f t="shared" si="29"/>
        <v>91.808999999999997</v>
      </c>
      <c r="AF263" s="48">
        <f t="shared" si="29"/>
        <v>92.72708999999999</v>
      </c>
      <c r="AG263" s="48">
        <f t="shared" si="29"/>
        <v>93.6543609</v>
      </c>
      <c r="AH263" s="48">
        <f t="shared" si="29"/>
        <v>94.590904508999998</v>
      </c>
      <c r="AI263" s="48">
        <f t="shared" si="29"/>
        <v>95.536813554090017</v>
      </c>
      <c r="AJ263" s="48">
        <f t="shared" si="29"/>
        <v>96.492181689630883</v>
      </c>
      <c r="AK263" s="48">
        <f t="shared" si="29"/>
        <v>97.457103506527218</v>
      </c>
      <c r="AL263" s="48">
        <f t="shared" si="29"/>
        <v>98.4316745415925</v>
      </c>
      <c r="AM263" s="48">
        <f t="shared" si="29"/>
        <v>99.415991287008424</v>
      </c>
      <c r="AN263" s="48">
        <f t="shared" si="29"/>
        <v>100.41015119987848</v>
      </c>
      <c r="AO263" s="48">
        <f t="shared" si="29"/>
        <v>101.41425271187728</v>
      </c>
      <c r="AP263" s="48">
        <f t="shared" si="29"/>
        <v>102.42839523899606</v>
      </c>
      <c r="AQ263" s="48">
        <f t="shared" si="29"/>
        <v>103.45267919138603</v>
      </c>
      <c r="AR263" s="48">
        <f t="shared" si="29"/>
        <v>104.48720598329986</v>
      </c>
      <c r="AS263" s="48">
        <f t="shared" si="29"/>
        <v>105.53207804313288</v>
      </c>
      <c r="AT263" s="48">
        <f t="shared" si="29"/>
        <v>106.58739882356423</v>
      </c>
      <c r="AU263" s="48">
        <f t="shared" si="29"/>
        <v>107.65327281179987</v>
      </c>
      <c r="AV263" s="48">
        <f t="shared" si="29"/>
        <v>108.72980553991785</v>
      </c>
      <c r="AW263" s="48">
        <f t="shared" si="29"/>
        <v>109.81710359531704</v>
      </c>
      <c r="AX263" s="48">
        <f t="shared" si="29"/>
        <v>110.91527463127019</v>
      </c>
      <c r="AY263" s="48">
        <f t="shared" si="29"/>
        <v>112.02442737758292</v>
      </c>
      <c r="AZ263" s="48">
        <f t="shared" si="29"/>
        <v>113.14467165135873</v>
      </c>
      <c r="BA263" s="48">
        <f t="shared" si="29"/>
        <v>114.27611836787234</v>
      </c>
      <c r="BB263" s="48">
        <f t="shared" si="29"/>
        <v>115.41887955155109</v>
      </c>
      <c r="BC263" s="48">
        <f t="shared" si="29"/>
        <v>116.5730683470666</v>
      </c>
      <c r="BD263" s="48">
        <f t="shared" si="29"/>
        <v>117.73879903053722</v>
      </c>
      <c r="BE263" s="48">
        <f t="shared" si="29"/>
        <v>118.9161870208426</v>
      </c>
      <c r="BF263" s="48">
        <f t="shared" si="29"/>
        <v>120.10534889105104</v>
      </c>
      <c r="BG263" s="48">
        <f t="shared" si="29"/>
        <v>121.30640237996157</v>
      </c>
    </row>
    <row r="264" spans="3:59" x14ac:dyDescent="0.25">
      <c r="C264" s="45" t="s">
        <v>248</v>
      </c>
      <c r="D264" s="32" t="s">
        <v>97</v>
      </c>
      <c r="G264" s="46">
        <f>SUM(X264:BG264)</f>
        <v>449317.33348466485</v>
      </c>
      <c r="X264" s="46">
        <f t="shared" ref="X264:BG264" si="30">X262*X263</f>
        <v>0</v>
      </c>
      <c r="Y264" s="46">
        <f t="shared" si="30"/>
        <v>0</v>
      </c>
      <c r="Z264" s="46">
        <f t="shared" si="30"/>
        <v>0</v>
      </c>
      <c r="AA264" s="46">
        <f t="shared" si="30"/>
        <v>0</v>
      </c>
      <c r="AB264" s="46">
        <f t="shared" si="30"/>
        <v>0</v>
      </c>
      <c r="AC264" s="46">
        <f t="shared" si="30"/>
        <v>6715.5479999999998</v>
      </c>
      <c r="AD264" s="46">
        <f t="shared" si="30"/>
        <v>13565.40696</v>
      </c>
      <c r="AE264" s="46">
        <f t="shared" si="30"/>
        <v>13659.957846511201</v>
      </c>
      <c r="AF264" s="46">
        <f t="shared" si="30"/>
        <v>13755.167752701382</v>
      </c>
      <c r="AG264" s="46">
        <f t="shared" si="30"/>
        <v>13851.041271937711</v>
      </c>
      <c r="AH264" s="46">
        <f t="shared" si="30"/>
        <v>13947.58302960312</v>
      </c>
      <c r="AI264" s="46">
        <f t="shared" si="30"/>
        <v>14044.797683319452</v>
      </c>
      <c r="AJ264" s="46">
        <f t="shared" si="30"/>
        <v>14142.689923172185</v>
      </c>
      <c r="AK264" s="46">
        <f t="shared" si="30"/>
        <v>14241.2644719367</v>
      </c>
      <c r="AL264" s="46">
        <f t="shared" si="30"/>
        <v>14340.526085306101</v>
      </c>
      <c r="AM264" s="46">
        <f t="shared" si="30"/>
        <v>14440.479552120682</v>
      </c>
      <c r="AN264" s="46">
        <f t="shared" si="30"/>
        <v>14541.129694598963</v>
      </c>
      <c r="AO264" s="46">
        <f t="shared" si="30"/>
        <v>14642.481368570321</v>
      </c>
      <c r="AP264" s="46">
        <f t="shared" si="30"/>
        <v>14744.539463709252</v>
      </c>
      <c r="AQ264" s="46">
        <f t="shared" si="30"/>
        <v>14847.308903771307</v>
      </c>
      <c r="AR264" s="46">
        <f t="shared" si="30"/>
        <v>14950.794646830593</v>
      </c>
      <c r="AS264" s="46">
        <f t="shared" si="30"/>
        <v>15055.001685519004</v>
      </c>
      <c r="AT264" s="46">
        <f t="shared" si="30"/>
        <v>15159.935047267074</v>
      </c>
      <c r="AU264" s="46">
        <f t="shared" si="30"/>
        <v>15265.599794546526</v>
      </c>
      <c r="AV264" s="46">
        <f t="shared" si="30"/>
        <v>15372.001025114512</v>
      </c>
      <c r="AW264" s="46">
        <f t="shared" si="30"/>
        <v>15479.143872259563</v>
      </c>
      <c r="AX264" s="46">
        <f t="shared" si="30"/>
        <v>15587.033505049209</v>
      </c>
      <c r="AY264" s="46">
        <f t="shared" si="30"/>
        <v>15695.675128579403</v>
      </c>
      <c r="AZ264" s="46">
        <f t="shared" si="30"/>
        <v>15805.073984225601</v>
      </c>
      <c r="BA264" s="46">
        <f t="shared" si="30"/>
        <v>15915.235349895656</v>
      </c>
      <c r="BB264" s="46">
        <f t="shared" si="30"/>
        <v>16026.164540284433</v>
      </c>
      <c r="BC264" s="46">
        <f t="shared" si="30"/>
        <v>16137.866907130214</v>
      </c>
      <c r="BD264" s="46">
        <f t="shared" si="30"/>
        <v>16250.34783947291</v>
      </c>
      <c r="BE264" s="46">
        <f t="shared" si="30"/>
        <v>16363.612763914038</v>
      </c>
      <c r="BF264" s="46">
        <f t="shared" si="30"/>
        <v>16477.667144878516</v>
      </c>
      <c r="BG264" s="46">
        <f t="shared" si="30"/>
        <v>8296.2582424391621</v>
      </c>
    </row>
    <row r="265" spans="3:59" x14ac:dyDescent="0.25">
      <c r="C265" s="31" t="s">
        <v>249</v>
      </c>
      <c r="D265" s="32" t="s">
        <v>28</v>
      </c>
      <c r="X265" s="53">
        <f t="shared" ref="X265:BG265" si="31">(1+$E$135)^X$248</f>
        <v>0.88385428760951712</v>
      </c>
      <c r="Y265" s="53">
        <f t="shared" si="31"/>
        <v>0.90595064479975507</v>
      </c>
      <c r="Z265" s="53">
        <f t="shared" si="31"/>
        <v>0.92859941091974885</v>
      </c>
      <c r="AA265" s="53">
        <f t="shared" si="31"/>
        <v>0.95181439619274244</v>
      </c>
      <c r="AB265" s="53">
        <f t="shared" si="31"/>
        <v>0.97560975609756106</v>
      </c>
      <c r="AC265" s="53">
        <f t="shared" si="31"/>
        <v>1</v>
      </c>
      <c r="AD265" s="53">
        <f t="shared" si="31"/>
        <v>1.0249999999999999</v>
      </c>
      <c r="AE265" s="53">
        <f t="shared" si="31"/>
        <v>1.0506249999999999</v>
      </c>
      <c r="AF265" s="53">
        <f t="shared" si="31"/>
        <v>1.0768906249999999</v>
      </c>
      <c r="AG265" s="53">
        <f t="shared" si="31"/>
        <v>1.1038128906249998</v>
      </c>
      <c r="AH265" s="53">
        <f t="shared" si="31"/>
        <v>1.1314082128906247</v>
      </c>
      <c r="AI265" s="53">
        <f t="shared" si="31"/>
        <v>1.1596934182128902</v>
      </c>
      <c r="AJ265" s="53">
        <f t="shared" si="31"/>
        <v>1.1886857536682125</v>
      </c>
      <c r="AK265" s="53">
        <f t="shared" si="31"/>
        <v>1.2184028975099177</v>
      </c>
      <c r="AL265" s="53">
        <f t="shared" si="31"/>
        <v>1.2488629699476654</v>
      </c>
      <c r="AM265" s="53">
        <f t="shared" si="31"/>
        <v>1.2800845441963571</v>
      </c>
      <c r="AN265" s="53">
        <f t="shared" si="31"/>
        <v>1.312086657801266</v>
      </c>
      <c r="AO265" s="53">
        <f t="shared" si="31"/>
        <v>1.3448888242462975</v>
      </c>
      <c r="AP265" s="53">
        <f t="shared" si="31"/>
        <v>1.3785110448524549</v>
      </c>
      <c r="AQ265" s="53">
        <f t="shared" si="31"/>
        <v>1.4129738209737661</v>
      </c>
      <c r="AR265" s="53">
        <f t="shared" si="31"/>
        <v>1.4482981664981105</v>
      </c>
      <c r="AS265" s="53">
        <f t="shared" si="31"/>
        <v>1.4845056206605631</v>
      </c>
      <c r="AT265" s="53">
        <f t="shared" si="31"/>
        <v>1.521618261177077</v>
      </c>
      <c r="AU265" s="53">
        <f t="shared" si="31"/>
        <v>1.559658717706504</v>
      </c>
      <c r="AV265" s="53">
        <f t="shared" si="31"/>
        <v>1.5986501856491666</v>
      </c>
      <c r="AW265" s="53">
        <f t="shared" si="31"/>
        <v>1.6386164402903955</v>
      </c>
      <c r="AX265" s="53">
        <f t="shared" si="31"/>
        <v>1.6795818512976552</v>
      </c>
      <c r="AY265" s="53">
        <f t="shared" si="31"/>
        <v>1.7215713975800966</v>
      </c>
      <c r="AZ265" s="53">
        <f t="shared" si="31"/>
        <v>1.7646106825195991</v>
      </c>
      <c r="BA265" s="53">
        <f t="shared" si="31"/>
        <v>1.8087259495825889</v>
      </c>
      <c r="BB265" s="53">
        <f t="shared" si="31"/>
        <v>1.8539440983221533</v>
      </c>
      <c r="BC265" s="53">
        <f t="shared" si="31"/>
        <v>1.9002927007802071</v>
      </c>
      <c r="BD265" s="53">
        <f t="shared" si="31"/>
        <v>1.9478000182997122</v>
      </c>
      <c r="BE265" s="53">
        <f t="shared" si="31"/>
        <v>1.9964950187572048</v>
      </c>
      <c r="BF265" s="53">
        <f t="shared" si="31"/>
        <v>2.0464073942261352</v>
      </c>
      <c r="BG265" s="53">
        <f t="shared" si="31"/>
        <v>2.097567579081788</v>
      </c>
    </row>
    <row r="266" spans="3:59" x14ac:dyDescent="0.25">
      <c r="C266" s="31" t="s">
        <v>250</v>
      </c>
      <c r="D266" s="32" t="s">
        <v>97</v>
      </c>
      <c r="G266" s="41">
        <f t="shared" ref="G266:G276" si="32">SUM(X266:BG266)</f>
        <v>-70511.171178898832</v>
      </c>
      <c r="X266" s="41">
        <f t="shared" ref="X266:BG266" si="33">-SUM($E$123:$E$128)*$E$193*X265*X$252</f>
        <v>0</v>
      </c>
      <c r="Y266" s="41">
        <f t="shared" si="33"/>
        <v>0</v>
      </c>
      <c r="Z266" s="41">
        <f t="shared" si="33"/>
        <v>0</v>
      </c>
      <c r="AA266" s="41">
        <f t="shared" si="33"/>
        <v>0</v>
      </c>
      <c r="AB266" s="41">
        <f t="shared" si="33"/>
        <v>0</v>
      </c>
      <c r="AC266" s="41">
        <f t="shared" si="33"/>
        <v>-793.125</v>
      </c>
      <c r="AD266" s="41">
        <f t="shared" si="33"/>
        <v>-1625.9062499999998</v>
      </c>
      <c r="AE266" s="41">
        <f t="shared" si="33"/>
        <v>-1666.55390625</v>
      </c>
      <c r="AF266" s="41">
        <f t="shared" si="33"/>
        <v>-1708.2177539062498</v>
      </c>
      <c r="AG266" s="41">
        <f t="shared" si="33"/>
        <v>-1750.9231977539059</v>
      </c>
      <c r="AH266" s="41">
        <f t="shared" si="33"/>
        <v>-1794.6962776977534</v>
      </c>
      <c r="AI266" s="41">
        <f t="shared" si="33"/>
        <v>-1839.5636846401972</v>
      </c>
      <c r="AJ266" s="41">
        <f t="shared" si="33"/>
        <v>-1885.5527767562021</v>
      </c>
      <c r="AK266" s="41">
        <f t="shared" si="33"/>
        <v>-1932.691596175107</v>
      </c>
      <c r="AL266" s="41">
        <f t="shared" si="33"/>
        <v>-1981.0088860794842</v>
      </c>
      <c r="AM266" s="41">
        <f t="shared" si="33"/>
        <v>-2030.5341082314715</v>
      </c>
      <c r="AN266" s="41">
        <f t="shared" si="33"/>
        <v>-2081.2974609372582</v>
      </c>
      <c r="AO266" s="41">
        <f t="shared" si="33"/>
        <v>-2133.3298974606896</v>
      </c>
      <c r="AP266" s="41">
        <f t="shared" si="33"/>
        <v>-2186.6631448972066</v>
      </c>
      <c r="AQ266" s="41">
        <f t="shared" si="33"/>
        <v>-2241.3297235196364</v>
      </c>
      <c r="AR266" s="41">
        <f t="shared" si="33"/>
        <v>-2297.3629666076276</v>
      </c>
      <c r="AS266" s="41">
        <f t="shared" si="33"/>
        <v>-2354.7970407728185</v>
      </c>
      <c r="AT266" s="41">
        <f t="shared" si="33"/>
        <v>-2413.6669667921383</v>
      </c>
      <c r="AU266" s="41">
        <f t="shared" si="33"/>
        <v>-2474.0086409619421</v>
      </c>
      <c r="AV266" s="41">
        <f t="shared" si="33"/>
        <v>-2535.8588569859903</v>
      </c>
      <c r="AW266" s="41">
        <f t="shared" si="33"/>
        <v>-2599.2553284106398</v>
      </c>
      <c r="AX266" s="41">
        <f t="shared" si="33"/>
        <v>-2664.2367116209057</v>
      </c>
      <c r="AY266" s="41">
        <f t="shared" si="33"/>
        <v>-2730.8426294114283</v>
      </c>
      <c r="AZ266" s="41">
        <f t="shared" si="33"/>
        <v>-2799.1136951467142</v>
      </c>
      <c r="BA266" s="41">
        <f t="shared" si="33"/>
        <v>-2869.0915375253817</v>
      </c>
      <c r="BB266" s="41">
        <f t="shared" si="33"/>
        <v>-2940.8188259635158</v>
      </c>
      <c r="BC266" s="41">
        <f t="shared" si="33"/>
        <v>-3014.3392966126034</v>
      </c>
      <c r="BD266" s="41">
        <f t="shared" si="33"/>
        <v>-3089.6977790279184</v>
      </c>
      <c r="BE266" s="41">
        <f t="shared" si="33"/>
        <v>-3166.9402235036159</v>
      </c>
      <c r="BF266" s="41">
        <f t="shared" si="33"/>
        <v>-3246.113729091207</v>
      </c>
      <c r="BG266" s="41">
        <f t="shared" si="33"/>
        <v>-1663.6332861592432</v>
      </c>
    </row>
    <row r="267" spans="3:59" x14ac:dyDescent="0.25">
      <c r="C267" s="31" t="s">
        <v>251</v>
      </c>
      <c r="D267" s="32" t="s">
        <v>97</v>
      </c>
      <c r="G267" s="41">
        <f t="shared" si="32"/>
        <v>-1666.9307607304695</v>
      </c>
      <c r="X267" s="41">
        <f t="shared" ref="X267:BG267" si="34">-$E$129*$E$5/$E$112*X265*X$252</f>
        <v>0</v>
      </c>
      <c r="Y267" s="41">
        <f t="shared" si="34"/>
        <v>0</v>
      </c>
      <c r="Z267" s="41">
        <f t="shared" si="34"/>
        <v>0</v>
      </c>
      <c r="AA267" s="41">
        <f t="shared" si="34"/>
        <v>0</v>
      </c>
      <c r="AB267" s="41">
        <f t="shared" si="34"/>
        <v>0</v>
      </c>
      <c r="AC267" s="41">
        <f t="shared" si="34"/>
        <v>-18.75</v>
      </c>
      <c r="AD267" s="41">
        <f t="shared" si="34"/>
        <v>-38.4375</v>
      </c>
      <c r="AE267" s="41">
        <f t="shared" si="34"/>
        <v>-39.3984375</v>
      </c>
      <c r="AF267" s="41">
        <f t="shared" si="34"/>
        <v>-40.383398437499999</v>
      </c>
      <c r="AG267" s="41">
        <f t="shared" si="34"/>
        <v>-41.392983398437494</v>
      </c>
      <c r="AH267" s="41">
        <f t="shared" si="34"/>
        <v>-42.427807983398424</v>
      </c>
      <c r="AI267" s="41">
        <f t="shared" si="34"/>
        <v>-43.488503182983379</v>
      </c>
      <c r="AJ267" s="41">
        <f t="shared" si="34"/>
        <v>-44.575715762557969</v>
      </c>
      <c r="AK267" s="41">
        <f t="shared" si="34"/>
        <v>-45.690108656621916</v>
      </c>
      <c r="AL267" s="41">
        <f t="shared" si="34"/>
        <v>-46.83236137303745</v>
      </c>
      <c r="AM267" s="41">
        <f t="shared" si="34"/>
        <v>-48.003170407363392</v>
      </c>
      <c r="AN267" s="41">
        <f t="shared" si="34"/>
        <v>-49.203249667547475</v>
      </c>
      <c r="AO267" s="41">
        <f t="shared" si="34"/>
        <v>-50.433330909236155</v>
      </c>
      <c r="AP267" s="41">
        <f t="shared" si="34"/>
        <v>-51.694164181967061</v>
      </c>
      <c r="AQ267" s="41">
        <f t="shared" si="34"/>
        <v>-52.98651828651623</v>
      </c>
      <c r="AR267" s="41">
        <f t="shared" si="34"/>
        <v>-54.311181243679144</v>
      </c>
      <c r="AS267" s="41">
        <f t="shared" si="34"/>
        <v>-55.668960774771115</v>
      </c>
      <c r="AT267" s="41">
        <f t="shared" si="34"/>
        <v>-57.060684794140386</v>
      </c>
      <c r="AU267" s="41">
        <f t="shared" si="34"/>
        <v>-58.4872019139939</v>
      </c>
      <c r="AV267" s="41">
        <f t="shared" si="34"/>
        <v>-59.949381961843748</v>
      </c>
      <c r="AW267" s="41">
        <f t="shared" si="34"/>
        <v>-61.448116510889832</v>
      </c>
      <c r="AX267" s="41">
        <f t="shared" si="34"/>
        <v>-62.984319423662072</v>
      </c>
      <c r="AY267" s="41">
        <f t="shared" si="34"/>
        <v>-64.558927409253627</v>
      </c>
      <c r="AZ267" s="41">
        <f t="shared" si="34"/>
        <v>-66.172900594484972</v>
      </c>
      <c r="BA267" s="41">
        <f t="shared" si="34"/>
        <v>-67.827223109347088</v>
      </c>
      <c r="BB267" s="41">
        <f t="shared" si="34"/>
        <v>-69.522903687080756</v>
      </c>
      <c r="BC267" s="41">
        <f t="shared" si="34"/>
        <v>-71.260976279257761</v>
      </c>
      <c r="BD267" s="41">
        <f t="shared" si="34"/>
        <v>-73.042500686239208</v>
      </c>
      <c r="BE267" s="41">
        <f t="shared" si="34"/>
        <v>-74.868563203395183</v>
      </c>
      <c r="BF267" s="41">
        <f t="shared" si="34"/>
        <v>-76.740277283480069</v>
      </c>
      <c r="BG267" s="41">
        <f t="shared" si="34"/>
        <v>-39.329392107783526</v>
      </c>
    </row>
    <row r="268" spans="3:59" x14ac:dyDescent="0.25">
      <c r="C268" s="31" t="s">
        <v>252</v>
      </c>
      <c r="D268" s="32" t="s">
        <v>97</v>
      </c>
      <c r="G268" s="41">
        <f t="shared" si="32"/>
        <v>-31636.300794908726</v>
      </c>
      <c r="X268" s="41">
        <f t="shared" ref="X268:BG268" si="35">-X262*($E$130+$E$131)*X265</f>
        <v>0</v>
      </c>
      <c r="Y268" s="41">
        <f t="shared" si="35"/>
        <v>0</v>
      </c>
      <c r="Z268" s="41">
        <f t="shared" si="35"/>
        <v>0</v>
      </c>
      <c r="AA268" s="41">
        <f t="shared" si="35"/>
        <v>0</v>
      </c>
      <c r="AB268" s="41">
        <f t="shared" si="35"/>
        <v>0</v>
      </c>
      <c r="AC268" s="41">
        <f t="shared" si="35"/>
        <v>-373.08600000000001</v>
      </c>
      <c r="AD268" s="41">
        <f t="shared" si="35"/>
        <v>-764.82629999999995</v>
      </c>
      <c r="AE268" s="41">
        <f t="shared" si="35"/>
        <v>-781.59511662750003</v>
      </c>
      <c r="AF268" s="41">
        <f t="shared" si="35"/>
        <v>-798.73158955955785</v>
      </c>
      <c r="AG268" s="41">
        <f t="shared" si="35"/>
        <v>-816.24377966065106</v>
      </c>
      <c r="AH268" s="41">
        <f t="shared" si="35"/>
        <v>-834.13992452971092</v>
      </c>
      <c r="AI268" s="41">
        <f t="shared" si="35"/>
        <v>-852.42844237502459</v>
      </c>
      <c r="AJ268" s="41">
        <f t="shared" si="35"/>
        <v>-871.11793597409712</v>
      </c>
      <c r="AK268" s="41">
        <f t="shared" si="35"/>
        <v>-890.21719672032907</v>
      </c>
      <c r="AL268" s="41">
        <f t="shared" si="35"/>
        <v>-909.73520875842212</v>
      </c>
      <c r="AM268" s="41">
        <f t="shared" si="35"/>
        <v>-929.68115321045047</v>
      </c>
      <c r="AN268" s="41">
        <f t="shared" si="35"/>
        <v>-950.06441249458987</v>
      </c>
      <c r="AO268" s="41">
        <f t="shared" si="35"/>
        <v>-970.89457473853372</v>
      </c>
      <c r="AP268" s="41">
        <f t="shared" si="35"/>
        <v>-992.18143828967573</v>
      </c>
      <c r="AQ268" s="41">
        <f t="shared" si="35"/>
        <v>-1013.9350163241767</v>
      </c>
      <c r="AR268" s="41">
        <f t="shared" si="35"/>
        <v>-1036.1655415570847</v>
      </c>
      <c r="AS268" s="41">
        <f t="shared" si="35"/>
        <v>-1058.8834710557237</v>
      </c>
      <c r="AT268" s="41">
        <f t="shared" si="35"/>
        <v>-1082.0994911586201</v>
      </c>
      <c r="AU268" s="41">
        <f t="shared" si="35"/>
        <v>-1105.8245225022731</v>
      </c>
      <c r="AV268" s="41">
        <f t="shared" si="35"/>
        <v>-1130.0697251581355</v>
      </c>
      <c r="AW268" s="41">
        <f t="shared" si="35"/>
        <v>-1154.8465038822274</v>
      </c>
      <c r="AX268" s="41">
        <f t="shared" si="35"/>
        <v>-1180.166513479845</v>
      </c>
      <c r="AY268" s="41">
        <f t="shared" si="35"/>
        <v>-1206.0416642878904</v>
      </c>
      <c r="AZ268" s="41">
        <f t="shared" si="35"/>
        <v>-1232.4841277774028</v>
      </c>
      <c r="BA268" s="41">
        <f t="shared" si="35"/>
        <v>-1259.5063422789221</v>
      </c>
      <c r="BB268" s="41">
        <f t="shared" si="35"/>
        <v>-1287.1210188333873</v>
      </c>
      <c r="BC268" s="41">
        <f t="shared" si="35"/>
        <v>-1315.3411471713091</v>
      </c>
      <c r="BD268" s="41">
        <f t="shared" si="35"/>
        <v>-1344.1800018230404</v>
      </c>
      <c r="BE268" s="41">
        <f t="shared" si="35"/>
        <v>-1373.6511483630104</v>
      </c>
      <c r="BF268" s="41">
        <f t="shared" si="35"/>
        <v>-1403.7684497908692</v>
      </c>
      <c r="BG268" s="41">
        <f t="shared" si="35"/>
        <v>-717.27303652626688</v>
      </c>
    </row>
    <row r="269" spans="3:59" x14ac:dyDescent="0.25">
      <c r="C269" s="31" t="s">
        <v>167</v>
      </c>
      <c r="D269" s="32" t="s">
        <v>97</v>
      </c>
      <c r="G269" s="41">
        <f t="shared" si="32"/>
        <v>-449.3173334846648</v>
      </c>
      <c r="X269" s="41">
        <f t="shared" ref="X269:BG269" si="36">-X264*$E$132</f>
        <v>0</v>
      </c>
      <c r="Y269" s="41">
        <f t="shared" si="36"/>
        <v>0</v>
      </c>
      <c r="Z269" s="41">
        <f t="shared" si="36"/>
        <v>0</v>
      </c>
      <c r="AA269" s="41">
        <f t="shared" si="36"/>
        <v>0</v>
      </c>
      <c r="AB269" s="41">
        <f t="shared" si="36"/>
        <v>0</v>
      </c>
      <c r="AC269" s="41">
        <f t="shared" si="36"/>
        <v>-6.7155480000000001</v>
      </c>
      <c r="AD269" s="41">
        <f t="shared" si="36"/>
        <v>-13.565406960000001</v>
      </c>
      <c r="AE269" s="41">
        <f t="shared" si="36"/>
        <v>-13.659957846511201</v>
      </c>
      <c r="AF269" s="41">
        <f t="shared" si="36"/>
        <v>-13.755167752701382</v>
      </c>
      <c r="AG269" s="41">
        <f t="shared" si="36"/>
        <v>-13.851041271937712</v>
      </c>
      <c r="AH269" s="41">
        <f t="shared" si="36"/>
        <v>-13.94758302960312</v>
      </c>
      <c r="AI269" s="41">
        <f t="shared" si="36"/>
        <v>-14.044797683319452</v>
      </c>
      <c r="AJ269" s="41">
        <f t="shared" si="36"/>
        <v>-14.142689923172187</v>
      </c>
      <c r="AK269" s="41">
        <f t="shared" si="36"/>
        <v>-14.241264471936701</v>
      </c>
      <c r="AL269" s="41">
        <f t="shared" si="36"/>
        <v>-14.340526085306101</v>
      </c>
      <c r="AM269" s="41">
        <f t="shared" si="36"/>
        <v>-14.440479552120681</v>
      </c>
      <c r="AN269" s="41">
        <f t="shared" si="36"/>
        <v>-14.541129694598963</v>
      </c>
      <c r="AO269" s="41">
        <f t="shared" si="36"/>
        <v>-14.642481368570321</v>
      </c>
      <c r="AP269" s="41">
        <f t="shared" si="36"/>
        <v>-14.744539463709252</v>
      </c>
      <c r="AQ269" s="41">
        <f t="shared" si="36"/>
        <v>-14.847308903771307</v>
      </c>
      <c r="AR269" s="41">
        <f t="shared" si="36"/>
        <v>-14.950794646830593</v>
      </c>
      <c r="AS269" s="41">
        <f t="shared" si="36"/>
        <v>-15.055001685519004</v>
      </c>
      <c r="AT269" s="41">
        <f t="shared" si="36"/>
        <v>-15.159935047267075</v>
      </c>
      <c r="AU269" s="41">
        <f t="shared" si="36"/>
        <v>-15.265599794546526</v>
      </c>
      <c r="AV269" s="41">
        <f t="shared" si="36"/>
        <v>-15.372001025114512</v>
      </c>
      <c r="AW269" s="41">
        <f t="shared" si="36"/>
        <v>-15.479143872259563</v>
      </c>
      <c r="AX269" s="41">
        <f t="shared" si="36"/>
        <v>-15.587033505049209</v>
      </c>
      <c r="AY269" s="41">
        <f t="shared" si="36"/>
        <v>-15.695675128579405</v>
      </c>
      <c r="AZ269" s="41">
        <f t="shared" si="36"/>
        <v>-15.805073984225601</v>
      </c>
      <c r="BA269" s="41">
        <f t="shared" si="36"/>
        <v>-15.915235349895656</v>
      </c>
      <c r="BB269" s="41">
        <f t="shared" si="36"/>
        <v>-16.026164540284434</v>
      </c>
      <c r="BC269" s="41">
        <f t="shared" si="36"/>
        <v>-16.137866907130213</v>
      </c>
      <c r="BD269" s="41">
        <f t="shared" si="36"/>
        <v>-16.250347839472909</v>
      </c>
      <c r="BE269" s="41">
        <f t="shared" si="36"/>
        <v>-16.363612763914038</v>
      </c>
      <c r="BF269" s="41">
        <f t="shared" si="36"/>
        <v>-16.477667144878517</v>
      </c>
      <c r="BG269" s="41">
        <f t="shared" si="36"/>
        <v>-8.296258242439162</v>
      </c>
    </row>
    <row r="270" spans="3:59" x14ac:dyDescent="0.25">
      <c r="C270" s="31" t="s">
        <v>253</v>
      </c>
      <c r="D270" s="32" t="s">
        <v>97</v>
      </c>
      <c r="G270" s="41">
        <f t="shared" si="32"/>
        <v>-5213.1860034011361</v>
      </c>
      <c r="X270" s="41">
        <f t="shared" ref="X270:BG270" si="37">SUM(X266:X269)*$E$134</f>
        <v>0</v>
      </c>
      <c r="Y270" s="41">
        <f t="shared" si="37"/>
        <v>0</v>
      </c>
      <c r="Z270" s="41">
        <f t="shared" si="37"/>
        <v>0</v>
      </c>
      <c r="AA270" s="41">
        <f t="shared" si="37"/>
        <v>0</v>
      </c>
      <c r="AB270" s="41">
        <f t="shared" si="37"/>
        <v>0</v>
      </c>
      <c r="AC270" s="41">
        <f t="shared" si="37"/>
        <v>-59.583827399999997</v>
      </c>
      <c r="AD270" s="41">
        <f t="shared" si="37"/>
        <v>-122.13677284799999</v>
      </c>
      <c r="AE270" s="41">
        <f t="shared" si="37"/>
        <v>-125.06037091120056</v>
      </c>
      <c r="AF270" s="41">
        <f t="shared" si="37"/>
        <v>-128.05439548280046</v>
      </c>
      <c r="AG270" s="41">
        <f t="shared" si="37"/>
        <v>-131.12055010424663</v>
      </c>
      <c r="AH270" s="41">
        <f t="shared" si="37"/>
        <v>-134.2605796620233</v>
      </c>
      <c r="AI270" s="41">
        <f t="shared" si="37"/>
        <v>-137.47627139407624</v>
      </c>
      <c r="AJ270" s="41">
        <f t="shared" si="37"/>
        <v>-140.76945592080151</v>
      </c>
      <c r="AK270" s="41">
        <f t="shared" si="37"/>
        <v>-144.14200830119975</v>
      </c>
      <c r="AL270" s="41">
        <f t="shared" si="37"/>
        <v>-147.59584911481249</v>
      </c>
      <c r="AM270" s="41">
        <f t="shared" si="37"/>
        <v>-151.13294557007032</v>
      </c>
      <c r="AN270" s="41">
        <f t="shared" si="37"/>
        <v>-154.75531263969972</v>
      </c>
      <c r="AO270" s="41">
        <f t="shared" si="37"/>
        <v>-158.46501422385151</v>
      </c>
      <c r="AP270" s="41">
        <f t="shared" si="37"/>
        <v>-162.26416434162797</v>
      </c>
      <c r="AQ270" s="41">
        <f t="shared" si="37"/>
        <v>-166.15492835170505</v>
      </c>
      <c r="AR270" s="41">
        <f t="shared" si="37"/>
        <v>-170.13952420276112</v>
      </c>
      <c r="AS270" s="41">
        <f t="shared" si="37"/>
        <v>-174.22022371444163</v>
      </c>
      <c r="AT270" s="41">
        <f t="shared" si="37"/>
        <v>-178.39935388960831</v>
      </c>
      <c r="AU270" s="41">
        <f t="shared" si="37"/>
        <v>-182.6792982586378</v>
      </c>
      <c r="AV270" s="41">
        <f t="shared" si="37"/>
        <v>-187.06249825655422</v>
      </c>
      <c r="AW270" s="41">
        <f t="shared" si="37"/>
        <v>-191.55145463380086</v>
      </c>
      <c r="AX270" s="41">
        <f t="shared" si="37"/>
        <v>-196.14872890147308</v>
      </c>
      <c r="AY270" s="41">
        <f t="shared" si="37"/>
        <v>-200.8569448118576</v>
      </c>
      <c r="AZ270" s="41">
        <f t="shared" si="37"/>
        <v>-205.67878987514138</v>
      </c>
      <c r="BA270" s="41">
        <f t="shared" si="37"/>
        <v>-210.61701691317731</v>
      </c>
      <c r="BB270" s="41">
        <f t="shared" si="37"/>
        <v>-215.67444565121343</v>
      </c>
      <c r="BC270" s="41">
        <f t="shared" si="37"/>
        <v>-220.85396434851501</v>
      </c>
      <c r="BD270" s="41">
        <f t="shared" si="37"/>
        <v>-226.15853146883356</v>
      </c>
      <c r="BE270" s="41">
        <f t="shared" si="37"/>
        <v>-231.59117739169679</v>
      </c>
      <c r="BF270" s="41">
        <f t="shared" si="37"/>
        <v>-237.15500616552174</v>
      </c>
      <c r="BG270" s="41">
        <f t="shared" si="37"/>
        <v>-121.42659865178665</v>
      </c>
    </row>
    <row r="271" spans="3:59" x14ac:dyDescent="0.25">
      <c r="C271" s="31" t="s">
        <v>254</v>
      </c>
      <c r="D271" s="32" t="s">
        <v>97</v>
      </c>
      <c r="G271" s="41">
        <f t="shared" si="32"/>
        <v>-12881.555027488463</v>
      </c>
      <c r="X271" s="41">
        <f t="shared" ref="X271:BG271" si="38">-X262*$E$10</f>
        <v>0</v>
      </c>
      <c r="Y271" s="41">
        <f t="shared" si="38"/>
        <v>0</v>
      </c>
      <c r="Z271" s="41">
        <f t="shared" si="38"/>
        <v>0</v>
      </c>
      <c r="AA271" s="41">
        <f t="shared" si="38"/>
        <v>0</v>
      </c>
      <c r="AB271" s="41">
        <f t="shared" si="38"/>
        <v>0</v>
      </c>
      <c r="AC271" s="41">
        <f t="shared" si="38"/>
        <v>-223.85159999999999</v>
      </c>
      <c r="AD271" s="41">
        <f t="shared" si="38"/>
        <v>-447.70319999999998</v>
      </c>
      <c r="AE271" s="41">
        <f t="shared" si="38"/>
        <v>-446.36009040000005</v>
      </c>
      <c r="AF271" s="41">
        <f t="shared" si="38"/>
        <v>-445.02101012879996</v>
      </c>
      <c r="AG271" s="41">
        <f t="shared" si="38"/>
        <v>-443.68594709841352</v>
      </c>
      <c r="AH271" s="41">
        <f t="shared" si="38"/>
        <v>-442.35488925711843</v>
      </c>
      <c r="AI271" s="41">
        <f t="shared" si="38"/>
        <v>-441.02782458934695</v>
      </c>
      <c r="AJ271" s="41">
        <f t="shared" si="38"/>
        <v>-439.70474111557894</v>
      </c>
      <c r="AK271" s="41">
        <f t="shared" si="38"/>
        <v>-438.38562689223227</v>
      </c>
      <c r="AL271" s="41">
        <f t="shared" si="38"/>
        <v>-437.07047001155559</v>
      </c>
      <c r="AM271" s="41">
        <f t="shared" si="38"/>
        <v>-435.75925860152086</v>
      </c>
      <c r="AN271" s="41">
        <f t="shared" si="38"/>
        <v>-434.45198082571642</v>
      </c>
      <c r="AO271" s="41">
        <f t="shared" si="38"/>
        <v>-433.14862488323922</v>
      </c>
      <c r="AP271" s="41">
        <f t="shared" si="38"/>
        <v>-431.84917900858943</v>
      </c>
      <c r="AQ271" s="41">
        <f t="shared" si="38"/>
        <v>-430.55363147156368</v>
      </c>
      <c r="AR271" s="41">
        <f t="shared" si="38"/>
        <v>-429.2619705771491</v>
      </c>
      <c r="AS271" s="41">
        <f t="shared" si="38"/>
        <v>-427.97418466541762</v>
      </c>
      <c r="AT271" s="41">
        <f t="shared" si="38"/>
        <v>-426.6902621114213</v>
      </c>
      <c r="AU271" s="41">
        <f t="shared" si="38"/>
        <v>-425.41019132508711</v>
      </c>
      <c r="AV271" s="41">
        <f t="shared" si="38"/>
        <v>-424.13396075111183</v>
      </c>
      <c r="AW271" s="41">
        <f t="shared" si="38"/>
        <v>-422.86155886885854</v>
      </c>
      <c r="AX271" s="41">
        <f t="shared" si="38"/>
        <v>-421.59297419225186</v>
      </c>
      <c r="AY271" s="41">
        <f t="shared" si="38"/>
        <v>-420.32819526967512</v>
      </c>
      <c r="AZ271" s="41">
        <f t="shared" si="38"/>
        <v>-419.06721068386611</v>
      </c>
      <c r="BA271" s="41">
        <f t="shared" si="38"/>
        <v>-417.81000905181452</v>
      </c>
      <c r="BB271" s="41">
        <f t="shared" si="38"/>
        <v>-416.55657902465907</v>
      </c>
      <c r="BC271" s="41">
        <f t="shared" si="38"/>
        <v>-415.30690928758509</v>
      </c>
      <c r="BD271" s="41">
        <f t="shared" si="38"/>
        <v>-414.06098855972243</v>
      </c>
      <c r="BE271" s="41">
        <f t="shared" si="38"/>
        <v>-412.81880559404328</v>
      </c>
      <c r="BF271" s="41">
        <f t="shared" si="38"/>
        <v>-411.58034917726104</v>
      </c>
      <c r="BG271" s="41">
        <f t="shared" si="38"/>
        <v>-205.17280406486464</v>
      </c>
    </row>
    <row r="272" spans="3:59" x14ac:dyDescent="0.25">
      <c r="C272" s="31" t="s">
        <v>169</v>
      </c>
      <c r="D272" s="32" t="s">
        <v>97</v>
      </c>
      <c r="G272" s="41">
        <f t="shared" si="32"/>
        <v>-8986.3466696932937</v>
      </c>
      <c r="X272" s="41">
        <f t="shared" ref="X272:BG272" si="39">-X264*$E$133</f>
        <v>0</v>
      </c>
      <c r="Y272" s="41">
        <f t="shared" si="39"/>
        <v>0</v>
      </c>
      <c r="Z272" s="41">
        <f t="shared" si="39"/>
        <v>0</v>
      </c>
      <c r="AA272" s="41">
        <f t="shared" si="39"/>
        <v>0</v>
      </c>
      <c r="AB272" s="41">
        <f t="shared" si="39"/>
        <v>0</v>
      </c>
      <c r="AC272" s="41">
        <f t="shared" si="39"/>
        <v>-134.31095999999999</v>
      </c>
      <c r="AD272" s="41">
        <f t="shared" si="39"/>
        <v>-271.30813920000003</v>
      </c>
      <c r="AE272" s="41">
        <f t="shared" si="39"/>
        <v>-273.19915693022404</v>
      </c>
      <c r="AF272" s="41">
        <f t="shared" si="39"/>
        <v>-275.10335505402765</v>
      </c>
      <c r="AG272" s="41">
        <f t="shared" si="39"/>
        <v>-277.02082543875423</v>
      </c>
      <c r="AH272" s="41">
        <f t="shared" si="39"/>
        <v>-278.95166059206241</v>
      </c>
      <c r="AI272" s="41">
        <f t="shared" si="39"/>
        <v>-280.89595366638906</v>
      </c>
      <c r="AJ272" s="41">
        <f t="shared" si="39"/>
        <v>-282.8537984634437</v>
      </c>
      <c r="AK272" s="41">
        <f t="shared" si="39"/>
        <v>-284.82528943873399</v>
      </c>
      <c r="AL272" s="41">
        <f t="shared" si="39"/>
        <v>-286.81052170612202</v>
      </c>
      <c r="AM272" s="41">
        <f t="shared" si="39"/>
        <v>-288.80959104241362</v>
      </c>
      <c r="AN272" s="41">
        <f t="shared" si="39"/>
        <v>-290.8225938919793</v>
      </c>
      <c r="AO272" s="41">
        <f t="shared" si="39"/>
        <v>-292.84962737140643</v>
      </c>
      <c r="AP272" s="41">
        <f t="shared" si="39"/>
        <v>-294.89078927418507</v>
      </c>
      <c r="AQ272" s="41">
        <f t="shared" si="39"/>
        <v>-296.94617807542613</v>
      </c>
      <c r="AR272" s="41">
        <f t="shared" si="39"/>
        <v>-299.01589293661186</v>
      </c>
      <c r="AS272" s="41">
        <f t="shared" si="39"/>
        <v>-301.1000337103801</v>
      </c>
      <c r="AT272" s="41">
        <f t="shared" si="39"/>
        <v>-303.1987009453415</v>
      </c>
      <c r="AU272" s="41">
        <f t="shared" si="39"/>
        <v>-305.31199589093052</v>
      </c>
      <c r="AV272" s="41">
        <f t="shared" si="39"/>
        <v>-307.44002050229022</v>
      </c>
      <c r="AW272" s="41">
        <f t="shared" si="39"/>
        <v>-309.58287744519129</v>
      </c>
      <c r="AX272" s="41">
        <f t="shared" si="39"/>
        <v>-311.74067010098418</v>
      </c>
      <c r="AY272" s="41">
        <f t="shared" si="39"/>
        <v>-313.91350257158808</v>
      </c>
      <c r="AZ272" s="41">
        <f t="shared" si="39"/>
        <v>-316.10147968451201</v>
      </c>
      <c r="BA272" s="41">
        <f t="shared" si="39"/>
        <v>-318.30470699791312</v>
      </c>
      <c r="BB272" s="41">
        <f t="shared" si="39"/>
        <v>-320.52329080568865</v>
      </c>
      <c r="BC272" s="41">
        <f t="shared" si="39"/>
        <v>-322.75733814260428</v>
      </c>
      <c r="BD272" s="41">
        <f t="shared" si="39"/>
        <v>-325.00695678945823</v>
      </c>
      <c r="BE272" s="41">
        <f t="shared" si="39"/>
        <v>-327.27225527828074</v>
      </c>
      <c r="BF272" s="41">
        <f t="shared" si="39"/>
        <v>-329.55334289757036</v>
      </c>
      <c r="BG272" s="41">
        <f t="shared" si="39"/>
        <v>-165.92516484878325</v>
      </c>
    </row>
    <row r="273" spans="3:59" x14ac:dyDescent="0.25">
      <c r="C273" s="45" t="s">
        <v>255</v>
      </c>
      <c r="D273" s="32" t="s">
        <v>97</v>
      </c>
      <c r="G273" s="46">
        <f t="shared" si="32"/>
        <v>317972.5257160592</v>
      </c>
      <c r="X273" s="46">
        <f t="shared" ref="X273:BG273" si="40">X264+SUM(X266:X272)</f>
        <v>0</v>
      </c>
      <c r="Y273" s="46">
        <f t="shared" si="40"/>
        <v>0</v>
      </c>
      <c r="Z273" s="46">
        <f t="shared" si="40"/>
        <v>0</v>
      </c>
      <c r="AA273" s="46">
        <f t="shared" si="40"/>
        <v>0</v>
      </c>
      <c r="AB273" s="46">
        <f t="shared" si="40"/>
        <v>0</v>
      </c>
      <c r="AC273" s="46">
        <f t="shared" si="40"/>
        <v>5106.1250645999999</v>
      </c>
      <c r="AD273" s="46">
        <f t="shared" si="40"/>
        <v>10281.523390992001</v>
      </c>
      <c r="AE273" s="46">
        <f t="shared" si="40"/>
        <v>10314.130810045765</v>
      </c>
      <c r="AF273" s="46">
        <f t="shared" si="40"/>
        <v>10345.901082379745</v>
      </c>
      <c r="AG273" s="46">
        <f t="shared" si="40"/>
        <v>10376.802947211363</v>
      </c>
      <c r="AH273" s="46">
        <f t="shared" si="40"/>
        <v>10406.804306851449</v>
      </c>
      <c r="AI273" s="46">
        <f t="shared" si="40"/>
        <v>10435.872205788115</v>
      </c>
      <c r="AJ273" s="46">
        <f t="shared" si="40"/>
        <v>10463.972809256331</v>
      </c>
      <c r="AK273" s="46">
        <f t="shared" si="40"/>
        <v>10491.071381280539</v>
      </c>
      <c r="AL273" s="46">
        <f t="shared" si="40"/>
        <v>10517.132262177362</v>
      </c>
      <c r="AM273" s="46">
        <f t="shared" si="40"/>
        <v>10542.118845505271</v>
      </c>
      <c r="AN273" s="46">
        <f t="shared" si="40"/>
        <v>10565.993554447574</v>
      </c>
      <c r="AO273" s="46">
        <f t="shared" si="40"/>
        <v>10588.717817614794</v>
      </c>
      <c r="AP273" s="46">
        <f t="shared" si="40"/>
        <v>10610.252044252291</v>
      </c>
      <c r="AQ273" s="46">
        <f t="shared" si="40"/>
        <v>10630.555598838511</v>
      </c>
      <c r="AR273" s="46">
        <f t="shared" si="40"/>
        <v>10649.586775058848</v>
      </c>
      <c r="AS273" s="46">
        <f t="shared" si="40"/>
        <v>10667.302769139933</v>
      </c>
      <c r="AT273" s="46">
        <f t="shared" si="40"/>
        <v>10683.659652528537</v>
      </c>
      <c r="AU273" s="46">
        <f t="shared" si="40"/>
        <v>10698.612343899116</v>
      </c>
      <c r="AV273" s="46">
        <f t="shared" si="40"/>
        <v>10712.114580473472</v>
      </c>
      <c r="AW273" s="46">
        <f t="shared" si="40"/>
        <v>10724.118888635696</v>
      </c>
      <c r="AX273" s="46">
        <f t="shared" si="40"/>
        <v>10734.576553825038</v>
      </c>
      <c r="AY273" s="46">
        <f t="shared" si="40"/>
        <v>10743.437589689132</v>
      </c>
      <c r="AZ273" s="46">
        <f t="shared" si="40"/>
        <v>10750.650706479253</v>
      </c>
      <c r="BA273" s="46">
        <f t="shared" si="40"/>
        <v>10756.163278669206</v>
      </c>
      <c r="BB273" s="46">
        <f t="shared" si="40"/>
        <v>10759.921311778604</v>
      </c>
      <c r="BC273" s="46">
        <f t="shared" si="40"/>
        <v>10761.86940838121</v>
      </c>
      <c r="BD273" s="46">
        <f t="shared" si="40"/>
        <v>10761.950733278225</v>
      </c>
      <c r="BE273" s="46">
        <f t="shared" si="40"/>
        <v>10760.106977816082</v>
      </c>
      <c r="BF273" s="46">
        <f t="shared" si="40"/>
        <v>10756.27832332773</v>
      </c>
      <c r="BG273" s="46">
        <f t="shared" si="40"/>
        <v>5375.2017018379947</v>
      </c>
    </row>
    <row r="274" spans="3:59" x14ac:dyDescent="0.25">
      <c r="C274" s="31" t="s">
        <v>273</v>
      </c>
      <c r="D274" s="32" t="s">
        <v>97</v>
      </c>
      <c r="G274" s="46">
        <f>SUM(X274:BG274)</f>
        <v>-98112.839212328807</v>
      </c>
      <c r="X274" s="41">
        <f>-($E$208-$E$200)/$E$101*MAX(0,MIN(X$251,$E$101*Months_In_Year)-MAX(X$251-Months_In_Year,0))/Months_In_Year</f>
        <v>0</v>
      </c>
      <c r="Y274" s="41">
        <f>-($E$208-$E$200)/$E$101*MAX(0,MIN(Y$251,$E$101*Months_In_Year)-MAX(Y$251-Months_In_Year,0))/Months_In_Year</f>
        <v>0</v>
      </c>
      <c r="Z274" s="41">
        <f>-($E$208-$E$200)/$E$101*MAX(0,MIN(Z$251,$E$101*Months_In_Year)-MAX(Z$251-Months_In_Year,0))/Months_In_Year</f>
        <v>0</v>
      </c>
      <c r="AA274" s="41">
        <f>-($E$208-$E$200)/$E$101*MAX(0,MIN(AA$251,$E$101*Months_In_Year)-MAX(AA$251-Months_In_Year,0))/Months_In_Year</f>
        <v>0</v>
      </c>
      <c r="AB274" s="41">
        <f>-($E$208-$E$200)/$E$101*MAX(0,MIN(AB$251,$E$101*Months_In_Year)-MAX(AB$251-Months_In_Year,0))/Months_In_Year</f>
        <v>0</v>
      </c>
      <c r="AC274" s="41">
        <f>-($E$208-$E$200)/$E$101*MAX(0,MIN(AC$251,$E$101*Months_In_Year)-MAX(AC$251-Months_In_Year,0))/Months_In_Year</f>
        <v>-2452.8209803082195</v>
      </c>
      <c r="AD274" s="41">
        <f>-($E$208-$E$200)/$E$101*MAX(0,MIN(AD$251,$E$101*Months_In_Year)-MAX(AD$251-Months_In_Year,0))/Months_In_Year</f>
        <v>-4905.6419606164391</v>
      </c>
      <c r="AE274" s="41">
        <f>-($E$208-$E$200)/$E$101*MAX(0,MIN(AE$251,$E$101*Months_In_Year)-MAX(AE$251-Months_In_Year,0))/Months_In_Year</f>
        <v>-4905.6419606164391</v>
      </c>
      <c r="AF274" s="41">
        <f>-($E$208-$E$200)/$E$101*MAX(0,MIN(AF$251,$E$101*Months_In_Year)-MAX(AF$251-Months_In_Year,0))/Months_In_Year</f>
        <v>-4905.6419606164391</v>
      </c>
      <c r="AG274" s="41">
        <f>-($E$208-$E$200)/$E$101*MAX(0,MIN(AG$251,$E$101*Months_In_Year)-MAX(AG$251-Months_In_Year,0))/Months_In_Year</f>
        <v>-4905.6419606164391</v>
      </c>
      <c r="AH274" s="41">
        <f>-($E$208-$E$200)/$E$101*MAX(0,MIN(AH$251,$E$101*Months_In_Year)-MAX(AH$251-Months_In_Year,0))/Months_In_Year</f>
        <v>-4905.6419606164391</v>
      </c>
      <c r="AI274" s="41">
        <f>-($E$208-$E$200)/$E$101*MAX(0,MIN(AI$251,$E$101*Months_In_Year)-MAX(AI$251-Months_In_Year,0))/Months_In_Year</f>
        <v>-4905.6419606164391</v>
      </c>
      <c r="AJ274" s="41">
        <f>-($E$208-$E$200)/$E$101*MAX(0,MIN(AJ$251,$E$101*Months_In_Year)-MAX(AJ$251-Months_In_Year,0))/Months_In_Year</f>
        <v>-4905.6419606164391</v>
      </c>
      <c r="AK274" s="41">
        <f>-($E$208-$E$200)/$E$101*MAX(0,MIN(AK$251,$E$101*Months_In_Year)-MAX(AK$251-Months_In_Year,0))/Months_In_Year</f>
        <v>-4905.6419606164391</v>
      </c>
      <c r="AL274" s="41">
        <f>-($E$208-$E$200)/$E$101*MAX(0,MIN(AL$251,$E$101*Months_In_Year)-MAX(AL$251-Months_In_Year,0))/Months_In_Year</f>
        <v>-4905.6419606164391</v>
      </c>
      <c r="AM274" s="41">
        <f>-($E$208-$E$200)/$E$101*MAX(0,MIN(AM$251,$E$101*Months_In_Year)-MAX(AM$251-Months_In_Year,0))/Months_In_Year</f>
        <v>-4905.6419606164391</v>
      </c>
      <c r="AN274" s="41">
        <f>-($E$208-$E$200)/$E$101*MAX(0,MIN(AN$251,$E$101*Months_In_Year)-MAX(AN$251-Months_In_Year,0))/Months_In_Year</f>
        <v>-4905.6419606164391</v>
      </c>
      <c r="AO274" s="41">
        <f>-($E$208-$E$200)/$E$101*MAX(0,MIN(AO$251,$E$101*Months_In_Year)-MAX(AO$251-Months_In_Year,0))/Months_In_Year</f>
        <v>-4905.6419606164391</v>
      </c>
      <c r="AP274" s="41">
        <f>-($E$208-$E$200)/$E$101*MAX(0,MIN(AP$251,$E$101*Months_In_Year)-MAX(AP$251-Months_In_Year,0))/Months_In_Year</f>
        <v>-4905.6419606164391</v>
      </c>
      <c r="AQ274" s="41">
        <f>-($E$208-$E$200)/$E$101*MAX(0,MIN(AQ$251,$E$101*Months_In_Year)-MAX(AQ$251-Months_In_Year,0))/Months_In_Year</f>
        <v>-4905.6419606164391</v>
      </c>
      <c r="AR274" s="41">
        <f>-($E$208-$E$200)/$E$101*MAX(0,MIN(AR$251,$E$101*Months_In_Year)-MAX(AR$251-Months_In_Year,0))/Months_In_Year</f>
        <v>-4905.6419606164391</v>
      </c>
      <c r="AS274" s="41">
        <f>-($E$208-$E$200)/$E$101*MAX(0,MIN(AS$251,$E$101*Months_In_Year)-MAX(AS$251-Months_In_Year,0))/Months_In_Year</f>
        <v>-4905.6419606164391</v>
      </c>
      <c r="AT274" s="41">
        <f>-($E$208-$E$200)/$E$101*MAX(0,MIN(AT$251,$E$101*Months_In_Year)-MAX(AT$251-Months_In_Year,0))/Months_In_Year</f>
        <v>-4905.6419606164391</v>
      </c>
      <c r="AU274" s="41">
        <f>-($E$208-$E$200)/$E$101*MAX(0,MIN(AU$251,$E$101*Months_In_Year)-MAX(AU$251-Months_In_Year,0))/Months_In_Year</f>
        <v>-4905.6419606164391</v>
      </c>
      <c r="AV274" s="41">
        <f>-($E$208-$E$200)/$E$101*MAX(0,MIN(AV$251,$E$101*Months_In_Year)-MAX(AV$251-Months_In_Year,0))/Months_In_Year</f>
        <v>-4905.6419606164391</v>
      </c>
      <c r="AW274" s="41">
        <f>-($E$208-$E$200)/$E$101*MAX(0,MIN(AW$251,$E$101*Months_In_Year)-MAX(AW$251-Months_In_Year,0))/Months_In_Year</f>
        <v>-2452.8209803082195</v>
      </c>
      <c r="AX274" s="41">
        <f>-($E$208-$E$200)/$E$101*MAX(0,MIN(AX$251,$E$101*Months_In_Year)-MAX(AX$251-Months_In_Year,0))/Months_In_Year</f>
        <v>0</v>
      </c>
      <c r="AY274" s="41">
        <f>-($E$208-$E$200)/$E$101*MAX(0,MIN(AY$251,$E$101*Months_In_Year)-MAX(AY$251-Months_In_Year,0))/Months_In_Year</f>
        <v>0</v>
      </c>
      <c r="AZ274" s="41">
        <f>-($E$208-$E$200)/$E$101*MAX(0,MIN(AZ$251,$E$101*Months_In_Year)-MAX(AZ$251-Months_In_Year,0))/Months_In_Year</f>
        <v>0</v>
      </c>
      <c r="BA274" s="41">
        <f>-($E$208-$E$200)/$E$101*MAX(0,MIN(BA$251,$E$101*Months_In_Year)-MAX(BA$251-Months_In_Year,0))/Months_In_Year</f>
        <v>0</v>
      </c>
      <c r="BB274" s="41">
        <f>-($E$208-$E$200)/$E$101*MAX(0,MIN(BB$251,$E$101*Months_In_Year)-MAX(BB$251-Months_In_Year,0))/Months_In_Year</f>
        <v>0</v>
      </c>
      <c r="BC274" s="41">
        <f>-($E$208-$E$200)/$E$101*MAX(0,MIN(BC$251,$E$101*Months_In_Year)-MAX(BC$251-Months_In_Year,0))/Months_In_Year</f>
        <v>0</v>
      </c>
      <c r="BD274" s="41">
        <f>-($E$208-$E$200)/$E$101*MAX(0,MIN(BD$251,$E$101*Months_In_Year)-MAX(BD$251-Months_In_Year,0))/Months_In_Year</f>
        <v>0</v>
      </c>
      <c r="BE274" s="41">
        <f>-($E$208-$E$200)/$E$101*MAX(0,MIN(BE$251,$E$101*Months_In_Year)-MAX(BE$251-Months_In_Year,0))/Months_In_Year</f>
        <v>0</v>
      </c>
      <c r="BF274" s="41">
        <f>-($E$208-$E$200)/$E$101*MAX(0,MIN(BF$251,$E$101*Months_In_Year)-MAX(BF$251-Months_In_Year,0))/Months_In_Year</f>
        <v>0</v>
      </c>
      <c r="BG274" s="41">
        <f>-($E$208-$E$200)/$E$101*MAX(0,MIN(BG$251,$E$101*Months_In_Year)-MAX(BG$251-Months_In_Year,0))/Months_In_Year</f>
        <v>0</v>
      </c>
    </row>
    <row r="275" spans="3:59" x14ac:dyDescent="0.25">
      <c r="C275" s="31" t="s">
        <v>274</v>
      </c>
      <c r="D275" s="32" t="s">
        <v>97</v>
      </c>
      <c r="G275" s="46">
        <f>SUM(X275:BG275)</f>
        <v>-32978.952975559565</v>
      </c>
      <c r="X275" s="41">
        <f>-MAX(0,X273+X274)*$E$100</f>
        <v>0</v>
      </c>
      <c r="Y275" s="41">
        <f t="shared" ref="Y275:BG275" si="41">-MAX(0,Y273+Y274)*$E$100</f>
        <v>0</v>
      </c>
      <c r="Z275" s="41">
        <f t="shared" si="41"/>
        <v>0</v>
      </c>
      <c r="AA275" s="41">
        <f t="shared" si="41"/>
        <v>0</v>
      </c>
      <c r="AB275" s="41">
        <f t="shared" si="41"/>
        <v>0</v>
      </c>
      <c r="AC275" s="41">
        <f t="shared" si="41"/>
        <v>-397.99561264376706</v>
      </c>
      <c r="AD275" s="41">
        <f t="shared" si="41"/>
        <v>-806.38221455633425</v>
      </c>
      <c r="AE275" s="41">
        <f t="shared" si="41"/>
        <v>-811.27332741439875</v>
      </c>
      <c r="AF275" s="41">
        <f t="shared" si="41"/>
        <v>-816.03886826449593</v>
      </c>
      <c r="AG275" s="41">
        <f t="shared" si="41"/>
        <v>-820.67414798923858</v>
      </c>
      <c r="AH275" s="41">
        <f t="shared" si="41"/>
        <v>-825.17435193525148</v>
      </c>
      <c r="AI275" s="41">
        <f t="shared" si="41"/>
        <v>-829.53453677575135</v>
      </c>
      <c r="AJ275" s="41">
        <f t="shared" si="41"/>
        <v>-833.74962729598371</v>
      </c>
      <c r="AK275" s="41">
        <f t="shared" si="41"/>
        <v>-837.81441309961497</v>
      </c>
      <c r="AL275" s="41">
        <f t="shared" si="41"/>
        <v>-841.72354523413833</v>
      </c>
      <c r="AM275" s="41">
        <f t="shared" si="41"/>
        <v>-845.47153273332469</v>
      </c>
      <c r="AN275" s="41">
        <f t="shared" si="41"/>
        <v>-849.05273907467017</v>
      </c>
      <c r="AO275" s="41">
        <f t="shared" si="41"/>
        <v>-852.46137854975314</v>
      </c>
      <c r="AP275" s="41">
        <f t="shared" si="41"/>
        <v>-855.6915125453778</v>
      </c>
      <c r="AQ275" s="41">
        <f t="shared" si="41"/>
        <v>-858.73704573331077</v>
      </c>
      <c r="AR275" s="41">
        <f t="shared" si="41"/>
        <v>-861.59172216636125</v>
      </c>
      <c r="AS275" s="41">
        <f t="shared" si="41"/>
        <v>-864.24912127852406</v>
      </c>
      <c r="AT275" s="41">
        <f t="shared" si="41"/>
        <v>-866.70265378681461</v>
      </c>
      <c r="AU275" s="41">
        <f t="shared" si="41"/>
        <v>-868.94555749240158</v>
      </c>
      <c r="AV275" s="41">
        <f t="shared" si="41"/>
        <v>-870.97089297855484</v>
      </c>
      <c r="AW275" s="41">
        <f t="shared" si="41"/>
        <v>-1240.6946862491216</v>
      </c>
      <c r="AX275" s="41">
        <f t="shared" si="41"/>
        <v>-1610.1864830737557</v>
      </c>
      <c r="AY275" s="41">
        <f t="shared" si="41"/>
        <v>-1611.5156384533698</v>
      </c>
      <c r="AZ275" s="41">
        <f t="shared" si="41"/>
        <v>-1612.597605971888</v>
      </c>
      <c r="BA275" s="41">
        <f t="shared" si="41"/>
        <v>-1613.4244918003808</v>
      </c>
      <c r="BB275" s="41">
        <f t="shared" si="41"/>
        <v>-1613.9881967667905</v>
      </c>
      <c r="BC275" s="41">
        <f t="shared" si="41"/>
        <v>-1614.2804112571814</v>
      </c>
      <c r="BD275" s="41">
        <f t="shared" si="41"/>
        <v>-1614.2926099917338</v>
      </c>
      <c r="BE275" s="41">
        <f t="shared" si="41"/>
        <v>-1614.0160466724121</v>
      </c>
      <c r="BF275" s="41">
        <f t="shared" si="41"/>
        <v>-1613.4417484991593</v>
      </c>
      <c r="BG275" s="41">
        <f t="shared" si="41"/>
        <v>-806.28025527569923</v>
      </c>
    </row>
    <row r="276" spans="3:59" x14ac:dyDescent="0.25">
      <c r="C276" s="45" t="s">
        <v>256</v>
      </c>
      <c r="D276" s="32" t="s">
        <v>97</v>
      </c>
      <c r="G276" s="46">
        <f t="shared" si="32"/>
        <v>218907.93650373042</v>
      </c>
      <c r="X276" s="46">
        <f t="shared" ref="X276:BG276" si="42">X260+X273</f>
        <v>-769.49315068493149</v>
      </c>
      <c r="Y276" s="46">
        <f t="shared" si="42"/>
        <v>-4061.5342465753424</v>
      </c>
      <c r="Z276" s="46">
        <f t="shared" si="42"/>
        <v>-3359.8191780821917</v>
      </c>
      <c r="AA276" s="46">
        <f t="shared" si="42"/>
        <v>-22857.528125000001</v>
      </c>
      <c r="AB276" s="46">
        <f t="shared" si="42"/>
        <v>-45715.056250000001</v>
      </c>
      <c r="AC276" s="46">
        <f t="shared" si="42"/>
        <v>-20251.4030604</v>
      </c>
      <c r="AD276" s="46">
        <f t="shared" si="42"/>
        <v>10281.523390992001</v>
      </c>
      <c r="AE276" s="46">
        <f t="shared" si="42"/>
        <v>13370.500673059463</v>
      </c>
      <c r="AF276" s="46">
        <f t="shared" si="42"/>
        <v>10345.901082379745</v>
      </c>
      <c r="AG276" s="46">
        <f t="shared" si="42"/>
        <v>10376.802947211363</v>
      </c>
      <c r="AH276" s="46">
        <f t="shared" si="42"/>
        <v>10406.804306851449</v>
      </c>
      <c r="AI276" s="46">
        <f t="shared" si="42"/>
        <v>10435.872205788115</v>
      </c>
      <c r="AJ276" s="46">
        <f t="shared" si="42"/>
        <v>10463.972809256331</v>
      </c>
      <c r="AK276" s="46">
        <f t="shared" si="42"/>
        <v>10491.071381280539</v>
      </c>
      <c r="AL276" s="46">
        <f t="shared" si="42"/>
        <v>10517.132262177362</v>
      </c>
      <c r="AM276" s="46">
        <f t="shared" si="42"/>
        <v>10542.118845505271</v>
      </c>
      <c r="AN276" s="46">
        <f t="shared" si="42"/>
        <v>10565.993554447574</v>
      </c>
      <c r="AO276" s="46">
        <f t="shared" si="42"/>
        <v>10588.717817614794</v>
      </c>
      <c r="AP276" s="46">
        <f t="shared" si="42"/>
        <v>10610.252044252291</v>
      </c>
      <c r="AQ276" s="46">
        <f t="shared" si="42"/>
        <v>10630.555598838511</v>
      </c>
      <c r="AR276" s="46">
        <f t="shared" si="42"/>
        <v>10649.586775058848</v>
      </c>
      <c r="AS276" s="46">
        <f t="shared" si="42"/>
        <v>10667.302769139933</v>
      </c>
      <c r="AT276" s="46">
        <f t="shared" si="42"/>
        <v>10683.659652528537</v>
      </c>
      <c r="AU276" s="46">
        <f t="shared" si="42"/>
        <v>10698.612343899116</v>
      </c>
      <c r="AV276" s="46">
        <f t="shared" si="42"/>
        <v>10712.114580473472</v>
      </c>
      <c r="AW276" s="46">
        <f t="shared" si="42"/>
        <v>10724.118888635696</v>
      </c>
      <c r="AX276" s="46">
        <f t="shared" si="42"/>
        <v>10734.576553825038</v>
      </c>
      <c r="AY276" s="46">
        <f t="shared" si="42"/>
        <v>10743.437589689132</v>
      </c>
      <c r="AZ276" s="46">
        <f t="shared" si="42"/>
        <v>10750.650706479253</v>
      </c>
      <c r="BA276" s="46">
        <f t="shared" si="42"/>
        <v>10756.163278669206</v>
      </c>
      <c r="BB276" s="46">
        <f t="shared" si="42"/>
        <v>10759.921311778604</v>
      </c>
      <c r="BC276" s="46">
        <f t="shared" si="42"/>
        <v>10761.86940838121</v>
      </c>
      <c r="BD276" s="46">
        <f t="shared" si="42"/>
        <v>10761.950733278225</v>
      </c>
      <c r="BE276" s="46">
        <f t="shared" si="42"/>
        <v>10760.106977816082</v>
      </c>
      <c r="BF276" s="46">
        <f t="shared" si="42"/>
        <v>10756.27832332773</v>
      </c>
      <c r="BG276" s="46">
        <f t="shared" si="42"/>
        <v>5375.2017018379947</v>
      </c>
    </row>
    <row r="277" spans="3:59" x14ac:dyDescent="0.25">
      <c r="C277" s="45" t="s">
        <v>275</v>
      </c>
      <c r="D277" s="32" t="s">
        <v>97</v>
      </c>
      <c r="G277" s="46">
        <f>SUM(X277:BG277)</f>
        <v>185928.98352817085</v>
      </c>
      <c r="X277" s="46">
        <f>X276+X275</f>
        <v>-769.49315068493149</v>
      </c>
      <c r="Y277" s="46">
        <f t="shared" ref="Y277:BG277" si="43">Y276+Y275</f>
        <v>-4061.5342465753424</v>
      </c>
      <c r="Z277" s="46">
        <f t="shared" si="43"/>
        <v>-3359.8191780821917</v>
      </c>
      <c r="AA277" s="46">
        <f t="shared" si="43"/>
        <v>-22857.528125000001</v>
      </c>
      <c r="AB277" s="46">
        <f t="shared" si="43"/>
        <v>-45715.056250000001</v>
      </c>
      <c r="AC277" s="46">
        <f t="shared" si="43"/>
        <v>-20649.398673043768</v>
      </c>
      <c r="AD277" s="46">
        <f t="shared" si="43"/>
        <v>9475.1411764356671</v>
      </c>
      <c r="AE277" s="46">
        <f t="shared" si="43"/>
        <v>12559.227345645064</v>
      </c>
      <c r="AF277" s="46">
        <f t="shared" si="43"/>
        <v>9529.86221411525</v>
      </c>
      <c r="AG277" s="46">
        <f t="shared" si="43"/>
        <v>9556.1287992221241</v>
      </c>
      <c r="AH277" s="46">
        <f t="shared" si="43"/>
        <v>9581.6299549161977</v>
      </c>
      <c r="AI277" s="46">
        <f t="shared" si="43"/>
        <v>9606.3376690123641</v>
      </c>
      <c r="AJ277" s="46">
        <f t="shared" si="43"/>
        <v>9630.2231819603476</v>
      </c>
      <c r="AK277" s="46">
        <f t="shared" si="43"/>
        <v>9653.2569681809236</v>
      </c>
      <c r="AL277" s="46">
        <f t="shared" si="43"/>
        <v>9675.4087169432241</v>
      </c>
      <c r="AM277" s="46">
        <f t="shared" si="43"/>
        <v>9696.6473127719455</v>
      </c>
      <c r="AN277" s="46">
        <f t="shared" si="43"/>
        <v>9716.9408153729037</v>
      </c>
      <c r="AO277" s="46">
        <f t="shared" si="43"/>
        <v>9736.2564390650405</v>
      </c>
      <c r="AP277" s="46">
        <f t="shared" si="43"/>
        <v>9754.560531706913</v>
      </c>
      <c r="AQ277" s="46">
        <f t="shared" si="43"/>
        <v>9771.8185531052004</v>
      </c>
      <c r="AR277" s="46">
        <f t="shared" si="43"/>
        <v>9787.9950528924855</v>
      </c>
      <c r="AS277" s="46">
        <f t="shared" si="43"/>
        <v>9803.0536478614085</v>
      </c>
      <c r="AT277" s="46">
        <f t="shared" si="43"/>
        <v>9816.9569987417217</v>
      </c>
      <c r="AU277" s="46">
        <f t="shared" si="43"/>
        <v>9829.6667864067149</v>
      </c>
      <c r="AV277" s="46">
        <f t="shared" si="43"/>
        <v>9841.1436874949159</v>
      </c>
      <c r="AW277" s="46">
        <f t="shared" si="43"/>
        <v>9483.4242023865736</v>
      </c>
      <c r="AX277" s="46">
        <f t="shared" si="43"/>
        <v>9124.3900707512821</v>
      </c>
      <c r="AY277" s="46">
        <f t="shared" si="43"/>
        <v>9131.9219512357631</v>
      </c>
      <c r="AZ277" s="46">
        <f t="shared" si="43"/>
        <v>9138.0531005073644</v>
      </c>
      <c r="BA277" s="46">
        <f t="shared" si="43"/>
        <v>9142.7387868688256</v>
      </c>
      <c r="BB277" s="46">
        <f t="shared" si="43"/>
        <v>9145.9331150118142</v>
      </c>
      <c r="BC277" s="46">
        <f t="shared" si="43"/>
        <v>9147.5889971240285</v>
      </c>
      <c r="BD277" s="46">
        <f t="shared" si="43"/>
        <v>9147.6581232864919</v>
      </c>
      <c r="BE277" s="46">
        <f t="shared" si="43"/>
        <v>9146.0909311436699</v>
      </c>
      <c r="BF277" s="46">
        <f t="shared" si="43"/>
        <v>9142.8365748285705</v>
      </c>
      <c r="BG277" s="46">
        <f t="shared" si="43"/>
        <v>4568.9214465622954</v>
      </c>
    </row>
    <row r="278" spans="3:59" x14ac:dyDescent="0.25">
      <c r="C278" s="31" t="s">
        <v>302</v>
      </c>
      <c r="D278" s="32" t="s">
        <v>97</v>
      </c>
      <c r="G278" s="46">
        <f>SUM(X278:BG278)</f>
        <v>0</v>
      </c>
      <c r="X278" s="41">
        <f>-$E$96*(MAX(0,SUM($X277:X277))-MAX(0,SUM($W277:W277)))</f>
        <v>0</v>
      </c>
      <c r="Y278" s="41">
        <f>-$E$96*(MAX(0,SUM($X277:Y277))-MAX(0,SUM($W277:X277)))</f>
        <v>0</v>
      </c>
      <c r="Z278" s="41">
        <f>-$E$96*(MAX(0,SUM($X277:Z277))-MAX(0,SUM($W277:Y277)))</f>
        <v>0</v>
      </c>
      <c r="AA278" s="41">
        <f>-$E$96*(MAX(0,SUM($X277:AA277))-MAX(0,SUM($W277:Z277)))</f>
        <v>0</v>
      </c>
      <c r="AB278" s="41">
        <f>-$E$96*(MAX(0,SUM($X277:AB277))-MAX(0,SUM($W277:AA277)))</f>
        <v>0</v>
      </c>
      <c r="AC278" s="41">
        <f>-$E$96*(MAX(0,SUM($X277:AC277))-MAX(0,SUM($W277:AB277)))</f>
        <v>0</v>
      </c>
      <c r="AD278" s="41">
        <f>-$E$96*(MAX(0,SUM($X277:AD277))-MAX(0,SUM($W277:AC277)))</f>
        <v>0</v>
      </c>
      <c r="AE278" s="41">
        <f>-$E$96*(MAX(0,SUM($X277:AE277))-MAX(0,SUM($W277:AD277)))</f>
        <v>0</v>
      </c>
      <c r="AF278" s="41">
        <f>-$E$96*(MAX(0,SUM($X277:AF277))-MAX(0,SUM($W277:AE277)))</f>
        <v>0</v>
      </c>
      <c r="AG278" s="41">
        <f>-$E$96*(MAX(0,SUM($X277:AG277))-MAX(0,SUM($W277:AF277)))</f>
        <v>0</v>
      </c>
      <c r="AH278" s="41">
        <f>-$E$96*(MAX(0,SUM($X277:AH277))-MAX(0,SUM($W277:AG277)))</f>
        <v>0</v>
      </c>
      <c r="AI278" s="41">
        <f>-$E$96*(MAX(0,SUM($X277:AI277))-MAX(0,SUM($W277:AH277)))</f>
        <v>0</v>
      </c>
      <c r="AJ278" s="41">
        <f>-$E$96*(MAX(0,SUM($X277:AJ277))-MAX(0,SUM($W277:AI277)))</f>
        <v>0</v>
      </c>
      <c r="AK278" s="41">
        <f>-$E$96*(MAX(0,SUM($X277:AK277))-MAX(0,SUM($W277:AJ277)))</f>
        <v>0</v>
      </c>
      <c r="AL278" s="41">
        <f>-$E$96*(MAX(0,SUM($X277:AL277))-MAX(0,SUM($W277:AK277)))</f>
        <v>0</v>
      </c>
      <c r="AM278" s="41">
        <f>-$E$96*(MAX(0,SUM($X277:AM277))-MAX(0,SUM($W277:AL277)))</f>
        <v>0</v>
      </c>
      <c r="AN278" s="41">
        <f>-$E$96*(MAX(0,SUM($X277:AN277))-MAX(0,SUM($W277:AM277)))</f>
        <v>0</v>
      </c>
      <c r="AO278" s="41">
        <f>-$E$96*(MAX(0,SUM($X277:AO277))-MAX(0,SUM($W277:AN277)))</f>
        <v>0</v>
      </c>
      <c r="AP278" s="41">
        <f>-$E$96*(MAX(0,SUM($X277:AP277))-MAX(0,SUM($W277:AO277)))</f>
        <v>0</v>
      </c>
      <c r="AQ278" s="41">
        <f>-$E$96*(MAX(0,SUM($X277:AQ277))-MAX(0,SUM($W277:AP277)))</f>
        <v>0</v>
      </c>
      <c r="AR278" s="41">
        <f>-$E$96*(MAX(0,SUM($X277:AR277))-MAX(0,SUM($W277:AQ277)))</f>
        <v>0</v>
      </c>
      <c r="AS278" s="41">
        <f>-$E$96*(MAX(0,SUM($X277:AS277))-MAX(0,SUM($W277:AR277)))</f>
        <v>0</v>
      </c>
      <c r="AT278" s="41">
        <f>-$E$96*(MAX(0,SUM($X277:AT277))-MAX(0,SUM($W277:AS277)))</f>
        <v>0</v>
      </c>
      <c r="AU278" s="41">
        <f>-$E$96*(MAX(0,SUM($X277:AU277))-MAX(0,SUM($W277:AT277)))</f>
        <v>0</v>
      </c>
      <c r="AV278" s="41">
        <f>-$E$96*(MAX(0,SUM($X277:AV277))-MAX(0,SUM($W277:AU277)))</f>
        <v>0</v>
      </c>
      <c r="AW278" s="41">
        <f>-$E$96*(MAX(0,SUM($X277:AW277))-MAX(0,SUM($W277:AV277)))</f>
        <v>0</v>
      </c>
      <c r="AX278" s="41">
        <f>-$E$96*(MAX(0,SUM($X277:AX277))-MAX(0,SUM($W277:AW277)))</f>
        <v>0</v>
      </c>
      <c r="AY278" s="41">
        <f>-$E$96*(MAX(0,SUM($X277:AY277))-MAX(0,SUM($W277:AX277)))</f>
        <v>0</v>
      </c>
      <c r="AZ278" s="41">
        <f>-$E$96*(MAX(0,SUM($X277:AZ277))-MAX(0,SUM($W277:AY277)))</f>
        <v>0</v>
      </c>
      <c r="BA278" s="41">
        <f>-$E$96*(MAX(0,SUM($X277:BA277))-MAX(0,SUM($W277:AZ277)))</f>
        <v>0</v>
      </c>
      <c r="BB278" s="41">
        <f>-$E$96*(MAX(0,SUM($X277:BB277))-MAX(0,SUM($W277:BA277)))</f>
        <v>0</v>
      </c>
      <c r="BC278" s="41">
        <f>-$E$96*(MAX(0,SUM($X277:BC277))-MAX(0,SUM($W277:BB277)))</f>
        <v>0</v>
      </c>
      <c r="BD278" s="41">
        <f>-$E$96*(MAX(0,SUM($X277:BD277))-MAX(0,SUM($W277:BC277)))</f>
        <v>0</v>
      </c>
      <c r="BE278" s="41">
        <f>-$E$96*(MAX(0,SUM($X277:BE277))-MAX(0,SUM($W277:BD277)))</f>
        <v>0</v>
      </c>
      <c r="BF278" s="41">
        <f>-$E$96*(MAX(0,SUM($X277:BF277))-MAX(0,SUM($W277:BE277)))</f>
        <v>0</v>
      </c>
      <c r="BG278" s="41">
        <f>-$E$96*(MAX(0,SUM($X277:BG277))-MAX(0,SUM($W277:BF277)))</f>
        <v>0</v>
      </c>
    </row>
    <row r="279" spans="3:59" x14ac:dyDescent="0.25">
      <c r="C279" s="45" t="s">
        <v>303</v>
      </c>
      <c r="D279" s="32" t="s">
        <v>97</v>
      </c>
      <c r="G279" s="46">
        <f>SUM(X279:BG279)</f>
        <v>185928.98352817085</v>
      </c>
      <c r="X279" s="46">
        <f>X277+X278</f>
        <v>-769.49315068493149</v>
      </c>
      <c r="Y279" s="46">
        <f t="shared" ref="Y279:BG279" si="44">Y277+Y278</f>
        <v>-4061.5342465753424</v>
      </c>
      <c r="Z279" s="46">
        <f t="shared" si="44"/>
        <v>-3359.8191780821917</v>
      </c>
      <c r="AA279" s="46">
        <f t="shared" si="44"/>
        <v>-22857.528125000001</v>
      </c>
      <c r="AB279" s="46">
        <f t="shared" si="44"/>
        <v>-45715.056250000001</v>
      </c>
      <c r="AC279" s="46">
        <f t="shared" si="44"/>
        <v>-20649.398673043768</v>
      </c>
      <c r="AD279" s="46">
        <f t="shared" si="44"/>
        <v>9475.1411764356671</v>
      </c>
      <c r="AE279" s="46">
        <f t="shared" si="44"/>
        <v>12559.227345645064</v>
      </c>
      <c r="AF279" s="46">
        <f t="shared" si="44"/>
        <v>9529.86221411525</v>
      </c>
      <c r="AG279" s="46">
        <f t="shared" si="44"/>
        <v>9556.1287992221241</v>
      </c>
      <c r="AH279" s="46">
        <f t="shared" si="44"/>
        <v>9581.6299549161977</v>
      </c>
      <c r="AI279" s="46">
        <f t="shared" si="44"/>
        <v>9606.3376690123641</v>
      </c>
      <c r="AJ279" s="46">
        <f t="shared" si="44"/>
        <v>9630.2231819603476</v>
      </c>
      <c r="AK279" s="46">
        <f t="shared" si="44"/>
        <v>9653.2569681809236</v>
      </c>
      <c r="AL279" s="46">
        <f t="shared" si="44"/>
        <v>9675.4087169432241</v>
      </c>
      <c r="AM279" s="46">
        <f t="shared" si="44"/>
        <v>9696.6473127719455</v>
      </c>
      <c r="AN279" s="46">
        <f t="shared" si="44"/>
        <v>9716.9408153729037</v>
      </c>
      <c r="AO279" s="46">
        <f t="shared" si="44"/>
        <v>9736.2564390650405</v>
      </c>
      <c r="AP279" s="46">
        <f t="shared" si="44"/>
        <v>9754.560531706913</v>
      </c>
      <c r="AQ279" s="46">
        <f t="shared" si="44"/>
        <v>9771.8185531052004</v>
      </c>
      <c r="AR279" s="46">
        <f t="shared" si="44"/>
        <v>9787.9950528924855</v>
      </c>
      <c r="AS279" s="46">
        <f t="shared" si="44"/>
        <v>9803.0536478614085</v>
      </c>
      <c r="AT279" s="46">
        <f t="shared" si="44"/>
        <v>9816.9569987417217</v>
      </c>
      <c r="AU279" s="46">
        <f t="shared" si="44"/>
        <v>9829.6667864067149</v>
      </c>
      <c r="AV279" s="46">
        <f t="shared" si="44"/>
        <v>9841.1436874949159</v>
      </c>
      <c r="AW279" s="46">
        <f t="shared" si="44"/>
        <v>9483.4242023865736</v>
      </c>
      <c r="AX279" s="46">
        <f t="shared" si="44"/>
        <v>9124.3900707512821</v>
      </c>
      <c r="AY279" s="46">
        <f t="shared" si="44"/>
        <v>9131.9219512357631</v>
      </c>
      <c r="AZ279" s="46">
        <f t="shared" si="44"/>
        <v>9138.0531005073644</v>
      </c>
      <c r="BA279" s="46">
        <f t="shared" si="44"/>
        <v>9142.7387868688256</v>
      </c>
      <c r="BB279" s="46">
        <f t="shared" si="44"/>
        <v>9145.9331150118142</v>
      </c>
      <c r="BC279" s="46">
        <f t="shared" si="44"/>
        <v>9147.5889971240285</v>
      </c>
      <c r="BD279" s="46">
        <f t="shared" si="44"/>
        <v>9147.6581232864919</v>
      </c>
      <c r="BE279" s="46">
        <f t="shared" si="44"/>
        <v>9146.0909311436699</v>
      </c>
      <c r="BF279" s="46">
        <f t="shared" si="44"/>
        <v>9142.8365748285705</v>
      </c>
      <c r="BG279" s="46">
        <f t="shared" si="44"/>
        <v>4568.9214465622954</v>
      </c>
    </row>
    <row r="280" spans="3:59" x14ac:dyDescent="0.25">
      <c r="C280" s="31" t="s">
        <v>257</v>
      </c>
      <c r="D280" s="32" t="s">
        <v>28</v>
      </c>
      <c r="X280" s="53">
        <f t="shared" ref="X280:BG280" si="45">(1+$E$99)^(($E$41-X$247)/Days_In_Year)</f>
        <v>1.4137125510793771</v>
      </c>
      <c r="Y280" s="53">
        <f t="shared" si="45"/>
        <v>1.3089931028512751</v>
      </c>
      <c r="Z280" s="53">
        <f t="shared" si="45"/>
        <v>1.2117751184391485</v>
      </c>
      <c r="AA280" s="53">
        <f t="shared" si="45"/>
        <v>1.122013998554767</v>
      </c>
      <c r="AB280" s="53">
        <f t="shared" si="45"/>
        <v>1.0389018505136731</v>
      </c>
      <c r="AC280" s="53">
        <f t="shared" si="45"/>
        <v>0.96194615788303062</v>
      </c>
      <c r="AD280" s="53">
        <f t="shared" si="45"/>
        <v>0.8905031026227137</v>
      </c>
      <c r="AE280" s="53">
        <f t="shared" si="45"/>
        <v>0.8245399098358458</v>
      </c>
      <c r="AF280" s="53">
        <f t="shared" si="45"/>
        <v>0.76346287947763503</v>
      </c>
      <c r="AG280" s="53">
        <f t="shared" si="45"/>
        <v>0.7069100735904027</v>
      </c>
      <c r="AH280" s="53">
        <f t="shared" si="45"/>
        <v>0.6544083664649869</v>
      </c>
      <c r="AI280" s="53">
        <f t="shared" si="45"/>
        <v>0.60593367265276554</v>
      </c>
      <c r="AJ280" s="53">
        <f t="shared" si="45"/>
        <v>0.56104969690070883</v>
      </c>
      <c r="AK280" s="53">
        <f t="shared" si="45"/>
        <v>0.51949046009324884</v>
      </c>
      <c r="AL280" s="53">
        <f t="shared" si="45"/>
        <v>0.48090827402856651</v>
      </c>
      <c r="AM280" s="53">
        <f t="shared" si="45"/>
        <v>0.44528543891533923</v>
      </c>
      <c r="AN280" s="53">
        <f t="shared" si="45"/>
        <v>0.41230133232901778</v>
      </c>
      <c r="AO280" s="53">
        <f t="shared" si="45"/>
        <v>0.38176049289723868</v>
      </c>
      <c r="AP280" s="53">
        <f t="shared" si="45"/>
        <v>0.35340741329215369</v>
      </c>
      <c r="AQ280" s="53">
        <f t="shared" si="45"/>
        <v>0.32722908638162373</v>
      </c>
      <c r="AR280" s="53">
        <f t="shared" si="45"/>
        <v>0.30298989479779975</v>
      </c>
      <c r="AS280" s="53">
        <f t="shared" si="45"/>
        <v>0.28054619888685151</v>
      </c>
      <c r="AT280" s="53">
        <f t="shared" si="45"/>
        <v>0.25971023273022764</v>
      </c>
      <c r="AU280" s="53">
        <f t="shared" si="45"/>
        <v>0.24047243771317375</v>
      </c>
      <c r="AV280" s="53">
        <f t="shared" si="45"/>
        <v>0.22265966454923491</v>
      </c>
      <c r="AW280" s="53">
        <f t="shared" si="45"/>
        <v>0.20616635606410641</v>
      </c>
      <c r="AX280" s="53">
        <f t="shared" si="45"/>
        <v>0.19085452779970458</v>
      </c>
      <c r="AY280" s="53">
        <f t="shared" si="45"/>
        <v>0.17671715537009683</v>
      </c>
      <c r="AZ280" s="53">
        <f t="shared" si="45"/>
        <v>0.16362699571305259</v>
      </c>
      <c r="BA280" s="53">
        <f t="shared" si="45"/>
        <v>0.15150647751208571</v>
      </c>
      <c r="BB280" s="53">
        <f t="shared" si="45"/>
        <v>0.14025419945422371</v>
      </c>
      <c r="BC280" s="53">
        <f t="shared" si="45"/>
        <v>0.12986499949465158</v>
      </c>
      <c r="BD280" s="53">
        <f t="shared" si="45"/>
        <v>0.12024536990245513</v>
      </c>
      <c r="BE280" s="53">
        <f t="shared" si="45"/>
        <v>0.1113383054652362</v>
      </c>
      <c r="BF280" s="53">
        <f t="shared" si="45"/>
        <v>0.1030692889046335</v>
      </c>
      <c r="BG280" s="53">
        <f t="shared" si="45"/>
        <v>9.5434526763549549E-2</v>
      </c>
    </row>
    <row r="281" spans="3:59" x14ac:dyDescent="0.25">
      <c r="C281" s="31" t="s">
        <v>258</v>
      </c>
      <c r="D281" s="32" t="s">
        <v>97</v>
      </c>
      <c r="G281" s="41">
        <f>SUM(X281:BG281)</f>
        <v>118159.14097508944</v>
      </c>
      <c r="X281" s="41">
        <f t="shared" ref="X281:BG281" si="46">X273*X280</f>
        <v>0</v>
      </c>
      <c r="Y281" s="41">
        <f t="shared" si="46"/>
        <v>0</v>
      </c>
      <c r="Z281" s="41">
        <f t="shared" si="46"/>
        <v>0</v>
      </c>
      <c r="AA281" s="41">
        <f t="shared" si="46"/>
        <v>0</v>
      </c>
      <c r="AB281" s="41">
        <f t="shared" si="46"/>
        <v>0</v>
      </c>
      <c r="AC281" s="41">
        <f t="shared" si="46"/>
        <v>4911.8173875622115</v>
      </c>
      <c r="AD281" s="41">
        <f t="shared" si="46"/>
        <v>9155.7284793663803</v>
      </c>
      <c r="AE281" s="41">
        <f t="shared" si="46"/>
        <v>8504.4124881502539</v>
      </c>
      <c r="AF281" s="41">
        <f t="shared" si="46"/>
        <v>7898.7114311444211</v>
      </c>
      <c r="AG281" s="41">
        <f t="shared" si="46"/>
        <v>7335.4665350462919</v>
      </c>
      <c r="AH281" s="41">
        <f t="shared" si="46"/>
        <v>6810.2998065674474</v>
      </c>
      <c r="AI281" s="41">
        <f t="shared" si="46"/>
        <v>6323.4463729881099</v>
      </c>
      <c r="AJ281" s="41">
        <f t="shared" si="46"/>
        <v>5870.8087730105235</v>
      </c>
      <c r="AK281" s="41">
        <f t="shared" si="46"/>
        <v>5450.0114987325423</v>
      </c>
      <c r="AL281" s="41">
        <f t="shared" si="46"/>
        <v>5057.7759239338684</v>
      </c>
      <c r="AM281" s="41">
        <f t="shared" si="46"/>
        <v>4694.2520172184841</v>
      </c>
      <c r="AN281" s="41">
        <f t="shared" si="46"/>
        <v>4356.3732198785492</v>
      </c>
      <c r="AO281" s="41">
        <f t="shared" si="46"/>
        <v>4042.354133202397</v>
      </c>
      <c r="AP281" s="41">
        <f t="shared" si="46"/>
        <v>3749.7417293369881</v>
      </c>
      <c r="AQ281" s="41">
        <f t="shared" si="46"/>
        <v>3478.6269963369809</v>
      </c>
      <c r="AR281" s="41">
        <f t="shared" si="46"/>
        <v>3226.71717661512</v>
      </c>
      <c r="AS281" s="41">
        <f t="shared" si="46"/>
        <v>2992.6712442573935</v>
      </c>
      <c r="AT281" s="41">
        <f t="shared" si="46"/>
        <v>2774.6557347687294</v>
      </c>
      <c r="AU281" s="41">
        <f t="shared" si="46"/>
        <v>2572.7213904856721</v>
      </c>
      <c r="AV281" s="41">
        <f t="shared" si="46"/>
        <v>2385.1558391011913</v>
      </c>
      <c r="AW281" s="41">
        <f t="shared" si="46"/>
        <v>2210.9525132682761</v>
      </c>
      <c r="AX281" s="41">
        <f t="shared" si="46"/>
        <v>2048.7425393100575</v>
      </c>
      <c r="AY281" s="41">
        <f t="shared" si="46"/>
        <v>1898.5497297460331</v>
      </c>
      <c r="AZ281" s="41">
        <f t="shared" si="46"/>
        <v>1759.0966770616064</v>
      </c>
      <c r="BA281" s="41">
        <f t="shared" si="46"/>
        <v>1629.6284098960182</v>
      </c>
      <c r="BB281" s="41">
        <f t="shared" si="46"/>
        <v>1509.1241497739488</v>
      </c>
      <c r="BC281" s="41">
        <f t="shared" si="46"/>
        <v>1397.5901652809321</v>
      </c>
      <c r="BD281" s="41">
        <f t="shared" si="46"/>
        <v>1294.0747467950384</v>
      </c>
      <c r="BE281" s="41">
        <f t="shared" si="46"/>
        <v>1198.0120775347063</v>
      </c>
      <c r="BF281" s="41">
        <f t="shared" si="46"/>
        <v>1108.6419580457125</v>
      </c>
      <c r="BG281" s="41">
        <f t="shared" si="46"/>
        <v>512.97983067353516</v>
      </c>
    </row>
    <row r="282" spans="3:59" x14ac:dyDescent="0.25">
      <c r="C282" s="45" t="s">
        <v>259</v>
      </c>
      <c r="D282" s="32" t="s">
        <v>97</v>
      </c>
      <c r="G282" s="46">
        <f>SUM(X282:BG282)</f>
        <v>19094.55176276066</v>
      </c>
      <c r="X282" s="46">
        <f t="shared" ref="X282:BG282" si="47">X260*(X$248&lt;=0)+X$253*($G281+$E$72+$E$73)</f>
        <v>-769.49315068493149</v>
      </c>
      <c r="Y282" s="46">
        <f t="shared" si="47"/>
        <v>-4061.5342465753424</v>
      </c>
      <c r="Z282" s="46">
        <f t="shared" si="47"/>
        <v>-3359.8191780821917</v>
      </c>
      <c r="AA282" s="46">
        <f t="shared" si="47"/>
        <v>-22857.528125000001</v>
      </c>
      <c r="AB282" s="46">
        <f t="shared" si="47"/>
        <v>-45715.056250000001</v>
      </c>
      <c r="AC282" s="46">
        <f t="shared" si="47"/>
        <v>95857.982713103134</v>
      </c>
      <c r="AD282" s="46">
        <f t="shared" si="47"/>
        <v>0</v>
      </c>
      <c r="AE282" s="46">
        <f t="shared" si="47"/>
        <v>0</v>
      </c>
      <c r="AF282" s="46">
        <f t="shared" si="47"/>
        <v>0</v>
      </c>
      <c r="AG282" s="46">
        <f t="shared" si="47"/>
        <v>0</v>
      </c>
      <c r="AH282" s="46">
        <f t="shared" si="47"/>
        <v>0</v>
      </c>
      <c r="AI282" s="46">
        <f t="shared" si="47"/>
        <v>0</v>
      </c>
      <c r="AJ282" s="46">
        <f t="shared" si="47"/>
        <v>0</v>
      </c>
      <c r="AK282" s="46">
        <f t="shared" si="47"/>
        <v>0</v>
      </c>
      <c r="AL282" s="46">
        <f t="shared" si="47"/>
        <v>0</v>
      </c>
      <c r="AM282" s="46">
        <f t="shared" si="47"/>
        <v>0</v>
      </c>
      <c r="AN282" s="46">
        <f t="shared" si="47"/>
        <v>0</v>
      </c>
      <c r="AO282" s="46">
        <f t="shared" si="47"/>
        <v>0</v>
      </c>
      <c r="AP282" s="46">
        <f t="shared" si="47"/>
        <v>0</v>
      </c>
      <c r="AQ282" s="46">
        <f t="shared" si="47"/>
        <v>0</v>
      </c>
      <c r="AR282" s="46">
        <f t="shared" si="47"/>
        <v>0</v>
      </c>
      <c r="AS282" s="46">
        <f t="shared" si="47"/>
        <v>0</v>
      </c>
      <c r="AT282" s="46">
        <f t="shared" si="47"/>
        <v>0</v>
      </c>
      <c r="AU282" s="46">
        <f t="shared" si="47"/>
        <v>0</v>
      </c>
      <c r="AV282" s="46">
        <f t="shared" si="47"/>
        <v>0</v>
      </c>
      <c r="AW282" s="46">
        <f t="shared" si="47"/>
        <v>0</v>
      </c>
      <c r="AX282" s="46">
        <f t="shared" si="47"/>
        <v>0</v>
      </c>
      <c r="AY282" s="46">
        <f t="shared" si="47"/>
        <v>0</v>
      </c>
      <c r="AZ282" s="46">
        <f t="shared" si="47"/>
        <v>0</v>
      </c>
      <c r="BA282" s="46">
        <f t="shared" si="47"/>
        <v>0</v>
      </c>
      <c r="BB282" s="46">
        <f t="shared" si="47"/>
        <v>0</v>
      </c>
      <c r="BC282" s="46">
        <f t="shared" si="47"/>
        <v>0</v>
      </c>
      <c r="BD282" s="46">
        <f t="shared" si="47"/>
        <v>0</v>
      </c>
      <c r="BE282" s="46">
        <f t="shared" si="47"/>
        <v>0</v>
      </c>
      <c r="BF282" s="46">
        <f t="shared" si="47"/>
        <v>0</v>
      </c>
      <c r="BG282" s="46">
        <f t="shared" si="47"/>
        <v>0</v>
      </c>
    </row>
    <row r="283" spans="3:59" x14ac:dyDescent="0.25">
      <c r="C283" s="31" t="s">
        <v>276</v>
      </c>
      <c r="D283" s="32" t="s">
        <v>97</v>
      </c>
      <c r="G283" s="46">
        <f>SUM(X283:BG283)</f>
        <v>-2864.182764414099</v>
      </c>
      <c r="X283" s="41">
        <f>-$E$100*MAX(0,$G282)*X$253</f>
        <v>0</v>
      </c>
      <c r="Y283" s="41">
        <f t="shared" ref="Y283:BG283" si="48">-$E$100*MAX(0,$G282)*Y$253</f>
        <v>0</v>
      </c>
      <c r="Z283" s="41">
        <f t="shared" si="48"/>
        <v>0</v>
      </c>
      <c r="AA283" s="41">
        <f t="shared" si="48"/>
        <v>0</v>
      </c>
      <c r="AB283" s="41">
        <f t="shared" si="48"/>
        <v>0</v>
      </c>
      <c r="AC283" s="41">
        <f t="shared" si="48"/>
        <v>-2864.182764414099</v>
      </c>
      <c r="AD283" s="41">
        <f t="shared" si="48"/>
        <v>0</v>
      </c>
      <c r="AE283" s="41">
        <f t="shared" si="48"/>
        <v>0</v>
      </c>
      <c r="AF283" s="41">
        <f t="shared" si="48"/>
        <v>0</v>
      </c>
      <c r="AG283" s="41">
        <f t="shared" si="48"/>
        <v>0</v>
      </c>
      <c r="AH283" s="41">
        <f t="shared" si="48"/>
        <v>0</v>
      </c>
      <c r="AI283" s="41">
        <f t="shared" si="48"/>
        <v>0</v>
      </c>
      <c r="AJ283" s="41">
        <f t="shared" si="48"/>
        <v>0</v>
      </c>
      <c r="AK283" s="41">
        <f t="shared" si="48"/>
        <v>0</v>
      </c>
      <c r="AL283" s="41">
        <f t="shared" si="48"/>
        <v>0</v>
      </c>
      <c r="AM283" s="41">
        <f t="shared" si="48"/>
        <v>0</v>
      </c>
      <c r="AN283" s="41">
        <f t="shared" si="48"/>
        <v>0</v>
      </c>
      <c r="AO283" s="41">
        <f t="shared" si="48"/>
        <v>0</v>
      </c>
      <c r="AP283" s="41">
        <f t="shared" si="48"/>
        <v>0</v>
      </c>
      <c r="AQ283" s="41">
        <f t="shared" si="48"/>
        <v>0</v>
      </c>
      <c r="AR283" s="41">
        <f t="shared" si="48"/>
        <v>0</v>
      </c>
      <c r="AS283" s="41">
        <f t="shared" si="48"/>
        <v>0</v>
      </c>
      <c r="AT283" s="41">
        <f t="shared" si="48"/>
        <v>0</v>
      </c>
      <c r="AU283" s="41">
        <f t="shared" si="48"/>
        <v>0</v>
      </c>
      <c r="AV283" s="41">
        <f t="shared" si="48"/>
        <v>0</v>
      </c>
      <c r="AW283" s="41">
        <f t="shared" si="48"/>
        <v>0</v>
      </c>
      <c r="AX283" s="41">
        <f t="shared" si="48"/>
        <v>0</v>
      </c>
      <c r="AY283" s="41">
        <f t="shared" si="48"/>
        <v>0</v>
      </c>
      <c r="AZ283" s="41">
        <f t="shared" si="48"/>
        <v>0</v>
      </c>
      <c r="BA283" s="41">
        <f t="shared" si="48"/>
        <v>0</v>
      </c>
      <c r="BB283" s="41">
        <f t="shared" si="48"/>
        <v>0</v>
      </c>
      <c r="BC283" s="41">
        <f t="shared" si="48"/>
        <v>0</v>
      </c>
      <c r="BD283" s="41">
        <f t="shared" si="48"/>
        <v>0</v>
      </c>
      <c r="BE283" s="41">
        <f t="shared" si="48"/>
        <v>0</v>
      </c>
      <c r="BF283" s="41">
        <f t="shared" si="48"/>
        <v>0</v>
      </c>
      <c r="BG283" s="41">
        <f t="shared" si="48"/>
        <v>0</v>
      </c>
    </row>
    <row r="284" spans="3:59" x14ac:dyDescent="0.25">
      <c r="C284" s="45" t="s">
        <v>277</v>
      </c>
      <c r="D284" s="32" t="s">
        <v>97</v>
      </c>
      <c r="G284" s="46">
        <f>SUM(X284:BG284)</f>
        <v>16230.368998346559</v>
      </c>
      <c r="X284" s="46">
        <f>X282+X283</f>
        <v>-769.49315068493149</v>
      </c>
      <c r="Y284" s="46">
        <f t="shared" ref="Y284:BG284" si="49">Y282+Y283</f>
        <v>-4061.5342465753424</v>
      </c>
      <c r="Z284" s="46">
        <f t="shared" si="49"/>
        <v>-3359.8191780821917</v>
      </c>
      <c r="AA284" s="46">
        <f t="shared" si="49"/>
        <v>-22857.528125000001</v>
      </c>
      <c r="AB284" s="46">
        <f t="shared" si="49"/>
        <v>-45715.056250000001</v>
      </c>
      <c r="AC284" s="46">
        <f t="shared" si="49"/>
        <v>92993.799948689033</v>
      </c>
      <c r="AD284" s="46">
        <f t="shared" si="49"/>
        <v>0</v>
      </c>
      <c r="AE284" s="46">
        <f t="shared" si="49"/>
        <v>0</v>
      </c>
      <c r="AF284" s="46">
        <f t="shared" si="49"/>
        <v>0</v>
      </c>
      <c r="AG284" s="46">
        <f t="shared" si="49"/>
        <v>0</v>
      </c>
      <c r="AH284" s="46">
        <f t="shared" si="49"/>
        <v>0</v>
      </c>
      <c r="AI284" s="46">
        <f t="shared" si="49"/>
        <v>0</v>
      </c>
      <c r="AJ284" s="46">
        <f t="shared" si="49"/>
        <v>0</v>
      </c>
      <c r="AK284" s="46">
        <f t="shared" si="49"/>
        <v>0</v>
      </c>
      <c r="AL284" s="46">
        <f t="shared" si="49"/>
        <v>0</v>
      </c>
      <c r="AM284" s="46">
        <f t="shared" si="49"/>
        <v>0</v>
      </c>
      <c r="AN284" s="46">
        <f t="shared" si="49"/>
        <v>0</v>
      </c>
      <c r="AO284" s="46">
        <f t="shared" si="49"/>
        <v>0</v>
      </c>
      <c r="AP284" s="46">
        <f t="shared" si="49"/>
        <v>0</v>
      </c>
      <c r="AQ284" s="46">
        <f t="shared" si="49"/>
        <v>0</v>
      </c>
      <c r="AR284" s="46">
        <f t="shared" si="49"/>
        <v>0</v>
      </c>
      <c r="AS284" s="46">
        <f t="shared" si="49"/>
        <v>0</v>
      </c>
      <c r="AT284" s="46">
        <f t="shared" si="49"/>
        <v>0</v>
      </c>
      <c r="AU284" s="46">
        <f t="shared" si="49"/>
        <v>0</v>
      </c>
      <c r="AV284" s="46">
        <f t="shared" si="49"/>
        <v>0</v>
      </c>
      <c r="AW284" s="46">
        <f t="shared" si="49"/>
        <v>0</v>
      </c>
      <c r="AX284" s="46">
        <f t="shared" si="49"/>
        <v>0</v>
      </c>
      <c r="AY284" s="46">
        <f t="shared" si="49"/>
        <v>0</v>
      </c>
      <c r="AZ284" s="46">
        <f t="shared" si="49"/>
        <v>0</v>
      </c>
      <c r="BA284" s="46">
        <f t="shared" si="49"/>
        <v>0</v>
      </c>
      <c r="BB284" s="46">
        <f t="shared" si="49"/>
        <v>0</v>
      </c>
      <c r="BC284" s="46">
        <f t="shared" si="49"/>
        <v>0</v>
      </c>
      <c r="BD284" s="46">
        <f t="shared" si="49"/>
        <v>0</v>
      </c>
      <c r="BE284" s="46">
        <f t="shared" si="49"/>
        <v>0</v>
      </c>
      <c r="BF284" s="46">
        <f t="shared" si="49"/>
        <v>0</v>
      </c>
      <c r="BG284" s="46">
        <f t="shared" si="49"/>
        <v>0</v>
      </c>
    </row>
    <row r="285" spans="3:59" x14ac:dyDescent="0.25">
      <c r="C285" s="31" t="s">
        <v>304</v>
      </c>
      <c r="D285" s="32" t="s">
        <v>97</v>
      </c>
      <c r="G285" s="46">
        <f>SUM(X285:BG285)</f>
        <v>0</v>
      </c>
      <c r="X285" s="41">
        <f>-$E$96*MAX(0,$G284)*X$253</f>
        <v>0</v>
      </c>
      <c r="Y285" s="41">
        <f t="shared" ref="Y285:BG285" si="50">-$E$96*MAX(0,$G284)*Y$253</f>
        <v>0</v>
      </c>
      <c r="Z285" s="41">
        <f t="shared" si="50"/>
        <v>0</v>
      </c>
      <c r="AA285" s="41">
        <f t="shared" si="50"/>
        <v>0</v>
      </c>
      <c r="AB285" s="41">
        <f t="shared" si="50"/>
        <v>0</v>
      </c>
      <c r="AC285" s="41">
        <f t="shared" si="50"/>
        <v>0</v>
      </c>
      <c r="AD285" s="41">
        <f t="shared" si="50"/>
        <v>0</v>
      </c>
      <c r="AE285" s="41">
        <f t="shared" si="50"/>
        <v>0</v>
      </c>
      <c r="AF285" s="41">
        <f t="shared" si="50"/>
        <v>0</v>
      </c>
      <c r="AG285" s="41">
        <f t="shared" si="50"/>
        <v>0</v>
      </c>
      <c r="AH285" s="41">
        <f t="shared" si="50"/>
        <v>0</v>
      </c>
      <c r="AI285" s="41">
        <f t="shared" si="50"/>
        <v>0</v>
      </c>
      <c r="AJ285" s="41">
        <f t="shared" si="50"/>
        <v>0</v>
      </c>
      <c r="AK285" s="41">
        <f t="shared" si="50"/>
        <v>0</v>
      </c>
      <c r="AL285" s="41">
        <f t="shared" si="50"/>
        <v>0</v>
      </c>
      <c r="AM285" s="41">
        <f t="shared" si="50"/>
        <v>0</v>
      </c>
      <c r="AN285" s="41">
        <f t="shared" si="50"/>
        <v>0</v>
      </c>
      <c r="AO285" s="41">
        <f t="shared" si="50"/>
        <v>0</v>
      </c>
      <c r="AP285" s="41">
        <f t="shared" si="50"/>
        <v>0</v>
      </c>
      <c r="AQ285" s="41">
        <f t="shared" si="50"/>
        <v>0</v>
      </c>
      <c r="AR285" s="41">
        <f t="shared" si="50"/>
        <v>0</v>
      </c>
      <c r="AS285" s="41">
        <f t="shared" si="50"/>
        <v>0</v>
      </c>
      <c r="AT285" s="41">
        <f t="shared" si="50"/>
        <v>0</v>
      </c>
      <c r="AU285" s="41">
        <f t="shared" si="50"/>
        <v>0</v>
      </c>
      <c r="AV285" s="41">
        <f t="shared" si="50"/>
        <v>0</v>
      </c>
      <c r="AW285" s="41">
        <f t="shared" si="50"/>
        <v>0</v>
      </c>
      <c r="AX285" s="41">
        <f t="shared" si="50"/>
        <v>0</v>
      </c>
      <c r="AY285" s="41">
        <f t="shared" si="50"/>
        <v>0</v>
      </c>
      <c r="AZ285" s="41">
        <f t="shared" si="50"/>
        <v>0</v>
      </c>
      <c r="BA285" s="41">
        <f t="shared" si="50"/>
        <v>0</v>
      </c>
      <c r="BB285" s="41">
        <f t="shared" si="50"/>
        <v>0</v>
      </c>
      <c r="BC285" s="41">
        <f t="shared" si="50"/>
        <v>0</v>
      </c>
      <c r="BD285" s="41">
        <f t="shared" si="50"/>
        <v>0</v>
      </c>
      <c r="BE285" s="41">
        <f t="shared" si="50"/>
        <v>0</v>
      </c>
      <c r="BF285" s="41">
        <f t="shared" si="50"/>
        <v>0</v>
      </c>
      <c r="BG285" s="41">
        <f t="shared" si="50"/>
        <v>0</v>
      </c>
    </row>
    <row r="286" spans="3:59" x14ac:dyDescent="0.25">
      <c r="C286" s="45" t="s">
        <v>305</v>
      </c>
      <c r="D286" s="32" t="s">
        <v>97</v>
      </c>
      <c r="G286" s="46">
        <f>SUM(X286:BG286)</f>
        <v>16230.368998346559</v>
      </c>
      <c r="X286" s="46">
        <f>X284+X285</f>
        <v>-769.49315068493149</v>
      </c>
      <c r="Y286" s="46">
        <f t="shared" ref="Y286:BG286" si="51">Y284+Y285</f>
        <v>-4061.5342465753424</v>
      </c>
      <c r="Z286" s="46">
        <f t="shared" si="51"/>
        <v>-3359.8191780821917</v>
      </c>
      <c r="AA286" s="46">
        <f t="shared" si="51"/>
        <v>-22857.528125000001</v>
      </c>
      <c r="AB286" s="46">
        <f t="shared" si="51"/>
        <v>-45715.056250000001</v>
      </c>
      <c r="AC286" s="46">
        <f t="shared" si="51"/>
        <v>92993.799948689033</v>
      </c>
      <c r="AD286" s="46">
        <f t="shared" si="51"/>
        <v>0</v>
      </c>
      <c r="AE286" s="46">
        <f t="shared" si="51"/>
        <v>0</v>
      </c>
      <c r="AF286" s="46">
        <f t="shared" si="51"/>
        <v>0</v>
      </c>
      <c r="AG286" s="46">
        <f t="shared" si="51"/>
        <v>0</v>
      </c>
      <c r="AH286" s="46">
        <f t="shared" si="51"/>
        <v>0</v>
      </c>
      <c r="AI286" s="46">
        <f t="shared" si="51"/>
        <v>0</v>
      </c>
      <c r="AJ286" s="46">
        <f t="shared" si="51"/>
        <v>0</v>
      </c>
      <c r="AK286" s="46">
        <f t="shared" si="51"/>
        <v>0</v>
      </c>
      <c r="AL286" s="46">
        <f t="shared" si="51"/>
        <v>0</v>
      </c>
      <c r="AM286" s="46">
        <f t="shared" si="51"/>
        <v>0</v>
      </c>
      <c r="AN286" s="46">
        <f t="shared" si="51"/>
        <v>0</v>
      </c>
      <c r="AO286" s="46">
        <f t="shared" si="51"/>
        <v>0</v>
      </c>
      <c r="AP286" s="46">
        <f t="shared" si="51"/>
        <v>0</v>
      </c>
      <c r="AQ286" s="46">
        <f t="shared" si="51"/>
        <v>0</v>
      </c>
      <c r="AR286" s="46">
        <f t="shared" si="51"/>
        <v>0</v>
      </c>
      <c r="AS286" s="46">
        <f t="shared" si="51"/>
        <v>0</v>
      </c>
      <c r="AT286" s="46">
        <f t="shared" si="51"/>
        <v>0</v>
      </c>
      <c r="AU286" s="46">
        <f t="shared" si="51"/>
        <v>0</v>
      </c>
      <c r="AV286" s="46">
        <f t="shared" si="51"/>
        <v>0</v>
      </c>
      <c r="AW286" s="46">
        <f t="shared" si="51"/>
        <v>0</v>
      </c>
      <c r="AX286" s="46">
        <f t="shared" si="51"/>
        <v>0</v>
      </c>
      <c r="AY286" s="46">
        <f t="shared" si="51"/>
        <v>0</v>
      </c>
      <c r="AZ286" s="46">
        <f t="shared" si="51"/>
        <v>0</v>
      </c>
      <c r="BA286" s="46">
        <f t="shared" si="51"/>
        <v>0</v>
      </c>
      <c r="BB286" s="46">
        <f t="shared" si="51"/>
        <v>0</v>
      </c>
      <c r="BC286" s="46">
        <f t="shared" si="51"/>
        <v>0</v>
      </c>
      <c r="BD286" s="46">
        <f t="shared" si="51"/>
        <v>0</v>
      </c>
      <c r="BE286" s="46">
        <f t="shared" si="51"/>
        <v>0</v>
      </c>
      <c r="BF286" s="46">
        <f t="shared" si="51"/>
        <v>0</v>
      </c>
      <c r="BG286" s="46">
        <f t="shared" si="51"/>
        <v>0</v>
      </c>
    </row>
    <row r="287" spans="3:59" x14ac:dyDescent="0.25">
      <c r="C287" s="45" t="s">
        <v>278</v>
      </c>
      <c r="D287" s="32" t="s">
        <v>97</v>
      </c>
      <c r="G287" s="46">
        <f>SUM(X287:BG287)</f>
        <v>6091.7808219178087</v>
      </c>
      <c r="X287" s="46" cm="1">
        <f t="array" ref="X287">SUMPRODUCT((YEAR($H$162:$H$170)=X$246)*$E$162:$E$170)</f>
        <v>-769.49315068493149</v>
      </c>
      <c r="Y287" s="46" cm="1">
        <f t="array" ref="Y287">SUMPRODUCT((YEAR($H$162:$H$170)=Y$246)*$E$162:$E$170)</f>
        <v>-4061.5342465753424</v>
      </c>
      <c r="Z287" s="46" cm="1">
        <f t="array" ref="Z287">SUMPRODUCT((YEAR($H$162:$H$170)=Z$246)*$E$162:$E$170)</f>
        <v>-3359.8191780821917</v>
      </c>
      <c r="AA287" s="46" cm="1">
        <f t="array" ref="AA287">SUMPRODUCT((YEAR($H$162:$H$170)=AA$246)*$E$162:$E$170)</f>
        <v>14282.627397260274</v>
      </c>
      <c r="AB287" s="46" cm="1">
        <f t="array" ref="AB287">SUMPRODUCT((YEAR($H$162:$H$170)=AB$246)*$E$162:$E$170)</f>
        <v>0</v>
      </c>
      <c r="AC287" s="46" cm="1">
        <f t="array" ref="AC287">SUMPRODUCT((YEAR($H$162:$H$170)=AC$246)*$E$162:$E$170)</f>
        <v>0</v>
      </c>
      <c r="AD287" s="46" cm="1">
        <f t="array" ref="AD287">SUMPRODUCT((YEAR($H$162:$H$170)=AD$246)*$E$162:$E$170)</f>
        <v>0</v>
      </c>
      <c r="AE287" s="46" cm="1">
        <f t="array" ref="AE287">SUMPRODUCT((YEAR($H$162:$H$170)=AE$246)*$E$162:$E$170)</f>
        <v>0</v>
      </c>
      <c r="AF287" s="46" cm="1">
        <f t="array" ref="AF287">SUMPRODUCT((YEAR($H$162:$H$170)=AF$246)*$E$162:$E$170)</f>
        <v>0</v>
      </c>
      <c r="AG287" s="46" cm="1">
        <f t="array" ref="AG287">SUMPRODUCT((YEAR($H$162:$H$170)=AG$246)*$E$162:$E$170)</f>
        <v>0</v>
      </c>
      <c r="AH287" s="46" cm="1">
        <f t="array" ref="AH287">SUMPRODUCT((YEAR($H$162:$H$170)=AH$246)*$E$162:$E$170)</f>
        <v>0</v>
      </c>
      <c r="AI287" s="46" cm="1">
        <f t="array" ref="AI287">SUMPRODUCT((YEAR($H$162:$H$170)=AI$246)*$E$162:$E$170)</f>
        <v>0</v>
      </c>
      <c r="AJ287" s="46" cm="1">
        <f t="array" ref="AJ287">SUMPRODUCT((YEAR($H$162:$H$170)=AJ$246)*$E$162:$E$170)</f>
        <v>0</v>
      </c>
      <c r="AK287" s="46" cm="1">
        <f t="array" ref="AK287">SUMPRODUCT((YEAR($H$162:$H$170)=AK$246)*$E$162:$E$170)</f>
        <v>0</v>
      </c>
      <c r="AL287" s="46" cm="1">
        <f t="array" ref="AL287">SUMPRODUCT((YEAR($H$162:$H$170)=AL$246)*$E$162:$E$170)</f>
        <v>0</v>
      </c>
      <c r="AM287" s="46" cm="1">
        <f t="array" ref="AM287">SUMPRODUCT((YEAR($H$162:$H$170)=AM$246)*$E$162:$E$170)</f>
        <v>0</v>
      </c>
      <c r="AN287" s="46" cm="1">
        <f t="array" ref="AN287">SUMPRODUCT((YEAR($H$162:$H$170)=AN$246)*$E$162:$E$170)</f>
        <v>0</v>
      </c>
      <c r="AO287" s="46" cm="1">
        <f t="array" ref="AO287">SUMPRODUCT((YEAR($H$162:$H$170)=AO$246)*$E$162:$E$170)</f>
        <v>0</v>
      </c>
      <c r="AP287" s="46" cm="1">
        <f t="array" ref="AP287">SUMPRODUCT((YEAR($H$162:$H$170)=AP$246)*$E$162:$E$170)</f>
        <v>0</v>
      </c>
      <c r="AQ287" s="46" cm="1">
        <f t="array" ref="AQ287">SUMPRODUCT((YEAR($H$162:$H$170)=AQ$246)*$E$162:$E$170)</f>
        <v>0</v>
      </c>
      <c r="AR287" s="46" cm="1">
        <f t="array" ref="AR287">SUMPRODUCT((YEAR($H$162:$H$170)=AR$246)*$E$162:$E$170)</f>
        <v>0</v>
      </c>
      <c r="AS287" s="46" cm="1">
        <f t="array" ref="AS287">SUMPRODUCT((YEAR($H$162:$H$170)=AS$246)*$E$162:$E$170)</f>
        <v>0</v>
      </c>
      <c r="AT287" s="46" cm="1">
        <f t="array" ref="AT287">SUMPRODUCT((YEAR($H$162:$H$170)=AT$246)*$E$162:$E$170)</f>
        <v>0</v>
      </c>
      <c r="AU287" s="46" cm="1">
        <f t="array" ref="AU287">SUMPRODUCT((YEAR($H$162:$H$170)=AU$246)*$E$162:$E$170)</f>
        <v>0</v>
      </c>
      <c r="AV287" s="46" cm="1">
        <f t="array" ref="AV287">SUMPRODUCT((YEAR($H$162:$H$170)=AV$246)*$E$162:$E$170)</f>
        <v>0</v>
      </c>
      <c r="AW287" s="46" cm="1">
        <f t="array" ref="AW287">SUMPRODUCT((YEAR($H$162:$H$170)=AW$246)*$E$162:$E$170)</f>
        <v>0</v>
      </c>
      <c r="AX287" s="46" cm="1">
        <f t="array" ref="AX287">SUMPRODUCT((YEAR($H$162:$H$170)=AX$246)*$E$162:$E$170)</f>
        <v>0</v>
      </c>
      <c r="AY287" s="46" cm="1">
        <f t="array" ref="AY287">SUMPRODUCT((YEAR($H$162:$H$170)=AY$246)*$E$162:$E$170)</f>
        <v>0</v>
      </c>
      <c r="AZ287" s="46" cm="1">
        <f t="array" ref="AZ287">SUMPRODUCT((YEAR($H$162:$H$170)=AZ$246)*$E$162:$E$170)</f>
        <v>0</v>
      </c>
      <c r="BA287" s="46" cm="1">
        <f t="array" ref="BA287">SUMPRODUCT((YEAR($H$162:$H$170)=BA$246)*$E$162:$E$170)</f>
        <v>0</v>
      </c>
      <c r="BB287" s="46" cm="1">
        <f t="array" ref="BB287">SUMPRODUCT((YEAR($H$162:$H$170)=BB$246)*$E$162:$E$170)</f>
        <v>0</v>
      </c>
      <c r="BC287" s="46" cm="1">
        <f t="array" ref="BC287">SUMPRODUCT((YEAR($H$162:$H$170)=BC$246)*$E$162:$E$170)</f>
        <v>0</v>
      </c>
      <c r="BD287" s="46" cm="1">
        <f t="array" ref="BD287">SUMPRODUCT((YEAR($H$162:$H$170)=BD$246)*$E$162:$E$170)</f>
        <v>0</v>
      </c>
      <c r="BE287" s="46" cm="1">
        <f t="array" ref="BE287">SUMPRODUCT((YEAR($H$162:$H$170)=BE$246)*$E$162:$E$170)</f>
        <v>0</v>
      </c>
      <c r="BF287" s="46" cm="1">
        <f t="array" ref="BF287">SUMPRODUCT((YEAR($H$162:$H$170)=BF$246)*$E$162:$E$170)</f>
        <v>0</v>
      </c>
      <c r="BG287" s="46" cm="1">
        <f t="array" ref="BG287">SUMPRODUCT((YEAR($H$162:$H$170)=BG$246)*$E$162:$E$170)</f>
        <v>0</v>
      </c>
    </row>
    <row r="288" spans="3:59" x14ac:dyDescent="0.25">
      <c r="C288" s="31" t="s">
        <v>279</v>
      </c>
      <c r="D288" s="32" t="s">
        <v>97</v>
      </c>
      <c r="G288" s="46">
        <f>SUM(X288:BG288)</f>
        <v>-913.76712328767132</v>
      </c>
      <c r="X288" s="41">
        <f>-$E$100*MAX(0,$G287)*(X$246=YEAR($E$84))</f>
        <v>0</v>
      </c>
      <c r="Y288" s="41">
        <f t="shared" ref="Y288:BG288" si="52">-$E$100*MAX(0,$G287)*(Y$246=YEAR($E$84))</f>
        <v>0</v>
      </c>
      <c r="Z288" s="41">
        <f t="shared" si="52"/>
        <v>0</v>
      </c>
      <c r="AA288" s="41">
        <f t="shared" si="52"/>
        <v>-913.76712328767132</v>
      </c>
      <c r="AB288" s="41">
        <f t="shared" si="52"/>
        <v>0</v>
      </c>
      <c r="AC288" s="41">
        <f t="shared" si="52"/>
        <v>0</v>
      </c>
      <c r="AD288" s="41">
        <f t="shared" si="52"/>
        <v>0</v>
      </c>
      <c r="AE288" s="41">
        <f t="shared" si="52"/>
        <v>0</v>
      </c>
      <c r="AF288" s="41">
        <f t="shared" si="52"/>
        <v>0</v>
      </c>
      <c r="AG288" s="41">
        <f t="shared" si="52"/>
        <v>0</v>
      </c>
      <c r="AH288" s="41">
        <f t="shared" si="52"/>
        <v>0</v>
      </c>
      <c r="AI288" s="41">
        <f t="shared" si="52"/>
        <v>0</v>
      </c>
      <c r="AJ288" s="41">
        <f t="shared" si="52"/>
        <v>0</v>
      </c>
      <c r="AK288" s="41">
        <f t="shared" si="52"/>
        <v>0</v>
      </c>
      <c r="AL288" s="41">
        <f t="shared" si="52"/>
        <v>0</v>
      </c>
      <c r="AM288" s="41">
        <f t="shared" si="52"/>
        <v>0</v>
      </c>
      <c r="AN288" s="41">
        <f t="shared" si="52"/>
        <v>0</v>
      </c>
      <c r="AO288" s="41">
        <f t="shared" si="52"/>
        <v>0</v>
      </c>
      <c r="AP288" s="41">
        <f t="shared" si="52"/>
        <v>0</v>
      </c>
      <c r="AQ288" s="41">
        <f t="shared" si="52"/>
        <v>0</v>
      </c>
      <c r="AR288" s="41">
        <f t="shared" si="52"/>
        <v>0</v>
      </c>
      <c r="AS288" s="41">
        <f t="shared" si="52"/>
        <v>0</v>
      </c>
      <c r="AT288" s="41">
        <f t="shared" si="52"/>
        <v>0</v>
      </c>
      <c r="AU288" s="41">
        <f t="shared" si="52"/>
        <v>0</v>
      </c>
      <c r="AV288" s="41">
        <f t="shared" si="52"/>
        <v>0</v>
      </c>
      <c r="AW288" s="41">
        <f t="shared" si="52"/>
        <v>0</v>
      </c>
      <c r="AX288" s="41">
        <f t="shared" si="52"/>
        <v>0</v>
      </c>
      <c r="AY288" s="41">
        <f t="shared" si="52"/>
        <v>0</v>
      </c>
      <c r="AZ288" s="41">
        <f t="shared" si="52"/>
        <v>0</v>
      </c>
      <c r="BA288" s="41">
        <f t="shared" si="52"/>
        <v>0</v>
      </c>
      <c r="BB288" s="41">
        <f t="shared" si="52"/>
        <v>0</v>
      </c>
      <c r="BC288" s="41">
        <f t="shared" si="52"/>
        <v>0</v>
      </c>
      <c r="BD288" s="41">
        <f t="shared" si="52"/>
        <v>0</v>
      </c>
      <c r="BE288" s="41">
        <f t="shared" si="52"/>
        <v>0</v>
      </c>
      <c r="BF288" s="41">
        <f t="shared" si="52"/>
        <v>0</v>
      </c>
      <c r="BG288" s="41">
        <f t="shared" si="52"/>
        <v>0</v>
      </c>
    </row>
    <row r="289" spans="2:59" x14ac:dyDescent="0.25">
      <c r="C289" s="45" t="s">
        <v>280</v>
      </c>
      <c r="D289" s="32" t="s">
        <v>97</v>
      </c>
      <c r="G289" s="46">
        <f>SUM(X289:BG289)</f>
        <v>5178.0136986301377</v>
      </c>
      <c r="X289" s="46">
        <f>X287+X288</f>
        <v>-769.49315068493149</v>
      </c>
      <c r="Y289" s="46">
        <f t="shared" ref="Y289:BG289" si="53">Y287+Y288</f>
        <v>-4061.5342465753424</v>
      </c>
      <c r="Z289" s="46">
        <f t="shared" si="53"/>
        <v>-3359.8191780821917</v>
      </c>
      <c r="AA289" s="46">
        <f t="shared" si="53"/>
        <v>13368.860273972603</v>
      </c>
      <c r="AB289" s="46">
        <f t="shared" si="53"/>
        <v>0</v>
      </c>
      <c r="AC289" s="46">
        <f t="shared" si="53"/>
        <v>0</v>
      </c>
      <c r="AD289" s="46">
        <f t="shared" si="53"/>
        <v>0</v>
      </c>
      <c r="AE289" s="46">
        <f t="shared" si="53"/>
        <v>0</v>
      </c>
      <c r="AF289" s="46">
        <f t="shared" si="53"/>
        <v>0</v>
      </c>
      <c r="AG289" s="46">
        <f t="shared" si="53"/>
        <v>0</v>
      </c>
      <c r="AH289" s="46">
        <f t="shared" si="53"/>
        <v>0</v>
      </c>
      <c r="AI289" s="46">
        <f t="shared" si="53"/>
        <v>0</v>
      </c>
      <c r="AJ289" s="46">
        <f t="shared" si="53"/>
        <v>0</v>
      </c>
      <c r="AK289" s="46">
        <f t="shared" si="53"/>
        <v>0</v>
      </c>
      <c r="AL289" s="46">
        <f t="shared" si="53"/>
        <v>0</v>
      </c>
      <c r="AM289" s="46">
        <f t="shared" si="53"/>
        <v>0</v>
      </c>
      <c r="AN289" s="46">
        <f t="shared" si="53"/>
        <v>0</v>
      </c>
      <c r="AO289" s="46">
        <f t="shared" si="53"/>
        <v>0</v>
      </c>
      <c r="AP289" s="46">
        <f t="shared" si="53"/>
        <v>0</v>
      </c>
      <c r="AQ289" s="46">
        <f t="shared" si="53"/>
        <v>0</v>
      </c>
      <c r="AR289" s="46">
        <f t="shared" si="53"/>
        <v>0</v>
      </c>
      <c r="AS289" s="46">
        <f t="shared" si="53"/>
        <v>0</v>
      </c>
      <c r="AT289" s="46">
        <f t="shared" si="53"/>
        <v>0</v>
      </c>
      <c r="AU289" s="46">
        <f t="shared" si="53"/>
        <v>0</v>
      </c>
      <c r="AV289" s="46">
        <f t="shared" si="53"/>
        <v>0</v>
      </c>
      <c r="AW289" s="46">
        <f t="shared" si="53"/>
        <v>0</v>
      </c>
      <c r="AX289" s="46">
        <f t="shared" si="53"/>
        <v>0</v>
      </c>
      <c r="AY289" s="46">
        <f t="shared" si="53"/>
        <v>0</v>
      </c>
      <c r="AZ289" s="46">
        <f t="shared" si="53"/>
        <v>0</v>
      </c>
      <c r="BA289" s="46">
        <f t="shared" si="53"/>
        <v>0</v>
      </c>
      <c r="BB289" s="46">
        <f t="shared" si="53"/>
        <v>0</v>
      </c>
      <c r="BC289" s="46">
        <f t="shared" si="53"/>
        <v>0</v>
      </c>
      <c r="BD289" s="46">
        <f t="shared" si="53"/>
        <v>0</v>
      </c>
      <c r="BE289" s="46">
        <f t="shared" si="53"/>
        <v>0</v>
      </c>
      <c r="BF289" s="46">
        <f t="shared" si="53"/>
        <v>0</v>
      </c>
      <c r="BG289" s="46">
        <f t="shared" si="53"/>
        <v>0</v>
      </c>
    </row>
    <row r="291" spans="2:59" x14ac:dyDescent="0.25">
      <c r="B291" s="28"/>
      <c r="C291" s="28" t="s">
        <v>260</v>
      </c>
      <c r="D291" s="28"/>
      <c r="E291" s="29"/>
      <c r="F291" s="29"/>
      <c r="G291" s="29" t="s">
        <v>100</v>
      </c>
      <c r="H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8"/>
      <c r="BD291" s="29"/>
      <c r="BE291" s="29"/>
      <c r="BF291" s="29"/>
      <c r="BG291" s="29"/>
    </row>
    <row r="292" spans="2:59" x14ac:dyDescent="0.25">
      <c r="C292" s="31" t="s">
        <v>240</v>
      </c>
      <c r="D292" s="32" t="s">
        <v>97</v>
      </c>
      <c r="G292" s="41">
        <f>SUM(X292:BG292)</f>
        <v>-8190.8465753424653</v>
      </c>
      <c r="X292" s="41">
        <f t="shared" ref="X292:BG292" si="54">SUMPRODUCT((YEAR($H$162:$H$169)=X$246)*$F$162:$F$169)</f>
        <v>-769.49315068493149</v>
      </c>
      <c r="Y292" s="41">
        <f t="shared" si="54"/>
        <v>-4061.5342465753424</v>
      </c>
      <c r="Z292" s="41">
        <f t="shared" si="54"/>
        <v>-3359.8191780821917</v>
      </c>
      <c r="AA292" s="41">
        <f t="shared" si="54"/>
        <v>0</v>
      </c>
      <c r="AB292" s="41">
        <f t="shared" si="54"/>
        <v>0</v>
      </c>
      <c r="AC292" s="41">
        <f t="shared" si="54"/>
        <v>0</v>
      </c>
      <c r="AD292" s="41">
        <f t="shared" si="54"/>
        <v>0</v>
      </c>
      <c r="AE292" s="41">
        <f t="shared" si="54"/>
        <v>0</v>
      </c>
      <c r="AF292" s="41">
        <f t="shared" si="54"/>
        <v>0</v>
      </c>
      <c r="AG292" s="41">
        <f t="shared" si="54"/>
        <v>0</v>
      </c>
      <c r="AH292" s="41">
        <f t="shared" si="54"/>
        <v>0</v>
      </c>
      <c r="AI292" s="41">
        <f t="shared" si="54"/>
        <v>0</v>
      </c>
      <c r="AJ292" s="41">
        <f t="shared" si="54"/>
        <v>0</v>
      </c>
      <c r="AK292" s="41">
        <f t="shared" si="54"/>
        <v>0</v>
      </c>
      <c r="AL292" s="41">
        <f t="shared" si="54"/>
        <v>0</v>
      </c>
      <c r="AM292" s="41">
        <f t="shared" si="54"/>
        <v>0</v>
      </c>
      <c r="AN292" s="41">
        <f t="shared" si="54"/>
        <v>0</v>
      </c>
      <c r="AO292" s="41">
        <f t="shared" si="54"/>
        <v>0</v>
      </c>
      <c r="AP292" s="41">
        <f t="shared" si="54"/>
        <v>0</v>
      </c>
      <c r="AQ292" s="41">
        <f t="shared" si="54"/>
        <v>0</v>
      </c>
      <c r="AR292" s="41">
        <f t="shared" si="54"/>
        <v>0</v>
      </c>
      <c r="AS292" s="41">
        <f t="shared" si="54"/>
        <v>0</v>
      </c>
      <c r="AT292" s="41">
        <f t="shared" si="54"/>
        <v>0</v>
      </c>
      <c r="AU292" s="41">
        <f t="shared" si="54"/>
        <v>0</v>
      </c>
      <c r="AV292" s="41">
        <f t="shared" si="54"/>
        <v>0</v>
      </c>
      <c r="AW292" s="41">
        <f t="shared" si="54"/>
        <v>0</v>
      </c>
      <c r="AX292" s="41">
        <f t="shared" si="54"/>
        <v>0</v>
      </c>
      <c r="AY292" s="41">
        <f t="shared" si="54"/>
        <v>0</v>
      </c>
      <c r="AZ292" s="41">
        <f t="shared" si="54"/>
        <v>0</v>
      </c>
      <c r="BA292" s="41">
        <f t="shared" si="54"/>
        <v>0</v>
      </c>
      <c r="BB292" s="41">
        <f t="shared" si="54"/>
        <v>0</v>
      </c>
      <c r="BC292" s="41">
        <f t="shared" si="54"/>
        <v>0</v>
      </c>
      <c r="BD292" s="41">
        <f t="shared" si="54"/>
        <v>0</v>
      </c>
      <c r="BE292" s="41">
        <f t="shared" si="54"/>
        <v>0</v>
      </c>
      <c r="BF292" s="41">
        <f t="shared" si="54"/>
        <v>0</v>
      </c>
      <c r="BG292" s="41">
        <f t="shared" si="54"/>
        <v>0</v>
      </c>
    </row>
    <row r="293" spans="2:59" x14ac:dyDescent="0.25">
      <c r="C293" s="31" t="s">
        <v>241</v>
      </c>
      <c r="D293" s="32" t="s">
        <v>97</v>
      </c>
      <c r="G293" s="41">
        <f>SUM(X293:BG293)</f>
        <v>3056.3698630136987</v>
      </c>
      <c r="X293" s="41">
        <f t="shared" ref="X293:BG293" si="55">($F$72+$F$73)*(X$246=YEAR($E$42))</f>
        <v>0</v>
      </c>
      <c r="Y293" s="41">
        <f t="shared" si="55"/>
        <v>0</v>
      </c>
      <c r="Z293" s="41">
        <f t="shared" si="55"/>
        <v>0</v>
      </c>
      <c r="AA293" s="41">
        <f t="shared" si="55"/>
        <v>0</v>
      </c>
      <c r="AB293" s="41">
        <f t="shared" si="55"/>
        <v>0</v>
      </c>
      <c r="AC293" s="41">
        <f t="shared" si="55"/>
        <v>0</v>
      </c>
      <c r="AD293" s="41">
        <f t="shared" si="55"/>
        <v>0</v>
      </c>
      <c r="AE293" s="41">
        <f t="shared" si="55"/>
        <v>3056.3698630136987</v>
      </c>
      <c r="AF293" s="41">
        <f t="shared" si="55"/>
        <v>0</v>
      </c>
      <c r="AG293" s="41">
        <f t="shared" si="55"/>
        <v>0</v>
      </c>
      <c r="AH293" s="41">
        <f t="shared" si="55"/>
        <v>0</v>
      </c>
      <c r="AI293" s="41">
        <f t="shared" si="55"/>
        <v>0</v>
      </c>
      <c r="AJ293" s="41">
        <f t="shared" si="55"/>
        <v>0</v>
      </c>
      <c r="AK293" s="41">
        <f t="shared" si="55"/>
        <v>0</v>
      </c>
      <c r="AL293" s="41">
        <f t="shared" si="55"/>
        <v>0</v>
      </c>
      <c r="AM293" s="41">
        <f t="shared" si="55"/>
        <v>0</v>
      </c>
      <c r="AN293" s="41">
        <f t="shared" si="55"/>
        <v>0</v>
      </c>
      <c r="AO293" s="41">
        <f t="shared" si="55"/>
        <v>0</v>
      </c>
      <c r="AP293" s="41">
        <f t="shared" si="55"/>
        <v>0</v>
      </c>
      <c r="AQ293" s="41">
        <f t="shared" si="55"/>
        <v>0</v>
      </c>
      <c r="AR293" s="41">
        <f t="shared" si="55"/>
        <v>0</v>
      </c>
      <c r="AS293" s="41">
        <f t="shared" si="55"/>
        <v>0</v>
      </c>
      <c r="AT293" s="41">
        <f t="shared" si="55"/>
        <v>0</v>
      </c>
      <c r="AU293" s="41">
        <f t="shared" si="55"/>
        <v>0</v>
      </c>
      <c r="AV293" s="41">
        <f t="shared" si="55"/>
        <v>0</v>
      </c>
      <c r="AW293" s="41">
        <f t="shared" si="55"/>
        <v>0</v>
      </c>
      <c r="AX293" s="41">
        <f t="shared" si="55"/>
        <v>0</v>
      </c>
      <c r="AY293" s="41">
        <f t="shared" si="55"/>
        <v>0</v>
      </c>
      <c r="AZ293" s="41">
        <f t="shared" si="55"/>
        <v>0</v>
      </c>
      <c r="BA293" s="41">
        <f t="shared" si="55"/>
        <v>0</v>
      </c>
      <c r="BB293" s="41">
        <f t="shared" si="55"/>
        <v>0</v>
      </c>
      <c r="BC293" s="41">
        <f t="shared" si="55"/>
        <v>0</v>
      </c>
      <c r="BD293" s="41">
        <f t="shared" si="55"/>
        <v>0</v>
      </c>
      <c r="BE293" s="41">
        <f t="shared" si="55"/>
        <v>0</v>
      </c>
      <c r="BF293" s="41">
        <f t="shared" si="55"/>
        <v>0</v>
      </c>
      <c r="BG293" s="41">
        <f t="shared" si="55"/>
        <v>0</v>
      </c>
    </row>
    <row r="294" spans="2:59" x14ac:dyDescent="0.25">
      <c r="C294" s="31" t="s">
        <v>242</v>
      </c>
      <c r="D294" s="32" t="s">
        <v>97</v>
      </c>
      <c r="G294" s="41">
        <f>SUM(X294:BG294)</f>
        <v>-91430.112500000003</v>
      </c>
      <c r="X294" s="41">
        <f t="shared" ref="X294:BG294" si="56">-$F$204*X$250</f>
        <v>0</v>
      </c>
      <c r="Y294" s="41">
        <f t="shared" si="56"/>
        <v>0</v>
      </c>
      <c r="Z294" s="41">
        <f t="shared" si="56"/>
        <v>0</v>
      </c>
      <c r="AA294" s="41">
        <f t="shared" si="56"/>
        <v>-22857.528125000001</v>
      </c>
      <c r="AB294" s="41">
        <f t="shared" si="56"/>
        <v>-45715.056250000001</v>
      </c>
      <c r="AC294" s="41">
        <f t="shared" si="56"/>
        <v>-22857.528125000001</v>
      </c>
      <c r="AD294" s="41">
        <f t="shared" si="56"/>
        <v>0</v>
      </c>
      <c r="AE294" s="41">
        <f t="shared" si="56"/>
        <v>0</v>
      </c>
      <c r="AF294" s="41">
        <f t="shared" si="56"/>
        <v>0</v>
      </c>
      <c r="AG294" s="41">
        <f t="shared" si="56"/>
        <v>0</v>
      </c>
      <c r="AH294" s="41">
        <f t="shared" si="56"/>
        <v>0</v>
      </c>
      <c r="AI294" s="41">
        <f t="shared" si="56"/>
        <v>0</v>
      </c>
      <c r="AJ294" s="41">
        <f t="shared" si="56"/>
        <v>0</v>
      </c>
      <c r="AK294" s="41">
        <f t="shared" si="56"/>
        <v>0</v>
      </c>
      <c r="AL294" s="41">
        <f t="shared" si="56"/>
        <v>0</v>
      </c>
      <c r="AM294" s="41">
        <f t="shared" si="56"/>
        <v>0</v>
      </c>
      <c r="AN294" s="41">
        <f t="shared" si="56"/>
        <v>0</v>
      </c>
      <c r="AO294" s="41">
        <f t="shared" si="56"/>
        <v>0</v>
      </c>
      <c r="AP294" s="41">
        <f t="shared" si="56"/>
        <v>0</v>
      </c>
      <c r="AQ294" s="41">
        <f t="shared" si="56"/>
        <v>0</v>
      </c>
      <c r="AR294" s="41">
        <f t="shared" si="56"/>
        <v>0</v>
      </c>
      <c r="AS294" s="41">
        <f t="shared" si="56"/>
        <v>0</v>
      </c>
      <c r="AT294" s="41">
        <f t="shared" si="56"/>
        <v>0</v>
      </c>
      <c r="AU294" s="41">
        <f t="shared" si="56"/>
        <v>0</v>
      </c>
      <c r="AV294" s="41">
        <f t="shared" si="56"/>
        <v>0</v>
      </c>
      <c r="AW294" s="41">
        <f t="shared" si="56"/>
        <v>0</v>
      </c>
      <c r="AX294" s="41">
        <f t="shared" si="56"/>
        <v>0</v>
      </c>
      <c r="AY294" s="41">
        <f t="shared" si="56"/>
        <v>0</v>
      </c>
      <c r="AZ294" s="41">
        <f t="shared" si="56"/>
        <v>0</v>
      </c>
      <c r="BA294" s="41">
        <f t="shared" si="56"/>
        <v>0</v>
      </c>
      <c r="BB294" s="41">
        <f t="shared" si="56"/>
        <v>0</v>
      </c>
      <c r="BC294" s="41">
        <f t="shared" si="56"/>
        <v>0</v>
      </c>
      <c r="BD294" s="41">
        <f t="shared" si="56"/>
        <v>0</v>
      </c>
      <c r="BE294" s="41">
        <f t="shared" si="56"/>
        <v>0</v>
      </c>
      <c r="BF294" s="41">
        <f t="shared" si="56"/>
        <v>0</v>
      </c>
      <c r="BG294" s="41">
        <f t="shared" si="56"/>
        <v>0</v>
      </c>
    </row>
    <row r="295" spans="2:59" x14ac:dyDescent="0.25">
      <c r="C295" s="31" t="s">
        <v>243</v>
      </c>
      <c r="D295" s="32" t="s">
        <v>97</v>
      </c>
      <c r="G295" s="41">
        <f>SUM(X295:BG295)</f>
        <v>-2500</v>
      </c>
      <c r="X295" s="41">
        <f t="shared" ref="X295:BG295" si="57">-$F$206*X$253</f>
        <v>0</v>
      </c>
      <c r="Y295" s="41">
        <f t="shared" si="57"/>
        <v>0</v>
      </c>
      <c r="Z295" s="41">
        <f t="shared" si="57"/>
        <v>0</v>
      </c>
      <c r="AA295" s="41">
        <f t="shared" si="57"/>
        <v>0</v>
      </c>
      <c r="AB295" s="41">
        <f t="shared" si="57"/>
        <v>0</v>
      </c>
      <c r="AC295" s="41">
        <f t="shared" si="57"/>
        <v>-2500</v>
      </c>
      <c r="AD295" s="41">
        <f t="shared" si="57"/>
        <v>0</v>
      </c>
      <c r="AE295" s="41">
        <f t="shared" si="57"/>
        <v>0</v>
      </c>
      <c r="AF295" s="41">
        <f t="shared" si="57"/>
        <v>0</v>
      </c>
      <c r="AG295" s="41">
        <f t="shared" si="57"/>
        <v>0</v>
      </c>
      <c r="AH295" s="41">
        <f t="shared" si="57"/>
        <v>0</v>
      </c>
      <c r="AI295" s="41">
        <f t="shared" si="57"/>
        <v>0</v>
      </c>
      <c r="AJ295" s="41">
        <f t="shared" si="57"/>
        <v>0</v>
      </c>
      <c r="AK295" s="41">
        <f t="shared" si="57"/>
        <v>0</v>
      </c>
      <c r="AL295" s="41">
        <f t="shared" si="57"/>
        <v>0</v>
      </c>
      <c r="AM295" s="41">
        <f t="shared" si="57"/>
        <v>0</v>
      </c>
      <c r="AN295" s="41">
        <f t="shared" si="57"/>
        <v>0</v>
      </c>
      <c r="AO295" s="41">
        <f t="shared" si="57"/>
        <v>0</v>
      </c>
      <c r="AP295" s="41">
        <f t="shared" si="57"/>
        <v>0</v>
      </c>
      <c r="AQ295" s="41">
        <f t="shared" si="57"/>
        <v>0</v>
      </c>
      <c r="AR295" s="41">
        <f t="shared" si="57"/>
        <v>0</v>
      </c>
      <c r="AS295" s="41">
        <f t="shared" si="57"/>
        <v>0</v>
      </c>
      <c r="AT295" s="41">
        <f t="shared" si="57"/>
        <v>0</v>
      </c>
      <c r="AU295" s="41">
        <f t="shared" si="57"/>
        <v>0</v>
      </c>
      <c r="AV295" s="41">
        <f t="shared" si="57"/>
        <v>0</v>
      </c>
      <c r="AW295" s="41">
        <f t="shared" si="57"/>
        <v>0</v>
      </c>
      <c r="AX295" s="41">
        <f t="shared" si="57"/>
        <v>0</v>
      </c>
      <c r="AY295" s="41">
        <f t="shared" si="57"/>
        <v>0</v>
      </c>
      <c r="AZ295" s="41">
        <f t="shared" si="57"/>
        <v>0</v>
      </c>
      <c r="BA295" s="41">
        <f t="shared" si="57"/>
        <v>0</v>
      </c>
      <c r="BB295" s="41">
        <f t="shared" si="57"/>
        <v>0</v>
      </c>
      <c r="BC295" s="41">
        <f t="shared" si="57"/>
        <v>0</v>
      </c>
      <c r="BD295" s="41">
        <f t="shared" si="57"/>
        <v>0</v>
      </c>
      <c r="BE295" s="41">
        <f t="shared" si="57"/>
        <v>0</v>
      </c>
      <c r="BF295" s="41">
        <f t="shared" si="57"/>
        <v>0</v>
      </c>
      <c r="BG295" s="41">
        <f t="shared" si="57"/>
        <v>0</v>
      </c>
    </row>
    <row r="296" spans="2:59" x14ac:dyDescent="0.25">
      <c r="C296" s="45" t="s">
        <v>244</v>
      </c>
      <c r="D296" s="32" t="s">
        <v>97</v>
      </c>
      <c r="G296" s="47">
        <f>SUM(X296:BG296)</f>
        <v>-99064.589212328778</v>
      </c>
      <c r="X296" s="47">
        <f t="shared" ref="X296:BG296" si="58">SUM(X292:X295)</f>
        <v>-769.49315068493149</v>
      </c>
      <c r="Y296" s="47">
        <f t="shared" si="58"/>
        <v>-4061.5342465753424</v>
      </c>
      <c r="Z296" s="47">
        <f t="shared" si="58"/>
        <v>-3359.8191780821917</v>
      </c>
      <c r="AA296" s="47">
        <f t="shared" si="58"/>
        <v>-22857.528125000001</v>
      </c>
      <c r="AB296" s="47">
        <f t="shared" si="58"/>
        <v>-45715.056250000001</v>
      </c>
      <c r="AC296" s="47">
        <f t="shared" si="58"/>
        <v>-25357.528125000001</v>
      </c>
      <c r="AD296" s="47">
        <f t="shared" si="58"/>
        <v>0</v>
      </c>
      <c r="AE296" s="47">
        <f t="shared" si="58"/>
        <v>3056.3698630136987</v>
      </c>
      <c r="AF296" s="47">
        <f t="shared" si="58"/>
        <v>0</v>
      </c>
      <c r="AG296" s="47">
        <f t="shared" si="58"/>
        <v>0</v>
      </c>
      <c r="AH296" s="47">
        <f t="shared" si="58"/>
        <v>0</v>
      </c>
      <c r="AI296" s="47">
        <f t="shared" si="58"/>
        <v>0</v>
      </c>
      <c r="AJ296" s="47">
        <f t="shared" si="58"/>
        <v>0</v>
      </c>
      <c r="AK296" s="47">
        <f t="shared" si="58"/>
        <v>0</v>
      </c>
      <c r="AL296" s="47">
        <f t="shared" si="58"/>
        <v>0</v>
      </c>
      <c r="AM296" s="47">
        <f t="shared" si="58"/>
        <v>0</v>
      </c>
      <c r="AN296" s="47">
        <f t="shared" si="58"/>
        <v>0</v>
      </c>
      <c r="AO296" s="47">
        <f t="shared" si="58"/>
        <v>0</v>
      </c>
      <c r="AP296" s="47">
        <f t="shared" si="58"/>
        <v>0</v>
      </c>
      <c r="AQ296" s="47">
        <f t="shared" si="58"/>
        <v>0</v>
      </c>
      <c r="AR296" s="47">
        <f t="shared" si="58"/>
        <v>0</v>
      </c>
      <c r="AS296" s="47">
        <f t="shared" si="58"/>
        <v>0</v>
      </c>
      <c r="AT296" s="47">
        <f t="shared" si="58"/>
        <v>0</v>
      </c>
      <c r="AU296" s="47">
        <f t="shared" si="58"/>
        <v>0</v>
      </c>
      <c r="AV296" s="47">
        <f t="shared" si="58"/>
        <v>0</v>
      </c>
      <c r="AW296" s="47">
        <f t="shared" si="58"/>
        <v>0</v>
      </c>
      <c r="AX296" s="47">
        <f t="shared" si="58"/>
        <v>0</v>
      </c>
      <c r="AY296" s="47">
        <f t="shared" si="58"/>
        <v>0</v>
      </c>
      <c r="AZ296" s="47">
        <f t="shared" si="58"/>
        <v>0</v>
      </c>
      <c r="BA296" s="47">
        <f t="shared" si="58"/>
        <v>0</v>
      </c>
      <c r="BB296" s="47">
        <f t="shared" si="58"/>
        <v>0</v>
      </c>
      <c r="BC296" s="47">
        <f t="shared" si="58"/>
        <v>0</v>
      </c>
      <c r="BD296" s="47">
        <f t="shared" si="58"/>
        <v>0</v>
      </c>
      <c r="BE296" s="47">
        <f t="shared" si="58"/>
        <v>0</v>
      </c>
      <c r="BF296" s="47">
        <f t="shared" si="58"/>
        <v>0</v>
      </c>
      <c r="BG296" s="47">
        <f t="shared" si="58"/>
        <v>0</v>
      </c>
    </row>
    <row r="297" spans="2:59" x14ac:dyDescent="0.25">
      <c r="C297" s="31" t="s">
        <v>245</v>
      </c>
      <c r="D297" s="32" t="s">
        <v>28</v>
      </c>
      <c r="X297" s="53">
        <f t="shared" ref="X297:BG297" si="59">(1-$F$119)^MAX(X$248-1,0)</f>
        <v>1</v>
      </c>
      <c r="Y297" s="53">
        <f t="shared" si="59"/>
        <v>1</v>
      </c>
      <c r="Z297" s="53">
        <f t="shared" si="59"/>
        <v>1</v>
      </c>
      <c r="AA297" s="53">
        <f t="shared" si="59"/>
        <v>1</v>
      </c>
      <c r="AB297" s="53">
        <f t="shared" si="59"/>
        <v>1</v>
      </c>
      <c r="AC297" s="53">
        <f t="shared" si="59"/>
        <v>1</v>
      </c>
      <c r="AD297" s="53">
        <f t="shared" si="59"/>
        <v>1</v>
      </c>
      <c r="AE297" s="53">
        <f t="shared" si="59"/>
        <v>0.997</v>
      </c>
      <c r="AF297" s="53">
        <f t="shared" si="59"/>
        <v>0.99400900000000003</v>
      </c>
      <c r="AG297" s="53">
        <f t="shared" si="59"/>
        <v>0.99102697299999998</v>
      </c>
      <c r="AH297" s="53">
        <f t="shared" si="59"/>
        <v>0.98805389208100003</v>
      </c>
      <c r="AI297" s="53">
        <f t="shared" si="59"/>
        <v>0.985089730404757</v>
      </c>
      <c r="AJ297" s="53">
        <f t="shared" si="59"/>
        <v>0.98213446121354275</v>
      </c>
      <c r="AK297" s="53">
        <f t="shared" si="59"/>
        <v>0.97918805782990215</v>
      </c>
      <c r="AL297" s="53">
        <f t="shared" si="59"/>
        <v>0.97625049365641248</v>
      </c>
      <c r="AM297" s="53">
        <f t="shared" si="59"/>
        <v>0.97332174217544321</v>
      </c>
      <c r="AN297" s="53">
        <f t="shared" si="59"/>
        <v>0.97040177694891694</v>
      </c>
      <c r="AO297" s="53">
        <f t="shared" si="59"/>
        <v>0.96749057161807017</v>
      </c>
      <c r="AP297" s="53">
        <f t="shared" si="59"/>
        <v>0.96458809990321592</v>
      </c>
      <c r="AQ297" s="53">
        <f t="shared" si="59"/>
        <v>0.96169433560350626</v>
      </c>
      <c r="AR297" s="53">
        <f t="shared" si="59"/>
        <v>0.9588092525966958</v>
      </c>
      <c r="AS297" s="53">
        <f t="shared" si="59"/>
        <v>0.95593282483890574</v>
      </c>
      <c r="AT297" s="53">
        <f t="shared" si="59"/>
        <v>0.95306502636438906</v>
      </c>
      <c r="AU297" s="53">
        <f t="shared" si="59"/>
        <v>0.9502058312852959</v>
      </c>
      <c r="AV297" s="53">
        <f t="shared" si="59"/>
        <v>0.94735521379144005</v>
      </c>
      <c r="AW297" s="53">
        <f t="shared" si="59"/>
        <v>0.94451314815006571</v>
      </c>
      <c r="AX297" s="53">
        <f t="shared" si="59"/>
        <v>0.94167960870561551</v>
      </c>
      <c r="AY297" s="53">
        <f t="shared" si="59"/>
        <v>0.93885456987949867</v>
      </c>
      <c r="AZ297" s="53">
        <f t="shared" si="59"/>
        <v>0.93603800616986021</v>
      </c>
      <c r="BA297" s="53">
        <f t="shared" si="59"/>
        <v>0.93322989215135066</v>
      </c>
      <c r="BB297" s="53">
        <f t="shared" si="59"/>
        <v>0.93043020247489661</v>
      </c>
      <c r="BC297" s="53">
        <f t="shared" si="59"/>
        <v>0.92763891186747183</v>
      </c>
      <c r="BD297" s="53">
        <f t="shared" si="59"/>
        <v>0.92485599513186956</v>
      </c>
      <c r="BE297" s="53">
        <f t="shared" si="59"/>
        <v>0.9220814271464739</v>
      </c>
      <c r="BF297" s="53">
        <f t="shared" si="59"/>
        <v>0.91931518286503444</v>
      </c>
      <c r="BG297" s="53">
        <f t="shared" si="59"/>
        <v>0.91655723731643934</v>
      </c>
    </row>
    <row r="298" spans="2:59" x14ac:dyDescent="0.25">
      <c r="C298" s="31" t="s">
        <v>246</v>
      </c>
      <c r="D298" s="32" t="s">
        <v>210</v>
      </c>
      <c r="G298" s="48">
        <f>SUM(X298:BG298)</f>
        <v>4293.8516758294882</v>
      </c>
      <c r="X298" s="48">
        <f t="shared" ref="X298:BG298" si="60">$F$193*$F$116*(1-$F$117)*(1-$F$118)*X$252*X297/Thousand</f>
        <v>0</v>
      </c>
      <c r="Y298" s="48">
        <f t="shared" si="60"/>
        <v>0</v>
      </c>
      <c r="Z298" s="48">
        <f t="shared" si="60"/>
        <v>0</v>
      </c>
      <c r="AA298" s="48">
        <f t="shared" si="60"/>
        <v>0</v>
      </c>
      <c r="AB298" s="48">
        <f t="shared" si="60"/>
        <v>0</v>
      </c>
      <c r="AC298" s="48">
        <f t="shared" si="60"/>
        <v>74.617199999999997</v>
      </c>
      <c r="AD298" s="48">
        <f t="shared" si="60"/>
        <v>149.23439999999999</v>
      </c>
      <c r="AE298" s="48">
        <f t="shared" si="60"/>
        <v>148.78669680000002</v>
      </c>
      <c r="AF298" s="48">
        <f t="shared" si="60"/>
        <v>148.3403367096</v>
      </c>
      <c r="AG298" s="48">
        <f t="shared" si="60"/>
        <v>147.89531569947118</v>
      </c>
      <c r="AH298" s="48">
        <f t="shared" si="60"/>
        <v>147.45162975237281</v>
      </c>
      <c r="AI298" s="48">
        <f t="shared" si="60"/>
        <v>147.00927486311565</v>
      </c>
      <c r="AJ298" s="48">
        <f t="shared" si="60"/>
        <v>146.56824703852632</v>
      </c>
      <c r="AK298" s="48">
        <f t="shared" si="60"/>
        <v>146.12854229741075</v>
      </c>
      <c r="AL298" s="48">
        <f t="shared" si="60"/>
        <v>145.69015667051852</v>
      </c>
      <c r="AM298" s="48">
        <f t="shared" si="60"/>
        <v>145.25308620050694</v>
      </c>
      <c r="AN298" s="48">
        <f t="shared" si="60"/>
        <v>144.81732694190546</v>
      </c>
      <c r="AO298" s="48">
        <f t="shared" si="60"/>
        <v>144.38287496107975</v>
      </c>
      <c r="AP298" s="48">
        <f t="shared" si="60"/>
        <v>143.94972633619648</v>
      </c>
      <c r="AQ298" s="48">
        <f t="shared" si="60"/>
        <v>143.51787715718788</v>
      </c>
      <c r="AR298" s="48">
        <f t="shared" si="60"/>
        <v>143.08732352571636</v>
      </c>
      <c r="AS298" s="48">
        <f t="shared" si="60"/>
        <v>142.6580615551392</v>
      </c>
      <c r="AT298" s="48">
        <f t="shared" si="60"/>
        <v>142.23008737047377</v>
      </c>
      <c r="AU298" s="48">
        <f t="shared" si="60"/>
        <v>141.80339710836236</v>
      </c>
      <c r="AV298" s="48">
        <f t="shared" si="60"/>
        <v>141.37798691703728</v>
      </c>
      <c r="AW298" s="48">
        <f t="shared" si="60"/>
        <v>140.95385295628617</v>
      </c>
      <c r="AX298" s="48">
        <f t="shared" si="60"/>
        <v>140.5309913974173</v>
      </c>
      <c r="AY298" s="48">
        <f t="shared" si="60"/>
        <v>140.10939842322503</v>
      </c>
      <c r="AZ298" s="48">
        <f t="shared" si="60"/>
        <v>139.68907022795537</v>
      </c>
      <c r="BA298" s="48">
        <f t="shared" si="60"/>
        <v>139.27000301727151</v>
      </c>
      <c r="BB298" s="48">
        <f t="shared" si="60"/>
        <v>138.8521930082197</v>
      </c>
      <c r="BC298" s="48">
        <f t="shared" si="60"/>
        <v>138.43563642919503</v>
      </c>
      <c r="BD298" s="48">
        <f t="shared" si="60"/>
        <v>138.02032951990748</v>
      </c>
      <c r="BE298" s="48">
        <f t="shared" si="60"/>
        <v>137.60626853134775</v>
      </c>
      <c r="BF298" s="48">
        <f t="shared" si="60"/>
        <v>137.19344972575368</v>
      </c>
      <c r="BG298" s="48">
        <f t="shared" si="60"/>
        <v>68.390934688288212</v>
      </c>
    </row>
    <row r="299" spans="2:59" x14ac:dyDescent="0.25">
      <c r="C299" s="31" t="s">
        <v>247</v>
      </c>
      <c r="D299" s="32" t="s">
        <v>22</v>
      </c>
      <c r="X299" s="48">
        <f t="shared" ref="X299:BG299" si="61">$F$120*(1+$F$121)^X$248*(X$252&gt;0)</f>
        <v>0</v>
      </c>
      <c r="Y299" s="48">
        <f t="shared" si="61"/>
        <v>0</v>
      </c>
      <c r="Z299" s="48">
        <f t="shared" si="61"/>
        <v>0</v>
      </c>
      <c r="AA299" s="48">
        <f t="shared" si="61"/>
        <v>0</v>
      </c>
      <c r="AB299" s="48">
        <f t="shared" si="61"/>
        <v>0</v>
      </c>
      <c r="AC299" s="48">
        <f t="shared" si="61"/>
        <v>90</v>
      </c>
      <c r="AD299" s="48">
        <f t="shared" si="61"/>
        <v>90.9</v>
      </c>
      <c r="AE299" s="48">
        <f t="shared" si="61"/>
        <v>91.808999999999997</v>
      </c>
      <c r="AF299" s="48">
        <f t="shared" si="61"/>
        <v>92.72708999999999</v>
      </c>
      <c r="AG299" s="48">
        <f t="shared" si="61"/>
        <v>93.6543609</v>
      </c>
      <c r="AH299" s="48">
        <f t="shared" si="61"/>
        <v>94.590904508999998</v>
      </c>
      <c r="AI299" s="48">
        <f t="shared" si="61"/>
        <v>95.536813554090017</v>
      </c>
      <c r="AJ299" s="48">
        <f t="shared" si="61"/>
        <v>96.492181689630883</v>
      </c>
      <c r="AK299" s="48">
        <f t="shared" si="61"/>
        <v>97.457103506527218</v>
      </c>
      <c r="AL299" s="48">
        <f t="shared" si="61"/>
        <v>98.4316745415925</v>
      </c>
      <c r="AM299" s="48">
        <f t="shared" si="61"/>
        <v>99.415991287008424</v>
      </c>
      <c r="AN299" s="48">
        <f t="shared" si="61"/>
        <v>100.41015119987848</v>
      </c>
      <c r="AO299" s="48">
        <f t="shared" si="61"/>
        <v>101.41425271187728</v>
      </c>
      <c r="AP299" s="48">
        <f t="shared" si="61"/>
        <v>102.42839523899606</v>
      </c>
      <c r="AQ299" s="48">
        <f t="shared" si="61"/>
        <v>103.45267919138603</v>
      </c>
      <c r="AR299" s="48">
        <f t="shared" si="61"/>
        <v>104.48720598329986</v>
      </c>
      <c r="AS299" s="48">
        <f t="shared" si="61"/>
        <v>105.53207804313288</v>
      </c>
      <c r="AT299" s="48">
        <f t="shared" si="61"/>
        <v>106.58739882356423</v>
      </c>
      <c r="AU299" s="48">
        <f t="shared" si="61"/>
        <v>107.65327281179987</v>
      </c>
      <c r="AV299" s="48">
        <f t="shared" si="61"/>
        <v>108.72980553991785</v>
      </c>
      <c r="AW299" s="48">
        <f t="shared" si="61"/>
        <v>109.81710359531704</v>
      </c>
      <c r="AX299" s="48">
        <f t="shared" si="61"/>
        <v>110.91527463127019</v>
      </c>
      <c r="AY299" s="48">
        <f t="shared" si="61"/>
        <v>112.02442737758292</v>
      </c>
      <c r="AZ299" s="48">
        <f t="shared" si="61"/>
        <v>113.14467165135873</v>
      </c>
      <c r="BA299" s="48">
        <f t="shared" si="61"/>
        <v>114.27611836787234</v>
      </c>
      <c r="BB299" s="48">
        <f t="shared" si="61"/>
        <v>115.41887955155109</v>
      </c>
      <c r="BC299" s="48">
        <f t="shared" si="61"/>
        <v>116.5730683470666</v>
      </c>
      <c r="BD299" s="48">
        <f t="shared" si="61"/>
        <v>117.73879903053722</v>
      </c>
      <c r="BE299" s="48">
        <f t="shared" si="61"/>
        <v>118.9161870208426</v>
      </c>
      <c r="BF299" s="48">
        <f t="shared" si="61"/>
        <v>120.10534889105104</v>
      </c>
      <c r="BG299" s="48">
        <f t="shared" si="61"/>
        <v>121.30640237996157</v>
      </c>
    </row>
    <row r="300" spans="2:59" x14ac:dyDescent="0.25">
      <c r="C300" s="45" t="s">
        <v>248</v>
      </c>
      <c r="D300" s="32" t="s">
        <v>97</v>
      </c>
      <c r="G300" s="46">
        <f>SUM(X300:BG300)</f>
        <v>449317.33348466485</v>
      </c>
      <c r="X300" s="46">
        <f t="shared" ref="X300:BG300" si="62">X298*X299</f>
        <v>0</v>
      </c>
      <c r="Y300" s="46">
        <f t="shared" si="62"/>
        <v>0</v>
      </c>
      <c r="Z300" s="46">
        <f t="shared" si="62"/>
        <v>0</v>
      </c>
      <c r="AA300" s="46">
        <f t="shared" si="62"/>
        <v>0</v>
      </c>
      <c r="AB300" s="46">
        <f t="shared" si="62"/>
        <v>0</v>
      </c>
      <c r="AC300" s="46">
        <f t="shared" si="62"/>
        <v>6715.5479999999998</v>
      </c>
      <c r="AD300" s="46">
        <f t="shared" si="62"/>
        <v>13565.40696</v>
      </c>
      <c r="AE300" s="46">
        <f t="shared" si="62"/>
        <v>13659.957846511201</v>
      </c>
      <c r="AF300" s="46">
        <f t="shared" si="62"/>
        <v>13755.167752701382</v>
      </c>
      <c r="AG300" s="46">
        <f t="shared" si="62"/>
        <v>13851.041271937711</v>
      </c>
      <c r="AH300" s="46">
        <f t="shared" si="62"/>
        <v>13947.58302960312</v>
      </c>
      <c r="AI300" s="46">
        <f t="shared" si="62"/>
        <v>14044.797683319452</v>
      </c>
      <c r="AJ300" s="46">
        <f t="shared" si="62"/>
        <v>14142.689923172185</v>
      </c>
      <c r="AK300" s="46">
        <f t="shared" si="62"/>
        <v>14241.2644719367</v>
      </c>
      <c r="AL300" s="46">
        <f t="shared" si="62"/>
        <v>14340.526085306101</v>
      </c>
      <c r="AM300" s="46">
        <f t="shared" si="62"/>
        <v>14440.479552120682</v>
      </c>
      <c r="AN300" s="46">
        <f t="shared" si="62"/>
        <v>14541.129694598963</v>
      </c>
      <c r="AO300" s="46">
        <f t="shared" si="62"/>
        <v>14642.481368570321</v>
      </c>
      <c r="AP300" s="46">
        <f t="shared" si="62"/>
        <v>14744.539463709252</v>
      </c>
      <c r="AQ300" s="46">
        <f t="shared" si="62"/>
        <v>14847.308903771307</v>
      </c>
      <c r="AR300" s="46">
        <f t="shared" si="62"/>
        <v>14950.794646830593</v>
      </c>
      <c r="AS300" s="46">
        <f t="shared" si="62"/>
        <v>15055.001685519004</v>
      </c>
      <c r="AT300" s="46">
        <f t="shared" si="62"/>
        <v>15159.935047267074</v>
      </c>
      <c r="AU300" s="46">
        <f t="shared" si="62"/>
        <v>15265.599794546526</v>
      </c>
      <c r="AV300" s="46">
        <f t="shared" si="62"/>
        <v>15372.001025114512</v>
      </c>
      <c r="AW300" s="46">
        <f t="shared" si="62"/>
        <v>15479.143872259563</v>
      </c>
      <c r="AX300" s="46">
        <f t="shared" si="62"/>
        <v>15587.033505049209</v>
      </c>
      <c r="AY300" s="46">
        <f t="shared" si="62"/>
        <v>15695.675128579403</v>
      </c>
      <c r="AZ300" s="46">
        <f t="shared" si="62"/>
        <v>15805.073984225601</v>
      </c>
      <c r="BA300" s="46">
        <f t="shared" si="62"/>
        <v>15915.235349895656</v>
      </c>
      <c r="BB300" s="46">
        <f t="shared" si="62"/>
        <v>16026.164540284433</v>
      </c>
      <c r="BC300" s="46">
        <f t="shared" si="62"/>
        <v>16137.866907130214</v>
      </c>
      <c r="BD300" s="46">
        <f t="shared" si="62"/>
        <v>16250.34783947291</v>
      </c>
      <c r="BE300" s="46">
        <f t="shared" si="62"/>
        <v>16363.612763914038</v>
      </c>
      <c r="BF300" s="46">
        <f t="shared" si="62"/>
        <v>16477.667144878516</v>
      </c>
      <c r="BG300" s="46">
        <f t="shared" si="62"/>
        <v>8296.2582424391621</v>
      </c>
    </row>
    <row r="301" spans="2:59" x14ac:dyDescent="0.25">
      <c r="C301" s="31" t="s">
        <v>249</v>
      </c>
      <c r="D301" s="32" t="s">
        <v>28</v>
      </c>
      <c r="X301" s="53">
        <f t="shared" ref="X301:BG301" si="63">(1+$F$135)^X$248</f>
        <v>0.88385428760951712</v>
      </c>
      <c r="Y301" s="53">
        <f t="shared" si="63"/>
        <v>0.90595064479975507</v>
      </c>
      <c r="Z301" s="53">
        <f t="shared" si="63"/>
        <v>0.92859941091974885</v>
      </c>
      <c r="AA301" s="53">
        <f t="shared" si="63"/>
        <v>0.95181439619274244</v>
      </c>
      <c r="AB301" s="53">
        <f t="shared" si="63"/>
        <v>0.97560975609756106</v>
      </c>
      <c r="AC301" s="53">
        <f t="shared" si="63"/>
        <v>1</v>
      </c>
      <c r="AD301" s="53">
        <f t="shared" si="63"/>
        <v>1.0249999999999999</v>
      </c>
      <c r="AE301" s="53">
        <f t="shared" si="63"/>
        <v>1.0506249999999999</v>
      </c>
      <c r="AF301" s="53">
        <f t="shared" si="63"/>
        <v>1.0768906249999999</v>
      </c>
      <c r="AG301" s="53">
        <f t="shared" si="63"/>
        <v>1.1038128906249998</v>
      </c>
      <c r="AH301" s="53">
        <f t="shared" si="63"/>
        <v>1.1314082128906247</v>
      </c>
      <c r="AI301" s="53">
        <f t="shared" si="63"/>
        <v>1.1596934182128902</v>
      </c>
      <c r="AJ301" s="53">
        <f t="shared" si="63"/>
        <v>1.1886857536682125</v>
      </c>
      <c r="AK301" s="53">
        <f t="shared" si="63"/>
        <v>1.2184028975099177</v>
      </c>
      <c r="AL301" s="53">
        <f t="shared" si="63"/>
        <v>1.2488629699476654</v>
      </c>
      <c r="AM301" s="53">
        <f t="shared" si="63"/>
        <v>1.2800845441963571</v>
      </c>
      <c r="AN301" s="53">
        <f t="shared" si="63"/>
        <v>1.312086657801266</v>
      </c>
      <c r="AO301" s="53">
        <f t="shared" si="63"/>
        <v>1.3448888242462975</v>
      </c>
      <c r="AP301" s="53">
        <f t="shared" si="63"/>
        <v>1.3785110448524549</v>
      </c>
      <c r="AQ301" s="53">
        <f t="shared" si="63"/>
        <v>1.4129738209737661</v>
      </c>
      <c r="AR301" s="53">
        <f t="shared" si="63"/>
        <v>1.4482981664981105</v>
      </c>
      <c r="AS301" s="53">
        <f t="shared" si="63"/>
        <v>1.4845056206605631</v>
      </c>
      <c r="AT301" s="53">
        <f t="shared" si="63"/>
        <v>1.521618261177077</v>
      </c>
      <c r="AU301" s="53">
        <f t="shared" si="63"/>
        <v>1.559658717706504</v>
      </c>
      <c r="AV301" s="53">
        <f t="shared" si="63"/>
        <v>1.5986501856491666</v>
      </c>
      <c r="AW301" s="53">
        <f t="shared" si="63"/>
        <v>1.6386164402903955</v>
      </c>
      <c r="AX301" s="53">
        <f t="shared" si="63"/>
        <v>1.6795818512976552</v>
      </c>
      <c r="AY301" s="53">
        <f t="shared" si="63"/>
        <v>1.7215713975800966</v>
      </c>
      <c r="AZ301" s="53">
        <f t="shared" si="63"/>
        <v>1.7646106825195991</v>
      </c>
      <c r="BA301" s="53">
        <f t="shared" si="63"/>
        <v>1.8087259495825889</v>
      </c>
      <c r="BB301" s="53">
        <f t="shared" si="63"/>
        <v>1.8539440983221533</v>
      </c>
      <c r="BC301" s="53">
        <f t="shared" si="63"/>
        <v>1.9002927007802071</v>
      </c>
      <c r="BD301" s="53">
        <f t="shared" si="63"/>
        <v>1.9478000182997122</v>
      </c>
      <c r="BE301" s="53">
        <f t="shared" si="63"/>
        <v>1.9964950187572048</v>
      </c>
      <c r="BF301" s="53">
        <f t="shared" si="63"/>
        <v>2.0464073942261352</v>
      </c>
      <c r="BG301" s="53">
        <f t="shared" si="63"/>
        <v>2.097567579081788</v>
      </c>
    </row>
    <row r="302" spans="2:59" x14ac:dyDescent="0.25">
      <c r="C302" s="31" t="s">
        <v>250</v>
      </c>
      <c r="D302" s="32" t="s">
        <v>97</v>
      </c>
      <c r="G302" s="41">
        <f t="shared" ref="G302:G312" si="64">SUM(X302:BG302)</f>
        <v>-70511.171178898832</v>
      </c>
      <c r="X302" s="41">
        <f t="shared" ref="X302:BG302" si="65">-SUM($F$123:$F$128)*$F$193*X301*X$252</f>
        <v>0</v>
      </c>
      <c r="Y302" s="41">
        <f t="shared" si="65"/>
        <v>0</v>
      </c>
      <c r="Z302" s="41">
        <f t="shared" si="65"/>
        <v>0</v>
      </c>
      <c r="AA302" s="41">
        <f t="shared" si="65"/>
        <v>0</v>
      </c>
      <c r="AB302" s="41">
        <f t="shared" si="65"/>
        <v>0</v>
      </c>
      <c r="AC302" s="41">
        <f t="shared" si="65"/>
        <v>-793.125</v>
      </c>
      <c r="AD302" s="41">
        <f t="shared" si="65"/>
        <v>-1625.9062499999998</v>
      </c>
      <c r="AE302" s="41">
        <f t="shared" si="65"/>
        <v>-1666.55390625</v>
      </c>
      <c r="AF302" s="41">
        <f t="shared" si="65"/>
        <v>-1708.2177539062498</v>
      </c>
      <c r="AG302" s="41">
        <f t="shared" si="65"/>
        <v>-1750.9231977539059</v>
      </c>
      <c r="AH302" s="41">
        <f t="shared" si="65"/>
        <v>-1794.6962776977534</v>
      </c>
      <c r="AI302" s="41">
        <f t="shared" si="65"/>
        <v>-1839.5636846401972</v>
      </c>
      <c r="AJ302" s="41">
        <f t="shared" si="65"/>
        <v>-1885.5527767562021</v>
      </c>
      <c r="AK302" s="41">
        <f t="shared" si="65"/>
        <v>-1932.691596175107</v>
      </c>
      <c r="AL302" s="41">
        <f t="shared" si="65"/>
        <v>-1981.0088860794842</v>
      </c>
      <c r="AM302" s="41">
        <f t="shared" si="65"/>
        <v>-2030.5341082314715</v>
      </c>
      <c r="AN302" s="41">
        <f t="shared" si="65"/>
        <v>-2081.2974609372582</v>
      </c>
      <c r="AO302" s="41">
        <f t="shared" si="65"/>
        <v>-2133.3298974606896</v>
      </c>
      <c r="AP302" s="41">
        <f t="shared" si="65"/>
        <v>-2186.6631448972066</v>
      </c>
      <c r="AQ302" s="41">
        <f t="shared" si="65"/>
        <v>-2241.3297235196364</v>
      </c>
      <c r="AR302" s="41">
        <f t="shared" si="65"/>
        <v>-2297.3629666076276</v>
      </c>
      <c r="AS302" s="41">
        <f t="shared" si="65"/>
        <v>-2354.7970407728185</v>
      </c>
      <c r="AT302" s="41">
        <f t="shared" si="65"/>
        <v>-2413.6669667921383</v>
      </c>
      <c r="AU302" s="41">
        <f t="shared" si="65"/>
        <v>-2474.0086409619421</v>
      </c>
      <c r="AV302" s="41">
        <f t="shared" si="65"/>
        <v>-2535.8588569859903</v>
      </c>
      <c r="AW302" s="41">
        <f t="shared" si="65"/>
        <v>-2599.2553284106398</v>
      </c>
      <c r="AX302" s="41">
        <f t="shared" si="65"/>
        <v>-2664.2367116209057</v>
      </c>
      <c r="AY302" s="41">
        <f t="shared" si="65"/>
        <v>-2730.8426294114283</v>
      </c>
      <c r="AZ302" s="41">
        <f t="shared" si="65"/>
        <v>-2799.1136951467142</v>
      </c>
      <c r="BA302" s="41">
        <f t="shared" si="65"/>
        <v>-2869.0915375253817</v>
      </c>
      <c r="BB302" s="41">
        <f t="shared" si="65"/>
        <v>-2940.8188259635158</v>
      </c>
      <c r="BC302" s="41">
        <f t="shared" si="65"/>
        <v>-3014.3392966126034</v>
      </c>
      <c r="BD302" s="41">
        <f t="shared" si="65"/>
        <v>-3089.6977790279184</v>
      </c>
      <c r="BE302" s="41">
        <f t="shared" si="65"/>
        <v>-3166.9402235036159</v>
      </c>
      <c r="BF302" s="41">
        <f t="shared" si="65"/>
        <v>-3246.113729091207</v>
      </c>
      <c r="BG302" s="41">
        <f t="shared" si="65"/>
        <v>-1663.6332861592432</v>
      </c>
    </row>
    <row r="303" spans="2:59" x14ac:dyDescent="0.25">
      <c r="C303" s="31" t="s">
        <v>251</v>
      </c>
      <c r="D303" s="32" t="s">
        <v>97</v>
      </c>
      <c r="G303" s="41">
        <f t="shared" si="64"/>
        <v>-1666.9307607304695</v>
      </c>
      <c r="X303" s="41">
        <f t="shared" ref="X303:BG303" si="66">-$F$129*$F$5/$F$112*X301*X$252</f>
        <v>0</v>
      </c>
      <c r="Y303" s="41">
        <f t="shared" si="66"/>
        <v>0</v>
      </c>
      <c r="Z303" s="41">
        <f t="shared" si="66"/>
        <v>0</v>
      </c>
      <c r="AA303" s="41">
        <f t="shared" si="66"/>
        <v>0</v>
      </c>
      <c r="AB303" s="41">
        <f t="shared" si="66"/>
        <v>0</v>
      </c>
      <c r="AC303" s="41">
        <f t="shared" si="66"/>
        <v>-18.75</v>
      </c>
      <c r="AD303" s="41">
        <f t="shared" si="66"/>
        <v>-38.4375</v>
      </c>
      <c r="AE303" s="41">
        <f t="shared" si="66"/>
        <v>-39.3984375</v>
      </c>
      <c r="AF303" s="41">
        <f t="shared" si="66"/>
        <v>-40.383398437499999</v>
      </c>
      <c r="AG303" s="41">
        <f t="shared" si="66"/>
        <v>-41.392983398437494</v>
      </c>
      <c r="AH303" s="41">
        <f t="shared" si="66"/>
        <v>-42.427807983398424</v>
      </c>
      <c r="AI303" s="41">
        <f t="shared" si="66"/>
        <v>-43.488503182983379</v>
      </c>
      <c r="AJ303" s="41">
        <f t="shared" si="66"/>
        <v>-44.575715762557969</v>
      </c>
      <c r="AK303" s="41">
        <f t="shared" si="66"/>
        <v>-45.690108656621916</v>
      </c>
      <c r="AL303" s="41">
        <f t="shared" si="66"/>
        <v>-46.83236137303745</v>
      </c>
      <c r="AM303" s="41">
        <f t="shared" si="66"/>
        <v>-48.003170407363392</v>
      </c>
      <c r="AN303" s="41">
        <f t="shared" si="66"/>
        <v>-49.203249667547475</v>
      </c>
      <c r="AO303" s="41">
        <f t="shared" si="66"/>
        <v>-50.433330909236155</v>
      </c>
      <c r="AP303" s="41">
        <f t="shared" si="66"/>
        <v>-51.694164181967061</v>
      </c>
      <c r="AQ303" s="41">
        <f t="shared" si="66"/>
        <v>-52.98651828651623</v>
      </c>
      <c r="AR303" s="41">
        <f t="shared" si="66"/>
        <v>-54.311181243679144</v>
      </c>
      <c r="AS303" s="41">
        <f t="shared" si="66"/>
        <v>-55.668960774771115</v>
      </c>
      <c r="AT303" s="41">
        <f t="shared" si="66"/>
        <v>-57.060684794140386</v>
      </c>
      <c r="AU303" s="41">
        <f t="shared" si="66"/>
        <v>-58.4872019139939</v>
      </c>
      <c r="AV303" s="41">
        <f t="shared" si="66"/>
        <v>-59.949381961843748</v>
      </c>
      <c r="AW303" s="41">
        <f t="shared" si="66"/>
        <v>-61.448116510889832</v>
      </c>
      <c r="AX303" s="41">
        <f t="shared" si="66"/>
        <v>-62.984319423662072</v>
      </c>
      <c r="AY303" s="41">
        <f t="shared" si="66"/>
        <v>-64.558927409253627</v>
      </c>
      <c r="AZ303" s="41">
        <f t="shared" si="66"/>
        <v>-66.172900594484972</v>
      </c>
      <c r="BA303" s="41">
        <f t="shared" si="66"/>
        <v>-67.827223109347088</v>
      </c>
      <c r="BB303" s="41">
        <f t="shared" si="66"/>
        <v>-69.522903687080756</v>
      </c>
      <c r="BC303" s="41">
        <f t="shared" si="66"/>
        <v>-71.260976279257761</v>
      </c>
      <c r="BD303" s="41">
        <f t="shared" si="66"/>
        <v>-73.042500686239208</v>
      </c>
      <c r="BE303" s="41">
        <f t="shared" si="66"/>
        <v>-74.868563203395183</v>
      </c>
      <c r="BF303" s="41">
        <f t="shared" si="66"/>
        <v>-76.740277283480069</v>
      </c>
      <c r="BG303" s="41">
        <f t="shared" si="66"/>
        <v>-39.329392107783526</v>
      </c>
    </row>
    <row r="304" spans="2:59" x14ac:dyDescent="0.25">
      <c r="C304" s="31" t="s">
        <v>252</v>
      </c>
      <c r="D304" s="32" t="s">
        <v>97</v>
      </c>
      <c r="G304" s="41">
        <f t="shared" si="64"/>
        <v>-31636.300794908726</v>
      </c>
      <c r="X304" s="41">
        <f t="shared" ref="X304:BG304" si="67">-X298*($F$130+$F$131)*X301</f>
        <v>0</v>
      </c>
      <c r="Y304" s="41">
        <f t="shared" si="67"/>
        <v>0</v>
      </c>
      <c r="Z304" s="41">
        <f t="shared" si="67"/>
        <v>0</v>
      </c>
      <c r="AA304" s="41">
        <f t="shared" si="67"/>
        <v>0</v>
      </c>
      <c r="AB304" s="41">
        <f t="shared" si="67"/>
        <v>0</v>
      </c>
      <c r="AC304" s="41">
        <f t="shared" si="67"/>
        <v>-373.08600000000001</v>
      </c>
      <c r="AD304" s="41">
        <f t="shared" si="67"/>
        <v>-764.82629999999995</v>
      </c>
      <c r="AE304" s="41">
        <f t="shared" si="67"/>
        <v>-781.59511662750003</v>
      </c>
      <c r="AF304" s="41">
        <f t="shared" si="67"/>
        <v>-798.73158955955785</v>
      </c>
      <c r="AG304" s="41">
        <f t="shared" si="67"/>
        <v>-816.24377966065106</v>
      </c>
      <c r="AH304" s="41">
        <f t="shared" si="67"/>
        <v>-834.13992452971092</v>
      </c>
      <c r="AI304" s="41">
        <f t="shared" si="67"/>
        <v>-852.42844237502459</v>
      </c>
      <c r="AJ304" s="41">
        <f t="shared" si="67"/>
        <v>-871.11793597409712</v>
      </c>
      <c r="AK304" s="41">
        <f t="shared" si="67"/>
        <v>-890.21719672032907</v>
      </c>
      <c r="AL304" s="41">
        <f t="shared" si="67"/>
        <v>-909.73520875842212</v>
      </c>
      <c r="AM304" s="41">
        <f t="shared" si="67"/>
        <v>-929.68115321045047</v>
      </c>
      <c r="AN304" s="41">
        <f t="shared" si="67"/>
        <v>-950.06441249458987</v>
      </c>
      <c r="AO304" s="41">
        <f t="shared" si="67"/>
        <v>-970.89457473853372</v>
      </c>
      <c r="AP304" s="41">
        <f t="shared" si="67"/>
        <v>-992.18143828967573</v>
      </c>
      <c r="AQ304" s="41">
        <f t="shared" si="67"/>
        <v>-1013.9350163241767</v>
      </c>
      <c r="AR304" s="41">
        <f t="shared" si="67"/>
        <v>-1036.1655415570847</v>
      </c>
      <c r="AS304" s="41">
        <f t="shared" si="67"/>
        <v>-1058.8834710557237</v>
      </c>
      <c r="AT304" s="41">
        <f t="shared" si="67"/>
        <v>-1082.0994911586201</v>
      </c>
      <c r="AU304" s="41">
        <f t="shared" si="67"/>
        <v>-1105.8245225022731</v>
      </c>
      <c r="AV304" s="41">
        <f t="shared" si="67"/>
        <v>-1130.0697251581355</v>
      </c>
      <c r="AW304" s="41">
        <f t="shared" si="67"/>
        <v>-1154.8465038822274</v>
      </c>
      <c r="AX304" s="41">
        <f t="shared" si="67"/>
        <v>-1180.166513479845</v>
      </c>
      <c r="AY304" s="41">
        <f t="shared" si="67"/>
        <v>-1206.0416642878904</v>
      </c>
      <c r="AZ304" s="41">
        <f t="shared" si="67"/>
        <v>-1232.4841277774028</v>
      </c>
      <c r="BA304" s="41">
        <f t="shared" si="67"/>
        <v>-1259.5063422789221</v>
      </c>
      <c r="BB304" s="41">
        <f t="shared" si="67"/>
        <v>-1287.1210188333873</v>
      </c>
      <c r="BC304" s="41">
        <f t="shared" si="67"/>
        <v>-1315.3411471713091</v>
      </c>
      <c r="BD304" s="41">
        <f t="shared" si="67"/>
        <v>-1344.1800018230404</v>
      </c>
      <c r="BE304" s="41">
        <f t="shared" si="67"/>
        <v>-1373.6511483630104</v>
      </c>
      <c r="BF304" s="41">
        <f t="shared" si="67"/>
        <v>-1403.7684497908692</v>
      </c>
      <c r="BG304" s="41">
        <f t="shared" si="67"/>
        <v>-717.27303652626688</v>
      </c>
    </row>
    <row r="305" spans="3:59" x14ac:dyDescent="0.25">
      <c r="C305" s="31" t="s">
        <v>167</v>
      </c>
      <c r="D305" s="32" t="s">
        <v>97</v>
      </c>
      <c r="G305" s="41">
        <f t="shared" si="64"/>
        <v>-449.3173334846648</v>
      </c>
      <c r="X305" s="41">
        <f t="shared" ref="X305:BG305" si="68">-X300*$F$132</f>
        <v>0</v>
      </c>
      <c r="Y305" s="41">
        <f t="shared" si="68"/>
        <v>0</v>
      </c>
      <c r="Z305" s="41">
        <f t="shared" si="68"/>
        <v>0</v>
      </c>
      <c r="AA305" s="41">
        <f t="shared" si="68"/>
        <v>0</v>
      </c>
      <c r="AB305" s="41">
        <f t="shared" si="68"/>
        <v>0</v>
      </c>
      <c r="AC305" s="41">
        <f t="shared" si="68"/>
        <v>-6.7155480000000001</v>
      </c>
      <c r="AD305" s="41">
        <f t="shared" si="68"/>
        <v>-13.565406960000001</v>
      </c>
      <c r="AE305" s="41">
        <f t="shared" si="68"/>
        <v>-13.659957846511201</v>
      </c>
      <c r="AF305" s="41">
        <f t="shared" si="68"/>
        <v>-13.755167752701382</v>
      </c>
      <c r="AG305" s="41">
        <f t="shared" si="68"/>
        <v>-13.851041271937712</v>
      </c>
      <c r="AH305" s="41">
        <f t="shared" si="68"/>
        <v>-13.94758302960312</v>
      </c>
      <c r="AI305" s="41">
        <f t="shared" si="68"/>
        <v>-14.044797683319452</v>
      </c>
      <c r="AJ305" s="41">
        <f t="shared" si="68"/>
        <v>-14.142689923172187</v>
      </c>
      <c r="AK305" s="41">
        <f t="shared" si="68"/>
        <v>-14.241264471936701</v>
      </c>
      <c r="AL305" s="41">
        <f t="shared" si="68"/>
        <v>-14.340526085306101</v>
      </c>
      <c r="AM305" s="41">
        <f t="shared" si="68"/>
        <v>-14.440479552120681</v>
      </c>
      <c r="AN305" s="41">
        <f t="shared" si="68"/>
        <v>-14.541129694598963</v>
      </c>
      <c r="AO305" s="41">
        <f t="shared" si="68"/>
        <v>-14.642481368570321</v>
      </c>
      <c r="AP305" s="41">
        <f t="shared" si="68"/>
        <v>-14.744539463709252</v>
      </c>
      <c r="AQ305" s="41">
        <f t="shared" si="68"/>
        <v>-14.847308903771307</v>
      </c>
      <c r="AR305" s="41">
        <f t="shared" si="68"/>
        <v>-14.950794646830593</v>
      </c>
      <c r="AS305" s="41">
        <f t="shared" si="68"/>
        <v>-15.055001685519004</v>
      </c>
      <c r="AT305" s="41">
        <f t="shared" si="68"/>
        <v>-15.159935047267075</v>
      </c>
      <c r="AU305" s="41">
        <f t="shared" si="68"/>
        <v>-15.265599794546526</v>
      </c>
      <c r="AV305" s="41">
        <f t="shared" si="68"/>
        <v>-15.372001025114512</v>
      </c>
      <c r="AW305" s="41">
        <f t="shared" si="68"/>
        <v>-15.479143872259563</v>
      </c>
      <c r="AX305" s="41">
        <f t="shared" si="68"/>
        <v>-15.587033505049209</v>
      </c>
      <c r="AY305" s="41">
        <f t="shared" si="68"/>
        <v>-15.695675128579405</v>
      </c>
      <c r="AZ305" s="41">
        <f t="shared" si="68"/>
        <v>-15.805073984225601</v>
      </c>
      <c r="BA305" s="41">
        <f t="shared" si="68"/>
        <v>-15.915235349895656</v>
      </c>
      <c r="BB305" s="41">
        <f t="shared" si="68"/>
        <v>-16.026164540284434</v>
      </c>
      <c r="BC305" s="41">
        <f t="shared" si="68"/>
        <v>-16.137866907130213</v>
      </c>
      <c r="BD305" s="41">
        <f t="shared" si="68"/>
        <v>-16.250347839472909</v>
      </c>
      <c r="BE305" s="41">
        <f t="shared" si="68"/>
        <v>-16.363612763914038</v>
      </c>
      <c r="BF305" s="41">
        <f t="shared" si="68"/>
        <v>-16.477667144878517</v>
      </c>
      <c r="BG305" s="41">
        <f t="shared" si="68"/>
        <v>-8.296258242439162</v>
      </c>
    </row>
    <row r="306" spans="3:59" x14ac:dyDescent="0.25">
      <c r="C306" s="31" t="s">
        <v>253</v>
      </c>
      <c r="D306" s="32" t="s">
        <v>97</v>
      </c>
      <c r="G306" s="41">
        <f t="shared" si="64"/>
        <v>-5213.1860034011361</v>
      </c>
      <c r="X306" s="41">
        <f t="shared" ref="X306:BG306" si="69">SUM(X302:X305)*$F$134</f>
        <v>0</v>
      </c>
      <c r="Y306" s="41">
        <f t="shared" si="69"/>
        <v>0</v>
      </c>
      <c r="Z306" s="41">
        <f t="shared" si="69"/>
        <v>0</v>
      </c>
      <c r="AA306" s="41">
        <f t="shared" si="69"/>
        <v>0</v>
      </c>
      <c r="AB306" s="41">
        <f t="shared" si="69"/>
        <v>0</v>
      </c>
      <c r="AC306" s="41">
        <f t="shared" si="69"/>
        <v>-59.583827399999997</v>
      </c>
      <c r="AD306" s="41">
        <f t="shared" si="69"/>
        <v>-122.13677284799999</v>
      </c>
      <c r="AE306" s="41">
        <f t="shared" si="69"/>
        <v>-125.06037091120056</v>
      </c>
      <c r="AF306" s="41">
        <f t="shared" si="69"/>
        <v>-128.05439548280046</v>
      </c>
      <c r="AG306" s="41">
        <f t="shared" si="69"/>
        <v>-131.12055010424663</v>
      </c>
      <c r="AH306" s="41">
        <f t="shared" si="69"/>
        <v>-134.2605796620233</v>
      </c>
      <c r="AI306" s="41">
        <f t="shared" si="69"/>
        <v>-137.47627139407624</v>
      </c>
      <c r="AJ306" s="41">
        <f t="shared" si="69"/>
        <v>-140.76945592080151</v>
      </c>
      <c r="AK306" s="41">
        <f t="shared" si="69"/>
        <v>-144.14200830119975</v>
      </c>
      <c r="AL306" s="41">
        <f t="shared" si="69"/>
        <v>-147.59584911481249</v>
      </c>
      <c r="AM306" s="41">
        <f t="shared" si="69"/>
        <v>-151.13294557007032</v>
      </c>
      <c r="AN306" s="41">
        <f t="shared" si="69"/>
        <v>-154.75531263969972</v>
      </c>
      <c r="AO306" s="41">
        <f t="shared" si="69"/>
        <v>-158.46501422385151</v>
      </c>
      <c r="AP306" s="41">
        <f t="shared" si="69"/>
        <v>-162.26416434162797</v>
      </c>
      <c r="AQ306" s="41">
        <f t="shared" si="69"/>
        <v>-166.15492835170505</v>
      </c>
      <c r="AR306" s="41">
        <f t="shared" si="69"/>
        <v>-170.13952420276112</v>
      </c>
      <c r="AS306" s="41">
        <f t="shared" si="69"/>
        <v>-174.22022371444163</v>
      </c>
      <c r="AT306" s="41">
        <f t="shared" si="69"/>
        <v>-178.39935388960831</v>
      </c>
      <c r="AU306" s="41">
        <f t="shared" si="69"/>
        <v>-182.6792982586378</v>
      </c>
      <c r="AV306" s="41">
        <f t="shared" si="69"/>
        <v>-187.06249825655422</v>
      </c>
      <c r="AW306" s="41">
        <f t="shared" si="69"/>
        <v>-191.55145463380086</v>
      </c>
      <c r="AX306" s="41">
        <f t="shared" si="69"/>
        <v>-196.14872890147308</v>
      </c>
      <c r="AY306" s="41">
        <f t="shared" si="69"/>
        <v>-200.8569448118576</v>
      </c>
      <c r="AZ306" s="41">
        <f t="shared" si="69"/>
        <v>-205.67878987514138</v>
      </c>
      <c r="BA306" s="41">
        <f t="shared" si="69"/>
        <v>-210.61701691317731</v>
      </c>
      <c r="BB306" s="41">
        <f t="shared" si="69"/>
        <v>-215.67444565121343</v>
      </c>
      <c r="BC306" s="41">
        <f t="shared" si="69"/>
        <v>-220.85396434851501</v>
      </c>
      <c r="BD306" s="41">
        <f t="shared" si="69"/>
        <v>-226.15853146883356</v>
      </c>
      <c r="BE306" s="41">
        <f t="shared" si="69"/>
        <v>-231.59117739169679</v>
      </c>
      <c r="BF306" s="41">
        <f t="shared" si="69"/>
        <v>-237.15500616552174</v>
      </c>
      <c r="BG306" s="41">
        <f t="shared" si="69"/>
        <v>-121.42659865178665</v>
      </c>
    </row>
    <row r="307" spans="3:59" x14ac:dyDescent="0.25">
      <c r="C307" s="31" t="s">
        <v>254</v>
      </c>
      <c r="D307" s="32" t="s">
        <v>97</v>
      </c>
      <c r="G307" s="41">
        <f t="shared" si="64"/>
        <v>-12881.555027488463</v>
      </c>
      <c r="X307" s="41">
        <f t="shared" ref="X307:BG307" si="70">-X298*$F$10</f>
        <v>0</v>
      </c>
      <c r="Y307" s="41">
        <f t="shared" si="70"/>
        <v>0</v>
      </c>
      <c r="Z307" s="41">
        <f t="shared" si="70"/>
        <v>0</v>
      </c>
      <c r="AA307" s="41">
        <f t="shared" si="70"/>
        <v>0</v>
      </c>
      <c r="AB307" s="41">
        <f t="shared" si="70"/>
        <v>0</v>
      </c>
      <c r="AC307" s="41">
        <f t="shared" si="70"/>
        <v>-223.85159999999999</v>
      </c>
      <c r="AD307" s="41">
        <f t="shared" si="70"/>
        <v>-447.70319999999998</v>
      </c>
      <c r="AE307" s="41">
        <f t="shared" si="70"/>
        <v>-446.36009040000005</v>
      </c>
      <c r="AF307" s="41">
        <f t="shared" si="70"/>
        <v>-445.02101012879996</v>
      </c>
      <c r="AG307" s="41">
        <f t="shared" si="70"/>
        <v>-443.68594709841352</v>
      </c>
      <c r="AH307" s="41">
        <f t="shared" si="70"/>
        <v>-442.35488925711843</v>
      </c>
      <c r="AI307" s="41">
        <f t="shared" si="70"/>
        <v>-441.02782458934695</v>
      </c>
      <c r="AJ307" s="41">
        <f t="shared" si="70"/>
        <v>-439.70474111557894</v>
      </c>
      <c r="AK307" s="41">
        <f t="shared" si="70"/>
        <v>-438.38562689223227</v>
      </c>
      <c r="AL307" s="41">
        <f t="shared" si="70"/>
        <v>-437.07047001155559</v>
      </c>
      <c r="AM307" s="41">
        <f t="shared" si="70"/>
        <v>-435.75925860152086</v>
      </c>
      <c r="AN307" s="41">
        <f t="shared" si="70"/>
        <v>-434.45198082571642</v>
      </c>
      <c r="AO307" s="41">
        <f t="shared" si="70"/>
        <v>-433.14862488323922</v>
      </c>
      <c r="AP307" s="41">
        <f t="shared" si="70"/>
        <v>-431.84917900858943</v>
      </c>
      <c r="AQ307" s="41">
        <f t="shared" si="70"/>
        <v>-430.55363147156368</v>
      </c>
      <c r="AR307" s="41">
        <f t="shared" si="70"/>
        <v>-429.2619705771491</v>
      </c>
      <c r="AS307" s="41">
        <f t="shared" si="70"/>
        <v>-427.97418466541762</v>
      </c>
      <c r="AT307" s="41">
        <f t="shared" si="70"/>
        <v>-426.6902621114213</v>
      </c>
      <c r="AU307" s="41">
        <f t="shared" si="70"/>
        <v>-425.41019132508711</v>
      </c>
      <c r="AV307" s="41">
        <f t="shared" si="70"/>
        <v>-424.13396075111183</v>
      </c>
      <c r="AW307" s="41">
        <f t="shared" si="70"/>
        <v>-422.86155886885854</v>
      </c>
      <c r="AX307" s="41">
        <f t="shared" si="70"/>
        <v>-421.59297419225186</v>
      </c>
      <c r="AY307" s="41">
        <f t="shared" si="70"/>
        <v>-420.32819526967512</v>
      </c>
      <c r="AZ307" s="41">
        <f t="shared" si="70"/>
        <v>-419.06721068386611</v>
      </c>
      <c r="BA307" s="41">
        <f t="shared" si="70"/>
        <v>-417.81000905181452</v>
      </c>
      <c r="BB307" s="41">
        <f t="shared" si="70"/>
        <v>-416.55657902465907</v>
      </c>
      <c r="BC307" s="41">
        <f t="shared" si="70"/>
        <v>-415.30690928758509</v>
      </c>
      <c r="BD307" s="41">
        <f t="shared" si="70"/>
        <v>-414.06098855972243</v>
      </c>
      <c r="BE307" s="41">
        <f t="shared" si="70"/>
        <v>-412.81880559404328</v>
      </c>
      <c r="BF307" s="41">
        <f t="shared" si="70"/>
        <v>-411.58034917726104</v>
      </c>
      <c r="BG307" s="41">
        <f t="shared" si="70"/>
        <v>-205.17280406486464</v>
      </c>
    </row>
    <row r="308" spans="3:59" x14ac:dyDescent="0.25">
      <c r="C308" s="31" t="s">
        <v>169</v>
      </c>
      <c r="D308" s="32" t="s">
        <v>97</v>
      </c>
      <c r="G308" s="41">
        <f t="shared" si="64"/>
        <v>-8986.3466696932937</v>
      </c>
      <c r="X308" s="41">
        <f t="shared" ref="X308:BG308" si="71">-X300*$F$133</f>
        <v>0</v>
      </c>
      <c r="Y308" s="41">
        <f t="shared" si="71"/>
        <v>0</v>
      </c>
      <c r="Z308" s="41">
        <f t="shared" si="71"/>
        <v>0</v>
      </c>
      <c r="AA308" s="41">
        <f t="shared" si="71"/>
        <v>0</v>
      </c>
      <c r="AB308" s="41">
        <f t="shared" si="71"/>
        <v>0</v>
      </c>
      <c r="AC308" s="41">
        <f t="shared" si="71"/>
        <v>-134.31095999999999</v>
      </c>
      <c r="AD308" s="41">
        <f t="shared" si="71"/>
        <v>-271.30813920000003</v>
      </c>
      <c r="AE308" s="41">
        <f t="shared" si="71"/>
        <v>-273.19915693022404</v>
      </c>
      <c r="AF308" s="41">
        <f t="shared" si="71"/>
        <v>-275.10335505402765</v>
      </c>
      <c r="AG308" s="41">
        <f t="shared" si="71"/>
        <v>-277.02082543875423</v>
      </c>
      <c r="AH308" s="41">
        <f t="shared" si="71"/>
        <v>-278.95166059206241</v>
      </c>
      <c r="AI308" s="41">
        <f t="shared" si="71"/>
        <v>-280.89595366638906</v>
      </c>
      <c r="AJ308" s="41">
        <f t="shared" si="71"/>
        <v>-282.8537984634437</v>
      </c>
      <c r="AK308" s="41">
        <f t="shared" si="71"/>
        <v>-284.82528943873399</v>
      </c>
      <c r="AL308" s="41">
        <f t="shared" si="71"/>
        <v>-286.81052170612202</v>
      </c>
      <c r="AM308" s="41">
        <f t="shared" si="71"/>
        <v>-288.80959104241362</v>
      </c>
      <c r="AN308" s="41">
        <f t="shared" si="71"/>
        <v>-290.8225938919793</v>
      </c>
      <c r="AO308" s="41">
        <f t="shared" si="71"/>
        <v>-292.84962737140643</v>
      </c>
      <c r="AP308" s="41">
        <f t="shared" si="71"/>
        <v>-294.89078927418507</v>
      </c>
      <c r="AQ308" s="41">
        <f t="shared" si="71"/>
        <v>-296.94617807542613</v>
      </c>
      <c r="AR308" s="41">
        <f t="shared" si="71"/>
        <v>-299.01589293661186</v>
      </c>
      <c r="AS308" s="41">
        <f t="shared" si="71"/>
        <v>-301.1000337103801</v>
      </c>
      <c r="AT308" s="41">
        <f t="shared" si="71"/>
        <v>-303.1987009453415</v>
      </c>
      <c r="AU308" s="41">
        <f t="shared" si="71"/>
        <v>-305.31199589093052</v>
      </c>
      <c r="AV308" s="41">
        <f t="shared" si="71"/>
        <v>-307.44002050229022</v>
      </c>
      <c r="AW308" s="41">
        <f t="shared" si="71"/>
        <v>-309.58287744519129</v>
      </c>
      <c r="AX308" s="41">
        <f t="shared" si="71"/>
        <v>-311.74067010098418</v>
      </c>
      <c r="AY308" s="41">
        <f t="shared" si="71"/>
        <v>-313.91350257158808</v>
      </c>
      <c r="AZ308" s="41">
        <f t="shared" si="71"/>
        <v>-316.10147968451201</v>
      </c>
      <c r="BA308" s="41">
        <f t="shared" si="71"/>
        <v>-318.30470699791312</v>
      </c>
      <c r="BB308" s="41">
        <f t="shared" si="71"/>
        <v>-320.52329080568865</v>
      </c>
      <c r="BC308" s="41">
        <f t="shared" si="71"/>
        <v>-322.75733814260428</v>
      </c>
      <c r="BD308" s="41">
        <f t="shared" si="71"/>
        <v>-325.00695678945823</v>
      </c>
      <c r="BE308" s="41">
        <f t="shared" si="71"/>
        <v>-327.27225527828074</v>
      </c>
      <c r="BF308" s="41">
        <f t="shared" si="71"/>
        <v>-329.55334289757036</v>
      </c>
      <c r="BG308" s="41">
        <f t="shared" si="71"/>
        <v>-165.92516484878325</v>
      </c>
    </row>
    <row r="309" spans="3:59" x14ac:dyDescent="0.25">
      <c r="C309" s="45" t="s">
        <v>255</v>
      </c>
      <c r="D309" s="32" t="s">
        <v>97</v>
      </c>
      <c r="G309" s="46">
        <f t="shared" si="64"/>
        <v>317972.5257160592</v>
      </c>
      <c r="X309" s="46">
        <f t="shared" ref="X309:BG309" si="72">X300+SUM(X302:X308)</f>
        <v>0</v>
      </c>
      <c r="Y309" s="46">
        <f t="shared" si="72"/>
        <v>0</v>
      </c>
      <c r="Z309" s="46">
        <f t="shared" si="72"/>
        <v>0</v>
      </c>
      <c r="AA309" s="46">
        <f t="shared" si="72"/>
        <v>0</v>
      </c>
      <c r="AB309" s="46">
        <f t="shared" si="72"/>
        <v>0</v>
      </c>
      <c r="AC309" s="46">
        <f t="shared" si="72"/>
        <v>5106.1250645999999</v>
      </c>
      <c r="AD309" s="46">
        <f t="shared" si="72"/>
        <v>10281.523390992001</v>
      </c>
      <c r="AE309" s="46">
        <f t="shared" si="72"/>
        <v>10314.130810045765</v>
      </c>
      <c r="AF309" s="46">
        <f t="shared" si="72"/>
        <v>10345.901082379745</v>
      </c>
      <c r="AG309" s="46">
        <f t="shared" si="72"/>
        <v>10376.802947211363</v>
      </c>
      <c r="AH309" s="46">
        <f t="shared" si="72"/>
        <v>10406.804306851449</v>
      </c>
      <c r="AI309" s="46">
        <f t="shared" si="72"/>
        <v>10435.872205788115</v>
      </c>
      <c r="AJ309" s="46">
        <f t="shared" si="72"/>
        <v>10463.972809256331</v>
      </c>
      <c r="AK309" s="46">
        <f t="shared" si="72"/>
        <v>10491.071381280539</v>
      </c>
      <c r="AL309" s="46">
        <f t="shared" si="72"/>
        <v>10517.132262177362</v>
      </c>
      <c r="AM309" s="46">
        <f t="shared" si="72"/>
        <v>10542.118845505271</v>
      </c>
      <c r="AN309" s="46">
        <f t="shared" si="72"/>
        <v>10565.993554447574</v>
      </c>
      <c r="AO309" s="46">
        <f t="shared" si="72"/>
        <v>10588.717817614794</v>
      </c>
      <c r="AP309" s="46">
        <f t="shared" si="72"/>
        <v>10610.252044252291</v>
      </c>
      <c r="AQ309" s="46">
        <f t="shared" si="72"/>
        <v>10630.555598838511</v>
      </c>
      <c r="AR309" s="46">
        <f t="shared" si="72"/>
        <v>10649.586775058848</v>
      </c>
      <c r="AS309" s="46">
        <f t="shared" si="72"/>
        <v>10667.302769139933</v>
      </c>
      <c r="AT309" s="46">
        <f t="shared" si="72"/>
        <v>10683.659652528537</v>
      </c>
      <c r="AU309" s="46">
        <f t="shared" si="72"/>
        <v>10698.612343899116</v>
      </c>
      <c r="AV309" s="46">
        <f t="shared" si="72"/>
        <v>10712.114580473472</v>
      </c>
      <c r="AW309" s="46">
        <f t="shared" si="72"/>
        <v>10724.118888635696</v>
      </c>
      <c r="AX309" s="46">
        <f t="shared" si="72"/>
        <v>10734.576553825038</v>
      </c>
      <c r="AY309" s="46">
        <f t="shared" si="72"/>
        <v>10743.437589689132</v>
      </c>
      <c r="AZ309" s="46">
        <f t="shared" si="72"/>
        <v>10750.650706479253</v>
      </c>
      <c r="BA309" s="46">
        <f t="shared" si="72"/>
        <v>10756.163278669206</v>
      </c>
      <c r="BB309" s="46">
        <f t="shared" si="72"/>
        <v>10759.921311778604</v>
      </c>
      <c r="BC309" s="46">
        <f t="shared" si="72"/>
        <v>10761.86940838121</v>
      </c>
      <c r="BD309" s="46">
        <f t="shared" si="72"/>
        <v>10761.950733278225</v>
      </c>
      <c r="BE309" s="46">
        <f t="shared" si="72"/>
        <v>10760.106977816082</v>
      </c>
      <c r="BF309" s="46">
        <f t="shared" si="72"/>
        <v>10756.27832332773</v>
      </c>
      <c r="BG309" s="46">
        <f t="shared" si="72"/>
        <v>5375.2017018379947</v>
      </c>
    </row>
    <row r="310" spans="3:59" x14ac:dyDescent="0.25">
      <c r="C310" s="31" t="s">
        <v>273</v>
      </c>
      <c r="D310" s="32" t="s">
        <v>97</v>
      </c>
      <c r="G310" s="46">
        <f>SUM(X310:BG310)</f>
        <v>-98112.839212328807</v>
      </c>
      <c r="X310" s="41">
        <f>-($F$208-$F$200)/$F$101*MAX(0,MIN(X$251,$F$101*Months_In_Year)-MAX(X$251-Months_In_Year,0))/Months_In_Year</f>
        <v>0</v>
      </c>
      <c r="Y310" s="41">
        <f>-($F$208-$F$200)/$F$101*MAX(0,MIN(Y$251,$F$101*Months_In_Year)-MAX(Y$251-Months_In_Year,0))/Months_In_Year</f>
        <v>0</v>
      </c>
      <c r="Z310" s="41">
        <f>-($F$208-$F$200)/$F$101*MAX(0,MIN(Z$251,$F$101*Months_In_Year)-MAX(Z$251-Months_In_Year,0))/Months_In_Year</f>
        <v>0</v>
      </c>
      <c r="AA310" s="41">
        <f>-($F$208-$F$200)/$F$101*MAX(0,MIN(AA$251,$F$101*Months_In_Year)-MAX(AA$251-Months_In_Year,0))/Months_In_Year</f>
        <v>0</v>
      </c>
      <c r="AB310" s="41">
        <f>-($F$208-$F$200)/$F$101*MAX(0,MIN(AB$251,$F$101*Months_In_Year)-MAX(AB$251-Months_In_Year,0))/Months_In_Year</f>
        <v>0</v>
      </c>
      <c r="AC310" s="41">
        <f>-($F$208-$F$200)/$F$101*MAX(0,MIN(AC$251,$F$101*Months_In_Year)-MAX(AC$251-Months_In_Year,0))/Months_In_Year</f>
        <v>-2452.8209803082195</v>
      </c>
      <c r="AD310" s="41">
        <f>-($F$208-$F$200)/$F$101*MAX(0,MIN(AD$251,$F$101*Months_In_Year)-MAX(AD$251-Months_In_Year,0))/Months_In_Year</f>
        <v>-4905.6419606164391</v>
      </c>
      <c r="AE310" s="41">
        <f>-($F$208-$F$200)/$F$101*MAX(0,MIN(AE$251,$F$101*Months_In_Year)-MAX(AE$251-Months_In_Year,0))/Months_In_Year</f>
        <v>-4905.6419606164391</v>
      </c>
      <c r="AF310" s="41">
        <f>-($F$208-$F$200)/$F$101*MAX(0,MIN(AF$251,$F$101*Months_In_Year)-MAX(AF$251-Months_In_Year,0))/Months_In_Year</f>
        <v>-4905.6419606164391</v>
      </c>
      <c r="AG310" s="41">
        <f>-($F$208-$F$200)/$F$101*MAX(0,MIN(AG$251,$F$101*Months_In_Year)-MAX(AG$251-Months_In_Year,0))/Months_In_Year</f>
        <v>-4905.6419606164391</v>
      </c>
      <c r="AH310" s="41">
        <f>-($F$208-$F$200)/$F$101*MAX(0,MIN(AH$251,$F$101*Months_In_Year)-MAX(AH$251-Months_In_Year,0))/Months_In_Year</f>
        <v>-4905.6419606164391</v>
      </c>
      <c r="AI310" s="41">
        <f>-($F$208-$F$200)/$F$101*MAX(0,MIN(AI$251,$F$101*Months_In_Year)-MAX(AI$251-Months_In_Year,0))/Months_In_Year</f>
        <v>-4905.6419606164391</v>
      </c>
      <c r="AJ310" s="41">
        <f>-($F$208-$F$200)/$F$101*MAX(0,MIN(AJ$251,$F$101*Months_In_Year)-MAX(AJ$251-Months_In_Year,0))/Months_In_Year</f>
        <v>-4905.6419606164391</v>
      </c>
      <c r="AK310" s="41">
        <f>-($F$208-$F$200)/$F$101*MAX(0,MIN(AK$251,$F$101*Months_In_Year)-MAX(AK$251-Months_In_Year,0))/Months_In_Year</f>
        <v>-4905.6419606164391</v>
      </c>
      <c r="AL310" s="41">
        <f>-($F$208-$F$200)/$F$101*MAX(0,MIN(AL$251,$F$101*Months_In_Year)-MAX(AL$251-Months_In_Year,0))/Months_In_Year</f>
        <v>-4905.6419606164391</v>
      </c>
      <c r="AM310" s="41">
        <f>-($F$208-$F$200)/$F$101*MAX(0,MIN(AM$251,$F$101*Months_In_Year)-MAX(AM$251-Months_In_Year,0))/Months_In_Year</f>
        <v>-4905.6419606164391</v>
      </c>
      <c r="AN310" s="41">
        <f>-($F$208-$F$200)/$F$101*MAX(0,MIN(AN$251,$F$101*Months_In_Year)-MAX(AN$251-Months_In_Year,0))/Months_In_Year</f>
        <v>-4905.6419606164391</v>
      </c>
      <c r="AO310" s="41">
        <f>-($F$208-$F$200)/$F$101*MAX(0,MIN(AO$251,$F$101*Months_In_Year)-MAX(AO$251-Months_In_Year,0))/Months_In_Year</f>
        <v>-4905.6419606164391</v>
      </c>
      <c r="AP310" s="41">
        <f>-($F$208-$F$200)/$F$101*MAX(0,MIN(AP$251,$F$101*Months_In_Year)-MAX(AP$251-Months_In_Year,0))/Months_In_Year</f>
        <v>-4905.6419606164391</v>
      </c>
      <c r="AQ310" s="41">
        <f>-($F$208-$F$200)/$F$101*MAX(0,MIN(AQ$251,$F$101*Months_In_Year)-MAX(AQ$251-Months_In_Year,0))/Months_In_Year</f>
        <v>-4905.6419606164391</v>
      </c>
      <c r="AR310" s="41">
        <f>-($F$208-$F$200)/$F$101*MAX(0,MIN(AR$251,$F$101*Months_In_Year)-MAX(AR$251-Months_In_Year,0))/Months_In_Year</f>
        <v>-4905.6419606164391</v>
      </c>
      <c r="AS310" s="41">
        <f>-($F$208-$F$200)/$F$101*MAX(0,MIN(AS$251,$F$101*Months_In_Year)-MAX(AS$251-Months_In_Year,0))/Months_In_Year</f>
        <v>-4905.6419606164391</v>
      </c>
      <c r="AT310" s="41">
        <f>-($F$208-$F$200)/$F$101*MAX(0,MIN(AT$251,$F$101*Months_In_Year)-MAX(AT$251-Months_In_Year,0))/Months_In_Year</f>
        <v>-4905.6419606164391</v>
      </c>
      <c r="AU310" s="41">
        <f>-($F$208-$F$200)/$F$101*MAX(0,MIN(AU$251,$F$101*Months_In_Year)-MAX(AU$251-Months_In_Year,0))/Months_In_Year</f>
        <v>-4905.6419606164391</v>
      </c>
      <c r="AV310" s="41">
        <f>-($F$208-$F$200)/$F$101*MAX(0,MIN(AV$251,$F$101*Months_In_Year)-MAX(AV$251-Months_In_Year,0))/Months_In_Year</f>
        <v>-4905.6419606164391</v>
      </c>
      <c r="AW310" s="41">
        <f>-($F$208-$F$200)/$F$101*MAX(0,MIN(AW$251,$F$101*Months_In_Year)-MAX(AW$251-Months_In_Year,0))/Months_In_Year</f>
        <v>-2452.8209803082195</v>
      </c>
      <c r="AX310" s="41">
        <f>-($F$208-$F$200)/$F$101*MAX(0,MIN(AX$251,$F$101*Months_In_Year)-MAX(AX$251-Months_In_Year,0))/Months_In_Year</f>
        <v>0</v>
      </c>
      <c r="AY310" s="41">
        <f>-($F$208-$F$200)/$F$101*MAX(0,MIN(AY$251,$F$101*Months_In_Year)-MAX(AY$251-Months_In_Year,0))/Months_In_Year</f>
        <v>0</v>
      </c>
      <c r="AZ310" s="41">
        <f>-($F$208-$F$200)/$F$101*MAX(0,MIN(AZ$251,$F$101*Months_In_Year)-MAX(AZ$251-Months_In_Year,0))/Months_In_Year</f>
        <v>0</v>
      </c>
      <c r="BA310" s="41">
        <f>-($F$208-$F$200)/$F$101*MAX(0,MIN(BA$251,$F$101*Months_In_Year)-MAX(BA$251-Months_In_Year,0))/Months_In_Year</f>
        <v>0</v>
      </c>
      <c r="BB310" s="41">
        <f>-($F$208-$F$200)/$F$101*MAX(0,MIN(BB$251,$F$101*Months_In_Year)-MAX(BB$251-Months_In_Year,0))/Months_In_Year</f>
        <v>0</v>
      </c>
      <c r="BC310" s="41">
        <f>-($F$208-$F$200)/$F$101*MAX(0,MIN(BC$251,$F$101*Months_In_Year)-MAX(BC$251-Months_In_Year,0))/Months_In_Year</f>
        <v>0</v>
      </c>
      <c r="BD310" s="41">
        <f>-($F$208-$F$200)/$F$101*MAX(0,MIN(BD$251,$F$101*Months_In_Year)-MAX(BD$251-Months_In_Year,0))/Months_In_Year</f>
        <v>0</v>
      </c>
      <c r="BE310" s="41">
        <f>-($F$208-$F$200)/$F$101*MAX(0,MIN(BE$251,$F$101*Months_In_Year)-MAX(BE$251-Months_In_Year,0))/Months_In_Year</f>
        <v>0</v>
      </c>
      <c r="BF310" s="41">
        <f>-($F$208-$F$200)/$F$101*MAX(0,MIN(BF$251,$F$101*Months_In_Year)-MAX(BF$251-Months_In_Year,0))/Months_In_Year</f>
        <v>0</v>
      </c>
      <c r="BG310" s="41">
        <f>-($F$208-$F$200)/$F$101*MAX(0,MIN(BG$251,$F$101*Months_In_Year)-MAX(BG$251-Months_In_Year,0))/Months_In_Year</f>
        <v>0</v>
      </c>
    </row>
    <row r="311" spans="3:59" x14ac:dyDescent="0.25">
      <c r="C311" s="31" t="s">
        <v>274</v>
      </c>
      <c r="D311" s="32" t="s">
        <v>97</v>
      </c>
      <c r="G311" s="46">
        <f>SUM(X311:BG311)</f>
        <v>-32978.952975559565</v>
      </c>
      <c r="X311" s="41">
        <f>-MAX(0,X309+X310)*$F$100</f>
        <v>0</v>
      </c>
      <c r="Y311" s="41">
        <f t="shared" ref="Y311:BG311" si="73">-MAX(0,Y309+Y310)*$F$100</f>
        <v>0</v>
      </c>
      <c r="Z311" s="41">
        <f t="shared" si="73"/>
        <v>0</v>
      </c>
      <c r="AA311" s="41">
        <f t="shared" si="73"/>
        <v>0</v>
      </c>
      <c r="AB311" s="41">
        <f t="shared" si="73"/>
        <v>0</v>
      </c>
      <c r="AC311" s="41">
        <f t="shared" si="73"/>
        <v>-397.99561264376706</v>
      </c>
      <c r="AD311" s="41">
        <f t="shared" si="73"/>
        <v>-806.38221455633425</v>
      </c>
      <c r="AE311" s="41">
        <f t="shared" si="73"/>
        <v>-811.27332741439875</v>
      </c>
      <c r="AF311" s="41">
        <f t="shared" si="73"/>
        <v>-816.03886826449593</v>
      </c>
      <c r="AG311" s="41">
        <f t="shared" si="73"/>
        <v>-820.67414798923858</v>
      </c>
      <c r="AH311" s="41">
        <f t="shared" si="73"/>
        <v>-825.17435193525148</v>
      </c>
      <c r="AI311" s="41">
        <f t="shared" si="73"/>
        <v>-829.53453677575135</v>
      </c>
      <c r="AJ311" s="41">
        <f t="shared" si="73"/>
        <v>-833.74962729598371</v>
      </c>
      <c r="AK311" s="41">
        <f t="shared" si="73"/>
        <v>-837.81441309961497</v>
      </c>
      <c r="AL311" s="41">
        <f t="shared" si="73"/>
        <v>-841.72354523413833</v>
      </c>
      <c r="AM311" s="41">
        <f t="shared" si="73"/>
        <v>-845.47153273332469</v>
      </c>
      <c r="AN311" s="41">
        <f t="shared" si="73"/>
        <v>-849.05273907467017</v>
      </c>
      <c r="AO311" s="41">
        <f t="shared" si="73"/>
        <v>-852.46137854975314</v>
      </c>
      <c r="AP311" s="41">
        <f t="shared" si="73"/>
        <v>-855.6915125453778</v>
      </c>
      <c r="AQ311" s="41">
        <f t="shared" si="73"/>
        <v>-858.73704573331077</v>
      </c>
      <c r="AR311" s="41">
        <f t="shared" si="73"/>
        <v>-861.59172216636125</v>
      </c>
      <c r="AS311" s="41">
        <f t="shared" si="73"/>
        <v>-864.24912127852406</v>
      </c>
      <c r="AT311" s="41">
        <f t="shared" si="73"/>
        <v>-866.70265378681461</v>
      </c>
      <c r="AU311" s="41">
        <f t="shared" si="73"/>
        <v>-868.94555749240158</v>
      </c>
      <c r="AV311" s="41">
        <f t="shared" si="73"/>
        <v>-870.97089297855484</v>
      </c>
      <c r="AW311" s="41">
        <f t="shared" si="73"/>
        <v>-1240.6946862491216</v>
      </c>
      <c r="AX311" s="41">
        <f t="shared" si="73"/>
        <v>-1610.1864830737557</v>
      </c>
      <c r="AY311" s="41">
        <f t="shared" si="73"/>
        <v>-1611.5156384533698</v>
      </c>
      <c r="AZ311" s="41">
        <f t="shared" si="73"/>
        <v>-1612.597605971888</v>
      </c>
      <c r="BA311" s="41">
        <f t="shared" si="73"/>
        <v>-1613.4244918003808</v>
      </c>
      <c r="BB311" s="41">
        <f t="shared" si="73"/>
        <v>-1613.9881967667905</v>
      </c>
      <c r="BC311" s="41">
        <f t="shared" si="73"/>
        <v>-1614.2804112571814</v>
      </c>
      <c r="BD311" s="41">
        <f t="shared" si="73"/>
        <v>-1614.2926099917338</v>
      </c>
      <c r="BE311" s="41">
        <f t="shared" si="73"/>
        <v>-1614.0160466724121</v>
      </c>
      <c r="BF311" s="41">
        <f t="shared" si="73"/>
        <v>-1613.4417484991593</v>
      </c>
      <c r="BG311" s="41">
        <f t="shared" si="73"/>
        <v>-806.28025527569923</v>
      </c>
    </row>
    <row r="312" spans="3:59" x14ac:dyDescent="0.25">
      <c r="C312" s="45" t="s">
        <v>256</v>
      </c>
      <c r="D312" s="32" t="s">
        <v>97</v>
      </c>
      <c r="G312" s="46">
        <f t="shared" si="64"/>
        <v>218907.93650373042</v>
      </c>
      <c r="X312" s="46">
        <f t="shared" ref="X312:BG312" si="74">X296+X309</f>
        <v>-769.49315068493149</v>
      </c>
      <c r="Y312" s="46">
        <f t="shared" si="74"/>
        <v>-4061.5342465753424</v>
      </c>
      <c r="Z312" s="46">
        <f t="shared" si="74"/>
        <v>-3359.8191780821917</v>
      </c>
      <c r="AA312" s="46">
        <f t="shared" si="74"/>
        <v>-22857.528125000001</v>
      </c>
      <c r="AB312" s="46">
        <f t="shared" si="74"/>
        <v>-45715.056250000001</v>
      </c>
      <c r="AC312" s="46">
        <f t="shared" si="74"/>
        <v>-20251.4030604</v>
      </c>
      <c r="AD312" s="46">
        <f t="shared" si="74"/>
        <v>10281.523390992001</v>
      </c>
      <c r="AE312" s="46">
        <f t="shared" si="74"/>
        <v>13370.500673059463</v>
      </c>
      <c r="AF312" s="46">
        <f t="shared" si="74"/>
        <v>10345.901082379745</v>
      </c>
      <c r="AG312" s="46">
        <f t="shared" si="74"/>
        <v>10376.802947211363</v>
      </c>
      <c r="AH312" s="46">
        <f t="shared" si="74"/>
        <v>10406.804306851449</v>
      </c>
      <c r="AI312" s="46">
        <f t="shared" si="74"/>
        <v>10435.872205788115</v>
      </c>
      <c r="AJ312" s="46">
        <f t="shared" si="74"/>
        <v>10463.972809256331</v>
      </c>
      <c r="AK312" s="46">
        <f t="shared" si="74"/>
        <v>10491.071381280539</v>
      </c>
      <c r="AL312" s="46">
        <f t="shared" si="74"/>
        <v>10517.132262177362</v>
      </c>
      <c r="AM312" s="46">
        <f t="shared" si="74"/>
        <v>10542.118845505271</v>
      </c>
      <c r="AN312" s="46">
        <f t="shared" si="74"/>
        <v>10565.993554447574</v>
      </c>
      <c r="AO312" s="46">
        <f t="shared" si="74"/>
        <v>10588.717817614794</v>
      </c>
      <c r="AP312" s="46">
        <f t="shared" si="74"/>
        <v>10610.252044252291</v>
      </c>
      <c r="AQ312" s="46">
        <f t="shared" si="74"/>
        <v>10630.555598838511</v>
      </c>
      <c r="AR312" s="46">
        <f t="shared" si="74"/>
        <v>10649.586775058848</v>
      </c>
      <c r="AS312" s="46">
        <f t="shared" si="74"/>
        <v>10667.302769139933</v>
      </c>
      <c r="AT312" s="46">
        <f t="shared" si="74"/>
        <v>10683.659652528537</v>
      </c>
      <c r="AU312" s="46">
        <f t="shared" si="74"/>
        <v>10698.612343899116</v>
      </c>
      <c r="AV312" s="46">
        <f t="shared" si="74"/>
        <v>10712.114580473472</v>
      </c>
      <c r="AW312" s="46">
        <f t="shared" si="74"/>
        <v>10724.118888635696</v>
      </c>
      <c r="AX312" s="46">
        <f t="shared" si="74"/>
        <v>10734.576553825038</v>
      </c>
      <c r="AY312" s="46">
        <f t="shared" si="74"/>
        <v>10743.437589689132</v>
      </c>
      <c r="AZ312" s="46">
        <f t="shared" si="74"/>
        <v>10750.650706479253</v>
      </c>
      <c r="BA312" s="46">
        <f t="shared" si="74"/>
        <v>10756.163278669206</v>
      </c>
      <c r="BB312" s="46">
        <f t="shared" si="74"/>
        <v>10759.921311778604</v>
      </c>
      <c r="BC312" s="46">
        <f t="shared" si="74"/>
        <v>10761.86940838121</v>
      </c>
      <c r="BD312" s="46">
        <f t="shared" si="74"/>
        <v>10761.950733278225</v>
      </c>
      <c r="BE312" s="46">
        <f t="shared" si="74"/>
        <v>10760.106977816082</v>
      </c>
      <c r="BF312" s="46">
        <f t="shared" si="74"/>
        <v>10756.27832332773</v>
      </c>
      <c r="BG312" s="46">
        <f t="shared" si="74"/>
        <v>5375.2017018379947</v>
      </c>
    </row>
    <row r="313" spans="3:59" x14ac:dyDescent="0.25">
      <c r="C313" s="45" t="s">
        <v>275</v>
      </c>
      <c r="D313" s="32" t="s">
        <v>97</v>
      </c>
      <c r="G313" s="46">
        <f>SUM(X313:BG313)</f>
        <v>185928.98352817085</v>
      </c>
      <c r="X313" s="46">
        <f>X312+X311</f>
        <v>-769.49315068493149</v>
      </c>
      <c r="Y313" s="46">
        <f t="shared" ref="Y313:BG313" si="75">Y312+Y311</f>
        <v>-4061.5342465753424</v>
      </c>
      <c r="Z313" s="46">
        <f t="shared" si="75"/>
        <v>-3359.8191780821917</v>
      </c>
      <c r="AA313" s="46">
        <f t="shared" si="75"/>
        <v>-22857.528125000001</v>
      </c>
      <c r="AB313" s="46">
        <f t="shared" si="75"/>
        <v>-45715.056250000001</v>
      </c>
      <c r="AC313" s="46">
        <f t="shared" si="75"/>
        <v>-20649.398673043768</v>
      </c>
      <c r="AD313" s="46">
        <f t="shared" si="75"/>
        <v>9475.1411764356671</v>
      </c>
      <c r="AE313" s="46">
        <f t="shared" si="75"/>
        <v>12559.227345645064</v>
      </c>
      <c r="AF313" s="46">
        <f t="shared" si="75"/>
        <v>9529.86221411525</v>
      </c>
      <c r="AG313" s="46">
        <f t="shared" si="75"/>
        <v>9556.1287992221241</v>
      </c>
      <c r="AH313" s="46">
        <f t="shared" si="75"/>
        <v>9581.6299549161977</v>
      </c>
      <c r="AI313" s="46">
        <f t="shared" si="75"/>
        <v>9606.3376690123641</v>
      </c>
      <c r="AJ313" s="46">
        <f t="shared" si="75"/>
        <v>9630.2231819603476</v>
      </c>
      <c r="AK313" s="46">
        <f t="shared" si="75"/>
        <v>9653.2569681809236</v>
      </c>
      <c r="AL313" s="46">
        <f t="shared" si="75"/>
        <v>9675.4087169432241</v>
      </c>
      <c r="AM313" s="46">
        <f t="shared" si="75"/>
        <v>9696.6473127719455</v>
      </c>
      <c r="AN313" s="46">
        <f t="shared" si="75"/>
        <v>9716.9408153729037</v>
      </c>
      <c r="AO313" s="46">
        <f t="shared" si="75"/>
        <v>9736.2564390650405</v>
      </c>
      <c r="AP313" s="46">
        <f t="shared" si="75"/>
        <v>9754.560531706913</v>
      </c>
      <c r="AQ313" s="46">
        <f t="shared" si="75"/>
        <v>9771.8185531052004</v>
      </c>
      <c r="AR313" s="46">
        <f t="shared" si="75"/>
        <v>9787.9950528924855</v>
      </c>
      <c r="AS313" s="46">
        <f t="shared" si="75"/>
        <v>9803.0536478614085</v>
      </c>
      <c r="AT313" s="46">
        <f t="shared" si="75"/>
        <v>9816.9569987417217</v>
      </c>
      <c r="AU313" s="46">
        <f t="shared" si="75"/>
        <v>9829.6667864067149</v>
      </c>
      <c r="AV313" s="46">
        <f t="shared" si="75"/>
        <v>9841.1436874949159</v>
      </c>
      <c r="AW313" s="46">
        <f t="shared" si="75"/>
        <v>9483.4242023865736</v>
      </c>
      <c r="AX313" s="46">
        <f t="shared" si="75"/>
        <v>9124.3900707512821</v>
      </c>
      <c r="AY313" s="46">
        <f t="shared" si="75"/>
        <v>9131.9219512357631</v>
      </c>
      <c r="AZ313" s="46">
        <f t="shared" si="75"/>
        <v>9138.0531005073644</v>
      </c>
      <c r="BA313" s="46">
        <f t="shared" si="75"/>
        <v>9142.7387868688256</v>
      </c>
      <c r="BB313" s="46">
        <f t="shared" si="75"/>
        <v>9145.9331150118142</v>
      </c>
      <c r="BC313" s="46">
        <f t="shared" si="75"/>
        <v>9147.5889971240285</v>
      </c>
      <c r="BD313" s="46">
        <f t="shared" si="75"/>
        <v>9147.6581232864919</v>
      </c>
      <c r="BE313" s="46">
        <f t="shared" si="75"/>
        <v>9146.0909311436699</v>
      </c>
      <c r="BF313" s="46">
        <f t="shared" si="75"/>
        <v>9142.8365748285705</v>
      </c>
      <c r="BG313" s="46">
        <f t="shared" si="75"/>
        <v>4568.9214465622954</v>
      </c>
    </row>
    <row r="314" spans="3:59" x14ac:dyDescent="0.25">
      <c r="C314" s="31" t="s">
        <v>302</v>
      </c>
      <c r="D314" s="32" t="s">
        <v>97</v>
      </c>
      <c r="G314" s="46">
        <f>SUM(X314:BG314)</f>
        <v>0</v>
      </c>
      <c r="X314" s="41">
        <f>-$F$96*(MAX(0,SUM($X313:X313))-MAX(0,SUM($W313:W313)))</f>
        <v>0</v>
      </c>
      <c r="Y314" s="41">
        <f>-$F$96*(MAX(0,SUM($X313:Y313))-MAX(0,SUM($W313:X313)))</f>
        <v>0</v>
      </c>
      <c r="Z314" s="41">
        <f>-$F$96*(MAX(0,SUM($X313:Z313))-MAX(0,SUM($W313:Y313)))</f>
        <v>0</v>
      </c>
      <c r="AA314" s="41">
        <f>-$F$96*(MAX(0,SUM($X313:AA313))-MAX(0,SUM($W313:Z313)))</f>
        <v>0</v>
      </c>
      <c r="AB314" s="41">
        <f>-$F$96*(MAX(0,SUM($X313:AB313))-MAX(0,SUM($W313:AA313)))</f>
        <v>0</v>
      </c>
      <c r="AC314" s="41">
        <f>-$F$96*(MAX(0,SUM($X313:AC313))-MAX(0,SUM($W313:AB313)))</f>
        <v>0</v>
      </c>
      <c r="AD314" s="41">
        <f>-$F$96*(MAX(0,SUM($X313:AD313))-MAX(0,SUM($W313:AC313)))</f>
        <v>0</v>
      </c>
      <c r="AE314" s="41">
        <f>-$F$96*(MAX(0,SUM($X313:AE313))-MAX(0,SUM($W313:AD313)))</f>
        <v>0</v>
      </c>
      <c r="AF314" s="41">
        <f>-$F$96*(MAX(0,SUM($X313:AF313))-MAX(0,SUM($W313:AE313)))</f>
        <v>0</v>
      </c>
      <c r="AG314" s="41">
        <f>-$F$96*(MAX(0,SUM($X313:AG313))-MAX(0,SUM($W313:AF313)))</f>
        <v>0</v>
      </c>
      <c r="AH314" s="41">
        <f>-$F$96*(MAX(0,SUM($X313:AH313))-MAX(0,SUM($W313:AG313)))</f>
        <v>0</v>
      </c>
      <c r="AI314" s="41">
        <f>-$F$96*(MAX(0,SUM($X313:AI313))-MAX(0,SUM($W313:AH313)))</f>
        <v>0</v>
      </c>
      <c r="AJ314" s="41">
        <f>-$F$96*(MAX(0,SUM($X313:AJ313))-MAX(0,SUM($W313:AI313)))</f>
        <v>0</v>
      </c>
      <c r="AK314" s="41">
        <f>-$F$96*(MAX(0,SUM($X313:AK313))-MAX(0,SUM($W313:AJ313)))</f>
        <v>0</v>
      </c>
      <c r="AL314" s="41">
        <f>-$F$96*(MAX(0,SUM($X313:AL313))-MAX(0,SUM($W313:AK313)))</f>
        <v>0</v>
      </c>
      <c r="AM314" s="41">
        <f>-$F$96*(MAX(0,SUM($X313:AM313))-MAX(0,SUM($W313:AL313)))</f>
        <v>0</v>
      </c>
      <c r="AN314" s="41">
        <f>-$F$96*(MAX(0,SUM($X313:AN313))-MAX(0,SUM($W313:AM313)))</f>
        <v>0</v>
      </c>
      <c r="AO314" s="41">
        <f>-$F$96*(MAX(0,SUM($X313:AO313))-MAX(0,SUM($W313:AN313)))</f>
        <v>0</v>
      </c>
      <c r="AP314" s="41">
        <f>-$F$96*(MAX(0,SUM($X313:AP313))-MAX(0,SUM($W313:AO313)))</f>
        <v>0</v>
      </c>
      <c r="AQ314" s="41">
        <f>-$F$96*(MAX(0,SUM($X313:AQ313))-MAX(0,SUM($W313:AP313)))</f>
        <v>0</v>
      </c>
      <c r="AR314" s="41">
        <f>-$F$96*(MAX(0,SUM($X313:AR313))-MAX(0,SUM($W313:AQ313)))</f>
        <v>0</v>
      </c>
      <c r="AS314" s="41">
        <f>-$F$96*(MAX(0,SUM($X313:AS313))-MAX(0,SUM($W313:AR313)))</f>
        <v>0</v>
      </c>
      <c r="AT314" s="41">
        <f>-$F$96*(MAX(0,SUM($X313:AT313))-MAX(0,SUM($W313:AS313)))</f>
        <v>0</v>
      </c>
      <c r="AU314" s="41">
        <f>-$F$96*(MAX(0,SUM($X313:AU313))-MAX(0,SUM($W313:AT313)))</f>
        <v>0</v>
      </c>
      <c r="AV314" s="41">
        <f>-$F$96*(MAX(0,SUM($X313:AV313))-MAX(0,SUM($W313:AU313)))</f>
        <v>0</v>
      </c>
      <c r="AW314" s="41">
        <f>-$F$96*(MAX(0,SUM($X313:AW313))-MAX(0,SUM($W313:AV313)))</f>
        <v>0</v>
      </c>
      <c r="AX314" s="41">
        <f>-$F$96*(MAX(0,SUM($X313:AX313))-MAX(0,SUM($W313:AW313)))</f>
        <v>0</v>
      </c>
      <c r="AY314" s="41">
        <f>-$F$96*(MAX(0,SUM($X313:AY313))-MAX(0,SUM($W313:AX313)))</f>
        <v>0</v>
      </c>
      <c r="AZ314" s="41">
        <f>-$F$96*(MAX(0,SUM($X313:AZ313))-MAX(0,SUM($W313:AY313)))</f>
        <v>0</v>
      </c>
      <c r="BA314" s="41">
        <f>-$F$96*(MAX(0,SUM($X313:BA313))-MAX(0,SUM($W313:AZ313)))</f>
        <v>0</v>
      </c>
      <c r="BB314" s="41">
        <f>-$F$96*(MAX(0,SUM($X313:BB313))-MAX(0,SUM($W313:BA313)))</f>
        <v>0</v>
      </c>
      <c r="BC314" s="41">
        <f>-$F$96*(MAX(0,SUM($X313:BC313))-MAX(0,SUM($W313:BB313)))</f>
        <v>0</v>
      </c>
      <c r="BD314" s="41">
        <f>-$F$96*(MAX(0,SUM($X313:BD313))-MAX(0,SUM($W313:BC313)))</f>
        <v>0</v>
      </c>
      <c r="BE314" s="41">
        <f>-$F$96*(MAX(0,SUM($X313:BE313))-MAX(0,SUM($W313:BD313)))</f>
        <v>0</v>
      </c>
      <c r="BF314" s="41">
        <f>-$F$96*(MAX(0,SUM($X313:BF313))-MAX(0,SUM($W313:BE313)))</f>
        <v>0</v>
      </c>
      <c r="BG314" s="41">
        <f>-$F$96*(MAX(0,SUM($X313:BG313))-MAX(0,SUM($W313:BF313)))</f>
        <v>0</v>
      </c>
    </row>
    <row r="315" spans="3:59" x14ac:dyDescent="0.25">
      <c r="C315" s="45" t="s">
        <v>303</v>
      </c>
      <c r="D315" s="32" t="s">
        <v>97</v>
      </c>
      <c r="G315" s="46">
        <f>SUM(X315:BG315)</f>
        <v>185928.98352817085</v>
      </c>
      <c r="X315" s="46">
        <f>X313+X314</f>
        <v>-769.49315068493149</v>
      </c>
      <c r="Y315" s="46">
        <f t="shared" ref="Y315:BG315" si="76">Y313+Y314</f>
        <v>-4061.5342465753424</v>
      </c>
      <c r="Z315" s="46">
        <f t="shared" si="76"/>
        <v>-3359.8191780821917</v>
      </c>
      <c r="AA315" s="46">
        <f t="shared" si="76"/>
        <v>-22857.528125000001</v>
      </c>
      <c r="AB315" s="46">
        <f t="shared" si="76"/>
        <v>-45715.056250000001</v>
      </c>
      <c r="AC315" s="46">
        <f t="shared" si="76"/>
        <v>-20649.398673043768</v>
      </c>
      <c r="AD315" s="46">
        <f t="shared" si="76"/>
        <v>9475.1411764356671</v>
      </c>
      <c r="AE315" s="46">
        <f t="shared" si="76"/>
        <v>12559.227345645064</v>
      </c>
      <c r="AF315" s="46">
        <f t="shared" si="76"/>
        <v>9529.86221411525</v>
      </c>
      <c r="AG315" s="46">
        <f t="shared" si="76"/>
        <v>9556.1287992221241</v>
      </c>
      <c r="AH315" s="46">
        <f t="shared" si="76"/>
        <v>9581.6299549161977</v>
      </c>
      <c r="AI315" s="46">
        <f t="shared" si="76"/>
        <v>9606.3376690123641</v>
      </c>
      <c r="AJ315" s="46">
        <f t="shared" si="76"/>
        <v>9630.2231819603476</v>
      </c>
      <c r="AK315" s="46">
        <f t="shared" si="76"/>
        <v>9653.2569681809236</v>
      </c>
      <c r="AL315" s="46">
        <f t="shared" si="76"/>
        <v>9675.4087169432241</v>
      </c>
      <c r="AM315" s="46">
        <f t="shared" si="76"/>
        <v>9696.6473127719455</v>
      </c>
      <c r="AN315" s="46">
        <f t="shared" si="76"/>
        <v>9716.9408153729037</v>
      </c>
      <c r="AO315" s="46">
        <f t="shared" si="76"/>
        <v>9736.2564390650405</v>
      </c>
      <c r="AP315" s="46">
        <f t="shared" si="76"/>
        <v>9754.560531706913</v>
      </c>
      <c r="AQ315" s="46">
        <f t="shared" si="76"/>
        <v>9771.8185531052004</v>
      </c>
      <c r="AR315" s="46">
        <f t="shared" si="76"/>
        <v>9787.9950528924855</v>
      </c>
      <c r="AS315" s="46">
        <f t="shared" si="76"/>
        <v>9803.0536478614085</v>
      </c>
      <c r="AT315" s="46">
        <f t="shared" si="76"/>
        <v>9816.9569987417217</v>
      </c>
      <c r="AU315" s="46">
        <f t="shared" si="76"/>
        <v>9829.6667864067149</v>
      </c>
      <c r="AV315" s="46">
        <f t="shared" si="76"/>
        <v>9841.1436874949159</v>
      </c>
      <c r="AW315" s="46">
        <f t="shared" si="76"/>
        <v>9483.4242023865736</v>
      </c>
      <c r="AX315" s="46">
        <f t="shared" si="76"/>
        <v>9124.3900707512821</v>
      </c>
      <c r="AY315" s="46">
        <f t="shared" si="76"/>
        <v>9131.9219512357631</v>
      </c>
      <c r="AZ315" s="46">
        <f t="shared" si="76"/>
        <v>9138.0531005073644</v>
      </c>
      <c r="BA315" s="46">
        <f t="shared" si="76"/>
        <v>9142.7387868688256</v>
      </c>
      <c r="BB315" s="46">
        <f t="shared" si="76"/>
        <v>9145.9331150118142</v>
      </c>
      <c r="BC315" s="46">
        <f t="shared" si="76"/>
        <v>9147.5889971240285</v>
      </c>
      <c r="BD315" s="46">
        <f t="shared" si="76"/>
        <v>9147.6581232864919</v>
      </c>
      <c r="BE315" s="46">
        <f t="shared" si="76"/>
        <v>9146.0909311436699</v>
      </c>
      <c r="BF315" s="46">
        <f t="shared" si="76"/>
        <v>9142.8365748285705</v>
      </c>
      <c r="BG315" s="46">
        <f t="shared" si="76"/>
        <v>4568.9214465622954</v>
      </c>
    </row>
    <row r="316" spans="3:59" x14ac:dyDescent="0.25">
      <c r="C316" s="31" t="s">
        <v>257</v>
      </c>
      <c r="D316" s="32" t="s">
        <v>28</v>
      </c>
      <c r="X316" s="53">
        <f t="shared" ref="X316:BG316" si="77">(1+$F$99)^(($E$41-X$247)/Days_In_Year)</f>
        <v>1.4137125510793771</v>
      </c>
      <c r="Y316" s="53">
        <f t="shared" si="77"/>
        <v>1.3089931028512751</v>
      </c>
      <c r="Z316" s="53">
        <f t="shared" si="77"/>
        <v>1.2117751184391485</v>
      </c>
      <c r="AA316" s="53">
        <f t="shared" si="77"/>
        <v>1.122013998554767</v>
      </c>
      <c r="AB316" s="53">
        <f t="shared" si="77"/>
        <v>1.0389018505136731</v>
      </c>
      <c r="AC316" s="53">
        <f t="shared" si="77"/>
        <v>0.96194615788303062</v>
      </c>
      <c r="AD316" s="53">
        <f t="shared" si="77"/>
        <v>0.8905031026227137</v>
      </c>
      <c r="AE316" s="53">
        <f t="shared" si="77"/>
        <v>0.8245399098358458</v>
      </c>
      <c r="AF316" s="53">
        <f t="shared" si="77"/>
        <v>0.76346287947763503</v>
      </c>
      <c r="AG316" s="53">
        <f t="shared" si="77"/>
        <v>0.7069100735904027</v>
      </c>
      <c r="AH316" s="53">
        <f t="shared" si="77"/>
        <v>0.6544083664649869</v>
      </c>
      <c r="AI316" s="53">
        <f t="shared" si="77"/>
        <v>0.60593367265276554</v>
      </c>
      <c r="AJ316" s="53">
        <f t="shared" si="77"/>
        <v>0.56104969690070883</v>
      </c>
      <c r="AK316" s="53">
        <f t="shared" si="77"/>
        <v>0.51949046009324884</v>
      </c>
      <c r="AL316" s="53">
        <f t="shared" si="77"/>
        <v>0.48090827402856651</v>
      </c>
      <c r="AM316" s="53">
        <f t="shared" si="77"/>
        <v>0.44528543891533923</v>
      </c>
      <c r="AN316" s="53">
        <f t="shared" si="77"/>
        <v>0.41230133232901778</v>
      </c>
      <c r="AO316" s="53">
        <f t="shared" si="77"/>
        <v>0.38176049289723868</v>
      </c>
      <c r="AP316" s="53">
        <f t="shared" si="77"/>
        <v>0.35340741329215369</v>
      </c>
      <c r="AQ316" s="53">
        <f t="shared" si="77"/>
        <v>0.32722908638162373</v>
      </c>
      <c r="AR316" s="53">
        <f t="shared" si="77"/>
        <v>0.30298989479779975</v>
      </c>
      <c r="AS316" s="53">
        <f t="shared" si="77"/>
        <v>0.28054619888685151</v>
      </c>
      <c r="AT316" s="53">
        <f t="shared" si="77"/>
        <v>0.25971023273022764</v>
      </c>
      <c r="AU316" s="53">
        <f t="shared" si="77"/>
        <v>0.24047243771317375</v>
      </c>
      <c r="AV316" s="53">
        <f t="shared" si="77"/>
        <v>0.22265966454923491</v>
      </c>
      <c r="AW316" s="53">
        <f t="shared" si="77"/>
        <v>0.20616635606410641</v>
      </c>
      <c r="AX316" s="53">
        <f t="shared" si="77"/>
        <v>0.19085452779970458</v>
      </c>
      <c r="AY316" s="53">
        <f t="shared" si="77"/>
        <v>0.17671715537009683</v>
      </c>
      <c r="AZ316" s="53">
        <f t="shared" si="77"/>
        <v>0.16362699571305259</v>
      </c>
      <c r="BA316" s="53">
        <f t="shared" si="77"/>
        <v>0.15150647751208571</v>
      </c>
      <c r="BB316" s="53">
        <f t="shared" si="77"/>
        <v>0.14025419945422371</v>
      </c>
      <c r="BC316" s="53">
        <f t="shared" si="77"/>
        <v>0.12986499949465158</v>
      </c>
      <c r="BD316" s="53">
        <f t="shared" si="77"/>
        <v>0.12024536990245513</v>
      </c>
      <c r="BE316" s="53">
        <f t="shared" si="77"/>
        <v>0.1113383054652362</v>
      </c>
      <c r="BF316" s="53">
        <f t="shared" si="77"/>
        <v>0.1030692889046335</v>
      </c>
      <c r="BG316" s="53">
        <f t="shared" si="77"/>
        <v>9.5434526763549549E-2</v>
      </c>
    </row>
    <row r="317" spans="3:59" x14ac:dyDescent="0.25">
      <c r="C317" s="31" t="s">
        <v>258</v>
      </c>
      <c r="D317" s="32" t="s">
        <v>97</v>
      </c>
      <c r="G317" s="41">
        <f>SUM(X317:BG317)</f>
        <v>118159.14097508944</v>
      </c>
      <c r="X317" s="41">
        <f t="shared" ref="X317:BG317" si="78">X309*X316</f>
        <v>0</v>
      </c>
      <c r="Y317" s="41">
        <f t="shared" si="78"/>
        <v>0</v>
      </c>
      <c r="Z317" s="41">
        <f t="shared" si="78"/>
        <v>0</v>
      </c>
      <c r="AA317" s="41">
        <f t="shared" si="78"/>
        <v>0</v>
      </c>
      <c r="AB317" s="41">
        <f t="shared" si="78"/>
        <v>0</v>
      </c>
      <c r="AC317" s="41">
        <f t="shared" si="78"/>
        <v>4911.8173875622115</v>
      </c>
      <c r="AD317" s="41">
        <f t="shared" si="78"/>
        <v>9155.7284793663803</v>
      </c>
      <c r="AE317" s="41">
        <f t="shared" si="78"/>
        <v>8504.4124881502539</v>
      </c>
      <c r="AF317" s="41">
        <f t="shared" si="78"/>
        <v>7898.7114311444211</v>
      </c>
      <c r="AG317" s="41">
        <f t="shared" si="78"/>
        <v>7335.4665350462919</v>
      </c>
      <c r="AH317" s="41">
        <f t="shared" si="78"/>
        <v>6810.2998065674474</v>
      </c>
      <c r="AI317" s="41">
        <f t="shared" si="78"/>
        <v>6323.4463729881099</v>
      </c>
      <c r="AJ317" s="41">
        <f t="shared" si="78"/>
        <v>5870.8087730105235</v>
      </c>
      <c r="AK317" s="41">
        <f t="shared" si="78"/>
        <v>5450.0114987325423</v>
      </c>
      <c r="AL317" s="41">
        <f t="shared" si="78"/>
        <v>5057.7759239338684</v>
      </c>
      <c r="AM317" s="41">
        <f t="shared" si="78"/>
        <v>4694.2520172184841</v>
      </c>
      <c r="AN317" s="41">
        <f t="shared" si="78"/>
        <v>4356.3732198785492</v>
      </c>
      <c r="AO317" s="41">
        <f t="shared" si="78"/>
        <v>4042.354133202397</v>
      </c>
      <c r="AP317" s="41">
        <f t="shared" si="78"/>
        <v>3749.7417293369881</v>
      </c>
      <c r="AQ317" s="41">
        <f t="shared" si="78"/>
        <v>3478.6269963369809</v>
      </c>
      <c r="AR317" s="41">
        <f t="shared" si="78"/>
        <v>3226.71717661512</v>
      </c>
      <c r="AS317" s="41">
        <f t="shared" si="78"/>
        <v>2992.6712442573935</v>
      </c>
      <c r="AT317" s="41">
        <f t="shared" si="78"/>
        <v>2774.6557347687294</v>
      </c>
      <c r="AU317" s="41">
        <f t="shared" si="78"/>
        <v>2572.7213904856721</v>
      </c>
      <c r="AV317" s="41">
        <f t="shared" si="78"/>
        <v>2385.1558391011913</v>
      </c>
      <c r="AW317" s="41">
        <f t="shared" si="78"/>
        <v>2210.9525132682761</v>
      </c>
      <c r="AX317" s="41">
        <f t="shared" si="78"/>
        <v>2048.7425393100575</v>
      </c>
      <c r="AY317" s="41">
        <f t="shared" si="78"/>
        <v>1898.5497297460331</v>
      </c>
      <c r="AZ317" s="41">
        <f t="shared" si="78"/>
        <v>1759.0966770616064</v>
      </c>
      <c r="BA317" s="41">
        <f t="shared" si="78"/>
        <v>1629.6284098960182</v>
      </c>
      <c r="BB317" s="41">
        <f t="shared" si="78"/>
        <v>1509.1241497739488</v>
      </c>
      <c r="BC317" s="41">
        <f t="shared" si="78"/>
        <v>1397.5901652809321</v>
      </c>
      <c r="BD317" s="41">
        <f t="shared" si="78"/>
        <v>1294.0747467950384</v>
      </c>
      <c r="BE317" s="41">
        <f t="shared" si="78"/>
        <v>1198.0120775347063</v>
      </c>
      <c r="BF317" s="41">
        <f t="shared" si="78"/>
        <v>1108.6419580457125</v>
      </c>
      <c r="BG317" s="41">
        <f t="shared" si="78"/>
        <v>512.97983067353516</v>
      </c>
    </row>
    <row r="318" spans="3:59" x14ac:dyDescent="0.25">
      <c r="C318" s="45" t="s">
        <v>259</v>
      </c>
      <c r="D318" s="32" t="s">
        <v>97</v>
      </c>
      <c r="G318" s="46">
        <f>SUM(X318:BG318)</f>
        <v>19094.55176276066</v>
      </c>
      <c r="X318" s="46">
        <f t="shared" ref="X318:BG318" si="79">X296*(X$248&lt;=0)+X$253*($G317+$F$72+$F$73)</f>
        <v>-769.49315068493149</v>
      </c>
      <c r="Y318" s="46">
        <f t="shared" si="79"/>
        <v>-4061.5342465753424</v>
      </c>
      <c r="Z318" s="46">
        <f t="shared" si="79"/>
        <v>-3359.8191780821917</v>
      </c>
      <c r="AA318" s="46">
        <f t="shared" si="79"/>
        <v>-22857.528125000001</v>
      </c>
      <c r="AB318" s="46">
        <f t="shared" si="79"/>
        <v>-45715.056250000001</v>
      </c>
      <c r="AC318" s="46">
        <f t="shared" si="79"/>
        <v>95857.982713103134</v>
      </c>
      <c r="AD318" s="46">
        <f t="shared" si="79"/>
        <v>0</v>
      </c>
      <c r="AE318" s="46">
        <f t="shared" si="79"/>
        <v>0</v>
      </c>
      <c r="AF318" s="46">
        <f t="shared" si="79"/>
        <v>0</v>
      </c>
      <c r="AG318" s="46">
        <f t="shared" si="79"/>
        <v>0</v>
      </c>
      <c r="AH318" s="46">
        <f t="shared" si="79"/>
        <v>0</v>
      </c>
      <c r="AI318" s="46">
        <f t="shared" si="79"/>
        <v>0</v>
      </c>
      <c r="AJ318" s="46">
        <f t="shared" si="79"/>
        <v>0</v>
      </c>
      <c r="AK318" s="46">
        <f t="shared" si="79"/>
        <v>0</v>
      </c>
      <c r="AL318" s="46">
        <f t="shared" si="79"/>
        <v>0</v>
      </c>
      <c r="AM318" s="46">
        <f t="shared" si="79"/>
        <v>0</v>
      </c>
      <c r="AN318" s="46">
        <f t="shared" si="79"/>
        <v>0</v>
      </c>
      <c r="AO318" s="46">
        <f t="shared" si="79"/>
        <v>0</v>
      </c>
      <c r="AP318" s="46">
        <f t="shared" si="79"/>
        <v>0</v>
      </c>
      <c r="AQ318" s="46">
        <f t="shared" si="79"/>
        <v>0</v>
      </c>
      <c r="AR318" s="46">
        <f t="shared" si="79"/>
        <v>0</v>
      </c>
      <c r="AS318" s="46">
        <f t="shared" si="79"/>
        <v>0</v>
      </c>
      <c r="AT318" s="46">
        <f t="shared" si="79"/>
        <v>0</v>
      </c>
      <c r="AU318" s="46">
        <f t="shared" si="79"/>
        <v>0</v>
      </c>
      <c r="AV318" s="46">
        <f t="shared" si="79"/>
        <v>0</v>
      </c>
      <c r="AW318" s="46">
        <f t="shared" si="79"/>
        <v>0</v>
      </c>
      <c r="AX318" s="46">
        <f t="shared" si="79"/>
        <v>0</v>
      </c>
      <c r="AY318" s="46">
        <f t="shared" si="79"/>
        <v>0</v>
      </c>
      <c r="AZ318" s="46">
        <f t="shared" si="79"/>
        <v>0</v>
      </c>
      <c r="BA318" s="46">
        <f t="shared" si="79"/>
        <v>0</v>
      </c>
      <c r="BB318" s="46">
        <f t="shared" si="79"/>
        <v>0</v>
      </c>
      <c r="BC318" s="46">
        <f t="shared" si="79"/>
        <v>0</v>
      </c>
      <c r="BD318" s="46">
        <f t="shared" si="79"/>
        <v>0</v>
      </c>
      <c r="BE318" s="46">
        <f t="shared" si="79"/>
        <v>0</v>
      </c>
      <c r="BF318" s="46">
        <f t="shared" si="79"/>
        <v>0</v>
      </c>
      <c r="BG318" s="46">
        <f t="shared" si="79"/>
        <v>0</v>
      </c>
    </row>
    <row r="319" spans="3:59" x14ac:dyDescent="0.25">
      <c r="C319" s="31" t="s">
        <v>276</v>
      </c>
      <c r="D319" s="32" t="s">
        <v>97</v>
      </c>
      <c r="G319" s="46">
        <f>SUM(X319:BG319)</f>
        <v>-2864.182764414099</v>
      </c>
      <c r="X319" s="41">
        <f>-$F$100*MAX(0,$G318)*X$253</f>
        <v>0</v>
      </c>
      <c r="Y319" s="41">
        <f t="shared" ref="Y319:BG319" si="80">-$F$100*MAX(0,$G318)*Y$253</f>
        <v>0</v>
      </c>
      <c r="Z319" s="41">
        <f t="shared" si="80"/>
        <v>0</v>
      </c>
      <c r="AA319" s="41">
        <f t="shared" si="80"/>
        <v>0</v>
      </c>
      <c r="AB319" s="41">
        <f t="shared" si="80"/>
        <v>0</v>
      </c>
      <c r="AC319" s="41">
        <f t="shared" si="80"/>
        <v>-2864.182764414099</v>
      </c>
      <c r="AD319" s="41">
        <f t="shared" si="80"/>
        <v>0</v>
      </c>
      <c r="AE319" s="41">
        <f t="shared" si="80"/>
        <v>0</v>
      </c>
      <c r="AF319" s="41">
        <f t="shared" si="80"/>
        <v>0</v>
      </c>
      <c r="AG319" s="41">
        <f t="shared" si="80"/>
        <v>0</v>
      </c>
      <c r="AH319" s="41">
        <f t="shared" si="80"/>
        <v>0</v>
      </c>
      <c r="AI319" s="41">
        <f t="shared" si="80"/>
        <v>0</v>
      </c>
      <c r="AJ319" s="41">
        <f t="shared" si="80"/>
        <v>0</v>
      </c>
      <c r="AK319" s="41">
        <f t="shared" si="80"/>
        <v>0</v>
      </c>
      <c r="AL319" s="41">
        <f t="shared" si="80"/>
        <v>0</v>
      </c>
      <c r="AM319" s="41">
        <f t="shared" si="80"/>
        <v>0</v>
      </c>
      <c r="AN319" s="41">
        <f t="shared" si="80"/>
        <v>0</v>
      </c>
      <c r="AO319" s="41">
        <f t="shared" si="80"/>
        <v>0</v>
      </c>
      <c r="AP319" s="41">
        <f t="shared" si="80"/>
        <v>0</v>
      </c>
      <c r="AQ319" s="41">
        <f t="shared" si="80"/>
        <v>0</v>
      </c>
      <c r="AR319" s="41">
        <f t="shared" si="80"/>
        <v>0</v>
      </c>
      <c r="AS319" s="41">
        <f t="shared" si="80"/>
        <v>0</v>
      </c>
      <c r="AT319" s="41">
        <f t="shared" si="80"/>
        <v>0</v>
      </c>
      <c r="AU319" s="41">
        <f t="shared" si="80"/>
        <v>0</v>
      </c>
      <c r="AV319" s="41">
        <f t="shared" si="80"/>
        <v>0</v>
      </c>
      <c r="AW319" s="41">
        <f t="shared" si="80"/>
        <v>0</v>
      </c>
      <c r="AX319" s="41">
        <f t="shared" si="80"/>
        <v>0</v>
      </c>
      <c r="AY319" s="41">
        <f t="shared" si="80"/>
        <v>0</v>
      </c>
      <c r="AZ319" s="41">
        <f t="shared" si="80"/>
        <v>0</v>
      </c>
      <c r="BA319" s="41">
        <f t="shared" si="80"/>
        <v>0</v>
      </c>
      <c r="BB319" s="41">
        <f t="shared" si="80"/>
        <v>0</v>
      </c>
      <c r="BC319" s="41">
        <f t="shared" si="80"/>
        <v>0</v>
      </c>
      <c r="BD319" s="41">
        <f t="shared" si="80"/>
        <v>0</v>
      </c>
      <c r="BE319" s="41">
        <f t="shared" si="80"/>
        <v>0</v>
      </c>
      <c r="BF319" s="41">
        <f t="shared" si="80"/>
        <v>0</v>
      </c>
      <c r="BG319" s="41">
        <f t="shared" si="80"/>
        <v>0</v>
      </c>
    </row>
    <row r="320" spans="3:59" x14ac:dyDescent="0.25">
      <c r="C320" s="45" t="s">
        <v>277</v>
      </c>
      <c r="D320" s="32" t="s">
        <v>97</v>
      </c>
      <c r="G320" s="46">
        <f>SUM(X320:BG320)</f>
        <v>16230.368998346559</v>
      </c>
      <c r="X320" s="46">
        <f>X318+X319</f>
        <v>-769.49315068493149</v>
      </c>
      <c r="Y320" s="46">
        <f t="shared" ref="Y320:BG320" si="81">Y318+Y319</f>
        <v>-4061.5342465753424</v>
      </c>
      <c r="Z320" s="46">
        <f t="shared" si="81"/>
        <v>-3359.8191780821917</v>
      </c>
      <c r="AA320" s="46">
        <f t="shared" si="81"/>
        <v>-22857.528125000001</v>
      </c>
      <c r="AB320" s="46">
        <f t="shared" si="81"/>
        <v>-45715.056250000001</v>
      </c>
      <c r="AC320" s="46">
        <f t="shared" si="81"/>
        <v>92993.799948689033</v>
      </c>
      <c r="AD320" s="46">
        <f t="shared" si="81"/>
        <v>0</v>
      </c>
      <c r="AE320" s="46">
        <f t="shared" si="81"/>
        <v>0</v>
      </c>
      <c r="AF320" s="46">
        <f t="shared" si="81"/>
        <v>0</v>
      </c>
      <c r="AG320" s="46">
        <f t="shared" si="81"/>
        <v>0</v>
      </c>
      <c r="AH320" s="46">
        <f t="shared" si="81"/>
        <v>0</v>
      </c>
      <c r="AI320" s="46">
        <f t="shared" si="81"/>
        <v>0</v>
      </c>
      <c r="AJ320" s="46">
        <f t="shared" si="81"/>
        <v>0</v>
      </c>
      <c r="AK320" s="46">
        <f t="shared" si="81"/>
        <v>0</v>
      </c>
      <c r="AL320" s="46">
        <f t="shared" si="81"/>
        <v>0</v>
      </c>
      <c r="AM320" s="46">
        <f t="shared" si="81"/>
        <v>0</v>
      </c>
      <c r="AN320" s="46">
        <f t="shared" si="81"/>
        <v>0</v>
      </c>
      <c r="AO320" s="46">
        <f t="shared" si="81"/>
        <v>0</v>
      </c>
      <c r="AP320" s="46">
        <f t="shared" si="81"/>
        <v>0</v>
      </c>
      <c r="AQ320" s="46">
        <f t="shared" si="81"/>
        <v>0</v>
      </c>
      <c r="AR320" s="46">
        <f t="shared" si="81"/>
        <v>0</v>
      </c>
      <c r="AS320" s="46">
        <f t="shared" si="81"/>
        <v>0</v>
      </c>
      <c r="AT320" s="46">
        <f t="shared" si="81"/>
        <v>0</v>
      </c>
      <c r="AU320" s="46">
        <f t="shared" si="81"/>
        <v>0</v>
      </c>
      <c r="AV320" s="46">
        <f t="shared" si="81"/>
        <v>0</v>
      </c>
      <c r="AW320" s="46">
        <f t="shared" si="81"/>
        <v>0</v>
      </c>
      <c r="AX320" s="46">
        <f t="shared" si="81"/>
        <v>0</v>
      </c>
      <c r="AY320" s="46">
        <f t="shared" si="81"/>
        <v>0</v>
      </c>
      <c r="AZ320" s="46">
        <f t="shared" si="81"/>
        <v>0</v>
      </c>
      <c r="BA320" s="46">
        <f t="shared" si="81"/>
        <v>0</v>
      </c>
      <c r="BB320" s="46">
        <f t="shared" si="81"/>
        <v>0</v>
      </c>
      <c r="BC320" s="46">
        <f t="shared" si="81"/>
        <v>0</v>
      </c>
      <c r="BD320" s="46">
        <f t="shared" si="81"/>
        <v>0</v>
      </c>
      <c r="BE320" s="46">
        <f t="shared" si="81"/>
        <v>0</v>
      </c>
      <c r="BF320" s="46">
        <f t="shared" si="81"/>
        <v>0</v>
      </c>
      <c r="BG320" s="46">
        <f t="shared" si="81"/>
        <v>0</v>
      </c>
    </row>
    <row r="321" spans="2:59" x14ac:dyDescent="0.25">
      <c r="C321" s="31" t="s">
        <v>304</v>
      </c>
      <c r="D321" s="32" t="s">
        <v>97</v>
      </c>
      <c r="G321" s="46">
        <f>SUM(X321:BG321)</f>
        <v>0</v>
      </c>
      <c r="X321" s="41">
        <f>-$F$96*MAX(0,$G320)*X$253</f>
        <v>0</v>
      </c>
      <c r="Y321" s="41">
        <f t="shared" ref="Y321:BG321" si="82">-$F$96*MAX(0,$G320)*Y$253</f>
        <v>0</v>
      </c>
      <c r="Z321" s="41">
        <f t="shared" si="82"/>
        <v>0</v>
      </c>
      <c r="AA321" s="41">
        <f t="shared" si="82"/>
        <v>0</v>
      </c>
      <c r="AB321" s="41">
        <f t="shared" si="82"/>
        <v>0</v>
      </c>
      <c r="AC321" s="41">
        <f t="shared" si="82"/>
        <v>0</v>
      </c>
      <c r="AD321" s="41">
        <f t="shared" si="82"/>
        <v>0</v>
      </c>
      <c r="AE321" s="41">
        <f t="shared" si="82"/>
        <v>0</v>
      </c>
      <c r="AF321" s="41">
        <f t="shared" si="82"/>
        <v>0</v>
      </c>
      <c r="AG321" s="41">
        <f t="shared" si="82"/>
        <v>0</v>
      </c>
      <c r="AH321" s="41">
        <f t="shared" si="82"/>
        <v>0</v>
      </c>
      <c r="AI321" s="41">
        <f t="shared" si="82"/>
        <v>0</v>
      </c>
      <c r="AJ321" s="41">
        <f t="shared" si="82"/>
        <v>0</v>
      </c>
      <c r="AK321" s="41">
        <f t="shared" si="82"/>
        <v>0</v>
      </c>
      <c r="AL321" s="41">
        <f t="shared" si="82"/>
        <v>0</v>
      </c>
      <c r="AM321" s="41">
        <f t="shared" si="82"/>
        <v>0</v>
      </c>
      <c r="AN321" s="41">
        <f t="shared" si="82"/>
        <v>0</v>
      </c>
      <c r="AO321" s="41">
        <f t="shared" si="82"/>
        <v>0</v>
      </c>
      <c r="AP321" s="41">
        <f t="shared" si="82"/>
        <v>0</v>
      </c>
      <c r="AQ321" s="41">
        <f t="shared" si="82"/>
        <v>0</v>
      </c>
      <c r="AR321" s="41">
        <f t="shared" si="82"/>
        <v>0</v>
      </c>
      <c r="AS321" s="41">
        <f t="shared" si="82"/>
        <v>0</v>
      </c>
      <c r="AT321" s="41">
        <f t="shared" si="82"/>
        <v>0</v>
      </c>
      <c r="AU321" s="41">
        <f t="shared" si="82"/>
        <v>0</v>
      </c>
      <c r="AV321" s="41">
        <f t="shared" si="82"/>
        <v>0</v>
      </c>
      <c r="AW321" s="41">
        <f t="shared" si="82"/>
        <v>0</v>
      </c>
      <c r="AX321" s="41">
        <f t="shared" si="82"/>
        <v>0</v>
      </c>
      <c r="AY321" s="41">
        <f t="shared" si="82"/>
        <v>0</v>
      </c>
      <c r="AZ321" s="41">
        <f t="shared" si="82"/>
        <v>0</v>
      </c>
      <c r="BA321" s="41">
        <f t="shared" si="82"/>
        <v>0</v>
      </c>
      <c r="BB321" s="41">
        <f t="shared" si="82"/>
        <v>0</v>
      </c>
      <c r="BC321" s="41">
        <f t="shared" si="82"/>
        <v>0</v>
      </c>
      <c r="BD321" s="41">
        <f t="shared" si="82"/>
        <v>0</v>
      </c>
      <c r="BE321" s="41">
        <f t="shared" si="82"/>
        <v>0</v>
      </c>
      <c r="BF321" s="41">
        <f t="shared" si="82"/>
        <v>0</v>
      </c>
      <c r="BG321" s="41">
        <f t="shared" si="82"/>
        <v>0</v>
      </c>
    </row>
    <row r="322" spans="2:59" x14ac:dyDescent="0.25">
      <c r="C322" s="45" t="s">
        <v>305</v>
      </c>
      <c r="D322" s="32" t="s">
        <v>97</v>
      </c>
      <c r="G322" s="46">
        <f>SUM(X322:BG322)</f>
        <v>16230.368998346559</v>
      </c>
      <c r="X322" s="46">
        <f>X320+X321</f>
        <v>-769.49315068493149</v>
      </c>
      <c r="Y322" s="46">
        <f t="shared" ref="Y322:BG322" si="83">Y320+Y321</f>
        <v>-4061.5342465753424</v>
      </c>
      <c r="Z322" s="46">
        <f t="shared" si="83"/>
        <v>-3359.8191780821917</v>
      </c>
      <c r="AA322" s="46">
        <f t="shared" si="83"/>
        <v>-22857.528125000001</v>
      </c>
      <c r="AB322" s="46">
        <f t="shared" si="83"/>
        <v>-45715.056250000001</v>
      </c>
      <c r="AC322" s="46">
        <f t="shared" si="83"/>
        <v>92993.799948689033</v>
      </c>
      <c r="AD322" s="46">
        <f t="shared" si="83"/>
        <v>0</v>
      </c>
      <c r="AE322" s="46">
        <f t="shared" si="83"/>
        <v>0</v>
      </c>
      <c r="AF322" s="46">
        <f t="shared" si="83"/>
        <v>0</v>
      </c>
      <c r="AG322" s="46">
        <f t="shared" si="83"/>
        <v>0</v>
      </c>
      <c r="AH322" s="46">
        <f t="shared" si="83"/>
        <v>0</v>
      </c>
      <c r="AI322" s="46">
        <f t="shared" si="83"/>
        <v>0</v>
      </c>
      <c r="AJ322" s="46">
        <f t="shared" si="83"/>
        <v>0</v>
      </c>
      <c r="AK322" s="46">
        <f t="shared" si="83"/>
        <v>0</v>
      </c>
      <c r="AL322" s="46">
        <f t="shared" si="83"/>
        <v>0</v>
      </c>
      <c r="AM322" s="46">
        <f t="shared" si="83"/>
        <v>0</v>
      </c>
      <c r="AN322" s="46">
        <f t="shared" si="83"/>
        <v>0</v>
      </c>
      <c r="AO322" s="46">
        <f t="shared" si="83"/>
        <v>0</v>
      </c>
      <c r="AP322" s="46">
        <f t="shared" si="83"/>
        <v>0</v>
      </c>
      <c r="AQ322" s="46">
        <f t="shared" si="83"/>
        <v>0</v>
      </c>
      <c r="AR322" s="46">
        <f t="shared" si="83"/>
        <v>0</v>
      </c>
      <c r="AS322" s="46">
        <f t="shared" si="83"/>
        <v>0</v>
      </c>
      <c r="AT322" s="46">
        <f t="shared" si="83"/>
        <v>0</v>
      </c>
      <c r="AU322" s="46">
        <f t="shared" si="83"/>
        <v>0</v>
      </c>
      <c r="AV322" s="46">
        <f t="shared" si="83"/>
        <v>0</v>
      </c>
      <c r="AW322" s="46">
        <f t="shared" si="83"/>
        <v>0</v>
      </c>
      <c r="AX322" s="46">
        <f t="shared" si="83"/>
        <v>0</v>
      </c>
      <c r="AY322" s="46">
        <f t="shared" si="83"/>
        <v>0</v>
      </c>
      <c r="AZ322" s="46">
        <f t="shared" si="83"/>
        <v>0</v>
      </c>
      <c r="BA322" s="46">
        <f t="shared" si="83"/>
        <v>0</v>
      </c>
      <c r="BB322" s="46">
        <f t="shared" si="83"/>
        <v>0</v>
      </c>
      <c r="BC322" s="46">
        <f t="shared" si="83"/>
        <v>0</v>
      </c>
      <c r="BD322" s="46">
        <f t="shared" si="83"/>
        <v>0</v>
      </c>
      <c r="BE322" s="46">
        <f t="shared" si="83"/>
        <v>0</v>
      </c>
      <c r="BF322" s="46">
        <f t="shared" si="83"/>
        <v>0</v>
      </c>
      <c r="BG322" s="46">
        <f t="shared" si="83"/>
        <v>0</v>
      </c>
    </row>
    <row r="323" spans="2:59" x14ac:dyDescent="0.25">
      <c r="C323" s="45" t="s">
        <v>278</v>
      </c>
      <c r="D323" s="32" t="s">
        <v>97</v>
      </c>
      <c r="G323" s="46">
        <f>SUM(X323:BG323)</f>
        <v>6091.7808219178087</v>
      </c>
      <c r="X323" s="46" cm="1">
        <f t="array" ref="X323">SUMPRODUCT((YEAR($H$162:$H$170)=X$246)*$F$162:$F$170)</f>
        <v>-769.49315068493149</v>
      </c>
      <c r="Y323" s="46" cm="1">
        <f t="array" ref="Y323">SUMPRODUCT((YEAR($H$162:$H$170)=Y$246)*$F$162:$F$170)</f>
        <v>-4061.5342465753424</v>
      </c>
      <c r="Z323" s="46" cm="1">
        <f t="array" ref="Z323">SUMPRODUCT((YEAR($H$162:$H$170)=Z$246)*$F$162:$F$170)</f>
        <v>-3359.8191780821917</v>
      </c>
      <c r="AA323" s="46" cm="1">
        <f t="array" ref="AA323">SUMPRODUCT((YEAR($H$162:$H$170)=AA$246)*$F$162:$F$170)</f>
        <v>14282.627397260274</v>
      </c>
      <c r="AB323" s="46" cm="1">
        <f t="array" ref="AB323">SUMPRODUCT((YEAR($H$162:$H$170)=AB$246)*$F$162:$F$170)</f>
        <v>0</v>
      </c>
      <c r="AC323" s="46" cm="1">
        <f t="array" ref="AC323">SUMPRODUCT((YEAR($H$162:$H$170)=AC$246)*$F$162:$F$170)</f>
        <v>0</v>
      </c>
      <c r="AD323" s="46" cm="1">
        <f t="array" ref="AD323">SUMPRODUCT((YEAR($H$162:$H$170)=AD$246)*$F$162:$F$170)</f>
        <v>0</v>
      </c>
      <c r="AE323" s="46" cm="1">
        <f t="array" ref="AE323">SUMPRODUCT((YEAR($H$162:$H$170)=AE$246)*$F$162:$F$170)</f>
        <v>0</v>
      </c>
      <c r="AF323" s="46" cm="1">
        <f t="array" ref="AF323">SUMPRODUCT((YEAR($H$162:$H$170)=AF$246)*$F$162:$F$170)</f>
        <v>0</v>
      </c>
      <c r="AG323" s="46" cm="1">
        <f t="array" ref="AG323">SUMPRODUCT((YEAR($H$162:$H$170)=AG$246)*$F$162:$F$170)</f>
        <v>0</v>
      </c>
      <c r="AH323" s="46" cm="1">
        <f t="array" ref="AH323">SUMPRODUCT((YEAR($H$162:$H$170)=AH$246)*$F$162:$F$170)</f>
        <v>0</v>
      </c>
      <c r="AI323" s="46" cm="1">
        <f t="array" ref="AI323">SUMPRODUCT((YEAR($H$162:$H$170)=AI$246)*$F$162:$F$170)</f>
        <v>0</v>
      </c>
      <c r="AJ323" s="46" cm="1">
        <f t="array" ref="AJ323">SUMPRODUCT((YEAR($H$162:$H$170)=AJ$246)*$F$162:$F$170)</f>
        <v>0</v>
      </c>
      <c r="AK323" s="46" cm="1">
        <f t="array" ref="AK323">SUMPRODUCT((YEAR($H$162:$H$170)=AK$246)*$F$162:$F$170)</f>
        <v>0</v>
      </c>
      <c r="AL323" s="46" cm="1">
        <f t="array" ref="AL323">SUMPRODUCT((YEAR($H$162:$H$170)=AL$246)*$F$162:$F$170)</f>
        <v>0</v>
      </c>
      <c r="AM323" s="46" cm="1">
        <f t="array" ref="AM323">SUMPRODUCT((YEAR($H$162:$H$170)=AM$246)*$F$162:$F$170)</f>
        <v>0</v>
      </c>
      <c r="AN323" s="46" cm="1">
        <f t="array" ref="AN323">SUMPRODUCT((YEAR($H$162:$H$170)=AN$246)*$F$162:$F$170)</f>
        <v>0</v>
      </c>
      <c r="AO323" s="46" cm="1">
        <f t="array" ref="AO323">SUMPRODUCT((YEAR($H$162:$H$170)=AO$246)*$F$162:$F$170)</f>
        <v>0</v>
      </c>
      <c r="AP323" s="46" cm="1">
        <f t="array" ref="AP323">SUMPRODUCT((YEAR($H$162:$H$170)=AP$246)*$F$162:$F$170)</f>
        <v>0</v>
      </c>
      <c r="AQ323" s="46" cm="1">
        <f t="array" ref="AQ323">SUMPRODUCT((YEAR($H$162:$H$170)=AQ$246)*$F$162:$F$170)</f>
        <v>0</v>
      </c>
      <c r="AR323" s="46" cm="1">
        <f t="array" ref="AR323">SUMPRODUCT((YEAR($H$162:$H$170)=AR$246)*$F$162:$F$170)</f>
        <v>0</v>
      </c>
      <c r="AS323" s="46" cm="1">
        <f t="array" ref="AS323">SUMPRODUCT((YEAR($H$162:$H$170)=AS$246)*$F$162:$F$170)</f>
        <v>0</v>
      </c>
      <c r="AT323" s="46" cm="1">
        <f t="array" ref="AT323">SUMPRODUCT((YEAR($H$162:$H$170)=AT$246)*$F$162:$F$170)</f>
        <v>0</v>
      </c>
      <c r="AU323" s="46" cm="1">
        <f t="array" ref="AU323">SUMPRODUCT((YEAR($H$162:$H$170)=AU$246)*$F$162:$F$170)</f>
        <v>0</v>
      </c>
      <c r="AV323" s="46" cm="1">
        <f t="array" ref="AV323">SUMPRODUCT((YEAR($H$162:$H$170)=AV$246)*$F$162:$F$170)</f>
        <v>0</v>
      </c>
      <c r="AW323" s="46" cm="1">
        <f t="array" ref="AW323">SUMPRODUCT((YEAR($H$162:$H$170)=AW$246)*$F$162:$F$170)</f>
        <v>0</v>
      </c>
      <c r="AX323" s="46" cm="1">
        <f t="array" ref="AX323">SUMPRODUCT((YEAR($H$162:$H$170)=AX$246)*$F$162:$F$170)</f>
        <v>0</v>
      </c>
      <c r="AY323" s="46" cm="1">
        <f t="array" ref="AY323">SUMPRODUCT((YEAR($H$162:$H$170)=AY$246)*$F$162:$F$170)</f>
        <v>0</v>
      </c>
      <c r="AZ323" s="46" cm="1">
        <f t="array" ref="AZ323">SUMPRODUCT((YEAR($H$162:$H$170)=AZ$246)*$F$162:$F$170)</f>
        <v>0</v>
      </c>
      <c r="BA323" s="46" cm="1">
        <f t="array" ref="BA323">SUMPRODUCT((YEAR($H$162:$H$170)=BA$246)*$F$162:$F$170)</f>
        <v>0</v>
      </c>
      <c r="BB323" s="46" cm="1">
        <f t="array" ref="BB323">SUMPRODUCT((YEAR($H$162:$H$170)=BB$246)*$F$162:$F$170)</f>
        <v>0</v>
      </c>
      <c r="BC323" s="46" cm="1">
        <f t="array" ref="BC323">SUMPRODUCT((YEAR($H$162:$H$170)=BC$246)*$F$162:$F$170)</f>
        <v>0</v>
      </c>
      <c r="BD323" s="46" cm="1">
        <f t="array" ref="BD323">SUMPRODUCT((YEAR($H$162:$H$170)=BD$246)*$F$162:$F$170)</f>
        <v>0</v>
      </c>
      <c r="BE323" s="46" cm="1">
        <f t="array" ref="BE323">SUMPRODUCT((YEAR($H$162:$H$170)=BE$246)*$F$162:$F$170)</f>
        <v>0</v>
      </c>
      <c r="BF323" s="46" cm="1">
        <f t="array" ref="BF323">SUMPRODUCT((YEAR($H$162:$H$170)=BF$246)*$F$162:$F$170)</f>
        <v>0</v>
      </c>
      <c r="BG323" s="46" cm="1">
        <f t="array" ref="BG323">SUMPRODUCT((YEAR($H$162:$H$170)=BG$246)*$F$162:$F$170)</f>
        <v>0</v>
      </c>
    </row>
    <row r="324" spans="2:59" x14ac:dyDescent="0.25">
      <c r="C324" s="31" t="s">
        <v>279</v>
      </c>
      <c r="D324" s="32" t="s">
        <v>97</v>
      </c>
      <c r="G324" s="46">
        <f>SUM(X324:BG324)</f>
        <v>-913.76712328767132</v>
      </c>
      <c r="X324" s="41">
        <f>-$F$100*MAX(0,$G323)*(X$246=YEAR($E$84))</f>
        <v>0</v>
      </c>
      <c r="Y324" s="41">
        <f t="shared" ref="Y324:BG324" si="84">-$F$100*MAX(0,$G323)*(Y$246=YEAR($E$84))</f>
        <v>0</v>
      </c>
      <c r="Z324" s="41">
        <f t="shared" si="84"/>
        <v>0</v>
      </c>
      <c r="AA324" s="41">
        <f t="shared" si="84"/>
        <v>-913.76712328767132</v>
      </c>
      <c r="AB324" s="41">
        <f t="shared" si="84"/>
        <v>0</v>
      </c>
      <c r="AC324" s="41">
        <f t="shared" si="84"/>
        <v>0</v>
      </c>
      <c r="AD324" s="41">
        <f t="shared" si="84"/>
        <v>0</v>
      </c>
      <c r="AE324" s="41">
        <f t="shared" si="84"/>
        <v>0</v>
      </c>
      <c r="AF324" s="41">
        <f t="shared" si="84"/>
        <v>0</v>
      </c>
      <c r="AG324" s="41">
        <f t="shared" si="84"/>
        <v>0</v>
      </c>
      <c r="AH324" s="41">
        <f t="shared" si="84"/>
        <v>0</v>
      </c>
      <c r="AI324" s="41">
        <f t="shared" si="84"/>
        <v>0</v>
      </c>
      <c r="AJ324" s="41">
        <f t="shared" si="84"/>
        <v>0</v>
      </c>
      <c r="AK324" s="41">
        <f t="shared" si="84"/>
        <v>0</v>
      </c>
      <c r="AL324" s="41">
        <f t="shared" si="84"/>
        <v>0</v>
      </c>
      <c r="AM324" s="41">
        <f t="shared" si="84"/>
        <v>0</v>
      </c>
      <c r="AN324" s="41">
        <f t="shared" si="84"/>
        <v>0</v>
      </c>
      <c r="AO324" s="41">
        <f t="shared" si="84"/>
        <v>0</v>
      </c>
      <c r="AP324" s="41">
        <f t="shared" si="84"/>
        <v>0</v>
      </c>
      <c r="AQ324" s="41">
        <f t="shared" si="84"/>
        <v>0</v>
      </c>
      <c r="AR324" s="41">
        <f t="shared" si="84"/>
        <v>0</v>
      </c>
      <c r="AS324" s="41">
        <f t="shared" si="84"/>
        <v>0</v>
      </c>
      <c r="AT324" s="41">
        <f t="shared" si="84"/>
        <v>0</v>
      </c>
      <c r="AU324" s="41">
        <f t="shared" si="84"/>
        <v>0</v>
      </c>
      <c r="AV324" s="41">
        <f t="shared" si="84"/>
        <v>0</v>
      </c>
      <c r="AW324" s="41">
        <f t="shared" si="84"/>
        <v>0</v>
      </c>
      <c r="AX324" s="41">
        <f t="shared" si="84"/>
        <v>0</v>
      </c>
      <c r="AY324" s="41">
        <f t="shared" si="84"/>
        <v>0</v>
      </c>
      <c r="AZ324" s="41">
        <f t="shared" si="84"/>
        <v>0</v>
      </c>
      <c r="BA324" s="41">
        <f t="shared" si="84"/>
        <v>0</v>
      </c>
      <c r="BB324" s="41">
        <f t="shared" si="84"/>
        <v>0</v>
      </c>
      <c r="BC324" s="41">
        <f t="shared" si="84"/>
        <v>0</v>
      </c>
      <c r="BD324" s="41">
        <f t="shared" si="84"/>
        <v>0</v>
      </c>
      <c r="BE324" s="41">
        <f t="shared" si="84"/>
        <v>0</v>
      </c>
      <c r="BF324" s="41">
        <f t="shared" si="84"/>
        <v>0</v>
      </c>
      <c r="BG324" s="41">
        <f t="shared" si="84"/>
        <v>0</v>
      </c>
    </row>
    <row r="325" spans="2:59" x14ac:dyDescent="0.25">
      <c r="C325" s="45" t="s">
        <v>280</v>
      </c>
      <c r="D325" s="32" t="s">
        <v>97</v>
      </c>
      <c r="G325" s="46">
        <f>SUM(X325:BG325)</f>
        <v>5178.0136986301377</v>
      </c>
      <c r="X325" s="46">
        <f>X323+X324</f>
        <v>-769.49315068493149</v>
      </c>
      <c r="Y325" s="46">
        <f t="shared" ref="Y325:BG325" si="85">Y323+Y324</f>
        <v>-4061.5342465753424</v>
      </c>
      <c r="Z325" s="46">
        <f t="shared" si="85"/>
        <v>-3359.8191780821917</v>
      </c>
      <c r="AA325" s="46">
        <f t="shared" si="85"/>
        <v>13368.860273972603</v>
      </c>
      <c r="AB325" s="46">
        <f t="shared" si="85"/>
        <v>0</v>
      </c>
      <c r="AC325" s="46">
        <f t="shared" si="85"/>
        <v>0</v>
      </c>
      <c r="AD325" s="46">
        <f t="shared" si="85"/>
        <v>0</v>
      </c>
      <c r="AE325" s="46">
        <f t="shared" si="85"/>
        <v>0</v>
      </c>
      <c r="AF325" s="46">
        <f t="shared" si="85"/>
        <v>0</v>
      </c>
      <c r="AG325" s="46">
        <f t="shared" si="85"/>
        <v>0</v>
      </c>
      <c r="AH325" s="46">
        <f t="shared" si="85"/>
        <v>0</v>
      </c>
      <c r="AI325" s="46">
        <f t="shared" si="85"/>
        <v>0</v>
      </c>
      <c r="AJ325" s="46">
        <f t="shared" si="85"/>
        <v>0</v>
      </c>
      <c r="AK325" s="46">
        <f t="shared" si="85"/>
        <v>0</v>
      </c>
      <c r="AL325" s="46">
        <f t="shared" si="85"/>
        <v>0</v>
      </c>
      <c r="AM325" s="46">
        <f t="shared" si="85"/>
        <v>0</v>
      </c>
      <c r="AN325" s="46">
        <f t="shared" si="85"/>
        <v>0</v>
      </c>
      <c r="AO325" s="46">
        <f t="shared" si="85"/>
        <v>0</v>
      </c>
      <c r="AP325" s="46">
        <f t="shared" si="85"/>
        <v>0</v>
      </c>
      <c r="AQ325" s="46">
        <f t="shared" si="85"/>
        <v>0</v>
      </c>
      <c r="AR325" s="46">
        <f t="shared" si="85"/>
        <v>0</v>
      </c>
      <c r="AS325" s="46">
        <f t="shared" si="85"/>
        <v>0</v>
      </c>
      <c r="AT325" s="46">
        <f t="shared" si="85"/>
        <v>0</v>
      </c>
      <c r="AU325" s="46">
        <f t="shared" si="85"/>
        <v>0</v>
      </c>
      <c r="AV325" s="46">
        <f t="shared" si="85"/>
        <v>0</v>
      </c>
      <c r="AW325" s="46">
        <f t="shared" si="85"/>
        <v>0</v>
      </c>
      <c r="AX325" s="46">
        <f t="shared" si="85"/>
        <v>0</v>
      </c>
      <c r="AY325" s="46">
        <f t="shared" si="85"/>
        <v>0</v>
      </c>
      <c r="AZ325" s="46">
        <f t="shared" si="85"/>
        <v>0</v>
      </c>
      <c r="BA325" s="46">
        <f t="shared" si="85"/>
        <v>0</v>
      </c>
      <c r="BB325" s="46">
        <f t="shared" si="85"/>
        <v>0</v>
      </c>
      <c r="BC325" s="46">
        <f t="shared" si="85"/>
        <v>0</v>
      </c>
      <c r="BD325" s="46">
        <f t="shared" si="85"/>
        <v>0</v>
      </c>
      <c r="BE325" s="46">
        <f t="shared" si="85"/>
        <v>0</v>
      </c>
      <c r="BF325" s="46">
        <f t="shared" si="85"/>
        <v>0</v>
      </c>
      <c r="BG325" s="46">
        <f t="shared" si="85"/>
        <v>0</v>
      </c>
    </row>
    <row r="327" spans="2:59" x14ac:dyDescent="0.25">
      <c r="B327" s="28"/>
      <c r="C327" s="28" t="s">
        <v>261</v>
      </c>
      <c r="D327" s="28"/>
      <c r="E327" s="29" t="s">
        <v>4</v>
      </c>
      <c r="F327" s="29" t="s">
        <v>5</v>
      </c>
      <c r="G327" s="29" t="s">
        <v>100</v>
      </c>
      <c r="H327" s="29"/>
    </row>
    <row r="328" spans="2:59" x14ac:dyDescent="0.25">
      <c r="C328" s="31" t="s">
        <v>262</v>
      </c>
      <c r="D328" s="32" t="s">
        <v>25</v>
      </c>
      <c r="E328" s="52">
        <f>N(ABS(E151+E152+E156-E159-E170)&gt;Tolerance)</f>
        <v>0</v>
      </c>
      <c r="F328" s="52">
        <f>N(ABS(F151+F152+F156-F159-F170)&gt;Tolerance)</f>
        <v>0</v>
      </c>
      <c r="G328" s="52">
        <f t="shared" ref="G328:G333" si="86">E328+F328</f>
        <v>0</v>
      </c>
    </row>
    <row r="329" spans="2:59" x14ac:dyDescent="0.25">
      <c r="C329" s="31" t="s">
        <v>263</v>
      </c>
      <c r="D329" s="32" t="s">
        <v>25</v>
      </c>
      <c r="E329" s="52">
        <f>COUNTIF($H$139:$H$145,"&gt;"&amp;$E$138)</f>
        <v>0</v>
      </c>
      <c r="G329" s="52">
        <f t="shared" si="86"/>
        <v>0</v>
      </c>
    </row>
    <row r="330" spans="2:59" x14ac:dyDescent="0.25">
      <c r="C330" s="31" t="s">
        <v>264</v>
      </c>
      <c r="D330" s="32" t="s">
        <v>25</v>
      </c>
      <c r="E330" s="52">
        <f>N($E$83&gt;$E$84)</f>
        <v>0</v>
      </c>
      <c r="G330" s="52">
        <f t="shared" si="86"/>
        <v>0</v>
      </c>
    </row>
    <row r="331" spans="2:59" x14ac:dyDescent="0.25">
      <c r="C331" s="31" t="s">
        <v>265</v>
      </c>
      <c r="D331" s="32" t="s">
        <v>25</v>
      </c>
      <c r="E331" s="52">
        <f>N(ABS(E204+$G$258)&gt;Tolerance)</f>
        <v>0</v>
      </c>
      <c r="F331" s="52">
        <f>N(ABS(F204+$G$294)&gt;Tolerance)</f>
        <v>0</v>
      </c>
      <c r="G331" s="52">
        <f t="shared" si="86"/>
        <v>0</v>
      </c>
    </row>
    <row r="332" spans="2:59" x14ac:dyDescent="0.25">
      <c r="C332" s="31" t="s">
        <v>266</v>
      </c>
      <c r="D332" s="32" t="s">
        <v>25</v>
      </c>
      <c r="E332" s="52">
        <f>N(ABS(E208+$G$260)&gt;Tolerance)</f>
        <v>0</v>
      </c>
      <c r="F332" s="52">
        <f>N(ABS(F208+$G$296)&gt;Tolerance)</f>
        <v>0</v>
      </c>
      <c r="G332" s="52">
        <f t="shared" si="86"/>
        <v>0</v>
      </c>
    </row>
    <row r="333" spans="2:59" x14ac:dyDescent="0.25">
      <c r="C333" s="31" t="s">
        <v>267</v>
      </c>
      <c r="D333" s="32" t="s">
        <v>25</v>
      </c>
      <c r="E333" s="52">
        <f>N(ABS($G$252-$E$90)&gt;Tolerance)</f>
        <v>0</v>
      </c>
      <c r="G333" s="52">
        <f t="shared" si="86"/>
        <v>0</v>
      </c>
    </row>
    <row r="334" spans="2:59" x14ac:dyDescent="0.25">
      <c r="C334" s="31" t="s">
        <v>296</v>
      </c>
      <c r="D334" s="32" t="s">
        <v>25</v>
      </c>
      <c r="E334" s="52">
        <f>N(ABS(E171-$G287)&gt;Tolerance)</f>
        <v>0</v>
      </c>
      <c r="F334" s="52">
        <f>N(ABS(F171-$G323)&gt;Tolerance)</f>
        <v>0</v>
      </c>
      <c r="G334" s="52">
        <f>E334+F334</f>
        <v>0</v>
      </c>
    </row>
    <row r="335" spans="2:59" x14ac:dyDescent="0.25">
      <c r="C335" s="45" t="s">
        <v>268</v>
      </c>
      <c r="D335" s="32" t="s">
        <v>25</v>
      </c>
      <c r="G335" s="54">
        <f>SUM(G328:G334)</f>
        <v>0</v>
      </c>
    </row>
    <row r="337" spans="3:3" x14ac:dyDescent="0.25">
      <c r="C337" s="55" t="s">
        <v>269</v>
      </c>
    </row>
  </sheetData>
  <conditionalFormatting sqref="G335">
    <cfRule type="cellIs" dxfId="1" priority="1" operator="equal">
      <formula>0</formula>
    </cfRule>
    <cfRule type="cellIs" dxfId="0" priority="2" operator="not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HeadingPairs>
  <TitlesOfParts>
    <vt:vector size="32" baseType="lpstr">
      <vt:lpstr>Bid_Cash</vt:lpstr>
      <vt:lpstr>Days_In_Year</vt:lpstr>
      <vt:lpstr>Master_Check</vt:lpstr>
      <vt:lpstr>Months_In_Year</vt:lpstr>
      <vt:lpstr>Osz1_Incl</vt:lpstr>
      <vt:lpstr>Osz1_LB</vt:lpstr>
      <vt:lpstr>Osz1_Pts</vt:lpstr>
      <vt:lpstr>Osz1_W</vt:lpstr>
      <vt:lpstr>Osz2_Incl</vt:lpstr>
      <vt:lpstr>Osz2_LB</vt:lpstr>
      <vt:lpstr>Osz2_Pts</vt:lpstr>
      <vt:lpstr>Osz2_W</vt:lpstr>
      <vt:lpstr>Osz3_Incl</vt:lpstr>
      <vt:lpstr>Osz3_LB</vt:lpstr>
      <vt:lpstr>Osz3_Pts</vt:lpstr>
      <vt:lpstr>Osz3_W</vt:lpstr>
      <vt:lpstr>Osz4_W</vt:lpstr>
      <vt:lpstr>Osz5_Pts</vt:lpstr>
      <vt:lpstr>Osz5_W</vt:lpstr>
      <vt:lpstr>Osz6_Incl</vt:lpstr>
      <vt:lpstr>Osz6_LB</vt:lpstr>
      <vt:lpstr>Osz6_Pts</vt:lpstr>
      <vt:lpstr>Osz6_W</vt:lpstr>
      <vt:lpstr>Osz7_Pts</vt:lpstr>
      <vt:lpstr>Osz7_W</vt:lpstr>
      <vt:lpstr>Osz8_Pts</vt:lpstr>
      <vt:lpstr>Osz8_W</vt:lpstr>
      <vt:lpstr>Osz9_W</vt:lpstr>
      <vt:lpstr>Osz9a_Pts</vt:lpstr>
      <vt:lpstr>Osz9b_Pts</vt:lpstr>
      <vt:lpstr>Thousand</vt:lpstr>
      <vt:lpstr>Tolerance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Zádeczki Zalán</cp:lastModifiedBy>
  <dcterms:created xsi:type="dcterms:W3CDTF">2026-10-27T11:33:44Z</dcterms:created>
  <dcterms:modified xsi:type="dcterms:W3CDTF">2026-10-27T14:09:31Z</dcterms:modified>
</cp:coreProperties>
</file>