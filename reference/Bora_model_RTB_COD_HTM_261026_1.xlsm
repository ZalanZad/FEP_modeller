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87" documentId="8_{62069E2D-2D1F-49D4-A332-EAAE14CD9BB1}" xr6:coauthVersionLast="47" xr6:coauthVersionMax="47" xr10:uidLastSave="{30E9BC58-CE2C-40BF-A20F-7E768215579F}"/>
  <bookViews>
    <workbookView xWindow="-108" yWindow="-108" windowWidth="23256" windowHeight="13896" activeTab="1" xr2:uid="{00000000-000D-0000-FFFF-FFFF00000000}"/>
  </bookViews>
  <sheets>
    <sheet name="Cash_Flow" sheetId="1" r:id="rId1"/>
    <sheet name="Dashboard" sheetId="2" r:id="rId2"/>
    <sheet name="Bid_Points" sheetId="3" r:id="rId3"/>
    <sheet name="Inputs" sheetId="4" r:id="rId4"/>
    <sheet name="Curves" sheetId="5" r:id="rId5"/>
    <sheet name="Deposits" sheetId="6" r:id="rId6"/>
    <sheet name="MOIC" sheetId="7" r:id="rId7"/>
    <sheet name="HTM" sheetId="8" r:id="rId8"/>
    <sheet name="Open_Items" sheetId="9" state="hidden" r:id="rId9"/>
    <sheet name="Change_Log" sheetId="10" state="hidden" r:id="rId10"/>
    <sheet name="Devex_FEP" sheetId="11" state="hidden" r:id="rId11"/>
    <sheet name="BORA_Devex" sheetId="12" state="hidden" r:id="rId12"/>
  </sheets>
  <definedNames>
    <definedName name="_xleta.ROW" hidden="1">#NAME?</definedName>
    <definedName name="Bid_Cash">Bid_Points!$K$75:$K$119</definedName>
    <definedName name="Bid_Dates">Bid_Points!$J$75:$J$119</definedName>
    <definedName name="Dash_BESS_Capex_MWh">Dashboard!$E$26</definedName>
    <definedName name="Dash_BESS_Share">Dashboard!$E$23</definedName>
    <definedName name="Dash_Brownfield">Dashboard!$E$31</definedName>
    <definedName name="Dash_Build_Shortfall">Dashboard!$E$35</definedName>
    <definedName name="Dash_Buyer_Rate_Steps">Dashboard!$E$161:$G$161</definedName>
    <definedName name="Dash_Capex_Steps">Dashboard!$E$145:$I$145</definedName>
    <definedName name="Dash_Community">Dashboard!$E$29</definedName>
    <definedName name="Dash_EU_Transformer">Dashboard!$E$34</definedName>
    <definedName name="Dash_EU_Turbine">Dashboard!$E$33</definedName>
    <definedName name="Dash_Gearing_Steps">Dashboard!$E$149:$K$149</definedName>
    <definedName name="Dash_Key_Inputs">Dashboard!$E$8:$G$13</definedName>
    <definedName name="Dash_Municipal">Dashboard!$E$28</definedName>
    <definedName name="Dash_MVA">Dashboard!$E$20</definedName>
    <definedName name="Dash_OSZ4_Basis">Dashboard!$E$24</definedName>
    <definedName name="Dash_Overbuild">Dashboard!$E$22</definedName>
    <definedName name="Dash_Partial">Dashboard!$E$30</definedName>
    <definedName name="Dash_PB_Mult">Dashboard!$E$27</definedName>
    <definedName name="Dash_Premium_Steps">Dashboard!$E$155:$K$155</definedName>
    <definedName name="Dash_Price_Steps">Dashboard!$E$141:$K$141</definedName>
    <definedName name="Dash_Scenario">Dashboard!$E$6</definedName>
    <definedName name="Dash_Shared">Dashboard!$E$32</definedName>
    <definedName name="Days_In_Year">Bid_Points!$Q$4</definedName>
    <definedName name="Hours_In_Year">Inputs!$E$346</definedName>
    <definedName name="In_Bids">Inputs!$E$304</definedName>
    <definedName name="In_Bottleneck_Factor">Inputs!$E$323</definedName>
    <definedName name="In_Clip_Ratios">Inputs!$Q$312:$AB$312</definedName>
    <definedName name="In_Clip_Shares">Inputs!$Q$313:$AB$313</definedName>
    <definedName name="In_Exit_Profit_Charge">Inputs!$E$307</definedName>
    <definedName name="In_Min_Hours">Inputs!$E$324</definedName>
    <definedName name="In_MVA_Per_Bid">Inputs!$E$303</definedName>
    <definedName name="In_OSZ4_Pts_Wind">Inputs!$E$310</definedName>
    <definedName name="In_OSZ4_Ratio">Inputs!$E$311</definedName>
    <definedName name="In_OSZ4_Ratio_Wind">Inputs!$E$309</definedName>
    <definedName name="In_Refi_Fee">Inputs!$E$368</definedName>
    <definedName name="In_Refi_Gearing_Add">Inputs!$E$365</definedName>
    <definedName name="In_Refi_Lag">Inputs!$E$364</definedName>
    <definedName name="In_Refi_On">Inputs!$E$363</definedName>
    <definedName name="In_Refi_Rate">Inputs!$E$366</definedName>
    <definedName name="In_Refi_Tenor">Inputs!$E$367</definedName>
    <definedName name="In_Scale">Inputs!$E$306</definedName>
    <definedName name="In_Source_MVA">Inputs!$E$305</definedName>
    <definedName name="In_Wind_Built">Inputs!$E$308</definedName>
    <definedName name="Live_Results">Dashboard!$E$89:$E$116</definedName>
    <definedName name="Master_Check">Dashboard!$E$181</definedName>
    <definedName name="Million">Bid_Points!$P$4</definedName>
    <definedName name="Osz1_Incl">Inputs!$Q$351:$Y$351</definedName>
    <definedName name="Osz1_LB">Inputs!$Q$350:$Y$350</definedName>
    <definedName name="Osz1_Max">Inputs!$E$341</definedName>
    <definedName name="Osz1_Min">Inputs!$E$340</definedName>
    <definedName name="Osz1_Pts">Inputs!$Q$352:$Z$352</definedName>
    <definedName name="Osz1_W">Inputs!$E$326</definedName>
    <definedName name="Osz2_Incl">Inputs!$Q$354:$AA$354</definedName>
    <definedName name="Osz2_LB">Inputs!$Q$353:$AA$353</definedName>
    <definedName name="Osz2_Max">Inputs!$E$343</definedName>
    <definedName name="Osz2_Min">Inputs!$E$342</definedName>
    <definedName name="Osz2_Pts">Inputs!$Q$355:$AB$355</definedName>
    <definedName name="Osz2_W">Inputs!$E$327</definedName>
    <definedName name="Osz3_Incl">Inputs!$Q$357:$Z$357</definedName>
    <definedName name="Osz3_LB">Inputs!$Q$356:$Z$356</definedName>
    <definedName name="Osz3_Pts">Inputs!$Q$358:$AA$358</definedName>
    <definedName name="Osz3_W">Inputs!$E$328</definedName>
    <definedName name="Osz4_Min">Inputs!$E$344</definedName>
    <definedName name="Osz4_W">Inputs!$E$329</definedName>
    <definedName name="Osz5_Pts">Inputs!$E$335</definedName>
    <definedName name="Osz5_W">Inputs!$E$330</definedName>
    <definedName name="Osz6_Incl">Inputs!$Q$360:$Z$360</definedName>
    <definedName name="Osz6_LB">Inputs!$Q$359:$Z$359</definedName>
    <definedName name="Osz6_Pts">Inputs!$Q$361:$AA$361</definedName>
    <definedName name="Osz6_W">Inputs!$E$331</definedName>
    <definedName name="Osz7_Pts">Inputs!$E$336</definedName>
    <definedName name="Osz7_W">Inputs!$E$332</definedName>
    <definedName name="Osz8_Pts">Inputs!$E$337</definedName>
    <definedName name="Osz8_W">Inputs!$E$333</definedName>
    <definedName name="Osz9_W">Inputs!$E$334</definedName>
    <definedName name="Osz9a_Pts">Inputs!$E$338</definedName>
    <definedName name="Osz9b_Pts">Inputs!$E$339</definedName>
    <definedName name="Out_ares">Dashboard!$E$125</definedName>
    <definedName name="Out_ares_buy">Dashboard!$E$126</definedName>
    <definedName name="Out_buyer_irr">Dashboard!$E$115</definedName>
    <definedName name="Out_cod_irr">Dashboard!$E$111</definedName>
    <definedName name="Out_cod_moic">Dashboard!$E$113</definedName>
    <definedName name="Out_cod_mva">Dashboard!$E$109</definedName>
    <definedName name="Out_cod_mw">Dashboard!$E$108</definedName>
    <definedName name="Out_cod_npv">Dashboard!$E$112</definedName>
    <definedName name="Out_cod_price">Dashboard!$E$107</definedName>
    <definedName name="Out_cod_profit">Dashboard!$E$110</definedName>
    <definedName name="Out_debt">Dashboard!$E$100</definedName>
    <definedName name="Out_debt_refi">Dashboard!$E$102</definedName>
    <definedName name="Out_dscr">Dashboard!$E$97</definedName>
    <definedName name="Out_dscr_refi">Dashboard!$E$104</definedName>
    <definedName name="Out_eq_irr">Dashboard!$E$94</definedName>
    <definedName name="Out_fep_npv">Dashboard!$E$95</definedName>
    <definedName name="Out_fep_peak">Dashboard!$E$96</definedName>
    <definedName name="Out_gear_refi">Dashboard!$E$103</definedName>
    <definedName name="Out_gearing">Dashboard!$E$99</definedName>
    <definedName name="Out_max_gear">Dashboard!$E$98</definedName>
    <definedName name="Out_max_rtb">Dashboard!$E$116</definedName>
    <definedName name="Out_payback">Dashboard!$E$105</definedName>
    <definedName name="Out_points">Dashboard!$E$89</definedName>
    <definedName name="Out_proj_irr">Dashboard!$E$92</definedName>
    <definedName name="Out_proj_irr_pre">Dashboard!$E$91</definedName>
    <definedName name="Out_proj_npv">Dashboard!$E$93</definedName>
    <definedName name="Out_refi_on">Dashboard!$E$101</definedName>
    <definedName name="Out_rtb_irr">Dashboard!$E$121</definedName>
    <definedName name="Out_rtb_moic">Dashboard!$E$123</definedName>
    <definedName name="Out_rtb_npv">Dashboard!$E$122</definedName>
    <definedName name="Out_rtb_peak">Dashboard!$E$124</definedName>
    <definedName name="Out_rtb_prem">Dashboard!$E$119</definedName>
    <definedName name="Out_rtb_profit">Dashboard!$E$120</definedName>
    <definedName name="Points_Decimals">Inputs!$E$325</definedName>
    <definedName name="Qtr_Months">Bid_Points!$R$4</definedName>
    <definedName name="Scenario_Name">Dashboard!$E$36</definedName>
    <definedName name="Scenario_Names">Inputs!$G$7:$I$7</definedName>
    <definedName name="Stored_Delta">Dashboard!$XFD$89:$XFD$116</definedName>
    <definedName name="Stored_Results">Dashboard!$F$89:$H$116</definedName>
    <definedName name="Thousand">Inputs!$E$345</definedName>
    <definedName name="Tolerance">Inputs!$E$347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322" i="4" l="1"/>
  <c r="AH69" i="12"/>
  <c r="AI69" i="12" s="1"/>
  <c r="AH68" i="12"/>
  <c r="AI68" i="12" s="1"/>
  <c r="AN50" i="12"/>
  <c r="AM50" i="12"/>
  <c r="AD49" i="12"/>
  <c r="AE49" i="12" s="1"/>
  <c r="AW48" i="12"/>
  <c r="AX48" i="12" s="1"/>
  <c r="AN48" i="12"/>
  <c r="AI48" i="12"/>
  <c r="I48" i="12"/>
  <c r="J48" i="12" s="1"/>
  <c r="AW47" i="12"/>
  <c r="AM47" i="12"/>
  <c r="AI47" i="12"/>
  <c r="AH47" i="12"/>
  <c r="AE47" i="12"/>
  <c r="AD47" i="12"/>
  <c r="Y47" i="12"/>
  <c r="Z47" i="12" s="1"/>
  <c r="V47" i="12"/>
  <c r="W47" i="12" s="1"/>
  <c r="T47" i="12"/>
  <c r="U47" i="12" s="1"/>
  <c r="R47" i="12"/>
  <c r="S47" i="12" s="1"/>
  <c r="N47" i="12"/>
  <c r="O47" i="12" s="1"/>
  <c r="M47" i="12"/>
  <c r="L47" i="12"/>
  <c r="I47" i="12"/>
  <c r="Y46" i="12"/>
  <c r="W46" i="12"/>
  <c r="V46" i="12"/>
  <c r="T46" i="12"/>
  <c r="U46" i="12" s="1"/>
  <c r="R46" i="12"/>
  <c r="S46" i="12" s="1"/>
  <c r="N46" i="12"/>
  <c r="O46" i="12" s="1"/>
  <c r="M46" i="12"/>
  <c r="L46" i="12"/>
  <c r="I46" i="12"/>
  <c r="Y45" i="12"/>
  <c r="Z45" i="12" s="1"/>
  <c r="W45" i="12"/>
  <c r="V45" i="12"/>
  <c r="T45" i="12"/>
  <c r="U45" i="12" s="1"/>
  <c r="R45" i="12"/>
  <c r="S45" i="12" s="1"/>
  <c r="O45" i="12"/>
  <c r="N45" i="12"/>
  <c r="L45" i="12"/>
  <c r="M45" i="12" s="1"/>
  <c r="I45" i="12"/>
  <c r="AB44" i="12"/>
  <c r="Z46" i="12" s="1"/>
  <c r="I44" i="12"/>
  <c r="J44" i="12" s="1"/>
  <c r="AB43" i="12"/>
  <c r="AH50" i="12" s="1"/>
  <c r="AI50" i="12" s="1"/>
  <c r="R43" i="12"/>
  <c r="S43" i="12" s="1"/>
  <c r="I43" i="12"/>
  <c r="J43" i="12" s="1"/>
  <c r="G42" i="12"/>
  <c r="F42" i="12"/>
  <c r="E42" i="12"/>
  <c r="D42" i="12"/>
  <c r="R41" i="12"/>
  <c r="S41" i="12" s="1"/>
  <c r="J41" i="12"/>
  <c r="I41" i="12"/>
  <c r="C41" i="12"/>
  <c r="E41" i="12" s="1"/>
  <c r="R40" i="12"/>
  <c r="S40" i="12" s="1"/>
  <c r="J40" i="12"/>
  <c r="Y40" i="12" s="1"/>
  <c r="I40" i="12"/>
  <c r="D40" i="12"/>
  <c r="E40" i="12" s="1"/>
  <c r="F40" i="12" s="1"/>
  <c r="S39" i="12"/>
  <c r="R39" i="12"/>
  <c r="I39" i="12"/>
  <c r="J39" i="12" s="1"/>
  <c r="E39" i="12"/>
  <c r="G39" i="12" s="1"/>
  <c r="C39" i="12"/>
  <c r="D39" i="12" s="1"/>
  <c r="Y38" i="12"/>
  <c r="I38" i="12"/>
  <c r="J38" i="12" s="1"/>
  <c r="C38" i="12"/>
  <c r="D37" i="12"/>
  <c r="E37" i="12" s="1"/>
  <c r="S36" i="12"/>
  <c r="R36" i="12"/>
  <c r="J36" i="12"/>
  <c r="Y36" i="12" s="1"/>
  <c r="I36" i="12"/>
  <c r="Y35" i="12"/>
  <c r="J35" i="12"/>
  <c r="I35" i="12"/>
  <c r="E35" i="12"/>
  <c r="D35" i="12"/>
  <c r="C11" i="12" s="1"/>
  <c r="D11" i="12" s="1"/>
  <c r="R34" i="12"/>
  <c r="S34" i="12" s="1"/>
  <c r="J34" i="12"/>
  <c r="Y34" i="12" s="1"/>
  <c r="I34" i="12"/>
  <c r="E34" i="12"/>
  <c r="C34" i="12"/>
  <c r="D34" i="12" s="1"/>
  <c r="I33" i="12"/>
  <c r="S32" i="12"/>
  <c r="R32" i="12"/>
  <c r="J32" i="12"/>
  <c r="I32" i="12"/>
  <c r="J31" i="12"/>
  <c r="I31" i="12"/>
  <c r="J30" i="12"/>
  <c r="I30" i="12"/>
  <c r="R29" i="12"/>
  <c r="S29" i="12" s="1"/>
  <c r="J29" i="12"/>
  <c r="Y29" i="12" s="1"/>
  <c r="I29" i="12"/>
  <c r="I28" i="12"/>
  <c r="J28" i="12" s="1"/>
  <c r="C28" i="12"/>
  <c r="D28" i="12" s="1"/>
  <c r="E28" i="12" s="1"/>
  <c r="R27" i="12"/>
  <c r="S27" i="12" s="1"/>
  <c r="I27" i="12"/>
  <c r="J27" i="12" s="1"/>
  <c r="Y27" i="12" s="1"/>
  <c r="J26" i="12"/>
  <c r="I26" i="12"/>
  <c r="I25" i="12"/>
  <c r="J25" i="12" s="1"/>
  <c r="R24" i="12"/>
  <c r="S24" i="12" s="1"/>
  <c r="J24" i="12"/>
  <c r="I24" i="12"/>
  <c r="C24" i="12"/>
  <c r="D24" i="12" s="1"/>
  <c r="E24" i="12" s="1"/>
  <c r="Y23" i="12"/>
  <c r="S23" i="12"/>
  <c r="R23" i="12"/>
  <c r="I23" i="12"/>
  <c r="Y22" i="12"/>
  <c r="S22" i="12"/>
  <c r="R22" i="12"/>
  <c r="J22" i="12"/>
  <c r="I22" i="12"/>
  <c r="F22" i="12"/>
  <c r="E22" i="12"/>
  <c r="G22" i="12" s="1"/>
  <c r="L22" i="12" s="1"/>
  <c r="D22" i="12"/>
  <c r="Z21" i="12"/>
  <c r="Y21" i="12"/>
  <c r="J21" i="12"/>
  <c r="G21" i="12"/>
  <c r="F21" i="12"/>
  <c r="E21" i="12"/>
  <c r="D21" i="12"/>
  <c r="C23" i="12" s="1"/>
  <c r="D23" i="12" s="1"/>
  <c r="E23" i="12" s="1"/>
  <c r="N20" i="12"/>
  <c r="L20" i="12"/>
  <c r="I20" i="12"/>
  <c r="J20" i="12" s="1"/>
  <c r="G20" i="12"/>
  <c r="F20" i="12"/>
  <c r="Y19" i="12"/>
  <c r="S19" i="12"/>
  <c r="R19" i="12"/>
  <c r="I19" i="12"/>
  <c r="J19" i="12" s="1"/>
  <c r="Y18" i="12"/>
  <c r="R18" i="12"/>
  <c r="S18" i="12" s="1"/>
  <c r="Y17" i="12"/>
  <c r="J17" i="12"/>
  <c r="I17" i="12"/>
  <c r="S16" i="12"/>
  <c r="R16" i="12"/>
  <c r="J16" i="12"/>
  <c r="Y16" i="12" s="1"/>
  <c r="I16" i="12"/>
  <c r="Y15" i="12"/>
  <c r="J15" i="12"/>
  <c r="R15" i="12" s="1"/>
  <c r="S15" i="12" s="1"/>
  <c r="I15" i="12"/>
  <c r="J14" i="12"/>
  <c r="C14" i="12"/>
  <c r="C15" i="12" s="1"/>
  <c r="Z13" i="12"/>
  <c r="Y13" i="12"/>
  <c r="R13" i="12"/>
  <c r="S13" i="12" s="1"/>
  <c r="N13" i="12"/>
  <c r="T13" i="12" s="1"/>
  <c r="U13" i="12" s="1"/>
  <c r="M13" i="12"/>
  <c r="L13" i="12"/>
  <c r="V13" i="12" s="1"/>
  <c r="W13" i="12" s="1"/>
  <c r="K13" i="12"/>
  <c r="G13" i="12"/>
  <c r="F13" i="12"/>
  <c r="E13" i="12"/>
  <c r="D13" i="12"/>
  <c r="S12" i="12"/>
  <c r="R12" i="12"/>
  <c r="K12" i="12"/>
  <c r="I12" i="12"/>
  <c r="J12" i="12" s="1"/>
  <c r="E12" i="12"/>
  <c r="D12" i="12"/>
  <c r="K11" i="12"/>
  <c r="E11" i="12"/>
  <c r="AF10" i="12"/>
  <c r="M10" i="12"/>
  <c r="L10" i="12"/>
  <c r="K10" i="12"/>
  <c r="J10" i="12"/>
  <c r="I10" i="12"/>
  <c r="G10" i="12"/>
  <c r="F10" i="12"/>
  <c r="E10" i="12"/>
  <c r="D10" i="12"/>
  <c r="AF9" i="12"/>
  <c r="K9" i="12"/>
  <c r="I9" i="12"/>
  <c r="E9" i="12"/>
  <c r="G9" i="12" s="1"/>
  <c r="D9" i="12"/>
  <c r="Y8" i="12"/>
  <c r="Z8" i="12" s="1"/>
  <c r="J8" i="12"/>
  <c r="I8" i="12"/>
  <c r="I18" i="12" s="1"/>
  <c r="J18" i="12" s="1"/>
  <c r="G8" i="12"/>
  <c r="F8" i="12"/>
  <c r="E8" i="12"/>
  <c r="C31" i="12" s="1"/>
  <c r="D8" i="12"/>
  <c r="C8" i="12"/>
  <c r="K7" i="12"/>
  <c r="G7" i="12"/>
  <c r="F7" i="12"/>
  <c r="I6" i="12"/>
  <c r="G6" i="12"/>
  <c r="F6" i="12"/>
  <c r="I5" i="12"/>
  <c r="G5" i="12"/>
  <c r="F5" i="12"/>
  <c r="F38" i="11"/>
  <c r="L37" i="11"/>
  <c r="L36" i="11"/>
  <c r="F36" i="11"/>
  <c r="L35" i="11"/>
  <c r="F35" i="11"/>
  <c r="L34" i="11"/>
  <c r="F34" i="11"/>
  <c r="L32" i="11"/>
  <c r="F31" i="11"/>
  <c r="L30" i="11"/>
  <c r="F30" i="11"/>
  <c r="L29" i="11"/>
  <c r="F29" i="11"/>
  <c r="L28" i="11"/>
  <c r="L27" i="11"/>
  <c r="L25" i="11"/>
  <c r="L24" i="11"/>
  <c r="F24" i="11"/>
  <c r="L23" i="11"/>
  <c r="F23" i="11"/>
  <c r="L21" i="11"/>
  <c r="L17" i="11"/>
  <c r="L16" i="11"/>
  <c r="L15" i="11"/>
  <c r="L13" i="11"/>
  <c r="F13" i="11"/>
  <c r="L12" i="11"/>
  <c r="F12" i="11"/>
  <c r="L11" i="11"/>
  <c r="F11" i="11"/>
  <c r="F10" i="11"/>
  <c r="F9" i="11"/>
  <c r="L8" i="11"/>
  <c r="L7" i="11"/>
  <c r="L6" i="11"/>
  <c r="L5" i="11"/>
  <c r="B131" i="10"/>
  <c r="B132" i="10" s="1"/>
  <c r="B133" i="10" s="1"/>
  <c r="B130" i="10"/>
  <c r="B128" i="10"/>
  <c r="B129" i="10" s="1"/>
  <c r="B100" i="10"/>
  <c r="B99" i="10"/>
  <c r="B98" i="10"/>
  <c r="E348" i="8"/>
  <c r="E347" i="8"/>
  <c r="E346" i="8"/>
  <c r="C294" i="8"/>
  <c r="D254" i="8"/>
  <c r="C301" i="8" s="1"/>
  <c r="D253" i="8"/>
  <c r="D252" i="8"/>
  <c r="C287" i="8" s="1"/>
  <c r="D251" i="8"/>
  <c r="C280" i="8" s="1"/>
  <c r="D250" i="8"/>
  <c r="C273" i="8" s="1"/>
  <c r="D249" i="8"/>
  <c r="C266" i="8" s="1"/>
  <c r="D248" i="8"/>
  <c r="C259" i="8" s="1"/>
  <c r="D243" i="8"/>
  <c r="D242" i="8"/>
  <c r="D241" i="8"/>
  <c r="D240" i="8"/>
  <c r="D239" i="8"/>
  <c r="D238" i="8"/>
  <c r="D237" i="8"/>
  <c r="D233" i="8"/>
  <c r="D232" i="8"/>
  <c r="D231" i="8"/>
  <c r="D230" i="8"/>
  <c r="D229" i="8"/>
  <c r="D228" i="8"/>
  <c r="D227" i="8"/>
  <c r="D192" i="8"/>
  <c r="D191" i="8"/>
  <c r="D190" i="8"/>
  <c r="D189" i="8"/>
  <c r="D188" i="8"/>
  <c r="D184" i="8"/>
  <c r="D183" i="8"/>
  <c r="D182" i="8"/>
  <c r="D181" i="8"/>
  <c r="D180" i="8"/>
  <c r="D179" i="8"/>
  <c r="D178" i="8"/>
  <c r="H94" i="8"/>
  <c r="H76" i="8"/>
  <c r="A1" i="8"/>
  <c r="N226" i="7"/>
  <c r="L226" i="7"/>
  <c r="K226" i="7"/>
  <c r="J226" i="7"/>
  <c r="N225" i="7"/>
  <c r="M225" i="7"/>
  <c r="M226" i="7" s="1"/>
  <c r="L225" i="7"/>
  <c r="K225" i="7"/>
  <c r="J225" i="7"/>
  <c r="I225" i="7"/>
  <c r="I226" i="7" s="1"/>
  <c r="H225" i="7"/>
  <c r="H226" i="7" s="1"/>
  <c r="C71" i="7"/>
  <c r="C55" i="7"/>
  <c r="C51" i="7"/>
  <c r="C47" i="7"/>
  <c r="C39" i="7"/>
  <c r="C98" i="7" s="1"/>
  <c r="C38" i="7"/>
  <c r="C97" i="7" s="1"/>
  <c r="C37" i="7"/>
  <c r="C36" i="7"/>
  <c r="C35" i="7"/>
  <c r="C94" i="7" s="1"/>
  <c r="C34" i="7"/>
  <c r="C93" i="7" s="1"/>
  <c r="C33" i="7"/>
  <c r="C32" i="7"/>
  <c r="C48" i="7" s="1"/>
  <c r="C31" i="7"/>
  <c r="C90" i="7" s="1"/>
  <c r="C30" i="7"/>
  <c r="C89" i="7" s="1"/>
  <c r="C29" i="7"/>
  <c r="C28" i="7"/>
  <c r="C17" i="7"/>
  <c r="C16" i="7"/>
  <c r="C15" i="7"/>
  <c r="C14" i="7"/>
  <c r="C13" i="7"/>
  <c r="C12" i="7"/>
  <c r="I4" i="7"/>
  <c r="A1" i="7"/>
  <c r="G7" i="6"/>
  <c r="BM11" i="5"/>
  <c r="BN11" i="5" s="1"/>
  <c r="BO11" i="5" s="1"/>
  <c r="BP11" i="5" s="1"/>
  <c r="BL11" i="5"/>
  <c r="BK11" i="5"/>
  <c r="BM10" i="5"/>
  <c r="BN10" i="5" s="1"/>
  <c r="BO10" i="5" s="1"/>
  <c r="BP10" i="5" s="1"/>
  <c r="BK10" i="5"/>
  <c r="BL10" i="5" s="1"/>
  <c r="BL9" i="5"/>
  <c r="BM9" i="5" s="1"/>
  <c r="BN9" i="5" s="1"/>
  <c r="BO9" i="5" s="1"/>
  <c r="BP9" i="5" s="1"/>
  <c r="BK9" i="5"/>
  <c r="H5" i="5"/>
  <c r="E311" i="4"/>
  <c r="E309" i="4"/>
  <c r="E310" i="4" s="1"/>
  <c r="E306" i="4"/>
  <c r="E304" i="4"/>
  <c r="E296" i="4"/>
  <c r="G293" i="4"/>
  <c r="E293" i="4" s="1" a="1"/>
  <c r="E293" i="4" s="1"/>
  <c r="G292" i="4"/>
  <c r="E292" i="4" a="1"/>
  <c r="E292" i="4"/>
  <c r="E291" i="4" a="1"/>
  <c r="E291" i="4" s="1"/>
  <c r="E290" i="4" a="1"/>
  <c r="E290" i="4" s="1"/>
  <c r="E289" i="4" a="1"/>
  <c r="E289" i="4" s="1"/>
  <c r="E288" i="4" a="1"/>
  <c r="E288" i="4" s="1"/>
  <c r="E287" i="4" a="1"/>
  <c r="E287" i="4"/>
  <c r="E286" i="4" a="1"/>
  <c r="E286" i="4"/>
  <c r="E285" i="4" a="1"/>
  <c r="E285" i="4" s="1"/>
  <c r="E284" i="4" a="1"/>
  <c r="E284" i="4" s="1"/>
  <c r="E283" i="4" a="1"/>
  <c r="E283" i="4" s="1"/>
  <c r="E282" i="4" a="1"/>
  <c r="E282" i="4" s="1"/>
  <c r="E281" i="4" a="1"/>
  <c r="E281" i="4"/>
  <c r="H255" i="4"/>
  <c r="G240" i="4"/>
  <c r="G239" i="4"/>
  <c r="G238" i="4"/>
  <c r="E236" i="4"/>
  <c r="E235" i="4"/>
  <c r="G227" i="4"/>
  <c r="G226" i="4"/>
  <c r="G99" i="4"/>
  <c r="G97" i="4"/>
  <c r="G96" i="4"/>
  <c r="G95" i="4"/>
  <c r="E90" i="4"/>
  <c r="E82" i="4"/>
  <c r="G70" i="4"/>
  <c r="G64" i="4"/>
  <c r="E20" i="4"/>
  <c r="E43" i="2" s="1"/>
  <c r="E16" i="4"/>
  <c r="G13" i="4"/>
  <c r="H6" i="4"/>
  <c r="I6" i="4" s="1"/>
  <c r="J6" i="4" s="1"/>
  <c r="K6" i="4" s="1"/>
  <c r="L6" i="4" s="1"/>
  <c r="M6" i="4" s="1"/>
  <c r="N6" i="4" s="1"/>
  <c r="O6" i="4" s="1"/>
  <c r="P6" i="4" s="1"/>
  <c r="E6" i="4"/>
  <c r="E275" i="4" s="1" a="1"/>
  <c r="E275" i="4" s="1"/>
  <c r="D212" i="2"/>
  <c r="E202" i="2"/>
  <c r="E201" i="2"/>
  <c r="E200" i="2"/>
  <c r="F176" i="2"/>
  <c r="E176" i="2"/>
  <c r="E175" i="2"/>
  <c r="F175" i="2" s="1"/>
  <c r="E174" i="2"/>
  <c r="F174" i="2" s="1"/>
  <c r="I148" i="2"/>
  <c r="H148" i="2"/>
  <c r="G148" i="2"/>
  <c r="F148" i="2"/>
  <c r="E148" i="2"/>
  <c r="K144" i="2"/>
  <c r="J144" i="2"/>
  <c r="I144" i="2"/>
  <c r="H144" i="2"/>
  <c r="G144" i="2"/>
  <c r="F144" i="2"/>
  <c r="E144" i="2"/>
  <c r="H88" i="2"/>
  <c r="G88" i="2"/>
  <c r="F88" i="2"/>
  <c r="E34" i="2"/>
  <c r="F34" i="2" s="1"/>
  <c r="E33" i="2"/>
  <c r="F33" i="2" s="1"/>
  <c r="F32" i="2"/>
  <c r="F31" i="2"/>
  <c r="F30" i="2"/>
  <c r="F29" i="2"/>
  <c r="F28" i="2"/>
  <c r="F27" i="2"/>
  <c r="F23" i="2"/>
  <c r="F22" i="2"/>
  <c r="E21" i="2"/>
  <c r="H13" i="2"/>
  <c r="G171" i="4" s="1"/>
  <c r="F13" i="2"/>
  <c r="E13" i="2"/>
  <c r="G13" i="2" s="1"/>
  <c r="H12" i="2"/>
  <c r="G141" i="4" s="1"/>
  <c r="H11" i="2"/>
  <c r="G203" i="4" s="1"/>
  <c r="H10" i="2"/>
  <c r="G181" i="4" s="1"/>
  <c r="H9" i="2"/>
  <c r="G193" i="4" s="1"/>
  <c r="H8" i="2"/>
  <c r="B2" i="2"/>
  <c r="B2" i="1"/>
  <c r="C136" i="3"/>
  <c r="J119" i="3"/>
  <c r="J117" i="3"/>
  <c r="J116" i="3"/>
  <c r="J115" i="3"/>
  <c r="J112" i="3"/>
  <c r="J111" i="3"/>
  <c r="J110" i="3"/>
  <c r="J109" i="3"/>
  <c r="J107" i="3"/>
  <c r="J106" i="3"/>
  <c r="J105" i="3"/>
  <c r="J104" i="3"/>
  <c r="J98" i="3"/>
  <c r="J94" i="3"/>
  <c r="J93" i="3"/>
  <c r="J92" i="3"/>
  <c r="J91" i="3"/>
  <c r="J90" i="3"/>
  <c r="E41" i="3"/>
  <c r="F26" i="3" a="1"/>
  <c r="F26" i="3" s="1"/>
  <c r="E24" i="3" a="1"/>
  <c r="E24" i="3" s="1"/>
  <c r="F17" i="3"/>
  <c r="F31" i="3" s="1"/>
  <c r="E17" i="3"/>
  <c r="E31" i="3" s="1"/>
  <c r="F16" i="3"/>
  <c r="F30" i="3" s="1"/>
  <c r="E16" i="3"/>
  <c r="E30" i="3" s="1"/>
  <c r="F15" i="3"/>
  <c r="F29" i="3" s="1" a="1"/>
  <c r="F29" i="3" s="1"/>
  <c r="E15" i="3"/>
  <c r="E29" i="3" s="1" a="1"/>
  <c r="E29" i="3" s="1"/>
  <c r="F14" i="3"/>
  <c r="F28" i="3" s="1"/>
  <c r="E14" i="3"/>
  <c r="E28" i="3" s="1"/>
  <c r="F13" i="3"/>
  <c r="F25" i="3" s="1" a="1"/>
  <c r="F25" i="3" s="1"/>
  <c r="E13" i="3"/>
  <c r="E25" i="3" s="1" a="1"/>
  <c r="E25" i="3" s="1"/>
  <c r="F12" i="3"/>
  <c r="F24" i="3" s="1" a="1"/>
  <c r="F24" i="3" s="1"/>
  <c r="E12" i="3"/>
  <c r="F10" i="3"/>
  <c r="F27" i="3" s="1" a="1"/>
  <c r="F27" i="3" s="1"/>
  <c r="E10" i="3"/>
  <c r="E27" i="3" s="1" a="1"/>
  <c r="E27" i="3" s="1"/>
  <c r="F9" i="3"/>
  <c r="E9" i="3"/>
  <c r="E26" i="3" s="1" a="1"/>
  <c r="E26" i="3" s="1"/>
  <c r="F8" i="3"/>
  <c r="E8" i="3"/>
  <c r="E20" i="3" s="1"/>
  <c r="C4" i="3"/>
  <c r="B2" i="3"/>
  <c r="F21" i="3" l="1"/>
  <c r="E21" i="3"/>
  <c r="F18" i="3"/>
  <c r="F32" i="3" s="1"/>
  <c r="E19" i="3"/>
  <c r="E33" i="3" s="1"/>
  <c r="F19" i="3"/>
  <c r="F33" i="3" s="1"/>
  <c r="E129" i="4" a="1"/>
  <c r="E129" i="4" s="1"/>
  <c r="Q7" i="6" s="1"/>
  <c r="E231" i="4" a="1"/>
  <c r="E231" i="4" s="1"/>
  <c r="E71" i="4" a="1"/>
  <c r="E71" i="4" s="1"/>
  <c r="E18" i="3"/>
  <c r="E32" i="3" s="1"/>
  <c r="E34" i="3" s="1"/>
  <c r="E113" i="4" a="1"/>
  <c r="E113" i="4" s="1"/>
  <c r="F57" i="3" s="1"/>
  <c r="E121" i="4" a="1"/>
  <c r="E121" i="4" s="1"/>
  <c r="P12" i="6" s="1"/>
  <c r="E99" i="4" a="1"/>
  <c r="E99" i="4" s="1"/>
  <c r="J70" i="3" s="1"/>
  <c r="E50" i="4" a="1"/>
  <c r="E50" i="4" s="1"/>
  <c r="E107" i="4" a="1"/>
  <c r="E107" i="4" s="1"/>
  <c r="E135" i="4" a="1"/>
  <c r="E135" i="4" s="1"/>
  <c r="Q14" i="6" s="1"/>
  <c r="E240" i="4" a="1"/>
  <c r="E240" i="4" s="1"/>
  <c r="E85" i="4" a="1"/>
  <c r="E85" i="4" s="1"/>
  <c r="E177" i="4" a="1"/>
  <c r="E177" i="4" s="1"/>
  <c r="E107" i="8" s="1"/>
  <c r="E197" i="4" a="1"/>
  <c r="E197" i="4" s="1"/>
  <c r="E263" i="4" a="1"/>
  <c r="E263" i="4" s="1"/>
  <c r="U13" i="6" s="1"/>
  <c r="U15" i="6" s="1"/>
  <c r="E210" i="4" a="1"/>
  <c r="E210" i="4" s="1"/>
  <c r="E67" i="8" s="1"/>
  <c r="E12" i="4" a="1"/>
  <c r="E12" i="4" s="1"/>
  <c r="E91" i="8" s="1"/>
  <c r="E220" i="4" a="1"/>
  <c r="E220" i="4" s="1"/>
  <c r="E74" i="8" s="1"/>
  <c r="E271" i="4" a="1"/>
  <c r="E271" i="4" s="1"/>
  <c r="J4" i="7"/>
  <c r="I5" i="5"/>
  <c r="C137" i="3"/>
  <c r="H227" i="4"/>
  <c r="H13" i="4"/>
  <c r="H226" i="4"/>
  <c r="F20" i="3"/>
  <c r="F37" i="2"/>
  <c r="C87" i="7"/>
  <c r="C60" i="7"/>
  <c r="C44" i="7"/>
  <c r="E24" i="4"/>
  <c r="I158" i="7" s="1"/>
  <c r="E45" i="4"/>
  <c r="F16" i="7" s="1"/>
  <c r="E68" i="4" a="1"/>
  <c r="E68" i="4" s="1"/>
  <c r="E75" i="4" a="1"/>
  <c r="E75" i="4" s="1"/>
  <c r="E81" i="4" a="1"/>
  <c r="E81" i="4" s="1"/>
  <c r="E101" i="4" a="1"/>
  <c r="E101" i="4" s="1"/>
  <c r="E69" i="5" s="1"/>
  <c r="E188" i="4" a="1"/>
  <c r="E188" i="4" s="1"/>
  <c r="E41" i="8" s="1"/>
  <c r="E206" i="4" a="1"/>
  <c r="E206" i="4" s="1"/>
  <c r="E7" i="4" a="1"/>
  <c r="E7" i="4" s="1"/>
  <c r="E14" i="4" a="1"/>
  <c r="E14" i="4" s="1"/>
  <c r="E25" i="4"/>
  <c r="H159" i="7" s="1"/>
  <c r="E46" i="4"/>
  <c r="F17" i="7" s="1"/>
  <c r="E53" i="4" a="1"/>
  <c r="E53" i="4" s="1"/>
  <c r="E63" i="4" a="1"/>
  <c r="E63" i="4" s="1"/>
  <c r="E88" i="4" a="1"/>
  <c r="E88" i="4" s="1"/>
  <c r="E110" i="4" a="1"/>
  <c r="E110" i="4" s="1"/>
  <c r="E118" i="4" a="1"/>
  <c r="E118" i="4" s="1"/>
  <c r="P8" i="6" s="1"/>
  <c r="E124" i="4" a="1"/>
  <c r="E124" i="4" s="1"/>
  <c r="P16" i="6" s="1"/>
  <c r="E132" i="4" a="1"/>
  <c r="E132" i="4" s="1"/>
  <c r="Q11" i="6" s="1"/>
  <c r="E138" i="4" a="1"/>
  <c r="E138" i="4" s="1"/>
  <c r="Q18" i="6" s="1"/>
  <c r="E157" i="4" a="1"/>
  <c r="E157" i="4" s="1"/>
  <c r="E195" i="2" s="1"/>
  <c r="E194" i="4" a="1"/>
  <c r="E194" i="4" s="1"/>
  <c r="E184" i="2" s="1"/>
  <c r="E200" i="4" a="1"/>
  <c r="E200" i="4" s="1"/>
  <c r="E215" i="4" a="1"/>
  <c r="E215" i="4" s="1"/>
  <c r="E223" i="4" a="1"/>
  <c r="E223" i="4" s="1"/>
  <c r="E79" i="8" s="1"/>
  <c r="E228" i="4" a="1"/>
  <c r="E228" i="4" s="1"/>
  <c r="E15" i="8" s="1"/>
  <c r="E238" i="4" a="1"/>
  <c r="E238" i="4" s="1"/>
  <c r="E260" i="4" a="1"/>
  <c r="E260" i="4" s="1"/>
  <c r="U10" i="6" s="1"/>
  <c r="E266" i="4" a="1"/>
  <c r="E266" i="4" s="1"/>
  <c r="U17" i="6" s="1"/>
  <c r="G267" i="7"/>
  <c r="E363" i="4"/>
  <c r="E26" i="4"/>
  <c r="E35" i="4" a="1"/>
  <c r="E35" i="4" s="1"/>
  <c r="E106" i="7" s="1"/>
  <c r="E69" i="4" a="1"/>
  <c r="E69" i="4" s="1"/>
  <c r="E76" i="4" a="1"/>
  <c r="E76" i="4" s="1"/>
  <c r="E97" i="4" a="1"/>
  <c r="E97" i="4" s="1"/>
  <c r="E102" i="4" a="1"/>
  <c r="E102" i="4" s="1"/>
  <c r="E173" i="4" a="1"/>
  <c r="E173" i="4" s="1"/>
  <c r="E182" i="4" a="1"/>
  <c r="E182" i="4" s="1"/>
  <c r="E189" i="4" a="1"/>
  <c r="E189" i="4" s="1"/>
  <c r="E43" i="8" s="1"/>
  <c r="E207" i="4" a="1"/>
  <c r="E207" i="4" s="1"/>
  <c r="E253" i="4" a="1"/>
  <c r="E253" i="4" s="1"/>
  <c r="E188" i="2" s="1"/>
  <c r="E23" i="11"/>
  <c r="E36" i="11"/>
  <c r="E24" i="11"/>
  <c r="E28" i="11"/>
  <c r="E17" i="11"/>
  <c r="E12" i="11"/>
  <c r="E7" i="11"/>
  <c r="E30" i="11"/>
  <c r="E37" i="11"/>
  <c r="E6" i="11"/>
  <c r="E16" i="11"/>
  <c r="E8" i="4" a="1"/>
  <c r="E8" i="4" s="1"/>
  <c r="E54" i="4" a="1"/>
  <c r="E54" i="4" s="1"/>
  <c r="E64" i="4" a="1"/>
  <c r="E64" i="4" s="1"/>
  <c r="E83" i="4" a="1"/>
  <c r="E83" i="4" s="1"/>
  <c r="E89" i="4" a="1"/>
  <c r="E89" i="4" s="1"/>
  <c r="E111" i="4" a="1"/>
  <c r="E111" i="4" s="1"/>
  <c r="E119" i="4" a="1"/>
  <c r="E119" i="4" s="1"/>
  <c r="P10" i="6" s="1"/>
  <c r="E125" i="4" a="1"/>
  <c r="E125" i="4" s="1"/>
  <c r="P17" i="6" s="1"/>
  <c r="E133" i="4" a="1"/>
  <c r="E133" i="4" s="1"/>
  <c r="Q12" i="6" s="1"/>
  <c r="E141" i="4" a="1"/>
  <c r="E141" i="4" s="1"/>
  <c r="E167" i="4"/>
  <c r="E56" i="2" s="1"/>
  <c r="E195" i="4" a="1"/>
  <c r="E195" i="4" s="1"/>
  <c r="E185" i="2" s="1"/>
  <c r="E201" i="4" a="1"/>
  <c r="E201" i="4" s="1"/>
  <c r="E16" i="5" s="1"/>
  <c r="E216" i="4" a="1"/>
  <c r="E216" i="4" s="1"/>
  <c r="E95" i="8" s="1"/>
  <c r="E224" i="4" a="1"/>
  <c r="E224" i="4" s="1"/>
  <c r="E229" i="4" a="1"/>
  <c r="E229" i="4" s="1"/>
  <c r="E20" i="8" s="1"/>
  <c r="E261" i="4" a="1"/>
  <c r="E261" i="4" s="1"/>
  <c r="U11" i="6" s="1"/>
  <c r="E267" i="4" a="1"/>
  <c r="E267" i="4" s="1"/>
  <c r="U18" i="6" s="1"/>
  <c r="E276" i="4" a="1"/>
  <c r="E276" i="4" s="1"/>
  <c r="E17" i="4" a="1"/>
  <c r="E17" i="4" s="1"/>
  <c r="E27" i="4" a="1"/>
  <c r="E27" i="4" s="1"/>
  <c r="I9" i="11" s="1"/>
  <c r="E36" i="4" a="1"/>
  <c r="E36" i="4" s="1"/>
  <c r="E70" i="4" a="1"/>
  <c r="E70" i="4" s="1"/>
  <c r="E77" i="4" a="1"/>
  <c r="E77" i="4" s="1"/>
  <c r="E103" i="4" a="1"/>
  <c r="E103" i="4" s="1"/>
  <c r="E183" i="4" a="1"/>
  <c r="E183" i="4" s="1"/>
  <c r="E197" i="2" s="1"/>
  <c r="E190" i="4" a="1"/>
  <c r="E190" i="4" s="1"/>
  <c r="E208" i="4" a="1"/>
  <c r="E208" i="4" s="1"/>
  <c r="E239" i="4" a="1"/>
  <c r="E239" i="4" s="1"/>
  <c r="E254" i="4" a="1"/>
  <c r="E254" i="4" s="1"/>
  <c r="E11" i="4" a="1"/>
  <c r="E11" i="4" s="1"/>
  <c r="E49" i="4" a="1"/>
  <c r="E49" i="4" s="1"/>
  <c r="E84" i="4" a="1"/>
  <c r="E84" i="4" s="1"/>
  <c r="E98" i="4" a="1"/>
  <c r="E98" i="4" s="1"/>
  <c r="E112" i="4" a="1"/>
  <c r="E112" i="4" s="1"/>
  <c r="E7" i="5" s="1"/>
  <c r="E120" i="4" a="1"/>
  <c r="E120" i="4" s="1"/>
  <c r="P11" i="6" s="1"/>
  <c r="E126" i="4" a="1"/>
  <c r="E126" i="4" s="1"/>
  <c r="P18" i="6" s="1"/>
  <c r="E134" i="4" a="1"/>
  <c r="E134" i="4" s="1"/>
  <c r="Q13" i="6" s="1"/>
  <c r="Q15" i="6" s="1"/>
  <c r="E162" i="4" a="1"/>
  <c r="E162" i="4" s="1"/>
  <c r="E196" i="4" a="1"/>
  <c r="E196" i="4" s="1"/>
  <c r="E203" i="4" a="1"/>
  <c r="E203" i="4" s="1"/>
  <c r="E209" i="4"/>
  <c r="E219" i="4" a="1"/>
  <c r="E219" i="4" s="1"/>
  <c r="E226" i="4" a="1"/>
  <c r="E226" i="4" s="1"/>
  <c r="E230" i="4" a="1"/>
  <c r="E230" i="4" s="1"/>
  <c r="E262" i="4" a="1"/>
  <c r="E262" i="4" s="1"/>
  <c r="U12" i="6" s="1"/>
  <c r="E270" i="4" a="1"/>
  <c r="E270" i="4" s="1"/>
  <c r="E28" i="4" a="1"/>
  <c r="E28" i="4" s="1"/>
  <c r="E37" i="4" a="1"/>
  <c r="E37" i="4" s="1"/>
  <c r="E65" i="4" a="1"/>
  <c r="E65" i="4" s="1"/>
  <c r="E80" i="7" s="1"/>
  <c r="E78" i="4" a="1"/>
  <c r="E78" i="4" s="1"/>
  <c r="E152" i="4" a="1"/>
  <c r="E152" i="4" s="1"/>
  <c r="E184" i="4" a="1"/>
  <c r="E184" i="4" s="1"/>
  <c r="E191" i="4" a="1"/>
  <c r="E191" i="4" s="1"/>
  <c r="E44" i="8" s="1"/>
  <c r="E255" i="4" a="1"/>
  <c r="E255" i="4" s="1"/>
  <c r="E189" i="2" s="1"/>
  <c r="E31" i="4" a="1"/>
  <c r="E31" i="4" s="1"/>
  <c r="E41" i="4"/>
  <c r="E66" i="4" a="1"/>
  <c r="E66" i="4" s="1"/>
  <c r="E79" i="4" a="1"/>
  <c r="E79" i="4" s="1"/>
  <c r="E95" i="4" a="1"/>
  <c r="E95" i="4" s="1"/>
  <c r="E153" i="4" a="1"/>
  <c r="E153" i="4" s="1"/>
  <c r="E185" i="4" a="1"/>
  <c r="E185" i="4" s="1"/>
  <c r="E192" i="4" a="1"/>
  <c r="E192" i="4" s="1"/>
  <c r="E48" i="8" s="1"/>
  <c r="E204" i="4" a="1"/>
  <c r="E204" i="4" s="1"/>
  <c r="E13" i="4" a="1"/>
  <c r="E13" i="4" s="1"/>
  <c r="E21" i="4" a="1"/>
  <c r="E21" i="4" s="1"/>
  <c r="E42" i="4"/>
  <c r="F13" i="7" s="1"/>
  <c r="E51" i="4" a="1"/>
  <c r="E51" i="4" s="1"/>
  <c r="E61" i="4" a="1"/>
  <c r="E61" i="4" s="1"/>
  <c r="E86" i="4" a="1"/>
  <c r="E86" i="4" s="1"/>
  <c r="E108" i="4" a="1"/>
  <c r="E108" i="4" s="1"/>
  <c r="E114" i="4" a="1"/>
  <c r="E114" i="4" s="1"/>
  <c r="E122" i="4" a="1"/>
  <c r="E122" i="4" s="1"/>
  <c r="P13" i="6" s="1"/>
  <c r="E130" i="4" a="1"/>
  <c r="E130" i="4" s="1"/>
  <c r="Q8" i="6" s="1"/>
  <c r="Q9" i="6" s="1"/>
  <c r="E136" i="4" a="1"/>
  <c r="E136" i="4" s="1"/>
  <c r="Q16" i="6" s="1"/>
  <c r="E178" i="4" a="1"/>
  <c r="E178" i="4" s="1"/>
  <c r="E108" i="8" s="1"/>
  <c r="E198" i="4" a="1"/>
  <c r="E198" i="4" s="1"/>
  <c r="E211" i="4" a="1"/>
  <c r="E211" i="4" s="1"/>
  <c r="E51" i="8" s="1"/>
  <c r="E221" i="4" a="1"/>
  <c r="E221" i="4" s="1"/>
  <c r="E227" i="4" a="1"/>
  <c r="E227" i="4" s="1"/>
  <c r="E13" i="8" s="1"/>
  <c r="E258" i="4" a="1"/>
  <c r="E258" i="4" s="1"/>
  <c r="U7" i="6" s="1"/>
  <c r="E264" i="4" a="1"/>
  <c r="E264" i="4" s="1"/>
  <c r="U14" i="6" s="1"/>
  <c r="E272" i="4" a="1"/>
  <c r="E272" i="4" s="1"/>
  <c r="E32" i="4" a="1"/>
  <c r="E32" i="4" s="1"/>
  <c r="E43" i="4"/>
  <c r="F14" i="7" s="1"/>
  <c r="E67" i="4" a="1"/>
  <c r="E67" i="4" s="1"/>
  <c r="E80" i="4" a="1"/>
  <c r="E80" i="4" s="1"/>
  <c r="E100" i="4" a="1"/>
  <c r="E100" i="4" s="1"/>
  <c r="K15" i="6" s="1"/>
  <c r="E171" i="4" a="1"/>
  <c r="E171" i="4" s="1"/>
  <c r="E172" i="4" s="1"/>
  <c r="E163" i="4" s="1" a="1"/>
  <c r="E163" i="4" s="1"/>
  <c r="E186" i="4" a="1"/>
  <c r="E186" i="4" s="1"/>
  <c r="E193" i="4" a="1"/>
  <c r="E193" i="4" s="1"/>
  <c r="E47" i="8" s="1"/>
  <c r="E205" i="4" a="1"/>
  <c r="E205" i="4" s="1"/>
  <c r="E241" i="4" a="1"/>
  <c r="E241" i="4" s="1"/>
  <c r="E44" i="4"/>
  <c r="F15" i="7" s="1"/>
  <c r="E52" i="4" a="1"/>
  <c r="E52" i="4" s="1"/>
  <c r="E62" i="4" a="1"/>
  <c r="E62" i="4" s="1"/>
  <c r="E87" i="4" a="1"/>
  <c r="E87" i="4" s="1"/>
  <c r="E96" i="4" a="1"/>
  <c r="E96" i="4" s="1"/>
  <c r="E109" i="4" a="1"/>
  <c r="E109" i="4" s="1"/>
  <c r="E117" i="4" a="1"/>
  <c r="E117" i="4" s="1"/>
  <c r="P7" i="6" s="1"/>
  <c r="E123" i="4" a="1"/>
  <c r="E123" i="4" s="1"/>
  <c r="P14" i="6" s="1"/>
  <c r="E131" i="4" a="1"/>
  <c r="E131" i="4" s="1"/>
  <c r="Q10" i="6" s="1"/>
  <c r="E137" i="4" a="1"/>
  <c r="E137" i="4" s="1"/>
  <c r="Q17" i="6" s="1"/>
  <c r="E181" i="4" a="1"/>
  <c r="E181" i="4" s="1"/>
  <c r="E199" i="4" a="1"/>
  <c r="E199" i="4" s="1"/>
  <c r="E212" i="4" a="1"/>
  <c r="E212" i="4" s="1"/>
  <c r="E68" i="8" s="1"/>
  <c r="E222" i="4" a="1"/>
  <c r="E222" i="4" s="1"/>
  <c r="E187" i="2" s="1"/>
  <c r="E237" i="4" a="1"/>
  <c r="E237" i="4" s="1"/>
  <c r="E259" i="4" a="1"/>
  <c r="E259" i="4" s="1"/>
  <c r="U8" i="6" s="1"/>
  <c r="U9" i="6" s="1"/>
  <c r="E265" i="4" a="1"/>
  <c r="E265" i="4" s="1"/>
  <c r="U16" i="6" s="1"/>
  <c r="E274" i="4" a="1"/>
  <c r="E274" i="4" s="1"/>
  <c r="C88" i="7"/>
  <c r="C45" i="7"/>
  <c r="C61" i="7"/>
  <c r="C95" i="7"/>
  <c r="C68" i="7"/>
  <c r="C96" i="7"/>
  <c r="C69" i="7"/>
  <c r="C53" i="7"/>
  <c r="C91" i="7"/>
  <c r="C64" i="7"/>
  <c r="C92" i="7"/>
  <c r="C49" i="7"/>
  <c r="C65" i="7"/>
  <c r="C52" i="7"/>
  <c r="C70" i="7"/>
  <c r="C62" i="7"/>
  <c r="C66" i="7"/>
  <c r="C63" i="7"/>
  <c r="C67" i="7"/>
  <c r="C46" i="7"/>
  <c r="C50" i="7"/>
  <c r="C54" i="7"/>
  <c r="E8" i="11"/>
  <c r="E11" i="11"/>
  <c r="J9" i="12"/>
  <c r="I11" i="12"/>
  <c r="J11" i="12" s="1"/>
  <c r="E13" i="11"/>
  <c r="E32" i="11"/>
  <c r="E27" i="11"/>
  <c r="E25" i="11"/>
  <c r="V20" i="12"/>
  <c r="W20" i="12" s="1"/>
  <c r="E35" i="11"/>
  <c r="J5" i="12"/>
  <c r="E21" i="11"/>
  <c r="Y30" i="12"/>
  <c r="R30" i="12"/>
  <c r="S30" i="12" s="1"/>
  <c r="L19" i="11"/>
  <c r="E19" i="11" s="1"/>
  <c r="E5" i="11"/>
  <c r="R44" i="12"/>
  <c r="S44" i="12" s="1"/>
  <c r="L33" i="11"/>
  <c r="E33" i="11" s="1"/>
  <c r="Y44" i="12"/>
  <c r="I23" i="11"/>
  <c r="G12" i="12"/>
  <c r="N12" i="12" s="1"/>
  <c r="F12" i="12"/>
  <c r="D31" i="12"/>
  <c r="C32" i="12"/>
  <c r="E29" i="11"/>
  <c r="C30" i="12"/>
  <c r="D30" i="12" s="1"/>
  <c r="C29" i="12"/>
  <c r="D29" i="12" s="1"/>
  <c r="G28" i="12"/>
  <c r="L28" i="12" s="1"/>
  <c r="F28" i="12"/>
  <c r="F17" i="11"/>
  <c r="R8" i="12"/>
  <c r="S8" i="12" s="1"/>
  <c r="N8" i="12"/>
  <c r="L8" i="12"/>
  <c r="E15" i="11"/>
  <c r="F11" i="12"/>
  <c r="G11" i="12"/>
  <c r="Y14" i="12"/>
  <c r="I14" i="12"/>
  <c r="R14" i="12"/>
  <c r="S14" i="12" s="1"/>
  <c r="Y20" i="12"/>
  <c r="Z20" i="12" s="1"/>
  <c r="R20" i="12"/>
  <c r="S20" i="12" s="1"/>
  <c r="Z22" i="12"/>
  <c r="G37" i="12"/>
  <c r="F37" i="12"/>
  <c r="C36" i="12"/>
  <c r="M20" i="12"/>
  <c r="Z40" i="12"/>
  <c r="O13" i="12"/>
  <c r="T20" i="12"/>
  <c r="U20" i="12" s="1"/>
  <c r="V22" i="12"/>
  <c r="W22" i="12" s="1"/>
  <c r="M22" i="12"/>
  <c r="G35" i="12"/>
  <c r="F35" i="12"/>
  <c r="L35" i="12" s="1"/>
  <c r="O20" i="12"/>
  <c r="L14" i="11"/>
  <c r="E14" i="11" s="1"/>
  <c r="R25" i="12"/>
  <c r="S25" i="12" s="1"/>
  <c r="R38" i="12"/>
  <c r="S38" i="12" s="1"/>
  <c r="G41" i="12"/>
  <c r="L41" i="12" s="1"/>
  <c r="F41" i="12"/>
  <c r="F9" i="12"/>
  <c r="L9" i="11"/>
  <c r="J6" i="12"/>
  <c r="I7" i="12"/>
  <c r="J7" i="12" s="1"/>
  <c r="I42" i="12"/>
  <c r="J42" i="12" s="1"/>
  <c r="G23" i="12"/>
  <c r="F23" i="12"/>
  <c r="N22" i="12"/>
  <c r="Y25" i="12"/>
  <c r="Y48" i="12"/>
  <c r="R48" i="12"/>
  <c r="S48" i="12" s="1"/>
  <c r="F26" i="11"/>
  <c r="E34" i="11"/>
  <c r="R28" i="12"/>
  <c r="S28" i="12" s="1"/>
  <c r="Y28" i="12"/>
  <c r="I37" i="12"/>
  <c r="J37" i="12" s="1"/>
  <c r="J33" i="12"/>
  <c r="R10" i="12"/>
  <c r="S10" i="12" s="1"/>
  <c r="N10" i="12"/>
  <c r="Y10" i="12"/>
  <c r="Z10" i="12" s="1"/>
  <c r="R17" i="12"/>
  <c r="S17" i="12" s="1"/>
  <c r="R21" i="12"/>
  <c r="S21" i="12" s="1"/>
  <c r="N21" i="12"/>
  <c r="L10" i="11"/>
  <c r="E10" i="11" s="1"/>
  <c r="L21" i="12"/>
  <c r="I21" i="12"/>
  <c r="Y24" i="12"/>
  <c r="L24" i="12"/>
  <c r="R26" i="12"/>
  <c r="S26" i="12" s="1"/>
  <c r="Y26" i="12"/>
  <c r="Y31" i="12"/>
  <c r="R31" i="12"/>
  <c r="S31" i="12" s="1"/>
  <c r="L20" i="11"/>
  <c r="E20" i="11" s="1"/>
  <c r="G34" i="12"/>
  <c r="F34" i="12"/>
  <c r="V10" i="12"/>
  <c r="W10" i="12" s="1"/>
  <c r="N39" i="12"/>
  <c r="L39" i="12"/>
  <c r="AX47" i="12"/>
  <c r="Y43" i="12"/>
  <c r="L18" i="11"/>
  <c r="E18" i="11" s="1"/>
  <c r="Y12" i="12"/>
  <c r="Z12" i="12" s="1"/>
  <c r="Z34" i="12"/>
  <c r="E38" i="12"/>
  <c r="D38" i="12"/>
  <c r="Y39" i="12"/>
  <c r="F24" i="12"/>
  <c r="C26" i="12"/>
  <c r="R35" i="12"/>
  <c r="S35" i="12" s="1"/>
  <c r="N35" i="12"/>
  <c r="G24" i="12"/>
  <c r="C25" i="12"/>
  <c r="E25" i="12" s="1"/>
  <c r="F39" i="12"/>
  <c r="G40" i="12"/>
  <c r="N40" i="12" s="1"/>
  <c r="D41" i="12"/>
  <c r="AW50" i="12"/>
  <c r="AX50" i="12" s="1"/>
  <c r="F28" i="11"/>
  <c r="D14" i="12"/>
  <c r="D25" i="12"/>
  <c r="AN47" i="12"/>
  <c r="Y32" i="12"/>
  <c r="Y41" i="12"/>
  <c r="F34" i="3" l="1"/>
  <c r="F123" i="3" s="1"/>
  <c r="I31" i="11"/>
  <c r="I26" i="11"/>
  <c r="E186" i="2"/>
  <c r="W12" i="6"/>
  <c r="J68" i="3"/>
  <c r="K12" i="6"/>
  <c r="J81" i="3"/>
  <c r="E57" i="3"/>
  <c r="E99" i="8"/>
  <c r="I30" i="11"/>
  <c r="E42" i="3"/>
  <c r="I28" i="11"/>
  <c r="I29" i="11"/>
  <c r="I24" i="11"/>
  <c r="K18" i="6"/>
  <c r="J80" i="3"/>
  <c r="I13" i="11"/>
  <c r="J67" i="3"/>
  <c r="I38" i="11"/>
  <c r="W18" i="6"/>
  <c r="I11" i="11"/>
  <c r="I159" i="7"/>
  <c r="I17" i="11"/>
  <c r="E104" i="4"/>
  <c r="K17" i="6" s="1"/>
  <c r="F18" i="6"/>
  <c r="E55" i="3"/>
  <c r="E68" i="3" s="1"/>
  <c r="F55" i="3"/>
  <c r="F68" i="3" s="1"/>
  <c r="E217" i="7"/>
  <c r="E174" i="7"/>
  <c r="M35" i="12"/>
  <c r="V35" i="12"/>
  <c r="W35" i="12" s="1"/>
  <c r="M41" i="12"/>
  <c r="V41" i="12"/>
  <c r="W41" i="12" s="1"/>
  <c r="T39" i="12"/>
  <c r="U39" i="12" s="1"/>
  <c r="O39" i="12"/>
  <c r="E126" i="7"/>
  <c r="E136" i="7"/>
  <c r="G11" i="6"/>
  <c r="G18" i="6"/>
  <c r="G12" i="6"/>
  <c r="W17" i="6"/>
  <c r="K16" i="11"/>
  <c r="H16" i="11"/>
  <c r="E97" i="3"/>
  <c r="F97" i="3"/>
  <c r="W16" i="6"/>
  <c r="E165" i="4" a="1"/>
  <c r="E165" i="4" s="1"/>
  <c r="F25" i="12"/>
  <c r="G25" i="12"/>
  <c r="F14" i="11"/>
  <c r="I14" i="11" s="1"/>
  <c r="J95" i="3"/>
  <c r="V24" i="12"/>
  <c r="W24" i="12" s="1"/>
  <c r="M24" i="12"/>
  <c r="N24" i="12"/>
  <c r="L12" i="12"/>
  <c r="Z24" i="12"/>
  <c r="K34" i="11"/>
  <c r="H34" i="11"/>
  <c r="F115" i="3"/>
  <c r="E115" i="3"/>
  <c r="K33" i="11"/>
  <c r="H33" i="11"/>
  <c r="F114" i="3"/>
  <c r="E114" i="3"/>
  <c r="K21" i="11"/>
  <c r="H21" i="11"/>
  <c r="F102" i="3"/>
  <c r="E102" i="3"/>
  <c r="E164" i="4" a="1"/>
  <c r="E164" i="4" s="1"/>
  <c r="E168" i="4"/>
  <c r="E60" i="2" s="1"/>
  <c r="E25" i="2"/>
  <c r="F11" i="3"/>
  <c r="F22" i="3" s="1"/>
  <c r="E11" i="3"/>
  <c r="E22" i="3" s="1"/>
  <c r="K8" i="6"/>
  <c r="K7" i="6"/>
  <c r="E38" i="3"/>
  <c r="J64" i="3"/>
  <c r="J77" i="3"/>
  <c r="J76" i="3"/>
  <c r="J63" i="3"/>
  <c r="W10" i="6"/>
  <c r="K6" i="11"/>
  <c r="H6" i="11"/>
  <c r="F87" i="3"/>
  <c r="E87" i="3"/>
  <c r="P9" i="6"/>
  <c r="W9" i="6" s="1"/>
  <c r="W8" i="6"/>
  <c r="J49" i="12"/>
  <c r="L6" i="12"/>
  <c r="J54" i="12"/>
  <c r="R6" i="12"/>
  <c r="Y6" i="12"/>
  <c r="N6" i="12"/>
  <c r="N11" i="12"/>
  <c r="Y11" i="12"/>
  <c r="Z11" i="12" s="1"/>
  <c r="L11" i="12"/>
  <c r="R11" i="12"/>
  <c r="S11" i="12" s="1"/>
  <c r="L15" i="6"/>
  <c r="J36" i="7" s="1"/>
  <c r="E178" i="7"/>
  <c r="G72" i="4"/>
  <c r="E72" i="4" s="1" a="1"/>
  <c r="E72" i="4" s="1"/>
  <c r="W11" i="6"/>
  <c r="K37" i="11"/>
  <c r="H37" i="11"/>
  <c r="F118" i="3"/>
  <c r="E118" i="3"/>
  <c r="F7" i="6"/>
  <c r="H7" i="6" s="1"/>
  <c r="F51" i="3"/>
  <c r="F63" i="3" s="1"/>
  <c r="E51" i="3"/>
  <c r="E63" i="3" s="1"/>
  <c r="C16" i="12"/>
  <c r="D16" i="12" s="1"/>
  <c r="E14" i="12"/>
  <c r="D15" i="12"/>
  <c r="J87" i="3"/>
  <c r="J86" i="3"/>
  <c r="M28" i="12"/>
  <c r="V28" i="12"/>
  <c r="W28" i="12" s="1"/>
  <c r="N5" i="12"/>
  <c r="R5" i="12"/>
  <c r="L5" i="12"/>
  <c r="Y5" i="12"/>
  <c r="L9" i="12"/>
  <c r="Y9" i="12"/>
  <c r="Z9" i="12" s="1"/>
  <c r="N9" i="12"/>
  <c r="R9" i="12"/>
  <c r="S9" i="12" s="1"/>
  <c r="BL7" i="5"/>
  <c r="BL77" i="7" s="1"/>
  <c r="AZ7" i="5"/>
  <c r="AZ77" i="7" s="1"/>
  <c r="AN7" i="5"/>
  <c r="AN77" i="7" s="1"/>
  <c r="AB7" i="5"/>
  <c r="AB77" i="7" s="1"/>
  <c r="P7" i="5"/>
  <c r="P77" i="7" s="1"/>
  <c r="BK7" i="5"/>
  <c r="BK77" i="7" s="1"/>
  <c r="AY7" i="5"/>
  <c r="AY77" i="7" s="1"/>
  <c r="AM7" i="5"/>
  <c r="AM77" i="7" s="1"/>
  <c r="AA7" i="5"/>
  <c r="AA77" i="7" s="1"/>
  <c r="O7" i="5"/>
  <c r="O77" i="7" s="1"/>
  <c r="BE7" i="5"/>
  <c r="BE77" i="7" s="1"/>
  <c r="AQ7" i="5"/>
  <c r="AQ77" i="7" s="1"/>
  <c r="AC7" i="5"/>
  <c r="AC77" i="7" s="1"/>
  <c r="M7" i="5"/>
  <c r="M77" i="7" s="1"/>
  <c r="BD7" i="5"/>
  <c r="BD77" i="7" s="1"/>
  <c r="AP7" i="5"/>
  <c r="AP77" i="7" s="1"/>
  <c r="Z7" i="5"/>
  <c r="Z77" i="7" s="1"/>
  <c r="L7" i="5"/>
  <c r="L77" i="7" s="1"/>
  <c r="BC7" i="5"/>
  <c r="BC77" i="7" s="1"/>
  <c r="AO7" i="5"/>
  <c r="AO77" i="7" s="1"/>
  <c r="Y7" i="5"/>
  <c r="Y77" i="7" s="1"/>
  <c r="K7" i="5"/>
  <c r="K77" i="7" s="1"/>
  <c r="BP7" i="5"/>
  <c r="BP77" i="7" s="1"/>
  <c r="BB7" i="5"/>
  <c r="BB77" i="7" s="1"/>
  <c r="AL7" i="5"/>
  <c r="AL77" i="7" s="1"/>
  <c r="X7" i="5"/>
  <c r="X77" i="7" s="1"/>
  <c r="J7" i="5"/>
  <c r="J77" i="7" s="1"/>
  <c r="BN7" i="5"/>
  <c r="BN77" i="7" s="1"/>
  <c r="AX7" i="5"/>
  <c r="AX77" i="7" s="1"/>
  <c r="AJ7" i="5"/>
  <c r="AJ77" i="7" s="1"/>
  <c r="V7" i="5"/>
  <c r="V77" i="7" s="1"/>
  <c r="H7" i="5"/>
  <c r="H77" i="7" s="1"/>
  <c r="BM7" i="5"/>
  <c r="BM77" i="7" s="1"/>
  <c r="AW7" i="5"/>
  <c r="AW77" i="7" s="1"/>
  <c r="AI7" i="5"/>
  <c r="AI77" i="7" s="1"/>
  <c r="U7" i="5"/>
  <c r="U77" i="7" s="1"/>
  <c r="BJ7" i="5"/>
  <c r="BJ77" i="7" s="1"/>
  <c r="AV7" i="5"/>
  <c r="AV77" i="7" s="1"/>
  <c r="AH7" i="5"/>
  <c r="AH77" i="7" s="1"/>
  <c r="T7" i="5"/>
  <c r="T77" i="7" s="1"/>
  <c r="BI7" i="5"/>
  <c r="BI77" i="7" s="1"/>
  <c r="AU7" i="5"/>
  <c r="AU77" i="7" s="1"/>
  <c r="AG7" i="5"/>
  <c r="AG77" i="7" s="1"/>
  <c r="S7" i="5"/>
  <c r="S77" i="7" s="1"/>
  <c r="BH7" i="5"/>
  <c r="BH77" i="7" s="1"/>
  <c r="AT7" i="5"/>
  <c r="AT77" i="7" s="1"/>
  <c r="AF7" i="5"/>
  <c r="AF77" i="7" s="1"/>
  <c r="R7" i="5"/>
  <c r="R77" i="7" s="1"/>
  <c r="BG7" i="5"/>
  <c r="BG77" i="7" s="1"/>
  <c r="AS7" i="5"/>
  <c r="AS77" i="7" s="1"/>
  <c r="AE7" i="5"/>
  <c r="AE77" i="7" s="1"/>
  <c r="Q7" i="5"/>
  <c r="Q77" i="7" s="1"/>
  <c r="BF7" i="5"/>
  <c r="BF77" i="7" s="1"/>
  <c r="AR7" i="5"/>
  <c r="AR77" i="7" s="1"/>
  <c r="AD7" i="5"/>
  <c r="AD77" i="7" s="1"/>
  <c r="N7" i="5"/>
  <c r="N77" i="7" s="1"/>
  <c r="BO7" i="5"/>
  <c r="BO77" i="7" s="1"/>
  <c r="BA7" i="5"/>
  <c r="BA77" i="7" s="1"/>
  <c r="AK7" i="5"/>
  <c r="AK77" i="7" s="1"/>
  <c r="W7" i="5"/>
  <c r="W77" i="7" s="1"/>
  <c r="I7" i="5"/>
  <c r="I77" i="7" s="1"/>
  <c r="F50" i="3"/>
  <c r="E50" i="3"/>
  <c r="H30" i="11"/>
  <c r="K30" i="11"/>
  <c r="E111" i="3"/>
  <c r="F111" i="3"/>
  <c r="F16" i="6"/>
  <c r="F17" i="6"/>
  <c r="F14" i="6"/>
  <c r="F13" i="6"/>
  <c r="F49" i="3"/>
  <c r="E49" i="3"/>
  <c r="M21" i="12"/>
  <c r="V21" i="12"/>
  <c r="W21" i="12" s="1"/>
  <c r="D26" i="12"/>
  <c r="D27" i="12" s="1"/>
  <c r="E26" i="12"/>
  <c r="C27" i="12"/>
  <c r="N34" i="12"/>
  <c r="L34" i="12"/>
  <c r="K10" i="11"/>
  <c r="H10" i="11"/>
  <c r="E91" i="3"/>
  <c r="F91" i="3"/>
  <c r="T10" i="12"/>
  <c r="U10" i="12" s="1"/>
  <c r="O10" i="12"/>
  <c r="E9" i="11"/>
  <c r="E29" i="12"/>
  <c r="J99" i="3"/>
  <c r="K35" i="11"/>
  <c r="H35" i="11"/>
  <c r="F116" i="3"/>
  <c r="E116" i="3"/>
  <c r="K11" i="11"/>
  <c r="H11" i="11"/>
  <c r="F92" i="3"/>
  <c r="E92" i="3"/>
  <c r="F12" i="7"/>
  <c r="E47" i="4"/>
  <c r="E48" i="4" s="1"/>
  <c r="F11" i="6"/>
  <c r="E54" i="3"/>
  <c r="E66" i="3" s="1"/>
  <c r="F54" i="3"/>
  <c r="F66" i="3" s="1"/>
  <c r="H7" i="11"/>
  <c r="K7" i="11"/>
  <c r="F88" i="3"/>
  <c r="E88" i="3"/>
  <c r="E166" i="4" a="1"/>
  <c r="E166" i="4" s="1"/>
  <c r="E140" i="7"/>
  <c r="E130" i="7"/>
  <c r="E131" i="7"/>
  <c r="F60" i="3"/>
  <c r="E60" i="3"/>
  <c r="E22" i="4"/>
  <c r="O35" i="12"/>
  <c r="T35" i="12"/>
  <c r="U35" i="12" s="1"/>
  <c r="O21" i="12"/>
  <c r="T21" i="12"/>
  <c r="U21" i="12" s="1"/>
  <c r="W13" i="6"/>
  <c r="P15" i="6"/>
  <c r="W15" i="6" s="1"/>
  <c r="X15" i="6" s="1"/>
  <c r="E128" i="8"/>
  <c r="E21" i="8"/>
  <c r="E22" i="8"/>
  <c r="E196" i="2"/>
  <c r="K12" i="11"/>
  <c r="H12" i="11"/>
  <c r="F93" i="3"/>
  <c r="E93" i="3"/>
  <c r="E89" i="2"/>
  <c r="XFD89" i="2" s="1"/>
  <c r="F38" i="2"/>
  <c r="R33" i="12"/>
  <c r="S33" i="12" s="1"/>
  <c r="L22" i="11"/>
  <c r="E22" i="11" s="1"/>
  <c r="Y33" i="12"/>
  <c r="K29" i="11"/>
  <c r="H29" i="11"/>
  <c r="F110" i="3"/>
  <c r="E110" i="3"/>
  <c r="BP78" i="7"/>
  <c r="BD78" i="7"/>
  <c r="AR78" i="7"/>
  <c r="AF78" i="7"/>
  <c r="T78" i="7"/>
  <c r="H78" i="7"/>
  <c r="BO78" i="7"/>
  <c r="BC78" i="7"/>
  <c r="AQ78" i="7"/>
  <c r="AE78" i="7"/>
  <c r="S78" i="7"/>
  <c r="BN78" i="7"/>
  <c r="BB78" i="7"/>
  <c r="AP78" i="7"/>
  <c r="AD78" i="7"/>
  <c r="R78" i="7"/>
  <c r="BM78" i="7"/>
  <c r="BA78" i="7"/>
  <c r="AO78" i="7"/>
  <c r="AC78" i="7"/>
  <c r="Q78" i="7"/>
  <c r="BK78" i="7"/>
  <c r="AY78" i="7"/>
  <c r="AM78" i="7"/>
  <c r="AA78" i="7"/>
  <c r="O78" i="7"/>
  <c r="BJ78" i="7"/>
  <c r="AX78" i="7"/>
  <c r="AL78" i="7"/>
  <c r="Z78" i="7"/>
  <c r="N78" i="7"/>
  <c r="AZ78" i="7"/>
  <c r="AB78" i="7"/>
  <c r="AW78" i="7"/>
  <c r="Y78" i="7"/>
  <c r="AV78" i="7"/>
  <c r="X78" i="7"/>
  <c r="AU78" i="7"/>
  <c r="W78" i="7"/>
  <c r="AT78" i="7"/>
  <c r="V78" i="7"/>
  <c r="AS78" i="7"/>
  <c r="U78" i="7"/>
  <c r="BI78" i="7"/>
  <c r="AK78" i="7"/>
  <c r="M78" i="7"/>
  <c r="BH78" i="7"/>
  <c r="AJ78" i="7"/>
  <c r="L78" i="7"/>
  <c r="BG78" i="7"/>
  <c r="AI78" i="7"/>
  <c r="K78" i="7"/>
  <c r="BF78" i="7"/>
  <c r="AH78" i="7"/>
  <c r="J78" i="7"/>
  <c r="BE78" i="7"/>
  <c r="AG78" i="7"/>
  <c r="I78" i="7"/>
  <c r="BL78" i="7"/>
  <c r="AN78" i="7"/>
  <c r="P78" i="7"/>
  <c r="E12" i="8"/>
  <c r="G165" i="2"/>
  <c r="F165" i="2"/>
  <c r="E165" i="2"/>
  <c r="F12" i="6"/>
  <c r="F56" i="3"/>
  <c r="F67" i="3" s="1"/>
  <c r="E56" i="3"/>
  <c r="E67" i="3" s="1"/>
  <c r="H17" i="11"/>
  <c r="K17" i="11"/>
  <c r="E98" i="3"/>
  <c r="F98" i="3"/>
  <c r="K11" i="6"/>
  <c r="J66" i="3"/>
  <c r="J79" i="3"/>
  <c r="E40" i="3"/>
  <c r="E92" i="8"/>
  <c r="E190" i="2"/>
  <c r="H158" i="7"/>
  <c r="E58" i="3"/>
  <c r="F58" i="3"/>
  <c r="Z39" i="12"/>
  <c r="R37" i="12"/>
  <c r="S37" i="12" s="1"/>
  <c r="N37" i="12"/>
  <c r="Y37" i="12"/>
  <c r="Z37" i="12" s="1"/>
  <c r="L37" i="12"/>
  <c r="L26" i="11"/>
  <c r="E26" i="11" s="1"/>
  <c r="T22" i="12"/>
  <c r="U22" i="12" s="1"/>
  <c r="O22" i="12"/>
  <c r="C33" i="12"/>
  <c r="E32" i="12"/>
  <c r="D32" i="12"/>
  <c r="K19" i="11"/>
  <c r="H19" i="11"/>
  <c r="F100" i="3"/>
  <c r="E100" i="3"/>
  <c r="K25" i="11"/>
  <c r="H25" i="11"/>
  <c r="F106" i="3"/>
  <c r="E106" i="3"/>
  <c r="W14" i="6"/>
  <c r="E301" i="8"/>
  <c r="E287" i="8"/>
  <c r="E280" i="8"/>
  <c r="E259" i="8"/>
  <c r="E266" i="8"/>
  <c r="E273" i="8"/>
  <c r="E294" i="8"/>
  <c r="F154" i="2"/>
  <c r="E154" i="2"/>
  <c r="K154" i="2"/>
  <c r="E99" i="2"/>
  <c r="XFD99" i="2" s="1"/>
  <c r="J154" i="2"/>
  <c r="I154" i="2"/>
  <c r="H154" i="2"/>
  <c r="G154" i="2"/>
  <c r="E12" i="7"/>
  <c r="J12" i="7" s="1"/>
  <c r="E55" i="4"/>
  <c r="J8" i="7" s="1"/>
  <c r="J65" i="5" a="1"/>
  <c r="J65" i="5" s="1"/>
  <c r="K55" i="5" a="1"/>
  <c r="K55" i="5" s="1"/>
  <c r="J53" i="5" a="1"/>
  <c r="J53" i="5" s="1"/>
  <c r="K43" i="5" a="1"/>
  <c r="K43" i="5" s="1"/>
  <c r="J41" i="5" a="1"/>
  <c r="J41" i="5" s="1"/>
  <c r="K31" i="5" a="1"/>
  <c r="K31" i="5" s="1"/>
  <c r="J29" i="5" a="1"/>
  <c r="J29" i="5" s="1"/>
  <c r="K62" i="5" a="1"/>
  <c r="K62" i="5" s="1"/>
  <c r="J60" i="5" a="1"/>
  <c r="J60" i="5" s="1"/>
  <c r="K50" i="5" a="1"/>
  <c r="K50" i="5" s="1"/>
  <c r="J48" i="5" a="1"/>
  <c r="J48" i="5" s="1"/>
  <c r="K38" i="5" a="1"/>
  <c r="K38" i="5" s="1"/>
  <c r="J36" i="5" a="1"/>
  <c r="J36" i="5" s="1"/>
  <c r="K26" i="5" a="1"/>
  <c r="K26" i="5" s="1"/>
  <c r="E71" i="5" s="1"/>
  <c r="J24" i="5" a="1"/>
  <c r="J24" i="5" s="1"/>
  <c r="K61" i="5" a="1"/>
  <c r="K61" i="5" s="1"/>
  <c r="J47" i="5" a="1"/>
  <c r="J47" i="5" s="1"/>
  <c r="K41" i="5" a="1"/>
  <c r="K41" i="5" s="1"/>
  <c r="K35" i="5" a="1"/>
  <c r="K35" i="5" s="1"/>
  <c r="J27" i="5" a="1"/>
  <c r="J27" i="5" s="1"/>
  <c r="J64" i="5" a="1"/>
  <c r="J64" i="5" s="1"/>
  <c r="K58" i="5" a="1"/>
  <c r="K58" i="5" s="1"/>
  <c r="K52" i="5" a="1"/>
  <c r="K52" i="5" s="1"/>
  <c r="J44" i="5" a="1"/>
  <c r="J44" i="5" s="1"/>
  <c r="J38" i="5" a="1"/>
  <c r="J38" i="5" s="1"/>
  <c r="K32" i="5" a="1"/>
  <c r="K32" i="5" s="1"/>
  <c r="J61" i="5" a="1"/>
  <c r="J61" i="5" s="1"/>
  <c r="J55" i="5" a="1"/>
  <c r="J55" i="5" s="1"/>
  <c r="K49" i="5" a="1"/>
  <c r="K49" i="5" s="1"/>
  <c r="J35" i="5" a="1"/>
  <c r="J35" i="5" s="1"/>
  <c r="K29" i="5" a="1"/>
  <c r="K29" i="5" s="1"/>
  <c r="K23" i="5" a="1"/>
  <c r="K23" i="5" s="1"/>
  <c r="K66" i="5" a="1"/>
  <c r="K66" i="5" s="1"/>
  <c r="J58" i="5" a="1"/>
  <c r="J58" i="5" s="1"/>
  <c r="J52" i="5" a="1"/>
  <c r="J52" i="5" s="1"/>
  <c r="K46" i="5" a="1"/>
  <c r="K46" i="5" s="1"/>
  <c r="K40" i="5" a="1"/>
  <c r="K40" i="5" s="1"/>
  <c r="J32" i="5" a="1"/>
  <c r="J32" i="5" s="1"/>
  <c r="J26" i="5" a="1"/>
  <c r="J26" i="5" s="1"/>
  <c r="J66" i="5" a="1"/>
  <c r="J66" i="5" s="1"/>
  <c r="K60" i="5" a="1"/>
  <c r="K60" i="5" s="1"/>
  <c r="K54" i="5" a="1"/>
  <c r="K54" i="5" s="1"/>
  <c r="J46" i="5" a="1"/>
  <c r="J46" i="5" s="1"/>
  <c r="J40" i="5" a="1"/>
  <c r="J40" i="5" s="1"/>
  <c r="K34" i="5" a="1"/>
  <c r="K34" i="5" s="1"/>
  <c r="K28" i="5" a="1"/>
  <c r="K28" i="5" s="1"/>
  <c r="J63" i="5" a="1"/>
  <c r="J63" i="5" s="1"/>
  <c r="J57" i="5" a="1"/>
  <c r="J57" i="5" s="1"/>
  <c r="K51" i="5" a="1"/>
  <c r="K51" i="5" s="1"/>
  <c r="K45" i="5" a="1"/>
  <c r="K45" i="5" s="1"/>
  <c r="J37" i="5" a="1"/>
  <c r="J37" i="5" s="1"/>
  <c r="J31" i="5" a="1"/>
  <c r="J31" i="5" s="1"/>
  <c r="K25" i="5" a="1"/>
  <c r="K25" i="5" s="1"/>
  <c r="J54" i="5" a="1"/>
  <c r="J54" i="5" s="1"/>
  <c r="K48" i="5" a="1"/>
  <c r="K48" i="5" s="1"/>
  <c r="K42" i="5" a="1"/>
  <c r="K42" i="5" s="1"/>
  <c r="J34" i="5" a="1"/>
  <c r="J34" i="5" s="1"/>
  <c r="J28" i="5" a="1"/>
  <c r="J28" i="5" s="1"/>
  <c r="K22" i="5" a="1"/>
  <c r="K22" i="5" s="1"/>
  <c r="K65" i="5" a="1"/>
  <c r="K65" i="5" s="1"/>
  <c r="K59" i="5" a="1"/>
  <c r="K59" i="5" s="1"/>
  <c r="J51" i="5" a="1"/>
  <c r="J51" i="5" s="1"/>
  <c r="J45" i="5" a="1"/>
  <c r="J45" i="5" s="1"/>
  <c r="K39" i="5" a="1"/>
  <c r="K39" i="5" s="1"/>
  <c r="K33" i="5" a="1"/>
  <c r="K33" i="5" s="1"/>
  <c r="J25" i="5" a="1"/>
  <c r="J25" i="5" s="1"/>
  <c r="J62" i="5" a="1"/>
  <c r="J62" i="5" s="1"/>
  <c r="K56" i="5" a="1"/>
  <c r="K56" i="5" s="1"/>
  <c r="J42" i="5" a="1"/>
  <c r="J42" i="5" s="1"/>
  <c r="K36" i="5" a="1"/>
  <c r="K36" i="5" s="1"/>
  <c r="K30" i="5" a="1"/>
  <c r="K30" i="5" s="1"/>
  <c r="J22" i="5" a="1"/>
  <c r="J22" i="5" s="1"/>
  <c r="J59" i="5" a="1"/>
  <c r="J59" i="5" s="1"/>
  <c r="K53" i="5" a="1"/>
  <c r="K53" i="5" s="1"/>
  <c r="K47" i="5" a="1"/>
  <c r="K47" i="5" s="1"/>
  <c r="J39" i="5" a="1"/>
  <c r="J39" i="5" s="1"/>
  <c r="J33" i="5" a="1"/>
  <c r="J33" i="5" s="1"/>
  <c r="K27" i="5" a="1"/>
  <c r="K27" i="5" s="1"/>
  <c r="K64" i="5" a="1"/>
  <c r="K64" i="5" s="1"/>
  <c r="J56" i="5" a="1"/>
  <c r="J56" i="5" s="1"/>
  <c r="J50" i="5" a="1"/>
  <c r="J50" i="5" s="1"/>
  <c r="K44" i="5" a="1"/>
  <c r="K44" i="5" s="1"/>
  <c r="J30" i="5" a="1"/>
  <c r="J30" i="5" s="1"/>
  <c r="K24" i="5" a="1"/>
  <c r="K24" i="5" s="1"/>
  <c r="K37" i="5" a="1"/>
  <c r="K37" i="5" s="1"/>
  <c r="K63" i="5" a="1"/>
  <c r="K63" i="5" s="1"/>
  <c r="K57" i="5" a="1"/>
  <c r="K57" i="5" s="1"/>
  <c r="J23" i="5" a="1"/>
  <c r="J23" i="5" s="1"/>
  <c r="J49" i="5" a="1"/>
  <c r="J49" i="5" s="1"/>
  <c r="J43" i="5" a="1"/>
  <c r="J43" i="5" s="1"/>
  <c r="H28" i="11"/>
  <c r="K28" i="11"/>
  <c r="F109" i="3"/>
  <c r="E109" i="3"/>
  <c r="F8" i="6"/>
  <c r="F52" i="3"/>
  <c r="E52" i="3"/>
  <c r="J159" i="7"/>
  <c r="J158" i="7"/>
  <c r="K4" i="7"/>
  <c r="J5" i="5"/>
  <c r="K20" i="11"/>
  <c r="H20" i="11"/>
  <c r="E101" i="3"/>
  <c r="F101" i="3"/>
  <c r="E30" i="12"/>
  <c r="J100" i="3"/>
  <c r="Z25" i="12"/>
  <c r="K5" i="11"/>
  <c r="H5" i="11"/>
  <c r="F86" i="3"/>
  <c r="E86" i="3"/>
  <c r="K8" i="11"/>
  <c r="H8" i="11"/>
  <c r="F89" i="3"/>
  <c r="E89" i="3"/>
  <c r="T40" i="12"/>
  <c r="U40" i="12" s="1"/>
  <c r="O40" i="12"/>
  <c r="L40" i="12"/>
  <c r="Z28" i="12"/>
  <c r="I49" i="12"/>
  <c r="I50" i="12" s="1"/>
  <c r="E36" i="12"/>
  <c r="D36" i="12"/>
  <c r="K15" i="11"/>
  <c r="H15" i="11"/>
  <c r="F96" i="3"/>
  <c r="E96" i="3"/>
  <c r="E31" i="12"/>
  <c r="J101" i="3"/>
  <c r="K27" i="11"/>
  <c r="H27" i="11"/>
  <c r="F108" i="3"/>
  <c r="E108" i="3"/>
  <c r="W7" i="6"/>
  <c r="E37" i="8"/>
  <c r="E198" i="2"/>
  <c r="E18" i="4"/>
  <c r="F10" i="6"/>
  <c r="E53" i="3"/>
  <c r="F53" i="3"/>
  <c r="K24" i="11"/>
  <c r="H24" i="11"/>
  <c r="F105" i="3"/>
  <c r="E105" i="3"/>
  <c r="K18" i="11"/>
  <c r="H18" i="11"/>
  <c r="F99" i="3"/>
  <c r="E99" i="3"/>
  <c r="E33" i="4"/>
  <c r="E38" i="4"/>
  <c r="K14" i="11"/>
  <c r="H14" i="11"/>
  <c r="E95" i="3"/>
  <c r="F95" i="3"/>
  <c r="G38" i="12"/>
  <c r="F38" i="12"/>
  <c r="F27" i="11"/>
  <c r="I27" i="11" s="1"/>
  <c r="J108" i="3"/>
  <c r="N28" i="12"/>
  <c r="N23" i="12"/>
  <c r="Z23" i="12"/>
  <c r="L23" i="12"/>
  <c r="I54" i="12"/>
  <c r="M8" i="12"/>
  <c r="V8" i="12"/>
  <c r="W8" i="12" s="1"/>
  <c r="AQ311" i="8"/>
  <c r="AE311" i="8"/>
  <c r="S311" i="8"/>
  <c r="AI311" i="8"/>
  <c r="V311" i="8"/>
  <c r="I311" i="8"/>
  <c r="AG311" i="8"/>
  <c r="T311" i="8"/>
  <c r="AO311" i="8"/>
  <c r="Z311" i="8"/>
  <c r="K311" i="8"/>
  <c r="AN311" i="8"/>
  <c r="Y311" i="8"/>
  <c r="J311" i="8"/>
  <c r="AM311" i="8"/>
  <c r="X311" i="8"/>
  <c r="H311" i="8"/>
  <c r="AL311" i="8"/>
  <c r="W311" i="8"/>
  <c r="AJ311" i="8"/>
  <c r="R311" i="8"/>
  <c r="AH311" i="8"/>
  <c r="Q311" i="8"/>
  <c r="M311" i="8"/>
  <c r="AP311" i="8"/>
  <c r="L311" i="8"/>
  <c r="AK311" i="8"/>
  <c r="AF311" i="8"/>
  <c r="AD311" i="8"/>
  <c r="AC311" i="8"/>
  <c r="AA311" i="8"/>
  <c r="U311" i="8"/>
  <c r="P311" i="8"/>
  <c r="O311" i="8"/>
  <c r="N311" i="8"/>
  <c r="AB311" i="8"/>
  <c r="E169" i="4" a="1"/>
  <c r="E169" i="4" s="1"/>
  <c r="E191" i="2"/>
  <c r="F48" i="3"/>
  <c r="E48" i="3"/>
  <c r="G56" i="2"/>
  <c r="K36" i="11"/>
  <c r="H36" i="11"/>
  <c r="E117" i="3"/>
  <c r="F117" i="3"/>
  <c r="E107" i="7"/>
  <c r="E179" i="2"/>
  <c r="F179" i="2" s="1"/>
  <c r="E123" i="3"/>
  <c r="R42" i="12"/>
  <c r="S42" i="12" s="1"/>
  <c r="N42" i="12"/>
  <c r="L31" i="11"/>
  <c r="E31" i="11" s="1"/>
  <c r="L42" i="12"/>
  <c r="Y42" i="12"/>
  <c r="Z42" i="12" s="1"/>
  <c r="T8" i="12"/>
  <c r="U8" i="12" s="1"/>
  <c r="O8" i="12"/>
  <c r="O12" i="12"/>
  <c r="T12" i="12"/>
  <c r="U12" i="12" s="1"/>
  <c r="K32" i="11"/>
  <c r="H32" i="11"/>
  <c r="E113" i="3"/>
  <c r="F113" i="3"/>
  <c r="K10" i="6"/>
  <c r="K9" i="6"/>
  <c r="E111" i="7"/>
  <c r="E118" i="7"/>
  <c r="E170" i="4" a="1"/>
  <c r="E170" i="4" s="1"/>
  <c r="G220" i="8"/>
  <c r="G143" i="7"/>
  <c r="G160" i="2"/>
  <c r="F160" i="2"/>
  <c r="E160" i="2"/>
  <c r="K160" i="2"/>
  <c r="J160" i="2"/>
  <c r="I160" i="2"/>
  <c r="H160" i="2"/>
  <c r="E119" i="2"/>
  <c r="K23" i="11"/>
  <c r="H23" i="11"/>
  <c r="E104" i="3"/>
  <c r="F104" i="3"/>
  <c r="Z41" i="12"/>
  <c r="M39" i="12"/>
  <c r="V39" i="12"/>
  <c r="W39" i="12" s="1"/>
  <c r="N7" i="12"/>
  <c r="L7" i="12"/>
  <c r="R7" i="12"/>
  <c r="S7" i="12" s="1"/>
  <c r="Y7" i="12"/>
  <c r="Z7" i="12" s="1"/>
  <c r="N41" i="12"/>
  <c r="Z35" i="12"/>
  <c r="K13" i="11"/>
  <c r="H13" i="11"/>
  <c r="F94" i="3"/>
  <c r="E94" i="3"/>
  <c r="E85" i="8"/>
  <c r="E368" i="4"/>
  <c r="I36" i="11"/>
  <c r="I34" i="11"/>
  <c r="I35" i="11"/>
  <c r="I10" i="11"/>
  <c r="I12" i="11"/>
  <c r="H5" i="8"/>
  <c r="H5" i="7"/>
  <c r="E37" i="3"/>
  <c r="J75" i="3"/>
  <c r="E101" i="2"/>
  <c r="XFD101" i="2" s="1"/>
  <c r="C138" i="3"/>
  <c r="X12" i="6" l="1"/>
  <c r="L30" i="5"/>
  <c r="L49" i="5"/>
  <c r="L28" i="5"/>
  <c r="L58" i="5"/>
  <c r="L56" i="5"/>
  <c r="L34" i="5"/>
  <c r="L59" i="5"/>
  <c r="L43" i="5"/>
  <c r="L52" i="5"/>
  <c r="L32" i="5"/>
  <c r="E56" i="4"/>
  <c r="E154" i="4" s="1"/>
  <c r="H6" i="8" s="1"/>
  <c r="X18" i="6"/>
  <c r="J6" i="7"/>
  <c r="L12" i="6"/>
  <c r="J33" i="7" s="1"/>
  <c r="J65" i="7" s="1"/>
  <c r="K14" i="6"/>
  <c r="L14" i="6" s="1"/>
  <c r="H12" i="6"/>
  <c r="J12" i="6" s="1"/>
  <c r="K16" i="6"/>
  <c r="L16" i="6" s="1"/>
  <c r="K37" i="7" s="1"/>
  <c r="K13" i="6"/>
  <c r="X13" i="6" s="1"/>
  <c r="L18" i="6"/>
  <c r="J39" i="7" s="1"/>
  <c r="J71" i="7" s="1"/>
  <c r="G68" i="3"/>
  <c r="H68" i="3" s="1"/>
  <c r="L25" i="5"/>
  <c r="L35" i="5"/>
  <c r="L38" i="5"/>
  <c r="L42" i="5"/>
  <c r="L62" i="5"/>
  <c r="L46" i="5"/>
  <c r="L55" i="5"/>
  <c r="L54" i="5"/>
  <c r="L45" i="5"/>
  <c r="L26" i="5"/>
  <c r="L24" i="5"/>
  <c r="L33" i="5"/>
  <c r="L37" i="5"/>
  <c r="L61" i="5"/>
  <c r="L53" i="5"/>
  <c r="H18" i="6"/>
  <c r="E133" i="2" s="1"/>
  <c r="L39" i="5"/>
  <c r="L63" i="5"/>
  <c r="H11" i="6"/>
  <c r="J11" i="6" s="1"/>
  <c r="L60" i="5"/>
  <c r="L40" i="5"/>
  <c r="I52" i="12"/>
  <c r="I53" i="12" s="1"/>
  <c r="I51" i="12"/>
  <c r="L10" i="6"/>
  <c r="K31" i="7" s="1"/>
  <c r="X10" i="6"/>
  <c r="J65" i="3"/>
  <c r="J78" i="3"/>
  <c r="E39" i="3"/>
  <c r="T42" i="12"/>
  <c r="U42" i="12" s="1"/>
  <c r="O42" i="12"/>
  <c r="G16" i="6"/>
  <c r="H16" i="6" s="1"/>
  <c r="E308" i="4"/>
  <c r="E175" i="4" s="1"/>
  <c r="G14" i="6"/>
  <c r="H14" i="6" s="1"/>
  <c r="G13" i="6"/>
  <c r="H13" i="6" s="1"/>
  <c r="E41" i="2"/>
  <c r="E180" i="2" s="1"/>
  <c r="F180" i="2" s="1"/>
  <c r="G17" i="6"/>
  <c r="H17" i="6" s="1"/>
  <c r="E19" i="4"/>
  <c r="G9" i="6" s="1"/>
  <c r="L50" i="5"/>
  <c r="L64" i="5"/>
  <c r="S6" i="12"/>
  <c r="S54" i="12" s="1"/>
  <c r="R54" i="12"/>
  <c r="Z38" i="12"/>
  <c r="L38" i="12"/>
  <c r="N38" i="12"/>
  <c r="L27" i="5"/>
  <c r="L17" i="6"/>
  <c r="K38" i="7" s="1"/>
  <c r="X17" i="6"/>
  <c r="H131" i="7"/>
  <c r="H10" i="7"/>
  <c r="H6" i="5"/>
  <c r="I5" i="7"/>
  <c r="G160" i="8"/>
  <c r="L29" i="5"/>
  <c r="O9" i="12"/>
  <c r="T9" i="12"/>
  <c r="U9" i="12" s="1"/>
  <c r="M6" i="12"/>
  <c r="V6" i="12"/>
  <c r="M12" i="12"/>
  <c r="V12" i="12"/>
  <c r="W12" i="12" s="1"/>
  <c r="F124" i="3"/>
  <c r="F75" i="3"/>
  <c r="G29" i="12"/>
  <c r="F29" i="12"/>
  <c r="F18" i="11"/>
  <c r="I18" i="11" s="1"/>
  <c r="V34" i="12"/>
  <c r="W34" i="12" s="1"/>
  <c r="M34" i="12"/>
  <c r="G14" i="12"/>
  <c r="F14" i="12"/>
  <c r="E15" i="12"/>
  <c r="F5" i="11"/>
  <c r="I5" i="11" s="1"/>
  <c r="L49" i="12"/>
  <c r="R49" i="12"/>
  <c r="S49" i="12" s="1"/>
  <c r="N49" i="12"/>
  <c r="T24" i="12"/>
  <c r="U24" i="12" s="1"/>
  <c r="O24" i="12"/>
  <c r="F31" i="12"/>
  <c r="G31" i="12"/>
  <c r="F20" i="11"/>
  <c r="I20" i="11" s="1"/>
  <c r="L39" i="11"/>
  <c r="Y54" i="12"/>
  <c r="Y49" i="12"/>
  <c r="Z49" i="12" s="1"/>
  <c r="Z6" i="12"/>
  <c r="AH70" i="12" s="1"/>
  <c r="AI70" i="12" s="1"/>
  <c r="G60" i="2"/>
  <c r="J52" i="7"/>
  <c r="J68" i="7"/>
  <c r="L47" i="5"/>
  <c r="L41" i="5"/>
  <c r="F21" i="11"/>
  <c r="I21" i="11" s="1"/>
  <c r="G32" i="12"/>
  <c r="F32" i="12"/>
  <c r="J102" i="3"/>
  <c r="E124" i="3"/>
  <c r="E75" i="3"/>
  <c r="E80" i="3"/>
  <c r="G67" i="3"/>
  <c r="H67" i="3" s="1"/>
  <c r="O34" i="12"/>
  <c r="T34" i="12"/>
  <c r="U34" i="12" s="1"/>
  <c r="M9" i="12"/>
  <c r="V9" i="12"/>
  <c r="W9" i="12" s="1"/>
  <c r="C17" i="12"/>
  <c r="E16" i="12"/>
  <c r="J89" i="3"/>
  <c r="J88" i="3"/>
  <c r="E70" i="5"/>
  <c r="X9" i="6"/>
  <c r="L9" i="6"/>
  <c r="K30" i="7" s="1"/>
  <c r="G30" i="12"/>
  <c r="F30" i="12"/>
  <c r="F19" i="11"/>
  <c r="I19" i="11" s="1"/>
  <c r="L11" i="6"/>
  <c r="K32" i="7" s="1"/>
  <c r="X11" i="6"/>
  <c r="H42" i="8"/>
  <c r="H17" i="8"/>
  <c r="I5" i="8"/>
  <c r="H4" i="8"/>
  <c r="H13" i="8" s="1"/>
  <c r="I8" i="1"/>
  <c r="C139" i="3"/>
  <c r="T41" i="12"/>
  <c r="U41" i="12" s="1"/>
  <c r="O41" i="12"/>
  <c r="G36" i="12"/>
  <c r="F36" i="12"/>
  <c r="F25" i="11"/>
  <c r="I25" i="11" s="1"/>
  <c r="L23" i="5"/>
  <c r="L31" i="5"/>
  <c r="L66" i="5"/>
  <c r="D33" i="12"/>
  <c r="E33" i="12"/>
  <c r="F80" i="3"/>
  <c r="K22" i="11"/>
  <c r="H22" i="11"/>
  <c r="E103" i="3"/>
  <c r="F103" i="3"/>
  <c r="Z5" i="12"/>
  <c r="Y50" i="12"/>
  <c r="Y52" i="12" s="1"/>
  <c r="AH53" i="12" s="1"/>
  <c r="E76" i="3"/>
  <c r="G63" i="3"/>
  <c r="H63" i="3" s="1"/>
  <c r="H36" i="7"/>
  <c r="I36" i="7"/>
  <c r="G297" i="4"/>
  <c r="E297" i="4" s="1" a="1"/>
  <c r="E297" i="4" s="1"/>
  <c r="M5" i="12"/>
  <c r="V5" i="12"/>
  <c r="F76" i="3"/>
  <c r="X7" i="6"/>
  <c r="L7" i="6"/>
  <c r="K31" i="11"/>
  <c r="H31" i="11"/>
  <c r="F112" i="3"/>
  <c r="E112" i="3"/>
  <c r="O37" i="12"/>
  <c r="T37" i="12"/>
  <c r="U37" i="12" s="1"/>
  <c r="M23" i="12"/>
  <c r="V23" i="12"/>
  <c r="W23" i="12" s="1"/>
  <c r="E153" i="7"/>
  <c r="E34" i="4"/>
  <c r="E154" i="7" s="1"/>
  <c r="L51" i="5"/>
  <c r="E23" i="4"/>
  <c r="E92" i="4" s="1"/>
  <c r="G10" i="6" s="1"/>
  <c r="H10" i="6" s="1"/>
  <c r="E44" i="2"/>
  <c r="E91" i="4"/>
  <c r="G8" i="6" s="1"/>
  <c r="H8" i="6" s="1"/>
  <c r="F69" i="3"/>
  <c r="F70" i="3" s="1"/>
  <c r="F81" i="3" s="1"/>
  <c r="F79" i="3"/>
  <c r="G295" i="4"/>
  <c r="G26" i="12"/>
  <c r="E27" i="12"/>
  <c r="F15" i="11"/>
  <c r="I15" i="11" s="1"/>
  <c r="F26" i="12"/>
  <c r="J97" i="3"/>
  <c r="J96" i="3"/>
  <c r="R50" i="12"/>
  <c r="S5" i="12"/>
  <c r="S50" i="12" s="1"/>
  <c r="E129" i="2"/>
  <c r="J7" i="6"/>
  <c r="M11" i="12"/>
  <c r="V11" i="12"/>
  <c r="W11" i="12" s="1"/>
  <c r="L8" i="6"/>
  <c r="X8" i="6"/>
  <c r="M7" i="12"/>
  <c r="V7" i="12"/>
  <c r="W7" i="12" s="1"/>
  <c r="O23" i="12"/>
  <c r="T23" i="12"/>
  <c r="U23" i="12" s="1"/>
  <c r="K159" i="7"/>
  <c r="K158" i="7"/>
  <c r="K36" i="7"/>
  <c r="K8" i="7"/>
  <c r="K12" i="7"/>
  <c r="L4" i="7"/>
  <c r="K5" i="5"/>
  <c r="K6" i="7"/>
  <c r="E64" i="3"/>
  <c r="L36" i="5"/>
  <c r="L65" i="5"/>
  <c r="K26" i="11"/>
  <c r="H26" i="11"/>
  <c r="F107" i="3"/>
  <c r="E107" i="3"/>
  <c r="E69" i="3"/>
  <c r="G66" i="3"/>
  <c r="H66" i="3" s="1"/>
  <c r="E79" i="3"/>
  <c r="K9" i="11"/>
  <c r="H9" i="11"/>
  <c r="E90" i="3"/>
  <c r="F90" i="3"/>
  <c r="O5" i="12"/>
  <c r="T5" i="12"/>
  <c r="L25" i="12"/>
  <c r="N25" i="12"/>
  <c r="O7" i="12"/>
  <c r="T7" i="12"/>
  <c r="U7" i="12" s="1"/>
  <c r="O28" i="12"/>
  <c r="T28" i="12"/>
  <c r="U28" i="12" s="1"/>
  <c r="F65" i="3"/>
  <c r="F78" i="3" s="1"/>
  <c r="F129" i="3" s="1"/>
  <c r="V40" i="12"/>
  <c r="W40" i="12" s="1"/>
  <c r="M40" i="12"/>
  <c r="F64" i="3"/>
  <c r="L22" i="5"/>
  <c r="E73" i="5" a="1"/>
  <c r="E73" i="5" s="1"/>
  <c r="L57" i="5"/>
  <c r="L44" i="5"/>
  <c r="E57" i="4"/>
  <c r="N15" i="6" s="1"/>
  <c r="H6" i="7"/>
  <c r="H8" i="7"/>
  <c r="I6" i="7"/>
  <c r="I8" i="7"/>
  <c r="M37" i="12"/>
  <c r="V37" i="12"/>
  <c r="W37" i="12" s="1"/>
  <c r="J50" i="12"/>
  <c r="O11" i="12"/>
  <c r="T11" i="12"/>
  <c r="U11" i="12" s="1"/>
  <c r="V42" i="12"/>
  <c r="W42" i="12" s="1"/>
  <c r="M42" i="12"/>
  <c r="E65" i="3"/>
  <c r="F9" i="6"/>
  <c r="H9" i="6" s="1"/>
  <c r="J9" i="6" s="1"/>
  <c r="L48" i="5"/>
  <c r="H12" i="7"/>
  <c r="E13" i="7"/>
  <c r="K13" i="7" s="1"/>
  <c r="I12" i="7"/>
  <c r="T6" i="12"/>
  <c r="O6" i="12"/>
  <c r="E192" i="2" l="1"/>
  <c r="K39" i="7"/>
  <c r="J55" i="7"/>
  <c r="I39" i="7"/>
  <c r="I55" i="7" s="1"/>
  <c r="H39" i="7"/>
  <c r="H71" i="7" s="1"/>
  <c r="E132" i="2"/>
  <c r="E134" i="2"/>
  <c r="X14" i="6"/>
  <c r="X16" i="6"/>
  <c r="H33" i="7"/>
  <c r="H49" i="7" s="1"/>
  <c r="K33" i="7"/>
  <c r="K49" i="7" s="1"/>
  <c r="J49" i="7"/>
  <c r="L13" i="6"/>
  <c r="K34" i="7" s="1"/>
  <c r="K66" i="7" s="1"/>
  <c r="I33" i="7"/>
  <c r="I49" i="7" s="1"/>
  <c r="N12" i="6"/>
  <c r="K9" i="7"/>
  <c r="H75" i="3"/>
  <c r="H12" i="8"/>
  <c r="I14" i="6"/>
  <c r="J14" i="6" s="1"/>
  <c r="E27" i="8"/>
  <c r="K62" i="7"/>
  <c r="K46" i="7"/>
  <c r="E131" i="2"/>
  <c r="I13" i="6"/>
  <c r="J13" i="6" s="1"/>
  <c r="G64" i="3"/>
  <c r="H64" i="3" s="1"/>
  <c r="E77" i="3"/>
  <c r="E71" i="3"/>
  <c r="K63" i="7"/>
  <c r="K47" i="7"/>
  <c r="R51" i="12"/>
  <c r="R52" i="12"/>
  <c r="R53" i="12" s="1"/>
  <c r="H28" i="7"/>
  <c r="N7" i="6"/>
  <c r="I28" i="7"/>
  <c r="J28" i="7"/>
  <c r="T12" i="6"/>
  <c r="S12" i="6"/>
  <c r="M12" i="6"/>
  <c r="N36" i="12"/>
  <c r="Z36" i="12"/>
  <c r="L36" i="12"/>
  <c r="I42" i="8"/>
  <c r="I45" i="8" s="1"/>
  <c r="I17" i="8"/>
  <c r="J5" i="8"/>
  <c r="I6" i="8"/>
  <c r="I4" i="8"/>
  <c r="J8" i="1"/>
  <c r="N14" i="12"/>
  <c r="Z14" i="12"/>
  <c r="L14" i="12"/>
  <c r="T25" i="12"/>
  <c r="U25" i="12" s="1"/>
  <c r="O25" i="12"/>
  <c r="J52" i="12"/>
  <c r="J51" i="12"/>
  <c r="M25" i="12"/>
  <c r="V25" i="12"/>
  <c r="W25" i="12" s="1"/>
  <c r="H37" i="7"/>
  <c r="N16" i="6"/>
  <c r="I37" i="7"/>
  <c r="J37" i="7"/>
  <c r="H80" i="3"/>
  <c r="I17" i="6"/>
  <c r="J17" i="6" s="1"/>
  <c r="M17" i="6" s="1"/>
  <c r="F72" i="3"/>
  <c r="F131" i="3" s="1"/>
  <c r="H76" i="3"/>
  <c r="C140" i="3"/>
  <c r="L31" i="12"/>
  <c r="N31" i="12"/>
  <c r="Z31" i="12"/>
  <c r="L159" i="7"/>
  <c r="L158" i="7"/>
  <c r="L37" i="7"/>
  <c r="L33" i="7"/>
  <c r="L29" i="7"/>
  <c r="L36" i="7"/>
  <c r="L32" i="7"/>
  <c r="L28" i="7"/>
  <c r="L31" i="7"/>
  <c r="L35" i="7"/>
  <c r="L30" i="7"/>
  <c r="L9" i="7"/>
  <c r="L39" i="7"/>
  <c r="L13" i="7"/>
  <c r="L8" i="7"/>
  <c r="L38" i="7"/>
  <c r="L7" i="7"/>
  <c r="L6" i="7"/>
  <c r="M4" i="7"/>
  <c r="L12" i="7"/>
  <c r="L5" i="5"/>
  <c r="E14" i="7"/>
  <c r="L14" i="7" s="1"/>
  <c r="H13" i="7"/>
  <c r="I13" i="7"/>
  <c r="J13" i="7"/>
  <c r="I18" i="6"/>
  <c r="J18" i="6" s="1"/>
  <c r="T11" i="6"/>
  <c r="M11" i="6"/>
  <c r="S11" i="6"/>
  <c r="E72" i="5"/>
  <c r="H79" i="3"/>
  <c r="F83" i="3"/>
  <c r="F125" i="3" s="1"/>
  <c r="AW53" i="12"/>
  <c r="AX53" i="12" s="1"/>
  <c r="AI53" i="12"/>
  <c r="G33" i="12"/>
  <c r="F33" i="12"/>
  <c r="F22" i="11"/>
  <c r="I22" i="11" s="1"/>
  <c r="J103" i="3"/>
  <c r="H124" i="3"/>
  <c r="N10" i="6"/>
  <c r="H31" i="7"/>
  <c r="I31" i="7"/>
  <c r="J31" i="7"/>
  <c r="F77" i="3"/>
  <c r="F71" i="3"/>
  <c r="F130" i="3" s="1"/>
  <c r="K68" i="7"/>
  <c r="K52" i="7"/>
  <c r="H29" i="7"/>
  <c r="N8" i="6"/>
  <c r="I29" i="7"/>
  <c r="J29" i="7"/>
  <c r="W5" i="12"/>
  <c r="H32" i="7"/>
  <c r="N11" i="6"/>
  <c r="I32" i="7"/>
  <c r="J32" i="7"/>
  <c r="F16" i="12"/>
  <c r="F7" i="11"/>
  <c r="I7" i="11" s="1"/>
  <c r="G16" i="12"/>
  <c r="E155" i="4"/>
  <c r="I29" i="8" s="1"/>
  <c r="E43" i="3"/>
  <c r="U6" i="12"/>
  <c r="K71" i="7"/>
  <c r="K55" i="7"/>
  <c r="E130" i="2"/>
  <c r="J8" i="6"/>
  <c r="I10" i="6"/>
  <c r="J10" i="6" s="1"/>
  <c r="T49" i="12"/>
  <c r="U49" i="12" s="1"/>
  <c r="O49" i="12"/>
  <c r="E35" i="8"/>
  <c r="E42" i="2"/>
  <c r="E314" i="4"/>
  <c r="E315" i="4" s="1"/>
  <c r="E316" i="4" s="1"/>
  <c r="G65" i="3"/>
  <c r="H65" i="3" s="1"/>
  <c r="E78" i="3"/>
  <c r="U5" i="12"/>
  <c r="M7" i="6"/>
  <c r="G27" i="12"/>
  <c r="F27" i="12"/>
  <c r="F16" i="11"/>
  <c r="I16" i="11" s="1"/>
  <c r="I16" i="6"/>
  <c r="J16" i="6" s="1"/>
  <c r="M49" i="12"/>
  <c r="V49" i="12"/>
  <c r="W49" i="12" s="1"/>
  <c r="W6" i="12"/>
  <c r="N32" i="12"/>
  <c r="L32" i="12"/>
  <c r="Z32" i="12"/>
  <c r="I68" i="7"/>
  <c r="I52" i="7"/>
  <c r="G69" i="3"/>
  <c r="H69" i="3" s="1"/>
  <c r="E70" i="3"/>
  <c r="D17" i="12"/>
  <c r="E17" i="12"/>
  <c r="N18" i="6"/>
  <c r="N29" i="12"/>
  <c r="L29" i="12"/>
  <c r="Z29" i="12"/>
  <c r="T9" i="6"/>
  <c r="S9" i="6"/>
  <c r="M9" i="6"/>
  <c r="H19" i="6"/>
  <c r="N14" i="6"/>
  <c r="H35" i="7"/>
  <c r="I35" i="7"/>
  <c r="J35" i="7"/>
  <c r="K7" i="7"/>
  <c r="K48" i="7"/>
  <c r="K64" i="7"/>
  <c r="N26" i="12"/>
  <c r="L26" i="12"/>
  <c r="Z26" i="12"/>
  <c r="K53" i="7"/>
  <c r="K69" i="7"/>
  <c r="K35" i="7"/>
  <c r="E29" i="6"/>
  <c r="E295" i="4" a="1"/>
  <c r="E295" i="4" s="1"/>
  <c r="N30" i="12"/>
  <c r="L30" i="12"/>
  <c r="Z30" i="12"/>
  <c r="G15" i="12"/>
  <c r="F15" i="12"/>
  <c r="F6" i="11"/>
  <c r="I6" i="11" s="1"/>
  <c r="T38" i="12"/>
  <c r="U38" i="12" s="1"/>
  <c r="O38" i="12"/>
  <c r="G191" i="7"/>
  <c r="H9" i="7"/>
  <c r="H7" i="7"/>
  <c r="I7" i="7"/>
  <c r="I9" i="7"/>
  <c r="J7" i="7"/>
  <c r="J9" i="7"/>
  <c r="E58" i="4"/>
  <c r="K54" i="7"/>
  <c r="K70" i="7"/>
  <c r="S51" i="12"/>
  <c r="S52" i="12"/>
  <c r="S53" i="12" s="1"/>
  <c r="AD48" i="12"/>
  <c r="H52" i="7"/>
  <c r="H68" i="7"/>
  <c r="H30" i="7"/>
  <c r="N9" i="6"/>
  <c r="I30" i="7"/>
  <c r="J30" i="7"/>
  <c r="I131" i="7"/>
  <c r="I10" i="7"/>
  <c r="I6" i="5"/>
  <c r="J5" i="7"/>
  <c r="H38" i="7"/>
  <c r="N17" i="6"/>
  <c r="I38" i="7"/>
  <c r="J38" i="7"/>
  <c r="V38" i="12"/>
  <c r="W38" i="12" s="1"/>
  <c r="M38" i="12"/>
  <c r="I71" i="7" l="1"/>
  <c r="E320" i="4"/>
  <c r="E319" i="4"/>
  <c r="H55" i="7"/>
  <c r="N13" i="6"/>
  <c r="K50" i="7"/>
  <c r="K65" i="7"/>
  <c r="H34" i="7"/>
  <c r="H50" i="7" s="1"/>
  <c r="H65" i="7"/>
  <c r="L34" i="7"/>
  <c r="L40" i="7" s="1"/>
  <c r="I34" i="7"/>
  <c r="I66" i="7" s="1"/>
  <c r="I65" i="7"/>
  <c r="J34" i="7"/>
  <c r="J66" i="7" s="1"/>
  <c r="O17" i="6"/>
  <c r="Y17" i="6" s="1"/>
  <c r="M10" i="6"/>
  <c r="O10" i="6" s="1"/>
  <c r="Y10" i="6" s="1"/>
  <c r="T10" i="6"/>
  <c r="S10" i="6"/>
  <c r="T16" i="6"/>
  <c r="S16" i="6"/>
  <c r="M16" i="6"/>
  <c r="O16" i="6" s="1"/>
  <c r="Y16" i="6" s="1"/>
  <c r="T13" i="6"/>
  <c r="S13" i="6"/>
  <c r="M13" i="6"/>
  <c r="O13" i="6" s="1"/>
  <c r="Y13" i="6" s="1"/>
  <c r="I15" i="6"/>
  <c r="J15" i="6" s="1"/>
  <c r="J19" i="6" s="1"/>
  <c r="J131" i="7"/>
  <c r="J10" i="7"/>
  <c r="J6" i="5"/>
  <c r="K5" i="7"/>
  <c r="G333" i="8"/>
  <c r="E242" i="4"/>
  <c r="E156" i="4"/>
  <c r="E194" i="2"/>
  <c r="E158" i="4"/>
  <c r="J11" i="8" s="1"/>
  <c r="J107" i="8" s="1"/>
  <c r="E243" i="4"/>
  <c r="F132" i="3"/>
  <c r="E132" i="3"/>
  <c r="E44" i="3"/>
  <c r="H43" i="8"/>
  <c r="H44" i="8" s="1"/>
  <c r="H45" i="8" s="1"/>
  <c r="H20" i="8"/>
  <c r="H29" i="8"/>
  <c r="H19" i="8" a="1"/>
  <c r="H19" i="8" s="1"/>
  <c r="H47" i="8"/>
  <c r="H14" i="8"/>
  <c r="H7" i="8"/>
  <c r="H27" i="8" s="1"/>
  <c r="H204" i="8" a="1"/>
  <c r="H204" i="8" s="1"/>
  <c r="I45" i="7"/>
  <c r="I61" i="7"/>
  <c r="L61" i="7"/>
  <c r="L45" i="7"/>
  <c r="I47" i="8"/>
  <c r="T36" i="12"/>
  <c r="U36" i="12" s="1"/>
  <c r="O36" i="12"/>
  <c r="E130" i="3"/>
  <c r="H130" i="3" s="1"/>
  <c r="G71" i="3"/>
  <c r="H71" i="3" s="1"/>
  <c r="AE48" i="12"/>
  <c r="AD50" i="12"/>
  <c r="I48" i="7"/>
  <c r="I64" i="7"/>
  <c r="L65" i="7"/>
  <c r="L49" i="7"/>
  <c r="L92" i="7" s="1"/>
  <c r="I43" i="8"/>
  <c r="I44" i="8" s="1"/>
  <c r="I19" i="8" a="1"/>
  <c r="I19" i="8" s="1"/>
  <c r="O12" i="6"/>
  <c r="Y12" i="6" s="1"/>
  <c r="E62" i="2"/>
  <c r="H77" i="3"/>
  <c r="V26" i="12"/>
  <c r="W26" i="12" s="1"/>
  <c r="M26" i="12"/>
  <c r="L50" i="7"/>
  <c r="L53" i="7"/>
  <c r="L69" i="7"/>
  <c r="I20" i="8"/>
  <c r="G345" i="8"/>
  <c r="E193" i="2"/>
  <c r="H202" i="8"/>
  <c r="H23" i="7"/>
  <c r="H24" i="7" s="1"/>
  <c r="I22" i="7" s="1"/>
  <c r="H22" i="8"/>
  <c r="H21" i="8"/>
  <c r="F17" i="12"/>
  <c r="C18" i="12"/>
  <c r="G17" i="12"/>
  <c r="F8" i="11"/>
  <c r="I8" i="11" s="1"/>
  <c r="L16" i="12"/>
  <c r="Z16" i="12"/>
  <c r="N16" i="12"/>
  <c r="I70" i="7"/>
  <c r="I54" i="7"/>
  <c r="H61" i="7"/>
  <c r="H45" i="7"/>
  <c r="I95" i="7"/>
  <c r="I98" i="7"/>
  <c r="I92" i="7"/>
  <c r="N15" i="12"/>
  <c r="L15" i="12"/>
  <c r="Z15" i="12"/>
  <c r="T26" i="12"/>
  <c r="U26" i="12" s="1"/>
  <c r="O26" i="12"/>
  <c r="E22" i="6"/>
  <c r="E28" i="6"/>
  <c r="E30" i="6" s="1"/>
  <c r="E135" i="2"/>
  <c r="O7" i="6"/>
  <c r="L71" i="7"/>
  <c r="L55" i="7"/>
  <c r="L98" i="7" s="1"/>
  <c r="J69" i="7"/>
  <c r="J53" i="7"/>
  <c r="I44" i="7"/>
  <c r="I60" i="7"/>
  <c r="I62" i="7"/>
  <c r="I46" i="7"/>
  <c r="J70" i="7"/>
  <c r="J54" i="7"/>
  <c r="H62" i="7"/>
  <c r="H46" i="7"/>
  <c r="H89" i="7" s="1"/>
  <c r="J98" i="7"/>
  <c r="J92" i="7"/>
  <c r="J95" i="7"/>
  <c r="N27" i="12"/>
  <c r="L27" i="12"/>
  <c r="Z27" i="12"/>
  <c r="H70" i="7"/>
  <c r="H54" i="7"/>
  <c r="H97" i="7" s="1"/>
  <c r="H95" i="7"/>
  <c r="H98" i="7"/>
  <c r="H92" i="7"/>
  <c r="O9" i="6"/>
  <c r="Y9" i="6" s="1"/>
  <c r="J48" i="7"/>
  <c r="J64" i="7"/>
  <c r="O11" i="6"/>
  <c r="Y11" i="6" s="1"/>
  <c r="E258" i="8"/>
  <c r="M159" i="7"/>
  <c r="M158" i="7"/>
  <c r="M39" i="7"/>
  <c r="M35" i="7"/>
  <c r="M28" i="7"/>
  <c r="M34" i="7"/>
  <c r="M29" i="7"/>
  <c r="M13" i="7"/>
  <c r="M8" i="7"/>
  <c r="M38" i="7"/>
  <c r="M36" i="7"/>
  <c r="M33" i="7"/>
  <c r="M7" i="7"/>
  <c r="M37" i="7"/>
  <c r="M6" i="7"/>
  <c r="N4" i="7"/>
  <c r="M14" i="7"/>
  <c r="M9" i="7"/>
  <c r="M5" i="5"/>
  <c r="M12" i="7"/>
  <c r="I53" i="7"/>
  <c r="I69" i="7"/>
  <c r="I14" i="8"/>
  <c r="J60" i="7"/>
  <c r="J44" i="7"/>
  <c r="I13" i="8"/>
  <c r="I12" i="8"/>
  <c r="O30" i="12"/>
  <c r="T30" i="12"/>
  <c r="U30" i="12" s="1"/>
  <c r="H64" i="7"/>
  <c r="H48" i="7"/>
  <c r="H91" i="7" s="1"/>
  <c r="J204" i="8" a="1"/>
  <c r="J204" i="8" s="1"/>
  <c r="J202" i="8"/>
  <c r="J19" i="8" a="1"/>
  <c r="J19" i="8" s="1"/>
  <c r="J17" i="8"/>
  <c r="J20" i="8"/>
  <c r="J7" i="8"/>
  <c r="J78" i="8" s="1"/>
  <c r="K5" i="8"/>
  <c r="J22" i="8"/>
  <c r="J42" i="8"/>
  <c r="J45" i="8" s="1"/>
  <c r="J21" i="8"/>
  <c r="J6" i="8"/>
  <c r="J4" i="8"/>
  <c r="J29" i="8"/>
  <c r="J14" i="8"/>
  <c r="K8" i="1"/>
  <c r="J43" i="8"/>
  <c r="J44" i="8" s="1"/>
  <c r="J47" i="8"/>
  <c r="J67" i="7"/>
  <c r="J51" i="7"/>
  <c r="V29" i="12"/>
  <c r="W29" i="12" s="1"/>
  <c r="M29" i="12"/>
  <c r="E318" i="4"/>
  <c r="E317" i="4"/>
  <c r="V31" i="12"/>
  <c r="W31" i="12" s="1"/>
  <c r="M31" i="12"/>
  <c r="I7" i="8"/>
  <c r="I78" i="8" s="1"/>
  <c r="I202" i="8"/>
  <c r="G70" i="3"/>
  <c r="H70" i="3" s="1"/>
  <c r="E81" i="3"/>
  <c r="E72" i="3"/>
  <c r="L62" i="7"/>
  <c r="L46" i="7"/>
  <c r="N33" i="12"/>
  <c r="L33" i="12"/>
  <c r="Z33" i="12"/>
  <c r="T31" i="12"/>
  <c r="U31" i="12" s="1"/>
  <c r="O31" i="12"/>
  <c r="H60" i="7"/>
  <c r="H44" i="7"/>
  <c r="J63" i="7"/>
  <c r="J47" i="7"/>
  <c r="L44" i="7"/>
  <c r="L60" i="7"/>
  <c r="M14" i="12"/>
  <c r="V14" i="12"/>
  <c r="I22" i="8"/>
  <c r="T14" i="6"/>
  <c r="S14" i="6"/>
  <c r="M14" i="6"/>
  <c r="O14" i="6" s="1"/>
  <c r="Y14" i="6" s="1"/>
  <c r="M30" i="12"/>
  <c r="V30" i="12"/>
  <c r="W30" i="12" s="1"/>
  <c r="K98" i="7"/>
  <c r="K92" i="7"/>
  <c r="K95" i="7"/>
  <c r="H78" i="3"/>
  <c r="E129" i="3"/>
  <c r="H129" i="3" s="1"/>
  <c r="T18" i="6"/>
  <c r="S18" i="6"/>
  <c r="M18" i="6"/>
  <c r="L51" i="7"/>
  <c r="L67" i="7"/>
  <c r="H69" i="7"/>
  <c r="H53" i="7"/>
  <c r="H96" i="7" s="1"/>
  <c r="L47" i="7"/>
  <c r="L63" i="7"/>
  <c r="I204" i="8" a="1"/>
  <c r="I204" i="8" s="1"/>
  <c r="I67" i="7"/>
  <c r="I51" i="7"/>
  <c r="T29" i="12"/>
  <c r="U29" i="12" s="1"/>
  <c r="O29" i="12"/>
  <c r="M32" i="12"/>
  <c r="V32" i="12"/>
  <c r="W32" i="12" s="1"/>
  <c r="E45" i="2"/>
  <c r="E51" i="2"/>
  <c r="F56" i="2"/>
  <c r="E52" i="2"/>
  <c r="E58" i="2"/>
  <c r="E54" i="2"/>
  <c r="F60" i="2"/>
  <c r="E53" i="2"/>
  <c r="E55" i="2"/>
  <c r="E57" i="2"/>
  <c r="J62" i="7"/>
  <c r="J46" i="7"/>
  <c r="K67" i="7"/>
  <c r="K51" i="7"/>
  <c r="H67" i="7"/>
  <c r="H51" i="7"/>
  <c r="T32" i="12"/>
  <c r="U32" i="12" s="1"/>
  <c r="O32" i="12"/>
  <c r="I63" i="7"/>
  <c r="I47" i="7"/>
  <c r="L48" i="7"/>
  <c r="L64" i="7"/>
  <c r="C141" i="3"/>
  <c r="AM53" i="12"/>
  <c r="AN53" i="12" s="1"/>
  <c r="J53" i="12"/>
  <c r="I21" i="8"/>
  <c r="V36" i="12"/>
  <c r="W36" i="12" s="1"/>
  <c r="M36" i="12"/>
  <c r="M8" i="6"/>
  <c r="S8" i="6"/>
  <c r="T8" i="6"/>
  <c r="J61" i="7"/>
  <c r="J45" i="7"/>
  <c r="H63" i="7"/>
  <c r="H47" i="7"/>
  <c r="E15" i="7"/>
  <c r="M15" i="7" s="1"/>
  <c r="H14" i="7"/>
  <c r="I14" i="7"/>
  <c r="J14" i="7"/>
  <c r="K14" i="7"/>
  <c r="L70" i="7"/>
  <c r="L54" i="7"/>
  <c r="L52" i="7"/>
  <c r="L95" i="7" s="1"/>
  <c r="L68" i="7"/>
  <c r="O14" i="12"/>
  <c r="T14" i="12"/>
  <c r="L66" i="7" l="1"/>
  <c r="H40" i="7"/>
  <c r="H41" i="7" s="1"/>
  <c r="H66" i="7"/>
  <c r="J40" i="7"/>
  <c r="I40" i="7"/>
  <c r="J50" i="7"/>
  <c r="J56" i="7" s="1"/>
  <c r="I10" i="8"/>
  <c r="I35" i="8" s="1"/>
  <c r="I50" i="7"/>
  <c r="I102" i="7" s="1"/>
  <c r="M31" i="7"/>
  <c r="M63" i="7" s="1"/>
  <c r="I88" i="7"/>
  <c r="K140" i="3"/>
  <c r="L89" i="7"/>
  <c r="J108" i="8"/>
  <c r="J122" i="8" s="1"/>
  <c r="J211" i="8" s="1"/>
  <c r="M32" i="7"/>
  <c r="M64" i="7" s="1"/>
  <c r="L94" i="7"/>
  <c r="H10" i="8"/>
  <c r="H35" i="8" s="1"/>
  <c r="L90" i="7"/>
  <c r="I27" i="8"/>
  <c r="I205" i="8" s="1"/>
  <c r="L91" i="7"/>
  <c r="H93" i="7"/>
  <c r="J97" i="7"/>
  <c r="J88" i="7"/>
  <c r="J87" i="7"/>
  <c r="K91" i="7"/>
  <c r="K94" i="7"/>
  <c r="J10" i="8"/>
  <c r="J9" i="8" s="1"/>
  <c r="J88" i="8" s="1"/>
  <c r="I91" i="7"/>
  <c r="J27" i="8"/>
  <c r="J205" i="8" s="1"/>
  <c r="I94" i="7"/>
  <c r="K89" i="7"/>
  <c r="I19" i="6"/>
  <c r="L97" i="7"/>
  <c r="J91" i="7"/>
  <c r="H25" i="7"/>
  <c r="I72" i="7"/>
  <c r="I74" i="7" s="1"/>
  <c r="J89" i="7"/>
  <c r="E321" i="4"/>
  <c r="J80" i="8"/>
  <c r="J79" i="8"/>
  <c r="I97" i="7"/>
  <c r="D18" i="12"/>
  <c r="D19" i="12" s="1"/>
  <c r="C43" i="12" s="1"/>
  <c r="C19" i="12"/>
  <c r="E18" i="12"/>
  <c r="J113" i="3"/>
  <c r="K90" i="7"/>
  <c r="I80" i="8"/>
  <c r="I79" i="8"/>
  <c r="J90" i="7"/>
  <c r="V15" i="12"/>
  <c r="W15" i="12" s="1"/>
  <c r="M15" i="12"/>
  <c r="M61" i="7"/>
  <c r="M45" i="7"/>
  <c r="J94" i="7"/>
  <c r="O15" i="12"/>
  <c r="T15" i="12"/>
  <c r="U15" i="12" s="1"/>
  <c r="I90" i="7"/>
  <c r="K135" i="3"/>
  <c r="K136" i="3"/>
  <c r="K137" i="3"/>
  <c r="K138" i="3"/>
  <c r="K139" i="3"/>
  <c r="E16" i="7"/>
  <c r="N16" i="7" s="1"/>
  <c r="H15" i="7"/>
  <c r="I15" i="7"/>
  <c r="J15" i="7"/>
  <c r="K15" i="7"/>
  <c r="L15" i="7"/>
  <c r="F57" i="2"/>
  <c r="G57" i="2"/>
  <c r="K97" i="7"/>
  <c r="H102" i="7"/>
  <c r="H56" i="7"/>
  <c r="J72" i="7"/>
  <c r="J74" i="7" s="1"/>
  <c r="N159" i="7"/>
  <c r="N158" i="7"/>
  <c r="N31" i="7"/>
  <c r="N30" i="7"/>
  <c r="N28" i="7"/>
  <c r="N9" i="7"/>
  <c r="N35" i="7"/>
  <c r="N34" i="7"/>
  <c r="N32" i="7"/>
  <c r="N29" i="7"/>
  <c r="N39" i="7"/>
  <c r="N38" i="7"/>
  <c r="N36" i="7"/>
  <c r="N33" i="7"/>
  <c r="N7" i="7"/>
  <c r="N37" i="7"/>
  <c r="N15" i="7"/>
  <c r="N6" i="7"/>
  <c r="O4" i="7"/>
  <c r="N14" i="7"/>
  <c r="N12" i="7"/>
  <c r="N13" i="7"/>
  <c r="N5" i="5"/>
  <c r="N8" i="7"/>
  <c r="U14" i="12"/>
  <c r="F55" i="2"/>
  <c r="G55" i="2"/>
  <c r="J13" i="8"/>
  <c r="J12" i="8"/>
  <c r="M66" i="7"/>
  <c r="M50" i="7"/>
  <c r="H18" i="8" a="1"/>
  <c r="I87" i="7"/>
  <c r="K131" i="7"/>
  <c r="K10" i="7"/>
  <c r="K6" i="5"/>
  <c r="L5" i="7"/>
  <c r="AE50" i="12"/>
  <c r="AD51" i="12"/>
  <c r="AD53" i="12"/>
  <c r="H78" i="8"/>
  <c r="G54" i="2"/>
  <c r="F54" i="2"/>
  <c r="J28" i="8" a="1"/>
  <c r="M53" i="7"/>
  <c r="M96" i="7" s="1"/>
  <c r="M69" i="7"/>
  <c r="J96" i="7"/>
  <c r="I96" i="7"/>
  <c r="T16" i="12"/>
  <c r="U16" i="12" s="1"/>
  <c r="O16" i="12"/>
  <c r="I23" i="7"/>
  <c r="I24" i="7" s="1"/>
  <c r="E136" i="2"/>
  <c r="E23" i="6"/>
  <c r="F53" i="2"/>
  <c r="G53" i="2"/>
  <c r="H205" i="8"/>
  <c r="M30" i="7"/>
  <c r="G58" i="2"/>
  <c r="F58" i="2"/>
  <c r="M51" i="7"/>
  <c r="M67" i="7"/>
  <c r="H90" i="7"/>
  <c r="H87" i="7"/>
  <c r="H11" i="8"/>
  <c r="I11" i="8"/>
  <c r="G52" i="2"/>
  <c r="F52" i="2"/>
  <c r="G72" i="3"/>
  <c r="H72" i="3" s="1"/>
  <c r="E131" i="3"/>
  <c r="H131" i="3" s="1"/>
  <c r="M65" i="7"/>
  <c r="M49" i="7"/>
  <c r="M92" i="7" s="1"/>
  <c r="M71" i="7"/>
  <c r="M55" i="7"/>
  <c r="H88" i="7"/>
  <c r="V16" i="12"/>
  <c r="W16" i="12" s="1"/>
  <c r="M16" i="12"/>
  <c r="G62" i="2"/>
  <c r="F62" i="2"/>
  <c r="E82" i="3"/>
  <c r="E84" i="3" s="1"/>
  <c r="O18" i="6"/>
  <c r="Y18" i="6" s="1"/>
  <c r="Y23" i="6" s="1"/>
  <c r="E61" i="2"/>
  <c r="E174" i="4"/>
  <c r="E176" i="4" s="1"/>
  <c r="K96" i="7"/>
  <c r="L72" i="7"/>
  <c r="L74" i="7" s="1"/>
  <c r="V33" i="12"/>
  <c r="W33" i="12" s="1"/>
  <c r="M33" i="12"/>
  <c r="H81" i="3"/>
  <c r="E83" i="3"/>
  <c r="M68" i="7"/>
  <c r="M52" i="7"/>
  <c r="H94" i="7"/>
  <c r="M27" i="12"/>
  <c r="V27" i="12"/>
  <c r="W27" i="12" s="1"/>
  <c r="I89" i="7"/>
  <c r="G358" i="8"/>
  <c r="G370" i="8" s="1"/>
  <c r="E72" i="2"/>
  <c r="M60" i="7"/>
  <c r="M44" i="7"/>
  <c r="W14" i="12"/>
  <c r="H72" i="7"/>
  <c r="Y7" i="6"/>
  <c r="E38" i="11"/>
  <c r="K28" i="7"/>
  <c r="G294" i="4" a="1"/>
  <c r="G294" i="4" s="1"/>
  <c r="O8" i="6"/>
  <c r="C142" i="3"/>
  <c r="K141" i="3"/>
  <c r="L96" i="7"/>
  <c r="F51" i="2"/>
  <c r="G51" i="2"/>
  <c r="E59" i="2"/>
  <c r="L102" i="7"/>
  <c r="L56" i="7"/>
  <c r="T33" i="12"/>
  <c r="U33" i="12" s="1"/>
  <c r="O33" i="12"/>
  <c r="K204" i="8" a="1"/>
  <c r="K204" i="8" s="1"/>
  <c r="K42" i="8"/>
  <c r="K45" i="8" s="1"/>
  <c r="K17" i="8"/>
  <c r="K20" i="8"/>
  <c r="K11" i="8"/>
  <c r="K10" i="8"/>
  <c r="K7" i="8"/>
  <c r="L5" i="8"/>
  <c r="K29" i="8"/>
  <c r="K6" i="8"/>
  <c r="K4" i="8"/>
  <c r="K19" i="8" a="1"/>
  <c r="K19" i="8" s="1"/>
  <c r="K14" i="8"/>
  <c r="L8" i="1"/>
  <c r="K47" i="8"/>
  <c r="K43" i="8"/>
  <c r="K44" i="8" s="1"/>
  <c r="K18" i="8" a="1"/>
  <c r="M70" i="7"/>
  <c r="M54" i="7"/>
  <c r="O27" i="12"/>
  <c r="T27" i="12"/>
  <c r="U27" i="12" s="1"/>
  <c r="L17" i="12"/>
  <c r="N17" i="12"/>
  <c r="Z17" i="12"/>
  <c r="G163" i="8"/>
  <c r="M15" i="6"/>
  <c r="J203" i="8" s="1" a="1"/>
  <c r="J203" i="8" s="1"/>
  <c r="T15" i="6"/>
  <c r="T19" i="6" s="1"/>
  <c r="S15" i="6"/>
  <c r="S19" i="6" s="1"/>
  <c r="F82" i="3"/>
  <c r="I41" i="7" l="1"/>
  <c r="J41" i="7" s="1"/>
  <c r="J102" i="7"/>
  <c r="K93" i="7"/>
  <c r="E323" i="4"/>
  <c r="J93" i="7"/>
  <c r="J99" i="7" s="1"/>
  <c r="M48" i="7"/>
  <c r="M91" i="7" s="1"/>
  <c r="I37" i="8"/>
  <c r="I55" i="8"/>
  <c r="I66" i="8" s="1"/>
  <c r="I81" i="8"/>
  <c r="I90" i="8"/>
  <c r="I310" i="8" a="1"/>
  <c r="I310" i="8" s="1"/>
  <c r="I62" i="8"/>
  <c r="I46" i="8"/>
  <c r="I8" i="8"/>
  <c r="I72" i="8" s="1"/>
  <c r="I93" i="7"/>
  <c r="I99" i="7" s="1"/>
  <c r="L93" i="7"/>
  <c r="I56" i="7"/>
  <c r="I103" i="7" s="1"/>
  <c r="I124" i="7" s="1"/>
  <c r="I161" i="7" s="1"/>
  <c r="J28" i="8"/>
  <c r="J30" i="8" s="1"/>
  <c r="J115" i="8" s="1"/>
  <c r="I9" i="8"/>
  <c r="I88" i="8" s="1"/>
  <c r="M40" i="7"/>
  <c r="J46" i="8"/>
  <c r="J8" i="8"/>
  <c r="J72" i="8" s="1"/>
  <c r="M47" i="7"/>
  <c r="M90" i="7" s="1"/>
  <c r="J310" i="8" a="1"/>
  <c r="J310" i="8" s="1"/>
  <c r="H81" i="8"/>
  <c r="H55" i="8"/>
  <c r="H63" i="8" s="1"/>
  <c r="H18" i="8"/>
  <c r="K27" i="1"/>
  <c r="H37" i="8"/>
  <c r="H90" i="8"/>
  <c r="H310" i="8" a="1"/>
  <c r="H310" i="8" s="1"/>
  <c r="H62" i="8"/>
  <c r="H46" i="8"/>
  <c r="H8" i="8"/>
  <c r="H39" i="8" s="1"/>
  <c r="J55" i="8"/>
  <c r="J64" i="8" s="1"/>
  <c r="J81" i="8"/>
  <c r="J90" i="8"/>
  <c r="J37" i="8"/>
  <c r="H9" i="8"/>
  <c r="H88" i="8" s="1"/>
  <c r="H89" i="8" s="1"/>
  <c r="H120" i="8" s="1"/>
  <c r="K18" i="8"/>
  <c r="J62" i="8"/>
  <c r="J35" i="8"/>
  <c r="K108" i="8"/>
  <c r="K107" i="8"/>
  <c r="K60" i="7"/>
  <c r="K44" i="7"/>
  <c r="H99" i="7"/>
  <c r="N63" i="7"/>
  <c r="N47" i="7"/>
  <c r="F128" i="3"/>
  <c r="F84" i="3"/>
  <c r="H38" i="11"/>
  <c r="H39" i="11" s="1"/>
  <c r="K38" i="11"/>
  <c r="K39" i="11" s="1"/>
  <c r="E119" i="3"/>
  <c r="F119" i="3"/>
  <c r="F120" i="3" s="1"/>
  <c r="F126" i="3" s="1"/>
  <c r="F127" i="3" s="1"/>
  <c r="E39" i="11"/>
  <c r="H80" i="8"/>
  <c r="H79" i="8"/>
  <c r="N65" i="7"/>
  <c r="N49" i="7"/>
  <c r="N92" i="7" s="1"/>
  <c r="C44" i="12"/>
  <c r="E43" i="12"/>
  <c r="D43" i="12"/>
  <c r="N68" i="7"/>
  <c r="N52" i="7"/>
  <c r="N95" i="7" s="1"/>
  <c r="Y24" i="6"/>
  <c r="E199" i="2"/>
  <c r="H361" i="8"/>
  <c r="H362" i="8"/>
  <c r="I362" i="8"/>
  <c r="I361" i="8"/>
  <c r="J362" i="8"/>
  <c r="J364" i="8" s="1"/>
  <c r="J361" i="8"/>
  <c r="I107" i="8"/>
  <c r="I108" i="8"/>
  <c r="I110" i="7"/>
  <c r="I117" i="7"/>
  <c r="I204" i="7" s="1"/>
  <c r="N70" i="7"/>
  <c r="N54" i="7"/>
  <c r="N97" i="7" s="1"/>
  <c r="F61" i="2"/>
  <c r="G61" i="2"/>
  <c r="H108" i="8"/>
  <c r="H107" i="8"/>
  <c r="M98" i="7"/>
  <c r="AD54" i="12"/>
  <c r="AE54" i="12" s="1"/>
  <c r="AE53" i="12"/>
  <c r="N71" i="7"/>
  <c r="N55" i="7"/>
  <c r="N98" i="7" s="1"/>
  <c r="E17" i="7"/>
  <c r="O17" i="7" s="1"/>
  <c r="H16" i="7"/>
  <c r="I16" i="7"/>
  <c r="J16" i="7"/>
  <c r="K16" i="7"/>
  <c r="L16" i="7"/>
  <c r="M16" i="7"/>
  <c r="H74" i="7"/>
  <c r="H82" i="3"/>
  <c r="E128" i="3"/>
  <c r="M93" i="7"/>
  <c r="N48" i="7"/>
  <c r="N64" i="7"/>
  <c r="H110" i="7"/>
  <c r="H117" i="7"/>
  <c r="O15" i="6"/>
  <c r="M19" i="6"/>
  <c r="E24" i="6" s="1"/>
  <c r="I203" i="8" a="1"/>
  <c r="I203" i="8" s="1"/>
  <c r="J18" i="8" a="1"/>
  <c r="J18" i="8" s="1"/>
  <c r="H203" i="8" a="1"/>
  <c r="H203" i="8" s="1"/>
  <c r="AE51" i="12"/>
  <c r="AD52" i="12"/>
  <c r="AE52" i="12" s="1"/>
  <c r="H28" i="8" a="1"/>
  <c r="H28" i="8" s="1"/>
  <c r="O158" i="7"/>
  <c r="O159" i="7"/>
  <c r="O36" i="7"/>
  <c r="O32" i="7"/>
  <c r="O28" i="7"/>
  <c r="O39" i="7"/>
  <c r="O35" i="7"/>
  <c r="O31" i="7"/>
  <c r="O34" i="7"/>
  <c r="O29" i="7"/>
  <c r="O13" i="7"/>
  <c r="O8" i="7"/>
  <c r="O38" i="7"/>
  <c r="O33" i="7"/>
  <c r="O37" i="7"/>
  <c r="O15" i="7"/>
  <c r="P4" i="7"/>
  <c r="O12" i="7"/>
  <c r="O14" i="7"/>
  <c r="O16" i="7"/>
  <c r="O30" i="7"/>
  <c r="O9" i="7"/>
  <c r="O7" i="7"/>
  <c r="O6" i="7"/>
  <c r="O5" i="5"/>
  <c r="N66" i="7"/>
  <c r="N50" i="7"/>
  <c r="N93" i="7" s="1"/>
  <c r="J366" i="8"/>
  <c r="J321" i="8"/>
  <c r="J48" i="8"/>
  <c r="E125" i="3"/>
  <c r="H83" i="3"/>
  <c r="J22" i="7"/>
  <c r="I25" i="7"/>
  <c r="N61" i="7"/>
  <c r="N45" i="7"/>
  <c r="H103" i="7"/>
  <c r="H57" i="7"/>
  <c r="M94" i="7"/>
  <c r="O17" i="12"/>
  <c r="T17" i="12"/>
  <c r="U17" i="12" s="1"/>
  <c r="K28" i="8" a="1"/>
  <c r="K28" i="8" s="1"/>
  <c r="L103" i="7"/>
  <c r="C143" i="3"/>
  <c r="K142" i="3"/>
  <c r="N51" i="7"/>
  <c r="N67" i="7"/>
  <c r="K203" i="8" a="1"/>
  <c r="K203" i="8" s="1"/>
  <c r="M97" i="7"/>
  <c r="M17" i="12"/>
  <c r="V17" i="12"/>
  <c r="W17" i="12" s="1"/>
  <c r="K361" i="8"/>
  <c r="L204" i="8" a="1"/>
  <c r="L204" i="8" s="1"/>
  <c r="L202" i="8"/>
  <c r="L17" i="8"/>
  <c r="L22" i="8"/>
  <c r="L20" i="8"/>
  <c r="L11" i="8"/>
  <c r="L10" i="8"/>
  <c r="L29" i="8"/>
  <c r="L6" i="8"/>
  <c r="L4" i="8"/>
  <c r="L21" i="8"/>
  <c r="L19" i="8" a="1"/>
  <c r="L19" i="8" s="1"/>
  <c r="L42" i="8"/>
  <c r="L45" i="8" s="1"/>
  <c r="L7" i="8"/>
  <c r="M5" i="8"/>
  <c r="L14" i="8"/>
  <c r="M8" i="1"/>
  <c r="L361" i="8"/>
  <c r="L47" i="8"/>
  <c r="L362" i="8"/>
  <c r="L43" i="8"/>
  <c r="L44" i="8" s="1"/>
  <c r="L203" i="8" a="1"/>
  <c r="L203" i="8" s="1"/>
  <c r="L18" i="8" a="1"/>
  <c r="L18" i="8" s="1"/>
  <c r="L28" i="8" a="1"/>
  <c r="L28" i="8" s="1"/>
  <c r="L110" i="7"/>
  <c r="L117" i="7"/>
  <c r="L204" i="7" s="1"/>
  <c r="I18" i="8" a="1"/>
  <c r="I18" i="8" s="1"/>
  <c r="L131" i="7"/>
  <c r="M5" i="7"/>
  <c r="L6" i="5"/>
  <c r="L10" i="7"/>
  <c r="J103" i="7"/>
  <c r="K27" i="8"/>
  <c r="N40" i="7"/>
  <c r="N44" i="7"/>
  <c r="N60" i="7"/>
  <c r="J110" i="7"/>
  <c r="J117" i="7"/>
  <c r="J204" i="7" s="1"/>
  <c r="I28" i="8" a="1"/>
  <c r="I28" i="8" s="1"/>
  <c r="I30" i="8" s="1"/>
  <c r="K13" i="8"/>
  <c r="K12" i="8"/>
  <c r="F59" i="2"/>
  <c r="G59" i="2"/>
  <c r="Y8" i="6"/>
  <c r="K29" i="7"/>
  <c r="K40" i="7" s="1"/>
  <c r="M62" i="7"/>
  <c r="M72" i="7" s="1"/>
  <c r="M74" i="7" s="1"/>
  <c r="M46" i="7"/>
  <c r="K362" i="8"/>
  <c r="K310" i="8" a="1"/>
  <c r="K310" i="8" s="1"/>
  <c r="K90" i="8"/>
  <c r="K81" i="8"/>
  <c r="K55" i="8"/>
  <c r="K37" i="8"/>
  <c r="K9" i="8"/>
  <c r="K88" i="8" s="1"/>
  <c r="K89" i="8" s="1"/>
  <c r="K120" i="8" s="1"/>
  <c r="K8" i="8"/>
  <c r="K46" i="8"/>
  <c r="K62" i="8"/>
  <c r="K35" i="8"/>
  <c r="E294" i="4" a="1"/>
  <c r="E294" i="4" s="1"/>
  <c r="G296" i="4" a="1"/>
  <c r="G296" i="4" s="1"/>
  <c r="M95" i="7"/>
  <c r="N53" i="7"/>
  <c r="N96" i="7" s="1"/>
  <c r="N69" i="7"/>
  <c r="N62" i="7"/>
  <c r="N46" i="7"/>
  <c r="F18" i="12"/>
  <c r="E19" i="12"/>
  <c r="G18" i="12"/>
  <c r="I64" i="8" l="1"/>
  <c r="E36" i="8"/>
  <c r="Z36" i="8" s="1"/>
  <c r="E46" i="2"/>
  <c r="I39" i="8"/>
  <c r="I60" i="8"/>
  <c r="I63" i="8"/>
  <c r="I65" i="8"/>
  <c r="H65" i="8"/>
  <c r="I61" i="8"/>
  <c r="H61" i="8"/>
  <c r="H66" i="8"/>
  <c r="J105" i="8"/>
  <c r="M56" i="7"/>
  <c r="H72" i="8"/>
  <c r="I364" i="8"/>
  <c r="J61" i="8"/>
  <c r="I48" i="8"/>
  <c r="I366" i="8"/>
  <c r="I321" i="8"/>
  <c r="J39" i="8"/>
  <c r="N90" i="7"/>
  <c r="H64" i="8"/>
  <c r="H60" i="8"/>
  <c r="H48" i="8"/>
  <c r="H321" i="8"/>
  <c r="J65" i="8"/>
  <c r="J63" i="8"/>
  <c r="J66" i="8"/>
  <c r="J60" i="8"/>
  <c r="H366" i="8"/>
  <c r="H364" i="8"/>
  <c r="I134" i="7"/>
  <c r="I205" i="7" s="1"/>
  <c r="I89" i="8"/>
  <c r="I120" i="8" s="1"/>
  <c r="K41" i="7"/>
  <c r="L41" i="7" s="1"/>
  <c r="M41" i="7" s="1"/>
  <c r="N41" i="7" s="1"/>
  <c r="L62" i="8"/>
  <c r="M204" i="8" a="1"/>
  <c r="M204" i="8" s="1"/>
  <c r="M202" i="8"/>
  <c r="M42" i="8"/>
  <c r="M45" i="8" s="1"/>
  <c r="M7" i="8"/>
  <c r="N5" i="8"/>
  <c r="M29" i="8"/>
  <c r="M21" i="8"/>
  <c r="M22" i="8"/>
  <c r="M19" i="8" a="1"/>
  <c r="M19" i="8" s="1"/>
  <c r="M17" i="8"/>
  <c r="M11" i="8"/>
  <c r="M10" i="8"/>
  <c r="M14" i="8"/>
  <c r="M6" i="8"/>
  <c r="M4" i="8"/>
  <c r="N8" i="1"/>
  <c r="M47" i="8"/>
  <c r="M362" i="8"/>
  <c r="M361" i="8"/>
  <c r="M43" i="8"/>
  <c r="M44" i="8" s="1"/>
  <c r="M18" i="8" a="1"/>
  <c r="M18" i="8" s="1"/>
  <c r="M203" i="8" a="1"/>
  <c r="M203" i="8" s="1"/>
  <c r="M28" i="8" a="1"/>
  <c r="M28" i="8" s="1"/>
  <c r="O65" i="7"/>
  <c r="O49" i="7"/>
  <c r="O92" i="7" s="1"/>
  <c r="H160" i="7"/>
  <c r="H111" i="7"/>
  <c r="H112" i="7" s="1"/>
  <c r="P36" i="8"/>
  <c r="AM36" i="8"/>
  <c r="AA36" i="8"/>
  <c r="O36" i="8"/>
  <c r="AL36" i="8"/>
  <c r="N36" i="8"/>
  <c r="Y36" i="8"/>
  <c r="X36" i="8"/>
  <c r="U36" i="8"/>
  <c r="AP36" i="8"/>
  <c r="T36" i="8"/>
  <c r="L36" i="8"/>
  <c r="AG36" i="8"/>
  <c r="AF36" i="8"/>
  <c r="J36" i="8"/>
  <c r="J38" i="8" s="1"/>
  <c r="I36" i="8"/>
  <c r="I38" i="8" s="1"/>
  <c r="AI36" i="8"/>
  <c r="R36" i="8"/>
  <c r="G43" i="12"/>
  <c r="F32" i="11"/>
  <c r="I32" i="11" s="1"/>
  <c r="F43" i="12"/>
  <c r="L87" i="7"/>
  <c r="K87" i="7"/>
  <c r="M87" i="7"/>
  <c r="L27" i="8"/>
  <c r="J23" i="7"/>
  <c r="J24" i="7" s="1"/>
  <c r="O70" i="7"/>
  <c r="O54" i="7"/>
  <c r="O97" i="7" s="1"/>
  <c r="I122" i="8"/>
  <c r="I211" i="8" s="1"/>
  <c r="J27" i="1"/>
  <c r="E44" i="12"/>
  <c r="D44" i="12"/>
  <c r="J114" i="3"/>
  <c r="J124" i="7"/>
  <c r="J161" i="7" s="1"/>
  <c r="J134" i="7"/>
  <c r="J205" i="7" s="1"/>
  <c r="H30" i="8"/>
  <c r="H125" i="3"/>
  <c r="O46" i="7"/>
  <c r="O89" i="7" s="1"/>
  <c r="O62" i="7"/>
  <c r="N94" i="7"/>
  <c r="K122" i="8"/>
  <c r="K211" i="8" s="1"/>
  <c r="L27" i="1"/>
  <c r="O61" i="7"/>
  <c r="O45" i="7"/>
  <c r="J363" i="8"/>
  <c r="N87" i="7"/>
  <c r="I105" i="8"/>
  <c r="I115" i="8"/>
  <c r="J160" i="7"/>
  <c r="L13" i="8"/>
  <c r="L12" i="8"/>
  <c r="C144" i="3"/>
  <c r="K143" i="3"/>
  <c r="O50" i="7"/>
  <c r="O93" i="7" s="1"/>
  <c r="O66" i="7"/>
  <c r="H122" i="8"/>
  <c r="I27" i="1"/>
  <c r="I160" i="7"/>
  <c r="N91" i="7"/>
  <c r="J89" i="8"/>
  <c r="J120" i="8" s="1"/>
  <c r="K363" i="8"/>
  <c r="M89" i="7"/>
  <c r="N72" i="7"/>
  <c r="N74" i="7" s="1"/>
  <c r="M131" i="7"/>
  <c r="M10" i="7"/>
  <c r="N5" i="7"/>
  <c r="M6" i="5"/>
  <c r="O47" i="7"/>
  <c r="O90" i="7" s="1"/>
  <c r="O63" i="7"/>
  <c r="I363" i="8"/>
  <c r="L363" i="8"/>
  <c r="O51" i="7"/>
  <c r="O94" i="7" s="1"/>
  <c r="O67" i="7"/>
  <c r="H363" i="8"/>
  <c r="N89" i="7"/>
  <c r="K66" i="8"/>
  <c r="K64" i="8"/>
  <c r="K65" i="8"/>
  <c r="K60" i="8"/>
  <c r="K63" i="8"/>
  <c r="K61" i="8"/>
  <c r="Z18" i="12"/>
  <c r="N18" i="12"/>
  <c r="L18" i="12"/>
  <c r="N102" i="7"/>
  <c r="N56" i="7"/>
  <c r="L310" i="8" a="1"/>
  <c r="L310" i="8" s="1"/>
  <c r="L81" i="8"/>
  <c r="L90" i="8"/>
  <c r="L55" i="8"/>
  <c r="L37" i="8"/>
  <c r="L9" i="8"/>
  <c r="L88" i="8" s="1"/>
  <c r="L89" i="8" s="1"/>
  <c r="L120" i="8" s="1"/>
  <c r="L8" i="8"/>
  <c r="L46" i="8"/>
  <c r="L35" i="8"/>
  <c r="I57" i="7"/>
  <c r="J57" i="7" s="1"/>
  <c r="P158" i="7"/>
  <c r="P159" i="7"/>
  <c r="P38" i="7"/>
  <c r="P34" i="7"/>
  <c r="P30" i="7"/>
  <c r="P35" i="7"/>
  <c r="P33" i="7"/>
  <c r="P32" i="7"/>
  <c r="P7" i="7"/>
  <c r="P39" i="7"/>
  <c r="P37" i="7"/>
  <c r="P36" i="7"/>
  <c r="P15" i="7"/>
  <c r="P17" i="7"/>
  <c r="P12" i="7"/>
  <c r="P16" i="7"/>
  <c r="P31" i="7"/>
  <c r="P29" i="7"/>
  <c r="P28" i="7"/>
  <c r="P14" i="7"/>
  <c r="P6" i="7"/>
  <c r="P8" i="7"/>
  <c r="P9" i="7"/>
  <c r="Q4" i="7"/>
  <c r="P5" i="5"/>
  <c r="P13" i="7"/>
  <c r="O55" i="7"/>
  <c r="O98" i="7" s="1"/>
  <c r="O71" i="7"/>
  <c r="H128" i="3"/>
  <c r="G19" i="12"/>
  <c r="F19" i="12"/>
  <c r="K72" i="8"/>
  <c r="K39" i="8"/>
  <c r="K364" i="8"/>
  <c r="K321" i="8"/>
  <c r="K366" i="8"/>
  <c r="K48" i="8"/>
  <c r="M102" i="7"/>
  <c r="L108" i="8"/>
  <c r="L107" i="8"/>
  <c r="H124" i="7"/>
  <c r="H134" i="7"/>
  <c r="O60" i="7"/>
  <c r="O40" i="7"/>
  <c r="O44" i="7"/>
  <c r="O87" i="7" s="1"/>
  <c r="H17" i="7"/>
  <c r="I17" i="7"/>
  <c r="J17" i="7"/>
  <c r="K17" i="7"/>
  <c r="L17" i="7"/>
  <c r="M17" i="7"/>
  <c r="N17" i="7"/>
  <c r="K61" i="7"/>
  <c r="K45" i="7"/>
  <c r="K102" i="7" s="1"/>
  <c r="L124" i="7"/>
  <c r="L161" i="7" s="1"/>
  <c r="L134" i="7"/>
  <c r="L205" i="7" s="1"/>
  <c r="O64" i="7"/>
  <c r="O48" i="7"/>
  <c r="O91" i="7" s="1"/>
  <c r="Y15" i="6"/>
  <c r="Y19" i="6" s="1"/>
  <c r="E26" i="6"/>
  <c r="E137" i="2" s="1"/>
  <c r="O19" i="6"/>
  <c r="E27" i="6" a="1"/>
  <c r="E27" i="6" s="1"/>
  <c r="E138" i="2" s="1"/>
  <c r="E120" i="3"/>
  <c r="K205" i="8"/>
  <c r="K30" i="8"/>
  <c r="L160" i="7"/>
  <c r="O69" i="7"/>
  <c r="O53" i="7"/>
  <c r="O68" i="7"/>
  <c r="O52" i="7"/>
  <c r="H204" i="7"/>
  <c r="H118" i="7"/>
  <c r="H119" i="7" s="1"/>
  <c r="H79" i="7"/>
  <c r="H82" i="7"/>
  <c r="H75" i="7"/>
  <c r="H76" i="7" s="1"/>
  <c r="C48" i="12"/>
  <c r="J118" i="3"/>
  <c r="F143" i="3" s="1"/>
  <c r="AJ36" i="8" l="1"/>
  <c r="AQ36" i="8"/>
  <c r="AB36" i="8"/>
  <c r="H36" i="8"/>
  <c r="H38" i="8" s="1"/>
  <c r="V36" i="8"/>
  <c r="AN36" i="8"/>
  <c r="AD36" i="8"/>
  <c r="W36" i="8"/>
  <c r="Q36" i="8"/>
  <c r="AE36" i="8"/>
  <c r="M36" i="8"/>
  <c r="AO36" i="8"/>
  <c r="K36" i="8"/>
  <c r="K38" i="8" s="1"/>
  <c r="AK36" i="8"/>
  <c r="AC36" i="8"/>
  <c r="S36" i="8"/>
  <c r="AH36" i="8"/>
  <c r="H367" i="8"/>
  <c r="H87" i="8" s="1"/>
  <c r="H105" i="3"/>
  <c r="H112" i="3"/>
  <c r="H95" i="3"/>
  <c r="H114" i="3"/>
  <c r="H118" i="3"/>
  <c r="H116" i="3"/>
  <c r="H88" i="3"/>
  <c r="H110" i="3"/>
  <c r="H94" i="3"/>
  <c r="H89" i="3"/>
  <c r="Y22" i="6"/>
  <c r="H111" i="3"/>
  <c r="H115" i="3"/>
  <c r="H92" i="3"/>
  <c r="H107" i="3"/>
  <c r="H100" i="3"/>
  <c r="H119" i="3"/>
  <c r="H103" i="3"/>
  <c r="H102" i="3"/>
  <c r="H120" i="7"/>
  <c r="I116" i="7" s="1"/>
  <c r="I118" i="7" s="1"/>
  <c r="M62" i="8"/>
  <c r="H104" i="3"/>
  <c r="H86" i="3"/>
  <c r="K22" i="7"/>
  <c r="J25" i="7"/>
  <c r="H113" i="7"/>
  <c r="I109" i="7" s="1"/>
  <c r="K110" i="7"/>
  <c r="K117" i="7"/>
  <c r="M110" i="7"/>
  <c r="M117" i="7"/>
  <c r="M204" i="7" s="1"/>
  <c r="P52" i="7"/>
  <c r="P95" i="7" s="1"/>
  <c r="P68" i="7"/>
  <c r="N103" i="7"/>
  <c r="O96" i="7"/>
  <c r="K56" i="7"/>
  <c r="K57" i="7" s="1"/>
  <c r="L57" i="7" s="1"/>
  <c r="M57" i="7" s="1"/>
  <c r="N57" i="7" s="1"/>
  <c r="O102" i="7"/>
  <c r="O56" i="7"/>
  <c r="P53" i="7"/>
  <c r="P96" i="7" s="1"/>
  <c r="P69" i="7"/>
  <c r="N110" i="7"/>
  <c r="N117" i="7"/>
  <c r="N204" i="7" s="1"/>
  <c r="J59" i="8"/>
  <c r="J53" i="8"/>
  <c r="J56" i="8"/>
  <c r="J57" i="8"/>
  <c r="J52" i="8"/>
  <c r="J49" i="8"/>
  <c r="M363" i="8"/>
  <c r="H117" i="3"/>
  <c r="E31" i="6"/>
  <c r="E25" i="6"/>
  <c r="P71" i="7"/>
  <c r="P55" i="7"/>
  <c r="P98" i="7" s="1"/>
  <c r="L38" i="8"/>
  <c r="H211" i="8"/>
  <c r="E48" i="12"/>
  <c r="D48" i="12"/>
  <c r="L88" i="7"/>
  <c r="K88" i="7"/>
  <c r="K99" i="7" s="1"/>
  <c r="M88" i="7"/>
  <c r="M99" i="7" s="1"/>
  <c r="N88" i="7"/>
  <c r="N99" i="7" s="1"/>
  <c r="O72" i="7"/>
  <c r="O74" i="7" s="1"/>
  <c r="M103" i="7"/>
  <c r="V18" i="12"/>
  <c r="M18" i="12"/>
  <c r="N204" i="8" a="1"/>
  <c r="N204" i="8" s="1"/>
  <c r="N202" i="8"/>
  <c r="N21" i="8"/>
  <c r="N7" i="8"/>
  <c r="O5" i="8"/>
  <c r="N29" i="8"/>
  <c r="N6" i="8"/>
  <c r="N4" i="8"/>
  <c r="N22" i="8"/>
  <c r="N14" i="8"/>
  <c r="N42" i="8"/>
  <c r="N45" i="8" s="1"/>
  <c r="N20" i="8"/>
  <c r="N17" i="8"/>
  <c r="N19" i="8" a="1"/>
  <c r="N19" i="8" s="1"/>
  <c r="N11" i="8"/>
  <c r="N10" i="8"/>
  <c r="O8" i="1"/>
  <c r="N362" i="8"/>
  <c r="N43" i="8"/>
  <c r="N44" i="8" s="1"/>
  <c r="N361" i="8"/>
  <c r="N47" i="8"/>
  <c r="N203" i="8" a="1"/>
  <c r="N203" i="8" s="1"/>
  <c r="N18" i="8" a="1"/>
  <c r="N18" i="8" s="1"/>
  <c r="N28" i="8" a="1"/>
  <c r="N28" i="8" s="1"/>
  <c r="H93" i="3"/>
  <c r="P40" i="7"/>
  <c r="P60" i="7"/>
  <c r="P44" i="7"/>
  <c r="P64" i="7"/>
  <c r="P48" i="7"/>
  <c r="T18" i="12"/>
  <c r="O18" i="12"/>
  <c r="K59" i="8"/>
  <c r="K53" i="8"/>
  <c r="K56" i="8"/>
  <c r="K52" i="8"/>
  <c r="K57" i="8"/>
  <c r="K49" i="8"/>
  <c r="K72" i="7"/>
  <c r="L43" i="12"/>
  <c r="N43" i="12"/>
  <c r="Z43" i="12"/>
  <c r="M13" i="8"/>
  <c r="M12" i="8"/>
  <c r="M27" i="8"/>
  <c r="I73" i="7"/>
  <c r="K105" i="8"/>
  <c r="K115" i="8"/>
  <c r="H98" i="3"/>
  <c r="H205" i="7"/>
  <c r="L72" i="8"/>
  <c r="L39" i="8"/>
  <c r="H87" i="3"/>
  <c r="H99" i="3"/>
  <c r="H91" i="3"/>
  <c r="H161" i="7"/>
  <c r="P61" i="7"/>
  <c r="P45" i="7"/>
  <c r="P65" i="7"/>
  <c r="P49" i="7"/>
  <c r="P92" i="7" s="1"/>
  <c r="L364" i="8"/>
  <c r="L366" i="8"/>
  <c r="L321" i="8"/>
  <c r="L48" i="8"/>
  <c r="F141" i="3"/>
  <c r="E141" i="3"/>
  <c r="E136" i="3"/>
  <c r="E137" i="3"/>
  <c r="F142" i="3"/>
  <c r="E142" i="3"/>
  <c r="E138" i="3"/>
  <c r="E135" i="3"/>
  <c r="F139" i="3"/>
  <c r="F140" i="3"/>
  <c r="E139" i="3"/>
  <c r="E140" i="3"/>
  <c r="F135" i="3"/>
  <c r="F137" i="3"/>
  <c r="L205" i="8"/>
  <c r="L30" i="8"/>
  <c r="E126" i="3"/>
  <c r="Q159" i="7"/>
  <c r="Q158" i="7"/>
  <c r="Q39" i="7"/>
  <c r="Q38" i="7"/>
  <c r="Q37" i="7"/>
  <c r="Q36" i="7"/>
  <c r="Q15" i="7"/>
  <c r="Q6" i="7"/>
  <c r="Q17" i="7"/>
  <c r="Q12" i="7"/>
  <c r="Q14" i="7"/>
  <c r="Q16" i="7"/>
  <c r="Q9" i="7"/>
  <c r="Q31" i="7"/>
  <c r="Q30" i="7"/>
  <c r="Q29" i="7"/>
  <c r="Q28" i="7"/>
  <c r="Q13" i="7"/>
  <c r="Q35" i="7"/>
  <c r="Q34" i="7"/>
  <c r="Q33" i="7"/>
  <c r="Q32" i="7"/>
  <c r="Q7" i="7"/>
  <c r="Q5" i="5"/>
  <c r="Q8" i="7"/>
  <c r="R4" i="7"/>
  <c r="F136" i="3"/>
  <c r="F138" i="3"/>
  <c r="H90" i="3"/>
  <c r="H106" i="3"/>
  <c r="H109" i="3"/>
  <c r="H97" i="3"/>
  <c r="H96" i="3"/>
  <c r="P63" i="7"/>
  <c r="P47" i="7"/>
  <c r="P90" i="7" s="1"/>
  <c r="P67" i="7"/>
  <c r="P51" i="7"/>
  <c r="P94" i="7" s="1"/>
  <c r="N131" i="7"/>
  <c r="O5" i="7"/>
  <c r="N6" i="5"/>
  <c r="N10" i="7"/>
  <c r="E143" i="3"/>
  <c r="O41" i="7"/>
  <c r="H105" i="8"/>
  <c r="H115" i="8"/>
  <c r="H31" i="8"/>
  <c r="I31" i="8" s="1"/>
  <c r="J31" i="8" s="1"/>
  <c r="K31" i="8" s="1"/>
  <c r="G44" i="12"/>
  <c r="F44" i="12"/>
  <c r="F33" i="11"/>
  <c r="I33" i="11" s="1"/>
  <c r="M310" i="8" a="1"/>
  <c r="M310" i="8" s="1"/>
  <c r="M55" i="8"/>
  <c r="M9" i="8"/>
  <c r="M90" i="8" s="1"/>
  <c r="M8" i="8"/>
  <c r="M46" i="8"/>
  <c r="M35" i="8"/>
  <c r="L122" i="8"/>
  <c r="L211" i="8" s="1"/>
  <c r="M27" i="1"/>
  <c r="P62" i="7"/>
  <c r="P46" i="7"/>
  <c r="P89" i="7" s="1"/>
  <c r="H113" i="3"/>
  <c r="N19" i="12"/>
  <c r="N54" i="12" s="1"/>
  <c r="L19" i="12"/>
  <c r="Z19" i="12"/>
  <c r="P50" i="7"/>
  <c r="P93" i="7" s="1"/>
  <c r="P66" i="7"/>
  <c r="M107" i="8"/>
  <c r="M108" i="8"/>
  <c r="L66" i="8"/>
  <c r="L61" i="8"/>
  <c r="L63" i="8"/>
  <c r="L65" i="8"/>
  <c r="L64" i="8"/>
  <c r="L60" i="8"/>
  <c r="H83" i="7"/>
  <c r="H84" i="7" s="1"/>
  <c r="I81" i="7" s="1"/>
  <c r="P70" i="7"/>
  <c r="P54" i="7"/>
  <c r="P97" i="7" s="1"/>
  <c r="O95" i="7"/>
  <c r="H57" i="8"/>
  <c r="H53" i="8"/>
  <c r="H59" i="8"/>
  <c r="H56" i="8"/>
  <c r="H52" i="8"/>
  <c r="H49" i="8"/>
  <c r="H163" i="7"/>
  <c r="H207" i="7"/>
  <c r="H108" i="3"/>
  <c r="H101" i="3"/>
  <c r="O88" i="7"/>
  <c r="C145" i="3"/>
  <c r="K144" i="3"/>
  <c r="F144" i="3"/>
  <c r="E144" i="3"/>
  <c r="L99" i="7"/>
  <c r="I49" i="8"/>
  <c r="I53" i="8"/>
  <c r="I59" i="8"/>
  <c r="I56" i="8"/>
  <c r="I57" i="8"/>
  <c r="I52" i="8"/>
  <c r="P41" i="7" l="1"/>
  <c r="O57" i="7"/>
  <c r="N62" i="8"/>
  <c r="H144" i="3"/>
  <c r="H143" i="3"/>
  <c r="I119" i="7"/>
  <c r="I120" i="7" s="1"/>
  <c r="J116" i="7" s="1"/>
  <c r="J118" i="7" s="1"/>
  <c r="H138" i="3"/>
  <c r="P88" i="7"/>
  <c r="O43" i="12"/>
  <c r="T43" i="12"/>
  <c r="U43" i="12" s="1"/>
  <c r="N124" i="7"/>
  <c r="N161" i="7" s="1"/>
  <c r="N134" i="7"/>
  <c r="N205" i="7" s="1"/>
  <c r="N44" i="12"/>
  <c r="L44" i="12"/>
  <c r="Z44" i="12"/>
  <c r="H126" i="3"/>
  <c r="E127" i="3"/>
  <c r="H127" i="3" s="1"/>
  <c r="M43" i="12"/>
  <c r="V43" i="12"/>
  <c r="W43" i="12" s="1"/>
  <c r="U18" i="12"/>
  <c r="T54" i="12"/>
  <c r="I111" i="7"/>
  <c r="I112" i="7" s="1"/>
  <c r="H120" i="3"/>
  <c r="H135" i="3"/>
  <c r="J135" i="3" s="1"/>
  <c r="H136" i="3"/>
  <c r="K74" i="7"/>
  <c r="T19" i="12"/>
  <c r="U19" i="12" s="1"/>
  <c r="O19" i="12"/>
  <c r="O54" i="12" s="1"/>
  <c r="Q65" i="7"/>
  <c r="Q49" i="7"/>
  <c r="Q92" i="7" s="1"/>
  <c r="L115" i="8"/>
  <c r="L105" i="8"/>
  <c r="F145" i="3"/>
  <c r="E145" i="3"/>
  <c r="C146" i="3"/>
  <c r="K145" i="3"/>
  <c r="O131" i="7"/>
  <c r="O10" i="7"/>
  <c r="O6" i="5"/>
  <c r="P5" i="7"/>
  <c r="M37" i="8"/>
  <c r="M38" i="8" s="1"/>
  <c r="L31" i="8"/>
  <c r="Q50" i="7"/>
  <c r="Q93" i="7" s="1"/>
  <c r="Q66" i="7"/>
  <c r="H142" i="3"/>
  <c r="H141" i="3"/>
  <c r="G48" i="12"/>
  <c r="F48" i="12"/>
  <c r="F37" i="11"/>
  <c r="I37" i="11" s="1"/>
  <c r="J18" i="7" s="1"/>
  <c r="J312" i="8"/>
  <c r="J54" i="8"/>
  <c r="O103" i="7"/>
  <c r="M19" i="12"/>
  <c r="V19" i="12"/>
  <c r="W19" i="12" s="1"/>
  <c r="M122" i="8"/>
  <c r="M211" i="8" s="1"/>
  <c r="N27" i="1"/>
  <c r="M66" i="8"/>
  <c r="M64" i="8"/>
  <c r="M60" i="8"/>
  <c r="M63" i="8"/>
  <c r="M65" i="8"/>
  <c r="M61" i="8"/>
  <c r="Q51" i="7"/>
  <c r="Q94" i="7" s="1"/>
  <c r="Q67" i="7"/>
  <c r="I79" i="7"/>
  <c r="I82" i="7"/>
  <c r="I83" i="7" s="1"/>
  <c r="I84" i="7" s="1"/>
  <c r="J81" i="7" s="1"/>
  <c r="I75" i="7"/>
  <c r="K312" i="8"/>
  <c r="K54" i="8"/>
  <c r="N13" i="8"/>
  <c r="N12" i="8"/>
  <c r="O110" i="7"/>
  <c r="O117" i="7"/>
  <c r="O204" i="7" s="1"/>
  <c r="M160" i="7"/>
  <c r="P102" i="7"/>
  <c r="P56" i="7"/>
  <c r="I312" i="8"/>
  <c r="I54" i="8"/>
  <c r="Q64" i="7"/>
  <c r="Q48" i="7"/>
  <c r="Q91" i="7" s="1"/>
  <c r="H312" i="8"/>
  <c r="H54" i="8"/>
  <c r="Q60" i="7"/>
  <c r="Q40" i="7"/>
  <c r="Q44" i="7"/>
  <c r="Q52" i="7"/>
  <c r="Q95" i="7" s="1"/>
  <c r="Q68" i="7"/>
  <c r="M205" i="8"/>
  <c r="M30" i="8"/>
  <c r="P72" i="7"/>
  <c r="P74" i="7" s="1"/>
  <c r="N363" i="8"/>
  <c r="L57" i="8"/>
  <c r="L56" i="8"/>
  <c r="L59" i="8"/>
  <c r="L52" i="8"/>
  <c r="L49" i="8"/>
  <c r="L53" i="8"/>
  <c r="M39" i="8"/>
  <c r="M72" i="8"/>
  <c r="M366" i="8"/>
  <c r="M321" i="8"/>
  <c r="M364" i="8"/>
  <c r="M48" i="8"/>
  <c r="Q61" i="7"/>
  <c r="Q45" i="7"/>
  <c r="Q88" i="7" s="1"/>
  <c r="Q53" i="7"/>
  <c r="Q96" i="7" s="1"/>
  <c r="Q69" i="7"/>
  <c r="H140" i="3"/>
  <c r="H137" i="3"/>
  <c r="O202" i="8"/>
  <c r="O204" i="8" a="1"/>
  <c r="O204" i="8" s="1"/>
  <c r="O42" i="8"/>
  <c r="O45" i="8" s="1"/>
  <c r="O29" i="8"/>
  <c r="O6" i="8"/>
  <c r="O4" i="8"/>
  <c r="O21" i="8"/>
  <c r="O20" i="8"/>
  <c r="O17" i="8"/>
  <c r="O19" i="8" a="1"/>
  <c r="O19" i="8" s="1"/>
  <c r="O11" i="8"/>
  <c r="O10" i="8"/>
  <c r="O22" i="8"/>
  <c r="O14" i="8"/>
  <c r="O7" i="8"/>
  <c r="P5" i="8"/>
  <c r="P8" i="1"/>
  <c r="O361" i="8"/>
  <c r="O47" i="8"/>
  <c r="O362" i="8"/>
  <c r="O43" i="8"/>
  <c r="O44" i="8" s="1"/>
  <c r="O18" i="8" a="1"/>
  <c r="O18" i="8" s="1"/>
  <c r="O28" i="8" a="1"/>
  <c r="O28" i="8" s="1"/>
  <c r="O203" i="8" a="1"/>
  <c r="O203" i="8" s="1"/>
  <c r="L54" i="12"/>
  <c r="P87" i="7"/>
  <c r="M124" i="7"/>
  <c r="M161" i="7" s="1"/>
  <c r="M134" i="7"/>
  <c r="M205" i="7" s="1"/>
  <c r="K204" i="7"/>
  <c r="K23" i="7"/>
  <c r="K24" i="7" s="1"/>
  <c r="Q20" i="7"/>
  <c r="Q62" i="7"/>
  <c r="Q46" i="7"/>
  <c r="Q89" i="7" s="1"/>
  <c r="Q70" i="7"/>
  <c r="Q54" i="7"/>
  <c r="Q97" i="7" s="1"/>
  <c r="N310" i="8" a="1"/>
  <c r="N310" i="8" s="1"/>
  <c r="N55" i="8"/>
  <c r="N9" i="8"/>
  <c r="N8" i="8"/>
  <c r="N46" i="8"/>
  <c r="N35" i="8"/>
  <c r="N78" i="8"/>
  <c r="N27" i="8"/>
  <c r="M54" i="12"/>
  <c r="P91" i="7"/>
  <c r="K103" i="7"/>
  <c r="K160" i="7"/>
  <c r="O99" i="7"/>
  <c r="R159" i="7"/>
  <c r="R158" i="7"/>
  <c r="R39" i="7"/>
  <c r="R35" i="7"/>
  <c r="R31" i="7"/>
  <c r="R38" i="7"/>
  <c r="R34" i="7"/>
  <c r="R30" i="7"/>
  <c r="S4" i="7"/>
  <c r="R17" i="7"/>
  <c r="R12" i="7"/>
  <c r="R14" i="7"/>
  <c r="R5" i="5"/>
  <c r="R29" i="7"/>
  <c r="R28" i="7"/>
  <c r="R13" i="7"/>
  <c r="R8" i="7"/>
  <c r="R33" i="7"/>
  <c r="R32" i="7"/>
  <c r="R37" i="7"/>
  <c r="R36" i="7"/>
  <c r="R15" i="7"/>
  <c r="R16" i="7"/>
  <c r="R6" i="7"/>
  <c r="R9" i="7"/>
  <c r="R7" i="7"/>
  <c r="Q47" i="7"/>
  <c r="Q90" i="7" s="1"/>
  <c r="Q63" i="7"/>
  <c r="Q71" i="7"/>
  <c r="Q55" i="7"/>
  <c r="Q98" i="7" s="1"/>
  <c r="H139" i="3"/>
  <c r="N108" i="8"/>
  <c r="N107" i="8"/>
  <c r="W18" i="12"/>
  <c r="V54" i="12"/>
  <c r="N160" i="7"/>
  <c r="J20" i="7" l="1"/>
  <c r="Q41" i="7"/>
  <c r="R20" i="7"/>
  <c r="R18" i="7"/>
  <c r="P103" i="7"/>
  <c r="P134" i="7" s="1"/>
  <c r="P205" i="7" s="1"/>
  <c r="K20" i="7"/>
  <c r="J136" i="3"/>
  <c r="J137" i="3" s="1"/>
  <c r="J138" i="3" s="1"/>
  <c r="J139" i="3" s="1"/>
  <c r="J140" i="3" s="1"/>
  <c r="J141" i="3" s="1"/>
  <c r="J142" i="3" s="1"/>
  <c r="J143" i="3" s="1"/>
  <c r="J144" i="3" s="1"/>
  <c r="H145" i="3"/>
  <c r="M31" i="8"/>
  <c r="J125" i="7"/>
  <c r="J135" i="7"/>
  <c r="J206" i="7" s="1"/>
  <c r="L22" i="7"/>
  <c r="K25" i="7"/>
  <c r="M59" i="8"/>
  <c r="M57" i="8"/>
  <c r="M56" i="8"/>
  <c r="M52" i="8"/>
  <c r="M49" i="8"/>
  <c r="M53" i="8"/>
  <c r="O310" i="8" a="1"/>
  <c r="O310" i="8" s="1"/>
  <c r="O55" i="8"/>
  <c r="O9" i="8"/>
  <c r="O8" i="8"/>
  <c r="O46" i="8"/>
  <c r="O35" i="8"/>
  <c r="H313" i="8"/>
  <c r="H71" i="8"/>
  <c r="H58" i="8"/>
  <c r="H68" i="8"/>
  <c r="I19" i="1"/>
  <c r="O124" i="7"/>
  <c r="O161" i="7" s="1"/>
  <c r="O134" i="7"/>
  <c r="O205" i="7" s="1"/>
  <c r="U54" i="12"/>
  <c r="P57" i="7"/>
  <c r="Q102" i="7"/>
  <c r="Q56" i="7"/>
  <c r="P110" i="7"/>
  <c r="P117" i="7"/>
  <c r="J313" i="8"/>
  <c r="J71" i="8"/>
  <c r="J68" i="8"/>
  <c r="J58" i="8"/>
  <c r="K19" i="1"/>
  <c r="K11" i="1" s="1"/>
  <c r="C147" i="3"/>
  <c r="K146" i="3"/>
  <c r="F146" i="3"/>
  <c r="E146" i="3"/>
  <c r="R67" i="7"/>
  <c r="R51" i="7"/>
  <c r="R94" i="7" s="1"/>
  <c r="N37" i="8"/>
  <c r="N38" i="8" s="1"/>
  <c r="Q72" i="7"/>
  <c r="Q74" i="7" s="1"/>
  <c r="K313" i="8"/>
  <c r="K71" i="8"/>
  <c r="K68" i="8"/>
  <c r="K58" i="8"/>
  <c r="L19" i="1"/>
  <c r="L11" i="1" s="1"/>
  <c r="I18" i="7"/>
  <c r="L20" i="7"/>
  <c r="K18" i="7"/>
  <c r="R54" i="7"/>
  <c r="R97" i="7" s="1"/>
  <c r="R70" i="7"/>
  <c r="R63" i="7"/>
  <c r="R47" i="7"/>
  <c r="R90" i="7" s="1"/>
  <c r="K124" i="7"/>
  <c r="K134" i="7"/>
  <c r="O363" i="8"/>
  <c r="W54" i="12"/>
  <c r="R98" i="7"/>
  <c r="R60" i="7"/>
  <c r="R40" i="7"/>
  <c r="R41" i="7" s="1"/>
  <c r="R44" i="7"/>
  <c r="R71" i="7"/>
  <c r="R55" i="7"/>
  <c r="N90" i="8"/>
  <c r="P99" i="7"/>
  <c r="I313" i="8"/>
  <c r="I71" i="8"/>
  <c r="I58" i="8"/>
  <c r="I68" i="8"/>
  <c r="J19" i="1"/>
  <c r="J11" i="1" s="1"/>
  <c r="R46" i="7"/>
  <c r="R89" i="7" s="1"/>
  <c r="R62" i="7"/>
  <c r="O13" i="8"/>
  <c r="O12" i="8"/>
  <c r="I113" i="7"/>
  <c r="J109" i="7" s="1"/>
  <c r="M44" i="12"/>
  <c r="V44" i="12"/>
  <c r="N80" i="8"/>
  <c r="N79" i="8"/>
  <c r="R68" i="7"/>
  <c r="R52" i="7"/>
  <c r="R95" i="7" s="1"/>
  <c r="R69" i="7"/>
  <c r="R53" i="7"/>
  <c r="R96" i="7" s="1"/>
  <c r="R49" i="7"/>
  <c r="R92" i="7" s="1"/>
  <c r="R65" i="7"/>
  <c r="N66" i="8"/>
  <c r="N60" i="8"/>
  <c r="N65" i="8"/>
  <c r="N64" i="8"/>
  <c r="N61" i="8"/>
  <c r="N63" i="8"/>
  <c r="L48" i="12"/>
  <c r="N48" i="12"/>
  <c r="Z48" i="12"/>
  <c r="Z50" i="12" s="1"/>
  <c r="AH71" i="12" s="1"/>
  <c r="AI71" i="12" s="1"/>
  <c r="N122" i="8"/>
  <c r="O27" i="1"/>
  <c r="L18" i="7"/>
  <c r="H18" i="7"/>
  <c r="P18" i="7"/>
  <c r="M18" i="7"/>
  <c r="H20" i="7"/>
  <c r="Q87" i="7"/>
  <c r="Q99" i="7" s="1"/>
  <c r="O44" i="12"/>
  <c r="T44" i="12"/>
  <c r="U44" i="12" s="1"/>
  <c r="S158" i="7"/>
  <c r="S159" i="7"/>
  <c r="S37" i="7"/>
  <c r="S33" i="7"/>
  <c r="S29" i="7"/>
  <c r="S17" i="7"/>
  <c r="S14" i="7"/>
  <c r="S5" i="5"/>
  <c r="S16" i="7"/>
  <c r="S28" i="7"/>
  <c r="S13" i="7"/>
  <c r="S32" i="7"/>
  <c r="S31" i="7"/>
  <c r="S30" i="7"/>
  <c r="S7" i="7"/>
  <c r="S36" i="7"/>
  <c r="S35" i="7"/>
  <c r="S34" i="7"/>
  <c r="S18" i="7"/>
  <c r="S15" i="7"/>
  <c r="S39" i="7"/>
  <c r="S38" i="7"/>
  <c r="S6" i="7"/>
  <c r="S12" i="7"/>
  <c r="S9" i="7"/>
  <c r="T4" i="7"/>
  <c r="S8" i="7"/>
  <c r="S20" i="7"/>
  <c r="R50" i="7"/>
  <c r="R93" i="7" s="1"/>
  <c r="R66" i="7"/>
  <c r="O107" i="8"/>
  <c r="O108" i="8"/>
  <c r="N48" i="8"/>
  <c r="R45" i="7"/>
  <c r="R88" i="7" s="1"/>
  <c r="R61" i="7"/>
  <c r="P202" i="8"/>
  <c r="P204" i="8" a="1"/>
  <c r="P204" i="8" s="1"/>
  <c r="P22" i="8"/>
  <c r="P42" i="8"/>
  <c r="P45" i="8" s="1"/>
  <c r="P20" i="8"/>
  <c r="P21" i="8"/>
  <c r="P19" i="8" a="1"/>
  <c r="P19" i="8" s="1"/>
  <c r="P17" i="8"/>
  <c r="P29" i="8"/>
  <c r="P11" i="8"/>
  <c r="P10" i="8"/>
  <c r="P14" i="8"/>
  <c r="P7" i="8"/>
  <c r="Q5" i="8"/>
  <c r="P6" i="8"/>
  <c r="P4" i="8"/>
  <c r="Q8" i="1"/>
  <c r="P43" i="8"/>
  <c r="P44" i="8" s="1"/>
  <c r="P361" i="8"/>
  <c r="P47" i="8"/>
  <c r="P362" i="8"/>
  <c r="P18" i="8" a="1"/>
  <c r="P18" i="8" s="1"/>
  <c r="P28" i="8" a="1"/>
  <c r="P28" i="8" s="1"/>
  <c r="P203" i="8" a="1"/>
  <c r="P203" i="8" s="1"/>
  <c r="M115" i="8"/>
  <c r="M105" i="8"/>
  <c r="P20" i="7"/>
  <c r="O160" i="7"/>
  <c r="I163" i="7"/>
  <c r="I207" i="7"/>
  <c r="N18" i="7"/>
  <c r="I20" i="7"/>
  <c r="O18" i="7"/>
  <c r="R64" i="7"/>
  <c r="R48" i="7"/>
  <c r="R91" i="7" s="1"/>
  <c r="N205" i="8"/>
  <c r="N30" i="8"/>
  <c r="O62" i="8"/>
  <c r="O78" i="8"/>
  <c r="O27" i="8"/>
  <c r="L312" i="8"/>
  <c r="L54" i="8"/>
  <c r="I76" i="7"/>
  <c r="P131" i="7"/>
  <c r="P10" i="7"/>
  <c r="P6" i="5"/>
  <c r="Q5" i="7"/>
  <c r="M20" i="7"/>
  <c r="Q18" i="7"/>
  <c r="N20" i="7"/>
  <c r="O20" i="7"/>
  <c r="J119" i="7"/>
  <c r="J120" i="7" s="1"/>
  <c r="K116" i="7" s="1"/>
  <c r="R125" i="7" l="1"/>
  <c r="R162" i="7" s="1"/>
  <c r="R135" i="7"/>
  <c r="R206" i="7" s="1"/>
  <c r="P124" i="7"/>
  <c r="P161" i="7" s="1"/>
  <c r="P62" i="8"/>
  <c r="J145" i="3"/>
  <c r="N56" i="8"/>
  <c r="N59" i="8"/>
  <c r="N52" i="8"/>
  <c r="N57" i="8"/>
  <c r="N53" i="8"/>
  <c r="N49" i="8"/>
  <c r="N39" i="8"/>
  <c r="K118" i="7"/>
  <c r="K119" i="7" s="1"/>
  <c r="S70" i="7"/>
  <c r="S54" i="7"/>
  <c r="S97" i="7" s="1"/>
  <c r="S60" i="7"/>
  <c r="S44" i="7"/>
  <c r="S87" i="7" s="1"/>
  <c r="S40" i="7"/>
  <c r="S41" i="7" s="1"/>
  <c r="R102" i="7"/>
  <c r="R56" i="7"/>
  <c r="R87" i="7"/>
  <c r="R99" i="7" s="1"/>
  <c r="T48" i="12"/>
  <c r="O48" i="12"/>
  <c r="O50" i="12" s="1"/>
  <c r="N50" i="12"/>
  <c r="J111" i="7"/>
  <c r="J112" i="7" s="1"/>
  <c r="V48" i="12"/>
  <c r="W48" i="12" s="1"/>
  <c r="M48" i="12"/>
  <c r="M50" i="12" s="1"/>
  <c r="L50" i="12"/>
  <c r="I67" i="8"/>
  <c r="I69" i="8" s="1"/>
  <c r="R72" i="7"/>
  <c r="K125" i="7"/>
  <c r="K162" i="7" s="1"/>
  <c r="K135" i="7"/>
  <c r="K206" i="7" s="1"/>
  <c r="H146" i="3"/>
  <c r="P204" i="7"/>
  <c r="M312" i="8"/>
  <c r="M54" i="8"/>
  <c r="P13" i="8"/>
  <c r="P12" i="8"/>
  <c r="P160" i="7"/>
  <c r="S66" i="7"/>
  <c r="S50" i="7"/>
  <c r="S93" i="7" s="1"/>
  <c r="S52" i="7"/>
  <c r="S95" i="7" s="1"/>
  <c r="S68" i="7"/>
  <c r="S49" i="7"/>
  <c r="S92" i="7" s="1"/>
  <c r="S65" i="7"/>
  <c r="P125" i="7"/>
  <c r="P162" i="7" s="1"/>
  <c r="P135" i="7"/>
  <c r="P206" i="7" s="1"/>
  <c r="K161" i="7"/>
  <c r="I125" i="7"/>
  <c r="I135" i="7"/>
  <c r="I206" i="7" s="1"/>
  <c r="I208" i="7" s="1"/>
  <c r="O205" i="8"/>
  <c r="O30" i="8"/>
  <c r="M125" i="7"/>
  <c r="M135" i="7"/>
  <c r="M206" i="7" s="1"/>
  <c r="S61" i="7"/>
  <c r="S45" i="7"/>
  <c r="S88" i="7" s="1"/>
  <c r="O48" i="8"/>
  <c r="S71" i="7"/>
  <c r="S55" i="7"/>
  <c r="S98" i="7" s="1"/>
  <c r="S125" i="7"/>
  <c r="S162" i="7" s="1"/>
  <c r="S135" i="7"/>
  <c r="S206" i="7" s="1"/>
  <c r="N115" i="8"/>
  <c r="N105" i="8"/>
  <c r="S67" i="7"/>
  <c r="S51" i="7"/>
  <c r="S94" i="7" s="1"/>
  <c r="Q202" i="8"/>
  <c r="Q204" i="8" a="1"/>
  <c r="Q204" i="8" s="1"/>
  <c r="Q42" i="8"/>
  <c r="Q45" i="8" s="1"/>
  <c r="Q29" i="8"/>
  <c r="Q21" i="8"/>
  <c r="Q19" i="8" a="1"/>
  <c r="Q19" i="8" s="1"/>
  <c r="Q14" i="8"/>
  <c r="Q17" i="8"/>
  <c r="Q20" i="8"/>
  <c r="Q11" i="8"/>
  <c r="Q10" i="8"/>
  <c r="Q7" i="8"/>
  <c r="R5" i="8"/>
  <c r="Q22" i="8"/>
  <c r="Q6" i="8"/>
  <c r="Q4" i="8"/>
  <c r="R8" i="1"/>
  <c r="Q362" i="8"/>
  <c r="Q361" i="8"/>
  <c r="Q43" i="8"/>
  <c r="Q44" i="8" s="1"/>
  <c r="Q47" i="8"/>
  <c r="Q18" i="8" a="1"/>
  <c r="Q18" i="8" s="1"/>
  <c r="Q28" i="8" a="1"/>
  <c r="Q28" i="8" s="1"/>
  <c r="Q203" i="8" a="1"/>
  <c r="Q203" i="8" s="1"/>
  <c r="J73" i="7"/>
  <c r="P78" i="8"/>
  <c r="P27" i="8"/>
  <c r="T158" i="7"/>
  <c r="T159" i="7"/>
  <c r="T12" i="7"/>
  <c r="T14" i="7"/>
  <c r="T16" i="7"/>
  <c r="T28" i="7"/>
  <c r="T13" i="7"/>
  <c r="T32" i="7"/>
  <c r="T31" i="7"/>
  <c r="T30" i="7"/>
  <c r="T29" i="7"/>
  <c r="T36" i="7"/>
  <c r="T35" i="7"/>
  <c r="T34" i="7"/>
  <c r="T33" i="7"/>
  <c r="T18" i="7"/>
  <c r="T15" i="7"/>
  <c r="T39" i="7"/>
  <c r="T38" i="7"/>
  <c r="T37" i="7"/>
  <c r="T17" i="7"/>
  <c r="T5" i="5"/>
  <c r="T8" i="7"/>
  <c r="T9" i="7"/>
  <c r="U4" i="7"/>
  <c r="T7" i="7"/>
  <c r="T6" i="7"/>
  <c r="T20" i="7"/>
  <c r="S62" i="7"/>
  <c r="S46" i="7"/>
  <c r="S89" i="7" s="1"/>
  <c r="H19" i="7"/>
  <c r="I19" i="7" s="1"/>
  <c r="J19" i="7" s="1"/>
  <c r="K19" i="7" s="1"/>
  <c r="L19" i="7" s="1"/>
  <c r="M19" i="7" s="1"/>
  <c r="N19" i="7" s="1"/>
  <c r="O19" i="7" s="1"/>
  <c r="P19" i="7" s="1"/>
  <c r="Q19" i="7" s="1"/>
  <c r="R19" i="7" s="1"/>
  <c r="S19" i="7" s="1"/>
  <c r="H125" i="7"/>
  <c r="H135" i="7"/>
  <c r="K67" i="8"/>
  <c r="K69" i="8" s="1"/>
  <c r="C148" i="3"/>
  <c r="F147" i="3"/>
  <c r="E147" i="3"/>
  <c r="K147" i="3"/>
  <c r="Q103" i="7"/>
  <c r="I11" i="1"/>
  <c r="O37" i="8"/>
  <c r="O38" i="8" s="1"/>
  <c r="Q131" i="7"/>
  <c r="R5" i="7"/>
  <c r="Q6" i="5"/>
  <c r="Q10" i="7"/>
  <c r="O122" i="8"/>
  <c r="O211" i="8" s="1"/>
  <c r="P27" i="1"/>
  <c r="S53" i="7"/>
  <c r="S96" i="7" s="1"/>
  <c r="S69" i="7"/>
  <c r="P310" i="8" a="1"/>
  <c r="P310" i="8" s="1"/>
  <c r="P55" i="8"/>
  <c r="P9" i="8"/>
  <c r="P90" i="8" s="1"/>
  <c r="P8" i="8"/>
  <c r="P46" i="8"/>
  <c r="P35" i="8"/>
  <c r="S63" i="7"/>
  <c r="S47" i="7"/>
  <c r="S90" i="7" s="1"/>
  <c r="L125" i="7"/>
  <c r="L135" i="7"/>
  <c r="L206" i="7" s="1"/>
  <c r="N31" i="8"/>
  <c r="Q110" i="7"/>
  <c r="Q117" i="7"/>
  <c r="Q204" i="7" s="1"/>
  <c r="O90" i="8"/>
  <c r="O80" i="8"/>
  <c r="O79" i="8"/>
  <c r="K205" i="7"/>
  <c r="J67" i="8"/>
  <c r="J69" i="8" s="1"/>
  <c r="H67" i="8"/>
  <c r="H69" i="8" s="1"/>
  <c r="Q125" i="7"/>
  <c r="Q162" i="7" s="1"/>
  <c r="Q135" i="7"/>
  <c r="Q206" i="7" s="1"/>
  <c r="O125" i="7"/>
  <c r="O162" i="7" s="1"/>
  <c r="O135" i="7"/>
  <c r="O206" i="7" s="1"/>
  <c r="P107" i="8"/>
  <c r="P108" i="8"/>
  <c r="S64" i="7"/>
  <c r="S48" i="7"/>
  <c r="S91" i="7" s="1"/>
  <c r="L313" i="8"/>
  <c r="L71" i="8"/>
  <c r="L68" i="8"/>
  <c r="L58" i="8"/>
  <c r="M19" i="1"/>
  <c r="M11" i="1" s="1"/>
  <c r="N125" i="7"/>
  <c r="N135" i="7"/>
  <c r="N206" i="7" s="1"/>
  <c r="P363" i="8"/>
  <c r="N211" i="8"/>
  <c r="W44" i="12"/>
  <c r="V50" i="12"/>
  <c r="Q57" i="7"/>
  <c r="O66" i="8"/>
  <c r="O60" i="8"/>
  <c r="O61" i="8"/>
  <c r="O65" i="8"/>
  <c r="O63" i="8"/>
  <c r="O64" i="8"/>
  <c r="L23" i="7"/>
  <c r="L24" i="7" s="1"/>
  <c r="J162" i="7"/>
  <c r="J199" i="7"/>
  <c r="R57" i="7" l="1"/>
  <c r="J146" i="3"/>
  <c r="O199" i="7"/>
  <c r="O31" i="8"/>
  <c r="O57" i="8"/>
  <c r="O53" i="8"/>
  <c r="O59" i="8"/>
  <c r="O52" i="8"/>
  <c r="O56" i="8"/>
  <c r="O49" i="8"/>
  <c r="O39" i="8"/>
  <c r="I314" i="8"/>
  <c r="I315" i="8" s="1"/>
  <c r="J20" i="1"/>
  <c r="I70" i="8"/>
  <c r="M22" i="7"/>
  <c r="L25" i="7"/>
  <c r="K314" i="8"/>
  <c r="K315" i="8" s="1"/>
  <c r="L20" i="1"/>
  <c r="K70" i="8"/>
  <c r="U158" i="7"/>
  <c r="U159" i="7"/>
  <c r="U38" i="7"/>
  <c r="U34" i="7"/>
  <c r="U30" i="7"/>
  <c r="U37" i="7"/>
  <c r="U33" i="7"/>
  <c r="U29" i="7"/>
  <c r="U14" i="7"/>
  <c r="U16" i="7"/>
  <c r="U9" i="7"/>
  <c r="U32" i="7"/>
  <c r="U31" i="7"/>
  <c r="U36" i="7"/>
  <c r="U35" i="7"/>
  <c r="U18" i="7"/>
  <c r="U15" i="7"/>
  <c r="U39" i="7"/>
  <c r="U17" i="7"/>
  <c r="U12" i="7"/>
  <c r="U5" i="5"/>
  <c r="U8" i="7"/>
  <c r="U28" i="7"/>
  <c r="U13" i="7"/>
  <c r="V4" i="7"/>
  <c r="U7" i="7"/>
  <c r="U6" i="7"/>
  <c r="U20" i="7"/>
  <c r="T67" i="7"/>
  <c r="T51" i="7"/>
  <c r="T94" i="7" s="1"/>
  <c r="Q310" i="8" a="1"/>
  <c r="Q310" i="8" s="1"/>
  <c r="Q55" i="8"/>
  <c r="Q9" i="8"/>
  <c r="Q90" i="8" s="1"/>
  <c r="Q8" i="8"/>
  <c r="Q46" i="8"/>
  <c r="Q35" i="8"/>
  <c r="I162" i="7"/>
  <c r="I164" i="7" s="1"/>
  <c r="I199" i="7"/>
  <c r="R103" i="7"/>
  <c r="T52" i="7"/>
  <c r="T95" i="7" s="1"/>
  <c r="T68" i="7"/>
  <c r="Q108" i="8"/>
  <c r="Q107" i="8"/>
  <c r="K199" i="7"/>
  <c r="R110" i="7"/>
  <c r="R117" i="7"/>
  <c r="R204" i="7" s="1"/>
  <c r="H147" i="3"/>
  <c r="T61" i="7"/>
  <c r="T45" i="7"/>
  <c r="T88" i="7" s="1"/>
  <c r="K120" i="7"/>
  <c r="L116" i="7" s="1"/>
  <c r="H206" i="7"/>
  <c r="H139" i="7"/>
  <c r="H136" i="7"/>
  <c r="H137" i="7" s="1"/>
  <c r="T46" i="7"/>
  <c r="T89" i="7" s="1"/>
  <c r="T62" i="7"/>
  <c r="P205" i="8"/>
  <c r="P30" i="8"/>
  <c r="S102" i="7"/>
  <c r="S56" i="7"/>
  <c r="S57" i="7" s="1"/>
  <c r="L162" i="7"/>
  <c r="L199" i="7"/>
  <c r="R131" i="7"/>
  <c r="R6" i="5"/>
  <c r="S5" i="7"/>
  <c r="R10" i="7"/>
  <c r="F148" i="3"/>
  <c r="C149" i="3"/>
  <c r="K148" i="3"/>
  <c r="E148" i="3"/>
  <c r="H162" i="7"/>
  <c r="H129" i="7"/>
  <c r="H199" i="7"/>
  <c r="H126" i="7"/>
  <c r="H127" i="7" s="1"/>
  <c r="T63" i="7"/>
  <c r="T47" i="7"/>
  <c r="T90" i="7" s="1"/>
  <c r="P80" i="8"/>
  <c r="P79" i="8"/>
  <c r="J113" i="7"/>
  <c r="K109" i="7" s="1"/>
  <c r="S72" i="7"/>
  <c r="S74" i="7" s="1"/>
  <c r="V52" i="12"/>
  <c r="V53" i="12" s="1"/>
  <c r="V51" i="12"/>
  <c r="T64" i="7"/>
  <c r="T48" i="7"/>
  <c r="T91" i="7" s="1"/>
  <c r="P199" i="7"/>
  <c r="N51" i="12"/>
  <c r="N52" i="12"/>
  <c r="N53" i="12" s="1"/>
  <c r="T19" i="7"/>
  <c r="T54" i="7"/>
  <c r="T97" i="7" s="1"/>
  <c r="T70" i="7"/>
  <c r="J79" i="7"/>
  <c r="J82" i="7"/>
  <c r="J75" i="7"/>
  <c r="O115" i="8"/>
  <c r="O105" i="8"/>
  <c r="R74" i="7"/>
  <c r="O51" i="12"/>
  <c r="O52" i="12"/>
  <c r="O53" i="12" s="1"/>
  <c r="P122" i="8"/>
  <c r="P211" i="8" s="1"/>
  <c r="Q27" i="1"/>
  <c r="P48" i="8"/>
  <c r="P66" i="8"/>
  <c r="P64" i="8"/>
  <c r="P63" i="8"/>
  <c r="P60" i="8"/>
  <c r="P61" i="8"/>
  <c r="P65" i="8"/>
  <c r="Q160" i="7"/>
  <c r="L67" i="8"/>
  <c r="L69" i="8" s="1"/>
  <c r="Q363" i="8"/>
  <c r="S99" i="7"/>
  <c r="T55" i="7"/>
  <c r="T98" i="7" s="1"/>
  <c r="T71" i="7"/>
  <c r="T60" i="7"/>
  <c r="T44" i="7"/>
  <c r="T87" i="7" s="1"/>
  <c r="T40" i="7"/>
  <c r="T41" i="7" s="1"/>
  <c r="Q13" i="8"/>
  <c r="Q12" i="8"/>
  <c r="U48" i="12"/>
  <c r="U50" i="12" s="1"/>
  <c r="T50" i="12"/>
  <c r="J314" i="8"/>
  <c r="J315" i="8" s="1"/>
  <c r="K20" i="1"/>
  <c r="J70" i="8"/>
  <c r="P37" i="8"/>
  <c r="P38" i="8" s="1"/>
  <c r="P39" i="8" s="1"/>
  <c r="T69" i="7"/>
  <c r="T53" i="7"/>
  <c r="T96" i="7" s="1"/>
  <c r="M162" i="7"/>
  <c r="M199" i="7"/>
  <c r="Q62" i="8"/>
  <c r="N162" i="7"/>
  <c r="N199" i="7"/>
  <c r="H314" i="8"/>
  <c r="I20" i="1"/>
  <c r="H70" i="8"/>
  <c r="T125" i="7"/>
  <c r="T162" i="7" s="1"/>
  <c r="T135" i="7"/>
  <c r="T206" i="7" s="1"/>
  <c r="L52" i="12"/>
  <c r="L53" i="12" s="1"/>
  <c r="L51" i="12"/>
  <c r="N312" i="8"/>
  <c r="N54" i="8"/>
  <c r="Q124" i="7"/>
  <c r="Q199" i="7" s="1"/>
  <c r="Q134" i="7"/>
  <c r="T49" i="7"/>
  <c r="T92" i="7" s="1"/>
  <c r="T65" i="7"/>
  <c r="R202" i="8"/>
  <c r="R204" i="8" a="1"/>
  <c r="R204" i="8" s="1"/>
  <c r="R21" i="8"/>
  <c r="R42" i="8"/>
  <c r="R45" i="8" s="1"/>
  <c r="R29" i="8"/>
  <c r="R14" i="8"/>
  <c r="R22" i="8"/>
  <c r="R20" i="8"/>
  <c r="R19" i="8" a="1"/>
  <c r="R19" i="8" s="1"/>
  <c r="R11" i="8"/>
  <c r="R10" i="8"/>
  <c r="R7" i="8"/>
  <c r="S5" i="8"/>
  <c r="R6" i="8"/>
  <c r="R4" i="8"/>
  <c r="R17" i="8"/>
  <c r="S8" i="1"/>
  <c r="R43" i="8"/>
  <c r="R44" i="8" s="1"/>
  <c r="R361" i="8"/>
  <c r="R47" i="8"/>
  <c r="R362" i="8"/>
  <c r="R203" i="8" a="1"/>
  <c r="R203" i="8" s="1"/>
  <c r="R28" i="8" a="1"/>
  <c r="R28" i="8" s="1"/>
  <c r="R18" i="8" a="1"/>
  <c r="R18" i="8" s="1"/>
  <c r="M52" i="12"/>
  <c r="M53" i="12" s="1"/>
  <c r="M51" i="12"/>
  <c r="T50" i="7"/>
  <c r="T93" i="7" s="1"/>
  <c r="T66" i="7"/>
  <c r="Q78" i="8"/>
  <c r="Q27" i="8"/>
  <c r="M313" i="8"/>
  <c r="M68" i="8"/>
  <c r="M58" i="8"/>
  <c r="N19" i="1"/>
  <c r="N11" i="1" s="1"/>
  <c r="W50" i="12"/>
  <c r="J147" i="3" l="1"/>
  <c r="R62" i="8"/>
  <c r="H148" i="3"/>
  <c r="Q37" i="8"/>
  <c r="Q38" i="8" s="1"/>
  <c r="H128" i="7"/>
  <c r="I123" i="7" s="1"/>
  <c r="T52" i="12"/>
  <c r="T53" i="12" s="1"/>
  <c r="T51" i="12"/>
  <c r="S131" i="7"/>
  <c r="S6" i="5"/>
  <c r="S10" i="7"/>
  <c r="T5" i="7"/>
  <c r="U48" i="7"/>
  <c r="U91" i="7" s="1"/>
  <c r="U64" i="7"/>
  <c r="W52" i="12"/>
  <c r="W53" i="12" s="1"/>
  <c r="W51" i="12"/>
  <c r="AM49" i="12"/>
  <c r="H315" i="8"/>
  <c r="U52" i="12"/>
  <c r="U53" i="12" s="1"/>
  <c r="AH49" i="12"/>
  <c r="U51" i="12"/>
  <c r="P115" i="8"/>
  <c r="P105" i="8"/>
  <c r="U44" i="7"/>
  <c r="U87" i="7" s="1"/>
  <c r="U60" i="7"/>
  <c r="U40" i="7"/>
  <c r="U41" i="7" s="1"/>
  <c r="N313" i="8"/>
  <c r="N68" i="8"/>
  <c r="N58" i="8"/>
  <c r="O19" i="1"/>
  <c r="O11" i="1" s="1"/>
  <c r="R124" i="7"/>
  <c r="R161" i="7" s="1"/>
  <c r="R134" i="7"/>
  <c r="R205" i="7" s="1"/>
  <c r="Q66" i="8"/>
  <c r="Q61" i="8"/>
  <c r="Q65" i="8"/>
  <c r="Q60" i="8"/>
  <c r="Q64" i="8"/>
  <c r="Q63" i="8"/>
  <c r="K208" i="8"/>
  <c r="K118" i="8"/>
  <c r="K106" i="8"/>
  <c r="L21" i="1"/>
  <c r="T99" i="7"/>
  <c r="H164" i="7"/>
  <c r="U45" i="7"/>
  <c r="U88" i="7" s="1"/>
  <c r="U61" i="7"/>
  <c r="L314" i="8"/>
  <c r="L315" i="8" s="1"/>
  <c r="M20" i="1"/>
  <c r="L70" i="8"/>
  <c r="U71" i="7"/>
  <c r="U55" i="7"/>
  <c r="U53" i="7"/>
  <c r="U69" i="7"/>
  <c r="R78" i="8"/>
  <c r="R27" i="8"/>
  <c r="T102" i="7"/>
  <c r="T56" i="7"/>
  <c r="P31" i="8"/>
  <c r="J163" i="7"/>
  <c r="J207" i="7"/>
  <c r="H138" i="7"/>
  <c r="I133" i="7" s="1"/>
  <c r="R160" i="7"/>
  <c r="U62" i="7"/>
  <c r="U46" i="7"/>
  <c r="U89" i="7" s="1"/>
  <c r="M23" i="7"/>
  <c r="M24" i="7" s="1"/>
  <c r="M67" i="8"/>
  <c r="M69" i="8" s="1"/>
  <c r="S204" i="8" a="1"/>
  <c r="S204" i="8" s="1"/>
  <c r="S202" i="8"/>
  <c r="S42" i="8"/>
  <c r="S45" i="8" s="1"/>
  <c r="S14" i="8"/>
  <c r="S22" i="8"/>
  <c r="S29" i="8"/>
  <c r="S19" i="8" a="1"/>
  <c r="S19" i="8" s="1"/>
  <c r="S21" i="8"/>
  <c r="S11" i="8"/>
  <c r="S10" i="8"/>
  <c r="S7" i="8"/>
  <c r="T5" i="8"/>
  <c r="S6" i="8"/>
  <c r="S4" i="8"/>
  <c r="S20" i="8"/>
  <c r="S17" i="8"/>
  <c r="T8" i="1"/>
  <c r="S362" i="8"/>
  <c r="S47" i="8"/>
  <c r="S361" i="8"/>
  <c r="S43" i="8"/>
  <c r="S44" i="8" s="1"/>
  <c r="S18" i="8" a="1"/>
  <c r="S18" i="8" s="1"/>
  <c r="S28" i="8" a="1"/>
  <c r="S28" i="8" s="1"/>
  <c r="S203" i="8" a="1"/>
  <c r="S203" i="8" s="1"/>
  <c r="J83" i="7"/>
  <c r="R310" i="8" a="1"/>
  <c r="R310" i="8" s="1"/>
  <c r="R55" i="8"/>
  <c r="R9" i="8"/>
  <c r="R90" i="8" s="1"/>
  <c r="R8" i="8"/>
  <c r="R46" i="8"/>
  <c r="R35" i="8"/>
  <c r="T72" i="7"/>
  <c r="T74" i="7" s="1"/>
  <c r="J76" i="7"/>
  <c r="C150" i="3"/>
  <c r="K149" i="3"/>
  <c r="F149" i="3"/>
  <c r="E149" i="3"/>
  <c r="S103" i="7"/>
  <c r="I139" i="7"/>
  <c r="H140" i="7"/>
  <c r="U125" i="7"/>
  <c r="U135" i="7"/>
  <c r="U206" i="7" s="1"/>
  <c r="U66" i="7"/>
  <c r="U50" i="7"/>
  <c r="U93" i="7" s="1"/>
  <c r="I208" i="8"/>
  <c r="I118" i="8"/>
  <c r="I106" i="8"/>
  <c r="J21" i="1"/>
  <c r="O312" i="8"/>
  <c r="O54" i="8"/>
  <c r="R107" i="8"/>
  <c r="R108" i="8"/>
  <c r="H208" i="8"/>
  <c r="H106" i="8"/>
  <c r="H118" i="8"/>
  <c r="I21" i="1"/>
  <c r="J106" i="8"/>
  <c r="J208" i="8"/>
  <c r="J118" i="8"/>
  <c r="K21" i="1"/>
  <c r="S110" i="7"/>
  <c r="S117" i="7"/>
  <c r="S204" i="7" s="1"/>
  <c r="Q48" i="8"/>
  <c r="U67" i="7"/>
  <c r="U51" i="7"/>
  <c r="U94" i="7" s="1"/>
  <c r="U54" i="7"/>
  <c r="U97" i="7" s="1"/>
  <c r="U70" i="7"/>
  <c r="R13" i="8"/>
  <c r="R12" i="8"/>
  <c r="U49" i="7"/>
  <c r="U92" i="7" s="1"/>
  <c r="U65" i="7"/>
  <c r="R363" i="8"/>
  <c r="Q122" i="8"/>
  <c r="R27" i="1"/>
  <c r="U68" i="7"/>
  <c r="U52" i="7"/>
  <c r="U95" i="7" s="1"/>
  <c r="Q205" i="8"/>
  <c r="Q30" i="8"/>
  <c r="Q205" i="7"/>
  <c r="K111" i="7"/>
  <c r="K112" i="7" s="1"/>
  <c r="H200" i="7"/>
  <c r="H208" i="7"/>
  <c r="U98" i="7"/>
  <c r="U96" i="7"/>
  <c r="Q80" i="8"/>
  <c r="Q79" i="8"/>
  <c r="Q161" i="7"/>
  <c r="P56" i="8"/>
  <c r="P53" i="8"/>
  <c r="P52" i="8"/>
  <c r="P49" i="8"/>
  <c r="P57" i="8"/>
  <c r="P59" i="8"/>
  <c r="U19" i="7"/>
  <c r="I129" i="7"/>
  <c r="H130" i="7"/>
  <c r="L118" i="7"/>
  <c r="V158" i="7"/>
  <c r="V159" i="7"/>
  <c r="V36" i="7"/>
  <c r="V32" i="7"/>
  <c r="V28" i="7"/>
  <c r="V14" i="7"/>
  <c r="V16" i="7"/>
  <c r="V9" i="7"/>
  <c r="V13" i="7"/>
  <c r="V8" i="7"/>
  <c r="V35" i="7"/>
  <c r="V30" i="7"/>
  <c r="V29" i="7"/>
  <c r="V18" i="7"/>
  <c r="V15" i="7"/>
  <c r="V39" i="7"/>
  <c r="V34" i="7"/>
  <c r="V33" i="7"/>
  <c r="V38" i="7"/>
  <c r="V37" i="7"/>
  <c r="V17" i="7"/>
  <c r="V12" i="7"/>
  <c r="V5" i="5"/>
  <c r="V31" i="7"/>
  <c r="W4" i="7"/>
  <c r="V7" i="7"/>
  <c r="V6" i="7"/>
  <c r="V20" i="7"/>
  <c r="U63" i="7"/>
  <c r="U47" i="7"/>
  <c r="U90" i="7" s="1"/>
  <c r="J148" i="3" l="1"/>
  <c r="V19" i="7"/>
  <c r="K113" i="7"/>
  <c r="L109" i="7" s="1"/>
  <c r="L111" i="7" s="1"/>
  <c r="T103" i="7"/>
  <c r="R199" i="7"/>
  <c r="Q59" i="8"/>
  <c r="Q57" i="8"/>
  <c r="Q56" i="8"/>
  <c r="Q39" i="8"/>
  <c r="Q49" i="8"/>
  <c r="R37" i="8"/>
  <c r="R38" i="8" s="1"/>
  <c r="R39" i="8" s="1"/>
  <c r="S62" i="8"/>
  <c r="P312" i="8"/>
  <c r="P54" i="8"/>
  <c r="H149" i="3"/>
  <c r="S363" i="8"/>
  <c r="Q211" i="8"/>
  <c r="R48" i="8"/>
  <c r="T57" i="7"/>
  <c r="J208" i="7"/>
  <c r="L12" i="1"/>
  <c r="V66" i="7"/>
  <c r="V50" i="7"/>
  <c r="V93" i="7" s="1"/>
  <c r="V60" i="7"/>
  <c r="V44" i="7"/>
  <c r="V87" i="7" s="1"/>
  <c r="V40" i="7"/>
  <c r="V41" i="7" s="1"/>
  <c r="J129" i="7"/>
  <c r="R122" i="8"/>
  <c r="R211" i="8" s="1"/>
  <c r="S27" i="1"/>
  <c r="R66" i="8"/>
  <c r="R64" i="8"/>
  <c r="R61" i="8"/>
  <c r="R63" i="8"/>
  <c r="R60" i="8"/>
  <c r="R65" i="8"/>
  <c r="I136" i="7"/>
  <c r="I137" i="7" s="1"/>
  <c r="J164" i="7"/>
  <c r="V69" i="7"/>
  <c r="V53" i="7"/>
  <c r="V96" i="7" s="1"/>
  <c r="C151" i="3"/>
  <c r="F150" i="3"/>
  <c r="E150" i="3"/>
  <c r="K150" i="3"/>
  <c r="S13" i="8"/>
  <c r="S12" i="8"/>
  <c r="Q31" i="8"/>
  <c r="Q53" i="8"/>
  <c r="AW49" i="12"/>
  <c r="AI49" i="12"/>
  <c r="AH51" i="12"/>
  <c r="V65" i="7"/>
  <c r="V49" i="7"/>
  <c r="V92" i="7" s="1"/>
  <c r="V48" i="7"/>
  <c r="V91" i="7" s="1"/>
  <c r="V64" i="7"/>
  <c r="K73" i="7"/>
  <c r="T202" i="8"/>
  <c r="T204" i="8" a="1"/>
  <c r="T204" i="8" s="1"/>
  <c r="T42" i="8"/>
  <c r="T45" i="8" s="1"/>
  <c r="T20" i="8"/>
  <c r="T14" i="8"/>
  <c r="T22" i="8"/>
  <c r="T17" i="8"/>
  <c r="T11" i="8"/>
  <c r="T10" i="8"/>
  <c r="T19" i="8" a="1"/>
  <c r="T19" i="8" s="1"/>
  <c r="T29" i="8"/>
  <c r="T21" i="8"/>
  <c r="T7" i="8"/>
  <c r="U5" i="8"/>
  <c r="T6" i="8"/>
  <c r="T4" i="8"/>
  <c r="U8" i="1"/>
  <c r="T47" i="8"/>
  <c r="T361" i="8"/>
  <c r="T43" i="8"/>
  <c r="T44" i="8" s="1"/>
  <c r="T362" i="8"/>
  <c r="T28" i="8" a="1"/>
  <c r="T28" i="8" s="1"/>
  <c r="T203" i="8" a="1"/>
  <c r="T203" i="8" s="1"/>
  <c r="T18" i="8" a="1"/>
  <c r="T18" i="8" s="1"/>
  <c r="T110" i="7"/>
  <c r="T117" i="7"/>
  <c r="T204" i="7" s="1"/>
  <c r="Q52" i="8"/>
  <c r="H165" i="7"/>
  <c r="N67" i="8"/>
  <c r="N69" i="8" s="1"/>
  <c r="Q115" i="8"/>
  <c r="Q105" i="8"/>
  <c r="M314" i="8"/>
  <c r="M315" i="8" s="1"/>
  <c r="N20" i="1"/>
  <c r="M70" i="8"/>
  <c r="R205" i="8"/>
  <c r="R30" i="8"/>
  <c r="I126" i="7"/>
  <c r="I130" i="7" s="1"/>
  <c r="T124" i="7"/>
  <c r="T161" i="7" s="1"/>
  <c r="T134" i="7"/>
  <c r="T205" i="7" s="1"/>
  <c r="V125" i="7"/>
  <c r="V162" i="7" s="1"/>
  <c r="V135" i="7"/>
  <c r="W158" i="7"/>
  <c r="W159" i="7"/>
  <c r="W16" i="7"/>
  <c r="W9" i="7"/>
  <c r="W13" i="7"/>
  <c r="W8" i="7"/>
  <c r="W31" i="7"/>
  <c r="W28" i="7"/>
  <c r="W7" i="7"/>
  <c r="W39" i="7"/>
  <c r="W36" i="7"/>
  <c r="W34" i="7"/>
  <c r="W33" i="7"/>
  <c r="W38" i="7"/>
  <c r="W37" i="7"/>
  <c r="W17" i="7"/>
  <c r="W12" i="7"/>
  <c r="W14" i="7"/>
  <c r="W18" i="7"/>
  <c r="W35" i="7"/>
  <c r="X4" i="7"/>
  <c r="W30" i="7"/>
  <c r="W15" i="7"/>
  <c r="W32" i="7"/>
  <c r="W6" i="7"/>
  <c r="W29" i="7"/>
  <c r="W5" i="5"/>
  <c r="W20" i="7"/>
  <c r="S78" i="8"/>
  <c r="S27" i="8"/>
  <c r="V63" i="7"/>
  <c r="V47" i="7"/>
  <c r="V90" i="7" s="1"/>
  <c r="V62" i="7"/>
  <c r="V46" i="7"/>
  <c r="V89" i="7" s="1"/>
  <c r="H201" i="7"/>
  <c r="I198" i="7" s="1"/>
  <c r="K12" i="1"/>
  <c r="O313" i="8"/>
  <c r="O68" i="8"/>
  <c r="O58" i="8"/>
  <c r="P19" i="1"/>
  <c r="P11" i="1" s="1"/>
  <c r="S310" i="8" a="1"/>
  <c r="S310" i="8" s="1"/>
  <c r="S55" i="8"/>
  <c r="S9" i="8"/>
  <c r="S8" i="8"/>
  <c r="S46" i="8"/>
  <c r="S35" i="8"/>
  <c r="R79" i="8"/>
  <c r="R80" i="8"/>
  <c r="V54" i="7"/>
  <c r="V97" i="7" s="1"/>
  <c r="V70" i="7"/>
  <c r="V71" i="7"/>
  <c r="V55" i="7"/>
  <c r="V98" i="7" s="1"/>
  <c r="S160" i="7"/>
  <c r="U162" i="7"/>
  <c r="V52" i="7"/>
  <c r="V95" i="7" s="1"/>
  <c r="V68" i="7"/>
  <c r="V61" i="7"/>
  <c r="V45" i="7"/>
  <c r="V88" i="7" s="1"/>
  <c r="V67" i="7"/>
  <c r="V51" i="7"/>
  <c r="V94" i="7" s="1"/>
  <c r="L119" i="7"/>
  <c r="L120" i="7" s="1"/>
  <c r="M116" i="7" s="1"/>
  <c r="J139" i="7"/>
  <c r="S108" i="8"/>
  <c r="S107" i="8"/>
  <c r="N22" i="7"/>
  <c r="M25" i="7"/>
  <c r="U72" i="7"/>
  <c r="U74" i="7" s="1"/>
  <c r="J12" i="1"/>
  <c r="L208" i="8"/>
  <c r="L118" i="8"/>
  <c r="L106" i="8"/>
  <c r="M21" i="1"/>
  <c r="U99" i="7"/>
  <c r="I12" i="1"/>
  <c r="S124" i="7"/>
  <c r="S199" i="7" s="1"/>
  <c r="S134" i="7"/>
  <c r="J84" i="7"/>
  <c r="K81" i="7" s="1"/>
  <c r="U102" i="7"/>
  <c r="U56" i="7"/>
  <c r="AN49" i="12"/>
  <c r="AM51" i="12"/>
  <c r="T131" i="7"/>
  <c r="T10" i="7"/>
  <c r="U5" i="7"/>
  <c r="T6" i="5"/>
  <c r="J149" i="3" l="1"/>
  <c r="L112" i="7"/>
  <c r="L113" i="7" s="1"/>
  <c r="M109" i="7" s="1"/>
  <c r="M111" i="7" s="1"/>
  <c r="M112" i="7" s="1"/>
  <c r="I140" i="7"/>
  <c r="T62" i="8"/>
  <c r="M118" i="7"/>
  <c r="M119" i="7" s="1"/>
  <c r="M120" i="7" s="1"/>
  <c r="N116" i="7" s="1"/>
  <c r="S321" i="8"/>
  <c r="S366" i="8"/>
  <c r="S48" i="8"/>
  <c r="Q312" i="8"/>
  <c r="Q54" i="8"/>
  <c r="K129" i="7"/>
  <c r="I165" i="7"/>
  <c r="J165" i="7" s="1"/>
  <c r="T199" i="7"/>
  <c r="T160" i="7"/>
  <c r="T13" i="8"/>
  <c r="T12" i="8"/>
  <c r="AX49" i="12"/>
  <c r="AW51" i="12"/>
  <c r="F151" i="3"/>
  <c r="C152" i="3"/>
  <c r="K151" i="3"/>
  <c r="E151" i="3"/>
  <c r="V102" i="7"/>
  <c r="V56" i="7"/>
  <c r="U57" i="7"/>
  <c r="S122" i="8"/>
  <c r="S211" i="8" s="1"/>
  <c r="T27" i="1"/>
  <c r="U204" i="8" a="1"/>
  <c r="U204" i="8" s="1"/>
  <c r="U202" i="8"/>
  <c r="U29" i="8"/>
  <c r="U14" i="8"/>
  <c r="U22" i="8"/>
  <c r="U17" i="8"/>
  <c r="U11" i="8"/>
  <c r="U10" i="8"/>
  <c r="U19" i="8" a="1"/>
  <c r="U19" i="8" s="1"/>
  <c r="U42" i="8"/>
  <c r="U45" i="8" s="1"/>
  <c r="U21" i="8"/>
  <c r="U7" i="8"/>
  <c r="V5" i="8"/>
  <c r="U6" i="8"/>
  <c r="U4" i="8"/>
  <c r="U20" i="8"/>
  <c r="V8" i="1"/>
  <c r="U362" i="8"/>
  <c r="U361" i="8"/>
  <c r="U47" i="8"/>
  <c r="U43" i="8"/>
  <c r="U44" i="8" s="1"/>
  <c r="U203" i="8" a="1"/>
  <c r="U203" i="8" s="1"/>
  <c r="U18" i="8" a="1"/>
  <c r="U18" i="8" s="1"/>
  <c r="U28" i="8" a="1"/>
  <c r="U28" i="8" s="1"/>
  <c r="R31" i="8"/>
  <c r="V72" i="7"/>
  <c r="V74" i="7" s="1"/>
  <c r="W125" i="7"/>
  <c r="W135" i="7"/>
  <c r="W206" i="7" s="1"/>
  <c r="S66" i="8"/>
  <c r="S65" i="8"/>
  <c r="S60" i="8"/>
  <c r="S61" i="8"/>
  <c r="S63" i="8"/>
  <c r="S64" i="8"/>
  <c r="W69" i="7"/>
  <c r="W53" i="7"/>
  <c r="W96" i="7" s="1"/>
  <c r="R115" i="8"/>
  <c r="R105" i="8"/>
  <c r="T78" i="8"/>
  <c r="T27" i="8"/>
  <c r="P313" i="8"/>
  <c r="P58" i="8"/>
  <c r="P68" i="8"/>
  <c r="Q19" i="1"/>
  <c r="Q11" i="1" s="1"/>
  <c r="W40" i="7"/>
  <c r="W41" i="7" s="1"/>
  <c r="W60" i="7"/>
  <c r="W44" i="7"/>
  <c r="W87" i="7" s="1"/>
  <c r="W45" i="7"/>
  <c r="W88" i="7" s="1"/>
  <c r="W61" i="7"/>
  <c r="W54" i="7"/>
  <c r="W97" i="7" s="1"/>
  <c r="W70" i="7"/>
  <c r="W67" i="7"/>
  <c r="W51" i="7"/>
  <c r="W94" i="7" s="1"/>
  <c r="W63" i="7"/>
  <c r="W47" i="7"/>
  <c r="W90" i="7" s="1"/>
  <c r="U131" i="7"/>
  <c r="U10" i="7"/>
  <c r="V5" i="7"/>
  <c r="U6" i="5"/>
  <c r="K139" i="7"/>
  <c r="AN51" i="12"/>
  <c r="AM57" i="12"/>
  <c r="AM55" i="12"/>
  <c r="I200" i="7"/>
  <c r="I201" i="7" s="1"/>
  <c r="J198" i="7" s="1"/>
  <c r="W49" i="7"/>
  <c r="W92" i="7" s="1"/>
  <c r="W65" i="7"/>
  <c r="M208" i="8"/>
  <c r="M118" i="8"/>
  <c r="M106" i="8"/>
  <c r="N21" i="1"/>
  <c r="M71" i="8"/>
  <c r="S205" i="8"/>
  <c r="S30" i="8"/>
  <c r="N314" i="8"/>
  <c r="O20" i="1"/>
  <c r="N72" i="8"/>
  <c r="N70" i="8"/>
  <c r="S205" i="7"/>
  <c r="I127" i="7"/>
  <c r="I128" i="7" s="1"/>
  <c r="J123" i="7" s="1"/>
  <c r="S90" i="8"/>
  <c r="M12" i="1"/>
  <c r="N23" i="7"/>
  <c r="N24" i="7" s="1"/>
  <c r="W19" i="7"/>
  <c r="W48" i="7"/>
  <c r="W91" i="7" s="1"/>
  <c r="W64" i="7"/>
  <c r="W66" i="7"/>
  <c r="W50" i="7"/>
  <c r="W93" i="7" s="1"/>
  <c r="V206" i="7"/>
  <c r="K79" i="7"/>
  <c r="K82" i="7"/>
  <c r="K75" i="7"/>
  <c r="K76" i="7" s="1"/>
  <c r="S80" i="8"/>
  <c r="S79" i="8"/>
  <c r="S161" i="7"/>
  <c r="R53" i="8"/>
  <c r="R49" i="8"/>
  <c r="R59" i="8"/>
  <c r="R56" i="8"/>
  <c r="R52" i="8"/>
  <c r="R57" i="8"/>
  <c r="W68" i="7"/>
  <c r="W52" i="7"/>
  <c r="W95" i="7" s="1"/>
  <c r="T363" i="8"/>
  <c r="T310" i="8" a="1"/>
  <c r="T310" i="8" s="1"/>
  <c r="T55" i="8"/>
  <c r="T9" i="8"/>
  <c r="T37" i="8" s="1"/>
  <c r="T8" i="8"/>
  <c r="T46" i="8"/>
  <c r="T35" i="8"/>
  <c r="S37" i="8"/>
  <c r="S38" i="8" s="1"/>
  <c r="S39" i="8" s="1"/>
  <c r="U103" i="7"/>
  <c r="O67" i="8"/>
  <c r="O69" i="8" s="1"/>
  <c r="W62" i="7"/>
  <c r="W46" i="7"/>
  <c r="W89" i="7" s="1"/>
  <c r="W71" i="7"/>
  <c r="W55" i="7"/>
  <c r="W98" i="7" s="1"/>
  <c r="T107" i="8"/>
  <c r="T108" i="8"/>
  <c r="U110" i="7"/>
  <c r="U117" i="7"/>
  <c r="U204" i="7" s="1"/>
  <c r="X159" i="7"/>
  <c r="X158" i="7"/>
  <c r="X37" i="7"/>
  <c r="X33" i="7"/>
  <c r="X29" i="7"/>
  <c r="X36" i="7"/>
  <c r="X32" i="7"/>
  <c r="X28" i="7"/>
  <c r="X16" i="7"/>
  <c r="X9" i="7"/>
  <c r="X13" i="7"/>
  <c r="X8" i="7"/>
  <c r="X31" i="7"/>
  <c r="X7" i="7"/>
  <c r="X35" i="7"/>
  <c r="X30" i="7"/>
  <c r="X18" i="7"/>
  <c r="X15" i="7"/>
  <c r="X6" i="7"/>
  <c r="X38" i="7"/>
  <c r="X17" i="7"/>
  <c r="X14" i="7"/>
  <c r="X12" i="7"/>
  <c r="X39" i="7"/>
  <c r="X34" i="7"/>
  <c r="X5" i="5"/>
  <c r="Y4" i="7"/>
  <c r="X20" i="7"/>
  <c r="V99" i="7"/>
  <c r="AI51" i="12"/>
  <c r="AH55" i="12"/>
  <c r="AH57" i="12"/>
  <c r="H150" i="3"/>
  <c r="J150" i="3" s="1"/>
  <c r="I138" i="7"/>
  <c r="J133" i="7" s="1"/>
  <c r="U62" i="8" l="1"/>
  <c r="T38" i="8"/>
  <c r="T57" i="8" s="1"/>
  <c r="V57" i="7"/>
  <c r="M113" i="7"/>
  <c r="N109" i="7" s="1"/>
  <c r="N111" i="7" s="1"/>
  <c r="S31" i="8"/>
  <c r="L73" i="7"/>
  <c r="J126" i="7"/>
  <c r="J127" i="7" s="1"/>
  <c r="J200" i="7"/>
  <c r="J201" i="7" s="1"/>
  <c r="K198" i="7" s="1"/>
  <c r="N118" i="7"/>
  <c r="N119" i="7" s="1"/>
  <c r="W99" i="7"/>
  <c r="T205" i="8"/>
  <c r="T30" i="8"/>
  <c r="U13" i="8"/>
  <c r="U12" i="8"/>
  <c r="F152" i="3"/>
  <c r="E152" i="3"/>
  <c r="C153" i="3"/>
  <c r="K152" i="3"/>
  <c r="W72" i="7"/>
  <c r="W74" i="7" s="1"/>
  <c r="V204" i="8" a="1"/>
  <c r="V204" i="8" s="1"/>
  <c r="V202" i="8"/>
  <c r="V22" i="8"/>
  <c r="V17" i="8"/>
  <c r="V20" i="8"/>
  <c r="V7" i="8"/>
  <c r="W5" i="8"/>
  <c r="V42" i="8"/>
  <c r="V45" i="8" s="1"/>
  <c r="V29" i="8"/>
  <c r="V21" i="8"/>
  <c r="V19" i="8" a="1"/>
  <c r="V19" i="8" s="1"/>
  <c r="V11" i="8"/>
  <c r="V10" i="8"/>
  <c r="V6" i="8"/>
  <c r="V4" i="8"/>
  <c r="V14" i="8"/>
  <c r="W8" i="1"/>
  <c r="V362" i="8"/>
  <c r="V361" i="8"/>
  <c r="V43" i="8"/>
  <c r="V44" i="8" s="1"/>
  <c r="V47" i="8"/>
  <c r="V28" i="8" a="1"/>
  <c r="V28" i="8" s="1"/>
  <c r="V203" i="8" a="1"/>
  <c r="V203" i="8" s="1"/>
  <c r="V18" i="8" a="1"/>
  <c r="V18" i="8" s="1"/>
  <c r="T122" i="8"/>
  <c r="T211" i="8" s="1"/>
  <c r="U27" i="1"/>
  <c r="X65" i="7"/>
  <c r="X49" i="7"/>
  <c r="X92" i="7" s="1"/>
  <c r="T80" i="8"/>
  <c r="T79" i="8"/>
  <c r="T66" i="8"/>
  <c r="T60" i="8"/>
  <c r="T61" i="8"/>
  <c r="T64" i="8"/>
  <c r="T63" i="8"/>
  <c r="T65" i="8"/>
  <c r="U78" i="8"/>
  <c r="U27" i="8"/>
  <c r="X125" i="7"/>
  <c r="X162" i="7" s="1"/>
  <c r="X135" i="7"/>
  <c r="X69" i="7"/>
  <c r="X53" i="7"/>
  <c r="X96" i="7" s="1"/>
  <c r="T321" i="8"/>
  <c r="T366" i="8"/>
  <c r="T48" i="8"/>
  <c r="X66" i="7"/>
  <c r="X50" i="7"/>
  <c r="X93" i="7" s="1"/>
  <c r="X71" i="7"/>
  <c r="X55" i="7"/>
  <c r="X98" i="7" s="1"/>
  <c r="R312" i="8"/>
  <c r="R54" i="8"/>
  <c r="AO55" i="12"/>
  <c r="AN55" i="12"/>
  <c r="AM56" i="12"/>
  <c r="AX51" i="12"/>
  <c r="AW55" i="12"/>
  <c r="AW57" i="12"/>
  <c r="L129" i="7"/>
  <c r="X52" i="7"/>
  <c r="X95" i="7" s="1"/>
  <c r="X68" i="7"/>
  <c r="X61" i="7"/>
  <c r="X45" i="7"/>
  <c r="X88" i="7" s="1"/>
  <c r="Y158" i="7"/>
  <c r="Y159" i="7"/>
  <c r="Y39" i="7"/>
  <c r="Y35" i="7"/>
  <c r="Y31" i="7"/>
  <c r="Y13" i="7"/>
  <c r="Y8" i="7"/>
  <c r="Y7" i="7"/>
  <c r="Y30" i="7"/>
  <c r="Y28" i="7"/>
  <c r="Y18" i="7"/>
  <c r="Y15" i="7"/>
  <c r="Y6" i="7"/>
  <c r="Y34" i="7"/>
  <c r="Y32" i="7"/>
  <c r="Y29" i="7"/>
  <c r="Z4" i="7"/>
  <c r="Y37" i="7"/>
  <c r="Y14" i="7"/>
  <c r="Y16" i="7"/>
  <c r="Y36" i="7"/>
  <c r="Y38" i="7"/>
  <c r="Y33" i="7"/>
  <c r="Y17" i="7"/>
  <c r="Y9" i="7"/>
  <c r="Y5" i="5"/>
  <c r="Y12" i="7"/>
  <c r="Y20" i="7"/>
  <c r="N118" i="8"/>
  <c r="N208" i="8"/>
  <c r="N106" i="8"/>
  <c r="O21" i="1"/>
  <c r="N71" i="8"/>
  <c r="J136" i="7"/>
  <c r="U124" i="7"/>
  <c r="U199" i="7" s="1"/>
  <c r="U134" i="7"/>
  <c r="T90" i="8"/>
  <c r="S105" i="8"/>
  <c r="S115" i="8"/>
  <c r="P67" i="8"/>
  <c r="P69" i="8" s="1"/>
  <c r="V103" i="7"/>
  <c r="X51" i="7"/>
  <c r="X94" i="7" s="1"/>
  <c r="X67" i="7"/>
  <c r="T39" i="8"/>
  <c r="W102" i="7"/>
  <c r="W56" i="7"/>
  <c r="W57" i="7" s="1"/>
  <c r="S52" i="8"/>
  <c r="S49" i="8"/>
  <c r="S57" i="8"/>
  <c r="S53" i="8"/>
  <c r="S59" i="8"/>
  <c r="S56" i="8"/>
  <c r="X47" i="7"/>
  <c r="X90" i="7" s="1"/>
  <c r="X63" i="7"/>
  <c r="X19" i="7"/>
  <c r="O314" i="8"/>
  <c r="O315" i="8" s="1"/>
  <c r="P20" i="1"/>
  <c r="O72" i="8"/>
  <c r="O70" i="8"/>
  <c r="K163" i="7"/>
  <c r="K164" i="7" s="1"/>
  <c r="K165" i="7" s="1"/>
  <c r="K207" i="7"/>
  <c r="K208" i="7" s="1"/>
  <c r="O22" i="7"/>
  <c r="N25" i="7"/>
  <c r="N315" i="8"/>
  <c r="AM58" i="12"/>
  <c r="AN57" i="12"/>
  <c r="AO57" i="12"/>
  <c r="U160" i="7"/>
  <c r="W162" i="7"/>
  <c r="U310" i="8" a="1"/>
  <c r="U310" i="8" s="1"/>
  <c r="U55" i="8"/>
  <c r="U9" i="8"/>
  <c r="U37" i="8" s="1"/>
  <c r="U8" i="8"/>
  <c r="U46" i="8"/>
  <c r="U35" i="8"/>
  <c r="V110" i="7"/>
  <c r="V117" i="7"/>
  <c r="V204" i="7" s="1"/>
  <c r="Q313" i="8"/>
  <c r="Q58" i="8"/>
  <c r="Q68" i="8"/>
  <c r="R19" i="1"/>
  <c r="R11" i="1" s="1"/>
  <c r="X62" i="7"/>
  <c r="X46" i="7"/>
  <c r="X89" i="7" s="1"/>
  <c r="AH58" i="12"/>
  <c r="AR57" i="12"/>
  <c r="AS57" i="12" s="1"/>
  <c r="AJ57" i="12"/>
  <c r="AI57" i="12"/>
  <c r="X70" i="7"/>
  <c r="X54" i="7"/>
  <c r="X97" i="7" s="1"/>
  <c r="X44" i="7"/>
  <c r="X87" i="7" s="1"/>
  <c r="X60" i="7"/>
  <c r="X40" i="7"/>
  <c r="X41" i="7" s="1"/>
  <c r="K83" i="7"/>
  <c r="K84" i="7" s="1"/>
  <c r="L81" i="7" s="1"/>
  <c r="V131" i="7"/>
  <c r="V10" i="7"/>
  <c r="W5" i="7"/>
  <c r="V6" i="5"/>
  <c r="U108" i="8"/>
  <c r="U107" i="8"/>
  <c r="H151" i="3"/>
  <c r="J151" i="3" s="1"/>
  <c r="AR55" i="12"/>
  <c r="AS55" i="12" s="1"/>
  <c r="AI55" i="12"/>
  <c r="AJ55" i="12"/>
  <c r="AH56" i="12"/>
  <c r="X48" i="7"/>
  <c r="X91" i="7" s="1"/>
  <c r="X64" i="7"/>
  <c r="N12" i="1"/>
  <c r="L139" i="7"/>
  <c r="U363" i="8"/>
  <c r="V62" i="8" l="1"/>
  <c r="T49" i="8"/>
  <c r="T56" i="8"/>
  <c r="T59" i="8"/>
  <c r="T31" i="8"/>
  <c r="J130" i="7"/>
  <c r="U90" i="8"/>
  <c r="N120" i="7"/>
  <c r="O116" i="7" s="1"/>
  <c r="O118" i="7" s="1"/>
  <c r="O119" i="7" s="1"/>
  <c r="H152" i="3"/>
  <c r="K200" i="7"/>
  <c r="K201" i="7" s="1"/>
  <c r="L198" i="7" s="1"/>
  <c r="X99" i="7"/>
  <c r="W110" i="7"/>
  <c r="W117" i="7"/>
  <c r="W204" i="7" s="1"/>
  <c r="V124" i="7"/>
  <c r="V161" i="7" s="1"/>
  <c r="V134" i="7"/>
  <c r="V205" i="7" s="1"/>
  <c r="J140" i="7"/>
  <c r="V310" i="8" a="1"/>
  <c r="V310" i="8" s="1"/>
  <c r="V55" i="8"/>
  <c r="V9" i="8"/>
  <c r="V37" i="8" s="1"/>
  <c r="V8" i="8"/>
  <c r="V46" i="8"/>
  <c r="V35" i="8"/>
  <c r="P314" i="8"/>
  <c r="P315" i="8" s="1"/>
  <c r="Q20" i="1"/>
  <c r="P72" i="8"/>
  <c r="P70" i="8"/>
  <c r="J137" i="7"/>
  <c r="J138" i="7" s="1"/>
  <c r="K133" i="7" s="1"/>
  <c r="AO56" i="12"/>
  <c r="AN56" i="12"/>
  <c r="V107" i="8"/>
  <c r="V108" i="8"/>
  <c r="T105" i="8"/>
  <c r="T115" i="8"/>
  <c r="Y65" i="7"/>
  <c r="Y49" i="7"/>
  <c r="Y92" i="7" s="1"/>
  <c r="Y125" i="7"/>
  <c r="Y135" i="7"/>
  <c r="Y206" i="7" s="1"/>
  <c r="Y54" i="7"/>
  <c r="Y97" i="7" s="1"/>
  <c r="Y70" i="7"/>
  <c r="Y40" i="7"/>
  <c r="Y41" i="7" s="1"/>
  <c r="Y60" i="7"/>
  <c r="Y44" i="7"/>
  <c r="N112" i="7"/>
  <c r="N113" i="7" s="1"/>
  <c r="O109" i="7" s="1"/>
  <c r="Y68" i="7"/>
  <c r="Y52" i="7"/>
  <c r="Y95" i="7" s="1"/>
  <c r="Y62" i="7"/>
  <c r="Y46" i="7"/>
  <c r="Y89" i="7" s="1"/>
  <c r="R313" i="8"/>
  <c r="R58" i="8"/>
  <c r="R68" i="8"/>
  <c r="S19" i="1"/>
  <c r="S11" i="1" s="1"/>
  <c r="X206" i="7"/>
  <c r="U66" i="8"/>
  <c r="U64" i="8"/>
  <c r="U60" i="8"/>
  <c r="U63" i="8"/>
  <c r="U61" i="8"/>
  <c r="U65" i="8"/>
  <c r="S312" i="8"/>
  <c r="S54" i="8"/>
  <c r="AN58" i="12"/>
  <c r="AO58" i="12"/>
  <c r="Y19" i="7"/>
  <c r="T52" i="8"/>
  <c r="AH67" i="12"/>
  <c r="AR56" i="12"/>
  <c r="AS56" i="12" s="1"/>
  <c r="AJ56" i="12"/>
  <c r="AI56" i="12"/>
  <c r="W131" i="7"/>
  <c r="W10" i="7"/>
  <c r="X5" i="7"/>
  <c r="W6" i="5"/>
  <c r="AJ58" i="12"/>
  <c r="AI58" i="12"/>
  <c r="AR58" i="12"/>
  <c r="AS58" i="12" s="1"/>
  <c r="V160" i="7"/>
  <c r="T53" i="8"/>
  <c r="U205" i="8"/>
  <c r="U30" i="8"/>
  <c r="W204" i="8" a="1"/>
  <c r="W204" i="8" s="1"/>
  <c r="W202" i="8"/>
  <c r="W42" i="8"/>
  <c r="W45" i="8" s="1"/>
  <c r="W17" i="8"/>
  <c r="W11" i="8"/>
  <c r="W10" i="8"/>
  <c r="W20" i="8"/>
  <c r="W19" i="8" a="1"/>
  <c r="W19" i="8" s="1"/>
  <c r="W7" i="8"/>
  <c r="X5" i="8"/>
  <c r="W6" i="8"/>
  <c r="W4" i="8"/>
  <c r="W29" i="8"/>
  <c r="W21" i="8"/>
  <c r="W22" i="8"/>
  <c r="W14" i="8"/>
  <c r="X8" i="1"/>
  <c r="W47" i="8"/>
  <c r="W43" i="8"/>
  <c r="W44" i="8" s="1"/>
  <c r="W361" i="8"/>
  <c r="W362" i="8"/>
  <c r="W18" i="8" a="1"/>
  <c r="W18" i="8" s="1"/>
  <c r="W203" i="8" a="1"/>
  <c r="W203" i="8" s="1"/>
  <c r="W28" i="8" a="1"/>
  <c r="W28" i="8" s="1"/>
  <c r="C154" i="3"/>
  <c r="K153" i="3"/>
  <c r="F153" i="3"/>
  <c r="E153" i="3"/>
  <c r="X102" i="7"/>
  <c r="X56" i="7"/>
  <c r="X57" i="7" s="1"/>
  <c r="O208" i="8"/>
  <c r="O118" i="8"/>
  <c r="O106" i="8"/>
  <c r="P21" i="1"/>
  <c r="O71" i="8"/>
  <c r="U38" i="8"/>
  <c r="U39" i="8" s="1"/>
  <c r="U80" i="8"/>
  <c r="U79" i="8"/>
  <c r="V363" i="8"/>
  <c r="J152" i="3"/>
  <c r="Z159" i="7"/>
  <c r="Z158" i="7"/>
  <c r="Z9" i="7"/>
  <c r="Z7" i="7"/>
  <c r="Z31" i="7"/>
  <c r="Z30" i="7"/>
  <c r="Z28" i="7"/>
  <c r="Z18" i="7"/>
  <c r="Z15" i="7"/>
  <c r="Z6" i="7"/>
  <c r="Z35" i="7"/>
  <c r="Z34" i="7"/>
  <c r="Z32" i="7"/>
  <c r="Z29" i="7"/>
  <c r="AA4" i="7"/>
  <c r="Z39" i="7"/>
  <c r="Z38" i="7"/>
  <c r="Z36" i="7"/>
  <c r="Z33" i="7"/>
  <c r="Z17" i="7"/>
  <c r="Z14" i="7"/>
  <c r="Z16" i="7"/>
  <c r="Z8" i="7"/>
  <c r="Z13" i="7"/>
  <c r="Z37" i="7"/>
  <c r="Z5" i="5"/>
  <c r="Z12" i="7"/>
  <c r="Z20" i="7"/>
  <c r="Y63" i="7"/>
  <c r="Y47" i="7"/>
  <c r="Y90" i="7" s="1"/>
  <c r="J128" i="7"/>
  <c r="K123" i="7" s="1"/>
  <c r="Q67" i="8"/>
  <c r="Q69" i="8" s="1"/>
  <c r="O12" i="1"/>
  <c r="Y53" i="7"/>
  <c r="Y96" i="7" s="1"/>
  <c r="Y69" i="7"/>
  <c r="V78" i="8"/>
  <c r="V27" i="8"/>
  <c r="O23" i="7"/>
  <c r="O24" i="7" s="1"/>
  <c r="U205" i="7"/>
  <c r="Y61" i="7"/>
  <c r="Y45" i="7"/>
  <c r="Y88" i="7" s="1"/>
  <c r="Y51" i="7"/>
  <c r="Y94" i="7" s="1"/>
  <c r="Y67" i="7"/>
  <c r="M129" i="7"/>
  <c r="M139" i="7"/>
  <c r="U161" i="7"/>
  <c r="Y64" i="7"/>
  <c r="Y48" i="7"/>
  <c r="Y91" i="7" s="1"/>
  <c r="Y55" i="7"/>
  <c r="Y98" i="7" s="1"/>
  <c r="Y71" i="7"/>
  <c r="AY57" i="12"/>
  <c r="AX57" i="12"/>
  <c r="AW58" i="12"/>
  <c r="V13" i="8"/>
  <c r="V12" i="8"/>
  <c r="U122" i="8"/>
  <c r="U211" i="8" s="1"/>
  <c r="V27" i="1"/>
  <c r="X72" i="7"/>
  <c r="X74" i="7" s="1"/>
  <c r="U321" i="8"/>
  <c r="U366" i="8"/>
  <c r="U48" i="8"/>
  <c r="W103" i="7"/>
  <c r="Y66" i="7"/>
  <c r="Y50" i="7"/>
  <c r="Y93" i="7" s="1"/>
  <c r="AX55" i="12"/>
  <c r="AY55" i="12"/>
  <c r="AW56" i="12"/>
  <c r="L79" i="7"/>
  <c r="L82" i="7"/>
  <c r="L83" i="7" s="1"/>
  <c r="L84" i="7" s="1"/>
  <c r="M81" i="7" s="1"/>
  <c r="L75" i="7"/>
  <c r="L76" i="7" s="1"/>
  <c r="V199" i="7" l="1"/>
  <c r="Z19" i="7"/>
  <c r="V90" i="8"/>
  <c r="H153" i="3"/>
  <c r="J153" i="3" s="1"/>
  <c r="O120" i="7"/>
  <c r="P116" i="7" s="1"/>
  <c r="P118" i="7" s="1"/>
  <c r="O111" i="7"/>
  <c r="Q314" i="8"/>
  <c r="R20" i="1"/>
  <c r="Q72" i="8"/>
  <c r="Q70" i="8"/>
  <c r="L200" i="7"/>
  <c r="L201" i="7" s="1"/>
  <c r="M198" i="7" s="1"/>
  <c r="T312" i="8"/>
  <c r="T54" i="8"/>
  <c r="L163" i="7"/>
  <c r="L164" i="7" s="1"/>
  <c r="L207" i="7"/>
  <c r="L208" i="7" s="1"/>
  <c r="Z63" i="7"/>
  <c r="Z47" i="7"/>
  <c r="Z90" i="7" s="1"/>
  <c r="W363" i="8"/>
  <c r="W78" i="8"/>
  <c r="W27" i="8"/>
  <c r="U105" i="8"/>
  <c r="U115" i="8"/>
  <c r="V366" i="8"/>
  <c r="V321" i="8"/>
  <c r="V48" i="8"/>
  <c r="W160" i="7"/>
  <c r="M73" i="7"/>
  <c r="Y162" i="7"/>
  <c r="P208" i="8"/>
  <c r="P118" i="8"/>
  <c r="P106" i="8"/>
  <c r="Q21" i="1"/>
  <c r="P71" i="8"/>
  <c r="V66" i="8"/>
  <c r="V65" i="8"/>
  <c r="V64" i="8"/>
  <c r="V60" i="8"/>
  <c r="V61" i="8"/>
  <c r="V63" i="8"/>
  <c r="Z71" i="7"/>
  <c r="Z55" i="7"/>
  <c r="Z98" i="7" s="1"/>
  <c r="Z53" i="7"/>
  <c r="Z96" i="7" s="1"/>
  <c r="Z69" i="7"/>
  <c r="Z48" i="7"/>
  <c r="Z91" i="7" s="1"/>
  <c r="Z64" i="7"/>
  <c r="X131" i="7"/>
  <c r="Y5" i="7"/>
  <c r="X6" i="5"/>
  <c r="X10" i="7"/>
  <c r="Z54" i="7"/>
  <c r="Z70" i="7"/>
  <c r="U49" i="8"/>
  <c r="U57" i="8"/>
  <c r="U52" i="8"/>
  <c r="U59" i="8"/>
  <c r="U53" i="8"/>
  <c r="U56" i="8"/>
  <c r="P22" i="7"/>
  <c r="O25" i="7"/>
  <c r="W310" i="8" a="1"/>
  <c r="W310" i="8" s="1"/>
  <c r="W55" i="8"/>
  <c r="W9" i="8"/>
  <c r="W90" i="8" s="1"/>
  <c r="W8" i="8"/>
  <c r="W46" i="8"/>
  <c r="W35" i="8"/>
  <c r="AY58" i="12"/>
  <c r="AX58" i="12"/>
  <c r="W108" i="8"/>
  <c r="W107" i="8"/>
  <c r="N139" i="7"/>
  <c r="P12" i="1"/>
  <c r="V205" i="8"/>
  <c r="V30" i="8"/>
  <c r="W62" i="8"/>
  <c r="AY56" i="12"/>
  <c r="AX56" i="12"/>
  <c r="F154" i="3"/>
  <c r="E154" i="3"/>
  <c r="C155" i="3"/>
  <c r="K154" i="3"/>
  <c r="Z51" i="7"/>
  <c r="Z94" i="7" s="1"/>
  <c r="Z67" i="7"/>
  <c r="U31" i="8"/>
  <c r="N129" i="7"/>
  <c r="V80" i="8"/>
  <c r="V79" i="8"/>
  <c r="Z125" i="7"/>
  <c r="Z162" i="7" s="1"/>
  <c r="Z135" i="7"/>
  <c r="X103" i="7"/>
  <c r="AA159" i="7"/>
  <c r="AA158" i="7"/>
  <c r="AA36" i="7"/>
  <c r="AA32" i="7"/>
  <c r="AA28" i="7"/>
  <c r="AA39" i="7"/>
  <c r="AA35" i="7"/>
  <c r="AA31" i="7"/>
  <c r="AA13" i="7"/>
  <c r="AA8" i="7"/>
  <c r="AA30" i="7"/>
  <c r="AA18" i="7"/>
  <c r="AA19" i="7" s="1"/>
  <c r="AA15" i="7"/>
  <c r="AA34" i="7"/>
  <c r="AA29" i="7"/>
  <c r="AB4" i="7"/>
  <c r="AA38" i="7"/>
  <c r="AA33" i="7"/>
  <c r="AA17" i="7"/>
  <c r="AA37" i="7"/>
  <c r="AA12" i="7"/>
  <c r="AA14" i="7"/>
  <c r="AA16" i="7"/>
  <c r="AA9" i="7"/>
  <c r="AA7" i="7"/>
  <c r="AA6" i="7"/>
  <c r="AA5" i="5"/>
  <c r="AA20" i="7"/>
  <c r="Z61" i="7"/>
  <c r="Z45" i="7"/>
  <c r="Z88" i="7" s="1"/>
  <c r="Z66" i="7"/>
  <c r="Z50" i="7"/>
  <c r="Z93" i="7" s="1"/>
  <c r="S313" i="8"/>
  <c r="S58" i="8"/>
  <c r="S68" i="8"/>
  <c r="T19" i="1"/>
  <c r="T11" i="1" s="1"/>
  <c r="Y72" i="7"/>
  <c r="Y74" i="7" s="1"/>
  <c r="K126" i="7"/>
  <c r="K127" i="7" s="1"/>
  <c r="Z65" i="7"/>
  <c r="Z49" i="7"/>
  <c r="Z92" i="7" s="1"/>
  <c r="Z40" i="7"/>
  <c r="Z41" i="7" s="1"/>
  <c r="Z60" i="7"/>
  <c r="Z44" i="7"/>
  <c r="Z87" i="7" s="1"/>
  <c r="X110" i="7"/>
  <c r="X117" i="7"/>
  <c r="X204" i="7" s="1"/>
  <c r="V38" i="8"/>
  <c r="V39" i="8" s="1"/>
  <c r="Z97" i="7"/>
  <c r="X204" i="8" a="1"/>
  <c r="X204" i="8" s="1"/>
  <c r="X202" i="8"/>
  <c r="X17" i="8"/>
  <c r="X22" i="8"/>
  <c r="X11" i="8"/>
  <c r="X10" i="8"/>
  <c r="X19" i="8" a="1"/>
  <c r="X19" i="8" s="1"/>
  <c r="X20" i="8"/>
  <c r="X6" i="8"/>
  <c r="X4" i="8"/>
  <c r="X7" i="8"/>
  <c r="Y5" i="8"/>
  <c r="X14" i="8"/>
  <c r="X42" i="8"/>
  <c r="X45" i="8" s="1"/>
  <c r="X29" i="8"/>
  <c r="X21" i="8"/>
  <c r="Y8" i="1"/>
  <c r="X361" i="8"/>
  <c r="X47" i="8"/>
  <c r="X43" i="8"/>
  <c r="X44" i="8" s="1"/>
  <c r="X362" i="8"/>
  <c r="X203" i="8" a="1"/>
  <c r="X203" i="8" s="1"/>
  <c r="X18" i="8" a="1"/>
  <c r="X18" i="8" s="1"/>
  <c r="X28" i="8" a="1"/>
  <c r="X28" i="8" s="1"/>
  <c r="Y102" i="7"/>
  <c r="Y56" i="7"/>
  <c r="K136" i="7"/>
  <c r="K140" i="7" s="1"/>
  <c r="Y87" i="7"/>
  <c r="Y99" i="7" s="1"/>
  <c r="R67" i="8"/>
  <c r="R69" i="8" s="1"/>
  <c r="W124" i="7"/>
  <c r="W161" i="7" s="1"/>
  <c r="W134" i="7"/>
  <c r="W205" i="7" s="1"/>
  <c r="Z68" i="7"/>
  <c r="Z52" i="7"/>
  <c r="Z95" i="7" s="1"/>
  <c r="Z62" i="7"/>
  <c r="Z46" i="7"/>
  <c r="Z89" i="7" s="1"/>
  <c r="W13" i="8"/>
  <c r="W12" i="8"/>
  <c r="AI67" i="12"/>
  <c r="AH72" i="12"/>
  <c r="AJ67" i="12"/>
  <c r="V122" i="8"/>
  <c r="V211" i="8" s="1"/>
  <c r="W27" i="1"/>
  <c r="Y103" i="7" l="1"/>
  <c r="Y124" i="7" s="1"/>
  <c r="Y161" i="7" s="1"/>
  <c r="K130" i="7"/>
  <c r="Z99" i="7"/>
  <c r="P119" i="7"/>
  <c r="P120" i="7" s="1"/>
  <c r="Q116" i="7" s="1"/>
  <c r="Q118" i="7" s="1"/>
  <c r="Q119" i="7" s="1"/>
  <c r="Q120" i="7" s="1"/>
  <c r="R116" i="7" s="1"/>
  <c r="Z72" i="7"/>
  <c r="Z74" i="7" s="1"/>
  <c r="W199" i="7"/>
  <c r="V31" i="8"/>
  <c r="K128" i="7"/>
  <c r="L123" i="7" s="1"/>
  <c r="R314" i="8"/>
  <c r="R315" i="8" s="1"/>
  <c r="S20" i="1"/>
  <c r="R72" i="8"/>
  <c r="R70" i="8"/>
  <c r="W66" i="8"/>
  <c r="W63" i="8"/>
  <c r="W61" i="8"/>
  <c r="W64" i="8"/>
  <c r="W65" i="8"/>
  <c r="W60" i="8"/>
  <c r="Q12" i="1"/>
  <c r="Q315" i="8"/>
  <c r="O129" i="7"/>
  <c r="O112" i="7"/>
  <c r="O113" i="7" s="1"/>
  <c r="P109" i="7" s="1"/>
  <c r="X160" i="7"/>
  <c r="AB159" i="7"/>
  <c r="AB158" i="7"/>
  <c r="AB38" i="7"/>
  <c r="AB34" i="7"/>
  <c r="AB30" i="7"/>
  <c r="AB7" i="7"/>
  <c r="AB18" i="7"/>
  <c r="AB15" i="7"/>
  <c r="AB31" i="7"/>
  <c r="AB29" i="7"/>
  <c r="AB28" i="7"/>
  <c r="AB35" i="7"/>
  <c r="AB33" i="7"/>
  <c r="AB32" i="7"/>
  <c r="AB17" i="7"/>
  <c r="AB39" i="7"/>
  <c r="AB37" i="7"/>
  <c r="AB36" i="7"/>
  <c r="AB12" i="7"/>
  <c r="AB16" i="7"/>
  <c r="AB8" i="7"/>
  <c r="AB14" i="7"/>
  <c r="AB13" i="7"/>
  <c r="AC4" i="7"/>
  <c r="AB9" i="7"/>
  <c r="AB6" i="7"/>
  <c r="AB5" i="5"/>
  <c r="AB20" i="7"/>
  <c r="AA68" i="7"/>
  <c r="AA52" i="7"/>
  <c r="AA95" i="7" s="1"/>
  <c r="X310" i="8" a="1"/>
  <c r="X310" i="8" s="1"/>
  <c r="X55" i="8"/>
  <c r="X9" i="8"/>
  <c r="X90" i="8" s="1"/>
  <c r="X8" i="8"/>
  <c r="X46" i="8"/>
  <c r="X35" i="8"/>
  <c r="W122" i="8"/>
  <c r="W211" i="8" s="1"/>
  <c r="X27" i="1"/>
  <c r="L165" i="7"/>
  <c r="AA61" i="7"/>
  <c r="AA45" i="7"/>
  <c r="AA88" i="7" s="1"/>
  <c r="T313" i="8"/>
  <c r="T68" i="8"/>
  <c r="T58" i="8"/>
  <c r="U19" i="1"/>
  <c r="U11" i="1" s="1"/>
  <c r="X78" i="8"/>
  <c r="X27" i="8"/>
  <c r="X363" i="8"/>
  <c r="K137" i="7"/>
  <c r="K138" i="7" s="1"/>
  <c r="L133" i="7" s="1"/>
  <c r="X108" i="8"/>
  <c r="X107" i="8"/>
  <c r="S67" i="8"/>
  <c r="S69" i="8" s="1"/>
  <c r="AA125" i="7"/>
  <c r="AA162" i="7" s="1"/>
  <c r="AA135" i="7"/>
  <c r="AA206" i="7" s="1"/>
  <c r="AA46" i="7"/>
  <c r="AA89" i="7" s="1"/>
  <c r="AA62" i="7"/>
  <c r="V115" i="8"/>
  <c r="V105" i="8"/>
  <c r="AA64" i="7"/>
  <c r="AA48" i="7"/>
  <c r="AA91" i="7" s="1"/>
  <c r="O139" i="7"/>
  <c r="AA50" i="7"/>
  <c r="AA93" i="7" s="1"/>
  <c r="AA66" i="7"/>
  <c r="Y110" i="7"/>
  <c r="Y117" i="7"/>
  <c r="Y204" i="7" s="1"/>
  <c r="AJ72" i="12"/>
  <c r="AI72" i="12"/>
  <c r="X62" i="8"/>
  <c r="P23" i="7"/>
  <c r="P24" i="7" s="1"/>
  <c r="W205" i="8"/>
  <c r="W30" i="8"/>
  <c r="Y57" i="7"/>
  <c r="AA69" i="7"/>
  <c r="AA53" i="7"/>
  <c r="AA96" i="7" s="1"/>
  <c r="AA47" i="7"/>
  <c r="AA90" i="7" s="1"/>
  <c r="AA63" i="7"/>
  <c r="Z206" i="7"/>
  <c r="K155" i="3"/>
  <c r="F155" i="3"/>
  <c r="F156" i="3" s="1"/>
  <c r="F157" i="3" s="1"/>
  <c r="E155" i="3"/>
  <c r="Y131" i="7"/>
  <c r="Y10" i="7"/>
  <c r="Z5" i="7"/>
  <c r="Y6" i="5"/>
  <c r="W79" i="8"/>
  <c r="W80" i="8"/>
  <c r="V59" i="8"/>
  <c r="V57" i="8"/>
  <c r="V49" i="8"/>
  <c r="V53" i="8"/>
  <c r="V52" i="8"/>
  <c r="V56" i="8"/>
  <c r="X124" i="7"/>
  <c r="X161" i="7" s="1"/>
  <c r="X134" i="7"/>
  <c r="X205" i="7" s="1"/>
  <c r="M200" i="7"/>
  <c r="M201" i="7" s="1"/>
  <c r="N198" i="7" s="1"/>
  <c r="Y202" i="8"/>
  <c r="Y204" i="8" a="1"/>
  <c r="Y204" i="8" s="1"/>
  <c r="Y42" i="8"/>
  <c r="Y45" i="8" s="1"/>
  <c r="Y19" i="8" a="1"/>
  <c r="Y19" i="8" s="1"/>
  <c r="Y17" i="8"/>
  <c r="Y20" i="8"/>
  <c r="Y7" i="8"/>
  <c r="Z5" i="8"/>
  <c r="Y22" i="8"/>
  <c r="Y6" i="8"/>
  <c r="Y4" i="8"/>
  <c r="Y14" i="8"/>
  <c r="Y29" i="8"/>
  <c r="Y21" i="8"/>
  <c r="Y10" i="8"/>
  <c r="Y11" i="8"/>
  <c r="Z8" i="1"/>
  <c r="Y43" i="8"/>
  <c r="Y44" i="8" s="1"/>
  <c r="Y362" i="8"/>
  <c r="Y47" i="8"/>
  <c r="Y361" i="8"/>
  <c r="Y18" i="8" a="1"/>
  <c r="Y18" i="8" s="1"/>
  <c r="Y203" i="8" a="1"/>
  <c r="Y203" i="8" s="1"/>
  <c r="Y28" i="8" a="1"/>
  <c r="Y28" i="8" s="1"/>
  <c r="AA51" i="7"/>
  <c r="AA94" i="7" s="1"/>
  <c r="AA67" i="7"/>
  <c r="H154" i="3"/>
  <c r="J154" i="3" s="1"/>
  <c r="Q208" i="8"/>
  <c r="Q106" i="8"/>
  <c r="Q118" i="8"/>
  <c r="R21" i="1"/>
  <c r="Q71" i="8"/>
  <c r="AA65" i="7"/>
  <c r="AA49" i="7"/>
  <c r="AA92" i="7" s="1"/>
  <c r="AA55" i="7"/>
  <c r="AA98" i="7" s="1"/>
  <c r="AA71" i="7"/>
  <c r="W321" i="8"/>
  <c r="W366" i="8"/>
  <c r="W48" i="8"/>
  <c r="X13" i="8"/>
  <c r="X12" i="8"/>
  <c r="Z102" i="7"/>
  <c r="Z56" i="7"/>
  <c r="AA70" i="7"/>
  <c r="AA54" i="7"/>
  <c r="AA97" i="7" s="1"/>
  <c r="AA60" i="7"/>
  <c r="AA44" i="7"/>
  <c r="AA87" i="7" s="1"/>
  <c r="AA40" i="7"/>
  <c r="AA41" i="7" s="1"/>
  <c r="W37" i="8"/>
  <c r="W38" i="8" s="1"/>
  <c r="U312" i="8"/>
  <c r="U54" i="8"/>
  <c r="M79" i="7"/>
  <c r="M82" i="7"/>
  <c r="M75" i="7"/>
  <c r="M76" i="7" s="1"/>
  <c r="N73" i="7" s="1"/>
  <c r="Y134" i="7" l="1"/>
  <c r="Y205" i="7" s="1"/>
  <c r="Y62" i="8"/>
  <c r="W31" i="8"/>
  <c r="Z103" i="7"/>
  <c r="Z134" i="7" s="1"/>
  <c r="Z205" i="7" s="1"/>
  <c r="L136" i="7"/>
  <c r="L137" i="7" s="1"/>
  <c r="L138" i="7" s="1"/>
  <c r="M133" i="7" s="1"/>
  <c r="Q22" i="7"/>
  <c r="P25" i="7"/>
  <c r="N79" i="7"/>
  <c r="N75" i="7"/>
  <c r="N76" i="7" s="1"/>
  <c r="O73" i="7" s="1"/>
  <c r="R118" i="7"/>
  <c r="R119" i="7" s="1"/>
  <c r="R120" i="7" s="1"/>
  <c r="S116" i="7" s="1"/>
  <c r="W59" i="8"/>
  <c r="W57" i="8"/>
  <c r="W49" i="8"/>
  <c r="W53" i="8"/>
  <c r="W56" i="8"/>
  <c r="W52" i="8"/>
  <c r="W39" i="8"/>
  <c r="S314" i="8"/>
  <c r="S315" i="8" s="1"/>
  <c r="T20" i="1"/>
  <c r="S72" i="8"/>
  <c r="S70" i="8"/>
  <c r="AA99" i="7"/>
  <c r="AB65" i="7"/>
  <c r="AB49" i="7"/>
  <c r="AB92" i="7" s="1"/>
  <c r="P139" i="7"/>
  <c r="AC159" i="7"/>
  <c r="AC158" i="7"/>
  <c r="AC18" i="7"/>
  <c r="AC15" i="7"/>
  <c r="AC6" i="7"/>
  <c r="AC31" i="7"/>
  <c r="AC30" i="7"/>
  <c r="AC29" i="7"/>
  <c r="AC28" i="7"/>
  <c r="AC35" i="7"/>
  <c r="AC34" i="7"/>
  <c r="AC33" i="7"/>
  <c r="AC32" i="7"/>
  <c r="AC17" i="7"/>
  <c r="AC39" i="7"/>
  <c r="AC38" i="7"/>
  <c r="AC37" i="7"/>
  <c r="AC36" i="7"/>
  <c r="AC12" i="7"/>
  <c r="AC14" i="7"/>
  <c r="AC16" i="7"/>
  <c r="AC9" i="7"/>
  <c r="AC13" i="7"/>
  <c r="AD4" i="7"/>
  <c r="AC5" i="5"/>
  <c r="AC7" i="7"/>
  <c r="AC8" i="7"/>
  <c r="AC20" i="7"/>
  <c r="AB67" i="7"/>
  <c r="AB51" i="7"/>
  <c r="AB94" i="7" s="1"/>
  <c r="P111" i="7"/>
  <c r="P112" i="7" s="1"/>
  <c r="P113" i="7" s="1"/>
  <c r="Q109" i="7" s="1"/>
  <c r="Y363" i="8"/>
  <c r="Y78" i="8"/>
  <c r="Y27" i="8"/>
  <c r="V312" i="8"/>
  <c r="V54" i="8"/>
  <c r="AB40" i="7"/>
  <c r="AB41" i="7" s="1"/>
  <c r="AB60" i="7"/>
  <c r="AB44" i="7"/>
  <c r="AB87" i="7" s="1"/>
  <c r="AB61" i="7"/>
  <c r="AB45" i="7"/>
  <c r="AB88" i="7" s="1"/>
  <c r="Z131" i="7"/>
  <c r="AA5" i="7"/>
  <c r="Z10" i="7"/>
  <c r="Z6" i="5"/>
  <c r="AB63" i="7"/>
  <c r="AB47" i="7"/>
  <c r="AB90" i="7" s="1"/>
  <c r="R208" i="8"/>
  <c r="R106" i="8"/>
  <c r="R118" i="8"/>
  <c r="S21" i="1"/>
  <c r="R71" i="8"/>
  <c r="N200" i="7"/>
  <c r="N201" i="7" s="1"/>
  <c r="O198" i="7" s="1"/>
  <c r="U313" i="8"/>
  <c r="U68" i="8"/>
  <c r="U58" i="8"/>
  <c r="V19" i="1"/>
  <c r="V11" i="1" s="1"/>
  <c r="AA72" i="7"/>
  <c r="AA74" i="7" s="1"/>
  <c r="Y108" i="8"/>
  <c r="Y107" i="8"/>
  <c r="Z57" i="7"/>
  <c r="Y13" i="8"/>
  <c r="Y12" i="8"/>
  <c r="Z204" i="8" a="1"/>
  <c r="Z204" i="8" s="1"/>
  <c r="Z202" i="8"/>
  <c r="Z21" i="8"/>
  <c r="Z42" i="8"/>
  <c r="Z45" i="8" s="1"/>
  <c r="Z20" i="8"/>
  <c r="Z7" i="8"/>
  <c r="AA5" i="8"/>
  <c r="Z6" i="8"/>
  <c r="Z4" i="8"/>
  <c r="Z29" i="8"/>
  <c r="Z14" i="8"/>
  <c r="Z22" i="8"/>
  <c r="Z19" i="8" a="1"/>
  <c r="Z19" i="8" s="1"/>
  <c r="Z17" i="8"/>
  <c r="Z11" i="8"/>
  <c r="Z10" i="8"/>
  <c r="AA8" i="1"/>
  <c r="Z43" i="8"/>
  <c r="Z44" i="8" s="1"/>
  <c r="Z47" i="8"/>
  <c r="Z362" i="8"/>
  <c r="Z361" i="8"/>
  <c r="Z18" i="8" a="1"/>
  <c r="Z18" i="8" s="1"/>
  <c r="Z28" i="8" a="1"/>
  <c r="Z28" i="8" s="1"/>
  <c r="Z203" i="8" a="1"/>
  <c r="Z203" i="8" s="1"/>
  <c r="AA102" i="7"/>
  <c r="AA56" i="7"/>
  <c r="X122" i="8"/>
  <c r="X211" i="8" s="1"/>
  <c r="Y27" i="1"/>
  <c r="Y310" i="8" a="1"/>
  <c r="Y310" i="8" s="1"/>
  <c r="Y9" i="8"/>
  <c r="Y8" i="8"/>
  <c r="Y55" i="8"/>
  <c r="Y46" i="8"/>
  <c r="Y35" i="8"/>
  <c r="H155" i="3"/>
  <c r="J155" i="3" s="1"/>
  <c r="E156" i="3"/>
  <c r="W105" i="8"/>
  <c r="W115" i="8"/>
  <c r="AB125" i="7"/>
  <c r="AB162" i="7" s="1"/>
  <c r="AB135" i="7"/>
  <c r="AB206" i="7" s="1"/>
  <c r="X199" i="7"/>
  <c r="X366" i="8"/>
  <c r="X321" i="8"/>
  <c r="X48" i="8"/>
  <c r="AB68" i="7"/>
  <c r="AB52" i="7"/>
  <c r="AB95" i="7" s="1"/>
  <c r="M83" i="7"/>
  <c r="M84" i="7" s="1"/>
  <c r="N81" i="7" s="1"/>
  <c r="N82" i="7" s="1"/>
  <c r="Z110" i="7"/>
  <c r="Z117" i="7"/>
  <c r="Z204" i="7" s="1"/>
  <c r="R12" i="1"/>
  <c r="X205" i="8"/>
  <c r="X30" i="8"/>
  <c r="X31" i="8" s="1"/>
  <c r="X66" i="8"/>
  <c r="X60" i="8"/>
  <c r="X64" i="8"/>
  <c r="X63" i="8"/>
  <c r="X65" i="8"/>
  <c r="X61" i="8"/>
  <c r="AB53" i="7"/>
  <c r="AB96" i="7" s="1"/>
  <c r="AB69" i="7"/>
  <c r="AB62" i="7"/>
  <c r="AB46" i="7"/>
  <c r="AB89" i="7" s="1"/>
  <c r="AB19" i="7"/>
  <c r="M163" i="7"/>
  <c r="M164" i="7" s="1"/>
  <c r="M165" i="7" s="1"/>
  <c r="M207" i="7"/>
  <c r="M208" i="7" s="1"/>
  <c r="Y199" i="7"/>
  <c r="Y160" i="7"/>
  <c r="X79" i="8"/>
  <c r="X80" i="8"/>
  <c r="X37" i="8"/>
  <c r="X38" i="8" s="1"/>
  <c r="AB71" i="7"/>
  <c r="AB55" i="7"/>
  <c r="AB98" i="7" s="1"/>
  <c r="AB50" i="7"/>
  <c r="AB93" i="7" s="1"/>
  <c r="AB66" i="7"/>
  <c r="L126" i="7"/>
  <c r="L130" i="7" s="1"/>
  <c r="AB54" i="7"/>
  <c r="AB97" i="7" s="1"/>
  <c r="AB70" i="7"/>
  <c r="T67" i="8"/>
  <c r="T69" i="8" s="1"/>
  <c r="AB64" i="7"/>
  <c r="AB48" i="7"/>
  <c r="AB91" i="7" s="1"/>
  <c r="P129" i="7"/>
  <c r="Z124" i="7" l="1"/>
  <c r="Z161" i="7" s="1"/>
  <c r="AC19" i="7"/>
  <c r="L140" i="7"/>
  <c r="S118" i="7"/>
  <c r="S119" i="7" s="1"/>
  <c r="Q111" i="7"/>
  <c r="Q112" i="7" s="1"/>
  <c r="O79" i="7"/>
  <c r="O75" i="7"/>
  <c r="O76" i="7" s="1"/>
  <c r="P73" i="7" s="1"/>
  <c r="X57" i="8"/>
  <c r="X53" i="8"/>
  <c r="X56" i="8"/>
  <c r="X59" i="8"/>
  <c r="X49" i="8"/>
  <c r="X52" i="8"/>
  <c r="X39" i="8"/>
  <c r="O200" i="7"/>
  <c r="O201" i="7" s="1"/>
  <c r="P198" i="7" s="1"/>
  <c r="T314" i="8"/>
  <c r="T315" i="8" s="1"/>
  <c r="U20" i="1"/>
  <c r="T72" i="8"/>
  <c r="T70" i="8"/>
  <c r="Z160" i="7"/>
  <c r="Z78" i="8"/>
  <c r="Z27" i="8"/>
  <c r="AD159" i="7"/>
  <c r="AD158" i="7"/>
  <c r="AD39" i="7"/>
  <c r="AD35" i="7"/>
  <c r="AD31" i="7"/>
  <c r="AD38" i="7"/>
  <c r="AD34" i="7"/>
  <c r="AD30" i="7"/>
  <c r="AD29" i="7"/>
  <c r="AD28" i="7"/>
  <c r="AE4" i="7"/>
  <c r="AD33" i="7"/>
  <c r="AD32" i="7"/>
  <c r="AD17" i="7"/>
  <c r="AD37" i="7"/>
  <c r="AD36" i="7"/>
  <c r="AD12" i="7"/>
  <c r="AD14" i="7"/>
  <c r="AD5" i="5"/>
  <c r="AD13" i="7"/>
  <c r="AD8" i="7"/>
  <c r="AD18" i="7"/>
  <c r="AD15" i="7"/>
  <c r="AD16" i="7"/>
  <c r="AD7" i="7"/>
  <c r="AD6" i="7"/>
  <c r="AD9" i="7"/>
  <c r="AD20" i="7"/>
  <c r="AC65" i="7"/>
  <c r="AC49" i="7"/>
  <c r="AC92" i="7" s="1"/>
  <c r="AA103" i="7"/>
  <c r="U67" i="8"/>
  <c r="U69" i="8" s="1"/>
  <c r="AB102" i="7"/>
  <c r="AB56" i="7"/>
  <c r="AC50" i="7"/>
  <c r="AC93" i="7" s="1"/>
  <c r="AC66" i="7"/>
  <c r="Q139" i="7"/>
  <c r="AA110" i="7"/>
  <c r="AA117" i="7"/>
  <c r="AA204" i="7" s="1"/>
  <c r="Z310" i="8" a="1"/>
  <c r="Z310" i="8" s="1"/>
  <c r="Z55" i="8"/>
  <c r="Z9" i="8"/>
  <c r="Z8" i="8"/>
  <c r="Z46" i="8"/>
  <c r="Z35" i="8"/>
  <c r="AB72" i="7"/>
  <c r="AB74" i="7" s="1"/>
  <c r="AC51" i="7"/>
  <c r="AC94" i="7" s="1"/>
  <c r="AC67" i="7"/>
  <c r="N83" i="7"/>
  <c r="N84" i="7" s="1"/>
  <c r="O81" i="7" s="1"/>
  <c r="O82" i="7" s="1"/>
  <c r="Y66" i="8"/>
  <c r="Y65" i="8"/>
  <c r="Y61" i="8"/>
  <c r="Y60" i="8"/>
  <c r="Y64" i="8"/>
  <c r="Y63" i="8"/>
  <c r="Z62" i="8"/>
  <c r="Z107" i="8"/>
  <c r="Z108" i="8"/>
  <c r="AC60" i="7"/>
  <c r="AC40" i="7"/>
  <c r="AC41" i="7" s="1"/>
  <c r="AC44" i="7"/>
  <c r="W312" i="8"/>
  <c r="W54" i="8"/>
  <c r="AC61" i="7"/>
  <c r="AC45" i="7"/>
  <c r="AC88" i="7" s="1"/>
  <c r="N163" i="7"/>
  <c r="N164" i="7" s="1"/>
  <c r="N165" i="7" s="1"/>
  <c r="N207" i="7"/>
  <c r="N208" i="7" s="1"/>
  <c r="Y37" i="8"/>
  <c r="Y38" i="8" s="1"/>
  <c r="V313" i="8"/>
  <c r="V68" i="8"/>
  <c r="V58" i="8"/>
  <c r="W19" i="1"/>
  <c r="W11" i="1" s="1"/>
  <c r="AC68" i="7"/>
  <c r="AC52" i="7"/>
  <c r="AC95" i="7" s="1"/>
  <c r="AC63" i="7"/>
  <c r="AC47" i="7"/>
  <c r="AC90" i="7" s="1"/>
  <c r="Q23" i="7"/>
  <c r="Q24" i="7" s="1"/>
  <c r="X115" i="8"/>
  <c r="X105" i="8"/>
  <c r="AC53" i="7"/>
  <c r="AC96" i="7" s="1"/>
  <c r="AC69" i="7"/>
  <c r="Y366" i="8"/>
  <c r="Y321" i="8"/>
  <c r="Y48" i="8"/>
  <c r="AB99" i="7"/>
  <c r="Y90" i="8"/>
  <c r="AA57" i="7"/>
  <c r="Y205" i="8"/>
  <c r="Y30" i="8"/>
  <c r="AC70" i="7"/>
  <c r="AC54" i="7"/>
  <c r="AC97" i="7" s="1"/>
  <c r="AC62" i="7"/>
  <c r="AC46" i="7"/>
  <c r="AC89" i="7" s="1"/>
  <c r="Q129" i="7"/>
  <c r="L127" i="7"/>
  <c r="Z13" i="8"/>
  <c r="Z12" i="8"/>
  <c r="Y122" i="8"/>
  <c r="Y211" i="8" s="1"/>
  <c r="Z27" i="1"/>
  <c r="AA131" i="7"/>
  <c r="AA10" i="7"/>
  <c r="AB5" i="7"/>
  <c r="AA6" i="5"/>
  <c r="Y80" i="8"/>
  <c r="Y79" i="8"/>
  <c r="AC71" i="7"/>
  <c r="AC55" i="7"/>
  <c r="AC98" i="7" s="1"/>
  <c r="AC125" i="7"/>
  <c r="AC162" i="7" s="1"/>
  <c r="AC135" i="7"/>
  <c r="AC206" i="7" s="1"/>
  <c r="Z363" i="8"/>
  <c r="S208" i="8"/>
  <c r="S118" i="8"/>
  <c r="S106" i="8"/>
  <c r="T21" i="1"/>
  <c r="S71" i="8"/>
  <c r="E157" i="3"/>
  <c r="H156" i="3"/>
  <c r="AA202" i="8"/>
  <c r="AA204" i="8" a="1"/>
  <c r="AA204" i="8" s="1"/>
  <c r="AA42" i="8"/>
  <c r="AA45" i="8" s="1"/>
  <c r="AA6" i="8"/>
  <c r="AA4" i="8"/>
  <c r="AA29" i="8"/>
  <c r="AA21" i="8"/>
  <c r="AA22" i="8"/>
  <c r="AA19" i="8" a="1"/>
  <c r="AA19" i="8" s="1"/>
  <c r="AA17" i="8"/>
  <c r="AA20" i="8"/>
  <c r="AA14" i="8"/>
  <c r="AA11" i="8"/>
  <c r="AA10" i="8"/>
  <c r="AB5" i="8"/>
  <c r="AA7" i="8"/>
  <c r="AB8" i="1"/>
  <c r="AA47" i="8"/>
  <c r="AA362" i="8"/>
  <c r="AA43" i="8"/>
  <c r="AA44" i="8" s="1"/>
  <c r="AA361" i="8"/>
  <c r="AA18" i="8" a="1"/>
  <c r="AA18" i="8" s="1"/>
  <c r="AA28" i="8" a="1"/>
  <c r="AA28" i="8" s="1"/>
  <c r="AA203" i="8" a="1"/>
  <c r="AA203" i="8" s="1"/>
  <c r="S12" i="1"/>
  <c r="AC64" i="7"/>
  <c r="AC48" i="7"/>
  <c r="AC91" i="7" s="1"/>
  <c r="M136" i="7"/>
  <c r="M140" i="7" s="1"/>
  <c r="Z199" i="7" l="1"/>
  <c r="AA62" i="8"/>
  <c r="S120" i="7"/>
  <c r="T116" i="7" s="1"/>
  <c r="Q113" i="7"/>
  <c r="R109" i="7" s="1"/>
  <c r="R111" i="7" s="1"/>
  <c r="R112" i="7" s="1"/>
  <c r="Y59" i="8"/>
  <c r="Y57" i="8"/>
  <c r="Y56" i="8"/>
  <c r="Y53" i="8"/>
  <c r="Y49" i="8"/>
  <c r="Y52" i="8"/>
  <c r="Y39" i="8"/>
  <c r="U314" i="8"/>
  <c r="U315" i="8" s="1"/>
  <c r="V20" i="1"/>
  <c r="U72" i="8"/>
  <c r="U70" i="8"/>
  <c r="P79" i="7"/>
  <c r="P75" i="7"/>
  <c r="P76" i="7" s="1"/>
  <c r="Q73" i="7" s="1"/>
  <c r="R22" i="7"/>
  <c r="Q25" i="7"/>
  <c r="P200" i="7"/>
  <c r="P201" i="7" s="1"/>
  <c r="Q198" i="7" s="1"/>
  <c r="W313" i="8"/>
  <c r="W68" i="8"/>
  <c r="W58" i="8"/>
  <c r="X19" i="1"/>
  <c r="X11" i="1" s="1"/>
  <c r="Z366" i="8"/>
  <c r="Z321" i="8"/>
  <c r="Z48" i="8"/>
  <c r="R139" i="7"/>
  <c r="AD69" i="7"/>
  <c r="AD53" i="7"/>
  <c r="AD96" i="7" s="1"/>
  <c r="AD55" i="7"/>
  <c r="AD98" i="7" s="1"/>
  <c r="AD71" i="7"/>
  <c r="M137" i="7"/>
  <c r="M138" i="7" s="1"/>
  <c r="N133" i="7" s="1"/>
  <c r="AB131" i="7"/>
  <c r="AB10" i="7"/>
  <c r="AB6" i="5"/>
  <c r="AC5" i="7"/>
  <c r="Z37" i="8"/>
  <c r="R129" i="7"/>
  <c r="AC102" i="7"/>
  <c r="AC56" i="7"/>
  <c r="AD64" i="7"/>
  <c r="AD48" i="7"/>
  <c r="AD91" i="7" s="1"/>
  <c r="L128" i="7"/>
  <c r="M123" i="7" s="1"/>
  <c r="Z66" i="8"/>
  <c r="Z60" i="8"/>
  <c r="Z64" i="8"/>
  <c r="Z65" i="8"/>
  <c r="Z61" i="8"/>
  <c r="Z63" i="8"/>
  <c r="AB103" i="7"/>
  <c r="AD49" i="7"/>
  <c r="AD92" i="7" s="1"/>
  <c r="AD65" i="7"/>
  <c r="Z205" i="8"/>
  <c r="Z30" i="8"/>
  <c r="AA363" i="8"/>
  <c r="AC72" i="7"/>
  <c r="AC74" i="7" s="1"/>
  <c r="AB110" i="7"/>
  <c r="AB117" i="7"/>
  <c r="AB204" i="7" s="1"/>
  <c r="AE159" i="7"/>
  <c r="AE158" i="7"/>
  <c r="AE37" i="7"/>
  <c r="AE33" i="7"/>
  <c r="AE29" i="7"/>
  <c r="AE32" i="7"/>
  <c r="AE31" i="7"/>
  <c r="AE30" i="7"/>
  <c r="AE17" i="7"/>
  <c r="AE36" i="7"/>
  <c r="AE35" i="7"/>
  <c r="AE34" i="7"/>
  <c r="AE39" i="7"/>
  <c r="AE38" i="7"/>
  <c r="AE14" i="7"/>
  <c r="AE5" i="5"/>
  <c r="AE16" i="7"/>
  <c r="AE13" i="7"/>
  <c r="AE7" i="7"/>
  <c r="AE18" i="7"/>
  <c r="AE15" i="7"/>
  <c r="AE28" i="7"/>
  <c r="AF4" i="7"/>
  <c r="AE9" i="7"/>
  <c r="AE12" i="7"/>
  <c r="AE8" i="7"/>
  <c r="AE6" i="7"/>
  <c r="AE20" i="7"/>
  <c r="Z80" i="8"/>
  <c r="Z79" i="8"/>
  <c r="X312" i="8"/>
  <c r="X54" i="8"/>
  <c r="O163" i="7"/>
  <c r="O164" i="7" s="1"/>
  <c r="O165" i="7" s="1"/>
  <c r="O207" i="7"/>
  <c r="O208" i="7" s="1"/>
  <c r="Z90" i="8"/>
  <c r="Z122" i="8"/>
  <c r="Z211" i="8" s="1"/>
  <c r="AA27" i="1"/>
  <c r="AD45" i="7"/>
  <c r="AD88" i="7" s="1"/>
  <c r="AD61" i="7"/>
  <c r="AA78" i="8"/>
  <c r="AA27" i="8"/>
  <c r="AA124" i="7"/>
  <c r="AA161" i="7" s="1"/>
  <c r="AA134" i="7"/>
  <c r="AA205" i="7" s="1"/>
  <c r="AD46" i="7"/>
  <c r="AD89" i="7" s="1"/>
  <c r="AD62" i="7"/>
  <c r="T12" i="1"/>
  <c r="AD125" i="7"/>
  <c r="AD162" i="7" s="1"/>
  <c r="AD135" i="7"/>
  <c r="AD206" i="7" s="1"/>
  <c r="AD60" i="7"/>
  <c r="AD40" i="7"/>
  <c r="AD41" i="7" s="1"/>
  <c r="AD44" i="7"/>
  <c r="AA13" i="8"/>
  <c r="AA12" i="8"/>
  <c r="Y115" i="8"/>
  <c r="Y105" i="8"/>
  <c r="AB202" i="8"/>
  <c r="AB204" i="8" a="1"/>
  <c r="AB204" i="8" s="1"/>
  <c r="AB22" i="8"/>
  <c r="AB20" i="8"/>
  <c r="AB29" i="8"/>
  <c r="AB21" i="8"/>
  <c r="AB19" i="8" a="1"/>
  <c r="AB19" i="8" s="1"/>
  <c r="AB17" i="8"/>
  <c r="AB14" i="8"/>
  <c r="AB42" i="8"/>
  <c r="AB45" i="8" s="1"/>
  <c r="AB11" i="8"/>
  <c r="AB10" i="8"/>
  <c r="AB7" i="8"/>
  <c r="AC5" i="8"/>
  <c r="AB4" i="8"/>
  <c r="AB6" i="8"/>
  <c r="AC8" i="1"/>
  <c r="AB43" i="8"/>
  <c r="AB44" i="8" s="1"/>
  <c r="AB362" i="8"/>
  <c r="AB361" i="8"/>
  <c r="AB47" i="8"/>
  <c r="AB28" i="8" a="1"/>
  <c r="AB28" i="8" s="1"/>
  <c r="AB203" i="8" a="1"/>
  <c r="AB203" i="8" s="1"/>
  <c r="AB18" i="8" a="1"/>
  <c r="AB18" i="8" s="1"/>
  <c r="V67" i="8"/>
  <c r="V69" i="8" s="1"/>
  <c r="AA160" i="7"/>
  <c r="AD50" i="7"/>
  <c r="AD93" i="7" s="1"/>
  <c r="AD66" i="7"/>
  <c r="T208" i="8"/>
  <c r="T106" i="8"/>
  <c r="T118" i="8"/>
  <c r="U21" i="1"/>
  <c r="T71" i="8"/>
  <c r="O83" i="7"/>
  <c r="O84" i="7" s="1"/>
  <c r="P81" i="7" s="1"/>
  <c r="AA310" i="8" a="1"/>
  <c r="AA310" i="8" s="1"/>
  <c r="AA55" i="8"/>
  <c r="AA9" i="8"/>
  <c r="AA8" i="8"/>
  <c r="AA46" i="8"/>
  <c r="AA35" i="8"/>
  <c r="AD19" i="7"/>
  <c r="Z38" i="8"/>
  <c r="Z39" i="8" s="1"/>
  <c r="AD54" i="7"/>
  <c r="AD97" i="7" s="1"/>
  <c r="AD70" i="7"/>
  <c r="AA107" i="8"/>
  <c r="AA108" i="8"/>
  <c r="AC87" i="7"/>
  <c r="AC99" i="7" s="1"/>
  <c r="AD63" i="7"/>
  <c r="AD47" i="7"/>
  <c r="AD90" i="7" s="1"/>
  <c r="Y31" i="8"/>
  <c r="T118" i="7"/>
  <c r="T119" i="7" s="1"/>
  <c r="T120" i="7" s="1"/>
  <c r="U116" i="7" s="1"/>
  <c r="AB57" i="7"/>
  <c r="AD68" i="7"/>
  <c r="AD52" i="7"/>
  <c r="AD95" i="7" s="1"/>
  <c r="AD67" i="7"/>
  <c r="AD51" i="7"/>
  <c r="AD94" i="7" s="1"/>
  <c r="AA199" i="7" l="1"/>
  <c r="AB62" i="8"/>
  <c r="AC103" i="7"/>
  <c r="AC124" i="7" s="1"/>
  <c r="AC161" i="7" s="1"/>
  <c r="R113" i="7"/>
  <c r="S109" i="7" s="1"/>
  <c r="S111" i="7" s="1"/>
  <c r="AE19" i="7"/>
  <c r="U118" i="7"/>
  <c r="Q79" i="7"/>
  <c r="Q75" i="7"/>
  <c r="Q76" i="7" s="1"/>
  <c r="R73" i="7" s="1"/>
  <c r="AC110" i="7"/>
  <c r="AC117" i="7"/>
  <c r="AC204" i="7" s="1"/>
  <c r="S139" i="7"/>
  <c r="AA37" i="8"/>
  <c r="AA38" i="8" s="1"/>
  <c r="AE53" i="7"/>
  <c r="AE69" i="7"/>
  <c r="AE61" i="7"/>
  <c r="AE45" i="7"/>
  <c r="AE88" i="7" s="1"/>
  <c r="AE70" i="7"/>
  <c r="AE54" i="7"/>
  <c r="AE97" i="7" s="1"/>
  <c r="S129" i="7"/>
  <c r="AC131" i="7"/>
  <c r="AD5" i="7"/>
  <c r="AC6" i="5"/>
  <c r="AC10" i="7"/>
  <c r="AE55" i="7"/>
  <c r="AE98" i="7" s="1"/>
  <c r="AE71" i="7"/>
  <c r="AB124" i="7"/>
  <c r="AB161" i="7" s="1"/>
  <c r="AB134" i="7"/>
  <c r="AB205" i="7" s="1"/>
  <c r="W67" i="8"/>
  <c r="W69" i="8" s="1"/>
  <c r="AA66" i="8"/>
  <c r="AA64" i="8"/>
  <c r="AA61" i="8"/>
  <c r="AA63" i="8"/>
  <c r="AA65" i="8"/>
  <c r="AA60" i="8"/>
  <c r="AD72" i="7"/>
  <c r="AD74" i="7" s="1"/>
  <c r="AE66" i="7"/>
  <c r="AE50" i="7"/>
  <c r="AE93" i="7" s="1"/>
  <c r="Y312" i="8"/>
  <c r="Y54" i="8"/>
  <c r="Z115" i="8"/>
  <c r="Z105" i="8"/>
  <c r="AE49" i="7"/>
  <c r="AE92" i="7" s="1"/>
  <c r="AE65" i="7"/>
  <c r="AC57" i="7"/>
  <c r="AA122" i="8"/>
  <c r="AA211" i="8" s="1"/>
  <c r="AB27" i="1"/>
  <c r="AA90" i="8"/>
  <c r="V314" i="8"/>
  <c r="V315" i="8" s="1"/>
  <c r="W20" i="1"/>
  <c r="V72" i="8"/>
  <c r="V70" i="8"/>
  <c r="AD102" i="7"/>
  <c r="AD56" i="7"/>
  <c r="Z56" i="8"/>
  <c r="Z53" i="8"/>
  <c r="Z59" i="8"/>
  <c r="Z52" i="8"/>
  <c r="Z49" i="8"/>
  <c r="Z57" i="8"/>
  <c r="AF159" i="7"/>
  <c r="AF158" i="7"/>
  <c r="AF36" i="7"/>
  <c r="AF35" i="7"/>
  <c r="AF34" i="7"/>
  <c r="AF33" i="7"/>
  <c r="AF12" i="7"/>
  <c r="AF39" i="7"/>
  <c r="AF38" i="7"/>
  <c r="AF37" i="7"/>
  <c r="AF14" i="7"/>
  <c r="AF16" i="7"/>
  <c r="AF13" i="7"/>
  <c r="AF18" i="7"/>
  <c r="AF15" i="7"/>
  <c r="AF28" i="7"/>
  <c r="AF32" i="7"/>
  <c r="AF31" i="7"/>
  <c r="AF30" i="7"/>
  <c r="AF29" i="7"/>
  <c r="AF17" i="7"/>
  <c r="AG4" i="7"/>
  <c r="AF9" i="7"/>
  <c r="AF6" i="7"/>
  <c r="AF8" i="7"/>
  <c r="AF5" i="5"/>
  <c r="AF7" i="7"/>
  <c r="AF20" i="7"/>
  <c r="AE67" i="7"/>
  <c r="AE51" i="7"/>
  <c r="AE94" i="7" s="1"/>
  <c r="AB160" i="7"/>
  <c r="N136" i="7"/>
  <c r="N140" i="7" s="1"/>
  <c r="AB13" i="8"/>
  <c r="AB12" i="8"/>
  <c r="AE60" i="7"/>
  <c r="AE44" i="7"/>
  <c r="AE87" i="7" s="1"/>
  <c r="AE40" i="7"/>
  <c r="AE41" i="7" s="1"/>
  <c r="AE52" i="7"/>
  <c r="AE95" i="7" s="1"/>
  <c r="AE68" i="7"/>
  <c r="R23" i="7"/>
  <c r="R24" i="7" s="1"/>
  <c r="U208" i="8"/>
  <c r="U118" i="8"/>
  <c r="U106" i="8"/>
  <c r="V21" i="1"/>
  <c r="U71" i="8"/>
  <c r="AA366" i="8"/>
  <c r="AA321" i="8"/>
  <c r="AA48" i="8"/>
  <c r="AB363" i="8"/>
  <c r="Z31" i="8"/>
  <c r="AC204" i="8" a="1"/>
  <c r="AC204" i="8" s="1"/>
  <c r="AC202" i="8"/>
  <c r="AC29" i="8"/>
  <c r="AC21" i="8"/>
  <c r="AC42" i="8"/>
  <c r="AC45" i="8" s="1"/>
  <c r="AC14" i="8"/>
  <c r="AC22" i="8"/>
  <c r="AC17" i="8"/>
  <c r="AC20" i="8"/>
  <c r="AC11" i="8"/>
  <c r="AC10" i="8"/>
  <c r="AC7" i="8"/>
  <c r="AD5" i="8"/>
  <c r="AC19" i="8" a="1"/>
  <c r="AC19" i="8" s="1"/>
  <c r="AC6" i="8"/>
  <c r="AC4" i="8"/>
  <c r="AD8" i="1"/>
  <c r="AC362" i="8"/>
  <c r="AC47" i="8"/>
  <c r="AC361" i="8"/>
  <c r="AC43" i="8"/>
  <c r="AC44" i="8" s="1"/>
  <c r="AC203" i="8" a="1"/>
  <c r="AC203" i="8" s="1"/>
  <c r="AC18" i="8" a="1"/>
  <c r="AC18" i="8" s="1"/>
  <c r="AC28" i="8" a="1"/>
  <c r="AC28" i="8" s="1"/>
  <c r="AA205" i="8"/>
  <c r="AA30" i="8"/>
  <c r="U12" i="1"/>
  <c r="AB78" i="8"/>
  <c r="AB27" i="8"/>
  <c r="AA80" i="8"/>
  <c r="AA79" i="8"/>
  <c r="X313" i="8"/>
  <c r="X68" i="8"/>
  <c r="X58" i="8"/>
  <c r="Y19" i="1"/>
  <c r="Y11" i="1" s="1"/>
  <c r="AE125" i="7"/>
  <c r="AE162" i="7" s="1"/>
  <c r="AE135" i="7"/>
  <c r="AE206" i="7" s="1"/>
  <c r="AE62" i="7"/>
  <c r="AE46" i="7"/>
  <c r="AE89" i="7" s="1"/>
  <c r="P82" i="7"/>
  <c r="AB310" i="8" a="1"/>
  <c r="AB310" i="8" s="1"/>
  <c r="AB55" i="8"/>
  <c r="AB9" i="8"/>
  <c r="AB88" i="8" s="1"/>
  <c r="AB8" i="8"/>
  <c r="AB46" i="8"/>
  <c r="AB35" i="8"/>
  <c r="AE96" i="7"/>
  <c r="AE63" i="7"/>
  <c r="AE47" i="7"/>
  <c r="AE90" i="7" s="1"/>
  <c r="AD87" i="7"/>
  <c r="AD99" i="7" s="1"/>
  <c r="AB107" i="8"/>
  <c r="AB108" i="8"/>
  <c r="AE64" i="7"/>
  <c r="AE48" i="7"/>
  <c r="AE91" i="7" s="1"/>
  <c r="M126" i="7"/>
  <c r="M130" i="7" s="1"/>
  <c r="Q200" i="7"/>
  <c r="Q201" i="7" s="1"/>
  <c r="R198" i="7" s="1"/>
  <c r="P163" i="7"/>
  <c r="P164" i="7" s="1"/>
  <c r="P207" i="7"/>
  <c r="P208" i="7" s="1"/>
  <c r="AB199" i="7" l="1"/>
  <c r="AC134" i="7"/>
  <c r="AC205" i="7" s="1"/>
  <c r="N137" i="7"/>
  <c r="N138" i="7" s="1"/>
  <c r="O133" i="7" s="1"/>
  <c r="O136" i="7" s="1"/>
  <c r="O140" i="7" s="1"/>
  <c r="AD57" i="7"/>
  <c r="AB90" i="8"/>
  <c r="AC62" i="8"/>
  <c r="R200" i="7"/>
  <c r="R201" i="7" s="1"/>
  <c r="S198" i="7" s="1"/>
  <c r="AA57" i="8"/>
  <c r="AA53" i="8"/>
  <c r="AA56" i="8"/>
  <c r="AA59" i="8"/>
  <c r="AA52" i="8"/>
  <c r="AA49" i="8"/>
  <c r="AA39" i="8"/>
  <c r="AC108" i="8"/>
  <c r="AC107" i="8"/>
  <c r="S22" i="7"/>
  <c r="R25" i="7"/>
  <c r="AF70" i="7"/>
  <c r="AF54" i="7"/>
  <c r="AF97" i="7" s="1"/>
  <c r="AF61" i="7"/>
  <c r="AF45" i="7"/>
  <c r="AF88" i="7" s="1"/>
  <c r="AF55" i="7"/>
  <c r="AF98" i="7" s="1"/>
  <c r="AF71" i="7"/>
  <c r="W314" i="8"/>
  <c r="W315" i="8" s="1"/>
  <c r="X20" i="1"/>
  <c r="W72" i="8"/>
  <c r="W70" i="8"/>
  <c r="AD131" i="7"/>
  <c r="AD6" i="5"/>
  <c r="AD10" i="7"/>
  <c r="AE5" i="7"/>
  <c r="R79" i="7"/>
  <c r="R75" i="7"/>
  <c r="R76" i="7" s="1"/>
  <c r="S73" i="7" s="1"/>
  <c r="AF46" i="7"/>
  <c r="AF89" i="7" s="1"/>
  <c r="AF62" i="7"/>
  <c r="Q163" i="7"/>
  <c r="Q164" i="7" s="1"/>
  <c r="Q207" i="7"/>
  <c r="Q208" i="7" s="1"/>
  <c r="AB205" i="8"/>
  <c r="AB30" i="8"/>
  <c r="AF63" i="7"/>
  <c r="AF47" i="7"/>
  <c r="AF90" i="7" s="1"/>
  <c r="AF49" i="7"/>
  <c r="AF92" i="7" s="1"/>
  <c r="AF65" i="7"/>
  <c r="AD103" i="7"/>
  <c r="AE102" i="7"/>
  <c r="AE56" i="7"/>
  <c r="AF64" i="7"/>
  <c r="AF48" i="7"/>
  <c r="AF91" i="7" s="1"/>
  <c r="AF50" i="7"/>
  <c r="AF93" i="7" s="1"/>
  <c r="AF66" i="7"/>
  <c r="AD110" i="7"/>
  <c r="AD117" i="7"/>
  <c r="AD204" i="7" s="1"/>
  <c r="T129" i="7"/>
  <c r="U119" i="7"/>
  <c r="U120" i="7" s="1"/>
  <c r="V116" i="7" s="1"/>
  <c r="AB80" i="8"/>
  <c r="AB79" i="8"/>
  <c r="AF60" i="7"/>
  <c r="AF40" i="7"/>
  <c r="AF41" i="7" s="1"/>
  <c r="AF44" i="7"/>
  <c r="V208" i="8"/>
  <c r="V106" i="8"/>
  <c r="V118" i="8"/>
  <c r="W21" i="1"/>
  <c r="V71" i="8"/>
  <c r="M127" i="7"/>
  <c r="M128" i="7" s="1"/>
  <c r="N123" i="7" s="1"/>
  <c r="AB66" i="8"/>
  <c r="AB65" i="8"/>
  <c r="AB61" i="8"/>
  <c r="AB64" i="8"/>
  <c r="AB63" i="8"/>
  <c r="AB60" i="8"/>
  <c r="X67" i="8"/>
  <c r="X69" i="8" s="1"/>
  <c r="AC13" i="8"/>
  <c r="AC12" i="8"/>
  <c r="AF52" i="7"/>
  <c r="AF95" i="7" s="1"/>
  <c r="AF68" i="7"/>
  <c r="T139" i="7"/>
  <c r="AB122" i="8"/>
  <c r="AB211" i="8" s="1"/>
  <c r="AC27" i="1"/>
  <c r="AA105" i="8"/>
  <c r="AA115" i="8"/>
  <c r="AF125" i="7"/>
  <c r="AF162" i="7" s="1"/>
  <c r="AF135" i="7"/>
  <c r="AF206" i="7" s="1"/>
  <c r="Y313" i="8"/>
  <c r="Y68" i="8"/>
  <c r="Y58" i="8"/>
  <c r="Z19" i="1"/>
  <c r="Z11" i="1" s="1"/>
  <c r="AC363" i="8"/>
  <c r="AB366" i="8"/>
  <c r="AB321" i="8"/>
  <c r="AB48" i="8"/>
  <c r="AE72" i="7"/>
  <c r="AE74" i="7" s="1"/>
  <c r="AF67" i="7"/>
  <c r="AF51" i="7"/>
  <c r="AF94" i="7" s="1"/>
  <c r="V12" i="1"/>
  <c r="AB37" i="8"/>
  <c r="AB38" i="8" s="1"/>
  <c r="AC199" i="7"/>
  <c r="AC160" i="7"/>
  <c r="S112" i="7"/>
  <c r="S113" i="7" s="1"/>
  <c r="T109" i="7" s="1"/>
  <c r="AE99" i="7"/>
  <c r="AD202" i="8"/>
  <c r="AD204" i="8" a="1"/>
  <c r="AD204" i="8" s="1"/>
  <c r="AD21" i="8"/>
  <c r="AD29" i="8"/>
  <c r="AD42" i="8"/>
  <c r="AD45" i="8" s="1"/>
  <c r="AD19" i="8" a="1"/>
  <c r="AD19" i="8" s="1"/>
  <c r="AD14" i="8"/>
  <c r="AD17" i="8"/>
  <c r="AD20" i="8"/>
  <c r="AD22" i="8"/>
  <c r="AD11" i="8"/>
  <c r="AD10" i="8"/>
  <c r="AD7" i="8"/>
  <c r="AE5" i="8"/>
  <c r="AD6" i="8"/>
  <c r="AD4" i="8"/>
  <c r="AE8" i="1"/>
  <c r="AD43" i="8"/>
  <c r="AD44" i="8" s="1"/>
  <c r="AD362" i="8"/>
  <c r="AD361" i="8"/>
  <c r="AD47" i="8"/>
  <c r="AD203" i="8" a="1"/>
  <c r="AD203" i="8" s="1"/>
  <c r="AD18" i="8" a="1"/>
  <c r="AD18" i="8" s="1"/>
  <c r="AD28" i="8" a="1"/>
  <c r="AD28" i="8" s="1"/>
  <c r="P83" i="7"/>
  <c r="P84" i="7" s="1"/>
  <c r="Q81" i="7" s="1"/>
  <c r="AC78" i="8"/>
  <c r="AC27" i="8"/>
  <c r="AA31" i="8"/>
  <c r="AC310" i="8" a="1"/>
  <c r="AC310" i="8" s="1"/>
  <c r="AC55" i="8"/>
  <c r="AC9" i="8"/>
  <c r="AC88" i="8" s="1"/>
  <c r="AC89" i="8" s="1"/>
  <c r="AC120" i="8" s="1"/>
  <c r="AC8" i="8"/>
  <c r="AC46" i="8"/>
  <c r="AC35" i="8"/>
  <c r="AF19" i="7"/>
  <c r="AG159" i="7"/>
  <c r="AG158" i="7"/>
  <c r="AG38" i="7"/>
  <c r="AG34" i="7"/>
  <c r="AG30" i="7"/>
  <c r="AG37" i="7"/>
  <c r="AG33" i="7"/>
  <c r="AG29" i="7"/>
  <c r="AG39" i="7"/>
  <c r="AG14" i="7"/>
  <c r="AG16" i="7"/>
  <c r="AG9" i="7"/>
  <c r="AG18" i="7"/>
  <c r="AG15" i="7"/>
  <c r="AG28" i="7"/>
  <c r="AG32" i="7"/>
  <c r="AG31" i="7"/>
  <c r="AG17" i="7"/>
  <c r="AG36" i="7"/>
  <c r="AG35" i="7"/>
  <c r="AG13" i="7"/>
  <c r="AG6" i="7"/>
  <c r="AG7" i="7"/>
  <c r="AG5" i="5"/>
  <c r="AG12" i="7"/>
  <c r="AG8" i="7"/>
  <c r="AH4" i="7"/>
  <c r="AG20" i="7"/>
  <c r="AF69" i="7"/>
  <c r="AF53" i="7"/>
  <c r="AF96" i="7" s="1"/>
  <c r="Z312" i="8"/>
  <c r="Z54" i="8"/>
  <c r="P165" i="7"/>
  <c r="AD62" i="8" l="1"/>
  <c r="AE103" i="7"/>
  <c r="AE134" i="7" s="1"/>
  <c r="AE205" i="7" s="1"/>
  <c r="AG19" i="7"/>
  <c r="Q165" i="7"/>
  <c r="AB31" i="8"/>
  <c r="T111" i="7"/>
  <c r="AB56" i="8"/>
  <c r="AB53" i="8"/>
  <c r="AB52" i="8"/>
  <c r="AB59" i="8"/>
  <c r="AB49" i="8"/>
  <c r="AB57" i="8"/>
  <c r="AB39" i="8"/>
  <c r="V118" i="7"/>
  <c r="V119" i="7" s="1"/>
  <c r="V120" i="7" s="1"/>
  <c r="W116" i="7" s="1"/>
  <c r="N126" i="7"/>
  <c r="N127" i="7" s="1"/>
  <c r="Q82" i="7"/>
  <c r="S200" i="7"/>
  <c r="S201" i="7" s="1"/>
  <c r="T198" i="7" s="1"/>
  <c r="AE124" i="7"/>
  <c r="AE161" i="7" s="1"/>
  <c r="S79" i="7"/>
  <c r="S75" i="7"/>
  <c r="S76" i="7" s="1"/>
  <c r="T73" i="7" s="1"/>
  <c r="AA312" i="8"/>
  <c r="AA54" i="8"/>
  <c r="AF72" i="7"/>
  <c r="AF74" i="7" s="1"/>
  <c r="AE110" i="7"/>
  <c r="AE117" i="7"/>
  <c r="AE204" i="7" s="1"/>
  <c r="R163" i="7"/>
  <c r="R164" i="7" s="1"/>
  <c r="R207" i="7"/>
  <c r="R208" i="7" s="1"/>
  <c r="O137" i="7"/>
  <c r="O138" i="7" s="1"/>
  <c r="P133" i="7" s="1"/>
  <c r="AD363" i="8"/>
  <c r="AG71" i="7"/>
  <c r="AG55" i="7"/>
  <c r="AG98" i="7" s="1"/>
  <c r="AD13" i="8"/>
  <c r="AD12" i="8"/>
  <c r="AD124" i="7"/>
  <c r="AD161" i="7" s="1"/>
  <c r="AD134" i="7"/>
  <c r="AD205" i="7" s="1"/>
  <c r="AE57" i="7"/>
  <c r="AC205" i="8"/>
  <c r="AC30" i="8"/>
  <c r="Z313" i="8"/>
  <c r="Z68" i="8"/>
  <c r="Z58" i="8"/>
  <c r="AA19" i="1"/>
  <c r="AA11" i="1" s="1"/>
  <c r="AG45" i="7"/>
  <c r="AG61" i="7"/>
  <c r="AE204" i="8" a="1"/>
  <c r="AE204" i="8" s="1"/>
  <c r="AE202" i="8"/>
  <c r="AE42" i="8"/>
  <c r="AE45" i="8" s="1"/>
  <c r="AE29" i="8"/>
  <c r="AE21" i="8"/>
  <c r="AE19" i="8" a="1"/>
  <c r="AE19" i="8" s="1"/>
  <c r="AE14" i="8"/>
  <c r="AE20" i="8"/>
  <c r="AE22" i="8"/>
  <c r="AE17" i="8"/>
  <c r="AE11" i="8"/>
  <c r="AE10" i="8"/>
  <c r="AE7" i="8"/>
  <c r="AF5" i="8"/>
  <c r="AE6" i="8"/>
  <c r="AE4" i="8"/>
  <c r="AF8" i="1"/>
  <c r="AE361" i="8"/>
  <c r="AE362" i="8"/>
  <c r="AE47" i="8"/>
  <c r="AE43" i="8"/>
  <c r="AE44" i="8" s="1"/>
  <c r="AE18" i="8" a="1"/>
  <c r="AE18" i="8" s="1"/>
  <c r="AE28" i="8" a="1"/>
  <c r="AE28" i="8" s="1"/>
  <c r="AE203" i="8" a="1"/>
  <c r="AE203" i="8" s="1"/>
  <c r="S23" i="7"/>
  <c r="S24" i="7" s="1"/>
  <c r="X314" i="8"/>
  <c r="X315" i="8" s="1"/>
  <c r="Y20" i="1"/>
  <c r="X72" i="8"/>
  <c r="X70" i="8"/>
  <c r="AG67" i="7"/>
  <c r="AG51" i="7"/>
  <c r="AG94" i="7" s="1"/>
  <c r="AC366" i="8"/>
  <c r="AC364" i="8"/>
  <c r="AC321" i="8"/>
  <c r="AC48" i="8"/>
  <c r="AG68" i="7"/>
  <c r="AG52" i="7"/>
  <c r="AG95" i="7" s="1"/>
  <c r="AG49" i="7"/>
  <c r="AG92" i="7" s="1"/>
  <c r="AG65" i="7"/>
  <c r="AC37" i="8"/>
  <c r="AC38" i="8" s="1"/>
  <c r="AC39" i="8" s="1"/>
  <c r="AG53" i="7"/>
  <c r="AG96" i="7" s="1"/>
  <c r="AG69" i="7"/>
  <c r="AD78" i="8"/>
  <c r="AD27" i="8"/>
  <c r="U129" i="7"/>
  <c r="AC122" i="8"/>
  <c r="AC211" i="8" s="1"/>
  <c r="AD27" i="1"/>
  <c r="AF56" i="7"/>
  <c r="AF102" i="7"/>
  <c r="AD310" i="8" a="1"/>
  <c r="AD310" i="8" s="1"/>
  <c r="AD55" i="8"/>
  <c r="AD9" i="8"/>
  <c r="AD88" i="8" s="1"/>
  <c r="AD89" i="8" s="1"/>
  <c r="AD120" i="8" s="1"/>
  <c r="AD8" i="8"/>
  <c r="AD46" i="8"/>
  <c r="AD35" i="8"/>
  <c r="Y67" i="8"/>
  <c r="Y69" i="8" s="1"/>
  <c r="AE131" i="7"/>
  <c r="AE10" i="7"/>
  <c r="AE6" i="5"/>
  <c r="AF5" i="7"/>
  <c r="AG88" i="7"/>
  <c r="AC80" i="8"/>
  <c r="AC79" i="8"/>
  <c r="AG63" i="7"/>
  <c r="AG47" i="7"/>
  <c r="AG90" i="7" s="1"/>
  <c r="AG62" i="7"/>
  <c r="AG46" i="7"/>
  <c r="AG89" i="7" s="1"/>
  <c r="AG48" i="7"/>
  <c r="AG91" i="7" s="1"/>
  <c r="AG64" i="7"/>
  <c r="AG66" i="7"/>
  <c r="AG50" i="7"/>
  <c r="AG93" i="7" s="1"/>
  <c r="AC90" i="8"/>
  <c r="AD108" i="8"/>
  <c r="AD107" i="8"/>
  <c r="U139" i="7"/>
  <c r="AD160" i="7"/>
  <c r="AB115" i="8"/>
  <c r="AB105" i="8"/>
  <c r="AH158" i="7"/>
  <c r="AH159" i="7"/>
  <c r="AH36" i="7"/>
  <c r="AH32" i="7"/>
  <c r="AH28" i="7"/>
  <c r="AH38" i="7"/>
  <c r="AH37" i="7"/>
  <c r="AH14" i="7"/>
  <c r="AH16" i="7"/>
  <c r="AH9" i="7"/>
  <c r="AH13" i="7"/>
  <c r="AH8" i="7"/>
  <c r="AH18" i="7"/>
  <c r="AH19" i="7" s="1"/>
  <c r="AH15" i="7"/>
  <c r="AH31" i="7"/>
  <c r="AH17" i="7"/>
  <c r="AH35" i="7"/>
  <c r="AH30" i="7"/>
  <c r="AH29" i="7"/>
  <c r="AH12" i="7"/>
  <c r="AH39" i="7"/>
  <c r="AH34" i="7"/>
  <c r="AH33" i="7"/>
  <c r="AH6" i="7"/>
  <c r="AH7" i="7"/>
  <c r="AH5" i="5"/>
  <c r="AI4" i="7"/>
  <c r="AH20" i="7"/>
  <c r="AG44" i="7"/>
  <c r="AG87" i="7" s="1"/>
  <c r="AG60" i="7"/>
  <c r="AG40" i="7"/>
  <c r="AG41" i="7" s="1"/>
  <c r="AG70" i="7"/>
  <c r="AG54" i="7"/>
  <c r="AG97" i="7" s="1"/>
  <c r="AC66" i="8"/>
  <c r="AC65" i="8"/>
  <c r="AC61" i="8"/>
  <c r="AC60" i="8"/>
  <c r="AC63" i="8"/>
  <c r="AC64" i="8"/>
  <c r="W12" i="1"/>
  <c r="AG125" i="7"/>
  <c r="AG162" i="7" s="1"/>
  <c r="AG135" i="7"/>
  <c r="AG206" i="7" s="1"/>
  <c r="AF87" i="7"/>
  <c r="AF99" i="7" s="1"/>
  <c r="W208" i="8"/>
  <c r="W118" i="8"/>
  <c r="W106" i="8"/>
  <c r="X21" i="1"/>
  <c r="W71" i="8"/>
  <c r="R165" i="7" l="1"/>
  <c r="N130" i="7"/>
  <c r="AD90" i="8"/>
  <c r="T112" i="7"/>
  <c r="T113" i="7" s="1"/>
  <c r="U109" i="7" s="1"/>
  <c r="AE62" i="8"/>
  <c r="AC31" i="8"/>
  <c r="T79" i="7"/>
  <c r="T75" i="7"/>
  <c r="T76" i="7" s="1"/>
  <c r="U73" i="7" s="1"/>
  <c r="P136" i="7"/>
  <c r="Y314" i="8"/>
  <c r="Y315" i="8" s="1"/>
  <c r="Z20" i="1"/>
  <c r="Y72" i="8"/>
  <c r="Y70" i="8"/>
  <c r="T200" i="7"/>
  <c r="T201" i="7" s="1"/>
  <c r="U198" i="7" s="1"/>
  <c r="T22" i="7"/>
  <c r="S25" i="7"/>
  <c r="AH62" i="7"/>
  <c r="AH46" i="7"/>
  <c r="AH89" i="7" s="1"/>
  <c r="AG102" i="7"/>
  <c r="AG56" i="7"/>
  <c r="AH67" i="7"/>
  <c r="AH51" i="7"/>
  <c r="AH94" i="7" s="1"/>
  <c r="AH60" i="7"/>
  <c r="AH40" i="7"/>
  <c r="AH41" i="7" s="1"/>
  <c r="AH44" i="7"/>
  <c r="AH87" i="7" s="1"/>
  <c r="AE363" i="8"/>
  <c r="Z67" i="8"/>
  <c r="Z69" i="8" s="1"/>
  <c r="AE199" i="7"/>
  <c r="AE160" i="7"/>
  <c r="AD366" i="8"/>
  <c r="AD364" i="8"/>
  <c r="AD321" i="8"/>
  <c r="AD48" i="8"/>
  <c r="V129" i="7"/>
  <c r="AD37" i="8"/>
  <c r="AD38" i="8" s="1"/>
  <c r="AD39" i="8" s="1"/>
  <c r="AH65" i="7"/>
  <c r="AH49" i="7"/>
  <c r="AH92" i="7" s="1"/>
  <c r="AH48" i="7"/>
  <c r="AH64" i="7"/>
  <c r="V139" i="7"/>
  <c r="AI158" i="7"/>
  <c r="AI159" i="7"/>
  <c r="AI16" i="7"/>
  <c r="AI9" i="7"/>
  <c r="AI13" i="7"/>
  <c r="AI8" i="7"/>
  <c r="AI7" i="7"/>
  <c r="AI31" i="7"/>
  <c r="AI28" i="7"/>
  <c r="AI17" i="7"/>
  <c r="AI35" i="7"/>
  <c r="AI32" i="7"/>
  <c r="AI30" i="7"/>
  <c r="AI29" i="7"/>
  <c r="AI12" i="7"/>
  <c r="AI39" i="7"/>
  <c r="AI36" i="7"/>
  <c r="AI34" i="7"/>
  <c r="AI33" i="7"/>
  <c r="AI38" i="7"/>
  <c r="AI37" i="7"/>
  <c r="AI14" i="7"/>
  <c r="AI18" i="7"/>
  <c r="AI19" i="7" s="1"/>
  <c r="AI6" i="7"/>
  <c r="AI5" i="5"/>
  <c r="AI15" i="7"/>
  <c r="AJ4" i="7"/>
  <c r="AI20" i="7"/>
  <c r="AH63" i="7"/>
  <c r="AH47" i="7"/>
  <c r="AH90" i="7" s="1"/>
  <c r="AH52" i="7"/>
  <c r="AH95" i="7" s="1"/>
  <c r="AH68" i="7"/>
  <c r="AD122" i="8"/>
  <c r="AD211" i="8" s="1"/>
  <c r="AE27" i="1"/>
  <c r="AF131" i="7"/>
  <c r="AF10" i="7"/>
  <c r="AF6" i="5"/>
  <c r="AG5" i="7"/>
  <c r="AD66" i="8"/>
  <c r="AD61" i="8"/>
  <c r="AD64" i="8"/>
  <c r="AD60" i="8"/>
  <c r="AD65" i="8"/>
  <c r="AD63" i="8"/>
  <c r="AE13" i="8"/>
  <c r="AE12" i="8"/>
  <c r="AC52" i="8"/>
  <c r="AC59" i="8"/>
  <c r="AC56" i="8"/>
  <c r="AC57" i="8"/>
  <c r="AC53" i="8"/>
  <c r="AC49" i="8"/>
  <c r="AA313" i="8"/>
  <c r="AA68" i="8"/>
  <c r="AA58" i="8"/>
  <c r="AB19" i="1"/>
  <c r="AB11" i="1" s="1"/>
  <c r="Q83" i="7"/>
  <c r="Q84" i="7" s="1"/>
  <c r="R81" i="7" s="1"/>
  <c r="AH91" i="7"/>
  <c r="AH125" i="7"/>
  <c r="AH162" i="7" s="1"/>
  <c r="AH135" i="7"/>
  <c r="AH206" i="7" s="1"/>
  <c r="AD205" i="8"/>
  <c r="AD30" i="8"/>
  <c r="AC115" i="8"/>
  <c r="AC105" i="8"/>
  <c r="AB312" i="8"/>
  <c r="AB54" i="8"/>
  <c r="AE310" i="8" a="1"/>
  <c r="AE310" i="8" s="1"/>
  <c r="AE55" i="8"/>
  <c r="AE9" i="8"/>
  <c r="AE88" i="8" s="1"/>
  <c r="AE89" i="8" s="1"/>
  <c r="AE120" i="8" s="1"/>
  <c r="AE8" i="8"/>
  <c r="AE46" i="8"/>
  <c r="AE35" i="8"/>
  <c r="N128" i="7"/>
  <c r="O123" i="7" s="1"/>
  <c r="AG99" i="7"/>
  <c r="AE78" i="8"/>
  <c r="AE27" i="8"/>
  <c r="S163" i="7"/>
  <c r="S164" i="7" s="1"/>
  <c r="S165" i="7" s="1"/>
  <c r="S207" i="7"/>
  <c r="S208" i="7" s="1"/>
  <c r="AF110" i="7"/>
  <c r="AF117" i="7"/>
  <c r="AF204" i="7" s="1"/>
  <c r="X208" i="8"/>
  <c r="X118" i="8"/>
  <c r="X106" i="8"/>
  <c r="Y21" i="1"/>
  <c r="X71" i="8"/>
  <c r="AF103" i="7"/>
  <c r="AF57" i="7"/>
  <c r="AF204" i="8" a="1"/>
  <c r="AF204" i="8" s="1"/>
  <c r="AF202" i="8"/>
  <c r="AF20" i="8"/>
  <c r="AF42" i="8"/>
  <c r="AF45" i="8" s="1"/>
  <c r="AF29" i="8"/>
  <c r="AF21" i="8"/>
  <c r="AF19" i="8" a="1"/>
  <c r="AF19" i="8" s="1"/>
  <c r="AF14" i="8"/>
  <c r="AF22" i="8"/>
  <c r="AF11" i="8"/>
  <c r="AF10" i="8"/>
  <c r="AF17" i="8"/>
  <c r="AF7" i="8"/>
  <c r="AG5" i="8"/>
  <c r="AF6" i="8"/>
  <c r="AF4" i="8"/>
  <c r="AG8" i="1"/>
  <c r="AF47" i="8"/>
  <c r="AF362" i="8"/>
  <c r="AF43" i="8"/>
  <c r="AF44" i="8" s="1"/>
  <c r="AF361" i="8"/>
  <c r="AF18" i="8" a="1"/>
  <c r="AF18" i="8" s="1"/>
  <c r="AF28" i="8" a="1"/>
  <c r="AF28" i="8" s="1"/>
  <c r="AF203" i="8" a="1"/>
  <c r="AF203" i="8" s="1"/>
  <c r="AH66" i="7"/>
  <c r="AH50" i="7"/>
  <c r="AH93" i="7" s="1"/>
  <c r="AH55" i="7"/>
  <c r="AH98" i="7" s="1"/>
  <c r="AH71" i="7"/>
  <c r="AE108" i="8"/>
  <c r="AE107" i="8"/>
  <c r="AH61" i="7"/>
  <c r="AH45" i="7"/>
  <c r="AH88" i="7" s="1"/>
  <c r="AH69" i="7"/>
  <c r="AH53" i="7"/>
  <c r="AH96" i="7" s="1"/>
  <c r="AD199" i="7"/>
  <c r="AD79" i="8"/>
  <c r="AD80" i="8"/>
  <c r="X12" i="1"/>
  <c r="AG72" i="7"/>
  <c r="AG74" i="7" s="1"/>
  <c r="AH54" i="7"/>
  <c r="AH97" i="7" s="1"/>
  <c r="AH70" i="7"/>
  <c r="W118" i="7"/>
  <c r="AG103" i="7" l="1"/>
  <c r="AG124" i="7" s="1"/>
  <c r="AG161" i="7" s="1"/>
  <c r="U111" i="7"/>
  <c r="U112" i="7" s="1"/>
  <c r="AE90" i="8"/>
  <c r="P137" i="7"/>
  <c r="P138" i="7" s="1"/>
  <c r="Q133" i="7" s="1"/>
  <c r="AE37" i="8"/>
  <c r="AE38" i="8" s="1"/>
  <c r="AE39" i="8" s="1"/>
  <c r="U79" i="7"/>
  <c r="U75" i="7"/>
  <c r="U76" i="7" s="1"/>
  <c r="V73" i="7" s="1"/>
  <c r="AF78" i="8"/>
  <c r="AF27" i="8"/>
  <c r="AE80" i="8"/>
  <c r="AE79" i="8"/>
  <c r="AE66" i="8"/>
  <c r="AE65" i="8"/>
  <c r="AE63" i="8"/>
  <c r="AE60" i="8"/>
  <c r="AE64" i="8"/>
  <c r="AE61" i="8"/>
  <c r="AD115" i="8"/>
  <c r="AD105" i="8"/>
  <c r="AI49" i="7"/>
  <c r="AI92" i="7" s="1"/>
  <c r="AI65" i="7"/>
  <c r="Y12" i="1"/>
  <c r="AI66" i="7"/>
  <c r="AI50" i="7"/>
  <c r="AI93" i="7" s="1"/>
  <c r="Z314" i="8"/>
  <c r="Z315" i="8" s="1"/>
  <c r="AA20" i="1"/>
  <c r="Z72" i="8"/>
  <c r="Z70" i="8"/>
  <c r="AG110" i="7"/>
  <c r="AG117" i="7"/>
  <c r="AG204" i="7" s="1"/>
  <c r="AF310" i="8" a="1"/>
  <c r="AF310" i="8" s="1"/>
  <c r="AF55" i="8"/>
  <c r="AF9" i="8"/>
  <c r="AF90" i="8" s="1"/>
  <c r="AF8" i="8"/>
  <c r="AF46" i="8"/>
  <c r="AF35" i="8"/>
  <c r="AI68" i="7"/>
  <c r="AI52" i="7"/>
  <c r="AI95" i="7" s="1"/>
  <c r="P140" i="7"/>
  <c r="AI71" i="7"/>
  <c r="AI55" i="7"/>
  <c r="AI98" i="7" s="1"/>
  <c r="AI54" i="7"/>
  <c r="AI97" i="7" s="1"/>
  <c r="AI70" i="7"/>
  <c r="AE122" i="8"/>
  <c r="AE211" i="8" s="1"/>
  <c r="AF27" i="1"/>
  <c r="AF107" i="8"/>
  <c r="AF108" i="8"/>
  <c r="AF160" i="7"/>
  <c r="AJ159" i="7"/>
  <c r="AJ158" i="7"/>
  <c r="AJ37" i="7"/>
  <c r="AJ33" i="7"/>
  <c r="AJ29" i="7"/>
  <c r="AJ36" i="7"/>
  <c r="AJ32" i="7"/>
  <c r="AJ28" i="7"/>
  <c r="AJ16" i="7"/>
  <c r="AJ9" i="7"/>
  <c r="AJ13" i="7"/>
  <c r="AJ8" i="7"/>
  <c r="AJ7" i="7"/>
  <c r="AJ18" i="7"/>
  <c r="AJ15" i="7"/>
  <c r="AJ6" i="7"/>
  <c r="AJ31" i="7"/>
  <c r="AJ17" i="7"/>
  <c r="AJ35" i="7"/>
  <c r="AJ30" i="7"/>
  <c r="AJ39" i="7"/>
  <c r="AJ34" i="7"/>
  <c r="AJ38" i="7"/>
  <c r="AJ14" i="7"/>
  <c r="AJ5" i="5"/>
  <c r="AJ12" i="7"/>
  <c r="AK4" i="7"/>
  <c r="AJ20" i="7"/>
  <c r="AE205" i="8"/>
  <c r="AE30" i="8"/>
  <c r="W119" i="7"/>
  <c r="W120" i="7" s="1"/>
  <c r="X116" i="7" s="1"/>
  <c r="O126" i="7"/>
  <c r="O130" i="7" s="1"/>
  <c r="AD31" i="8"/>
  <c r="AC312" i="8"/>
  <c r="AC54" i="8"/>
  <c r="AG131" i="7"/>
  <c r="AG10" i="7"/>
  <c r="AG6" i="5"/>
  <c r="AH5" i="7"/>
  <c r="AI61" i="7"/>
  <c r="AI45" i="7"/>
  <c r="AI88" i="7" s="1"/>
  <c r="T23" i="7"/>
  <c r="T24" i="7" s="1"/>
  <c r="AB313" i="8"/>
  <c r="AB68" i="8"/>
  <c r="AB58" i="8"/>
  <c r="AC19" i="1"/>
  <c r="AC11" i="1" s="1"/>
  <c r="AI62" i="7"/>
  <c r="AI46" i="7"/>
  <c r="AI89" i="7" s="1"/>
  <c r="R82" i="7"/>
  <c r="R83" i="7" s="1"/>
  <c r="R84" i="7" s="1"/>
  <c r="S81" i="7" s="1"/>
  <c r="AG204" i="8" a="1"/>
  <c r="AG204" i="8" s="1"/>
  <c r="AG202" i="8"/>
  <c r="AG29" i="8"/>
  <c r="AG42" i="8"/>
  <c r="AG45" i="8" s="1"/>
  <c r="AG14" i="8"/>
  <c r="AG22" i="8"/>
  <c r="AG11" i="8"/>
  <c r="AG10" i="8"/>
  <c r="AG17" i="8"/>
  <c r="AG20" i="8"/>
  <c r="AG21" i="8"/>
  <c r="AG19" i="8" a="1"/>
  <c r="AG19" i="8" s="1"/>
  <c r="AG7" i="8"/>
  <c r="AH5" i="8"/>
  <c r="AG6" i="8"/>
  <c r="AG4" i="8"/>
  <c r="AH8" i="1"/>
  <c r="AG361" i="8"/>
  <c r="AG47" i="8"/>
  <c r="AG43" i="8"/>
  <c r="AG44" i="8" s="1"/>
  <c r="AG362" i="8"/>
  <c r="AG203" i="8" a="1"/>
  <c r="AG203" i="8" s="1"/>
  <c r="AG28" i="8" a="1"/>
  <c r="AG28" i="8" s="1"/>
  <c r="AG18" i="8" a="1"/>
  <c r="AG18" i="8" s="1"/>
  <c r="AI63" i="7"/>
  <c r="AI47" i="7"/>
  <c r="AI90" i="7" s="1"/>
  <c r="AF363" i="8"/>
  <c r="AD53" i="8"/>
  <c r="AD49" i="8"/>
  <c r="AD59" i="8"/>
  <c r="AD56" i="8"/>
  <c r="AD52" i="8"/>
  <c r="AD57" i="8"/>
  <c r="AI48" i="7"/>
  <c r="AI91" i="7" s="1"/>
  <c r="AI64" i="7"/>
  <c r="AH102" i="7"/>
  <c r="AH56" i="7"/>
  <c r="AF124" i="7"/>
  <c r="AF161" i="7" s="1"/>
  <c r="AF134" i="7"/>
  <c r="AF205" i="7" s="1"/>
  <c r="AI125" i="7"/>
  <c r="AI162" i="7" s="1"/>
  <c r="AI135" i="7"/>
  <c r="AI206" i="7" s="1"/>
  <c r="AI67" i="7"/>
  <c r="AI51" i="7"/>
  <c r="AI94" i="7" s="1"/>
  <c r="W139" i="7"/>
  <c r="U200" i="7"/>
  <c r="U201" i="7" s="1"/>
  <c r="V198" i="7" s="1"/>
  <c r="AA67" i="8"/>
  <c r="AA69" i="8" s="1"/>
  <c r="W129" i="7"/>
  <c r="AH72" i="7"/>
  <c r="AH74" i="7" s="1"/>
  <c r="Y208" i="8"/>
  <c r="Y118" i="8"/>
  <c r="Y106" i="8"/>
  <c r="Z21" i="1"/>
  <c r="Y71" i="8"/>
  <c r="T163" i="7"/>
  <c r="T164" i="7" s="1"/>
  <c r="T165" i="7" s="1"/>
  <c r="T207" i="7"/>
  <c r="T208" i="7" s="1"/>
  <c r="AH99" i="7"/>
  <c r="AF13" i="8"/>
  <c r="AF12" i="8"/>
  <c r="AF62" i="8"/>
  <c r="AG57" i="7"/>
  <c r="AE364" i="8"/>
  <c r="AE366" i="8"/>
  <c r="AE321" i="8"/>
  <c r="AE48" i="8"/>
  <c r="AI69" i="7"/>
  <c r="AI53" i="7"/>
  <c r="AI96" i="7" s="1"/>
  <c r="AI40" i="7"/>
  <c r="AI41" i="7" s="1"/>
  <c r="AI60" i="7"/>
  <c r="AI44" i="7"/>
  <c r="AI87" i="7" s="1"/>
  <c r="AG134" i="7" l="1"/>
  <c r="AG205" i="7" s="1"/>
  <c r="Q136" i="7"/>
  <c r="Q140" i="7" s="1"/>
  <c r="AH103" i="7"/>
  <c r="AH124" i="7" s="1"/>
  <c r="AH161" i="7" s="1"/>
  <c r="U113" i="7"/>
  <c r="V109" i="7" s="1"/>
  <c r="V111" i="7" s="1"/>
  <c r="V112" i="7" s="1"/>
  <c r="V113" i="7" s="1"/>
  <c r="W109" i="7" s="1"/>
  <c r="W111" i="7" s="1"/>
  <c r="W112" i="7" s="1"/>
  <c r="AE31" i="8"/>
  <c r="U22" i="7"/>
  <c r="T25" i="7"/>
  <c r="X118" i="7"/>
  <c r="X119" i="7" s="1"/>
  <c r="AA314" i="8"/>
  <c r="AA315" i="8" s="1"/>
  <c r="AB20" i="1"/>
  <c r="AA72" i="8"/>
  <c r="AA70" i="8"/>
  <c r="S82" i="7"/>
  <c r="S83" i="7" s="1"/>
  <c r="S84" i="7" s="1"/>
  <c r="T81" i="7" s="1"/>
  <c r="V79" i="7"/>
  <c r="V75" i="7"/>
  <c r="V76" i="7" s="1"/>
  <c r="W73" i="7" s="1"/>
  <c r="AI99" i="7"/>
  <c r="AG363" i="8"/>
  <c r="AJ66" i="7"/>
  <c r="AJ50" i="7"/>
  <c r="AJ93" i="7" s="1"/>
  <c r="AF199" i="7"/>
  <c r="AF37" i="8"/>
  <c r="AF38" i="8" s="1"/>
  <c r="Z12" i="1"/>
  <c r="O127" i="7"/>
  <c r="O128" i="7" s="1"/>
  <c r="P123" i="7" s="1"/>
  <c r="AJ71" i="7"/>
  <c r="AJ55" i="7"/>
  <c r="AJ98" i="7" s="1"/>
  <c r="AF66" i="8"/>
  <c r="AF60" i="8"/>
  <c r="AF61" i="8"/>
  <c r="AF63" i="8"/>
  <c r="AF65" i="8"/>
  <c r="AF64" i="8"/>
  <c r="AJ62" i="7"/>
  <c r="AJ46" i="7"/>
  <c r="AJ89" i="7" s="1"/>
  <c r="AJ44" i="7"/>
  <c r="AJ60" i="7"/>
  <c r="AJ40" i="7"/>
  <c r="AJ41" i="7" s="1"/>
  <c r="AI102" i="7"/>
  <c r="AI56" i="7"/>
  <c r="X139" i="7"/>
  <c r="AJ51" i="7"/>
  <c r="AJ94" i="7" s="1"/>
  <c r="AJ67" i="7"/>
  <c r="AJ48" i="7"/>
  <c r="AJ91" i="7" s="1"/>
  <c r="AJ64" i="7"/>
  <c r="AF88" i="8"/>
  <c r="AF89" i="8" s="1"/>
  <c r="AF120" i="8" s="1"/>
  <c r="AJ70" i="7"/>
  <c r="AJ54" i="7"/>
  <c r="AG107" i="8"/>
  <c r="AG108" i="8"/>
  <c r="AH57" i="7"/>
  <c r="AB67" i="8"/>
  <c r="AB69" i="8" s="1"/>
  <c r="AH131" i="7"/>
  <c r="AH10" i="7"/>
  <c r="AI5" i="7"/>
  <c r="AH6" i="5"/>
  <c r="AE115" i="8"/>
  <c r="AE105" i="8"/>
  <c r="AJ52" i="7"/>
  <c r="AJ95" i="7" s="1"/>
  <c r="AJ68" i="7"/>
  <c r="AH110" i="7"/>
  <c r="AH117" i="7"/>
  <c r="AH204" i="7" s="1"/>
  <c r="AF321" i="8"/>
  <c r="AF366" i="8"/>
  <c r="AF364" i="8"/>
  <c r="AF48" i="8"/>
  <c r="AG310" i="8" a="1"/>
  <c r="AG310" i="8" s="1"/>
  <c r="AG55" i="8"/>
  <c r="AG9" i="8"/>
  <c r="AG37" i="8" s="1"/>
  <c r="AG8" i="8"/>
  <c r="AG46" i="8"/>
  <c r="AG35" i="8"/>
  <c r="AI72" i="7"/>
  <c r="AI74" i="7" s="1"/>
  <c r="X129" i="7"/>
  <c r="AG13" i="8"/>
  <c r="AG12" i="8"/>
  <c r="AJ47" i="7"/>
  <c r="AJ90" i="7" s="1"/>
  <c r="AJ63" i="7"/>
  <c r="AJ61" i="7"/>
  <c r="AJ45" i="7"/>
  <c r="AJ88" i="7" s="1"/>
  <c r="U163" i="7"/>
  <c r="U164" i="7" s="1"/>
  <c r="U165" i="7" s="1"/>
  <c r="U207" i="7"/>
  <c r="U208" i="7" s="1"/>
  <c r="V200" i="7"/>
  <c r="V201" i="7" s="1"/>
  <c r="W198" i="7" s="1"/>
  <c r="AE52" i="8"/>
  <c r="AE49" i="8"/>
  <c r="AE57" i="8"/>
  <c r="AE59" i="8"/>
  <c r="AE56" i="8"/>
  <c r="AE53" i="8"/>
  <c r="AG62" i="8"/>
  <c r="AJ65" i="7"/>
  <c r="AJ49" i="7"/>
  <c r="AJ92" i="7" s="1"/>
  <c r="AH202" i="8"/>
  <c r="AH204" i="8" a="1"/>
  <c r="AH204" i="8" s="1"/>
  <c r="AH42" i="8"/>
  <c r="AH45" i="8" s="1"/>
  <c r="AH22" i="8"/>
  <c r="AH17" i="8"/>
  <c r="AH7" i="8"/>
  <c r="AI5" i="8"/>
  <c r="AH19" i="8" a="1"/>
  <c r="AH19" i="8" s="1"/>
  <c r="AH21" i="8"/>
  <c r="AH29" i="8"/>
  <c r="AH20" i="8"/>
  <c r="AH11" i="8"/>
  <c r="AH10" i="8"/>
  <c r="AH6" i="8"/>
  <c r="AH4" i="8"/>
  <c r="AH14" i="8"/>
  <c r="AI8" i="1"/>
  <c r="AH47" i="8"/>
  <c r="AH362" i="8"/>
  <c r="AH361" i="8"/>
  <c r="AH43" i="8"/>
  <c r="AH44" i="8" s="1"/>
  <c r="AH28" i="8" a="1"/>
  <c r="AH28" i="8" s="1"/>
  <c r="AH18" i="8" a="1"/>
  <c r="AH18" i="8" s="1"/>
  <c r="AH203" i="8" a="1"/>
  <c r="AH203" i="8" s="1"/>
  <c r="AK158" i="7"/>
  <c r="AK159" i="7"/>
  <c r="AK39" i="7"/>
  <c r="AK35" i="7"/>
  <c r="AK31" i="7"/>
  <c r="AK13" i="7"/>
  <c r="AK8" i="7"/>
  <c r="AK7" i="7"/>
  <c r="AK18" i="7"/>
  <c r="AK15" i="7"/>
  <c r="AK6" i="7"/>
  <c r="AL4" i="7"/>
  <c r="AK30" i="7"/>
  <c r="AK28" i="7"/>
  <c r="AK34" i="7"/>
  <c r="AK32" i="7"/>
  <c r="AK29" i="7"/>
  <c r="AK38" i="7"/>
  <c r="AK36" i="7"/>
  <c r="AK33" i="7"/>
  <c r="AK14" i="7"/>
  <c r="AK37" i="7"/>
  <c r="AK16" i="7"/>
  <c r="AK9" i="7"/>
  <c r="AK17" i="7"/>
  <c r="AK12" i="7"/>
  <c r="AK5" i="5"/>
  <c r="AK20" i="7"/>
  <c r="AJ69" i="7"/>
  <c r="AJ53" i="7"/>
  <c r="AJ96" i="7" s="1"/>
  <c r="AG199" i="7"/>
  <c r="AG160" i="7"/>
  <c r="AD312" i="8"/>
  <c r="AD54" i="8"/>
  <c r="AG78" i="8"/>
  <c r="AG27" i="8"/>
  <c r="AC313" i="8"/>
  <c r="AC68" i="8"/>
  <c r="AC58" i="8"/>
  <c r="AD19" i="1"/>
  <c r="AD11" i="1" s="1"/>
  <c r="AJ125" i="7"/>
  <c r="AJ162" i="7" s="1"/>
  <c r="AJ135" i="7"/>
  <c r="AJ206" i="7" s="1"/>
  <c r="AF122" i="8"/>
  <c r="AF211" i="8" s="1"/>
  <c r="AG27" i="1"/>
  <c r="Z208" i="8"/>
  <c r="Z118" i="8"/>
  <c r="Z106" i="8"/>
  <c r="AA21" i="1"/>
  <c r="Z71" i="8"/>
  <c r="AF205" i="8"/>
  <c r="AF30" i="8"/>
  <c r="AJ97" i="7"/>
  <c r="AJ87" i="7"/>
  <c r="AF80" i="8"/>
  <c r="AF79" i="8"/>
  <c r="AJ19" i="7"/>
  <c r="AH134" i="7" l="1"/>
  <c r="AH205" i="7" s="1"/>
  <c r="Q137" i="7"/>
  <c r="Q138" i="7" s="1"/>
  <c r="R133" i="7" s="1"/>
  <c r="AH62" i="8"/>
  <c r="AI57" i="7"/>
  <c r="X120" i="7"/>
  <c r="Y116" i="7" s="1"/>
  <c r="Y118" i="7" s="1"/>
  <c r="AG88" i="8"/>
  <c r="AG89" i="8" s="1"/>
  <c r="AG120" i="8" s="1"/>
  <c r="AF31" i="8"/>
  <c r="W79" i="7"/>
  <c r="W75" i="7"/>
  <c r="W76" i="7" s="1"/>
  <c r="X73" i="7" s="1"/>
  <c r="T82" i="7"/>
  <c r="T83" i="7" s="1"/>
  <c r="T84" i="7" s="1"/>
  <c r="U81" i="7" s="1"/>
  <c r="R136" i="7"/>
  <c r="AF52" i="8"/>
  <c r="AF53" i="8"/>
  <c r="AF59" i="8"/>
  <c r="AF56" i="8"/>
  <c r="AF57" i="8"/>
  <c r="AF49" i="8"/>
  <c r="AF39" i="8"/>
  <c r="W200" i="7"/>
  <c r="W201" i="7" s="1"/>
  <c r="X198" i="7" s="1"/>
  <c r="AH107" i="8"/>
  <c r="AH108" i="8"/>
  <c r="AL159" i="7"/>
  <c r="AL158" i="7"/>
  <c r="AL9" i="7"/>
  <c r="AL7" i="7"/>
  <c r="AL18" i="7"/>
  <c r="AL15" i="7"/>
  <c r="AL6" i="7"/>
  <c r="AM4" i="7"/>
  <c r="AL17" i="7"/>
  <c r="AL35" i="7"/>
  <c r="AL34" i="7"/>
  <c r="AL32" i="7"/>
  <c r="AL29" i="7"/>
  <c r="AL39" i="7"/>
  <c r="AL38" i="7"/>
  <c r="AL36" i="7"/>
  <c r="AL33" i="7"/>
  <c r="AL14" i="7"/>
  <c r="AL37" i="7"/>
  <c r="AL16" i="7"/>
  <c r="AL31" i="7"/>
  <c r="AL28" i="7"/>
  <c r="AL30" i="7"/>
  <c r="AL12" i="7"/>
  <c r="AL8" i="7"/>
  <c r="AL5" i="5"/>
  <c r="AL13" i="7"/>
  <c r="AL20" i="7"/>
  <c r="AE312" i="8"/>
  <c r="AE54" i="8"/>
  <c r="AJ72" i="7"/>
  <c r="AJ74" i="7" s="1"/>
  <c r="AG205" i="8"/>
  <c r="AG30" i="8"/>
  <c r="AG80" i="8"/>
  <c r="AG79" i="8"/>
  <c r="AJ102" i="7"/>
  <c r="AJ56" i="7"/>
  <c r="W113" i="7"/>
  <c r="X109" i="7" s="1"/>
  <c r="AK52" i="7"/>
  <c r="AK95" i="7" s="1"/>
  <c r="AK68" i="7"/>
  <c r="P126" i="7"/>
  <c r="P127" i="7" s="1"/>
  <c r="P128" i="7" s="1"/>
  <c r="Q123" i="7" s="1"/>
  <c r="AD313" i="8"/>
  <c r="AD58" i="8"/>
  <c r="AD68" i="8"/>
  <c r="AE19" i="1"/>
  <c r="AE11" i="1" s="1"/>
  <c r="AK69" i="7"/>
  <c r="AK53" i="7"/>
  <c r="AK96" i="7" s="1"/>
  <c r="AH13" i="8"/>
  <c r="AH12" i="8"/>
  <c r="AB314" i="8"/>
  <c r="AB315" i="8" s="1"/>
  <c r="AC20" i="1"/>
  <c r="AB72" i="8"/>
  <c r="AB70" i="8"/>
  <c r="AA118" i="8"/>
  <c r="AA208" i="8"/>
  <c r="AA106" i="8"/>
  <c r="AB21" i="1"/>
  <c r="AA71" i="8"/>
  <c r="AK125" i="7"/>
  <c r="AK162" i="7" s="1"/>
  <c r="AK135" i="7"/>
  <c r="AK206" i="7" s="1"/>
  <c r="AG321" i="8"/>
  <c r="AG364" i="8"/>
  <c r="AG366" i="8"/>
  <c r="AG48" i="8"/>
  <c r="AK65" i="7"/>
  <c r="AK49" i="7"/>
  <c r="AK92" i="7" s="1"/>
  <c r="AH310" i="8" a="1"/>
  <c r="AH310" i="8" s="1"/>
  <c r="AH55" i="8"/>
  <c r="AH9" i="8"/>
  <c r="AH37" i="8" s="1"/>
  <c r="AH8" i="8"/>
  <c r="AH46" i="8"/>
  <c r="AH35" i="8"/>
  <c r="AG66" i="8"/>
  <c r="AG65" i="8"/>
  <c r="AG60" i="8"/>
  <c r="AG63" i="8"/>
  <c r="AG64" i="8"/>
  <c r="AG61" i="8"/>
  <c r="AK51" i="7"/>
  <c r="AK94" i="7" s="1"/>
  <c r="AK67" i="7"/>
  <c r="AI103" i="7"/>
  <c r="V163" i="7"/>
  <c r="V164" i="7" s="1"/>
  <c r="V165" i="7" s="1"/>
  <c r="V207" i="7"/>
  <c r="V208" i="7" s="1"/>
  <c r="Y139" i="7"/>
  <c r="AC67" i="8"/>
  <c r="AC69" i="8" s="1"/>
  <c r="AJ99" i="7"/>
  <c r="AK55" i="7"/>
  <c r="AK98" i="7" s="1"/>
  <c r="AK71" i="7"/>
  <c r="Y129" i="7"/>
  <c r="AI110" i="7"/>
  <c r="AI117" i="7"/>
  <c r="AI204" i="7" s="1"/>
  <c r="AG122" i="8"/>
  <c r="AG211" i="8" s="1"/>
  <c r="AH27" i="1"/>
  <c r="AK64" i="7"/>
  <c r="AK48" i="7"/>
  <c r="AK91" i="7" s="1"/>
  <c r="AK66" i="7"/>
  <c r="AK50" i="7"/>
  <c r="AK93" i="7" s="1"/>
  <c r="AA12" i="1"/>
  <c r="AK40" i="7"/>
  <c r="AK41" i="7" s="1"/>
  <c r="AK60" i="7"/>
  <c r="AK44" i="7"/>
  <c r="AH363" i="8"/>
  <c r="AI202" i="8"/>
  <c r="AI204" i="8" a="1"/>
  <c r="AI204" i="8" s="1"/>
  <c r="AI22" i="8"/>
  <c r="AI11" i="8"/>
  <c r="AI10" i="8"/>
  <c r="AI17" i="8"/>
  <c r="AI42" i="8"/>
  <c r="AI45" i="8" s="1"/>
  <c r="AI7" i="8"/>
  <c r="AJ5" i="8"/>
  <c r="AI6" i="8"/>
  <c r="AI4" i="8"/>
  <c r="AI19" i="8" a="1"/>
  <c r="AI19" i="8" s="1"/>
  <c r="AI21" i="8"/>
  <c r="AI29" i="8"/>
  <c r="AI20" i="8"/>
  <c r="AI14" i="8"/>
  <c r="AJ8" i="1"/>
  <c r="AI47" i="8"/>
  <c r="AI362" i="8"/>
  <c r="AI361" i="8"/>
  <c r="AI43" i="8"/>
  <c r="AI44" i="8" s="1"/>
  <c r="AI28" i="8" a="1"/>
  <c r="AI28" i="8" s="1"/>
  <c r="AI203" i="8" a="1"/>
  <c r="AI203" i="8" s="1"/>
  <c r="AI18" i="8" a="1"/>
  <c r="AI18" i="8" s="1"/>
  <c r="AI131" i="7"/>
  <c r="AI10" i="7"/>
  <c r="AI6" i="5"/>
  <c r="AJ5" i="7"/>
  <c r="AK54" i="7"/>
  <c r="AK97" i="7" s="1"/>
  <c r="AK70" i="7"/>
  <c r="AF115" i="8"/>
  <c r="AF105" i="8"/>
  <c r="AK61" i="7"/>
  <c r="AK45" i="7"/>
  <c r="AK88" i="7" s="1"/>
  <c r="AK47" i="7"/>
  <c r="AK90" i="7" s="1"/>
  <c r="AK63" i="7"/>
  <c r="AK19" i="7"/>
  <c r="AL19" i="7" s="1"/>
  <c r="AK62" i="7"/>
  <c r="AK46" i="7"/>
  <c r="AK89" i="7" s="1"/>
  <c r="AH78" i="8"/>
  <c r="AH27" i="8"/>
  <c r="AG38" i="8"/>
  <c r="AH160" i="7"/>
  <c r="AH199" i="7"/>
  <c r="U23" i="7"/>
  <c r="U24" i="7" s="1"/>
  <c r="AG31" i="8" l="1"/>
  <c r="AI62" i="8"/>
  <c r="AJ103" i="7"/>
  <c r="P130" i="7"/>
  <c r="AJ57" i="7"/>
  <c r="Q126" i="7"/>
  <c r="Q127" i="7" s="1"/>
  <c r="Q128" i="7" s="1"/>
  <c r="R123" i="7" s="1"/>
  <c r="U82" i="7"/>
  <c r="AC314" i="8"/>
  <c r="AC315" i="8" s="1"/>
  <c r="AD20" i="1"/>
  <c r="AC72" i="8"/>
  <c r="AC70" i="8"/>
  <c r="X79" i="7"/>
  <c r="X75" i="7"/>
  <c r="X76" i="7" s="1"/>
  <c r="Y73" i="7" s="1"/>
  <c r="V22" i="7"/>
  <c r="U25" i="7"/>
  <c r="AK102" i="7"/>
  <c r="AK56" i="7"/>
  <c r="AL69" i="7"/>
  <c r="AL53" i="7"/>
  <c r="AL96" i="7" s="1"/>
  <c r="R140" i="7"/>
  <c r="AG49" i="8"/>
  <c r="AG52" i="8"/>
  <c r="AG53" i="8"/>
  <c r="AG59" i="8"/>
  <c r="AG56" i="8"/>
  <c r="AG57" i="8"/>
  <c r="AJ131" i="7"/>
  <c r="AK5" i="7"/>
  <c r="AJ6" i="5"/>
  <c r="AJ10" i="7"/>
  <c r="AJ204" i="8" a="1"/>
  <c r="AJ204" i="8" s="1"/>
  <c r="AJ202" i="8"/>
  <c r="AJ17" i="8"/>
  <c r="AJ22" i="8"/>
  <c r="AJ11" i="8"/>
  <c r="AJ10" i="8"/>
  <c r="AJ42" i="8"/>
  <c r="AJ45" i="8" s="1"/>
  <c r="AJ6" i="8"/>
  <c r="AJ4" i="8"/>
  <c r="AJ20" i="8"/>
  <c r="AJ21" i="8"/>
  <c r="AJ29" i="8"/>
  <c r="AJ7" i="8"/>
  <c r="AK5" i="8"/>
  <c r="AJ19" i="8" a="1"/>
  <c r="AJ19" i="8" s="1"/>
  <c r="AJ14" i="8"/>
  <c r="AK8" i="1"/>
  <c r="AJ361" i="8"/>
  <c r="AJ362" i="8"/>
  <c r="AJ43" i="8"/>
  <c r="AJ44" i="8" s="1"/>
  <c r="AJ47" i="8"/>
  <c r="AJ28" i="8" a="1"/>
  <c r="AJ28" i="8" s="1"/>
  <c r="AJ18" i="8" a="1"/>
  <c r="AJ18" i="8" s="1"/>
  <c r="AJ203" i="8" a="1"/>
  <c r="AJ203" i="8" s="1"/>
  <c r="AK72" i="7"/>
  <c r="AK74" i="7" s="1"/>
  <c r="AK87" i="7"/>
  <c r="AK99" i="7" s="1"/>
  <c r="AE313" i="8"/>
  <c r="AE58" i="8"/>
  <c r="AE68" i="8"/>
  <c r="AF19" i="1"/>
  <c r="AF11" i="1" s="1"/>
  <c r="X200" i="7"/>
  <c r="X201" i="7" s="1"/>
  <c r="Y198" i="7" s="1"/>
  <c r="AI78" i="8"/>
  <c r="AI27" i="8"/>
  <c r="AL65" i="7"/>
  <c r="AL49" i="7"/>
  <c r="AL92" i="7" s="1"/>
  <c r="AL125" i="7"/>
  <c r="AL162" i="7" s="1"/>
  <c r="AL135" i="7"/>
  <c r="AL206" i="7" s="1"/>
  <c r="Y119" i="7"/>
  <c r="Y120" i="7" s="1"/>
  <c r="Z116" i="7" s="1"/>
  <c r="R137" i="7"/>
  <c r="R138" i="7" s="1"/>
  <c r="S133" i="7" s="1"/>
  <c r="AM158" i="7"/>
  <c r="AM159" i="7"/>
  <c r="AM36" i="7"/>
  <c r="AM32" i="7"/>
  <c r="AM28" i="7"/>
  <c r="AM39" i="7"/>
  <c r="AM35" i="7"/>
  <c r="AM31" i="7"/>
  <c r="AM13" i="7"/>
  <c r="AM8" i="7"/>
  <c r="AM18" i="7"/>
  <c r="AM19" i="7" s="1"/>
  <c r="AM15" i="7"/>
  <c r="AN4" i="7"/>
  <c r="AM17" i="7"/>
  <c r="AM30" i="7"/>
  <c r="AM12" i="7"/>
  <c r="AM38" i="7"/>
  <c r="AM33" i="7"/>
  <c r="AM14" i="7"/>
  <c r="AM37" i="7"/>
  <c r="AM16" i="7"/>
  <c r="AM9" i="7"/>
  <c r="AM7" i="7"/>
  <c r="AM34" i="7"/>
  <c r="AM5" i="5"/>
  <c r="AM29" i="7"/>
  <c r="AM6" i="7"/>
  <c r="AM20" i="7"/>
  <c r="AB12" i="1"/>
  <c r="AL68" i="7"/>
  <c r="AL52" i="7"/>
  <c r="AL95" i="7" s="1"/>
  <c r="AF312" i="8"/>
  <c r="AF54" i="8"/>
  <c r="AH364" i="8"/>
  <c r="AH321" i="8"/>
  <c r="AH366" i="8"/>
  <c r="AH48" i="8"/>
  <c r="AH90" i="8"/>
  <c r="AL54" i="7"/>
  <c r="AL97" i="7" s="1"/>
  <c r="AL70" i="7"/>
  <c r="AI13" i="8"/>
  <c r="AI12" i="8"/>
  <c r="AH38" i="8"/>
  <c r="AI363" i="8"/>
  <c r="AI310" i="8" a="1"/>
  <c r="AI310" i="8" s="1"/>
  <c r="AI55" i="8"/>
  <c r="AI9" i="8"/>
  <c r="AI88" i="8" s="1"/>
  <c r="AI8" i="8"/>
  <c r="AI46" i="8"/>
  <c r="AI35" i="8"/>
  <c r="Z139" i="7"/>
  <c r="X111" i="7"/>
  <c r="X112" i="7" s="1"/>
  <c r="AL71" i="7"/>
  <c r="AL55" i="7"/>
  <c r="AL98" i="7" s="1"/>
  <c r="AH66" i="8"/>
  <c r="AH61" i="8"/>
  <c r="AH64" i="8"/>
  <c r="AH63" i="8"/>
  <c r="AH60" i="8"/>
  <c r="AH65" i="8"/>
  <c r="AB208" i="8"/>
  <c r="AB118" i="8"/>
  <c r="AB106" i="8"/>
  <c r="AC21" i="1"/>
  <c r="AB71" i="8"/>
  <c r="AJ124" i="7"/>
  <c r="AJ161" i="7" s="1"/>
  <c r="AJ134" i="7"/>
  <c r="AJ205" i="7" s="1"/>
  <c r="AL61" i="7"/>
  <c r="AL45" i="7"/>
  <c r="AL88" i="7" s="1"/>
  <c r="AH205" i="8"/>
  <c r="AH30" i="8"/>
  <c r="AI107" i="8"/>
  <c r="AI108" i="8"/>
  <c r="AH80" i="8"/>
  <c r="AH79" i="8"/>
  <c r="AH88" i="8"/>
  <c r="AH89" i="8" s="1"/>
  <c r="AH120" i="8" s="1"/>
  <c r="AD67" i="8"/>
  <c r="AD69" i="8" s="1"/>
  <c r="AJ110" i="7"/>
  <c r="AJ117" i="7"/>
  <c r="AJ204" i="7" s="1"/>
  <c r="AL48" i="7"/>
  <c r="AL91" i="7" s="1"/>
  <c r="AL64" i="7"/>
  <c r="AI160" i="7"/>
  <c r="AL62" i="7"/>
  <c r="AL46" i="7"/>
  <c r="AL89" i="7" s="1"/>
  <c r="AL66" i="7"/>
  <c r="AL50" i="7"/>
  <c r="AL93" i="7" s="1"/>
  <c r="AL44" i="7"/>
  <c r="AL87" i="7" s="1"/>
  <c r="AL60" i="7"/>
  <c r="AL40" i="7"/>
  <c r="AL41" i="7" s="1"/>
  <c r="AL67" i="7"/>
  <c r="AL51" i="7"/>
  <c r="AL94" i="7" s="1"/>
  <c r="W163" i="7"/>
  <c r="W164" i="7" s="1"/>
  <c r="W207" i="7"/>
  <c r="W208" i="7" s="1"/>
  <c r="Z129" i="7"/>
  <c r="AI124" i="7"/>
  <c r="AI161" i="7" s="1"/>
  <c r="AI134" i="7"/>
  <c r="AI205" i="7" s="1"/>
  <c r="AG39" i="8"/>
  <c r="AG105" i="8"/>
  <c r="AG115" i="8"/>
  <c r="AL47" i="7"/>
  <c r="AL90" i="7" s="1"/>
  <c r="AL63" i="7"/>
  <c r="AH122" i="8"/>
  <c r="AH211" i="8" s="1"/>
  <c r="AI27" i="1"/>
  <c r="AH31" i="8" l="1"/>
  <c r="AK57" i="7"/>
  <c r="AI199" i="7"/>
  <c r="AI90" i="8"/>
  <c r="AK103" i="7"/>
  <c r="AK124" i="7" s="1"/>
  <c r="AK161" i="7" s="1"/>
  <c r="AJ62" i="8"/>
  <c r="X113" i="7"/>
  <c r="Y109" i="7" s="1"/>
  <c r="Y111" i="7" s="1"/>
  <c r="AI37" i="8"/>
  <c r="AI38" i="8" s="1"/>
  <c r="S136" i="7"/>
  <c r="S140" i="7" s="1"/>
  <c r="Z118" i="7"/>
  <c r="Y79" i="7"/>
  <c r="Y75" i="7"/>
  <c r="Y76" i="7" s="1"/>
  <c r="Z73" i="7" s="1"/>
  <c r="AD314" i="8"/>
  <c r="AD315" i="8" s="1"/>
  <c r="AE20" i="1"/>
  <c r="AD72" i="8"/>
  <c r="AD70" i="8"/>
  <c r="R126" i="7"/>
  <c r="R130" i="7" s="1"/>
  <c r="AC12" i="1"/>
  <c r="AI79" i="8"/>
  <c r="AI80" i="8"/>
  <c r="AK204" i="8" a="1"/>
  <c r="AK204" i="8" s="1"/>
  <c r="AK202" i="8"/>
  <c r="AK42" i="8"/>
  <c r="AK45" i="8" s="1"/>
  <c r="AK22" i="8"/>
  <c r="AK17" i="8"/>
  <c r="AK7" i="8"/>
  <c r="AL5" i="8"/>
  <c r="AK20" i="8"/>
  <c r="AK19" i="8" a="1"/>
  <c r="AK19" i="8" s="1"/>
  <c r="AK21" i="8"/>
  <c r="AK29" i="8"/>
  <c r="AK11" i="8"/>
  <c r="AK10" i="8"/>
  <c r="AK6" i="8"/>
  <c r="AK4" i="8"/>
  <c r="AK14" i="8"/>
  <c r="AL8" i="1"/>
  <c r="AK362" i="8"/>
  <c r="AK361" i="8"/>
  <c r="AK43" i="8"/>
  <c r="AK44" i="8" s="1"/>
  <c r="AK47" i="8"/>
  <c r="AK28" i="8" a="1"/>
  <c r="AK28" i="8" s="1"/>
  <c r="AK203" i="8" a="1"/>
  <c r="AK203" i="8" s="1"/>
  <c r="AK18" i="8" a="1"/>
  <c r="AK18" i="8" s="1"/>
  <c r="AK110" i="7"/>
  <c r="AK117" i="7"/>
  <c r="AK204" i="7" s="1"/>
  <c r="AM50" i="7"/>
  <c r="AM93" i="7" s="1"/>
  <c r="AM66" i="7"/>
  <c r="AJ78" i="8"/>
  <c r="AJ27" i="8"/>
  <c r="U83" i="7"/>
  <c r="U84" i="7" s="1"/>
  <c r="V81" i="7" s="1"/>
  <c r="AM46" i="7"/>
  <c r="AM89" i="7" s="1"/>
  <c r="AM62" i="7"/>
  <c r="AL99" i="7"/>
  <c r="AM88" i="7"/>
  <c r="AM95" i="7"/>
  <c r="AI122" i="8"/>
  <c r="AI211" i="8" s="1"/>
  <c r="AJ27" i="1"/>
  <c r="AA139" i="7"/>
  <c r="V23" i="7"/>
  <c r="V24" i="7" s="1"/>
  <c r="AM68" i="7"/>
  <c r="AM52" i="7"/>
  <c r="Y200" i="7"/>
  <c r="Y201" i="7" s="1"/>
  <c r="Z198" i="7" s="1"/>
  <c r="AL102" i="7"/>
  <c r="AL56" i="7"/>
  <c r="AL57" i="7" s="1"/>
  <c r="AH105" i="8"/>
  <c r="AH115" i="8"/>
  <c r="W165" i="7"/>
  <c r="AI89" i="8"/>
  <c r="AI120" i="8" s="1"/>
  <c r="AH59" i="8"/>
  <c r="AH57" i="8"/>
  <c r="AH49" i="8"/>
  <c r="AH53" i="8"/>
  <c r="AH56" i="8"/>
  <c r="AH52" i="8"/>
  <c r="AM69" i="7"/>
  <c r="AM53" i="7"/>
  <c r="AM96" i="7" s="1"/>
  <c r="AM47" i="7"/>
  <c r="AM90" i="7" s="1"/>
  <c r="AM63" i="7"/>
  <c r="AJ13" i="8"/>
  <c r="AJ12" i="8"/>
  <c r="AG312" i="8"/>
  <c r="AG54" i="8"/>
  <c r="Q130" i="7"/>
  <c r="AM61" i="7"/>
  <c r="AM45" i="7"/>
  <c r="AI205" i="8"/>
  <c r="AI30" i="8"/>
  <c r="AN159" i="7"/>
  <c r="AN158" i="7"/>
  <c r="AN38" i="7"/>
  <c r="AN34" i="7"/>
  <c r="AN30" i="7"/>
  <c r="AN7" i="7"/>
  <c r="AN18" i="7"/>
  <c r="AN15" i="7"/>
  <c r="AN17" i="7"/>
  <c r="AN12" i="7"/>
  <c r="AN31" i="7"/>
  <c r="AN29" i="7"/>
  <c r="AN28" i="7"/>
  <c r="AN39" i="7"/>
  <c r="AN37" i="7"/>
  <c r="AN36" i="7"/>
  <c r="AN16" i="7"/>
  <c r="AN14" i="7"/>
  <c r="AN33" i="7"/>
  <c r="AN8" i="7"/>
  <c r="AN32" i="7"/>
  <c r="AO4" i="7"/>
  <c r="AN5" i="5"/>
  <c r="AN13" i="7"/>
  <c r="AN6" i="7"/>
  <c r="AN9" i="7"/>
  <c r="AN35" i="7"/>
  <c r="AN20" i="7"/>
  <c r="AM125" i="7"/>
  <c r="AM162" i="7" s="1"/>
  <c r="AM135" i="7"/>
  <c r="AM206" i="7" s="1"/>
  <c r="AL72" i="7"/>
  <c r="AL74" i="7" s="1"/>
  <c r="AF313" i="8"/>
  <c r="AF58" i="8"/>
  <c r="AF68" i="8"/>
  <c r="AG19" i="1"/>
  <c r="AG11" i="1" s="1"/>
  <c r="AJ160" i="7"/>
  <c r="AJ199" i="7"/>
  <c r="AA129" i="7"/>
  <c r="AM51" i="7"/>
  <c r="AM94" i="7" s="1"/>
  <c r="AM67" i="7"/>
  <c r="AE67" i="8"/>
  <c r="AE69" i="8" s="1"/>
  <c r="AI321" i="8"/>
  <c r="AI364" i="8"/>
  <c r="AI366" i="8"/>
  <c r="AI48" i="8"/>
  <c r="AM65" i="7"/>
  <c r="AM49" i="7"/>
  <c r="AM92" i="7" s="1"/>
  <c r="AM55" i="7"/>
  <c r="AM98" i="7" s="1"/>
  <c r="AM71" i="7"/>
  <c r="AJ363" i="8"/>
  <c r="X163" i="7"/>
  <c r="X164" i="7" s="1"/>
  <c r="X207" i="7"/>
  <c r="X208" i="7" s="1"/>
  <c r="AM70" i="7"/>
  <c r="AM54" i="7"/>
  <c r="AM97" i="7" s="1"/>
  <c r="AM60" i="7"/>
  <c r="AM44" i="7"/>
  <c r="AM87" i="7" s="1"/>
  <c r="AM40" i="7"/>
  <c r="AM41" i="7" s="1"/>
  <c r="AH39" i="8"/>
  <c r="AJ310" i="8" a="1"/>
  <c r="AJ310" i="8" s="1"/>
  <c r="AJ9" i="8"/>
  <c r="AJ8" i="8"/>
  <c r="AJ55" i="8"/>
  <c r="AJ46" i="8"/>
  <c r="AJ35" i="8"/>
  <c r="AK131" i="7"/>
  <c r="AK10" i="7"/>
  <c r="AL5" i="7"/>
  <c r="AK6" i="5"/>
  <c r="AC118" i="8"/>
  <c r="AC106" i="8"/>
  <c r="AC208" i="8"/>
  <c r="AD21" i="1"/>
  <c r="AC71" i="8"/>
  <c r="AI66" i="8"/>
  <c r="AI60" i="8"/>
  <c r="AI63" i="8"/>
  <c r="AI61" i="8"/>
  <c r="AI65" i="8"/>
  <c r="AI64" i="8"/>
  <c r="AM64" i="7"/>
  <c r="AM48" i="7"/>
  <c r="AM91" i="7" s="1"/>
  <c r="AJ108" i="8"/>
  <c r="AJ107" i="8"/>
  <c r="AK134" i="7" l="1"/>
  <c r="AK205" i="7" s="1"/>
  <c r="AI31" i="8"/>
  <c r="S137" i="7"/>
  <c r="S138" i="7" s="1"/>
  <c r="T133" i="7" s="1"/>
  <c r="AM72" i="7"/>
  <c r="AM74" i="7" s="1"/>
  <c r="V82" i="7"/>
  <c r="Z79" i="7"/>
  <c r="Z75" i="7"/>
  <c r="Z76" i="7" s="1"/>
  <c r="AA73" i="7" s="1"/>
  <c r="Z200" i="7"/>
  <c r="Z201" i="7" s="1"/>
  <c r="AA198" i="7" s="1"/>
  <c r="W22" i="7"/>
  <c r="V25" i="7"/>
  <c r="AK310" i="8" a="1"/>
  <c r="AK310" i="8" s="1"/>
  <c r="AK55" i="8"/>
  <c r="AK9" i="8"/>
  <c r="AK88" i="8" s="1"/>
  <c r="AK8" i="8"/>
  <c r="AK46" i="8"/>
  <c r="AK35" i="8"/>
  <c r="R127" i="7"/>
  <c r="R128" i="7" s="1"/>
  <c r="S123" i="7" s="1"/>
  <c r="AK107" i="8"/>
  <c r="AK108" i="8"/>
  <c r="AL110" i="7"/>
  <c r="AL117" i="7"/>
  <c r="AL204" i="7" s="1"/>
  <c r="AD208" i="8"/>
  <c r="AD118" i="8"/>
  <c r="AD106" i="8"/>
  <c r="AE21" i="1"/>
  <c r="AD71" i="8"/>
  <c r="Y163" i="7"/>
  <c r="Y164" i="7" s="1"/>
  <c r="Y207" i="7"/>
  <c r="Y208" i="7" s="1"/>
  <c r="AI59" i="8"/>
  <c r="AI57" i="8"/>
  <c r="AI49" i="8"/>
  <c r="AI56" i="8"/>
  <c r="AI52" i="8"/>
  <c r="AI53" i="8"/>
  <c r="Z119" i="7"/>
  <c r="Z120" i="7" s="1"/>
  <c r="AA116" i="7" s="1"/>
  <c r="AN125" i="7"/>
  <c r="AN162" i="7" s="1"/>
  <c r="AN135" i="7"/>
  <c r="AN206" i="7" s="1"/>
  <c r="AN62" i="7"/>
  <c r="AN46" i="7"/>
  <c r="AN89" i="7" s="1"/>
  <c r="AN67" i="7"/>
  <c r="AN51" i="7"/>
  <c r="AN94" i="7" s="1"/>
  <c r="AN71" i="7"/>
  <c r="AN55" i="7"/>
  <c r="AN98" i="7" s="1"/>
  <c r="X165" i="7"/>
  <c r="AL204" i="8" a="1"/>
  <c r="AL204" i="8" s="1"/>
  <c r="AL202" i="8"/>
  <c r="AL21" i="8"/>
  <c r="AL42" i="8"/>
  <c r="AL45" i="8" s="1"/>
  <c r="AL17" i="8"/>
  <c r="AL7" i="8"/>
  <c r="AM5" i="8"/>
  <c r="AL6" i="8"/>
  <c r="AL4" i="8"/>
  <c r="AL20" i="8"/>
  <c r="AL19" i="8" a="1"/>
  <c r="AL19" i="8" s="1"/>
  <c r="AL29" i="8"/>
  <c r="AL14" i="8"/>
  <c r="AL22" i="8"/>
  <c r="AL11" i="8"/>
  <c r="AL10" i="8"/>
  <c r="AM8" i="1"/>
  <c r="AL361" i="8"/>
  <c r="AL43" i="8"/>
  <c r="AL44" i="8" s="1"/>
  <c r="AL47" i="8"/>
  <c r="AL362" i="8"/>
  <c r="AL28" i="8" a="1"/>
  <c r="AL28" i="8" s="1"/>
  <c r="AL203" i="8" a="1"/>
  <c r="AL203" i="8" s="1"/>
  <c r="AL18" i="8" a="1"/>
  <c r="AL18" i="8" s="1"/>
  <c r="AN64" i="7"/>
  <c r="AN48" i="7"/>
  <c r="AN91" i="7" s="1"/>
  <c r="AM99" i="7"/>
  <c r="AB139" i="7"/>
  <c r="AN40" i="7"/>
  <c r="AN41" i="7" s="1"/>
  <c r="AN60" i="7"/>
  <c r="AN44" i="7"/>
  <c r="AK78" i="8"/>
  <c r="AK27" i="8"/>
  <c r="AN19" i="7"/>
  <c r="AJ364" i="8"/>
  <c r="AJ321" i="8"/>
  <c r="AJ366" i="8"/>
  <c r="AJ48" i="8"/>
  <c r="AH312" i="8"/>
  <c r="AH54" i="8"/>
  <c r="AJ90" i="8"/>
  <c r="AB129" i="7"/>
  <c r="AJ37" i="8"/>
  <c r="AJ38" i="8" s="1"/>
  <c r="AG313" i="8"/>
  <c r="AG58" i="8"/>
  <c r="AG68" i="8"/>
  <c r="AH19" i="1"/>
  <c r="AH11" i="1" s="1"/>
  <c r="AJ205" i="8"/>
  <c r="AJ30" i="8"/>
  <c r="AJ88" i="8"/>
  <c r="AJ89" i="8" s="1"/>
  <c r="AJ120" i="8" s="1"/>
  <c r="AJ79" i="8"/>
  <c r="AJ80" i="8"/>
  <c r="AE314" i="8"/>
  <c r="AE315" i="8" s="1"/>
  <c r="AF20" i="1"/>
  <c r="AE72" i="8"/>
  <c r="AE70" i="8"/>
  <c r="AN53" i="7"/>
  <c r="AN96" i="7" s="1"/>
  <c r="AN69" i="7"/>
  <c r="AF67" i="8"/>
  <c r="AF69" i="8" s="1"/>
  <c r="AK160" i="7"/>
  <c r="AK199" i="7"/>
  <c r="AK363" i="8"/>
  <c r="AN61" i="7"/>
  <c r="AN45" i="7"/>
  <c r="AN88" i="7" s="1"/>
  <c r="AI105" i="8"/>
  <c r="AI115" i="8"/>
  <c r="Y112" i="7"/>
  <c r="Y113" i="7" s="1"/>
  <c r="Z109" i="7" s="1"/>
  <c r="AL131" i="7"/>
  <c r="AM5" i="7"/>
  <c r="AL6" i="5"/>
  <c r="AL10" i="7"/>
  <c r="AN68" i="7"/>
  <c r="AN52" i="7"/>
  <c r="AN95" i="7" s="1"/>
  <c r="AN65" i="7"/>
  <c r="AN49" i="7"/>
  <c r="AN92" i="7" s="1"/>
  <c r="AN50" i="7"/>
  <c r="AN93" i="7" s="1"/>
  <c r="AN66" i="7"/>
  <c r="AN54" i="7"/>
  <c r="AN97" i="7" s="1"/>
  <c r="AN70" i="7"/>
  <c r="AD12" i="1"/>
  <c r="AJ66" i="8"/>
  <c r="AJ64" i="8"/>
  <c r="AJ65" i="8"/>
  <c r="AJ60" i="8"/>
  <c r="AJ61" i="8"/>
  <c r="AJ63" i="8"/>
  <c r="AI39" i="8"/>
  <c r="AN63" i="7"/>
  <c r="AN47" i="7"/>
  <c r="AN90" i="7" s="1"/>
  <c r="AJ122" i="8"/>
  <c r="AJ211" i="8" s="1"/>
  <c r="AK27" i="1"/>
  <c r="AM102" i="7"/>
  <c r="AM56" i="7"/>
  <c r="AM57" i="7" s="1"/>
  <c r="AO159" i="7"/>
  <c r="AO158" i="7"/>
  <c r="AO18" i="7"/>
  <c r="AO15" i="7"/>
  <c r="AO6" i="7"/>
  <c r="AO17" i="7"/>
  <c r="AO12" i="7"/>
  <c r="AO31" i="7"/>
  <c r="AO30" i="7"/>
  <c r="AO29" i="7"/>
  <c r="AO28" i="7"/>
  <c r="AO35" i="7"/>
  <c r="AO34" i="7"/>
  <c r="AO33" i="7"/>
  <c r="AO32" i="7"/>
  <c r="AO14" i="7"/>
  <c r="AO16" i="7"/>
  <c r="AO9" i="7"/>
  <c r="AO13" i="7"/>
  <c r="AO7" i="7"/>
  <c r="AO38" i="7"/>
  <c r="AO8" i="7"/>
  <c r="AO37" i="7"/>
  <c r="AP4" i="7"/>
  <c r="AO5" i="5"/>
  <c r="AO39" i="7"/>
  <c r="AO36" i="7"/>
  <c r="AO20" i="7"/>
  <c r="AL103" i="7"/>
  <c r="AK62" i="8"/>
  <c r="AK13" i="8"/>
  <c r="AK12" i="8"/>
  <c r="AJ31" i="8" l="1"/>
  <c r="AL62" i="8"/>
  <c r="AK37" i="8"/>
  <c r="AK38" i="8" s="1"/>
  <c r="AK39" i="8" s="1"/>
  <c r="T136" i="7"/>
  <c r="T140" i="7" s="1"/>
  <c r="Y165" i="7"/>
  <c r="AO19" i="7"/>
  <c r="AK90" i="8"/>
  <c r="AK89" i="8"/>
  <c r="AK120" i="8" s="1"/>
  <c r="AF314" i="8"/>
  <c r="AF315" i="8" s="1"/>
  <c r="AG20" i="1"/>
  <c r="AF72" i="8"/>
  <c r="AF70" i="8"/>
  <c r="AA200" i="7"/>
  <c r="AA201" i="7" s="1"/>
  <c r="AB198" i="7" s="1"/>
  <c r="Z111" i="7"/>
  <c r="AJ57" i="8"/>
  <c r="AJ49" i="8"/>
  <c r="AJ59" i="8"/>
  <c r="AJ52" i="8"/>
  <c r="AJ56" i="8"/>
  <c r="AJ53" i="8"/>
  <c r="AJ39" i="8"/>
  <c r="AA79" i="7"/>
  <c r="AA75" i="7"/>
  <c r="AA76" i="7" s="1"/>
  <c r="AB73" i="7" s="1"/>
  <c r="AO62" i="7"/>
  <c r="AO46" i="7"/>
  <c r="AO89" i="7" s="1"/>
  <c r="AO53" i="7"/>
  <c r="AO96" i="7" s="1"/>
  <c r="AO69" i="7"/>
  <c r="AO60" i="7"/>
  <c r="AO40" i="7"/>
  <c r="AO41" i="7" s="1"/>
  <c r="AO44" i="7"/>
  <c r="AO87" i="7" s="1"/>
  <c r="AM110" i="7"/>
  <c r="AM117" i="7"/>
  <c r="AM204" i="7" s="1"/>
  <c r="AG67" i="8"/>
  <c r="AG69" i="8" s="1"/>
  <c r="AL310" i="8" a="1"/>
  <c r="AL310" i="8" s="1"/>
  <c r="AL55" i="8"/>
  <c r="AL9" i="8"/>
  <c r="AL90" i="8" s="1"/>
  <c r="AL8" i="8"/>
  <c r="AL46" i="8"/>
  <c r="AL35" i="8"/>
  <c r="AA118" i="7"/>
  <c r="AA119" i="7" s="1"/>
  <c r="AO61" i="7"/>
  <c r="AO45" i="7"/>
  <c r="AL108" i="8"/>
  <c r="AL107" i="8"/>
  <c r="AO70" i="7"/>
  <c r="AO54" i="7"/>
  <c r="AO97" i="7" s="1"/>
  <c r="AK205" i="8"/>
  <c r="AK30" i="8"/>
  <c r="AK31" i="8" s="1"/>
  <c r="AL160" i="7"/>
  <c r="S126" i="7"/>
  <c r="S130" i="7" s="1"/>
  <c r="AO47" i="7"/>
  <c r="AO90" i="7" s="1"/>
  <c r="AO63" i="7"/>
  <c r="AN102" i="7"/>
  <c r="AN56" i="7"/>
  <c r="AN57" i="7" s="1"/>
  <c r="AN72" i="7"/>
  <c r="AN74" i="7" s="1"/>
  <c r="Z163" i="7"/>
  <c r="Z164" i="7" s="1"/>
  <c r="Z207" i="7"/>
  <c r="Z208" i="7" s="1"/>
  <c r="AO88" i="7"/>
  <c r="AK122" i="8"/>
  <c r="AK211" i="8" s="1"/>
  <c r="AL27" i="1"/>
  <c r="AL363" i="8"/>
  <c r="AK80" i="8"/>
  <c r="AK79" i="8"/>
  <c r="AL124" i="7"/>
  <c r="AL161" i="7" s="1"/>
  <c r="AL134" i="7"/>
  <c r="AL205" i="7" s="1"/>
  <c r="AM131" i="7"/>
  <c r="AM10" i="7"/>
  <c r="AN5" i="7"/>
  <c r="AM6" i="5"/>
  <c r="AC129" i="7"/>
  <c r="AL13" i="8"/>
  <c r="AL12" i="8"/>
  <c r="AO68" i="7"/>
  <c r="AO52" i="7"/>
  <c r="AO95" i="7" s="1"/>
  <c r="AO64" i="7"/>
  <c r="AO48" i="7"/>
  <c r="AO91" i="7" s="1"/>
  <c r="AO125" i="7"/>
  <c r="AO162" i="7" s="1"/>
  <c r="AO135" i="7"/>
  <c r="AO206" i="7" s="1"/>
  <c r="AJ115" i="8"/>
  <c r="AJ105" i="8"/>
  <c r="AC139" i="7"/>
  <c r="AM204" i="8" a="1"/>
  <c r="AM204" i="8" s="1"/>
  <c r="AM202" i="8"/>
  <c r="AM42" i="8"/>
  <c r="AM45" i="8" s="1"/>
  <c r="AM6" i="8"/>
  <c r="AM4" i="8"/>
  <c r="AM20" i="8"/>
  <c r="AM19" i="8" a="1"/>
  <c r="AM19" i="8" s="1"/>
  <c r="AM22" i="8"/>
  <c r="AM17" i="8"/>
  <c r="AM11" i="8"/>
  <c r="AM10" i="8"/>
  <c r="AM7" i="8"/>
  <c r="AN5" i="8"/>
  <c r="AM29" i="8"/>
  <c r="AM14" i="8"/>
  <c r="AM21" i="8"/>
  <c r="AN8" i="1"/>
  <c r="AM362" i="8"/>
  <c r="AM47" i="8"/>
  <c r="AM361" i="8"/>
  <c r="AM43" i="8"/>
  <c r="AM44" i="8" s="1"/>
  <c r="AM28" i="8" a="1"/>
  <c r="AM28" i="8" s="1"/>
  <c r="AM203" i="8" a="1"/>
  <c r="AM203" i="8" s="1"/>
  <c r="AM18" i="8" a="1"/>
  <c r="AM18" i="8" s="1"/>
  <c r="AN87" i="7"/>
  <c r="AN99" i="7" s="1"/>
  <c r="AO71" i="7"/>
  <c r="AO55" i="7"/>
  <c r="AO98" i="7" s="1"/>
  <c r="AO65" i="7"/>
  <c r="AO49" i="7"/>
  <c r="AO92" i="7" s="1"/>
  <c r="AH313" i="8"/>
  <c r="AH58" i="8"/>
  <c r="AH68" i="8"/>
  <c r="AI19" i="1"/>
  <c r="AI11" i="1" s="1"/>
  <c r="AO50" i="7"/>
  <c r="AO93" i="7" s="1"/>
  <c r="AO66" i="7"/>
  <c r="AL78" i="8"/>
  <c r="AL27" i="8"/>
  <c r="AE12" i="1"/>
  <c r="AK364" i="8"/>
  <c r="AK321" i="8"/>
  <c r="AK366" i="8"/>
  <c r="AK48" i="8"/>
  <c r="W23" i="7"/>
  <c r="W24" i="7" s="1"/>
  <c r="V83" i="7"/>
  <c r="V84" i="7" s="1"/>
  <c r="W81" i="7" s="1"/>
  <c r="AP159" i="7"/>
  <c r="AP158" i="7"/>
  <c r="AP39" i="7"/>
  <c r="AP35" i="7"/>
  <c r="AP31" i="7"/>
  <c r="AP38" i="7"/>
  <c r="AP34" i="7"/>
  <c r="AP30" i="7"/>
  <c r="AQ4" i="7"/>
  <c r="AP17" i="7"/>
  <c r="AP12" i="7"/>
  <c r="AP29" i="7"/>
  <c r="AP28" i="7"/>
  <c r="AP33" i="7"/>
  <c r="AP32" i="7"/>
  <c r="AP14" i="7"/>
  <c r="AP5" i="5"/>
  <c r="AP37" i="7"/>
  <c r="AP36" i="7"/>
  <c r="AP13" i="7"/>
  <c r="AP8" i="7"/>
  <c r="AP18" i="7"/>
  <c r="AP15" i="7"/>
  <c r="AP6" i="7"/>
  <c r="AP9" i="7"/>
  <c r="AP16" i="7"/>
  <c r="AP7" i="7"/>
  <c r="AP20" i="7"/>
  <c r="AO67" i="7"/>
  <c r="AO51" i="7"/>
  <c r="AO94" i="7" s="1"/>
  <c r="AM103" i="7"/>
  <c r="AE208" i="8"/>
  <c r="AE118" i="8"/>
  <c r="AE106" i="8"/>
  <c r="AF21" i="1"/>
  <c r="AE71" i="8"/>
  <c r="AI312" i="8"/>
  <c r="AI54" i="8"/>
  <c r="AK66" i="8"/>
  <c r="AK60" i="8"/>
  <c r="AK64" i="8"/>
  <c r="AK65" i="8"/>
  <c r="AK63" i="8"/>
  <c r="AK61" i="8"/>
  <c r="Z165" i="7" l="1"/>
  <c r="AP19" i="7"/>
  <c r="T137" i="7"/>
  <c r="T138" i="7" s="1"/>
  <c r="U133" i="7" s="1"/>
  <c r="AM62" i="8"/>
  <c r="AA120" i="7"/>
  <c r="AB116" i="7" s="1"/>
  <c r="S127" i="7"/>
  <c r="S128" i="7" s="1"/>
  <c r="T123" i="7" s="1"/>
  <c r="T126" i="7" s="1"/>
  <c r="T127" i="7" s="1"/>
  <c r="T128" i="7" s="1"/>
  <c r="U123" i="7" s="1"/>
  <c r="AL88" i="8"/>
  <c r="AL89" i="8" s="1"/>
  <c r="AL120" i="8" s="1"/>
  <c r="Z112" i="7"/>
  <c r="Z113" i="7" s="1"/>
  <c r="AA109" i="7" s="1"/>
  <c r="AB200" i="7"/>
  <c r="AB201" i="7" s="1"/>
  <c r="AC198" i="7" s="1"/>
  <c r="X22" i="7"/>
  <c r="W25" i="7"/>
  <c r="U136" i="7"/>
  <c r="U137" i="7" s="1"/>
  <c r="U138" i="7" s="1"/>
  <c r="V133" i="7" s="1"/>
  <c r="AM124" i="7"/>
  <c r="AM161" i="7" s="1"/>
  <c r="AM134" i="7"/>
  <c r="AM205" i="7" s="1"/>
  <c r="AP68" i="7"/>
  <c r="AP52" i="7"/>
  <c r="AP95" i="7" s="1"/>
  <c r="AP50" i="7"/>
  <c r="AP93" i="7" s="1"/>
  <c r="AP66" i="7"/>
  <c r="AH67" i="8"/>
  <c r="AH69" i="8" s="1"/>
  <c r="AM13" i="8"/>
  <c r="AM12" i="8"/>
  <c r="AN131" i="7"/>
  <c r="AN10" i="7"/>
  <c r="AO5" i="7"/>
  <c r="AN6" i="5"/>
  <c r="AG314" i="8"/>
  <c r="AG315" i="8" s="1"/>
  <c r="AH20" i="1"/>
  <c r="AG72" i="8"/>
  <c r="AG70" i="8"/>
  <c r="AP69" i="7"/>
  <c r="AP53" i="7"/>
  <c r="AP96" i="7" s="1"/>
  <c r="AP54" i="7"/>
  <c r="AP97" i="7" s="1"/>
  <c r="AP70" i="7"/>
  <c r="AL205" i="8"/>
  <c r="AL30" i="8"/>
  <c r="AP46" i="7"/>
  <c r="AP89" i="7" s="1"/>
  <c r="AP62" i="7"/>
  <c r="AM160" i="7"/>
  <c r="AB79" i="7"/>
  <c r="AB75" i="7"/>
  <c r="AB76" i="7" s="1"/>
  <c r="AC73" i="7" s="1"/>
  <c r="W82" i="7"/>
  <c r="AP64" i="7"/>
  <c r="AP48" i="7"/>
  <c r="AP91" i="7" s="1"/>
  <c r="AP71" i="7"/>
  <c r="AP55" i="7"/>
  <c r="AP98" i="7" s="1"/>
  <c r="AN202" i="8"/>
  <c r="AN204" i="8" a="1"/>
  <c r="AN204" i="8" s="1"/>
  <c r="AN22" i="8"/>
  <c r="AN20" i="8"/>
  <c r="AN42" i="8"/>
  <c r="AN45" i="8" s="1"/>
  <c r="AN17" i="8"/>
  <c r="AN19" i="8" a="1"/>
  <c r="AN19" i="8" s="1"/>
  <c r="AN11" i="8"/>
  <c r="AN10" i="8"/>
  <c r="AN7" i="8"/>
  <c r="AO5" i="8"/>
  <c r="AN6" i="8"/>
  <c r="AN4" i="8"/>
  <c r="AN29" i="8"/>
  <c r="AN14" i="8"/>
  <c r="AN62" i="8" s="1"/>
  <c r="AN21" i="8"/>
  <c r="AO8" i="1"/>
  <c r="AN43" i="8"/>
  <c r="AN44" i="8" s="1"/>
  <c r="AN361" i="8"/>
  <c r="AN362" i="8"/>
  <c r="AN47" i="8"/>
  <c r="AN28" i="8" a="1"/>
  <c r="AN28" i="8" s="1"/>
  <c r="AN203" i="8" a="1"/>
  <c r="AN203" i="8" s="1"/>
  <c r="AN18" i="8" a="1"/>
  <c r="AN18" i="8" s="1"/>
  <c r="AD139" i="7"/>
  <c r="AL122" i="8"/>
  <c r="AL211" i="8" s="1"/>
  <c r="AM27" i="1"/>
  <c r="AO102" i="7"/>
  <c r="AO56" i="7"/>
  <c r="AA163" i="7"/>
  <c r="AA164" i="7" s="1"/>
  <c r="AA165" i="7" s="1"/>
  <c r="AA207" i="7"/>
  <c r="AA208" i="7" s="1"/>
  <c r="AP63" i="7"/>
  <c r="AP47" i="7"/>
  <c r="AP90" i="7" s="1"/>
  <c r="AL80" i="8"/>
  <c r="AL79" i="8"/>
  <c r="AP51" i="7"/>
  <c r="AP94" i="7" s="1"/>
  <c r="AP67" i="7"/>
  <c r="AP49" i="7"/>
  <c r="AP92" i="7" s="1"/>
  <c r="AP65" i="7"/>
  <c r="AM78" i="8"/>
  <c r="AM27" i="8"/>
  <c r="AD129" i="7"/>
  <c r="AL199" i="7"/>
  <c r="AL364" i="8"/>
  <c r="AL366" i="8"/>
  <c r="AL321" i="8"/>
  <c r="AL48" i="8"/>
  <c r="AB118" i="7"/>
  <c r="AP60" i="7"/>
  <c r="AP40" i="7"/>
  <c r="AP41" i="7" s="1"/>
  <c r="AP44" i="7"/>
  <c r="AM310" i="8" a="1"/>
  <c r="AM310" i="8" s="1"/>
  <c r="AM55" i="8"/>
  <c r="AM9" i="8"/>
  <c r="AM90" i="8" s="1"/>
  <c r="AM8" i="8"/>
  <c r="AM46" i="8"/>
  <c r="AM35" i="8"/>
  <c r="AO72" i="7"/>
  <c r="AO74" i="7" s="1"/>
  <c r="AF106" i="8"/>
  <c r="AF118" i="8"/>
  <c r="AF208" i="8"/>
  <c r="AG21" i="1"/>
  <c r="AF71" i="8"/>
  <c r="AM363" i="8"/>
  <c r="AI313" i="8"/>
  <c r="AI68" i="8"/>
  <c r="AI58" i="8"/>
  <c r="AJ19" i="1"/>
  <c r="AJ11" i="1" s="1"/>
  <c r="AP45" i="7"/>
  <c r="AP88" i="7" s="1"/>
  <c r="AP61" i="7"/>
  <c r="AM108" i="8"/>
  <c r="AM107" i="8"/>
  <c r="AN103" i="7"/>
  <c r="AL37" i="8"/>
  <c r="AL38" i="8" s="1"/>
  <c r="AK59" i="8"/>
  <c r="AK57" i="8"/>
  <c r="AK56" i="8"/>
  <c r="AK49" i="8"/>
  <c r="AK53" i="8"/>
  <c r="AK52" i="8"/>
  <c r="AN110" i="7"/>
  <c r="AN117" i="7"/>
  <c r="AN204" i="7" s="1"/>
  <c r="AL66" i="8"/>
  <c r="AL61" i="8"/>
  <c r="AL63" i="8"/>
  <c r="AL60" i="8"/>
  <c r="AL64" i="8"/>
  <c r="AL65" i="8"/>
  <c r="AJ312" i="8"/>
  <c r="AJ54" i="8"/>
  <c r="AO99" i="7"/>
  <c r="AK115" i="8"/>
  <c r="AK105" i="8"/>
  <c r="AP125" i="7"/>
  <c r="AP162" i="7" s="1"/>
  <c r="AP135" i="7"/>
  <c r="AP206" i="7" s="1"/>
  <c r="AF12" i="1"/>
  <c r="AQ158" i="7"/>
  <c r="AQ159" i="7"/>
  <c r="AQ37" i="7"/>
  <c r="AQ33" i="7"/>
  <c r="AQ29" i="7"/>
  <c r="AQ17" i="7"/>
  <c r="AQ28" i="7"/>
  <c r="AQ32" i="7"/>
  <c r="AQ31" i="7"/>
  <c r="AQ30" i="7"/>
  <c r="AQ14" i="7"/>
  <c r="AQ5" i="5"/>
  <c r="AQ36" i="7"/>
  <c r="AQ35" i="7"/>
  <c r="AQ34" i="7"/>
  <c r="AQ39" i="7"/>
  <c r="AQ38" i="7"/>
  <c r="AQ16" i="7"/>
  <c r="AQ13" i="7"/>
  <c r="AQ7" i="7"/>
  <c r="AQ18" i="7"/>
  <c r="AQ15" i="7"/>
  <c r="AR4" i="7"/>
  <c r="AQ6" i="7"/>
  <c r="AQ9" i="7"/>
  <c r="AQ12" i="7"/>
  <c r="AQ8" i="7"/>
  <c r="AQ20" i="7"/>
  <c r="AO103" i="7" l="1"/>
  <c r="AO124" i="7" s="1"/>
  <c r="AO161" i="7" s="1"/>
  <c r="U140" i="7"/>
  <c r="AM199" i="7"/>
  <c r="AA111" i="7"/>
  <c r="AM37" i="8"/>
  <c r="AM38" i="8" s="1"/>
  <c r="AM39" i="8" s="1"/>
  <c r="AM88" i="8"/>
  <c r="AM89" i="8" s="1"/>
  <c r="AM120" i="8" s="1"/>
  <c r="W83" i="7"/>
  <c r="W84" i="7" s="1"/>
  <c r="X81" i="7" s="1"/>
  <c r="X82" i="7" s="1"/>
  <c r="X83" i="7" s="1"/>
  <c r="X84" i="7" s="1"/>
  <c r="Y81" i="7" s="1"/>
  <c r="U126" i="7"/>
  <c r="U127" i="7" s="1"/>
  <c r="AL56" i="8"/>
  <c r="AL49" i="8"/>
  <c r="AL57" i="8"/>
  <c r="AL53" i="8"/>
  <c r="AL59" i="8"/>
  <c r="AL52" i="8"/>
  <c r="AL39" i="8"/>
  <c r="V136" i="7"/>
  <c r="AH314" i="8"/>
  <c r="AH315" i="8" s="1"/>
  <c r="AI20" i="1"/>
  <c r="AH72" i="8"/>
  <c r="AH70" i="8"/>
  <c r="AC200" i="7"/>
  <c r="AC201" i="7" s="1"/>
  <c r="AD198" i="7" s="1"/>
  <c r="AC79" i="7"/>
  <c r="AC75" i="7"/>
  <c r="AC76" i="7" s="1"/>
  <c r="AD73" i="7" s="1"/>
  <c r="AQ53" i="7"/>
  <c r="AQ96" i="7" s="1"/>
  <c r="AQ69" i="7"/>
  <c r="AM205" i="8"/>
  <c r="AM30" i="8"/>
  <c r="AE139" i="7"/>
  <c r="AM122" i="8"/>
  <c r="AM211" i="8" s="1"/>
  <c r="AN27" i="1"/>
  <c r="AB163" i="7"/>
  <c r="AB164" i="7" s="1"/>
  <c r="AB207" i="7"/>
  <c r="AB208" i="7" s="1"/>
  <c r="X23" i="7"/>
  <c r="X24" i="7" s="1"/>
  <c r="AG118" i="8"/>
  <c r="AG208" i="8"/>
  <c r="AG106" i="8"/>
  <c r="AH21" i="1"/>
  <c r="AG71" i="8"/>
  <c r="AQ68" i="7"/>
  <c r="AQ52" i="7"/>
  <c r="AQ95" i="7" s="1"/>
  <c r="AM66" i="8"/>
  <c r="AM60" i="8"/>
  <c r="AM61" i="8"/>
  <c r="AM64" i="8"/>
  <c r="AM65" i="8"/>
  <c r="AM63" i="8"/>
  <c r="AN13" i="8"/>
  <c r="AN12" i="8"/>
  <c r="AL115" i="8"/>
  <c r="AL105" i="8"/>
  <c r="AQ66" i="7"/>
  <c r="AQ50" i="7"/>
  <c r="AQ93" i="7" s="1"/>
  <c r="AE129" i="7"/>
  <c r="AQ67" i="7"/>
  <c r="AQ51" i="7"/>
  <c r="AQ94" i="7" s="1"/>
  <c r="AO134" i="7"/>
  <c r="AO205" i="7" s="1"/>
  <c r="AQ63" i="7"/>
  <c r="AQ47" i="7"/>
  <c r="AQ90" i="7" s="1"/>
  <c r="AP102" i="7"/>
  <c r="AP56" i="7"/>
  <c r="AO110" i="7"/>
  <c r="AO117" i="7"/>
  <c r="AO204" i="7" s="1"/>
  <c r="AO204" i="8" a="1"/>
  <c r="AO204" i="8" s="1"/>
  <c r="AO202" i="8"/>
  <c r="AO29" i="8"/>
  <c r="AO42" i="8"/>
  <c r="AO45" i="8" s="1"/>
  <c r="AO20" i="8"/>
  <c r="AO21" i="8"/>
  <c r="AO14" i="8"/>
  <c r="AO22" i="8"/>
  <c r="AO19" i="8" a="1"/>
  <c r="AO19" i="8" s="1"/>
  <c r="AO17" i="8"/>
  <c r="AO7" i="8"/>
  <c r="AP5" i="8"/>
  <c r="AO6" i="8"/>
  <c r="AO4" i="8"/>
  <c r="AO11" i="8"/>
  <c r="AO10" i="8"/>
  <c r="AP8" i="1"/>
  <c r="AO47" i="8"/>
  <c r="AO362" i="8"/>
  <c r="AO43" i="8"/>
  <c r="AO44" i="8" s="1"/>
  <c r="AO361" i="8"/>
  <c r="AO28" i="8" a="1"/>
  <c r="AO28" i="8" s="1"/>
  <c r="AO18" i="8" a="1"/>
  <c r="AO18" i="8" s="1"/>
  <c r="AO203" i="8" a="1"/>
  <c r="AO203" i="8" s="1"/>
  <c r="T130" i="7"/>
  <c r="AN78" i="8"/>
  <c r="AN27" i="8"/>
  <c r="AP87" i="7"/>
  <c r="AP99" i="7" s="1"/>
  <c r="AN160" i="7"/>
  <c r="AR159" i="7"/>
  <c r="AR158" i="7"/>
  <c r="AR12" i="7"/>
  <c r="AR28" i="7"/>
  <c r="AR32" i="7"/>
  <c r="AR31" i="7"/>
  <c r="AR30" i="7"/>
  <c r="AR29" i="7"/>
  <c r="AR14" i="7"/>
  <c r="AR36" i="7"/>
  <c r="AR35" i="7"/>
  <c r="AR34" i="7"/>
  <c r="AR33" i="7"/>
  <c r="AR39" i="7"/>
  <c r="AR38" i="7"/>
  <c r="AR37" i="7"/>
  <c r="AR16" i="7"/>
  <c r="AR13" i="7"/>
  <c r="AR18" i="7"/>
  <c r="AR15" i="7"/>
  <c r="AR17" i="7"/>
  <c r="AR8" i="7"/>
  <c r="AR5" i="5"/>
  <c r="AR6" i="7"/>
  <c r="AR9" i="7"/>
  <c r="AR7" i="7"/>
  <c r="AS4" i="7"/>
  <c r="AR20" i="7"/>
  <c r="AQ62" i="7"/>
  <c r="AQ46" i="7"/>
  <c r="AQ89" i="7" s="1"/>
  <c r="AJ313" i="8"/>
  <c r="AJ68" i="8"/>
  <c r="AJ58" i="8"/>
  <c r="AK19" i="1"/>
  <c r="AK11" i="1" s="1"/>
  <c r="AQ125" i="7"/>
  <c r="AQ162" i="7" s="1"/>
  <c r="AQ135" i="7"/>
  <c r="AQ206" i="7" s="1"/>
  <c r="AQ64" i="7"/>
  <c r="AQ48" i="7"/>
  <c r="AQ91" i="7" s="1"/>
  <c r="AQ60" i="7"/>
  <c r="AQ44" i="7"/>
  <c r="AQ87" i="7" s="1"/>
  <c r="AQ40" i="7"/>
  <c r="AQ41" i="7" s="1"/>
  <c r="AI67" i="8"/>
  <c r="AI69" i="8" s="1"/>
  <c r="AP72" i="7"/>
  <c r="AP74" i="7" s="1"/>
  <c r="AN310" i="8" a="1"/>
  <c r="AN310" i="8" s="1"/>
  <c r="AN55" i="8"/>
  <c r="AN9" i="8"/>
  <c r="AN88" i="8" s="1"/>
  <c r="AN8" i="8"/>
  <c r="AN46" i="8"/>
  <c r="AN35" i="8"/>
  <c r="AO131" i="7"/>
  <c r="AP5" i="7"/>
  <c r="AO6" i="5"/>
  <c r="AO10" i="7"/>
  <c r="AB119" i="7"/>
  <c r="AB120" i="7" s="1"/>
  <c r="AC116" i="7" s="1"/>
  <c r="AN363" i="8"/>
  <c r="AN108" i="8"/>
  <c r="AN107" i="8"/>
  <c r="AL31" i="8"/>
  <c r="AM80" i="8"/>
  <c r="AM79" i="8"/>
  <c r="AG12" i="1"/>
  <c r="AQ70" i="7"/>
  <c r="AQ54" i="7"/>
  <c r="AQ97" i="7" s="1"/>
  <c r="AQ61" i="7"/>
  <c r="AQ45" i="7"/>
  <c r="AQ88" i="7" s="1"/>
  <c r="AQ19" i="7"/>
  <c r="AN124" i="7"/>
  <c r="AN161" i="7" s="1"/>
  <c r="AN134" i="7"/>
  <c r="AN205" i="7" s="1"/>
  <c r="AK312" i="8"/>
  <c r="AK54" i="8"/>
  <c r="AQ71" i="7"/>
  <c r="AQ55" i="7"/>
  <c r="AQ98" i="7" s="1"/>
  <c r="AQ49" i="7"/>
  <c r="AQ92" i="7" s="1"/>
  <c r="AQ65" i="7"/>
  <c r="AM366" i="8"/>
  <c r="AM321" i="8"/>
  <c r="AM364" i="8"/>
  <c r="AM48" i="8"/>
  <c r="AO57" i="7"/>
  <c r="AP57" i="7" l="1"/>
  <c r="AN199" i="7"/>
  <c r="AO62" i="8"/>
  <c r="U130" i="7"/>
  <c r="AN89" i="8"/>
  <c r="AN120" i="8" s="1"/>
  <c r="AP103" i="7"/>
  <c r="AP134" i="7" s="1"/>
  <c r="AP205" i="7" s="1"/>
  <c r="AN90" i="8"/>
  <c r="AA112" i="7"/>
  <c r="AA113" i="7" s="1"/>
  <c r="AB109" i="7" s="1"/>
  <c r="U128" i="7"/>
  <c r="V123" i="7" s="1"/>
  <c r="V126" i="7" s="1"/>
  <c r="V127" i="7" s="1"/>
  <c r="V128" i="7" s="1"/>
  <c r="W123" i="7" s="1"/>
  <c r="AM31" i="8"/>
  <c r="AD79" i="7"/>
  <c r="AD75" i="7"/>
  <c r="AD76" i="7" s="1"/>
  <c r="AE73" i="7" s="1"/>
  <c r="AI314" i="8"/>
  <c r="AI315" i="8" s="1"/>
  <c r="AJ20" i="1"/>
  <c r="AI72" i="8"/>
  <c r="AI70" i="8"/>
  <c r="AD200" i="7"/>
  <c r="AD201" i="7" s="1"/>
  <c r="AE198" i="7" s="1"/>
  <c r="Y22" i="7"/>
  <c r="X25" i="7"/>
  <c r="Y82" i="7"/>
  <c r="AM115" i="8"/>
  <c r="AM105" i="8"/>
  <c r="AR67" i="7"/>
  <c r="AR51" i="7"/>
  <c r="AR94" i="7" s="1"/>
  <c r="AP202" i="8"/>
  <c r="AP204" i="8" a="1"/>
  <c r="AP204" i="8" s="1"/>
  <c r="AP21" i="8"/>
  <c r="AP29" i="8"/>
  <c r="AP42" i="8"/>
  <c r="AP45" i="8" s="1"/>
  <c r="AP14" i="8"/>
  <c r="AP19" i="8" a="1"/>
  <c r="AP19" i="8" s="1"/>
  <c r="AP22" i="8"/>
  <c r="AP17" i="8"/>
  <c r="AP20" i="8"/>
  <c r="AP7" i="8"/>
  <c r="AQ5" i="8"/>
  <c r="AP6" i="8"/>
  <c r="AP4" i="8"/>
  <c r="AP11" i="8"/>
  <c r="AP10" i="8"/>
  <c r="AQ8" i="1"/>
  <c r="AP43" i="8"/>
  <c r="AP44" i="8" s="1"/>
  <c r="AP362" i="8"/>
  <c r="AP361" i="8"/>
  <c r="AP47" i="8"/>
  <c r="AP203" i="8" a="1"/>
  <c r="AP203" i="8" s="1"/>
  <c r="AP18" i="8" a="1"/>
  <c r="AP18" i="8" s="1"/>
  <c r="AP28" i="8" a="1"/>
  <c r="AP28" i="8" s="1"/>
  <c r="AL312" i="8"/>
  <c r="AL54" i="8"/>
  <c r="AO78" i="8"/>
  <c r="AO27" i="8"/>
  <c r="AO199" i="7"/>
  <c r="AO160" i="7"/>
  <c r="AN205" i="8"/>
  <c r="AN30" i="8"/>
  <c r="AM57" i="8"/>
  <c r="AM53" i="8"/>
  <c r="AM56" i="8"/>
  <c r="AM49" i="8"/>
  <c r="AM59" i="8"/>
  <c r="AM52" i="8"/>
  <c r="AR125" i="7"/>
  <c r="AR162" i="7" s="1"/>
  <c r="AR135" i="7"/>
  <c r="AR206" i="7" s="1"/>
  <c r="AR46" i="7"/>
  <c r="AR89" i="7" s="1"/>
  <c r="AR62" i="7"/>
  <c r="AN80" i="8"/>
  <c r="AN79" i="8"/>
  <c r="AK313" i="8"/>
  <c r="AK68" i="8"/>
  <c r="AK58" i="8"/>
  <c r="AL19" i="1"/>
  <c r="AL11" i="1" s="1"/>
  <c r="AR63" i="7"/>
  <c r="AR47" i="7"/>
  <c r="AR90" i="7" s="1"/>
  <c r="AO363" i="8"/>
  <c r="AR61" i="7"/>
  <c r="AR45" i="7"/>
  <c r="AR88" i="7" s="1"/>
  <c r="AR64" i="7"/>
  <c r="AR48" i="7"/>
  <c r="AR91" i="7" s="1"/>
  <c r="AC118" i="7"/>
  <c r="AC119" i="7" s="1"/>
  <c r="AR69" i="7"/>
  <c r="AR53" i="7"/>
  <c r="AR96" i="7" s="1"/>
  <c r="AR60" i="7"/>
  <c r="AR40" i="7"/>
  <c r="AR41" i="7" s="1"/>
  <c r="AR44" i="7"/>
  <c r="AR87" i="7" s="1"/>
  <c r="AH12" i="1"/>
  <c r="AC163" i="7"/>
  <c r="AC164" i="7" s="1"/>
  <c r="AC207" i="7"/>
  <c r="AC208" i="7" s="1"/>
  <c r="V140" i="7"/>
  <c r="AR52" i="7"/>
  <c r="AR95" i="7" s="1"/>
  <c r="AR68" i="7"/>
  <c r="AP110" i="7"/>
  <c r="AP117" i="7"/>
  <c r="AP204" i="7" s="1"/>
  <c r="AN321" i="8"/>
  <c r="AN364" i="8"/>
  <c r="AN366" i="8"/>
  <c r="AN48" i="8"/>
  <c r="AR19" i="7"/>
  <c r="AQ102" i="7"/>
  <c r="AQ56" i="7"/>
  <c r="AR71" i="7"/>
  <c r="AR55" i="7"/>
  <c r="AR98" i="7" s="1"/>
  <c r="AO108" i="8"/>
  <c r="AO107" i="8"/>
  <c r="V137" i="7"/>
  <c r="V138" i="7" s="1"/>
  <c r="W133" i="7" s="1"/>
  <c r="AR50" i="7"/>
  <c r="AR93" i="7" s="1"/>
  <c r="AR66" i="7"/>
  <c r="AJ67" i="8"/>
  <c r="AJ69" i="8" s="1"/>
  <c r="AQ99" i="7"/>
  <c r="AF129" i="7"/>
  <c r="AP131" i="7"/>
  <c r="AP6" i="5"/>
  <c r="AQ5" i="7"/>
  <c r="AP10" i="7"/>
  <c r="AN122" i="8"/>
  <c r="AN211" i="8" s="1"/>
  <c r="AO27" i="1"/>
  <c r="AS159" i="7"/>
  <c r="AS158" i="7"/>
  <c r="AS38" i="7"/>
  <c r="AS34" i="7"/>
  <c r="AS30" i="7"/>
  <c r="AS37" i="7"/>
  <c r="AS33" i="7"/>
  <c r="AS29" i="7"/>
  <c r="AS28" i="7"/>
  <c r="AS32" i="7"/>
  <c r="AS31" i="7"/>
  <c r="AS14" i="7"/>
  <c r="AS36" i="7"/>
  <c r="AS35" i="7"/>
  <c r="AS39" i="7"/>
  <c r="AS16" i="7"/>
  <c r="AS9" i="7"/>
  <c r="AS18" i="7"/>
  <c r="AS15" i="7"/>
  <c r="AS17" i="7"/>
  <c r="AS8" i="7"/>
  <c r="AS12" i="7"/>
  <c r="AT4" i="7"/>
  <c r="AS5" i="5"/>
  <c r="AS6" i="7"/>
  <c r="AS13" i="7"/>
  <c r="AS7" i="7"/>
  <c r="AS20" i="7"/>
  <c r="AR70" i="7"/>
  <c r="AR54" i="7"/>
  <c r="AR97" i="7" s="1"/>
  <c r="AO310" i="8" a="1"/>
  <c r="AO310" i="8" s="1"/>
  <c r="AO55" i="8"/>
  <c r="AO9" i="8"/>
  <c r="AO88" i="8" s="1"/>
  <c r="AO89" i="8" s="1"/>
  <c r="AO120" i="8" s="1"/>
  <c r="AO8" i="8"/>
  <c r="AO46" i="8"/>
  <c r="AO35" i="8"/>
  <c r="AN66" i="8"/>
  <c r="AN64" i="8"/>
  <c r="AN65" i="8"/>
  <c r="AN61" i="8"/>
  <c r="AN60" i="8"/>
  <c r="AN63" i="8"/>
  <c r="AN37" i="8"/>
  <c r="AN38" i="8" s="1"/>
  <c r="AN39" i="8" s="1"/>
  <c r="AQ72" i="7"/>
  <c r="AQ74" i="7" s="1"/>
  <c r="AR49" i="7"/>
  <c r="AR92" i="7" s="1"/>
  <c r="AR65" i="7"/>
  <c r="AO13" i="8"/>
  <c r="AO12" i="8"/>
  <c r="AF139" i="7"/>
  <c r="AH106" i="8"/>
  <c r="AH208" i="8"/>
  <c r="AH118" i="8"/>
  <c r="AI21" i="1"/>
  <c r="AH71" i="8"/>
  <c r="AB165" i="7"/>
  <c r="AQ57" i="7" l="1"/>
  <c r="AP124" i="7"/>
  <c r="AP161" i="7" s="1"/>
  <c r="AO90" i="8"/>
  <c r="AO37" i="8"/>
  <c r="AB111" i="7"/>
  <c r="V130" i="7"/>
  <c r="Y83" i="7"/>
  <c r="Y84" i="7" s="1"/>
  <c r="Z81" i="7" s="1"/>
  <c r="AQ103" i="7"/>
  <c r="AQ124" i="7" s="1"/>
  <c r="AQ161" i="7" s="1"/>
  <c r="AC120" i="7"/>
  <c r="AD116" i="7" s="1"/>
  <c r="AD118" i="7" s="1"/>
  <c r="AD119" i="7" s="1"/>
  <c r="AJ314" i="8"/>
  <c r="AJ315" i="8" s="1"/>
  <c r="AK20" i="1"/>
  <c r="AJ72" i="8"/>
  <c r="AJ70" i="8"/>
  <c r="W136" i="7"/>
  <c r="AE79" i="7"/>
  <c r="AE75" i="7"/>
  <c r="AE76" i="7" s="1"/>
  <c r="AF73" i="7" s="1"/>
  <c r="W126" i="7"/>
  <c r="AT159" i="7"/>
  <c r="AT158" i="7"/>
  <c r="AT36" i="7"/>
  <c r="AT32" i="7"/>
  <c r="AT28" i="7"/>
  <c r="AT31" i="7"/>
  <c r="AT14" i="7"/>
  <c r="AT35" i="7"/>
  <c r="AT30" i="7"/>
  <c r="AT29" i="7"/>
  <c r="AT39" i="7"/>
  <c r="AT34" i="7"/>
  <c r="AT33" i="7"/>
  <c r="AT16" i="7"/>
  <c r="AT38" i="7"/>
  <c r="AT37" i="7"/>
  <c r="AT9" i="7"/>
  <c r="AT13" i="7"/>
  <c r="AT8" i="7"/>
  <c r="AT18" i="7"/>
  <c r="AT15" i="7"/>
  <c r="AT17" i="7"/>
  <c r="AT12" i="7"/>
  <c r="AU4" i="7"/>
  <c r="AT6" i="7"/>
  <c r="AT7" i="7"/>
  <c r="AT5" i="5"/>
  <c r="AT20" i="7"/>
  <c r="AE200" i="7"/>
  <c r="AE201" i="7" s="1"/>
  <c r="AF198" i="7" s="1"/>
  <c r="AN56" i="8"/>
  <c r="AN53" i="8"/>
  <c r="AN52" i="8"/>
  <c r="AN57" i="8"/>
  <c r="AN49" i="8"/>
  <c r="AN59" i="8"/>
  <c r="AP310" i="8" a="1"/>
  <c r="AP310" i="8" s="1"/>
  <c r="AP55" i="8"/>
  <c r="AP9" i="8"/>
  <c r="AP8" i="8"/>
  <c r="AP46" i="8"/>
  <c r="AP35" i="8"/>
  <c r="AK67" i="8"/>
  <c r="AK69" i="8" s="1"/>
  <c r="AM312" i="8"/>
  <c r="AM54" i="8"/>
  <c r="AP62" i="8"/>
  <c r="AP108" i="8"/>
  <c r="AP107" i="8"/>
  <c r="AI118" i="8"/>
  <c r="AI208" i="8"/>
  <c r="AI106" i="8"/>
  <c r="AJ21" i="1"/>
  <c r="AI71" i="8"/>
  <c r="AP13" i="8"/>
  <c r="AP12" i="8"/>
  <c r="AS63" i="7"/>
  <c r="AS47" i="7"/>
  <c r="AS90" i="7" s="1"/>
  <c r="AO66" i="8"/>
  <c r="AO61" i="8"/>
  <c r="AO60" i="8"/>
  <c r="AO64" i="8"/>
  <c r="AO65" i="8"/>
  <c r="AO63" i="8"/>
  <c r="AS44" i="7"/>
  <c r="AS87" i="7" s="1"/>
  <c r="AS60" i="7"/>
  <c r="AS40" i="7"/>
  <c r="AS41" i="7" s="1"/>
  <c r="AG139" i="7"/>
  <c r="AS45" i="7"/>
  <c r="AS88" i="7" s="1"/>
  <c r="AS61" i="7"/>
  <c r="AS125" i="7"/>
  <c r="AS162" i="7" s="1"/>
  <c r="AS135" i="7"/>
  <c r="AS206" i="7" s="1"/>
  <c r="AS53" i="7"/>
  <c r="AS96" i="7" s="1"/>
  <c r="AS69" i="7"/>
  <c r="AO122" i="8"/>
  <c r="AO211" i="8" s="1"/>
  <c r="AP27" i="1"/>
  <c r="AQ202" i="8"/>
  <c r="AQ204" i="8" a="1"/>
  <c r="AQ204" i="8" s="1"/>
  <c r="G204" i="8" s="1"/>
  <c r="AQ29" i="8"/>
  <c r="G29" i="8" s="1"/>
  <c r="E63" i="2" s="1"/>
  <c r="AQ14" i="8"/>
  <c r="G14" i="8" s="1"/>
  <c r="AQ21" i="8"/>
  <c r="AQ22" i="8"/>
  <c r="AQ17" i="8"/>
  <c r="G17" i="8" s="1"/>
  <c r="AQ20" i="8"/>
  <c r="AQ42" i="8"/>
  <c r="AQ45" i="8" s="1"/>
  <c r="AQ6" i="8"/>
  <c r="AQ4" i="8"/>
  <c r="AQ19" i="8" a="1"/>
  <c r="AQ19" i="8" s="1"/>
  <c r="G19" i="8" s="1"/>
  <c r="AQ11" i="8"/>
  <c r="AQ10" i="8"/>
  <c r="AQ7" i="8"/>
  <c r="AR8" i="1"/>
  <c r="AQ43" i="8"/>
  <c r="AQ44" i="8" s="1"/>
  <c r="AQ362" i="8"/>
  <c r="AQ47" i="8"/>
  <c r="AQ361" i="8"/>
  <c r="AQ203" i="8" a="1"/>
  <c r="AQ203" i="8" s="1"/>
  <c r="G203" i="8" s="1"/>
  <c r="AQ28" i="8" a="1"/>
  <c r="AQ28" i="8" s="1"/>
  <c r="G28" i="8" s="1"/>
  <c r="AQ18" i="8" a="1"/>
  <c r="AQ18" i="8" s="1"/>
  <c r="G18" i="8" s="1"/>
  <c r="E159" i="4"/>
  <c r="G164" i="8" s="1"/>
  <c r="G334" i="8"/>
  <c r="E77" i="2"/>
  <c r="E73" i="2"/>
  <c r="E78" i="2"/>
  <c r="E80" i="2"/>
  <c r="E81" i="2"/>
  <c r="E79" i="2"/>
  <c r="F79" i="2" s="1"/>
  <c r="AP160" i="7"/>
  <c r="AP78" i="8"/>
  <c r="AP27" i="8"/>
  <c r="Y23" i="7"/>
  <c r="Y24" i="7" s="1"/>
  <c r="AQ131" i="7"/>
  <c r="AR5" i="7"/>
  <c r="AQ10" i="7"/>
  <c r="AQ6" i="5"/>
  <c r="AO205" i="8"/>
  <c r="AO30" i="8"/>
  <c r="AO38" i="8"/>
  <c r="AO39" i="8" s="1"/>
  <c r="AS66" i="7"/>
  <c r="AS50" i="7"/>
  <c r="AS93" i="7" s="1"/>
  <c r="AQ110" i="7"/>
  <c r="AQ117" i="7"/>
  <c r="AQ204" i="7" s="1"/>
  <c r="AR102" i="7"/>
  <c r="AR56" i="7"/>
  <c r="AR57" i="7" s="1"/>
  <c r="AO80" i="8"/>
  <c r="AO79" i="8"/>
  <c r="AI12" i="1"/>
  <c r="AS48" i="7"/>
  <c r="AS91" i="7" s="1"/>
  <c r="AS64" i="7"/>
  <c r="AS70" i="7"/>
  <c r="AS54" i="7"/>
  <c r="AS97" i="7" s="1"/>
  <c r="AN105" i="8"/>
  <c r="AN115" i="8"/>
  <c r="AL313" i="8"/>
  <c r="AL68" i="8"/>
  <c r="AL58" i="8"/>
  <c r="AM19" i="1"/>
  <c r="AM11" i="1" s="1"/>
  <c r="AS62" i="7"/>
  <c r="AS46" i="7"/>
  <c r="AS89" i="7" s="1"/>
  <c r="AS71" i="7"/>
  <c r="AS55" i="7"/>
  <c r="AS98" i="7" s="1"/>
  <c r="AS19" i="7"/>
  <c r="AS67" i="7"/>
  <c r="AS51" i="7"/>
  <c r="AS94" i="7" s="1"/>
  <c r="AR72" i="7"/>
  <c r="AR74" i="7" s="1"/>
  <c r="AD163" i="7"/>
  <c r="AD164" i="7" s="1"/>
  <c r="AD207" i="7"/>
  <c r="AD208" i="7" s="1"/>
  <c r="AS49" i="7"/>
  <c r="AS92" i="7" s="1"/>
  <c r="AS65" i="7"/>
  <c r="AC165" i="7"/>
  <c r="AO366" i="8"/>
  <c r="AO364" i="8"/>
  <c r="AO321" i="8"/>
  <c r="AO48" i="8"/>
  <c r="AS68" i="7"/>
  <c r="AS52" i="7"/>
  <c r="AS95" i="7" s="1"/>
  <c r="AG129" i="7"/>
  <c r="AR99" i="7"/>
  <c r="AN31" i="8"/>
  <c r="AP363" i="8"/>
  <c r="AP199" i="7" l="1"/>
  <c r="AQ134" i="7"/>
  <c r="AQ205" i="7" s="1"/>
  <c r="AT19" i="7"/>
  <c r="Z82" i="7"/>
  <c r="Z83" i="7" s="1"/>
  <c r="Z84" i="7" s="1"/>
  <c r="AA81" i="7" s="1"/>
  <c r="AA82" i="7" s="1"/>
  <c r="AB112" i="7"/>
  <c r="AB113" i="7" s="1"/>
  <c r="AC109" i="7" s="1"/>
  <c r="AO31" i="8"/>
  <c r="AK314" i="8"/>
  <c r="AK315" i="8" s="1"/>
  <c r="AL20" i="1"/>
  <c r="AK72" i="8"/>
  <c r="AK70" i="8"/>
  <c r="Z22" i="7"/>
  <c r="Y25" i="7"/>
  <c r="AD120" i="7"/>
  <c r="AE116" i="7" s="1"/>
  <c r="AD165" i="7"/>
  <c r="AS99" i="7"/>
  <c r="AO105" i="8"/>
  <c r="AO115" i="8"/>
  <c r="AQ363" i="8"/>
  <c r="AS102" i="7"/>
  <c r="AS56" i="7"/>
  <c r="AS57" i="7" s="1"/>
  <c r="AT65" i="7"/>
  <c r="AT49" i="7"/>
  <c r="AT92" i="7" s="1"/>
  <c r="W140" i="7"/>
  <c r="AP205" i="8"/>
  <c r="AP30" i="8"/>
  <c r="AJ12" i="1"/>
  <c r="AP366" i="8"/>
  <c r="AP364" i="8"/>
  <c r="AP321" i="8"/>
  <c r="AP48" i="8"/>
  <c r="AU159" i="7"/>
  <c r="AU158" i="7"/>
  <c r="AU35" i="7"/>
  <c r="AU32" i="7"/>
  <c r="AU30" i="7"/>
  <c r="AU29" i="7"/>
  <c r="AU39" i="7"/>
  <c r="AU36" i="7"/>
  <c r="AU34" i="7"/>
  <c r="AU33" i="7"/>
  <c r="AU16" i="7"/>
  <c r="AU38" i="7"/>
  <c r="AU37" i="7"/>
  <c r="AU9" i="7"/>
  <c r="AU13" i="7"/>
  <c r="AU8" i="7"/>
  <c r="AU7" i="7"/>
  <c r="AU17" i="7"/>
  <c r="AU12" i="7"/>
  <c r="AU31" i="7"/>
  <c r="AU28" i="7"/>
  <c r="AU14" i="7"/>
  <c r="AV4" i="7"/>
  <c r="AU5" i="5"/>
  <c r="AU15" i="7"/>
  <c r="AU18" i="7"/>
  <c r="AU6" i="7"/>
  <c r="AU20" i="7"/>
  <c r="AT66" i="7"/>
  <c r="AT50" i="7"/>
  <c r="AT93" i="7" s="1"/>
  <c r="W130" i="7"/>
  <c r="E76" i="2"/>
  <c r="G74" i="2"/>
  <c r="F74" i="2"/>
  <c r="F75" i="2" s="1"/>
  <c r="AP79" i="8"/>
  <c r="AP80" i="8"/>
  <c r="AP37" i="8"/>
  <c r="AP38" i="8" s="1"/>
  <c r="AT55" i="7"/>
  <c r="AT98" i="7" s="1"/>
  <c r="AT71" i="7"/>
  <c r="W137" i="7"/>
  <c r="W138" i="7" s="1"/>
  <c r="X133" i="7" s="1"/>
  <c r="AQ78" i="8"/>
  <c r="AQ27" i="8"/>
  <c r="G7" i="8"/>
  <c r="G165" i="8" s="1"/>
  <c r="F63" i="2"/>
  <c r="G63" i="2"/>
  <c r="AP122" i="8"/>
  <c r="AP211" i="8" s="1"/>
  <c r="AQ27" i="1"/>
  <c r="AP66" i="8"/>
  <c r="AP64" i="8"/>
  <c r="AP63" i="8"/>
  <c r="AP61" i="8"/>
  <c r="AP65" i="8"/>
  <c r="AP60" i="8"/>
  <c r="AT61" i="7"/>
  <c r="AT45" i="7"/>
  <c r="AT88" i="7" s="1"/>
  <c r="W127" i="7"/>
  <c r="W128" i="7" s="1"/>
  <c r="X123" i="7" s="1"/>
  <c r="AH129" i="7"/>
  <c r="AT70" i="7"/>
  <c r="AT54" i="7"/>
  <c r="AT97" i="7" s="1"/>
  <c r="AO52" i="8"/>
  <c r="AO57" i="8"/>
  <c r="AO53" i="8"/>
  <c r="AO59" i="8"/>
  <c r="AO56" i="8"/>
  <c r="AO49" i="8"/>
  <c r="AL67" i="8"/>
  <c r="AL69" i="8" s="1"/>
  <c r="AR103" i="7"/>
  <c r="AQ62" i="8"/>
  <c r="G62" i="8" s="1"/>
  <c r="AQ310" i="8" a="1"/>
  <c r="AQ310" i="8" s="1"/>
  <c r="AQ55" i="8"/>
  <c r="AQ9" i="8"/>
  <c r="AQ90" i="8" s="1"/>
  <c r="AQ8" i="8"/>
  <c r="AQ46" i="8"/>
  <c r="G46" i="8" s="1"/>
  <c r="G169" i="8" s="1"/>
  <c r="AQ35" i="8"/>
  <c r="G10" i="8"/>
  <c r="AP90" i="8"/>
  <c r="AN312" i="8"/>
  <c r="AN54" i="8"/>
  <c r="AT62" i="7"/>
  <c r="AT46" i="7"/>
  <c r="AT89" i="7" s="1"/>
  <c r="AJ208" i="8"/>
  <c r="AJ106" i="8"/>
  <c r="AJ118" i="8"/>
  <c r="AK21" i="1"/>
  <c r="AJ71" i="8"/>
  <c r="AT52" i="7"/>
  <c r="AT95" i="7" s="1"/>
  <c r="AT68" i="7"/>
  <c r="AQ108" i="8"/>
  <c r="G108" i="8" s="1"/>
  <c r="AQ107" i="8"/>
  <c r="AT125" i="7"/>
  <c r="AT162" i="7" s="1"/>
  <c r="AT135" i="7"/>
  <c r="AT206" i="7" s="1"/>
  <c r="AT67" i="7"/>
  <c r="AT51" i="7"/>
  <c r="AT94" i="7" s="1"/>
  <c r="F78" i="2"/>
  <c r="E6" i="1"/>
  <c r="AS72" i="7"/>
  <c r="AS74" i="7" s="1"/>
  <c r="AR110" i="7"/>
  <c r="AR117" i="7"/>
  <c r="AR204" i="7" s="1"/>
  <c r="AM313" i="8"/>
  <c r="AM68" i="8"/>
  <c r="AM58" i="8"/>
  <c r="AN19" i="1"/>
  <c r="AN11" i="1" s="1"/>
  <c r="AP88" i="8"/>
  <c r="AP89" i="8" s="1"/>
  <c r="AP120" i="8" s="1"/>
  <c r="AQ13" i="8"/>
  <c r="AQ12" i="8"/>
  <c r="AT63" i="7"/>
  <c r="AT47" i="7"/>
  <c r="AT90" i="7" s="1"/>
  <c r="AE163" i="7"/>
  <c r="AE164" i="7" s="1"/>
  <c r="AE207" i="7"/>
  <c r="AE208" i="7" s="1"/>
  <c r="AQ199" i="7"/>
  <c r="AQ160" i="7"/>
  <c r="AR131" i="7"/>
  <c r="AR10" i="7"/>
  <c r="AR6" i="5"/>
  <c r="AS5" i="7"/>
  <c r="G82" i="2"/>
  <c r="F82" i="2"/>
  <c r="AF200" i="7"/>
  <c r="AF201" i="7" s="1"/>
  <c r="AG198" i="7" s="1"/>
  <c r="AT60" i="7"/>
  <c r="AT40" i="7"/>
  <c r="AT41" i="7" s="1"/>
  <c r="AT44" i="7"/>
  <c r="AT87" i="7" s="1"/>
  <c r="AF79" i="7"/>
  <c r="AF75" i="7"/>
  <c r="AF76" i="7" s="1"/>
  <c r="AG73" i="7" s="1"/>
  <c r="AH139" i="7"/>
  <c r="AT53" i="7"/>
  <c r="AT96" i="7" s="1"/>
  <c r="AT69" i="7"/>
  <c r="AT48" i="7"/>
  <c r="AT91" i="7" s="1"/>
  <c r="AT64" i="7"/>
  <c r="AU19" i="7" l="1"/>
  <c r="AE165" i="7"/>
  <c r="AC111" i="7"/>
  <c r="AC112" i="7" s="1"/>
  <c r="AC113" i="7" s="1"/>
  <c r="AD109" i="7" s="1"/>
  <c r="AP31" i="8"/>
  <c r="AL314" i="8"/>
  <c r="AL315" i="8" s="1"/>
  <c r="AM20" i="1"/>
  <c r="AL72" i="8"/>
  <c r="AL70" i="8"/>
  <c r="X136" i="7"/>
  <c r="X137" i="7" s="1"/>
  <c r="AG200" i="7"/>
  <c r="AG201" i="7" s="1"/>
  <c r="AH198" i="7" s="1"/>
  <c r="AG79" i="7"/>
  <c r="AG75" i="7"/>
  <c r="AG76" i="7" s="1"/>
  <c r="AH73" i="7" s="1"/>
  <c r="AT99" i="7"/>
  <c r="X126" i="7"/>
  <c r="X130" i="7" s="1"/>
  <c r="AV159" i="7"/>
  <c r="AV158" i="7"/>
  <c r="AV37" i="7"/>
  <c r="AV33" i="7"/>
  <c r="AV29" i="7"/>
  <c r="AV36" i="7"/>
  <c r="AV32" i="7"/>
  <c r="AV28" i="7"/>
  <c r="AV39" i="7"/>
  <c r="AV34" i="7"/>
  <c r="AV16" i="7"/>
  <c r="AV38" i="7"/>
  <c r="AV9" i="7"/>
  <c r="AV13" i="7"/>
  <c r="AV8" i="7"/>
  <c r="AV7" i="7"/>
  <c r="AV18" i="7"/>
  <c r="AV19" i="7" s="1"/>
  <c r="AV15" i="7"/>
  <c r="AV6" i="7"/>
  <c r="AV17" i="7"/>
  <c r="AV31" i="7"/>
  <c r="AV14" i="7"/>
  <c r="AV35" i="7"/>
  <c r="AV30" i="7"/>
  <c r="AW4" i="7"/>
  <c r="AV12" i="7"/>
  <c r="AV5" i="5"/>
  <c r="AV20" i="7"/>
  <c r="AQ122" i="8"/>
  <c r="AR27" i="1"/>
  <c r="E27" i="1" s="1"/>
  <c r="G107" i="8"/>
  <c r="AR124" i="7"/>
  <c r="AR161" i="7" s="1"/>
  <c r="AR134" i="7"/>
  <c r="AR205" i="7" s="1"/>
  <c r="AP53" i="8"/>
  <c r="AP49" i="8"/>
  <c r="AP59" i="8"/>
  <c r="AP56" i="8"/>
  <c r="AP57" i="8"/>
  <c r="AP52" i="8"/>
  <c r="AU49" i="7"/>
  <c r="AU92" i="7" s="1"/>
  <c r="AU65" i="7"/>
  <c r="AU40" i="7"/>
  <c r="AU41" i="7" s="1"/>
  <c r="AU60" i="7"/>
  <c r="AU44" i="7"/>
  <c r="AU87" i="7" s="1"/>
  <c r="AU66" i="7"/>
  <c r="AU50" i="7"/>
  <c r="AU93" i="7" s="1"/>
  <c r="AP115" i="8"/>
  <c r="AP105" i="8"/>
  <c r="AR160" i="7"/>
  <c r="F6" i="1"/>
  <c r="G6" i="1"/>
  <c r="AQ72" i="8"/>
  <c r="AQ39" i="8"/>
  <c r="G8" i="8"/>
  <c r="AU63" i="7"/>
  <c r="AU47" i="7"/>
  <c r="AU90" i="7" s="1"/>
  <c r="AU68" i="7"/>
  <c r="AU52" i="7"/>
  <c r="AU95" i="7" s="1"/>
  <c r="AU71" i="7"/>
  <c r="AU55" i="7"/>
  <c r="AU98" i="7" s="1"/>
  <c r="AU61" i="7"/>
  <c r="AU45" i="7"/>
  <c r="AU88" i="7" s="1"/>
  <c r="AQ66" i="8"/>
  <c r="G66" i="8" s="1"/>
  <c r="AQ60" i="8"/>
  <c r="G60" i="8" s="1"/>
  <c r="AQ61" i="8"/>
  <c r="G61" i="8" s="1"/>
  <c r="AQ64" i="8"/>
  <c r="G64" i="8" s="1"/>
  <c r="AQ63" i="8"/>
  <c r="G63" i="8" s="1"/>
  <c r="AQ65" i="8"/>
  <c r="G65" i="8" s="1"/>
  <c r="AI129" i="7"/>
  <c r="AU62" i="7"/>
  <c r="AU46" i="7"/>
  <c r="AU89" i="7" s="1"/>
  <c r="AE118" i="7"/>
  <c r="AE119" i="7" s="1"/>
  <c r="AE120" i="7" s="1"/>
  <c r="AF116" i="7" s="1"/>
  <c r="AK12" i="1"/>
  <c r="AF163" i="7"/>
  <c r="AF164" i="7" s="1"/>
  <c r="AF207" i="7"/>
  <c r="AF208" i="7" s="1"/>
  <c r="AP39" i="8"/>
  <c r="AQ37" i="8"/>
  <c r="AQ38" i="8" s="1"/>
  <c r="AS131" i="7"/>
  <c r="AS10" i="7"/>
  <c r="AS6" i="5"/>
  <c r="AT5" i="7"/>
  <c r="AQ88" i="8"/>
  <c r="AQ89" i="8" s="1"/>
  <c r="AQ120" i="8" s="1"/>
  <c r="AU48" i="7"/>
  <c r="AU91" i="7" s="1"/>
  <c r="AU64" i="7"/>
  <c r="AU67" i="7"/>
  <c r="AU51" i="7"/>
  <c r="AU94" i="7" s="1"/>
  <c r="Z23" i="7"/>
  <c r="Z24" i="7" s="1"/>
  <c r="AQ364" i="8"/>
  <c r="AQ366" i="8"/>
  <c r="AQ321" i="8"/>
  <c r="AQ48" i="8"/>
  <c r="AG90" i="8"/>
  <c r="G90" i="8" s="1"/>
  <c r="AT102" i="7"/>
  <c r="AT56" i="7"/>
  <c r="AM67" i="8"/>
  <c r="AM69" i="8" s="1"/>
  <c r="AN313" i="8"/>
  <c r="AN58" i="8"/>
  <c r="AN68" i="8"/>
  <c r="AO19" i="1"/>
  <c r="AO11" i="1" s="1"/>
  <c r="AU125" i="7"/>
  <c r="AU162" i="7" s="1"/>
  <c r="AU135" i="7"/>
  <c r="AU206" i="7" s="1"/>
  <c r="AS103" i="7"/>
  <c r="AO312" i="8"/>
  <c r="AO54" i="8"/>
  <c r="AQ205" i="8"/>
  <c r="AQ30" i="8"/>
  <c r="G27" i="8"/>
  <c r="G166" i="8" s="1"/>
  <c r="AU69" i="7"/>
  <c r="AU53" i="7"/>
  <c r="AU96" i="7" s="1"/>
  <c r="AS110" i="7"/>
  <c r="AS117" i="7"/>
  <c r="AS204" i="7" s="1"/>
  <c r="AK208" i="8"/>
  <c r="AK118" i="8"/>
  <c r="AK106" i="8"/>
  <c r="AL21" i="1"/>
  <c r="AK71" i="8"/>
  <c r="AA83" i="7"/>
  <c r="AA84" i="7" s="1"/>
  <c r="AB81" i="7" s="1"/>
  <c r="AI139" i="7"/>
  <c r="AT72" i="7"/>
  <c r="AT74" i="7" s="1"/>
  <c r="AQ80" i="8"/>
  <c r="AQ79" i="8"/>
  <c r="AU70" i="7"/>
  <c r="AU54" i="7"/>
  <c r="AU97" i="7" s="1"/>
  <c r="AF165" i="7" l="1"/>
  <c r="AT103" i="7"/>
  <c r="AT124" i="7" s="1"/>
  <c r="AT161" i="7" s="1"/>
  <c r="X138" i="7"/>
  <c r="Y133" i="7" s="1"/>
  <c r="Y136" i="7" s="1"/>
  <c r="Y137" i="7" s="1"/>
  <c r="Y138" i="7" s="1"/>
  <c r="Z133" i="7" s="1"/>
  <c r="AD111" i="7"/>
  <c r="AD112" i="7" s="1"/>
  <c r="AT57" i="7"/>
  <c r="AM314" i="8"/>
  <c r="AM315" i="8" s="1"/>
  <c r="AN20" i="1"/>
  <c r="AM72" i="8"/>
  <c r="AM70" i="8"/>
  <c r="AF118" i="7"/>
  <c r="AF119" i="7" s="1"/>
  <c r="AH79" i="7"/>
  <c r="AH75" i="7"/>
  <c r="AH76" i="7" s="1"/>
  <c r="AI73" i="7" s="1"/>
  <c r="AB82" i="7"/>
  <c r="AQ52" i="8"/>
  <c r="AQ49" i="8"/>
  <c r="AQ53" i="8"/>
  <c r="G53" i="8" s="1"/>
  <c r="AQ59" i="8"/>
  <c r="G59" i="8" s="1"/>
  <c r="AQ56" i="8"/>
  <c r="AQ57" i="8"/>
  <c r="G57" i="8" s="1"/>
  <c r="G38" i="8"/>
  <c r="AA22" i="7"/>
  <c r="Z25" i="7"/>
  <c r="AJ129" i="7"/>
  <c r="AV47" i="7"/>
  <c r="AV90" i="7" s="1"/>
  <c r="AV63" i="7"/>
  <c r="AV71" i="7"/>
  <c r="AV55" i="7"/>
  <c r="AV98" i="7" s="1"/>
  <c r="X127" i="7"/>
  <c r="X128" i="7" s="1"/>
  <c r="Y123" i="7" s="1"/>
  <c r="AR199" i="7"/>
  <c r="AV44" i="7"/>
  <c r="AV87" i="7" s="1"/>
  <c r="AV60" i="7"/>
  <c r="AV40" i="7"/>
  <c r="AV41" i="7" s="1"/>
  <c r="AJ139" i="7"/>
  <c r="G27" i="1"/>
  <c r="F27" i="1"/>
  <c r="AV52" i="7"/>
  <c r="AV95" i="7" s="1"/>
  <c r="AV68" i="7"/>
  <c r="X140" i="7"/>
  <c r="AH200" i="7"/>
  <c r="AH201" i="7" s="1"/>
  <c r="AI198" i="7" s="1"/>
  <c r="AQ115" i="8"/>
  <c r="G115" i="8" s="1"/>
  <c r="AQ105" i="8"/>
  <c r="G105" i="8" s="1"/>
  <c r="G30" i="8"/>
  <c r="AQ31" i="8"/>
  <c r="AN67" i="8"/>
  <c r="AN69" i="8" s="1"/>
  <c r="AV48" i="7"/>
  <c r="AV91" i="7" s="1"/>
  <c r="AV64" i="7"/>
  <c r="AL12" i="1"/>
  <c r="AU99" i="7"/>
  <c r="AP312" i="8"/>
  <c r="AP54" i="8"/>
  <c r="AQ211" i="8"/>
  <c r="G211" i="8" s="1"/>
  <c r="G122" i="8"/>
  <c r="AV125" i="7"/>
  <c r="AV162" i="7" s="1"/>
  <c r="AV135" i="7"/>
  <c r="AV206" i="7" s="1"/>
  <c r="AV61" i="7"/>
  <c r="AV45" i="7"/>
  <c r="AV88" i="7" s="1"/>
  <c r="AV66" i="7"/>
  <c r="AV50" i="7"/>
  <c r="AV93" i="7" s="1"/>
  <c r="AO313" i="8"/>
  <c r="AO58" i="8"/>
  <c r="AO68" i="8"/>
  <c r="AP19" i="1"/>
  <c r="AP11" i="1" s="1"/>
  <c r="AS124" i="7"/>
  <c r="AS161" i="7" s="1"/>
  <c r="AS134" i="7"/>
  <c r="AS205" i="7" s="1"/>
  <c r="AV65" i="7"/>
  <c r="AV49" i="7"/>
  <c r="AV92" i="7" s="1"/>
  <c r="AV69" i="7"/>
  <c r="AV53" i="7"/>
  <c r="AV96" i="7" s="1"/>
  <c r="G205" i="8"/>
  <c r="AS160" i="7"/>
  <c r="AL208" i="8"/>
  <c r="AL118" i="8"/>
  <c r="AL106" i="8"/>
  <c r="AM21" i="1"/>
  <c r="AL71" i="8"/>
  <c r="AU102" i="7"/>
  <c r="AU56" i="7"/>
  <c r="AW158" i="7"/>
  <c r="AW159" i="7"/>
  <c r="AW39" i="7"/>
  <c r="AW35" i="7"/>
  <c r="AW31" i="7"/>
  <c r="AW38" i="7"/>
  <c r="AW36" i="7"/>
  <c r="AW33" i="7"/>
  <c r="AW37" i="7"/>
  <c r="AW13" i="7"/>
  <c r="AW8" i="7"/>
  <c r="AW7" i="7"/>
  <c r="AW18" i="7"/>
  <c r="AW15" i="7"/>
  <c r="AW6" i="7"/>
  <c r="AX4" i="7"/>
  <c r="AW14" i="7"/>
  <c r="AW30" i="7"/>
  <c r="AW28" i="7"/>
  <c r="AW34" i="7"/>
  <c r="AW32" i="7"/>
  <c r="AW29" i="7"/>
  <c r="AW16" i="7"/>
  <c r="AW12" i="7"/>
  <c r="AW5" i="5"/>
  <c r="AW9" i="7"/>
  <c r="AW17" i="7"/>
  <c r="AW20" i="7"/>
  <c r="AG163" i="7"/>
  <c r="AG164" i="7" s="1"/>
  <c r="AG207" i="7"/>
  <c r="AG208" i="7" s="1"/>
  <c r="AT110" i="7"/>
  <c r="AT117" i="7"/>
  <c r="AT204" i="7" s="1"/>
  <c r="AT131" i="7"/>
  <c r="AT10" i="7"/>
  <c r="AT6" i="5"/>
  <c r="AU5" i="7"/>
  <c r="AU72" i="7"/>
  <c r="AU74" i="7" s="1"/>
  <c r="AV62" i="7"/>
  <c r="AV46" i="7"/>
  <c r="AV89" i="7" s="1"/>
  <c r="AV70" i="7"/>
  <c r="AV54" i="7"/>
  <c r="AV97" i="7" s="1"/>
  <c r="AV67" i="7"/>
  <c r="AV51" i="7"/>
  <c r="AV94" i="7" s="1"/>
  <c r="AT134" i="7" l="1"/>
  <c r="AT205" i="7" s="1"/>
  <c r="AF120" i="7"/>
  <c r="AG116" i="7" s="1"/>
  <c r="Y140" i="7"/>
  <c r="AD113" i="7"/>
  <c r="AE109" i="7" s="1"/>
  <c r="AN314" i="8"/>
  <c r="AN315" i="8" s="1"/>
  <c r="AO20" i="1"/>
  <c r="AN72" i="8"/>
  <c r="AN70" i="8"/>
  <c r="Z136" i="7"/>
  <c r="Z140" i="7" s="1"/>
  <c r="AG118" i="7"/>
  <c r="AG119" i="7" s="1"/>
  <c r="AI200" i="7"/>
  <c r="AI201" i="7" s="1"/>
  <c r="AJ198" i="7" s="1"/>
  <c r="AI79" i="7"/>
  <c r="AI75" i="7"/>
  <c r="AI76" i="7" s="1"/>
  <c r="AJ73" i="7" s="1"/>
  <c r="G149" i="8"/>
  <c r="G32" i="8"/>
  <c r="G150" i="8" s="1"/>
  <c r="E75" i="8"/>
  <c r="G359" i="8"/>
  <c r="AQ312" i="8"/>
  <c r="AQ54" i="8"/>
  <c r="G52" i="8"/>
  <c r="AW125" i="7"/>
  <c r="AW162" i="7" s="1"/>
  <c r="AW135" i="7"/>
  <c r="AW206" i="7" s="1"/>
  <c r="AK139" i="7"/>
  <c r="AU110" i="7"/>
  <c r="AU117" i="7"/>
  <c r="AU204" i="7" s="1"/>
  <c r="AK129" i="7"/>
  <c r="AB83" i="7"/>
  <c r="AB84" i="7" s="1"/>
  <c r="AC81" i="7" s="1"/>
  <c r="AU103" i="7"/>
  <c r="AP313" i="8"/>
  <c r="AP68" i="8"/>
  <c r="AP58" i="8"/>
  <c r="AQ19" i="1"/>
  <c r="AQ11" i="1" s="1"/>
  <c r="Y126" i="7"/>
  <c r="Y130" i="7" s="1"/>
  <c r="AW55" i="7"/>
  <c r="AW98" i="7" s="1"/>
  <c r="AW71" i="7"/>
  <c r="AT160" i="7"/>
  <c r="AT199" i="7"/>
  <c r="AW61" i="7"/>
  <c r="AW45" i="7"/>
  <c r="AW88" i="7" s="1"/>
  <c r="AV99" i="7"/>
  <c r="AW19" i="7"/>
  <c r="AW64" i="7"/>
  <c r="AW48" i="7"/>
  <c r="AW91" i="7" s="1"/>
  <c r="AW69" i="7"/>
  <c r="AW53" i="7"/>
  <c r="AW96" i="7" s="1"/>
  <c r="AO67" i="8"/>
  <c r="AO69" i="8" s="1"/>
  <c r="AA23" i="7"/>
  <c r="AA24" i="7" s="1"/>
  <c r="AW66" i="7"/>
  <c r="AW50" i="7"/>
  <c r="AW93" i="7" s="1"/>
  <c r="AV72" i="7"/>
  <c r="AV74" i="7" s="1"/>
  <c r="G151" i="8"/>
  <c r="E84" i="2"/>
  <c r="AU131" i="7"/>
  <c r="AU10" i="7"/>
  <c r="AU6" i="5"/>
  <c r="AV5" i="7"/>
  <c r="AS199" i="7"/>
  <c r="AW65" i="7"/>
  <c r="AW49" i="7"/>
  <c r="AW92" i="7" s="1"/>
  <c r="AW40" i="7"/>
  <c r="AW41" i="7" s="1"/>
  <c r="AW60" i="7"/>
  <c r="AW44" i="7"/>
  <c r="AW68" i="7"/>
  <c r="AW52" i="7"/>
  <c r="AW95" i="7" s="1"/>
  <c r="AV102" i="7"/>
  <c r="AV56" i="7"/>
  <c r="AH163" i="7"/>
  <c r="AH164" i="7" s="1"/>
  <c r="AH207" i="7"/>
  <c r="AH208" i="7" s="1"/>
  <c r="AM208" i="8"/>
  <c r="AM118" i="8"/>
  <c r="AM106" i="8"/>
  <c r="AN21" i="1"/>
  <c r="AM71" i="8"/>
  <c r="AW62" i="7"/>
  <c r="AW46" i="7"/>
  <c r="AW89" i="7" s="1"/>
  <c r="AW54" i="7"/>
  <c r="AW97" i="7" s="1"/>
  <c r="AW70" i="7"/>
  <c r="AM12" i="1"/>
  <c r="AU57" i="7"/>
  <c r="G56" i="8"/>
  <c r="AW47" i="7"/>
  <c r="AW90" i="7" s="1"/>
  <c r="AW63" i="7"/>
  <c r="AX159" i="7"/>
  <c r="AX158" i="7"/>
  <c r="AX37" i="7"/>
  <c r="AX9" i="7"/>
  <c r="AX7" i="7"/>
  <c r="AX18" i="7"/>
  <c r="AX15" i="7"/>
  <c r="AX6" i="7"/>
  <c r="AY4" i="7"/>
  <c r="AX17" i="7"/>
  <c r="AX14" i="7"/>
  <c r="AX31" i="7"/>
  <c r="AX30" i="7"/>
  <c r="AX28" i="7"/>
  <c r="AX35" i="7"/>
  <c r="AX34" i="7"/>
  <c r="AX32" i="7"/>
  <c r="AX29" i="7"/>
  <c r="AX16" i="7"/>
  <c r="AX39" i="7"/>
  <c r="AX38" i="7"/>
  <c r="AX36" i="7"/>
  <c r="AX33" i="7"/>
  <c r="AX12" i="7"/>
  <c r="AX5" i="5"/>
  <c r="AX8" i="7"/>
  <c r="AX13" i="7"/>
  <c r="AX20" i="7"/>
  <c r="AW67" i="7"/>
  <c r="AW51" i="7"/>
  <c r="AW94" i="7" s="1"/>
  <c r="AG165" i="7"/>
  <c r="AV57" i="7" l="1"/>
  <c r="AV103" i="7"/>
  <c r="AV124" i="7" s="1"/>
  <c r="AV161" i="7" s="1"/>
  <c r="AG120" i="7"/>
  <c r="AH116" i="7" s="1"/>
  <c r="AH118" i="7" s="1"/>
  <c r="AE111" i="7"/>
  <c r="AE112" i="7" s="1"/>
  <c r="AE113" i="7" s="1"/>
  <c r="AF109" i="7" s="1"/>
  <c r="AH165" i="7"/>
  <c r="AB22" i="7"/>
  <c r="AA25" i="7"/>
  <c r="AC82" i="7"/>
  <c r="AJ79" i="7"/>
  <c r="AJ75" i="7"/>
  <c r="AJ76" i="7" s="1"/>
  <c r="AK73" i="7" s="1"/>
  <c r="AX40" i="7"/>
  <c r="AX41" i="7" s="1"/>
  <c r="AX44" i="7"/>
  <c r="AX87" i="7" s="1"/>
  <c r="AX60" i="7"/>
  <c r="AW56" i="7"/>
  <c r="AW102" i="7"/>
  <c r="AU160" i="7"/>
  <c r="AX47" i="7"/>
  <c r="AX90" i="7" s="1"/>
  <c r="AX63" i="7"/>
  <c r="AW72" i="7"/>
  <c r="AW74" i="7" s="1"/>
  <c r="AX65" i="7"/>
  <c r="AX49" i="7"/>
  <c r="AX92" i="7" s="1"/>
  <c r="AN12" i="1"/>
  <c r="Y127" i="7"/>
  <c r="Y128" i="7" s="1"/>
  <c r="Z123" i="7" s="1"/>
  <c r="AX68" i="7"/>
  <c r="AX52" i="7"/>
  <c r="AX95" i="7" s="1"/>
  <c r="AX19" i="7"/>
  <c r="AJ200" i="7"/>
  <c r="AJ201" i="7" s="1"/>
  <c r="AK198" i="7" s="1"/>
  <c r="AX54" i="7"/>
  <c r="AX70" i="7"/>
  <c r="AY158" i="7"/>
  <c r="AY159" i="7"/>
  <c r="AY36" i="7"/>
  <c r="AY32" i="7"/>
  <c r="AY28" i="7"/>
  <c r="AY39" i="7"/>
  <c r="AY35" i="7"/>
  <c r="AY31" i="7"/>
  <c r="AY13" i="7"/>
  <c r="AY8" i="7"/>
  <c r="AY18" i="7"/>
  <c r="AY15" i="7"/>
  <c r="AZ4" i="7"/>
  <c r="AY17" i="7"/>
  <c r="AY12" i="7"/>
  <c r="AY14" i="7"/>
  <c r="AY30" i="7"/>
  <c r="AY34" i="7"/>
  <c r="AY29" i="7"/>
  <c r="AY16" i="7"/>
  <c r="AY38" i="7"/>
  <c r="AY33" i="7"/>
  <c r="AY37" i="7"/>
  <c r="AY6" i="7"/>
  <c r="AY9" i="7"/>
  <c r="AY7" i="7"/>
  <c r="AY5" i="5"/>
  <c r="AY20" i="7"/>
  <c r="AW87" i="7"/>
  <c r="AW99" i="7" s="1"/>
  <c r="AL139" i="7"/>
  <c r="E190" i="8"/>
  <c r="E191" i="8"/>
  <c r="E192" i="8"/>
  <c r="E189" i="8"/>
  <c r="E188" i="8"/>
  <c r="AI163" i="7"/>
  <c r="AI164" i="7" s="1"/>
  <c r="AI165" i="7" s="1"/>
  <c r="AI207" i="7"/>
  <c r="AI208" i="7" s="1"/>
  <c r="Z137" i="7"/>
  <c r="Z138" i="7" s="1"/>
  <c r="AA133" i="7" s="1"/>
  <c r="AX62" i="7"/>
  <c r="AX46" i="7"/>
  <c r="AX89" i="7" s="1"/>
  <c r="AX71" i="7"/>
  <c r="AX55" i="7"/>
  <c r="AX98" i="7" s="1"/>
  <c r="AX61" i="7"/>
  <c r="AX45" i="7"/>
  <c r="AX88" i="7" s="1"/>
  <c r="AX125" i="7"/>
  <c r="AX162" i="7" s="1"/>
  <c r="AX135" i="7"/>
  <c r="AX206" i="7" s="1"/>
  <c r="AV131" i="7"/>
  <c r="AW5" i="7"/>
  <c r="AV10" i="7"/>
  <c r="AV6" i="5"/>
  <c r="AP67" i="8"/>
  <c r="AP69" i="8" s="1"/>
  <c r="AN208" i="8"/>
  <c r="AN118" i="8"/>
  <c r="AN106" i="8"/>
  <c r="AO21" i="1"/>
  <c r="AN71" i="8"/>
  <c r="AX48" i="7"/>
  <c r="AX91" i="7" s="1"/>
  <c r="AX64" i="7"/>
  <c r="AX97" i="7"/>
  <c r="AV134" i="7"/>
  <c r="AV205" i="7" s="1"/>
  <c r="AQ313" i="8"/>
  <c r="AQ68" i="8"/>
  <c r="G68" i="8" s="1"/>
  <c r="AQ58" i="8"/>
  <c r="AR19" i="1"/>
  <c r="G54" i="8"/>
  <c r="G195" i="8"/>
  <c r="AX66" i="7"/>
  <c r="AX50" i="7"/>
  <c r="AX93" i="7" s="1"/>
  <c r="AV110" i="7"/>
  <c r="AV117" i="7"/>
  <c r="AV204" i="7" s="1"/>
  <c r="G312" i="8"/>
  <c r="G328" i="8" s="1"/>
  <c r="AX67" i="7"/>
  <c r="AX51" i="7"/>
  <c r="AX94" i="7" s="1"/>
  <c r="AX69" i="7"/>
  <c r="AX53" i="7"/>
  <c r="AX96" i="7" s="1"/>
  <c r="AO314" i="8"/>
  <c r="AO315" i="8" s="1"/>
  <c r="AP20" i="1"/>
  <c r="AO72" i="8"/>
  <c r="AO70" i="8"/>
  <c r="AU124" i="7"/>
  <c r="AU161" i="7" s="1"/>
  <c r="AU134" i="7"/>
  <c r="AU205" i="7" s="1"/>
  <c r="AL129" i="7"/>
  <c r="G360" i="8"/>
  <c r="L369" i="8"/>
  <c r="L77" i="8" s="1"/>
  <c r="I369" i="8"/>
  <c r="I77" i="8" s="1"/>
  <c r="I368" i="8"/>
  <c r="J369" i="8"/>
  <c r="J77" i="8" s="1"/>
  <c r="H368" i="8"/>
  <c r="H369" i="8"/>
  <c r="J368" i="8"/>
  <c r="K369" i="8"/>
  <c r="K77" i="8" s="1"/>
  <c r="K368" i="8"/>
  <c r="L368" i="8"/>
  <c r="M368" i="8"/>
  <c r="M369" i="8"/>
  <c r="M77" i="8" s="1"/>
  <c r="N369" i="8"/>
  <c r="N77" i="8" s="1"/>
  <c r="N368" i="8"/>
  <c r="O368" i="8"/>
  <c r="O369" i="8"/>
  <c r="O77" i="8" s="1"/>
  <c r="P369" i="8"/>
  <c r="P77" i="8" s="1"/>
  <c r="P368" i="8"/>
  <c r="Q368" i="8"/>
  <c r="Q369" i="8"/>
  <c r="Q77" i="8" s="1"/>
  <c r="R368" i="8"/>
  <c r="R369" i="8"/>
  <c r="R77" i="8" s="1"/>
  <c r="S369" i="8"/>
  <c r="S77" i="8" s="1"/>
  <c r="S368" i="8"/>
  <c r="T369" i="8"/>
  <c r="T77" i="8" s="1"/>
  <c r="T368" i="8"/>
  <c r="U368" i="8"/>
  <c r="U369" i="8"/>
  <c r="U77" i="8" s="1"/>
  <c r="V368" i="8"/>
  <c r="V369" i="8"/>
  <c r="V77" i="8" s="1"/>
  <c r="W369" i="8"/>
  <c r="W77" i="8" s="1"/>
  <c r="W368" i="8"/>
  <c r="X369" i="8"/>
  <c r="X77" i="8" s="1"/>
  <c r="X368" i="8"/>
  <c r="Y368" i="8"/>
  <c r="Y369" i="8"/>
  <c r="Y77" i="8" s="1"/>
  <c r="Z369" i="8"/>
  <c r="Z77" i="8" s="1"/>
  <c r="Z368" i="8"/>
  <c r="AA369" i="8"/>
  <c r="AA77" i="8" s="1"/>
  <c r="AA368" i="8"/>
  <c r="AB368" i="8"/>
  <c r="AB369" i="8"/>
  <c r="AB77" i="8" s="1"/>
  <c r="AC368" i="8"/>
  <c r="AC369" i="8"/>
  <c r="AC77" i="8" s="1"/>
  <c r="AD368" i="8"/>
  <c r="AD369" i="8"/>
  <c r="AD77" i="8" s="1"/>
  <c r="AE368" i="8"/>
  <c r="AE369" i="8"/>
  <c r="AE77" i="8" s="1"/>
  <c r="AF369" i="8"/>
  <c r="AF77" i="8" s="1"/>
  <c r="AF368" i="8"/>
  <c r="AG368" i="8"/>
  <c r="AG369" i="8"/>
  <c r="AG77" i="8" s="1"/>
  <c r="AH368" i="8"/>
  <c r="AH369" i="8"/>
  <c r="AH77" i="8" s="1"/>
  <c r="AI368" i="8"/>
  <c r="AI369" i="8"/>
  <c r="AI77" i="8" s="1"/>
  <c r="AJ368" i="8"/>
  <c r="AJ369" i="8"/>
  <c r="AJ77" i="8" s="1"/>
  <c r="AK369" i="8"/>
  <c r="AK77" i="8" s="1"/>
  <c r="AK368" i="8"/>
  <c r="AL369" i="8"/>
  <c r="AL77" i="8" s="1"/>
  <c r="AL368" i="8"/>
  <c r="AM368" i="8"/>
  <c r="AM369" i="8"/>
  <c r="AM77" i="8" s="1"/>
  <c r="AN369" i="8"/>
  <c r="AN77" i="8" s="1"/>
  <c r="AN368" i="8"/>
  <c r="AO369" i="8"/>
  <c r="AO77" i="8" s="1"/>
  <c r="AO368" i="8"/>
  <c r="AP369" i="8"/>
  <c r="AP77" i="8" s="1"/>
  <c r="AP368" i="8"/>
  <c r="AQ368" i="8"/>
  <c r="AQ369" i="8"/>
  <c r="AQ77" i="8" s="1"/>
  <c r="AW57" i="7" l="1"/>
  <c r="AF111" i="7"/>
  <c r="AF112" i="7" s="1"/>
  <c r="AG206" i="8"/>
  <c r="AG116" i="8"/>
  <c r="AH25" i="1"/>
  <c r="O206" i="8"/>
  <c r="O116" i="8"/>
  <c r="P25" i="1"/>
  <c r="AA206" i="8"/>
  <c r="AA116" i="8"/>
  <c r="AB25" i="1"/>
  <c r="I116" i="8"/>
  <c r="I206" i="8"/>
  <c r="J25" i="1"/>
  <c r="AA136" i="7"/>
  <c r="AA137" i="7" s="1"/>
  <c r="AF206" i="8"/>
  <c r="AF116" i="8"/>
  <c r="AG25" i="1"/>
  <c r="N206" i="8"/>
  <c r="N116" i="8"/>
  <c r="O25" i="1"/>
  <c r="AE206" i="8"/>
  <c r="AE116" i="8"/>
  <c r="AF25" i="1"/>
  <c r="M206" i="8"/>
  <c r="M116" i="8"/>
  <c r="N25" i="1"/>
  <c r="AK206" i="8"/>
  <c r="AK116" i="8"/>
  <c r="AL25" i="1"/>
  <c r="S206" i="8"/>
  <c r="S116" i="8"/>
  <c r="T25" i="1"/>
  <c r="AJ206" i="8"/>
  <c r="AJ116" i="8"/>
  <c r="AK25" i="1"/>
  <c r="AD206" i="8"/>
  <c r="AD116" i="8"/>
  <c r="AE25" i="1"/>
  <c r="R206" i="8"/>
  <c r="R116" i="8"/>
  <c r="S25" i="1"/>
  <c r="AP206" i="8"/>
  <c r="AP116" i="8"/>
  <c r="AQ25" i="1"/>
  <c r="X206" i="8"/>
  <c r="X116" i="8"/>
  <c r="Y25" i="1"/>
  <c r="U116" i="8"/>
  <c r="U206" i="8"/>
  <c r="V25" i="1"/>
  <c r="T206" i="8"/>
  <c r="T116" i="8"/>
  <c r="U25" i="1"/>
  <c r="W116" i="8"/>
  <c r="W206" i="8"/>
  <c r="X25" i="1"/>
  <c r="AM206" i="8"/>
  <c r="AM116" i="8"/>
  <c r="AN25" i="1"/>
  <c r="J206" i="8"/>
  <c r="J116" i="8"/>
  <c r="K25" i="1"/>
  <c r="AL206" i="8"/>
  <c r="AL116" i="8"/>
  <c r="AM25" i="1"/>
  <c r="Z206" i="8"/>
  <c r="Z116" i="8"/>
  <c r="AA25" i="1"/>
  <c r="L206" i="8"/>
  <c r="L116" i="8"/>
  <c r="M25" i="1"/>
  <c r="AQ206" i="8"/>
  <c r="AQ116" i="8"/>
  <c r="AR25" i="1"/>
  <c r="Y206" i="8"/>
  <c r="Y116" i="8"/>
  <c r="Z25" i="1"/>
  <c r="AI206" i="8"/>
  <c r="AI116" i="8"/>
  <c r="AJ25" i="1"/>
  <c r="AC206" i="8"/>
  <c r="AC116" i="8"/>
  <c r="AD25" i="1"/>
  <c r="Q206" i="8"/>
  <c r="Q116" i="8"/>
  <c r="R25" i="1"/>
  <c r="K206" i="8"/>
  <c r="K116" i="8"/>
  <c r="L25" i="1"/>
  <c r="AO116" i="8"/>
  <c r="AO206" i="8"/>
  <c r="AP25" i="1"/>
  <c r="AH206" i="8"/>
  <c r="AH116" i="8"/>
  <c r="AI25" i="1"/>
  <c r="AB206" i="8"/>
  <c r="AB116" i="8"/>
  <c r="AC25" i="1"/>
  <c r="V116" i="8"/>
  <c r="V206" i="8"/>
  <c r="W25" i="1"/>
  <c r="AO12" i="1"/>
  <c r="AY70" i="7"/>
  <c r="AY54" i="7"/>
  <c r="AY97" i="7" s="1"/>
  <c r="AK200" i="7"/>
  <c r="AK201" i="7" s="1"/>
  <c r="AL198" i="7" s="1"/>
  <c r="Z126" i="7"/>
  <c r="Z127" i="7" s="1"/>
  <c r="AR11" i="1"/>
  <c r="G11" i="1" s="1"/>
  <c r="E19" i="1"/>
  <c r="P206" i="8"/>
  <c r="P116" i="8"/>
  <c r="Q25" i="1"/>
  <c r="AY47" i="7"/>
  <c r="AY90" i="7" s="1"/>
  <c r="AY63" i="7"/>
  <c r="AY19" i="7"/>
  <c r="H365" i="8"/>
  <c r="G58" i="8"/>
  <c r="AQ67" i="8"/>
  <c r="G67" i="8" s="1"/>
  <c r="AY61" i="7"/>
  <c r="AY45" i="7"/>
  <c r="AY88" i="7" s="1"/>
  <c r="AY51" i="7"/>
  <c r="AY94" i="7" s="1"/>
  <c r="AY67" i="7"/>
  <c r="AU199" i="7"/>
  <c r="AC83" i="7"/>
  <c r="AC84" i="7" s="1"/>
  <c r="AD81" i="7" s="1"/>
  <c r="AN206" i="8"/>
  <c r="AN116" i="8"/>
  <c r="AO25" i="1"/>
  <c r="AM139" i="7"/>
  <c r="AY50" i="7"/>
  <c r="AY93" i="7" s="1"/>
  <c r="AY66" i="7"/>
  <c r="AY55" i="7"/>
  <c r="AY98" i="7" s="1"/>
  <c r="AY71" i="7"/>
  <c r="AW110" i="7"/>
  <c r="AW117" i="7"/>
  <c r="AW204" i="7" s="1"/>
  <c r="G152" i="8"/>
  <c r="G49" i="8"/>
  <c r="G153" i="8" s="1"/>
  <c r="AY46" i="7"/>
  <c r="AY89" i="7" s="1"/>
  <c r="AY62" i="7"/>
  <c r="AY60" i="7"/>
  <c r="AY40" i="7"/>
  <c r="AY41" i="7" s="1"/>
  <c r="AY44" i="7"/>
  <c r="AW103" i="7"/>
  <c r="AH119" i="7"/>
  <c r="AH120" i="7" s="1"/>
  <c r="AI116" i="7" s="1"/>
  <c r="AM129" i="7"/>
  <c r="AP314" i="8"/>
  <c r="AP315" i="8" s="1"/>
  <c r="AQ20" i="1"/>
  <c r="AP72" i="8"/>
  <c r="AP70" i="8"/>
  <c r="AY64" i="7"/>
  <c r="AY48" i="7"/>
  <c r="AY91" i="7" s="1"/>
  <c r="AX72" i="7"/>
  <c r="AX74" i="7" s="1"/>
  <c r="AY52" i="7"/>
  <c r="AY95" i="7" s="1"/>
  <c r="AY68" i="7"/>
  <c r="AX102" i="7"/>
  <c r="AX56" i="7"/>
  <c r="G369" i="8"/>
  <c r="AO208" i="8"/>
  <c r="AO118" i="8"/>
  <c r="AO106" i="8"/>
  <c r="AP21" i="1"/>
  <c r="AO71" i="8"/>
  <c r="G368" i="8"/>
  <c r="AV160" i="7"/>
  <c r="AV199" i="7"/>
  <c r="AX99" i="7"/>
  <c r="AW131" i="7"/>
  <c r="AW10" i="7"/>
  <c r="AX5" i="7"/>
  <c r="AW6" i="5"/>
  <c r="H77" i="8"/>
  <c r="AZ158" i="7"/>
  <c r="AZ159" i="7"/>
  <c r="AZ38" i="7"/>
  <c r="AZ34" i="7"/>
  <c r="AZ30" i="7"/>
  <c r="AZ7" i="7"/>
  <c r="AZ18" i="7"/>
  <c r="AZ15" i="7"/>
  <c r="AZ17" i="7"/>
  <c r="AZ12" i="7"/>
  <c r="AZ31" i="7"/>
  <c r="AZ29" i="7"/>
  <c r="AZ28" i="7"/>
  <c r="AZ16" i="7"/>
  <c r="AZ35" i="7"/>
  <c r="AZ33" i="7"/>
  <c r="AZ32" i="7"/>
  <c r="AZ39" i="7"/>
  <c r="AZ37" i="7"/>
  <c r="AZ36" i="7"/>
  <c r="AZ9" i="7"/>
  <c r="AZ8" i="7"/>
  <c r="AZ6" i="7"/>
  <c r="AZ13" i="7"/>
  <c r="AZ5" i="5"/>
  <c r="AZ14" i="7"/>
  <c r="BA4" i="7"/>
  <c r="AZ20" i="7"/>
  <c r="AB23" i="7"/>
  <c r="AB24" i="7" s="1"/>
  <c r="AY69" i="7"/>
  <c r="AY53" i="7"/>
  <c r="AY96" i="7" s="1"/>
  <c r="AY125" i="7"/>
  <c r="AY162" i="7" s="1"/>
  <c r="AY135" i="7"/>
  <c r="AY206" i="7" s="1"/>
  <c r="AK79" i="7"/>
  <c r="AK75" i="7"/>
  <c r="AK76" i="7" s="1"/>
  <c r="AL73" i="7" s="1"/>
  <c r="AY65" i="7"/>
  <c r="AY49" i="7"/>
  <c r="AY92" i="7" s="1"/>
  <c r="AJ163" i="7"/>
  <c r="AJ164" i="7" s="1"/>
  <c r="AJ207" i="7"/>
  <c r="AJ208" i="7" s="1"/>
  <c r="AX103" i="7" l="1"/>
  <c r="AX134" i="7" s="1"/>
  <c r="AX205" i="7" s="1"/>
  <c r="AF113" i="7"/>
  <c r="AG109" i="7" s="1"/>
  <c r="AC22" i="7"/>
  <c r="AB25" i="7"/>
  <c r="AL79" i="7"/>
  <c r="AL75" i="7"/>
  <c r="AL76" i="7" s="1"/>
  <c r="AM73" i="7" s="1"/>
  <c r="AI118" i="7"/>
  <c r="AI119" i="7" s="1"/>
  <c r="AI120" i="7" s="1"/>
  <c r="AJ116" i="7" s="1"/>
  <c r="AJ165" i="7"/>
  <c r="AY102" i="7"/>
  <c r="AY56" i="7"/>
  <c r="AZ68" i="7"/>
  <c r="AZ52" i="7"/>
  <c r="AZ95" i="7" s="1"/>
  <c r="AY72" i="7"/>
  <c r="AY74" i="7" s="1"/>
  <c r="G19" i="1"/>
  <c r="F19" i="1"/>
  <c r="AZ69" i="7"/>
  <c r="AZ53" i="7"/>
  <c r="AZ96" i="7" s="1"/>
  <c r="AN139" i="7"/>
  <c r="AZ125" i="7"/>
  <c r="AZ162" i="7" s="1"/>
  <c r="AZ135" i="7"/>
  <c r="AZ206" i="7" s="1"/>
  <c r="AZ71" i="7"/>
  <c r="AZ55" i="7"/>
  <c r="AZ98" i="7" s="1"/>
  <c r="AP208" i="8"/>
  <c r="AP118" i="8"/>
  <c r="AP106" i="8"/>
  <c r="AQ21" i="1"/>
  <c r="AP71" i="8"/>
  <c r="AQ69" i="8"/>
  <c r="H83" i="8"/>
  <c r="H84" i="8" s="1"/>
  <c r="I76" i="8" s="1"/>
  <c r="Z130" i="7"/>
  <c r="AA140" i="7"/>
  <c r="AZ62" i="7"/>
  <c r="AZ46" i="7"/>
  <c r="AZ89" i="7" s="1"/>
  <c r="AK163" i="7"/>
  <c r="AK164" i="7" s="1"/>
  <c r="AK207" i="7"/>
  <c r="AK208" i="7" s="1"/>
  <c r="BA158" i="7"/>
  <c r="BA159" i="7"/>
  <c r="BA18" i="7"/>
  <c r="BA15" i="7"/>
  <c r="BA6" i="7"/>
  <c r="BA17" i="7"/>
  <c r="BA12" i="7"/>
  <c r="BA14" i="7"/>
  <c r="BA31" i="7"/>
  <c r="BA30" i="7"/>
  <c r="BA29" i="7"/>
  <c r="BA28" i="7"/>
  <c r="BA16" i="7"/>
  <c r="BA35" i="7"/>
  <c r="BA34" i="7"/>
  <c r="BA33" i="7"/>
  <c r="BA32" i="7"/>
  <c r="BA39" i="7"/>
  <c r="BA38" i="7"/>
  <c r="BA37" i="7"/>
  <c r="BA36" i="7"/>
  <c r="BA9" i="7"/>
  <c r="BA13" i="7"/>
  <c r="BA7" i="7"/>
  <c r="BA5" i="5"/>
  <c r="BB4" i="7"/>
  <c r="BA8" i="7"/>
  <c r="BA20" i="7"/>
  <c r="AZ67" i="7"/>
  <c r="AZ51" i="7"/>
  <c r="AZ94" i="7" s="1"/>
  <c r="AZ54" i="7"/>
  <c r="AZ97" i="7" s="1"/>
  <c r="AZ70" i="7"/>
  <c r="AZ19" i="7"/>
  <c r="Z128" i="7"/>
  <c r="AA123" i="7" s="1"/>
  <c r="AD82" i="7"/>
  <c r="AA138" i="7"/>
  <c r="AB133" i="7" s="1"/>
  <c r="E184" i="8"/>
  <c r="E183" i="8"/>
  <c r="E178" i="8"/>
  <c r="E181" i="8"/>
  <c r="E179" i="8"/>
  <c r="E182" i="8"/>
  <c r="E180" i="8"/>
  <c r="AZ40" i="7"/>
  <c r="AZ41" i="7" s="1"/>
  <c r="AZ60" i="7"/>
  <c r="AZ44" i="7"/>
  <c r="AZ87" i="7" s="1"/>
  <c r="AX131" i="7"/>
  <c r="AY5" i="7"/>
  <c r="AX10" i="7"/>
  <c r="AX6" i="5"/>
  <c r="AN129" i="7"/>
  <c r="AW160" i="7"/>
  <c r="AL200" i="7"/>
  <c r="AL201" i="7" s="1"/>
  <c r="AM198" i="7" s="1"/>
  <c r="AZ64" i="7"/>
  <c r="AZ48" i="7"/>
  <c r="AZ91" i="7" s="1"/>
  <c r="AZ65" i="7"/>
  <c r="AZ49" i="7"/>
  <c r="AZ92" i="7" s="1"/>
  <c r="AP12" i="1"/>
  <c r="AZ61" i="7"/>
  <c r="AZ45" i="7"/>
  <c r="AZ88" i="7" s="1"/>
  <c r="H206" i="8"/>
  <c r="H116" i="8"/>
  <c r="G116" i="8" s="1"/>
  <c r="G77" i="8"/>
  <c r="H85" i="8"/>
  <c r="I25" i="1"/>
  <c r="E25" i="1" s="1"/>
  <c r="AY87" i="7"/>
  <c r="AY99" i="7" s="1"/>
  <c r="AX110" i="7"/>
  <c r="AX117" i="7"/>
  <c r="AX204" i="7" s="1"/>
  <c r="AX57" i="7"/>
  <c r="AZ50" i="7"/>
  <c r="AZ93" i="7" s="1"/>
  <c r="AZ66" i="7"/>
  <c r="AZ63" i="7"/>
  <c r="AZ47" i="7"/>
  <c r="AZ90" i="7" s="1"/>
  <c r="AW124" i="7"/>
  <c r="AW161" i="7" s="1"/>
  <c r="AW134" i="7"/>
  <c r="AW205" i="7" s="1"/>
  <c r="AX124" i="7" l="1"/>
  <c r="AX161" i="7" s="1"/>
  <c r="AY57" i="7"/>
  <c r="BA19" i="7"/>
  <c r="AG111" i="7"/>
  <c r="AG112" i="7" s="1"/>
  <c r="AG113" i="7" s="1"/>
  <c r="AH109" i="7" s="1"/>
  <c r="AZ99" i="7"/>
  <c r="AJ118" i="7"/>
  <c r="AJ119" i="7" s="1"/>
  <c r="AM79" i="7"/>
  <c r="AM75" i="7"/>
  <c r="AM76" i="7" s="1"/>
  <c r="AN73" i="7" s="1"/>
  <c r="G25" i="1"/>
  <c r="F25" i="1"/>
  <c r="AA126" i="7"/>
  <c r="AA130" i="7" s="1"/>
  <c r="BA61" i="7"/>
  <c r="BA45" i="7"/>
  <c r="BA88" i="7" s="1"/>
  <c r="AY103" i="7"/>
  <c r="I367" i="8"/>
  <c r="I85" i="8"/>
  <c r="I117" i="8" s="1"/>
  <c r="I365" i="8"/>
  <c r="BA62" i="7"/>
  <c r="BA46" i="7"/>
  <c r="BA89" i="7" s="1"/>
  <c r="AY110" i="7"/>
  <c r="AY117" i="7"/>
  <c r="AY204" i="7" s="1"/>
  <c r="H117" i="8"/>
  <c r="BA68" i="7"/>
  <c r="BA52" i="7"/>
  <c r="BA95" i="7" s="1"/>
  <c r="BA63" i="7"/>
  <c r="BA47" i="7"/>
  <c r="BA90" i="7" s="1"/>
  <c r="AK165" i="7"/>
  <c r="AB136" i="7"/>
  <c r="BA53" i="7"/>
  <c r="BA96" i="7" s="1"/>
  <c r="BA69" i="7"/>
  <c r="BA70" i="7"/>
  <c r="BA54" i="7"/>
  <c r="BA97" i="7" s="1"/>
  <c r="H86" i="8"/>
  <c r="AC23" i="7"/>
  <c r="AC24" i="7" s="1"/>
  <c r="AL163" i="7"/>
  <c r="AL164" i="7" s="1"/>
  <c r="AL207" i="7"/>
  <c r="AL208" i="7" s="1"/>
  <c r="BA64" i="7"/>
  <c r="BA48" i="7"/>
  <c r="BA91" i="7" s="1"/>
  <c r="AY131" i="7"/>
  <c r="AY10" i="7"/>
  <c r="AZ5" i="7"/>
  <c r="AY6" i="5"/>
  <c r="BA65" i="7"/>
  <c r="BA49" i="7"/>
  <c r="BA92" i="7" s="1"/>
  <c r="AX199" i="7"/>
  <c r="AX160" i="7"/>
  <c r="AD83" i="7"/>
  <c r="AD84" i="7" s="1"/>
  <c r="AE81" i="7" s="1"/>
  <c r="BA50" i="7"/>
  <c r="BA93" i="7" s="1"/>
  <c r="BA66" i="7"/>
  <c r="BA125" i="7"/>
  <c r="BA162" i="7" s="1"/>
  <c r="BA135" i="7"/>
  <c r="BA206" i="7" s="1"/>
  <c r="AO139" i="7"/>
  <c r="BA55" i="7"/>
  <c r="BA98" i="7" s="1"/>
  <c r="BA71" i="7"/>
  <c r="AM200" i="7"/>
  <c r="AM201" i="7" s="1"/>
  <c r="AN198" i="7" s="1"/>
  <c r="BB159" i="7"/>
  <c r="BB158" i="7"/>
  <c r="BB39" i="7"/>
  <c r="BB35" i="7"/>
  <c r="BB31" i="7"/>
  <c r="BB38" i="7"/>
  <c r="BB34" i="7"/>
  <c r="BB30" i="7"/>
  <c r="BC4" i="7"/>
  <c r="BB17" i="7"/>
  <c r="BB12" i="7"/>
  <c r="BB14" i="7"/>
  <c r="BB5" i="5"/>
  <c r="BB33" i="7"/>
  <c r="BB32" i="7"/>
  <c r="BB37" i="7"/>
  <c r="BB36" i="7"/>
  <c r="BB13" i="7"/>
  <c r="BB8" i="7"/>
  <c r="BB18" i="7"/>
  <c r="BB19" i="7" s="1"/>
  <c r="BB15" i="7"/>
  <c r="BB28" i="7"/>
  <c r="BB6" i="7"/>
  <c r="BB9" i="7"/>
  <c r="BB7" i="7"/>
  <c r="BB29" i="7"/>
  <c r="BB16" i="7"/>
  <c r="BB20" i="7"/>
  <c r="BA67" i="7"/>
  <c r="BA51" i="7"/>
  <c r="BA94" i="7" s="1"/>
  <c r="AQ314" i="8"/>
  <c r="AR20" i="1"/>
  <c r="E20" i="1" s="1"/>
  <c r="G69" i="8"/>
  <c r="AQ70" i="8"/>
  <c r="G206" i="8"/>
  <c r="AZ102" i="7"/>
  <c r="AZ56" i="7"/>
  <c r="AO129" i="7"/>
  <c r="AW199" i="7"/>
  <c r="AZ72" i="7"/>
  <c r="AZ74" i="7" s="1"/>
  <c r="BA60" i="7"/>
  <c r="BA44" i="7"/>
  <c r="BA40" i="7"/>
  <c r="BA41" i="7" s="1"/>
  <c r="AQ12" i="1"/>
  <c r="BA72" i="7" l="1"/>
  <c r="BA74" i="7" s="1"/>
  <c r="AL165" i="7"/>
  <c r="AJ120" i="7"/>
  <c r="AK116" i="7" s="1"/>
  <c r="AH111" i="7"/>
  <c r="AH112" i="7" s="1"/>
  <c r="AE82" i="7"/>
  <c r="AE83" i="7" s="1"/>
  <c r="AE84" i="7" s="1"/>
  <c r="AF81" i="7" s="1"/>
  <c r="AN200" i="7"/>
  <c r="AN201" i="7" s="1"/>
  <c r="AO198" i="7" s="1"/>
  <c r="AN79" i="7"/>
  <c r="AN75" i="7"/>
  <c r="AN76" i="7" s="1"/>
  <c r="AO73" i="7" s="1"/>
  <c r="AK118" i="7"/>
  <c r="AD22" i="7"/>
  <c r="AC25" i="7"/>
  <c r="BB54" i="7"/>
  <c r="BB97" i="7" s="1"/>
  <c r="BB70" i="7"/>
  <c r="BB64" i="7"/>
  <c r="BB48" i="7"/>
  <c r="BB91" i="7" s="1"/>
  <c r="BA102" i="7"/>
  <c r="BA56" i="7"/>
  <c r="I83" i="8"/>
  <c r="BB69" i="7"/>
  <c r="BB53" i="7"/>
  <c r="BB96" i="7" s="1"/>
  <c r="AY124" i="7"/>
  <c r="AY161" i="7" s="1"/>
  <c r="AY134" i="7"/>
  <c r="AY205" i="7" s="1"/>
  <c r="G314" i="8"/>
  <c r="AQ315" i="8"/>
  <c r="AP129" i="7"/>
  <c r="AZ110" i="7"/>
  <c r="AZ117" i="7"/>
  <c r="AZ204" i="7" s="1"/>
  <c r="BB50" i="7"/>
  <c r="BB93" i="7" s="1"/>
  <c r="BB66" i="7"/>
  <c r="AP139" i="7"/>
  <c r="BB68" i="7"/>
  <c r="BB52" i="7"/>
  <c r="BB95" i="7" s="1"/>
  <c r="AZ103" i="7"/>
  <c r="I87" i="8"/>
  <c r="BB45" i="7"/>
  <c r="BB88" i="7" s="1"/>
  <c r="BB61" i="7"/>
  <c r="BB49" i="7"/>
  <c r="BB92" i="7" s="1"/>
  <c r="BB65" i="7"/>
  <c r="AM163" i="7"/>
  <c r="AM164" i="7" s="1"/>
  <c r="AM207" i="7"/>
  <c r="AM208" i="7" s="1"/>
  <c r="AA127" i="7"/>
  <c r="AA128" i="7" s="1"/>
  <c r="AB123" i="7" s="1"/>
  <c r="AB140" i="7"/>
  <c r="AZ131" i="7"/>
  <c r="AZ10" i="7"/>
  <c r="BA5" i="7"/>
  <c r="AZ6" i="5"/>
  <c r="BB63" i="7"/>
  <c r="BB47" i="7"/>
  <c r="BB90" i="7" s="1"/>
  <c r="BA87" i="7"/>
  <c r="BA99" i="7" s="1"/>
  <c r="BB67" i="7"/>
  <c r="BB51" i="7"/>
  <c r="BB94" i="7" s="1"/>
  <c r="AZ57" i="7"/>
  <c r="H207" i="8"/>
  <c r="I17" i="1"/>
  <c r="I207" i="8"/>
  <c r="J17" i="1"/>
  <c r="BB71" i="7"/>
  <c r="BB55" i="7"/>
  <c r="BB98" i="7" s="1"/>
  <c r="AQ208" i="8"/>
  <c r="AQ118" i="8"/>
  <c r="G118" i="8" s="1"/>
  <c r="AQ106" i="8"/>
  <c r="G106" i="8" s="1"/>
  <c r="AR21" i="1"/>
  <c r="G70" i="8"/>
  <c r="AQ71" i="8"/>
  <c r="BB60" i="7"/>
  <c r="BB44" i="7"/>
  <c r="BB87" i="7" s="1"/>
  <c r="BB40" i="7"/>
  <c r="BB41" i="7" s="1"/>
  <c r="BC159" i="7"/>
  <c r="BC158" i="7"/>
  <c r="BC37" i="7"/>
  <c r="BC33" i="7"/>
  <c r="BC29" i="7"/>
  <c r="BC17" i="7"/>
  <c r="BC14" i="7"/>
  <c r="BC5" i="5"/>
  <c r="BC28" i="7"/>
  <c r="BC16" i="7"/>
  <c r="BC36" i="7"/>
  <c r="BC35" i="7"/>
  <c r="BC34" i="7"/>
  <c r="BC39" i="7"/>
  <c r="BC38" i="7"/>
  <c r="BC13" i="7"/>
  <c r="BC7" i="7"/>
  <c r="BC18" i="7"/>
  <c r="BC19" i="7" s="1"/>
  <c r="BC15" i="7"/>
  <c r="BC6" i="7"/>
  <c r="BC32" i="7"/>
  <c r="BD4" i="7"/>
  <c r="BC8" i="7"/>
  <c r="BC31" i="7"/>
  <c r="BC12" i="7"/>
  <c r="BC9" i="7"/>
  <c r="BC30" i="7"/>
  <c r="BC20" i="7"/>
  <c r="AB137" i="7"/>
  <c r="AB138" i="7" s="1"/>
  <c r="AC133" i="7" s="1"/>
  <c r="H119" i="8"/>
  <c r="H320" i="8"/>
  <c r="H264" i="8"/>
  <c r="H299" i="8"/>
  <c r="H306" i="8"/>
  <c r="H285" i="8"/>
  <c r="H278" i="8"/>
  <c r="H271" i="8"/>
  <c r="H292" i="8"/>
  <c r="H126" i="8"/>
  <c r="F20" i="1"/>
  <c r="G20" i="1"/>
  <c r="BB125" i="7"/>
  <c r="BB162" i="7" s="1"/>
  <c r="BB135" i="7"/>
  <c r="BB206" i="7" s="1"/>
  <c r="BB46" i="7"/>
  <c r="BB89" i="7" s="1"/>
  <c r="BB62" i="7"/>
  <c r="AY160" i="7"/>
  <c r="AM165" i="7" l="1"/>
  <c r="AY199" i="7"/>
  <c r="BB72" i="7"/>
  <c r="BB74" i="7" s="1"/>
  <c r="BA57" i="7"/>
  <c r="BB99" i="7"/>
  <c r="AH113" i="7"/>
  <c r="AI109" i="7" s="1"/>
  <c r="AI111" i="7" s="1"/>
  <c r="AI112" i="7" s="1"/>
  <c r="AI113" i="7" s="1"/>
  <c r="AJ109" i="7" s="1"/>
  <c r="AJ111" i="7" s="1"/>
  <c r="AJ112" i="7" s="1"/>
  <c r="AJ113" i="7" s="1"/>
  <c r="AK109" i="7" s="1"/>
  <c r="AK111" i="7" s="1"/>
  <c r="AB126" i="7"/>
  <c r="AB130" i="7" s="1"/>
  <c r="AC136" i="7"/>
  <c r="AO200" i="7"/>
  <c r="AO201" i="7" s="1"/>
  <c r="AP198" i="7" s="1"/>
  <c r="AF82" i="7"/>
  <c r="BC53" i="7"/>
  <c r="BC96" i="7" s="1"/>
  <c r="BC69" i="7"/>
  <c r="AO79" i="7"/>
  <c r="AO75" i="7"/>
  <c r="AO76" i="7" s="1"/>
  <c r="AP73" i="7" s="1"/>
  <c r="AN163" i="7"/>
  <c r="AN164" i="7" s="1"/>
  <c r="AN207" i="7"/>
  <c r="AN208" i="7" s="1"/>
  <c r="BC66" i="7"/>
  <c r="BC50" i="7"/>
  <c r="BC93" i="7" s="1"/>
  <c r="AQ129" i="7"/>
  <c r="BC63" i="7"/>
  <c r="BC47" i="7"/>
  <c r="BC90" i="7" s="1"/>
  <c r="AZ124" i="7"/>
  <c r="AZ161" i="7" s="1"/>
  <c r="AZ134" i="7"/>
  <c r="AZ205" i="7" s="1"/>
  <c r="G315" i="8"/>
  <c r="AR12" i="1"/>
  <c r="G12" i="1" s="1"/>
  <c r="E21" i="1"/>
  <c r="BC54" i="7"/>
  <c r="BC97" i="7" s="1"/>
  <c r="BC70" i="7"/>
  <c r="BC67" i="7"/>
  <c r="BC51" i="7"/>
  <c r="BC94" i="7" s="1"/>
  <c r="AD23" i="7"/>
  <c r="AD24" i="7" s="1"/>
  <c r="BB102" i="7"/>
  <c r="BB56" i="7"/>
  <c r="BC68" i="7"/>
  <c r="BC52" i="7"/>
  <c r="BD159" i="7"/>
  <c r="BD158" i="7"/>
  <c r="BD12" i="7"/>
  <c r="BD14" i="7"/>
  <c r="BD28" i="7"/>
  <c r="BD16" i="7"/>
  <c r="BD32" i="7"/>
  <c r="BD31" i="7"/>
  <c r="BD30" i="7"/>
  <c r="BD29" i="7"/>
  <c r="BD39" i="7"/>
  <c r="BD38" i="7"/>
  <c r="BD37" i="7"/>
  <c r="BD13" i="7"/>
  <c r="BD18" i="7"/>
  <c r="BD15" i="7"/>
  <c r="BD6" i="7"/>
  <c r="BD17" i="7"/>
  <c r="BD33" i="7"/>
  <c r="BD35" i="7"/>
  <c r="BD9" i="7"/>
  <c r="BD34" i="7"/>
  <c r="BE4" i="7"/>
  <c r="BD5" i="5"/>
  <c r="BD8" i="7"/>
  <c r="BD36" i="7"/>
  <c r="BD7" i="7"/>
  <c r="BD20" i="7"/>
  <c r="BC64" i="7"/>
  <c r="BC48" i="7"/>
  <c r="BC91" i="7" s="1"/>
  <c r="BC60" i="7"/>
  <c r="BC44" i="7"/>
  <c r="BC87" i="7" s="1"/>
  <c r="BC40" i="7"/>
  <c r="BC41" i="7" s="1"/>
  <c r="AK119" i="7"/>
  <c r="AK120" i="7" s="1"/>
  <c r="AL116" i="7" s="1"/>
  <c r="BC62" i="7"/>
  <c r="BC46" i="7"/>
  <c r="BC89" i="7" s="1"/>
  <c r="BC71" i="7"/>
  <c r="BC55" i="7"/>
  <c r="BC98" i="7" s="1"/>
  <c r="E83" i="2"/>
  <c r="G71" i="8"/>
  <c r="G154" i="8" s="1"/>
  <c r="AQ139" i="7"/>
  <c r="H209" i="8"/>
  <c r="I26" i="1"/>
  <c r="BC125" i="7"/>
  <c r="BC162" i="7" s="1"/>
  <c r="BC135" i="7"/>
  <c r="BC206" i="7" s="1"/>
  <c r="I86" i="8"/>
  <c r="I84" i="8"/>
  <c r="J76" i="8" s="1"/>
  <c r="BC95" i="7"/>
  <c r="BC61" i="7"/>
  <c r="BC45" i="7"/>
  <c r="BC88" i="7" s="1"/>
  <c r="G208" i="8"/>
  <c r="BA103" i="7"/>
  <c r="BC49" i="7"/>
  <c r="BC92" i="7" s="1"/>
  <c r="BC65" i="7"/>
  <c r="BA131" i="7"/>
  <c r="BB5" i="7"/>
  <c r="BA6" i="5"/>
  <c r="BA10" i="7"/>
  <c r="AZ160" i="7"/>
  <c r="BA110" i="7"/>
  <c r="BA117" i="7"/>
  <c r="BA204" i="7" s="1"/>
  <c r="AN165" i="7" l="1"/>
  <c r="AK112" i="7"/>
  <c r="AK113" i="7" s="1"/>
  <c r="AL109" i="7" s="1"/>
  <c r="BC72" i="7"/>
  <c r="BC74" i="7" s="1"/>
  <c r="AB127" i="7"/>
  <c r="AB128" i="7" s="1"/>
  <c r="AC123" i="7" s="1"/>
  <c r="AC126" i="7" s="1"/>
  <c r="AC127" i="7" s="1"/>
  <c r="AC128" i="7" s="1"/>
  <c r="AD123" i="7" s="1"/>
  <c r="BB103" i="7"/>
  <c r="AZ199" i="7"/>
  <c r="AL118" i="7"/>
  <c r="AE22" i="7"/>
  <c r="AD25" i="7"/>
  <c r="AL111" i="7"/>
  <c r="AL112" i="7" s="1"/>
  <c r="AL113" i="7" s="1"/>
  <c r="AM109" i="7" s="1"/>
  <c r="BD63" i="7"/>
  <c r="BD47" i="7"/>
  <c r="BD90" i="7" s="1"/>
  <c r="G21" i="1"/>
  <c r="F21" i="1"/>
  <c r="AP79" i="7"/>
  <c r="AP75" i="7"/>
  <c r="AP76" i="7" s="1"/>
  <c r="AQ73" i="7" s="1"/>
  <c r="AC140" i="7"/>
  <c r="BD64" i="7"/>
  <c r="BD48" i="7"/>
  <c r="BD91" i="7" s="1"/>
  <c r="AO163" i="7"/>
  <c r="AO164" i="7" s="1"/>
  <c r="AO165" i="7" s="1"/>
  <c r="AO207" i="7"/>
  <c r="AO208" i="7" s="1"/>
  <c r="BB110" i="7"/>
  <c r="BB117" i="7"/>
  <c r="BB204" i="7" s="1"/>
  <c r="AR129" i="7"/>
  <c r="AC137" i="7"/>
  <c r="AC138" i="7" s="1"/>
  <c r="AD133" i="7" s="1"/>
  <c r="BD51" i="7"/>
  <c r="BD94" i="7" s="1"/>
  <c r="BD67" i="7"/>
  <c r="BD68" i="7"/>
  <c r="BD52" i="7"/>
  <c r="BD95" i="7" s="1"/>
  <c r="BB57" i="7"/>
  <c r="BD69" i="7"/>
  <c r="BD53" i="7"/>
  <c r="BD96" i="7" s="1"/>
  <c r="BD49" i="7"/>
  <c r="BD92" i="7" s="1"/>
  <c r="BD65" i="7"/>
  <c r="J367" i="8"/>
  <c r="J365" i="8"/>
  <c r="J85" i="8"/>
  <c r="BB131" i="7"/>
  <c r="BB6" i="5"/>
  <c r="BB10" i="7"/>
  <c r="BC5" i="7"/>
  <c r="BD70" i="7"/>
  <c r="BD54" i="7"/>
  <c r="BD97" i="7" s="1"/>
  <c r="AF83" i="7"/>
  <c r="AF84" i="7" s="1"/>
  <c r="AG81" i="7" s="1"/>
  <c r="BA124" i="7"/>
  <c r="BA161" i="7" s="1"/>
  <c r="BA134" i="7"/>
  <c r="BA205" i="7" s="1"/>
  <c r="BB124" i="7"/>
  <c r="BB161" i="7" s="1"/>
  <c r="BB134" i="7"/>
  <c r="BB205" i="7" s="1"/>
  <c r="BA160" i="7"/>
  <c r="BD125" i="7"/>
  <c r="BD162" i="7" s="1"/>
  <c r="BD135" i="7"/>
  <c r="BD206" i="7" s="1"/>
  <c r="BD19" i="7"/>
  <c r="BC99" i="7"/>
  <c r="I119" i="8"/>
  <c r="I292" i="8"/>
  <c r="I271" i="8"/>
  <c r="I285" i="8"/>
  <c r="I278" i="8"/>
  <c r="I306" i="8"/>
  <c r="I264" i="8"/>
  <c r="I126" i="8"/>
  <c r="I299" i="8"/>
  <c r="I320" i="8"/>
  <c r="BE159" i="7"/>
  <c r="BE158" i="7"/>
  <c r="BE38" i="7"/>
  <c r="BE34" i="7"/>
  <c r="BE30" i="7"/>
  <c r="BE37" i="7"/>
  <c r="BE33" i="7"/>
  <c r="BE29" i="7"/>
  <c r="BE14" i="7"/>
  <c r="BE28" i="7"/>
  <c r="BE16" i="7"/>
  <c r="BE32" i="7"/>
  <c r="BE31" i="7"/>
  <c r="BE36" i="7"/>
  <c r="BE35" i="7"/>
  <c r="BE9" i="7"/>
  <c r="BE18" i="7"/>
  <c r="BE15" i="7"/>
  <c r="BE17" i="7"/>
  <c r="BE7" i="7"/>
  <c r="BE13" i="7"/>
  <c r="BE39" i="7"/>
  <c r="BF4" i="7"/>
  <c r="BE5" i="5"/>
  <c r="BE8" i="7"/>
  <c r="BE12" i="7"/>
  <c r="BE6" i="7"/>
  <c r="BE20" i="7"/>
  <c r="BD71" i="7"/>
  <c r="BD55" i="7"/>
  <c r="BD98" i="7" s="1"/>
  <c r="BD50" i="7"/>
  <c r="BD93" i="7" s="1"/>
  <c r="BD66" i="7"/>
  <c r="BD61" i="7"/>
  <c r="BD45" i="7"/>
  <c r="BD88" i="7" s="1"/>
  <c r="BD60" i="7"/>
  <c r="BD40" i="7"/>
  <c r="BD41" i="7" s="1"/>
  <c r="BD44" i="7"/>
  <c r="BD87" i="7" s="1"/>
  <c r="AR139" i="7"/>
  <c r="BC102" i="7"/>
  <c r="BC56" i="7"/>
  <c r="BD62" i="7"/>
  <c r="BD46" i="7"/>
  <c r="BD89" i="7" s="1"/>
  <c r="AP200" i="7"/>
  <c r="AP201" i="7" s="1"/>
  <c r="AQ198" i="7" s="1"/>
  <c r="AD126" i="7" l="1"/>
  <c r="AD127" i="7" s="1"/>
  <c r="AD128" i="7" s="1"/>
  <c r="AE123" i="7" s="1"/>
  <c r="AM111" i="7"/>
  <c r="AM112" i="7" s="1"/>
  <c r="AG82" i="7"/>
  <c r="AQ200" i="7"/>
  <c r="AQ201" i="7" s="1"/>
  <c r="AR198" i="7" s="1"/>
  <c r="AQ79" i="7"/>
  <c r="AQ75" i="7"/>
  <c r="AQ76" i="7" s="1"/>
  <c r="AR73" i="7" s="1"/>
  <c r="BC57" i="7"/>
  <c r="AD136" i="7"/>
  <c r="AD140" i="7" s="1"/>
  <c r="BC103" i="7"/>
  <c r="BE68" i="7"/>
  <c r="BE52" i="7"/>
  <c r="BE95" i="7" s="1"/>
  <c r="I209" i="8"/>
  <c r="J26" i="1"/>
  <c r="J117" i="8"/>
  <c r="J83" i="8"/>
  <c r="BE66" i="7"/>
  <c r="BE50" i="7"/>
  <c r="BE93" i="7" s="1"/>
  <c r="BE48" i="7"/>
  <c r="BE91" i="7" s="1"/>
  <c r="BE64" i="7"/>
  <c r="BE19" i="7"/>
  <c r="J87" i="8"/>
  <c r="AP163" i="7"/>
  <c r="AP164" i="7" s="1"/>
  <c r="AP207" i="7"/>
  <c r="AP208" i="7" s="1"/>
  <c r="BE67" i="7"/>
  <c r="BE51" i="7"/>
  <c r="BE94" i="7" s="1"/>
  <c r="BE63" i="7"/>
  <c r="BE47" i="7"/>
  <c r="BE90" i="7" s="1"/>
  <c r="AS139" i="7"/>
  <c r="BF159" i="7"/>
  <c r="BF158" i="7"/>
  <c r="BF36" i="7"/>
  <c r="BF32" i="7"/>
  <c r="BF28" i="7"/>
  <c r="BF14" i="7"/>
  <c r="BF16" i="7"/>
  <c r="BF31" i="7"/>
  <c r="BF35" i="7"/>
  <c r="BF30" i="7"/>
  <c r="BF29" i="7"/>
  <c r="BF9" i="7"/>
  <c r="BF39" i="7"/>
  <c r="BF34" i="7"/>
  <c r="BF33" i="7"/>
  <c r="BF13" i="7"/>
  <c r="BF8" i="7"/>
  <c r="BF18" i="7"/>
  <c r="BF15" i="7"/>
  <c r="BF17" i="7"/>
  <c r="BF12" i="7"/>
  <c r="BF38" i="7"/>
  <c r="BF7" i="7"/>
  <c r="BF37" i="7"/>
  <c r="BG4" i="7"/>
  <c r="BF5" i="5"/>
  <c r="BF6" i="7"/>
  <c r="BF20" i="7"/>
  <c r="BE44" i="7"/>
  <c r="BE87" i="7" s="1"/>
  <c r="BE60" i="7"/>
  <c r="BE40" i="7"/>
  <c r="BE41" i="7" s="1"/>
  <c r="BC131" i="7"/>
  <c r="BC10" i="7"/>
  <c r="BC6" i="5"/>
  <c r="BD5" i="7"/>
  <c r="BB199" i="7"/>
  <c r="BB160" i="7"/>
  <c r="BC110" i="7"/>
  <c r="BC117" i="7"/>
  <c r="BC204" i="7" s="1"/>
  <c r="BD102" i="7"/>
  <c r="BD56" i="7"/>
  <c r="BE45" i="7"/>
  <c r="BE88" i="7" s="1"/>
  <c r="BE61" i="7"/>
  <c r="BA199" i="7"/>
  <c r="AE23" i="7"/>
  <c r="AE24" i="7" s="1"/>
  <c r="BE70" i="7"/>
  <c r="BE54" i="7"/>
  <c r="BE97" i="7" s="1"/>
  <c r="BD99" i="7"/>
  <c r="AS129" i="7"/>
  <c r="BE71" i="7"/>
  <c r="BE55" i="7"/>
  <c r="BE98" i="7" s="1"/>
  <c r="BD72" i="7"/>
  <c r="BD74" i="7" s="1"/>
  <c r="BE49" i="7"/>
  <c r="BE92" i="7" s="1"/>
  <c r="BE65" i="7"/>
  <c r="AC130" i="7"/>
  <c r="AL119" i="7"/>
  <c r="AL120" i="7" s="1"/>
  <c r="AM116" i="7" s="1"/>
  <c r="BE53" i="7"/>
  <c r="BE96" i="7" s="1"/>
  <c r="BE69" i="7"/>
  <c r="BE125" i="7"/>
  <c r="BE162" i="7" s="1"/>
  <c r="BE135" i="7"/>
  <c r="BE206" i="7" s="1"/>
  <c r="BE62" i="7"/>
  <c r="BE46" i="7"/>
  <c r="BE89" i="7" s="1"/>
  <c r="AD137" i="7" l="1"/>
  <c r="AD138" i="7" s="1"/>
  <c r="AE133" i="7" s="1"/>
  <c r="BE72" i="7"/>
  <c r="BE74" i="7" s="1"/>
  <c r="AM113" i="7"/>
  <c r="AN109" i="7" s="1"/>
  <c r="AN111" i="7" s="1"/>
  <c r="AN112" i="7" s="1"/>
  <c r="AR79" i="7"/>
  <c r="AR75" i="7"/>
  <c r="AR76" i="7" s="1"/>
  <c r="AS73" i="7" s="1"/>
  <c r="AF22" i="7"/>
  <c r="AE25" i="7"/>
  <c r="AM118" i="7"/>
  <c r="AM119" i="7" s="1"/>
  <c r="AM120" i="7" s="1"/>
  <c r="AN116" i="7" s="1"/>
  <c r="AE126" i="7"/>
  <c r="AE130" i="7" s="1"/>
  <c r="BD103" i="7"/>
  <c r="BF63" i="7"/>
  <c r="BF47" i="7"/>
  <c r="BF90" i="7" s="1"/>
  <c r="J86" i="8"/>
  <c r="J84" i="8"/>
  <c r="K76" i="8" s="1"/>
  <c r="BD110" i="7"/>
  <c r="BD117" i="7"/>
  <c r="BD204" i="7" s="1"/>
  <c r="AR200" i="7"/>
  <c r="AR201" i="7" s="1"/>
  <c r="AS198" i="7" s="1"/>
  <c r="BF125" i="7"/>
  <c r="BF162" i="7" s="1"/>
  <c r="BF135" i="7"/>
  <c r="BF206" i="7" s="1"/>
  <c r="BE102" i="7"/>
  <c r="BE56" i="7"/>
  <c r="BF60" i="7"/>
  <c r="BF44" i="7"/>
  <c r="BF87" i="7" s="1"/>
  <c r="BF40" i="7"/>
  <c r="BF41" i="7" s="1"/>
  <c r="J207" i="8"/>
  <c r="K17" i="1"/>
  <c r="AG83" i="7"/>
  <c r="AG84" i="7" s="1"/>
  <c r="AH81" i="7" s="1"/>
  <c r="BC160" i="7"/>
  <c r="BF48" i="7"/>
  <c r="BF64" i="7"/>
  <c r="BD57" i="7"/>
  <c r="BE99" i="7"/>
  <c r="BF68" i="7"/>
  <c r="BF52" i="7"/>
  <c r="BF95" i="7" s="1"/>
  <c r="BF71" i="7"/>
  <c r="BF55" i="7"/>
  <c r="BF98" i="7" s="1"/>
  <c r="BF65" i="7"/>
  <c r="BF49" i="7"/>
  <c r="BF92" i="7" s="1"/>
  <c r="BF19" i="7"/>
  <c r="BG158" i="7"/>
  <c r="BG159" i="7"/>
  <c r="BG16" i="7"/>
  <c r="BG31" i="7"/>
  <c r="BG28" i="7"/>
  <c r="BG35" i="7"/>
  <c r="BG32" i="7"/>
  <c r="BG30" i="7"/>
  <c r="BG29" i="7"/>
  <c r="BG9" i="7"/>
  <c r="BG39" i="7"/>
  <c r="BG36" i="7"/>
  <c r="BG34" i="7"/>
  <c r="BG33" i="7"/>
  <c r="BG13" i="7"/>
  <c r="BG8" i="7"/>
  <c r="BG38" i="7"/>
  <c r="BG37" i="7"/>
  <c r="BG7" i="7"/>
  <c r="BG17" i="7"/>
  <c r="BG12" i="7"/>
  <c r="BG14" i="7"/>
  <c r="BH4" i="7"/>
  <c r="BG5" i="5"/>
  <c r="BG6" i="7"/>
  <c r="BG18" i="7"/>
  <c r="BG15" i="7"/>
  <c r="BG20" i="7"/>
  <c r="BD131" i="7"/>
  <c r="BD10" i="7"/>
  <c r="BE5" i="7"/>
  <c r="BD6" i="5"/>
  <c r="BF69" i="7"/>
  <c r="BF53" i="7"/>
  <c r="BF96" i="7" s="1"/>
  <c r="AD130" i="7"/>
  <c r="BF66" i="7"/>
  <c r="BF50" i="7"/>
  <c r="BF93" i="7" s="1"/>
  <c r="BF91" i="7"/>
  <c r="BF61" i="7"/>
  <c r="BF45" i="7"/>
  <c r="BF88" i="7" s="1"/>
  <c r="AT139" i="7"/>
  <c r="AQ163" i="7"/>
  <c r="AQ164" i="7" s="1"/>
  <c r="AQ207" i="7"/>
  <c r="AQ208" i="7" s="1"/>
  <c r="AP165" i="7"/>
  <c r="BF70" i="7"/>
  <c r="BF54" i="7"/>
  <c r="BF97" i="7" s="1"/>
  <c r="BF62" i="7"/>
  <c r="BF46" i="7"/>
  <c r="BF89" i="7" s="1"/>
  <c r="BC124" i="7"/>
  <c r="BC161" i="7" s="1"/>
  <c r="BC134" i="7"/>
  <c r="BC205" i="7" s="1"/>
  <c r="AT129" i="7"/>
  <c r="BF67" i="7"/>
  <c r="BF51" i="7"/>
  <c r="BF94" i="7" s="1"/>
  <c r="AE136" i="7" l="1"/>
  <c r="AE137" i="7" s="1"/>
  <c r="AE138" i="7" s="1"/>
  <c r="AF133" i="7" s="1"/>
  <c r="AF136" i="7" s="1"/>
  <c r="AF137" i="7" s="1"/>
  <c r="AF138" i="7" s="1"/>
  <c r="AG133" i="7" s="1"/>
  <c r="AN113" i="7"/>
  <c r="AO109" i="7" s="1"/>
  <c r="AO111" i="7" s="1"/>
  <c r="BE57" i="7"/>
  <c r="AN118" i="7"/>
  <c r="AS79" i="7"/>
  <c r="AS75" i="7"/>
  <c r="AS76" i="7" s="1"/>
  <c r="AT73" i="7" s="1"/>
  <c r="BE110" i="7"/>
  <c r="BE117" i="7"/>
  <c r="BE204" i="7" s="1"/>
  <c r="K78" i="8"/>
  <c r="K367" i="8"/>
  <c r="K85" i="8"/>
  <c r="K365" i="8"/>
  <c r="BG66" i="7"/>
  <c r="BG50" i="7"/>
  <c r="BG93" i="7" s="1"/>
  <c r="BG19" i="7"/>
  <c r="J119" i="8"/>
  <c r="J264" i="8"/>
  <c r="J285" i="8"/>
  <c r="J278" i="8"/>
  <c r="J271" i="8"/>
  <c r="J320" i="8"/>
  <c r="J126" i="8"/>
  <c r="J306" i="8"/>
  <c r="J292" i="8"/>
  <c r="J299" i="8"/>
  <c r="BH159" i="7"/>
  <c r="BH158" i="7"/>
  <c r="BH37" i="7"/>
  <c r="BH33" i="7"/>
  <c r="BH29" i="7"/>
  <c r="BH36" i="7"/>
  <c r="BH32" i="7"/>
  <c r="BH28" i="7"/>
  <c r="BH16" i="7"/>
  <c r="BH31" i="7"/>
  <c r="BH35" i="7"/>
  <c r="BH30" i="7"/>
  <c r="BH9" i="7"/>
  <c r="BH39" i="7"/>
  <c r="BH34" i="7"/>
  <c r="BH13" i="7"/>
  <c r="BH8" i="7"/>
  <c r="BH38" i="7"/>
  <c r="BH7" i="7"/>
  <c r="BH18" i="7"/>
  <c r="BH15" i="7"/>
  <c r="BH6" i="7"/>
  <c r="BH17" i="7"/>
  <c r="BH12" i="7"/>
  <c r="BH14" i="7"/>
  <c r="BH5" i="5"/>
  <c r="BI4" i="7"/>
  <c r="BH20" i="7"/>
  <c r="BG71" i="7"/>
  <c r="BG55" i="7"/>
  <c r="BG98" i="7" s="1"/>
  <c r="BF99" i="7"/>
  <c r="BG45" i="7"/>
  <c r="BG88" i="7" s="1"/>
  <c r="BG61" i="7"/>
  <c r="BG62" i="7"/>
  <c r="BG46" i="7"/>
  <c r="BG89" i="7" s="1"/>
  <c r="BC199" i="7"/>
  <c r="BG125" i="7"/>
  <c r="BG162" i="7" s="1"/>
  <c r="BG135" i="7"/>
  <c r="BG206" i="7" s="1"/>
  <c r="BD124" i="7"/>
  <c r="BD161" i="7" s="1"/>
  <c r="BD134" i="7"/>
  <c r="BD205" i="7" s="1"/>
  <c r="AQ165" i="7"/>
  <c r="BE131" i="7"/>
  <c r="BE10" i="7"/>
  <c r="BF5" i="7"/>
  <c r="BE6" i="5"/>
  <c r="BG48" i="7"/>
  <c r="BG91" i="7" s="1"/>
  <c r="BG64" i="7"/>
  <c r="BG69" i="7"/>
  <c r="BG53" i="7"/>
  <c r="BG96" i="7" s="1"/>
  <c r="BG67" i="7"/>
  <c r="BG51" i="7"/>
  <c r="BG94" i="7" s="1"/>
  <c r="AE127" i="7"/>
  <c r="AE128" i="7" s="1"/>
  <c r="AF123" i="7" s="1"/>
  <c r="AR163" i="7"/>
  <c r="AR164" i="7" s="1"/>
  <c r="AR207" i="7"/>
  <c r="AR208" i="7" s="1"/>
  <c r="BG70" i="7"/>
  <c r="BG54" i="7"/>
  <c r="BG97" i="7" s="1"/>
  <c r="BG40" i="7"/>
  <c r="BG41" i="7" s="1"/>
  <c r="BG60" i="7"/>
  <c r="BG44" i="7"/>
  <c r="BG87" i="7" s="1"/>
  <c r="BF102" i="7"/>
  <c r="BF56" i="7"/>
  <c r="AS200" i="7"/>
  <c r="AS201" i="7" s="1"/>
  <c r="AT198" i="7" s="1"/>
  <c r="BG49" i="7"/>
  <c r="BG92" i="7" s="1"/>
  <c r="BG65" i="7"/>
  <c r="BG68" i="7"/>
  <c r="BG52" i="7"/>
  <c r="BG95" i="7" s="1"/>
  <c r="AF23" i="7"/>
  <c r="AF24" i="7" s="1"/>
  <c r="AU129" i="7"/>
  <c r="BG63" i="7"/>
  <c r="BG47" i="7"/>
  <c r="BG90" i="7" s="1"/>
  <c r="BF72" i="7"/>
  <c r="BF74" i="7" s="1"/>
  <c r="AU139" i="7"/>
  <c r="BE103" i="7"/>
  <c r="BD160" i="7"/>
  <c r="AH82" i="7"/>
  <c r="AH83" i="7" s="1"/>
  <c r="AH84" i="7" s="1"/>
  <c r="AI81" i="7" s="1"/>
  <c r="BF57" i="7" l="1"/>
  <c r="BD199" i="7"/>
  <c r="AE140" i="7"/>
  <c r="AN119" i="7"/>
  <c r="AN120" i="7" s="1"/>
  <c r="AO116" i="7" s="1"/>
  <c r="AF126" i="7"/>
  <c r="AG136" i="7"/>
  <c r="AT79" i="7"/>
  <c r="AT75" i="7"/>
  <c r="AT76" i="7" s="1"/>
  <c r="AU73" i="7" s="1"/>
  <c r="AG22" i="7"/>
  <c r="AF25" i="7"/>
  <c r="BG99" i="7"/>
  <c r="AI82" i="7"/>
  <c r="AI83" i="7" s="1"/>
  <c r="AI84" i="7" s="1"/>
  <c r="AJ81" i="7" s="1"/>
  <c r="K83" i="8"/>
  <c r="BH67" i="7"/>
  <c r="BH51" i="7"/>
  <c r="BH94" i="7" s="1"/>
  <c r="BH125" i="7"/>
  <c r="BH162" i="7" s="1"/>
  <c r="BH135" i="7"/>
  <c r="BH206" i="7" s="1"/>
  <c r="BH44" i="7"/>
  <c r="BH87" i="7" s="1"/>
  <c r="BH60" i="7"/>
  <c r="BH40" i="7"/>
  <c r="BH41" i="7" s="1"/>
  <c r="AS163" i="7"/>
  <c r="AS164" i="7" s="1"/>
  <c r="AS207" i="7"/>
  <c r="AS208" i="7" s="1"/>
  <c r="BH48" i="7"/>
  <c r="BH91" i="7" s="1"/>
  <c r="BH64" i="7"/>
  <c r="K87" i="8"/>
  <c r="BF110" i="7"/>
  <c r="BF117" i="7"/>
  <c r="BF204" i="7" s="1"/>
  <c r="AV129" i="7"/>
  <c r="BH70" i="7"/>
  <c r="BH54" i="7"/>
  <c r="BH97" i="7" s="1"/>
  <c r="BH52" i="7"/>
  <c r="BH95" i="7" s="1"/>
  <c r="BH68" i="7"/>
  <c r="K80" i="8"/>
  <c r="K117" i="8" s="1"/>
  <c r="K79" i="8"/>
  <c r="AO112" i="7"/>
  <c r="AO113" i="7" s="1"/>
  <c r="AP109" i="7" s="1"/>
  <c r="BG102" i="7"/>
  <c r="BG56" i="7"/>
  <c r="BF131" i="7"/>
  <c r="BF10" i="7"/>
  <c r="BG5" i="7"/>
  <c r="BF6" i="5"/>
  <c r="BG72" i="7"/>
  <c r="BG74" i="7" s="1"/>
  <c r="BE124" i="7"/>
  <c r="BE161" i="7" s="1"/>
  <c r="BE134" i="7"/>
  <c r="BE205" i="7" s="1"/>
  <c r="BH65" i="7"/>
  <c r="BH49" i="7"/>
  <c r="BH92" i="7" s="1"/>
  <c r="BI158" i="7"/>
  <c r="BI159" i="7"/>
  <c r="BI39" i="7"/>
  <c r="BI35" i="7"/>
  <c r="BI31" i="7"/>
  <c r="BI30" i="7"/>
  <c r="BI28" i="7"/>
  <c r="BI34" i="7"/>
  <c r="BI32" i="7"/>
  <c r="BI29" i="7"/>
  <c r="BI13" i="7"/>
  <c r="BI8" i="7"/>
  <c r="BI38" i="7"/>
  <c r="BI36" i="7"/>
  <c r="BI33" i="7"/>
  <c r="BI7" i="7"/>
  <c r="BI37" i="7"/>
  <c r="BI18" i="7"/>
  <c r="BI15" i="7"/>
  <c r="BI6" i="7"/>
  <c r="BJ4" i="7"/>
  <c r="BI12" i="7"/>
  <c r="BI14" i="7"/>
  <c r="BI16" i="7"/>
  <c r="BI9" i="7"/>
  <c r="BI17" i="7"/>
  <c r="BI5" i="5"/>
  <c r="BI20" i="7"/>
  <c r="BH66" i="7"/>
  <c r="BH50" i="7"/>
  <c r="BH93" i="7" s="1"/>
  <c r="BE160" i="7"/>
  <c r="BH71" i="7"/>
  <c r="BH55" i="7"/>
  <c r="BH98" i="7" s="1"/>
  <c r="J209" i="8"/>
  <c r="K26" i="1"/>
  <c r="AF140" i="7"/>
  <c r="AV139" i="7"/>
  <c r="AR165" i="7"/>
  <c r="BH19" i="7"/>
  <c r="BH47" i="7"/>
  <c r="BH90" i="7" s="1"/>
  <c r="BH63" i="7"/>
  <c r="BH61" i="7"/>
  <c r="BH45" i="7"/>
  <c r="BH88" i="7" s="1"/>
  <c r="BH53" i="7"/>
  <c r="BH96" i="7" s="1"/>
  <c r="BH69" i="7"/>
  <c r="AT200" i="7"/>
  <c r="AT201" i="7" s="1"/>
  <c r="AU198" i="7" s="1"/>
  <c r="BF103" i="7"/>
  <c r="BH62" i="7"/>
  <c r="BH46" i="7"/>
  <c r="BH89" i="7" s="1"/>
  <c r="AO118" i="7" l="1"/>
  <c r="AO119" i="7" s="1"/>
  <c r="BE199" i="7"/>
  <c r="BG103" i="7"/>
  <c r="BG124" i="7" s="1"/>
  <c r="BG161" i="7" s="1"/>
  <c r="AU200" i="7"/>
  <c r="AU201" i="7" s="1"/>
  <c r="AV198" i="7" s="1"/>
  <c r="AJ82" i="7"/>
  <c r="AU79" i="7"/>
  <c r="AU75" i="7"/>
  <c r="AU76" i="7" s="1"/>
  <c r="AV73" i="7" s="1"/>
  <c r="AP111" i="7"/>
  <c r="AP112" i="7" s="1"/>
  <c r="BI62" i="7"/>
  <c r="BI46" i="7"/>
  <c r="BI89" i="7" s="1"/>
  <c r="BG131" i="7"/>
  <c r="BG10" i="7"/>
  <c r="BH5" i="7"/>
  <c r="BG6" i="5"/>
  <c r="K207" i="8"/>
  <c r="L17" i="1"/>
  <c r="AT163" i="7"/>
  <c r="AT164" i="7" s="1"/>
  <c r="AT207" i="7"/>
  <c r="AT208" i="7" s="1"/>
  <c r="BF124" i="7"/>
  <c r="BF161" i="7" s="1"/>
  <c r="BF134" i="7"/>
  <c r="BF205" i="7" s="1"/>
  <c r="BI69" i="7"/>
  <c r="BI53" i="7"/>
  <c r="BI96" i="7" s="1"/>
  <c r="BI47" i="7"/>
  <c r="BI90" i="7" s="1"/>
  <c r="BI63" i="7"/>
  <c r="BH99" i="7"/>
  <c r="BI67" i="7"/>
  <c r="BI51" i="7"/>
  <c r="BI94" i="7" s="1"/>
  <c r="AG140" i="7"/>
  <c r="AS165" i="7"/>
  <c r="BI71" i="7"/>
  <c r="BI55" i="7"/>
  <c r="BI98" i="7" s="1"/>
  <c r="BH72" i="7"/>
  <c r="BH74" i="7" s="1"/>
  <c r="BG110" i="7"/>
  <c r="BG117" i="7"/>
  <c r="BG204" i="7" s="1"/>
  <c r="BH102" i="7"/>
  <c r="BH56" i="7"/>
  <c r="AG137" i="7"/>
  <c r="AG138" i="7" s="1"/>
  <c r="AH133" i="7" s="1"/>
  <c r="BI70" i="7"/>
  <c r="BI54" i="7"/>
  <c r="BI97" i="7" s="1"/>
  <c r="BF160" i="7"/>
  <c r="K86" i="8"/>
  <c r="AW139" i="7"/>
  <c r="AW129" i="7"/>
  <c r="BI68" i="7"/>
  <c r="BI52" i="7"/>
  <c r="BI95" i="7" s="1"/>
  <c r="AF130" i="7"/>
  <c r="BI66" i="7"/>
  <c r="BI50" i="7"/>
  <c r="BI93" i="7" s="1"/>
  <c r="K84" i="8"/>
  <c r="L76" i="8" s="1"/>
  <c r="BI40" i="7"/>
  <c r="BI41" i="7" s="1"/>
  <c r="BI60" i="7"/>
  <c r="BI44" i="7"/>
  <c r="BI65" i="7"/>
  <c r="BI49" i="7"/>
  <c r="BI92" i="7" s="1"/>
  <c r="BI61" i="7"/>
  <c r="BI45" i="7"/>
  <c r="BI88" i="7" s="1"/>
  <c r="BG57" i="7"/>
  <c r="AG23" i="7"/>
  <c r="AG24" i="7" s="1"/>
  <c r="AF127" i="7"/>
  <c r="AF128" i="7" s="1"/>
  <c r="AG123" i="7" s="1"/>
  <c r="BI125" i="7"/>
  <c r="BI162" i="7" s="1"/>
  <c r="BI135" i="7"/>
  <c r="BI206" i="7" s="1"/>
  <c r="BI19" i="7"/>
  <c r="BJ159" i="7"/>
  <c r="BJ158" i="7"/>
  <c r="BJ31" i="7"/>
  <c r="BJ30" i="7"/>
  <c r="BJ28" i="7"/>
  <c r="BJ9" i="7"/>
  <c r="BJ35" i="7"/>
  <c r="BJ34" i="7"/>
  <c r="BJ32" i="7"/>
  <c r="BJ29" i="7"/>
  <c r="BJ39" i="7"/>
  <c r="BJ38" i="7"/>
  <c r="BJ36" i="7"/>
  <c r="BJ33" i="7"/>
  <c r="BJ7" i="7"/>
  <c r="BJ37" i="7"/>
  <c r="BJ18" i="7"/>
  <c r="BJ15" i="7"/>
  <c r="BJ6" i="7"/>
  <c r="BK4" i="7"/>
  <c r="BJ17" i="7"/>
  <c r="BJ14" i="7"/>
  <c r="BJ16" i="7"/>
  <c r="BJ5" i="5"/>
  <c r="BJ13" i="7"/>
  <c r="BJ8" i="7"/>
  <c r="BJ12" i="7"/>
  <c r="BJ20" i="7"/>
  <c r="BI64" i="7"/>
  <c r="BI48" i="7"/>
  <c r="BI91" i="7" s="1"/>
  <c r="BG134" i="7" l="1"/>
  <c r="BG205" i="7" s="1"/>
  <c r="BJ19" i="7"/>
  <c r="AP113" i="7"/>
  <c r="AQ109" i="7" s="1"/>
  <c r="AO120" i="7"/>
  <c r="AP116" i="7" s="1"/>
  <c r="AH136" i="7"/>
  <c r="AV79" i="7"/>
  <c r="AV75" i="7"/>
  <c r="AV76" i="7" s="1"/>
  <c r="AW73" i="7" s="1"/>
  <c r="AQ111" i="7"/>
  <c r="AQ112" i="7" s="1"/>
  <c r="AH22" i="7"/>
  <c r="AG25" i="7"/>
  <c r="BH131" i="7"/>
  <c r="BI5" i="7"/>
  <c r="BH10" i="7"/>
  <c r="BH6" i="5"/>
  <c r="BJ61" i="7"/>
  <c r="BJ45" i="7"/>
  <c r="BJ88" i="7" s="1"/>
  <c r="BJ48" i="7"/>
  <c r="BJ64" i="7"/>
  <c r="BI102" i="7"/>
  <c r="BI56" i="7"/>
  <c r="AX129" i="7"/>
  <c r="BH103" i="7"/>
  <c r="AU163" i="7"/>
  <c r="AU164" i="7" s="1"/>
  <c r="AU207" i="7"/>
  <c r="AU208" i="7" s="1"/>
  <c r="BK159" i="7"/>
  <c r="BK158" i="7"/>
  <c r="BK36" i="7"/>
  <c r="BK32" i="7"/>
  <c r="BK28" i="7"/>
  <c r="BK39" i="7"/>
  <c r="BK35" i="7"/>
  <c r="BK31" i="7"/>
  <c r="BK34" i="7"/>
  <c r="BK29" i="7"/>
  <c r="BK13" i="7"/>
  <c r="BK8" i="7"/>
  <c r="BK38" i="7"/>
  <c r="BK33" i="7"/>
  <c r="BK37" i="7"/>
  <c r="BK18" i="7"/>
  <c r="BK15" i="7"/>
  <c r="BL4" i="7"/>
  <c r="BK17" i="7"/>
  <c r="BK12" i="7"/>
  <c r="BK14" i="7"/>
  <c r="BK16" i="7"/>
  <c r="BK30" i="7"/>
  <c r="BK9" i="7"/>
  <c r="BK7" i="7"/>
  <c r="BK5" i="5"/>
  <c r="BK6" i="7"/>
  <c r="BK20" i="7"/>
  <c r="BJ66" i="7"/>
  <c r="BJ50" i="7"/>
  <c r="BJ93" i="7" s="1"/>
  <c r="BI72" i="7"/>
  <c r="BI74" i="7" s="1"/>
  <c r="BH110" i="7"/>
  <c r="BH117" i="7"/>
  <c r="BH204" i="7" s="1"/>
  <c r="AX139" i="7"/>
  <c r="L367" i="8"/>
  <c r="L87" i="8" s="1"/>
  <c r="L78" i="8"/>
  <c r="L365" i="8"/>
  <c r="L85" i="8"/>
  <c r="BG199" i="7"/>
  <c r="BG160" i="7"/>
  <c r="AJ83" i="7"/>
  <c r="AJ84" i="7" s="1"/>
  <c r="AK81" i="7" s="1"/>
  <c r="AG126" i="7"/>
  <c r="AG130" i="7" s="1"/>
  <c r="BJ125" i="7"/>
  <c r="BJ162" i="7" s="1"/>
  <c r="BJ135" i="7"/>
  <c r="BJ206" i="7" s="1"/>
  <c r="BJ40" i="7"/>
  <c r="BJ41" i="7" s="1"/>
  <c r="BJ44" i="7"/>
  <c r="BJ87" i="7" s="1"/>
  <c r="BJ60" i="7"/>
  <c r="K119" i="8"/>
  <c r="K299" i="8"/>
  <c r="K320" i="8"/>
  <c r="K278" i="8"/>
  <c r="K264" i="8"/>
  <c r="K285" i="8"/>
  <c r="K292" i="8"/>
  <c r="K271" i="8"/>
  <c r="K306" i="8"/>
  <c r="K126" i="8"/>
  <c r="BJ69" i="7"/>
  <c r="BJ53" i="7"/>
  <c r="BJ96" i="7" s="1"/>
  <c r="BJ62" i="7"/>
  <c r="BJ46" i="7"/>
  <c r="BJ89" i="7" s="1"/>
  <c r="BF199" i="7"/>
  <c r="BJ54" i="7"/>
  <c r="BJ97" i="7" s="1"/>
  <c r="BJ70" i="7"/>
  <c r="BJ67" i="7"/>
  <c r="BJ51" i="7"/>
  <c r="BJ94" i="7" s="1"/>
  <c r="BJ71" i="7"/>
  <c r="BJ55" i="7"/>
  <c r="BJ98" i="7" s="1"/>
  <c r="BJ91" i="7"/>
  <c r="BJ47" i="7"/>
  <c r="BJ90" i="7" s="1"/>
  <c r="BJ63" i="7"/>
  <c r="BH57" i="7"/>
  <c r="BI87" i="7"/>
  <c r="BI99" i="7" s="1"/>
  <c r="BJ65" i="7"/>
  <c r="BJ49" i="7"/>
  <c r="BJ92" i="7" s="1"/>
  <c r="BJ68" i="7"/>
  <c r="BJ52" i="7"/>
  <c r="BJ95" i="7" s="1"/>
  <c r="AT165" i="7"/>
  <c r="AV200" i="7"/>
  <c r="AV201" i="7" s="1"/>
  <c r="AW198" i="7" s="1"/>
  <c r="BK19" i="7" l="1"/>
  <c r="BI57" i="7"/>
  <c r="AG127" i="7"/>
  <c r="AG128" i="7" s="1"/>
  <c r="AH123" i="7" s="1"/>
  <c r="AH126" i="7" s="1"/>
  <c r="AU165" i="7"/>
  <c r="AH137" i="7"/>
  <c r="AH138" i="7" s="1"/>
  <c r="AI133" i="7" s="1"/>
  <c r="AI136" i="7" s="1"/>
  <c r="AI137" i="7" s="1"/>
  <c r="AI138" i="7" s="1"/>
  <c r="AJ133" i="7" s="1"/>
  <c r="AP118" i="7"/>
  <c r="AP119" i="7" s="1"/>
  <c r="AW200" i="7"/>
  <c r="AW201" i="7" s="1"/>
  <c r="AX198" i="7" s="1"/>
  <c r="AW79" i="7"/>
  <c r="AW75" i="7"/>
  <c r="AW76" i="7" s="1"/>
  <c r="AX73" i="7" s="1"/>
  <c r="AK82" i="7"/>
  <c r="K209" i="8"/>
  <c r="L26" i="1"/>
  <c r="L80" i="8"/>
  <c r="L117" i="8" s="1"/>
  <c r="L79" i="8"/>
  <c r="BK65" i="7"/>
  <c r="BK49" i="7"/>
  <c r="BK92" i="7" s="1"/>
  <c r="AQ113" i="7"/>
  <c r="AR109" i="7" s="1"/>
  <c r="BK70" i="7"/>
  <c r="BK54" i="7"/>
  <c r="BK97" i="7" s="1"/>
  <c r="L83" i="8"/>
  <c r="BK46" i="7"/>
  <c r="BK89" i="7" s="1"/>
  <c r="BK62" i="7"/>
  <c r="BJ99" i="7"/>
  <c r="BK69" i="7"/>
  <c r="BK53" i="7"/>
  <c r="BK96" i="7" s="1"/>
  <c r="AY139" i="7"/>
  <c r="BK61" i="7"/>
  <c r="BK45" i="7"/>
  <c r="BK88" i="7" s="1"/>
  <c r="BH124" i="7"/>
  <c r="BH161" i="7" s="1"/>
  <c r="BH134" i="7"/>
  <c r="BH205" i="7" s="1"/>
  <c r="BK68" i="7"/>
  <c r="BK52" i="7"/>
  <c r="BK95" i="7" s="1"/>
  <c r="BJ72" i="7"/>
  <c r="BJ74" i="7" s="1"/>
  <c r="BJ102" i="7"/>
  <c r="BJ56" i="7"/>
  <c r="AV165" i="7"/>
  <c r="BK50" i="7"/>
  <c r="BK93" i="7" s="1"/>
  <c r="BK66" i="7"/>
  <c r="AV163" i="7"/>
  <c r="AV164" i="7" s="1"/>
  <c r="AV207" i="7"/>
  <c r="AV208" i="7" s="1"/>
  <c r="BH160" i="7"/>
  <c r="BK47" i="7"/>
  <c r="BK90" i="7" s="1"/>
  <c r="BK63" i="7"/>
  <c r="AY129" i="7"/>
  <c r="BI131" i="7"/>
  <c r="BI10" i="7"/>
  <c r="BJ5" i="7"/>
  <c r="BI6" i="5"/>
  <c r="AH140" i="7"/>
  <c r="BK51" i="7"/>
  <c r="BK94" i="7" s="1"/>
  <c r="BK67" i="7"/>
  <c r="BI103" i="7"/>
  <c r="BL159" i="7"/>
  <c r="BL158" i="7"/>
  <c r="BL38" i="7"/>
  <c r="BL34" i="7"/>
  <c r="BL30" i="7"/>
  <c r="BL35" i="7"/>
  <c r="BL33" i="7"/>
  <c r="BL32" i="7"/>
  <c r="BL7" i="7"/>
  <c r="BL39" i="7"/>
  <c r="BL37" i="7"/>
  <c r="BL36" i="7"/>
  <c r="BL18" i="7"/>
  <c r="BL15" i="7"/>
  <c r="BL17" i="7"/>
  <c r="BL12" i="7"/>
  <c r="BL16" i="7"/>
  <c r="BL9" i="7"/>
  <c r="BL31" i="7"/>
  <c r="BL29" i="7"/>
  <c r="BL28" i="7"/>
  <c r="BL13" i="7"/>
  <c r="BL5" i="5"/>
  <c r="BM4" i="7"/>
  <c r="BL8" i="7"/>
  <c r="BL6" i="7"/>
  <c r="BL14" i="7"/>
  <c r="BL20" i="7"/>
  <c r="BK55" i="7"/>
  <c r="BK98" i="7" s="1"/>
  <c r="BK71" i="7"/>
  <c r="BI110" i="7"/>
  <c r="BI117" i="7"/>
  <c r="BI204" i="7" s="1"/>
  <c r="BK60" i="7"/>
  <c r="BK40" i="7"/>
  <c r="BK41" i="7" s="1"/>
  <c r="BK44" i="7"/>
  <c r="BK87" i="7" s="1"/>
  <c r="AH23" i="7"/>
  <c r="AH24" i="7" s="1"/>
  <c r="BK125" i="7"/>
  <c r="BK162" i="7" s="1"/>
  <c r="BK135" i="7"/>
  <c r="BK206" i="7" s="1"/>
  <c r="BK64" i="7"/>
  <c r="BK48" i="7"/>
  <c r="BK91" i="7" s="1"/>
  <c r="BH199" i="7" l="1"/>
  <c r="AP120" i="7"/>
  <c r="AQ116" i="7" s="1"/>
  <c r="AI22" i="7"/>
  <c r="AH25" i="7"/>
  <c r="BK99" i="7"/>
  <c r="AJ136" i="7"/>
  <c r="AJ137" i="7" s="1"/>
  <c r="AX79" i="7"/>
  <c r="AX75" i="7"/>
  <c r="AX76" i="7" s="1"/>
  <c r="AY73" i="7" s="1"/>
  <c r="BL125" i="7"/>
  <c r="BL162" i="7" s="1"/>
  <c r="BL135" i="7"/>
  <c r="BL206" i="7" s="1"/>
  <c r="BL68" i="7"/>
  <c r="BL52" i="7"/>
  <c r="BL95" i="7" s="1"/>
  <c r="BJ103" i="7"/>
  <c r="BL19" i="7"/>
  <c r="AZ139" i="7"/>
  <c r="L86" i="8"/>
  <c r="AR111" i="7"/>
  <c r="AR112" i="7" s="1"/>
  <c r="AK83" i="7"/>
  <c r="AK84" i="7" s="1"/>
  <c r="AL81" i="7" s="1"/>
  <c r="AW163" i="7"/>
  <c r="AW164" i="7" s="1"/>
  <c r="AW165" i="7" s="1"/>
  <c r="AW207" i="7"/>
  <c r="AW208" i="7" s="1"/>
  <c r="AZ129" i="7"/>
  <c r="BI124" i="7"/>
  <c r="BI161" i="7" s="1"/>
  <c r="BI134" i="7"/>
  <c r="BI205" i="7" s="1"/>
  <c r="BK102" i="7"/>
  <c r="BK56" i="7"/>
  <c r="BL69" i="7"/>
  <c r="BL53" i="7"/>
  <c r="BL71" i="7"/>
  <c r="BL55" i="7"/>
  <c r="BL98" i="7" s="1"/>
  <c r="BK72" i="7"/>
  <c r="BK74" i="7" s="1"/>
  <c r="BL40" i="7"/>
  <c r="BL41" i="7" s="1"/>
  <c r="BL60" i="7"/>
  <c r="BL44" i="7"/>
  <c r="BL87" i="7" s="1"/>
  <c r="BL96" i="7"/>
  <c r="BJ57" i="7"/>
  <c r="BM159" i="7"/>
  <c r="BM158" i="7"/>
  <c r="BM39" i="7"/>
  <c r="BM38" i="7"/>
  <c r="BM37" i="7"/>
  <c r="BM36" i="7"/>
  <c r="BM18" i="7"/>
  <c r="BM15" i="7"/>
  <c r="BM6" i="7"/>
  <c r="BM17" i="7"/>
  <c r="BM12" i="7"/>
  <c r="BM14" i="7"/>
  <c r="BM16" i="7"/>
  <c r="BM9" i="7"/>
  <c r="BM31" i="7"/>
  <c r="BM30" i="7"/>
  <c r="BM29" i="7"/>
  <c r="BM28" i="7"/>
  <c r="BM13" i="7"/>
  <c r="BM35" i="7"/>
  <c r="BM34" i="7"/>
  <c r="BM33" i="7"/>
  <c r="BM32" i="7"/>
  <c r="BM7" i="7"/>
  <c r="BN4" i="7"/>
  <c r="BM8" i="7"/>
  <c r="BM5" i="5"/>
  <c r="BM20" i="7"/>
  <c r="BL61" i="7"/>
  <c r="BL45" i="7"/>
  <c r="BL88" i="7" s="1"/>
  <c r="BL64" i="7"/>
  <c r="BL48" i="7"/>
  <c r="BL91" i="7" s="1"/>
  <c r="AX200" i="7"/>
  <c r="AX201" i="7" s="1"/>
  <c r="AY198" i="7" s="1"/>
  <c r="BL65" i="7"/>
  <c r="BL49" i="7"/>
  <c r="BL92" i="7" s="1"/>
  <c r="AH130" i="7"/>
  <c r="BJ110" i="7"/>
  <c r="BJ117" i="7"/>
  <c r="BJ204" i="7" s="1"/>
  <c r="BI160" i="7"/>
  <c r="BL63" i="7"/>
  <c r="BL47" i="7"/>
  <c r="BL90" i="7" s="1"/>
  <c r="BL67" i="7"/>
  <c r="BL51" i="7"/>
  <c r="BL94" i="7" s="1"/>
  <c r="BL62" i="7"/>
  <c r="BL46" i="7"/>
  <c r="BL89" i="7" s="1"/>
  <c r="BJ131" i="7"/>
  <c r="BK5" i="7"/>
  <c r="BJ10" i="7"/>
  <c r="BJ6" i="5"/>
  <c r="L84" i="8"/>
  <c r="M76" i="8" s="1"/>
  <c r="AI140" i="7"/>
  <c r="AH127" i="7"/>
  <c r="AH128" i="7" s="1"/>
  <c r="AI123" i="7" s="1"/>
  <c r="BL50" i="7"/>
  <c r="BL93" i="7" s="1"/>
  <c r="BL66" i="7"/>
  <c r="L207" i="8"/>
  <c r="M17" i="1"/>
  <c r="BL54" i="7"/>
  <c r="BL97" i="7" s="1"/>
  <c r="BL70" i="7"/>
  <c r="BK57" i="7" l="1"/>
  <c r="AR113" i="7"/>
  <c r="AS109" i="7" s="1"/>
  <c r="AS111" i="7" s="1"/>
  <c r="AS112" i="7" s="1"/>
  <c r="BM19" i="7"/>
  <c r="AQ118" i="7"/>
  <c r="AQ119" i="7" s="1"/>
  <c r="AI126" i="7"/>
  <c r="AI127" i="7" s="1"/>
  <c r="AL82" i="7"/>
  <c r="AL83" i="7" s="1"/>
  <c r="AL84" i="7" s="1"/>
  <c r="AM81" i="7" s="1"/>
  <c r="AY79" i="7"/>
  <c r="AY75" i="7"/>
  <c r="AY76" i="7" s="1"/>
  <c r="AZ73" i="7" s="1"/>
  <c r="AY200" i="7"/>
  <c r="AY201" i="7" s="1"/>
  <c r="AZ198" i="7" s="1"/>
  <c r="BL99" i="7"/>
  <c r="BL102" i="7"/>
  <c r="BL56" i="7"/>
  <c r="BL57" i="7" s="1"/>
  <c r="BA139" i="7"/>
  <c r="AX163" i="7"/>
  <c r="AX164" i="7" s="1"/>
  <c r="AX165" i="7" s="1"/>
  <c r="AX207" i="7"/>
  <c r="AX208" i="7" s="1"/>
  <c r="BL72" i="7"/>
  <c r="BL74" i="7" s="1"/>
  <c r="BA129" i="7"/>
  <c r="BJ124" i="7"/>
  <c r="BJ161" i="7" s="1"/>
  <c r="BJ134" i="7"/>
  <c r="BJ205" i="7" s="1"/>
  <c r="AJ140" i="7"/>
  <c r="BK131" i="7"/>
  <c r="BK10" i="7"/>
  <c r="BK6" i="5"/>
  <c r="BL5" i="7"/>
  <c r="BM64" i="7"/>
  <c r="BM48" i="7"/>
  <c r="BM91" i="7" s="1"/>
  <c r="BM50" i="7"/>
  <c r="BM93" i="7" s="1"/>
  <c r="BM66" i="7"/>
  <c r="BM51" i="7"/>
  <c r="BM94" i="7" s="1"/>
  <c r="BM67" i="7"/>
  <c r="AJ138" i="7"/>
  <c r="AK133" i="7" s="1"/>
  <c r="BM71" i="7"/>
  <c r="BM55" i="7"/>
  <c r="BM98" i="7" s="1"/>
  <c r="BN159" i="7"/>
  <c r="BN158" i="7"/>
  <c r="BN39" i="7"/>
  <c r="BN35" i="7"/>
  <c r="BN31" i="7"/>
  <c r="BN38" i="7"/>
  <c r="BN34" i="7"/>
  <c r="BN30" i="7"/>
  <c r="BO4" i="7"/>
  <c r="BN17" i="7"/>
  <c r="BN12" i="7"/>
  <c r="BN14" i="7"/>
  <c r="BN5" i="5"/>
  <c r="BN29" i="7"/>
  <c r="BN28" i="7"/>
  <c r="BN13" i="7"/>
  <c r="BN8" i="7"/>
  <c r="BN33" i="7"/>
  <c r="BN32" i="7"/>
  <c r="BN37" i="7"/>
  <c r="BN36" i="7"/>
  <c r="BN18" i="7"/>
  <c r="BN15" i="7"/>
  <c r="BN9" i="7"/>
  <c r="BN6" i="7"/>
  <c r="BN16" i="7"/>
  <c r="BN7" i="7"/>
  <c r="BN20" i="7"/>
  <c r="BM65" i="7"/>
  <c r="BM49" i="7"/>
  <c r="BM92" i="7" s="1"/>
  <c r="BM125" i="7"/>
  <c r="BM162" i="7" s="1"/>
  <c r="BM135" i="7"/>
  <c r="BM206" i="7" s="1"/>
  <c r="BM52" i="7"/>
  <c r="BM95" i="7" s="1"/>
  <c r="BM68" i="7"/>
  <c r="BM63" i="7"/>
  <c r="BM47" i="7"/>
  <c r="BM90" i="7" s="1"/>
  <c r="M78" i="8"/>
  <c r="M367" i="8"/>
  <c r="M87" i="8" s="1"/>
  <c r="M85" i="8"/>
  <c r="BM60" i="7"/>
  <c r="BM40" i="7"/>
  <c r="BM41" i="7" s="1"/>
  <c r="BM44" i="7"/>
  <c r="BM61" i="7"/>
  <c r="BM45" i="7"/>
  <c r="BM88" i="7" s="1"/>
  <c r="BM69" i="7"/>
  <c r="BM53" i="7"/>
  <c r="BM96" i="7" s="1"/>
  <c r="BK103" i="7"/>
  <c r="BJ160" i="7"/>
  <c r="BI199" i="7"/>
  <c r="BM62" i="7"/>
  <c r="BM46" i="7"/>
  <c r="BM89" i="7" s="1"/>
  <c r="BM70" i="7"/>
  <c r="BM54" i="7"/>
  <c r="BM97" i="7" s="1"/>
  <c r="BK110" i="7"/>
  <c r="BK117" i="7"/>
  <c r="BK204" i="7" s="1"/>
  <c r="L119" i="8"/>
  <c r="L126" i="8"/>
  <c r="L320" i="8"/>
  <c r="L306" i="8"/>
  <c r="L292" i="8"/>
  <c r="L285" i="8"/>
  <c r="L299" i="8"/>
  <c r="L278" i="8"/>
  <c r="L264" i="8"/>
  <c r="L271" i="8"/>
  <c r="AI23" i="7"/>
  <c r="AI24" i="7" s="1"/>
  <c r="BN19" i="7" l="1"/>
  <c r="AI130" i="7"/>
  <c r="BJ199" i="7"/>
  <c r="AI128" i="7"/>
  <c r="AJ123" i="7" s="1"/>
  <c r="AJ126" i="7" s="1"/>
  <c r="AQ120" i="7"/>
  <c r="AR116" i="7" s="1"/>
  <c r="AS113" i="7"/>
  <c r="AT109" i="7" s="1"/>
  <c r="AT111" i="7" s="1"/>
  <c r="AT112" i="7" s="1"/>
  <c r="AM82" i="7"/>
  <c r="AZ200" i="7"/>
  <c r="AZ201" i="7" s="1"/>
  <c r="BA198" i="7" s="1"/>
  <c r="BM102" i="7"/>
  <c r="BM56" i="7"/>
  <c r="BN60" i="7"/>
  <c r="BN40" i="7"/>
  <c r="BN41" i="7" s="1"/>
  <c r="BN44" i="7"/>
  <c r="BN87" i="7" s="1"/>
  <c r="BN71" i="7"/>
  <c r="BN55" i="7"/>
  <c r="BN98" i="7" s="1"/>
  <c r="BN45" i="7"/>
  <c r="BN88" i="7" s="1"/>
  <c r="BN61" i="7"/>
  <c r="BL131" i="7"/>
  <c r="BL10" i="7"/>
  <c r="BL6" i="5"/>
  <c r="BM5" i="7"/>
  <c r="AZ79" i="7"/>
  <c r="AZ75" i="7"/>
  <c r="AZ76" i="7" s="1"/>
  <c r="BA73" i="7" s="1"/>
  <c r="BM72" i="7"/>
  <c r="BM74" i="7" s="1"/>
  <c r="BM87" i="7"/>
  <c r="BM99" i="7" s="1"/>
  <c r="BB129" i="7"/>
  <c r="AY163" i="7"/>
  <c r="AY164" i="7" s="1"/>
  <c r="AY207" i="7"/>
  <c r="AY208" i="7" s="1"/>
  <c r="BN68" i="7"/>
  <c r="BN52" i="7"/>
  <c r="BN95" i="7" s="1"/>
  <c r="BO159" i="7"/>
  <c r="BO158" i="7"/>
  <c r="BO37" i="7"/>
  <c r="BO33" i="7"/>
  <c r="BO29" i="7"/>
  <c r="BO17" i="7"/>
  <c r="BO14" i="7"/>
  <c r="BO5" i="5"/>
  <c r="BO16" i="7"/>
  <c r="BO28" i="7"/>
  <c r="BO13" i="7"/>
  <c r="BO32" i="7"/>
  <c r="BO31" i="7"/>
  <c r="BO30" i="7"/>
  <c r="BO7" i="7"/>
  <c r="BO36" i="7"/>
  <c r="BO35" i="7"/>
  <c r="BO34" i="7"/>
  <c r="BO18" i="7"/>
  <c r="BO15" i="7"/>
  <c r="BO39" i="7"/>
  <c r="BO38" i="7"/>
  <c r="BP4" i="7"/>
  <c r="BO6" i="7"/>
  <c r="BO12" i="7"/>
  <c r="BO9" i="7"/>
  <c r="BO8" i="7"/>
  <c r="BO20" i="7"/>
  <c r="M80" i="8"/>
  <c r="G80" i="8" s="1"/>
  <c r="M79" i="8"/>
  <c r="G78" i="8"/>
  <c r="BN69" i="7"/>
  <c r="BN53" i="7"/>
  <c r="BN96" i="7" s="1"/>
  <c r="BN46" i="7"/>
  <c r="BN89" i="7" s="1"/>
  <c r="BN62" i="7"/>
  <c r="L209" i="8"/>
  <c r="M26" i="1"/>
  <c r="BN64" i="7"/>
  <c r="BN48" i="7"/>
  <c r="BN91" i="7" s="1"/>
  <c r="BN50" i="7"/>
  <c r="BN93" i="7" s="1"/>
  <c r="BN66" i="7"/>
  <c r="BN125" i="7"/>
  <c r="BN162" i="7" s="1"/>
  <c r="BN135" i="7"/>
  <c r="BN206" i="7" s="1"/>
  <c r="BK124" i="7"/>
  <c r="BK161" i="7" s="1"/>
  <c r="BK134" i="7"/>
  <c r="BK205" i="7" s="1"/>
  <c r="BN49" i="7"/>
  <c r="BN92" i="7" s="1"/>
  <c r="BN65" i="7"/>
  <c r="BN54" i="7"/>
  <c r="BN97" i="7" s="1"/>
  <c r="BN70" i="7"/>
  <c r="BB139" i="7"/>
  <c r="AK136" i="7"/>
  <c r="AK137" i="7" s="1"/>
  <c r="AK138" i="7" s="1"/>
  <c r="AL133" i="7" s="1"/>
  <c r="AJ22" i="7"/>
  <c r="AI25" i="7"/>
  <c r="BK160" i="7"/>
  <c r="BN63" i="7"/>
  <c r="BN47" i="7"/>
  <c r="BN90" i="7" s="1"/>
  <c r="BL103" i="7"/>
  <c r="BN51" i="7"/>
  <c r="BN94" i="7" s="1"/>
  <c r="BN67" i="7"/>
  <c r="BL110" i="7"/>
  <c r="BL117" i="7"/>
  <c r="BL204" i="7" s="1"/>
  <c r="M117" i="8" l="1"/>
  <c r="M207" i="8" s="1"/>
  <c r="AT113" i="7"/>
  <c r="AU109" i="7" s="1"/>
  <c r="AU111" i="7" s="1"/>
  <c r="AM83" i="7"/>
  <c r="AM84" i="7" s="1"/>
  <c r="AN81" i="7" s="1"/>
  <c r="AN82" i="7" s="1"/>
  <c r="BK199" i="7"/>
  <c r="BM103" i="7"/>
  <c r="BM124" i="7" s="1"/>
  <c r="BM161" i="7" s="1"/>
  <c r="AR118" i="7"/>
  <c r="AR119" i="7" s="1"/>
  <c r="AR120" i="7" s="1"/>
  <c r="AS116" i="7" s="1"/>
  <c r="AS118" i="7" s="1"/>
  <c r="AS119" i="7" s="1"/>
  <c r="AS120" i="7" s="1"/>
  <c r="AT116" i="7" s="1"/>
  <c r="BA79" i="7"/>
  <c r="BA75" i="7"/>
  <c r="BA76" i="7" s="1"/>
  <c r="BB73" i="7" s="1"/>
  <c r="AL136" i="7"/>
  <c r="AL140" i="7" s="1"/>
  <c r="BC129" i="7"/>
  <c r="BC139" i="7"/>
  <c r="BA200" i="7"/>
  <c r="BA201" i="7" s="1"/>
  <c r="BB198" i="7" s="1"/>
  <c r="BO69" i="7"/>
  <c r="BO53" i="7"/>
  <c r="BO64" i="7"/>
  <c r="BO48" i="7"/>
  <c r="BO91" i="7" s="1"/>
  <c r="BO60" i="7"/>
  <c r="BO44" i="7"/>
  <c r="BO87" i="7" s="1"/>
  <c r="BO40" i="7"/>
  <c r="BO41" i="7" s="1"/>
  <c r="BO71" i="7"/>
  <c r="BO55" i="7"/>
  <c r="BO98" i="7" s="1"/>
  <c r="BM110" i="7"/>
  <c r="BM117" i="7"/>
  <c r="BM204" i="7" s="1"/>
  <c r="BN99" i="7"/>
  <c r="BN72" i="7"/>
  <c r="BN74" i="7" s="1"/>
  <c r="BO96" i="7"/>
  <c r="BL124" i="7"/>
  <c r="BL161" i="7" s="1"/>
  <c r="BL134" i="7"/>
  <c r="BL205" i="7" s="1"/>
  <c r="G264" i="7"/>
  <c r="BP159" i="7"/>
  <c r="G159" i="7" s="1"/>
  <c r="BP158" i="7"/>
  <c r="BP12" i="7"/>
  <c r="G12" i="7" s="1"/>
  <c r="BP14" i="7"/>
  <c r="G14" i="7" s="1"/>
  <c r="BP16" i="7"/>
  <c r="G16" i="7" s="1"/>
  <c r="BP28" i="7"/>
  <c r="BP13" i="7"/>
  <c r="G13" i="7" s="1"/>
  <c r="BP32" i="7"/>
  <c r="BP31" i="7"/>
  <c r="BP30" i="7"/>
  <c r="BP29" i="7"/>
  <c r="BP36" i="7"/>
  <c r="BP35" i="7"/>
  <c r="BP34" i="7"/>
  <c r="BP33" i="7"/>
  <c r="BP18" i="7"/>
  <c r="BP15" i="7"/>
  <c r="G15" i="7" s="1"/>
  <c r="BP6" i="7"/>
  <c r="BP39" i="7"/>
  <c r="BP38" i="7"/>
  <c r="BP37" i="7"/>
  <c r="BP17" i="7"/>
  <c r="G17" i="7" s="1"/>
  <c r="BP8" i="7"/>
  <c r="BP9" i="7"/>
  <c r="BP7" i="7"/>
  <c r="BP5" i="5"/>
  <c r="BP20" i="7"/>
  <c r="G20" i="7" s="1"/>
  <c r="G263" i="7"/>
  <c r="AZ163" i="7"/>
  <c r="AZ164" i="7" s="1"/>
  <c r="AZ207" i="7"/>
  <c r="AZ208" i="7" s="1"/>
  <c r="AJ23" i="7"/>
  <c r="AJ24" i="7" s="1"/>
  <c r="AK140" i="7"/>
  <c r="BO125" i="7"/>
  <c r="BO162" i="7" s="1"/>
  <c r="BO135" i="7"/>
  <c r="BO206" i="7" s="1"/>
  <c r="BM131" i="7"/>
  <c r="BN5" i="7"/>
  <c r="BM6" i="5"/>
  <c r="BM10" i="7"/>
  <c r="AJ130" i="7"/>
  <c r="BO62" i="7"/>
  <c r="BO46" i="7"/>
  <c r="BO89" i="7" s="1"/>
  <c r="BN102" i="7"/>
  <c r="BN56" i="7"/>
  <c r="BO70" i="7"/>
  <c r="BO54" i="7"/>
  <c r="BO97" i="7" s="1"/>
  <c r="BL160" i="7"/>
  <c r="G79" i="8"/>
  <c r="M81" i="8"/>
  <c r="BO66" i="7"/>
  <c r="BO50" i="7"/>
  <c r="BO93" i="7" s="1"/>
  <c r="BM57" i="7"/>
  <c r="BO51" i="7"/>
  <c r="BO94" i="7" s="1"/>
  <c r="BO67" i="7"/>
  <c r="BO61" i="7"/>
  <c r="BO45" i="7"/>
  <c r="BO88" i="7" s="1"/>
  <c r="AY165" i="7"/>
  <c r="AJ127" i="7"/>
  <c r="AJ128" i="7" s="1"/>
  <c r="AK123" i="7" s="1"/>
  <c r="BO63" i="7"/>
  <c r="BO47" i="7"/>
  <c r="BO90" i="7" s="1"/>
  <c r="BO68" i="7"/>
  <c r="BO52" i="7"/>
  <c r="BO95" i="7" s="1"/>
  <c r="BO49" i="7"/>
  <c r="BO92" i="7" s="1"/>
  <c r="BO65" i="7"/>
  <c r="BO19" i="7"/>
  <c r="N17" i="1" l="1"/>
  <c r="BM134" i="7"/>
  <c r="BM205" i="7" s="1"/>
  <c r="BN57" i="7"/>
  <c r="AZ165" i="7"/>
  <c r="AT118" i="7"/>
  <c r="AT119" i="7" s="1"/>
  <c r="BP19" i="7"/>
  <c r="AK22" i="7"/>
  <c r="AJ25" i="7"/>
  <c r="BO99" i="7"/>
  <c r="BB79" i="7"/>
  <c r="BB75" i="7"/>
  <c r="BB76" i="7" s="1"/>
  <c r="BC73" i="7" s="1"/>
  <c r="AK126" i="7"/>
  <c r="AK130" i="7" s="1"/>
  <c r="BP46" i="7"/>
  <c r="G46" i="7" s="1"/>
  <c r="BP62" i="7"/>
  <c r="G62" i="7" s="1"/>
  <c r="G30" i="7"/>
  <c r="BB200" i="7"/>
  <c r="BB201" i="7" s="1"/>
  <c r="BC198" i="7" s="1"/>
  <c r="BP70" i="7"/>
  <c r="G70" i="7" s="1"/>
  <c r="BP54" i="7"/>
  <c r="G54" i="7" s="1"/>
  <c r="G38" i="7"/>
  <c r="BP64" i="7"/>
  <c r="G64" i="7" s="1"/>
  <c r="BP48" i="7"/>
  <c r="G48" i="7" s="1"/>
  <c r="G32" i="7"/>
  <c r="BD139" i="7"/>
  <c r="BP55" i="7"/>
  <c r="G55" i="7" s="1"/>
  <c r="BP71" i="7"/>
  <c r="G71" i="7" s="1"/>
  <c r="G39" i="7"/>
  <c r="BA163" i="7"/>
  <c r="BA164" i="7" s="1"/>
  <c r="BA207" i="7"/>
  <c r="BA208" i="7" s="1"/>
  <c r="BN131" i="7"/>
  <c r="BN6" i="5"/>
  <c r="BO5" i="7"/>
  <c r="BN10" i="7"/>
  <c r="BP60" i="7"/>
  <c r="BP44" i="7"/>
  <c r="BP87" i="7" s="1"/>
  <c r="BP40" i="7"/>
  <c r="G40" i="7" s="1"/>
  <c r="E32" i="6" s="1"/>
  <c r="E33" i="6" s="1"/>
  <c r="E34" i="6" s="1"/>
  <c r="G28" i="7"/>
  <c r="BD129" i="7"/>
  <c r="E64" i="2"/>
  <c r="H92" i="8"/>
  <c r="O92" i="8"/>
  <c r="W92" i="8"/>
  <c r="AP92" i="8"/>
  <c r="AE92" i="8"/>
  <c r="AK92" i="8"/>
  <c r="AD92" i="8"/>
  <c r="N92" i="8"/>
  <c r="V92" i="8"/>
  <c r="AG92" i="8"/>
  <c r="R92" i="8"/>
  <c r="AB92" i="8"/>
  <c r="AJ92" i="8"/>
  <c r="AO92" i="8"/>
  <c r="M92" i="8"/>
  <c r="U92" i="8"/>
  <c r="AC92" i="8"/>
  <c r="AN92" i="8"/>
  <c r="Q92" i="8"/>
  <c r="Y92" i="8"/>
  <c r="Z92" i="8"/>
  <c r="AI92" i="8"/>
  <c r="J92" i="8"/>
  <c r="L92" i="8"/>
  <c r="T92" i="8"/>
  <c r="S92" i="8"/>
  <c r="AM92" i="8"/>
  <c r="K92" i="8"/>
  <c r="AH92" i="8"/>
  <c r="X92" i="8"/>
  <c r="AQ92" i="8"/>
  <c r="AL92" i="8"/>
  <c r="AF92" i="8"/>
  <c r="P92" i="8"/>
  <c r="I92" i="8"/>
  <c r="AA92" i="8"/>
  <c r="G157" i="8"/>
  <c r="E82" i="8"/>
  <c r="BP69" i="7"/>
  <c r="G69" i="7" s="1"/>
  <c r="BP53" i="7"/>
  <c r="G53" i="7" s="1"/>
  <c r="G37" i="7"/>
  <c r="BL199" i="7"/>
  <c r="BP125" i="7"/>
  <c r="BP135" i="7"/>
  <c r="G18" i="7"/>
  <c r="G261" i="7" s="1"/>
  <c r="BP49" i="7"/>
  <c r="G49" i="7" s="1"/>
  <c r="BP65" i="7"/>
  <c r="G65" i="7" s="1"/>
  <c r="G33" i="7"/>
  <c r="AL137" i="7"/>
  <c r="AL138" i="7" s="1"/>
  <c r="AM133" i="7" s="1"/>
  <c r="BN103" i="7"/>
  <c r="BP50" i="7"/>
  <c r="G50" i="7" s="1"/>
  <c r="BP66" i="7"/>
  <c r="G66" i="7" s="1"/>
  <c r="G34" i="7"/>
  <c r="G158" i="7"/>
  <c r="AU112" i="7"/>
  <c r="AU113" i="7" s="1"/>
  <c r="AV109" i="7" s="1"/>
  <c r="BP63" i="7"/>
  <c r="G63" i="7" s="1"/>
  <c r="BP47" i="7"/>
  <c r="G47" i="7" s="1"/>
  <c r="G31" i="7"/>
  <c r="BO102" i="7"/>
  <c r="BO56" i="7"/>
  <c r="BN110" i="7"/>
  <c r="BN117" i="7"/>
  <c r="BN204" i="7" s="1"/>
  <c r="BP51" i="7"/>
  <c r="G51" i="7" s="1"/>
  <c r="BP67" i="7"/>
  <c r="G67" i="7" s="1"/>
  <c r="G35" i="7"/>
  <c r="BO72" i="7"/>
  <c r="BO74" i="7" s="1"/>
  <c r="AN83" i="7"/>
  <c r="AN84" i="7" s="1"/>
  <c r="AO81" i="7" s="1"/>
  <c r="BM199" i="7"/>
  <c r="BM160" i="7"/>
  <c r="M365" i="8"/>
  <c r="M83" i="8" s="1"/>
  <c r="E23" i="8"/>
  <c r="BP68" i="7"/>
  <c r="G68" i="7" s="1"/>
  <c r="BP52" i="7"/>
  <c r="G52" i="7" s="1"/>
  <c r="G36" i="7"/>
  <c r="BP61" i="7"/>
  <c r="G61" i="7" s="1"/>
  <c r="BP45" i="7"/>
  <c r="G45" i="7" s="1"/>
  <c r="G29" i="7"/>
  <c r="BA165" i="7" l="1"/>
  <c r="BP94" i="7"/>
  <c r="G94" i="7" s="1"/>
  <c r="BP97" i="7"/>
  <c r="G97" i="7" s="1"/>
  <c r="BP88" i="7"/>
  <c r="G88" i="7" s="1"/>
  <c r="BP96" i="7"/>
  <c r="G96" i="7" s="1"/>
  <c r="BP89" i="7"/>
  <c r="G89" i="7" s="1"/>
  <c r="BP98" i="7"/>
  <c r="G98" i="7" s="1"/>
  <c r="BP91" i="7"/>
  <c r="G91" i="7" s="1"/>
  <c r="AT120" i="7"/>
  <c r="AU116" i="7" s="1"/>
  <c r="BP95" i="7"/>
  <c r="G95" i="7" s="1"/>
  <c r="AM136" i="7"/>
  <c r="AM140" i="7" s="1"/>
  <c r="BC200" i="7"/>
  <c r="BC201" i="7" s="1"/>
  <c r="BD198" i="7" s="1"/>
  <c r="AO82" i="7"/>
  <c r="BC79" i="7"/>
  <c r="BC75" i="7"/>
  <c r="BC76" i="7" s="1"/>
  <c r="BD73" i="7" s="1"/>
  <c r="AV111" i="7"/>
  <c r="AV112" i="7" s="1"/>
  <c r="AA22" i="1"/>
  <c r="AA23" i="1" s="1"/>
  <c r="Z101" i="8"/>
  <c r="Z213" i="8" s="1"/>
  <c r="W22" i="1"/>
  <c r="W23" i="1" s="1"/>
  <c r="V101" i="8"/>
  <c r="V213" i="8" s="1"/>
  <c r="BE129" i="7"/>
  <c r="AK127" i="7"/>
  <c r="AK128" i="7" s="1"/>
  <c r="AL123" i="7" s="1"/>
  <c r="Z22" i="1"/>
  <c r="Z23" i="1" s="1"/>
  <c r="Y101" i="8"/>
  <c r="Y213" i="8" s="1"/>
  <c r="O22" i="1"/>
  <c r="O23" i="1" s="1"/>
  <c r="N101" i="8"/>
  <c r="N213" i="8" s="1"/>
  <c r="G254" i="7"/>
  <c r="E171" i="2"/>
  <c r="F171" i="2" s="1"/>
  <c r="AL22" i="1"/>
  <c r="AL23" i="1" s="1"/>
  <c r="AK101" i="8"/>
  <c r="AK213" i="8" s="1"/>
  <c r="BP102" i="7"/>
  <c r="BP56" i="7"/>
  <c r="G44" i="7"/>
  <c r="Q22" i="1"/>
  <c r="Q23" i="1" s="1"/>
  <c r="P101" i="8"/>
  <c r="P213" i="8" s="1"/>
  <c r="G87" i="7"/>
  <c r="BP206" i="7"/>
  <c r="G206" i="7" s="1"/>
  <c r="G135" i="7"/>
  <c r="R22" i="1"/>
  <c r="R23" i="1" s="1"/>
  <c r="Q101" i="8"/>
  <c r="Q213" i="8" s="1"/>
  <c r="AO22" i="1"/>
  <c r="AO23" i="1" s="1"/>
  <c r="AN101" i="8"/>
  <c r="AN213" i="8" s="1"/>
  <c r="AI22" i="1"/>
  <c r="AI23" i="1" s="1"/>
  <c r="AH101" i="8"/>
  <c r="AH213" i="8" s="1"/>
  <c r="AD22" i="1"/>
  <c r="AD23" i="1" s="1"/>
  <c r="AC101" i="8"/>
  <c r="AC213" i="8" s="1"/>
  <c r="AF22" i="1"/>
  <c r="AF23" i="1" s="1"/>
  <c r="AE101" i="8"/>
  <c r="AE213" i="8" s="1"/>
  <c r="BP72" i="7"/>
  <c r="G60" i="7"/>
  <c r="AG22" i="1"/>
  <c r="AG23" i="1" s="1"/>
  <c r="AF101" i="8"/>
  <c r="AF213" i="8" s="1"/>
  <c r="BP162" i="7"/>
  <c r="G162" i="7" s="1"/>
  <c r="G125" i="7"/>
  <c r="AR22" i="1"/>
  <c r="AR23" i="1" s="1"/>
  <c r="AQ101" i="8"/>
  <c r="AQ213" i="8" s="1"/>
  <c r="Y22" i="1"/>
  <c r="Y23" i="1" s="1"/>
  <c r="X101" i="8"/>
  <c r="X213" i="8" s="1"/>
  <c r="L22" i="1"/>
  <c r="L23" i="1" s="1"/>
  <c r="K101" i="8"/>
  <c r="V22" i="1"/>
  <c r="V23" i="1" s="1"/>
  <c r="U101" i="8"/>
  <c r="U213" i="8" s="1"/>
  <c r="AQ22" i="1"/>
  <c r="AQ23" i="1" s="1"/>
  <c r="AP101" i="8"/>
  <c r="AP213" i="8" s="1"/>
  <c r="BE139" i="7"/>
  <c r="BB163" i="7"/>
  <c r="BB164" i="7" s="1"/>
  <c r="BB165" i="7" s="1"/>
  <c r="BB207" i="7"/>
  <c r="BB208" i="7" s="1"/>
  <c r="AM22" i="1"/>
  <c r="AM23" i="1" s="1"/>
  <c r="AL101" i="8"/>
  <c r="AL213" i="8" s="1"/>
  <c r="AE22" i="1"/>
  <c r="AE23" i="1" s="1"/>
  <c r="AD101" i="8"/>
  <c r="AD213" i="8" s="1"/>
  <c r="AN22" i="1"/>
  <c r="AN23" i="1" s="1"/>
  <c r="AM101" i="8"/>
  <c r="AM213" i="8" s="1"/>
  <c r="N22" i="1"/>
  <c r="N23" i="1" s="1"/>
  <c r="M101" i="8"/>
  <c r="M213" i="8" s="1"/>
  <c r="X22" i="1"/>
  <c r="X23" i="1" s="1"/>
  <c r="W101" i="8"/>
  <c r="W213" i="8" s="1"/>
  <c r="BP92" i="7"/>
  <c r="G92" i="7" s="1"/>
  <c r="BN160" i="7"/>
  <c r="BN124" i="7"/>
  <c r="BN161" i="7" s="1"/>
  <c r="BN134" i="7"/>
  <c r="BN205" i="7" s="1"/>
  <c r="T22" i="1"/>
  <c r="T23" i="1" s="1"/>
  <c r="S101" i="8"/>
  <c r="S213" i="8" s="1"/>
  <c r="AP22" i="1"/>
  <c r="AP23" i="1" s="1"/>
  <c r="AO101" i="8"/>
  <c r="AO213" i="8" s="1"/>
  <c r="P22" i="1"/>
  <c r="P23" i="1" s="1"/>
  <c r="O101" i="8"/>
  <c r="O213" i="8" s="1"/>
  <c r="BP90" i="7"/>
  <c r="G90" i="7" s="1"/>
  <c r="BO103" i="7"/>
  <c r="E251" i="8"/>
  <c r="E254" i="8"/>
  <c r="E252" i="8"/>
  <c r="E253" i="8"/>
  <c r="E248" i="8"/>
  <c r="E250" i="8"/>
  <c r="E249" i="8"/>
  <c r="E100" i="2"/>
  <c r="XFD100" i="2" s="1"/>
  <c r="U22" i="1"/>
  <c r="U23" i="1" s="1"/>
  <c r="T101" i="8"/>
  <c r="T213" i="8" s="1"/>
  <c r="AK22" i="1"/>
  <c r="AK23" i="1" s="1"/>
  <c r="AJ101" i="8"/>
  <c r="AJ213" i="8" s="1"/>
  <c r="G92" i="8"/>
  <c r="I22" i="1"/>
  <c r="H101" i="8"/>
  <c r="BO131" i="7"/>
  <c r="BP5" i="7"/>
  <c r="BO6" i="5"/>
  <c r="BO10" i="7"/>
  <c r="AH22" i="1"/>
  <c r="AH23" i="1" s="1"/>
  <c r="AG101" i="8"/>
  <c r="AG213" i="8" s="1"/>
  <c r="BO110" i="7"/>
  <c r="BO117" i="7"/>
  <c r="BO204" i="7" s="1"/>
  <c r="M22" i="1"/>
  <c r="M23" i="1" s="1"/>
  <c r="L101" i="8"/>
  <c r="L213" i="8" s="1"/>
  <c r="AC22" i="1"/>
  <c r="AC23" i="1" s="1"/>
  <c r="AB101" i="8"/>
  <c r="AB213" i="8" s="1"/>
  <c r="G64" i="2"/>
  <c r="F64" i="2"/>
  <c r="AK23" i="7"/>
  <c r="AK24" i="7" s="1"/>
  <c r="AJ22" i="1"/>
  <c r="AJ23" i="1" s="1"/>
  <c r="AI101" i="8"/>
  <c r="AI213" i="8" s="1"/>
  <c r="M84" i="8"/>
  <c r="M88" i="8"/>
  <c r="M89" i="8" s="1"/>
  <c r="AB22" i="1"/>
  <c r="AB23" i="1" s="1"/>
  <c r="AA101" i="8"/>
  <c r="AA213" i="8" s="1"/>
  <c r="BO57" i="7"/>
  <c r="BP93" i="7"/>
  <c r="G93" i="7" s="1"/>
  <c r="M86" i="8"/>
  <c r="J22" i="1"/>
  <c r="J23" i="1" s="1"/>
  <c r="I101" i="8"/>
  <c r="I213" i="8" s="1"/>
  <c r="K22" i="1"/>
  <c r="K23" i="1" s="1"/>
  <c r="J101" i="8"/>
  <c r="J213" i="8" s="1"/>
  <c r="S22" i="1"/>
  <c r="S23" i="1" s="1"/>
  <c r="R101" i="8"/>
  <c r="R213" i="8" s="1"/>
  <c r="BP41" i="7"/>
  <c r="AU118" i="7" l="1"/>
  <c r="AU119" i="7" s="1"/>
  <c r="AU120" i="7" s="1"/>
  <c r="AV116" i="7" s="1"/>
  <c r="AV113" i="7"/>
  <c r="AW109" i="7" s="1"/>
  <c r="AL22" i="7"/>
  <c r="AK25" i="7"/>
  <c r="BD200" i="7"/>
  <c r="BD201" i="7" s="1"/>
  <c r="BE198" i="7" s="1"/>
  <c r="AW111" i="7"/>
  <c r="AW112" i="7" s="1"/>
  <c r="N76" i="8"/>
  <c r="G339" i="8"/>
  <c r="AL126" i="7"/>
  <c r="AL130" i="7" s="1"/>
  <c r="AO83" i="7"/>
  <c r="AO84" i="7" s="1"/>
  <c r="AP81" i="7" s="1"/>
  <c r="BP103" i="7"/>
  <c r="G56" i="7"/>
  <c r="BO124" i="7"/>
  <c r="BO161" i="7" s="1"/>
  <c r="BO134" i="7"/>
  <c r="BO205" i="7" s="1"/>
  <c r="BF139" i="7"/>
  <c r="BP110" i="7"/>
  <c r="BP117" i="7"/>
  <c r="G102" i="7"/>
  <c r="M120" i="8"/>
  <c r="AM137" i="7"/>
  <c r="AM138" i="7" s="1"/>
  <c r="AN133" i="7" s="1"/>
  <c r="BN199" i="7"/>
  <c r="M119" i="8"/>
  <c r="M306" i="8"/>
  <c r="M292" i="8"/>
  <c r="M264" i="8"/>
  <c r="M299" i="8"/>
  <c r="M285" i="8"/>
  <c r="M126" i="8"/>
  <c r="M271" i="8"/>
  <c r="M320" i="8"/>
  <c r="M278" i="8"/>
  <c r="BP57" i="7"/>
  <c r="G57" i="7" s="1"/>
  <c r="BO160" i="7"/>
  <c r="G101" i="8"/>
  <c r="H213" i="8"/>
  <c r="BF129" i="7"/>
  <c r="BP131" i="7"/>
  <c r="G131" i="7" s="1" a="1"/>
  <c r="G131" i="7" s="1"/>
  <c r="BP10" i="7"/>
  <c r="BP6" i="5"/>
  <c r="N16" i="8" a="1"/>
  <c r="N16" i="8" s="1"/>
  <c r="M16" i="8" a="1"/>
  <c r="M16" i="8" s="1"/>
  <c r="O16" i="8" a="1"/>
  <c r="O16" i="8" s="1"/>
  <c r="H16" i="8" a="1"/>
  <c r="H16" i="8" s="1"/>
  <c r="J16" i="8" a="1"/>
  <c r="J16" i="8" s="1"/>
  <c r="K16" i="8" a="1"/>
  <c r="K16" i="8" s="1"/>
  <c r="Q16" i="8" a="1"/>
  <c r="Q16" i="8" s="1"/>
  <c r="L16" i="8" a="1"/>
  <c r="L16" i="8" s="1"/>
  <c r="P16" i="8" a="1"/>
  <c r="P16" i="8" s="1"/>
  <c r="I16" i="8" a="1"/>
  <c r="I16" i="8" s="1"/>
  <c r="T16" i="8" a="1"/>
  <c r="T16" i="8" s="1"/>
  <c r="R16" i="8" a="1"/>
  <c r="R16" i="8" s="1"/>
  <c r="S16" i="8" a="1"/>
  <c r="S16" i="8" s="1"/>
  <c r="V16" i="8" a="1"/>
  <c r="V16" i="8" s="1"/>
  <c r="U16" i="8" a="1"/>
  <c r="U16" i="8" s="1"/>
  <c r="W16" i="8" a="1"/>
  <c r="W16" i="8" s="1"/>
  <c r="X16" i="8" a="1"/>
  <c r="X16" i="8" s="1"/>
  <c r="Y16" i="8" a="1"/>
  <c r="Y16" i="8" s="1"/>
  <c r="Z16" i="8" a="1"/>
  <c r="Z16" i="8" s="1"/>
  <c r="AB16" i="8" a="1"/>
  <c r="AB16" i="8" s="1"/>
  <c r="AA16" i="8" a="1"/>
  <c r="AA16" i="8" s="1"/>
  <c r="AC16" i="8" a="1"/>
  <c r="AC16" i="8" s="1"/>
  <c r="AD16" i="8" a="1"/>
  <c r="AD16" i="8" s="1"/>
  <c r="AF16" i="8" a="1"/>
  <c r="AF16" i="8" s="1"/>
  <c r="AE16" i="8" a="1"/>
  <c r="AE16" i="8" s="1"/>
  <c r="AG16" i="8" a="1"/>
  <c r="AG16" i="8" s="1"/>
  <c r="AH16" i="8" a="1"/>
  <c r="AH16" i="8" s="1"/>
  <c r="AK16" i="8" a="1"/>
  <c r="AK16" i="8" s="1"/>
  <c r="AI16" i="8" a="1"/>
  <c r="AI16" i="8" s="1"/>
  <c r="AJ16" i="8" a="1"/>
  <c r="AJ16" i="8" s="1"/>
  <c r="AO16" i="8" a="1"/>
  <c r="AO16" i="8" s="1"/>
  <c r="AL16" i="8" a="1"/>
  <c r="AL16" i="8" s="1"/>
  <c r="AM16" i="8" a="1"/>
  <c r="AM16" i="8" s="1"/>
  <c r="AQ16" i="8" a="1"/>
  <c r="AQ16" i="8" s="1"/>
  <c r="AP16" i="8" a="1"/>
  <c r="AP16" i="8" s="1"/>
  <c r="AN16" i="8" a="1"/>
  <c r="AN16" i="8" s="1"/>
  <c r="E22" i="1"/>
  <c r="I23" i="1"/>
  <c r="E23" i="1" s="1"/>
  <c r="BP74" i="7"/>
  <c r="G72" i="7"/>
  <c r="BP99" i="7"/>
  <c r="G99" i="7" s="1"/>
  <c r="G144" i="7" s="1"/>
  <c r="BC163" i="7"/>
  <c r="BC164" i="7" s="1"/>
  <c r="BC165" i="7" s="1"/>
  <c r="BC207" i="7"/>
  <c r="BC208" i="7" s="1"/>
  <c r="BD79" i="7"/>
  <c r="BD75" i="7"/>
  <c r="BD76" i="7" s="1"/>
  <c r="BE73" i="7" s="1"/>
  <c r="AV118" i="7" l="1"/>
  <c r="AV119" i="7" s="1"/>
  <c r="AV120" i="7" s="1"/>
  <c r="AW116" i="7" s="1"/>
  <c r="AW118" i="7" s="1"/>
  <c r="AW119" i="7" s="1"/>
  <c r="AW113" i="7"/>
  <c r="AX109" i="7" s="1"/>
  <c r="AX111" i="7" s="1"/>
  <c r="BO199" i="7"/>
  <c r="AP82" i="7"/>
  <c r="BE200" i="7"/>
  <c r="BE201" i="7" s="1"/>
  <c r="BF198" i="7" s="1"/>
  <c r="G16" i="8"/>
  <c r="H288" i="8"/>
  <c r="H267" i="8"/>
  <c r="H260" i="8"/>
  <c r="H281" i="8"/>
  <c r="H274" i="8"/>
  <c r="H295" i="8"/>
  <c r="H302" i="8"/>
  <c r="H93" i="8"/>
  <c r="H316" i="8"/>
  <c r="AN136" i="7"/>
  <c r="AN140" i="7" s="1"/>
  <c r="M295" i="8"/>
  <c r="M267" i="8"/>
  <c r="M260" i="8"/>
  <c r="M274" i="8"/>
  <c r="M302" i="8"/>
  <c r="M288" i="8"/>
  <c r="M281" i="8"/>
  <c r="M316" i="8"/>
  <c r="M93" i="8"/>
  <c r="BG139" i="7"/>
  <c r="E240" i="8"/>
  <c r="E227" i="8"/>
  <c r="E241" i="8"/>
  <c r="E242" i="8"/>
  <c r="E239" i="8"/>
  <c r="I227" i="7"/>
  <c r="I228" i="7" s="1"/>
  <c r="H227" i="7"/>
  <c r="H228" i="7" s="1"/>
  <c r="N227" i="7"/>
  <c r="N228" i="7" s="1"/>
  <c r="M227" i="7"/>
  <c r="M228" i="7" s="1"/>
  <c r="L227" i="7"/>
  <c r="L228" i="7" s="1"/>
  <c r="K227" i="7"/>
  <c r="K228" i="7" s="1"/>
  <c r="J227" i="7"/>
  <c r="J228" i="7" s="1"/>
  <c r="E229" i="8"/>
  <c r="E233" i="8"/>
  <c r="E230" i="8"/>
  <c r="E231" i="8"/>
  <c r="E237" i="8"/>
  <c r="E232" i="8"/>
  <c r="E238" i="8"/>
  <c r="E243" i="8"/>
  <c r="E228" i="8"/>
  <c r="G145" i="7"/>
  <c r="M209" i="8"/>
  <c r="N26" i="1"/>
  <c r="BP204" i="7"/>
  <c r="G117" i="7"/>
  <c r="BP124" i="7"/>
  <c r="BP199" i="7" s="1"/>
  <c r="BP134" i="7"/>
  <c r="G103" i="7"/>
  <c r="I295" i="8"/>
  <c r="I288" i="8"/>
  <c r="I267" i="8"/>
  <c r="I281" i="8"/>
  <c r="I260" i="8"/>
  <c r="I274" i="8"/>
  <c r="I302" i="8"/>
  <c r="I93" i="8"/>
  <c r="I316" i="8"/>
  <c r="BP160" i="7"/>
  <c r="G110" i="7"/>
  <c r="AL127" i="7"/>
  <c r="AL128" i="7" s="1"/>
  <c r="AM123" i="7" s="1"/>
  <c r="BE79" i="7"/>
  <c r="BE75" i="7"/>
  <c r="BE76" i="7" s="1"/>
  <c r="BF73" i="7" s="1"/>
  <c r="N81" i="8"/>
  <c r="N85" i="8"/>
  <c r="N117" i="8" s="1"/>
  <c r="G23" i="1"/>
  <c r="F23" i="1"/>
  <c r="G22" i="1"/>
  <c r="F22" i="1"/>
  <c r="L302" i="8"/>
  <c r="L288" i="8"/>
  <c r="L260" i="8"/>
  <c r="L281" i="8"/>
  <c r="L274" i="8"/>
  <c r="L295" i="8"/>
  <c r="L267" i="8"/>
  <c r="L316" i="8"/>
  <c r="L93" i="8"/>
  <c r="BD163" i="7"/>
  <c r="BD164" i="7" s="1"/>
  <c r="BD207" i="7"/>
  <c r="BD208" i="7" s="1"/>
  <c r="BG129" i="7"/>
  <c r="K302" i="8"/>
  <c r="K260" i="8"/>
  <c r="K281" i="8"/>
  <c r="K295" i="8"/>
  <c r="K274" i="8"/>
  <c r="K288" i="8"/>
  <c r="K267" i="8"/>
  <c r="K316" i="8"/>
  <c r="K93" i="8"/>
  <c r="AL23" i="7"/>
  <c r="AL24" i="7" s="1"/>
  <c r="J302" i="8"/>
  <c r="J281" i="8"/>
  <c r="J288" i="8"/>
  <c r="J267" i="8"/>
  <c r="J260" i="8"/>
  <c r="J274" i="8"/>
  <c r="J295" i="8"/>
  <c r="J93" i="8"/>
  <c r="J316" i="8"/>
  <c r="G199" i="7" l="1"/>
  <c r="AW120" i="7"/>
  <c r="AX116" i="7" s="1"/>
  <c r="BF79" i="7"/>
  <c r="BF75" i="7"/>
  <c r="BF76" i="7" s="1"/>
  <c r="BG73" i="7" s="1"/>
  <c r="AM126" i="7"/>
  <c r="AM22" i="7"/>
  <c r="AL25" i="7"/>
  <c r="AX118" i="7"/>
  <c r="AX119" i="7" s="1"/>
  <c r="AX120" i="7" s="1"/>
  <c r="AY116" i="7" s="1"/>
  <c r="L99" i="8"/>
  <c r="N365" i="8"/>
  <c r="N364" i="8"/>
  <c r="N93" i="8"/>
  <c r="N316" i="8"/>
  <c r="BP205" i="7"/>
  <c r="G205" i="7" s="1"/>
  <c r="G134" i="7"/>
  <c r="N274" i="8"/>
  <c r="M99" i="8"/>
  <c r="AN137" i="7"/>
  <c r="AN138" i="7" s="1"/>
  <c r="AO133" i="7" s="1"/>
  <c r="G160" i="7"/>
  <c r="BP161" i="7"/>
  <c r="G161" i="7" s="1"/>
  <c r="G124" i="7"/>
  <c r="N281" i="8"/>
  <c r="AX112" i="7"/>
  <c r="AX113" i="7" s="1"/>
  <c r="AY109" i="7" s="1"/>
  <c r="G204" i="7"/>
  <c r="H317" i="8"/>
  <c r="I317" i="8" s="1"/>
  <c r="H318" i="8"/>
  <c r="J229" i="7"/>
  <c r="H95" i="8"/>
  <c r="H99" i="8"/>
  <c r="M229" i="7"/>
  <c r="N267" i="8"/>
  <c r="H275" i="8"/>
  <c r="I275" i="8" s="1"/>
  <c r="J275" i="8" s="1"/>
  <c r="K275" i="8" s="1"/>
  <c r="L275" i="8" s="1"/>
  <c r="M275" i="8" s="1"/>
  <c r="H276" i="8"/>
  <c r="K229" i="7"/>
  <c r="K230" i="7" s="1"/>
  <c r="L229" i="7"/>
  <c r="L230" i="7" s="1"/>
  <c r="BH129" i="7"/>
  <c r="N229" i="7"/>
  <c r="N288" i="8"/>
  <c r="H282" i="8"/>
  <c r="I282" i="8" s="1"/>
  <c r="J282" i="8" s="1"/>
  <c r="K282" i="8" s="1"/>
  <c r="L282" i="8" s="1"/>
  <c r="M282" i="8" s="1"/>
  <c r="H283" i="8"/>
  <c r="K99" i="8"/>
  <c r="I99" i="8"/>
  <c r="BE163" i="7"/>
  <c r="BE164" i="7" s="1"/>
  <c r="BE207" i="7"/>
  <c r="BE208" i="7" s="1"/>
  <c r="H229" i="7"/>
  <c r="H230" i="7" s="1"/>
  <c r="N260" i="8"/>
  <c r="H261" i="8"/>
  <c r="I261" i="8" s="1"/>
  <c r="J261" i="8" s="1"/>
  <c r="K261" i="8" s="1"/>
  <c r="L261" i="8" s="1"/>
  <c r="M261" i="8" s="1"/>
  <c r="H262" i="8"/>
  <c r="AP83" i="7"/>
  <c r="AP84" i="7" s="1"/>
  <c r="AQ81" i="7" s="1"/>
  <c r="J99" i="8"/>
  <c r="BH139" i="7"/>
  <c r="H303" i="8"/>
  <c r="I303" i="8" s="1"/>
  <c r="J303" i="8" s="1"/>
  <c r="K303" i="8" s="1"/>
  <c r="L303" i="8" s="1"/>
  <c r="M303" i="8" s="1"/>
  <c r="H304" i="8"/>
  <c r="E202" i="8"/>
  <c r="G146" i="7"/>
  <c r="G147" i="7" s="1"/>
  <c r="H296" i="8"/>
  <c r="I296" i="8" s="1"/>
  <c r="J296" i="8" s="1"/>
  <c r="K296" i="8" s="1"/>
  <c r="L296" i="8" s="1"/>
  <c r="M296" i="8" s="1"/>
  <c r="H297" i="8"/>
  <c r="N207" i="8"/>
  <c r="O17" i="1"/>
  <c r="I229" i="7"/>
  <c r="I230" i="7" s="1"/>
  <c r="N302" i="8"/>
  <c r="H268" i="8"/>
  <c r="I268" i="8" s="1"/>
  <c r="J268" i="8" s="1"/>
  <c r="K268" i="8" s="1"/>
  <c r="L268" i="8" s="1"/>
  <c r="M268" i="8" s="1"/>
  <c r="H269" i="8"/>
  <c r="N295" i="8"/>
  <c r="H289" i="8"/>
  <c r="I289" i="8" s="1"/>
  <c r="J289" i="8" s="1"/>
  <c r="K289" i="8" s="1"/>
  <c r="L289" i="8" s="1"/>
  <c r="M289" i="8" s="1"/>
  <c r="H290" i="8"/>
  <c r="BF200" i="7"/>
  <c r="BF201" i="7" s="1"/>
  <c r="BG198" i="7" s="1"/>
  <c r="BD165" i="7"/>
  <c r="N303" i="8" l="1"/>
  <c r="N230" i="7"/>
  <c r="N231" i="7" s="1"/>
  <c r="N232" i="7" s="1"/>
  <c r="K262" i="8"/>
  <c r="J262" i="8"/>
  <c r="L283" i="8"/>
  <c r="I283" i="8"/>
  <c r="K297" i="8"/>
  <c r="N261" i="8"/>
  <c r="M269" i="8"/>
  <c r="I276" i="8"/>
  <c r="N269" i="8"/>
  <c r="N289" i="8"/>
  <c r="I269" i="8"/>
  <c r="M262" i="8"/>
  <c r="I262" i="8"/>
  <c r="N282" i="8"/>
  <c r="N296" i="8"/>
  <c r="K283" i="8"/>
  <c r="J269" i="8"/>
  <c r="N275" i="8"/>
  <c r="M283" i="8"/>
  <c r="I166" i="7"/>
  <c r="J209" i="7"/>
  <c r="K166" i="7"/>
  <c r="H209" i="7"/>
  <c r="L166" i="7"/>
  <c r="L209" i="7"/>
  <c r="I209" i="7"/>
  <c r="H166" i="7"/>
  <c r="J166" i="7"/>
  <c r="K209" i="7"/>
  <c r="M209" i="7"/>
  <c r="M166" i="7"/>
  <c r="N166" i="7"/>
  <c r="N209" i="7"/>
  <c r="O209" i="7"/>
  <c r="O166" i="7"/>
  <c r="P166" i="7"/>
  <c r="P209" i="7"/>
  <c r="Q209" i="7"/>
  <c r="Q166" i="7"/>
  <c r="R166" i="7"/>
  <c r="R209" i="7"/>
  <c r="S209" i="7"/>
  <c r="S166" i="7"/>
  <c r="T166" i="7"/>
  <c r="T209" i="7"/>
  <c r="U209" i="7"/>
  <c r="U166" i="7"/>
  <c r="V209" i="7"/>
  <c r="V166" i="7"/>
  <c r="W166" i="7"/>
  <c r="W209" i="7"/>
  <c r="X166" i="7"/>
  <c r="X209" i="7"/>
  <c r="Y209" i="7"/>
  <c r="Y166" i="7"/>
  <c r="Z209" i="7"/>
  <c r="Z166" i="7"/>
  <c r="AA209" i="7"/>
  <c r="AA166" i="7"/>
  <c r="AB166" i="7"/>
  <c r="AB209" i="7"/>
  <c r="AC209" i="7"/>
  <c r="AC166" i="7"/>
  <c r="AD166" i="7"/>
  <c r="AD209" i="7"/>
  <c r="AE166" i="7"/>
  <c r="AE209" i="7"/>
  <c r="AF209" i="7"/>
  <c r="AF166" i="7"/>
  <c r="AG209" i="7"/>
  <c r="AG166" i="7"/>
  <c r="AH166" i="7"/>
  <c r="AH209" i="7"/>
  <c r="AI209" i="7"/>
  <c r="AI166" i="7"/>
  <c r="AJ166" i="7"/>
  <c r="AJ209" i="7"/>
  <c r="AK166" i="7"/>
  <c r="AK209" i="7"/>
  <c r="AL166" i="7"/>
  <c r="AL209" i="7"/>
  <c r="AM166" i="7"/>
  <c r="AM209" i="7"/>
  <c r="AN166" i="7"/>
  <c r="AN209" i="7"/>
  <c r="AO209" i="7"/>
  <c r="AO166" i="7"/>
  <c r="AP209" i="7"/>
  <c r="AP166" i="7"/>
  <c r="AQ209" i="7"/>
  <c r="AQ166" i="7"/>
  <c r="AR166" i="7"/>
  <c r="AR209" i="7"/>
  <c r="AS209" i="7"/>
  <c r="AS166" i="7"/>
  <c r="AT166" i="7"/>
  <c r="AT209" i="7"/>
  <c r="AU166" i="7"/>
  <c r="AU209" i="7"/>
  <c r="AV166" i="7"/>
  <c r="AV209" i="7"/>
  <c r="AW166" i="7"/>
  <c r="AW209" i="7"/>
  <c r="AX166" i="7"/>
  <c r="AX209" i="7"/>
  <c r="AY209" i="7"/>
  <c r="AY166" i="7"/>
  <c r="AZ166" i="7"/>
  <c r="AZ209" i="7"/>
  <c r="BA166" i="7"/>
  <c r="BA209" i="7"/>
  <c r="BB166" i="7"/>
  <c r="BB209" i="7"/>
  <c r="BC209" i="7"/>
  <c r="BC166" i="7"/>
  <c r="BD209" i="7"/>
  <c r="BD166" i="7"/>
  <c r="BE166" i="7"/>
  <c r="BE209" i="7"/>
  <c r="BF166" i="7"/>
  <c r="BF209" i="7"/>
  <c r="BG209" i="7"/>
  <c r="BG166" i="7"/>
  <c r="BH166" i="7"/>
  <c r="BH209" i="7"/>
  <c r="BI209" i="7"/>
  <c r="BI166" i="7"/>
  <c r="BJ209" i="7"/>
  <c r="BJ166" i="7"/>
  <c r="BK166" i="7"/>
  <c r="BK209" i="7"/>
  <c r="BL209" i="7"/>
  <c r="BL166" i="7"/>
  <c r="BM209" i="7"/>
  <c r="BM166" i="7"/>
  <c r="BN209" i="7"/>
  <c r="BN166" i="7"/>
  <c r="BO209" i="7"/>
  <c r="BO166" i="7"/>
  <c r="BP209" i="7"/>
  <c r="BP166" i="7"/>
  <c r="J317" i="8"/>
  <c r="J318" i="8"/>
  <c r="J319" i="8" s="1"/>
  <c r="AQ82" i="7"/>
  <c r="AY111" i="7"/>
  <c r="AY112" i="7" s="1"/>
  <c r="BG79" i="7"/>
  <c r="BG75" i="7"/>
  <c r="BG76" i="7" s="1"/>
  <c r="BH73" i="7" s="1"/>
  <c r="I297" i="8"/>
  <c r="AY118" i="7"/>
  <c r="AY119" i="7" s="1"/>
  <c r="H231" i="7"/>
  <c r="H232" i="7" s="1"/>
  <c r="M276" i="8"/>
  <c r="H97" i="8"/>
  <c r="M290" i="8"/>
  <c r="N99" i="8"/>
  <c r="J290" i="8"/>
  <c r="H96" i="8"/>
  <c r="I290" i="8"/>
  <c r="N83" i="8"/>
  <c r="AM23" i="7"/>
  <c r="AM24" i="7" s="1"/>
  <c r="M304" i="8"/>
  <c r="AM130" i="7"/>
  <c r="N297" i="8"/>
  <c r="BI129" i="7"/>
  <c r="I318" i="8"/>
  <c r="I319" i="8" s="1"/>
  <c r="AM127" i="7"/>
  <c r="AM128" i="7" s="1"/>
  <c r="AN123" i="7" s="1"/>
  <c r="J283" i="8"/>
  <c r="I304" i="8"/>
  <c r="BI139" i="7"/>
  <c r="L304" i="8"/>
  <c r="L297" i="8"/>
  <c r="N268" i="8"/>
  <c r="M297" i="8"/>
  <c r="N304" i="8"/>
  <c r="K276" i="8"/>
  <c r="N290" i="8"/>
  <c r="K269" i="8"/>
  <c r="J276" i="8"/>
  <c r="L290" i="8"/>
  <c r="AO136" i="7"/>
  <c r="AO137" i="7" s="1"/>
  <c r="AO138" i="7" s="1"/>
  <c r="AP133" i="7" s="1"/>
  <c r="J230" i="7"/>
  <c r="K304" i="8"/>
  <c r="L276" i="8"/>
  <c r="N283" i="8"/>
  <c r="M230" i="7"/>
  <c r="K231" i="7"/>
  <c r="J297" i="8"/>
  <c r="BE165" i="7"/>
  <c r="G223" i="8"/>
  <c r="K202" i="8"/>
  <c r="AM227" i="8"/>
  <c r="U231" i="8"/>
  <c r="AN231" i="8"/>
  <c r="AJ233" i="8"/>
  <c r="AE232" i="8"/>
  <c r="Z233" i="8"/>
  <c r="Q228" i="8"/>
  <c r="N230" i="8"/>
  <c r="AC233" i="8"/>
  <c r="I227" i="8"/>
  <c r="T228" i="8"/>
  <c r="X231" i="8"/>
  <c r="L232" i="8"/>
  <c r="AD231" i="8"/>
  <c r="Y233" i="8"/>
  <c r="AH232" i="8"/>
  <c r="AK230" i="8"/>
  <c r="AM228" i="8"/>
  <c r="U229" i="8"/>
  <c r="AN230" i="8"/>
  <c r="AO231" i="8"/>
  <c r="AE233" i="8"/>
  <c r="Z229" i="8"/>
  <c r="Q229" i="8"/>
  <c r="N227" i="8"/>
  <c r="AC230" i="8"/>
  <c r="I231" i="8"/>
  <c r="AP233" i="8"/>
  <c r="X230" i="8"/>
  <c r="L228" i="8"/>
  <c r="AD228" i="8"/>
  <c r="Y230" i="8"/>
  <c r="AA232" i="8"/>
  <c r="AH229" i="8"/>
  <c r="AK227" i="8"/>
  <c r="AM233" i="8"/>
  <c r="AQ228" i="8"/>
  <c r="AN228" i="8"/>
  <c r="AO228" i="8"/>
  <c r="AE228" i="8"/>
  <c r="Z227" i="8"/>
  <c r="Q227" i="8"/>
  <c r="N232" i="8"/>
  <c r="AC232" i="8"/>
  <c r="I228" i="8"/>
  <c r="AP230" i="8"/>
  <c r="X232" i="8"/>
  <c r="L233" i="8"/>
  <c r="AF231" i="8"/>
  <c r="Y231" i="8"/>
  <c r="AA228" i="8"/>
  <c r="AH230" i="8"/>
  <c r="R229" i="8"/>
  <c r="AG230" i="8"/>
  <c r="O227" i="8"/>
  <c r="AL233" i="8"/>
  <c r="AB231" i="8"/>
  <c r="AG231" i="8"/>
  <c r="AL229" i="8"/>
  <c r="AB232" i="8"/>
  <c r="R233" i="8"/>
  <c r="R230" i="8"/>
  <c r="O230" i="8"/>
  <c r="R227" i="8"/>
  <c r="V230" i="8"/>
  <c r="O232" i="8"/>
  <c r="AL231" i="8"/>
  <c r="AB228" i="8"/>
  <c r="P228" i="8"/>
  <c r="AM229" i="8"/>
  <c r="AQ233" i="8"/>
  <c r="AN227" i="8"/>
  <c r="AO232" i="8"/>
  <c r="AE227" i="8"/>
  <c r="Z230" i="8"/>
  <c r="Q232" i="8"/>
  <c r="AI230" i="8"/>
  <c r="AC227" i="8"/>
  <c r="I229" i="8"/>
  <c r="AP227" i="8"/>
  <c r="J232" i="8"/>
  <c r="L229" i="8"/>
  <c r="AF227" i="8"/>
  <c r="Y228" i="8"/>
  <c r="AA229" i="8"/>
  <c r="AH231" i="8"/>
  <c r="AG227" i="8"/>
  <c r="M232" i="8"/>
  <c r="AL230" i="8"/>
  <c r="AB227" i="8"/>
  <c r="M229" i="8"/>
  <c r="V227" i="8"/>
  <c r="O233" i="8"/>
  <c r="M233" i="8"/>
  <c r="P232" i="8"/>
  <c r="AM230" i="8"/>
  <c r="AQ230" i="8"/>
  <c r="AO229" i="8"/>
  <c r="S230" i="8"/>
  <c r="Q233" i="8"/>
  <c r="AI227" i="8"/>
  <c r="AC229" i="8"/>
  <c r="I232" i="8"/>
  <c r="AP228" i="8"/>
  <c r="J229" i="8"/>
  <c r="L231" i="8"/>
  <c r="AF233" i="8"/>
  <c r="W231" i="8"/>
  <c r="AA230" i="8"/>
  <c r="AH227" i="8"/>
  <c r="R232" i="8"/>
  <c r="AG233" i="8"/>
  <c r="O229" i="8"/>
  <c r="AL232" i="8"/>
  <c r="AB230" i="8"/>
  <c r="AM231" i="8"/>
  <c r="AQ231" i="8"/>
  <c r="AO230" i="8"/>
  <c r="S231" i="8"/>
  <c r="Q230" i="8"/>
  <c r="AI232" i="8"/>
  <c r="AP229" i="8"/>
  <c r="J227" i="8"/>
  <c r="L230" i="8"/>
  <c r="AF230" i="8"/>
  <c r="W232" i="8"/>
  <c r="AA227" i="8"/>
  <c r="AH233" i="8"/>
  <c r="V232" i="8"/>
  <c r="AG232" i="8"/>
  <c r="M228" i="8"/>
  <c r="P229" i="8"/>
  <c r="V229" i="8"/>
  <c r="AG229" i="8"/>
  <c r="M230" i="8"/>
  <c r="P230" i="8"/>
  <c r="V228" i="8"/>
  <c r="M227" i="8"/>
  <c r="P233" i="8"/>
  <c r="AM232" i="8"/>
  <c r="AQ232" i="8"/>
  <c r="AJ231" i="8"/>
  <c r="AO233" i="8"/>
  <c r="S227" i="8"/>
  <c r="AI228" i="8"/>
  <c r="T230" i="8"/>
  <c r="AP231" i="8"/>
  <c r="J228" i="8"/>
  <c r="L227" i="8"/>
  <c r="AF232" i="8"/>
  <c r="W228" i="8"/>
  <c r="AA231" i="8"/>
  <c r="AH228" i="8"/>
  <c r="V231" i="8"/>
  <c r="AG228" i="8"/>
  <c r="M231" i="8"/>
  <c r="P231" i="8"/>
  <c r="R231" i="8"/>
  <c r="V233" i="8"/>
  <c r="O228" i="8"/>
  <c r="AL228" i="8"/>
  <c r="AB233" i="8"/>
  <c r="P227" i="8"/>
  <c r="R228" i="8"/>
  <c r="O231" i="8"/>
  <c r="AL227" i="8"/>
  <c r="AB229" i="8"/>
  <c r="U233" i="8"/>
  <c r="AQ229" i="8"/>
  <c r="AJ227" i="8"/>
  <c r="AO227" i="8"/>
  <c r="S232" i="8"/>
  <c r="AI233" i="8"/>
  <c r="T231" i="8"/>
  <c r="AP232" i="8"/>
  <c r="J233" i="8"/>
  <c r="AD233" i="8"/>
  <c r="AF229" i="8"/>
  <c r="W233" i="8"/>
  <c r="AA233" i="8"/>
  <c r="AK232" i="8"/>
  <c r="U230" i="8"/>
  <c r="AQ227" i="8"/>
  <c r="AJ232" i="8"/>
  <c r="S233" i="8"/>
  <c r="N231" i="8"/>
  <c r="AI231" i="8"/>
  <c r="T227" i="8"/>
  <c r="X227" i="8"/>
  <c r="J231" i="8"/>
  <c r="AD230" i="8"/>
  <c r="AF228" i="8"/>
  <c r="W230" i="8"/>
  <c r="AK229" i="8"/>
  <c r="U227" i="8"/>
  <c r="AN232" i="8"/>
  <c r="AJ228" i="8"/>
  <c r="AE229" i="8"/>
  <c r="Z231" i="8"/>
  <c r="S229" i="8"/>
  <c r="N228" i="8"/>
  <c r="AI229" i="8"/>
  <c r="T232" i="8"/>
  <c r="X228" i="8"/>
  <c r="J230" i="8"/>
  <c r="AD227" i="8"/>
  <c r="Y232" i="8"/>
  <c r="W227" i="8"/>
  <c r="AK231" i="8"/>
  <c r="U232" i="8"/>
  <c r="AN233" i="8"/>
  <c r="AJ230" i="8"/>
  <c r="AE230" i="8"/>
  <c r="Z228" i="8"/>
  <c r="S228" i="8"/>
  <c r="N233" i="8"/>
  <c r="AC231" i="8"/>
  <c r="I233" i="8"/>
  <c r="T233" i="8"/>
  <c r="X233" i="8"/>
  <c r="AD229" i="8"/>
  <c r="Y229" i="8"/>
  <c r="W229" i="8"/>
  <c r="AK228" i="8"/>
  <c r="U228" i="8"/>
  <c r="AN229" i="8"/>
  <c r="AJ229" i="8"/>
  <c r="AE231" i="8"/>
  <c r="Z232" i="8"/>
  <c r="Q231" i="8"/>
  <c r="N229" i="8"/>
  <c r="AC228" i="8"/>
  <c r="I230" i="8"/>
  <c r="T229" i="8"/>
  <c r="X229" i="8"/>
  <c r="AD232" i="8"/>
  <c r="Y227" i="8"/>
  <c r="AK233" i="8"/>
  <c r="H228" i="8"/>
  <c r="H233" i="8"/>
  <c r="H230" i="8"/>
  <c r="H227" i="8"/>
  <c r="H229" i="8"/>
  <c r="H231" i="8"/>
  <c r="H232" i="8"/>
  <c r="L231" i="7"/>
  <c r="L232" i="7" s="1"/>
  <c r="L269" i="8"/>
  <c r="H319" i="8"/>
  <c r="BF163" i="7"/>
  <c r="BF164" i="7" s="1"/>
  <c r="BF207" i="7"/>
  <c r="BF208" i="7" s="1"/>
  <c r="BG200" i="7"/>
  <c r="BG201" i="7" s="1"/>
  <c r="BH198" i="7" s="1"/>
  <c r="G148" i="7"/>
  <c r="K290" i="8"/>
  <c r="J304" i="8"/>
  <c r="I231" i="7"/>
  <c r="I232" i="7" s="1"/>
  <c r="L262" i="8"/>
  <c r="N262" i="8"/>
  <c r="N276" i="8"/>
  <c r="AY113" i="7" l="1"/>
  <c r="AZ109" i="7" s="1"/>
  <c r="AY120" i="7"/>
  <c r="AZ116" i="7" s="1"/>
  <c r="AO140" i="7"/>
  <c r="AN22" i="7"/>
  <c r="AM25" i="7"/>
  <c r="BH79" i="7"/>
  <c r="BH75" i="7"/>
  <c r="BH76" i="7" s="1"/>
  <c r="BI73" i="7" s="1"/>
  <c r="BH200" i="7"/>
  <c r="BH201" i="7" s="1"/>
  <c r="BI198" i="7" s="1"/>
  <c r="AP136" i="7"/>
  <c r="AP140" i="7" s="1"/>
  <c r="AN126" i="7"/>
  <c r="AN130" i="7" s="1"/>
  <c r="AQ83" i="7"/>
  <c r="AQ84" i="7" s="1"/>
  <c r="AR81" i="7" s="1"/>
  <c r="G166" i="7"/>
  <c r="K213" i="8"/>
  <c r="G202" i="8"/>
  <c r="BJ139" i="7"/>
  <c r="H98" i="8"/>
  <c r="K232" i="7"/>
  <c r="K317" i="8"/>
  <c r="K318" i="8"/>
  <c r="BF165" i="7"/>
  <c r="G209" i="7"/>
  <c r="BJ129" i="7"/>
  <c r="G149" i="7"/>
  <c r="N88" i="8"/>
  <c r="N89" i="8" s="1"/>
  <c r="N86" i="8"/>
  <c r="BG163" i="7"/>
  <c r="BG164" i="7" s="1"/>
  <c r="BG207" i="7"/>
  <c r="BG208" i="7" s="1"/>
  <c r="I94" i="8"/>
  <c r="J231" i="7"/>
  <c r="H167" i="7"/>
  <c r="K167" i="7"/>
  <c r="L210" i="7"/>
  <c r="K210" i="7"/>
  <c r="I210" i="7"/>
  <c r="J167" i="7"/>
  <c r="H210" i="7"/>
  <c r="I167" i="7"/>
  <c r="L167" i="7"/>
  <c r="J210" i="7"/>
  <c r="M210" i="7"/>
  <c r="M167" i="7"/>
  <c r="N210" i="7"/>
  <c r="N167" i="7"/>
  <c r="O167" i="7"/>
  <c r="O210" i="7"/>
  <c r="P167" i="7"/>
  <c r="P210" i="7"/>
  <c r="Q210" i="7"/>
  <c r="Q167" i="7"/>
  <c r="R210" i="7"/>
  <c r="R167" i="7"/>
  <c r="S210" i="7"/>
  <c r="S167" i="7"/>
  <c r="T167" i="7"/>
  <c r="T210" i="7"/>
  <c r="U167" i="7"/>
  <c r="U210" i="7"/>
  <c r="V167" i="7"/>
  <c r="V210" i="7"/>
  <c r="W210" i="7"/>
  <c r="W167" i="7"/>
  <c r="X210" i="7"/>
  <c r="X167" i="7"/>
  <c r="Y210" i="7"/>
  <c r="Y167" i="7"/>
  <c r="Z167" i="7"/>
  <c r="Z210" i="7"/>
  <c r="AA167" i="7"/>
  <c r="AA210" i="7"/>
  <c r="AB210" i="7"/>
  <c r="AB167" i="7"/>
  <c r="AC167" i="7"/>
  <c r="AC210" i="7"/>
  <c r="AD167" i="7"/>
  <c r="AD210" i="7"/>
  <c r="AE167" i="7"/>
  <c r="AE210" i="7"/>
  <c r="AF167" i="7"/>
  <c r="AF210" i="7"/>
  <c r="AG167" i="7"/>
  <c r="AG210" i="7"/>
  <c r="AH210" i="7"/>
  <c r="AH167" i="7"/>
  <c r="AI210" i="7"/>
  <c r="AI167" i="7"/>
  <c r="AJ167" i="7"/>
  <c r="AJ210" i="7"/>
  <c r="AK210" i="7"/>
  <c r="AK167" i="7"/>
  <c r="AL210" i="7"/>
  <c r="AL167" i="7"/>
  <c r="AM210" i="7"/>
  <c r="AM167" i="7"/>
  <c r="AN210" i="7"/>
  <c r="AN167" i="7"/>
  <c r="AO210" i="7"/>
  <c r="AO167" i="7"/>
  <c r="AP210" i="7"/>
  <c r="AP167" i="7"/>
  <c r="AQ167" i="7"/>
  <c r="AQ210" i="7"/>
  <c r="AR167" i="7"/>
  <c r="AR210" i="7"/>
  <c r="AS210" i="7"/>
  <c r="AS167" i="7"/>
  <c r="AT210" i="7"/>
  <c r="AT167" i="7"/>
  <c r="AU210" i="7"/>
  <c r="AU167" i="7"/>
  <c r="AV210" i="7"/>
  <c r="AV167" i="7"/>
  <c r="AW210" i="7"/>
  <c r="AW167" i="7"/>
  <c r="AX210" i="7"/>
  <c r="AX167" i="7"/>
  <c r="AY210" i="7"/>
  <c r="AY167" i="7"/>
  <c r="AZ167" i="7"/>
  <c r="AZ210" i="7"/>
  <c r="BA210" i="7"/>
  <c r="BA167" i="7"/>
  <c r="BB210" i="7"/>
  <c r="BB167" i="7"/>
  <c r="BC167" i="7"/>
  <c r="BC210" i="7"/>
  <c r="BD167" i="7"/>
  <c r="BD210" i="7"/>
  <c r="BE167" i="7"/>
  <c r="BE210" i="7"/>
  <c r="BF167" i="7"/>
  <c r="BF210" i="7"/>
  <c r="BG210" i="7"/>
  <c r="BG167" i="7"/>
  <c r="BH210" i="7"/>
  <c r="BH167" i="7"/>
  <c r="BI210" i="7"/>
  <c r="BI167" i="7"/>
  <c r="BJ210" i="7"/>
  <c r="BJ167" i="7"/>
  <c r="BK210" i="7"/>
  <c r="BK167" i="7"/>
  <c r="BL167" i="7"/>
  <c r="BL210" i="7"/>
  <c r="BM167" i="7"/>
  <c r="BM210" i="7"/>
  <c r="BN210" i="7"/>
  <c r="BN167" i="7"/>
  <c r="BO167" i="7"/>
  <c r="BO210" i="7"/>
  <c r="BP210" i="7"/>
  <c r="BP167" i="7"/>
  <c r="AZ118" i="7"/>
  <c r="AZ119" i="7" s="1"/>
  <c r="AZ111" i="7"/>
  <c r="AZ112" i="7" s="1"/>
  <c r="M231" i="7"/>
  <c r="AZ113" i="7" l="1"/>
  <c r="BA109" i="7" s="1"/>
  <c r="BA111" i="7" s="1"/>
  <c r="AZ120" i="7"/>
  <c r="BA116" i="7" s="1"/>
  <c r="BA118" i="7" s="1"/>
  <c r="BA119" i="7" s="1"/>
  <c r="BG165" i="7"/>
  <c r="AR82" i="7"/>
  <c r="BI200" i="7"/>
  <c r="BI201" i="7" s="1"/>
  <c r="BJ198" i="7" s="1"/>
  <c r="BI79" i="7"/>
  <c r="BI75" i="7"/>
  <c r="BI76" i="7" s="1"/>
  <c r="BJ73" i="7" s="1"/>
  <c r="M232" i="7"/>
  <c r="AP137" i="7"/>
  <c r="AP138" i="7" s="1"/>
  <c r="AQ133" i="7" s="1"/>
  <c r="G167" i="7"/>
  <c r="N120" i="8"/>
  <c r="K319" i="8"/>
  <c r="L317" i="8"/>
  <c r="L318" i="8"/>
  <c r="L319" i="8" s="1"/>
  <c r="G210" i="7"/>
  <c r="H100" i="8"/>
  <c r="H211" i="7"/>
  <c r="L168" i="7"/>
  <c r="I211" i="7"/>
  <c r="J168" i="7"/>
  <c r="J211" i="7"/>
  <c r="K211" i="7"/>
  <c r="K168" i="7"/>
  <c r="I168" i="7"/>
  <c r="L211" i="7"/>
  <c r="H168" i="7"/>
  <c r="M211" i="7"/>
  <c r="M168" i="7"/>
  <c r="N211" i="7"/>
  <c r="N168" i="7"/>
  <c r="O168" i="7"/>
  <c r="O211" i="7"/>
  <c r="P168" i="7"/>
  <c r="P211" i="7"/>
  <c r="Q168" i="7"/>
  <c r="Q211" i="7"/>
  <c r="R168" i="7"/>
  <c r="R211" i="7"/>
  <c r="S168" i="7"/>
  <c r="S211" i="7"/>
  <c r="T211" i="7"/>
  <c r="T168" i="7"/>
  <c r="U168" i="7"/>
  <c r="U211" i="7"/>
  <c r="V211" i="7"/>
  <c r="V168" i="7"/>
  <c r="W211" i="7"/>
  <c r="W168" i="7"/>
  <c r="X168" i="7"/>
  <c r="X211" i="7"/>
  <c r="Y211" i="7"/>
  <c r="Y168" i="7"/>
  <c r="Z168" i="7"/>
  <c r="Z211" i="7"/>
  <c r="AA211" i="7"/>
  <c r="AA168" i="7"/>
  <c r="AB168" i="7"/>
  <c r="AB211" i="7"/>
  <c r="AC168" i="7"/>
  <c r="AC211" i="7"/>
  <c r="AD168" i="7"/>
  <c r="AD211" i="7"/>
  <c r="AE211" i="7"/>
  <c r="AE168" i="7"/>
  <c r="AF211" i="7"/>
  <c r="AF168" i="7"/>
  <c r="AG211" i="7"/>
  <c r="AG168" i="7"/>
  <c r="AH168" i="7"/>
  <c r="AH211" i="7"/>
  <c r="AI211" i="7"/>
  <c r="AI168" i="7"/>
  <c r="AJ211" i="7"/>
  <c r="AJ168" i="7"/>
  <c r="AK211" i="7"/>
  <c r="AK168" i="7"/>
  <c r="AL211" i="7"/>
  <c r="AL168" i="7"/>
  <c r="AM211" i="7"/>
  <c r="AM168" i="7"/>
  <c r="AN211" i="7"/>
  <c r="AN168" i="7"/>
  <c r="AO211" i="7"/>
  <c r="AO168" i="7"/>
  <c r="AP211" i="7"/>
  <c r="AP168" i="7"/>
  <c r="AQ211" i="7"/>
  <c r="AQ168" i="7"/>
  <c r="AR168" i="7"/>
  <c r="AR211" i="7"/>
  <c r="AS211" i="7"/>
  <c r="AS168" i="7"/>
  <c r="AT168" i="7"/>
  <c r="AT211" i="7"/>
  <c r="AU211" i="7"/>
  <c r="AU168" i="7"/>
  <c r="AV168" i="7"/>
  <c r="AV211" i="7"/>
  <c r="AW211" i="7"/>
  <c r="AW168" i="7"/>
  <c r="AX168" i="7"/>
  <c r="AX211" i="7"/>
  <c r="AY211" i="7"/>
  <c r="AY168" i="7"/>
  <c r="AZ168" i="7"/>
  <c r="AZ211" i="7"/>
  <c r="BA168" i="7"/>
  <c r="BA211" i="7"/>
  <c r="BB211" i="7"/>
  <c r="BB168" i="7"/>
  <c r="BC168" i="7"/>
  <c r="BC211" i="7"/>
  <c r="BD168" i="7"/>
  <c r="BD211" i="7"/>
  <c r="BE168" i="7"/>
  <c r="BE211" i="7"/>
  <c r="BF211" i="7"/>
  <c r="BF168" i="7"/>
  <c r="BG211" i="7"/>
  <c r="BG168" i="7"/>
  <c r="BH168" i="7"/>
  <c r="BH211" i="7"/>
  <c r="BI211" i="7"/>
  <c r="BI168" i="7"/>
  <c r="BJ168" i="7"/>
  <c r="BJ211" i="7"/>
  <c r="BK211" i="7"/>
  <c r="BK168" i="7"/>
  <c r="BL211" i="7"/>
  <c r="BL168" i="7"/>
  <c r="BM211" i="7"/>
  <c r="BM168" i="7"/>
  <c r="BN168" i="7"/>
  <c r="BN211" i="7"/>
  <c r="BO211" i="7"/>
  <c r="BO168" i="7"/>
  <c r="BP168" i="7"/>
  <c r="BP211" i="7"/>
  <c r="AN127" i="7"/>
  <c r="AN128" i="7" s="1"/>
  <c r="AO123" i="7" s="1"/>
  <c r="BK129" i="7"/>
  <c r="BK139" i="7"/>
  <c r="BH163" i="7"/>
  <c r="BH164" i="7" s="1"/>
  <c r="BH207" i="7"/>
  <c r="BH208" i="7" s="1"/>
  <c r="I95" i="8"/>
  <c r="I96" i="8" s="1"/>
  <c r="G150" i="7"/>
  <c r="J232" i="7"/>
  <c r="N271" i="8"/>
  <c r="N299" i="8"/>
  <c r="N292" i="8"/>
  <c r="N264" i="8"/>
  <c r="N306" i="8"/>
  <c r="N285" i="8"/>
  <c r="N278" i="8"/>
  <c r="K227" i="8"/>
  <c r="K232" i="8"/>
  <c r="K233" i="8"/>
  <c r="K229" i="8"/>
  <c r="K231" i="8"/>
  <c r="K228" i="8"/>
  <c r="K230" i="8"/>
  <c r="G213" i="8"/>
  <c r="G219" i="8"/>
  <c r="G221" i="8" s="1"/>
  <c r="E116" i="2" s="1"/>
  <c r="XFD116" i="2" s="1"/>
  <c r="G353" i="8"/>
  <c r="F164" i="2" s="1"/>
  <c r="G354" i="8"/>
  <c r="G164" i="2" s="1"/>
  <c r="G215" i="8"/>
  <c r="E115" i="2" s="1"/>
  <c r="XFD115" i="2" s="1"/>
  <c r="G352" i="8"/>
  <c r="E164" i="2" s="1"/>
  <c r="AN23" i="7"/>
  <c r="AN24" i="7" s="1"/>
  <c r="BH165" i="7" l="1"/>
  <c r="BA112" i="7"/>
  <c r="BA113" i="7" s="1"/>
  <c r="BB109" i="7" s="1"/>
  <c r="BB111" i="7" s="1"/>
  <c r="BB112" i="7" s="1"/>
  <c r="AO126" i="7"/>
  <c r="BJ79" i="7"/>
  <c r="BJ75" i="7"/>
  <c r="BJ76" i="7" s="1"/>
  <c r="BK73" i="7" s="1"/>
  <c r="BJ200" i="7"/>
  <c r="BJ201" i="7" s="1"/>
  <c r="BK198" i="7" s="1"/>
  <c r="AO22" i="7"/>
  <c r="AN25" i="7"/>
  <c r="M317" i="8"/>
  <c r="M318" i="8"/>
  <c r="BI163" i="7"/>
  <c r="BI164" i="7" s="1"/>
  <c r="BI207" i="7"/>
  <c r="BI208" i="7" s="1"/>
  <c r="BL129" i="7"/>
  <c r="BA120" i="7"/>
  <c r="BB116" i="7" s="1"/>
  <c r="AR83" i="7"/>
  <c r="AR84" i="7" s="1"/>
  <c r="AS81" i="7" s="1"/>
  <c r="G231" i="8"/>
  <c r="F231" i="8"/>
  <c r="I159" i="2" s="1"/>
  <c r="I169" i="7"/>
  <c r="L169" i="7"/>
  <c r="K169" i="7"/>
  <c r="J169" i="7"/>
  <c r="H169" i="7"/>
  <c r="M169" i="7"/>
  <c r="N169" i="7"/>
  <c r="O169" i="7"/>
  <c r="P169" i="7"/>
  <c r="Q169" i="7"/>
  <c r="R169" i="7"/>
  <c r="S169" i="7"/>
  <c r="T169" i="7"/>
  <c r="U169" i="7"/>
  <c r="V169" i="7"/>
  <c r="W169" i="7"/>
  <c r="X169" i="7"/>
  <c r="Y169" i="7"/>
  <c r="Z169" i="7"/>
  <c r="AA169" i="7"/>
  <c r="AB169" i="7"/>
  <c r="AC169" i="7"/>
  <c r="AD169" i="7"/>
  <c r="AE169" i="7"/>
  <c r="AF169" i="7"/>
  <c r="AG169" i="7"/>
  <c r="AH169" i="7"/>
  <c r="AI169" i="7"/>
  <c r="AJ169" i="7"/>
  <c r="AK169" i="7"/>
  <c r="AL169" i="7"/>
  <c r="AM169" i="7"/>
  <c r="AN169" i="7"/>
  <c r="AO169" i="7"/>
  <c r="AP169" i="7"/>
  <c r="AQ169" i="7"/>
  <c r="AR169" i="7"/>
  <c r="AS169" i="7"/>
  <c r="AT169" i="7"/>
  <c r="AU169" i="7"/>
  <c r="AV169" i="7"/>
  <c r="AW169" i="7"/>
  <c r="AX169" i="7"/>
  <c r="AY169" i="7"/>
  <c r="AZ169" i="7"/>
  <c r="BA169" i="7"/>
  <c r="BB169" i="7"/>
  <c r="BC169" i="7"/>
  <c r="BD169" i="7"/>
  <c r="BE169" i="7"/>
  <c r="BF169" i="7"/>
  <c r="BG169" i="7"/>
  <c r="BH169" i="7"/>
  <c r="BI169" i="7"/>
  <c r="BJ169" i="7"/>
  <c r="BK169" i="7"/>
  <c r="BL169" i="7"/>
  <c r="BM169" i="7"/>
  <c r="BN169" i="7"/>
  <c r="BO169" i="7"/>
  <c r="BP169" i="7"/>
  <c r="G211" i="7"/>
  <c r="F230" i="8"/>
  <c r="H159" i="2" s="1"/>
  <c r="G230" i="8"/>
  <c r="G228" i="8"/>
  <c r="F228" i="8"/>
  <c r="F159" i="2" s="1"/>
  <c r="G229" i="8"/>
  <c r="F229" i="8"/>
  <c r="G159" i="2" s="1"/>
  <c r="I97" i="8"/>
  <c r="AQ136" i="7"/>
  <c r="AQ137" i="7" s="1"/>
  <c r="G233" i="8"/>
  <c r="F233" i="8"/>
  <c r="K159" i="2" s="1"/>
  <c r="H121" i="8"/>
  <c r="H210" i="8"/>
  <c r="I24" i="1"/>
  <c r="H125" i="8"/>
  <c r="G232" i="8"/>
  <c r="F232" i="8"/>
  <c r="J159" i="2" s="1"/>
  <c r="G168" i="7"/>
  <c r="J94" i="8"/>
  <c r="F227" i="8"/>
  <c r="E159" i="2" s="1"/>
  <c r="G227" i="8"/>
  <c r="BL139" i="7"/>
  <c r="BI165" i="7" l="1"/>
  <c r="BK200" i="7"/>
  <c r="BK201" i="7" s="1"/>
  <c r="BL198" i="7" s="1"/>
  <c r="BK79" i="7"/>
  <c r="BK75" i="7"/>
  <c r="BK76" i="7" s="1"/>
  <c r="BL73" i="7" s="1"/>
  <c r="AS82" i="7"/>
  <c r="AS83" i="7" s="1"/>
  <c r="AS84" i="7" s="1"/>
  <c r="AT81" i="7" s="1"/>
  <c r="BB113" i="7"/>
  <c r="BC109" i="7" s="1"/>
  <c r="AQ138" i="7"/>
  <c r="AR133" i="7" s="1"/>
  <c r="AO130" i="7"/>
  <c r="AO127" i="7"/>
  <c r="AO128" i="7" s="1"/>
  <c r="AP123" i="7" s="1"/>
  <c r="BM129" i="7"/>
  <c r="BB118" i="7"/>
  <c r="BB119" i="7" s="1"/>
  <c r="AO23" i="7"/>
  <c r="AO24" i="7" s="1"/>
  <c r="J95" i="8"/>
  <c r="I98" i="8"/>
  <c r="G169" i="7"/>
  <c r="M319" i="8"/>
  <c r="N318" i="8"/>
  <c r="N319" i="8" s="1"/>
  <c r="N317" i="8"/>
  <c r="BM139" i="7"/>
  <c r="AQ140" i="7"/>
  <c r="H212" i="8"/>
  <c r="BJ163" i="7"/>
  <c r="BJ164" i="7" s="1"/>
  <c r="BJ207" i="7"/>
  <c r="BJ208" i="7" s="1"/>
  <c r="BB120" i="7" l="1"/>
  <c r="BC116" i="7" s="1"/>
  <c r="BC118" i="7" s="1"/>
  <c r="AT82" i="7"/>
  <c r="AT83" i="7" s="1"/>
  <c r="BL79" i="7"/>
  <c r="BL75" i="7"/>
  <c r="BL76" i="7" s="1"/>
  <c r="BM73" i="7" s="1"/>
  <c r="AP22" i="7"/>
  <c r="AO25" i="7"/>
  <c r="BL200" i="7"/>
  <c r="BL201" i="7" s="1"/>
  <c r="BM198" i="7" s="1"/>
  <c r="AP126" i="7"/>
  <c r="AP130" i="7" s="1"/>
  <c r="BK163" i="7"/>
  <c r="BK164" i="7" s="1"/>
  <c r="BK207" i="7"/>
  <c r="BK208" i="7" s="1"/>
  <c r="I100" i="8"/>
  <c r="BN129" i="7"/>
  <c r="BC111" i="7"/>
  <c r="BC112" i="7" s="1"/>
  <c r="H241" i="8"/>
  <c r="H238" i="8"/>
  <c r="H240" i="8"/>
  <c r="H242" i="8"/>
  <c r="H243" i="8"/>
  <c r="H237" i="8"/>
  <c r="H239" i="8"/>
  <c r="J97" i="8"/>
  <c r="BJ165" i="7"/>
  <c r="BN139" i="7"/>
  <c r="N321" i="8"/>
  <c r="N320" i="8"/>
  <c r="J96" i="8"/>
  <c r="AR136" i="7"/>
  <c r="AR137" i="7" s="1"/>
  <c r="AR140" i="7" l="1"/>
  <c r="BC113" i="7"/>
  <c r="BD109" i="7" s="1"/>
  <c r="BD111" i="7" s="1"/>
  <c r="BM200" i="7"/>
  <c r="BM201" i="7" s="1"/>
  <c r="BN198" i="7" s="1"/>
  <c r="BM79" i="7"/>
  <c r="BM75" i="7"/>
  <c r="BM76" i="7" s="1"/>
  <c r="BN73" i="7" s="1"/>
  <c r="AP23" i="7"/>
  <c r="AP24" i="7" s="1"/>
  <c r="K94" i="8"/>
  <c r="I210" i="8"/>
  <c r="I121" i="8"/>
  <c r="J24" i="1"/>
  <c r="I125" i="8"/>
  <c r="AP127" i="7"/>
  <c r="AP128" i="7" s="1"/>
  <c r="AQ123" i="7" s="1"/>
  <c r="AR138" i="7"/>
  <c r="AS133" i="7" s="1"/>
  <c r="AT84" i="7"/>
  <c r="AU81" i="7" s="1"/>
  <c r="BO139" i="7"/>
  <c r="BC119" i="7"/>
  <c r="BC120" i="7" s="1"/>
  <c r="BD116" i="7" s="1"/>
  <c r="J98" i="8"/>
  <c r="BO129" i="7"/>
  <c r="BL163" i="7"/>
  <c r="BL164" i="7" s="1"/>
  <c r="BL207" i="7"/>
  <c r="BL208" i="7" s="1"/>
  <c r="BK165" i="7"/>
  <c r="BL165" i="7" l="1"/>
  <c r="BN79" i="7"/>
  <c r="BN75" i="7"/>
  <c r="BN76" i="7" s="1"/>
  <c r="BO73" i="7" s="1"/>
  <c r="AQ126" i="7"/>
  <c r="AQ22" i="7"/>
  <c r="AP25" i="7"/>
  <c r="AU82" i="7"/>
  <c r="AU83" i="7" s="1"/>
  <c r="AU84" i="7" s="1"/>
  <c r="AV81" i="7" s="1"/>
  <c r="BD118" i="7"/>
  <c r="BD119" i="7" s="1"/>
  <c r="BD112" i="7"/>
  <c r="BD113" i="7" s="1"/>
  <c r="BE109" i="7" s="1"/>
  <c r="AS136" i="7"/>
  <c r="AS137" i="7" s="1"/>
  <c r="J100" i="8"/>
  <c r="BM163" i="7"/>
  <c r="BM164" i="7" s="1"/>
  <c r="BM207" i="7"/>
  <c r="BM208" i="7" s="1"/>
  <c r="BP139" i="7"/>
  <c r="BN200" i="7"/>
  <c r="BN201" i="7" s="1"/>
  <c r="BO198" i="7" s="1"/>
  <c r="I212" i="8"/>
  <c r="K95" i="8"/>
  <c r="BP129" i="7"/>
  <c r="BM165" i="7" l="1"/>
  <c r="AS140" i="7"/>
  <c r="BD120" i="7"/>
  <c r="BE116" i="7" s="1"/>
  <c r="BE118" i="7" s="1"/>
  <c r="BE119" i="7" s="1"/>
  <c r="BE111" i="7"/>
  <c r="BE112" i="7" s="1"/>
  <c r="AV82" i="7"/>
  <c r="BO200" i="7"/>
  <c r="BO201" i="7" s="1"/>
  <c r="BP198" i="7" s="1"/>
  <c r="BO79" i="7"/>
  <c r="BO75" i="7"/>
  <c r="BO76" i="7" s="1"/>
  <c r="BP73" i="7" s="1"/>
  <c r="AQ130" i="7"/>
  <c r="K97" i="8"/>
  <c r="AQ23" i="7"/>
  <c r="AQ24" i="7" s="1"/>
  <c r="I243" i="8"/>
  <c r="I238" i="8"/>
  <c r="I239" i="8"/>
  <c r="I240" i="8"/>
  <c r="I241" i="8"/>
  <c r="I237" i="8"/>
  <c r="I242" i="8"/>
  <c r="AS138" i="7"/>
  <c r="AT133" i="7" s="1"/>
  <c r="J210" i="8"/>
  <c r="J121" i="8"/>
  <c r="K24" i="1"/>
  <c r="J125" i="8"/>
  <c r="K96" i="8"/>
  <c r="AQ127" i="7"/>
  <c r="AQ128" i="7" s="1"/>
  <c r="AR123" i="7" s="1"/>
  <c r="BN163" i="7"/>
  <c r="BN164" i="7" s="1"/>
  <c r="BN207" i="7"/>
  <c r="BN208" i="7" s="1"/>
  <c r="BN165" i="7" l="1"/>
  <c r="BE120" i="7"/>
  <c r="BF116" i="7" s="1"/>
  <c r="BF118" i="7" s="1"/>
  <c r="BF119" i="7" s="1"/>
  <c r="BE113" i="7"/>
  <c r="BF109" i="7" s="1"/>
  <c r="BF111" i="7" s="1"/>
  <c r="BF112" i="7" s="1"/>
  <c r="AR22" i="7"/>
  <c r="AQ25" i="7"/>
  <c r="BP200" i="7"/>
  <c r="G200" i="7" s="1"/>
  <c r="BP79" i="7"/>
  <c r="BP75" i="7"/>
  <c r="G75" i="7" s="1"/>
  <c r="AR126" i="7"/>
  <c r="AR130" i="7" s="1"/>
  <c r="AT136" i="7"/>
  <c r="AT140" i="7" s="1"/>
  <c r="AV83" i="7"/>
  <c r="AV84" i="7" s="1"/>
  <c r="AW81" i="7" s="1"/>
  <c r="K98" i="8"/>
  <c r="L94" i="8"/>
  <c r="J212" i="8"/>
  <c r="BO163" i="7"/>
  <c r="BO164" i="7" s="1"/>
  <c r="BO165" i="7" s="1"/>
  <c r="BO207" i="7"/>
  <c r="BO208" i="7" s="1"/>
  <c r="BF113" i="7" l="1"/>
  <c r="BG109" i="7" s="1"/>
  <c r="BG111" i="7" s="1"/>
  <c r="BG112" i="7" s="1"/>
  <c r="BF120" i="7"/>
  <c r="BG116" i="7" s="1"/>
  <c r="BG118" i="7" s="1"/>
  <c r="AW82" i="7"/>
  <c r="AW83" i="7" s="1"/>
  <c r="AT137" i="7"/>
  <c r="AT138" i="7" s="1"/>
  <c r="AU133" i="7" s="1"/>
  <c r="BP163" i="7"/>
  <c r="BP207" i="7"/>
  <c r="M23" i="8" a="1"/>
  <c r="M23" i="8" s="1"/>
  <c r="L23" i="8" a="1"/>
  <c r="L23" i="8" s="1"/>
  <c r="L24" i="8" s="1"/>
  <c r="J23" i="8" a="1"/>
  <c r="J23" i="8" s="1"/>
  <c r="J24" i="8" s="1"/>
  <c r="I23" i="8" a="1"/>
  <c r="I23" i="8" s="1"/>
  <c r="I24" i="8" s="1"/>
  <c r="K23" i="8" a="1"/>
  <c r="K23" i="8" s="1"/>
  <c r="H23" i="8" a="1"/>
  <c r="H23" i="8" s="1"/>
  <c r="N23" i="8" a="1"/>
  <c r="N23" i="8" s="1"/>
  <c r="N24" i="8" s="1"/>
  <c r="G79" i="7"/>
  <c r="P23" i="8" a="1"/>
  <c r="P23" i="8" s="1"/>
  <c r="P24" i="8" s="1"/>
  <c r="O23" i="8" a="1"/>
  <c r="O23" i="8" s="1"/>
  <c r="O24" i="8" s="1"/>
  <c r="Q23" i="8" a="1"/>
  <c r="Q23" i="8" s="1"/>
  <c r="Q24" i="8" s="1"/>
  <c r="U23" i="8" a="1"/>
  <c r="U23" i="8" s="1"/>
  <c r="U24" i="8" s="1"/>
  <c r="S23" i="8" a="1"/>
  <c r="S23" i="8" s="1"/>
  <c r="S24" i="8" s="1"/>
  <c r="T23" i="8" a="1"/>
  <c r="T23" i="8" s="1"/>
  <c r="T24" i="8" s="1"/>
  <c r="R23" i="8" a="1"/>
  <c r="R23" i="8" s="1"/>
  <c r="R24" i="8" s="1"/>
  <c r="W23" i="8" a="1"/>
  <c r="W23" i="8" s="1"/>
  <c r="W24" i="8" s="1"/>
  <c r="V23" i="8" a="1"/>
  <c r="V23" i="8" s="1"/>
  <c r="V24" i="8" s="1"/>
  <c r="X23" i="8" a="1"/>
  <c r="X23" i="8" s="1"/>
  <c r="X24" i="8" s="1"/>
  <c r="Y23" i="8" a="1"/>
  <c r="Y23" i="8" s="1"/>
  <c r="Y24" i="8" s="1"/>
  <c r="AA23" i="8" a="1"/>
  <c r="AA23" i="8" s="1"/>
  <c r="AA24" i="8" s="1"/>
  <c r="Z23" i="8" a="1"/>
  <c r="Z23" i="8" s="1"/>
  <c r="Z24" i="8" s="1"/>
  <c r="AE23" i="8" a="1"/>
  <c r="AE23" i="8" s="1"/>
  <c r="AE24" i="8" s="1"/>
  <c r="AB23" i="8" a="1"/>
  <c r="AB23" i="8" s="1"/>
  <c r="AB24" i="8" s="1"/>
  <c r="AC23" i="8" a="1"/>
  <c r="AC23" i="8" s="1"/>
  <c r="AC24" i="8" s="1"/>
  <c r="AD23" i="8" a="1"/>
  <c r="AD23" i="8" s="1"/>
  <c r="AD24" i="8" s="1"/>
  <c r="AF23" i="8" a="1"/>
  <c r="AF23" i="8" s="1"/>
  <c r="AF24" i="8" s="1"/>
  <c r="AG23" i="8" a="1"/>
  <c r="AG23" i="8" s="1"/>
  <c r="AG24" i="8" s="1"/>
  <c r="AH23" i="8" a="1"/>
  <c r="AH23" i="8" s="1"/>
  <c r="AH24" i="8" s="1"/>
  <c r="AI23" i="8" a="1"/>
  <c r="AI23" i="8" s="1"/>
  <c r="AI24" i="8" s="1"/>
  <c r="AJ23" i="8" a="1"/>
  <c r="AJ23" i="8" s="1"/>
  <c r="AJ24" i="8" s="1"/>
  <c r="AK23" i="8" a="1"/>
  <c r="AK23" i="8" s="1"/>
  <c r="AK24" i="8" s="1"/>
  <c r="AL23" i="8" a="1"/>
  <c r="AL23" i="8" s="1"/>
  <c r="AL24" i="8" s="1"/>
  <c r="AM23" i="8" a="1"/>
  <c r="AM23" i="8" s="1"/>
  <c r="AM24" i="8" s="1"/>
  <c r="AN23" i="8" a="1"/>
  <c r="AN23" i="8" s="1"/>
  <c r="AN24" i="8" s="1"/>
  <c r="AO23" i="8" a="1"/>
  <c r="AO23" i="8" s="1"/>
  <c r="AO24" i="8" s="1"/>
  <c r="AP23" i="8" a="1"/>
  <c r="AP23" i="8" s="1"/>
  <c r="AP24" i="8" s="1"/>
  <c r="AQ23" i="8" a="1"/>
  <c r="AQ23" i="8" s="1"/>
  <c r="AQ24" i="8" s="1"/>
  <c r="BP76" i="7"/>
  <c r="AR127" i="7"/>
  <c r="AR128" i="7" s="1"/>
  <c r="AS123" i="7" s="1"/>
  <c r="AR23" i="7"/>
  <c r="AR24" i="7" s="1"/>
  <c r="K100" i="8"/>
  <c r="L95" i="8"/>
  <c r="L96" i="8" s="1"/>
  <c r="BP201" i="7"/>
  <c r="J243" i="8"/>
  <c r="J240" i="8"/>
  <c r="J242" i="8"/>
  <c r="J241" i="8"/>
  <c r="J237" i="8"/>
  <c r="J238" i="8"/>
  <c r="J239" i="8"/>
  <c r="BG113" i="7" l="1"/>
  <c r="BH109" i="7" s="1"/>
  <c r="BH111" i="7" s="1"/>
  <c r="BH112" i="7" s="1"/>
  <c r="AS126" i="7"/>
  <c r="AS130" i="7" s="1"/>
  <c r="AS22" i="7"/>
  <c r="AR25" i="7"/>
  <c r="AM114" i="8"/>
  <c r="AM104" i="8"/>
  <c r="AM109" i="8" s="1"/>
  <c r="AN16" i="1"/>
  <c r="Z114" i="8"/>
  <c r="Z104" i="8"/>
  <c r="Z109" i="8" s="1"/>
  <c r="AA16" i="1"/>
  <c r="P104" i="8"/>
  <c r="P109" i="8" s="1"/>
  <c r="P114" i="8"/>
  <c r="Q16" i="1"/>
  <c r="BG119" i="7"/>
  <c r="BG120" i="7" s="1"/>
  <c r="BH116" i="7" s="1"/>
  <c r="M94" i="8"/>
  <c r="AL114" i="8"/>
  <c r="AL104" i="8"/>
  <c r="AL109" i="8" s="1"/>
  <c r="AM16" i="1"/>
  <c r="AA114" i="8"/>
  <c r="AA104" i="8"/>
  <c r="AA109" i="8" s="1"/>
  <c r="AB16" i="1"/>
  <c r="AK114" i="8"/>
  <c r="AK104" i="8"/>
  <c r="AK109" i="8" s="1"/>
  <c r="AL16" i="1"/>
  <c r="Y114" i="8"/>
  <c r="Y104" i="8"/>
  <c r="Y109" i="8" s="1"/>
  <c r="Z16" i="1"/>
  <c r="N104" i="8"/>
  <c r="N109" i="8" s="1"/>
  <c r="N114" i="8"/>
  <c r="O16" i="1"/>
  <c r="O18" i="1" s="1"/>
  <c r="AJ104" i="8"/>
  <c r="AJ109" i="8" s="1"/>
  <c r="AJ114" i="8"/>
  <c r="AK16" i="1"/>
  <c r="X104" i="8"/>
  <c r="X109" i="8" s="1"/>
  <c r="X114" i="8"/>
  <c r="Y16" i="1"/>
  <c r="G23" i="8"/>
  <c r="G170" i="8" s="1"/>
  <c r="H24" i="8"/>
  <c r="AI114" i="8"/>
  <c r="AI104" i="8"/>
  <c r="AI109" i="8" s="1"/>
  <c r="AJ16" i="1"/>
  <c r="V104" i="8"/>
  <c r="V109" i="8" s="1"/>
  <c r="V114" i="8"/>
  <c r="W16" i="1"/>
  <c r="AU136" i="7"/>
  <c r="W114" i="8"/>
  <c r="W104" i="8"/>
  <c r="W109" i="8" s="1"/>
  <c r="X16" i="1"/>
  <c r="T114" i="8"/>
  <c r="T104" i="8"/>
  <c r="T109" i="8" s="1"/>
  <c r="U16" i="1"/>
  <c r="L104" i="8"/>
  <c r="L109" i="8" s="1"/>
  <c r="L114" i="8"/>
  <c r="M16" i="1"/>
  <c r="M18" i="1" s="1"/>
  <c r="AW84" i="7"/>
  <c r="AX81" i="7" s="1"/>
  <c r="AH104" i="8"/>
  <c r="AH109" i="8" s="1"/>
  <c r="AH114" i="8"/>
  <c r="AI16" i="1"/>
  <c r="I114" i="8"/>
  <c r="I123" i="8" s="1"/>
  <c r="I104" i="8"/>
  <c r="I109" i="8" s="1"/>
  <c r="J16" i="1"/>
  <c r="J18" i="1" s="1"/>
  <c r="J104" i="8"/>
  <c r="J109" i="8" s="1"/>
  <c r="J114" i="8"/>
  <c r="J123" i="8" s="1"/>
  <c r="K16" i="1"/>
  <c r="K18" i="1" s="1"/>
  <c r="G258" i="7"/>
  <c r="G76" i="7"/>
  <c r="AQ104" i="8"/>
  <c r="AQ109" i="8" s="1"/>
  <c r="AQ114" i="8"/>
  <c r="AR16" i="1"/>
  <c r="AD114" i="8"/>
  <c r="AD104" i="8"/>
  <c r="AD109" i="8" s="1"/>
  <c r="AE16" i="1"/>
  <c r="S114" i="8"/>
  <c r="S104" i="8"/>
  <c r="S109" i="8" s="1"/>
  <c r="T16" i="1"/>
  <c r="K210" i="8"/>
  <c r="K121" i="8"/>
  <c r="L24" i="1"/>
  <c r="K125" i="8"/>
  <c r="AG114" i="8"/>
  <c r="AG104" i="8"/>
  <c r="AG109" i="8" s="1"/>
  <c r="AH16" i="1"/>
  <c r="AF114" i="8"/>
  <c r="AF104" i="8"/>
  <c r="AF109" i="8" s="1"/>
  <c r="AG16" i="1"/>
  <c r="AP104" i="8"/>
  <c r="AP109" i="8" s="1"/>
  <c r="AP114" i="8"/>
  <c r="AQ16" i="1"/>
  <c r="AC104" i="8"/>
  <c r="AC109" i="8" s="1"/>
  <c r="AC114" i="8"/>
  <c r="AD16" i="1"/>
  <c r="U114" i="8"/>
  <c r="U104" i="8"/>
  <c r="U109" i="8" s="1"/>
  <c r="V16" i="1"/>
  <c r="G207" i="7"/>
  <c r="BP208" i="7"/>
  <c r="AB104" i="8"/>
  <c r="AB109" i="8" s="1"/>
  <c r="AB114" i="8"/>
  <c r="AC16" i="1"/>
  <c r="Q104" i="8"/>
  <c r="Q109" i="8" s="1"/>
  <c r="Q114" i="8"/>
  <c r="R16" i="1"/>
  <c r="G163" i="7"/>
  <c r="BP164" i="7"/>
  <c r="R114" i="8"/>
  <c r="R104" i="8"/>
  <c r="R109" i="8" s="1"/>
  <c r="S16" i="1"/>
  <c r="AO114" i="8"/>
  <c r="AO104" i="8"/>
  <c r="AO109" i="8" s="1"/>
  <c r="AP16" i="1"/>
  <c r="L97" i="8"/>
  <c r="AN114" i="8"/>
  <c r="AN104" i="8"/>
  <c r="AN109" i="8" s="1"/>
  <c r="AO16" i="1"/>
  <c r="AE104" i="8"/>
  <c r="AE109" i="8" s="1"/>
  <c r="AE114" i="8"/>
  <c r="AF16" i="1"/>
  <c r="O114" i="8"/>
  <c r="O104" i="8"/>
  <c r="O109" i="8" s="1"/>
  <c r="P16" i="1"/>
  <c r="BH113" i="7" l="1"/>
  <c r="BI109" i="7" s="1"/>
  <c r="BI111" i="7" s="1"/>
  <c r="BI112" i="7" s="1"/>
  <c r="BI113" i="7" s="1"/>
  <c r="BJ109" i="7" s="1"/>
  <c r="AS127" i="7"/>
  <c r="AS128" i="7" s="1"/>
  <c r="AT123" i="7" s="1"/>
  <c r="AT126" i="7" s="1"/>
  <c r="AT127" i="7" s="1"/>
  <c r="AT128" i="7" s="1"/>
  <c r="AU123" i="7" s="1"/>
  <c r="BH118" i="7"/>
  <c r="AK191" i="8"/>
  <c r="AK188" i="8"/>
  <c r="AK182" i="8"/>
  <c r="AK183" i="8"/>
  <c r="AK181" i="8"/>
  <c r="AK180" i="8"/>
  <c r="AK179" i="8"/>
  <c r="AK184" i="8"/>
  <c r="AK178" i="8"/>
  <c r="AK192" i="8"/>
  <c r="AK110" i="8"/>
  <c r="AK335" i="8" s="1"/>
  <c r="AK189" i="8"/>
  <c r="AK190" i="8"/>
  <c r="AU137" i="7"/>
  <c r="AU138" i="7" s="1"/>
  <c r="AV133" i="7" s="1"/>
  <c r="AO190" i="8"/>
  <c r="AO184" i="8"/>
  <c r="AO179" i="8"/>
  <c r="AO178" i="8"/>
  <c r="AO192" i="8"/>
  <c r="AO188" i="8"/>
  <c r="AO189" i="8"/>
  <c r="AO183" i="8"/>
  <c r="AO181" i="8"/>
  <c r="AO110" i="8"/>
  <c r="AO335" i="8" s="1"/>
  <c r="AO191" i="8"/>
  <c r="AO182" i="8"/>
  <c r="AO180" i="8"/>
  <c r="AD188" i="8"/>
  <c r="AD189" i="8"/>
  <c r="AD190" i="8"/>
  <c r="AD191" i="8"/>
  <c r="AD180" i="8"/>
  <c r="AD184" i="8"/>
  <c r="AD178" i="8"/>
  <c r="AD183" i="8"/>
  <c r="AD181" i="8"/>
  <c r="AD179" i="8"/>
  <c r="AD192" i="8"/>
  <c r="AD182" i="8"/>
  <c r="AD110" i="8"/>
  <c r="AD335" i="8" s="1"/>
  <c r="J10" i="1"/>
  <c r="AI190" i="8"/>
  <c r="AI191" i="8"/>
  <c r="AI182" i="8"/>
  <c r="AI183" i="8"/>
  <c r="AI181" i="8"/>
  <c r="AI180" i="8"/>
  <c r="AI179" i="8"/>
  <c r="AI188" i="8"/>
  <c r="AI192" i="8"/>
  <c r="AI110" i="8"/>
  <c r="AI335" i="8" s="1"/>
  <c r="AI189" i="8"/>
  <c r="AI184" i="8"/>
  <c r="AI178" i="8"/>
  <c r="N192" i="8"/>
  <c r="N180" i="8"/>
  <c r="N179" i="8"/>
  <c r="N188" i="8"/>
  <c r="N178" i="8"/>
  <c r="N189" i="8"/>
  <c r="N110" i="8"/>
  <c r="N335" i="8" s="1"/>
  <c r="N191" i="8"/>
  <c r="N183" i="8"/>
  <c r="N190" i="8"/>
  <c r="N181" i="8"/>
  <c r="N182" i="8"/>
  <c r="N184" i="8"/>
  <c r="Z181" i="8"/>
  <c r="Z184" i="8"/>
  <c r="Z180" i="8"/>
  <c r="Z179" i="8"/>
  <c r="Z192" i="8"/>
  <c r="Z188" i="8"/>
  <c r="Z110" i="8"/>
  <c r="Z335" i="8" s="1"/>
  <c r="Z190" i="8"/>
  <c r="Z182" i="8"/>
  <c r="Z178" i="8"/>
  <c r="Z183" i="8"/>
  <c r="Z191" i="8"/>
  <c r="Z189" i="8"/>
  <c r="AC190" i="8"/>
  <c r="AC184" i="8"/>
  <c r="AC192" i="8"/>
  <c r="AC178" i="8"/>
  <c r="AC188" i="8"/>
  <c r="AC189" i="8"/>
  <c r="AC191" i="8"/>
  <c r="AC180" i="8"/>
  <c r="AC183" i="8"/>
  <c r="AC181" i="8"/>
  <c r="AC179" i="8"/>
  <c r="AC182" i="8"/>
  <c r="AC110" i="8"/>
  <c r="AC335" i="8" s="1"/>
  <c r="AG192" i="8"/>
  <c r="AG189" i="8"/>
  <c r="AG183" i="8"/>
  <c r="AG190" i="8"/>
  <c r="AG191" i="8"/>
  <c r="AG182" i="8"/>
  <c r="AG178" i="8"/>
  <c r="AG181" i="8"/>
  <c r="AG179" i="8"/>
  <c r="AG110" i="8"/>
  <c r="AG335" i="8" s="1"/>
  <c r="AG188" i="8"/>
  <c r="AG180" i="8"/>
  <c r="AG184" i="8"/>
  <c r="I298" i="8"/>
  <c r="I305" i="8"/>
  <c r="I284" i="8"/>
  <c r="I263" i="8"/>
  <c r="I291" i="8"/>
  <c r="I277" i="8"/>
  <c r="I270" i="8"/>
  <c r="I192" i="8"/>
  <c r="I189" i="8"/>
  <c r="I191" i="8"/>
  <c r="I183" i="8"/>
  <c r="I182" i="8"/>
  <c r="I184" i="8"/>
  <c r="I181" i="8"/>
  <c r="I180" i="8"/>
  <c r="I188" i="8"/>
  <c r="I179" i="8"/>
  <c r="I178" i="8"/>
  <c r="I110" i="8"/>
  <c r="I335" i="8" s="1"/>
  <c r="I190" i="8"/>
  <c r="Q190" i="8"/>
  <c r="Q184" i="8"/>
  <c r="Q189" i="8"/>
  <c r="Q192" i="8"/>
  <c r="Q191" i="8"/>
  <c r="Q179" i="8"/>
  <c r="Q188" i="8"/>
  <c r="Q182" i="8"/>
  <c r="Q180" i="8"/>
  <c r="Q183" i="8"/>
  <c r="Q178" i="8"/>
  <c r="Q110" i="8"/>
  <c r="Q335" i="8" s="1"/>
  <c r="Q181" i="8"/>
  <c r="I322" i="8"/>
  <c r="I129" i="8"/>
  <c r="J28" i="1"/>
  <c r="J13" i="1" s="1"/>
  <c r="W191" i="8"/>
  <c r="W183" i="8"/>
  <c r="W182" i="8"/>
  <c r="W181" i="8"/>
  <c r="W180" i="8"/>
  <c r="W184" i="8"/>
  <c r="W179" i="8"/>
  <c r="W192" i="8"/>
  <c r="W188" i="8"/>
  <c r="W189" i="8"/>
  <c r="W190" i="8"/>
  <c r="W110" i="8"/>
  <c r="W335" i="8" s="1"/>
  <c r="W178" i="8"/>
  <c r="H114" i="8"/>
  <c r="H104" i="8"/>
  <c r="I16" i="1"/>
  <c r="Y191" i="8"/>
  <c r="Y188" i="8"/>
  <c r="Y183" i="8"/>
  <c r="Y181" i="8"/>
  <c r="Y184" i="8"/>
  <c r="Y180" i="8"/>
  <c r="Y179" i="8"/>
  <c r="Y192" i="8"/>
  <c r="Y178" i="8"/>
  <c r="Y189" i="8"/>
  <c r="Y110" i="8"/>
  <c r="Y335" i="8" s="1"/>
  <c r="Y182" i="8"/>
  <c r="Y190" i="8"/>
  <c r="AM183" i="8"/>
  <c r="AM181" i="8"/>
  <c r="AM180" i="8"/>
  <c r="AM179" i="8"/>
  <c r="AM184" i="8"/>
  <c r="AM178" i="8"/>
  <c r="AM188" i="8"/>
  <c r="AM192" i="8"/>
  <c r="AM189" i="8"/>
  <c r="AM110" i="8"/>
  <c r="AM335" i="8" s="1"/>
  <c r="AM190" i="8"/>
  <c r="AM191" i="8"/>
  <c r="AM182" i="8"/>
  <c r="AE189" i="8"/>
  <c r="AE190" i="8"/>
  <c r="AE184" i="8"/>
  <c r="AE178" i="8"/>
  <c r="AE183" i="8"/>
  <c r="AE181" i="8"/>
  <c r="AE179" i="8"/>
  <c r="AE191" i="8"/>
  <c r="AE192" i="8"/>
  <c r="AE182" i="8"/>
  <c r="AE188" i="8"/>
  <c r="AE110" i="8"/>
  <c r="AE335" i="8" s="1"/>
  <c r="AE180" i="8"/>
  <c r="AP184" i="8"/>
  <c r="AP178" i="8"/>
  <c r="AP192" i="8"/>
  <c r="AP188" i="8"/>
  <c r="AP189" i="8"/>
  <c r="AP190" i="8"/>
  <c r="AP183" i="8"/>
  <c r="AP181" i="8"/>
  <c r="AP110" i="8"/>
  <c r="AP335" i="8" s="1"/>
  <c r="AP179" i="8"/>
  <c r="AP191" i="8"/>
  <c r="AP182" i="8"/>
  <c r="AP180" i="8"/>
  <c r="AQ192" i="8"/>
  <c r="AQ188" i="8"/>
  <c r="AQ189" i="8"/>
  <c r="AQ191" i="8"/>
  <c r="AQ179" i="8"/>
  <c r="AQ182" i="8"/>
  <c r="AQ190" i="8"/>
  <c r="AQ180" i="8"/>
  <c r="AQ184" i="8"/>
  <c r="AQ178" i="8"/>
  <c r="AQ183" i="8"/>
  <c r="AQ181" i="8"/>
  <c r="AQ110" i="8"/>
  <c r="AQ335" i="8" s="1"/>
  <c r="AU140" i="7"/>
  <c r="M95" i="8"/>
  <c r="M97" i="8" s="1"/>
  <c r="M98" i="8" s="1"/>
  <c r="M100" i="8" s="1"/>
  <c r="K212" i="8"/>
  <c r="M10" i="1"/>
  <c r="R189" i="8"/>
  <c r="R190" i="8"/>
  <c r="R191" i="8"/>
  <c r="R183" i="8"/>
  <c r="R192" i="8"/>
  <c r="R179" i="8"/>
  <c r="R188" i="8"/>
  <c r="R182" i="8"/>
  <c r="R184" i="8"/>
  <c r="R180" i="8"/>
  <c r="R178" i="8"/>
  <c r="R110" i="8"/>
  <c r="R335" i="8" s="1"/>
  <c r="R181" i="8"/>
  <c r="L98" i="8"/>
  <c r="AA184" i="8"/>
  <c r="AA180" i="8"/>
  <c r="AA179" i="8"/>
  <c r="AA192" i="8"/>
  <c r="AA188" i="8"/>
  <c r="AA178" i="8"/>
  <c r="AA189" i="8"/>
  <c r="AA190" i="8"/>
  <c r="AA182" i="8"/>
  <c r="AA110" i="8"/>
  <c r="AA335" i="8" s="1"/>
  <c r="AA183" i="8"/>
  <c r="AA181" i="8"/>
  <c r="AA191" i="8"/>
  <c r="AB191" i="8"/>
  <c r="AB188" i="8"/>
  <c r="AB182" i="8"/>
  <c r="AB179" i="8"/>
  <c r="AB192" i="8"/>
  <c r="AB178" i="8"/>
  <c r="AB110" i="8"/>
  <c r="AB335" i="8" s="1"/>
  <c r="AB189" i="8"/>
  <c r="AB184" i="8"/>
  <c r="AB180" i="8"/>
  <c r="AB183" i="8"/>
  <c r="AB181" i="8"/>
  <c r="AB190" i="8"/>
  <c r="U192" i="8"/>
  <c r="U189" i="8"/>
  <c r="U183" i="8"/>
  <c r="U190" i="8"/>
  <c r="U191" i="8"/>
  <c r="U182" i="8"/>
  <c r="U181" i="8"/>
  <c r="U180" i="8"/>
  <c r="U188" i="8"/>
  <c r="U184" i="8"/>
  <c r="U110" i="8"/>
  <c r="U335" i="8" s="1"/>
  <c r="U178" i="8"/>
  <c r="U179" i="8"/>
  <c r="S190" i="8"/>
  <c r="S191" i="8"/>
  <c r="S183" i="8"/>
  <c r="S182" i="8"/>
  <c r="S192" i="8"/>
  <c r="S189" i="8"/>
  <c r="S188" i="8"/>
  <c r="S184" i="8"/>
  <c r="S180" i="8"/>
  <c r="S178" i="8"/>
  <c r="S110" i="8"/>
  <c r="S335" i="8" s="1"/>
  <c r="S181" i="8"/>
  <c r="S179" i="8"/>
  <c r="K10" i="1"/>
  <c r="L291" i="8"/>
  <c r="L284" i="8"/>
  <c r="L305" i="8"/>
  <c r="L298" i="8"/>
  <c r="L192" i="8"/>
  <c r="L189" i="8"/>
  <c r="L183" i="8"/>
  <c r="L180" i="8"/>
  <c r="L263" i="8"/>
  <c r="L270" i="8"/>
  <c r="L184" i="8"/>
  <c r="L181" i="8"/>
  <c r="L188" i="8"/>
  <c r="L179" i="8"/>
  <c r="L178" i="8"/>
  <c r="L277" i="8"/>
  <c r="L190" i="8"/>
  <c r="L110" i="8"/>
  <c r="L335" i="8" s="1"/>
  <c r="L191" i="8"/>
  <c r="L182" i="8"/>
  <c r="AJ192" i="8"/>
  <c r="AJ189" i="8"/>
  <c r="AJ183" i="8"/>
  <c r="AJ180" i="8"/>
  <c r="AJ190" i="8"/>
  <c r="AJ191" i="8"/>
  <c r="AJ182" i="8"/>
  <c r="AJ181" i="8"/>
  <c r="AJ179" i="8"/>
  <c r="AJ184" i="8"/>
  <c r="AJ188" i="8"/>
  <c r="AJ178" i="8"/>
  <c r="AJ110" i="8"/>
  <c r="AJ335" i="8" s="1"/>
  <c r="X192" i="8"/>
  <c r="X189" i="8"/>
  <c r="X183" i="8"/>
  <c r="X180" i="8"/>
  <c r="X182" i="8"/>
  <c r="X181" i="8"/>
  <c r="X184" i="8"/>
  <c r="X179" i="8"/>
  <c r="X188" i="8"/>
  <c r="X178" i="8"/>
  <c r="X191" i="8"/>
  <c r="X110" i="8"/>
  <c r="X335" i="8" s="1"/>
  <c r="X190" i="8"/>
  <c r="G164" i="7"/>
  <c r="BP165" i="7"/>
  <c r="G165" i="7" s="1"/>
  <c r="AF190" i="8"/>
  <c r="AF184" i="8"/>
  <c r="AF181" i="8"/>
  <c r="AF178" i="8"/>
  <c r="AF189" i="8"/>
  <c r="AF191" i="8"/>
  <c r="AF183" i="8"/>
  <c r="AF182" i="8"/>
  <c r="AF179" i="8"/>
  <c r="AF192" i="8"/>
  <c r="AF110" i="8"/>
  <c r="AF335" i="8" s="1"/>
  <c r="AF188" i="8"/>
  <c r="AF180" i="8"/>
  <c r="J322" i="8"/>
  <c r="J129" i="8"/>
  <c r="K28" i="1"/>
  <c r="K13" i="1" s="1"/>
  <c r="V192" i="8"/>
  <c r="V190" i="8"/>
  <c r="V191" i="8"/>
  <c r="V183" i="8"/>
  <c r="V182" i="8"/>
  <c r="V181" i="8"/>
  <c r="V180" i="8"/>
  <c r="V184" i="8"/>
  <c r="V179" i="8"/>
  <c r="V178" i="8"/>
  <c r="V189" i="8"/>
  <c r="V188" i="8"/>
  <c r="V110" i="8"/>
  <c r="V335" i="8" s="1"/>
  <c r="O10" i="1"/>
  <c r="P191" i="8"/>
  <c r="P188" i="8"/>
  <c r="P182" i="8"/>
  <c r="P179" i="8"/>
  <c r="P178" i="8"/>
  <c r="P189" i="8"/>
  <c r="P110" i="8"/>
  <c r="P335" i="8" s="1"/>
  <c r="P190" i="8"/>
  <c r="P181" i="8"/>
  <c r="P192" i="8"/>
  <c r="P184" i="8"/>
  <c r="P180" i="8"/>
  <c r="P183" i="8"/>
  <c r="AN191" i="8"/>
  <c r="AN188" i="8"/>
  <c r="AN182" i="8"/>
  <c r="AN179" i="8"/>
  <c r="AN180" i="8"/>
  <c r="AN184" i="8"/>
  <c r="AN178" i="8"/>
  <c r="AN110" i="8"/>
  <c r="AN335" i="8" s="1"/>
  <c r="AN192" i="8"/>
  <c r="AN190" i="8"/>
  <c r="AN183" i="8"/>
  <c r="AN181" i="8"/>
  <c r="AN189" i="8"/>
  <c r="AH192" i="8"/>
  <c r="AH190" i="8"/>
  <c r="AH191" i="8"/>
  <c r="AH182" i="8"/>
  <c r="AH183" i="8"/>
  <c r="AH181" i="8"/>
  <c r="AH180" i="8"/>
  <c r="AH188" i="8"/>
  <c r="AH179" i="8"/>
  <c r="AH110" i="8"/>
  <c r="AH335" i="8" s="1"/>
  <c r="AH189" i="8"/>
  <c r="AH184" i="8"/>
  <c r="AH178" i="8"/>
  <c r="G208" i="7"/>
  <c r="AX82" i="7"/>
  <c r="AS23" i="7"/>
  <c r="AS24" i="7" s="1"/>
  <c r="O188" i="8"/>
  <c r="O178" i="8"/>
  <c r="O189" i="8"/>
  <c r="O190" i="8"/>
  <c r="O191" i="8"/>
  <c r="O181" i="8"/>
  <c r="O192" i="8"/>
  <c r="O179" i="8"/>
  <c r="O182" i="8"/>
  <c r="O184" i="8"/>
  <c r="O180" i="8"/>
  <c r="O110" i="8"/>
  <c r="O335" i="8" s="1"/>
  <c r="O183" i="8"/>
  <c r="J291" i="8"/>
  <c r="J305" i="8"/>
  <c r="J277" i="8"/>
  <c r="J298" i="8"/>
  <c r="J270" i="8"/>
  <c r="J284" i="8"/>
  <c r="J192" i="8"/>
  <c r="J263" i="8"/>
  <c r="J183" i="8"/>
  <c r="J182" i="8"/>
  <c r="J184" i="8"/>
  <c r="J181" i="8"/>
  <c r="J180" i="8"/>
  <c r="J188" i="8"/>
  <c r="J179" i="8"/>
  <c r="J189" i="8"/>
  <c r="J191" i="8"/>
  <c r="J190" i="8"/>
  <c r="J178" i="8"/>
  <c r="J110" i="8"/>
  <c r="J335" i="8" s="1"/>
  <c r="T190" i="8"/>
  <c r="T184" i="8"/>
  <c r="T181" i="8"/>
  <c r="T178" i="8"/>
  <c r="T191" i="8"/>
  <c r="T183" i="8"/>
  <c r="T182" i="8"/>
  <c r="T189" i="8"/>
  <c r="T188" i="8"/>
  <c r="T180" i="8"/>
  <c r="T110" i="8"/>
  <c r="T335" i="8" s="1"/>
  <c r="T179" i="8"/>
  <c r="T192" i="8"/>
  <c r="AL191" i="8"/>
  <c r="AL183" i="8"/>
  <c r="AL181" i="8"/>
  <c r="AL180" i="8"/>
  <c r="AL179" i="8"/>
  <c r="AL184" i="8"/>
  <c r="AL178" i="8"/>
  <c r="AL110" i="8"/>
  <c r="AL335" i="8" s="1"/>
  <c r="AL188" i="8"/>
  <c r="AL189" i="8"/>
  <c r="AL192" i="8"/>
  <c r="AL190" i="8"/>
  <c r="AL182" i="8"/>
  <c r="AT22" i="7" l="1"/>
  <c r="AS25" i="7"/>
  <c r="AV136" i="7"/>
  <c r="AV140" i="7" s="1"/>
  <c r="AU126" i="7"/>
  <c r="AU127" i="7" s="1"/>
  <c r="AU128" i="7" s="1"/>
  <c r="AV123" i="7" s="1"/>
  <c r="BJ111" i="7"/>
  <c r="BJ112" i="7" s="1"/>
  <c r="G221" i="7"/>
  <c r="G222" i="7"/>
  <c r="AT130" i="7"/>
  <c r="L100" i="8"/>
  <c r="I18" i="1"/>
  <c r="K238" i="8"/>
  <c r="K242" i="8"/>
  <c r="K241" i="8"/>
  <c r="K243" i="8"/>
  <c r="K237" i="8"/>
  <c r="K239" i="8"/>
  <c r="K240" i="8"/>
  <c r="H109" i="8"/>
  <c r="G184" i="7"/>
  <c r="H123" i="8"/>
  <c r="J31" i="1"/>
  <c r="K31" i="1"/>
  <c r="M210" i="8"/>
  <c r="M212" i="8" s="1"/>
  <c r="M121" i="8"/>
  <c r="N24" i="1"/>
  <c r="M125" i="8"/>
  <c r="M96" i="8"/>
  <c r="N94" i="8" s="1"/>
  <c r="BH119" i="7"/>
  <c r="BH120" i="7" s="1"/>
  <c r="BI116" i="7" s="1"/>
  <c r="AX83" i="7"/>
  <c r="AX84" i="7" s="1"/>
  <c r="AY81" i="7" s="1"/>
  <c r="AU130" i="7" l="1"/>
  <c r="AV137" i="7"/>
  <c r="AV138" i="7" s="1"/>
  <c r="AW133" i="7" s="1"/>
  <c r="AW136" i="7" s="1"/>
  <c r="BJ113" i="7"/>
  <c r="BK109" i="7" s="1"/>
  <c r="BK111" i="7" s="1"/>
  <c r="BK112" i="7" s="1"/>
  <c r="I10" i="1"/>
  <c r="M240" i="8"/>
  <c r="M237" i="8"/>
  <c r="M243" i="8"/>
  <c r="M239" i="8"/>
  <c r="M238" i="8"/>
  <c r="M241" i="8"/>
  <c r="M242" i="8"/>
  <c r="AV126" i="7"/>
  <c r="AV127" i="7" s="1"/>
  <c r="H263" i="8"/>
  <c r="H284" i="8"/>
  <c r="H291" i="8"/>
  <c r="H277" i="8"/>
  <c r="H305" i="8"/>
  <c r="H270" i="8"/>
  <c r="H190" i="8"/>
  <c r="H184" i="8"/>
  <c r="H181" i="8"/>
  <c r="H178" i="8"/>
  <c r="H298" i="8"/>
  <c r="H191" i="8"/>
  <c r="H183" i="8"/>
  <c r="H192" i="8"/>
  <c r="H182" i="8"/>
  <c r="H180" i="8"/>
  <c r="H189" i="8"/>
  <c r="H179" i="8"/>
  <c r="H188" i="8"/>
  <c r="H110" i="8"/>
  <c r="L210" i="8"/>
  <c r="L121" i="8"/>
  <c r="L123" i="8" s="1"/>
  <c r="M24" i="1"/>
  <c r="L125" i="8"/>
  <c r="N95" i="8"/>
  <c r="N97" i="8" s="1"/>
  <c r="N98" i="8" s="1"/>
  <c r="N100" i="8" s="1"/>
  <c r="H322" i="8"/>
  <c r="H129" i="8"/>
  <c r="H124" i="8"/>
  <c r="I28" i="1"/>
  <c r="I31" i="1" s="1"/>
  <c r="BI118" i="7"/>
  <c r="BI119" i="7" s="1"/>
  <c r="AY82" i="7"/>
  <c r="AT23" i="7"/>
  <c r="AT24" i="7" s="1"/>
  <c r="BK113" i="7" l="1"/>
  <c r="BL109" i="7" s="1"/>
  <c r="BL111" i="7" s="1"/>
  <c r="BL112" i="7" s="1"/>
  <c r="BL113" i="7" s="1"/>
  <c r="BM109" i="7" s="1"/>
  <c r="BI120" i="7"/>
  <c r="BJ116" i="7" s="1"/>
  <c r="BJ118" i="7" s="1"/>
  <c r="AU22" i="7"/>
  <c r="AT25" i="7"/>
  <c r="AV130" i="7"/>
  <c r="H335" i="8"/>
  <c r="H111" i="8"/>
  <c r="I111" i="8" s="1"/>
  <c r="J111" i="8" s="1"/>
  <c r="AV128" i="7"/>
  <c r="AW123" i="7" s="1"/>
  <c r="L322" i="8"/>
  <c r="L129" i="8"/>
  <c r="M28" i="1"/>
  <c r="M13" i="1" s="1"/>
  <c r="N210" i="8"/>
  <c r="N121" i="8"/>
  <c r="O24" i="1"/>
  <c r="N366" i="8"/>
  <c r="N125" i="8"/>
  <c r="N126" i="8" s="1"/>
  <c r="N96" i="8"/>
  <c r="O94" i="8" s="1"/>
  <c r="AW140" i="7"/>
  <c r="L212" i="8"/>
  <c r="I13" i="1"/>
  <c r="AY83" i="7"/>
  <c r="AY84" i="7" s="1"/>
  <c r="AZ81" i="7" s="1"/>
  <c r="I124" i="8"/>
  <c r="I29" i="1"/>
  <c r="AW137" i="7"/>
  <c r="AW138" i="7" s="1"/>
  <c r="AX133" i="7" s="1"/>
  <c r="H130" i="8"/>
  <c r="M31" i="1" l="1"/>
  <c r="BJ119" i="7"/>
  <c r="BJ120" i="7" s="1"/>
  <c r="BK116" i="7" s="1"/>
  <c r="BK118" i="7" s="1"/>
  <c r="AZ82" i="7"/>
  <c r="AZ83" i="7" s="1"/>
  <c r="BM111" i="7"/>
  <c r="BM112" i="7" s="1"/>
  <c r="AX136" i="7"/>
  <c r="AX140" i="7" s="1"/>
  <c r="L242" i="8"/>
  <c r="L237" i="8"/>
  <c r="L240" i="8"/>
  <c r="L241" i="8"/>
  <c r="L243" i="8"/>
  <c r="L238" i="8"/>
  <c r="L239" i="8"/>
  <c r="N367" i="8"/>
  <c r="N87" i="8" s="1"/>
  <c r="AW126" i="7"/>
  <c r="AW127" i="7" s="1"/>
  <c r="J124" i="8"/>
  <c r="J29" i="1"/>
  <c r="H131" i="8"/>
  <c r="I130" i="8"/>
  <c r="AU23" i="7"/>
  <c r="AU24" i="7" s="1"/>
  <c r="BM113" i="7" l="1"/>
  <c r="BN109" i="7" s="1"/>
  <c r="AX137" i="7"/>
  <c r="AX138" i="7" s="1"/>
  <c r="AY133" i="7" s="1"/>
  <c r="AZ84" i="7"/>
  <c r="BA81" i="7" s="1"/>
  <c r="BA82" i="7" s="1"/>
  <c r="N84" i="8"/>
  <c r="N119" i="8"/>
  <c r="N284" i="8"/>
  <c r="N277" i="8"/>
  <c r="N298" i="8"/>
  <c r="N291" i="8"/>
  <c r="N305" i="8"/>
  <c r="N263" i="8"/>
  <c r="N270" i="8"/>
  <c r="BN111" i="7"/>
  <c r="BN112" i="7" s="1"/>
  <c r="BK119" i="7"/>
  <c r="BK120" i="7" s="1"/>
  <c r="BL116" i="7" s="1"/>
  <c r="AV22" i="7"/>
  <c r="AU25" i="7"/>
  <c r="AW128" i="7"/>
  <c r="AX123" i="7" s="1"/>
  <c r="I131" i="8"/>
  <c r="J130" i="8"/>
  <c r="K29" i="1"/>
  <c r="AW130" i="7"/>
  <c r="BL118" i="7" l="1"/>
  <c r="BL119" i="7" s="1"/>
  <c r="BN113" i="7"/>
  <c r="BO109" i="7" s="1"/>
  <c r="AY136" i="7"/>
  <c r="AY140" i="7" s="1"/>
  <c r="AX126" i="7"/>
  <c r="AX130" i="7" s="1"/>
  <c r="AV23" i="7"/>
  <c r="AV24" i="7" s="1"/>
  <c r="BA83" i="7"/>
  <c r="BA84" i="7" s="1"/>
  <c r="BB81" i="7" s="1"/>
  <c r="N209" i="8"/>
  <c r="N212" i="8" s="1"/>
  <c r="O26" i="1"/>
  <c r="N123" i="8"/>
  <c r="O76" i="8"/>
  <c r="G372" i="8"/>
  <c r="J131" i="8"/>
  <c r="BL120" i="7" l="1"/>
  <c r="BM116" i="7" s="1"/>
  <c r="BM118" i="7" s="1"/>
  <c r="BM119" i="7" s="1"/>
  <c r="BB82" i="7"/>
  <c r="AW22" i="7"/>
  <c r="AV25" i="7"/>
  <c r="AX127" i="7"/>
  <c r="AX128" i="7" s="1"/>
  <c r="AY123" i="7" s="1"/>
  <c r="G373" i="8"/>
  <c r="E103" i="2" s="1"/>
  <c r="XFD103" i="2" s="1"/>
  <c r="E102" i="2"/>
  <c r="XFD102" i="2" s="1"/>
  <c r="N322" i="8"/>
  <c r="N129" i="8"/>
  <c r="O28" i="1"/>
  <c r="O13" i="1" s="1"/>
  <c r="AY137" i="7"/>
  <c r="AY138" i="7" s="1"/>
  <c r="AZ133" i="7" s="1"/>
  <c r="N243" i="8"/>
  <c r="N237" i="8"/>
  <c r="N239" i="8"/>
  <c r="N238" i="8"/>
  <c r="N240" i="8"/>
  <c r="N241" i="8"/>
  <c r="N242" i="8"/>
  <c r="BO111" i="7"/>
  <c r="BO112" i="7" s="1"/>
  <c r="O81" i="8"/>
  <c r="O85" i="8"/>
  <c r="BO113" i="7" l="1"/>
  <c r="BP109" i="7" s="1"/>
  <c r="BP111" i="7" s="1"/>
  <c r="BM120" i="7"/>
  <c r="BN116" i="7" s="1"/>
  <c r="BN118" i="7" s="1"/>
  <c r="BN119" i="7" s="1"/>
  <c r="BN120" i="7" s="1"/>
  <c r="BO116" i="7" s="1"/>
  <c r="O31" i="1"/>
  <c r="AY126" i="7"/>
  <c r="AY127" i="7" s="1"/>
  <c r="AY128" i="7" s="1"/>
  <c r="AZ123" i="7" s="1"/>
  <c r="O117" i="8"/>
  <c r="O365" i="8"/>
  <c r="O364" i="8"/>
  <c r="O93" i="8"/>
  <c r="O316" i="8"/>
  <c r="O288" i="8"/>
  <c r="O302" i="8"/>
  <c r="O267" i="8"/>
  <c r="O274" i="8"/>
  <c r="O281" i="8"/>
  <c r="O295" i="8"/>
  <c r="O260" i="8"/>
  <c r="AZ136" i="7"/>
  <c r="AZ137" i="7" s="1"/>
  <c r="AW23" i="7"/>
  <c r="AW24" i="7" s="1"/>
  <c r="BB83" i="7"/>
  <c r="BB84" i="7" s="1"/>
  <c r="BC81" i="7" s="1"/>
  <c r="AY130" i="7" l="1"/>
  <c r="G111" i="7"/>
  <c r="BP112" i="7"/>
  <c r="G112" i="7" s="1"/>
  <c r="AZ140" i="7"/>
  <c r="BO118" i="7"/>
  <c r="AZ126" i="7"/>
  <c r="AZ127" i="7" s="1"/>
  <c r="AZ128" i="7" s="1"/>
  <c r="BA123" i="7" s="1"/>
  <c r="O317" i="8"/>
  <c r="O318" i="8"/>
  <c r="O99" i="8"/>
  <c r="O95" i="8"/>
  <c r="O97" i="8" s="1"/>
  <c r="O98" i="8" s="1"/>
  <c r="BC82" i="7"/>
  <c r="BC83" i="7" s="1"/>
  <c r="BC84" i="7" s="1"/>
  <c r="BD81" i="7" s="1"/>
  <c r="AX22" i="7"/>
  <c r="AW25" i="7"/>
  <c r="AZ138" i="7"/>
  <c r="BA133" i="7" s="1"/>
  <c r="O83" i="8"/>
  <c r="O262" i="8"/>
  <c r="O261" i="8"/>
  <c r="O297" i="8"/>
  <c r="O296" i="8"/>
  <c r="O283" i="8"/>
  <c r="O282" i="8"/>
  <c r="O207" i="8"/>
  <c r="P17" i="1"/>
  <c r="P18" i="1" s="1"/>
  <c r="O276" i="8"/>
  <c r="O275" i="8"/>
  <c r="O269" i="8"/>
  <c r="O268" i="8"/>
  <c r="O304" i="8"/>
  <c r="O303" i="8"/>
  <c r="O290" i="8"/>
  <c r="O289" i="8"/>
  <c r="BP113" i="7"/>
  <c r="G255" i="7" s="1"/>
  <c r="AZ130" i="7" l="1"/>
  <c r="O100" i="8"/>
  <c r="O210" i="8" s="1"/>
  <c r="BD82" i="7"/>
  <c r="BA126" i="7"/>
  <c r="O319" i="8"/>
  <c r="O88" i="8"/>
  <c r="O89" i="8" s="1"/>
  <c r="O86" i="8"/>
  <c r="BA136" i="7"/>
  <c r="BA137" i="7" s="1"/>
  <c r="P10" i="1"/>
  <c r="AX23" i="7"/>
  <c r="AX24" i="7" s="1"/>
  <c r="BO119" i="7"/>
  <c r="BO120" i="7" s="1"/>
  <c r="BP116" i="7" s="1"/>
  <c r="O96" i="8"/>
  <c r="P94" i="8" s="1"/>
  <c r="O125" i="8" l="1"/>
  <c r="O126" i="8" s="1"/>
  <c r="P24" i="1"/>
  <c r="O121" i="8"/>
  <c r="O366" i="8"/>
  <c r="O367" i="8" s="1"/>
  <c r="O87" i="8" s="1"/>
  <c r="BP118" i="7"/>
  <c r="G118" i="7" s="1"/>
  <c r="BA140" i="7"/>
  <c r="BA138" i="7"/>
  <c r="BB133" i="7" s="1"/>
  <c r="O120" i="8"/>
  <c r="BA127" i="7"/>
  <c r="BA128" i="7" s="1"/>
  <c r="BB123" i="7" s="1"/>
  <c r="AY22" i="7"/>
  <c r="AX25" i="7"/>
  <c r="O320" i="8"/>
  <c r="O306" i="8"/>
  <c r="O292" i="8"/>
  <c r="O264" i="8"/>
  <c r="O271" i="8"/>
  <c r="O299" i="8"/>
  <c r="O285" i="8"/>
  <c r="O278" i="8"/>
  <c r="BA130" i="7"/>
  <c r="O321" i="8"/>
  <c r="BD83" i="7"/>
  <c r="BD84" i="7" s="1"/>
  <c r="BE81" i="7" s="1"/>
  <c r="BP119" i="7" l="1"/>
  <c r="G119" i="7" s="1"/>
  <c r="O84" i="8"/>
  <c r="P76" i="8" s="1"/>
  <c r="P81" i="8" s="1"/>
  <c r="O277" i="8"/>
  <c r="O263" i="8"/>
  <c r="O305" i="8"/>
  <c r="O284" i="8"/>
  <c r="O298" i="8"/>
  <c r="BB126" i="7"/>
  <c r="BB130" i="7" s="1"/>
  <c r="BB136" i="7"/>
  <c r="BB140" i="7" s="1"/>
  <c r="BE82" i="7"/>
  <c r="O291" i="8"/>
  <c r="O119" i="8"/>
  <c r="O270" i="8"/>
  <c r="AY23" i="7"/>
  <c r="AY24" i="7" s="1"/>
  <c r="BP120" i="7" l="1"/>
  <c r="P85" i="8"/>
  <c r="P288" i="8" s="1"/>
  <c r="AZ22" i="7"/>
  <c r="AY25" i="7"/>
  <c r="BE83" i="7"/>
  <c r="BE84" i="7" s="1"/>
  <c r="BF81" i="7" s="1"/>
  <c r="BB137" i="7"/>
  <c r="BB138" i="7" s="1"/>
  <c r="BC133" i="7" s="1"/>
  <c r="P365" i="8"/>
  <c r="P364" i="8"/>
  <c r="O209" i="8"/>
  <c r="O212" i="8" s="1"/>
  <c r="P26" i="1"/>
  <c r="O123" i="8"/>
  <c r="BB127" i="7"/>
  <c r="BB128" i="7" s="1"/>
  <c r="BC123" i="7" s="1"/>
  <c r="P295" i="8" l="1"/>
  <c r="P296" i="8" s="1"/>
  <c r="P267" i="8"/>
  <c r="P268" i="8" s="1"/>
  <c r="P281" i="8"/>
  <c r="P283" i="8" s="1"/>
  <c r="P316" i="8"/>
  <c r="P317" i="8" s="1"/>
  <c r="P93" i="8"/>
  <c r="P95" i="8" s="1"/>
  <c r="P97" i="8" s="1"/>
  <c r="P98" i="8" s="1"/>
  <c r="P117" i="8"/>
  <c r="P207" i="8" s="1"/>
  <c r="P274" i="8"/>
  <c r="P275" i="8" s="1"/>
  <c r="P302" i="8"/>
  <c r="P304" i="8" s="1"/>
  <c r="P260" i="8"/>
  <c r="P262" i="8" s="1"/>
  <c r="BC126" i="7"/>
  <c r="BC130" i="7" s="1"/>
  <c r="BC136" i="7"/>
  <c r="BC140" i="7" s="1"/>
  <c r="BF82" i="7"/>
  <c r="BF83" i="7" s="1"/>
  <c r="P297" i="8"/>
  <c r="O322" i="8"/>
  <c r="O129" i="8"/>
  <c r="P28" i="1"/>
  <c r="P13" i="1" s="1"/>
  <c r="O242" i="8"/>
  <c r="O239" i="8"/>
  <c r="O238" i="8"/>
  <c r="O241" i="8"/>
  <c r="O237" i="8"/>
  <c r="O243" i="8"/>
  <c r="O240" i="8"/>
  <c r="P83" i="8"/>
  <c r="P290" i="8"/>
  <c r="P289" i="8"/>
  <c r="AZ23" i="7"/>
  <c r="AZ24" i="7" s="1"/>
  <c r="P269" i="8" l="1"/>
  <c r="P276" i="8"/>
  <c r="P282" i="8"/>
  <c r="P318" i="8"/>
  <c r="P319" i="8" s="1"/>
  <c r="Q17" i="1"/>
  <c r="Q18" i="1" s="1"/>
  <c r="Q10" i="1" s="1"/>
  <c r="P99" i="8"/>
  <c r="P100" i="8" s="1"/>
  <c r="P303" i="8"/>
  <c r="P261" i="8"/>
  <c r="P96" i="8"/>
  <c r="Q94" i="8" s="1"/>
  <c r="BA22" i="7"/>
  <c r="AZ25" i="7"/>
  <c r="BF84" i="7"/>
  <c r="BG81" i="7" s="1"/>
  <c r="BC137" i="7"/>
  <c r="BC138" i="7" s="1"/>
  <c r="BD133" i="7" s="1"/>
  <c r="P31" i="1"/>
  <c r="BC127" i="7"/>
  <c r="BC128" i="7" s="1"/>
  <c r="BD123" i="7" s="1"/>
  <c r="P88" i="8"/>
  <c r="P89" i="8" s="1"/>
  <c r="P120" i="8" s="1"/>
  <c r="P86" i="8"/>
  <c r="P321" i="8" l="1"/>
  <c r="BD126" i="7"/>
  <c r="BD130" i="7" s="1"/>
  <c r="BG82" i="7"/>
  <c r="P285" i="8"/>
  <c r="P292" i="8"/>
  <c r="P264" i="8"/>
  <c r="P299" i="8"/>
  <c r="P278" i="8"/>
  <c r="P320" i="8"/>
  <c r="P271" i="8"/>
  <c r="P306" i="8"/>
  <c r="BD136" i="7"/>
  <c r="BD140" i="7" s="1"/>
  <c r="P121" i="8"/>
  <c r="P210" i="8"/>
  <c r="Q24" i="1"/>
  <c r="P366" i="8"/>
  <c r="P125" i="8"/>
  <c r="P126" i="8" s="1"/>
  <c r="BA23" i="7"/>
  <c r="BA24" i="7" s="1"/>
  <c r="BB22" i="7" l="1"/>
  <c r="BA25" i="7"/>
  <c r="BG83" i="7"/>
  <c r="BG84" i="7" s="1"/>
  <c r="BH81" i="7" s="1"/>
  <c r="P367" i="8"/>
  <c r="P87" i="8" s="1"/>
  <c r="BD137" i="7"/>
  <c r="BD138" i="7" s="1"/>
  <c r="BE133" i="7" s="1"/>
  <c r="BD127" i="7"/>
  <c r="BD128" i="7" s="1"/>
  <c r="BE123" i="7" s="1"/>
  <c r="BE136" i="7" l="1"/>
  <c r="BE140" i="7" s="1"/>
  <c r="P84" i="8"/>
  <c r="Q76" i="8" s="1"/>
  <c r="P298" i="8"/>
  <c r="P305" i="8"/>
  <c r="P291" i="8"/>
  <c r="P284" i="8"/>
  <c r="P263" i="8"/>
  <c r="P277" i="8"/>
  <c r="P270" i="8"/>
  <c r="P119" i="8"/>
  <c r="BH82" i="7"/>
  <c r="BE126" i="7"/>
  <c r="BE130" i="7" s="1"/>
  <c r="BB23" i="7"/>
  <c r="BB24" i="7" s="1"/>
  <c r="BC22" i="7" l="1"/>
  <c r="BB25" i="7"/>
  <c r="BE127" i="7"/>
  <c r="BE128" i="7" s="1"/>
  <c r="BF123" i="7" s="1"/>
  <c r="Q81" i="8"/>
  <c r="Q85" i="8"/>
  <c r="BH83" i="7"/>
  <c r="BH84" i="7" s="1"/>
  <c r="BI81" i="7" s="1"/>
  <c r="BE137" i="7"/>
  <c r="BE138" i="7" s="1"/>
  <c r="BF133" i="7" s="1"/>
  <c r="P209" i="8"/>
  <c r="P212" i="8" s="1"/>
  <c r="Q26" i="1"/>
  <c r="P123" i="8"/>
  <c r="BI82" i="7" l="1"/>
  <c r="BF126" i="7"/>
  <c r="BF127" i="7" s="1"/>
  <c r="BF128" i="7" s="1"/>
  <c r="BG123" i="7" s="1"/>
  <c r="BF136" i="7"/>
  <c r="BF137" i="7" s="1"/>
  <c r="Q117" i="8"/>
  <c r="Q365" i="8"/>
  <c r="Q364" i="8"/>
  <c r="Q93" i="8"/>
  <c r="Q316" i="8"/>
  <c r="Q288" i="8"/>
  <c r="Q267" i="8"/>
  <c r="Q274" i="8"/>
  <c r="Q260" i="8"/>
  <c r="Q281" i="8"/>
  <c r="Q295" i="8"/>
  <c r="Q302" i="8"/>
  <c r="P322" i="8"/>
  <c r="P129" i="8"/>
  <c r="Q28" i="1"/>
  <c r="Q13" i="1" s="1"/>
  <c r="P237" i="8"/>
  <c r="P238" i="8"/>
  <c r="P239" i="8"/>
  <c r="P240" i="8"/>
  <c r="P242" i="8"/>
  <c r="P243" i="8"/>
  <c r="P241" i="8"/>
  <c r="BC23" i="7"/>
  <c r="BC24" i="7" s="1"/>
  <c r="BF130" i="7" l="1"/>
  <c r="Q31" i="1"/>
  <c r="BD22" i="7"/>
  <c r="BC25" i="7"/>
  <c r="BG126" i="7"/>
  <c r="BG130" i="7" s="1"/>
  <c r="BF138" i="7"/>
  <c r="BG133" i="7" s="1"/>
  <c r="BF140" i="7"/>
  <c r="Q304" i="8"/>
  <c r="Q303" i="8"/>
  <c r="Q297" i="8"/>
  <c r="Q296" i="8"/>
  <c r="Q283" i="8"/>
  <c r="Q282" i="8"/>
  <c r="Q83" i="8"/>
  <c r="Q317" i="8"/>
  <c r="Q318" i="8"/>
  <c r="Q319" i="8" s="1"/>
  <c r="Q207" i="8"/>
  <c r="R17" i="1"/>
  <c r="R18" i="1" s="1"/>
  <c r="Q99" i="8"/>
  <c r="Q95" i="8"/>
  <c r="Q97" i="8" s="1"/>
  <c r="Q98" i="8" s="1"/>
  <c r="Q262" i="8"/>
  <c r="Q261" i="8"/>
  <c r="Q276" i="8"/>
  <c r="Q275" i="8"/>
  <c r="Q269" i="8"/>
  <c r="Q268" i="8"/>
  <c r="BI83" i="7"/>
  <c r="BI84" i="7" s="1"/>
  <c r="BJ81" i="7" s="1"/>
  <c r="Q290" i="8"/>
  <c r="Q289" i="8"/>
  <c r="Q96" i="8" l="1"/>
  <c r="R94" i="8" s="1"/>
  <c r="BJ82" i="7"/>
  <c r="R10" i="1"/>
  <c r="BG136" i="7"/>
  <c r="BG137" i="7" s="1"/>
  <c r="BG138" i="7" s="1"/>
  <c r="BH133" i="7" s="1"/>
  <c r="Q88" i="8"/>
  <c r="Q89" i="8" s="1"/>
  <c r="Q120" i="8" s="1"/>
  <c r="Q86" i="8"/>
  <c r="BG127" i="7"/>
  <c r="BG128" i="7" s="1"/>
  <c r="BH123" i="7" s="1"/>
  <c r="Q100" i="8"/>
  <c r="BD23" i="7"/>
  <c r="BD24" i="7" s="1"/>
  <c r="BG140" i="7" l="1"/>
  <c r="Q321" i="8"/>
  <c r="BE22" i="7"/>
  <c r="BD25" i="7"/>
  <c r="BH126" i="7"/>
  <c r="BH130" i="7" s="1"/>
  <c r="BH136" i="7"/>
  <c r="BH137" i="7" s="1"/>
  <c r="Q210" i="8"/>
  <c r="Q121" i="8"/>
  <c r="R24" i="1"/>
  <c r="Q366" i="8"/>
  <c r="Q125" i="8"/>
  <c r="Q126" i="8" s="1"/>
  <c r="Q264" i="8"/>
  <c r="Q306" i="8"/>
  <c r="Q299" i="8"/>
  <c r="Q285" i="8"/>
  <c r="Q271" i="8"/>
  <c r="Q292" i="8"/>
  <c r="Q320" i="8"/>
  <c r="Q278" i="8"/>
  <c r="BJ83" i="7"/>
  <c r="BJ84" i="7" s="1"/>
  <c r="BK81" i="7" s="1"/>
  <c r="BH140" i="7" l="1"/>
  <c r="BH138" i="7"/>
  <c r="BI133" i="7" s="1"/>
  <c r="BH127" i="7"/>
  <c r="BH128" i="7" s="1"/>
  <c r="BI123" i="7" s="1"/>
  <c r="BK82" i="7"/>
  <c r="Q367" i="8"/>
  <c r="Q87" i="8" s="1"/>
  <c r="BE23" i="7"/>
  <c r="BE24" i="7" s="1"/>
  <c r="BF22" i="7" l="1"/>
  <c r="BE25" i="7"/>
  <c r="Q84" i="8"/>
  <c r="R76" i="8" s="1"/>
  <c r="Q277" i="8"/>
  <c r="Q305" i="8"/>
  <c r="Q270" i="8"/>
  <c r="Q284" i="8"/>
  <c r="Q291" i="8"/>
  <c r="Q298" i="8"/>
  <c r="Q119" i="8"/>
  <c r="Q263" i="8"/>
  <c r="BI126" i="7"/>
  <c r="BI130" i="7" s="1"/>
  <c r="BK83" i="7"/>
  <c r="BK84" i="7" s="1"/>
  <c r="BL81" i="7" s="1"/>
  <c r="BI136" i="7"/>
  <c r="BI140" i="7" s="1"/>
  <c r="Q209" i="8" l="1"/>
  <c r="Q212" i="8" s="1"/>
  <c r="R26" i="1"/>
  <c r="Q123" i="8"/>
  <c r="BI137" i="7"/>
  <c r="BI138" i="7" s="1"/>
  <c r="BJ133" i="7" s="1"/>
  <c r="R81" i="8"/>
  <c r="R85" i="8"/>
  <c r="BL82" i="7"/>
  <c r="BL83" i="7" s="1"/>
  <c r="BL84" i="7" s="1"/>
  <c r="BM81" i="7" s="1"/>
  <c r="BI127" i="7"/>
  <c r="BI128" i="7" s="1"/>
  <c r="BJ123" i="7" s="1"/>
  <c r="BF23" i="7"/>
  <c r="BF24" i="7" s="1"/>
  <c r="BG22" i="7" l="1"/>
  <c r="BF25" i="7"/>
  <c r="BJ126" i="7"/>
  <c r="BM82" i="7"/>
  <c r="BJ136" i="7"/>
  <c r="BJ140" i="7" s="1"/>
  <c r="R117" i="8"/>
  <c r="R365" i="8"/>
  <c r="R316" i="8"/>
  <c r="R93" i="8"/>
  <c r="R364" i="8"/>
  <c r="R260" i="8"/>
  <c r="R302" i="8"/>
  <c r="R295" i="8"/>
  <c r="R281" i="8"/>
  <c r="R274" i="8"/>
  <c r="R288" i="8"/>
  <c r="R267" i="8"/>
  <c r="Q322" i="8"/>
  <c r="Q129" i="8"/>
  <c r="R28" i="1"/>
  <c r="R13" i="1" s="1"/>
  <c r="Q241" i="8"/>
  <c r="Q237" i="8"/>
  <c r="Q239" i="8"/>
  <c r="Q240" i="8"/>
  <c r="Q242" i="8"/>
  <c r="Q243" i="8"/>
  <c r="Q238" i="8"/>
  <c r="BM83" i="7" l="1"/>
  <c r="BM84" i="7" s="1"/>
  <c r="BN81" i="7" s="1"/>
  <c r="BN82" i="7" s="1"/>
  <c r="BN83" i="7" s="1"/>
  <c r="BN84" i="7" s="1"/>
  <c r="BO81" i="7" s="1"/>
  <c r="BJ137" i="7"/>
  <c r="BJ138" i="7" s="1"/>
  <c r="BK133" i="7" s="1"/>
  <c r="R83" i="8"/>
  <c r="R317" i="8"/>
  <c r="R318" i="8"/>
  <c r="R319" i="8" s="1"/>
  <c r="R269" i="8"/>
  <c r="R268" i="8"/>
  <c r="R290" i="8"/>
  <c r="R289" i="8"/>
  <c r="R283" i="8"/>
  <c r="R282" i="8"/>
  <c r="BJ130" i="7"/>
  <c r="R31" i="1"/>
  <c r="R276" i="8"/>
  <c r="R275" i="8"/>
  <c r="R297" i="8"/>
  <c r="R296" i="8"/>
  <c r="R304" i="8"/>
  <c r="R303" i="8"/>
  <c r="BJ127" i="7"/>
  <c r="BJ128" i="7" s="1"/>
  <c r="BK123" i="7" s="1"/>
  <c r="R262" i="8"/>
  <c r="R261" i="8"/>
  <c r="R207" i="8"/>
  <c r="S17" i="1"/>
  <c r="S18" i="1" s="1"/>
  <c r="R95" i="8"/>
  <c r="R97" i="8" s="1"/>
  <c r="R98" i="8" s="1"/>
  <c r="R99" i="8"/>
  <c r="BG23" i="7"/>
  <c r="BG24" i="7" s="1"/>
  <c r="R96" i="8" l="1"/>
  <c r="S94" i="8" s="1"/>
  <c r="R100" i="8"/>
  <c r="R121" i="8" s="1"/>
  <c r="BK126" i="7"/>
  <c r="BH22" i="7"/>
  <c r="BG25" i="7"/>
  <c r="BO82" i="7"/>
  <c r="R88" i="8"/>
  <c r="R89" i="8" s="1"/>
  <c r="R120" i="8" s="1"/>
  <c r="R86" i="8"/>
  <c r="BK136" i="7"/>
  <c r="S10" i="1"/>
  <c r="R125" i="8" l="1"/>
  <c r="R126" i="8" s="1"/>
  <c r="S24" i="1"/>
  <c r="R210" i="8"/>
  <c r="R321" i="8"/>
  <c r="G321" i="8" s="1"/>
  <c r="R306" i="8"/>
  <c r="R299" i="8"/>
  <c r="R320" i="8"/>
  <c r="R285" i="8"/>
  <c r="R278" i="8"/>
  <c r="R271" i="8"/>
  <c r="R264" i="8"/>
  <c r="R292" i="8"/>
  <c r="BH23" i="7"/>
  <c r="BH24" i="7" s="1"/>
  <c r="BO83" i="7"/>
  <c r="BO84" i="7" s="1"/>
  <c r="BP81" i="7" s="1"/>
  <c r="R366" i="8"/>
  <c r="BK140" i="7"/>
  <c r="BK130" i="7"/>
  <c r="BK137" i="7"/>
  <c r="BK138" i="7" s="1"/>
  <c r="BL133" i="7" s="1"/>
  <c r="BK127" i="7"/>
  <c r="BK128" i="7" s="1"/>
  <c r="BL123" i="7" s="1"/>
  <c r="BI22" i="7" l="1"/>
  <c r="BH25" i="7"/>
  <c r="BL136" i="7"/>
  <c r="BL140" i="7" s="1"/>
  <c r="BP82" i="7"/>
  <c r="G82" i="7" s="1"/>
  <c r="G366" i="8"/>
  <c r="R367" i="8"/>
  <c r="R87" i="8" s="1"/>
  <c r="BL126" i="7"/>
  <c r="BL127" i="7" s="1"/>
  <c r="BL128" i="7" s="1"/>
  <c r="BM123" i="7" s="1"/>
  <c r="BL130" i="7" l="1"/>
  <c r="BM126" i="7"/>
  <c r="BM127" i="7" s="1"/>
  <c r="BM128" i="7" s="1"/>
  <c r="BN123" i="7" s="1"/>
  <c r="R84" i="8"/>
  <c r="S76" i="8" s="1"/>
  <c r="R270" i="8"/>
  <c r="R291" i="8"/>
  <c r="R298" i="8"/>
  <c r="R305" i="8"/>
  <c r="R277" i="8"/>
  <c r="R119" i="8"/>
  <c r="R263" i="8"/>
  <c r="R284" i="8"/>
  <c r="BP83" i="7"/>
  <c r="G83" i="7" s="1"/>
  <c r="BL137" i="7"/>
  <c r="BL138" i="7" s="1"/>
  <c r="BM133" i="7" s="1"/>
  <c r="BI23" i="7"/>
  <c r="BI24" i="7" s="1"/>
  <c r="BM130" i="7" l="1"/>
  <c r="BJ22" i="7"/>
  <c r="BI25" i="7"/>
  <c r="BM136" i="7"/>
  <c r="BM137" i="7" s="1"/>
  <c r="BM138" i="7" s="1"/>
  <c r="BN133" i="7" s="1"/>
  <c r="BN126" i="7"/>
  <c r="BN130" i="7" s="1"/>
  <c r="R209" i="8"/>
  <c r="R212" i="8" s="1"/>
  <c r="S26" i="1"/>
  <c r="R123" i="8"/>
  <c r="S81" i="8"/>
  <c r="S85" i="8"/>
  <c r="BP84" i="7"/>
  <c r="BM140" i="7" l="1"/>
  <c r="BN136" i="7"/>
  <c r="R322" i="8"/>
  <c r="R129" i="8"/>
  <c r="S28" i="1"/>
  <c r="S13" i="1" s="1"/>
  <c r="R239" i="8"/>
  <c r="R237" i="8"/>
  <c r="R238" i="8"/>
  <c r="R240" i="8"/>
  <c r="R241" i="8"/>
  <c r="R243" i="8"/>
  <c r="R242" i="8"/>
  <c r="BN127" i="7"/>
  <c r="BN128" i="7" s="1"/>
  <c r="BO123" i="7" s="1"/>
  <c r="BJ23" i="7"/>
  <c r="BJ24" i="7" s="1"/>
  <c r="S117" i="8"/>
  <c r="S365" i="8"/>
  <c r="S316" i="8"/>
  <c r="S93" i="8"/>
  <c r="S364" i="8"/>
  <c r="S288" i="8"/>
  <c r="S267" i="8"/>
  <c r="S302" i="8"/>
  <c r="S281" i="8"/>
  <c r="S274" i="8"/>
  <c r="S260" i="8"/>
  <c r="S295" i="8"/>
  <c r="BK22" i="7" l="1"/>
  <c r="BJ25" i="7"/>
  <c r="S31" i="1"/>
  <c r="S269" i="8"/>
  <c r="S268" i="8"/>
  <c r="S290" i="8"/>
  <c r="S289" i="8"/>
  <c r="S83" i="8"/>
  <c r="S367" i="8"/>
  <c r="S87" i="8" s="1"/>
  <c r="S95" i="8"/>
  <c r="S97" i="8" s="1"/>
  <c r="S98" i="8" s="1"/>
  <c r="S99" i="8"/>
  <c r="S317" i="8"/>
  <c r="S318" i="8"/>
  <c r="S319" i="8" s="1"/>
  <c r="S304" i="8"/>
  <c r="S303" i="8"/>
  <c r="S207" i="8"/>
  <c r="T17" i="1"/>
  <c r="T18" i="1" s="1"/>
  <c r="BO126" i="7"/>
  <c r="BO130" i="7" s="1"/>
  <c r="S262" i="8"/>
  <c r="S261" i="8"/>
  <c r="S297" i="8"/>
  <c r="S296" i="8"/>
  <c r="BN140" i="7"/>
  <c r="S276" i="8"/>
  <c r="S275" i="8"/>
  <c r="BN137" i="7"/>
  <c r="BN138" i="7" s="1"/>
  <c r="BO133" i="7" s="1"/>
  <c r="S283" i="8"/>
  <c r="S282" i="8"/>
  <c r="S100" i="8" l="1"/>
  <c r="S210" i="8" s="1"/>
  <c r="BO136" i="7"/>
  <c r="BO137" i="7" s="1"/>
  <c r="BO138" i="7" s="1"/>
  <c r="BP133" i="7" s="1"/>
  <c r="S88" i="8"/>
  <c r="S89" i="8" s="1"/>
  <c r="S120" i="8" s="1"/>
  <c r="S84" i="8"/>
  <c r="T76" i="8" s="1"/>
  <c r="S86" i="8"/>
  <c r="BO127" i="7"/>
  <c r="BO128" i="7" s="1"/>
  <c r="BP123" i="7" s="1"/>
  <c r="T10" i="1"/>
  <c r="BK23" i="7"/>
  <c r="BK24" i="7" s="1"/>
  <c r="S96" i="8"/>
  <c r="T94" i="8" s="1"/>
  <c r="S125" i="8" l="1"/>
  <c r="S126" i="8" s="1"/>
  <c r="T24" i="1"/>
  <c r="S121" i="8"/>
  <c r="BO140" i="7"/>
  <c r="BP136" i="7"/>
  <c r="G136" i="7" s="1"/>
  <c r="BL22" i="7"/>
  <c r="BK25" i="7"/>
  <c r="T81" i="8"/>
  <c r="T85" i="8"/>
  <c r="S119" i="8"/>
  <c r="S306" i="8"/>
  <c r="S285" i="8"/>
  <c r="S320" i="8"/>
  <c r="S299" i="8"/>
  <c r="S271" i="8"/>
  <c r="S292" i="8"/>
  <c r="S264" i="8"/>
  <c r="S278" i="8"/>
  <c r="S277" i="8"/>
  <c r="S298" i="8"/>
  <c r="S284" i="8"/>
  <c r="S270" i="8"/>
  <c r="S291" i="8"/>
  <c r="S305" i="8"/>
  <c r="S263" i="8"/>
  <c r="BP126" i="7"/>
  <c r="G126" i="7" s="1"/>
  <c r="BP130" i="7" l="1"/>
  <c r="G130" i="7" s="1"/>
  <c r="BP140" i="7"/>
  <c r="G140" i="7" s="1"/>
  <c r="BP137" i="7"/>
  <c r="G137" i="7" s="1"/>
  <c r="T365" i="8"/>
  <c r="T364" i="8"/>
  <c r="T93" i="8"/>
  <c r="T316" i="8"/>
  <c r="T295" i="8"/>
  <c r="T260" i="8"/>
  <c r="T281" i="8"/>
  <c r="T302" i="8"/>
  <c r="T274" i="8"/>
  <c r="T267" i="8"/>
  <c r="T288" i="8"/>
  <c r="BP127" i="7"/>
  <c r="G127" i="7" s="1"/>
  <c r="BL23" i="7"/>
  <c r="BL24" i="7" s="1"/>
  <c r="S209" i="8"/>
  <c r="S212" i="8" s="1"/>
  <c r="T26" i="1"/>
  <c r="S123" i="8"/>
  <c r="T117" i="8"/>
  <c r="BP138" i="7"/>
  <c r="G257" i="7" s="1"/>
  <c r="BP128" i="7" l="1"/>
  <c r="G256" i="7" s="1"/>
  <c r="T276" i="8"/>
  <c r="T275" i="8"/>
  <c r="T304" i="8"/>
  <c r="T303" i="8"/>
  <c r="T290" i="8"/>
  <c r="T289" i="8"/>
  <c r="T269" i="8"/>
  <c r="T268" i="8"/>
  <c r="T207" i="8"/>
  <c r="U17" i="1"/>
  <c r="U18" i="1" s="1"/>
  <c r="T283" i="8"/>
  <c r="T282" i="8"/>
  <c r="S322" i="8"/>
  <c r="S129" i="8"/>
  <c r="T28" i="1"/>
  <c r="T13" i="1" s="1"/>
  <c r="T262" i="8"/>
  <c r="T261" i="8"/>
  <c r="T297" i="8"/>
  <c r="T296" i="8"/>
  <c r="T317" i="8"/>
  <c r="T318" i="8"/>
  <c r="T319" i="8" s="1"/>
  <c r="S243" i="8"/>
  <c r="S238" i="8"/>
  <c r="S240" i="8"/>
  <c r="S241" i="8"/>
  <c r="S242" i="8"/>
  <c r="S237" i="8"/>
  <c r="S239" i="8"/>
  <c r="T99" i="8"/>
  <c r="T95" i="8"/>
  <c r="T97" i="8" s="1"/>
  <c r="T98" i="8" s="1"/>
  <c r="BM22" i="7"/>
  <c r="BL25" i="7"/>
  <c r="T83" i="8"/>
  <c r="T367" i="8"/>
  <c r="T87" i="8" s="1"/>
  <c r="T31" i="1" l="1"/>
  <c r="T100" i="8"/>
  <c r="T210" i="8" s="1"/>
  <c r="T96" i="8"/>
  <c r="U94" i="8" s="1"/>
  <c r="U10" i="1"/>
  <c r="BM23" i="7"/>
  <c r="BM24" i="7" s="1"/>
  <c r="T84" i="8"/>
  <c r="U76" i="8" s="1"/>
  <c r="T88" i="8"/>
  <c r="T89" i="8" s="1"/>
  <c r="T120" i="8" s="1"/>
  <c r="T86" i="8"/>
  <c r="T125" i="8" l="1"/>
  <c r="T126" i="8" s="1"/>
  <c r="U24" i="1"/>
  <c r="T121" i="8"/>
  <c r="BN22" i="7"/>
  <c r="BM25" i="7"/>
  <c r="T119" i="8"/>
  <c r="T320" i="8"/>
  <c r="T306" i="8"/>
  <c r="T292" i="8"/>
  <c r="T299" i="8"/>
  <c r="T278" i="8"/>
  <c r="T271" i="8"/>
  <c r="T285" i="8"/>
  <c r="T264" i="8"/>
  <c r="T284" i="8"/>
  <c r="T298" i="8"/>
  <c r="T291" i="8"/>
  <c r="T305" i="8"/>
  <c r="T277" i="8"/>
  <c r="T263" i="8"/>
  <c r="T270" i="8"/>
  <c r="U81" i="8"/>
  <c r="U85" i="8"/>
  <c r="U117" i="8" l="1"/>
  <c r="U365" i="8"/>
  <c r="U93" i="8"/>
  <c r="U316" i="8"/>
  <c r="U364" i="8"/>
  <c r="U260" i="8"/>
  <c r="U295" i="8"/>
  <c r="U302" i="8"/>
  <c r="U288" i="8"/>
  <c r="U281" i="8"/>
  <c r="U274" i="8"/>
  <c r="U267" i="8"/>
  <c r="T209" i="8"/>
  <c r="T212" i="8" s="1"/>
  <c r="U26" i="1"/>
  <c r="T123" i="8"/>
  <c r="BN23" i="7"/>
  <c r="BN24" i="7" s="1"/>
  <c r="BO22" i="7" l="1"/>
  <c r="BN25" i="7"/>
  <c r="T322" i="8"/>
  <c r="T129" i="8"/>
  <c r="U28" i="1"/>
  <c r="U13" i="1" s="1"/>
  <c r="U95" i="8"/>
  <c r="U97" i="8" s="1"/>
  <c r="U98" i="8" s="1"/>
  <c r="U99" i="8"/>
  <c r="U283" i="8"/>
  <c r="U282" i="8"/>
  <c r="U297" i="8"/>
  <c r="U296" i="8"/>
  <c r="U269" i="8"/>
  <c r="U268" i="8"/>
  <c r="U317" i="8"/>
  <c r="U318" i="8"/>
  <c r="U319" i="8" s="1"/>
  <c r="T241" i="8"/>
  <c r="T238" i="8"/>
  <c r="T239" i="8"/>
  <c r="T242" i="8"/>
  <c r="T237" i="8"/>
  <c r="T243" i="8"/>
  <c r="T240" i="8"/>
  <c r="U276" i="8"/>
  <c r="U275" i="8"/>
  <c r="U290" i="8"/>
  <c r="U289" i="8"/>
  <c r="U304" i="8"/>
  <c r="U303" i="8"/>
  <c r="U262" i="8"/>
  <c r="U261" i="8"/>
  <c r="U83" i="8"/>
  <c r="U367" i="8"/>
  <c r="U87" i="8" s="1"/>
  <c r="U207" i="8"/>
  <c r="V17" i="1"/>
  <c r="V18" i="1" s="1"/>
  <c r="U31" i="1" l="1"/>
  <c r="U96" i="8"/>
  <c r="V94" i="8" s="1"/>
  <c r="V10" i="1"/>
  <c r="U88" i="8"/>
  <c r="U89" i="8" s="1"/>
  <c r="U120" i="8" s="1"/>
  <c r="U84" i="8"/>
  <c r="V76" i="8" s="1"/>
  <c r="U86" i="8"/>
  <c r="U100" i="8"/>
  <c r="BO23" i="7"/>
  <c r="BO24" i="7" s="1"/>
  <c r="BP22" i="7" l="1"/>
  <c r="BO25" i="7"/>
  <c r="V81" i="8"/>
  <c r="V85" i="8"/>
  <c r="U210" i="8"/>
  <c r="U121" i="8"/>
  <c r="V24" i="1"/>
  <c r="U125" i="8"/>
  <c r="U126" i="8" s="1"/>
  <c r="U119" i="8"/>
  <c r="U306" i="8"/>
  <c r="U278" i="8"/>
  <c r="U320" i="8"/>
  <c r="U292" i="8"/>
  <c r="U271" i="8"/>
  <c r="U264" i="8"/>
  <c r="U299" i="8"/>
  <c r="U285" i="8"/>
  <c r="U305" i="8"/>
  <c r="U284" i="8"/>
  <c r="U270" i="8"/>
  <c r="U263" i="8"/>
  <c r="U291" i="8"/>
  <c r="U298" i="8"/>
  <c r="U277" i="8"/>
  <c r="U209" i="8" l="1"/>
  <c r="U212" i="8" s="1"/>
  <c r="V26" i="1"/>
  <c r="U123" i="8"/>
  <c r="V117" i="8"/>
  <c r="V365" i="8"/>
  <c r="V93" i="8"/>
  <c r="V316" i="8"/>
  <c r="V364" i="8"/>
  <c r="V274" i="8"/>
  <c r="V260" i="8"/>
  <c r="V295" i="8"/>
  <c r="V288" i="8"/>
  <c r="V302" i="8"/>
  <c r="V281" i="8"/>
  <c r="V267" i="8"/>
  <c r="BP23" i="7"/>
  <c r="BP24" i="7" s="1"/>
  <c r="BP25" i="7" s="1"/>
  <c r="G25" i="7" s="1"/>
  <c r="V297" i="8" l="1"/>
  <c r="V296" i="8"/>
  <c r="V290" i="8"/>
  <c r="V289" i="8"/>
  <c r="V317" i="8"/>
  <c r="V318" i="8"/>
  <c r="V319" i="8" s="1"/>
  <c r="U322" i="8"/>
  <c r="U129" i="8"/>
  <c r="V28" i="1"/>
  <c r="G262" i="7"/>
  <c r="M20" i="8"/>
  <c r="L233" i="7"/>
  <c r="L234" i="7" s="1"/>
  <c r="L235" i="7" s="1"/>
  <c r="N233" i="7"/>
  <c r="N234" i="7" s="1"/>
  <c r="N235" i="7" s="1"/>
  <c r="I233" i="7"/>
  <c r="I234" i="7" s="1"/>
  <c r="I235" i="7" s="1"/>
  <c r="H233" i="7"/>
  <c r="H234" i="7" s="1"/>
  <c r="H235" i="7" s="1"/>
  <c r="K233" i="7"/>
  <c r="K234" i="7" s="1"/>
  <c r="K235" i="7" s="1"/>
  <c r="G151" i="7"/>
  <c r="M233" i="7"/>
  <c r="M234" i="7" s="1"/>
  <c r="M235" i="7" s="1"/>
  <c r="J233" i="7"/>
  <c r="J234" i="7" s="1"/>
  <c r="J235" i="7" s="1"/>
  <c r="V283" i="8"/>
  <c r="V282" i="8"/>
  <c r="V262" i="8"/>
  <c r="V261" i="8"/>
  <c r="V276" i="8"/>
  <c r="V275" i="8"/>
  <c r="V83" i="8"/>
  <c r="V367" i="8"/>
  <c r="V87" i="8" s="1"/>
  <c r="V207" i="8"/>
  <c r="W17" i="1"/>
  <c r="W18" i="1" s="1"/>
  <c r="V95" i="8"/>
  <c r="V97" i="8" s="1"/>
  <c r="V98" i="8" s="1"/>
  <c r="V99" i="8"/>
  <c r="V304" i="8"/>
  <c r="V303" i="8"/>
  <c r="U239" i="8"/>
  <c r="U240" i="8"/>
  <c r="U242" i="8"/>
  <c r="U241" i="8"/>
  <c r="U243" i="8"/>
  <c r="U237" i="8"/>
  <c r="U238" i="8"/>
  <c r="V269" i="8"/>
  <c r="V268" i="8"/>
  <c r="V96" i="8" l="1"/>
  <c r="W94" i="8" s="1"/>
  <c r="V100" i="8"/>
  <c r="V210" i="8" s="1"/>
  <c r="G20" i="8"/>
  <c r="M24" i="8"/>
  <c r="V13" i="1"/>
  <c r="V31" i="1"/>
  <c r="J236" i="7"/>
  <c r="M236" i="7"/>
  <c r="H236" i="7"/>
  <c r="I212" i="7"/>
  <c r="J212" i="7"/>
  <c r="H212" i="7"/>
  <c r="L212" i="7"/>
  <c r="K212" i="7"/>
  <c r="M212" i="7"/>
  <c r="N212" i="7"/>
  <c r="O212" i="7"/>
  <c r="P212" i="7"/>
  <c r="Q212" i="7"/>
  <c r="R212" i="7"/>
  <c r="S212" i="7"/>
  <c r="T212" i="7"/>
  <c r="U212" i="7"/>
  <c r="V212" i="7"/>
  <c r="W212" i="7"/>
  <c r="X212" i="7"/>
  <c r="Y212" i="7"/>
  <c r="Z212" i="7"/>
  <c r="AA212" i="7"/>
  <c r="AB212" i="7"/>
  <c r="AC212" i="7"/>
  <c r="AD212" i="7"/>
  <c r="AE212" i="7"/>
  <c r="AF212" i="7"/>
  <c r="AG212" i="7"/>
  <c r="AH212" i="7"/>
  <c r="AI212" i="7"/>
  <c r="AJ212" i="7"/>
  <c r="AK212" i="7"/>
  <c r="AL212" i="7"/>
  <c r="AM212" i="7"/>
  <c r="AN212" i="7"/>
  <c r="AO212" i="7"/>
  <c r="AP212" i="7"/>
  <c r="AQ212" i="7"/>
  <c r="AR212" i="7"/>
  <c r="AS212" i="7"/>
  <c r="AT212" i="7"/>
  <c r="AU212" i="7"/>
  <c r="AV212" i="7"/>
  <c r="AW212" i="7"/>
  <c r="AX212" i="7"/>
  <c r="AY212" i="7"/>
  <c r="AZ212" i="7"/>
  <c r="BA212" i="7"/>
  <c r="BB212" i="7"/>
  <c r="BC212" i="7"/>
  <c r="BD212" i="7"/>
  <c r="BE212" i="7"/>
  <c r="BF212" i="7"/>
  <c r="BG212" i="7"/>
  <c r="BH212" i="7"/>
  <c r="BI212" i="7"/>
  <c r="BJ212" i="7"/>
  <c r="BK212" i="7"/>
  <c r="BL212" i="7"/>
  <c r="BM212" i="7"/>
  <c r="BN212" i="7"/>
  <c r="BO212" i="7"/>
  <c r="BP212" i="7"/>
  <c r="G152" i="7"/>
  <c r="K236" i="7"/>
  <c r="V84" i="8"/>
  <c r="W76" i="8" s="1"/>
  <c r="V88" i="8"/>
  <c r="V89" i="8" s="1"/>
  <c r="V120" i="8" s="1"/>
  <c r="V86" i="8"/>
  <c r="I236" i="7"/>
  <c r="N236" i="7"/>
  <c r="L236" i="7"/>
  <c r="W10" i="1"/>
  <c r="G155" i="7"/>
  <c r="G269" i="7" s="1"/>
  <c r="W24" i="1" l="1"/>
  <c r="V125" i="8"/>
  <c r="V126" i="8" s="1"/>
  <c r="V121" i="8"/>
  <c r="G259" i="7"/>
  <c r="G154" i="7"/>
  <c r="G153" i="7"/>
  <c r="M237" i="7"/>
  <c r="M238" i="7" s="1"/>
  <c r="H237" i="7"/>
  <c r="H238" i="7" s="1"/>
  <c r="J237" i="7"/>
  <c r="N237" i="7"/>
  <c r="N238" i="7" s="1"/>
  <c r="I237" i="7"/>
  <c r="V119" i="8"/>
  <c r="V292" i="8"/>
  <c r="V306" i="8"/>
  <c r="V271" i="8"/>
  <c r="V285" i="8"/>
  <c r="V278" i="8"/>
  <c r="V264" i="8"/>
  <c r="V320" i="8"/>
  <c r="V299" i="8"/>
  <c r="V291" i="8"/>
  <c r="V284" i="8"/>
  <c r="V263" i="8"/>
  <c r="V270" i="8"/>
  <c r="V305" i="8"/>
  <c r="V298" i="8"/>
  <c r="V277" i="8"/>
  <c r="L237" i="7"/>
  <c r="L238" i="7" s="1"/>
  <c r="W81" i="8"/>
  <c r="W85" i="8"/>
  <c r="G212" i="7"/>
  <c r="K237" i="7"/>
  <c r="M114" i="8"/>
  <c r="M123" i="8" s="1"/>
  <c r="M104" i="8"/>
  <c r="M109" i="8" s="1"/>
  <c r="N16" i="1"/>
  <c r="N18" i="1" s="1"/>
  <c r="H239" i="7" l="1"/>
  <c r="E156" i="2"/>
  <c r="L239" i="7"/>
  <c r="I156" i="2"/>
  <c r="P246" i="7"/>
  <c r="AB246" i="7"/>
  <c r="AN246" i="7"/>
  <c r="AZ246" i="7"/>
  <c r="BL246" i="7"/>
  <c r="AD246" i="7"/>
  <c r="AE246" i="7"/>
  <c r="H246" i="7"/>
  <c r="Q246" i="7"/>
  <c r="AC246" i="7"/>
  <c r="AO246" i="7"/>
  <c r="BA246" i="7"/>
  <c r="BM246" i="7"/>
  <c r="BO246" i="7"/>
  <c r="BE246" i="7"/>
  <c r="M246" i="7"/>
  <c r="AK246" i="7"/>
  <c r="O246" i="7"/>
  <c r="R246" i="7"/>
  <c r="AP246" i="7"/>
  <c r="BB246" i="7"/>
  <c r="BN246" i="7"/>
  <c r="AQ246" i="7"/>
  <c r="U246" i="7"/>
  <c r="BI246" i="7"/>
  <c r="AA246" i="7"/>
  <c r="S246" i="7"/>
  <c r="BC246" i="7"/>
  <c r="AG246" i="7"/>
  <c r="AW246" i="7"/>
  <c r="I246" i="7"/>
  <c r="T246" i="7"/>
  <c r="AF246" i="7"/>
  <c r="AR246" i="7"/>
  <c r="BD246" i="7"/>
  <c r="BP246" i="7"/>
  <c r="AS246" i="7"/>
  <c r="AY246" i="7"/>
  <c r="J246" i="7"/>
  <c r="V246" i="7"/>
  <c r="AH246" i="7"/>
  <c r="AT246" i="7"/>
  <c r="BF246" i="7"/>
  <c r="I240" i="7"/>
  <c r="F158" i="2" s="1"/>
  <c r="Y246" i="7"/>
  <c r="K246" i="7"/>
  <c r="W246" i="7"/>
  <c r="AI246" i="7"/>
  <c r="AU246" i="7"/>
  <c r="BG246" i="7"/>
  <c r="BK246" i="7"/>
  <c r="L246" i="7"/>
  <c r="X246" i="7"/>
  <c r="AJ246" i="7"/>
  <c r="AV246" i="7"/>
  <c r="BH246" i="7"/>
  <c r="N246" i="7"/>
  <c r="Z246" i="7"/>
  <c r="AL246" i="7"/>
  <c r="AX246" i="7"/>
  <c r="BJ246" i="7"/>
  <c r="AM246" i="7"/>
  <c r="J248" i="7"/>
  <c r="V248" i="7"/>
  <c r="AH248" i="7"/>
  <c r="AT248" i="7"/>
  <c r="BF248" i="7"/>
  <c r="O248" i="7"/>
  <c r="BC248" i="7"/>
  <c r="BE248" i="7"/>
  <c r="K248" i="7"/>
  <c r="W248" i="7"/>
  <c r="AI248" i="7"/>
  <c r="AU248" i="7"/>
  <c r="BG248" i="7"/>
  <c r="L248" i="7"/>
  <c r="AJ248" i="7"/>
  <c r="AV248" i="7"/>
  <c r="AA248" i="7"/>
  <c r="BK248" i="7"/>
  <c r="S248" i="7"/>
  <c r="H248" i="7"/>
  <c r="X248" i="7"/>
  <c r="BH248" i="7"/>
  <c r="AM248" i="7"/>
  <c r="AQ248" i="7"/>
  <c r="U248" i="7"/>
  <c r="M248" i="7"/>
  <c r="Y248" i="7"/>
  <c r="AK248" i="7"/>
  <c r="AW248" i="7"/>
  <c r="BI248" i="7"/>
  <c r="AE248" i="7"/>
  <c r="AS248" i="7"/>
  <c r="N248" i="7"/>
  <c r="Z248" i="7"/>
  <c r="AL248" i="7"/>
  <c r="AX248" i="7"/>
  <c r="BJ248" i="7"/>
  <c r="AY248" i="7"/>
  <c r="BO248" i="7"/>
  <c r="K240" i="7"/>
  <c r="H158" i="2" s="1"/>
  <c r="P248" i="7"/>
  <c r="AB248" i="7"/>
  <c r="AN248" i="7"/>
  <c r="AZ248" i="7"/>
  <c r="BL248" i="7"/>
  <c r="AG248" i="7"/>
  <c r="Q248" i="7"/>
  <c r="AC248" i="7"/>
  <c r="AO248" i="7"/>
  <c r="BA248" i="7"/>
  <c r="BM248" i="7"/>
  <c r="R248" i="7"/>
  <c r="AD248" i="7"/>
  <c r="AP248" i="7"/>
  <c r="BB248" i="7"/>
  <c r="BN248" i="7"/>
  <c r="I248" i="7"/>
  <c r="T248" i="7"/>
  <c r="AF248" i="7"/>
  <c r="AR248" i="7"/>
  <c r="BD248" i="7"/>
  <c r="BP248" i="7"/>
  <c r="M239" i="7"/>
  <c r="J156" i="2"/>
  <c r="I238" i="7"/>
  <c r="K238" i="7"/>
  <c r="Q245" i="7"/>
  <c r="R245" i="7"/>
  <c r="AD245" i="7"/>
  <c r="AP245" i="7"/>
  <c r="BB245" i="7"/>
  <c r="BN245" i="7"/>
  <c r="BG245" i="7"/>
  <c r="S245" i="7"/>
  <c r="AE245" i="7"/>
  <c r="AQ245" i="7"/>
  <c r="BC245" i="7"/>
  <c r="BO245" i="7"/>
  <c r="I245" i="7"/>
  <c r="AF245" i="7"/>
  <c r="AR245" i="7"/>
  <c r="BP245" i="7"/>
  <c r="AU245" i="7"/>
  <c r="AM245" i="7"/>
  <c r="T245" i="7"/>
  <c r="BD245" i="7"/>
  <c r="K245" i="7"/>
  <c r="AA245" i="7"/>
  <c r="BK245" i="7"/>
  <c r="BA245" i="7"/>
  <c r="H245" i="7"/>
  <c r="U245" i="7"/>
  <c r="AG245" i="7"/>
  <c r="AS245" i="7"/>
  <c r="BE245" i="7"/>
  <c r="H240" i="7"/>
  <c r="E158" i="2" s="1"/>
  <c r="AI245" i="7"/>
  <c r="J245" i="7"/>
  <c r="V245" i="7"/>
  <c r="AH245" i="7"/>
  <c r="AT245" i="7"/>
  <c r="BF245" i="7"/>
  <c r="W245" i="7"/>
  <c r="O245" i="7"/>
  <c r="AY245" i="7"/>
  <c r="BM245" i="7"/>
  <c r="L245" i="7"/>
  <c r="X245" i="7"/>
  <c r="AJ245" i="7"/>
  <c r="AV245" i="7"/>
  <c r="BH245" i="7"/>
  <c r="M245" i="7"/>
  <c r="Y245" i="7"/>
  <c r="AK245" i="7"/>
  <c r="AW245" i="7"/>
  <c r="BI245" i="7"/>
  <c r="AO245" i="7"/>
  <c r="N245" i="7"/>
  <c r="Z245" i="7"/>
  <c r="AL245" i="7"/>
  <c r="AX245" i="7"/>
  <c r="BJ245" i="7"/>
  <c r="P245" i="7"/>
  <c r="AB245" i="7"/>
  <c r="AN245" i="7"/>
  <c r="AZ245" i="7"/>
  <c r="BL245" i="7"/>
  <c r="AC245" i="7"/>
  <c r="I249" i="7"/>
  <c r="T249" i="7"/>
  <c r="AF249" i="7"/>
  <c r="AR249" i="7"/>
  <c r="BD249" i="7"/>
  <c r="BP249" i="7"/>
  <c r="AT249" i="7"/>
  <c r="K249" i="7"/>
  <c r="BG249" i="7"/>
  <c r="AW249" i="7"/>
  <c r="AO249" i="7"/>
  <c r="S249" i="7"/>
  <c r="H249" i="7"/>
  <c r="U249" i="7"/>
  <c r="AG249" i="7"/>
  <c r="AS249" i="7"/>
  <c r="BE249" i="7"/>
  <c r="L240" i="7"/>
  <c r="I158" i="2" s="1"/>
  <c r="J249" i="7"/>
  <c r="AH249" i="7"/>
  <c r="W249" i="7"/>
  <c r="AK249" i="7"/>
  <c r="AX249" i="7"/>
  <c r="AC249" i="7"/>
  <c r="AQ249" i="7"/>
  <c r="V249" i="7"/>
  <c r="BF249" i="7"/>
  <c r="AU249" i="7"/>
  <c r="BH249" i="7"/>
  <c r="Y249" i="7"/>
  <c r="BA249" i="7"/>
  <c r="AE249" i="7"/>
  <c r="AI249" i="7"/>
  <c r="BJ249" i="7"/>
  <c r="L249" i="7"/>
  <c r="X249" i="7"/>
  <c r="AJ249" i="7"/>
  <c r="AV249" i="7"/>
  <c r="M249" i="7"/>
  <c r="BI249" i="7"/>
  <c r="BM249" i="7"/>
  <c r="BC249" i="7"/>
  <c r="N249" i="7"/>
  <c r="Z249" i="7"/>
  <c r="AL249" i="7"/>
  <c r="Q249" i="7"/>
  <c r="O249" i="7"/>
  <c r="AA249" i="7"/>
  <c r="AM249" i="7"/>
  <c r="AY249" i="7"/>
  <c r="BK249" i="7"/>
  <c r="P249" i="7"/>
  <c r="AB249" i="7"/>
  <c r="AN249" i="7"/>
  <c r="AZ249" i="7"/>
  <c r="BL249" i="7"/>
  <c r="R249" i="7"/>
  <c r="AD249" i="7"/>
  <c r="AP249" i="7"/>
  <c r="BB249" i="7"/>
  <c r="BN249" i="7"/>
  <c r="BO249" i="7"/>
  <c r="G260" i="7"/>
  <c r="K170" i="7"/>
  <c r="K171" i="7" s="1"/>
  <c r="K172" i="7" s="1"/>
  <c r="I170" i="7"/>
  <c r="I171" i="7" s="1"/>
  <c r="I172" i="7" s="1"/>
  <c r="H170" i="7"/>
  <c r="J170" i="7"/>
  <c r="J171" i="7" s="1"/>
  <c r="J172" i="7" s="1"/>
  <c r="L170" i="7"/>
  <c r="L171" i="7" s="1"/>
  <c r="L172" i="7" s="1"/>
  <c r="M170" i="7"/>
  <c r="M171" i="7" s="1"/>
  <c r="M172" i="7" s="1"/>
  <c r="N170" i="7"/>
  <c r="N171" i="7" s="1"/>
  <c r="N172" i="7" s="1"/>
  <c r="O170" i="7"/>
  <c r="O171" i="7" s="1"/>
  <c r="O172" i="7" s="1"/>
  <c r="P170" i="7"/>
  <c r="P171" i="7" s="1"/>
  <c r="P172" i="7" s="1"/>
  <c r="Q170" i="7"/>
  <c r="Q171" i="7" s="1"/>
  <c r="Q172" i="7" s="1"/>
  <c r="R170" i="7"/>
  <c r="R171" i="7" s="1"/>
  <c r="R172" i="7" s="1"/>
  <c r="S170" i="7"/>
  <c r="S171" i="7" s="1"/>
  <c r="S172" i="7" s="1"/>
  <c r="T170" i="7"/>
  <c r="T171" i="7" s="1"/>
  <c r="T172" i="7" s="1"/>
  <c r="U170" i="7"/>
  <c r="U171" i="7" s="1"/>
  <c r="U172" i="7" s="1"/>
  <c r="V170" i="7"/>
  <c r="V171" i="7" s="1"/>
  <c r="V172" i="7" s="1"/>
  <c r="W170" i="7"/>
  <c r="W171" i="7" s="1"/>
  <c r="W172" i="7" s="1"/>
  <c r="X170" i="7"/>
  <c r="X171" i="7" s="1"/>
  <c r="X172" i="7" s="1"/>
  <c r="Y170" i="7"/>
  <c r="Y171" i="7" s="1"/>
  <c r="Y172" i="7" s="1"/>
  <c r="Z170" i="7"/>
  <c r="Z171" i="7" s="1"/>
  <c r="Z172" i="7" s="1"/>
  <c r="AA170" i="7"/>
  <c r="AA171" i="7" s="1"/>
  <c r="AA172" i="7" s="1"/>
  <c r="AB170" i="7"/>
  <c r="AB171" i="7" s="1"/>
  <c r="AB172" i="7" s="1"/>
  <c r="AC170" i="7"/>
  <c r="AC171" i="7" s="1"/>
  <c r="AC172" i="7" s="1"/>
  <c r="AD170" i="7"/>
  <c r="AD171" i="7" s="1"/>
  <c r="AD172" i="7" s="1"/>
  <c r="AE170" i="7"/>
  <c r="AE171" i="7" s="1"/>
  <c r="AE172" i="7" s="1"/>
  <c r="AF170" i="7"/>
  <c r="AF171" i="7" s="1"/>
  <c r="AF172" i="7" s="1"/>
  <c r="AG170" i="7"/>
  <c r="AG171" i="7" s="1"/>
  <c r="AG172" i="7" s="1"/>
  <c r="AH170" i="7"/>
  <c r="AH171" i="7" s="1"/>
  <c r="AH172" i="7" s="1"/>
  <c r="AI170" i="7"/>
  <c r="AI171" i="7" s="1"/>
  <c r="AI172" i="7" s="1"/>
  <c r="AJ170" i="7"/>
  <c r="AJ171" i="7" s="1"/>
  <c r="AJ172" i="7" s="1"/>
  <c r="AK170" i="7"/>
  <c r="AK171" i="7" s="1"/>
  <c r="AK172" i="7" s="1"/>
  <c r="AL170" i="7"/>
  <c r="AL171" i="7" s="1"/>
  <c r="AL172" i="7" s="1"/>
  <c r="AM170" i="7"/>
  <c r="AM171" i="7" s="1"/>
  <c r="AM172" i="7" s="1"/>
  <c r="AN170" i="7"/>
  <c r="AN171" i="7" s="1"/>
  <c r="AN172" i="7" s="1"/>
  <c r="AO170" i="7"/>
  <c r="AO171" i="7" s="1"/>
  <c r="AO172" i="7" s="1"/>
  <c r="AP170" i="7"/>
  <c r="AP171" i="7" s="1"/>
  <c r="AP172" i="7" s="1"/>
  <c r="AQ170" i="7"/>
  <c r="AQ171" i="7" s="1"/>
  <c r="AQ172" i="7" s="1"/>
  <c r="AR170" i="7"/>
  <c r="AR171" i="7" s="1"/>
  <c r="AR172" i="7" s="1"/>
  <c r="AS170" i="7"/>
  <c r="AS171" i="7" s="1"/>
  <c r="AS172" i="7" s="1"/>
  <c r="AT170" i="7"/>
  <c r="AT171" i="7" s="1"/>
  <c r="AT172" i="7" s="1"/>
  <c r="AU170" i="7"/>
  <c r="AU171" i="7" s="1"/>
  <c r="AU172" i="7" s="1"/>
  <c r="AV170" i="7"/>
  <c r="AV171" i="7" s="1"/>
  <c r="AV172" i="7" s="1"/>
  <c r="AW170" i="7"/>
  <c r="AW171" i="7" s="1"/>
  <c r="AW172" i="7" s="1"/>
  <c r="AX170" i="7"/>
  <c r="AX171" i="7" s="1"/>
  <c r="AX172" i="7" s="1"/>
  <c r="AY170" i="7"/>
  <c r="AY171" i="7" s="1"/>
  <c r="AY172" i="7" s="1"/>
  <c r="AZ170" i="7"/>
  <c r="AZ171" i="7" s="1"/>
  <c r="AZ172" i="7" s="1"/>
  <c r="BA170" i="7"/>
  <c r="BA171" i="7" s="1"/>
  <c r="BA172" i="7" s="1"/>
  <c r="BB170" i="7"/>
  <c r="BB171" i="7" s="1"/>
  <c r="BB172" i="7" s="1"/>
  <c r="BC170" i="7"/>
  <c r="BC171" i="7" s="1"/>
  <c r="BC172" i="7" s="1"/>
  <c r="BD170" i="7"/>
  <c r="BD171" i="7" s="1"/>
  <c r="BD172" i="7" s="1"/>
  <c r="BE170" i="7"/>
  <c r="BE171" i="7" s="1"/>
  <c r="BE172" i="7" s="1"/>
  <c r="BF170" i="7"/>
  <c r="BF171" i="7" s="1"/>
  <c r="BF172" i="7" s="1"/>
  <c r="BG170" i="7"/>
  <c r="BG171" i="7" s="1"/>
  <c r="BG172" i="7" s="1"/>
  <c r="BH170" i="7"/>
  <c r="BH171" i="7" s="1"/>
  <c r="BH172" i="7" s="1"/>
  <c r="BI170" i="7"/>
  <c r="BI171" i="7" s="1"/>
  <c r="BI172" i="7" s="1"/>
  <c r="BJ170" i="7"/>
  <c r="BJ171" i="7" s="1"/>
  <c r="BJ172" i="7" s="1"/>
  <c r="BK170" i="7"/>
  <c r="BK171" i="7" s="1"/>
  <c r="BK172" i="7" s="1"/>
  <c r="BL170" i="7"/>
  <c r="BL171" i="7" s="1"/>
  <c r="BL172" i="7" s="1"/>
  <c r="BM170" i="7"/>
  <c r="BM171" i="7" s="1"/>
  <c r="BM172" i="7" s="1"/>
  <c r="BN170" i="7"/>
  <c r="BN171" i="7" s="1"/>
  <c r="BN172" i="7" s="1"/>
  <c r="BO170" i="7"/>
  <c r="BO171" i="7" s="1"/>
  <c r="BO172" i="7" s="1"/>
  <c r="BP170" i="7"/>
  <c r="BP171" i="7" s="1"/>
  <c r="BP172" i="7" s="1"/>
  <c r="H213" i="7"/>
  <c r="I213" i="7"/>
  <c r="I214" i="7" s="1"/>
  <c r="I215" i="7" s="1"/>
  <c r="L213" i="7"/>
  <c r="L214" i="7" s="1"/>
  <c r="L215" i="7" s="1"/>
  <c r="K213" i="7"/>
  <c r="K214" i="7" s="1"/>
  <c r="K215" i="7" s="1"/>
  <c r="J213" i="7"/>
  <c r="J214" i="7" s="1"/>
  <c r="J215" i="7" s="1"/>
  <c r="K22" i="8"/>
  <c r="G22" i="8" s="1"/>
  <c r="M213" i="7"/>
  <c r="M214" i="7" s="1"/>
  <c r="M215" i="7" s="1"/>
  <c r="N213" i="7"/>
  <c r="N214" i="7" s="1"/>
  <c r="N215" i="7" s="1"/>
  <c r="O213" i="7"/>
  <c r="O214" i="7" s="1"/>
  <c r="O215" i="7" s="1"/>
  <c r="P213" i="7"/>
  <c r="P214" i="7" s="1"/>
  <c r="P215" i="7" s="1"/>
  <c r="Q213" i="7"/>
  <c r="Q214" i="7" s="1"/>
  <c r="Q215" i="7" s="1"/>
  <c r="R213" i="7"/>
  <c r="R214" i="7" s="1"/>
  <c r="R215" i="7" s="1"/>
  <c r="S213" i="7"/>
  <c r="S214" i="7" s="1"/>
  <c r="S215" i="7" s="1"/>
  <c r="T213" i="7"/>
  <c r="T214" i="7" s="1"/>
  <c r="T215" i="7" s="1"/>
  <c r="U213" i="7"/>
  <c r="U214" i="7" s="1"/>
  <c r="U215" i="7" s="1"/>
  <c r="V213" i="7"/>
  <c r="V214" i="7" s="1"/>
  <c r="V215" i="7" s="1"/>
  <c r="W213" i="7"/>
  <c r="W214" i="7" s="1"/>
  <c r="W215" i="7" s="1"/>
  <c r="X213" i="7"/>
  <c r="X214" i="7" s="1"/>
  <c r="X215" i="7" s="1"/>
  <c r="Y213" i="7"/>
  <c r="Y214" i="7" s="1"/>
  <c r="Y215" i="7" s="1"/>
  <c r="Z213" i="7"/>
  <c r="Z214" i="7" s="1"/>
  <c r="Z215" i="7" s="1"/>
  <c r="AA213" i="7"/>
  <c r="AA214" i="7" s="1"/>
  <c r="AA215" i="7" s="1"/>
  <c r="AB213" i="7"/>
  <c r="AB214" i="7" s="1"/>
  <c r="AB215" i="7" s="1"/>
  <c r="AC213" i="7"/>
  <c r="AC214" i="7" s="1"/>
  <c r="AC215" i="7" s="1"/>
  <c r="AD213" i="7"/>
  <c r="AD214" i="7" s="1"/>
  <c r="AD215" i="7" s="1"/>
  <c r="AE213" i="7"/>
  <c r="AE214" i="7" s="1"/>
  <c r="AE215" i="7" s="1"/>
  <c r="AF213" i="7"/>
  <c r="AF214" i="7" s="1"/>
  <c r="AF215" i="7" s="1"/>
  <c r="AG213" i="7"/>
  <c r="AG214" i="7" s="1"/>
  <c r="AG215" i="7" s="1"/>
  <c r="AH213" i="7"/>
  <c r="AH214" i="7" s="1"/>
  <c r="AH215" i="7" s="1"/>
  <c r="AI213" i="7"/>
  <c r="AI214" i="7" s="1"/>
  <c r="AI215" i="7" s="1"/>
  <c r="AJ213" i="7"/>
  <c r="AJ214" i="7" s="1"/>
  <c r="AJ215" i="7" s="1"/>
  <c r="AK213" i="7"/>
  <c r="AK214" i="7" s="1"/>
  <c r="AK215" i="7" s="1"/>
  <c r="AL213" i="7"/>
  <c r="AL214" i="7" s="1"/>
  <c r="AL215" i="7" s="1"/>
  <c r="AM213" i="7"/>
  <c r="AM214" i="7" s="1"/>
  <c r="AM215" i="7" s="1"/>
  <c r="AN213" i="7"/>
  <c r="AN214" i="7" s="1"/>
  <c r="AN215" i="7" s="1"/>
  <c r="AO213" i="7"/>
  <c r="AO214" i="7" s="1"/>
  <c r="AO215" i="7" s="1"/>
  <c r="AP213" i="7"/>
  <c r="AP214" i="7" s="1"/>
  <c r="AP215" i="7" s="1"/>
  <c r="AQ213" i="7"/>
  <c r="AQ214" i="7" s="1"/>
  <c r="AQ215" i="7" s="1"/>
  <c r="AR213" i="7"/>
  <c r="AR214" i="7" s="1"/>
  <c r="AR215" i="7" s="1"/>
  <c r="AS213" i="7"/>
  <c r="AS214" i="7" s="1"/>
  <c r="AS215" i="7" s="1"/>
  <c r="AT213" i="7"/>
  <c r="AT214" i="7" s="1"/>
  <c r="AT215" i="7" s="1"/>
  <c r="AU213" i="7"/>
  <c r="AU214" i="7" s="1"/>
  <c r="AU215" i="7" s="1"/>
  <c r="AV213" i="7"/>
  <c r="AV214" i="7" s="1"/>
  <c r="AV215" i="7" s="1"/>
  <c r="AW213" i="7"/>
  <c r="AW214" i="7" s="1"/>
  <c r="AW215" i="7" s="1"/>
  <c r="AX213" i="7"/>
  <c r="AX214" i="7" s="1"/>
  <c r="AX215" i="7" s="1"/>
  <c r="AY213" i="7"/>
  <c r="AY214" i="7" s="1"/>
  <c r="AY215" i="7" s="1"/>
  <c r="AZ213" i="7"/>
  <c r="AZ214" i="7" s="1"/>
  <c r="AZ215" i="7" s="1"/>
  <c r="BA213" i="7"/>
  <c r="BA214" i="7" s="1"/>
  <c r="BA215" i="7" s="1"/>
  <c r="BB213" i="7"/>
  <c r="BB214" i="7" s="1"/>
  <c r="BB215" i="7" s="1"/>
  <c r="BC213" i="7"/>
  <c r="BC214" i="7" s="1"/>
  <c r="BC215" i="7" s="1"/>
  <c r="BD213" i="7"/>
  <c r="BD214" i="7" s="1"/>
  <c r="BD215" i="7" s="1"/>
  <c r="BE213" i="7"/>
  <c r="BE214" i="7" s="1"/>
  <c r="BE215" i="7" s="1"/>
  <c r="BF213" i="7"/>
  <c r="BF214" i="7" s="1"/>
  <c r="BF215" i="7" s="1"/>
  <c r="BG213" i="7"/>
  <c r="BG214" i="7" s="1"/>
  <c r="BG215" i="7" s="1"/>
  <c r="BH213" i="7"/>
  <c r="BH214" i="7" s="1"/>
  <c r="BH215" i="7" s="1"/>
  <c r="BI213" i="7"/>
  <c r="BI214" i="7" s="1"/>
  <c r="BI215" i="7" s="1"/>
  <c r="BJ213" i="7"/>
  <c r="BJ214" i="7" s="1"/>
  <c r="BJ215" i="7" s="1"/>
  <c r="BK213" i="7"/>
  <c r="BK214" i="7" s="1"/>
  <c r="BK215" i="7" s="1"/>
  <c r="BL213" i="7"/>
  <c r="BL214" i="7" s="1"/>
  <c r="BL215" i="7" s="1"/>
  <c r="BM213" i="7"/>
  <c r="BM214" i="7" s="1"/>
  <c r="BM215" i="7" s="1"/>
  <c r="BN213" i="7"/>
  <c r="BN214" i="7" s="1"/>
  <c r="BN215" i="7" s="1"/>
  <c r="BO213" i="7"/>
  <c r="BO214" i="7" s="1"/>
  <c r="BO215" i="7" s="1"/>
  <c r="BP213" i="7"/>
  <c r="BP214" i="7" s="1"/>
  <c r="BP215" i="7" s="1"/>
  <c r="W117" i="8"/>
  <c r="W365" i="8"/>
  <c r="W316" i="8"/>
  <c r="W93" i="8"/>
  <c r="W364" i="8"/>
  <c r="W295" i="8"/>
  <c r="W281" i="8"/>
  <c r="W260" i="8"/>
  <c r="W274" i="8"/>
  <c r="W288" i="8"/>
  <c r="W302" i="8"/>
  <c r="W267" i="8"/>
  <c r="V209" i="8"/>
  <c r="V212" i="8" s="1"/>
  <c r="W26" i="1"/>
  <c r="V123" i="8"/>
  <c r="BF251" i="7"/>
  <c r="K251" i="7"/>
  <c r="W251" i="7"/>
  <c r="AI251" i="7"/>
  <c r="AU251" i="7"/>
  <c r="BG251" i="7"/>
  <c r="AK251" i="7"/>
  <c r="BI251" i="7"/>
  <c r="N251" i="7"/>
  <c r="P251" i="7"/>
  <c r="T251" i="7"/>
  <c r="L251" i="7"/>
  <c r="X251" i="7"/>
  <c r="AJ251" i="7"/>
  <c r="AV251" i="7"/>
  <c r="BH251" i="7"/>
  <c r="Y251" i="7"/>
  <c r="AX251" i="7"/>
  <c r="AZ251" i="7"/>
  <c r="AF251" i="7"/>
  <c r="AH251" i="7"/>
  <c r="M251" i="7"/>
  <c r="AW251" i="7"/>
  <c r="Z251" i="7"/>
  <c r="BJ251" i="7"/>
  <c r="AN251" i="7"/>
  <c r="AR251" i="7"/>
  <c r="V251" i="7"/>
  <c r="AL251" i="7"/>
  <c r="BL251" i="7"/>
  <c r="BP251" i="7"/>
  <c r="O251" i="7"/>
  <c r="AA251" i="7"/>
  <c r="AM251" i="7"/>
  <c r="AY251" i="7"/>
  <c r="BK251" i="7"/>
  <c r="AB251" i="7"/>
  <c r="I251" i="7"/>
  <c r="BD251" i="7"/>
  <c r="AT251" i="7"/>
  <c r="Q251" i="7"/>
  <c r="AC251" i="7"/>
  <c r="AO251" i="7"/>
  <c r="BA251" i="7"/>
  <c r="BM251" i="7"/>
  <c r="J251" i="7"/>
  <c r="R251" i="7"/>
  <c r="AD251" i="7"/>
  <c r="AP251" i="7"/>
  <c r="BB251" i="7"/>
  <c r="BN251" i="7"/>
  <c r="S251" i="7"/>
  <c r="AE251" i="7"/>
  <c r="AQ251" i="7"/>
  <c r="BC251" i="7"/>
  <c r="BO251" i="7"/>
  <c r="H251" i="7"/>
  <c r="U251" i="7"/>
  <c r="AG251" i="7"/>
  <c r="AS251" i="7"/>
  <c r="BE251" i="7"/>
  <c r="N240" i="7"/>
  <c r="K158" i="2" s="1"/>
  <c r="N239" i="7"/>
  <c r="K156" i="2"/>
  <c r="M305" i="8"/>
  <c r="M270" i="8"/>
  <c r="M277" i="8"/>
  <c r="M298" i="8"/>
  <c r="M291" i="8"/>
  <c r="M284" i="8"/>
  <c r="M263" i="8"/>
  <c r="M191" i="8"/>
  <c r="M188" i="8"/>
  <c r="M184" i="8"/>
  <c r="M181" i="8"/>
  <c r="M192" i="8"/>
  <c r="M180" i="8"/>
  <c r="M179" i="8"/>
  <c r="M189" i="8"/>
  <c r="M190" i="8"/>
  <c r="M183" i="8"/>
  <c r="M182" i="8"/>
  <c r="M178" i="8"/>
  <c r="M110" i="8"/>
  <c r="M335" i="8" s="1"/>
  <c r="P247" i="7"/>
  <c r="AN247" i="7"/>
  <c r="AZ247" i="7"/>
  <c r="Q247" i="7"/>
  <c r="AC247" i="7"/>
  <c r="AO247" i="7"/>
  <c r="BA247" i="7"/>
  <c r="BM247" i="7"/>
  <c r="J247" i="7"/>
  <c r="AL247" i="7"/>
  <c r="R247" i="7"/>
  <c r="AD247" i="7"/>
  <c r="AP247" i="7"/>
  <c r="BB247" i="7"/>
  <c r="BN247" i="7"/>
  <c r="AE247" i="7"/>
  <c r="BF247" i="7"/>
  <c r="AX247" i="7"/>
  <c r="BL247" i="7"/>
  <c r="S247" i="7"/>
  <c r="AQ247" i="7"/>
  <c r="BC247" i="7"/>
  <c r="BO247" i="7"/>
  <c r="V247" i="7"/>
  <c r="BJ247" i="7"/>
  <c r="I247" i="7"/>
  <c r="T247" i="7"/>
  <c r="AF247" i="7"/>
  <c r="AR247" i="7"/>
  <c r="BD247" i="7"/>
  <c r="BP247" i="7"/>
  <c r="AT247" i="7"/>
  <c r="H247" i="7"/>
  <c r="U247" i="7"/>
  <c r="AG247" i="7"/>
  <c r="AS247" i="7"/>
  <c r="BE247" i="7"/>
  <c r="AH247" i="7"/>
  <c r="J240" i="7"/>
  <c r="G158" i="2" s="1"/>
  <c r="Z247" i="7"/>
  <c r="K247" i="7"/>
  <c r="W247" i="7"/>
  <c r="AI247" i="7"/>
  <c r="AU247" i="7"/>
  <c r="BG247" i="7"/>
  <c r="L247" i="7"/>
  <c r="X247" i="7"/>
  <c r="AJ247" i="7"/>
  <c r="AV247" i="7"/>
  <c r="BH247" i="7"/>
  <c r="N247" i="7"/>
  <c r="M247" i="7"/>
  <c r="Y247" i="7"/>
  <c r="AK247" i="7"/>
  <c r="AW247" i="7"/>
  <c r="BI247" i="7"/>
  <c r="O247" i="7"/>
  <c r="AA247" i="7"/>
  <c r="AM247" i="7"/>
  <c r="AY247" i="7"/>
  <c r="BK247" i="7"/>
  <c r="AB247" i="7"/>
  <c r="N10" i="1"/>
  <c r="M322" i="8"/>
  <c r="M129" i="8"/>
  <c r="N28" i="1"/>
  <c r="N13" i="1" s="1"/>
  <c r="J238" i="7"/>
  <c r="N250" i="7"/>
  <c r="Z250" i="7"/>
  <c r="AL250" i="7"/>
  <c r="AX250" i="7"/>
  <c r="BJ250" i="7"/>
  <c r="O250" i="7"/>
  <c r="AA250" i="7"/>
  <c r="AM250" i="7"/>
  <c r="AY250" i="7"/>
  <c r="BK250" i="7"/>
  <c r="AB250" i="7"/>
  <c r="AZ250" i="7"/>
  <c r="AE250" i="7"/>
  <c r="BO250" i="7"/>
  <c r="AU250" i="7"/>
  <c r="P250" i="7"/>
  <c r="AN250" i="7"/>
  <c r="BL250" i="7"/>
  <c r="S250" i="7"/>
  <c r="AQ250" i="7"/>
  <c r="BG250" i="7"/>
  <c r="Y250" i="7"/>
  <c r="Q250" i="7"/>
  <c r="AC250" i="7"/>
  <c r="AO250" i="7"/>
  <c r="BA250" i="7"/>
  <c r="BM250" i="7"/>
  <c r="K250" i="7"/>
  <c r="AW250" i="7"/>
  <c r="R250" i="7"/>
  <c r="AD250" i="7"/>
  <c r="AP250" i="7"/>
  <c r="BB250" i="7"/>
  <c r="BN250" i="7"/>
  <c r="BC250" i="7"/>
  <c r="AI250" i="7"/>
  <c r="M250" i="7"/>
  <c r="I250" i="7"/>
  <c r="T250" i="7"/>
  <c r="AF250" i="7"/>
  <c r="AR250" i="7"/>
  <c r="BD250" i="7"/>
  <c r="BP250" i="7"/>
  <c r="W250" i="7"/>
  <c r="BI250" i="7"/>
  <c r="H250" i="7"/>
  <c r="U250" i="7"/>
  <c r="AG250" i="7"/>
  <c r="AS250" i="7"/>
  <c r="BE250" i="7"/>
  <c r="M240" i="7"/>
  <c r="J158" i="2" s="1"/>
  <c r="J250" i="7"/>
  <c r="V250" i="7"/>
  <c r="AH250" i="7"/>
  <c r="AT250" i="7"/>
  <c r="BF250" i="7"/>
  <c r="L250" i="7"/>
  <c r="X250" i="7"/>
  <c r="AJ250" i="7"/>
  <c r="AV250" i="7"/>
  <c r="BH250" i="7"/>
  <c r="AK250" i="7"/>
  <c r="N31" i="1" l="1"/>
  <c r="W297" i="8"/>
  <c r="W296" i="8"/>
  <c r="W83" i="8"/>
  <c r="W367" i="8"/>
  <c r="W87" i="8" s="1"/>
  <c r="W207" i="8"/>
  <c r="X17" i="1"/>
  <c r="X18" i="1" s="1"/>
  <c r="W95" i="8"/>
  <c r="W97" i="8" s="1"/>
  <c r="W98" i="8" s="1"/>
  <c r="W99" i="8"/>
  <c r="G170" i="7"/>
  <c r="H171" i="7"/>
  <c r="V322" i="8"/>
  <c r="V129" i="8"/>
  <c r="W28" i="1"/>
  <c r="W13" i="1" s="1"/>
  <c r="W317" i="8"/>
  <c r="W318" i="8"/>
  <c r="W319" i="8" s="1"/>
  <c r="G213" i="7"/>
  <c r="H214" i="7"/>
  <c r="I239" i="7"/>
  <c r="F156" i="2"/>
  <c r="V243" i="8"/>
  <c r="V240" i="8"/>
  <c r="V242" i="8"/>
  <c r="V241" i="8"/>
  <c r="V237" i="8"/>
  <c r="V238" i="8"/>
  <c r="V239" i="8"/>
  <c r="J239" i="7"/>
  <c r="G156" i="2"/>
  <c r="J241" i="7"/>
  <c r="G157" i="2" s="1"/>
  <c r="G247" i="7"/>
  <c r="J242" i="7" a="1"/>
  <c r="J242" i="7" s="1"/>
  <c r="J243" i="7" s="1" a="1"/>
  <c r="J243" i="7" s="1"/>
  <c r="G251" i="7"/>
  <c r="N241" i="7"/>
  <c r="K157" i="2" s="1"/>
  <c r="N242" i="7" a="1"/>
  <c r="N242" i="7" s="1"/>
  <c r="N243" i="7" s="1" a="1"/>
  <c r="N243" i="7" s="1"/>
  <c r="W269" i="8"/>
  <c r="W268" i="8"/>
  <c r="W304" i="8"/>
  <c r="W303" i="8"/>
  <c r="L242" i="7" a="1"/>
  <c r="L242" i="7" s="1"/>
  <c r="L243" i="7" s="1" a="1"/>
  <c r="L243" i="7" s="1"/>
  <c r="G249" i="7"/>
  <c r="L241" i="7"/>
  <c r="I157" i="2" s="1"/>
  <c r="M242" i="7" a="1"/>
  <c r="M242" i="7" s="1"/>
  <c r="M243" i="7" s="1" a="1"/>
  <c r="M243" i="7" s="1"/>
  <c r="G250" i="7"/>
  <c r="M241" i="7"/>
  <c r="J157" i="2" s="1"/>
  <c r="W290" i="8"/>
  <c r="W289" i="8"/>
  <c r="K242" i="7" a="1"/>
  <c r="K242" i="7" s="1"/>
  <c r="K243" i="7" s="1" a="1"/>
  <c r="K243" i="7" s="1"/>
  <c r="K241" i="7"/>
  <c r="H157" i="2" s="1"/>
  <c r="G248" i="7"/>
  <c r="W283" i="8"/>
  <c r="W282" i="8"/>
  <c r="W276" i="8"/>
  <c r="W275" i="8"/>
  <c r="G245" i="7"/>
  <c r="H241" i="7"/>
  <c r="E157" i="2" s="1"/>
  <c r="H242" i="7" a="1"/>
  <c r="H242" i="7" s="1"/>
  <c r="H243" i="7" s="1" a="1"/>
  <c r="H243" i="7" s="1"/>
  <c r="W262" i="8"/>
  <c r="W261" i="8"/>
  <c r="G159" i="8"/>
  <c r="E126" i="2"/>
  <c r="K239" i="7"/>
  <c r="H156" i="2"/>
  <c r="I242" i="7" a="1"/>
  <c r="I242" i="7" s="1"/>
  <c r="I243" i="7" s="1" a="1"/>
  <c r="I243" i="7" s="1"/>
  <c r="G246" i="7"/>
  <c r="I241" i="7"/>
  <c r="F157" i="2" s="1"/>
  <c r="W31" i="1" l="1"/>
  <c r="G214" i="7"/>
  <c r="H215" i="7"/>
  <c r="G171" i="7"/>
  <c r="H172" i="7"/>
  <c r="W96" i="8"/>
  <c r="X94" i="8" s="1"/>
  <c r="W100" i="8"/>
  <c r="X10" i="1"/>
  <c r="W84" i="8"/>
  <c r="X76" i="8" s="1"/>
  <c r="W88" i="8"/>
  <c r="W89" i="8" s="1"/>
  <c r="W120" i="8" s="1"/>
  <c r="W86" i="8"/>
  <c r="W210" i="8" l="1"/>
  <c r="W121" i="8"/>
  <c r="X24" i="1"/>
  <c r="W125" i="8"/>
  <c r="W126" i="8" s="1"/>
  <c r="H173" i="7"/>
  <c r="G172" i="7"/>
  <c r="G268" i="7" s="1"/>
  <c r="W119" i="8"/>
  <c r="W320" i="8"/>
  <c r="W306" i="8"/>
  <c r="W271" i="8"/>
  <c r="W299" i="8"/>
  <c r="W285" i="8"/>
  <c r="W292" i="8"/>
  <c r="W278" i="8"/>
  <c r="W264" i="8"/>
  <c r="W277" i="8"/>
  <c r="W291" i="8"/>
  <c r="W305" i="8"/>
  <c r="W284" i="8"/>
  <c r="W298" i="8"/>
  <c r="W270" i="8"/>
  <c r="W263" i="8"/>
  <c r="G215" i="7"/>
  <c r="H216" i="7"/>
  <c r="X81" i="8"/>
  <c r="X85" i="8"/>
  <c r="W209" i="8" l="1"/>
  <c r="W212" i="8" s="1"/>
  <c r="X26" i="1"/>
  <c r="W123" i="8"/>
  <c r="X117" i="8"/>
  <c r="X365" i="8"/>
  <c r="X316" i="8"/>
  <c r="X93" i="8"/>
  <c r="X364" i="8"/>
  <c r="X281" i="8"/>
  <c r="X260" i="8"/>
  <c r="X274" i="8"/>
  <c r="X267" i="8"/>
  <c r="X302" i="8"/>
  <c r="X295" i="8"/>
  <c r="X288" i="8"/>
  <c r="I173" i="7"/>
  <c r="H174" i="7"/>
  <c r="I216" i="7"/>
  <c r="H217" i="7"/>
  <c r="J173" i="7" l="1"/>
  <c r="I174" i="7"/>
  <c r="I175" i="7" s="1"/>
  <c r="X304" i="8"/>
  <c r="X303" i="8"/>
  <c r="X262" i="8"/>
  <c r="X261" i="8"/>
  <c r="J216" i="7"/>
  <c r="I217" i="7"/>
  <c r="I218" i="7" s="1"/>
  <c r="X317" i="8"/>
  <c r="X318" i="8"/>
  <c r="X319" i="8" s="1"/>
  <c r="X290" i="8"/>
  <c r="X289" i="8"/>
  <c r="X297" i="8"/>
  <c r="X296" i="8"/>
  <c r="X269" i="8"/>
  <c r="X268" i="8"/>
  <c r="X276" i="8"/>
  <c r="X275" i="8"/>
  <c r="W238" i="8"/>
  <c r="W240" i="8"/>
  <c r="W243" i="8"/>
  <c r="W239" i="8"/>
  <c r="W241" i="8"/>
  <c r="W237" i="8"/>
  <c r="W242" i="8"/>
  <c r="X283" i="8"/>
  <c r="X282" i="8"/>
  <c r="X83" i="8"/>
  <c r="X367" i="8"/>
  <c r="X87" i="8" s="1"/>
  <c r="X207" i="8"/>
  <c r="Y17" i="1"/>
  <c r="Y18" i="1" s="1"/>
  <c r="H218" i="7"/>
  <c r="X99" i="8"/>
  <c r="X95" i="8"/>
  <c r="X97" i="8" s="1"/>
  <c r="X98" i="8" s="1"/>
  <c r="W322" i="8"/>
  <c r="W129" i="8"/>
  <c r="X28" i="1"/>
  <c r="X13" i="1" s="1"/>
  <c r="H175" i="7"/>
  <c r="X100" i="8" l="1"/>
  <c r="X210" i="8" s="1"/>
  <c r="H219" i="7"/>
  <c r="I219" i="7" s="1"/>
  <c r="H176" i="7"/>
  <c r="H179" i="7"/>
  <c r="Y10" i="1"/>
  <c r="K216" i="7"/>
  <c r="J217" i="7"/>
  <c r="X88" i="8"/>
  <c r="X89" i="8" s="1"/>
  <c r="X120" i="8" s="1"/>
  <c r="X84" i="8"/>
  <c r="Y76" i="8" s="1"/>
  <c r="X86" i="8"/>
  <c r="X96" i="8"/>
  <c r="Y94" i="8" s="1"/>
  <c r="K173" i="7"/>
  <c r="J174" i="7"/>
  <c r="J175" i="7" s="1"/>
  <c r="X31" i="1"/>
  <c r="X121" i="8" l="1"/>
  <c r="X125" i="8"/>
  <c r="X126" i="8" s="1"/>
  <c r="Y24" i="1"/>
  <c r="X119" i="8"/>
  <c r="X320" i="8"/>
  <c r="X299" i="8"/>
  <c r="X292" i="8"/>
  <c r="X306" i="8"/>
  <c r="X285" i="8"/>
  <c r="X278" i="8"/>
  <c r="X271" i="8"/>
  <c r="X264" i="8"/>
  <c r="X263" i="8"/>
  <c r="X291" i="8"/>
  <c r="X298" i="8"/>
  <c r="X284" i="8"/>
  <c r="X305" i="8"/>
  <c r="X270" i="8"/>
  <c r="X277" i="8"/>
  <c r="H177" i="7"/>
  <c r="I176" i="7"/>
  <c r="I178" i="7"/>
  <c r="Y81" i="8"/>
  <c r="Y85" i="8"/>
  <c r="L173" i="7"/>
  <c r="K174" i="7"/>
  <c r="L216" i="7"/>
  <c r="K217" i="7"/>
  <c r="K218" i="7" s="1"/>
  <c r="J218" i="7"/>
  <c r="J219" i="7" s="1"/>
  <c r="K219" i="7" l="1"/>
  <c r="M173" i="7"/>
  <c r="L174" i="7"/>
  <c r="L175" i="7" s="1"/>
  <c r="I177" i="7"/>
  <c r="J176" i="7"/>
  <c r="J178" i="7"/>
  <c r="J179" i="7" s="1"/>
  <c r="M216" i="7"/>
  <c r="L217" i="7"/>
  <c r="L218" i="7" s="1"/>
  <c r="Y117" i="8"/>
  <c r="K175" i="7"/>
  <c r="Y365" i="8"/>
  <c r="Y364" i="8"/>
  <c r="Y316" i="8"/>
  <c r="Y93" i="8"/>
  <c r="Y281" i="8"/>
  <c r="Y295" i="8"/>
  <c r="Y302" i="8"/>
  <c r="Y267" i="8"/>
  <c r="Y260" i="8"/>
  <c r="Y288" i="8"/>
  <c r="Y274" i="8"/>
  <c r="X209" i="8"/>
  <c r="X212" i="8" s="1"/>
  <c r="Y26" i="1"/>
  <c r="X123" i="8"/>
  <c r="I179" i="7"/>
  <c r="L219" i="7" l="1"/>
  <c r="Y83" i="8"/>
  <c r="Y367" i="8"/>
  <c r="Y87" i="8" s="1"/>
  <c r="Y207" i="8"/>
  <c r="Z17" i="1"/>
  <c r="Z18" i="1" s="1"/>
  <c r="Y317" i="8"/>
  <c r="Y318" i="8"/>
  <c r="Y319" i="8" s="1"/>
  <c r="X242" i="8"/>
  <c r="X241" i="8"/>
  <c r="X243" i="8"/>
  <c r="X237" i="8"/>
  <c r="X239" i="8"/>
  <c r="X238" i="8"/>
  <c r="X240" i="8"/>
  <c r="Y290" i="8"/>
  <c r="Y289" i="8"/>
  <c r="Y297" i="8"/>
  <c r="Y296" i="8"/>
  <c r="Y99" i="8"/>
  <c r="Y95" i="8"/>
  <c r="Y97" i="8" s="1"/>
  <c r="Y98" i="8" s="1"/>
  <c r="Y276" i="8"/>
  <c r="Y275" i="8"/>
  <c r="N216" i="7"/>
  <c r="M217" i="7"/>
  <c r="M218" i="7" s="1"/>
  <c r="M219" i="7" s="1"/>
  <c r="Y262" i="8"/>
  <c r="Y261" i="8"/>
  <c r="K176" i="7"/>
  <c r="J177" i="7"/>
  <c r="K178" i="7"/>
  <c r="K179" i="7" s="1"/>
  <c r="Y269" i="8"/>
  <c r="Y268" i="8"/>
  <c r="X322" i="8"/>
  <c r="X129" i="8"/>
  <c r="Y28" i="1"/>
  <c r="Y13" i="1" s="1"/>
  <c r="Y304" i="8"/>
  <c r="Y303" i="8"/>
  <c r="N173" i="7"/>
  <c r="M174" i="7"/>
  <c r="Y283" i="8"/>
  <c r="Y282" i="8"/>
  <c r="Y96" i="8" l="1"/>
  <c r="Z94" i="8" s="1"/>
  <c r="Y31" i="1"/>
  <c r="Z10" i="1"/>
  <c r="M175" i="7"/>
  <c r="O216" i="7"/>
  <c r="N217" i="7"/>
  <c r="O173" i="7"/>
  <c r="N174" i="7"/>
  <c r="N175" i="7" s="1"/>
  <c r="L176" i="7"/>
  <c r="K177" i="7"/>
  <c r="L178" i="7"/>
  <c r="L179" i="7" s="1"/>
  <c r="Y84" i="8"/>
  <c r="Z76" i="8" s="1"/>
  <c r="Y88" i="8"/>
  <c r="Y89" i="8" s="1"/>
  <c r="Y120" i="8" s="1"/>
  <c r="Y86" i="8"/>
  <c r="Y100" i="8"/>
  <c r="Y210" i="8" l="1"/>
  <c r="Y121" i="8"/>
  <c r="Z24" i="1"/>
  <c r="Y125" i="8"/>
  <c r="Y126" i="8" s="1"/>
  <c r="P173" i="7"/>
  <c r="O174" i="7"/>
  <c r="O175" i="7" s="1"/>
  <c r="N218" i="7"/>
  <c r="L177" i="7"/>
  <c r="M176" i="7"/>
  <c r="M178" i="7"/>
  <c r="Y119" i="8"/>
  <c r="Y306" i="8"/>
  <c r="Y292" i="8"/>
  <c r="Y278" i="8"/>
  <c r="Y320" i="8"/>
  <c r="Y299" i="8"/>
  <c r="Y271" i="8"/>
  <c r="Y285" i="8"/>
  <c r="Y264" i="8"/>
  <c r="Y291" i="8"/>
  <c r="Y305" i="8"/>
  <c r="Y263" i="8"/>
  <c r="Y277" i="8"/>
  <c r="Y298" i="8"/>
  <c r="Y284" i="8"/>
  <c r="Y270" i="8"/>
  <c r="P216" i="7"/>
  <c r="O217" i="7"/>
  <c r="O218" i="7" s="1"/>
  <c r="Z81" i="8"/>
  <c r="Z85" i="8"/>
  <c r="Z117" i="8" l="1"/>
  <c r="Z365" i="8"/>
  <c r="Z364" i="8"/>
  <c r="Z93" i="8"/>
  <c r="Z316" i="8"/>
  <c r="Z281" i="8"/>
  <c r="Z288" i="8"/>
  <c r="Z295" i="8"/>
  <c r="Z267" i="8"/>
  <c r="Z274" i="8"/>
  <c r="Z302" i="8"/>
  <c r="Z260" i="8"/>
  <c r="M177" i="7"/>
  <c r="N176" i="7"/>
  <c r="N178" i="7"/>
  <c r="N179" i="7" s="1"/>
  <c r="N219" i="7"/>
  <c r="O219" i="7" s="1"/>
  <c r="Q173" i="7"/>
  <c r="P174" i="7"/>
  <c r="P175" i="7" s="1"/>
  <c r="Q216" i="7"/>
  <c r="P217" i="7"/>
  <c r="P218" i="7" s="1"/>
  <c r="M179" i="7"/>
  <c r="Y209" i="8"/>
  <c r="Y212" i="8" s="1"/>
  <c r="Z26" i="1"/>
  <c r="Y123" i="8"/>
  <c r="P219" i="7" l="1"/>
  <c r="Y322" i="8"/>
  <c r="Y129" i="8"/>
  <c r="Z28" i="1"/>
  <c r="Z13" i="1" s="1"/>
  <c r="Z262" i="8"/>
  <c r="Z261" i="8"/>
  <c r="Y240" i="8"/>
  <c r="Y237" i="8"/>
  <c r="Y241" i="8"/>
  <c r="Y242" i="8"/>
  <c r="Y243" i="8"/>
  <c r="Y239" i="8"/>
  <c r="Y238" i="8"/>
  <c r="Z83" i="8"/>
  <c r="Z367" i="8"/>
  <c r="Z87" i="8" s="1"/>
  <c r="N177" i="7"/>
  <c r="O176" i="7"/>
  <c r="O178" i="7"/>
  <c r="O179" i="7" s="1"/>
  <c r="Z304" i="8"/>
  <c r="Z303" i="8"/>
  <c r="Z269" i="8"/>
  <c r="Z268" i="8"/>
  <c r="Z297" i="8"/>
  <c r="Z296" i="8"/>
  <c r="Z317" i="8"/>
  <c r="Z318" i="8"/>
  <c r="Z319" i="8" s="1"/>
  <c r="Z276" i="8"/>
  <c r="Z275" i="8"/>
  <c r="R216" i="7"/>
  <c r="Q217" i="7"/>
  <c r="Q218" i="7" s="1"/>
  <c r="R173" i="7"/>
  <c r="Q174" i="7"/>
  <c r="Q175" i="7" s="1"/>
  <c r="Z290" i="8"/>
  <c r="Z289" i="8"/>
  <c r="Z283" i="8"/>
  <c r="Z282" i="8"/>
  <c r="Z207" i="8"/>
  <c r="AA17" i="1"/>
  <c r="AA18" i="1" s="1"/>
  <c r="Z95" i="8"/>
  <c r="Z97" i="8" s="1"/>
  <c r="Z98" i="8" s="1"/>
  <c r="Z99" i="8"/>
  <c r="Q219" i="7" l="1"/>
  <c r="Z96" i="8"/>
  <c r="AA94" i="8" s="1"/>
  <c r="Z100" i="8"/>
  <c r="Z210" i="8" s="1"/>
  <c r="Z31" i="1"/>
  <c r="AA10" i="1"/>
  <c r="O177" i="7"/>
  <c r="P176" i="7"/>
  <c r="P178" i="7"/>
  <c r="P179" i="7" s="1"/>
  <c r="S216" i="7"/>
  <c r="R217" i="7"/>
  <c r="R218" i="7" s="1"/>
  <c r="Z84" i="8"/>
  <c r="AA76" i="8" s="1"/>
  <c r="Z88" i="8"/>
  <c r="Z89" i="8" s="1"/>
  <c r="Z120" i="8" s="1"/>
  <c r="Z86" i="8"/>
  <c r="S173" i="7"/>
  <c r="R174" i="7"/>
  <c r="R175" i="7" s="1"/>
  <c r="R219" i="7" l="1"/>
  <c r="Z121" i="8"/>
  <c r="Z125" i="8"/>
  <c r="Z126" i="8" s="1"/>
  <c r="AA24" i="1"/>
  <c r="Z119" i="8"/>
  <c r="Z285" i="8"/>
  <c r="Z278" i="8"/>
  <c r="Z299" i="8"/>
  <c r="Z306" i="8"/>
  <c r="Z292" i="8"/>
  <c r="Z271" i="8"/>
  <c r="Z264" i="8"/>
  <c r="Z320" i="8"/>
  <c r="Z284" i="8"/>
  <c r="Z277" i="8"/>
  <c r="Z305" i="8"/>
  <c r="Z263" i="8"/>
  <c r="Z298" i="8"/>
  <c r="Z270" i="8"/>
  <c r="Z291" i="8"/>
  <c r="AA81" i="8"/>
  <c r="AA85" i="8"/>
  <c r="T216" i="7"/>
  <c r="S217" i="7"/>
  <c r="S218" i="7" s="1"/>
  <c r="S219" i="7" s="1"/>
  <c r="P177" i="7"/>
  <c r="Q176" i="7"/>
  <c r="Q178" i="7"/>
  <c r="Q179" i="7" s="1"/>
  <c r="T173" i="7"/>
  <c r="S174" i="7"/>
  <c r="S175" i="7" s="1"/>
  <c r="U173" i="7" l="1"/>
  <c r="T174" i="7"/>
  <c r="T175" i="7" s="1"/>
  <c r="R176" i="7"/>
  <c r="Q177" i="7"/>
  <c r="R178" i="7"/>
  <c r="R179" i="7" s="1"/>
  <c r="AA365" i="8"/>
  <c r="AA316" i="8"/>
  <c r="AA364" i="8"/>
  <c r="AA93" i="8"/>
  <c r="AA274" i="8"/>
  <c r="AA302" i="8"/>
  <c r="AA295" i="8"/>
  <c r="AA281" i="8"/>
  <c r="AA288" i="8"/>
  <c r="AA260" i="8"/>
  <c r="AA267" i="8"/>
  <c r="AA117" i="8"/>
  <c r="U216" i="7"/>
  <c r="T217" i="7"/>
  <c r="T218" i="7" s="1"/>
  <c r="T219" i="7" s="1"/>
  <c r="Z209" i="8"/>
  <c r="Z212" i="8" s="1"/>
  <c r="AA26" i="1"/>
  <c r="Z123" i="8"/>
  <c r="AA83" i="8" l="1"/>
  <c r="AA367" i="8"/>
  <c r="AA87" i="8" s="1"/>
  <c r="AA317" i="8"/>
  <c r="AA318" i="8"/>
  <c r="AA319" i="8" s="1"/>
  <c r="AA207" i="8"/>
  <c r="AB17" i="1"/>
  <c r="AB18" i="1" s="1"/>
  <c r="AA269" i="8"/>
  <c r="AA268" i="8"/>
  <c r="AA290" i="8"/>
  <c r="AA289" i="8"/>
  <c r="S176" i="7"/>
  <c r="R177" i="7"/>
  <c r="S178" i="7"/>
  <c r="S179" i="7" s="1"/>
  <c r="Z242" i="8"/>
  <c r="Z237" i="8"/>
  <c r="Z240" i="8"/>
  <c r="Z243" i="8"/>
  <c r="Z238" i="8"/>
  <c r="Z239" i="8"/>
  <c r="Z241" i="8"/>
  <c r="AA262" i="8"/>
  <c r="AA261" i="8"/>
  <c r="V216" i="7"/>
  <c r="U217" i="7"/>
  <c r="U218" i="7" s="1"/>
  <c r="U219" i="7" s="1"/>
  <c r="AA283" i="8"/>
  <c r="AA282" i="8"/>
  <c r="V173" i="7"/>
  <c r="U174" i="7"/>
  <c r="U175" i="7" s="1"/>
  <c r="Z322" i="8"/>
  <c r="Z129" i="8"/>
  <c r="AA28" i="1"/>
  <c r="AA13" i="1" s="1"/>
  <c r="AA304" i="8"/>
  <c r="AA303" i="8"/>
  <c r="AA95" i="8"/>
  <c r="AA97" i="8" s="1"/>
  <c r="AA98" i="8" s="1"/>
  <c r="AA99" i="8"/>
  <c r="AA297" i="8"/>
  <c r="AA296" i="8"/>
  <c r="AA276" i="8"/>
  <c r="AA275" i="8"/>
  <c r="AA100" i="8" l="1"/>
  <c r="AA210" i="8" s="1"/>
  <c r="W173" i="7"/>
  <c r="V174" i="7"/>
  <c r="V175" i="7" s="1"/>
  <c r="AB10" i="1"/>
  <c r="AA96" i="8"/>
  <c r="AB94" i="8" s="1"/>
  <c r="AA31" i="1"/>
  <c r="W216" i="7"/>
  <c r="V217" i="7"/>
  <c r="V218" i="7" s="1"/>
  <c r="V219" i="7" s="1"/>
  <c r="AA84" i="8"/>
  <c r="AB76" i="8" s="1"/>
  <c r="AA88" i="8"/>
  <c r="AA86" i="8"/>
  <c r="S177" i="7"/>
  <c r="T176" i="7"/>
  <c r="T178" i="7"/>
  <c r="T179" i="7" s="1"/>
  <c r="AB24" i="1" l="1"/>
  <c r="AA125" i="8"/>
  <c r="AA126" i="8" s="1"/>
  <c r="AA121" i="8"/>
  <c r="AA119" i="8"/>
  <c r="AA278" i="8"/>
  <c r="AA292" i="8"/>
  <c r="AA271" i="8"/>
  <c r="AA264" i="8"/>
  <c r="AA299" i="8"/>
  <c r="AA320" i="8"/>
  <c r="AA306" i="8"/>
  <c r="AA285" i="8"/>
  <c r="AA89" i="8"/>
  <c r="AA120" i="8" s="1"/>
  <c r="AB89" i="8"/>
  <c r="X216" i="7"/>
  <c r="W217" i="7"/>
  <c r="W218" i="7" s="1"/>
  <c r="W219" i="7" s="1"/>
  <c r="AB81" i="8"/>
  <c r="AB85" i="8"/>
  <c r="X173" i="7"/>
  <c r="W174" i="7"/>
  <c r="W175" i="7" s="1"/>
  <c r="T177" i="7"/>
  <c r="U176" i="7"/>
  <c r="U178" i="7"/>
  <c r="U179" i="7" s="1"/>
  <c r="Y216" i="7" l="1"/>
  <c r="X217" i="7"/>
  <c r="X218" i="7" s="1"/>
  <c r="X219" i="7" s="1"/>
  <c r="AB120" i="8"/>
  <c r="G120" i="8" s="1"/>
  <c r="G89" i="8"/>
  <c r="AA277" i="8"/>
  <c r="AA270" i="8"/>
  <c r="AA305" i="8"/>
  <c r="U177" i="7"/>
  <c r="V176" i="7"/>
  <c r="V178" i="7"/>
  <c r="V179" i="7" s="1"/>
  <c r="AA284" i="8"/>
  <c r="Y173" i="7"/>
  <c r="X174" i="7"/>
  <c r="X175" i="7" s="1"/>
  <c r="AB117" i="8"/>
  <c r="AA298" i="8"/>
  <c r="AA209" i="8"/>
  <c r="AA212" i="8" s="1"/>
  <c r="AB26" i="1"/>
  <c r="AA123" i="8"/>
  <c r="AB365" i="8"/>
  <c r="AB364" i="8"/>
  <c r="AB316" i="8"/>
  <c r="AB93" i="8"/>
  <c r="AB295" i="8"/>
  <c r="AB281" i="8"/>
  <c r="AB302" i="8"/>
  <c r="AB288" i="8"/>
  <c r="AB267" i="8"/>
  <c r="AB260" i="8"/>
  <c r="AB274" i="8"/>
  <c r="AA263" i="8"/>
  <c r="AA291" i="8"/>
  <c r="AB269" i="8" l="1"/>
  <c r="AB268" i="8"/>
  <c r="AB276" i="8"/>
  <c r="AB275" i="8"/>
  <c r="AB290" i="8"/>
  <c r="AB289" i="8"/>
  <c r="AB304" i="8"/>
  <c r="AB303" i="8"/>
  <c r="AB297" i="8"/>
  <c r="AB296" i="8"/>
  <c r="AB99" i="8"/>
  <c r="AB95" i="8"/>
  <c r="AB97" i="8" s="1"/>
  <c r="AB98" i="8" s="1"/>
  <c r="AB317" i="8"/>
  <c r="AB318" i="8"/>
  <c r="AB319" i="8" s="1"/>
  <c r="AB83" i="8"/>
  <c r="G364" i="8"/>
  <c r="AB367" i="8"/>
  <c r="AB87" i="8" s="1"/>
  <c r="AB283" i="8"/>
  <c r="AB282" i="8"/>
  <c r="AA242" i="8"/>
  <c r="AA239" i="8"/>
  <c r="AA243" i="8"/>
  <c r="AA237" i="8"/>
  <c r="AA238" i="8"/>
  <c r="AA240" i="8"/>
  <c r="AA241" i="8"/>
  <c r="V177" i="7"/>
  <c r="W176" i="7"/>
  <c r="W178" i="7"/>
  <c r="W179" i="7" s="1"/>
  <c r="AB207" i="8"/>
  <c r="AC17" i="1"/>
  <c r="AC18" i="1" s="1"/>
  <c r="AA322" i="8"/>
  <c r="AA129" i="8"/>
  <c r="AB28" i="1"/>
  <c r="AB13" i="1" s="1"/>
  <c r="AB262" i="8"/>
  <c r="AB261" i="8"/>
  <c r="Z173" i="7"/>
  <c r="Y174" i="7"/>
  <c r="Y175" i="7" s="1"/>
  <c r="Z216" i="7"/>
  <c r="Y217" i="7"/>
  <c r="Y218" i="7" s="1"/>
  <c r="Y219" i="7" s="1"/>
  <c r="AB100" i="8" l="1"/>
  <c r="AB210" i="8" s="1"/>
  <c r="AC10" i="1"/>
  <c r="AA216" i="7"/>
  <c r="Z217" i="7"/>
  <c r="Z218" i="7" s="1"/>
  <c r="Z219" i="7" s="1"/>
  <c r="AA173" i="7"/>
  <c r="Z174" i="7"/>
  <c r="Z175" i="7" s="1"/>
  <c r="AB31" i="1"/>
  <c r="W177" i="7"/>
  <c r="X176" i="7"/>
  <c r="X178" i="7"/>
  <c r="X179" i="7" s="1"/>
  <c r="AB84" i="8"/>
  <c r="AB86" i="8"/>
  <c r="AB96" i="8"/>
  <c r="AC94" i="8" s="1"/>
  <c r="AB121" i="8" l="1"/>
  <c r="AB125" i="8"/>
  <c r="AB126" i="8" s="1"/>
  <c r="AC24" i="1"/>
  <c r="AC76" i="8"/>
  <c r="AB119" i="8"/>
  <c r="AB278" i="8"/>
  <c r="AB271" i="8"/>
  <c r="AB320" i="8"/>
  <c r="AB285" i="8"/>
  <c r="AB299" i="8"/>
  <c r="AB264" i="8"/>
  <c r="AB306" i="8"/>
  <c r="AB292" i="8"/>
  <c r="AB277" i="8"/>
  <c r="AB305" i="8"/>
  <c r="AB291" i="8"/>
  <c r="AB270" i="8"/>
  <c r="AB263" i="8"/>
  <c r="AB298" i="8"/>
  <c r="AB284" i="8"/>
  <c r="Y176" i="7"/>
  <c r="X177" i="7"/>
  <c r="Y178" i="7"/>
  <c r="Y179" i="7" s="1"/>
  <c r="AB173" i="7"/>
  <c r="AA174" i="7"/>
  <c r="AA175" i="7" s="1"/>
  <c r="AB216" i="7"/>
  <c r="AA217" i="7"/>
  <c r="AA218" i="7" s="1"/>
  <c r="AA219" i="7" s="1"/>
  <c r="Y177" i="7" l="1"/>
  <c r="Z176" i="7"/>
  <c r="Z178" i="7"/>
  <c r="Z179" i="7" s="1"/>
  <c r="AB209" i="8"/>
  <c r="AB212" i="8" s="1"/>
  <c r="AC26" i="1"/>
  <c r="AB123" i="8"/>
  <c r="AC216" i="7"/>
  <c r="AB217" i="7"/>
  <c r="AB218" i="7" s="1"/>
  <c r="AB219" i="7" s="1"/>
  <c r="AC367" i="8"/>
  <c r="AC87" i="8" s="1"/>
  <c r="AC81" i="8"/>
  <c r="AC85" i="8"/>
  <c r="AC173" i="7"/>
  <c r="AB174" i="7"/>
  <c r="AB175" i="7" s="1"/>
  <c r="AC365" i="8" l="1"/>
  <c r="AC83" i="8" s="1"/>
  <c r="AC84" i="8" s="1"/>
  <c r="AC316" i="8"/>
  <c r="AC93" i="8"/>
  <c r="AC274" i="8"/>
  <c r="AC260" i="8"/>
  <c r="AC295" i="8"/>
  <c r="AC288" i="8"/>
  <c r="AC267" i="8"/>
  <c r="AC302" i="8"/>
  <c r="AC281" i="8"/>
  <c r="AB237" i="8"/>
  <c r="AB243" i="8"/>
  <c r="AB238" i="8"/>
  <c r="AB239" i="8"/>
  <c r="AB240" i="8"/>
  <c r="AB241" i="8"/>
  <c r="AB242" i="8"/>
  <c r="AD216" i="7"/>
  <c r="AC217" i="7"/>
  <c r="AC218" i="7" s="1"/>
  <c r="AC219" i="7" s="1"/>
  <c r="AB322" i="8"/>
  <c r="AB129" i="8"/>
  <c r="AC28" i="1"/>
  <c r="AC13" i="1" s="1"/>
  <c r="AD173" i="7"/>
  <c r="AC174" i="7"/>
  <c r="AC175" i="7" s="1"/>
  <c r="AA176" i="7"/>
  <c r="Z177" i="7"/>
  <c r="AA178" i="7"/>
  <c r="AA179" i="7" s="1"/>
  <c r="AC117" i="8"/>
  <c r="AD76" i="8" l="1"/>
  <c r="AD367" i="8" s="1"/>
  <c r="AD87" i="8" s="1"/>
  <c r="G371" i="8"/>
  <c r="G158" i="8" s="1"/>
  <c r="G167" i="8" s="1"/>
  <c r="AC269" i="8"/>
  <c r="AC268" i="8"/>
  <c r="AC290" i="8"/>
  <c r="AC289" i="8"/>
  <c r="AC304" i="8"/>
  <c r="AC303" i="8"/>
  <c r="AC297" i="8"/>
  <c r="AC296" i="8"/>
  <c r="AC262" i="8"/>
  <c r="AC261" i="8"/>
  <c r="AA177" i="7"/>
  <c r="AB176" i="7"/>
  <c r="AB178" i="7"/>
  <c r="AB179" i="7" s="1"/>
  <c r="AC276" i="8"/>
  <c r="AC275" i="8"/>
  <c r="AC95" i="8"/>
  <c r="AC97" i="8" s="1"/>
  <c r="AC98" i="8" s="1"/>
  <c r="AC99" i="8"/>
  <c r="AC283" i="8"/>
  <c r="AC282" i="8"/>
  <c r="AC207" i="8"/>
  <c r="AD17" i="1"/>
  <c r="AD18" i="1" s="1"/>
  <c r="AE216" i="7"/>
  <c r="AD217" i="7"/>
  <c r="AD218" i="7" s="1"/>
  <c r="AD219" i="7" s="1"/>
  <c r="AE173" i="7"/>
  <c r="AD174" i="7"/>
  <c r="AD175" i="7" s="1"/>
  <c r="AC317" i="8"/>
  <c r="AC318" i="8"/>
  <c r="AC319" i="8" s="1"/>
  <c r="AC86" i="8"/>
  <c r="AC31" i="1"/>
  <c r="AD81" i="8" l="1"/>
  <c r="AD365" i="8" s="1"/>
  <c r="AD83" i="8" s="1"/>
  <c r="AD84" i="8" s="1"/>
  <c r="AE76" i="8" s="1"/>
  <c r="AD85" i="8"/>
  <c r="AC96" i="8"/>
  <c r="AD94" i="8" s="1"/>
  <c r="AC100" i="8"/>
  <c r="AC125" i="8" s="1"/>
  <c r="AD10" i="1"/>
  <c r="AC119" i="8"/>
  <c r="AC278" i="8"/>
  <c r="AC264" i="8"/>
  <c r="AC306" i="8"/>
  <c r="AC292" i="8"/>
  <c r="AC126" i="8"/>
  <c r="AC320" i="8"/>
  <c r="AC271" i="8"/>
  <c r="AC285" i="8"/>
  <c r="AC299" i="8"/>
  <c r="AC277" i="8"/>
  <c r="AC270" i="8"/>
  <c r="AC284" i="8"/>
  <c r="AC263" i="8"/>
  <c r="AC291" i="8"/>
  <c r="AC298" i="8"/>
  <c r="AC305" i="8"/>
  <c r="AF173" i="7"/>
  <c r="AE174" i="7"/>
  <c r="AE175" i="7" s="1"/>
  <c r="AF216" i="7"/>
  <c r="AE217" i="7"/>
  <c r="AE218" i="7" s="1"/>
  <c r="AE219" i="7" s="1"/>
  <c r="AB177" i="7"/>
  <c r="AC176" i="7"/>
  <c r="AC178" i="7"/>
  <c r="AC179" i="7" s="1"/>
  <c r="AD267" i="8" l="1"/>
  <c r="AD269" i="8" s="1"/>
  <c r="AD117" i="8"/>
  <c r="AE17" i="1" s="1"/>
  <c r="AE18" i="1" s="1"/>
  <c r="AD24" i="1"/>
  <c r="AD281" i="8"/>
  <c r="AD283" i="8" s="1"/>
  <c r="AD93" i="8"/>
  <c r="AD95" i="8" s="1"/>
  <c r="AD97" i="8" s="1"/>
  <c r="AD98" i="8" s="1"/>
  <c r="AC210" i="8"/>
  <c r="AC121" i="8"/>
  <c r="AC123" i="8" s="1"/>
  <c r="AD316" i="8"/>
  <c r="AD318" i="8" s="1"/>
  <c r="AD319" i="8" s="1"/>
  <c r="AD295" i="8"/>
  <c r="AD297" i="8" s="1"/>
  <c r="AD302" i="8"/>
  <c r="AD304" i="8" s="1"/>
  <c r="AD274" i="8"/>
  <c r="AD276" i="8" s="1"/>
  <c r="AD260" i="8"/>
  <c r="AD262" i="8" s="1"/>
  <c r="AD288" i="8"/>
  <c r="AD86" i="8"/>
  <c r="AD176" i="7"/>
  <c r="AC177" i="7"/>
  <c r="AD178" i="7"/>
  <c r="AD179" i="7" s="1"/>
  <c r="AE367" i="8"/>
  <c r="AE87" i="8" s="1"/>
  <c r="AE81" i="8"/>
  <c r="AE85" i="8"/>
  <c r="AG216" i="7"/>
  <c r="AF217" i="7"/>
  <c r="AF218" i="7" s="1"/>
  <c r="AF219" i="7" s="1"/>
  <c r="AC209" i="8"/>
  <c r="AD26" i="1"/>
  <c r="AG173" i="7"/>
  <c r="AF174" i="7"/>
  <c r="AF175" i="7" s="1"/>
  <c r="AD268" i="8" l="1"/>
  <c r="AD207" i="8"/>
  <c r="AD282" i="8"/>
  <c r="AD99" i="8"/>
  <c r="AD100" i="8" s="1"/>
  <c r="AD125" i="8" s="1"/>
  <c r="AD275" i="8"/>
  <c r="AD303" i="8"/>
  <c r="AC212" i="8"/>
  <c r="AC240" i="8" s="1"/>
  <c r="AD261" i="8"/>
  <c r="AD317" i="8"/>
  <c r="AD296" i="8"/>
  <c r="AD290" i="8"/>
  <c r="AD291" i="8" s="1"/>
  <c r="AD289" i="8"/>
  <c r="AD96" i="8"/>
  <c r="AE94" i="8" s="1"/>
  <c r="AD177" i="7"/>
  <c r="AE176" i="7"/>
  <c r="AE178" i="7"/>
  <c r="AE179" i="7" s="1"/>
  <c r="AH216" i="7"/>
  <c r="AG217" i="7"/>
  <c r="AG218" i="7" s="1"/>
  <c r="AG219" i="7" s="1"/>
  <c r="AE117" i="8"/>
  <c r="AD119" i="8"/>
  <c r="AD271" i="8"/>
  <c r="AD264" i="8"/>
  <c r="AD126" i="8"/>
  <c r="AD285" i="8"/>
  <c r="AD292" i="8"/>
  <c r="AD306" i="8"/>
  <c r="AD299" i="8"/>
  <c r="AD278" i="8"/>
  <c r="AD320" i="8"/>
  <c r="AD305" i="8"/>
  <c r="AD263" i="8"/>
  <c r="AD277" i="8"/>
  <c r="AD284" i="8"/>
  <c r="AD270" i="8"/>
  <c r="AD298" i="8"/>
  <c r="AE10" i="1"/>
  <c r="AH173" i="7"/>
  <c r="AG174" i="7"/>
  <c r="AG175" i="7" s="1"/>
  <c r="AE365" i="8"/>
  <c r="AE83" i="8" s="1"/>
  <c r="AE84" i="8" s="1"/>
  <c r="AF76" i="8" s="1"/>
  <c r="AE93" i="8"/>
  <c r="AE316" i="8"/>
  <c r="AE295" i="8"/>
  <c r="AE281" i="8"/>
  <c r="AE274" i="8"/>
  <c r="AE267" i="8"/>
  <c r="AE260" i="8"/>
  <c r="AE288" i="8"/>
  <c r="AE302" i="8"/>
  <c r="AC322" i="8"/>
  <c r="AC129" i="8"/>
  <c r="AD28" i="1"/>
  <c r="AD13" i="1" s="1"/>
  <c r="AE269" i="8" l="1"/>
  <c r="AE24" i="1"/>
  <c r="AD210" i="8"/>
  <c r="AD121" i="8"/>
  <c r="AC242" i="8"/>
  <c r="AC241" i="8"/>
  <c r="AC237" i="8"/>
  <c r="AC243" i="8"/>
  <c r="AC239" i="8"/>
  <c r="AC238" i="8"/>
  <c r="AE86" i="8"/>
  <c r="AE119" i="8" s="1"/>
  <c r="AE268" i="8"/>
  <c r="AE177" i="7"/>
  <c r="AF176" i="7"/>
  <c r="AF178" i="7"/>
  <c r="AF179" i="7" s="1"/>
  <c r="AE262" i="8"/>
  <c r="AE261" i="8"/>
  <c r="AE276" i="8"/>
  <c r="AE275" i="8"/>
  <c r="AE283" i="8"/>
  <c r="AE282" i="8"/>
  <c r="AE297" i="8"/>
  <c r="AE296" i="8"/>
  <c r="AE317" i="8"/>
  <c r="AE318" i="8"/>
  <c r="AE319" i="8" s="1"/>
  <c r="AE207" i="8"/>
  <c r="AF17" i="1"/>
  <c r="AF18" i="1" s="1"/>
  <c r="AE99" i="8"/>
  <c r="AE95" i="8"/>
  <c r="AF367" i="8"/>
  <c r="AF87" i="8" s="1"/>
  <c r="AF81" i="8"/>
  <c r="AF85" i="8"/>
  <c r="AD209" i="8"/>
  <c r="AD212" i="8" s="1"/>
  <c r="AE26" i="1"/>
  <c r="AD123" i="8"/>
  <c r="AI216" i="7"/>
  <c r="AH217" i="7"/>
  <c r="AH218" i="7" s="1"/>
  <c r="AH219" i="7" s="1"/>
  <c r="AE304" i="8"/>
  <c r="AE303" i="8"/>
  <c r="AD31" i="1"/>
  <c r="AE290" i="8"/>
  <c r="AE289" i="8"/>
  <c r="AI173" i="7"/>
  <c r="AH174" i="7"/>
  <c r="AH175" i="7" s="1"/>
  <c r="AE284" i="8" l="1"/>
  <c r="AE320" i="8"/>
  <c r="AE270" i="8"/>
  <c r="AE298" i="8"/>
  <c r="AE278" i="8"/>
  <c r="AE299" i="8"/>
  <c r="AE126" i="8"/>
  <c r="AE305" i="8"/>
  <c r="AE285" i="8"/>
  <c r="AE277" i="8"/>
  <c r="AE306" i="8"/>
  <c r="AE264" i="8"/>
  <c r="AE263" i="8"/>
  <c r="AE292" i="8"/>
  <c r="AE271" i="8"/>
  <c r="AE291" i="8"/>
  <c r="AE209" i="8"/>
  <c r="AF26" i="1"/>
  <c r="AD322" i="8"/>
  <c r="AD129" i="8"/>
  <c r="AE28" i="1"/>
  <c r="AE13" i="1" s="1"/>
  <c r="AG176" i="7"/>
  <c r="AF177" i="7"/>
  <c r="AG178" i="7"/>
  <c r="AG179" i="7" s="1"/>
  <c r="AE97" i="8"/>
  <c r="AE98" i="8" s="1"/>
  <c r="AE100" i="8" s="1"/>
  <c r="AE96" i="8"/>
  <c r="AF94" i="8" s="1"/>
  <c r="AJ216" i="7"/>
  <c r="AI217" i="7"/>
  <c r="AI218" i="7" s="1"/>
  <c r="AI219" i="7" s="1"/>
  <c r="AF10" i="1"/>
  <c r="AJ173" i="7"/>
  <c r="AI174" i="7"/>
  <c r="AI175" i="7" s="1"/>
  <c r="AF117" i="8"/>
  <c r="AF365" i="8"/>
  <c r="AF83" i="8" s="1"/>
  <c r="AF84" i="8" s="1"/>
  <c r="AG76" i="8" s="1"/>
  <c r="AF93" i="8"/>
  <c r="AF316" i="8"/>
  <c r="AF302" i="8"/>
  <c r="AF304" i="8" s="1"/>
  <c r="AF267" i="8"/>
  <c r="AF295" i="8"/>
  <c r="AF297" i="8" s="1"/>
  <c r="AF288" i="8"/>
  <c r="AF290" i="8" s="1"/>
  <c r="AF281" i="8"/>
  <c r="AF283" i="8" s="1"/>
  <c r="AF260" i="8"/>
  <c r="AF262" i="8" s="1"/>
  <c r="AF274" i="8"/>
  <c r="AF276" i="8" s="1"/>
  <c r="AD239" i="8"/>
  <c r="AD238" i="8"/>
  <c r="AD240" i="8"/>
  <c r="AD241" i="8"/>
  <c r="AD242" i="8"/>
  <c r="AD243" i="8"/>
  <c r="AD237" i="8"/>
  <c r="AF289" i="8" l="1"/>
  <c r="AF296" i="8"/>
  <c r="AE31" i="1"/>
  <c r="AF275" i="8"/>
  <c r="AF282" i="8"/>
  <c r="AK216" i="7"/>
  <c r="AJ217" i="7"/>
  <c r="AJ218" i="7" s="1"/>
  <c r="AJ219" i="7" s="1"/>
  <c r="AF261" i="8"/>
  <c r="AK173" i="7"/>
  <c r="AJ174" i="7"/>
  <c r="AJ175" i="7" s="1"/>
  <c r="AF86" i="8"/>
  <c r="AF269" i="8"/>
  <c r="AF268" i="8"/>
  <c r="AE210" i="8"/>
  <c r="AE212" i="8" s="1"/>
  <c r="AE121" i="8"/>
  <c r="AE123" i="8" s="1"/>
  <c r="AF24" i="1"/>
  <c r="AE125" i="8"/>
  <c r="AF303" i="8"/>
  <c r="AG367" i="8"/>
  <c r="AG87" i="8" s="1"/>
  <c r="AG81" i="8"/>
  <c r="AG85" i="8"/>
  <c r="AF317" i="8"/>
  <c r="AF318" i="8"/>
  <c r="AF319" i="8" s="1"/>
  <c r="AF207" i="8"/>
  <c r="AG17" i="1"/>
  <c r="AG18" i="1" s="1"/>
  <c r="AF95" i="8"/>
  <c r="AF97" i="8" s="1"/>
  <c r="AF98" i="8" s="1"/>
  <c r="AF99" i="8"/>
  <c r="AG177" i="7"/>
  <c r="AH176" i="7"/>
  <c r="AH178" i="7"/>
  <c r="AH179" i="7" s="1"/>
  <c r="AF100" i="8" l="1"/>
  <c r="AF119" i="8"/>
  <c r="AF285" i="8"/>
  <c r="AF126" i="8"/>
  <c r="AF264" i="8"/>
  <c r="AF306" i="8"/>
  <c r="AF292" i="8"/>
  <c r="AF271" i="8"/>
  <c r="AF299" i="8"/>
  <c r="AF278" i="8"/>
  <c r="AF320" i="8"/>
  <c r="AF277" i="8"/>
  <c r="AF284" i="8"/>
  <c r="AF270" i="8"/>
  <c r="AF298" i="8"/>
  <c r="AF263" i="8"/>
  <c r="AF291" i="8"/>
  <c r="AF305" i="8"/>
  <c r="AG365" i="8"/>
  <c r="AG83" i="8" s="1"/>
  <c r="AG84" i="8" s="1"/>
  <c r="AH76" i="8" s="1"/>
  <c r="AG93" i="8"/>
  <c r="AG316" i="8"/>
  <c r="AG260" i="8"/>
  <c r="AG262" i="8" s="1"/>
  <c r="AG302" i="8"/>
  <c r="AG304" i="8" s="1"/>
  <c r="AG267" i="8"/>
  <c r="AG269" i="8" s="1"/>
  <c r="AG274" i="8"/>
  <c r="AG276" i="8" s="1"/>
  <c r="AG295" i="8"/>
  <c r="AG281" i="8"/>
  <c r="AG283" i="8" s="1"/>
  <c r="AG288" i="8"/>
  <c r="AF96" i="8"/>
  <c r="AG94" i="8" s="1"/>
  <c r="AL173" i="7"/>
  <c r="AK174" i="7"/>
  <c r="AK175" i="7" s="1"/>
  <c r="AF121" i="8"/>
  <c r="AF210" i="8"/>
  <c r="AG24" i="1"/>
  <c r="AF125" i="8"/>
  <c r="AL216" i="7"/>
  <c r="AK217" i="7"/>
  <c r="AK218" i="7" s="1"/>
  <c r="AK219" i="7" s="1"/>
  <c r="AG117" i="8"/>
  <c r="AH177" i="7"/>
  <c r="AI176" i="7"/>
  <c r="AI178" i="7"/>
  <c r="AI179" i="7" s="1"/>
  <c r="AE322" i="8"/>
  <c r="AE129" i="8"/>
  <c r="AF28" i="1"/>
  <c r="AF13" i="1" s="1"/>
  <c r="AG275" i="8"/>
  <c r="AG10" i="1"/>
  <c r="AE243" i="8"/>
  <c r="AE237" i="8"/>
  <c r="AE239" i="8"/>
  <c r="AE240" i="8"/>
  <c r="AE242" i="8"/>
  <c r="AE238" i="8"/>
  <c r="AE241" i="8"/>
  <c r="AG282" i="8" l="1"/>
  <c r="AG268" i="8"/>
  <c r="AG303" i="8"/>
  <c r="AG317" i="8"/>
  <c r="AG318" i="8"/>
  <c r="AG319" i="8" s="1"/>
  <c r="AG95" i="8"/>
  <c r="AG97" i="8" s="1"/>
  <c r="AG98" i="8" s="1"/>
  <c r="AG99" i="8"/>
  <c r="AH367" i="8"/>
  <c r="AH87" i="8" s="1"/>
  <c r="AH81" i="8"/>
  <c r="AH85" i="8"/>
  <c r="AG86" i="8"/>
  <c r="AF31" i="1"/>
  <c r="AG290" i="8"/>
  <c r="AG289" i="8"/>
  <c r="AM173" i="7"/>
  <c r="AL174" i="7"/>
  <c r="AL175" i="7" s="1"/>
  <c r="AG207" i="8"/>
  <c r="AH17" i="1"/>
  <c r="AH18" i="1" s="1"/>
  <c r="AG261" i="8"/>
  <c r="AM216" i="7"/>
  <c r="AL217" i="7"/>
  <c r="AL218" i="7" s="1"/>
  <c r="AL219" i="7" s="1"/>
  <c r="AG297" i="8"/>
  <c r="AG296" i="8"/>
  <c r="AI177" i="7"/>
  <c r="AJ176" i="7"/>
  <c r="AJ178" i="7"/>
  <c r="AJ179" i="7" s="1"/>
  <c r="AF209" i="8"/>
  <c r="AF212" i="8" s="1"/>
  <c r="AG26" i="1"/>
  <c r="AF123" i="8"/>
  <c r="AF241" i="8" l="1"/>
  <c r="AF238" i="8"/>
  <c r="AF237" i="8"/>
  <c r="AF239" i="8"/>
  <c r="AF240" i="8"/>
  <c r="AF243" i="8"/>
  <c r="AF242" i="8"/>
  <c r="AH365" i="8"/>
  <c r="AH83" i="8" s="1"/>
  <c r="AH84" i="8" s="1"/>
  <c r="AI76" i="8" s="1"/>
  <c r="AH93" i="8"/>
  <c r="AH316" i="8"/>
  <c r="AH288" i="8"/>
  <c r="AH290" i="8" s="1"/>
  <c r="AH260" i="8"/>
  <c r="AH262" i="8" s="1"/>
  <c r="AH302" i="8"/>
  <c r="AH304" i="8" s="1"/>
  <c r="AH281" i="8"/>
  <c r="AH267" i="8"/>
  <c r="AH274" i="8"/>
  <c r="AH295" i="8"/>
  <c r="AH297" i="8" s="1"/>
  <c r="AN173" i="7"/>
  <c r="AM174" i="7"/>
  <c r="AM175" i="7" s="1"/>
  <c r="AH117" i="8"/>
  <c r="AJ177" i="7"/>
  <c r="AK176" i="7"/>
  <c r="AK178" i="7"/>
  <c r="AK179" i="7" s="1"/>
  <c r="AG100" i="8"/>
  <c r="AH10" i="1"/>
  <c r="AG96" i="8"/>
  <c r="AH94" i="8" s="1"/>
  <c r="AF322" i="8"/>
  <c r="AF129" i="8"/>
  <c r="AG28" i="1"/>
  <c r="AG13" i="1" s="1"/>
  <c r="AN216" i="7"/>
  <c r="AM217" i="7"/>
  <c r="AM218" i="7" s="1"/>
  <c r="AM219" i="7" s="1"/>
  <c r="AG119" i="8"/>
  <c r="AG299" i="8"/>
  <c r="AG320" i="8"/>
  <c r="AG285" i="8"/>
  <c r="AG264" i="8"/>
  <c r="AG306" i="8"/>
  <c r="AG292" i="8"/>
  <c r="AG126" i="8"/>
  <c r="AG271" i="8"/>
  <c r="AG278" i="8"/>
  <c r="AG270" i="8"/>
  <c r="AG284" i="8"/>
  <c r="AG277" i="8"/>
  <c r="AG263" i="8"/>
  <c r="AG291" i="8"/>
  <c r="AG298" i="8"/>
  <c r="AG305" i="8"/>
  <c r="AH303" i="8" l="1"/>
  <c r="AH296" i="8"/>
  <c r="AH289" i="8"/>
  <c r="AH207" i="8"/>
  <c r="AI17" i="1"/>
  <c r="AI18" i="1" s="1"/>
  <c r="AH99" i="8"/>
  <c r="AH95" i="8"/>
  <c r="AH97" i="8" s="1"/>
  <c r="AH98" i="8" s="1"/>
  <c r="AI367" i="8"/>
  <c r="AI87" i="8" s="1"/>
  <c r="AI81" i="8"/>
  <c r="AI85" i="8"/>
  <c r="AO173" i="7"/>
  <c r="AN174" i="7"/>
  <c r="AN175" i="7" s="1"/>
  <c r="AH86" i="8"/>
  <c r="AK177" i="7"/>
  <c r="AL176" i="7"/>
  <c r="AL178" i="7"/>
  <c r="AL179" i="7" s="1"/>
  <c r="AH317" i="8"/>
  <c r="AH318" i="8"/>
  <c r="AH319" i="8" s="1"/>
  <c r="AH261" i="8"/>
  <c r="AH276" i="8"/>
  <c r="AH275" i="8"/>
  <c r="AH269" i="8"/>
  <c r="AH268" i="8"/>
  <c r="AO216" i="7"/>
  <c r="AN217" i="7"/>
  <c r="AN218" i="7" s="1"/>
  <c r="AN219" i="7" s="1"/>
  <c r="AG121" i="8"/>
  <c r="AG123" i="8" s="1"/>
  <c r="AG210" i="8"/>
  <c r="AH24" i="1"/>
  <c r="AG125" i="8"/>
  <c r="AH283" i="8"/>
  <c r="AH282" i="8"/>
  <c r="AG209" i="8"/>
  <c r="AH26" i="1"/>
  <c r="AG31" i="1"/>
  <c r="AH96" i="8" l="1"/>
  <c r="AI94" i="8" s="1"/>
  <c r="AH100" i="8"/>
  <c r="AH210" i="8" s="1"/>
  <c r="AI117" i="8"/>
  <c r="AP173" i="7"/>
  <c r="AO174" i="7"/>
  <c r="AO175" i="7" s="1"/>
  <c r="AI365" i="8"/>
  <c r="AI83" i="8" s="1"/>
  <c r="AI84" i="8" s="1"/>
  <c r="AJ76" i="8" s="1"/>
  <c r="AI93" i="8"/>
  <c r="AI316" i="8"/>
  <c r="AI260" i="8"/>
  <c r="AI262" i="8" s="1"/>
  <c r="AI295" i="8"/>
  <c r="AI302" i="8"/>
  <c r="AI288" i="8"/>
  <c r="AI274" i="8"/>
  <c r="AI276" i="8" s="1"/>
  <c r="AI281" i="8"/>
  <c r="AI283" i="8" s="1"/>
  <c r="AI267" i="8"/>
  <c r="AI269" i="8" s="1"/>
  <c r="AG212" i="8"/>
  <c r="AL177" i="7"/>
  <c r="AM176" i="7"/>
  <c r="AM178" i="7"/>
  <c r="AM179" i="7" s="1"/>
  <c r="AI10" i="1"/>
  <c r="AG322" i="8"/>
  <c r="AG129" i="8"/>
  <c r="AH28" i="1"/>
  <c r="AH13" i="1" s="1"/>
  <c r="AP216" i="7"/>
  <c r="AO217" i="7"/>
  <c r="AO218" i="7" s="1"/>
  <c r="AO219" i="7" s="1"/>
  <c r="AH119" i="8"/>
  <c r="AH292" i="8"/>
  <c r="AH264" i="8"/>
  <c r="AH271" i="8"/>
  <c r="AH299" i="8"/>
  <c r="AH306" i="8"/>
  <c r="AH278" i="8"/>
  <c r="AH126" i="8"/>
  <c r="AH285" i="8"/>
  <c r="AH320" i="8"/>
  <c r="AH291" i="8"/>
  <c r="AH270" i="8"/>
  <c r="AH263" i="8"/>
  <c r="AH277" i="8"/>
  <c r="AH305" i="8"/>
  <c r="AH284" i="8"/>
  <c r="AH298" i="8"/>
  <c r="AH125" i="8" l="1"/>
  <c r="AI24" i="1"/>
  <c r="AH121" i="8"/>
  <c r="AH123" i="8" s="1"/>
  <c r="AI275" i="8"/>
  <c r="AI261" i="8"/>
  <c r="AH31" i="1"/>
  <c r="AQ173" i="7"/>
  <c r="AP174" i="7"/>
  <c r="AP175" i="7" s="1"/>
  <c r="AI268" i="8"/>
  <c r="AI86" i="8"/>
  <c r="AM177" i="7"/>
  <c r="AN176" i="7"/>
  <c r="AN178" i="7"/>
  <c r="AN179" i="7" s="1"/>
  <c r="AI290" i="8"/>
  <c r="AI289" i="8"/>
  <c r="AQ216" i="7"/>
  <c r="AP217" i="7"/>
  <c r="AP218" i="7" s="1"/>
  <c r="AP219" i="7" s="1"/>
  <c r="AI304" i="8"/>
  <c r="AI303" i="8"/>
  <c r="AH209" i="8"/>
  <c r="AH212" i="8" s="1"/>
  <c r="AI26" i="1"/>
  <c r="AG238" i="8"/>
  <c r="AG240" i="8"/>
  <c r="AG242" i="8"/>
  <c r="AG241" i="8"/>
  <c r="AG243" i="8"/>
  <c r="AG239" i="8"/>
  <c r="AG237" i="8"/>
  <c r="AI297" i="8"/>
  <c r="AI296" i="8"/>
  <c r="AI317" i="8"/>
  <c r="AI318" i="8"/>
  <c r="AI319" i="8" s="1"/>
  <c r="AI282" i="8"/>
  <c r="AI95" i="8"/>
  <c r="AI97" i="8" s="1"/>
  <c r="AI98" i="8" s="1"/>
  <c r="AI99" i="8"/>
  <c r="AI207" i="8"/>
  <c r="AJ17" i="1"/>
  <c r="AJ18" i="1" s="1"/>
  <c r="AJ367" i="8"/>
  <c r="AJ87" i="8" s="1"/>
  <c r="AJ81" i="8"/>
  <c r="AJ85" i="8"/>
  <c r="AN177" i="7" l="1"/>
  <c r="AO176" i="7"/>
  <c r="AO178" i="7"/>
  <c r="AO179" i="7" s="1"/>
  <c r="AI100" i="8"/>
  <c r="AH322" i="8"/>
  <c r="AH129" i="8"/>
  <c r="AI28" i="1"/>
  <c r="AI13" i="1" s="1"/>
  <c r="AI119" i="8"/>
  <c r="AI306" i="8"/>
  <c r="AI271" i="8"/>
  <c r="AI278" i="8"/>
  <c r="AI299" i="8"/>
  <c r="AI292" i="8"/>
  <c r="AI126" i="8"/>
  <c r="AI264" i="8"/>
  <c r="AI285" i="8"/>
  <c r="AI320" i="8"/>
  <c r="AI270" i="8"/>
  <c r="AI263" i="8"/>
  <c r="AI284" i="8"/>
  <c r="AI305" i="8"/>
  <c r="AI298" i="8"/>
  <c r="AI277" i="8"/>
  <c r="AI291" i="8"/>
  <c r="AJ10" i="1"/>
  <c r="AJ117" i="8"/>
  <c r="AH243" i="8"/>
  <c r="AH240" i="8"/>
  <c r="AH238" i="8"/>
  <c r="AH239" i="8"/>
  <c r="AH242" i="8"/>
  <c r="AH241" i="8"/>
  <c r="AH237" i="8"/>
  <c r="AJ365" i="8"/>
  <c r="AJ83" i="8" s="1"/>
  <c r="AJ84" i="8" s="1"/>
  <c r="AK76" i="8" s="1"/>
  <c r="AJ316" i="8"/>
  <c r="AJ93" i="8"/>
  <c r="AJ274" i="8"/>
  <c r="AJ267" i="8"/>
  <c r="AJ269" i="8" s="1"/>
  <c r="AJ288" i="8"/>
  <c r="AJ290" i="8" s="1"/>
  <c r="AJ302" i="8"/>
  <c r="AJ304" i="8" s="1"/>
  <c r="AJ281" i="8"/>
  <c r="AJ283" i="8" s="1"/>
  <c r="AJ260" i="8"/>
  <c r="AJ295" i="8"/>
  <c r="AJ297" i="8" s="1"/>
  <c r="AR173" i="7"/>
  <c r="AQ174" i="7"/>
  <c r="AQ175" i="7" s="1"/>
  <c r="AR216" i="7"/>
  <c r="AQ217" i="7"/>
  <c r="AQ218" i="7" s="1"/>
  <c r="AQ219" i="7" s="1"/>
  <c r="AI96" i="8"/>
  <c r="AJ94" i="8" s="1"/>
  <c r="AJ296" i="8" l="1"/>
  <c r="AI31" i="1"/>
  <c r="AJ268" i="8"/>
  <c r="AJ207" i="8"/>
  <c r="AK17" i="1"/>
  <c r="AK18" i="1" s="1"/>
  <c r="AJ282" i="8"/>
  <c r="AI209" i="8"/>
  <c r="AJ26" i="1"/>
  <c r="AI210" i="8"/>
  <c r="AI121" i="8"/>
  <c r="AI123" i="8" s="1"/>
  <c r="AJ24" i="1"/>
  <c r="AI125" i="8"/>
  <c r="AJ276" i="8"/>
  <c r="AJ275" i="8"/>
  <c r="AJ262" i="8"/>
  <c r="AJ261" i="8"/>
  <c r="AS216" i="7"/>
  <c r="AR217" i="7"/>
  <c r="AR218" i="7" s="1"/>
  <c r="AR219" i="7" s="1"/>
  <c r="AJ95" i="8"/>
  <c r="AJ97" i="8" s="1"/>
  <c r="AJ98" i="8" s="1"/>
  <c r="AJ99" i="8"/>
  <c r="AP176" i="7"/>
  <c r="AO177" i="7"/>
  <c r="AP178" i="7"/>
  <c r="AP179" i="7" s="1"/>
  <c r="AS173" i="7"/>
  <c r="AR174" i="7"/>
  <c r="AR175" i="7" s="1"/>
  <c r="AJ317" i="8"/>
  <c r="AJ318" i="8"/>
  <c r="AJ319" i="8" s="1"/>
  <c r="AK367" i="8"/>
  <c r="AK87" i="8" s="1"/>
  <c r="AK81" i="8"/>
  <c r="AK85" i="8"/>
  <c r="AJ289" i="8"/>
  <c r="AJ303" i="8"/>
  <c r="AJ86" i="8"/>
  <c r="AI212" i="8" l="1"/>
  <c r="AI239" i="8" s="1"/>
  <c r="AJ100" i="8"/>
  <c r="AJ210" i="8" s="1"/>
  <c r="AI322" i="8"/>
  <c r="AI129" i="8"/>
  <c r="AJ28" i="1"/>
  <c r="AJ13" i="1" s="1"/>
  <c r="AJ96" i="8"/>
  <c r="AK94" i="8" s="1"/>
  <c r="AT216" i="7"/>
  <c r="AS217" i="7"/>
  <c r="AS218" i="7" s="1"/>
  <c r="AS219" i="7" s="1"/>
  <c r="AJ119" i="8"/>
  <c r="AJ292" i="8"/>
  <c r="AJ306" i="8"/>
  <c r="AJ285" i="8"/>
  <c r="AJ264" i="8"/>
  <c r="AJ271" i="8"/>
  <c r="AJ299" i="8"/>
  <c r="AJ278" i="8"/>
  <c r="AJ126" i="8"/>
  <c r="AJ320" i="8"/>
  <c r="AJ284" i="8"/>
  <c r="AJ298" i="8"/>
  <c r="AJ270" i="8"/>
  <c r="AJ305" i="8"/>
  <c r="AJ277" i="8"/>
  <c r="AJ291" i="8"/>
  <c r="AJ263" i="8"/>
  <c r="AK117" i="8"/>
  <c r="AK365" i="8"/>
  <c r="AK83" i="8" s="1"/>
  <c r="AK84" i="8" s="1"/>
  <c r="AL76" i="8" s="1"/>
  <c r="AK93" i="8"/>
  <c r="AK316" i="8"/>
  <c r="AK274" i="8"/>
  <c r="AK276" i="8" s="1"/>
  <c r="AK260" i="8"/>
  <c r="AK262" i="8" s="1"/>
  <c r="AK295" i="8"/>
  <c r="AK267" i="8"/>
  <c r="AK302" i="8"/>
  <c r="AK304" i="8" s="1"/>
  <c r="AK281" i="8"/>
  <c r="AK283" i="8" s="1"/>
  <c r="AK288" i="8"/>
  <c r="AK290" i="8" s="1"/>
  <c r="AT173" i="7"/>
  <c r="AS174" i="7"/>
  <c r="AS175" i="7" s="1"/>
  <c r="AK10" i="1"/>
  <c r="AP177" i="7"/>
  <c r="AQ176" i="7"/>
  <c r="AQ178" i="7"/>
  <c r="AQ179" i="7" s="1"/>
  <c r="AI237" i="8" l="1"/>
  <c r="AI241" i="8"/>
  <c r="AI242" i="8"/>
  <c r="AI243" i="8"/>
  <c r="AI238" i="8"/>
  <c r="AI240" i="8"/>
  <c r="AJ31" i="1"/>
  <c r="AJ125" i="8"/>
  <c r="AK24" i="1"/>
  <c r="AJ121" i="8"/>
  <c r="AJ123" i="8" s="1"/>
  <c r="AK275" i="8"/>
  <c r="AK86" i="8"/>
  <c r="AK291" i="8" s="1"/>
  <c r="AJ209" i="8"/>
  <c r="AJ212" i="8" s="1"/>
  <c r="AK26" i="1"/>
  <c r="AK282" i="8"/>
  <c r="AU173" i="7"/>
  <c r="AT174" i="7"/>
  <c r="AT175" i="7" s="1"/>
  <c r="AQ177" i="7"/>
  <c r="AR176" i="7"/>
  <c r="AR178" i="7"/>
  <c r="AR179" i="7" s="1"/>
  <c r="AK269" i="8"/>
  <c r="AK268" i="8"/>
  <c r="AK303" i="8"/>
  <c r="AK297" i="8"/>
  <c r="AK296" i="8"/>
  <c r="AK261" i="8"/>
  <c r="AK207" i="8"/>
  <c r="AL17" i="1"/>
  <c r="AL18" i="1" s="1"/>
  <c r="AK317" i="8"/>
  <c r="AK318" i="8"/>
  <c r="AK319" i="8" s="1"/>
  <c r="AU216" i="7"/>
  <c r="AT217" i="7"/>
  <c r="AT218" i="7" s="1"/>
  <c r="AT219" i="7" s="1"/>
  <c r="AK99" i="8"/>
  <c r="AK95" i="8"/>
  <c r="AK97" i="8" s="1"/>
  <c r="AK98" i="8" s="1"/>
  <c r="AK289" i="8"/>
  <c r="AL81" i="8"/>
  <c r="AL367" i="8"/>
  <c r="AL87" i="8" s="1"/>
  <c r="AL85" i="8"/>
  <c r="AK119" i="8" l="1"/>
  <c r="AL26" i="1" s="1"/>
  <c r="AK277" i="8"/>
  <c r="AK298" i="8"/>
  <c r="AK270" i="8"/>
  <c r="AK305" i="8"/>
  <c r="AK100" i="8"/>
  <c r="AL24" i="1" s="1"/>
  <c r="AK284" i="8"/>
  <c r="AK299" i="8"/>
  <c r="AK263" i="8"/>
  <c r="AK278" i="8"/>
  <c r="AK292" i="8"/>
  <c r="AK306" i="8"/>
  <c r="AK320" i="8"/>
  <c r="AK96" i="8"/>
  <c r="AL94" i="8" s="1"/>
  <c r="AK285" i="8"/>
  <c r="AK126" i="8"/>
  <c r="AK264" i="8"/>
  <c r="AK271" i="8"/>
  <c r="AV173" i="7"/>
  <c r="AU174" i="7"/>
  <c r="AU175" i="7" s="1"/>
  <c r="AV216" i="7"/>
  <c r="AU217" i="7"/>
  <c r="AU218" i="7" s="1"/>
  <c r="AU219" i="7" s="1"/>
  <c r="AL10" i="1"/>
  <c r="AJ322" i="8"/>
  <c r="AJ129" i="8"/>
  <c r="AK28" i="1"/>
  <c r="AL365" i="8"/>
  <c r="AL83" i="8" s="1"/>
  <c r="AL84" i="8" s="1"/>
  <c r="AM76" i="8" s="1"/>
  <c r="AL93" i="8"/>
  <c r="AL316" i="8"/>
  <c r="AL281" i="8"/>
  <c r="AL283" i="8" s="1"/>
  <c r="AL288" i="8"/>
  <c r="AL290" i="8" s="1"/>
  <c r="AL274" i="8"/>
  <c r="AL260" i="8"/>
  <c r="AL262" i="8" s="1"/>
  <c r="AL295" i="8"/>
  <c r="AL297" i="8" s="1"/>
  <c r="AL267" i="8"/>
  <c r="AL269" i="8" s="1"/>
  <c r="AL302" i="8"/>
  <c r="AL304" i="8" s="1"/>
  <c r="AJ242" i="8"/>
  <c r="AJ240" i="8"/>
  <c r="AJ241" i="8"/>
  <c r="AJ243" i="8"/>
  <c r="AJ237" i="8"/>
  <c r="AJ238" i="8"/>
  <c r="AJ239" i="8"/>
  <c r="AL117" i="8"/>
  <c r="AR177" i="7"/>
  <c r="AS176" i="7"/>
  <c r="AS178" i="7"/>
  <c r="AS179" i="7" s="1"/>
  <c r="AK121" i="8" l="1"/>
  <c r="AK123" i="8" s="1"/>
  <c r="AK209" i="8"/>
  <c r="AK210" i="8"/>
  <c r="AK125" i="8"/>
  <c r="AL268" i="8"/>
  <c r="AL296" i="8"/>
  <c r="AL289" i="8"/>
  <c r="AL282" i="8"/>
  <c r="AL261" i="8"/>
  <c r="AK13" i="1"/>
  <c r="AK31" i="1"/>
  <c r="AL86" i="8"/>
  <c r="AS177" i="7"/>
  <c r="AT176" i="7"/>
  <c r="AT178" i="7"/>
  <c r="AT179" i="7" s="1"/>
  <c r="AL303" i="8"/>
  <c r="AM81" i="8"/>
  <c r="AM367" i="8"/>
  <c r="AM87" i="8" s="1"/>
  <c r="AM85" i="8"/>
  <c r="AL207" i="8"/>
  <c r="AM17" i="1"/>
  <c r="AM18" i="1" s="1"/>
  <c r="AL276" i="8"/>
  <c r="AL275" i="8"/>
  <c r="AW216" i="7"/>
  <c r="AV217" i="7"/>
  <c r="AV218" i="7" s="1"/>
  <c r="AV219" i="7" s="1"/>
  <c r="AL95" i="8"/>
  <c r="AL97" i="8" s="1"/>
  <c r="AL98" i="8" s="1"/>
  <c r="AL99" i="8"/>
  <c r="AL317" i="8"/>
  <c r="AL318" i="8"/>
  <c r="AL319" i="8" s="1"/>
  <c r="AW173" i="7"/>
  <c r="AV174" i="7"/>
  <c r="AV175" i="7" s="1"/>
  <c r="AK322" i="8" l="1"/>
  <c r="AL28" i="1"/>
  <c r="AL13" i="1" s="1"/>
  <c r="AK212" i="8"/>
  <c r="AK238" i="8" s="1"/>
  <c r="AK129" i="8"/>
  <c r="AL100" i="8"/>
  <c r="AL121" i="8" s="1"/>
  <c r="AL31" i="1"/>
  <c r="AX216" i="7"/>
  <c r="AW217" i="7"/>
  <c r="AW218" i="7" s="1"/>
  <c r="AW219" i="7" s="1"/>
  <c r="AM117" i="8"/>
  <c r="AM365" i="8"/>
  <c r="AM83" i="8" s="1"/>
  <c r="AM84" i="8" s="1"/>
  <c r="AN76" i="8" s="1"/>
  <c r="AM93" i="8"/>
  <c r="AM316" i="8"/>
  <c r="AM281" i="8"/>
  <c r="AM260" i="8"/>
  <c r="AM274" i="8"/>
  <c r="AM276" i="8" s="1"/>
  <c r="AM302" i="8"/>
  <c r="AM304" i="8" s="1"/>
  <c r="AM288" i="8"/>
  <c r="AM295" i="8"/>
  <c r="AM267" i="8"/>
  <c r="AU176" i="7"/>
  <c r="AT177" i="7"/>
  <c r="AU178" i="7"/>
  <c r="AU179" i="7" s="1"/>
  <c r="AX173" i="7"/>
  <c r="AW174" i="7"/>
  <c r="AW175" i="7" s="1"/>
  <c r="AL119" i="8"/>
  <c r="AL306" i="8"/>
  <c r="AL126" i="8"/>
  <c r="AL285" i="8"/>
  <c r="AL278" i="8"/>
  <c r="AL320" i="8"/>
  <c r="AL271" i="8"/>
  <c r="AL292" i="8"/>
  <c r="AL299" i="8"/>
  <c r="AL264" i="8"/>
  <c r="AL291" i="8"/>
  <c r="AL270" i="8"/>
  <c r="AL263" i="8"/>
  <c r="AL277" i="8"/>
  <c r="AL305" i="8"/>
  <c r="AL298" i="8"/>
  <c r="AL284" i="8"/>
  <c r="AM10" i="1"/>
  <c r="AL96" i="8"/>
  <c r="AM94" i="8" s="1"/>
  <c r="AK240" i="8" l="1"/>
  <c r="AK239" i="8"/>
  <c r="AK237" i="8"/>
  <c r="AK242" i="8"/>
  <c r="AK243" i="8"/>
  <c r="AK241" i="8"/>
  <c r="AL125" i="8"/>
  <c r="AM24" i="1"/>
  <c r="AL210" i="8"/>
  <c r="AM269" i="8"/>
  <c r="AM268" i="8"/>
  <c r="AM290" i="8"/>
  <c r="AM289" i="8"/>
  <c r="AM297" i="8"/>
  <c r="AM296" i="8"/>
  <c r="AL209" i="8"/>
  <c r="AM26" i="1"/>
  <c r="AL123" i="8"/>
  <c r="AM262" i="8"/>
  <c r="AM261" i="8"/>
  <c r="AM283" i="8"/>
  <c r="AM282" i="8"/>
  <c r="AM207" i="8"/>
  <c r="AN17" i="1"/>
  <c r="AN18" i="1" s="1"/>
  <c r="AY173" i="7"/>
  <c r="AX174" i="7"/>
  <c r="AX175" i="7" s="1"/>
  <c r="AM317" i="8"/>
  <c r="AM318" i="8"/>
  <c r="AM319" i="8" s="1"/>
  <c r="AM95" i="8"/>
  <c r="AM97" i="8" s="1"/>
  <c r="AM98" i="8" s="1"/>
  <c r="AM99" i="8"/>
  <c r="AY216" i="7"/>
  <c r="AX217" i="7"/>
  <c r="AX218" i="7" s="1"/>
  <c r="AX219" i="7" s="1"/>
  <c r="AU177" i="7"/>
  <c r="AV176" i="7"/>
  <c r="AV178" i="7"/>
  <c r="AV179" i="7" s="1"/>
  <c r="AN81" i="8"/>
  <c r="AN367" i="8"/>
  <c r="AN87" i="8" s="1"/>
  <c r="AN85" i="8"/>
  <c r="AM303" i="8"/>
  <c r="AM275" i="8"/>
  <c r="AM86" i="8"/>
  <c r="AL212" i="8" l="1"/>
  <c r="AL240" i="8" s="1"/>
  <c r="AM100" i="8"/>
  <c r="AM210" i="8" s="1"/>
  <c r="AM96" i="8"/>
  <c r="AN94" i="8" s="1"/>
  <c r="AL322" i="8"/>
  <c r="AL129" i="8"/>
  <c r="AM28" i="1"/>
  <c r="AM13" i="1" s="1"/>
  <c r="AN10" i="1"/>
  <c r="AV177" i="7"/>
  <c r="AW176" i="7"/>
  <c r="AW178" i="7"/>
  <c r="AW179" i="7" s="1"/>
  <c r="AN117" i="8"/>
  <c r="AZ173" i="7"/>
  <c r="AY174" i="7"/>
  <c r="AY175" i="7" s="1"/>
  <c r="AN365" i="8"/>
  <c r="AN83" i="8" s="1"/>
  <c r="AN84" i="8" s="1"/>
  <c r="AO76" i="8" s="1"/>
  <c r="AN93" i="8"/>
  <c r="AN316" i="8"/>
  <c r="AN288" i="8"/>
  <c r="AN290" i="8" s="1"/>
  <c r="AN302" i="8"/>
  <c r="AN304" i="8" s="1"/>
  <c r="AN274" i="8"/>
  <c r="AN276" i="8" s="1"/>
  <c r="AN260" i="8"/>
  <c r="AN262" i="8" s="1"/>
  <c r="AN267" i="8"/>
  <c r="AN269" i="8" s="1"/>
  <c r="AN295" i="8"/>
  <c r="AN297" i="8" s="1"/>
  <c r="AN281" i="8"/>
  <c r="AN283" i="8" s="1"/>
  <c r="AZ216" i="7"/>
  <c r="AY217" i="7"/>
  <c r="AY218" i="7" s="1"/>
  <c r="AY219" i="7" s="1"/>
  <c r="AM119" i="8"/>
  <c r="AM306" i="8"/>
  <c r="AM292" i="8"/>
  <c r="AM285" i="8"/>
  <c r="AM320" i="8"/>
  <c r="AM271" i="8"/>
  <c r="AM278" i="8"/>
  <c r="AM126" i="8"/>
  <c r="AM299" i="8"/>
  <c r="AM264" i="8"/>
  <c r="AM284" i="8"/>
  <c r="AM305" i="8"/>
  <c r="AM291" i="8"/>
  <c r="AM270" i="8"/>
  <c r="AM263" i="8"/>
  <c r="AM277" i="8"/>
  <c r="AM298" i="8"/>
  <c r="AL242" i="8" l="1"/>
  <c r="AL237" i="8"/>
  <c r="AL238" i="8"/>
  <c r="AL239" i="8"/>
  <c r="AL243" i="8"/>
  <c r="AM125" i="8"/>
  <c r="AL241" i="8"/>
  <c r="AN261" i="8"/>
  <c r="AN275" i="8"/>
  <c r="AN24" i="1"/>
  <c r="AM121" i="8"/>
  <c r="AM123" i="8" s="1"/>
  <c r="AN303" i="8"/>
  <c r="AN268" i="8"/>
  <c r="AN207" i="8"/>
  <c r="AO17" i="1"/>
  <c r="AO18" i="1" s="1"/>
  <c r="AN282" i="8"/>
  <c r="AN289" i="8"/>
  <c r="AN296" i="8"/>
  <c r="AM31" i="1"/>
  <c r="BA216" i="7"/>
  <c r="AZ217" i="7"/>
  <c r="AZ218" i="7" s="1"/>
  <c r="AZ219" i="7" s="1"/>
  <c r="BA173" i="7"/>
  <c r="AZ174" i="7"/>
  <c r="AZ175" i="7" s="1"/>
  <c r="AW177" i="7"/>
  <c r="AX176" i="7"/>
  <c r="AX178" i="7"/>
  <c r="AX179" i="7" s="1"/>
  <c r="AN317" i="8"/>
  <c r="AN318" i="8"/>
  <c r="AN319" i="8" s="1"/>
  <c r="AN95" i="8"/>
  <c r="AN97" i="8" s="1"/>
  <c r="AN98" i="8" s="1"/>
  <c r="AN99" i="8"/>
  <c r="AM209" i="8"/>
  <c r="AM212" i="8" s="1"/>
  <c r="AN26" i="1"/>
  <c r="AO367" i="8"/>
  <c r="AO87" i="8" s="1"/>
  <c r="AO81" i="8"/>
  <c r="AO85" i="8"/>
  <c r="AN86" i="8"/>
  <c r="AN119" i="8" l="1"/>
  <c r="AN320" i="8"/>
  <c r="AN299" i="8"/>
  <c r="AN278" i="8"/>
  <c r="AN271" i="8"/>
  <c r="AN306" i="8"/>
  <c r="AN292" i="8"/>
  <c r="AN285" i="8"/>
  <c r="AN264" i="8"/>
  <c r="AN126" i="8"/>
  <c r="AN277" i="8"/>
  <c r="AN305" i="8"/>
  <c r="AN263" i="8"/>
  <c r="AN284" i="8"/>
  <c r="AN291" i="8"/>
  <c r="AN298" i="8"/>
  <c r="AN270" i="8"/>
  <c r="AM322" i="8"/>
  <c r="AM129" i="8"/>
  <c r="AN28" i="1"/>
  <c r="AO10" i="1"/>
  <c r="AO117" i="8"/>
  <c r="AO365" i="8"/>
  <c r="AO83" i="8" s="1"/>
  <c r="AO84" i="8" s="1"/>
  <c r="AP76" i="8" s="1"/>
  <c r="AO93" i="8"/>
  <c r="AO316" i="8"/>
  <c r="AO281" i="8"/>
  <c r="AO283" i="8" s="1"/>
  <c r="AO267" i="8"/>
  <c r="AO269" i="8" s="1"/>
  <c r="AO295" i="8"/>
  <c r="AO297" i="8" s="1"/>
  <c r="AO274" i="8"/>
  <c r="AO302" i="8"/>
  <c r="AO288" i="8"/>
  <c r="AO290" i="8" s="1"/>
  <c r="AO260" i="8"/>
  <c r="BB173" i="7"/>
  <c r="BA174" i="7"/>
  <c r="BA175" i="7" s="1"/>
  <c r="AX177" i="7"/>
  <c r="AY176" i="7"/>
  <c r="AY178" i="7"/>
  <c r="AY179" i="7" s="1"/>
  <c r="AN96" i="8"/>
  <c r="AO94" i="8" s="1"/>
  <c r="AM242" i="8"/>
  <c r="AM239" i="8"/>
  <c r="AM241" i="8"/>
  <c r="AM243" i="8"/>
  <c r="AM237" i="8"/>
  <c r="AM238" i="8"/>
  <c r="AM240" i="8"/>
  <c r="AN100" i="8"/>
  <c r="BB216" i="7"/>
  <c r="BA217" i="7"/>
  <c r="BA218" i="7" s="1"/>
  <c r="BA219" i="7" s="1"/>
  <c r="AO268" i="8" l="1"/>
  <c r="AO282" i="8"/>
  <c r="AO262" i="8"/>
  <c r="AO261" i="8"/>
  <c r="AO304" i="8"/>
  <c r="AO303" i="8"/>
  <c r="AO276" i="8"/>
  <c r="AO275" i="8"/>
  <c r="AO296" i="8"/>
  <c r="AO207" i="8"/>
  <c r="AP17" i="1"/>
  <c r="AP18" i="1" s="1"/>
  <c r="AO289" i="8"/>
  <c r="AO317" i="8"/>
  <c r="AO318" i="8"/>
  <c r="AO319" i="8" s="1"/>
  <c r="AY177" i="7"/>
  <c r="AZ176" i="7"/>
  <c r="AZ178" i="7"/>
  <c r="AZ179" i="7" s="1"/>
  <c r="BC216" i="7"/>
  <c r="BB217" i="7"/>
  <c r="BB218" i="7" s="1"/>
  <c r="BB219" i="7" s="1"/>
  <c r="AO95" i="8"/>
  <c r="AO97" i="8" s="1"/>
  <c r="AO98" i="8" s="1"/>
  <c r="AO99" i="8"/>
  <c r="AP367" i="8"/>
  <c r="AP87" i="8" s="1"/>
  <c r="AP81" i="8"/>
  <c r="AP85" i="8"/>
  <c r="AN210" i="8"/>
  <c r="AN121" i="8"/>
  <c r="AN123" i="8" s="1"/>
  <c r="AO24" i="1"/>
  <c r="AN125" i="8"/>
  <c r="AO86" i="8"/>
  <c r="AN209" i="8"/>
  <c r="AO26" i="1"/>
  <c r="BC173" i="7"/>
  <c r="BB174" i="7"/>
  <c r="BB175" i="7" s="1"/>
  <c r="AN13" i="1"/>
  <c r="AN31" i="1"/>
  <c r="AP10" i="1" l="1"/>
  <c r="AO100" i="8"/>
  <c r="AN322" i="8"/>
  <c r="AN129" i="8"/>
  <c r="AO28" i="1"/>
  <c r="AO13" i="1" s="1"/>
  <c r="AO119" i="8"/>
  <c r="AO285" i="8"/>
  <c r="AO306" i="8"/>
  <c r="AO292" i="8"/>
  <c r="AO126" i="8"/>
  <c r="AO320" i="8"/>
  <c r="AO278" i="8"/>
  <c r="AO264" i="8"/>
  <c r="AO271" i="8"/>
  <c r="AO299" i="8"/>
  <c r="AO284" i="8"/>
  <c r="AO277" i="8"/>
  <c r="AO270" i="8"/>
  <c r="AO298" i="8"/>
  <c r="AO291" i="8"/>
  <c r="AO305" i="8"/>
  <c r="AO263" i="8"/>
  <c r="BD216" i="7"/>
  <c r="BC217" i="7"/>
  <c r="BC218" i="7" s="1"/>
  <c r="BC219" i="7" s="1"/>
  <c r="AZ177" i="7"/>
  <c r="BA176" i="7"/>
  <c r="BA178" i="7"/>
  <c r="BA179" i="7" s="1"/>
  <c r="AN212" i="8"/>
  <c r="AO96" i="8"/>
  <c r="AP94" i="8" s="1"/>
  <c r="AP117" i="8"/>
  <c r="BD173" i="7"/>
  <c r="BC174" i="7"/>
  <c r="BC175" i="7" s="1"/>
  <c r="AP365" i="8"/>
  <c r="AP83" i="8" s="1"/>
  <c r="AP84" i="8" s="1"/>
  <c r="AQ76" i="8" s="1"/>
  <c r="AP93" i="8"/>
  <c r="AP316" i="8"/>
  <c r="AP274" i="8"/>
  <c r="AP276" i="8" s="1"/>
  <c r="AP267" i="8"/>
  <c r="AP260" i="8"/>
  <c r="AP262" i="8" s="1"/>
  <c r="AP302" i="8"/>
  <c r="AP304" i="8" s="1"/>
  <c r="AP288" i="8"/>
  <c r="AP290" i="8" s="1"/>
  <c r="AP295" i="8"/>
  <c r="AP297" i="8" s="1"/>
  <c r="AP281" i="8"/>
  <c r="AP289" i="8" l="1"/>
  <c r="AP261" i="8"/>
  <c r="AP303" i="8"/>
  <c r="AO31" i="1"/>
  <c r="AP275" i="8"/>
  <c r="BA177" i="7"/>
  <c r="BB176" i="7"/>
  <c r="BB178" i="7"/>
  <c r="BB179" i="7" s="1"/>
  <c r="BE173" i="7"/>
  <c r="BD174" i="7"/>
  <c r="BD175" i="7" s="1"/>
  <c r="AP269" i="8"/>
  <c r="AP268" i="8"/>
  <c r="AP296" i="8"/>
  <c r="AP317" i="8"/>
  <c r="AP318" i="8"/>
  <c r="AP319" i="8" s="1"/>
  <c r="AP283" i="8"/>
  <c r="AP282" i="8"/>
  <c r="AO209" i="8"/>
  <c r="AP26" i="1"/>
  <c r="BE216" i="7"/>
  <c r="BD217" i="7"/>
  <c r="BD218" i="7" s="1"/>
  <c r="BD219" i="7" s="1"/>
  <c r="AP99" i="8"/>
  <c r="AP95" i="8"/>
  <c r="AP97" i="8" s="1"/>
  <c r="AP98" i="8" s="1"/>
  <c r="AO210" i="8"/>
  <c r="AO212" i="8" s="1"/>
  <c r="AO121" i="8"/>
  <c r="AO123" i="8" s="1"/>
  <c r="AP24" i="1"/>
  <c r="AO125" i="8"/>
  <c r="AQ367" i="8"/>
  <c r="AQ81" i="8"/>
  <c r="AQ85" i="8"/>
  <c r="AP207" i="8"/>
  <c r="AQ17" i="1"/>
  <c r="AQ18" i="1" s="1"/>
  <c r="AP86" i="8"/>
  <c r="AN237" i="8"/>
  <c r="AN242" i="8"/>
  <c r="AN239" i="8"/>
  <c r="AN240" i="8"/>
  <c r="AN243" i="8"/>
  <c r="AN238" i="8"/>
  <c r="AN241" i="8"/>
  <c r="AP100" i="8" l="1"/>
  <c r="AP210" i="8" s="1"/>
  <c r="AP96" i="8"/>
  <c r="AQ94" i="8" s="1"/>
  <c r="AO241" i="8"/>
  <c r="AO242" i="8"/>
  <c r="AO243" i="8"/>
  <c r="AO237" i="8"/>
  <c r="AO238" i="8"/>
  <c r="AO240" i="8"/>
  <c r="AO239" i="8"/>
  <c r="AP119" i="8"/>
  <c r="AP271" i="8"/>
  <c r="AP264" i="8"/>
  <c r="AP285" i="8"/>
  <c r="AP299" i="8"/>
  <c r="AP320" i="8"/>
  <c r="AP278" i="8"/>
  <c r="AP306" i="8"/>
  <c r="AP292" i="8"/>
  <c r="AP126" i="8"/>
  <c r="AP277" i="8"/>
  <c r="AP298" i="8"/>
  <c r="AP291" i="8"/>
  <c r="AP270" i="8"/>
  <c r="AP263" i="8"/>
  <c r="AP305" i="8"/>
  <c r="AP284" i="8"/>
  <c r="AQ117" i="8"/>
  <c r="G85" i="8"/>
  <c r="E65" i="2" s="1"/>
  <c r="G81" i="8"/>
  <c r="AQ365" i="8"/>
  <c r="AQ93" i="8"/>
  <c r="AQ316" i="8"/>
  <c r="AQ288" i="8"/>
  <c r="AQ260" i="8"/>
  <c r="AQ274" i="8"/>
  <c r="AQ295" i="8"/>
  <c r="AQ297" i="8" s="1"/>
  <c r="AQ267" i="8"/>
  <c r="AQ269" i="8" s="1"/>
  <c r="AQ302" i="8"/>
  <c r="AQ281" i="8"/>
  <c r="AQ283" i="8" s="1"/>
  <c r="AO322" i="8"/>
  <c r="AO129" i="8"/>
  <c r="AP28" i="1"/>
  <c r="AP13" i="1" s="1"/>
  <c r="BF173" i="7"/>
  <c r="BE174" i="7"/>
  <c r="BE175" i="7" s="1"/>
  <c r="BF216" i="7"/>
  <c r="BE217" i="7"/>
  <c r="BE218" i="7" s="1"/>
  <c r="BE219" i="7" s="1"/>
  <c r="AQ87" i="8"/>
  <c r="G87" i="8" s="1"/>
  <c r="G367" i="8"/>
  <c r="G375" i="8" s="1"/>
  <c r="AQ10" i="1"/>
  <c r="BB177" i="7"/>
  <c r="BC176" i="7"/>
  <c r="BC178" i="7"/>
  <c r="BC179" i="7" s="1"/>
  <c r="AQ24" i="1" l="1"/>
  <c r="AP121" i="8"/>
  <c r="AP123" i="8" s="1"/>
  <c r="AP125" i="8"/>
  <c r="AP31" i="1"/>
  <c r="AP209" i="8"/>
  <c r="AP212" i="8" s="1"/>
  <c r="AQ26" i="1"/>
  <c r="AQ304" i="8"/>
  <c r="AQ303" i="8"/>
  <c r="AQ282" i="8"/>
  <c r="BG216" i="7"/>
  <c r="BF217" i="7"/>
  <c r="BF218" i="7" s="1"/>
  <c r="BF219" i="7" s="1"/>
  <c r="BG173" i="7"/>
  <c r="BF174" i="7"/>
  <c r="BF175" i="7" s="1"/>
  <c r="AQ290" i="8"/>
  <c r="AQ289" i="8"/>
  <c r="AQ317" i="8"/>
  <c r="AQ318" i="8"/>
  <c r="G316" i="8"/>
  <c r="F65" i="2"/>
  <c r="G65" i="2"/>
  <c r="E66" i="2"/>
  <c r="AQ207" i="8"/>
  <c r="AR17" i="1"/>
  <c r="G117" i="8"/>
  <c r="AQ276" i="8"/>
  <c r="AQ275" i="8"/>
  <c r="AQ262" i="8"/>
  <c r="AQ261" i="8"/>
  <c r="AQ95" i="8"/>
  <c r="AQ99" i="8"/>
  <c r="G99" i="8" s="1"/>
  <c r="G93" i="8"/>
  <c r="BD176" i="7"/>
  <c r="BC177" i="7"/>
  <c r="BD178" i="7"/>
  <c r="BD179" i="7" s="1"/>
  <c r="AQ83" i="8"/>
  <c r="G365" i="8"/>
  <c r="AQ268" i="8"/>
  <c r="AQ296" i="8"/>
  <c r="AP239" i="8" l="1"/>
  <c r="AP243" i="8"/>
  <c r="AP237" i="8"/>
  <c r="AP238" i="8"/>
  <c r="AP240" i="8"/>
  <c r="AP241" i="8"/>
  <c r="AP242" i="8"/>
  <c r="BH173" i="7"/>
  <c r="BG174" i="7"/>
  <c r="BG175" i="7" s="1"/>
  <c r="E17" i="1"/>
  <c r="AR18" i="1"/>
  <c r="G207" i="8"/>
  <c r="BE176" i="7"/>
  <c r="BD177" i="7"/>
  <c r="BE178" i="7"/>
  <c r="BE179" i="7" s="1"/>
  <c r="BH216" i="7"/>
  <c r="BG217" i="7"/>
  <c r="BG218" i="7" s="1"/>
  <c r="BG219" i="7" s="1"/>
  <c r="AQ97" i="8"/>
  <c r="G95" i="8"/>
  <c r="AQ96" i="8"/>
  <c r="G168" i="8" s="1"/>
  <c r="AQ319" i="8"/>
  <c r="G319" i="8" s="1"/>
  <c r="G318" i="8"/>
  <c r="AP322" i="8"/>
  <c r="AP129" i="8"/>
  <c r="AQ28" i="1"/>
  <c r="AQ13" i="1" s="1"/>
  <c r="G83" i="8"/>
  <c r="AQ84" i="8"/>
  <c r="AQ86" i="8"/>
  <c r="E172" i="2"/>
  <c r="F172" i="2" s="1"/>
  <c r="G66" i="2"/>
  <c r="F66" i="2"/>
  <c r="E5" i="1"/>
  <c r="AQ31" i="1" l="1"/>
  <c r="G17" i="1"/>
  <c r="F17" i="1"/>
  <c r="AQ98" i="8"/>
  <c r="G97" i="8"/>
  <c r="BI173" i="7"/>
  <c r="BH174" i="7"/>
  <c r="BH175" i="7" s="1"/>
  <c r="H14" i="2"/>
  <c r="F5" i="1"/>
  <c r="F68" i="2"/>
  <c r="F69" i="2" s="1"/>
  <c r="AR10" i="1"/>
  <c r="AQ119" i="8"/>
  <c r="AQ306" i="8"/>
  <c r="H254" i="8" s="1"/>
  <c r="AQ278" i="8"/>
  <c r="H250" i="8" s="1"/>
  <c r="AQ264" i="8"/>
  <c r="H248" i="8" s="1"/>
  <c r="AQ299" i="8"/>
  <c r="H253" i="8" s="1"/>
  <c r="AQ285" i="8"/>
  <c r="H251" i="8" s="1"/>
  <c r="AQ271" i="8"/>
  <c r="H249" i="8" s="1"/>
  <c r="AQ320" i="8"/>
  <c r="G320" i="8" s="1"/>
  <c r="G324" i="8" s="1"/>
  <c r="G325" i="8" s="1"/>
  <c r="AQ292" i="8"/>
  <c r="H252" i="8" s="1"/>
  <c r="AQ126" i="8"/>
  <c r="G86" i="8"/>
  <c r="AQ305" i="8"/>
  <c r="AQ270" i="8"/>
  <c r="AQ298" i="8"/>
  <c r="AQ263" i="8"/>
  <c r="AQ291" i="8"/>
  <c r="AQ284" i="8"/>
  <c r="AQ277" i="8"/>
  <c r="BI216" i="7"/>
  <c r="BH217" i="7"/>
  <c r="BH218" i="7" s="1"/>
  <c r="BH219" i="7" s="1"/>
  <c r="BE177" i="7"/>
  <c r="BF176" i="7"/>
  <c r="BF178" i="7"/>
  <c r="BF179" i="7" s="1"/>
  <c r="H15" i="2"/>
  <c r="G5" i="1"/>
  <c r="G126" i="8" l="1"/>
  <c r="G329" i="8" s="1"/>
  <c r="G374" i="8"/>
  <c r="E104" i="2" s="1"/>
  <c r="XFD104" i="2" s="1"/>
  <c r="J252" i="8"/>
  <c r="I153" i="2" s="1"/>
  <c r="I152" i="2"/>
  <c r="J249" i="8"/>
  <c r="F153" i="2" s="1"/>
  <c r="F152" i="2"/>
  <c r="J251" i="8"/>
  <c r="H153" i="2" s="1"/>
  <c r="H152" i="2"/>
  <c r="J253" i="8"/>
  <c r="J153" i="2" s="1"/>
  <c r="J152" i="2"/>
  <c r="BJ216" i="7"/>
  <c r="BI217" i="7"/>
  <c r="BI218" i="7" s="1"/>
  <c r="BI219" i="7" s="1"/>
  <c r="J248" i="8"/>
  <c r="E153" i="2" s="1"/>
  <c r="E256" i="8" a="1"/>
  <c r="E256" i="8" s="1"/>
  <c r="E152" i="2"/>
  <c r="AQ100" i="8"/>
  <c r="G98" i="8"/>
  <c r="BF177" i="7"/>
  <c r="BG176" i="7"/>
  <c r="BG178" i="7"/>
  <c r="BG179" i="7" s="1"/>
  <c r="BJ173" i="7"/>
  <c r="BI174" i="7"/>
  <c r="BI175" i="7" s="1"/>
  <c r="J250" i="8"/>
  <c r="G153" i="2" s="1"/>
  <c r="G152" i="2"/>
  <c r="J254" i="8"/>
  <c r="K153" i="2" s="1"/>
  <c r="K152" i="2"/>
  <c r="AQ209" i="8"/>
  <c r="G209" i="8" s="1"/>
  <c r="AR26" i="1"/>
  <c r="E26" i="1" s="1"/>
  <c r="G119" i="8"/>
  <c r="E97" i="2" l="1"/>
  <c r="XFD97" i="2" s="1"/>
  <c r="G155" i="8"/>
  <c r="BG177" i="7"/>
  <c r="BH176" i="7"/>
  <c r="BH178" i="7"/>
  <c r="BH179" i="7" s="1"/>
  <c r="BK173" i="7"/>
  <c r="BJ174" i="7"/>
  <c r="BJ175" i="7" s="1"/>
  <c r="G26" i="1"/>
  <c r="F26" i="1"/>
  <c r="AQ210" i="8"/>
  <c r="AQ121" i="8"/>
  <c r="AR24" i="1"/>
  <c r="AQ125" i="8"/>
  <c r="G125" i="8" s="1"/>
  <c r="G100" i="8"/>
  <c r="G256" i="8" a="1"/>
  <c r="G256" i="8" s="1"/>
  <c r="E98" i="2"/>
  <c r="XFD98" i="2" s="1"/>
  <c r="BK216" i="7"/>
  <c r="BJ217" i="7"/>
  <c r="BJ218" i="7" s="1"/>
  <c r="BJ219" i="7" s="1"/>
  <c r="E24" i="1" l="1"/>
  <c r="G121" i="8"/>
  <c r="AQ123" i="8"/>
  <c r="G210" i="8"/>
  <c r="AQ212" i="8"/>
  <c r="BL216" i="7"/>
  <c r="BK217" i="7"/>
  <c r="BK218" i="7" s="1"/>
  <c r="BK219" i="7" s="1"/>
  <c r="BL173" i="7"/>
  <c r="BK174" i="7"/>
  <c r="BK175" i="7" s="1"/>
  <c r="BI176" i="7"/>
  <c r="BH177" i="7"/>
  <c r="BI178" i="7"/>
  <c r="BI179" i="7" s="1"/>
  <c r="BM216" i="7" l="1"/>
  <c r="BL217" i="7"/>
  <c r="BL218" i="7" s="1"/>
  <c r="BL219" i="7" s="1"/>
  <c r="BI177" i="7"/>
  <c r="BJ176" i="7"/>
  <c r="BJ178" i="7"/>
  <c r="BJ179" i="7" s="1"/>
  <c r="AQ322" i="8"/>
  <c r="AQ129" i="8"/>
  <c r="AR28" i="1"/>
  <c r="BM173" i="7"/>
  <c r="BL174" i="7"/>
  <c r="BL175" i="7" s="1"/>
  <c r="AQ243" i="8"/>
  <c r="AQ237" i="8"/>
  <c r="AQ238" i="8"/>
  <c r="AQ239" i="8"/>
  <c r="AQ241" i="8"/>
  <c r="AQ242" i="8"/>
  <c r="AQ240" i="8"/>
  <c r="G218" i="8" a="1"/>
  <c r="G218" i="8" s="1"/>
  <c r="G212" i="8"/>
  <c r="G217" i="8"/>
  <c r="G222" i="8" s="1"/>
  <c r="G216" i="8"/>
  <c r="G24" i="1"/>
  <c r="F24" i="1"/>
  <c r="AR13" i="1" l="1"/>
  <c r="AR31" i="1"/>
  <c r="F240" i="8"/>
  <c r="G240" i="8" a="1"/>
  <c r="G240" i="8" s="1"/>
  <c r="F242" i="8"/>
  <c r="G242" i="8" a="1"/>
  <c r="G242" i="8" s="1"/>
  <c r="G241" i="8" a="1"/>
  <c r="G241" i="8" s="1"/>
  <c r="F241" i="8"/>
  <c r="BN173" i="7"/>
  <c r="BM174" i="7"/>
  <c r="BM175" i="7" s="1"/>
  <c r="F239" i="8"/>
  <c r="G239" i="8" a="1"/>
  <c r="G239" i="8" s="1"/>
  <c r="F238" i="8"/>
  <c r="G238" i="8" a="1"/>
  <c r="G238" i="8" s="1"/>
  <c r="BJ177" i="7"/>
  <c r="BK176" i="7"/>
  <c r="BK178" i="7"/>
  <c r="BK179" i="7" s="1"/>
  <c r="F237" i="8"/>
  <c r="G237" i="8" a="1"/>
  <c r="G237" i="8" s="1"/>
  <c r="F243" i="8"/>
  <c r="G243" i="8" a="1"/>
  <c r="G243" i="8" s="1"/>
  <c r="BN216" i="7"/>
  <c r="BM217" i="7"/>
  <c r="BM218" i="7" s="1"/>
  <c r="BM219" i="7" s="1"/>
  <c r="BO173" i="7" l="1"/>
  <c r="BN174" i="7"/>
  <c r="BN175" i="7" s="1"/>
  <c r="BO216" i="7"/>
  <c r="BN217" i="7"/>
  <c r="BN218" i="7" s="1"/>
  <c r="BN219" i="7" s="1"/>
  <c r="BK177" i="7"/>
  <c r="BL176" i="7"/>
  <c r="BL178" i="7"/>
  <c r="BL179" i="7" s="1"/>
  <c r="BP216" i="7" l="1"/>
  <c r="BP217" i="7" s="1"/>
  <c r="BO217" i="7"/>
  <c r="BO218" i="7" s="1"/>
  <c r="BO219" i="7" s="1"/>
  <c r="BL177" i="7"/>
  <c r="BM176" i="7"/>
  <c r="BM178" i="7"/>
  <c r="BM179" i="7" s="1"/>
  <c r="BP173" i="7"/>
  <c r="BP174" i="7" s="1"/>
  <c r="BO174" i="7"/>
  <c r="BO175" i="7" s="1"/>
  <c r="BM177" i="7" l="1"/>
  <c r="BN176" i="7"/>
  <c r="BN178" i="7"/>
  <c r="BN179" i="7" s="1"/>
  <c r="BP175" i="7"/>
  <c r="G174" i="7"/>
  <c r="G185" i="7" s="1"/>
  <c r="G186" i="7" s="1"/>
  <c r="BP218" i="7"/>
  <c r="G218" i="7" s="1"/>
  <c r="G220" i="7" s="1"/>
  <c r="E125" i="2" s="1"/>
  <c r="G217" i="7"/>
  <c r="BP219" i="7" l="1"/>
  <c r="G193" i="7" a="1"/>
  <c r="G193" i="7" s="1"/>
  <c r="G192" i="7" a="1"/>
  <c r="G192" i="7" s="1"/>
  <c r="E122" i="2" s="1"/>
  <c r="G175" i="7"/>
  <c r="G182" i="7" s="1"/>
  <c r="G187" i="7"/>
  <c r="E121" i="2" s="1"/>
  <c r="E123" i="2"/>
  <c r="BN177" i="7"/>
  <c r="BO176" i="7"/>
  <c r="BO178" i="7"/>
  <c r="BO179" i="7" s="1"/>
  <c r="G194" i="7" l="1"/>
  <c r="G195" i="7"/>
  <c r="BO177" i="7"/>
  <c r="BP176" i="7"/>
  <c r="BP178" i="7"/>
  <c r="G183" i="7"/>
  <c r="E120" i="2"/>
  <c r="G266" i="7"/>
  <c r="K21" i="8"/>
  <c r="G265" i="7"/>
  <c r="G270" i="7" s="1"/>
  <c r="E169" i="2" s="1"/>
  <c r="G21" i="8" l="1"/>
  <c r="K24" i="8"/>
  <c r="F169" i="2"/>
  <c r="G178" i="7"/>
  <c r="BP179" i="7"/>
  <c r="G179" i="7" s="1"/>
  <c r="G190" i="7" s="1"/>
  <c r="BP177" i="7"/>
  <c r="G176" i="7"/>
  <c r="G188" i="7"/>
  <c r="G189" i="7" l="1"/>
  <c r="E124" i="2"/>
  <c r="K114" i="8"/>
  <c r="K104" i="8"/>
  <c r="L16" i="1"/>
  <c r="G24" i="8"/>
  <c r="L18" i="1" l="1"/>
  <c r="E16" i="1"/>
  <c r="K109" i="8"/>
  <c r="G104" i="8"/>
  <c r="G156" i="8"/>
  <c r="E85" i="2" s="1"/>
  <c r="K123" i="8"/>
  <c r="G114" i="8"/>
  <c r="K322" i="8" l="1"/>
  <c r="K129" i="8"/>
  <c r="L28" i="1"/>
  <c r="L31" i="1" s="1"/>
  <c r="E31" i="1" s="1"/>
  <c r="E177" i="2" s="1"/>
  <c r="F177" i="2" s="1"/>
  <c r="G123" i="8"/>
  <c r="G138" i="8"/>
  <c r="G137" i="8"/>
  <c r="K124" i="8"/>
  <c r="K305" i="8"/>
  <c r="K284" i="8"/>
  <c r="K263" i="8"/>
  <c r="K277" i="8"/>
  <c r="K291" i="8"/>
  <c r="K298" i="8"/>
  <c r="K270" i="8"/>
  <c r="K182" i="8"/>
  <c r="K192" i="8"/>
  <c r="K184" i="8"/>
  <c r="K181" i="8"/>
  <c r="K180" i="8"/>
  <c r="K188" i="8"/>
  <c r="K179" i="8"/>
  <c r="K178" i="8"/>
  <c r="K110" i="8"/>
  <c r="K191" i="8"/>
  <c r="K190" i="8"/>
  <c r="K189" i="8"/>
  <c r="K183" i="8"/>
  <c r="G109" i="8"/>
  <c r="G134" i="8"/>
  <c r="E91" i="2" s="1"/>
  <c r="XFD91" i="2" s="1"/>
  <c r="F16" i="1"/>
  <c r="G16" i="1"/>
  <c r="L10" i="1"/>
  <c r="G10" i="1" s="1"/>
  <c r="E18" i="1"/>
  <c r="I248" i="8" l="1" a="1"/>
  <c r="I248" i="8" s="1"/>
  <c r="G248" i="8" a="1"/>
  <c r="G248" i="8" s="1"/>
  <c r="E151" i="2" s="1"/>
  <c r="F248" i="8"/>
  <c r="F251" i="8"/>
  <c r="H150" i="2" s="1"/>
  <c r="I251" i="8" a="1"/>
  <c r="I251" i="8" s="1"/>
  <c r="G251" i="8" a="1"/>
  <c r="G251" i="8" s="1"/>
  <c r="H151" i="2" s="1"/>
  <c r="I254" i="8" a="1"/>
  <c r="I254" i="8" s="1"/>
  <c r="G254" i="8" a="1"/>
  <c r="G254" i="8" s="1"/>
  <c r="K151" i="2" s="1"/>
  <c r="F254" i="8"/>
  <c r="K150" i="2" s="1"/>
  <c r="G18" i="1"/>
  <c r="F18" i="1"/>
  <c r="G179" i="8"/>
  <c r="F143" i="2" s="1"/>
  <c r="F179" i="8"/>
  <c r="F142" i="2" s="1"/>
  <c r="G181" i="8"/>
  <c r="F181" i="8"/>
  <c r="H142" i="2" s="1"/>
  <c r="G171" i="8"/>
  <c r="G172" i="8" s="1"/>
  <c r="E170" i="2" s="1"/>
  <c r="E94" i="2"/>
  <c r="XFD94" i="2" s="1"/>
  <c r="H16" i="2"/>
  <c r="G184" i="8"/>
  <c r="K143" i="2" s="1"/>
  <c r="F184" i="8"/>
  <c r="K142" i="2" s="1"/>
  <c r="G192" i="8"/>
  <c r="I147" i="2" s="1"/>
  <c r="F192" i="8"/>
  <c r="I146" i="2" s="1"/>
  <c r="G183" i="8"/>
  <c r="J143" i="2" s="1"/>
  <c r="F183" i="8"/>
  <c r="J142" i="2" s="1"/>
  <c r="G182" i="8"/>
  <c r="I143" i="2" s="1"/>
  <c r="F182" i="8"/>
  <c r="I142" i="2" s="1"/>
  <c r="L13" i="1"/>
  <c r="G13" i="1" s="1"/>
  <c r="E28" i="1"/>
  <c r="K335" i="8"/>
  <c r="G135" i="8"/>
  <c r="E92" i="2" s="1"/>
  <c r="XFD92" i="2" s="1"/>
  <c r="G110" i="8"/>
  <c r="G136" i="8"/>
  <c r="E93" i="2" s="1"/>
  <c r="XFD93" i="2" s="1"/>
  <c r="K111" i="8"/>
  <c r="L111" i="8" s="1"/>
  <c r="M111" i="8" s="1"/>
  <c r="N111" i="8" s="1"/>
  <c r="O111" i="8" s="1"/>
  <c r="P111" i="8" s="1"/>
  <c r="Q111" i="8" s="1"/>
  <c r="R111" i="8" s="1"/>
  <c r="S111" i="8" s="1"/>
  <c r="T111" i="8" s="1"/>
  <c r="U111" i="8" s="1"/>
  <c r="V111" i="8" s="1"/>
  <c r="W111" i="8" s="1"/>
  <c r="X111" i="8" s="1"/>
  <c r="Y111" i="8" s="1"/>
  <c r="Z111" i="8" s="1"/>
  <c r="AA111" i="8" s="1"/>
  <c r="AB111" i="8" s="1"/>
  <c r="AC111" i="8" s="1"/>
  <c r="AD111" i="8" s="1"/>
  <c r="AE111" i="8" s="1"/>
  <c r="AF111" i="8" s="1"/>
  <c r="AG111" i="8" s="1"/>
  <c r="AH111" i="8" s="1"/>
  <c r="AI111" i="8" s="1"/>
  <c r="AJ111" i="8" s="1"/>
  <c r="AK111" i="8" s="1"/>
  <c r="AL111" i="8" s="1"/>
  <c r="AM111" i="8" s="1"/>
  <c r="AN111" i="8" s="1"/>
  <c r="AO111" i="8" s="1"/>
  <c r="AP111" i="8" s="1"/>
  <c r="AQ111" i="8" s="1"/>
  <c r="F189" i="8"/>
  <c r="F146" i="2" s="1"/>
  <c r="G189" i="8"/>
  <c r="F147" i="2" s="1"/>
  <c r="F249" i="8"/>
  <c r="F150" i="2" s="1"/>
  <c r="G249" i="8" a="1"/>
  <c r="G249" i="8" s="1"/>
  <c r="F151" i="2" s="1"/>
  <c r="I249" i="8" a="1"/>
  <c r="I249" i="8" s="1"/>
  <c r="G140" i="8" a="1"/>
  <c r="G140" i="8" s="1"/>
  <c r="E95" i="2" s="1"/>
  <c r="XFD95" i="2" s="1"/>
  <c r="G147" i="8"/>
  <c r="G141" i="8" a="1"/>
  <c r="G141" i="8" s="1"/>
  <c r="G129" i="8"/>
  <c r="G144" i="8" s="1"/>
  <c r="G145" i="8" s="1"/>
  <c r="G139" i="8"/>
  <c r="K130" i="8"/>
  <c r="F250" i="8"/>
  <c r="G150" i="2" s="1"/>
  <c r="I250" i="8" a="1"/>
  <c r="I250" i="8" s="1"/>
  <c r="G250" i="8" a="1"/>
  <c r="G250" i="8" s="1"/>
  <c r="G151" i="2" s="1"/>
  <c r="F178" i="8"/>
  <c r="E142" i="2" s="1"/>
  <c r="G178" i="8"/>
  <c r="E143" i="2" s="1"/>
  <c r="G188" i="8"/>
  <c r="E147" i="2" s="1"/>
  <c r="F188" i="8"/>
  <c r="E146" i="2" s="1"/>
  <c r="F190" i="8"/>
  <c r="G146" i="2" s="1"/>
  <c r="G190" i="8"/>
  <c r="G147" i="2" s="1"/>
  <c r="F253" i="8"/>
  <c r="J150" i="2" s="1"/>
  <c r="I253" i="8" a="1"/>
  <c r="I253" i="8" s="1"/>
  <c r="G253" i="8" a="1"/>
  <c r="G253" i="8" s="1"/>
  <c r="J151" i="2" s="1"/>
  <c r="G180" i="8"/>
  <c r="G143" i="2" s="1"/>
  <c r="F180" i="8"/>
  <c r="G142" i="2" s="1"/>
  <c r="L124" i="8"/>
  <c r="L29" i="1"/>
  <c r="G191" i="8"/>
  <c r="H147" i="2" s="1"/>
  <c r="F191" i="8"/>
  <c r="H146" i="2" s="1"/>
  <c r="F252" i="8"/>
  <c r="I150" i="2" s="1"/>
  <c r="I252" i="8" a="1"/>
  <c r="I252" i="8" s="1"/>
  <c r="G252" i="8" a="1"/>
  <c r="G252" i="8" s="1"/>
  <c r="I151" i="2" s="1"/>
  <c r="G327" i="8" a="1"/>
  <c r="G327" i="8" s="1"/>
  <c r="G326" i="8"/>
  <c r="G322" i="8"/>
  <c r="G143" i="8" l="1"/>
  <c r="G257" i="8"/>
  <c r="F178" i="2" s="1"/>
  <c r="G142" i="8"/>
  <c r="L130" i="8"/>
  <c r="K131" i="8"/>
  <c r="G348" i="8"/>
  <c r="G162" i="2" s="1"/>
  <c r="G336" i="8"/>
  <c r="G335" i="8"/>
  <c r="G347" i="8"/>
  <c r="F162" i="2" s="1"/>
  <c r="G346" i="8"/>
  <c r="E162" i="2" s="1"/>
  <c r="F170" i="2"/>
  <c r="G28" i="1"/>
  <c r="F28" i="1"/>
  <c r="M124" i="8"/>
  <c r="M29" i="1"/>
  <c r="G196" i="8"/>
  <c r="G197" i="8" s="1"/>
  <c r="G198" i="8" s="1"/>
  <c r="H143" i="2"/>
  <c r="E255" i="8" a="1"/>
  <c r="E255" i="8" s="1"/>
  <c r="G255" i="8" s="1" a="1"/>
  <c r="G255" i="8" s="1"/>
  <c r="E150" i="2"/>
  <c r="E178" i="2" l="1"/>
  <c r="N124" i="8"/>
  <c r="N29" i="1"/>
  <c r="G338" i="8"/>
  <c r="E109" i="2" s="1"/>
  <c r="XFD109" i="2" s="1"/>
  <c r="G337" i="8"/>
  <c r="E108" i="2" s="1"/>
  <c r="XFD108" i="2" s="1"/>
  <c r="E107" i="2"/>
  <c r="XFD107" i="2" s="1"/>
  <c r="J340" i="8"/>
  <c r="I340" i="8"/>
  <c r="H340" i="8"/>
  <c r="L340" i="8"/>
  <c r="N340" i="8"/>
  <c r="O340" i="8"/>
  <c r="P340" i="8"/>
  <c r="Q340" i="8"/>
  <c r="R340" i="8"/>
  <c r="S340" i="8"/>
  <c r="T340" i="8"/>
  <c r="U340" i="8"/>
  <c r="M340" i="8"/>
  <c r="V340" i="8"/>
  <c r="W340" i="8"/>
  <c r="X340" i="8"/>
  <c r="Y340" i="8"/>
  <c r="Z340" i="8"/>
  <c r="AA340" i="8"/>
  <c r="AB340" i="8"/>
  <c r="AC340" i="8"/>
  <c r="AD340" i="8"/>
  <c r="AE340" i="8"/>
  <c r="AF340" i="8"/>
  <c r="AG340" i="8"/>
  <c r="AH340" i="8"/>
  <c r="AI340" i="8"/>
  <c r="AJ340" i="8"/>
  <c r="AK340" i="8"/>
  <c r="AL340" i="8"/>
  <c r="AM340" i="8"/>
  <c r="AN340" i="8"/>
  <c r="AO340" i="8"/>
  <c r="AP340" i="8"/>
  <c r="AQ340" i="8"/>
  <c r="K340" i="8"/>
  <c r="L131" i="8"/>
  <c r="M130" i="8"/>
  <c r="G342" i="8" l="1"/>
  <c r="G341" i="8"/>
  <c r="E111" i="2" s="1"/>
  <c r="XFD111" i="2" s="1"/>
  <c r="G344" i="8"/>
  <c r="E112" i="2" s="1"/>
  <c r="XFD112" i="2" s="1"/>
  <c r="G343" i="8"/>
  <c r="E113" i="2" s="1"/>
  <c r="XFD113" i="2" s="1"/>
  <c r="N130" i="8"/>
  <c r="M131" i="8"/>
  <c r="O124" i="8"/>
  <c r="O29" i="1"/>
  <c r="P124" i="8" l="1"/>
  <c r="P29" i="1"/>
  <c r="O130" i="8"/>
  <c r="N131" i="8"/>
  <c r="G351" i="8"/>
  <c r="G163" i="2" s="1"/>
  <c r="G350" i="8"/>
  <c r="F163" i="2" s="1"/>
  <c r="G349" i="8"/>
  <c r="E163" i="2" s="1"/>
  <c r="E110" i="2"/>
  <c r="XFD110" i="2" s="1"/>
  <c r="O131" i="8" l="1"/>
  <c r="P130" i="8"/>
  <c r="Q124" i="8"/>
  <c r="Q29" i="1"/>
  <c r="P131" i="8" l="1"/>
  <c r="Q130" i="8"/>
  <c r="R124" i="8"/>
  <c r="R29" i="1"/>
  <c r="S124" i="8" l="1"/>
  <c r="S29" i="1"/>
  <c r="Q131" i="8"/>
  <c r="R130" i="8"/>
  <c r="R131" i="8" l="1"/>
  <c r="S130" i="8"/>
  <c r="T124" i="8"/>
  <c r="T29" i="1"/>
  <c r="U124" i="8" l="1"/>
  <c r="U29" i="1"/>
  <c r="S131" i="8"/>
  <c r="T130" i="8"/>
  <c r="V124" i="8" l="1"/>
  <c r="V29" i="1"/>
  <c r="T131" i="8"/>
  <c r="U130" i="8"/>
  <c r="W124" i="8" l="1"/>
  <c r="W29" i="1"/>
  <c r="U131" i="8"/>
  <c r="V130" i="8"/>
  <c r="W130" i="8" l="1"/>
  <c r="V131" i="8"/>
  <c r="X124" i="8"/>
  <c r="X29" i="1"/>
  <c r="Y124" i="8" l="1"/>
  <c r="Y29" i="1"/>
  <c r="X130" i="8"/>
  <c r="W131" i="8"/>
  <c r="X131" i="8" l="1"/>
  <c r="Y130" i="8"/>
  <c r="Z124" i="8"/>
  <c r="Z29" i="1"/>
  <c r="AA124" i="8" l="1"/>
  <c r="AA29" i="1"/>
  <c r="Z130" i="8"/>
  <c r="Y131" i="8"/>
  <c r="AB124" i="8" l="1"/>
  <c r="AB29" i="1"/>
  <c r="Z131" i="8"/>
  <c r="AA130" i="8"/>
  <c r="AA131" i="8" l="1"/>
  <c r="AB130" i="8"/>
  <c r="AC124" i="8"/>
  <c r="AC29" i="1"/>
  <c r="AB131" i="8" l="1"/>
  <c r="AC130" i="8"/>
  <c r="AD124" i="8"/>
  <c r="AD29" i="1"/>
  <c r="AE124" i="8" l="1"/>
  <c r="AE29" i="1"/>
  <c r="AC131" i="8"/>
  <c r="AD130" i="8"/>
  <c r="AE130" i="8" l="1"/>
  <c r="AD131" i="8"/>
  <c r="AF124" i="8"/>
  <c r="AF29" i="1"/>
  <c r="AG124" i="8" l="1"/>
  <c r="AG29" i="1"/>
  <c r="AE131" i="8"/>
  <c r="AF130" i="8"/>
  <c r="AH124" i="8" l="1"/>
  <c r="AH29" i="1"/>
  <c r="AG130" i="8"/>
  <c r="AF131" i="8"/>
  <c r="AH130" i="8" l="1"/>
  <c r="AG131" i="8"/>
  <c r="AI124" i="8"/>
  <c r="AI29" i="1"/>
  <c r="AJ124" i="8" l="1"/>
  <c r="AJ29" i="1"/>
  <c r="AI130" i="8"/>
  <c r="AH131" i="8"/>
  <c r="AJ130" i="8" l="1"/>
  <c r="AI131" i="8"/>
  <c r="AK124" i="8"/>
  <c r="AK29" i="1"/>
  <c r="AL124" i="8" l="1"/>
  <c r="AL29" i="1"/>
  <c r="AJ131" i="8"/>
  <c r="AK130" i="8"/>
  <c r="AM124" i="8" l="1"/>
  <c r="AM29" i="1"/>
  <c r="AL130" i="8"/>
  <c r="AK131" i="8"/>
  <c r="AL131" i="8" l="1"/>
  <c r="AM130" i="8"/>
  <c r="AN124" i="8"/>
  <c r="AN29" i="1"/>
  <c r="AO124" i="8" l="1"/>
  <c r="AO29" i="1"/>
  <c r="AN130" i="8"/>
  <c r="AM131" i="8"/>
  <c r="AN131" i="8" l="1"/>
  <c r="AO130" i="8"/>
  <c r="AP124" i="8"/>
  <c r="AP29" i="1"/>
  <c r="AQ124" i="8" l="1"/>
  <c r="AQ29" i="1"/>
  <c r="AO131" i="8"/>
  <c r="AP130" i="8"/>
  <c r="AR29" i="1" l="1"/>
  <c r="G148" i="8" a="1"/>
  <c r="G148" i="8" s="1"/>
  <c r="E105" i="2" s="1"/>
  <c r="XFD105" i="2" s="1"/>
  <c r="AP131" i="8"/>
  <c r="AQ130" i="8"/>
  <c r="AQ131" i="8" l="1"/>
  <c r="G146" i="8"/>
  <c r="E96" i="2" s="1"/>
  <c r="XFD96" i="2" s="1"/>
  <c r="E173" i="2" s="1"/>
  <c r="F173" i="2" l="1"/>
  <c r="E181" i="2"/>
  <c r="F181" i="2" l="1"/>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9" authorId="0" shapeId="0" xr:uid="{00000000-0006-0000-0100-000001000000}">
      <text>
        <r>
          <rPr>
            <sz val="10"/>
            <rFont val="Arial"/>
            <family val="2"/>
          </rPr>
          <t>Zádeczki Zalán:
GoO and balancing cost reduction included in price</t>
        </r>
      </text>
    </comment>
    <comment ref="E46" authorId="0" shapeId="0" xr:uid="{00000000-0006-0000-0100-000002000000}">
      <text>
        <r>
          <rPr>
            <sz val="10"/>
            <rFont val="Arial"/>
            <family val="2"/>
          </rPr>
          <t xml:space="preserve">Zádeczki Zalán:
This is calculated with taking the BESS into account (conservatively)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11" authorId="0" shapeId="0" xr:uid="{00000000-0006-0000-0300-000002000000}">
      <text>
        <r>
          <rPr>
            <sz val="10"/>
            <rFont val="Arial"/>
            <family val="2"/>
          </rPr>
          <t>Zádeczki Zalán:
Source: BORA_Devex_20260921_FEP.xlsx, assumption U6 'FY rate (HUF/EUR)' = 370.</t>
        </r>
      </text>
    </comment>
    <comment ref="G21" authorId="0" shapeId="0" xr:uid="{00000000-0006-0000-0300-000003000000}">
      <text>
        <r>
          <rPr>
            <sz val="10"/>
            <rFont val="Arial"/>
            <family val="2"/>
          </rPr>
          <t>User instruction 22-Sep-2026: BESS 100 MW / 200 MWh (2h). The FEP file assumes 4h / 400 MWh at U8/U10; the security base here is therefore 121,200 mHUF, not 161,200.</t>
        </r>
      </text>
    </comment>
    <comment ref="G31" authorId="0" shapeId="0" xr:uid="{00000000-0006-0000-0300-000004000000}">
      <text>
        <r>
          <rPr>
            <sz val="10"/>
            <rFont val="Arial"/>
            <family val="2"/>
          </rPr>
          <t>Zádeczki Zalán:
User instruction 22-Sep-2026: replicate the BORA_Devex_20260921_FEP.xlsx exit waterfall – DSA off the total proceeds first, then distributable split 70% FEP / 30% A.RES.</t>
        </r>
      </text>
    </comment>
    <comment ref="G82" authorId="0" shapeId="0" xr:uid="{00000000-0006-0000-0300-000005000000}">
      <text>
        <r>
          <rPr>
            <sz val="10"/>
            <rFont val="Arial"/>
            <family val="2"/>
          </rPr>
          <t>Zádeczki Zalán:
Source: BORA_Devex_20260921_FEP.xlsx, U13 'Tender applications (no.)' = 2.</t>
        </r>
      </text>
    </comment>
    <comment ref="G83" authorId="0" shapeId="0" xr:uid="{00000000-0006-0000-0300-000006000000}">
      <text>
        <r>
          <rPr>
            <sz val="10"/>
            <rFont val="Arial"/>
            <family val="2"/>
          </rPr>
          <t>Zádeczki Zalán:
Source: BORA_Devex_20260921_FEP.xlsx, row 8 'Application bond (TSO)' = 4,500,000 HUF/MW x 200 MW = 900 mHUF. Cash only - cannot be provided as a bank guarantee (disclaimer 8).</t>
        </r>
      </text>
    </comment>
    <comment ref="G84" authorId="0" shapeId="0" xr:uid="{00000000-0006-0000-0300-000007000000}">
      <text>
        <r>
          <rPr>
            <sz val="10"/>
            <rFont val="Arial"/>
            <family val="2"/>
          </rPr>
          <t>Zádeczki Zalán:
Source: BORA_Devex_20260921_FEP.xlsx, row 19 'Connection fee - Direct' = 508,345,804 HUF lump sum, expressed per MW at 200 MW. Line repurposed from the former 'kapacitaslekotesi biztositek', which has no counterpart in the FEP file.</t>
        </r>
      </text>
    </comment>
    <comment ref="G85" authorId="0" shapeId="0" xr:uid="{00000000-0006-0000-0300-000008000000}">
      <text>
        <r>
          <rPr>
            <sz val="10"/>
            <rFont val="Arial"/>
            <family val="2"/>
          </rPr>
          <t>Zádeczki Zalán:
Source: BORA_Devex_20260921_FEP.xlsx, row 18 'Connection fee - Indirect' = 73,071,306 HUF/MW (gross 14,614.26 mHUF at 200 MW, booked net of the 900 mHUF TSO application bond).</t>
        </r>
      </text>
    </comment>
    <comment ref="G86" authorId="0" shapeId="0" xr:uid="{00000000-0006-0000-0300-000009000000}">
      <text>
        <r>
          <rPr>
            <sz val="10"/>
            <rFont val="Arial"/>
            <family val="2"/>
          </rPr>
          <t>Zádeczki Zalán:
Reference capacity re-based from the July-2026 draft (280 MW) to the FEP file basis (200 MW).</t>
        </r>
      </text>
    </comment>
    <comment ref="G87" authorId="0" shapeId="0" xr:uid="{00000000-0006-0000-0300-00000A000000}">
      <text>
        <r>
          <rPr>
            <sz val="10"/>
            <rFont val="Arial"/>
            <family val="2"/>
          </rPr>
          <t>BORA_Devex_20260921_FEP.xlsx totals restated for a 100 MW / 200 MWh BESS: wind legs unchanged, BESS leg of the application and performance bonds halved. FEP basis at 400 MWh was 24,497.61.</t>
        </r>
      </text>
    </comment>
    <comment ref="G88" authorId="0" shapeId="0" xr:uid="{00000000-0006-0000-0300-00000B000000}">
      <text>
        <r>
          <rPr>
            <sz val="10"/>
            <rFont val="Arial"/>
            <family val="2"/>
          </rPr>
          <t>BORA_Devex_20260921_FEP.xlsx cell I54 (22,791.61) restated for a 100 MW / 200 MWh BESS.</t>
        </r>
      </text>
    </comment>
    <comment ref="F89" authorId="0" shapeId="0" xr:uid="{00000000-0006-0000-0300-000001000000}">
      <text>
        <r>
          <rPr>
            <sz val="10"/>
            <rFont val="Arial"/>
            <family val="2"/>
          </rPr>
          <t>Zádeczki Zalán:
Source: BORA_Devex_20260921_FEP.xlsx, assumption U12 'Benchmark CAPEX - BESS (HUF/MWh)' = 200,000,000.</t>
        </r>
      </text>
    </comment>
    <comment ref="G90" authorId="0" shapeId="0" xr:uid="{00000000-0006-0000-0300-00000C000000}">
      <text>
        <r>
          <rPr>
            <sz val="10"/>
            <rFont val="Arial"/>
            <family val="2"/>
          </rPr>
          <t>Zádeczki Zalán:
Source: BORA_Devex_20260921_FEP.xlsx, row 7 Performance bond formula ((base x 2.5%) x 1.5) less the application bond; comment 'w/ 50% extra'.</t>
        </r>
      </text>
    </comment>
    <comment ref="G95" authorId="0" shapeId="0" xr:uid="{00000000-0006-0000-0300-00000D000000}">
      <text>
        <r>
          <rPr>
            <sz val="10"/>
            <rFont val="Arial"/>
            <family val="2"/>
          </rPr>
          <t>Zádeczki Zalán:
Source: BORA_Devex_20260921_FEP.xlsx, rows 5-6 payment date 2026-10-31.</t>
        </r>
      </text>
    </comment>
    <comment ref="G97" authorId="0" shapeId="0" xr:uid="{00000000-0006-0000-0300-00000E000000}">
      <text>
        <r>
          <rPr>
            <sz val="10"/>
            <rFont val="Arial"/>
            <family val="2"/>
          </rPr>
          <t>Zádeczki Zalán:
Source: BORA_Devex_20260921_FEP.xlsx, row 8 'Application bond (TSO)' payment date 2026-12-31.</t>
        </r>
      </text>
    </comment>
    <comment ref="G99" authorId="0" shapeId="0" xr:uid="{00000000-0006-0000-0300-00000F000000}">
      <text>
        <r>
          <rPr>
            <sz val="10"/>
            <rFont val="Arial"/>
            <family val="2"/>
          </rPr>
          <t>Zádeczki Zalán:
Source: BORA_Devex_20260921_FEP.xlsx, rows 18-19 connection fee payment date 2029-01-28.</t>
        </r>
      </text>
    </comment>
    <comment ref="G102" authorId="0" shapeId="0" xr:uid="{00000000-0006-0000-0300-000010000000}">
      <text>
        <r>
          <rPr>
            <sz val="10"/>
            <rFont val="Arial"/>
            <family val="2"/>
          </rPr>
          <t>Zádeczki Zalán:
Set so the performance bond falls on 2026-12-31, per BORA_Devex_20260921_FEP.xlsx row 7.</t>
        </r>
      </text>
    </comment>
    <comment ref="G103" authorId="0" shapeId="0" xr:uid="{00000000-0006-0000-0300-000011000000}">
      <text>
        <r>
          <rPr>
            <sz val="10"/>
            <rFont val="Arial"/>
            <family val="2"/>
          </rPr>
          <t>Zádeczki Zalán:
Source: BORA_Devex_20260921_FEP.xlsx, rows 9-13: supplementary grid bonds paid 30 April each year.</t>
        </r>
      </text>
    </comment>
    <comment ref="G118" authorId="0" shapeId="0" xr:uid="{00000000-0006-0000-0300-000012000000}">
      <text>
        <r>
          <rPr>
            <sz val="10"/>
            <rFont val="Arial"/>
            <family val="2"/>
          </rPr>
          <t>Zádeczki Zalán:
Bank guarantee per BORA_Devex_20260921_FEP.xlsx (Application bond, 6% fee).</t>
        </r>
      </text>
    </comment>
    <comment ref="G120" authorId="0" shapeId="0" xr:uid="{00000000-0006-0000-0300-000013000000}">
      <text>
        <r>
          <rPr>
            <sz val="10"/>
            <rFont val="Arial"/>
            <family val="2"/>
          </rPr>
          <t>Zádeczki Zalán:
Cash per BORA_Devex_20260921_FEP.xlsx: Application bond (TSO) flagged 'NOT bank guarantee', 12%.</t>
        </r>
      </text>
    </comment>
    <comment ref="G168" authorId="0" shapeId="0" xr:uid="{00000000-0006-0000-0300-000014000000}">
      <text>
        <r>
          <rPr>
            <sz val="10"/>
            <rFont val="Arial"/>
            <family val="2"/>
          </rPr>
          <t>Zádeczki Zalán:
User instruction 22-Sep-2026: BESS capex ~200 k€/MW on a power basis, i.e. 20,000 k€ for 100 MW. Capex only.</t>
        </r>
      </text>
    </comment>
    <comment ref="G229" authorId="0" shapeId="0" xr:uid="{00000000-0006-0000-0300-000015000000}">
      <text>
        <r>
          <rPr>
            <sz val="10"/>
            <rFont val="Arial"/>
            <family val="2"/>
          </rPr>
          <t>Zádeczki Zalán:
Set to 0 on 22-Sep-2026: in the hold-to-COD case A.RES is bought out in full at the deemed exit (HTM rows 21-22), so the DSA is settled there, not again at COD.</t>
        </r>
      </text>
    </comment>
    <comment ref="G231" authorId="0" shapeId="0" xr:uid="{00000000-0006-0000-0300-000016000000}">
      <text>
        <r>
          <rPr>
            <sz val="10"/>
            <rFont val="Arial"/>
            <family val="2"/>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shapeId="0" xr:uid="{00000000-0006-0000-0300-000017000000}">
      <text>
        <r>
          <rPr>
            <sz val="10"/>
            <rFont val="Arial"/>
            <family val="2"/>
          </rPr>
          <t>Zádeczki Zalán:
User instruction 24-Sep-2026: FEP's intended bid offering is 20 k€/MW as the one-off local benefit (was 25, the mid-band estimate). Tender scoring gives points above 10 k€/MW, maximum at 50 k€/MW.</t>
        </r>
      </text>
    </comment>
    <comment ref="G236" authorId="0" shapeId="0" xr:uid="{00000000-0006-0000-0300-000018000000}">
      <text>
        <r>
          <rPr>
            <sz val="10"/>
            <rFont val="Arial"/>
            <family val="2"/>
          </rPr>
          <t>Zádeczki Zalán:
User instruction 24-Sep-2026: FEP's intended bid offering is 2 €/MWh of the operating asset's income (was 2.5, the mid-band estimate). Tender scoring gives points above 2 €/MWh, maximum at 3 €/MWh.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0" authorId="0" shapeId="0" xr:uid="{00000000-0006-0000-04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18" authorId="0" shapeId="0" xr:uid="{00000000-0006-0000-0500-000001000000}">
      <text>
        <r>
          <rPr>
            <sz val="10"/>
            <rFont val="Arial"/>
            <family val="2"/>
          </rPr>
          <t>Zádeczki Zalán:
FEP rule: the indirect connection fee is booked net of the TSO application bond only (900 mHUF). Source: BORA_Devex_20260921_FEP.xlsx row 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41" authorId="0" shapeId="0" xr:uid="{00000000-0006-0000-0800-000001000000}">
      <text>
        <r>
          <rPr>
            <sz val="10"/>
            <rFont val="Arial"/>
            <family val="2"/>
          </rPr>
          <t>Source: BORA_Devex_20260921_FEP.xlsx Sheet1 rows 8, 18, 19 and disclaimers 1 and 8, confirmed by the file owner 21-Sep-2026. Shared file bora_deposits_securities.csv.</t>
        </r>
      </text>
    </comment>
    <comment ref="E42" authorId="0" shapeId="0" xr:uid="{00000000-0006-0000-0800-000002000000}">
      <text>
        <r>
          <rPr>
            <sz val="10"/>
            <rFont val="Arial"/>
            <family val="2"/>
          </rPr>
          <t>Source: BORA_Devex_20260921_FEP.xlsx, shared file bora_devex_line_items.csv, 34 lines flagged 'cash / equity devex (20%)'; the undated 'Continuous' lines confirmed by the file owner 21-Sep-2026.</t>
        </r>
      </text>
    </comment>
    <comment ref="E43" authorId="0" shapeId="0" xr:uid="{00000000-0006-0000-0800-000003000000}">
      <text>
        <r>
          <rPr>
            <sz val="10"/>
            <rFont val="Arial"/>
            <family val="2"/>
          </rPr>
          <t>Source: BORA_Devex_20260921_FEP.xlsx Sheet1, FEP proposal column Q and the 'FEP proposal Exit: 2029.06.30' proceeds block; confirmed by the file owner 21-Sep-2026.</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4" authorId="0" shapeId="0" xr:uid="{00000000-0006-0000-0A00-000001000000}">
      <text>
        <r>
          <rPr>
            <sz val="10"/>
            <rFont val="Arial"/>
            <family val="2"/>
          </rPr>
          <t>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<sst xmlns="http://schemas.openxmlformats.org/spreadsheetml/2006/main" count="4657" uniqueCount="2541">
  <si>
    <t>€ m</t>
  </si>
  <si>
    <t>k€/MW built</t>
  </si>
  <si>
    <t>k€/MVA</t>
  </si>
  <si>
    <t>All-in cost to COD</t>
  </si>
  <si>
    <t>Revenue, first full year</t>
  </si>
  <si>
    <t>Year</t>
  </si>
  <si>
    <t>year</t>
  </si>
  <si>
    <t>x</t>
  </si>
  <si>
    <t>Per MW built (k€/MW)</t>
  </si>
  <si>
    <t>Sum</t>
  </si>
  <si>
    <t>Total spending (development, build, financing)</t>
  </si>
  <si>
    <t>k€/MW</t>
  </si>
  <si>
    <t>Revenue</t>
  </si>
  <si>
    <t>EBITDA</t>
  </si>
  <si>
    <t>Equity cash flow</t>
  </si>
  <si>
    <t>Equity cash flow statement (EUR k)</t>
  </si>
  <si>
    <t>Total € m</t>
  </si>
  <si>
    <t>Development phase (devex, fees, securities net, A.RES buy-out)</t>
  </si>
  <si>
    <t>EUR k</t>
  </si>
  <si>
    <t>Build cost to COD (capex, connection, municipal, debt fees; IDC is debt-funded)</t>
  </si>
  <si>
    <t>Operating costs</t>
  </si>
  <si>
    <t>Tax depreciation (memo)</t>
  </si>
  <si>
    <t>EBIT (memo)</t>
  </si>
  <si>
    <t>Tax (levered)</t>
  </si>
  <si>
    <t>Debt drawdown</t>
  </si>
  <si>
    <t>Debt service (incl. cash sweep and DSRA)</t>
  </si>
  <si>
    <t>Decommissioning and terminal value</t>
  </si>
  <si>
    <t>Cumulative equity cash flow</t>
  </si>
  <si>
    <t>Check: rows above do not add up to the equity cash flow</t>
  </si>
  <si>
    <t>#</t>
  </si>
  <si>
    <t>***END***</t>
  </si>
  <si>
    <t>Master check</t>
  </si>
  <si>
    <t>0. Key inputs by scenario</t>
  </si>
  <si>
    <t>Scenario (Base, Low, High)</t>
  </si>
  <si>
    <t>Base</t>
  </si>
  <si>
    <t>Low</t>
  </si>
  <si>
    <t>High</t>
  </si>
  <si>
    <t>Live</t>
  </si>
  <si>
    <t>Turbine supply, EU</t>
  </si>
  <si>
    <t>PPA price, first operating year</t>
  </si>
  <si>
    <t>€/MWh</t>
  </si>
  <si>
    <t>Net P50 hours</t>
  </si>
  <si>
    <t>h/yr</t>
  </si>
  <si>
    <t>O&amp;M full-service contract</t>
  </si>
  <si>
    <t>k€/MW/yr</t>
  </si>
  <si>
    <t>RtB premium</t>
  </si>
  <si>
    <t>Construction capex excl. turbine (BoP, owner's costs, land)</t>
  </si>
  <si>
    <t>Low / High = Base ± this</t>
  </si>
  <si>
    <t>All-in cost to COD per MW built</t>
  </si>
  <si>
    <t>All-in cost to COD per MVA</t>
  </si>
  <si>
    <t>Equity IRR (FEP, 100 %)</t>
  </si>
  <si>
    <t>%</t>
  </si>
  <si>
    <t>1. Bid strategy and tender points (levers)</t>
  </si>
  <si>
    <t>Offer</t>
  </si>
  <si>
    <t>Points</t>
  </si>
  <si>
    <t>Connection capacity (100 MVA per bid)</t>
  </si>
  <si>
    <t>MVA</t>
  </si>
  <si>
    <t>Number of bids</t>
  </si>
  <si>
    <t>Overbuild (ÖSZ-3)</t>
  </si>
  <si>
    <t>% of MVA</t>
  </si>
  <si>
    <t>BESS power (ÖSZ-4; points on the ratio scored, Inputs block U)</t>
  </si>
  <si>
    <t>ÖSZ-4 basis (0 = MVA, 1 = installed wind)</t>
  </si>
  <si>
    <t>flag</t>
  </si>
  <si>
    <t>BESS duration</t>
  </si>
  <si>
    <t>h</t>
  </si>
  <si>
    <t>BESS capex</t>
  </si>
  <si>
    <t>k€/MWh</t>
  </si>
  <si>
    <t>Performance security multiple (ÖSZ-6)</t>
  </si>
  <si>
    <t>Municipal one-off (ÖSZ-1, basis MVA; the law leaves the MW basis open)</t>
  </si>
  <si>
    <t>Community contribution (ÖSZ-2)</t>
  </si>
  <si>
    <t>Partial award accepted (ÖSZ-5)</t>
  </si>
  <si>
    <t>Brownfield site (ÖSZ-7)</t>
  </si>
  <si>
    <t>Shared connection (ÖSZ-8)</t>
  </si>
  <si>
    <t>EU turbines, at least 80 % (ÖSZ-9)</t>
  </si>
  <si>
    <t>EU transformers, at least 80 % (ÖSZ-9)</t>
  </si>
  <si>
    <t>Wind built below the bid (no sanction up to 10 %)</t>
  </si>
  <si>
    <t>Turbine route (case)</t>
  </si>
  <si>
    <t>case</t>
  </si>
  <si>
    <t>CN turbine</t>
  </si>
  <si>
    <t>Total points</t>
  </si>
  <si>
    <t>points</t>
  </si>
  <si>
    <t>Total points if ÖSZ-4 is scored on installed wind (GYIK Q20)</t>
  </si>
  <si>
    <t>2. Capacity and basis</t>
  </si>
  <si>
    <t>Wind committed (bid)</t>
  </si>
  <si>
    <t>MW</t>
  </si>
  <si>
    <t>Wind built (bid less 10 %, no sanction)</t>
  </si>
  <si>
    <t>BESS power</t>
  </si>
  <si>
    <t>BESS energy</t>
  </si>
  <si>
    <t>MWh</t>
  </si>
  <si>
    <t>Wind built above connection capacity</t>
  </si>
  <si>
    <t>Clipped share of gross energy (OVIT curve)</t>
  </si>
  <si>
    <t>k€/MW = per built wind MW; k€/MVA = per connection MVA</t>
  </si>
  <si>
    <t>3. Build cost to COD</t>
  </si>
  <si>
    <t>Turbines</t>
  </si>
  <si>
    <t>Installation</t>
  </si>
  <si>
    <t>Foundations</t>
  </si>
  <si>
    <t>Balance of plant, civil</t>
  </si>
  <si>
    <t>Balance of plant, electrical</t>
  </si>
  <si>
    <t>Substation and 132 kV bay</t>
  </si>
  <si>
    <t>Owner's costs</t>
  </si>
  <si>
    <t>Land and easements</t>
  </si>
  <si>
    <t>Contingency</t>
  </si>
  <si>
    <t>BESS (at cost; no BESS revenue or opex modelled)</t>
  </si>
  <si>
    <t>Connection fee, indirect (net of TSO security)</t>
  </si>
  <si>
    <t>Connection fee, direct</t>
  </si>
  <si>
    <t>Municipal one-off</t>
  </si>
  <si>
    <t>Interest during construction</t>
  </si>
  <si>
    <t>Debt fees (upfront, commitment)</t>
  </si>
  <si>
    <t xml:space="preserve">Yield on cost </t>
  </si>
  <si>
    <t>Yield on cost after capital</t>
  </si>
  <si>
    <t>4. Generation and operations</t>
  </si>
  <si>
    <t>Value</t>
  </si>
  <si>
    <t>per MW built</t>
  </si>
  <si>
    <t>per MVA</t>
  </si>
  <si>
    <t>First full operating year</t>
  </si>
  <si>
    <t>Net generation, first full year</t>
  </si>
  <si>
    <t>GWh</t>
  </si>
  <si>
    <t>Equivalent full-load hours, first full year</t>
  </si>
  <si>
    <t>Net capacity factor, first full year</t>
  </si>
  <si>
    <t>Energy clipped, first full year</t>
  </si>
  <si>
    <t>Achieved price, first full year</t>
  </si>
  <si>
    <t>EBITDA, first full year</t>
  </si>
  <si>
    <t>EBITDA margin, first full year</t>
  </si>
  <si>
    <t>Operating costs, first full year</t>
  </si>
  <si>
    <t>Operating costs per MW built and per MVA, first full year</t>
  </si>
  <si>
    <t>k€</t>
  </si>
  <si>
    <t>EBITDA, lifetime</t>
  </si>
  <si>
    <t>Lifetime net generation</t>
  </si>
  <si>
    <t>LCOE</t>
  </si>
  <si>
    <t>5. Returns by case</t>
  </si>
  <si>
    <t>Stored − live</t>
  </si>
  <si>
    <t>Tender points</t>
  </si>
  <si>
    <t>Build and operate</t>
  </si>
  <si>
    <t>Project IRR, unlevered pre-tax</t>
  </si>
  <si>
    <t>Project IRR, unlevered post-tax</t>
  </si>
  <si>
    <t>Project NPV, unlevered post-tax at 8 %</t>
  </si>
  <si>
    <t>Equity IRR, levered post-tax (FEP, 100 %)</t>
  </si>
  <si>
    <t>FEP NPV at 8 %</t>
  </si>
  <si>
    <t>FEP peak exposure</t>
  </si>
  <si>
    <t>Minimum DSCR, whole life</t>
  </si>
  <si>
    <t>Maximum gearing at the lender minimum DSCR</t>
  </si>
  <si>
    <t>≥ top step</t>
  </si>
  <si>
    <t>Gearing (debt ÷ capex)</t>
  </si>
  <si>
    <t>Debt at COD (incl. capitalised IDC)</t>
  </si>
  <si>
    <t>Refinanced at COD + 1 (1 = yes)</t>
  </si>
  <si>
    <t>Debt after refinancing</t>
  </si>
  <si>
    <t>Gearing after refinancing</t>
  </si>
  <si>
    <t>Minimum DSCR after refinancing</t>
  </si>
  <si>
    <t>n/a</t>
  </si>
  <si>
    <t>Payback year (FEP equity)</t>
  </si>
  <si>
    <t>Sale at COD to a buyer at 8 % (31-Dec of the COD year)</t>
  </si>
  <si>
    <t>COD sale price</t>
  </si>
  <si>
    <t>COD sale price per MW built</t>
  </si>
  <si>
    <t>COD sale price per MVA</t>
  </si>
  <si>
    <t>FEP profit</t>
  </si>
  <si>
    <t>FEP IRR</t>
  </si>
  <si>
    <t>FEP MOIC</t>
  </si>
  <si>
    <t>Sale at RtB – the buyer (builds and operates with this turbine)</t>
  </si>
  <si>
    <t>Buyer IRR at the RtB premium, unlevered post-tax</t>
  </si>
  <si>
    <t>RtB premium at which the buyer earns 8 %</t>
  </si>
  <si>
    <t>5b. Sale at RtB – FEP side (independent of the turbine)</t>
  </si>
  <si>
    <t>150k premium</t>
  </si>
  <si>
    <t>RtB premium (the buyer also reimburses securities, fees and land at cost)</t>
  </si>
  <si>
    <t>FEP profit post-tax</t>
  </si>
  <si>
    <t>FEP IRR post-tax</t>
  </si>
  <si>
    <t>A.RES profit post-tax</t>
  </si>
  <si>
    <t>A.RES buy-out paid in the build case at the RtB date</t>
  </si>
  <si>
    <t>6. Securities and fees (Deposits)</t>
  </si>
  <si>
    <t>Participation fee</t>
  </si>
  <si>
    <t>mHUF</t>
  </si>
  <si>
    <t>Bid security</t>
  </si>
  <si>
    <t>Performance security (gross; bid security credited)</t>
  </si>
  <si>
    <t>TSO connection-request security</t>
  </si>
  <si>
    <t>Connection fee, indirect (before TSO credit)</t>
  </si>
  <si>
    <t>Total gross</t>
  </si>
  <si>
    <t>Total payable after netting</t>
  </si>
  <si>
    <t>Of which cash, in FEP cash flows</t>
  </si>
  <si>
    <t>Of which bank guarantee, in FEP cash flows</t>
  </si>
  <si>
    <t>7. Sensitivities, live case (step values are inputs; the engine recalculates each step)</t>
  </si>
  <si>
    <t>Achieved price, % of base</t>
  </si>
  <si>
    <t>Project IRR, pre-tax (engine block)</t>
  </si>
  <si>
    <t>Project NPV, pre-tax at 8 % (engine block)</t>
  </si>
  <si>
    <t>Capex, % of base</t>
  </si>
  <si>
    <t>Gearing (debt on capex)</t>
  </si>
  <si>
    <t>FEP equity IRR</t>
  </si>
  <si>
    <t>FEP NPV ÷ equity at 8 %</t>
  </si>
  <si>
    <t>Minimum DSCR</t>
  </si>
  <si>
    <t>DSCR vs lender minimum</t>
  </si>
  <si>
    <t>Buyer IRR, unlevered post-tax</t>
  </si>
  <si>
    <t>Buyer discount rate (unlevered)</t>
  </si>
  <si>
    <t>FEP profit on the COD sale</t>
  </si>
  <si>
    <t>RtB premium at which the buyer earns this rate</t>
  </si>
  <si>
    <t>8. Checks</t>
  </si>
  <si>
    <t>Fails</t>
  </si>
  <si>
    <t>Status</t>
  </si>
  <si>
    <t>Sale-at-RtB engine checks</t>
  </si>
  <si>
    <t>Build-and-operate engine checks</t>
  </si>
  <si>
    <t>Deposits schedule internal check</t>
  </si>
  <si>
    <t>Capex breakdown = engine capex + IDC + fees</t>
  </si>
  <si>
    <t>Stored results = live case (numbers only)</t>
  </si>
  <si>
    <t>ÖSZ-1 offer within the offerable range</t>
  </si>
  <si>
    <t>ÖSZ-2 offer within the offerable range</t>
  </si>
  <si>
    <t>ÖSZ-4 BESS ratio at least the minimum</t>
  </si>
  <si>
    <t>Cash_Flow foots to the equity cash flow</t>
  </si>
  <si>
    <t>Gearing grid ties to the live case at the live gearing</t>
  </si>
  <si>
    <t>Bid_Points total for BORA 1 = Dashboard total points</t>
  </si>
  <si>
    <t>Capacity: BESS MW ≤ wind MW, duration ≥ minimum</t>
  </si>
  <si>
    <t>Master check (number of failing rows)</t>
  </si>
  <si>
    <t>9. Key assumptions, live case</t>
  </si>
  <si>
    <t>PPA escalation</t>
  </si>
  <si>
    <t>PPA tenor</t>
  </si>
  <si>
    <t>years</t>
  </si>
  <si>
    <t>Debt interest rate</t>
  </si>
  <si>
    <t>Debt tenor (annuity from the first full year)</t>
  </si>
  <si>
    <t>Lender minimum DSCR (gearing test)</t>
  </si>
  <si>
    <t>Discount rate (NPV)</t>
  </si>
  <si>
    <t>Tax depreciation period</t>
  </si>
  <si>
    <t>FX</t>
  </si>
  <si>
    <t>HUF/EUR</t>
  </si>
  <si>
    <t>RtB date</t>
  </si>
  <si>
    <t>date</t>
  </si>
  <si>
    <t>Sale date (RtB route)</t>
  </si>
  <si>
    <t>COD</t>
  </si>
  <si>
    <t>Operating life</t>
  </si>
  <si>
    <t>A.RES bought out at RtB in the build case (1 = yes)</t>
  </si>
  <si>
    <t>Curtailment</t>
  </si>
  <si>
    <t>Degradation per year</t>
  </si>
  <si>
    <t>Refinancing year (case 3)</t>
  </si>
  <si>
    <t>Refinancing: new loan rate</t>
  </si>
  <si>
    <t>Refinancing: new loan tenor</t>
  </si>
  <si>
    <t>Refinancing: gearing added to the base gearing</t>
  </si>
  <si>
    <t>Overbuild per OVIT optimal-overbuild memo (23-Oct-2026), capped at the maximum-points band</t>
  </si>
  <si>
    <t>Clipping per OVIT memo Table 7 (36 % P50 park); conservative at 2,500 h</t>
  </si>
  <si>
    <t>Wind built = bid − 10 %: tolerance per GYIK Q28/30/76, not in the Kiírás itself</t>
  </si>
  <si>
    <t>Annuity</t>
  </si>
  <si>
    <t>Million</t>
  </si>
  <si>
    <t>Days in a year</t>
  </si>
  <si>
    <t>Months in a quarter</t>
  </si>
  <si>
    <t>days</t>
  </si>
  <si>
    <t>months</t>
  </si>
  <si>
    <t>Unit conversion</t>
  </si>
  <si>
    <t>Guarantee-fee day count</t>
  </si>
  <si>
    <t>Calendar</t>
  </si>
  <si>
    <t>The bid: commitments and points</t>
  </si>
  <si>
    <t>BORA 1</t>
  </si>
  <si>
    <t>BORA 2</t>
  </si>
  <si>
    <t>Net connection capacity</t>
  </si>
  <si>
    <t>BESS power, share of MVA (ÖSZ-4)</t>
  </si>
  <si>
    <t>Municipal one-off (ÖSZ-1)</t>
  </si>
  <si>
    <t>EUR k/MW</t>
  </si>
  <si>
    <t>EUR/MWh</t>
  </si>
  <si>
    <t>EU turbines ≥ 80 % (ÖSZ-9)</t>
  </si>
  <si>
    <t>EU transformers ≥ 80 % (ÖSZ-9)</t>
  </si>
  <si>
    <t>Wind committed</t>
  </si>
  <si>
    <t>Points – municipal one-off</t>
  </si>
  <si>
    <t>Points – community contribution</t>
  </si>
  <si>
    <t>Points – overbuild</t>
  </si>
  <si>
    <t>Points – BESS</t>
  </si>
  <si>
    <t>Points – partial award</t>
  </si>
  <si>
    <t>Points – performance security</t>
  </si>
  <si>
    <t>Points – brownfield</t>
  </si>
  <si>
    <t>Points – shared connection</t>
  </si>
  <si>
    <t>Points – EU turbines</t>
  </si>
  <si>
    <t>Points – EU transformers</t>
  </si>
  <si>
    <t>Points total, live case</t>
  </si>
  <si>
    <t>Key dates</t>
  </si>
  <si>
    <t>Date</t>
  </si>
  <si>
    <t>Signing fee and DD paid</t>
  </si>
  <si>
    <t>Bid submission: fee paid, bid security posted</t>
  </si>
  <si>
    <t>Performance security posted (bid security released)</t>
  </si>
  <si>
    <t>TSO security paid</t>
  </si>
  <si>
    <t>Devex contingency paid</t>
  </si>
  <si>
    <t>Connection agreement (HCSSZ): fees paid</t>
  </si>
  <si>
    <t>Notice to proceed</t>
  </si>
  <si>
    <t>Performance security released</t>
  </si>
  <si>
    <t>model has no PB release date; Kiírás XII.13, estimate</t>
  </si>
  <si>
    <t>Rates and fees</t>
  </si>
  <si>
    <t>FX rate</t>
  </si>
  <si>
    <t>Security base: benchmark investment, wind</t>
  </si>
  <si>
    <t>HUF/MW</t>
  </si>
  <si>
    <t>Security base: benchmark investment, BESS</t>
  </si>
  <si>
    <t>HUF/MWh</t>
  </si>
  <si>
    <t>Participation fee per bid</t>
  </si>
  <si>
    <t>HUF</t>
  </si>
  <si>
    <t>Bid security, share of base</t>
  </si>
  <si>
    <t>Performance security, minimum share of base</t>
  </si>
  <si>
    <t>TSO security</t>
  </si>
  <si>
    <t>HUF/MVA</t>
  </si>
  <si>
    <t>Indirect connection fee (közvetett)</t>
  </si>
  <si>
    <t>Direct connection fee per bid (model: per MVA of the shared point)</t>
  </si>
  <si>
    <t>Bank guarantee fee</t>
  </si>
  <si>
    <t>Signing fee and DD</t>
  </si>
  <si>
    <t>Devex incl. contingency</t>
  </si>
  <si>
    <t>Devex contingency</t>
  </si>
  <si>
    <t>Guarantees, securities and connection fees (HUF)</t>
  </si>
  <si>
    <t>Total</t>
  </si>
  <si>
    <t>Bid security (guarantee)</t>
  </si>
  <si>
    <t>Performance security (guarantee)</t>
  </si>
  <si>
    <t>TSO connection-request security (cash)</t>
  </si>
  <si>
    <t>Direct connection fee</t>
  </si>
  <si>
    <t>Indirect connection fee, gross</t>
  </si>
  <si>
    <t>Less TSO security credited</t>
  </si>
  <si>
    <t>Indirect connection fee, payable</t>
  </si>
  <si>
    <t>Peak guarantee (performance security)</t>
  </si>
  <si>
    <t>Cash: fee, TSO security, connection fees</t>
  </si>
  <si>
    <t>Deposits and fees to COD (EUR k)</t>
  </si>
  <si>
    <t>In cash</t>
  </si>
  <si>
    <t>Indirect connection fee, net of TSO security</t>
  </si>
  <si>
    <t>Guarantee fees to COD</t>
  </si>
  <si>
    <t>Deposits and fees in cash</t>
  </si>
  <si>
    <t>Devex, land and contingency to COD (EUR k)</t>
  </si>
  <si>
    <t>Capacity allocation process - Awarding – Land reservation fee</t>
  </si>
  <si>
    <t>Land purchase price</t>
  </si>
  <si>
    <t>Grid connection plan – Design fee</t>
  </si>
  <si>
    <t>Administrative fee</t>
  </si>
  <si>
    <t>Land contracting (additional land) – Legal fee, agent fee</t>
  </si>
  <si>
    <t>Wind measurement – Met Masts</t>
  </si>
  <si>
    <t>Design fee</t>
  </si>
  <si>
    <t>EYA</t>
  </si>
  <si>
    <t>Land reclassification – Administrative fee</t>
  </si>
  <si>
    <t>Report fee</t>
  </si>
  <si>
    <t>Zoning plan modification – Design fee</t>
  </si>
  <si>
    <t>Municipality donation – Donation</t>
  </si>
  <si>
    <t>Environmental assessment – Bird-bat monitoring</t>
  </si>
  <si>
    <t>Assessment fee</t>
  </si>
  <si>
    <t>Other project development – Geotechnical assessment fee</t>
  </si>
  <si>
    <t>Archaeological</t>
  </si>
  <si>
    <t>Topography</t>
  </si>
  <si>
    <t>Building permit - Turbines – Administrative fee</t>
  </si>
  <si>
    <t>Cable right – Administrative fee</t>
  </si>
  <si>
    <t>Compensation</t>
  </si>
  <si>
    <t>Building permit - Substation, switching station – Administrative fee</t>
  </si>
  <si>
    <t>Building permit - BESS – Administrative fee</t>
  </si>
  <si>
    <t>HEPURA permit – Administrative fee</t>
  </si>
  <si>
    <t>Legal costs</t>
  </si>
  <si>
    <t>Financial costs</t>
  </si>
  <si>
    <t>Other costs (HR, car etc.)</t>
  </si>
  <si>
    <t>RtB – Land purchase price</t>
  </si>
  <si>
    <t>Contingency on devex and participation fee</t>
  </si>
  <si>
    <t>Devex, land and contingency</t>
  </si>
  <si>
    <t>Summary to COD</t>
  </si>
  <si>
    <t>Total cash to COD</t>
  </si>
  <si>
    <t>Peak guarantee</t>
  </si>
  <si>
    <t>Fee, TSO security and connection fees in cash</t>
  </si>
  <si>
    <t>Cash to COD by quarter (EUR k)</t>
  </si>
  <si>
    <t>Cumulative</t>
  </si>
  <si>
    <t>Guarantees</t>
  </si>
  <si>
    <t>Check: quarters vs summary</t>
  </si>
  <si>
    <t>Scoring tables (Annex 4 – Kiértékelő táblázat, pontszámítás)</t>
  </si>
  <si>
    <t>Lower bound</t>
  </si>
  <si>
    <t>Lower bound incl.</t>
  </si>
  <si>
    <t>ÖSZ-1 – Municipal one-off contribution (EUR k/MW)</t>
  </si>
  <si>
    <t>weight</t>
  </si>
  <si>
    <t>Below the first bound</t>
  </si>
  <si>
    <t>Band 1</t>
  </si>
  <si>
    <t>Band 2</t>
  </si>
  <si>
    <t>Band 3</t>
  </si>
  <si>
    <t>Band 4</t>
  </si>
  <si>
    <t>Band 5</t>
  </si>
  <si>
    <t>Band 6</t>
  </si>
  <si>
    <t>Band 7</t>
  </si>
  <si>
    <t>Band 8</t>
  </si>
  <si>
    <t>Band 9</t>
  </si>
  <si>
    <t>ÖSZ-2 – Annual community contribution (EUR/MWh)</t>
  </si>
  <si>
    <t>Band 10</t>
  </si>
  <si>
    <t>Band 11</t>
  </si>
  <si>
    <t>ÖSZ-3 – Overbuild, wind MW over MVA (%)</t>
  </si>
  <si>
    <t>ÖSZ-4 – BESS power, share of bid capacity (%)</t>
  </si>
  <si>
    <t>ÖSZ-6 – Performance security vs minimum (x)</t>
  </si>
  <si>
    <t>Yes / no criteria (score if flag = 1)</t>
  </si>
  <si>
    <t>ÖSZ-5 – Partial award accepted</t>
  </si>
  <si>
    <t>ÖSZ-7 – Brownfield site (≥ 70 %)</t>
  </si>
  <si>
    <t>ÖSZ-8 – Shared connection point</t>
  </si>
  <si>
    <t>ÖSZ-9 – EU-manufactured equipment (≥ 80 % of cost)</t>
  </si>
  <si>
    <t>Turbine units</t>
  </si>
  <si>
    <t>Generator transformers</t>
  </si>
  <si>
    <t>Maximum achievable points</t>
  </si>
  <si>
    <t>HUN Onshore Wind – MOIC model v5</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</si>
  <si>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</si>
  <si>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</si>
  <si>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Input</t>
  </si>
  <si>
    <t>Unit</t>
  </si>
  <si>
    <t>Active case</t>
  </si>
  <si>
    <t>Note</t>
  </si>
  <si>
    <t>Case 1</t>
  </si>
  <si>
    <t>Case 2</t>
  </si>
  <si>
    <t>Case 3</t>
  </si>
  <si>
    <t>Case 4</t>
  </si>
  <si>
    <t>Case 5</t>
  </si>
  <si>
    <t>Case 6</t>
  </si>
  <si>
    <t>Case 7</t>
  </si>
  <si>
    <t>Case 8</t>
  </si>
  <si>
    <t>Case 9</t>
  </si>
  <si>
    <t>Case 10</t>
  </si>
  <si>
    <t>Case #</t>
  </si>
  <si>
    <t>Dashboard case selector (Scenario_Name)</t>
  </si>
  <si>
    <t>Case name</t>
  </si>
  <si>
    <t>Name</t>
  </si>
  <si>
    <t>EU turbine, normal debt (60 % at 5 %)</t>
  </si>
  <si>
    <t>EU turbine, refinanced at COD + 1 year</t>
  </si>
  <si>
    <t>Case description</t>
  </si>
  <si>
    <t>Text</t>
  </si>
  <si>
    <t>EU turbines 950 k€/MW, 60 % gearing, 90 €/MWh PPA on all output for 30 years</t>
  </si>
  <si>
    <t>As the EU turbine case, but CN turbines 500 k€/MW and 50 % gearing</t>
  </si>
  <si>
    <t>As the EU turbine case; at the end of the year after the COD year the loan is refinanced: +4 pp gearing at 4.5 % over 15 years</t>
  </si>
  <si>
    <t>Project # (Bora only – fixed at 1)</t>
  </si>
  <si>
    <t>Fixed to Bora; other projects removed 05-Oct-26</t>
  </si>
  <si>
    <t>A. Macro</t>
  </si>
  <si>
    <t>EUR / HUF</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</si>
  <si>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</si>
  <si>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</si>
  <si>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</si>
  <si>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</si>
  <si>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</si>
  <si>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</si>
  <si>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Switch</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</si>
  <si>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</si>
  <si>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</si>
  <si>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</si>
  <si>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Driven by the Dashboard levers (E16)</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</si>
  <si>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</si>
  <si>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</si>
  <si>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</si>
  <si>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</si>
  <si>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</si>
  <si>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</si>
  <si>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Driven by the Dashboard levers (E20)</t>
  </si>
  <si>
    <t>Hours</t>
  </si>
  <si>
    <t>Storage hours at rated power: 4h (400 MWh), per BORA Devex FEP basis (changed 05-Oct-2026 from 2h).</t>
  </si>
  <si>
    <t>BESS storage capacity (gross)</t>
  </si>
  <si>
    <t>Drives the BESS leg of the security base at the bid stage.</t>
  </si>
  <si>
    <t>BESS storage capacity (successful)</t>
  </si>
  <si>
    <t>Post-award BESS base; scales with the same conversion rate as wind.</t>
  </si>
  <si>
    <t>Signing fee to current owners</t>
  </si>
  <si>
    <t>Paid at month 0.</t>
  </si>
  <si>
    <t>Transaction / DD costs to FEP</t>
  </si>
  <si>
    <t>Sale costs at exit</t>
  </si>
  <si>
    <t>Deducted from proceeds in the waterfall.</t>
  </si>
  <si>
    <t>Investment date (month 0)</t>
  </si>
  <si>
    <t>Start of the monthly grid; every month steps by EOMONTH.</t>
  </si>
  <si>
    <t>Lag from RTB to sale</t>
  </si>
  <si>
    <t>Months</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</si>
  <si>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</si>
  <si>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</si>
  <si>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</si>
  <si>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</si>
  <si>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share of net proceeds if JV</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</si>
  <si>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</si>
  <si>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</si>
  <si>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</si>
  <si>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</si>
  <si>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</si>
  <si>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</si>
  <si>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</si>
  <si>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</si>
  <si>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</si>
  <si>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</si>
  <si>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</si>
  <si>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</si>
  <si>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</si>
  <si>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</si>
  <si>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</si>
  <si>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</si>
  <si>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</si>
  <si>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</si>
  <si>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</si>
  <si>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</si>
  <si>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</si>
  <si>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</si>
  <si>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</si>
  <si>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</si>
  <si>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</si>
  <si>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</si>
  <si>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</si>
  <si>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</si>
  <si>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</si>
  <si>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</si>
  <si>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</si>
  <si>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</si>
  <si>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</si>
  <si>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 p.a.</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</si>
  <si>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</si>
  <si>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</si>
  <si>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</si>
  <si>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</si>
  <si>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</si>
  <si>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</si>
  <si>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</si>
  <si>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</si>
  <si>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</si>
  <si>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</si>
  <si>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</si>
  <si>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</si>
  <si>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</si>
  <si>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</si>
  <si>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</si>
  <si>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</si>
  <si>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</si>
  <si>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</si>
  <si>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</si>
  <si>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</si>
  <si>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</si>
  <si>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</si>
  <si>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</si>
  <si>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</si>
  <si>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</si>
  <si>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mHUF/MW</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</si>
  <si>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</si>
  <si>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</si>
  <si>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</si>
  <si>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</si>
  <si>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</si>
  <si>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</si>
  <si>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</si>
  <si>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</si>
  <si>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</si>
  <si>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</si>
  <si>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</si>
  <si>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</si>
  <si>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</si>
  <si>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</si>
  <si>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</si>
  <si>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</si>
  <si>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</si>
  <si>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</si>
  <si>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</si>
  <si>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</si>
  <si>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</si>
  <si>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</si>
  <si>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</si>
  <si>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</si>
  <si>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</si>
  <si>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</si>
  <si>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</si>
  <si>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</si>
  <si>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</si>
  <si>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</si>
  <si>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Performance security multiple, set on the Dashboard (Dash_PB_Mult)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</si>
  <si>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</si>
  <si>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</si>
  <si>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</si>
  <si>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</si>
  <si>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</si>
  <si>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</si>
  <si>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</si>
  <si>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</si>
  <si>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</si>
  <si>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</si>
  <si>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</si>
  <si>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</si>
  <si>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</si>
  <si>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</si>
  <si>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</si>
  <si>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</si>
  <si>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</si>
  <si>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</si>
  <si>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</si>
  <si>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</si>
  <si>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</si>
  <si>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</si>
  <si>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</si>
  <si>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</si>
  <si>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</si>
  <si>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</si>
  <si>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</si>
  <si>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</si>
  <si>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</si>
  <si>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</si>
  <si>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</si>
  <si>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</si>
  <si>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</si>
  <si>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</si>
  <si>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</si>
  <si>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</si>
  <si>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</si>
  <si>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</si>
  <si>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</si>
  <si>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</si>
  <si>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</si>
  <si>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</si>
  <si>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</si>
  <si>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</si>
  <si>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</si>
  <si>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</si>
  <si>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</si>
  <si>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</si>
  <si>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</si>
  <si>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</si>
  <si>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</si>
  <si>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</si>
  <si>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</si>
  <si>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</si>
  <si>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</si>
  <si>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</si>
  <si>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RTB exit premium</t>
  </si>
  <si>
    <t>IC paper range 150–250 k€/MW. Final tender (30-Aug-26): a buyer at RTB inherits the municipal one-off commitment (E233, 20 k€/MW) and the annual €/MWh contribution (E234), so treat this premium as gross of those, i.e. net ≈ E141 − E233.</t>
  </si>
  <si>
    <t>Sensitivity premium 1</t>
  </si>
  <si>
    <t>Steps read from the Dashboard (Dash_Premium_Steps)</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</si>
  <si>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</si>
  <si>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</si>
  <si>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</si>
  <si>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</si>
  <si>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</si>
  <si>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</si>
  <si>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</si>
  <si>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</si>
  <si>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</si>
  <si>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Construction duration (NTP → COD)</t>
  </si>
  <si>
    <t>Two build seasons; 132 kV connection works (Szombathely OVIT node) on the critical path.</t>
  </si>
  <si>
    <t>NTP / construction start date</t>
  </si>
  <si>
    <t>COD (derived)</t>
  </si>
  <si>
    <t>Compare with tender COD target in E101 – HTM check on the HTM sheet.</t>
  </si>
  <si>
    <t>COD is a month-end, so the first full calendar year is always the year after COD. The COD year itself is a partial year (HTM row 10). Fixed 25-Sep-26: previously the COD year was flagged as a full year AND a partial year (150%).</t>
  </si>
  <si>
    <t>Years</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</si>
  <si>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</si>
  <si>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</si>
  <si>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</si>
  <si>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</si>
  <si>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</si>
  <si>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</si>
  <si>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Turbine installation and erection</t>
  </si>
  <si>
    <t>ESTIMATE.</t>
  </si>
  <si>
    <t>Balance of plant – civil (roads, crane pads, drainage)</t>
  </si>
  <si>
    <t>Balance of plant – electrical (MV cabling, internal grid)</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</si>
  <si>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</si>
  <si>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</si>
  <si>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</si>
  <si>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</si>
  <si>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</si>
  <si>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Owner's costs, engineering, PM, construction insurance</t>
  </si>
  <si>
    <t>Land purchase / easements at NTP</t>
  </si>
  <si>
    <t>ESTIMATE. Land is leased; this covers rights-of-way and buy-outs.</t>
  </si>
  <si>
    <t>Construction capex excl. turbine – scenario total (installation, foundations, civil, electrical, owner's, land)</t>
  </si>
  <si>
    <t>Link – Dashboard row 13 (Base = sum of the typed lines above; Low/High = ±10 %). The six lines above are scaled by E172 so their total equals this.</t>
  </si>
  <si>
    <t>Scale factor applied to the six construction lines (E171 ÷ typed base total)</t>
  </si>
  <si>
    <t>Calc.</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</si>
  <si>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</si>
  <si>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</si>
  <si>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</si>
  <si>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</si>
  <si>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</si>
  <si>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</si>
  <si>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</si>
  <si>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</si>
  <si>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</si>
  <si>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</si>
  <si>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</si>
  <si>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MWh/MW/yr</t>
  </si>
  <si>
    <t>IC paper: NCF 28.07%, P50 2,460 h. Already net of losses.</t>
  </si>
  <si>
    <t>Additional availability / loss haircut</t>
  </si>
  <si>
    <t>Zero because the hours above are already net.</t>
  </si>
  <si>
    <t>Curtailment / grid constraint</t>
  </si>
  <si>
    <t>Annual degradation</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</si>
  <si>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</si>
  <si>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</si>
  <si>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</si>
  <si>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</si>
  <si>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</si>
  <si>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</si>
  <si>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</si>
  <si>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</si>
  <si>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</si>
  <si>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</si>
  <si>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</si>
  <si>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</si>
  <si>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</si>
  <si>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</si>
  <si>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</si>
  <si>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</si>
  <si>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</si>
  <si>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</si>
  <si>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</si>
  <si>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</si>
  <si>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</si>
  <si>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</si>
  <si>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</si>
  <si>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</si>
  <si>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</si>
  <si>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</si>
  <si>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</si>
  <si>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</si>
  <si>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</si>
  <si>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</si>
  <si>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</si>
  <si>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</si>
  <si>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Balance of plant maintenance</t>
  </si>
  <si>
    <t>Land lease</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</si>
  <si>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</si>
  <si>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</si>
  <si>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</si>
  <si>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</si>
  <si>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</si>
  <si>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</si>
  <si>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</si>
  <si>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</si>
  <si>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Opex escalation</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</si>
  <si>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</si>
  <si>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</si>
  <si>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</si>
  <si>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</si>
  <si>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</si>
  <si>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</si>
  <si>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</si>
  <si>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</si>
  <si>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</si>
  <si>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</si>
  <si>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Case 3 refinances to gearing + In_Refi_Gearing_Add (Inputs block U)</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</si>
  <si>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</si>
  <si>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</si>
  <si>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</si>
  <si>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</si>
  <si>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</si>
  <si>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</si>
  <si>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</si>
  <si>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Commitment fee on undrawn senior debt (construction)</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</si>
  <si>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</si>
  <si>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</si>
  <si>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</si>
  <si>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</si>
  <si>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</si>
  <si>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</si>
  <si>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</si>
  <si>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</si>
  <si>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</si>
  <si>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</si>
  <si>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</si>
  <si>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</si>
  <si>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</si>
  <si>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</si>
  <si>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</si>
  <si>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</si>
  <si>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Set on the Dashboard (Dash_Municipal)</t>
  </si>
  <si>
    <t>Annual community contribution on energy fed in (scoring: points above 2, max at 3)</t>
  </si>
  <si>
    <t>Set on the Dashboard (Dash_Community)</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</si>
  <si>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</si>
  <si>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</si>
  <si>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</si>
  <si>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</si>
  <si>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</si>
  <si>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</si>
  <si>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</si>
  <si>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</si>
  <si>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</si>
  <si>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</si>
  <si>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</si>
  <si>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</si>
  <si>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</si>
  <si>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</si>
  <si>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</si>
  <si>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Steps read from the Dashboard (Dash_Gearing_Steps)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</si>
  <si>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</si>
  <si>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</si>
  <si>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</si>
  <si>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</si>
  <si>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</si>
  <si>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</si>
  <si>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</si>
  <si>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</si>
  <si>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</si>
  <si>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</si>
  <si>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</si>
  <si>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</si>
  <si>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</si>
  <si>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</si>
  <si>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</si>
  <si>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</si>
  <si>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</si>
  <si>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</si>
  <si>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</si>
  <si>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</si>
  <si>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</si>
  <si>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</si>
  <si>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</si>
  <si>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</si>
  <si>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</si>
  <si>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</si>
  <si>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</si>
  <si>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</si>
  <si>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</si>
  <si>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</si>
  <si>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</si>
  <si>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</si>
  <si>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</si>
  <si>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project inputs – grid node fees from MEKH/MAVIR Kapacitás pályázati kiírás 2026, Annex 1 (1. melléklet)</t>
  </si>
  <si>
    <t>Active project</t>
  </si>
  <si>
    <t>Notes</t>
  </si>
  <si>
    <t>Bora</t>
  </si>
  <si>
    <t>Project name</t>
  </si>
  <si>
    <t>Grid node (hálózati csomópont)</t>
  </si>
  <si>
    <t>Annex 1 node</t>
  </si>
  <si>
    <t>Szombathely OVIT (SZHO B 132.00)</t>
  </si>
  <si>
    <t>Gross wind capacity</t>
  </si>
  <si>
    <t>Annex 1 kiosztható teljesítmény (1 MVA = 1 MW assumed)</t>
  </si>
  <si>
    <t>BESS connection capacity</t>
  </si>
  <si>
    <t>100 MW / 200 MWh (2 h)</t>
  </si>
  <si>
    <t>JV structure live (1 = JV, 0 = FEP 100%)</t>
  </si>
  <si>
    <t>Bora: 70/30 JV with developer</t>
  </si>
  <si>
    <t>Bora 70/30</t>
  </si>
  <si>
    <t>Developer success fee live</t>
  </si>
  <si>
    <t>Off where there is no JV partner</t>
  </si>
  <si>
    <t>Number of separate bids</t>
  </si>
  <si>
    <t>Indirect connection fee (fajlagos várható közvetett csatlakozási díj)</t>
  </si>
  <si>
    <t>Ft/MVA</t>
  </si>
  <si>
    <t>Annex 1</t>
  </si>
  <si>
    <t>Direct connection investment (várható közvetlen csatlakozási díj / beruházás)</t>
  </si>
  <si>
    <t>Ft per connection point</t>
  </si>
  <si>
    <t>Indirect connection fee</t>
  </si>
  <si>
    <t>Ft/MVA ÷ 1,000,000</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</si>
  <si>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</si>
  <si>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</si>
  <si>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</si>
  <si>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</si>
  <si>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</si>
  <si>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</si>
  <si>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</si>
  <si>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</si>
  <si>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</si>
  <si>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</si>
  <si>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</si>
  <si>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U. Tender points tables and constants (levers Dash_* are on the Dashboard)</t>
  </si>
  <si>
    <t>Connection capacity per bid</t>
  </si>
  <si>
    <t>Bora bids are 100 MVA each</t>
  </si>
  <si>
    <t>Inputs E82 links here</t>
  </si>
  <si>
    <t>Source basis of the lump sums</t>
  </si>
  <si>
    <t>Bora 2 × 100 MVA</t>
  </si>
  <si>
    <t>Lump-sum scale factor (capacity ÷ source basis)</t>
  </si>
  <si>
    <t>Inputs E24:E26, E167, E207, E294</t>
  </si>
  <si>
    <t>HTM charged the FEP profit forgone at RtB (1 = yes)</t>
  </si>
  <si>
    <t>SPEC §11.3: cash IRR, no opportunity cost</t>
  </si>
  <si>
    <t>Wind built (committed less the build shortfall)</t>
  </si>
  <si>
    <t>GYIK Q28/30/76; HTM E35, E27</t>
  </si>
  <si>
    <t>ÖSZ-4 BESS ratio on installed wind (GYIK Q20)</t>
  </si>
  <si>
    <t>GYIK Q20</t>
  </si>
  <si>
    <t>ÖSZ-4 points on installed wind (GYIK Q20)</t>
  </si>
  <si>
    <t>Kiírás Annex 4; GYIK Q20</t>
  </si>
  <si>
    <t>ÖSZ-4 BESS ratio scored (basis Dash_OSZ4_Basis)</t>
  </si>
  <si>
    <t>Clipping curve: installed wind ÷ connection capacity (Q:AB)</t>
  </si>
  <si>
    <t>OVIT memo Table 7, drawn year</t>
  </si>
  <si>
    <t>Clipping curve: clipped share of gross energy (Q:AB)</t>
  </si>
  <si>
    <t>Built wind ÷ connection capacity</t>
  </si>
  <si>
    <t>Inputs E308</t>
  </si>
  <si>
    <t>Curve point at or below the built ratio (1 below the curve)</t>
  </si>
  <si>
    <t>Interpolation</t>
  </si>
  <si>
    <t>Curve segment used (the last one above the curve)</t>
  </si>
  <si>
    <t>Segment start: ratio</t>
  </si>
  <si>
    <t>Segment end: ratio</t>
  </si>
  <si>
    <t>Segment start: clipped share</t>
  </si>
  <si>
    <t>Segment end: clipped share</t>
  </si>
  <si>
    <t>Segment slope</t>
  </si>
  <si>
    <t>% per x</t>
  </si>
  <si>
    <t>Clipped share at the built ratio (linear, not below 0)</t>
  </si>
  <si>
    <t>Generation kept after clipping (1 − clipped share)</t>
  </si>
  <si>
    <t>Used in HTM E36</t>
  </si>
  <si>
    <t>Minimum BESS duration</t>
  </si>
  <si>
    <t>Kiírás Annex 8; GYIK Q5</t>
  </si>
  <si>
    <t>Points rounded to decimals</t>
  </si>
  <si>
    <t>Kiírás X.1 b</t>
  </si>
  <si>
    <t>ÖSZ-1 weight</t>
  </si>
  <si>
    <t>Kiírás Annex 3</t>
  </si>
  <si>
    <t>ÖSZ-2 weight</t>
  </si>
  <si>
    <t>ÖSZ-3 weight</t>
  </si>
  <si>
    <t>ÖSZ-4 weight</t>
  </si>
  <si>
    <t>ÖSZ-5 weight</t>
  </si>
  <si>
    <t>ÖSZ-6 weight</t>
  </si>
  <si>
    <t>ÖSZ-7 weight</t>
  </si>
  <si>
    <t>ÖSZ-8 weight</t>
  </si>
  <si>
    <t>ÖSZ-9 weight</t>
  </si>
  <si>
    <t>ÖSZ-5 partial award – inner points if yes</t>
  </si>
  <si>
    <t>Kiírás Annex 4</t>
  </si>
  <si>
    <t>ÖSZ-7 brownfield – inner points if yes</t>
  </si>
  <si>
    <t>ÖSZ-8 shared connection – inner points if yes</t>
  </si>
  <si>
    <t>ÖSZ-9 EU turbines – inner points if yes</t>
  </si>
  <si>
    <t>ÖSZ-9 EU transformers – inner points if yes</t>
  </si>
  <si>
    <t>ÖSZ-1 offerable range – minimum</t>
  </si>
  <si>
    <t>ÖSZ-1 offerable range – maximum</t>
  </si>
  <si>
    <t>Kiírás Annex 4 (A8)</t>
  </si>
  <si>
    <t>ÖSZ-2 offerable range – minimum</t>
  </si>
  <si>
    <t>ÖSZ-2 offerable range – maximum</t>
  </si>
  <si>
    <t>ÖSZ-4 minimum BESS ratio</t>
  </si>
  <si>
    <t>Kiírás X.4 bd (A3)</t>
  </si>
  <si>
    <t>Thousand</t>
  </si>
  <si>
    <t>Hours in a year</t>
  </si>
  <si>
    <t>Check tolerance</t>
  </si>
  <si>
    <t>House standard</t>
  </si>
  <si>
    <t>Points bands (band 1 = below the first lower bound)</t>
  </si>
  <si>
    <t>ÖSZ-1 municipal one-off – lower bound</t>
  </si>
  <si>
    <t>ÖSZ-1 municipal one-off – lower bound included</t>
  </si>
  <si>
    <t>ÖSZ-1 municipal one-off – inner points</t>
  </si>
  <si>
    <t>ÖSZ-2 community contribution – lower bound</t>
  </si>
  <si>
    <t>ÖSZ-2 community contribution – lower bound included</t>
  </si>
  <si>
    <t>ÖSZ-2 community contribution – inner points</t>
  </si>
  <si>
    <t>ÖSZ-3 overbuild and ÖSZ-4 BESS ratio – lower bound</t>
  </si>
  <si>
    <t>ÖSZ-3 overbuild and ÖSZ-4 BESS ratio – lower bound included</t>
  </si>
  <si>
    <t>ÖSZ-3 overbuild and ÖSZ-4 BESS ratio – inner points</t>
  </si>
  <si>
    <t>ÖSZ-6 performance security multiple – lower bound</t>
  </si>
  <si>
    <t>Kiírás Annex 4; GYIK Q34</t>
  </si>
  <si>
    <t>ÖSZ-6 performance security multiple – lower bound included</t>
  </si>
  <si>
    <t>ÖSZ-6 performance security multiple – inner points</t>
  </si>
  <si>
    <t>Refinancing at COD + 1 year (SPEC §16; case 3)</t>
  </si>
  <si>
    <t>Refinancing at COD + lag (1 = yes; case-driven, columns G:I)</t>
  </si>
  <si>
    <t>SPEC §16</t>
  </si>
  <si>
    <t>Refinancing lag after the COD year</t>
  </si>
  <si>
    <t>New loan gearing on top of the base gearing</t>
  </si>
  <si>
    <t>SPEC §16 (+4 pp)</t>
  </si>
  <si>
    <t>New loan all-in fixed rate</t>
  </si>
  <si>
    <t>SPEC §16 (−50 bp)</t>
  </si>
  <si>
    <t>New loan tenor (annuity from the year after the refinancing)</t>
  </si>
  <si>
    <t>Upfront fee on the new loan (paid by equity)</t>
  </si>
  <si>
    <t>Inputs E219</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</si>
  <si>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</si>
  <si>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</si>
  <si>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</si>
  <si>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</si>
  <si>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</si>
  <si>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</si>
  <si>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</si>
  <si>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</si>
  <si>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</si>
  <si>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</si>
  <si>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</si>
  <si>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</si>
  <si>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</si>
  <si>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</si>
  <si>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</si>
  <si>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</si>
  <si>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</si>
  <si>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</si>
  <si>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</si>
  <si>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</si>
  <si>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</si>
  <si>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</si>
  <si>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</si>
  <si>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</si>
  <si>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</si>
  <si>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</si>
  <si>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</si>
  <si>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</si>
  <si>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</si>
  <si>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</si>
  <si>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</si>
  <si>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</si>
  <si>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</si>
  <si>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</si>
  <si>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</si>
  <si>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</si>
  <si>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</si>
  <si>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</si>
  <si>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</si>
  <si>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</si>
  <si>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</si>
  <si>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</si>
  <si>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</si>
  <si>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</si>
  <si>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</si>
  <si>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</si>
  <si>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</si>
  <si>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</si>
  <si>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</si>
  <si>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</si>
  <si>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</si>
  <si>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</si>
  <si>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</si>
  <si>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</si>
  <si>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</si>
  <si>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Basis</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</si>
  <si>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</si>
  <si>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</si>
  <si>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</si>
  <si>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</si>
  <si>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</si>
  <si>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</si>
  <si>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</si>
  <si>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</si>
  <si>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</si>
  <si>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</si>
  <si>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</si>
  <si>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</si>
  <si>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</si>
  <si>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</si>
  <si>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</si>
  <si>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</si>
  <si>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</si>
  <si>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</si>
  <si>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</si>
  <si>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</si>
  <si>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</si>
  <si>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</si>
  <si>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</si>
  <si>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</si>
  <si>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</si>
  <si>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</si>
  <si>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</si>
  <si>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</si>
  <si>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</si>
  <si>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</si>
  <si>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</si>
  <si>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</si>
  <si>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</si>
  <si>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Grid connection fee – direct</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</si>
  <si>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</si>
  <si>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</si>
  <si>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</si>
  <si>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</si>
  <si>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</si>
  <si>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</si>
  <si>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</si>
  <si>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</si>
  <si>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</si>
  <si>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</si>
  <si>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</si>
  <si>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Summary and reconciliation to source table</t>
  </si>
  <si>
    <t>FEP-convention interest by type (BORA Devex 01-Oct-26 method, frozen at Inputs E64)</t>
  </si>
  <si>
    <t>Gross securities and fees – model capacity</t>
  </si>
  <si>
    <t>Bank-guarantee securities (6%, net of refunds)</t>
  </si>
  <si>
    <t>Actually payable – model capacity</t>
  </si>
  <si>
    <t>Cash deposits and connection fees (12%)</t>
  </si>
  <si>
    <t>Participation fee (12%, no 2× minimum)</t>
  </si>
  <si>
    <t>Of which included in FEP cash flows (pre-sale, or all if Inputs!E92 = 1)</t>
  </si>
  <si>
    <t>Of which cash-settled (included)</t>
  </si>
  <si>
    <t>Of which guarantee-backed (included)</t>
  </si>
  <si>
    <t>Gross total – schedule</t>
  </si>
  <si>
    <t>Gross total – sum of the item rows</t>
  </si>
  <si>
    <t>Difference – gross</t>
  </si>
  <si>
    <t>Payable included in FEP cash flows – schedule</t>
  </si>
  <si>
    <t>Payable flows in MOIC (MOIC G40)</t>
  </si>
  <si>
    <t>Difference – payable</t>
  </si>
  <si>
    <t>Internal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</si>
  <si>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</si>
  <si>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</si>
  <si>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</si>
  <si>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</si>
  <si>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</si>
  <si>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</si>
  <si>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</si>
  <si>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</si>
  <si>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</si>
  <si>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</si>
  <si>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</si>
  <si>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</si>
  <si>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</si>
  <si>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</si>
  <si>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</si>
  <si>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</si>
  <si>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</si>
  <si>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</si>
  <si>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</si>
  <si>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</si>
  <si>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</si>
  <si>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</si>
  <si>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</si>
  <si>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</si>
  <si>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</si>
  <si>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</si>
  <si>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</si>
  <si>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</si>
  <si>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</si>
  <si>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</si>
  <si>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</si>
  <si>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</si>
  <si>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</si>
  <si>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</si>
  <si>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</si>
  <si>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</si>
  <si>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</si>
  <si>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</si>
  <si>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</si>
  <si>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</si>
  <si>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</si>
  <si>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</si>
  <si>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</si>
  <si>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</si>
  <si>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</si>
  <si>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</si>
  <si>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</si>
  <si>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</si>
  <si>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</si>
  <si>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</si>
  <si>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</si>
  <si>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</si>
  <si>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</si>
  <si>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</si>
  <si>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</si>
  <si>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</si>
  <si>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</si>
  <si>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</si>
  <si>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</si>
  <si>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</si>
  <si>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RTB premium proceeds</t>
  </si>
  <si>
    <t>Buyer reimbursement at RtB exit: securities, connection fee and land costs (row 20)</t>
  </si>
  <si>
    <t>Total proceeds</t>
  </si>
  <si>
    <t>Less: sale costs</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</si>
  <si>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</si>
  <si>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</si>
  <si>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</si>
  <si>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</si>
  <si>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Less: developer success fee</t>
  </si>
  <si>
    <t>Distributable proceeds</t>
  </si>
  <si>
    <t>To FEP</t>
  </si>
  <si>
    <t>To Developer</t>
  </si>
  <si>
    <t>Memo: claims not covered by proceeds (shortfall)</t>
  </si>
  <si>
    <t>10. FEP cash flows (€k; + = inflow to FEP, − = outflow)</t>
  </si>
  <si>
    <t>Signing fee</t>
  </si>
  <si>
    <t>Transaction / DD costs</t>
  </si>
  <si>
    <t>Recoverable loan funding (refundable securities)</t>
  </si>
  <si>
    <t>Unrecoverable loan funding – deposits and fees</t>
  </si>
  <si>
    <t>Unrecoverable loan funding – devex</t>
  </si>
  <si>
    <t>Bank guarantee fees</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</si>
  <si>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</si>
  <si>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</si>
  <si>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</si>
  <si>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</si>
  <si>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</si>
  <si>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</si>
  <si>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</si>
  <si>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</si>
  <si>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</si>
  <si>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</si>
  <si>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</si>
  <si>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</si>
  <si>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</si>
  <si>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</si>
  <si>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</si>
  <si>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</si>
  <si>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</si>
  <si>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FEP net profit (post-tax)</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</si>
  <si>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</si>
  <si>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</si>
  <si>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</si>
  <si>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</si>
  <si>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</si>
  <si>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</si>
  <si>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</si>
  <si>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</si>
  <si>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</si>
  <si>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</si>
  <si>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PV of equity invested)</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</si>
  <si>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</si>
  <si>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</si>
  <si>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</si>
  <si>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</si>
  <si>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</si>
  <si>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</si>
  <si>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</si>
  <si>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</si>
  <si>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</si>
  <si>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</si>
  <si>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</si>
  <si>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</si>
  <si>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</si>
  <si>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</si>
  <si>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</si>
  <si>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recoverable loans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</si>
  <si>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</si>
  <si>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</si>
  <si>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</si>
  <si>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</si>
  <si>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</si>
  <si>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IRR (post-tax)</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</si>
  <si>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</si>
  <si>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</si>
  <si>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</si>
  <si>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</si>
  <si>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</si>
  <si>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</si>
  <si>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</si>
  <si>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</si>
  <si>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</si>
  <si>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</si>
  <si>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</si>
  <si>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Check</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</si>
  <si>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</si>
  <si>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</si>
  <si>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</si>
  <si>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</si>
  <si>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</si>
  <si>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</si>
  <si>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</si>
  <si>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</si>
  <si>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</si>
  <si>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</si>
  <si>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</si>
  <si>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</si>
  <si>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</si>
  <si>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</si>
  <si>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</si>
  <si>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</si>
  <si>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</si>
  <si>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</si>
  <si>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Timeline</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</si>
  <si>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</si>
  <si>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</si>
  <si>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</si>
  <si>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</si>
  <si>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</si>
  <si>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</si>
  <si>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</si>
  <si>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</si>
  <si>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</si>
  <si>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</si>
  <si>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</si>
  <si>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</si>
  <si>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</si>
  <si>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</si>
  <si>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</si>
  <si>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</si>
  <si>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</si>
  <si>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</si>
  <si>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</si>
  <si>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</si>
  <si>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</si>
  <si>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</si>
  <si>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</si>
  <si>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</si>
  <si>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k€/MVA × MVA – paid in COD year)</t>
  </si>
  <si>
    <t>Total capex</t>
  </si>
  <si>
    <t>Cumulative capex</t>
  </si>
  <si>
    <t>Capex per MW built</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</si>
  <si>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</si>
  <si>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</si>
  <si>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</si>
  <si>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</si>
  <si>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</si>
  <si>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</si>
  <si>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</si>
  <si>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</si>
  <si>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</si>
  <si>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</si>
  <si>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</si>
  <si>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</si>
  <si>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</si>
  <si>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</si>
  <si>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</si>
  <si>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</si>
  <si>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</si>
  <si>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</si>
  <si>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</si>
  <si>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</si>
  <si>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</si>
  <si>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</si>
  <si>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</si>
  <si>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</si>
  <si>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</si>
  <si>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</si>
  <si>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</si>
  <si>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</si>
  <si>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</si>
  <si>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</si>
  <si>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</si>
  <si>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</si>
  <si>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</si>
  <si>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</si>
  <si>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</si>
  <si>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</si>
  <si>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</si>
  <si>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</si>
  <si>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</si>
  <si>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</si>
  <si>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</si>
  <si>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</si>
  <si>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Prepayment – cash sweep (Inputs E269) and the old loan repaid at the refinancing (block 18)</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</si>
  <si>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</si>
  <si>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</si>
  <si>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</si>
  <si>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</si>
  <si>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</si>
  <si>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</si>
  <si>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</si>
  <si>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</si>
  <si>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</si>
  <si>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</si>
  <si>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</si>
  <si>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</si>
  <si>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</si>
  <si>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</si>
  <si>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</si>
  <si>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</si>
  <si>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</si>
  <si>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</si>
  <si>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</si>
  <si>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</si>
  <si>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</si>
  <si>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</si>
  <si>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</si>
  <si>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</si>
  <si>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Upfront fees and IDC paid by equity</t>
  </si>
  <si>
    <t>Debt service incl. cash sweep</t>
  </si>
  <si>
    <t>Tax</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</si>
  <si>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</si>
  <si>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</si>
  <si>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</si>
  <si>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</si>
  <si>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</si>
  <si>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</si>
  <si>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</si>
  <si>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IRR – unlevered, pre-tax</t>
  </si>
  <si>
    <t>Project IRR – unlevered, post-tax</t>
  </si>
  <si>
    <t>Project NPV – unlevered post-tax at discount rate</t>
  </si>
  <si>
    <t>Equity IRR – levered, post-tax (100%)</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</si>
  <si>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</si>
  <si>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</si>
  <si>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</si>
  <si>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</si>
  <si>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</si>
  <si>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</si>
  <si>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</si>
  <si>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</si>
  <si>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Lifetime revenue</t>
  </si>
  <si>
    <t>Average achieved price</t>
  </si>
  <si>
    <t>Average EBITDA margin</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</si>
  <si>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</si>
  <si>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</si>
  <si>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</si>
  <si>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</si>
  <si>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</si>
  <si>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</si>
  <si>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</si>
  <si>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</si>
  <si>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</si>
  <si>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</si>
  <si>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</si>
  <si>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</si>
  <si>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</si>
  <si>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</si>
  <si>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</si>
  <si>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</si>
  <si>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</si>
  <si>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</si>
  <si>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Scenario</t>
  </si>
  <si>
    <t>Price multiplier</t>
  </si>
  <si>
    <t>Avg price €/MWh</t>
  </si>
  <si>
    <t>Pre-tax IRR</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</si>
  <si>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</si>
  <si>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</si>
  <si>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</si>
  <si>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</si>
  <si>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</si>
  <si>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</si>
  <si>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</si>
  <si>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</si>
  <si>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</si>
  <si>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</si>
  <si>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</si>
  <si>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</si>
  <si>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</si>
  <si>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</si>
  <si>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</si>
  <si>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</si>
  <si>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</si>
  <si>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</si>
  <si>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</si>
  <si>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</si>
  <si>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</si>
  <si>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</si>
  <si>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</si>
  <si>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</si>
  <si>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</si>
  <si>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</si>
  <si>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</si>
  <si>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</si>
  <si>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</si>
  <si>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</si>
  <si>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</si>
  <si>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IRR – 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</si>
  <si>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</si>
  <si>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</si>
  <si>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</si>
  <si>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</si>
  <si>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</si>
  <si>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</si>
  <si>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</si>
  <si>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</si>
  <si>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k€/MVA</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</si>
  <si>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</si>
  <si>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</si>
  <si>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</si>
  <si>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</si>
  <si>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</si>
  <si>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</si>
  <si>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</si>
  <si>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</si>
  <si>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</si>
  <si>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</si>
  <si>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</si>
  <si>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</si>
  <si>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</si>
  <si>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</si>
  <si>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Gearing</t>
  </si>
  <si>
    <t>Debt at COD k€</t>
  </si>
  <si>
    <t>FEP NPV / Equity</t>
  </si>
  <si>
    <t>Min DSCR</t>
  </si>
  <si>
    <t>FEP equity NPV k€</t>
  </si>
  <si>
    <t>DSCR vs Inputs E251</t>
  </si>
  <si>
    <t>Minimum gearing to reach the target FEP equity IRR (Inputs E252; interpolated between scenarios)</t>
  </si>
  <si>
    <t>Maximum gearing at the lender minimum DSCR (Inputs E251; interpolated between scenarios)</t>
  </si>
  <si>
    <t>Check: scenario at live gearing ties to base FEP equity IRR (G135)</t>
  </si>
  <si>
    <t>TSO bond in the tax depreciation base (as H92)</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</si>
  <si>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</si>
  <si>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</si>
  <si>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</si>
  <si>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</si>
  <si>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</si>
  <si>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</si>
  <si>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</si>
  <si>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</si>
  <si>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</si>
  <si>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</si>
  <si>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</si>
  <si>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</si>
  <si>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</si>
  <si>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</si>
  <si>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</si>
  <si>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</si>
  <si>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</si>
  <si>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</si>
  <si>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Downside – FEP equity IRR (approx.)</t>
  </si>
  <si>
    <t>Downside – FEP NPV / Equity at Inputs E253 (approx.)</t>
  </si>
  <si>
    <t>Downside – average achieved price</t>
  </si>
  <si>
    <t>Base case – minimum DSCR (for reference)</t>
  </si>
  <si>
    <t>17. Sale at COD – buyer earns the unlevered discount rate</t>
  </si>
  <si>
    <t>COD year (the sale is at 31-Dec)</t>
  </si>
  <si>
    <t>Discount factor at the COD year (row 12)</t>
  </si>
  <si>
    <t>Post-COD unlevered post-tax cash flow</t>
  </si>
  <si>
    <t>COD sale price (buyer NPV = 0 at Inputs E224)</t>
  </si>
  <si>
    <t>Debt repaid at the sale (closing balance, COD year)</t>
  </si>
  <si>
    <t>FEP cash flow – sale at COD</t>
  </si>
  <si>
    <t>FEP IRR – sale at COD</t>
  </si>
  <si>
    <t>FEP profit – sale at COD</t>
  </si>
  <si>
    <t>FEP MOIC – sale at COD</t>
  </si>
  <si>
    <t>FEP NPV – sale at COD at the equity discount rate (Inputs E225)</t>
  </si>
  <si>
    <t>Sale year (RtB route)</t>
  </si>
  <si>
    <t>COD sale price at the buyer rate in E (step 1)</t>
  </si>
  <si>
    <t>COD sale price at the buyer rate in E (step 2)</t>
  </si>
  <si>
    <t>COD sale price at the buyer rate in E (step 3)</t>
  </si>
  <si>
    <t>FEP profit – sale at COD at the buyer rate (step 1)</t>
  </si>
  <si>
    <t>FEP profit – sale at COD at the buyer rate (step 2)</t>
  </si>
  <si>
    <t>FEP profit – sale at COD at the buyer rate (step 3)</t>
  </si>
  <si>
    <t>RtB premium at which the buyer earns the rate (step 1)</t>
  </si>
  <si>
    <t>RtB premium at which the buyer earns the rate (step 2)</t>
  </si>
  <si>
    <t>RtB premium at which the buyer earns the rate (step 3)</t>
  </si>
  <si>
    <t>18. Refinancing at COD + 1 year (case 3; In_Refi_On = 0 elsewhere)</t>
  </si>
  <si>
    <t>Refinancing year (end of year; COD year + In_Refi_Lag)</t>
  </si>
  <si>
    <t>New loan: (gearing + In_Refi_Gearing_Add) × the sizing base (E75)</t>
  </si>
  <si>
    <t>New loan annuity (In_Refi_Rate, In_Refi_Tenor)</t>
  </si>
  <si>
    <t>Refinancing year flag</t>
  </si>
  <si>
    <t>After-refinancing flag</t>
  </si>
  <si>
    <t>Interest rate on the opening balance</t>
  </si>
  <si>
    <t>Old loan principal (scheduled annuity, up to the refinancing)</t>
  </si>
  <si>
    <t>New loan principal (annuity after the refinancing)</t>
  </si>
  <si>
    <t>Cash sweep (row 87 as before)</t>
  </si>
  <si>
    <t>Old loan repaid at the refinancing (prepayment)</t>
  </si>
  <si>
    <t>Refinancing fee (upfront fee on the new loan)</t>
  </si>
  <si>
    <t>New loan drawn at the refinancing (in row 77; excluded from E82 and G157)</t>
  </si>
  <si>
    <t>Last debt-service year</t>
  </si>
  <si>
    <t>Closing debt balance in the last debt-service year</t>
  </si>
  <si>
    <t>Debt after refinancing (closing balance, refinancing year)</t>
  </si>
  <si>
    <t>Gearing after refinancing (debt ÷ sizing base)</t>
  </si>
  <si>
    <t>Released to equity at the refinancing (new loan − old loan repaid − fee)</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</si>
  <si>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</si>
  <si>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</si>
  <si>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</si>
  <si>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</si>
  <si>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</si>
  <si>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Item</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</si>
  <si>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</si>
  <si>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</si>
  <si>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</si>
  <si>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</si>
  <si>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</si>
  <si>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</si>
  <si>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</si>
  <si>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</si>
  <si>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</si>
  <si>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</si>
  <si>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</si>
  <si>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</si>
  <si>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</si>
  <si>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</si>
  <si>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</si>
  <si>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</si>
  <si>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</si>
  <si>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</si>
  <si>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</si>
  <si>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</si>
  <si>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</si>
  <si>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</si>
  <si>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</si>
  <si>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</si>
  <si>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</si>
  <si>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</si>
  <si>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</si>
  <si>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</si>
  <si>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</si>
  <si>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</si>
  <si>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</si>
  <si>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</si>
  <si>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</si>
  <si>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</si>
  <si>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</si>
  <si>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</si>
  <si>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</si>
  <si>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</si>
  <si>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</si>
  <si>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</si>
  <si>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</si>
  <si>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</si>
  <si>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</si>
  <si>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</si>
  <si>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</si>
  <si>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</si>
  <si>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</si>
  <si>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</si>
  <si>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</si>
  <si>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</si>
  <si>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</si>
  <si>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</si>
  <si>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</si>
  <si>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</si>
  <si>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</si>
  <si>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</si>
  <si>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</si>
  <si>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</si>
  <si>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</si>
  <si>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</si>
  <si>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</si>
  <si>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</si>
  <si>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</si>
  <si>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</si>
  <si>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</si>
  <si>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</si>
  <si>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</si>
  <si>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</si>
  <si>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</si>
  <si>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</si>
  <si>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</si>
  <si>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</si>
  <si>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</si>
  <si>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</si>
  <si>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</si>
  <si>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</si>
  <si>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</si>
  <si>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</si>
  <si>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</si>
  <si>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</si>
  <si>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</si>
  <si>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</si>
  <si>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</si>
  <si>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</si>
  <si>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</si>
  <si>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</si>
  <si>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</si>
  <si>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</si>
  <si>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</si>
  <si>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</si>
  <si>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</si>
  <si>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</si>
  <si>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</si>
  <si>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</si>
  <si>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</si>
  <si>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</si>
  <si>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</si>
  <si>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</si>
  <si>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</si>
  <si>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</si>
  <si>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</si>
  <si>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</si>
  <si>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</si>
  <si>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</si>
  <si>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</si>
  <si>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</si>
  <si>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</si>
  <si>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</si>
  <si>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</si>
  <si>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</si>
  <si>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</si>
  <si>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</si>
  <si>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</si>
  <si>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</si>
  <si>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</si>
  <si>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</si>
  <si>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</si>
  <si>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</si>
  <si>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</si>
  <si>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</si>
  <si>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</si>
  <si>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</si>
  <si>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Deposits</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</si>
  <si>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</si>
  <si>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</si>
  <si>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</si>
  <si>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</si>
  <si>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</si>
  <si>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</si>
  <si>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</si>
  <si>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</si>
  <si>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</si>
  <si>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</si>
  <si>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</si>
  <si>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</si>
  <si>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</si>
  <si>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</si>
  <si>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</si>
  <si>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</si>
  <si>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</si>
  <si>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</si>
  <si>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</si>
  <si>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</si>
  <si>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</si>
  <si>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</si>
  <si>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</si>
  <si>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</si>
  <si>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</si>
  <si>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</si>
  <si>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</si>
  <si>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</si>
  <si>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HTM</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</si>
  <si>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</si>
  <si>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</si>
  <si>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</si>
  <si>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</si>
  <si>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</si>
  <si>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</si>
  <si>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</si>
  <si>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</si>
  <si>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</si>
  <si>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</si>
  <si>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</si>
  <si>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</si>
  <si>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</si>
  <si>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</si>
  <si>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</si>
  <si>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</si>
  <si>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</si>
  <si>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</si>
  <si>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</si>
  <si>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</si>
  <si>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</si>
  <si>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</si>
  <si>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</si>
  <si>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</si>
  <si>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</si>
  <si>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</si>
  <si>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</si>
  <si>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</si>
  <si>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</si>
  <si>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</si>
  <si>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</si>
  <si>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</si>
  <si>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</si>
  <si>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</si>
  <si>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</si>
  <si>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</si>
  <si>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</si>
  <si>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</si>
  <si>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</si>
  <si>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</si>
  <si>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</si>
  <si>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</si>
  <si>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</si>
  <si>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</si>
  <si>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</si>
  <si>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</si>
  <si>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</si>
  <si>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</si>
  <si>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</si>
  <si>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</si>
  <si>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</si>
  <si>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</si>
  <si>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</si>
  <si>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</si>
  <si>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</si>
  <si>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</si>
  <si>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</si>
  <si>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</si>
  <si>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</si>
  <si>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</si>
  <si>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</si>
  <si>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</si>
  <si>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</si>
  <si>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</si>
  <si>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</si>
  <si>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</si>
  <si>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</si>
  <si>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</si>
  <si>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</si>
  <si>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</si>
  <si>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</si>
  <si>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</si>
  <si>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</si>
  <si>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</si>
  <si>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</si>
  <si>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</si>
  <si>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</si>
  <si>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</si>
  <si>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</si>
  <si>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</si>
  <si>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</si>
  <si>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</si>
  <si>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</si>
  <si>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</si>
  <si>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</si>
  <si>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</si>
  <si>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</si>
  <si>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</si>
  <si>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</si>
  <si>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</si>
  <si>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</si>
  <si>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</si>
  <si>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</si>
  <si>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</si>
  <si>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</si>
  <si>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</si>
  <si>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</si>
  <si>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</si>
  <si>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</si>
  <si>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</si>
  <si>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</si>
  <si>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</si>
  <si>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</si>
  <si>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</si>
  <si>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</si>
  <si>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</si>
  <si>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</si>
  <si>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</si>
  <si>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</si>
  <si>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</si>
  <si>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</si>
  <si>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</si>
  <si>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</si>
  <si>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</si>
  <si>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</si>
  <si>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Sheet</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</si>
  <si>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</si>
  <si>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</si>
  <si>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</si>
  <si>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</si>
  <si>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</si>
  <si>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</si>
  <si>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</si>
  <si>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</si>
  <si>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</si>
  <si>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</si>
  <si>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</si>
  <si>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Open_Items</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</si>
  <si>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</si>
  <si>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</si>
  <si>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</si>
  <si>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Change_Log</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</si>
  <si>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</si>
  <si>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</si>
  <si>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</si>
  <si>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</si>
  <si>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</si>
  <si>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</si>
  <si>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</si>
  <si>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</si>
  <si>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</si>
  <si>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</si>
  <si>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</si>
  <si>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</si>
  <si>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</si>
  <si>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</si>
  <si>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</si>
  <si>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</si>
  <si>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</si>
  <si>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</si>
  <si>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</si>
  <si>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</si>
  <si>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</si>
  <si>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</si>
  <si>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</si>
  <si>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</si>
  <si>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</si>
  <si>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</si>
  <si>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</si>
  <si>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</si>
  <si>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</si>
  <si>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</si>
  <si>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</si>
  <si>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</si>
  <si>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</si>
  <si>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</si>
  <si>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</si>
  <si>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</si>
  <si>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</si>
  <si>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</si>
  <si>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</si>
  <si>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</si>
  <si>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</si>
  <si>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</si>
  <si>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</si>
  <si>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</si>
  <si>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</si>
  <si>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</si>
  <si>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</si>
  <si>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</si>
  <si>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</si>
  <si>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</si>
  <si>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</si>
  <si>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</si>
  <si>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</si>
  <si>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</si>
  <si>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</si>
  <si>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</si>
  <si>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</si>
  <si>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</si>
  <si>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</si>
  <si>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</si>
  <si>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</si>
  <si>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</si>
  <si>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</si>
  <si>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</si>
  <si>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</si>
  <si>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</si>
  <si>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</si>
  <si>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</si>
  <si>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</si>
  <si>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</si>
  <si>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</si>
  <si>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</si>
  <si>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</si>
  <si>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</si>
  <si>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</si>
  <si>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</si>
  <si>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</si>
  <si>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</si>
  <si>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</si>
  <si>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</si>
  <si>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</si>
  <si>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</si>
  <si>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</si>
  <si>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</si>
  <si>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</si>
  <si>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</si>
  <si>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</si>
  <si>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</si>
  <si>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</si>
  <si>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</si>
  <si>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</si>
  <si>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</si>
  <si>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</si>
  <si>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</si>
  <si>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</si>
  <si>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</si>
  <si>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</si>
  <si>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</si>
  <si>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</si>
  <si>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</si>
  <si>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</si>
  <si>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</si>
  <si>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</si>
  <si>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</si>
  <si>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</si>
  <si>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</si>
  <si>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</si>
  <si>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</si>
  <si>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</si>
  <si>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</si>
  <si>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</si>
  <si>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</si>
  <si>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</si>
  <si>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</si>
  <si>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</si>
  <si>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</si>
  <si>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</si>
  <si>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</si>
  <si>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</si>
  <si>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</si>
  <si>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</si>
  <si>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</si>
  <si>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</si>
  <si>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</si>
  <si>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</si>
  <si>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</si>
  <si>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</si>
  <si>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</si>
  <si>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</si>
  <si>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</si>
  <si>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</si>
  <si>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</si>
  <si>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</si>
  <si>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</si>
  <si>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</si>
  <si>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</si>
  <si>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</si>
  <si>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</si>
  <si>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</si>
  <si>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</si>
  <si>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</si>
  <si>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</si>
  <si>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</si>
  <si>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</si>
  <si>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</si>
  <si>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</si>
  <si>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</si>
  <si>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</si>
  <si>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</si>
  <si>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</si>
  <si>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</si>
  <si>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</si>
  <si>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</si>
  <si>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</si>
  <si>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</si>
  <si>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</si>
  <si>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</si>
  <si>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</si>
  <si>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</si>
  <si>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</si>
  <si>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</si>
  <si>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</si>
  <si>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</si>
  <si>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</si>
  <si>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</si>
  <si>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</si>
  <si>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</si>
  <si>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</si>
  <si>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</si>
  <si>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</si>
  <si>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</si>
  <si>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</si>
  <si>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</si>
  <si>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</si>
  <si>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</si>
  <si>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</si>
  <si>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</si>
  <si>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</si>
  <si>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</si>
  <si>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</si>
  <si>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</si>
  <si>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</si>
  <si>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</si>
  <si>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</si>
  <si>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</si>
  <si>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</si>
  <si>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</si>
  <si>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</si>
  <si>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</si>
  <si>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</si>
  <si>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</si>
  <si>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</si>
  <si>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</si>
  <si>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</si>
  <si>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</si>
  <si>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</si>
  <si>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</si>
  <si>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</si>
  <si>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</si>
  <si>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</si>
  <si>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</si>
  <si>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</si>
  <si>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</si>
  <si>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</si>
  <si>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</si>
  <si>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</si>
  <si>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</si>
  <si>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</si>
  <si>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</si>
  <si>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</si>
  <si>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</si>
  <si>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</si>
  <si>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</si>
  <si>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</si>
  <si>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</si>
  <si>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</si>
  <si>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</si>
  <si>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</si>
  <si>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</si>
  <si>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</si>
  <si>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</si>
  <si>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</si>
  <si>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</si>
  <si>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</si>
  <si>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</si>
  <si>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</si>
  <si>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</si>
  <si>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</si>
  <si>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</si>
  <si>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</si>
  <si>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</si>
  <si>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</si>
  <si>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</si>
  <si>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</si>
  <si>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</si>
  <si>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</si>
  <si>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</si>
  <si>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</si>
  <si>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</si>
  <si>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</si>
  <si>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</si>
  <si>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</si>
  <si>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</si>
  <si>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</si>
  <si>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</si>
  <si>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</si>
  <si>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</si>
  <si>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</si>
  <si>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</si>
  <si>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</si>
  <si>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</si>
  <si>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</si>
  <si>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</si>
  <si>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</si>
  <si>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</si>
  <si>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</si>
  <si>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</si>
  <si>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</si>
  <si>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</si>
  <si>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</si>
  <si>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</si>
  <si>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</si>
  <si>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</si>
  <si>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</si>
  <si>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</si>
  <si>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</si>
  <si>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</si>
  <si>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</si>
  <si>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</si>
  <si>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MOIC</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</si>
  <si>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</si>
  <si>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</si>
  <si>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</si>
  <si>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</si>
  <si>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</si>
  <si>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</si>
  <si>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</si>
  <si>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</si>
  <si>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</si>
  <si>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</si>
  <si>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</si>
  <si>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</si>
  <si>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</si>
  <si>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</si>
  <si>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</si>
  <si>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</si>
  <si>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</si>
  <si>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</si>
  <si>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</si>
  <si>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</si>
  <si>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</si>
  <si>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</si>
  <si>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</si>
  <si>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</si>
  <si>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</si>
  <si>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</si>
  <si>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</si>
  <si>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</si>
  <si>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</si>
  <si>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</si>
  <si>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</si>
  <si>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</si>
  <si>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</si>
  <si>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</si>
  <si>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</si>
  <si>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</si>
  <si>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</si>
  <si>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</si>
  <si>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</si>
  <si>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</si>
  <si>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</si>
  <si>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</si>
  <si>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</si>
  <si>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</si>
  <si>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</si>
  <si>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</si>
  <si>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</si>
  <si>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</si>
  <si>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</si>
  <si>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</si>
  <si>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</si>
  <si>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</si>
  <si>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</si>
  <si>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</si>
  <si>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</si>
  <si>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</si>
  <si>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</si>
  <si>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</si>
  <si>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</si>
  <si>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</si>
  <si>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</si>
  <si>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</si>
  <si>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</si>
  <si>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</si>
  <si>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</si>
  <si>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</si>
  <si>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</si>
  <si>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</si>
  <si>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</si>
  <si>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</si>
  <si>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</si>
  <si>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</si>
  <si>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</si>
  <si>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</si>
  <si>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</si>
  <si>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</si>
  <si>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</si>
  <si>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</si>
  <si>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</si>
  <si>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</si>
  <si>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</si>
  <si>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</si>
  <si>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</si>
  <si>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</si>
  <si>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</si>
  <si>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</si>
  <si>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</si>
  <si>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</si>
  <si>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</si>
  <si>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</si>
  <si>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</si>
  <si>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</si>
  <si>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</si>
  <si>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</si>
  <si>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</si>
  <si>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</si>
  <si>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</si>
  <si>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</si>
  <si>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</si>
  <si>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</si>
  <si>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</si>
  <si>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</si>
  <si>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</si>
  <si>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</si>
  <si>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</si>
  <si>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</si>
  <si>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</si>
  <si>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</si>
  <si>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</si>
  <si>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</si>
  <si>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</si>
  <si>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</si>
  <si>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</si>
  <si>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</si>
  <si>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</si>
  <si>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</si>
  <si>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</si>
  <si>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</si>
  <si>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</si>
  <si>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</si>
  <si>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</si>
  <si>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</si>
  <si>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</si>
  <si>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</si>
  <si>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</si>
  <si>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</si>
  <si>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</si>
  <si>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</si>
  <si>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</si>
  <si>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</si>
  <si>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</si>
  <si>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</si>
  <si>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</si>
  <si>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</si>
  <si>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</si>
  <si>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</si>
  <si>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</si>
  <si>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</si>
  <si>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</si>
  <si>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</si>
  <si>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</si>
  <si>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</si>
  <si>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</si>
  <si>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</si>
  <si>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</si>
  <si>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</si>
  <si>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</si>
  <si>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</si>
  <si>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</si>
  <si>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</si>
  <si>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</si>
  <si>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</si>
  <si>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</si>
  <si>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</si>
  <si>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</si>
  <si>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</si>
  <si>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</si>
  <si>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</si>
  <si>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</si>
  <si>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</si>
  <si>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</si>
  <si>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</si>
  <si>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</si>
  <si>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</si>
  <si>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</si>
  <si>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</si>
  <si>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</si>
  <si>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</si>
  <si>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</si>
  <si>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</si>
  <si>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</si>
  <si>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</si>
  <si>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</si>
  <si>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</si>
  <si>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</si>
  <si>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</si>
  <si>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</si>
  <si>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</si>
  <si>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</si>
  <si>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</si>
  <si>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</si>
  <si>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</si>
  <si>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</si>
  <si>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</si>
  <si>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</si>
  <si>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</si>
  <si>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</si>
  <si>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</si>
  <si>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</si>
  <si>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</si>
  <si>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</si>
  <si>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</si>
  <si>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</si>
  <si>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</si>
  <si>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</si>
  <si>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</si>
  <si>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</si>
  <si>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</si>
  <si>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</si>
  <si>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</si>
  <si>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</si>
  <si>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</si>
  <si>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</si>
  <si>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</si>
  <si>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</si>
  <si>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</si>
  <si>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</si>
  <si>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</si>
  <si>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</si>
  <si>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</si>
  <si>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</si>
  <si>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</si>
  <si>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</si>
  <si>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</si>
  <si>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</si>
  <si>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</si>
  <si>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</si>
  <si>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</si>
  <si>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</si>
  <si>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</si>
  <si>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</si>
  <si>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</si>
  <si>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</si>
  <si>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</si>
  <si>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</si>
  <si>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</si>
  <si>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</si>
  <si>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</si>
  <si>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</si>
  <si>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</si>
  <si>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</si>
  <si>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</si>
  <si>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</si>
  <si>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</si>
  <si>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</si>
  <si>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</si>
  <si>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</si>
  <si>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</si>
  <si>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</si>
  <si>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</si>
  <si>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</si>
  <si>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</si>
  <si>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</si>
  <si>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</si>
  <si>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</si>
  <si>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</si>
  <si>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</si>
  <si>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</si>
  <si>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</si>
  <si>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Bana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</si>
  <si>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</si>
  <si>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</si>
  <si>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</si>
  <si>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</si>
  <si>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</si>
  <si>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</si>
  <si>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</si>
  <si>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</si>
  <si>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</si>
  <si>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</si>
  <si>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</si>
  <si>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</si>
  <si>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</si>
  <si>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</si>
  <si>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</si>
  <si>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</si>
  <si>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</si>
  <si>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</si>
  <si>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</si>
  <si>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</si>
  <si>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</si>
  <si>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</si>
  <si>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</si>
  <si>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</si>
  <si>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</si>
  <si>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</si>
  <si>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</si>
  <si>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</si>
  <si>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</si>
  <si>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</si>
  <si>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</si>
  <si>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</si>
  <si>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</si>
  <si>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</si>
  <si>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</si>
  <si>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</si>
  <si>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</si>
  <si>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</si>
  <si>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</si>
  <si>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</si>
  <si>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</si>
  <si>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</si>
  <si>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</si>
  <si>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</si>
  <si>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</si>
  <si>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</si>
  <si>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</si>
  <si>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</si>
  <si>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</si>
  <si>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</si>
  <si>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</si>
  <si>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</si>
  <si>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</si>
  <si>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</si>
  <si>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</si>
  <si>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</si>
  <si>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</si>
  <si>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</si>
  <si>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</si>
  <si>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</si>
  <si>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</si>
  <si>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</si>
  <si>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</si>
  <si>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</si>
  <si>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</si>
  <si>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</si>
  <si>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</si>
  <si>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</si>
  <si>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</si>
  <si>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</si>
  <si>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</si>
  <si>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</si>
  <si>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</si>
  <si>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</si>
  <si>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</si>
  <si>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</si>
  <si>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</si>
  <si>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</si>
  <si>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Sheets Comparison, Iváncsa, Dunaújváros, Bana; Control_Panel E6, F6, F11:H22; Inputs E9, H278:J296; Dashboard E211:F240; Run_Map C6:C8, VBA text</t>
  </si>
  <si>
    <t>Model reduced to Bora only: other-project sheets and the Comparison sheet (incl. its 2 charts) deleted, other-project inputs and notes removed, project selector fixed to 1. Dashboard section 11 re-populated with Bora case 2 / case 3 results (was Iváncsa).</t>
  </si>
  <si>
    <t>4 projects (Bora, Iváncsa, Dunaújváros, Bana)</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</si>
  <si>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</si>
  <si>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</si>
  <si>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</si>
  <si>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</si>
  <si>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</si>
  <si>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</si>
  <si>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</si>
  <si>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</si>
  <si>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</si>
  <si>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</si>
  <si>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</si>
  <si>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</si>
  <si>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</si>
  <si>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</si>
  <si>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</si>
  <si>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</si>
  <si>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</si>
  <si>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</si>
  <si>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</si>
  <si>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Dashboard and Cash_Flow</t>
  </si>
  <si>
    <t>Cash_Flow; Dashboard; Inputs; Deposits; HTM; MOIC</t>
  </si>
  <si>
    <t>Inputs E6, E16, E20, E24:E26, E82, E90, E142:E148, E167, E168, E173, E174, E207, E233, E234, E244:E250, E294, G:I case cells, rows 300+; Deposits G7, G11, G12, G18, C28:E34; HTM D178:D192, D227:D254, E21, E27, E35, E36, G32, H29:AQ29, E227:E243, G221:G222, rows 260…302, rows 332+; MOIC G143, H225:N226</t>
  </si>
  <si>
    <t>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</si>
  <si>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200 MW, BESS 100 MW, PB ×1.5, merchant base, 950 k€/MW, 3 cases, tenor 10</t>
  </si>
  <si>
    <t>100 MVA / 140 MW bid / 126 MW built, BESS 40 MW, PB ×1.0, PPA 90 €/MWh 30 yrs, 950 / 500 k€/MW</t>
  </si>
  <si>
    <t>User 22-Oct-2026; projects/bora_v5_summary/SPEC.md</t>
  </si>
  <si>
    <t>Refinancing at COD + 1</t>
  </si>
  <si>
    <t>Inputs; HTM; Dashboard</t>
  </si>
  <si>
    <t>Inputs I7:I8, I217:I220, F217, rows 349–355; HTM rows 77, 81, 83, 85, 87, C87, G158, block 18 (rows 357+); Dashboard returns and key-assumption rows</t>
  </si>
  <si>
    <t>Case 3 refinances at the end of the year after the COD year: old loan repaid (prepayment row), new loan at base gearing + 4 pp, 4.5 %, 15-year annuity, upfront fee; release to equity via the debt rows.</t>
  </si>
  <si>
    <t>Case 3: 64 % at 4.5 % from NTP</t>
  </si>
  <si>
    <t>Case 3: 60 % at 5 %, refinanced at COD + 1 to 64 % at 4.5 %</t>
  </si>
  <si>
    <t>User 22-Oct-2026; SPEC §16</t>
  </si>
  <si>
    <t>OVIT overbuild, clipping curve, Bid_Points</t>
  </si>
  <si>
    <t>Dashboard; Inputs; Bid_Points</t>
  </si>
  <si>
    <t>Dashboard levers, key assumptions, check row; Inputs block U clipping curve and helpers; new sheet Bid_Points; Dash_Bottleneck_Loss removed</t>
  </si>
  <si>
    <t>Overbuild 51 % (max-points band), shortfall 10 %, BESS 30 % × 4 h, municipal 50, community 3; clipping per OVIT memo Table 7 replaces the 5 % rule; Wind HU points sheet linked to the model (ÖSZ-6 top band inclusive).</t>
  </si>
  <si>
    <t>Overbuild 11 %, BESS 0, municipal 0, community 0, 5 % of overbuilt MW lost</t>
  </si>
  <si>
    <t>Overbuild 51 %, BESS 30 MW / 120 MWh, municipal 50, community 3, OVIT clipping curve</t>
  </si>
  <si>
    <t>User 26-Oct-2026; SPEC §17</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</si>
  <si>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</si>
  <si>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</si>
  <si>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</si>
  <si>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</si>
  <si>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</si>
  <si>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</si>
  <si>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</si>
  <si>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</si>
  <si>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</si>
  <si>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</si>
  <si>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</si>
  <si>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Grid connection plan</t>
  </si>
  <si>
    <t>Land contracting (additional land)</t>
  </si>
  <si>
    <t>Legal fee, agent fee</t>
  </si>
  <si>
    <t>Wind measurement</t>
  </si>
  <si>
    <t>Met Masts</t>
  </si>
  <si>
    <t xml:space="preserve">Land reclassification </t>
  </si>
  <si>
    <t xml:space="preserve">Zoning plan modification </t>
  </si>
  <si>
    <t>Municipality donation</t>
  </si>
  <si>
    <t>Donation</t>
  </si>
  <si>
    <t>Environmental assessment</t>
  </si>
  <si>
    <t>Bird-bat monitoring</t>
  </si>
  <si>
    <t xml:space="preserve">Other project development </t>
  </si>
  <si>
    <t>Geotechnical assessment fee</t>
  </si>
  <si>
    <t>Building permit - Turbines</t>
  </si>
  <si>
    <t>Cable right</t>
  </si>
  <si>
    <t>Building permit - Substation, switching station</t>
  </si>
  <si>
    <t>Building permit - BESS</t>
  </si>
  <si>
    <t>HEPURA permit</t>
  </si>
  <si>
    <t xml:space="preserve">Other costs (HR, car etc.) </t>
  </si>
  <si>
    <t xml:space="preserve">RtB </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</si>
  <si>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</si>
  <si>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</si>
  <si>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</si>
  <si>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</si>
  <si>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</si>
  <si>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</si>
  <si>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</si>
  <si>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</si>
  <si>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</si>
  <si>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</si>
  <si>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</si>
  <si>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</si>
  <si>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</si>
  <si>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</si>
  <si>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</si>
  <si>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</si>
  <si>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</si>
  <si>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</si>
  <si>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</si>
  <si>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</si>
  <si>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</si>
  <si>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</si>
  <si>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</si>
  <si>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</si>
  <si>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</si>
  <si>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</si>
  <si>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</si>
  <si>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</si>
  <si>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</si>
  <si>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</si>
  <si>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</si>
  <si>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</si>
  <si>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</si>
  <si>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</si>
  <si>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</si>
  <si>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</si>
  <si>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</si>
  <si>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</si>
  <si>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</si>
  <si>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</si>
  <si>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</si>
  <si>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</si>
  <si>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</si>
  <si>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</si>
  <si>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</si>
  <si>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</si>
  <si>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</si>
  <si>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</si>
  <si>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</si>
  <si>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</si>
  <si>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</si>
  <si>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</si>
  <si>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</si>
  <si>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</si>
  <si>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</si>
  <si>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</si>
  <si>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</si>
  <si>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</si>
  <si>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</si>
  <si>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</si>
  <si>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</si>
  <si>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</si>
  <si>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</si>
  <si>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</si>
  <si>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</si>
  <si>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</si>
  <si>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</si>
  <si>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</si>
  <si>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</si>
  <si>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</si>
  <si>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</si>
  <si>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</si>
  <si>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</si>
  <si>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</si>
  <si>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</si>
  <si>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</si>
  <si>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</si>
  <si>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</si>
  <si>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</si>
  <si>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</si>
  <si>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</si>
  <si>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</si>
  <si>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</si>
  <si>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</si>
  <si>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</si>
  <si>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</si>
  <si>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</si>
  <si>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</si>
  <si>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</si>
  <si>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</si>
  <si>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</si>
  <si>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</si>
  <si>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</si>
  <si>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</si>
  <si>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</si>
  <si>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</si>
  <si>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</si>
  <si>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</si>
  <si>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</si>
  <si>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</si>
  <si>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</si>
  <si>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</si>
  <si>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</si>
  <si>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</si>
  <si>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</si>
  <si>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</si>
  <si>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</si>
  <si>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</si>
  <si>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</si>
  <si>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</si>
  <si>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</si>
  <si>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k€ / mHUF</t>
  </si>
  <si>
    <t>Bank guarantee fee (% p.a., all-in)</t>
  </si>
  <si>
    <t>Cost of capital – cash-funded items (% p.a., Bora MOIC standard)</t>
  </si>
  <si>
    <t>DD costs</t>
  </si>
  <si>
    <t>Case A – profit without cost of capital</t>
  </si>
  <si>
    <t>Less: signing fee</t>
  </si>
  <si>
    <t>Less: DD costs</t>
  </si>
  <si>
    <t>Less: bank guarantee fees (guarantee-backed securities)</t>
  </si>
  <si>
    <t>Less: cost of capital (TSO bond, conn. fee, particip. fee, devex)</t>
  </si>
  <si>
    <t>Case B – profit after cost of capital</t>
  </si>
  <si>
    <t>BORA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</si>
</sst>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00_);_(* \(#,##0.00\);_(* \-??_);_(@_)"/>
    <numFmt numFmtId="165" formatCode="#,##0.0;\(#,##0.0\);\–"/>
    <numFmt numFmtId="166" formatCode="#,##0;\(#,##0\);\–"/>
    <numFmt numFmtId="167" formatCode="0.0%;\(0.0%\);\–"/>
    <numFmt numFmtId="168" formatCode="0;\-0;\–"/>
    <numFmt numFmtId="169" formatCode="0.00\x"/>
    <numFmt numFmtId="170" formatCode="#,##0.00;\(#,##0.00\);\–"/>
    <numFmt numFmtId="171" formatCode="0.0E+00"/>
    <numFmt numFmtId="172" formatCode="0.0%"/>
    <numFmt numFmtId="173" formatCode="d\-mmm\-yy"/>
    <numFmt numFmtId="174" formatCode="_-* #,##0.00_-;\-* #,##0.00_-;_-* \-??_-;_-@_-"/>
    <numFmt numFmtId="175" formatCode="dd\-mmm\-yy"/>
    <numFmt numFmtId="176" formatCode="0.0"/>
    <numFmt numFmtId="177" formatCode="0.0\x"/>
    <numFmt numFmtId="178" formatCode="#,##0;\(#,##0\);\-"/>
    <numFmt numFmtId="179" formatCode="#,##0.0;\(#,##0.0\);\-"/>
    <numFmt numFmtId="180" formatCode="m/d/yyyy"/>
    <numFmt numFmtId="181" formatCode="#,##0.00;\(#,##0.00\);\-"/>
    <numFmt numFmtId="182" formatCode="#,##0.0"/>
    <numFmt numFmtId="183" formatCode="0.000"/>
    <numFmt numFmtId="184" formatCode="0.000\x"/>
    <numFmt numFmtId="185" formatCode="0.0000"/>
    <numFmt numFmtId="186" formatCode="0.000000"/>
    <numFmt numFmtId="187" formatCode="mmm\-yy"/>
    <numFmt numFmtId="188" formatCode="0.000%"/>
    <numFmt numFmtId="189" formatCode="#,##0.000;\(#,##0.000\);\-"/>
    <numFmt numFmtId="190" formatCode="_-* #,##0_-;\-* #,##0_-;_-* \-??_-;_-@_-"/>
    <numFmt numFmtId="191" formatCode="_-* #,##0_-;\-* #,##0_-;_-* \-??_-;_-@"/>
    <numFmt numFmtId="192" formatCode="yyyy\.mm\.dd"/>
    <numFmt numFmtId="193" formatCode="_-* #,##0.0_-;\-* #,##0.0_-;_-* \-??_-;_-@_-"/>
    <numFmt numFmtId="194" formatCode="_(* #,##0.0_);_(* \(#,##0.0\);_(* \-??_);_(@_)"/>
  </numFmts>
  <fonts count="44" x14ac:knownFonts="1">
    <font>
      <sz val="11"/>
      <color theme="1"/>
      <name val="Calibri"/>
      <family val="2"/>
      <charset val="1"/>
    </font>
    <font>
      <b/>
      <sz val="12"/>
      <color rgb="FFFFFFFF"/>
      <name val="Aptos Narrow"/>
      <family val="2"/>
      <charset val="1"/>
    </font>
    <font>
      <sz val="10"/>
      <color rgb="FF000000"/>
      <name val="Aptos Narrow"/>
      <family val="2"/>
      <charset val="1"/>
    </font>
    <font>
      <b/>
      <sz val="10"/>
      <color rgb="FF808080"/>
      <name val="Aptos Narrow"/>
      <family val="2"/>
      <charset val="1"/>
    </font>
    <font>
      <b/>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sz val="10"/>
      <color rgb="FFFFFFFF"/>
      <name val="Aptos Narrow"/>
      <family val="2"/>
      <charset val="1"/>
    </font>
    <font>
      <b/>
      <sz val="10"/>
      <color rgb="FF000000"/>
      <name val="Aptos Narrow"/>
      <family val="2"/>
      <charset val="1"/>
    </font>
    <font>
      <i/>
      <sz val="10"/>
      <color rgb="FF808080"/>
      <name val="Aptos Narrow"/>
      <family val="2"/>
      <charset val="1"/>
    </font>
    <font>
      <sz val="10"/>
      <color theme="1"/>
      <name val="Arial"/>
      <family val="2"/>
      <charset val="1"/>
    </font>
    <font>
      <sz val="11"/>
      <name val="Calibri"/>
      <family val="2"/>
      <charset val="1"/>
    </font>
    <font>
      <b/>
      <sz val="10"/>
      <name val="Aptos Narrow"/>
      <family val="2"/>
      <charset val="1"/>
    </font>
    <font>
      <sz val="10"/>
      <color rgb="FF008000"/>
      <name val="Aptos Narrow"/>
      <family val="2"/>
      <charset val="1"/>
    </font>
    <font>
      <sz val="11"/>
      <color rgb="FF0000FF"/>
      <name val="Calibri"/>
      <family val="2"/>
      <charset val="1"/>
    </font>
    <font>
      <i/>
      <sz val="11"/>
      <color rgb="FF808080"/>
      <name val="Calibri"/>
      <family val="2"/>
      <charset val="1"/>
    </font>
    <font>
      <sz val="10"/>
      <name val="Arial"/>
      <family val="2"/>
    </font>
    <font>
      <b/>
      <sz val="16"/>
      <color rgb="FF0000FF"/>
      <name val="Aptos Narrow"/>
      <family val="2"/>
      <charset val="1"/>
    </font>
    <font>
      <sz val="10"/>
      <color rgb="FF00B050"/>
      <name val="Aptos Narrow"/>
      <charset val="1"/>
    </font>
    <font>
      <sz val="10"/>
      <color rgb="FF000000"/>
      <name val="Aptos Narrow"/>
      <charset val="1"/>
    </font>
    <font>
      <b/>
      <sz val="14"/>
      <color theme="1"/>
      <name val="Calibri"/>
      <family val="2"/>
      <charset val="1"/>
    </font>
    <font>
      <i/>
      <sz val="11"/>
      <color rgb="FF595959"/>
      <name val="Calibri"/>
      <family val="2"/>
      <charset val="1"/>
    </font>
    <font>
      <b/>
      <sz val="11"/>
      <color rgb="FFFFFFFF"/>
      <name val="Calibri"/>
      <family val="2"/>
      <charset val="1"/>
    </font>
    <font>
      <b/>
      <sz val="11"/>
      <color rgb="FF008000"/>
      <name val="Calibri"/>
      <family val="2"/>
      <charset val="1"/>
    </font>
    <font>
      <b/>
      <sz val="11"/>
      <color theme="1"/>
      <name val="Calibri"/>
      <family val="2"/>
      <charset val="1"/>
    </font>
    <font>
      <b/>
      <i/>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sz val="11"/>
      <color theme="1"/>
      <name val="Calibri"/>
      <family val="2"/>
      <charset val="1"/>
    </font>
    <font>
      <b/>
      <i/>
      <sz val="11"/>
      <color theme="1"/>
      <name val="Calibri"/>
      <family val="2"/>
      <charset val="1"/>
    </font>
    <font>
      <sz val="11"/>
      <color rgb="FF808080"/>
      <name val="Calibri"/>
      <family val="2"/>
      <charset val="1"/>
    </font>
    <font>
      <b/>
      <sz val="11"/>
      <color theme="1"/>
      <name val="Calibri"/>
      <family val="2"/>
      <charset val="238"/>
    </font>
    <font>
      <sz val="11"/>
      <color theme="1"/>
      <name val="Calibri"/>
      <family val="2"/>
      <charset val="238"/>
    </font>
    <font>
      <i/>
      <sz val="11"/>
      <color rgb="FFED0000"/>
      <name val="Calibri"/>
      <family val="2"/>
      <charset val="1"/>
    </font>
    <font>
      <b/>
      <sz val="11"/>
      <color rgb="FF000000"/>
      <name val="Calibri"/>
      <family val="2"/>
      <charset val="1"/>
    </font>
    <font>
      <i/>
      <sz val="11"/>
      <color rgb="FF000000"/>
      <name val="Calibri"/>
      <family val="2"/>
      <charset val="1"/>
    </font>
    <font>
      <b/>
      <i/>
      <sz val="11"/>
      <color rgb="FFC00000"/>
      <name val="Calibri"/>
      <family val="2"/>
      <charset val="1"/>
    </font>
    <font>
      <b/>
      <sz val="12"/>
      <color theme="1"/>
      <name val="Calibri"/>
      <family val="2"/>
      <charset val="1"/>
    </font>
    <font>
      <i/>
      <sz val="11"/>
      <color rgb="FF7F7F7F"/>
      <name val="Calibri"/>
      <family val="2"/>
      <charset val="1"/>
    </font>
    <font>
      <sz val="11"/>
      <color theme="1"/>
      <name val="Calibri"/>
      <family val="2"/>
      <charset val="1"/>
    </font>
    <font>
      <sz val="10"/>
      <color rgb="FF7030A0"/>
      <name val="Aptos Narrow"/>
      <family val="2"/>
      <charset val="238"/>
    </font>
    <font>
      <sz val="11"/>
      <color rgb="FF7030A0"/>
      <name val="Calibri"/>
      <family val="2"/>
      <charset val="238"/>
    </font>
  </fonts>
  <fills count="16">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F2F2F2"/>
        <bgColor rgb="FFEDEDED"/>
      </patternFill>
    </fill>
    <fill>
      <patternFill patternType="solid">
        <fgColor rgb="FFC6EFCE"/>
        <bgColor rgb="FFE2EFDA"/>
      </patternFill>
    </fill>
    <fill>
      <patternFill patternType="solid">
        <fgColor theme="0" tint="-4.9989318521683403E-2"/>
        <bgColor indexed="64"/>
      </patternFill>
    </fill>
  </fills>
  <borders count="14">
    <border>
      <left/>
      <right/>
      <top/>
      <bottom/>
      <diagonal/>
    </border>
    <border>
      <left/>
      <right/>
      <top/>
      <bottom style="medium">
        <color rgb="FF3C3C3B"/>
      </bottom>
      <diagonal/>
    </border>
    <border>
      <left style="thin">
        <color rgb="FFBFBFBF"/>
      </left>
      <right style="thin">
        <color rgb="FFBFBFBF"/>
      </right>
      <top style="thin">
        <color rgb="FFBFBFBF"/>
      </top>
      <bottom style="thin">
        <color rgb="FFBFBFBF"/>
      </bottom>
      <diagonal/>
    </border>
    <border>
      <left/>
      <right/>
      <top style="thin">
        <color auto="1"/>
      </top>
      <bottom/>
      <diagonal/>
    </border>
    <border>
      <left style="thin">
        <color rgb="FFBFBFBF"/>
      </left>
      <right/>
      <top/>
      <bottom/>
      <diagonal/>
    </border>
    <border>
      <left/>
      <right/>
      <top/>
      <bottom style="medium">
        <color auto="1"/>
      </bottom>
      <diagonal/>
    </border>
    <border>
      <left style="thin">
        <color rgb="FFBFBFBF"/>
      </left>
      <right style="thin">
        <color rgb="FFBFBFBF"/>
      </right>
      <top style="thin">
        <color rgb="FFBFBFBF"/>
      </top>
      <bottom style="medium">
        <color auto="1"/>
      </bottom>
      <diagonal/>
    </border>
    <border>
      <left style="thin">
        <color rgb="FFBFBFBF"/>
      </left>
      <right style="thin">
        <color rgb="FFBFBFBF"/>
      </right>
      <top/>
      <bottom style="thin">
        <color rgb="FFBFBFBF"/>
      </bottom>
      <diagonal/>
    </border>
    <border>
      <left/>
      <right/>
      <top/>
      <bottom style="thin">
        <color auto="1"/>
      </bottom>
      <diagonal/>
    </border>
    <border>
      <left/>
      <right/>
      <top style="thin">
        <color auto="1"/>
      </top>
      <bottom style="thin">
        <color auto="1"/>
      </bottom>
      <diagonal/>
    </border>
    <border>
      <left/>
      <right/>
      <top style="thin">
        <color rgb="FFBFBFBF"/>
      </top>
      <bottom/>
      <diagonal/>
    </border>
    <border>
      <left/>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thin">
        <color rgb="FFBFBFBF"/>
      </top>
      <bottom/>
      <diagonal/>
    </border>
  </borders>
  <cellStyleXfs count="22">
    <xf numFmtId="0" fontId="0" fillId="0" borderId="0"/>
    <xf numFmtId="164" fontId="41" fillId="0" borderId="0"/>
    <xf numFmtId="9" fontId="41" fillId="0" borderId="0"/>
    <xf numFmtId="0" fontId="41" fillId="2" borderId="0">
      <alignment vertical="center"/>
    </xf>
    <xf numFmtId="164" fontId="41" fillId="0" borderId="0"/>
    <xf numFmtId="0" fontId="1" fillId="3" borderId="0"/>
    <xf numFmtId="0" fontId="2" fillId="0" borderId="0">
      <alignment horizontal="right"/>
    </xf>
    <xf numFmtId="0" fontId="3" fillId="0" borderId="0"/>
    <xf numFmtId="0" fontId="4" fillId="0" borderId="1">
      <alignment horizontal="right"/>
    </xf>
    <xf numFmtId="0" fontId="5" fillId="4" borderId="2">
      <alignment horizontal="right"/>
    </xf>
    <xf numFmtId="0" fontId="2" fillId="0" borderId="0"/>
    <xf numFmtId="0" fontId="6" fillId="0" borderId="0">
      <alignment horizontal="right"/>
    </xf>
    <xf numFmtId="0" fontId="7" fillId="5" borderId="2">
      <alignment horizontal="right"/>
    </xf>
    <xf numFmtId="0" fontId="8" fillId="3" borderId="0"/>
    <xf numFmtId="0" fontId="4" fillId="6" borderId="0"/>
    <xf numFmtId="0" fontId="9" fillId="0" borderId="3">
      <alignment horizontal="right"/>
    </xf>
    <xf numFmtId="0" fontId="10" fillId="0" borderId="0"/>
    <xf numFmtId="0" fontId="41" fillId="0" borderId="0"/>
    <xf numFmtId="0" fontId="11" fillId="0" borderId="0"/>
    <xf numFmtId="0" fontId="41" fillId="0" borderId="0"/>
    <xf numFmtId="0" fontId="12" fillId="0" borderId="0"/>
    <xf numFmtId="0" fontId="41" fillId="0" borderId="0"/>
  </cellStyleXfs>
  <cellXfs count="334">
    <xf numFmtId="0" fontId="0" fillId="0" borderId="0" xfId="0"/>
    <xf numFmtId="0" fontId="1" fillId="3" borderId="0" xfId="5"/>
    <xf numFmtId="0" fontId="4" fillId="0" borderId="1" xfId="8">
      <alignment horizontal="right"/>
    </xf>
    <xf numFmtId="0" fontId="2" fillId="0" borderId="0" xfId="10"/>
    <xf numFmtId="165" fontId="6" fillId="0" borderId="0" xfId="11" applyNumberFormat="1">
      <alignment horizontal="right"/>
    </xf>
    <xf numFmtId="166" fontId="6" fillId="0" borderId="0" xfId="11" applyNumberFormat="1">
      <alignment horizontal="right"/>
    </xf>
    <xf numFmtId="166" fontId="2" fillId="0" borderId="0" xfId="6" applyNumberFormat="1">
      <alignment horizontal="right"/>
    </xf>
    <xf numFmtId="0" fontId="10" fillId="0" borderId="0" xfId="16"/>
    <xf numFmtId="1" fontId="4" fillId="0" borderId="1" xfId="8" applyNumberFormat="1">
      <alignment horizontal="right"/>
    </xf>
    <xf numFmtId="0" fontId="4" fillId="6" borderId="0" xfId="14"/>
    <xf numFmtId="0" fontId="4" fillId="6" borderId="0" xfId="14" applyAlignment="1">
      <alignment horizontal="center"/>
    </xf>
    <xf numFmtId="165" fontId="2" fillId="0" borderId="0" xfId="6" applyNumberFormat="1">
      <alignment horizontal="right"/>
    </xf>
    <xf numFmtId="0" fontId="13" fillId="0" borderId="0" xfId="10" applyFont="1"/>
    <xf numFmtId="165" fontId="9" fillId="0" borderId="3" xfId="15" applyNumberFormat="1">
      <alignment horizontal="right"/>
    </xf>
    <xf numFmtId="166" fontId="9" fillId="0" borderId="3" xfId="15" applyNumberFormat="1">
      <alignment horizontal="right"/>
    </xf>
    <xf numFmtId="0" fontId="10" fillId="0" borderId="0" xfId="10" applyFont="1"/>
    <xf numFmtId="165" fontId="10" fillId="0" borderId="0" xfId="6" applyNumberFormat="1" applyFont="1">
      <alignment horizontal="right"/>
    </xf>
    <xf numFmtId="166" fontId="10" fillId="0" borderId="0" xfId="6" applyNumberFormat="1" applyFont="1">
      <alignment horizontal="right"/>
    </xf>
    <xf numFmtId="0" fontId="10" fillId="0" borderId="0" xfId="0" applyFont="1"/>
    <xf numFmtId="1" fontId="9" fillId="0" borderId="3" xfId="15" applyNumberFormat="1">
      <alignment horizontal="right"/>
    </xf>
    <xf numFmtId="1" fontId="2" fillId="0" borderId="0" xfId="6" applyNumberFormat="1">
      <alignment horizontal="right"/>
    </xf>
    <xf numFmtId="0" fontId="3" fillId="0" borderId="0" xfId="7"/>
    <xf numFmtId="0" fontId="9" fillId="0" borderId="3" xfId="15">
      <alignment horizontal="right"/>
    </xf>
    <xf numFmtId="0" fontId="8" fillId="3" borderId="0" xfId="13"/>
    <xf numFmtId="49" fontId="5" fillId="4" borderId="2" xfId="9" applyNumberFormat="1" applyAlignment="1">
      <alignment horizontal="left"/>
    </xf>
    <xf numFmtId="166" fontId="5" fillId="4" borderId="2" xfId="9" applyNumberFormat="1">
      <alignment horizontal="right"/>
    </xf>
    <xf numFmtId="165" fontId="5" fillId="4" borderId="2" xfId="9" applyNumberFormat="1">
      <alignment horizontal="right"/>
    </xf>
    <xf numFmtId="166" fontId="14" fillId="4" borderId="2" xfId="9" applyNumberFormat="1" applyFont="1">
      <alignment horizontal="right"/>
    </xf>
    <xf numFmtId="166" fontId="2" fillId="4" borderId="2" xfId="9" applyNumberFormat="1" applyFont="1">
      <alignment horizontal="right"/>
    </xf>
    <xf numFmtId="9" fontId="15" fillId="0" borderId="0" xfId="0" applyNumberFormat="1" applyFont="1"/>
    <xf numFmtId="0" fontId="16" fillId="0" borderId="0" xfId="0" applyFont="1"/>
    <xf numFmtId="167" fontId="6" fillId="0" borderId="0" xfId="11" applyNumberFormat="1">
      <alignment horizontal="right"/>
    </xf>
    <xf numFmtId="2" fontId="2" fillId="0" borderId="0" xfId="6" applyNumberFormat="1">
      <alignment horizontal="right"/>
    </xf>
    <xf numFmtId="1" fontId="6" fillId="0" borderId="0" xfId="11" applyNumberFormat="1">
      <alignment horizontal="right"/>
    </xf>
    <xf numFmtId="167" fontId="5" fillId="4" borderId="2" xfId="9" applyNumberFormat="1">
      <alignment horizontal="right"/>
    </xf>
    <xf numFmtId="168" fontId="5" fillId="4" borderId="2" xfId="9" applyNumberFormat="1">
      <alignment horizontal="right"/>
    </xf>
    <xf numFmtId="169" fontId="5" fillId="4" borderId="2" xfId="9" applyNumberFormat="1">
      <alignment horizontal="right"/>
    </xf>
    <xf numFmtId="170" fontId="5" fillId="4" borderId="2" xfId="9" applyNumberFormat="1">
      <alignment horizontal="right"/>
    </xf>
    <xf numFmtId="168" fontId="2" fillId="0" borderId="0" xfId="6" applyNumberFormat="1">
      <alignment horizontal="right"/>
    </xf>
    <xf numFmtId="2" fontId="9" fillId="0" borderId="3" xfId="15" applyNumberFormat="1">
      <alignment horizontal="right"/>
    </xf>
    <xf numFmtId="166" fontId="0" fillId="0" borderId="0" xfId="0" applyNumberFormat="1"/>
    <xf numFmtId="10" fontId="9" fillId="0" borderId="3" xfId="2" applyNumberFormat="1" applyFont="1" applyBorder="1" applyAlignment="1">
      <alignment horizontal="right"/>
    </xf>
    <xf numFmtId="10" fontId="0" fillId="0" borderId="0" xfId="0" applyNumberFormat="1"/>
    <xf numFmtId="167" fontId="2" fillId="0" borderId="0" xfId="6" applyNumberFormat="1">
      <alignment horizontal="right"/>
    </xf>
    <xf numFmtId="165" fontId="9" fillId="0" borderId="0" xfId="6" applyNumberFormat="1" applyFont="1">
      <alignment horizontal="right"/>
    </xf>
    <xf numFmtId="0" fontId="4" fillId="0" borderId="1" xfId="8" applyAlignment="1">
      <alignment horizontal="right" wrapText="1"/>
    </xf>
    <xf numFmtId="2" fontId="7" fillId="5" borderId="2" xfId="12" applyNumberFormat="1">
      <alignment horizontal="right"/>
    </xf>
    <xf numFmtId="171" fontId="2" fillId="0" borderId="0" xfId="6" applyNumberFormat="1">
      <alignment horizontal="right"/>
    </xf>
    <xf numFmtId="167" fontId="7" fillId="5" borderId="2" xfId="12" applyNumberFormat="1">
      <alignment horizontal="right"/>
    </xf>
    <xf numFmtId="165" fontId="7" fillId="5" borderId="2" xfId="12" applyNumberFormat="1">
      <alignment horizontal="right"/>
    </xf>
    <xf numFmtId="169" fontId="6" fillId="0" borderId="0" xfId="11" applyNumberFormat="1">
      <alignment horizontal="right"/>
    </xf>
    <xf numFmtId="169" fontId="7" fillId="5" borderId="2" xfId="12" applyNumberFormat="1">
      <alignment horizontal="right"/>
    </xf>
    <xf numFmtId="1" fontId="7" fillId="5" borderId="2" xfId="12" applyNumberFormat="1">
      <alignment horizontal="right"/>
    </xf>
    <xf numFmtId="166" fontId="7" fillId="5" borderId="2" xfId="12" applyNumberFormat="1">
      <alignment horizontal="right"/>
    </xf>
    <xf numFmtId="170" fontId="2" fillId="0" borderId="0" xfId="6" applyNumberFormat="1">
      <alignment horizontal="right"/>
    </xf>
    <xf numFmtId="9" fontId="5" fillId="4" borderId="2" xfId="9" applyNumberFormat="1">
      <alignment horizontal="right"/>
    </xf>
    <xf numFmtId="49" fontId="6" fillId="0" borderId="0" xfId="11" applyNumberFormat="1">
      <alignment horizontal="right"/>
    </xf>
    <xf numFmtId="172" fontId="5" fillId="4" borderId="2" xfId="9" applyNumberFormat="1">
      <alignment horizontal="right"/>
    </xf>
    <xf numFmtId="0" fontId="2" fillId="0" borderId="0" xfId="6">
      <alignment horizontal="right"/>
    </xf>
    <xf numFmtId="173" fontId="6" fillId="0" borderId="0" xfId="11" applyNumberFormat="1">
      <alignment horizontal="right"/>
    </xf>
    <xf numFmtId="168" fontId="6" fillId="0" borderId="0" xfId="11" applyNumberFormat="1">
      <alignment horizontal="right"/>
    </xf>
    <xf numFmtId="172" fontId="6" fillId="0" borderId="0" xfId="11" applyNumberFormat="1">
      <alignment horizontal="right"/>
    </xf>
    <xf numFmtId="10" fontId="6" fillId="0" borderId="0" xfId="11" applyNumberFormat="1">
      <alignment horizontal="right"/>
    </xf>
    <xf numFmtId="9" fontId="0" fillId="0" borderId="0" xfId="0" applyNumberFormat="1"/>
    <xf numFmtId="174" fontId="41" fillId="0" borderId="0" xfId="1" applyNumberFormat="1"/>
    <xf numFmtId="0" fontId="1" fillId="3" borderId="0" xfId="0" applyFont="1" applyFill="1"/>
    <xf numFmtId="0" fontId="18" fillId="4" borderId="2" xfId="0" applyFont="1" applyFill="1" applyBorder="1" applyAlignment="1">
      <alignment horizontal="left"/>
    </xf>
    <xf numFmtId="0" fontId="2" fillId="0" borderId="0" xfId="0" applyFont="1"/>
    <xf numFmtId="3" fontId="5" fillId="4" borderId="2" xfId="0" applyNumberFormat="1" applyFont="1" applyFill="1" applyBorder="1" applyAlignment="1">
      <alignment horizontal="right"/>
    </xf>
    <xf numFmtId="0" fontId="8" fillId="3" borderId="0" xfId="0" applyFont="1" applyFill="1"/>
    <xf numFmtId="0" fontId="8" fillId="3" borderId="0" xfId="0" applyFont="1" applyFill="1" applyAlignment="1">
      <alignment horizontal="right"/>
    </xf>
    <xf numFmtId="166" fontId="19" fillId="0" borderId="2" xfId="0" applyNumberFormat="1" applyFont="1" applyBorder="1" applyAlignment="1">
      <alignment horizontal="right"/>
    </xf>
    <xf numFmtId="166" fontId="5" fillId="4" borderId="2" xfId="0" applyNumberFormat="1" applyFont="1" applyFill="1" applyBorder="1" applyAlignment="1">
      <alignment horizontal="right"/>
    </xf>
    <xf numFmtId="167" fontId="19" fillId="0" borderId="2" xfId="0" applyNumberFormat="1" applyFont="1" applyBorder="1" applyAlignment="1">
      <alignment horizontal="right"/>
    </xf>
    <xf numFmtId="167" fontId="5" fillId="4" borderId="2" xfId="0" applyNumberFormat="1" applyFont="1" applyFill="1" applyBorder="1" applyAlignment="1">
      <alignment horizontal="right"/>
    </xf>
    <xf numFmtId="168" fontId="19" fillId="0" borderId="2" xfId="0" applyNumberFormat="1" applyFont="1" applyBorder="1" applyAlignment="1">
      <alignment horizontal="right"/>
    </xf>
    <xf numFmtId="168" fontId="5" fillId="4" borderId="2" xfId="0" applyNumberFormat="1" applyFont="1" applyFill="1" applyBorder="1" applyAlignment="1">
      <alignment horizontal="right"/>
    </xf>
    <xf numFmtId="0" fontId="2" fillId="0" borderId="5" xfId="0" applyFont="1" applyBorder="1"/>
    <xf numFmtId="0" fontId="10" fillId="0" borderId="5" xfId="0" applyFont="1" applyBorder="1"/>
    <xf numFmtId="169" fontId="19" fillId="0" borderId="6" xfId="0" applyNumberFormat="1" applyFont="1" applyBorder="1" applyAlignment="1">
      <alignment horizontal="right"/>
    </xf>
    <xf numFmtId="169" fontId="5" fillId="4" borderId="6" xfId="0" applyNumberFormat="1" applyFont="1" applyFill="1" applyBorder="1" applyAlignment="1">
      <alignment horizontal="right"/>
    </xf>
    <xf numFmtId="168" fontId="19" fillId="0" borderId="7" xfId="0" applyNumberFormat="1" applyFont="1" applyBorder="1" applyAlignment="1">
      <alignment horizontal="right"/>
    </xf>
    <xf numFmtId="168" fontId="5" fillId="4" borderId="7" xfId="0" applyNumberFormat="1" applyFont="1" applyFill="1" applyBorder="1" applyAlignment="1">
      <alignment horizontal="right"/>
    </xf>
    <xf numFmtId="166" fontId="2" fillId="0" borderId="0" xfId="0" applyNumberFormat="1" applyFont="1" applyAlignment="1">
      <alignment horizontal="right"/>
    </xf>
    <xf numFmtId="165" fontId="2" fillId="0" borderId="0" xfId="0" applyNumberFormat="1" applyFont="1" applyAlignment="1">
      <alignment horizontal="right"/>
    </xf>
    <xf numFmtId="0" fontId="13" fillId="0" borderId="0" xfId="0" applyFont="1"/>
    <xf numFmtId="170" fontId="9" fillId="0" borderId="3" xfId="0" applyNumberFormat="1" applyFont="1" applyBorder="1" applyAlignment="1">
      <alignment horizontal="right"/>
    </xf>
    <xf numFmtId="175" fontId="19" fillId="0" borderId="2" xfId="0" applyNumberFormat="1" applyFont="1" applyBorder="1" applyAlignment="1">
      <alignment horizontal="right"/>
    </xf>
    <xf numFmtId="175" fontId="5" fillId="4" borderId="2" xfId="0" applyNumberFormat="1" applyFont="1" applyFill="1" applyBorder="1" applyAlignment="1">
      <alignment horizontal="right"/>
    </xf>
    <xf numFmtId="0" fontId="8" fillId="3" borderId="0" xfId="0" applyFont="1" applyFill="1" applyAlignment="1">
      <alignment horizontal="center"/>
    </xf>
    <xf numFmtId="175" fontId="2" fillId="0" borderId="0" xfId="0" applyNumberFormat="1" applyFont="1" applyAlignment="1">
      <alignment horizontal="right"/>
    </xf>
    <xf numFmtId="0" fontId="2" fillId="7" borderId="0" xfId="0" applyFont="1" applyFill="1"/>
    <xf numFmtId="0" fontId="10" fillId="7" borderId="0" xfId="0" applyFont="1" applyFill="1"/>
    <xf numFmtId="166" fontId="2" fillId="7" borderId="0" xfId="0" applyNumberFormat="1" applyFont="1" applyFill="1" applyAlignment="1">
      <alignment horizontal="right"/>
    </xf>
    <xf numFmtId="0" fontId="20" fillId="7" borderId="0" xfId="0" applyFont="1" applyFill="1"/>
    <xf numFmtId="175" fontId="2" fillId="7" borderId="0" xfId="0" applyNumberFormat="1" applyFont="1" applyFill="1" applyAlignment="1">
      <alignment horizontal="right"/>
    </xf>
    <xf numFmtId="0" fontId="2" fillId="8" borderId="0" xfId="0" applyFont="1" applyFill="1"/>
    <xf numFmtId="0" fontId="10" fillId="8" borderId="0" xfId="0" applyFont="1" applyFill="1"/>
    <xf numFmtId="166" fontId="2" fillId="8" borderId="0" xfId="0" applyNumberFormat="1" applyFont="1" applyFill="1" applyAlignment="1">
      <alignment horizontal="right"/>
    </xf>
    <xf numFmtId="0" fontId="20" fillId="8" borderId="0" xfId="0" applyFont="1" applyFill="1"/>
    <xf numFmtId="175" fontId="2" fillId="8" borderId="0" xfId="0" applyNumberFormat="1" applyFont="1" applyFill="1" applyAlignment="1">
      <alignment horizontal="right"/>
    </xf>
    <xf numFmtId="166" fontId="2" fillId="0" borderId="8" xfId="0" applyNumberFormat="1" applyFont="1" applyBorder="1" applyAlignment="1">
      <alignment horizontal="right"/>
    </xf>
    <xf numFmtId="166" fontId="9" fillId="0" borderId="3" xfId="0" applyNumberFormat="1" applyFont="1" applyBorder="1" applyAlignment="1">
      <alignment horizontal="right"/>
    </xf>
    <xf numFmtId="166" fontId="9" fillId="0" borderId="9" xfId="0" applyNumberFormat="1" applyFont="1" applyBorder="1" applyAlignment="1">
      <alignment horizontal="right"/>
    </xf>
    <xf numFmtId="166" fontId="9" fillId="0" borderId="0" xfId="0" applyNumberFormat="1" applyFont="1" applyAlignment="1">
      <alignment horizontal="right"/>
    </xf>
    <xf numFmtId="1" fontId="5" fillId="4" borderId="0" xfId="0" applyNumberFormat="1" applyFont="1" applyFill="1" applyAlignment="1">
      <alignment horizontal="right"/>
    </xf>
    <xf numFmtId="166" fontId="20" fillId="0" borderId="0" xfId="0" applyNumberFormat="1" applyFont="1"/>
    <xf numFmtId="165" fontId="19" fillId="0" borderId="0" xfId="0" applyNumberFormat="1" applyFont="1" applyAlignment="1">
      <alignment horizontal="right"/>
    </xf>
    <xf numFmtId="170" fontId="2" fillId="0" borderId="0" xfId="0" applyNumberFormat="1" applyFont="1" applyAlignment="1">
      <alignment horizontal="right"/>
    </xf>
    <xf numFmtId="175" fontId="5" fillId="4" borderId="2" xfId="0" applyNumberFormat="1" applyFont="1" applyFill="1" applyBorder="1" applyAlignment="1">
      <alignment horizontal="left"/>
    </xf>
    <xf numFmtId="175" fontId="2" fillId="0" borderId="0" xfId="0" applyNumberFormat="1" applyFont="1" applyAlignment="1">
      <alignment horizontal="left"/>
    </xf>
    <xf numFmtId="0" fontId="2" fillId="0" borderId="0" xfId="0" applyFont="1" applyAlignment="1">
      <alignment horizontal="right"/>
    </xf>
    <xf numFmtId="0" fontId="9" fillId="0" borderId="10" xfId="0" applyFont="1" applyBorder="1"/>
    <xf numFmtId="0" fontId="10" fillId="0" borderId="10" xfId="0" applyFont="1" applyBorder="1"/>
    <xf numFmtId="2" fontId="5" fillId="4" borderId="11" xfId="0" applyNumberFormat="1" applyFont="1" applyFill="1" applyBorder="1" applyAlignment="1">
      <alignment horizontal="right"/>
    </xf>
    <xf numFmtId="0" fontId="2" fillId="0" borderId="10" xfId="0" applyFont="1" applyBorder="1"/>
    <xf numFmtId="168" fontId="2" fillId="0" borderId="0" xfId="0" applyNumberFormat="1" applyFont="1" applyAlignment="1">
      <alignment horizontal="right"/>
    </xf>
    <xf numFmtId="3" fontId="5" fillId="4" borderId="0" xfId="0" applyNumberFormat="1" applyFont="1" applyFill="1" applyAlignment="1">
      <alignment horizontal="right"/>
    </xf>
    <xf numFmtId="168" fontId="5" fillId="4" borderId="0" xfId="0" applyNumberFormat="1" applyFont="1" applyFill="1" applyAlignment="1">
      <alignment horizontal="right"/>
    </xf>
    <xf numFmtId="176" fontId="5" fillId="4" borderId="0" xfId="0" applyNumberFormat="1" applyFont="1" applyFill="1" applyAlignment="1">
      <alignment horizontal="right"/>
    </xf>
    <xf numFmtId="172" fontId="5" fillId="4" borderId="0" xfId="0" applyNumberFormat="1" applyFont="1" applyFill="1" applyAlignment="1">
      <alignment horizontal="right"/>
    </xf>
    <xf numFmtId="177" fontId="5" fillId="4" borderId="0" xfId="0" applyNumberFormat="1" applyFont="1" applyFill="1" applyAlignment="1">
      <alignment horizontal="right"/>
    </xf>
    <xf numFmtId="0" fontId="5" fillId="4" borderId="0" xfId="0" applyFont="1" applyFill="1" applyAlignment="1">
      <alignment horizontal="right"/>
    </xf>
    <xf numFmtId="0" fontId="21" fillId="0" borderId="0" xfId="0" applyFont="1"/>
    <xf numFmtId="0" fontId="22" fillId="0" borderId="0" xfId="0" applyFont="1"/>
    <xf numFmtId="0" fontId="23" fillId="9" borderId="0" xfId="0" applyFont="1" applyFill="1"/>
    <xf numFmtId="0" fontId="24" fillId="10" borderId="0" xfId="0" applyFont="1" applyFill="1"/>
    <xf numFmtId="0" fontId="15" fillId="0" borderId="0" xfId="0" applyFont="1"/>
    <xf numFmtId="0" fontId="24" fillId="7" borderId="0" xfId="0" applyFont="1" applyFill="1"/>
    <xf numFmtId="0" fontId="25" fillId="11" borderId="0" xfId="0" applyFont="1" applyFill="1"/>
    <xf numFmtId="0" fontId="26" fillId="11" borderId="0" xfId="0" applyFont="1" applyFill="1"/>
    <xf numFmtId="3" fontId="0" fillId="0" borderId="0" xfId="0" applyNumberFormat="1"/>
    <xf numFmtId="3" fontId="22" fillId="0" borderId="0" xfId="0" applyNumberFormat="1" applyFont="1"/>
    <xf numFmtId="3" fontId="15" fillId="10" borderId="0" xfId="0" applyNumberFormat="1" applyFont="1" applyFill="1"/>
    <xf numFmtId="172" fontId="0" fillId="0" borderId="0" xfId="0" applyNumberFormat="1"/>
    <xf numFmtId="172" fontId="22" fillId="0" borderId="0" xfId="0" applyNumberFormat="1" applyFont="1"/>
    <xf numFmtId="172" fontId="15" fillId="10" borderId="0" xfId="0" applyNumberFormat="1" applyFont="1" applyFill="1"/>
    <xf numFmtId="172" fontId="27" fillId="10" borderId="0" xfId="0" applyNumberFormat="1" applyFont="1" applyFill="1"/>
    <xf numFmtId="3" fontId="15" fillId="4" borderId="0" xfId="0" applyNumberFormat="1" applyFont="1" applyFill="1"/>
    <xf numFmtId="178" fontId="0" fillId="0" borderId="0" xfId="0" applyNumberFormat="1"/>
    <xf numFmtId="178" fontId="22" fillId="0" borderId="0" xfId="0" applyNumberFormat="1" applyFont="1"/>
    <xf numFmtId="178" fontId="15" fillId="4" borderId="0" xfId="0" applyNumberFormat="1" applyFont="1" applyFill="1"/>
    <xf numFmtId="178" fontId="15" fillId="10" borderId="0" xfId="0" applyNumberFormat="1" applyFont="1" applyFill="1"/>
    <xf numFmtId="173" fontId="0" fillId="0" borderId="0" xfId="0" applyNumberFormat="1"/>
    <xf numFmtId="173" fontId="22" fillId="0" borderId="0" xfId="0" applyNumberFormat="1" applyFont="1"/>
    <xf numFmtId="173" fontId="15" fillId="10" borderId="0" xfId="0" applyNumberFormat="1" applyFont="1" applyFill="1"/>
    <xf numFmtId="1" fontId="0" fillId="0" borderId="0" xfId="0" applyNumberFormat="1"/>
    <xf numFmtId="1" fontId="22" fillId="0" borderId="0" xfId="0" applyNumberFormat="1" applyFont="1"/>
    <xf numFmtId="1" fontId="15" fillId="4" borderId="0" xfId="0" applyNumberFormat="1" applyFont="1" applyFill="1"/>
    <xf numFmtId="1" fontId="15" fillId="10" borderId="0" xfId="0" applyNumberFormat="1" applyFont="1" applyFill="1"/>
    <xf numFmtId="172" fontId="15" fillId="4" borderId="0" xfId="0" applyNumberFormat="1" applyFont="1" applyFill="1"/>
    <xf numFmtId="179" fontId="0" fillId="0" borderId="0" xfId="0" applyNumberFormat="1"/>
    <xf numFmtId="179" fontId="22" fillId="0" borderId="0" xfId="0" applyNumberFormat="1" applyFont="1"/>
    <xf numFmtId="179" fontId="15" fillId="10" borderId="0" xfId="0" applyNumberFormat="1" applyFont="1" applyFill="1"/>
    <xf numFmtId="4" fontId="22" fillId="0" borderId="0" xfId="0" applyNumberFormat="1" applyFont="1"/>
    <xf numFmtId="169" fontId="0" fillId="0" borderId="0" xfId="0" applyNumberFormat="1"/>
    <xf numFmtId="169" fontId="22" fillId="0" borderId="0" xfId="0" applyNumberFormat="1" applyFont="1"/>
    <xf numFmtId="169" fontId="15" fillId="10" borderId="0" xfId="0" applyNumberFormat="1" applyFont="1" applyFill="1"/>
    <xf numFmtId="180" fontId="27" fillId="0" borderId="0" xfId="0" applyNumberFormat="1" applyFont="1"/>
    <xf numFmtId="180" fontId="15" fillId="10" borderId="0" xfId="0" applyNumberFormat="1" applyFont="1" applyFill="1"/>
    <xf numFmtId="172" fontId="27" fillId="0" borderId="0" xfId="0" applyNumberFormat="1" applyFont="1"/>
    <xf numFmtId="1" fontId="27" fillId="0" borderId="0" xfId="0" applyNumberFormat="1" applyFont="1"/>
    <xf numFmtId="49" fontId="22" fillId="0" borderId="0" xfId="0" applyNumberFormat="1" applyFont="1"/>
    <xf numFmtId="181" fontId="0" fillId="0" borderId="0" xfId="0" applyNumberFormat="1"/>
    <xf numFmtId="181" fontId="15" fillId="10" borderId="0" xfId="0" applyNumberFormat="1" applyFont="1" applyFill="1"/>
    <xf numFmtId="10" fontId="22" fillId="0" borderId="0" xfId="0" applyNumberFormat="1" applyFont="1"/>
    <xf numFmtId="10" fontId="15" fillId="10" borderId="0" xfId="0" applyNumberFormat="1" applyFont="1" applyFill="1"/>
    <xf numFmtId="181" fontId="15" fillId="4" borderId="0" xfId="0" applyNumberFormat="1" applyFont="1" applyFill="1"/>
    <xf numFmtId="1" fontId="0" fillId="7" borderId="0" xfId="0" applyNumberFormat="1" applyFill="1"/>
    <xf numFmtId="0" fontId="15" fillId="10" borderId="0" xfId="0" applyFont="1" applyFill="1"/>
    <xf numFmtId="172" fontId="0" fillId="7" borderId="0" xfId="0" applyNumberFormat="1" applyFill="1"/>
    <xf numFmtId="179" fontId="28" fillId="4" borderId="0" xfId="0" applyNumberFormat="1" applyFont="1" applyFill="1"/>
    <xf numFmtId="179" fontId="15" fillId="4" borderId="0" xfId="0" applyNumberFormat="1" applyFont="1" applyFill="1"/>
    <xf numFmtId="182" fontId="0" fillId="0" borderId="0" xfId="0" applyNumberFormat="1"/>
    <xf numFmtId="182" fontId="28" fillId="4" borderId="0" xfId="0" applyNumberFormat="1" applyFont="1" applyFill="1"/>
    <xf numFmtId="182" fontId="15" fillId="4" borderId="0" xfId="0" applyNumberFormat="1" applyFont="1" applyFill="1"/>
    <xf numFmtId="182" fontId="15" fillId="7" borderId="0" xfId="0" applyNumberFormat="1" applyFont="1" applyFill="1"/>
    <xf numFmtId="3" fontId="15" fillId="7" borderId="0" xfId="0" applyNumberFormat="1" applyFont="1" applyFill="1"/>
    <xf numFmtId="182" fontId="29" fillId="7" borderId="0" xfId="0" applyNumberFormat="1" applyFont="1" applyFill="1"/>
    <xf numFmtId="172" fontId="15" fillId="7" borderId="0" xfId="0" applyNumberFormat="1" applyFont="1" applyFill="1"/>
    <xf numFmtId="182" fontId="15" fillId="10" borderId="0" xfId="0" applyNumberFormat="1" applyFont="1" applyFill="1"/>
    <xf numFmtId="3" fontId="28" fillId="4" borderId="0" xfId="0" applyNumberFormat="1" applyFont="1" applyFill="1"/>
    <xf numFmtId="2" fontId="0" fillId="0" borderId="0" xfId="0" applyNumberFormat="1"/>
    <xf numFmtId="2" fontId="15" fillId="10" borderId="0" xfId="0" applyNumberFormat="1" applyFont="1" applyFill="1"/>
    <xf numFmtId="2" fontId="15" fillId="4" borderId="0" xfId="0" applyNumberFormat="1" applyFont="1" applyFill="1"/>
    <xf numFmtId="1" fontId="15" fillId="7" borderId="0" xfId="0" applyNumberFormat="1" applyFont="1" applyFill="1"/>
    <xf numFmtId="10" fontId="15" fillId="7" borderId="0" xfId="0" applyNumberFormat="1" applyFont="1" applyFill="1"/>
    <xf numFmtId="172" fontId="27" fillId="7" borderId="0" xfId="0" applyNumberFormat="1" applyFont="1" applyFill="1"/>
    <xf numFmtId="182" fontId="0" fillId="7" borderId="0" xfId="0" applyNumberFormat="1" applyFill="1"/>
    <xf numFmtId="2" fontId="0" fillId="7" borderId="0" xfId="0" applyNumberFormat="1" applyFill="1"/>
    <xf numFmtId="9" fontId="15" fillId="7" borderId="0" xfId="0" applyNumberFormat="1" applyFont="1" applyFill="1"/>
    <xf numFmtId="173" fontId="15" fillId="7" borderId="0" xfId="0" applyNumberFormat="1" applyFont="1" applyFill="1"/>
    <xf numFmtId="0" fontId="0" fillId="12" borderId="0" xfId="0" applyFill="1" applyAlignment="1">
      <alignment horizontal="right"/>
    </xf>
    <xf numFmtId="169" fontId="15" fillId="7" borderId="0" xfId="0" applyNumberFormat="1" applyFont="1" applyFill="1"/>
    <xf numFmtId="9" fontId="15" fillId="4" borderId="0" xfId="0" applyNumberFormat="1" applyFont="1" applyFill="1"/>
    <xf numFmtId="9" fontId="0" fillId="7" borderId="0" xfId="0" applyNumberFormat="1" applyFill="1"/>
    <xf numFmtId="0" fontId="0" fillId="4" borderId="0" xfId="0" applyFill="1"/>
    <xf numFmtId="169" fontId="15" fillId="4" borderId="0" xfId="0" applyNumberFormat="1" applyFont="1" applyFill="1"/>
    <xf numFmtId="0" fontId="25" fillId="0" borderId="0" xfId="0" applyFont="1"/>
    <xf numFmtId="0" fontId="15" fillId="4" borderId="0" xfId="0" applyFont="1" applyFill="1"/>
    <xf numFmtId="9" fontId="22" fillId="0" borderId="0" xfId="0" applyNumberFormat="1" applyFont="1"/>
    <xf numFmtId="183" fontId="0" fillId="0" borderId="0" xfId="0" applyNumberFormat="1"/>
    <xf numFmtId="183" fontId="22" fillId="0" borderId="0" xfId="0" applyNumberFormat="1" applyFont="1"/>
    <xf numFmtId="3" fontId="29" fillId="0" borderId="0" xfId="0" applyNumberFormat="1" applyFont="1"/>
    <xf numFmtId="184" fontId="0" fillId="0" borderId="0" xfId="0" applyNumberFormat="1"/>
    <xf numFmtId="184" fontId="22" fillId="0" borderId="0" xfId="0" applyNumberFormat="1" applyFont="1"/>
    <xf numFmtId="166" fontId="15" fillId="4" borderId="0" xfId="0" applyNumberFormat="1" applyFont="1" applyFill="1"/>
    <xf numFmtId="168" fontId="15" fillId="4" borderId="0" xfId="0" applyNumberFormat="1" applyFont="1" applyFill="1"/>
    <xf numFmtId="165" fontId="0" fillId="0" borderId="0" xfId="0" applyNumberFormat="1"/>
    <xf numFmtId="167" fontId="0" fillId="0" borderId="0" xfId="0" applyNumberFormat="1"/>
    <xf numFmtId="185" fontId="0" fillId="0" borderId="0" xfId="0" applyNumberFormat="1"/>
    <xf numFmtId="167" fontId="15" fillId="4" borderId="0" xfId="0" applyNumberFormat="1" applyFont="1" applyFill="1"/>
    <xf numFmtId="165" fontId="15" fillId="4" borderId="0" xfId="0" applyNumberFormat="1" applyFont="1" applyFill="1"/>
    <xf numFmtId="186" fontId="15" fillId="4" borderId="0" xfId="0" applyNumberFormat="1" applyFont="1" applyFill="1"/>
    <xf numFmtId="10" fontId="15" fillId="4" borderId="0" xfId="0" applyNumberFormat="1" applyFont="1" applyFill="1"/>
    <xf numFmtId="0" fontId="0" fillId="11" borderId="0" xfId="0" applyFill="1"/>
    <xf numFmtId="187" fontId="0" fillId="0" borderId="0" xfId="0" applyNumberFormat="1"/>
    <xf numFmtId="0" fontId="29" fillId="0" borderId="0" xfId="0" applyFont="1"/>
    <xf numFmtId="188" fontId="0" fillId="0" borderId="0" xfId="0" applyNumberFormat="1"/>
    <xf numFmtId="188" fontId="25" fillId="0" borderId="0" xfId="0" applyNumberFormat="1" applyFont="1"/>
    <xf numFmtId="188" fontId="15" fillId="10" borderId="0" xfId="0" applyNumberFormat="1" applyFont="1" applyFill="1"/>
    <xf numFmtId="1" fontId="29" fillId="8" borderId="0" xfId="0" applyNumberFormat="1" applyFont="1" applyFill="1"/>
    <xf numFmtId="0" fontId="15" fillId="8" borderId="0" xfId="0" applyFont="1" applyFill="1"/>
    <xf numFmtId="172" fontId="15" fillId="8" borderId="0" xfId="0" applyNumberFormat="1" applyFont="1" applyFill="1"/>
    <xf numFmtId="1" fontId="15" fillId="8" borderId="0" xfId="0" applyNumberFormat="1" applyFont="1" applyFill="1"/>
    <xf numFmtId="0" fontId="23" fillId="9" borderId="0" xfId="0" applyFont="1" applyFill="1" applyAlignment="1">
      <alignment wrapText="1"/>
    </xf>
    <xf numFmtId="0" fontId="30" fillId="0" borderId="0" xfId="0" applyFont="1"/>
    <xf numFmtId="2" fontId="15" fillId="8" borderId="0" xfId="0" applyNumberFormat="1" applyFont="1" applyFill="1"/>
    <xf numFmtId="49" fontId="0" fillId="0" borderId="0" xfId="0" applyNumberFormat="1"/>
    <xf numFmtId="181" fontId="29" fillId="0" borderId="0" xfId="0" applyNumberFormat="1" applyFont="1"/>
    <xf numFmtId="179" fontId="27" fillId="0" borderId="0" xfId="0" applyNumberFormat="1" applyFont="1"/>
    <xf numFmtId="173" fontId="29" fillId="0" borderId="0" xfId="0" applyNumberFormat="1" applyFont="1"/>
    <xf numFmtId="1" fontId="29" fillId="0" borderId="0" xfId="0" applyNumberFormat="1" applyFont="1"/>
    <xf numFmtId="9" fontId="29" fillId="0" borderId="0" xfId="0" applyNumberFormat="1" applyFont="1"/>
    <xf numFmtId="49" fontId="27" fillId="0" borderId="0" xfId="0" applyNumberFormat="1" applyFont="1"/>
    <xf numFmtId="179" fontId="15" fillId="0" borderId="0" xfId="0" applyNumberFormat="1" applyFont="1"/>
    <xf numFmtId="189" fontId="29" fillId="0" borderId="0" xfId="0" applyNumberFormat="1" applyFont="1"/>
    <xf numFmtId="173" fontId="27" fillId="0" borderId="0" xfId="0" applyNumberFormat="1" applyFont="1"/>
    <xf numFmtId="49" fontId="25" fillId="0" borderId="3" xfId="0" applyNumberFormat="1" applyFont="1" applyBorder="1"/>
    <xf numFmtId="3" fontId="25" fillId="0" borderId="3" xfId="0" applyNumberFormat="1" applyFont="1" applyBorder="1"/>
    <xf numFmtId="179" fontId="25" fillId="0" borderId="3" xfId="0" applyNumberFormat="1" applyFont="1" applyBorder="1"/>
    <xf numFmtId="173" fontId="25" fillId="0" borderId="3" xfId="0" applyNumberFormat="1" applyFont="1" applyBorder="1"/>
    <xf numFmtId="1" fontId="25" fillId="0" borderId="3" xfId="0" applyNumberFormat="1" applyFont="1" applyBorder="1"/>
    <xf numFmtId="9" fontId="25" fillId="0" borderId="3" xfId="0" applyNumberFormat="1" applyFont="1" applyBorder="1"/>
    <xf numFmtId="179" fontId="25" fillId="0" borderId="0" xfId="0" applyNumberFormat="1" applyFont="1"/>
    <xf numFmtId="49" fontId="25" fillId="11" borderId="0" xfId="0" applyNumberFormat="1" applyFont="1" applyFill="1"/>
    <xf numFmtId="0" fontId="25" fillId="13" borderId="0" xfId="0" applyFont="1" applyFill="1"/>
    <xf numFmtId="1" fontId="25" fillId="13" borderId="0" xfId="0" applyNumberFormat="1" applyFont="1" applyFill="1"/>
    <xf numFmtId="187" fontId="24" fillId="13" borderId="0" xfId="0" applyNumberFormat="1" applyFont="1" applyFill="1"/>
    <xf numFmtId="187" fontId="25" fillId="13" borderId="0" xfId="0" applyNumberFormat="1" applyFont="1" applyFill="1"/>
    <xf numFmtId="0" fontId="0" fillId="13" borderId="0" xfId="0" applyFill="1"/>
    <xf numFmtId="1" fontId="0" fillId="13" borderId="0" xfId="0" applyNumberFormat="1" applyFill="1"/>
    <xf numFmtId="179" fontId="25" fillId="11" borderId="0" xfId="0" applyNumberFormat="1" applyFont="1" applyFill="1"/>
    <xf numFmtId="49" fontId="29" fillId="0" borderId="0" xfId="0" applyNumberFormat="1" applyFont="1"/>
    <xf numFmtId="179" fontId="29" fillId="0" borderId="0" xfId="0" applyNumberFormat="1" applyFont="1"/>
    <xf numFmtId="188" fontId="29" fillId="0" borderId="0" xfId="0" applyNumberFormat="1" applyFont="1"/>
    <xf numFmtId="172" fontId="29" fillId="0" borderId="0" xfId="0" applyNumberFormat="1" applyFont="1"/>
    <xf numFmtId="178" fontId="0" fillId="4" borderId="0" xfId="0" applyNumberFormat="1" applyFill="1"/>
    <xf numFmtId="179" fontId="0" fillId="4" borderId="0" xfId="0" applyNumberFormat="1" applyFill="1"/>
    <xf numFmtId="169" fontId="25" fillId="4" borderId="0" xfId="0" applyNumberFormat="1" applyFont="1" applyFill="1"/>
    <xf numFmtId="172" fontId="25" fillId="4" borderId="0" xfId="0" applyNumberFormat="1" applyFont="1" applyFill="1"/>
    <xf numFmtId="1" fontId="0" fillId="4" borderId="0" xfId="0" applyNumberFormat="1" applyFill="1"/>
    <xf numFmtId="182" fontId="25" fillId="0" borderId="0" xfId="0" applyNumberFormat="1" applyFont="1"/>
    <xf numFmtId="1" fontId="25" fillId="11" borderId="0" xfId="0" applyNumberFormat="1" applyFont="1" applyFill="1"/>
    <xf numFmtId="9" fontId="0" fillId="13" borderId="0" xfId="0" applyNumberFormat="1" applyFill="1"/>
    <xf numFmtId="172" fontId="0" fillId="13" borderId="0" xfId="0" applyNumberFormat="1" applyFill="1"/>
    <xf numFmtId="183" fontId="0" fillId="13" borderId="0" xfId="0" applyNumberFormat="1" applyFill="1"/>
    <xf numFmtId="0" fontId="31" fillId="11" borderId="0" xfId="0" applyFont="1" applyFill="1"/>
    <xf numFmtId="178" fontId="29" fillId="0" borderId="0" xfId="0" applyNumberFormat="1" applyFont="1"/>
    <xf numFmtId="178" fontId="25" fillId="0" borderId="0" xfId="0" applyNumberFormat="1" applyFont="1"/>
    <xf numFmtId="178" fontId="25" fillId="11" borderId="0" xfId="0" applyNumberFormat="1" applyFont="1" applyFill="1"/>
    <xf numFmtId="178" fontId="31" fillId="11" borderId="0" xfId="0" applyNumberFormat="1" applyFont="1" applyFill="1"/>
    <xf numFmtId="172" fontId="25" fillId="11" borderId="0" xfId="0" applyNumberFormat="1" applyFont="1" applyFill="1"/>
    <xf numFmtId="10" fontId="25" fillId="11" borderId="0" xfId="0" applyNumberFormat="1" applyFont="1" applyFill="1"/>
    <xf numFmtId="178" fontId="25" fillId="4" borderId="0" xfId="0" applyNumberFormat="1" applyFont="1" applyFill="1"/>
    <xf numFmtId="1" fontId="25" fillId="4" borderId="0" xfId="0" applyNumberFormat="1" applyFont="1" applyFill="1"/>
    <xf numFmtId="3" fontId="25" fillId="4" borderId="0" xfId="0" applyNumberFormat="1" applyFont="1" applyFill="1"/>
    <xf numFmtId="182" fontId="25" fillId="4" borderId="0" xfId="0" applyNumberFormat="1" applyFont="1" applyFill="1"/>
    <xf numFmtId="0" fontId="25" fillId="4" borderId="0" xfId="0" applyFont="1" applyFill="1"/>
    <xf numFmtId="0" fontId="0" fillId="7" borderId="0" xfId="0" applyFill="1"/>
    <xf numFmtId="178" fontId="0" fillId="7" borderId="0" xfId="0" applyNumberFormat="1" applyFill="1"/>
    <xf numFmtId="178" fontId="0" fillId="13" borderId="0" xfId="0" applyNumberFormat="1" applyFill="1"/>
    <xf numFmtId="3" fontId="0" fillId="7" borderId="0" xfId="0" applyNumberFormat="1" applyFill="1"/>
    <xf numFmtId="3" fontId="15" fillId="0" borderId="0" xfId="0" applyNumberFormat="1" applyFont="1"/>
    <xf numFmtId="169" fontId="0" fillId="7" borderId="0" xfId="0" applyNumberFormat="1" applyFill="1"/>
    <xf numFmtId="1" fontId="32" fillId="0" borderId="0" xfId="0" applyNumberFormat="1" applyFont="1"/>
    <xf numFmtId="176" fontId="0" fillId="0" borderId="0" xfId="0" applyNumberFormat="1"/>
    <xf numFmtId="0" fontId="33" fillId="0" borderId="0" xfId="0" applyFont="1"/>
    <xf numFmtId="0" fontId="34" fillId="0" borderId="0" xfId="0" applyFont="1"/>
    <xf numFmtId="0" fontId="35" fillId="0" borderId="0" xfId="0" applyFont="1"/>
    <xf numFmtId="0" fontId="27" fillId="0" borderId="0" xfId="0" applyFont="1" applyAlignment="1">
      <alignment vertical="top"/>
    </xf>
    <xf numFmtId="0" fontId="36" fillId="0" borderId="0" xfId="0" applyFont="1" applyAlignment="1">
      <alignment horizontal="center" vertical="top"/>
    </xf>
    <xf numFmtId="0" fontId="36" fillId="0" borderId="0" xfId="0" applyFont="1" applyAlignment="1">
      <alignment vertical="top"/>
    </xf>
    <xf numFmtId="0" fontId="36" fillId="0" borderId="0" xfId="0" applyFont="1" applyAlignment="1">
      <alignment vertical="top" wrapText="1"/>
    </xf>
    <xf numFmtId="0" fontId="36" fillId="0" borderId="0" xfId="0" applyFont="1" applyAlignment="1">
      <alignment wrapText="1"/>
    </xf>
    <xf numFmtId="0" fontId="27" fillId="0" borderId="0" xfId="0" applyFont="1" applyAlignment="1">
      <alignment vertical="top" wrapText="1"/>
    </xf>
    <xf numFmtId="0" fontId="37" fillId="8" borderId="0" xfId="0" applyFont="1" applyFill="1" applyAlignment="1">
      <alignment horizontal="center" vertical="top" wrapText="1"/>
    </xf>
    <xf numFmtId="0" fontId="37" fillId="8" borderId="0" xfId="0" applyFont="1" applyFill="1" applyAlignment="1">
      <alignment horizontal="center" vertical="top"/>
    </xf>
    <xf numFmtId="0" fontId="0" fillId="0" borderId="0" xfId="0" applyAlignment="1">
      <alignment wrapText="1"/>
    </xf>
    <xf numFmtId="0" fontId="38" fillId="8" borderId="0" xfId="0" applyFont="1" applyFill="1" applyAlignment="1">
      <alignment horizontal="center" vertical="top" wrapText="1"/>
    </xf>
    <xf numFmtId="0" fontId="37" fillId="14" borderId="0" xfId="0" applyFont="1" applyFill="1" applyAlignment="1">
      <alignment horizontal="center" vertical="top"/>
    </xf>
    <xf numFmtId="180" fontId="27" fillId="0" borderId="0" xfId="0" applyNumberFormat="1" applyFont="1" applyAlignment="1">
      <alignment horizontal="center" vertical="top"/>
    </xf>
    <xf numFmtId="180" fontId="0" fillId="0" borderId="0" xfId="0" applyNumberFormat="1" applyAlignment="1">
      <alignment horizontal="center"/>
    </xf>
    <xf numFmtId="180" fontId="27" fillId="0" borderId="0" xfId="0" applyNumberFormat="1" applyFont="1" applyAlignment="1">
      <alignment vertical="top"/>
    </xf>
    <xf numFmtId="173" fontId="27" fillId="0" borderId="0" xfId="0" applyNumberFormat="1" applyFont="1" applyAlignment="1">
      <alignment vertical="top"/>
    </xf>
    <xf numFmtId="9" fontId="27" fillId="0" borderId="0" xfId="0" applyNumberFormat="1" applyFont="1" applyAlignment="1">
      <alignment vertical="top" wrapText="1"/>
    </xf>
    <xf numFmtId="0" fontId="39" fillId="0" borderId="0" xfId="0" applyFont="1"/>
    <xf numFmtId="180" fontId="29" fillId="0" borderId="0" xfId="0" applyNumberFormat="1" applyFont="1"/>
    <xf numFmtId="1" fontId="15" fillId="0" borderId="0" xfId="0" applyNumberFormat="1" applyFont="1"/>
    <xf numFmtId="180" fontId="15" fillId="0" borderId="0" xfId="0" applyNumberFormat="1" applyFont="1"/>
    <xf numFmtId="0" fontId="25" fillId="0" borderId="3" xfId="0" applyFont="1" applyBorder="1"/>
    <xf numFmtId="0" fontId="40" fillId="0" borderId="0" xfId="0" applyFont="1"/>
    <xf numFmtId="0" fontId="25" fillId="0" borderId="0" xfId="0" applyFont="1" applyAlignment="1">
      <alignment wrapText="1"/>
    </xf>
    <xf numFmtId="1" fontId="25" fillId="0" borderId="0" xfId="0" applyNumberFormat="1" applyFont="1" applyAlignment="1">
      <alignment wrapText="1"/>
    </xf>
    <xf numFmtId="180" fontId="0" fillId="0" borderId="0" xfId="0" applyNumberFormat="1"/>
    <xf numFmtId="190" fontId="0" fillId="0" borderId="0" xfId="0" applyNumberFormat="1"/>
    <xf numFmtId="191" fontId="0" fillId="0" borderId="0" xfId="0" applyNumberFormat="1"/>
    <xf numFmtId="192" fontId="0" fillId="0" borderId="0" xfId="0" applyNumberFormat="1"/>
    <xf numFmtId="193" fontId="0" fillId="0" borderId="0" xfId="0" applyNumberFormat="1"/>
    <xf numFmtId="49" fontId="0" fillId="0" borderId="0" xfId="0" applyNumberFormat="1" applyAlignment="1">
      <alignment wrapText="1"/>
    </xf>
    <xf numFmtId="194" fontId="41" fillId="0" borderId="0" xfId="1" applyNumberFormat="1"/>
    <xf numFmtId="168" fontId="19" fillId="0" borderId="13" xfId="0" applyNumberFormat="1" applyFont="1" applyBorder="1" applyAlignment="1">
      <alignment horizontal="right"/>
    </xf>
    <xf numFmtId="166" fontId="42" fillId="15" borderId="12" xfId="0" applyNumberFormat="1" applyFont="1" applyFill="1" applyBorder="1" applyAlignment="1">
      <alignment horizontal="right"/>
    </xf>
    <xf numFmtId="165" fontId="42" fillId="15" borderId="12" xfId="0" applyNumberFormat="1" applyFont="1" applyFill="1" applyBorder="1" applyAlignment="1">
      <alignment horizontal="right"/>
    </xf>
    <xf numFmtId="0" fontId="43" fillId="15" borderId="12" xfId="0" applyFont="1" applyFill="1" applyBorder="1"/>
    <xf numFmtId="194" fontId="43" fillId="15" borderId="12" xfId="1" applyNumberFormat="1" applyFont="1" applyFill="1" applyBorder="1"/>
    <xf numFmtId="49" fontId="5" fillId="4" borderId="4" xfId="9" applyNumberFormat="1" applyBorder="1" applyAlignment="1">
      <alignment horizontal="center"/>
    </xf>
    <xf numFmtId="166" fontId="2" fillId="0" borderId="0" xfId="6" applyNumberFormat="1" applyFill="1">
      <alignment horizontal="right"/>
    </xf>
    <xf numFmtId="166" fontId="6" fillId="0" borderId="0" xfId="11" applyNumberFormat="1" applyFill="1">
      <alignment horizontal="right"/>
    </xf>
    <xf numFmtId="185" fontId="0" fillId="0" borderId="0" xfId="0" applyNumberFormat="1" applyFill="1"/>
    <xf numFmtId="10" fontId="2" fillId="0" borderId="0" xfId="6" applyNumberFormat="1" applyFill="1">
      <alignment horizontal="right"/>
    </xf>
    <xf numFmtId="172" fontId="0" fillId="0" borderId="0" xfId="0" applyNumberFormat="1" applyFill="1"/>
    <xf numFmtId="183" fontId="0" fillId="0" borderId="0" xfId="0" applyNumberFormat="1" applyFill="1"/>
    <xf numFmtId="10" fontId="0" fillId="0" borderId="0" xfId="0" applyNumberFormat="1" applyFill="1"/>
  </cellXfs>
  <cellStyles count="22">
    <cellStyle name="Blank_Cell" xfId="3" xr:uid="{00000000-0005-0000-0000-000006000000}"/>
    <cellStyle name="Comma" xfId="1" builtinId="3"/>
    <cellStyle name="Comma 2" xfId="4" xr:uid="{00000000-0005-0000-0000-000007000000}"/>
    <cellStyle name="fep_banner" xfId="5" xr:uid="{00000000-0005-0000-0000-000008000000}"/>
    <cellStyle name="fep_calc" xfId="6" xr:uid="{00000000-0005-0000-0000-000009000000}"/>
    <cellStyle name="fep_end" xfId="7" xr:uid="{00000000-0005-0000-0000-00000A000000}"/>
    <cellStyle name="fep_header" xfId="8" xr:uid="{00000000-0005-0000-0000-00000B000000}"/>
    <cellStyle name="fep_input" xfId="9" xr:uid="{00000000-0005-0000-0000-00000C000000}"/>
    <cellStyle name="fep_label" xfId="10" xr:uid="{00000000-0005-0000-0000-00000D000000}"/>
    <cellStyle name="fep_link" xfId="11" xr:uid="{00000000-0005-0000-0000-00000E000000}"/>
    <cellStyle name="fep_macro" xfId="12" xr:uid="{00000000-0005-0000-0000-00000F000000}"/>
    <cellStyle name="fep_section" xfId="13" xr:uid="{00000000-0005-0000-0000-000010000000}"/>
    <cellStyle name="fep_subheader" xfId="14" xr:uid="{00000000-0005-0000-0000-000011000000}"/>
    <cellStyle name="fep_total" xfId="15" xr:uid="{00000000-0005-0000-0000-000012000000}"/>
    <cellStyle name="fep_unit" xfId="16" xr:uid="{00000000-0005-0000-0000-000013000000}"/>
    <cellStyle name="Normal" xfId="0" builtinId="0"/>
    <cellStyle name="Normal 11 3 4" xfId="17" xr:uid="{00000000-0005-0000-0000-000014000000}"/>
    <cellStyle name="Normal 2" xfId="18" xr:uid="{00000000-0005-0000-0000-000015000000}"/>
    <cellStyle name="Normal 2 2" xfId="19" xr:uid="{00000000-0005-0000-0000-000016000000}"/>
    <cellStyle name="Normal 3" xfId="20" xr:uid="{00000000-0005-0000-0000-000017000000}"/>
    <cellStyle name="Normal 3 2" xfId="21" xr:uid="{00000000-0005-0000-0000-000018000000}"/>
    <cellStyle name="Percent" xfId="2" builtinId="5"/>
  </cellStyles>
  <dxfs count="8">
    <dxf>
      <fill>
        <patternFill>
          <bgColor rgb="FFFFC7CE"/>
        </patternFill>
      </fill>
    </dxf>
    <dxf>
      <fill>
        <patternFill>
          <bgColor rgb="FFC6EFCE"/>
        </patternFill>
      </fill>
    </dxf>
    <dxf>
      <font>
        <b/>
        <color rgb="FFFF0000"/>
      </font>
    </dxf>
    <dxf>
      <font>
        <b/>
        <color rgb="FF00B050"/>
      </font>
    </dxf>
    <dxf>
      <font>
        <b/>
        <color rgb="FFFF0000"/>
      </font>
    </dxf>
    <dxf>
      <font>
        <b/>
        <color rgb="FF00B050"/>
      </font>
    </dxf>
    <dxf>
      <font>
        <b/>
        <color rgb="FFFF0000"/>
      </font>
    </dxf>
    <dxf>
      <font>
        <b/>
        <color rgb="FF00B05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24847</xdr:colOff>
      <xdr:row>3</xdr:row>
      <xdr:rowOff>16564</xdr:rowOff>
    </xdr:from>
    <xdr:to>
      <xdr:col>5</xdr:col>
      <xdr:colOff>24847</xdr:colOff>
      <xdr:row>4</xdr:row>
      <xdr:rowOff>8282</xdr:rowOff>
    </xdr:to>
    <xdr:sp macro="[0]!RunAllScenarios" textlink="">
      <xdr:nvSpPr>
        <xdr:cNvPr id="2" name="Rectangle: Rounded Corners 1">
          <a:extLst>
            <a:ext uri="{FF2B5EF4-FFF2-40B4-BE49-F238E27FC236}">
              <a16:creationId xmlns:a16="http://schemas.microsoft.com/office/drawing/2014/main" id="{77661B77-7155-51F7-C15E-9C936F618484}"/>
            </a:ext>
          </a:extLst>
        </xdr:cNvPr>
        <xdr:cNvSpPr/>
      </xdr:nvSpPr>
      <xdr:spPr>
        <a:xfrm>
          <a:off x="4886738" y="596347"/>
          <a:ext cx="737152" cy="182218"/>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hu-HU" sz="1100"/>
            <a:t>Refresh</a:t>
          </a:r>
          <a:endParaRPr lang="en-GB" sz="1100"/>
        </a:p>
      </xdr:txBody>
    </xdr:sp>
    <xdr:clientData/>
  </xdr:twoCellAnchor>
  <xdr:twoCellAnchor>
    <xdr:from>
      <xdr:col>5</xdr:col>
      <xdr:colOff>61290</xdr:colOff>
      <xdr:row>3</xdr:row>
      <xdr:rowOff>11594</xdr:rowOff>
    </xdr:from>
    <xdr:to>
      <xdr:col>6</xdr:col>
      <xdr:colOff>61289</xdr:colOff>
      <xdr:row>4</xdr:row>
      <xdr:rowOff>3312</xdr:rowOff>
    </xdr:to>
    <xdr:sp macro="[0]!RunSolvers" textlink="">
      <xdr:nvSpPr>
        <xdr:cNvPr id="3" name="Rectangle: Rounded Corners 2">
          <a:extLst>
            <a:ext uri="{FF2B5EF4-FFF2-40B4-BE49-F238E27FC236}">
              <a16:creationId xmlns:a16="http://schemas.microsoft.com/office/drawing/2014/main" id="{113867A7-89A8-4A67-9A7E-64A68365EBDC}"/>
            </a:ext>
          </a:extLst>
        </xdr:cNvPr>
        <xdr:cNvSpPr/>
      </xdr:nvSpPr>
      <xdr:spPr>
        <a:xfrm>
          <a:off x="5660333" y="591377"/>
          <a:ext cx="737152" cy="182218"/>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hu-HU" sz="1100"/>
            <a:t>Run</a:t>
          </a:r>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033C5EB-F73E-4012-9DBA-010D6A9038EC}">
  <we:reference id="WA200009404" version="1.0.0.8" store="Omex" storeType="OMEX"/>
  <we:alternateReferences>
    <we:reference id="WA200009404" version="1.0.0.8" store="WA200009404" storeType="OMEX"/>
  </we:alternateReferences>
  <we:properties>
    <we:property name="claude.fileId" value="&quot;974cca7d-0f06-486d-b159-063006919fb7&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R33"/>
  <sheetViews>
    <sheetView showGridLines="0" zoomScaleNormal="100" workbookViewId="0">
      <pane xSplit="8" ySplit="8" topLeftCell="I9" activePane="bottomRight" state="frozen"/>
      <selection pane="topRight" activeCell="I1" sqref="I1"/>
      <selection pane="bottomLeft" activeCell="A12" sqref="A12"/>
      <selection pane="bottomRight" activeCell="M17" sqref="M17"/>
    </sheetView>
  </sheetViews>
  <sheetFormatPr defaultColWidth="0" defaultRowHeight="15" outlineLevelRow="1" outlineLevelCol="1" x14ac:dyDescent="0.25"/>
  <cols>
    <col min="1" max="2" width="3" customWidth="1"/>
    <col min="3" max="3" width="44" customWidth="1"/>
    <col min="4" max="4" width="8" customWidth="1"/>
    <col min="5" max="7" width="11" customWidth="1"/>
    <col min="8" max="8" width="2" customWidth="1"/>
    <col min="9" max="44" width="9" customWidth="1"/>
    <col min="45" max="16384" width="13" hidden="1" outlineLevel="1"/>
  </cols>
  <sheetData>
    <row r="2" spans="1:44" ht="15.75" customHeight="1" x14ac:dyDescent="0.25">
      <c r="A2" s="1"/>
      <c r="B2" s="1" t="str">
        <f>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spans="1:44" x14ac:dyDescent="0.25">
      <c r="E4" s="2" t="s">
        <v>0</v>
      </c>
      <c r="F4" s="2" t="s">
        <v>1</v>
      </c>
      <c r="G4" s="2" t="s">
        <v>2</v>
      </c>
    </row>
    <row r="5" spans="1:44" x14ac:dyDescent="0.25">
      <c r="C5" s="3" t="s">
        <v>3</v>
      </c>
      <c r="E5" s="4">
        <f>Dashboard!$E$66</f>
        <v>171.42989811745952</v>
      </c>
      <c r="F5" s="5">
        <f>Dashboard!$F$66</f>
        <v>1261.4414872513578</v>
      </c>
      <c r="G5" s="5">
        <f>Dashboard!$G$66</f>
        <v>1714.2989811745952</v>
      </c>
    </row>
    <row r="6" spans="1:44" x14ac:dyDescent="0.25">
      <c r="C6" s="3" t="s">
        <v>4</v>
      </c>
      <c r="E6" s="4">
        <f>Dashboard!$E$78</f>
        <v>29.054985120000001</v>
      </c>
      <c r="F6" s="6">
        <f>E6*Thousand/In_Wind_Built</f>
        <v>213.79679999999999</v>
      </c>
      <c r="G6" s="6">
        <f>E6*Thousand/Dash_MVA</f>
        <v>290.54985120000003</v>
      </c>
    </row>
    <row r="8" spans="1:44" x14ac:dyDescent="0.25">
      <c r="C8" s="3" t="s">
        <v>5</v>
      </c>
      <c r="D8" s="7" t="s">
        <v>6</v>
      </c>
      <c r="I8" s="8">
        <f>HTM!H$5</f>
        <v>2026</v>
      </c>
      <c r="J8" s="8">
        <f>HTM!I$5</f>
        <v>2027</v>
      </c>
      <c r="K8" s="8">
        <f>HTM!J$5</f>
        <v>2028</v>
      </c>
      <c r="L8" s="8">
        <f>HTM!K$5</f>
        <v>2029</v>
      </c>
      <c r="M8" s="8">
        <f>HTM!L$5</f>
        <v>2030</v>
      </c>
      <c r="N8" s="8">
        <f>HTM!M$5</f>
        <v>2031</v>
      </c>
      <c r="O8" s="8">
        <f>HTM!N$5</f>
        <v>2032</v>
      </c>
      <c r="P8" s="8">
        <f>HTM!O$5</f>
        <v>2033</v>
      </c>
      <c r="Q8" s="8">
        <f>HTM!P$5</f>
        <v>2034</v>
      </c>
      <c r="R8" s="8">
        <f>HTM!Q$5</f>
        <v>2035</v>
      </c>
      <c r="S8" s="8">
        <f>HTM!R$5</f>
        <v>2036</v>
      </c>
      <c r="T8" s="8">
        <f>HTM!S$5</f>
        <v>2037</v>
      </c>
      <c r="U8" s="8">
        <f>HTM!T$5</f>
        <v>2038</v>
      </c>
      <c r="V8" s="8">
        <f>HTM!U$5</f>
        <v>2039</v>
      </c>
      <c r="W8" s="8">
        <f>HTM!V$5</f>
        <v>2040</v>
      </c>
      <c r="X8" s="8">
        <f>HTM!W$5</f>
        <v>2041</v>
      </c>
      <c r="Y8" s="8">
        <f>HTM!X$5</f>
        <v>2042</v>
      </c>
      <c r="Z8" s="8">
        <f>HTM!Y$5</f>
        <v>2043</v>
      </c>
      <c r="AA8" s="8">
        <f>HTM!Z$5</f>
        <v>2044</v>
      </c>
      <c r="AB8" s="8">
        <f>HTM!AA$5</f>
        <v>2045</v>
      </c>
      <c r="AC8" s="8">
        <f>HTM!AB$5</f>
        <v>2046</v>
      </c>
      <c r="AD8" s="8">
        <f>HTM!AC$5</f>
        <v>2047</v>
      </c>
      <c r="AE8" s="8">
        <f>HTM!AD$5</f>
        <v>2048</v>
      </c>
      <c r="AF8" s="8">
        <f>HTM!AE$5</f>
        <v>2049</v>
      </c>
      <c r="AG8" s="8">
        <f>HTM!AF$5</f>
        <v>2050</v>
      </c>
      <c r="AH8" s="8">
        <f>HTM!AG$5</f>
        <v>2051</v>
      </c>
      <c r="AI8" s="8">
        <f>HTM!AH$5</f>
        <v>2052</v>
      </c>
      <c r="AJ8" s="8">
        <f>HTM!AI$5</f>
        <v>2053</v>
      </c>
      <c r="AK8" s="8">
        <f>HTM!AJ$5</f>
        <v>2054</v>
      </c>
      <c r="AL8" s="8">
        <f>HTM!AK$5</f>
        <v>2055</v>
      </c>
      <c r="AM8" s="8">
        <f>HTM!AL$5</f>
        <v>2056</v>
      </c>
      <c r="AN8" s="8">
        <f>HTM!AM$5</f>
        <v>2057</v>
      </c>
      <c r="AO8" s="8">
        <f>HTM!AN$5</f>
        <v>2058</v>
      </c>
      <c r="AP8" s="8">
        <f>HTM!AO$5</f>
        <v>2059</v>
      </c>
      <c r="AQ8" s="8">
        <f>HTM!AP$5</f>
        <v>2060</v>
      </c>
      <c r="AR8" s="8">
        <f>HTM!AQ$5</f>
        <v>2061</v>
      </c>
    </row>
    <row r="9" spans="1:44" x14ac:dyDescent="0.25">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spans="1:44" x14ac:dyDescent="0.25">
      <c r="C10" s="3" t="s">
        <v>10</v>
      </c>
      <c r="D10" s="7" t="s">
        <v>11</v>
      </c>
      <c r="G10" s="11">
        <f>SUM(I10:AR10)</f>
        <v>-1291.7926944336807</v>
      </c>
      <c r="I10" s="11">
        <f t="shared" ref="I10:AR10" si="0">I18/In_Wind_Built</f>
        <v>-11.557157093590005</v>
      </c>
      <c r="J10" s="11">
        <f t="shared" si="0"/>
        <v>-5.7302291632102031</v>
      </c>
      <c r="K10" s="11">
        <f t="shared" si="0"/>
        <v>-9.0319214950864826</v>
      </c>
      <c r="L10" s="11">
        <f t="shared" si="0"/>
        <v>-449.70598980666011</v>
      </c>
      <c r="M10" s="11">
        <f t="shared" si="0"/>
        <v>-521.4662248667521</v>
      </c>
      <c r="N10" s="11">
        <f t="shared" si="0"/>
        <v>-294.30117200838185</v>
      </c>
      <c r="O10" s="11">
        <f t="shared" si="0"/>
        <v>0</v>
      </c>
      <c r="P10" s="11">
        <f t="shared" si="0"/>
        <v>0</v>
      </c>
      <c r="Q10" s="11">
        <f t="shared" si="0"/>
        <v>0</v>
      </c>
      <c r="R10" s="11">
        <f t="shared" si="0"/>
        <v>0</v>
      </c>
      <c r="S10" s="11">
        <f t="shared" si="0"/>
        <v>0</v>
      </c>
      <c r="T10" s="11">
        <f t="shared" si="0"/>
        <v>0</v>
      </c>
      <c r="U10" s="11">
        <f t="shared" si="0"/>
        <v>0</v>
      </c>
      <c r="V10" s="11">
        <f t="shared" si="0"/>
        <v>0</v>
      </c>
      <c r="W10" s="11">
        <f t="shared" si="0"/>
        <v>0</v>
      </c>
      <c r="X10" s="11">
        <f t="shared" si="0"/>
        <v>0</v>
      </c>
      <c r="Y10" s="11">
        <f t="shared" si="0"/>
        <v>0</v>
      </c>
      <c r="Z10" s="11">
        <f t="shared" si="0"/>
        <v>0</v>
      </c>
      <c r="AA10" s="11">
        <f t="shared" si="0"/>
        <v>0</v>
      </c>
      <c r="AB10" s="11">
        <f t="shared" si="0"/>
        <v>0</v>
      </c>
      <c r="AC10" s="11">
        <f t="shared" si="0"/>
        <v>0</v>
      </c>
      <c r="AD10" s="11">
        <f t="shared" si="0"/>
        <v>0</v>
      </c>
      <c r="AE10" s="11">
        <f t="shared" si="0"/>
        <v>0</v>
      </c>
      <c r="AF10" s="11">
        <f t="shared" si="0"/>
        <v>0</v>
      </c>
      <c r="AG10" s="11">
        <f t="shared" si="0"/>
        <v>0</v>
      </c>
      <c r="AH10" s="11">
        <f t="shared" si="0"/>
        <v>0</v>
      </c>
      <c r="AI10" s="11">
        <f t="shared" si="0"/>
        <v>0</v>
      </c>
      <c r="AJ10" s="11">
        <f t="shared" si="0"/>
        <v>0</v>
      </c>
      <c r="AK10" s="11">
        <f t="shared" si="0"/>
        <v>0</v>
      </c>
      <c r="AL10" s="11">
        <f t="shared" si="0"/>
        <v>0</v>
      </c>
      <c r="AM10" s="11">
        <f t="shared" si="0"/>
        <v>0</v>
      </c>
      <c r="AN10" s="11">
        <f t="shared" si="0"/>
        <v>0</v>
      </c>
      <c r="AO10" s="11">
        <f t="shared" si="0"/>
        <v>0</v>
      </c>
      <c r="AP10" s="11">
        <f t="shared" si="0"/>
        <v>0</v>
      </c>
      <c r="AQ10" s="11">
        <f t="shared" si="0"/>
        <v>0</v>
      </c>
      <c r="AR10" s="11">
        <f t="shared" si="0"/>
        <v>0</v>
      </c>
    </row>
    <row r="11" spans="1:44" x14ac:dyDescent="0.25">
      <c r="C11" s="3" t="s">
        <v>12</v>
      </c>
      <c r="D11" s="7" t="s">
        <v>11</v>
      </c>
      <c r="G11" s="11">
        <f>SUM(I11:AR11)</f>
        <v>7111.7046531325341</v>
      </c>
      <c r="I11" s="11">
        <f t="shared" ref="I11:AR11" si="1">I19/In_Wind_Built</f>
        <v>0</v>
      </c>
      <c r="J11" s="11">
        <f t="shared" si="1"/>
        <v>0</v>
      </c>
      <c r="K11" s="11">
        <f t="shared" si="1"/>
        <v>0</v>
      </c>
      <c r="L11" s="11">
        <f t="shared" si="1"/>
        <v>0</v>
      </c>
      <c r="M11" s="11">
        <f t="shared" si="1"/>
        <v>0</v>
      </c>
      <c r="N11" s="11">
        <f t="shared" si="1"/>
        <v>136.10519710944726</v>
      </c>
      <c r="O11" s="11">
        <f t="shared" si="1"/>
        <v>213.79679999999999</v>
      </c>
      <c r="P11" s="11">
        <f t="shared" si="1"/>
        <v>215.28696369599999</v>
      </c>
      <c r="Q11" s="11">
        <f t="shared" si="1"/>
        <v>216.78751383296105</v>
      </c>
      <c r="R11" s="11">
        <f t="shared" si="1"/>
        <v>218.29852280437686</v>
      </c>
      <c r="S11" s="11">
        <f t="shared" si="1"/>
        <v>219.82006350832336</v>
      </c>
      <c r="T11" s="11">
        <f t="shared" si="1"/>
        <v>221.35220935097641</v>
      </c>
      <c r="U11" s="11">
        <f t="shared" si="1"/>
        <v>222.89503425015261</v>
      </c>
      <c r="V11" s="11">
        <f t="shared" si="1"/>
        <v>224.44861263887626</v>
      </c>
      <c r="W11" s="11">
        <f t="shared" si="1"/>
        <v>226.01301946896925</v>
      </c>
      <c r="X11" s="11">
        <f t="shared" si="1"/>
        <v>227.58833021466799</v>
      </c>
      <c r="Y11" s="11">
        <f t="shared" si="1"/>
        <v>229.17462087626416</v>
      </c>
      <c r="Z11" s="11">
        <f t="shared" si="1"/>
        <v>230.77196798377173</v>
      </c>
      <c r="AA11" s="11">
        <f t="shared" si="1"/>
        <v>232.38044860061862</v>
      </c>
      <c r="AB11" s="11">
        <f t="shared" si="1"/>
        <v>234.00014032736493</v>
      </c>
      <c r="AC11" s="11">
        <f t="shared" si="1"/>
        <v>235.63112130544667</v>
      </c>
      <c r="AD11" s="11">
        <f t="shared" si="1"/>
        <v>237.27347022094565</v>
      </c>
      <c r="AE11" s="11">
        <f t="shared" si="1"/>
        <v>238.92726630838573</v>
      </c>
      <c r="AF11" s="11">
        <f t="shared" si="1"/>
        <v>240.59258935455517</v>
      </c>
      <c r="AG11" s="11">
        <f t="shared" si="1"/>
        <v>242.26951970235638</v>
      </c>
      <c r="AH11" s="11">
        <f t="shared" si="1"/>
        <v>243.95813825468184</v>
      </c>
      <c r="AI11" s="11">
        <f t="shared" si="1"/>
        <v>245.65852647831693</v>
      </c>
      <c r="AJ11" s="11">
        <f t="shared" si="1"/>
        <v>247.37076640787083</v>
      </c>
      <c r="AK11" s="11">
        <f t="shared" si="1"/>
        <v>249.0949406497337</v>
      </c>
      <c r="AL11" s="11">
        <f t="shared" si="1"/>
        <v>250.83113238606236</v>
      </c>
      <c r="AM11" s="11">
        <f t="shared" si="1"/>
        <v>252.57942537879325</v>
      </c>
      <c r="AN11" s="11">
        <f t="shared" si="1"/>
        <v>254.33990397368348</v>
      </c>
      <c r="AO11" s="11">
        <f t="shared" si="1"/>
        <v>256.11265310437989</v>
      </c>
      <c r="AP11" s="11">
        <f t="shared" si="1"/>
        <v>257.89775829651745</v>
      </c>
      <c r="AQ11" s="11">
        <f t="shared" si="1"/>
        <v>259.69530567184421</v>
      </c>
      <c r="AR11" s="11">
        <f t="shared" si="1"/>
        <v>130.75269097618852</v>
      </c>
    </row>
    <row r="12" spans="1:44" x14ac:dyDescent="0.25">
      <c r="C12" s="3" t="s">
        <v>13</v>
      </c>
      <c r="D12" s="7" t="s">
        <v>11</v>
      </c>
      <c r="G12" s="11">
        <f>SUM(I12:AR12)</f>
        <v>5036.6956148438858</v>
      </c>
      <c r="I12" s="11">
        <f t="shared" ref="I12:AR12" si="2">I21/In_Wind_Built</f>
        <v>0</v>
      </c>
      <c r="J12" s="11">
        <f t="shared" si="2"/>
        <v>0</v>
      </c>
      <c r="K12" s="11">
        <f t="shared" si="2"/>
        <v>0</v>
      </c>
      <c r="L12" s="11">
        <f t="shared" si="2"/>
        <v>-1.5114291069405852</v>
      </c>
      <c r="M12" s="11">
        <f t="shared" si="2"/>
        <v>-3.0731707317073176</v>
      </c>
      <c r="N12" s="11">
        <f t="shared" si="2"/>
        <v>108.5613928164351</v>
      </c>
      <c r="O12" s="11">
        <f t="shared" si="2"/>
        <v>162.08347040635763</v>
      </c>
      <c r="P12" s="11">
        <f t="shared" si="2"/>
        <v>162.59843083521574</v>
      </c>
      <c r="Q12" s="11">
        <f t="shared" si="2"/>
        <v>163.10022379022277</v>
      </c>
      <c r="R12" s="11">
        <f t="shared" si="2"/>
        <v>163.58835724584719</v>
      </c>
      <c r="S12" s="11">
        <f t="shared" si="2"/>
        <v>164.06232600299492</v>
      </c>
      <c r="T12" s="11">
        <f t="shared" si="2"/>
        <v>164.52161135977403</v>
      </c>
      <c r="U12" s="11">
        <f t="shared" si="2"/>
        <v>164.96568077416254</v>
      </c>
      <c r="V12" s="11">
        <f t="shared" si="2"/>
        <v>165.39398751838345</v>
      </c>
      <c r="W12" s="11">
        <f t="shared" si="2"/>
        <v>165.80597032477971</v>
      </c>
      <c r="X12" s="11">
        <f t="shared" si="2"/>
        <v>166.20105302298555</v>
      </c>
      <c r="Y12" s="11">
        <f t="shared" si="2"/>
        <v>166.57864416817668</v>
      </c>
      <c r="Z12" s="11">
        <f t="shared" si="2"/>
        <v>166.93813666018298</v>
      </c>
      <c r="AA12" s="11">
        <f t="shared" si="2"/>
        <v>167.27890735323808</v>
      </c>
      <c r="AB12" s="11">
        <f t="shared" si="2"/>
        <v>167.60031665613778</v>
      </c>
      <c r="AC12" s="11">
        <f t="shared" si="2"/>
        <v>167.90170812257077</v>
      </c>
      <c r="AD12" s="11">
        <f t="shared" si="2"/>
        <v>168.18240803138153</v>
      </c>
      <c r="AE12" s="11">
        <f t="shared" si="2"/>
        <v>168.44172495651759</v>
      </c>
      <c r="AF12" s="11">
        <f t="shared" si="2"/>
        <v>168.67894932640951</v>
      </c>
      <c r="AG12" s="11">
        <f t="shared" si="2"/>
        <v>168.89335297252291</v>
      </c>
      <c r="AH12" s="11">
        <f t="shared" si="2"/>
        <v>169.08418866681848</v>
      </c>
      <c r="AI12" s="11">
        <f t="shared" si="2"/>
        <v>169.25068964784586</v>
      </c>
      <c r="AJ12" s="11">
        <f t="shared" si="2"/>
        <v>169.39206913519598</v>
      </c>
      <c r="AK12" s="11">
        <f t="shared" si="2"/>
        <v>169.50751983202181</v>
      </c>
      <c r="AL12" s="11">
        <f t="shared" si="2"/>
        <v>169.59621341533961</v>
      </c>
      <c r="AM12" s="11">
        <f t="shared" si="2"/>
        <v>169.65730001380689</v>
      </c>
      <c r="AN12" s="11">
        <f t="shared" si="2"/>
        <v>169.68990767267283</v>
      </c>
      <c r="AO12" s="11">
        <f t="shared" si="2"/>
        <v>169.6931418055847</v>
      </c>
      <c r="AP12" s="11">
        <f t="shared" si="2"/>
        <v>169.66608463292923</v>
      </c>
      <c r="AQ12" s="11">
        <f t="shared" si="2"/>
        <v>169.60779460637656</v>
      </c>
      <c r="AR12" s="11">
        <f t="shared" si="2"/>
        <v>84.758652909645591</v>
      </c>
    </row>
    <row r="13" spans="1:44" x14ac:dyDescent="0.25">
      <c r="C13" s="3" t="s">
        <v>14</v>
      </c>
      <c r="D13" s="7" t="s">
        <v>11</v>
      </c>
      <c r="G13" s="11">
        <f>SUM(I13:AR13)</f>
        <v>2863.308029395776</v>
      </c>
      <c r="I13" s="11">
        <f t="shared" ref="I13:AR13" si="3">I28/In_Wind_Built</f>
        <v>-11.557157093590005</v>
      </c>
      <c r="J13" s="11">
        <f t="shared" si="3"/>
        <v>-5.7302291632102031</v>
      </c>
      <c r="K13" s="11">
        <f t="shared" si="3"/>
        <v>-9.0319214950864826</v>
      </c>
      <c r="L13" s="11">
        <f t="shared" si="3"/>
        <v>-298.40131881008114</v>
      </c>
      <c r="M13" s="11">
        <f t="shared" si="3"/>
        <v>-221.39876224093408</v>
      </c>
      <c r="N13" s="11">
        <f t="shared" si="3"/>
        <v>-55.968138424440347</v>
      </c>
      <c r="O13" s="11">
        <f t="shared" si="3"/>
        <v>90.564720801736897</v>
      </c>
      <c r="P13" s="11">
        <f t="shared" si="3"/>
        <v>90.606518264116872</v>
      </c>
      <c r="Q13" s="11">
        <f t="shared" si="3"/>
        <v>90.799764001648981</v>
      </c>
      <c r="R13" s="11">
        <f t="shared" si="3"/>
        <v>90.969735250994702</v>
      </c>
      <c r="S13" s="11">
        <f t="shared" si="3"/>
        <v>91.115419397238469</v>
      </c>
      <c r="T13" s="11">
        <f t="shared" si="3"/>
        <v>91.235763188302329</v>
      </c>
      <c r="U13" s="11">
        <f t="shared" si="3"/>
        <v>91.32967099022423</v>
      </c>
      <c r="V13" s="11">
        <f t="shared" si="3"/>
        <v>91.396002962488282</v>
      </c>
      <c r="W13" s="11">
        <f t="shared" si="3"/>
        <v>91.433573149585172</v>
      </c>
      <c r="X13" s="11">
        <f t="shared" si="3"/>
        <v>91.441147484803238</v>
      </c>
      <c r="Y13" s="11">
        <f t="shared" si="3"/>
        <v>91.417441702045949</v>
      </c>
      <c r="Z13" s="11">
        <f t="shared" si="3"/>
        <v>91.36111915127303</v>
      </c>
      <c r="AA13" s="11">
        <f t="shared" si="3"/>
        <v>91.27078851294273</v>
      </c>
      <c r="AB13" s="11">
        <f t="shared" si="3"/>
        <v>91.145001406608941</v>
      </c>
      <c r="AC13" s="11">
        <f t="shared" si="3"/>
        <v>90.982249888588555</v>
      </c>
      <c r="AD13" s="11">
        <f t="shared" si="3"/>
        <v>152.36430071316576</v>
      </c>
      <c r="AE13" s="11">
        <f t="shared" si="3"/>
        <v>152.58472009953144</v>
      </c>
      <c r="AF13" s="11">
        <f t="shared" si="3"/>
        <v>152.78636081393955</v>
      </c>
      <c r="AG13" s="11">
        <f t="shared" si="3"/>
        <v>152.96860391313595</v>
      </c>
      <c r="AH13" s="11">
        <f t="shared" si="3"/>
        <v>148.42618731004146</v>
      </c>
      <c r="AI13" s="11">
        <f t="shared" si="3"/>
        <v>143.86308620066899</v>
      </c>
      <c r="AJ13" s="11">
        <f t="shared" si="3"/>
        <v>143.9832587649166</v>
      </c>
      <c r="AK13" s="11">
        <f t="shared" si="3"/>
        <v>144.08139185721856</v>
      </c>
      <c r="AL13" s="11">
        <f t="shared" si="3"/>
        <v>144.15678140303868</v>
      </c>
      <c r="AM13" s="11">
        <f t="shared" si="3"/>
        <v>144.20870501173584</v>
      </c>
      <c r="AN13" s="11">
        <f t="shared" si="3"/>
        <v>144.23642152177189</v>
      </c>
      <c r="AO13" s="11">
        <f t="shared" si="3"/>
        <v>144.23917053474699</v>
      </c>
      <c r="AP13" s="11">
        <f t="shared" si="3"/>
        <v>144.21617193798983</v>
      </c>
      <c r="AQ13" s="11">
        <f t="shared" si="3"/>
        <v>144.16662541542007</v>
      </c>
      <c r="AR13" s="11">
        <f t="shared" si="3"/>
        <v>42.044854973198753</v>
      </c>
    </row>
    <row r="15" spans="1:44" x14ac:dyDescent="0.25">
      <c r="C15" s="12" t="s">
        <v>15</v>
      </c>
      <c r="E15" s="2" t="s">
        <v>16</v>
      </c>
      <c r="F15" s="2" t="s">
        <v>1</v>
      </c>
      <c r="G15" s="2" t="s">
        <v>2</v>
      </c>
    </row>
    <row r="16" spans="1:44" x14ac:dyDescent="0.25">
      <c r="C16" s="3" t="s">
        <v>17</v>
      </c>
      <c r="D16" s="7" t="s">
        <v>18</v>
      </c>
      <c r="E16" s="11">
        <f t="shared" ref="E16:E28" si="4">SUM(I16:AR16)/Thousand</f>
        <v>-8.6002844738237094</v>
      </c>
      <c r="F16" s="6">
        <f t="shared" ref="F16:F28" si="5">E16*Thousand/In_Wind_Built</f>
        <v>-63.283918129681446</v>
      </c>
      <c r="G16" s="6">
        <f t="shared" ref="G16:G28" si="6">E16*Thousand/Dash_MVA</f>
        <v>-86.002844738237087</v>
      </c>
      <c r="I16" s="5">
        <f>HTM!H24</f>
        <v>-1570.6176490188818</v>
      </c>
      <c r="J16" s="5">
        <f>HTM!I24</f>
        <v>-778.73814328026663</v>
      </c>
      <c r="K16" s="5">
        <f>HTM!J24</f>
        <v>-1227.4381311822531</v>
      </c>
      <c r="L16" s="5">
        <f>HTM!K24</f>
        <v>-4499.0723555590448</v>
      </c>
      <c r="M16" s="5">
        <f>HTM!L24</f>
        <v>-350.57260273972605</v>
      </c>
      <c r="N16" s="5">
        <f>HTM!M24</f>
        <v>-173.84559204353542</v>
      </c>
      <c r="O16" s="5">
        <f>HTM!N24</f>
        <v>0</v>
      </c>
      <c r="P16" s="5">
        <f>HTM!O24</f>
        <v>0</v>
      </c>
      <c r="Q16" s="5">
        <f>HTM!P24</f>
        <v>0</v>
      </c>
      <c r="R16" s="5">
        <f>HTM!Q24</f>
        <v>0</v>
      </c>
      <c r="S16" s="5">
        <f>HTM!R24</f>
        <v>0</v>
      </c>
      <c r="T16" s="5">
        <f>HTM!S24</f>
        <v>0</v>
      </c>
      <c r="U16" s="5">
        <f>HTM!T24</f>
        <v>0</v>
      </c>
      <c r="V16" s="5">
        <f>HTM!U24</f>
        <v>0</v>
      </c>
      <c r="W16" s="5">
        <f>HTM!V24</f>
        <v>0</v>
      </c>
      <c r="X16" s="5">
        <f>HTM!W24</f>
        <v>0</v>
      </c>
      <c r="Y16" s="5">
        <f>HTM!X24</f>
        <v>0</v>
      </c>
      <c r="Z16" s="5">
        <f>HTM!Y24</f>
        <v>0</v>
      </c>
      <c r="AA16" s="5">
        <f>HTM!Z24</f>
        <v>0</v>
      </c>
      <c r="AB16" s="5">
        <f>HTM!AA24</f>
        <v>0</v>
      </c>
      <c r="AC16" s="5">
        <f>HTM!AB24</f>
        <v>0</v>
      </c>
      <c r="AD16" s="5">
        <f>HTM!AC24</f>
        <v>0</v>
      </c>
      <c r="AE16" s="5">
        <f>HTM!AD24</f>
        <v>0</v>
      </c>
      <c r="AF16" s="5">
        <f>HTM!AE24</f>
        <v>0</v>
      </c>
      <c r="AG16" s="5">
        <f>HTM!AF24</f>
        <v>0</v>
      </c>
      <c r="AH16" s="5">
        <f>HTM!AG24</f>
        <v>0</v>
      </c>
      <c r="AI16" s="5">
        <f>HTM!AH24</f>
        <v>0</v>
      </c>
      <c r="AJ16" s="5">
        <f>HTM!AI24</f>
        <v>0</v>
      </c>
      <c r="AK16" s="5">
        <f>HTM!AJ24</f>
        <v>0</v>
      </c>
      <c r="AL16" s="5">
        <f>HTM!AK24</f>
        <v>0</v>
      </c>
      <c r="AM16" s="5">
        <f>HTM!AL24</f>
        <v>0</v>
      </c>
      <c r="AN16" s="5">
        <f>HTM!AM24</f>
        <v>0</v>
      </c>
      <c r="AO16" s="5">
        <f>HTM!AN24</f>
        <v>0</v>
      </c>
      <c r="AP16" s="5">
        <f>HTM!AO24</f>
        <v>0</v>
      </c>
      <c r="AQ16" s="5">
        <f>HTM!AP24</f>
        <v>0</v>
      </c>
      <c r="AR16" s="5">
        <f>HTM!AQ24</f>
        <v>0</v>
      </c>
    </row>
    <row r="17" spans="3:44" x14ac:dyDescent="0.25">
      <c r="C17" s="3" t="s">
        <v>19</v>
      </c>
      <c r="D17" s="7" t="s">
        <v>18</v>
      </c>
      <c r="E17" s="11">
        <f t="shared" si="4"/>
        <v>-166.95434269971352</v>
      </c>
      <c r="F17" s="6">
        <f t="shared" si="5"/>
        <v>-1228.5087763039992</v>
      </c>
      <c r="G17" s="6">
        <f t="shared" si="6"/>
        <v>-1669.5434269971352</v>
      </c>
      <c r="I17" s="6">
        <f>HTM!H30+HTM!H117</f>
        <v>0</v>
      </c>
      <c r="J17" s="6">
        <f>HTM!I30+HTM!I117</f>
        <v>0</v>
      </c>
      <c r="K17" s="6">
        <f>HTM!J30+HTM!J117</f>
        <v>0</v>
      </c>
      <c r="L17" s="6">
        <f>HTM!K30+HTM!K117</f>
        <v>-56615.971659166069</v>
      </c>
      <c r="M17" s="6">
        <f>HTM!L30+HTM!L117</f>
        <v>-70516.687356651877</v>
      </c>
      <c r="N17" s="6">
        <f>HTM!M30+HTM!M117</f>
        <v>-39821.683683895557</v>
      </c>
      <c r="O17" s="6">
        <f>HTM!N30+HTM!N117</f>
        <v>0</v>
      </c>
      <c r="P17" s="6">
        <f>HTM!O30+HTM!O117</f>
        <v>0</v>
      </c>
      <c r="Q17" s="6">
        <f>HTM!P30+HTM!P117</f>
        <v>0</v>
      </c>
      <c r="R17" s="6">
        <f>HTM!Q30+HTM!Q117</f>
        <v>0</v>
      </c>
      <c r="S17" s="6">
        <f>HTM!R30+HTM!R117</f>
        <v>0</v>
      </c>
      <c r="T17" s="6">
        <f>HTM!S30+HTM!S117</f>
        <v>0</v>
      </c>
      <c r="U17" s="6">
        <f>HTM!T30+HTM!T117</f>
        <v>0</v>
      </c>
      <c r="V17" s="6">
        <f>HTM!U30+HTM!U117</f>
        <v>0</v>
      </c>
      <c r="W17" s="6">
        <f>HTM!V30+HTM!V117</f>
        <v>0</v>
      </c>
      <c r="X17" s="6">
        <f>HTM!W30+HTM!W117</f>
        <v>0</v>
      </c>
      <c r="Y17" s="6">
        <f>HTM!X30+HTM!X117</f>
        <v>0</v>
      </c>
      <c r="Z17" s="6">
        <f>HTM!Y30+HTM!Y117</f>
        <v>0</v>
      </c>
      <c r="AA17" s="6">
        <f>HTM!Z30+HTM!Z117</f>
        <v>0</v>
      </c>
      <c r="AB17" s="6">
        <f>HTM!AA30+HTM!AA117</f>
        <v>0</v>
      </c>
      <c r="AC17" s="6">
        <f>HTM!AB30+HTM!AB117</f>
        <v>0</v>
      </c>
      <c r="AD17" s="6">
        <f>HTM!AC30+HTM!AC117</f>
        <v>0</v>
      </c>
      <c r="AE17" s="6">
        <f>HTM!AD30+HTM!AD117</f>
        <v>0</v>
      </c>
      <c r="AF17" s="6">
        <f>HTM!AE30+HTM!AE117</f>
        <v>0</v>
      </c>
      <c r="AG17" s="6">
        <f>HTM!AF30+HTM!AF117</f>
        <v>0</v>
      </c>
      <c r="AH17" s="6">
        <f>HTM!AG30+HTM!AG117</f>
        <v>0</v>
      </c>
      <c r="AI17" s="6">
        <f>HTM!AH30+HTM!AH117</f>
        <v>0</v>
      </c>
      <c r="AJ17" s="6">
        <f>HTM!AI30+HTM!AI117</f>
        <v>0</v>
      </c>
      <c r="AK17" s="6">
        <f>HTM!AJ30+HTM!AJ117</f>
        <v>0</v>
      </c>
      <c r="AL17" s="6">
        <f>HTM!AK30+HTM!AK117</f>
        <v>0</v>
      </c>
      <c r="AM17" s="6">
        <f>HTM!AL30+HTM!AL117</f>
        <v>0</v>
      </c>
      <c r="AN17" s="6">
        <f>HTM!AM30+HTM!AM117</f>
        <v>0</v>
      </c>
      <c r="AO17" s="6">
        <f>HTM!AN30+HTM!AN117</f>
        <v>0</v>
      </c>
      <c r="AP17" s="6">
        <f>HTM!AO30+HTM!AO117</f>
        <v>0</v>
      </c>
      <c r="AQ17" s="6">
        <f>HTM!AP30+HTM!AP117</f>
        <v>0</v>
      </c>
      <c r="AR17" s="6">
        <f>HTM!AQ30+HTM!AQ117</f>
        <v>0</v>
      </c>
    </row>
    <row r="18" spans="3:44" x14ac:dyDescent="0.25">
      <c r="C18" s="12" t="s">
        <v>10</v>
      </c>
      <c r="D18" s="7" t="s">
        <v>18</v>
      </c>
      <c r="E18" s="13">
        <f t="shared" si="4"/>
        <v>-175.55462717353723</v>
      </c>
      <c r="F18" s="14">
        <f t="shared" si="5"/>
        <v>-1291.7926944336807</v>
      </c>
      <c r="G18" s="14">
        <f t="shared" si="6"/>
        <v>-1755.5462717353721</v>
      </c>
      <c r="I18" s="14">
        <f t="shared" ref="I18:AR18" si="7">I16+I17</f>
        <v>-1570.6176490188818</v>
      </c>
      <c r="J18" s="14">
        <f t="shared" si="7"/>
        <v>-778.73814328026663</v>
      </c>
      <c r="K18" s="14">
        <f t="shared" si="7"/>
        <v>-1227.4381311822531</v>
      </c>
      <c r="L18" s="14">
        <f t="shared" si="7"/>
        <v>-61115.044014725114</v>
      </c>
      <c r="M18" s="14">
        <f t="shared" si="7"/>
        <v>-70867.259959391609</v>
      </c>
      <c r="N18" s="14">
        <f t="shared" si="7"/>
        <v>-39995.529275939094</v>
      </c>
      <c r="O18" s="14">
        <f t="shared" si="7"/>
        <v>0</v>
      </c>
      <c r="P18" s="14">
        <f t="shared" si="7"/>
        <v>0</v>
      </c>
      <c r="Q18" s="14">
        <f t="shared" si="7"/>
        <v>0</v>
      </c>
      <c r="R18" s="14">
        <f t="shared" si="7"/>
        <v>0</v>
      </c>
      <c r="S18" s="14">
        <f t="shared" si="7"/>
        <v>0</v>
      </c>
      <c r="T18" s="14">
        <f t="shared" si="7"/>
        <v>0</v>
      </c>
      <c r="U18" s="14">
        <f t="shared" si="7"/>
        <v>0</v>
      </c>
      <c r="V18" s="14">
        <f t="shared" si="7"/>
        <v>0</v>
      </c>
      <c r="W18" s="14">
        <f t="shared" si="7"/>
        <v>0</v>
      </c>
      <c r="X18" s="14">
        <f t="shared" si="7"/>
        <v>0</v>
      </c>
      <c r="Y18" s="14">
        <f t="shared" si="7"/>
        <v>0</v>
      </c>
      <c r="Z18" s="14">
        <f t="shared" si="7"/>
        <v>0</v>
      </c>
      <c r="AA18" s="14">
        <f t="shared" si="7"/>
        <v>0</v>
      </c>
      <c r="AB18" s="14">
        <f t="shared" si="7"/>
        <v>0</v>
      </c>
      <c r="AC18" s="14">
        <f t="shared" si="7"/>
        <v>0</v>
      </c>
      <c r="AD18" s="14">
        <f t="shared" si="7"/>
        <v>0</v>
      </c>
      <c r="AE18" s="14">
        <f t="shared" si="7"/>
        <v>0</v>
      </c>
      <c r="AF18" s="14">
        <f t="shared" si="7"/>
        <v>0</v>
      </c>
      <c r="AG18" s="14">
        <f t="shared" si="7"/>
        <v>0</v>
      </c>
      <c r="AH18" s="14">
        <f t="shared" si="7"/>
        <v>0</v>
      </c>
      <c r="AI18" s="14">
        <f t="shared" si="7"/>
        <v>0</v>
      </c>
      <c r="AJ18" s="14">
        <f t="shared" si="7"/>
        <v>0</v>
      </c>
      <c r="AK18" s="14">
        <f t="shared" si="7"/>
        <v>0</v>
      </c>
      <c r="AL18" s="14">
        <f t="shared" si="7"/>
        <v>0</v>
      </c>
      <c r="AM18" s="14">
        <f t="shared" si="7"/>
        <v>0</v>
      </c>
      <c r="AN18" s="14">
        <f t="shared" si="7"/>
        <v>0</v>
      </c>
      <c r="AO18" s="14">
        <f t="shared" si="7"/>
        <v>0</v>
      </c>
      <c r="AP18" s="14">
        <f t="shared" si="7"/>
        <v>0</v>
      </c>
      <c r="AQ18" s="14">
        <f t="shared" si="7"/>
        <v>0</v>
      </c>
      <c r="AR18" s="14">
        <f t="shared" si="7"/>
        <v>0</v>
      </c>
    </row>
    <row r="19" spans="3:44" x14ac:dyDescent="0.25">
      <c r="C19" s="3" t="s">
        <v>12</v>
      </c>
      <c r="D19" s="7" t="s">
        <v>18</v>
      </c>
      <c r="E19" s="11">
        <f t="shared" si="4"/>
        <v>966.48066236071111</v>
      </c>
      <c r="F19" s="6">
        <f t="shared" si="5"/>
        <v>7111.7046531325323</v>
      </c>
      <c r="G19" s="6">
        <f t="shared" si="6"/>
        <v>9664.8066236071118</v>
      </c>
      <c r="I19" s="5">
        <f>HTM!H54</f>
        <v>0</v>
      </c>
      <c r="J19" s="5">
        <f>HTM!I54</f>
        <v>0</v>
      </c>
      <c r="K19" s="5">
        <f>HTM!J54</f>
        <v>0</v>
      </c>
      <c r="L19" s="5">
        <f>HTM!K54</f>
        <v>0</v>
      </c>
      <c r="M19" s="5">
        <f>HTM!L54</f>
        <v>0</v>
      </c>
      <c r="N19" s="5">
        <f>HTM!M54</f>
        <v>18496.696287173883</v>
      </c>
      <c r="O19" s="5">
        <f>HTM!N54</f>
        <v>29054.985120000001</v>
      </c>
      <c r="P19" s="5">
        <f>HTM!O54</f>
        <v>29257.4983662864</v>
      </c>
      <c r="Q19" s="5">
        <f>HTM!P54</f>
        <v>29461.423129899409</v>
      </c>
      <c r="R19" s="5">
        <f>HTM!Q54</f>
        <v>29666.769249114815</v>
      </c>
      <c r="S19" s="5">
        <f>HTM!R54</f>
        <v>29873.546630781144</v>
      </c>
      <c r="T19" s="5">
        <f>HTM!S54</f>
        <v>30081.765250797696</v>
      </c>
      <c r="U19" s="5">
        <f>HTM!T54</f>
        <v>30291.43515459574</v>
      </c>
      <c r="V19" s="5">
        <f>HTM!U54</f>
        <v>30502.566457623285</v>
      </c>
      <c r="W19" s="5">
        <f>HTM!V54</f>
        <v>30715.169345832921</v>
      </c>
      <c r="X19" s="5">
        <f>HTM!W54</f>
        <v>30929.25407617338</v>
      </c>
      <c r="Y19" s="5">
        <f>HTM!X54</f>
        <v>31144.830977084301</v>
      </c>
      <c r="Z19" s="5">
        <f>HTM!Y54</f>
        <v>31361.910448994578</v>
      </c>
      <c r="AA19" s="5">
        <f>HTM!Z54</f>
        <v>31580.502964824071</v>
      </c>
      <c r="AB19" s="5">
        <f>HTM!AA54</f>
        <v>31800.619070488894</v>
      </c>
      <c r="AC19" s="5">
        <f>HTM!AB54</f>
        <v>32022.269385410204</v>
      </c>
      <c r="AD19" s="5">
        <f>HTM!AC54</f>
        <v>32245.464603026518</v>
      </c>
      <c r="AE19" s="5">
        <f>HTM!AD54</f>
        <v>32470.21549130962</v>
      </c>
      <c r="AF19" s="5">
        <f>HTM!AE54</f>
        <v>32696.532893284049</v>
      </c>
      <c r="AG19" s="5">
        <f>HTM!AF54</f>
        <v>32924.427727550232</v>
      </c>
      <c r="AH19" s="5">
        <f>HTM!AG54</f>
        <v>33153.910988811265</v>
      </c>
      <c r="AI19" s="5">
        <f>HTM!AH54</f>
        <v>33384.993748403271</v>
      </c>
      <c r="AJ19" s="5">
        <f>HTM!AI54</f>
        <v>33617.687154829648</v>
      </c>
      <c r="AK19" s="5">
        <f>HTM!AJ54</f>
        <v>33852.002434298811</v>
      </c>
      <c r="AL19" s="5">
        <f>HTM!AK54</f>
        <v>34087.950891265878</v>
      </c>
      <c r="AM19" s="5">
        <f>HTM!AL54</f>
        <v>34325.543908978005</v>
      </c>
      <c r="AN19" s="5">
        <f>HTM!AM54</f>
        <v>34564.792950023584</v>
      </c>
      <c r="AO19" s="5">
        <f>HTM!AN54</f>
        <v>34805.709556885231</v>
      </c>
      <c r="AP19" s="5">
        <f>HTM!AO54</f>
        <v>35048.305352496725</v>
      </c>
      <c r="AQ19" s="5">
        <f>HTM!AP54</f>
        <v>35292.592040803633</v>
      </c>
      <c r="AR19" s="5">
        <f>HTM!AQ54</f>
        <v>17769.290703664021</v>
      </c>
    </row>
    <row r="20" spans="3:44" x14ac:dyDescent="0.25">
      <c r="C20" s="3" t="s">
        <v>20</v>
      </c>
      <c r="D20" s="7" t="s">
        <v>18</v>
      </c>
      <c r="E20" s="11">
        <f t="shared" si="4"/>
        <v>-281.99372830342708</v>
      </c>
      <c r="F20" s="6">
        <f t="shared" si="5"/>
        <v>-2075.0090382886465</v>
      </c>
      <c r="G20" s="6">
        <f t="shared" si="6"/>
        <v>-2819.9372830342704</v>
      </c>
      <c r="I20" s="5">
        <f>HTM!H69</f>
        <v>0</v>
      </c>
      <c r="J20" s="5">
        <f>HTM!I69</f>
        <v>0</v>
      </c>
      <c r="K20" s="5">
        <f>HTM!J69</f>
        <v>0</v>
      </c>
      <c r="L20" s="5">
        <f>HTM!K69</f>
        <v>-205.40321563322553</v>
      </c>
      <c r="M20" s="5">
        <f>HTM!L69</f>
        <v>-417.64390243902449</v>
      </c>
      <c r="N20" s="5">
        <f>HTM!M69</f>
        <v>-3743.2030034203526</v>
      </c>
      <c r="O20" s="5">
        <f>HTM!N69</f>
        <v>-7027.8414917759992</v>
      </c>
      <c r="P20" s="5">
        <f>HTM!O69</f>
        <v>-7160.3716157805784</v>
      </c>
      <c r="Q20" s="5">
        <f>HTM!P69</f>
        <v>-7296.1027168081346</v>
      </c>
      <c r="R20" s="5">
        <f>HTM!Q69</f>
        <v>-7435.1114994041809</v>
      </c>
      <c r="S20" s="5">
        <f>HTM!R69</f>
        <v>-7577.4765269741338</v>
      </c>
      <c r="T20" s="5">
        <f>HTM!S69</f>
        <v>-7723.2782670044044</v>
      </c>
      <c r="U20" s="5">
        <f>HTM!T69</f>
        <v>-7872.5991373870493</v>
      </c>
      <c r="V20" s="5">
        <f>HTM!U69</f>
        <v>-8025.523553874973</v>
      </c>
      <c r="W20" s="5">
        <f>HTM!V69</f>
        <v>-8182.1379786953603</v>
      </c>
      <c r="X20" s="5">
        <f>HTM!W69</f>
        <v>-8342.5309703496423</v>
      </c>
      <c r="Y20" s="5">
        <f>HTM!X69</f>
        <v>-8506.7932346290872</v>
      </c>
      <c r="Z20" s="5">
        <f>HTM!Y69</f>
        <v>-8675.0176768757101</v>
      </c>
      <c r="AA20" s="5">
        <f>HTM!Z69</f>
        <v>-8847.2994555190126</v>
      </c>
      <c r="AB20" s="5">
        <f>HTM!AA69</f>
        <v>-9023.7360369197704</v>
      </c>
      <c r="AC20" s="5">
        <f>HTM!AB69</f>
        <v>-9204.4272515528337</v>
      </c>
      <c r="AD20" s="5">
        <f>HTM!AC69</f>
        <v>-9389.4753515617685</v>
      </c>
      <c r="AE20" s="5">
        <f>HTM!AD69</f>
        <v>-9578.9850697188758</v>
      </c>
      <c r="AF20" s="5">
        <f>HTM!AE69</f>
        <v>-9773.0636798249961</v>
      </c>
      <c r="AG20" s="5">
        <f>HTM!AF69</f>
        <v>-9971.8210585843663</v>
      </c>
      <c r="AH20" s="5">
        <f>HTM!AG69</f>
        <v>-10175.369748990635</v>
      </c>
      <c r="AI20" s="5">
        <f>HTM!AH69</f>
        <v>-10383.825025261014</v>
      </c>
      <c r="AJ20" s="5">
        <f>HTM!AI69</f>
        <v>-10597.304959356512</v>
      </c>
      <c r="AK20" s="5">
        <f>HTM!AJ69</f>
        <v>-10815.930489127042</v>
      </c>
      <c r="AL20" s="5">
        <f>HTM!AK69</f>
        <v>-11039.825488121223</v>
      </c>
      <c r="AM20" s="5">
        <f>HTM!AL69</f>
        <v>-11269.116837101645</v>
      </c>
      <c r="AN20" s="5">
        <f>HTM!AM69</f>
        <v>-11503.934497307344</v>
      </c>
      <c r="AO20" s="5">
        <f>HTM!AN69</f>
        <v>-11744.41158550627</v>
      </c>
      <c r="AP20" s="5">
        <f>HTM!AO69</f>
        <v>-11990.684450881643</v>
      </c>
      <c r="AQ20" s="5">
        <f>HTM!AP69</f>
        <v>-12242.892753797058</v>
      </c>
      <c r="AR20" s="5">
        <f>HTM!AQ69</f>
        <v>-6250.5897732431849</v>
      </c>
    </row>
    <row r="21" spans="3:44" x14ac:dyDescent="0.25">
      <c r="C21" s="12" t="s">
        <v>13</v>
      </c>
      <c r="D21" s="7" t="s">
        <v>18</v>
      </c>
      <c r="E21" s="13">
        <f t="shared" si="4"/>
        <v>684.48693405728432</v>
      </c>
      <c r="F21" s="14">
        <f t="shared" si="5"/>
        <v>5036.6956148438867</v>
      </c>
      <c r="G21" s="14">
        <f t="shared" si="6"/>
        <v>6844.8693405728427</v>
      </c>
      <c r="I21" s="14">
        <f>HTM!H70</f>
        <v>0</v>
      </c>
      <c r="J21" s="14">
        <f>HTM!I70</f>
        <v>0</v>
      </c>
      <c r="K21" s="14">
        <f>HTM!J70</f>
        <v>0</v>
      </c>
      <c r="L21" s="14">
        <f>HTM!K70</f>
        <v>-205.40321563322553</v>
      </c>
      <c r="M21" s="14">
        <f>HTM!L70</f>
        <v>-417.64390243902449</v>
      </c>
      <c r="N21" s="14">
        <f>HTM!M70</f>
        <v>14753.493283753531</v>
      </c>
      <c r="O21" s="14">
        <f>HTM!N70</f>
        <v>22027.143628224003</v>
      </c>
      <c r="P21" s="14">
        <f>HTM!O70</f>
        <v>22097.12675050582</v>
      </c>
      <c r="Q21" s="14">
        <f>HTM!P70</f>
        <v>22165.320413091275</v>
      </c>
      <c r="R21" s="14">
        <f>HTM!Q70</f>
        <v>22231.657749710634</v>
      </c>
      <c r="S21" s="14">
        <f>HTM!R70</f>
        <v>22296.070103807011</v>
      </c>
      <c r="T21" s="14">
        <f>HTM!S70</f>
        <v>22358.486983793293</v>
      </c>
      <c r="U21" s="14">
        <f>HTM!T70</f>
        <v>22418.83601720869</v>
      </c>
      <c r="V21" s="14">
        <f>HTM!U70</f>
        <v>22477.042903748312</v>
      </c>
      <c r="W21" s="14">
        <f>HTM!V70</f>
        <v>22533.031367137562</v>
      </c>
      <c r="X21" s="14">
        <f>HTM!W70</f>
        <v>22586.723105823738</v>
      </c>
      <c r="Y21" s="14">
        <f>HTM!X70</f>
        <v>22638.037742455213</v>
      </c>
      <c r="Z21" s="14">
        <f>HTM!Y70</f>
        <v>22686.892772118867</v>
      </c>
      <c r="AA21" s="14">
        <f>HTM!Z70</f>
        <v>22733.203509305058</v>
      </c>
      <c r="AB21" s="14">
        <f>HTM!AA70</f>
        <v>22776.883033569124</v>
      </c>
      <c r="AC21" s="14">
        <f>HTM!AB70</f>
        <v>22817.842133857368</v>
      </c>
      <c r="AD21" s="14">
        <f>HTM!AC70</f>
        <v>22855.989251464751</v>
      </c>
      <c r="AE21" s="14">
        <f>HTM!AD70</f>
        <v>22891.230421590742</v>
      </c>
      <c r="AF21" s="14">
        <f>HTM!AE70</f>
        <v>22923.469213459051</v>
      </c>
      <c r="AG21" s="14">
        <f>HTM!AF70</f>
        <v>22952.606668965866</v>
      </c>
      <c r="AH21" s="14">
        <f>HTM!AG70</f>
        <v>22978.541239820632</v>
      </c>
      <c r="AI21" s="14">
        <f>HTM!AH70</f>
        <v>23001.168723142255</v>
      </c>
      <c r="AJ21" s="14">
        <f>HTM!AI70</f>
        <v>23020.382195473136</v>
      </c>
      <c r="AK21" s="14">
        <f>HTM!AJ70</f>
        <v>23036.071945171767</v>
      </c>
      <c r="AL21" s="14">
        <f>HTM!AK70</f>
        <v>23048.125403144655</v>
      </c>
      <c r="AM21" s="14">
        <f>HTM!AL70</f>
        <v>23056.427071876358</v>
      </c>
      <c r="AN21" s="14">
        <f>HTM!AM70</f>
        <v>23060.858452716238</v>
      </c>
      <c r="AO21" s="14">
        <f>HTM!AN70</f>
        <v>23061.297971378961</v>
      </c>
      <c r="AP21" s="14">
        <f>HTM!AO70</f>
        <v>23057.620901615082</v>
      </c>
      <c r="AQ21" s="14">
        <f>HTM!AP70</f>
        <v>23049.699287006573</v>
      </c>
      <c r="AR21" s="14">
        <f>HTM!AQ70</f>
        <v>11518.700930420837</v>
      </c>
    </row>
    <row r="22" spans="3:44" x14ac:dyDescent="0.25">
      <c r="C22" s="15" t="s">
        <v>21</v>
      </c>
      <c r="D22" s="7" t="s">
        <v>18</v>
      </c>
      <c r="E22" s="16">
        <f t="shared" si="4"/>
        <v>-170.49568042322548</v>
      </c>
      <c r="F22" s="17">
        <f t="shared" si="5"/>
        <v>-1254.5671848655295</v>
      </c>
      <c r="G22" s="17">
        <f t="shared" si="6"/>
        <v>-1704.9568042322549</v>
      </c>
      <c r="H22" s="18"/>
      <c r="I22" s="17">
        <f>-HTM!H92</f>
        <v>0</v>
      </c>
      <c r="J22" s="17">
        <f>-HTM!I92</f>
        <v>0</v>
      </c>
      <c r="K22" s="17">
        <f>-HTM!J92</f>
        <v>0</v>
      </c>
      <c r="L22" s="17">
        <f>-HTM!K92</f>
        <v>0</v>
      </c>
      <c r="M22" s="17">
        <f>-HTM!L92</f>
        <v>0</v>
      </c>
      <c r="N22" s="17">
        <f>-HTM!M92</f>
        <v>-4262.3920105806383</v>
      </c>
      <c r="O22" s="17">
        <f>-HTM!N92</f>
        <v>-8524.7840211612765</v>
      </c>
      <c r="P22" s="17">
        <f>-HTM!O92</f>
        <v>-8524.7840211612765</v>
      </c>
      <c r="Q22" s="17">
        <f>-HTM!P92</f>
        <v>-8524.7840211612765</v>
      </c>
      <c r="R22" s="17">
        <f>-HTM!Q92</f>
        <v>-8524.7840211612765</v>
      </c>
      <c r="S22" s="17">
        <f>-HTM!R92</f>
        <v>-8524.7840211612765</v>
      </c>
      <c r="T22" s="17">
        <f>-HTM!S92</f>
        <v>-8524.7840211612765</v>
      </c>
      <c r="U22" s="17">
        <f>-HTM!T92</f>
        <v>-8524.7840211612765</v>
      </c>
      <c r="V22" s="17">
        <f>-HTM!U92</f>
        <v>-8524.7840211612765</v>
      </c>
      <c r="W22" s="17">
        <f>-HTM!V92</f>
        <v>-8524.7840211612765</v>
      </c>
      <c r="X22" s="17">
        <f>-HTM!W92</f>
        <v>-8524.7840211612765</v>
      </c>
      <c r="Y22" s="17">
        <f>-HTM!X92</f>
        <v>-8524.7840211612765</v>
      </c>
      <c r="Z22" s="17">
        <f>-HTM!Y92</f>
        <v>-8524.7840211612765</v>
      </c>
      <c r="AA22" s="17">
        <f>-HTM!Z92</f>
        <v>-8524.7840211612765</v>
      </c>
      <c r="AB22" s="17">
        <f>-HTM!AA92</f>
        <v>-8524.7840211612765</v>
      </c>
      <c r="AC22" s="17">
        <f>-HTM!AB92</f>
        <v>-8524.7840211612765</v>
      </c>
      <c r="AD22" s="17">
        <f>-HTM!AC92</f>
        <v>-8524.7840211612765</v>
      </c>
      <c r="AE22" s="17">
        <f>-HTM!AD92</f>
        <v>-8524.7840211612765</v>
      </c>
      <c r="AF22" s="17">
        <f>-HTM!AE92</f>
        <v>-8524.7840211612765</v>
      </c>
      <c r="AG22" s="17">
        <f>-HTM!AF92</f>
        <v>-8524.7840211612765</v>
      </c>
      <c r="AH22" s="17">
        <f>-HTM!AG92</f>
        <v>-4262.3920105806383</v>
      </c>
      <c r="AI22" s="17">
        <f>-HTM!AH92</f>
        <v>0</v>
      </c>
      <c r="AJ22" s="17">
        <f>-HTM!AI92</f>
        <v>0</v>
      </c>
      <c r="AK22" s="17">
        <f>-HTM!AJ92</f>
        <v>0</v>
      </c>
      <c r="AL22" s="17">
        <f>-HTM!AK92</f>
        <v>0</v>
      </c>
      <c r="AM22" s="17">
        <f>-HTM!AL92</f>
        <v>0</v>
      </c>
      <c r="AN22" s="17">
        <f>-HTM!AM92</f>
        <v>0</v>
      </c>
      <c r="AO22" s="17">
        <f>-HTM!AN92</f>
        <v>0</v>
      </c>
      <c r="AP22" s="17">
        <f>-HTM!AO92</f>
        <v>0</v>
      </c>
      <c r="AQ22" s="17">
        <f>-HTM!AP92</f>
        <v>0</v>
      </c>
      <c r="AR22" s="17">
        <f>-HTM!AQ92</f>
        <v>0</v>
      </c>
    </row>
    <row r="23" spans="3:44" x14ac:dyDescent="0.25">
      <c r="C23" s="15" t="s">
        <v>22</v>
      </c>
      <c r="D23" s="7" t="s">
        <v>18</v>
      </c>
      <c r="E23" s="16">
        <f t="shared" si="4"/>
        <v>513.99125363405869</v>
      </c>
      <c r="F23" s="17">
        <f t="shared" si="5"/>
        <v>3782.1284299783565</v>
      </c>
      <c r="G23" s="17">
        <f t="shared" si="6"/>
        <v>5139.9125363405874</v>
      </c>
      <c r="H23" s="18"/>
      <c r="I23" s="17">
        <f t="shared" ref="I23:AR23" si="8">I21+I22</f>
        <v>0</v>
      </c>
      <c r="J23" s="17">
        <f t="shared" si="8"/>
        <v>0</v>
      </c>
      <c r="K23" s="17">
        <f t="shared" si="8"/>
        <v>0</v>
      </c>
      <c r="L23" s="17">
        <f t="shared" si="8"/>
        <v>-205.40321563322553</v>
      </c>
      <c r="M23" s="17">
        <f t="shared" si="8"/>
        <v>-417.64390243902449</v>
      </c>
      <c r="N23" s="17">
        <f t="shared" si="8"/>
        <v>10491.101273172892</v>
      </c>
      <c r="O23" s="17">
        <f t="shared" si="8"/>
        <v>13502.359607062726</v>
      </c>
      <c r="P23" s="17">
        <f t="shared" si="8"/>
        <v>13572.342729344544</v>
      </c>
      <c r="Q23" s="17">
        <f t="shared" si="8"/>
        <v>13640.536391929998</v>
      </c>
      <c r="R23" s="17">
        <f t="shared" si="8"/>
        <v>13706.873728549357</v>
      </c>
      <c r="S23" s="17">
        <f t="shared" si="8"/>
        <v>13771.286082645734</v>
      </c>
      <c r="T23" s="17">
        <f t="shared" si="8"/>
        <v>13833.702962632016</v>
      </c>
      <c r="U23" s="17">
        <f t="shared" si="8"/>
        <v>13894.051996047414</v>
      </c>
      <c r="V23" s="17">
        <f t="shared" si="8"/>
        <v>13952.258882587035</v>
      </c>
      <c r="W23" s="17">
        <f t="shared" si="8"/>
        <v>14008.247345976286</v>
      </c>
      <c r="X23" s="17">
        <f t="shared" si="8"/>
        <v>14061.939084662461</v>
      </c>
      <c r="Y23" s="17">
        <f t="shared" si="8"/>
        <v>14113.253721293937</v>
      </c>
      <c r="Z23" s="17">
        <f t="shared" si="8"/>
        <v>14162.10875095759</v>
      </c>
      <c r="AA23" s="17">
        <f t="shared" si="8"/>
        <v>14208.419488143782</v>
      </c>
      <c r="AB23" s="17">
        <f t="shared" si="8"/>
        <v>14252.099012407847</v>
      </c>
      <c r="AC23" s="17">
        <f t="shared" si="8"/>
        <v>14293.058112696091</v>
      </c>
      <c r="AD23" s="17">
        <f t="shared" si="8"/>
        <v>14331.205230303474</v>
      </c>
      <c r="AE23" s="17">
        <f t="shared" si="8"/>
        <v>14366.446400429466</v>
      </c>
      <c r="AF23" s="17">
        <f t="shared" si="8"/>
        <v>14398.685192297775</v>
      </c>
      <c r="AG23" s="17">
        <f t="shared" si="8"/>
        <v>14427.822647804589</v>
      </c>
      <c r="AH23" s="17">
        <f t="shared" si="8"/>
        <v>18716.149229239993</v>
      </c>
      <c r="AI23" s="17">
        <f t="shared" si="8"/>
        <v>23001.168723142255</v>
      </c>
      <c r="AJ23" s="17">
        <f t="shared" si="8"/>
        <v>23020.382195473136</v>
      </c>
      <c r="AK23" s="17">
        <f t="shared" si="8"/>
        <v>23036.071945171767</v>
      </c>
      <c r="AL23" s="17">
        <f t="shared" si="8"/>
        <v>23048.125403144655</v>
      </c>
      <c r="AM23" s="17">
        <f t="shared" si="8"/>
        <v>23056.427071876358</v>
      </c>
      <c r="AN23" s="17">
        <f t="shared" si="8"/>
        <v>23060.858452716238</v>
      </c>
      <c r="AO23" s="17">
        <f t="shared" si="8"/>
        <v>23061.297971378961</v>
      </c>
      <c r="AP23" s="17">
        <f t="shared" si="8"/>
        <v>23057.620901615082</v>
      </c>
      <c r="AQ23" s="17">
        <f t="shared" si="8"/>
        <v>23049.699287006573</v>
      </c>
      <c r="AR23" s="17">
        <f t="shared" si="8"/>
        <v>11518.700930420837</v>
      </c>
    </row>
    <row r="24" spans="3:44" x14ac:dyDescent="0.25">
      <c r="C24" s="3" t="s">
        <v>23</v>
      </c>
      <c r="D24" s="7" t="s">
        <v>18</v>
      </c>
      <c r="E24" s="11">
        <f t="shared" si="4"/>
        <v>-70.416008116853988</v>
      </c>
      <c r="F24" s="6">
        <f t="shared" si="5"/>
        <v>-518.14575509090503</v>
      </c>
      <c r="G24" s="6">
        <f t="shared" si="6"/>
        <v>-704.16008116853993</v>
      </c>
      <c r="I24" s="5">
        <f>HTM!H100</f>
        <v>0</v>
      </c>
      <c r="J24" s="5">
        <f>HTM!I100</f>
        <v>0</v>
      </c>
      <c r="K24" s="5">
        <f>HTM!J100</f>
        <v>0</v>
      </c>
      <c r="L24" s="5">
        <f>HTM!K100</f>
        <v>0</v>
      </c>
      <c r="M24" s="5">
        <f>HTM!L100</f>
        <v>0</v>
      </c>
      <c r="N24" s="5">
        <f>HTM!M100</f>
        <v>-621.40859980721871</v>
      </c>
      <c r="O24" s="5">
        <f>HTM!N100</f>
        <v>-1350.2225893030109</v>
      </c>
      <c r="P24" s="5">
        <f>HTM!O100</f>
        <v>-1414.5254364473872</v>
      </c>
      <c r="Q24" s="5">
        <f>HTM!P100</f>
        <v>-1456.4570033022278</v>
      </c>
      <c r="R24" s="5">
        <f>HTM!Q100</f>
        <v>-1499.695247135505</v>
      </c>
      <c r="S24" s="5">
        <f>HTM!R100</f>
        <v>-1544.309125757354</v>
      </c>
      <c r="T24" s="5">
        <f>HTM!S100</f>
        <v>-1590.3712845380583</v>
      </c>
      <c r="U24" s="5">
        <f>HTM!T100</f>
        <v>-1637.9582476722676</v>
      </c>
      <c r="V24" s="5">
        <f>HTM!U100</f>
        <v>-1687.1506191812059</v>
      </c>
      <c r="W24" s="5">
        <f>HTM!V100</f>
        <v>-1738.0332941439881</v>
      </c>
      <c r="X24" s="5">
        <f>HTM!W100</f>
        <v>-1790.6956806740286</v>
      </c>
      <c r="Y24" s="5">
        <f>HTM!X100</f>
        <v>-1845.23193318222</v>
      </c>
      <c r="Z24" s="5">
        <f>HTM!Y100</f>
        <v>-1901.7411974959118</v>
      </c>
      <c r="AA24" s="5">
        <f>HTM!Z100</f>
        <v>-1960.3278684311913</v>
      </c>
      <c r="AB24" s="5">
        <f>HTM!AA100</f>
        <v>-2021.1018604460194</v>
      </c>
      <c r="AC24" s="5">
        <f>HTM!AB100</f>
        <v>-2084.1788920332351</v>
      </c>
      <c r="AD24" s="5">
        <f>HTM!AC100</f>
        <v>-2149.680784545521</v>
      </c>
      <c r="AE24" s="5">
        <f>HTM!AD100</f>
        <v>-2154.9669600644197</v>
      </c>
      <c r="AF24" s="5">
        <f>HTM!AE100</f>
        <v>-2159.8027788446657</v>
      </c>
      <c r="AG24" s="5">
        <f>HTM!AF100</f>
        <v>-2164.1733971706881</v>
      </c>
      <c r="AH24" s="5">
        <f>HTM!AG100</f>
        <v>-2807.4223843859986</v>
      </c>
      <c r="AI24" s="5">
        <f>HTM!AH100</f>
        <v>-3450.1753084713382</v>
      </c>
      <c r="AJ24" s="5">
        <f>HTM!AI100</f>
        <v>-3453.0573293209704</v>
      </c>
      <c r="AK24" s="5">
        <f>HTM!AJ100</f>
        <v>-3455.4107917757651</v>
      </c>
      <c r="AL24" s="5">
        <f>HTM!AK100</f>
        <v>-3457.2188104716984</v>
      </c>
      <c r="AM24" s="5">
        <f>HTM!AL100</f>
        <v>-3458.4640607814536</v>
      </c>
      <c r="AN24" s="5">
        <f>HTM!AM100</f>
        <v>-3459.1287679074358</v>
      </c>
      <c r="AO24" s="5">
        <f>HTM!AN100</f>
        <v>-3459.194695706844</v>
      </c>
      <c r="AP24" s="5">
        <f>HTM!AO100</f>
        <v>-3458.6431352422624</v>
      </c>
      <c r="AQ24" s="5">
        <f>HTM!AP100</f>
        <v>-3457.4548930509859</v>
      </c>
      <c r="AR24" s="5">
        <f>HTM!AQ100</f>
        <v>-1727.8051395631253</v>
      </c>
    </row>
    <row r="25" spans="3:44" x14ac:dyDescent="0.25">
      <c r="C25" s="3" t="s">
        <v>24</v>
      </c>
      <c r="D25" s="7" t="s">
        <v>18</v>
      </c>
      <c r="E25" s="11">
        <f t="shared" si="4"/>
        <v>82.393624146575377</v>
      </c>
      <c r="F25" s="6">
        <f t="shared" si="5"/>
        <v>606.28126671505049</v>
      </c>
      <c r="G25" s="6">
        <f t="shared" si="6"/>
        <v>823.93624146575371</v>
      </c>
      <c r="I25" s="5">
        <f>HTM!H77</f>
        <v>0</v>
      </c>
      <c r="J25" s="5">
        <f>HTM!I77</f>
        <v>0</v>
      </c>
      <c r="K25" s="5">
        <f>HTM!J77</f>
        <v>0</v>
      </c>
      <c r="L25" s="5">
        <f>HTM!K77</f>
        <v>20767.708004068314</v>
      </c>
      <c r="M25" s="5">
        <f>HTM!L77</f>
        <v>41196.812073287685</v>
      </c>
      <c r="N25" s="5">
        <f>HTM!M77</f>
        <v>20429.104069219375</v>
      </c>
      <c r="O25" s="5">
        <f>HTM!N77</f>
        <v>0</v>
      </c>
      <c r="P25" s="5">
        <f>HTM!O77</f>
        <v>0</v>
      </c>
      <c r="Q25" s="5">
        <f>HTM!P77</f>
        <v>0</v>
      </c>
      <c r="R25" s="5">
        <f>HTM!Q77</f>
        <v>0</v>
      </c>
      <c r="S25" s="5">
        <f>HTM!R77</f>
        <v>0</v>
      </c>
      <c r="T25" s="5">
        <f>HTM!S77</f>
        <v>0</v>
      </c>
      <c r="U25" s="5">
        <f>HTM!T77</f>
        <v>0</v>
      </c>
      <c r="V25" s="5">
        <f>HTM!U77</f>
        <v>0</v>
      </c>
      <c r="W25" s="5">
        <f>HTM!V77</f>
        <v>0</v>
      </c>
      <c r="X25" s="5">
        <f>HTM!W77</f>
        <v>0</v>
      </c>
      <c r="Y25" s="5">
        <f>HTM!X77</f>
        <v>0</v>
      </c>
      <c r="Z25" s="5">
        <f>HTM!Y77</f>
        <v>0</v>
      </c>
      <c r="AA25" s="5">
        <f>HTM!Z77</f>
        <v>0</v>
      </c>
      <c r="AB25" s="5">
        <f>HTM!AA77</f>
        <v>0</v>
      </c>
      <c r="AC25" s="5">
        <f>HTM!AB77</f>
        <v>0</v>
      </c>
      <c r="AD25" s="5">
        <f>HTM!AC77</f>
        <v>0</v>
      </c>
      <c r="AE25" s="5">
        <f>HTM!AD77</f>
        <v>0</v>
      </c>
      <c r="AF25" s="5">
        <f>HTM!AE77</f>
        <v>0</v>
      </c>
      <c r="AG25" s="5">
        <f>HTM!AF77</f>
        <v>0</v>
      </c>
      <c r="AH25" s="5">
        <f>HTM!AG77</f>
        <v>0</v>
      </c>
      <c r="AI25" s="5">
        <f>HTM!AH77</f>
        <v>0</v>
      </c>
      <c r="AJ25" s="5">
        <f>HTM!AI77</f>
        <v>0</v>
      </c>
      <c r="AK25" s="5">
        <f>HTM!AJ77</f>
        <v>0</v>
      </c>
      <c r="AL25" s="5">
        <f>HTM!AK77</f>
        <v>0</v>
      </c>
      <c r="AM25" s="5">
        <f>HTM!AL77</f>
        <v>0</v>
      </c>
      <c r="AN25" s="5">
        <f>HTM!AM77</f>
        <v>0</v>
      </c>
      <c r="AO25" s="5">
        <f>HTM!AN77</f>
        <v>0</v>
      </c>
      <c r="AP25" s="5">
        <f>HTM!AO77</f>
        <v>0</v>
      </c>
      <c r="AQ25" s="5">
        <f>HTM!AP77</f>
        <v>0</v>
      </c>
      <c r="AR25" s="5">
        <f>HTM!AQ77</f>
        <v>0</v>
      </c>
    </row>
    <row r="26" spans="3:44" x14ac:dyDescent="0.25">
      <c r="C26" s="3" t="s">
        <v>25</v>
      </c>
      <c r="D26" s="7" t="s">
        <v>18</v>
      </c>
      <c r="E26" s="11">
        <f t="shared" si="4"/>
        <v>-127.70936171858229</v>
      </c>
      <c r="F26" s="6">
        <f t="shared" si="5"/>
        <v>-939.73040263857456</v>
      </c>
      <c r="G26" s="6">
        <f t="shared" si="6"/>
        <v>-1277.0936171858227</v>
      </c>
      <c r="I26" s="6">
        <f>HTM!H119+HTM!H89</f>
        <v>0</v>
      </c>
      <c r="J26" s="6">
        <f>HTM!I119+HTM!I89</f>
        <v>0</v>
      </c>
      <c r="K26" s="6">
        <f>HTM!J119+HTM!J89</f>
        <v>0</v>
      </c>
      <c r="L26" s="6">
        <f>HTM!K119+HTM!K89</f>
        <v>0</v>
      </c>
      <c r="M26" s="6">
        <f>HTM!L119+HTM!L89</f>
        <v>0</v>
      </c>
      <c r="N26" s="6">
        <f>HTM!M119+HTM!M89</f>
        <v>-2171.729489108036</v>
      </c>
      <c r="O26" s="6">
        <f>HTM!N119+HTM!N89</f>
        <v>-8369.1754819649486</v>
      </c>
      <c r="P26" s="6">
        <f>HTM!O119+HTM!O89</f>
        <v>-8369.1754819649486</v>
      </c>
      <c r="Q26" s="6">
        <f>HTM!P119+HTM!P89</f>
        <v>-8369.1754819649486</v>
      </c>
      <c r="R26" s="6">
        <f>HTM!Q119+HTM!Q89</f>
        <v>-8369.1754819649486</v>
      </c>
      <c r="S26" s="6">
        <f>HTM!R119+HTM!R89</f>
        <v>-8369.1754819649486</v>
      </c>
      <c r="T26" s="6">
        <f>HTM!S119+HTM!S89</f>
        <v>-8369.1754819649486</v>
      </c>
      <c r="U26" s="6">
        <f>HTM!T119+HTM!T89</f>
        <v>-8369.1754819649486</v>
      </c>
      <c r="V26" s="6">
        <f>HTM!U119+HTM!U89</f>
        <v>-8369.1754819649486</v>
      </c>
      <c r="W26" s="6">
        <f>HTM!V119+HTM!V89</f>
        <v>-8369.1754819649486</v>
      </c>
      <c r="X26" s="6">
        <f>HTM!W119+HTM!W89</f>
        <v>-8369.1754819649486</v>
      </c>
      <c r="Y26" s="6">
        <f>HTM!X119+HTM!X89</f>
        <v>-8369.1754819649486</v>
      </c>
      <c r="Z26" s="6">
        <f>HTM!Y119+HTM!Y89</f>
        <v>-8369.1754819649486</v>
      </c>
      <c r="AA26" s="6">
        <f>HTM!Z119+HTM!Z89</f>
        <v>-8369.1754819649486</v>
      </c>
      <c r="AB26" s="6">
        <f>HTM!AA119+HTM!AA89</f>
        <v>-8369.1754819649486</v>
      </c>
      <c r="AC26" s="6">
        <f>HTM!AB119+HTM!AB89</f>
        <v>-8369.1754819649486</v>
      </c>
      <c r="AD26" s="6">
        <f>HTM!AC119+HTM!AC89</f>
        <v>-1.2732925824820997E-12</v>
      </c>
      <c r="AE26" s="6">
        <f>HTM!AD119+HTM!AD89</f>
        <v>-1.2732925824820997E-12</v>
      </c>
      <c r="AF26" s="6">
        <f>HTM!AE119+HTM!AE89</f>
        <v>-1.2732925824820997E-12</v>
      </c>
      <c r="AG26" s="6">
        <f>HTM!AF119+HTM!AF89</f>
        <v>-1.2732925824820997E-12</v>
      </c>
      <c r="AH26" s="6">
        <f>HTM!AG119+HTM!AG89</f>
        <v>-1.2732925824820997E-12</v>
      </c>
      <c r="AI26" s="6">
        <f>HTM!AH119+HTM!AH89</f>
        <v>-1.2732925824820997E-12</v>
      </c>
      <c r="AJ26" s="6">
        <f>HTM!AI119+HTM!AI89</f>
        <v>-1.2732925824820997E-12</v>
      </c>
      <c r="AK26" s="6">
        <f>HTM!AJ119+HTM!AJ89</f>
        <v>-1.2732925824820997E-12</v>
      </c>
      <c r="AL26" s="6">
        <f>HTM!AK119+HTM!AK89</f>
        <v>-1.2732925824820997E-12</v>
      </c>
      <c r="AM26" s="6">
        <f>HTM!AL119+HTM!AL89</f>
        <v>-1.2732925824820997E-12</v>
      </c>
      <c r="AN26" s="6">
        <f>HTM!AM119+HTM!AM89</f>
        <v>-1.2732925824820997E-12</v>
      </c>
      <c r="AO26" s="6">
        <f>HTM!AN119+HTM!AN89</f>
        <v>-1.2732925824820997E-12</v>
      </c>
      <c r="AP26" s="6">
        <f>HTM!AO119+HTM!AO89</f>
        <v>-1.2732925824820997E-12</v>
      </c>
      <c r="AQ26" s="6">
        <f>HTM!AP119+HTM!AP89</f>
        <v>-1.2732925824820997E-12</v>
      </c>
      <c r="AR26" s="6">
        <f>HTM!AQ119+HTM!AQ89</f>
        <v>-1.2732925824820997E-12</v>
      </c>
    </row>
    <row r="27" spans="3:44" x14ac:dyDescent="0.25">
      <c r="C27" s="3" t="s">
        <v>26</v>
      </c>
      <c r="D27" s="7" t="s">
        <v>18</v>
      </c>
      <c r="E27" s="11">
        <f t="shared" si="4"/>
        <v>-4.077</v>
      </c>
      <c r="F27" s="6">
        <f t="shared" si="5"/>
        <v>-30</v>
      </c>
      <c r="G27" s="6">
        <f t="shared" si="6"/>
        <v>-40.770000000000003</v>
      </c>
      <c r="I27" s="6">
        <f>HTM!H107+HTM!H108</f>
        <v>0</v>
      </c>
      <c r="J27" s="6">
        <f>HTM!I107+HTM!I108</f>
        <v>0</v>
      </c>
      <c r="K27" s="6">
        <f>HTM!J107+HTM!J108</f>
        <v>0</v>
      </c>
      <c r="L27" s="6">
        <f>HTM!K107+HTM!K108</f>
        <v>0</v>
      </c>
      <c r="M27" s="6">
        <f>HTM!L107+HTM!L108</f>
        <v>0</v>
      </c>
      <c r="N27" s="6">
        <f>HTM!M107+HTM!M108</f>
        <v>0</v>
      </c>
      <c r="O27" s="6">
        <f>HTM!N107+HTM!N108</f>
        <v>0</v>
      </c>
      <c r="P27" s="6">
        <f>HTM!O107+HTM!O108</f>
        <v>0</v>
      </c>
      <c r="Q27" s="6">
        <f>HTM!P107+HTM!P108</f>
        <v>0</v>
      </c>
      <c r="R27" s="6">
        <f>HTM!Q107+HTM!Q108</f>
        <v>0</v>
      </c>
      <c r="S27" s="6">
        <f>HTM!R107+HTM!R108</f>
        <v>0</v>
      </c>
      <c r="T27" s="6">
        <f>HTM!S107+HTM!S108</f>
        <v>0</v>
      </c>
      <c r="U27" s="6">
        <f>HTM!T107+HTM!T108</f>
        <v>0</v>
      </c>
      <c r="V27" s="6">
        <f>HTM!U107+HTM!U108</f>
        <v>0</v>
      </c>
      <c r="W27" s="6">
        <f>HTM!V107+HTM!V108</f>
        <v>0</v>
      </c>
      <c r="X27" s="6">
        <f>HTM!W107+HTM!W108</f>
        <v>0</v>
      </c>
      <c r="Y27" s="6">
        <f>HTM!X107+HTM!X108</f>
        <v>0</v>
      </c>
      <c r="Z27" s="6">
        <f>HTM!Y107+HTM!Y108</f>
        <v>0</v>
      </c>
      <c r="AA27" s="6">
        <f>HTM!Z107+HTM!Z108</f>
        <v>0</v>
      </c>
      <c r="AB27" s="6">
        <f>HTM!AA107+HTM!AA108</f>
        <v>0</v>
      </c>
      <c r="AC27" s="6">
        <f>HTM!AB107+HTM!AB108</f>
        <v>0</v>
      </c>
      <c r="AD27" s="6">
        <f>HTM!AC107+HTM!AC108</f>
        <v>0</v>
      </c>
      <c r="AE27" s="6">
        <f>HTM!AD107+HTM!AD108</f>
        <v>0</v>
      </c>
      <c r="AF27" s="6">
        <f>HTM!AE107+HTM!AE108</f>
        <v>0</v>
      </c>
      <c r="AG27" s="6">
        <f>HTM!AF107+HTM!AF108</f>
        <v>0</v>
      </c>
      <c r="AH27" s="6">
        <f>HTM!AG107+HTM!AG108</f>
        <v>0</v>
      </c>
      <c r="AI27" s="6">
        <f>HTM!AH107+HTM!AH108</f>
        <v>0</v>
      </c>
      <c r="AJ27" s="6">
        <f>HTM!AI107+HTM!AI108</f>
        <v>0</v>
      </c>
      <c r="AK27" s="6">
        <f>HTM!AJ107+HTM!AJ108</f>
        <v>0</v>
      </c>
      <c r="AL27" s="6">
        <f>HTM!AK107+HTM!AK108</f>
        <v>0</v>
      </c>
      <c r="AM27" s="6">
        <f>HTM!AL107+HTM!AL108</f>
        <v>0</v>
      </c>
      <c r="AN27" s="6">
        <f>HTM!AM107+HTM!AM108</f>
        <v>0</v>
      </c>
      <c r="AO27" s="6">
        <f>HTM!AN107+HTM!AN108</f>
        <v>0</v>
      </c>
      <c r="AP27" s="6">
        <f>HTM!AO107+HTM!AO108</f>
        <v>0</v>
      </c>
      <c r="AQ27" s="6">
        <f>HTM!AP107+HTM!AP108</f>
        <v>0</v>
      </c>
      <c r="AR27" s="6">
        <f>HTM!AQ107+HTM!AQ108</f>
        <v>-4077</v>
      </c>
    </row>
    <row r="28" spans="3:44" x14ac:dyDescent="0.25">
      <c r="C28" s="12" t="s">
        <v>14</v>
      </c>
      <c r="D28" s="7" t="s">
        <v>18</v>
      </c>
      <c r="E28" s="13">
        <f t="shared" si="4"/>
        <v>389.12356119488612</v>
      </c>
      <c r="F28" s="14">
        <f t="shared" si="5"/>
        <v>2863.3080293957769</v>
      </c>
      <c r="G28" s="14">
        <f t="shared" si="6"/>
        <v>3891.2356119488609</v>
      </c>
      <c r="I28" s="14">
        <f>HTM!H123</f>
        <v>-1570.6176490188818</v>
      </c>
      <c r="J28" s="14">
        <f>HTM!I123</f>
        <v>-778.73814328026663</v>
      </c>
      <c r="K28" s="14">
        <f>HTM!J123</f>
        <v>-1227.4381311822531</v>
      </c>
      <c r="L28" s="14">
        <f>HTM!K123</f>
        <v>-40552.739226290025</v>
      </c>
      <c r="M28" s="14">
        <f>HTM!L123</f>
        <v>-30088.091788542941</v>
      </c>
      <c r="N28" s="14">
        <f>HTM!M123</f>
        <v>-7606.0700118814439</v>
      </c>
      <c r="O28" s="14">
        <f>HTM!N123</f>
        <v>12307.745556956044</v>
      </c>
      <c r="P28" s="14">
        <f>HTM!O123</f>
        <v>12313.425832093484</v>
      </c>
      <c r="Q28" s="14">
        <f>HTM!P123</f>
        <v>12339.687927824098</v>
      </c>
      <c r="R28" s="14">
        <f>HTM!Q123</f>
        <v>12362.78702061018</v>
      </c>
      <c r="S28" s="14">
        <f>HTM!R123</f>
        <v>12382.585496084708</v>
      </c>
      <c r="T28" s="14">
        <f>HTM!S123</f>
        <v>12398.940217290286</v>
      </c>
      <c r="U28" s="14">
        <f>HTM!T123</f>
        <v>12411.702287571474</v>
      </c>
      <c r="V28" s="14">
        <f>HTM!U123</f>
        <v>12420.716802602157</v>
      </c>
      <c r="W28" s="14">
        <f>HTM!V123</f>
        <v>12425.822591028626</v>
      </c>
      <c r="X28" s="14">
        <f>HTM!W123</f>
        <v>12426.85194318476</v>
      </c>
      <c r="Y28" s="14">
        <f>HTM!X123</f>
        <v>12423.630327308045</v>
      </c>
      <c r="Z28" s="14">
        <f>HTM!Y123</f>
        <v>12415.976092658006</v>
      </c>
      <c r="AA28" s="14">
        <f>HTM!Z123</f>
        <v>12403.700158908918</v>
      </c>
      <c r="AB28" s="14">
        <f>HTM!AA123</f>
        <v>12386.605691158156</v>
      </c>
      <c r="AC28" s="14">
        <f>HTM!AB123</f>
        <v>12364.487759859185</v>
      </c>
      <c r="AD28" s="14">
        <f>HTM!AC123</f>
        <v>20706.308466919229</v>
      </c>
      <c r="AE28" s="14">
        <f>HTM!AD123</f>
        <v>20736.263461526323</v>
      </c>
      <c r="AF28" s="14">
        <f>HTM!AE123</f>
        <v>20763.666434614384</v>
      </c>
      <c r="AG28" s="14">
        <f>HTM!AF123</f>
        <v>20788.433271795177</v>
      </c>
      <c r="AH28" s="14">
        <f>HTM!AG123</f>
        <v>20171.118855434634</v>
      </c>
      <c r="AI28" s="14">
        <f>HTM!AH123</f>
        <v>19550.993414670917</v>
      </c>
      <c r="AJ28" s="14">
        <f>HTM!AI123</f>
        <v>19567.324866152165</v>
      </c>
      <c r="AK28" s="14">
        <f>HTM!AJ123</f>
        <v>19580.661153396002</v>
      </c>
      <c r="AL28" s="14">
        <f>HTM!AK123</f>
        <v>19590.906592672956</v>
      </c>
      <c r="AM28" s="14">
        <f>HTM!AL123</f>
        <v>19597.963011094904</v>
      </c>
      <c r="AN28" s="14">
        <f>HTM!AM123</f>
        <v>19601.729684808801</v>
      </c>
      <c r="AO28" s="14">
        <f>HTM!AN123</f>
        <v>19602.103275672118</v>
      </c>
      <c r="AP28" s="14">
        <f>HTM!AO123</f>
        <v>19598.97776637282</v>
      </c>
      <c r="AQ28" s="14">
        <f>HTM!AP123</f>
        <v>19592.244393955589</v>
      </c>
      <c r="AR28" s="14">
        <f>HTM!AQ123</f>
        <v>5713.8957908577104</v>
      </c>
    </row>
    <row r="29" spans="3:44" x14ac:dyDescent="0.25">
      <c r="C29" s="3" t="s">
        <v>27</v>
      </c>
      <c r="D29" s="7" t="s">
        <v>18</v>
      </c>
      <c r="I29" s="5">
        <f>HTM!H124</f>
        <v>-1570.6176490188818</v>
      </c>
      <c r="J29" s="5">
        <f>HTM!I124</f>
        <v>-2349.3557922991486</v>
      </c>
      <c r="K29" s="5">
        <f>HTM!J124</f>
        <v>-3576.7939234814016</v>
      </c>
      <c r="L29" s="5">
        <f>HTM!K124</f>
        <v>-44129.533149771429</v>
      </c>
      <c r="M29" s="5">
        <f>HTM!L124</f>
        <v>-74217.624938314373</v>
      </c>
      <c r="N29" s="5">
        <f>HTM!M124</f>
        <v>-81823.694950195815</v>
      </c>
      <c r="O29" s="5">
        <f>HTM!N124</f>
        <v>-69515.949393239775</v>
      </c>
      <c r="P29" s="5">
        <f>HTM!O124</f>
        <v>-57202.523561146292</v>
      </c>
      <c r="Q29" s="5">
        <f>HTM!P124</f>
        <v>-44862.835633322196</v>
      </c>
      <c r="R29" s="5">
        <f>HTM!Q124</f>
        <v>-32500.048612712017</v>
      </c>
      <c r="S29" s="5">
        <f>HTM!R124</f>
        <v>-20117.46311662731</v>
      </c>
      <c r="T29" s="5">
        <f>HTM!S124</f>
        <v>-7718.5228993370238</v>
      </c>
      <c r="U29" s="5">
        <f>HTM!T124</f>
        <v>4693.17938823445</v>
      </c>
      <c r="V29" s="5">
        <f>HTM!U124</f>
        <v>17113.896190836607</v>
      </c>
      <c r="W29" s="5">
        <f>HTM!V124</f>
        <v>29539.718781865231</v>
      </c>
      <c r="X29" s="5">
        <f>HTM!W124</f>
        <v>41966.570725049991</v>
      </c>
      <c r="Y29" s="5">
        <f>HTM!X124</f>
        <v>54390.201052358039</v>
      </c>
      <c r="Z29" s="5">
        <f>HTM!Y124</f>
        <v>66806.177145016045</v>
      </c>
      <c r="AA29" s="5">
        <f>HTM!Z124</f>
        <v>79209.877303924965</v>
      </c>
      <c r="AB29" s="5">
        <f>HTM!AA124</f>
        <v>91596.482995083119</v>
      </c>
      <c r="AC29" s="5">
        <f>HTM!AB124</f>
        <v>103960.9707549423</v>
      </c>
      <c r="AD29" s="5">
        <f>HTM!AC124</f>
        <v>124667.27922186154</v>
      </c>
      <c r="AE29" s="5">
        <f>HTM!AD124</f>
        <v>145403.54268338787</v>
      </c>
      <c r="AF29" s="5">
        <f>HTM!AE124</f>
        <v>166167.20911800227</v>
      </c>
      <c r="AG29" s="5">
        <f>HTM!AF124</f>
        <v>186955.64238979743</v>
      </c>
      <c r="AH29" s="5">
        <f>HTM!AG124</f>
        <v>207126.76124523208</v>
      </c>
      <c r="AI29" s="5">
        <f>HTM!AH124</f>
        <v>226677.754659903</v>
      </c>
      <c r="AJ29" s="5">
        <f>HTM!AI124</f>
        <v>246245.07952605517</v>
      </c>
      <c r="AK29" s="5">
        <f>HTM!AJ124</f>
        <v>265825.74067945115</v>
      </c>
      <c r="AL29" s="5">
        <f>HTM!AK124</f>
        <v>285416.64727212413</v>
      </c>
      <c r="AM29" s="5">
        <f>HTM!AL124</f>
        <v>305014.61028321902</v>
      </c>
      <c r="AN29" s="5">
        <f>HTM!AM124</f>
        <v>324616.33996802784</v>
      </c>
      <c r="AO29" s="5">
        <f>HTM!AN124</f>
        <v>344218.44324369996</v>
      </c>
      <c r="AP29" s="5">
        <f>HTM!AO124</f>
        <v>363817.42101007281</v>
      </c>
      <c r="AQ29" s="5">
        <f>HTM!AP124</f>
        <v>383409.66540402838</v>
      </c>
      <c r="AR29" s="5">
        <f>HTM!AQ124</f>
        <v>389123.5611948861</v>
      </c>
    </row>
    <row r="31" spans="3:44" x14ac:dyDescent="0.25">
      <c r="C31" s="3" t="s">
        <v>28</v>
      </c>
      <c r="D31" s="7" t="s">
        <v>29</v>
      </c>
      <c r="E31" s="19">
        <f>SUM(I31:AR31)</f>
        <v>0</v>
      </c>
      <c r="I31" s="20">
        <f t="shared" ref="I31:AR31" si="9">N(ABS(I18+I21+I24+I25+I26+I27-I28)&gt;Tolerance)</f>
        <v>0</v>
      </c>
      <c r="J31" s="20">
        <f t="shared" si="9"/>
        <v>0</v>
      </c>
      <c r="K31" s="20">
        <f t="shared" si="9"/>
        <v>0</v>
      </c>
      <c r="L31" s="20">
        <f t="shared" si="9"/>
        <v>0</v>
      </c>
      <c r="M31" s="20">
        <f t="shared" si="9"/>
        <v>0</v>
      </c>
      <c r="N31" s="20">
        <f t="shared" si="9"/>
        <v>0</v>
      </c>
      <c r="O31" s="20">
        <f t="shared" si="9"/>
        <v>0</v>
      </c>
      <c r="P31" s="20">
        <f t="shared" si="9"/>
        <v>0</v>
      </c>
      <c r="Q31" s="20">
        <f t="shared" si="9"/>
        <v>0</v>
      </c>
      <c r="R31" s="20">
        <f t="shared" si="9"/>
        <v>0</v>
      </c>
      <c r="S31" s="20">
        <f t="shared" si="9"/>
        <v>0</v>
      </c>
      <c r="T31" s="20">
        <f t="shared" si="9"/>
        <v>0</v>
      </c>
      <c r="U31" s="20">
        <f t="shared" si="9"/>
        <v>0</v>
      </c>
      <c r="V31" s="20">
        <f t="shared" si="9"/>
        <v>0</v>
      </c>
      <c r="W31" s="20">
        <f t="shared" si="9"/>
        <v>0</v>
      </c>
      <c r="X31" s="20">
        <f t="shared" si="9"/>
        <v>0</v>
      </c>
      <c r="Y31" s="20">
        <f t="shared" si="9"/>
        <v>0</v>
      </c>
      <c r="Z31" s="20">
        <f t="shared" si="9"/>
        <v>0</v>
      </c>
      <c r="AA31" s="20">
        <f t="shared" si="9"/>
        <v>0</v>
      </c>
      <c r="AB31" s="20">
        <f t="shared" si="9"/>
        <v>0</v>
      </c>
      <c r="AC31" s="20">
        <f t="shared" si="9"/>
        <v>0</v>
      </c>
      <c r="AD31" s="20">
        <f t="shared" si="9"/>
        <v>0</v>
      </c>
      <c r="AE31" s="20">
        <f t="shared" si="9"/>
        <v>0</v>
      </c>
      <c r="AF31" s="20">
        <f t="shared" si="9"/>
        <v>0</v>
      </c>
      <c r="AG31" s="20">
        <f t="shared" si="9"/>
        <v>0</v>
      </c>
      <c r="AH31" s="20">
        <f t="shared" si="9"/>
        <v>0</v>
      </c>
      <c r="AI31" s="20">
        <f t="shared" si="9"/>
        <v>0</v>
      </c>
      <c r="AJ31" s="20">
        <f t="shared" si="9"/>
        <v>0</v>
      </c>
      <c r="AK31" s="20">
        <f t="shared" si="9"/>
        <v>0</v>
      </c>
      <c r="AL31" s="20">
        <f t="shared" si="9"/>
        <v>0</v>
      </c>
      <c r="AM31" s="20">
        <f t="shared" si="9"/>
        <v>0</v>
      </c>
      <c r="AN31" s="20">
        <f t="shared" si="9"/>
        <v>0</v>
      </c>
      <c r="AO31" s="20">
        <f t="shared" si="9"/>
        <v>0</v>
      </c>
      <c r="AP31" s="20">
        <f t="shared" si="9"/>
        <v>0</v>
      </c>
      <c r="AQ31" s="20">
        <f t="shared" si="9"/>
        <v>0</v>
      </c>
      <c r="AR31" s="20">
        <f t="shared" si="9"/>
        <v>0</v>
      </c>
    </row>
    <row r="33" spans="3:3" x14ac:dyDescent="0.25">
      <c r="C33" s="21" t="s">
        <v>30</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563C"/>
  </sheetPr>
  <dimension ref="A2:XFD212"/>
  <sheetViews>
    <sheetView showGridLines="0" tabSelected="1" topLeftCell="A46" zoomScale="115" zoomScaleNormal="115" workbookViewId="0">
      <selection activeCell="E52" sqref="E52:E59"/>
    </sheetView>
  </sheetViews>
  <sheetFormatPr defaultColWidth="0" defaultRowHeight="15" outlineLevelRow="1" outlineLevelCol="1" x14ac:dyDescent="0.25"/>
  <cols>
    <col min="1" max="2" width="3" customWidth="1"/>
    <col min="3" max="3" width="58" customWidth="1"/>
    <col min="4" max="4" width="9" customWidth="1"/>
    <col min="5" max="11" width="11" customWidth="1"/>
    <col min="12" max="16384" width="13" hidden="1" outlineLevel="1"/>
  </cols>
  <sheetData>
    <row r="2" spans="1:11" ht="15.75" customHeight="1" x14ac:dyDescent="0.25">
      <c r="A2" s="1"/>
      <c r="B2" s="1" t="str">
        <f>Inputs!$A$1&amp;" – Dashboard – "&amp;Dash_Scenario&amp;" scenario"</f>
        <v>HUN Onshore Wind – MOIC model v5 – Dashboard – Base scenario</v>
      </c>
      <c r="C2" s="1"/>
      <c r="D2" s="1"/>
      <c r="E2" s="1"/>
      <c r="F2" s="1"/>
      <c r="G2" s="1"/>
      <c r="H2" s="1"/>
      <c r="I2" s="1"/>
      <c r="J2" s="1"/>
      <c r="K2" s="1"/>
    </row>
    <row r="3" spans="1:11" x14ac:dyDescent="0.25">
      <c r="C3" s="12" t="s">
        <v>31</v>
      </c>
      <c r="E3" s="22" t="e">
        <f>IF(Master_Check=0,"OK","CHECK")</f>
        <v>#REF!</v>
      </c>
    </row>
    <row r="5" spans="1:11" x14ac:dyDescent="0.25">
      <c r="A5" s="23" t="s">
        <v>7</v>
      </c>
      <c r="B5" s="23"/>
      <c r="C5" s="23" t="s">
        <v>32</v>
      </c>
      <c r="D5" s="23"/>
      <c r="E5" s="23"/>
      <c r="F5" s="23"/>
      <c r="G5" s="23"/>
      <c r="H5" s="23"/>
      <c r="I5" s="23"/>
      <c r="J5" s="23"/>
      <c r="K5" s="23"/>
    </row>
    <row r="6" spans="1:11" x14ac:dyDescent="0.25">
      <c r="C6" s="3" t="s">
        <v>33</v>
      </c>
      <c r="D6" s="7"/>
      <c r="E6" s="24" t="s">
        <v>34</v>
      </c>
    </row>
    <row r="7" spans="1:11" x14ac:dyDescent="0.25">
      <c r="E7" s="2" t="s">
        <v>34</v>
      </c>
      <c r="F7" s="2" t="s">
        <v>35</v>
      </c>
      <c r="G7" s="2" t="s">
        <v>36</v>
      </c>
      <c r="H7" s="2" t="s">
        <v>37</v>
      </c>
    </row>
    <row r="8" spans="1:11" x14ac:dyDescent="0.25">
      <c r="C8" s="3" t="s">
        <v>38</v>
      </c>
      <c r="D8" s="7" t="s">
        <v>11</v>
      </c>
      <c r="E8" s="25">
        <v>500</v>
      </c>
      <c r="F8" s="25">
        <v>500</v>
      </c>
      <c r="G8" s="25">
        <v>800</v>
      </c>
      <c r="H8" s="5">
        <f t="shared" ref="H8:H13" si="0">INDEX(E8:G8,MATCH(Dash_Scenario,$E$7:$G$7,0))</f>
        <v>500</v>
      </c>
    </row>
    <row r="9" spans="1:11" x14ac:dyDescent="0.25">
      <c r="C9" s="3" t="s">
        <v>39</v>
      </c>
      <c r="D9" s="7" t="s">
        <v>40</v>
      </c>
      <c r="E9" s="26">
        <v>90</v>
      </c>
      <c r="F9" s="26">
        <v>90</v>
      </c>
      <c r="G9" s="26">
        <v>100</v>
      </c>
      <c r="H9" s="4">
        <f t="shared" si="0"/>
        <v>90</v>
      </c>
    </row>
    <row r="10" spans="1:11" x14ac:dyDescent="0.25">
      <c r="C10" s="3" t="s">
        <v>41</v>
      </c>
      <c r="D10" s="7" t="s">
        <v>42</v>
      </c>
      <c r="E10" s="25">
        <v>2500</v>
      </c>
      <c r="F10" s="25">
        <v>2460</v>
      </c>
      <c r="G10" s="25">
        <v>2600</v>
      </c>
      <c r="H10" s="5">
        <f t="shared" si="0"/>
        <v>2500</v>
      </c>
    </row>
    <row r="11" spans="1:11" x14ac:dyDescent="0.25">
      <c r="C11" s="3" t="s">
        <v>43</v>
      </c>
      <c r="D11" s="7" t="s">
        <v>44</v>
      </c>
      <c r="E11" s="26">
        <v>12</v>
      </c>
      <c r="F11" s="26">
        <v>12</v>
      </c>
      <c r="G11" s="26">
        <v>12</v>
      </c>
      <c r="H11" s="4">
        <f t="shared" si="0"/>
        <v>12</v>
      </c>
    </row>
    <row r="12" spans="1:11" x14ac:dyDescent="0.25">
      <c r="C12" s="3" t="s">
        <v>45</v>
      </c>
      <c r="D12" s="7" t="s">
        <v>2</v>
      </c>
      <c r="E12" s="25">
        <v>150</v>
      </c>
      <c r="F12" s="25">
        <v>150</v>
      </c>
      <c r="G12" s="25">
        <v>200</v>
      </c>
      <c r="H12" s="5">
        <f t="shared" si="0"/>
        <v>150</v>
      </c>
    </row>
    <row r="13" spans="1:11" x14ac:dyDescent="0.25">
      <c r="C13" s="3" t="s">
        <v>46</v>
      </c>
      <c r="D13" s="7" t="s">
        <v>11</v>
      </c>
      <c r="E13" s="27">
        <f>Inputs!$G$163+Inputs!$G$164+Inputs!$G$165+Inputs!$G$166+Inputs!$G$169+Inputs!$G$170</f>
        <v>355</v>
      </c>
      <c r="F13" s="28">
        <f>$E$13*(1+$I$13)</f>
        <v>355</v>
      </c>
      <c r="G13" s="28">
        <f>$E$13*(1-$I$13)</f>
        <v>355</v>
      </c>
      <c r="H13" s="5">
        <f t="shared" si="0"/>
        <v>355</v>
      </c>
      <c r="I13" s="29">
        <v>0</v>
      </c>
      <c r="J13" s="30" t="s">
        <v>47</v>
      </c>
    </row>
    <row r="14" spans="1:11" x14ac:dyDescent="0.25">
      <c r="C14" s="3" t="s">
        <v>48</v>
      </c>
      <c r="D14" s="7" t="s">
        <v>11</v>
      </c>
      <c r="H14" s="5">
        <f>$F$66</f>
        <v>1261.4414872513578</v>
      </c>
    </row>
    <row r="15" spans="1:11" x14ac:dyDescent="0.25">
      <c r="C15" s="3" t="s">
        <v>49</v>
      </c>
      <c r="D15" s="7" t="s">
        <v>2</v>
      </c>
      <c r="H15" s="5">
        <f>$G$66</f>
        <v>1714.2989811745952</v>
      </c>
    </row>
    <row r="16" spans="1:11" x14ac:dyDescent="0.25">
      <c r="C16" s="3" t="s">
        <v>50</v>
      </c>
      <c r="D16" s="7" t="s">
        <v>51</v>
      </c>
      <c r="H16" s="31">
        <f>HTM!$G$137</f>
        <v>0.13119284646604612</v>
      </c>
    </row>
    <row r="18" spans="1:11" x14ac:dyDescent="0.25">
      <c r="A18" s="23" t="s">
        <v>7</v>
      </c>
      <c r="B18" s="23"/>
      <c r="C18" s="23" t="s">
        <v>52</v>
      </c>
      <c r="D18" s="23"/>
      <c r="E18" s="23"/>
      <c r="F18" s="23"/>
      <c r="G18" s="23"/>
      <c r="H18" s="23"/>
      <c r="I18" s="23"/>
      <c r="J18" s="23"/>
      <c r="K18" s="23"/>
    </row>
    <row r="19" spans="1:11" x14ac:dyDescent="0.25">
      <c r="E19" s="2" t="s">
        <v>53</v>
      </c>
      <c r="F19" s="2" t="s">
        <v>54</v>
      </c>
    </row>
    <row r="20" spans="1:11" x14ac:dyDescent="0.25">
      <c r="C20" s="3" t="s">
        <v>55</v>
      </c>
      <c r="D20" s="7" t="s">
        <v>56</v>
      </c>
      <c r="E20" s="25">
        <v>100</v>
      </c>
      <c r="F20" s="32"/>
    </row>
    <row r="21" spans="1:11" hidden="1" x14ac:dyDescent="0.25">
      <c r="C21" s="3" t="s">
        <v>57</v>
      </c>
      <c r="D21" s="7" t="s">
        <v>29</v>
      </c>
      <c r="E21" s="33">
        <f>In_Bids</f>
        <v>1</v>
      </c>
      <c r="F21" s="32"/>
    </row>
    <row r="22" spans="1:11" x14ac:dyDescent="0.25">
      <c r="C22" s="3" t="s">
        <v>58</v>
      </c>
      <c r="D22" s="7" t="s">
        <v>59</v>
      </c>
      <c r="E22" s="34">
        <v>0.51</v>
      </c>
      <c r="F22" s="32">
        <f>INDEX(Osz3_Pts,1+SUMPRODUCT((Osz3_LB&lt;E22)+(Osz3_LB=E22)*Osz3_Incl))*Osz3_W</f>
        <v>10</v>
      </c>
    </row>
    <row r="23" spans="1:11" x14ac:dyDescent="0.25">
      <c r="C23" s="3" t="s">
        <v>60</v>
      </c>
      <c r="D23" s="7" t="s">
        <v>59</v>
      </c>
      <c r="E23" s="34">
        <v>0.3</v>
      </c>
      <c r="F23" s="32">
        <f>INDEX(Osz3_Pts,1+SUMPRODUCT((Osz3_LB&lt;In_OSZ4_Ratio)+(Osz3_LB=In_OSZ4_Ratio)*Osz3_Incl))*Osz4_W</f>
        <v>10.5</v>
      </c>
    </row>
    <row r="24" spans="1:11" x14ac:dyDescent="0.25">
      <c r="C24" s="3" t="s">
        <v>61</v>
      </c>
      <c r="D24" s="7" t="s">
        <v>62</v>
      </c>
      <c r="E24" s="35">
        <v>0</v>
      </c>
      <c r="F24" s="32"/>
    </row>
    <row r="25" spans="1:11" x14ac:dyDescent="0.25">
      <c r="C25" s="3" t="s">
        <v>63</v>
      </c>
      <c r="D25" s="7" t="s">
        <v>64</v>
      </c>
      <c r="E25" s="4">
        <f>Inputs!$E$21</f>
        <v>4</v>
      </c>
      <c r="F25" s="32"/>
    </row>
    <row r="26" spans="1:11" x14ac:dyDescent="0.25">
      <c r="C26" s="3" t="s">
        <v>65</v>
      </c>
      <c r="D26" s="7" t="s">
        <v>66</v>
      </c>
      <c r="E26" s="25">
        <v>100</v>
      </c>
      <c r="F26" s="32"/>
    </row>
    <row r="27" spans="1:11" x14ac:dyDescent="0.25">
      <c r="C27" s="3" t="s">
        <v>67</v>
      </c>
      <c r="D27" s="7" t="s">
        <v>7</v>
      </c>
      <c r="E27" s="36">
        <v>1</v>
      </c>
      <c r="F27" s="32">
        <f>INDEX(Osz6_Pts,1+SUMPRODUCT((Osz6_LB&lt;E27)+(Osz6_LB=E27)*Osz6_Incl))*Osz6_W</f>
        <v>0</v>
      </c>
    </row>
    <row r="28" spans="1:11" x14ac:dyDescent="0.25">
      <c r="C28" s="3" t="s">
        <v>68</v>
      </c>
      <c r="D28" s="7" t="s">
        <v>2</v>
      </c>
      <c r="E28" s="25">
        <v>50</v>
      </c>
      <c r="F28" s="32">
        <f>INDEX(Osz1_Pts,1+SUMPRODUCT((Osz1_LB&lt;E28)+(Osz1_LB=E28)*Osz1_Incl))*Osz1_W</f>
        <v>20</v>
      </c>
    </row>
    <row r="29" spans="1:11" x14ac:dyDescent="0.25">
      <c r="C29" s="3" t="s">
        <v>69</v>
      </c>
      <c r="D29" s="7" t="s">
        <v>40</v>
      </c>
      <c r="E29" s="37">
        <v>3</v>
      </c>
      <c r="F29" s="32">
        <f>INDEX(Osz2_Pts,1+SUMPRODUCT((Osz2_LB&lt;E29)+(Osz2_LB=E29)*Osz2_Incl))*Osz2_W</f>
        <v>15</v>
      </c>
    </row>
    <row r="30" spans="1:11" x14ac:dyDescent="0.25">
      <c r="C30" s="3" t="s">
        <v>70</v>
      </c>
      <c r="D30" s="7" t="s">
        <v>62</v>
      </c>
      <c r="E30" s="35">
        <v>1</v>
      </c>
      <c r="F30" s="32">
        <f>E30*Osz5_Pts*Osz5_W</f>
        <v>5</v>
      </c>
    </row>
    <row r="31" spans="1:11" x14ac:dyDescent="0.25">
      <c r="C31" s="3" t="s">
        <v>71</v>
      </c>
      <c r="D31" s="7" t="s">
        <v>62</v>
      </c>
      <c r="E31" s="35">
        <v>0</v>
      </c>
      <c r="F31" s="32">
        <f>E31*Osz7_Pts*Osz7_W</f>
        <v>0</v>
      </c>
    </row>
    <row r="32" spans="1:11" x14ac:dyDescent="0.25">
      <c r="C32" s="3" t="s">
        <v>72</v>
      </c>
      <c r="D32" s="7" t="s">
        <v>62</v>
      </c>
      <c r="E32" s="35">
        <v>1</v>
      </c>
      <c r="F32" s="32">
        <f>E32*Osz8_Pts*Osz8_W</f>
        <v>5</v>
      </c>
    </row>
    <row r="33" spans="1:11" x14ac:dyDescent="0.25">
      <c r="C33" s="3" t="s">
        <v>73</v>
      </c>
      <c r="D33" s="7" t="s">
        <v>62</v>
      </c>
      <c r="E33" s="38">
        <f>N(Scenario_Name&lt;&gt;"CN turbine")</f>
        <v>0</v>
      </c>
      <c r="F33" s="32">
        <f>E33*Osz9a_Pts*Osz9_W</f>
        <v>0</v>
      </c>
    </row>
    <row r="34" spans="1:11" x14ac:dyDescent="0.25">
      <c r="C34" s="3" t="s">
        <v>74</v>
      </c>
      <c r="D34" s="7" t="s">
        <v>62</v>
      </c>
      <c r="E34" s="38">
        <f>N(Scenario_Name&lt;&gt;"CN turbine")</f>
        <v>0</v>
      </c>
      <c r="F34" s="32">
        <f>E34*Osz9b_Pts*Osz9_W</f>
        <v>0</v>
      </c>
    </row>
    <row r="35" spans="1:11" x14ac:dyDescent="0.25">
      <c r="C35" s="3" t="s">
        <v>75</v>
      </c>
      <c r="D35" s="7" t="s">
        <v>51</v>
      </c>
      <c r="E35" s="34">
        <v>0.1</v>
      </c>
    </row>
    <row r="36" spans="1:11" x14ac:dyDescent="0.25">
      <c r="C36" s="3" t="s">
        <v>76</v>
      </c>
      <c r="D36" s="7" t="s">
        <v>77</v>
      </c>
      <c r="E36" s="326" t="s">
        <v>78</v>
      </c>
      <c r="F36" s="326"/>
      <c r="G36" s="326"/>
    </row>
    <row r="37" spans="1:11" x14ac:dyDescent="0.25">
      <c r="C37" s="12" t="s">
        <v>79</v>
      </c>
      <c r="D37" s="7" t="s">
        <v>80</v>
      </c>
      <c r="F37" s="39">
        <f>ROUND(SUM(F22:F34),Points_Decimals)</f>
        <v>65.5</v>
      </c>
    </row>
    <row r="38" spans="1:11" x14ac:dyDescent="0.25">
      <c r="C38" s="3" t="s">
        <v>81</v>
      </c>
      <c r="D38" s="7" t="s">
        <v>80</v>
      </c>
      <c r="F38" s="32">
        <f>ROUND(F37-F23+In_OSZ4_Pts_Wind,Points_Decimals)</f>
        <v>61</v>
      </c>
    </row>
    <row r="40" spans="1:11" x14ac:dyDescent="0.25">
      <c r="A40" s="23" t="s">
        <v>7</v>
      </c>
      <c r="B40" s="23"/>
      <c r="C40" s="23" t="s">
        <v>82</v>
      </c>
      <c r="D40" s="23"/>
      <c r="E40" s="23"/>
      <c r="F40" s="23"/>
      <c r="G40" s="23"/>
      <c r="H40" s="23"/>
      <c r="I40" s="23"/>
      <c r="J40" s="23"/>
      <c r="K40" s="23"/>
    </row>
    <row r="41" spans="1:11" x14ac:dyDescent="0.25">
      <c r="C41" s="3" t="s">
        <v>83</v>
      </c>
      <c r="D41" s="7" t="s">
        <v>84</v>
      </c>
      <c r="E41" s="5">
        <f>Inputs!$E$18</f>
        <v>151</v>
      </c>
    </row>
    <row r="42" spans="1:11" x14ac:dyDescent="0.25">
      <c r="C42" s="3" t="s">
        <v>85</v>
      </c>
      <c r="D42" s="7" t="s">
        <v>84</v>
      </c>
      <c r="E42" s="328">
        <f>In_Wind_Built</f>
        <v>135.9</v>
      </c>
    </row>
    <row r="43" spans="1:11" x14ac:dyDescent="0.25">
      <c r="C43" s="3" t="s">
        <v>86</v>
      </c>
      <c r="D43" s="7" t="s">
        <v>84</v>
      </c>
      <c r="E43" s="5">
        <f>Inputs!$E$20</f>
        <v>30</v>
      </c>
    </row>
    <row r="44" spans="1:11" x14ac:dyDescent="0.25">
      <c r="C44" s="3" t="s">
        <v>87</v>
      </c>
      <c r="D44" s="7" t="s">
        <v>88</v>
      </c>
      <c r="E44" s="5">
        <f>Inputs!$E$22</f>
        <v>120</v>
      </c>
    </row>
    <row r="45" spans="1:11" x14ac:dyDescent="0.25">
      <c r="C45" s="3" t="s">
        <v>89</v>
      </c>
      <c r="D45" s="7" t="s">
        <v>84</v>
      </c>
      <c r="E45" s="6">
        <f>$E$42-$E$20</f>
        <v>35.900000000000006</v>
      </c>
    </row>
    <row r="46" spans="1:11" x14ac:dyDescent="0.25">
      <c r="C46" s="3" t="s">
        <v>90</v>
      </c>
      <c r="D46" s="7" t="s">
        <v>51</v>
      </c>
      <c r="E46" s="330">
        <f>1-In_Bottleneck_Factor</f>
        <v>4.0000000000000036E-2</v>
      </c>
    </row>
    <row r="47" spans="1:11" x14ac:dyDescent="0.25">
      <c r="C47" s="7" t="s">
        <v>91</v>
      </c>
    </row>
    <row r="49" spans="1:11" x14ac:dyDescent="0.25">
      <c r="A49" s="23" t="s">
        <v>7</v>
      </c>
      <c r="B49" s="23"/>
      <c r="C49" s="23" t="s">
        <v>92</v>
      </c>
      <c r="D49" s="23"/>
      <c r="E49" s="23"/>
      <c r="F49" s="23"/>
      <c r="G49" s="23"/>
      <c r="H49" s="23"/>
      <c r="I49" s="23"/>
      <c r="J49" s="23"/>
      <c r="K49" s="23"/>
    </row>
    <row r="50" spans="1:11" x14ac:dyDescent="0.25">
      <c r="E50" s="2" t="s">
        <v>0</v>
      </c>
      <c r="F50" s="2" t="s">
        <v>1</v>
      </c>
      <c r="G50" s="2" t="s">
        <v>2</v>
      </c>
    </row>
    <row r="51" spans="1:11" x14ac:dyDescent="0.25">
      <c r="C51" s="3" t="s">
        <v>93</v>
      </c>
      <c r="D51" s="7" t="s">
        <v>0</v>
      </c>
      <c r="E51" s="11">
        <f>Inputs!$E$162*$E$42/Thousand</f>
        <v>67.95</v>
      </c>
      <c r="F51" s="6">
        <f t="shared" ref="F51:F66" si="1">E51*Thousand/$E$42</f>
        <v>500</v>
      </c>
      <c r="G51" s="6">
        <f t="shared" ref="G51:G66" si="2">E51*Thousand/$E$20</f>
        <v>679.5</v>
      </c>
    </row>
    <row r="52" spans="1:11" x14ac:dyDescent="0.25">
      <c r="C52" s="3" t="s">
        <v>94</v>
      </c>
      <c r="D52" s="7" t="s">
        <v>0</v>
      </c>
      <c r="E52" s="11">
        <f>Inputs!$E$163*$E$42/Thousand</f>
        <v>10.872</v>
      </c>
      <c r="F52" s="6">
        <f t="shared" si="1"/>
        <v>80</v>
      </c>
      <c r="G52" s="6">
        <f t="shared" si="2"/>
        <v>108.72</v>
      </c>
    </row>
    <row r="53" spans="1:11" x14ac:dyDescent="0.25">
      <c r="C53" s="3" t="s">
        <v>95</v>
      </c>
      <c r="D53" s="7" t="s">
        <v>0</v>
      </c>
      <c r="E53" s="11">
        <f>Inputs!$E$164*$E$42/Thousand</f>
        <v>12.231</v>
      </c>
      <c r="F53" s="6">
        <f t="shared" si="1"/>
        <v>90</v>
      </c>
      <c r="G53" s="6">
        <f t="shared" si="2"/>
        <v>122.31</v>
      </c>
    </row>
    <row r="54" spans="1:11" x14ac:dyDescent="0.25">
      <c r="C54" s="3" t="s">
        <v>96</v>
      </c>
      <c r="D54" s="7" t="s">
        <v>0</v>
      </c>
      <c r="E54" s="11">
        <f>Inputs!$E$165*$E$42/Thousand</f>
        <v>9.5129999999999999</v>
      </c>
      <c r="F54" s="6">
        <f t="shared" si="1"/>
        <v>70</v>
      </c>
      <c r="G54" s="6">
        <f t="shared" si="2"/>
        <v>95.13</v>
      </c>
    </row>
    <row r="55" spans="1:11" x14ac:dyDescent="0.25">
      <c r="C55" s="3" t="s">
        <v>97</v>
      </c>
      <c r="D55" s="7" t="s">
        <v>0</v>
      </c>
      <c r="E55" s="11">
        <f>Inputs!$E$166*$E$42/Thousand</f>
        <v>8.1539999999999999</v>
      </c>
      <c r="F55" s="6">
        <f t="shared" si="1"/>
        <v>60</v>
      </c>
      <c r="G55" s="6">
        <f t="shared" si="2"/>
        <v>81.540000000000006</v>
      </c>
    </row>
    <row r="56" spans="1:11" x14ac:dyDescent="0.25">
      <c r="C56" s="3" t="s">
        <v>98</v>
      </c>
      <c r="D56" s="7" t="s">
        <v>0</v>
      </c>
      <c r="E56" s="11">
        <f>Inputs!$E$167/Thousand</f>
        <v>6</v>
      </c>
      <c r="F56" s="6">
        <f t="shared" si="1"/>
        <v>44.150110375275936</v>
      </c>
      <c r="G56" s="6">
        <f t="shared" si="2"/>
        <v>60</v>
      </c>
      <c r="I56" s="40"/>
    </row>
    <row r="57" spans="1:11" x14ac:dyDescent="0.25">
      <c r="C57" s="3" t="s">
        <v>99</v>
      </c>
      <c r="D57" s="7" t="s">
        <v>0</v>
      </c>
      <c r="E57" s="11">
        <f>Inputs!$E$169*$E$42/Thousand</f>
        <v>5.4359999999999999</v>
      </c>
      <c r="F57" s="6">
        <f t="shared" si="1"/>
        <v>40</v>
      </c>
      <c r="G57" s="6">
        <f t="shared" si="2"/>
        <v>54.36</v>
      </c>
    </row>
    <row r="58" spans="1:11" x14ac:dyDescent="0.25">
      <c r="C58" s="3" t="s">
        <v>100</v>
      </c>
      <c r="D58" s="7" t="s">
        <v>0</v>
      </c>
      <c r="E58" s="11">
        <f>Inputs!$E$170*$E$42/Thousand</f>
        <v>2.0385</v>
      </c>
      <c r="F58" s="6">
        <f t="shared" si="1"/>
        <v>15</v>
      </c>
      <c r="G58" s="6">
        <f t="shared" si="2"/>
        <v>20.385000000000002</v>
      </c>
    </row>
    <row r="59" spans="1:11" x14ac:dyDescent="0.25">
      <c r="C59" s="3" t="s">
        <v>101</v>
      </c>
      <c r="D59" s="7" t="s">
        <v>0</v>
      </c>
      <c r="E59" s="11">
        <f>SUM(E51:E58)*Inputs!$E$173</f>
        <v>6.109725000000001</v>
      </c>
      <c r="F59" s="6">
        <f t="shared" si="1"/>
        <v>44.957505518763803</v>
      </c>
      <c r="G59" s="6">
        <f t="shared" si="2"/>
        <v>61.09725000000001</v>
      </c>
    </row>
    <row r="60" spans="1:11" x14ac:dyDescent="0.25">
      <c r="C60" s="3" t="s">
        <v>102</v>
      </c>
      <c r="D60" s="7" t="s">
        <v>0</v>
      </c>
      <c r="E60" s="11">
        <f>Inputs!$E$168*$E$43/Thousand</f>
        <v>12</v>
      </c>
      <c r="F60" s="6">
        <f t="shared" si="1"/>
        <v>88.300220750551873</v>
      </c>
      <c r="G60" s="6">
        <f t="shared" si="2"/>
        <v>120</v>
      </c>
    </row>
    <row r="61" spans="1:11" x14ac:dyDescent="0.25">
      <c r="C61" s="3" t="s">
        <v>103</v>
      </c>
      <c r="D61" s="7" t="s">
        <v>0</v>
      </c>
      <c r="E61" s="11">
        <f>Deposits!$M$18/Thousand</f>
        <v>18.786659178082196</v>
      </c>
      <c r="F61" s="6">
        <f t="shared" si="1"/>
        <v>138.23884604916992</v>
      </c>
      <c r="G61" s="6">
        <f t="shared" si="2"/>
        <v>187.86659178082195</v>
      </c>
    </row>
    <row r="62" spans="1:11" x14ac:dyDescent="0.25">
      <c r="C62" s="3" t="s">
        <v>104</v>
      </c>
      <c r="D62" s="7" t="s">
        <v>0</v>
      </c>
      <c r="E62" s="11">
        <f>Deposits!$M$12/Thousand</f>
        <v>0.69636411506849316</v>
      </c>
      <c r="F62" s="6">
        <f t="shared" si="1"/>
        <v>5.1240920902758873</v>
      </c>
      <c r="G62" s="6">
        <f t="shared" si="2"/>
        <v>6.9636411506849312</v>
      </c>
    </row>
    <row r="63" spans="1:11" x14ac:dyDescent="0.25">
      <c r="C63" s="3" t="s">
        <v>105</v>
      </c>
      <c r="D63" s="7" t="s">
        <v>0</v>
      </c>
      <c r="E63" s="11">
        <f>-HTM!$G$29/Thousand</f>
        <v>5</v>
      </c>
      <c r="F63" s="6">
        <f t="shared" si="1"/>
        <v>36.791758646063279</v>
      </c>
      <c r="G63" s="6">
        <f t="shared" si="2"/>
        <v>50</v>
      </c>
    </row>
    <row r="64" spans="1:11" x14ac:dyDescent="0.25">
      <c r="C64" s="3" t="s">
        <v>106</v>
      </c>
      <c r="D64" s="7" t="s">
        <v>0</v>
      </c>
      <c r="E64" s="11">
        <f>HTM!$G$79/Thousand</f>
        <v>4.4755554177460546</v>
      </c>
      <c r="F64" s="6">
        <f t="shared" si="1"/>
        <v>32.93271094735875</v>
      </c>
      <c r="G64" s="6">
        <f t="shared" si="2"/>
        <v>44.755554177460546</v>
      </c>
    </row>
    <row r="65" spans="1:11" x14ac:dyDescent="0.25">
      <c r="C65" s="3" t="s">
        <v>107</v>
      </c>
      <c r="D65" s="7" t="s">
        <v>0</v>
      </c>
      <c r="E65" s="11">
        <f>-HTM!$G$85/Thousand</f>
        <v>2.1670944065627706</v>
      </c>
      <c r="F65" s="6">
        <f t="shared" si="1"/>
        <v>15.946242873898237</v>
      </c>
      <c r="G65" s="6">
        <f t="shared" si="2"/>
        <v>21.670944065627705</v>
      </c>
    </row>
    <row r="66" spans="1:11" x14ac:dyDescent="0.25">
      <c r="C66" s="12" t="s">
        <v>3</v>
      </c>
      <c r="D66" s="7" t="s">
        <v>0</v>
      </c>
      <c r="E66" s="13">
        <f>SUM(E51:E65)</f>
        <v>171.42989811745952</v>
      </c>
      <c r="F66" s="14">
        <f t="shared" si="1"/>
        <v>1261.4414872513578</v>
      </c>
      <c r="G66" s="14">
        <f t="shared" si="2"/>
        <v>1714.2989811745952</v>
      </c>
    </row>
    <row r="67" spans="1:11" x14ac:dyDescent="0.25">
      <c r="C67" s="12"/>
      <c r="D67" s="7"/>
      <c r="E67" s="13"/>
      <c r="F67" s="14"/>
      <c r="G67" s="14"/>
    </row>
    <row r="68" spans="1:11" x14ac:dyDescent="0.25">
      <c r="C68" s="12" t="s">
        <v>108</v>
      </c>
      <c r="D68" s="7"/>
      <c r="E68" s="13"/>
      <c r="F68" s="41">
        <f>F79/F66</f>
        <v>0.12849067677291362</v>
      </c>
      <c r="G68" s="14"/>
    </row>
    <row r="69" spans="1:11" x14ac:dyDescent="0.25">
      <c r="C69" s="12" t="s">
        <v>109</v>
      </c>
      <c r="F69" s="42">
        <f>F68-(1.5/100)</f>
        <v>0.11349067677291362</v>
      </c>
    </row>
    <row r="70" spans="1:11" x14ac:dyDescent="0.25">
      <c r="A70" s="23" t="s">
        <v>7</v>
      </c>
      <c r="B70" s="23"/>
      <c r="C70" s="23" t="s">
        <v>110</v>
      </c>
      <c r="D70" s="23"/>
      <c r="E70" s="23"/>
      <c r="F70" s="23"/>
      <c r="G70" s="23"/>
      <c r="H70" s="23"/>
      <c r="I70" s="23"/>
      <c r="J70" s="23"/>
      <c r="K70" s="23"/>
    </row>
    <row r="71" spans="1:11" x14ac:dyDescent="0.25">
      <c r="E71" s="2" t="s">
        <v>111</v>
      </c>
      <c r="F71" s="2" t="s">
        <v>112</v>
      </c>
      <c r="G71" s="2" t="s">
        <v>113</v>
      </c>
    </row>
    <row r="72" spans="1:11" x14ac:dyDescent="0.25">
      <c r="C72" s="3" t="s">
        <v>114</v>
      </c>
      <c r="D72" s="7" t="s">
        <v>6</v>
      </c>
      <c r="E72" s="33">
        <f>Inputs!$E$156</f>
        <v>2032</v>
      </c>
    </row>
    <row r="73" spans="1:11" x14ac:dyDescent="0.25">
      <c r="C73" s="3" t="s">
        <v>115</v>
      </c>
      <c r="D73" s="7" t="s">
        <v>116</v>
      </c>
      <c r="E73" s="327">
        <f>SUMIF(HTM!$H$5:$AQ$5,$E$72,HTM!$H$38:$AQ$38)</f>
        <v>319.63679999999999</v>
      </c>
    </row>
    <row r="74" spans="1:11" x14ac:dyDescent="0.25">
      <c r="C74" s="3" t="s">
        <v>117</v>
      </c>
      <c r="D74" s="7" t="s">
        <v>42</v>
      </c>
      <c r="F74" s="327">
        <f>$E$73*Thousand/$E$42</f>
        <v>2352</v>
      </c>
      <c r="G74" s="6">
        <f>$E$73*Thousand/$E$20</f>
        <v>3196.3679999999999</v>
      </c>
    </row>
    <row r="75" spans="1:11" x14ac:dyDescent="0.25">
      <c r="C75" s="3" t="s">
        <v>118</v>
      </c>
      <c r="D75" s="7" t="s">
        <v>51</v>
      </c>
      <c r="F75" s="43">
        <f>F74/Hours_In_Year</f>
        <v>0.26849315068493151</v>
      </c>
    </row>
    <row r="76" spans="1:11" x14ac:dyDescent="0.25">
      <c r="C76" s="3" t="s">
        <v>119</v>
      </c>
      <c r="D76" s="7" t="s">
        <v>116</v>
      </c>
      <c r="E76" s="11">
        <f>$E$73*(1-In_Bottleneck_Factor)/In_Bottleneck_Factor</f>
        <v>13.318200000000012</v>
      </c>
    </row>
    <row r="77" spans="1:11" x14ac:dyDescent="0.25">
      <c r="C77" s="3" t="s">
        <v>120</v>
      </c>
      <c r="D77" s="7" t="s">
        <v>40</v>
      </c>
      <c r="E77" s="11">
        <f>SUMIF(HTM!$H$5:$AQ$5,$E$72,HTM!$H$49:$AQ$49)</f>
        <v>90.9</v>
      </c>
    </row>
    <row r="78" spans="1:11" x14ac:dyDescent="0.25">
      <c r="C78" s="3" t="s">
        <v>4</v>
      </c>
      <c r="D78" s="7" t="s">
        <v>0</v>
      </c>
      <c r="E78" s="11">
        <f>SUMIF(HTM!$H$5:$AQ$5,$E$72,HTM!$H$54:$AQ$54)/Thousand</f>
        <v>29.054985120000001</v>
      </c>
      <c r="F78" s="11">
        <f>E78/$E$42*1000</f>
        <v>213.79680000000002</v>
      </c>
    </row>
    <row r="79" spans="1:11" x14ac:dyDescent="0.25">
      <c r="C79" s="3" t="s">
        <v>121</v>
      </c>
      <c r="D79" s="7" t="s">
        <v>0</v>
      </c>
      <c r="E79" s="11">
        <f>SUMIF(HTM!$H$5:$AQ$5,$E$72,HTM!$H$70:$AQ$70)/Thousand</f>
        <v>22.027143628224003</v>
      </c>
      <c r="F79" s="44">
        <f>E79/$E$42*1000</f>
        <v>162.08347040635763</v>
      </c>
    </row>
    <row r="80" spans="1:11" x14ac:dyDescent="0.25">
      <c r="C80" s="3" t="s">
        <v>122</v>
      </c>
      <c r="D80" s="7" t="s">
        <v>51</v>
      </c>
      <c r="E80" s="43">
        <f>SUMIF(HTM!$H$5:$AQ$5,$E$72,HTM!$H$71:$AQ$71)</f>
        <v>0.75811925345167763</v>
      </c>
    </row>
    <row r="81" spans="1:11 16384:16384" x14ac:dyDescent="0.25">
      <c r="C81" s="3" t="s">
        <v>123</v>
      </c>
      <c r="D81" s="7" t="s">
        <v>0</v>
      </c>
      <c r="E81" s="11">
        <f>-SUMIF(HTM!$H$5:$AQ$5,$E$72,HTM!$H$69:$AQ$69)/Thousand</f>
        <v>7.027841491775999</v>
      </c>
    </row>
    <row r="82" spans="1:11 16384:16384" x14ac:dyDescent="0.25">
      <c r="C82" s="3" t="s">
        <v>124</v>
      </c>
      <c r="D82" s="7" t="s">
        <v>125</v>
      </c>
      <c r="F82" s="11">
        <f>E81*Thousand/$E$42</f>
        <v>51.713329593642378</v>
      </c>
      <c r="G82" s="11">
        <f>E81*Thousand/$E$20</f>
        <v>70.278414917759989</v>
      </c>
    </row>
    <row r="83" spans="1:11 16384:16384" x14ac:dyDescent="0.25">
      <c r="C83" s="3" t="s">
        <v>126</v>
      </c>
      <c r="D83" s="7" t="s">
        <v>0</v>
      </c>
      <c r="E83" s="11">
        <f>HTM!$G$70/Thousand</f>
        <v>684.48693405728432</v>
      </c>
    </row>
    <row r="84" spans="1:11 16384:16384" x14ac:dyDescent="0.25">
      <c r="C84" s="3" t="s">
        <v>127</v>
      </c>
      <c r="D84" s="7" t="s">
        <v>116</v>
      </c>
      <c r="E84" s="5">
        <f>HTM!$G$38</f>
        <v>9196.7603269539395</v>
      </c>
    </row>
    <row r="85" spans="1:11 16384:16384" x14ac:dyDescent="0.25">
      <c r="C85" s="3" t="s">
        <v>128</v>
      </c>
      <c r="D85" s="7" t="s">
        <v>40</v>
      </c>
      <c r="E85" s="4">
        <f>HTM!$G$156</f>
        <v>79.546514385963206</v>
      </c>
    </row>
    <row r="87" spans="1:11 16384:16384" x14ac:dyDescent="0.25">
      <c r="A87" s="23" t="s">
        <v>7</v>
      </c>
      <c r="B87" s="23"/>
      <c r="C87" s="23" t="s">
        <v>129</v>
      </c>
      <c r="D87" s="23"/>
      <c r="E87" s="23"/>
      <c r="F87" s="23"/>
      <c r="G87" s="23"/>
      <c r="H87" s="23"/>
      <c r="I87" s="23"/>
      <c r="J87" s="23"/>
      <c r="K87" s="23"/>
    </row>
    <row r="88" spans="1:11 16384:16384" ht="65.25" customHeight="1" x14ac:dyDescent="0.25">
      <c r="E88" s="2" t="s">
        <v>37</v>
      </c>
      <c r="F88" s="45" t="str">
        <f>Inputs!G$7</f>
        <v>EU turbine, normal debt (60 % at 5 %)</v>
      </c>
      <c r="G88" s="45" t="str">
        <f>Inputs!H$7</f>
        <v>CN turbine</v>
      </c>
      <c r="H88" s="45" t="str">
        <f>Inputs!I$7</f>
        <v>EU turbine, refinanced at COD + 1 year</v>
      </c>
      <c r="XFD88" s="2" t="s">
        <v>130</v>
      </c>
    </row>
    <row r="89" spans="1:11 16384:16384" x14ac:dyDescent="0.25">
      <c r="C89" s="3" t="s">
        <v>131</v>
      </c>
      <c r="D89" s="7" t="s">
        <v>80</v>
      </c>
      <c r="E89" s="32">
        <f>$F$37</f>
        <v>65.5</v>
      </c>
      <c r="F89" s="46">
        <v>80.5</v>
      </c>
      <c r="G89" s="46">
        <v>65.5</v>
      </c>
      <c r="H89" s="46">
        <v>80.5</v>
      </c>
      <c r="XFD89" s="47">
        <f>IFERROR(INDEX(F89:H89,Inputs!$E$6)-E89,0)</f>
        <v>0</v>
      </c>
    </row>
    <row r="90" spans="1:11 16384:16384" x14ac:dyDescent="0.25">
      <c r="A90" s="9" t="s">
        <v>7</v>
      </c>
      <c r="B90" s="9"/>
      <c r="C90" s="9" t="s">
        <v>132</v>
      </c>
      <c r="D90" s="9"/>
      <c r="E90" s="9"/>
      <c r="F90" s="9"/>
      <c r="G90" s="9"/>
      <c r="H90" s="9"/>
      <c r="I90" s="9"/>
      <c r="J90" s="9"/>
      <c r="K90" s="9"/>
      <c r="XFD90" s="9"/>
    </row>
    <row r="91" spans="1:11 16384:16384" x14ac:dyDescent="0.25">
      <c r="C91" s="3" t="s">
        <v>133</v>
      </c>
      <c r="D91" s="7" t="s">
        <v>51</v>
      </c>
      <c r="E91" s="31">
        <f>HTM!$G$134</f>
        <v>0.11696131948899646</v>
      </c>
      <c r="F91" s="48">
        <v>9.212539176853074E-2</v>
      </c>
      <c r="G91" s="48">
        <v>0.11696131948899646</v>
      </c>
      <c r="H91" s="48">
        <v>9.212539176853074E-2</v>
      </c>
      <c r="XFD91" s="47">
        <f>IFERROR(INDEX(F91:H91,Inputs!$E$6)-E91,0)</f>
        <v>0</v>
      </c>
    </row>
    <row r="92" spans="1:11 16384:16384" x14ac:dyDescent="0.25">
      <c r="C92" s="3" t="s">
        <v>134</v>
      </c>
      <c r="D92" s="7" t="s">
        <v>51</v>
      </c>
      <c r="E92" s="31">
        <f>HTM!$G$135</f>
        <v>0.10455898446605061</v>
      </c>
      <c r="F92" s="48">
        <v>8.2519268491936471E-2</v>
      </c>
      <c r="G92" s="48">
        <v>0.10455898446605061</v>
      </c>
      <c r="H92" s="48">
        <v>8.2519268491936471E-2</v>
      </c>
      <c r="XFD92" s="47">
        <f>IFERROR(INDEX(F92:H92,Inputs!$E$6)-E92,0)</f>
        <v>0</v>
      </c>
    </row>
    <row r="93" spans="1:11 16384:16384" x14ac:dyDescent="0.25">
      <c r="C93" s="3" t="s">
        <v>135</v>
      </c>
      <c r="D93" s="7" t="s">
        <v>0</v>
      </c>
      <c r="E93" s="11">
        <f>HTM!$G$136/Thousand</f>
        <v>33.209351780041665</v>
      </c>
      <c r="F93" s="49">
        <v>4.0378039955070291</v>
      </c>
      <c r="G93" s="49">
        <v>33.209351780041665</v>
      </c>
      <c r="H93" s="49">
        <v>4.0378039955070291</v>
      </c>
      <c r="XFD93" s="47">
        <f>IFERROR(INDEX(F93:H93,Inputs!$E$6)-E93,0)</f>
        <v>0</v>
      </c>
    </row>
    <row r="94" spans="1:11 16384:16384" x14ac:dyDescent="0.25">
      <c r="C94" s="3" t="s">
        <v>136</v>
      </c>
      <c r="D94" s="7" t="s">
        <v>51</v>
      </c>
      <c r="E94" s="31">
        <f>HTM!$G$137</f>
        <v>0.13119284646604612</v>
      </c>
      <c r="F94" s="48">
        <v>0.10363294401651379</v>
      </c>
      <c r="G94" s="48">
        <v>0.13119284646604612</v>
      </c>
      <c r="H94" s="48">
        <v>0.10760177088548595</v>
      </c>
      <c r="XFD94" s="47">
        <f>IFERROR(INDEX(F94:H94,Inputs!$E$6)-E94,0)</f>
        <v>0</v>
      </c>
    </row>
    <row r="95" spans="1:11 16384:16384" x14ac:dyDescent="0.25">
      <c r="C95" s="3" t="s">
        <v>137</v>
      </c>
      <c r="D95" s="7" t="s">
        <v>0</v>
      </c>
      <c r="E95" s="11">
        <f>HTM!$G$140/Thousand</f>
        <v>45.207708532048571</v>
      </c>
      <c r="F95" s="49">
        <v>22.046519254268905</v>
      </c>
      <c r="G95" s="49">
        <v>45.207708532048571</v>
      </c>
      <c r="H95" s="49">
        <v>24.578452478244039</v>
      </c>
      <c r="XFD95" s="47">
        <f>IFERROR(INDEX(F95:H95,Inputs!$E$6)-E95,0)</f>
        <v>0</v>
      </c>
    </row>
    <row r="96" spans="1:11 16384:16384" x14ac:dyDescent="0.25">
      <c r="C96" s="3" t="s">
        <v>138</v>
      </c>
      <c r="D96" s="7" t="s">
        <v>0</v>
      </c>
      <c r="E96" s="11">
        <f>HTM!$G$146/Thousand</f>
        <v>81.823694950195815</v>
      </c>
      <c r="F96" s="49">
        <v>84.519490918609051</v>
      </c>
      <c r="G96" s="49">
        <v>81.823694950195815</v>
      </c>
      <c r="H96" s="49">
        <v>84.519490918609051</v>
      </c>
      <c r="XFD96" s="47">
        <f>IFERROR(INDEX(F96:H96,Inputs!$E$6)-E96,0)</f>
        <v>0</v>
      </c>
    </row>
    <row r="97" spans="1:11 16384:16384" x14ac:dyDescent="0.25">
      <c r="C97" s="3" t="s">
        <v>139</v>
      </c>
      <c r="D97" s="7" t="s">
        <v>7</v>
      </c>
      <c r="E97" s="50">
        <f>HTM!$G$126</f>
        <v>2.4706043126325246</v>
      </c>
      <c r="F97" s="51">
        <v>1.6679193590311248</v>
      </c>
      <c r="G97" s="51">
        <v>2.4706043126325246</v>
      </c>
      <c r="H97" s="51">
        <v>1.7075486434171818</v>
      </c>
      <c r="XFD97" s="47">
        <f>IFERROR(INDEX(F97:H97,Inputs!$E$6)-E97,0)</f>
        <v>0</v>
      </c>
    </row>
    <row r="98" spans="1:11 16384:16384" x14ac:dyDescent="0.25">
      <c r="C98" s="3" t="s">
        <v>140</v>
      </c>
      <c r="D98" s="7" t="s">
        <v>51</v>
      </c>
      <c r="E98" s="43" t="str">
        <f>IF(HTM!$E$256=COLUMNS(Dash_Gearing_Steps),"≥ top step",HTM!$G$256)</f>
        <v>≥ top step</v>
      </c>
      <c r="F98" s="48" t="s">
        <v>141</v>
      </c>
      <c r="G98" s="48" t="s">
        <v>141</v>
      </c>
      <c r="H98" s="48" t="s">
        <v>141</v>
      </c>
      <c r="XFD98" s="47">
        <f>IFERROR(INDEX(F98:H98,Inputs!$E$6)-E98,0)</f>
        <v>0</v>
      </c>
    </row>
    <row r="99" spans="1:11 16384:16384" x14ac:dyDescent="0.25">
      <c r="C99" s="3" t="s">
        <v>142</v>
      </c>
      <c r="D99" s="7" t="s">
        <v>51</v>
      </c>
      <c r="E99" s="31">
        <f>Inputs!$E$219</f>
        <v>0.5</v>
      </c>
      <c r="F99" s="48">
        <v>0.6</v>
      </c>
      <c r="G99" s="48">
        <v>0.5</v>
      </c>
      <c r="H99" s="48">
        <v>0.6</v>
      </c>
      <c r="XFD99" s="47">
        <f>IFERROR(INDEX(F99:H99,Inputs!$E$6)-E99,0)</f>
        <v>0</v>
      </c>
    </row>
    <row r="100" spans="1:11 16384:16384" x14ac:dyDescent="0.25">
      <c r="C100" s="3" t="s">
        <v>143</v>
      </c>
      <c r="D100" s="7" t="s">
        <v>0</v>
      </c>
      <c r="E100" s="11">
        <f>HTM!$G$157/Thousand</f>
        <v>86.869179564321428</v>
      </c>
      <c r="F100" s="49">
        <v>131.32330945792197</v>
      </c>
      <c r="G100" s="49">
        <v>86.869179564321428</v>
      </c>
      <c r="H100" s="49">
        <v>131.32330945792197</v>
      </c>
      <c r="XFD100" s="47">
        <f>IFERROR(INDEX(F100:H100,Inputs!$E$6)-E100,0)</f>
        <v>0</v>
      </c>
    </row>
    <row r="101" spans="1:11 16384:16384" x14ac:dyDescent="0.25">
      <c r="C101" s="3" t="s">
        <v>144</v>
      </c>
      <c r="D101" s="7" t="s">
        <v>62</v>
      </c>
      <c r="E101" s="20">
        <f>In_Refi_On</f>
        <v>0</v>
      </c>
      <c r="F101" s="52">
        <v>0</v>
      </c>
      <c r="G101" s="52">
        <v>0</v>
      </c>
      <c r="H101" s="52">
        <v>1</v>
      </c>
      <c r="XFD101" s="47">
        <f>IFERROR(INDEX(F101:H101,Inputs!$E$6)-E101,0)</f>
        <v>0</v>
      </c>
    </row>
    <row r="102" spans="1:11 16384:16384" x14ac:dyDescent="0.25">
      <c r="C102" s="3" t="s">
        <v>145</v>
      </c>
      <c r="D102" s="7" t="s">
        <v>0</v>
      </c>
      <c r="E102" s="11">
        <f>HTM!$G$372/Thousand</f>
        <v>0</v>
      </c>
      <c r="F102" s="49">
        <v>0</v>
      </c>
      <c r="G102" s="49">
        <v>0</v>
      </c>
      <c r="H102" s="49">
        <v>132.86127890761651</v>
      </c>
      <c r="XFD102" s="47">
        <f>IFERROR(INDEX(F102:H102,Inputs!$E$6)-E102,0)</f>
        <v>0</v>
      </c>
    </row>
    <row r="103" spans="1:11 16384:16384" x14ac:dyDescent="0.25">
      <c r="C103" s="3" t="s">
        <v>146</v>
      </c>
      <c r="D103" s="7" t="s">
        <v>51</v>
      </c>
      <c r="E103" s="31">
        <f>HTM!$G$373</f>
        <v>0</v>
      </c>
      <c r="F103" s="48">
        <v>0</v>
      </c>
      <c r="G103" s="48">
        <v>0</v>
      </c>
      <c r="H103" s="48">
        <v>0.64000000000000012</v>
      </c>
      <c r="XFD103" s="47">
        <f>IFERROR(INDEX(F103:H103,Inputs!$E$6)-E103,0)</f>
        <v>0</v>
      </c>
    </row>
    <row r="104" spans="1:11 16384:16384" x14ac:dyDescent="0.25">
      <c r="C104" s="3" t="s">
        <v>147</v>
      </c>
      <c r="D104" s="7" t="s">
        <v>7</v>
      </c>
      <c r="E104" s="50" t="str">
        <f>HTM!$G$374</f>
        <v>n/a</v>
      </c>
      <c r="F104" s="51" t="s">
        <v>148</v>
      </c>
      <c r="G104" s="51" t="s">
        <v>148</v>
      </c>
      <c r="H104" s="51">
        <v>1.7075486434171818</v>
      </c>
      <c r="XFD104" s="47">
        <f>IFERROR(INDEX(F104:H104,Inputs!$E$6)-E104,0)</f>
        <v>0</v>
      </c>
    </row>
    <row r="105" spans="1:11 16384:16384" x14ac:dyDescent="0.25">
      <c r="C105" s="3" t="s">
        <v>149</v>
      </c>
      <c r="D105" s="7" t="s">
        <v>6</v>
      </c>
      <c r="E105" s="33">
        <f>HTM!$G$148</f>
        <v>2038</v>
      </c>
      <c r="F105" s="52">
        <v>2041</v>
      </c>
      <c r="G105" s="52">
        <v>2038</v>
      </c>
      <c r="H105" s="52">
        <v>2040</v>
      </c>
      <c r="XFD105" s="47">
        <f>IFERROR(INDEX(F105:H105,Inputs!$E$6)-E105,0)</f>
        <v>0</v>
      </c>
    </row>
    <row r="106" spans="1:11 16384:16384" x14ac:dyDescent="0.25">
      <c r="A106" s="9" t="s">
        <v>7</v>
      </c>
      <c r="B106" s="9"/>
      <c r="C106" s="9" t="s">
        <v>150</v>
      </c>
      <c r="D106" s="9"/>
      <c r="E106" s="9"/>
      <c r="F106" s="9"/>
      <c r="G106" s="9"/>
      <c r="H106" s="9"/>
      <c r="I106" s="9"/>
      <c r="J106" s="9"/>
      <c r="K106" s="9"/>
      <c r="XFD106" s="9"/>
    </row>
    <row r="107" spans="1:11 16384:16384" x14ac:dyDescent="0.25">
      <c r="C107" s="3" t="s">
        <v>151</v>
      </c>
      <c r="D107" s="7" t="s">
        <v>0</v>
      </c>
      <c r="E107" s="11">
        <f>HTM!$G$336/Thousand</f>
        <v>226.54588105546037</v>
      </c>
      <c r="F107" s="49">
        <v>229.83049692143297</v>
      </c>
      <c r="G107" s="49">
        <v>226.54588105546037</v>
      </c>
      <c r="H107" s="49">
        <v>229.83049692143297</v>
      </c>
      <c r="XFD107" s="47">
        <f>IFERROR(INDEX(F107:H107,Inputs!$E$6)-E107,0)</f>
        <v>0</v>
      </c>
    </row>
    <row r="108" spans="1:11 16384:16384" x14ac:dyDescent="0.25">
      <c r="C108" s="3" t="s">
        <v>152</v>
      </c>
      <c r="D108" s="7" t="s">
        <v>11</v>
      </c>
      <c r="E108" s="5">
        <f>HTM!$G$337</f>
        <v>1667.0042756104515</v>
      </c>
      <c r="F108" s="53">
        <v>1691.1736344476303</v>
      </c>
      <c r="G108" s="53">
        <v>1667.0042756104515</v>
      </c>
      <c r="H108" s="53">
        <v>1691.1736344476303</v>
      </c>
      <c r="XFD108" s="47">
        <f>IFERROR(INDEX(F108:H108,Inputs!$E$6)-E108,0)</f>
        <v>0</v>
      </c>
    </row>
    <row r="109" spans="1:11 16384:16384" x14ac:dyDescent="0.25">
      <c r="C109" s="3" t="s">
        <v>153</v>
      </c>
      <c r="D109" s="7" t="s">
        <v>2</v>
      </c>
      <c r="E109" s="5">
        <f>HTM!$G$338</f>
        <v>2265.4588105546036</v>
      </c>
      <c r="F109" s="53">
        <v>2298.3049692143295</v>
      </c>
      <c r="G109" s="53">
        <v>2265.4588105546036</v>
      </c>
      <c r="H109" s="53">
        <v>2298.3049692143295</v>
      </c>
      <c r="XFD109" s="47">
        <f>IFERROR(INDEX(F109:H109,Inputs!$E$6)-E109,0)</f>
        <v>0</v>
      </c>
    </row>
    <row r="110" spans="1:11 16384:16384" x14ac:dyDescent="0.25">
      <c r="C110" s="3" t="s">
        <v>154</v>
      </c>
      <c r="D110" s="7" t="s">
        <v>0</v>
      </c>
      <c r="E110" s="11">
        <f>HTM!$G$342/Thousand</f>
        <v>57.853006540943142</v>
      </c>
      <c r="F110" s="49">
        <v>13.987696544901905</v>
      </c>
      <c r="G110" s="49">
        <v>57.853006540943142</v>
      </c>
      <c r="H110" s="49">
        <v>13.987696544901905</v>
      </c>
      <c r="XFD110" s="47">
        <f>IFERROR(INDEX(F110:H110,Inputs!$E$6)-E110,0)</f>
        <v>0</v>
      </c>
    </row>
    <row r="111" spans="1:11 16384:16384" x14ac:dyDescent="0.25">
      <c r="C111" s="3" t="s">
        <v>155</v>
      </c>
      <c r="D111" s="7" t="s">
        <v>51</v>
      </c>
      <c r="E111" s="31">
        <f>HTM!$G$341</f>
        <v>0.37681516742079268</v>
      </c>
      <c r="F111" s="48">
        <v>0.10323635612622439</v>
      </c>
      <c r="G111" s="48">
        <v>0.37681516742079268</v>
      </c>
      <c r="H111" s="48">
        <v>0.10323635612622439</v>
      </c>
      <c r="XFD111" s="47">
        <f>IFERROR(INDEX(F111:H111,Inputs!$E$6)-E111,0)</f>
        <v>0</v>
      </c>
    </row>
    <row r="112" spans="1:11 16384:16384" x14ac:dyDescent="0.25">
      <c r="C112" s="3" t="s">
        <v>137</v>
      </c>
      <c r="D112" s="7" t="s">
        <v>0</v>
      </c>
      <c r="E112" s="11">
        <f>HTM!$G$344/Thousand</f>
        <v>32.233333223877743</v>
      </c>
      <c r="F112" s="49">
        <v>2.2307333513546475</v>
      </c>
      <c r="G112" s="49">
        <v>32.233333223877743</v>
      </c>
      <c r="H112" s="49">
        <v>2.2307333513546475</v>
      </c>
      <c r="XFD112" s="47">
        <f>IFERROR(INDEX(F112:H112,Inputs!$E$6)-E112,0)</f>
        <v>0</v>
      </c>
    </row>
    <row r="113" spans="1:11 16384:16384" x14ac:dyDescent="0.25">
      <c r="C113" s="3" t="s">
        <v>156</v>
      </c>
      <c r="D113" s="7" t="s">
        <v>7</v>
      </c>
      <c r="E113" s="50">
        <f>HTM!$G$343</f>
        <v>1.7795049570641392</v>
      </c>
      <c r="F113" s="51">
        <v>1.1845486751860874</v>
      </c>
      <c r="G113" s="51">
        <v>1.7795049570641392</v>
      </c>
      <c r="H113" s="51">
        <v>1.1845486751860874</v>
      </c>
      <c r="XFD113" s="47">
        <f>IFERROR(INDEX(F113:H113,Inputs!$E$6)-E113,0)</f>
        <v>0</v>
      </c>
    </row>
    <row r="114" spans="1:11 16384:16384" x14ac:dyDescent="0.25">
      <c r="A114" s="9" t="s">
        <v>7</v>
      </c>
      <c r="B114" s="9"/>
      <c r="C114" s="9" t="s">
        <v>157</v>
      </c>
      <c r="D114" s="9"/>
      <c r="E114" s="9"/>
      <c r="F114" s="9"/>
      <c r="G114" s="9"/>
      <c r="H114" s="9"/>
      <c r="I114" s="9"/>
      <c r="J114" s="9"/>
      <c r="K114" s="9"/>
      <c r="XFD114" s="9"/>
    </row>
    <row r="115" spans="1:11 16384:16384" x14ac:dyDescent="0.25">
      <c r="C115" s="3" t="s">
        <v>158</v>
      </c>
      <c r="D115" s="7" t="s">
        <v>51</v>
      </c>
      <c r="E115" s="31">
        <f>HTM!$G$215</f>
        <v>9.9642210707889811E-2</v>
      </c>
      <c r="F115" s="48">
        <v>7.8951720958540417E-2</v>
      </c>
      <c r="G115" s="48">
        <v>9.9642210707889811E-2</v>
      </c>
      <c r="H115" s="48">
        <v>7.8951720958540417E-2</v>
      </c>
      <c r="XFD115" s="47">
        <f>IFERROR(INDEX(F115:H115,Inputs!$E$6)-E115,0)</f>
        <v>0</v>
      </c>
    </row>
    <row r="116" spans="1:11 16384:16384" x14ac:dyDescent="0.25">
      <c r="C116" s="3" t="s">
        <v>159</v>
      </c>
      <c r="D116" s="7" t="s">
        <v>2</v>
      </c>
      <c r="E116" s="5">
        <f>HTM!$G$221</f>
        <v>495.73852816378371</v>
      </c>
      <c r="F116" s="53">
        <v>128.26104013626767</v>
      </c>
      <c r="G116" s="53">
        <v>495.73852816378371</v>
      </c>
      <c r="H116" s="53">
        <v>128.26104013626767</v>
      </c>
      <c r="XFD116" s="47">
        <f>IFERROR(INDEX(F116:H116,Inputs!$E$6)-E116,0)</f>
        <v>0</v>
      </c>
    </row>
    <row r="118" spans="1:11 16384:16384" x14ac:dyDescent="0.25">
      <c r="A118" s="23" t="s">
        <v>7</v>
      </c>
      <c r="B118" s="23"/>
      <c r="C118" s="23" t="s">
        <v>160</v>
      </c>
      <c r="D118" s="23"/>
      <c r="E118" s="23"/>
      <c r="F118" s="23"/>
      <c r="G118" s="23" t="s">
        <v>161</v>
      </c>
      <c r="H118" s="23"/>
      <c r="I118" s="23"/>
      <c r="J118" s="23"/>
      <c r="K118" s="23"/>
    </row>
    <row r="119" spans="1:11 16384:16384" x14ac:dyDescent="0.25">
      <c r="C119" s="3" t="s">
        <v>162</v>
      </c>
      <c r="D119" s="7" t="s">
        <v>2</v>
      </c>
      <c r="E119" s="5">
        <f>Inputs!$E$141</f>
        <v>150</v>
      </c>
      <c r="G119" s="5">
        <v>150</v>
      </c>
    </row>
    <row r="120" spans="1:11 16384:16384" x14ac:dyDescent="0.25">
      <c r="C120" s="3" t="s">
        <v>163</v>
      </c>
      <c r="D120" s="7" t="s">
        <v>0</v>
      </c>
      <c r="E120" s="54">
        <f>MOIC!$G$182/Thousand</f>
        <v>7.9891497888472589</v>
      </c>
      <c r="G120" s="54">
        <v>8.01592067526229</v>
      </c>
    </row>
    <row r="121" spans="1:11 16384:16384" x14ac:dyDescent="0.25">
      <c r="C121" s="3" t="s">
        <v>164</v>
      </c>
      <c r="D121" s="7" t="s">
        <v>51</v>
      </c>
      <c r="E121" s="31">
        <f>MOIC!$G$187</f>
        <v>0.35636172890663165</v>
      </c>
      <c r="G121" s="31">
        <v>0.35647236704826402</v>
      </c>
    </row>
    <row r="122" spans="1:11 16384:16384" x14ac:dyDescent="0.25">
      <c r="C122" s="3" t="s">
        <v>137</v>
      </c>
      <c r="D122" s="7" t="s">
        <v>0</v>
      </c>
      <c r="E122" s="54">
        <f>MOIC!$G$192/Thousand</f>
        <v>4.9281404476104873</v>
      </c>
      <c r="G122" s="54">
        <v>4.9453483465415697</v>
      </c>
    </row>
    <row r="123" spans="1:11 16384:16384" x14ac:dyDescent="0.25">
      <c r="C123" s="3" t="s">
        <v>156</v>
      </c>
      <c r="D123" s="7" t="s">
        <v>7</v>
      </c>
      <c r="E123" s="50">
        <f>MOIC!$G$186</f>
        <v>1.3403546212071278</v>
      </c>
      <c r="G123" s="50">
        <v>1.3408904896015701</v>
      </c>
    </row>
    <row r="124" spans="1:11 16384:16384" x14ac:dyDescent="0.25">
      <c r="C124" s="3" t="s">
        <v>138</v>
      </c>
      <c r="D124" s="7" t="s">
        <v>0</v>
      </c>
      <c r="E124" s="54">
        <f>MOIC!$G$188/Thousand</f>
        <v>23.443802555395514</v>
      </c>
      <c r="G124" s="54">
        <v>23.484225706080501</v>
      </c>
    </row>
    <row r="125" spans="1:11 16384:16384" x14ac:dyDescent="0.25">
      <c r="C125" s="3" t="s">
        <v>165</v>
      </c>
      <c r="D125" s="7" t="s">
        <v>0</v>
      </c>
      <c r="E125" s="54">
        <f>MOIC!$G$220/Thousand</f>
        <v>3.831723711219218</v>
      </c>
      <c r="G125" s="54">
        <v>3.7758419220268999</v>
      </c>
    </row>
    <row r="126" spans="1:11 16384:16384" x14ac:dyDescent="0.25">
      <c r="C126" s="3" t="s">
        <v>166</v>
      </c>
      <c r="D126" s="7" t="s">
        <v>0</v>
      </c>
      <c r="E126" s="54">
        <f>-HTM!$G$22/Thousand</f>
        <v>3.9975091278858845</v>
      </c>
      <c r="G126" s="54">
        <v>3.9295502553602302</v>
      </c>
    </row>
    <row r="128" spans="1:11 16384:16384" x14ac:dyDescent="0.25">
      <c r="A128" s="23" t="s">
        <v>7</v>
      </c>
      <c r="B128" s="23"/>
      <c r="C128" s="23" t="s">
        <v>167</v>
      </c>
      <c r="D128" s="23"/>
      <c r="E128" s="23"/>
      <c r="F128" s="23"/>
      <c r="G128" s="23"/>
      <c r="H128" s="23"/>
      <c r="I128" s="23"/>
      <c r="J128" s="23"/>
      <c r="K128" s="23"/>
    </row>
    <row r="129" spans="1:11" x14ac:dyDescent="0.25">
      <c r="C129" s="3" t="s">
        <v>168</v>
      </c>
      <c r="D129" s="7" t="s">
        <v>169</v>
      </c>
      <c r="E129" s="5">
        <f>Deposits!$H$7</f>
        <v>3</v>
      </c>
    </row>
    <row r="130" spans="1:11" x14ac:dyDescent="0.25">
      <c r="C130" s="3" t="s">
        <v>170</v>
      </c>
      <c r="D130" s="7" t="s">
        <v>169</v>
      </c>
      <c r="E130" s="5">
        <f>Deposits!$H$8</f>
        <v>426.53000000000003</v>
      </c>
    </row>
    <row r="131" spans="1:11" x14ac:dyDescent="0.25">
      <c r="C131" s="3" t="s">
        <v>171</v>
      </c>
      <c r="D131" s="7" t="s">
        <v>169</v>
      </c>
      <c r="E131" s="5">
        <f>Deposits!$H$10</f>
        <v>2132.65</v>
      </c>
    </row>
    <row r="132" spans="1:11" x14ac:dyDescent="0.25">
      <c r="C132" s="3" t="s">
        <v>172</v>
      </c>
      <c r="D132" s="7" t="s">
        <v>169</v>
      </c>
      <c r="E132" s="5">
        <f>Deposits!$H$11</f>
        <v>450</v>
      </c>
    </row>
    <row r="133" spans="1:11" x14ac:dyDescent="0.25">
      <c r="C133" s="3" t="s">
        <v>173</v>
      </c>
      <c r="D133" s="7" t="s">
        <v>169</v>
      </c>
      <c r="E133" s="5">
        <f>Deposits!$H$18</f>
        <v>7307.1306000000004</v>
      </c>
    </row>
    <row r="134" spans="1:11" x14ac:dyDescent="0.25">
      <c r="C134" s="3" t="s">
        <v>104</v>
      </c>
      <c r="D134" s="7" t="s">
        <v>169</v>
      </c>
      <c r="E134" s="5">
        <f>Deposits!$H$12</f>
        <v>254.17290199999999</v>
      </c>
    </row>
    <row r="135" spans="1:11" x14ac:dyDescent="0.25">
      <c r="C135" s="12" t="s">
        <v>174</v>
      </c>
      <c r="D135" s="7" t="s">
        <v>169</v>
      </c>
      <c r="E135" s="14">
        <f>Deposits!$H$19</f>
        <v>10573.483502000001</v>
      </c>
    </row>
    <row r="136" spans="1:11" x14ac:dyDescent="0.25">
      <c r="C136" s="3" t="s">
        <v>175</v>
      </c>
      <c r="D136" s="7" t="s">
        <v>169</v>
      </c>
      <c r="E136" s="5">
        <f>Deposits!$J$19</f>
        <v>9696.9535020000003</v>
      </c>
    </row>
    <row r="137" spans="1:11" x14ac:dyDescent="0.25">
      <c r="C137" s="3" t="s">
        <v>176</v>
      </c>
      <c r="D137" s="7" t="s">
        <v>0</v>
      </c>
      <c r="E137" s="11">
        <f>Deposits!$E$26/Thousand</f>
        <v>20.724119183561648</v>
      </c>
    </row>
    <row r="138" spans="1:11" x14ac:dyDescent="0.25">
      <c r="C138" s="3" t="s">
        <v>177</v>
      </c>
      <c r="D138" s="7" t="s">
        <v>0</v>
      </c>
      <c r="E138" s="11">
        <f>Deposits!$E$27/Thousand</f>
        <v>5.8428767123287688</v>
      </c>
    </row>
    <row r="140" spans="1:11" x14ac:dyDescent="0.25">
      <c r="A140" s="23" t="s">
        <v>7</v>
      </c>
      <c r="B140" s="23"/>
      <c r="C140" s="23" t="s">
        <v>178</v>
      </c>
      <c r="D140" s="23"/>
      <c r="E140" s="23"/>
      <c r="F140" s="23"/>
      <c r="G140" s="23"/>
      <c r="H140" s="23"/>
      <c r="I140" s="23"/>
      <c r="J140" s="23"/>
      <c r="K140" s="23"/>
    </row>
    <row r="141" spans="1:11" x14ac:dyDescent="0.25">
      <c r="C141" s="3" t="s">
        <v>179</v>
      </c>
      <c r="D141" s="7" t="s">
        <v>51</v>
      </c>
      <c r="E141" s="55">
        <v>0.7</v>
      </c>
      <c r="F141" s="55">
        <v>0.8</v>
      </c>
      <c r="G141" s="55">
        <v>0.9</v>
      </c>
      <c r="H141" s="55">
        <v>1</v>
      </c>
      <c r="I141" s="55">
        <v>1.1000000000000001</v>
      </c>
      <c r="J141" s="55">
        <v>1.2</v>
      </c>
      <c r="K141" s="55">
        <v>1.3</v>
      </c>
    </row>
    <row r="142" spans="1:11" x14ac:dyDescent="0.25">
      <c r="C142" s="3" t="s">
        <v>180</v>
      </c>
      <c r="D142" s="7" t="s">
        <v>51</v>
      </c>
      <c r="E142" s="31">
        <f>HTM!$F$178</f>
        <v>6.2489203499883628E-2</v>
      </c>
      <c r="F142" s="31">
        <f>HTM!$F$179</f>
        <v>8.2190888604007473E-2</v>
      </c>
      <c r="G142" s="31">
        <f>HTM!$F$180</f>
        <v>0.10016417378554476</v>
      </c>
      <c r="H142" s="31">
        <f>HTM!$F$181</f>
        <v>0.11696131948899646</v>
      </c>
      <c r="I142" s="31">
        <f>HTM!$F$182</f>
        <v>0.13290628795957105</v>
      </c>
      <c r="J142" s="31">
        <f>HTM!$F$183</f>
        <v>0.14820337151390528</v>
      </c>
      <c r="K142" s="31">
        <f>HTM!$F$184</f>
        <v>0.1629880953960996</v>
      </c>
    </row>
    <row r="143" spans="1:11" x14ac:dyDescent="0.25">
      <c r="C143" s="3" t="s">
        <v>181</v>
      </c>
      <c r="D143" s="7" t="s">
        <v>0</v>
      </c>
      <c r="E143" s="11">
        <f>HTM!$G$178/Thousand</f>
        <v>-21.540162029697374</v>
      </c>
      <c r="F143" s="11">
        <f>HTM!$G$179/Thousand</f>
        <v>2.8383428472863415</v>
      </c>
      <c r="G143" s="11">
        <f>HTM!$G$180/Thousand</f>
        <v>27.216847724270014</v>
      </c>
      <c r="H143" s="11">
        <f>HTM!$G$181/Thousand</f>
        <v>51.595352601253708</v>
      </c>
      <c r="I143" s="11">
        <f>HTM!$G$182/Thousand</f>
        <v>75.973857478237392</v>
      </c>
      <c r="J143" s="11">
        <f>HTM!$G$183/Thousand</f>
        <v>100.35236235522105</v>
      </c>
      <c r="K143" s="11">
        <f>HTM!$G$184/Thousand</f>
        <v>124.73086723220477</v>
      </c>
    </row>
    <row r="144" spans="1:11" x14ac:dyDescent="0.25">
      <c r="C144" s="3"/>
      <c r="D144" s="7"/>
      <c r="E144" s="7" t="str">
        <f t="shared" ref="E144:K144" si="3">IF(E141=1,"◄ live","")</f>
        <v/>
      </c>
      <c r="F144" s="7" t="str">
        <f t="shared" si="3"/>
        <v/>
      </c>
      <c r="G144" s="7" t="str">
        <f t="shared" si="3"/>
        <v/>
      </c>
      <c r="H144" s="7" t="str">
        <f t="shared" si="3"/>
        <v>◄ live</v>
      </c>
      <c r="I144" s="7" t="str">
        <f t="shared" si="3"/>
        <v/>
      </c>
      <c r="J144" s="7" t="str">
        <f t="shared" si="3"/>
        <v/>
      </c>
      <c r="K144" s="7" t="str">
        <f t="shared" si="3"/>
        <v/>
      </c>
    </row>
    <row r="145" spans="3:11" x14ac:dyDescent="0.25">
      <c r="C145" s="3" t="s">
        <v>182</v>
      </c>
      <c r="D145" s="7" t="s">
        <v>51</v>
      </c>
      <c r="E145" s="55">
        <v>0.8</v>
      </c>
      <c r="F145" s="55">
        <v>0.9</v>
      </c>
      <c r="G145" s="55">
        <v>1</v>
      </c>
      <c r="H145" s="55">
        <v>1.1000000000000001</v>
      </c>
      <c r="I145" s="55">
        <v>1.2</v>
      </c>
    </row>
    <row r="146" spans="3:11" x14ac:dyDescent="0.25">
      <c r="C146" s="3" t="s">
        <v>180</v>
      </c>
      <c r="D146" s="7" t="s">
        <v>51</v>
      </c>
      <c r="E146" s="31">
        <f>HTM!$F$188</f>
        <v>0.14428929766151555</v>
      </c>
      <c r="F146" s="31">
        <f>HTM!$F$189</f>
        <v>0.12945044480910628</v>
      </c>
      <c r="G146" s="31">
        <f>HTM!$F$190</f>
        <v>0.11696131948899646</v>
      </c>
      <c r="H146" s="31">
        <f>HTM!$F$191</f>
        <v>0.10626485169437294</v>
      </c>
      <c r="I146" s="31">
        <f>HTM!$F$192</f>
        <v>9.696866307262253E-2</v>
      </c>
    </row>
    <row r="147" spans="3:11" x14ac:dyDescent="0.25">
      <c r="C147" s="3" t="s">
        <v>181</v>
      </c>
      <c r="D147" s="7" t="s">
        <v>0</v>
      </c>
      <c r="E147" s="11">
        <f>HTM!$G$188/Thousand</f>
        <v>76.031831217140564</v>
      </c>
      <c r="F147" s="11">
        <f>HTM!$G$189/Thousand</f>
        <v>63.813591909197143</v>
      </c>
      <c r="G147" s="11">
        <f>HTM!$G$190/Thousand</f>
        <v>51.595352601253708</v>
      </c>
      <c r="H147" s="11">
        <f>HTM!$G$191/Thousand</f>
        <v>39.377113293310252</v>
      </c>
      <c r="I147" s="11">
        <f>HTM!$G$192/Thousand</f>
        <v>27.158873985366839</v>
      </c>
    </row>
    <row r="148" spans="3:11" x14ac:dyDescent="0.25">
      <c r="C148" s="3"/>
      <c r="D148" s="7"/>
      <c r="E148" s="7" t="str">
        <f>IF(E145=1,"◄ live","")</f>
        <v/>
      </c>
      <c r="F148" s="7" t="str">
        <f>IF(F145=1,"◄ live","")</f>
        <v/>
      </c>
      <c r="G148" s="7" t="str">
        <f>IF(G145=1,"◄ live","")</f>
        <v>◄ live</v>
      </c>
      <c r="H148" s="7" t="str">
        <f>IF(H145=1,"◄ live","")</f>
        <v/>
      </c>
      <c r="I148" s="7" t="str">
        <f>IF(I145=1,"◄ live","")</f>
        <v/>
      </c>
    </row>
    <row r="149" spans="3:11" x14ac:dyDescent="0.25">
      <c r="C149" s="3" t="s">
        <v>183</v>
      </c>
      <c r="D149" s="7" t="s">
        <v>51</v>
      </c>
      <c r="E149" s="55">
        <v>0</v>
      </c>
      <c r="F149" s="55">
        <v>0.3</v>
      </c>
      <c r="G149" s="55">
        <v>0.4</v>
      </c>
      <c r="H149" s="55">
        <v>0.5</v>
      </c>
      <c r="I149" s="55">
        <v>0.55000000000000004</v>
      </c>
      <c r="J149" s="55">
        <v>0.6</v>
      </c>
      <c r="K149" s="55">
        <v>0.65</v>
      </c>
    </row>
    <row r="150" spans="3:11" x14ac:dyDescent="0.25">
      <c r="C150" s="3" t="s">
        <v>184</v>
      </c>
      <c r="D150" s="7" t="s">
        <v>51</v>
      </c>
      <c r="E150" s="31">
        <f>HTM!$F$248</f>
        <v>0.10457873754266478</v>
      </c>
      <c r="F150" s="31">
        <f>HTM!$F$249</f>
        <v>0.11754660463973865</v>
      </c>
      <c r="G150" s="31">
        <f>HTM!$F$250</f>
        <v>0.12364017182443932</v>
      </c>
      <c r="H150" s="31">
        <f>HTM!$F$251</f>
        <v>0.13119284646604612</v>
      </c>
      <c r="I150" s="31">
        <f>HTM!$F$252</f>
        <v>0.13570891144417518</v>
      </c>
      <c r="J150" s="31">
        <f>HTM!$F$253</f>
        <v>0.14087752245669338</v>
      </c>
      <c r="K150" s="31">
        <f>HTM!$F$254</f>
        <v>0.14686991461666943</v>
      </c>
    </row>
    <row r="151" spans="3:11" x14ac:dyDescent="0.25">
      <c r="C151" s="3" t="s">
        <v>185</v>
      </c>
      <c r="D151" s="7" t="s">
        <v>7</v>
      </c>
      <c r="E151" s="50">
        <f>HTM!$G$248</f>
        <v>0.27489366905004231</v>
      </c>
      <c r="F151" s="50">
        <f>HTM!$G$249</f>
        <v>0.46985526441001157</v>
      </c>
      <c r="G151" s="50">
        <f>HTM!$G$250</f>
        <v>0.57533712475586796</v>
      </c>
      <c r="H151" s="50">
        <f>HTM!$G$251</f>
        <v>0.71954391393673456</v>
      </c>
      <c r="I151" s="50">
        <f>HTM!$G$252</f>
        <v>0.81319549949586989</v>
      </c>
      <c r="J151" s="50">
        <f>HTM!$G$253</f>
        <v>0.92788132580392557</v>
      </c>
      <c r="K151" s="50">
        <f>HTM!$G$254</f>
        <v>1.0715843506432254</v>
      </c>
    </row>
    <row r="152" spans="3:11" x14ac:dyDescent="0.25">
      <c r="C152" s="3" t="s">
        <v>186</v>
      </c>
      <c r="D152" s="7" t="s">
        <v>7</v>
      </c>
      <c r="E152" s="50" t="str">
        <f>HTM!$H$248</f>
        <v>n/a</v>
      </c>
      <c r="F152" s="50">
        <f>HTM!$H$249</f>
        <v>4.0583994550133937</v>
      </c>
      <c r="G152" s="50">
        <f>HTM!$H$250</f>
        <v>3.0642641374343316</v>
      </c>
      <c r="H152" s="50">
        <f>HTM!$H$251</f>
        <v>2.4706043126325246</v>
      </c>
      <c r="I152" s="50">
        <f>HTM!$H$252</f>
        <v>2.2531814335261826</v>
      </c>
      <c r="J152" s="50">
        <f>HTM!$H$253</f>
        <v>2.0663457812784713</v>
      </c>
      <c r="K152" s="50">
        <f>HTM!$H$254</f>
        <v>1.9082540755304078</v>
      </c>
    </row>
    <row r="153" spans="3:11" x14ac:dyDescent="0.25">
      <c r="C153" s="3" t="s">
        <v>187</v>
      </c>
      <c r="D153" s="7"/>
      <c r="E153" s="56" t="str">
        <f>HTM!$J$248</f>
        <v>n/a</v>
      </c>
      <c r="F153" s="56" t="str">
        <f>HTM!$J$249</f>
        <v>OK</v>
      </c>
      <c r="G153" s="56" t="str">
        <f>HTM!$J$250</f>
        <v>OK</v>
      </c>
      <c r="H153" s="56" t="str">
        <f>HTM!$J$251</f>
        <v>OK</v>
      </c>
      <c r="I153" s="56" t="str">
        <f>HTM!$J$252</f>
        <v>OK</v>
      </c>
      <c r="J153" s="56" t="str">
        <f>HTM!$J$253</f>
        <v>OK</v>
      </c>
      <c r="K153" s="56" t="str">
        <f>HTM!$J$254</f>
        <v>OK</v>
      </c>
    </row>
    <row r="154" spans="3:11" x14ac:dyDescent="0.25">
      <c r="C154" s="3"/>
      <c r="D154" s="7"/>
      <c r="E154" s="7" t="str">
        <f>IF(E149=Inputs!$E$219,"◄ live","")</f>
        <v/>
      </c>
      <c r="F154" s="7" t="str">
        <f>IF(F149=Inputs!$E$219,"◄ live","")</f>
        <v/>
      </c>
      <c r="G154" s="7" t="str">
        <f>IF(G149=Inputs!$E$219,"◄ live","")</f>
        <v/>
      </c>
      <c r="H154" s="7" t="str">
        <f>IF(H149=Inputs!$E$219,"◄ live","")</f>
        <v>◄ live</v>
      </c>
      <c r="I154" s="7" t="str">
        <f>IF(I149=Inputs!$E$219,"◄ live","")</f>
        <v/>
      </c>
      <c r="J154" s="7" t="str">
        <f>IF(J149=Inputs!$E$219,"◄ live","")</f>
        <v/>
      </c>
      <c r="K154" s="7" t="str">
        <f>IF(K149=Inputs!$E$219,"◄ live","")</f>
        <v/>
      </c>
    </row>
    <row r="155" spans="3:11" x14ac:dyDescent="0.25">
      <c r="C155" s="3" t="s">
        <v>45</v>
      </c>
      <c r="D155" s="7" t="s">
        <v>2</v>
      </c>
      <c r="E155" s="25">
        <v>50</v>
      </c>
      <c r="F155" s="25">
        <v>75</v>
      </c>
      <c r="G155" s="25">
        <v>100</v>
      </c>
      <c r="H155" s="25">
        <v>125</v>
      </c>
      <c r="I155" s="25">
        <v>150</v>
      </c>
      <c r="J155" s="25">
        <v>175</v>
      </c>
      <c r="K155" s="25">
        <v>200</v>
      </c>
    </row>
    <row r="156" spans="3:11" x14ac:dyDescent="0.25">
      <c r="C156" s="3" t="s">
        <v>163</v>
      </c>
      <c r="D156" s="7" t="s">
        <v>0</v>
      </c>
      <c r="E156" s="54">
        <f>MOIC!$H$238/Thousand</f>
        <v>1.2405127497061204</v>
      </c>
      <c r="F156" s="54">
        <f>MOIC!$I$238/Thousand</f>
        <v>2.7391497888472567</v>
      </c>
      <c r="G156" s="54">
        <f>MOIC!$J$238/Thousand</f>
        <v>4.4891497888472536</v>
      </c>
      <c r="H156" s="54">
        <f>MOIC!$K$238/Thousand</f>
        <v>6.2391497888472571</v>
      </c>
      <c r="I156" s="54">
        <f>MOIC!$L$238/Thousand</f>
        <v>7.9891497888472571</v>
      </c>
      <c r="J156" s="54">
        <f>MOIC!$M$238/Thousand</f>
        <v>9.7391497888472536</v>
      </c>
      <c r="K156" s="54">
        <f>MOIC!$N$238/Thousand</f>
        <v>11.489149788847261</v>
      </c>
    </row>
    <row r="157" spans="3:11" x14ac:dyDescent="0.25">
      <c r="C157" s="3" t="s">
        <v>164</v>
      </c>
      <c r="D157" s="7" t="s">
        <v>51</v>
      </c>
      <c r="E157" s="31">
        <f>MOIC!$H$241</f>
        <v>5.8613315224647522E-2</v>
      </c>
      <c r="F157" s="31">
        <f>MOIC!$I$241</f>
        <v>0.12784755825996397</v>
      </c>
      <c r="G157" s="31">
        <f>MOIC!$J$241</f>
        <v>0.20644926428794866</v>
      </c>
      <c r="H157" s="31">
        <f>MOIC!$K$241</f>
        <v>0.28261219859123232</v>
      </c>
      <c r="I157" s="31">
        <f>MOIC!$L$241</f>
        <v>0.35636172890663165</v>
      </c>
      <c r="J157" s="31">
        <f>MOIC!$M$241</f>
        <v>0.42775611281394954</v>
      </c>
      <c r="K157" s="31">
        <f>MOIC!$N$241</f>
        <v>0.49687485098838802</v>
      </c>
    </row>
    <row r="158" spans="3:11" x14ac:dyDescent="0.25">
      <c r="C158" s="3" t="s">
        <v>156</v>
      </c>
      <c r="D158" s="7" t="s">
        <v>7</v>
      </c>
      <c r="E158" s="50">
        <f>MOIC!$H$240</f>
        <v>1.0528484579946471</v>
      </c>
      <c r="F158" s="50">
        <f>MOIC!$I$240</f>
        <v>1.1166935548153252</v>
      </c>
      <c r="G158" s="50">
        <f>MOIC!$J$240</f>
        <v>1.1912472436125927</v>
      </c>
      <c r="H158" s="50">
        <f>MOIC!$K$240</f>
        <v>1.2658009324098602</v>
      </c>
      <c r="I158" s="50">
        <f>MOIC!$L$240</f>
        <v>1.3403546212071278</v>
      </c>
      <c r="J158" s="50">
        <f>MOIC!$M$240</f>
        <v>1.4149083100043949</v>
      </c>
      <c r="K158" s="50">
        <f>MOIC!$N$240</f>
        <v>1.4894619988016626</v>
      </c>
    </row>
    <row r="159" spans="3:11" x14ac:dyDescent="0.25">
      <c r="C159" s="3" t="s">
        <v>188</v>
      </c>
      <c r="D159" s="7" t="s">
        <v>51</v>
      </c>
      <c r="E159" s="31">
        <f>HTM!$F$227</f>
        <v>0.10671963603661205</v>
      </c>
      <c r="F159" s="31">
        <f>HTM!$F$228</f>
        <v>0.10487518065330947</v>
      </c>
      <c r="G159" s="31">
        <f>HTM!$F$229</f>
        <v>0.10308244935376409</v>
      </c>
      <c r="H159" s="31">
        <f>HTM!$F$230</f>
        <v>0.10133891166670206</v>
      </c>
      <c r="I159" s="31">
        <f>HTM!$F$231</f>
        <v>9.9642210707889811E-2</v>
      </c>
      <c r="J159" s="31">
        <f>HTM!$F$232</f>
        <v>9.7990147983752385E-2</v>
      </c>
      <c r="K159" s="31">
        <f>HTM!$F$233</f>
        <v>9.6380669803848296E-2</v>
      </c>
    </row>
    <row r="160" spans="3:11" x14ac:dyDescent="0.25">
      <c r="C160" s="3"/>
      <c r="D160" s="7"/>
      <c r="E160" s="7" t="str">
        <f>IF(E155=Inputs!$E$141,"◄ live","")</f>
        <v/>
      </c>
      <c r="F160" s="7" t="str">
        <f>IF(F155=Inputs!$E$141,"◄ live","")</f>
        <v/>
      </c>
      <c r="G160" s="7" t="str">
        <f>IF(G155=Inputs!$E$141,"◄ live","")</f>
        <v/>
      </c>
      <c r="H160" s="7" t="str">
        <f>IF(H155=Inputs!$E$141,"◄ live","")</f>
        <v/>
      </c>
      <c r="I160" s="7" t="str">
        <f>IF(I155=Inputs!$E$141,"◄ live","")</f>
        <v>◄ live</v>
      </c>
      <c r="J160" s="7" t="str">
        <f>IF(J155=Inputs!$E$141,"◄ live","")</f>
        <v/>
      </c>
      <c r="K160" s="7" t="str">
        <f>IF(K155=Inputs!$E$141,"◄ live","")</f>
        <v/>
      </c>
    </row>
    <row r="161" spans="1:11" x14ac:dyDescent="0.25">
      <c r="C161" s="3" t="s">
        <v>189</v>
      </c>
      <c r="D161" s="7" t="s">
        <v>51</v>
      </c>
      <c r="E161" s="57">
        <v>7.0000000000000007E-2</v>
      </c>
      <c r="F161" s="57">
        <v>0.08</v>
      </c>
      <c r="G161" s="57">
        <v>0.09</v>
      </c>
    </row>
    <row r="162" spans="1:11" x14ac:dyDescent="0.25">
      <c r="C162" s="3" t="s">
        <v>151</v>
      </c>
      <c r="D162" s="7" t="s">
        <v>0</v>
      </c>
      <c r="E162" s="11">
        <f>HTM!$G$346/Thousand</f>
        <v>249.35354541852141</v>
      </c>
      <c r="F162" s="11">
        <f>HTM!$G$347/Thousand</f>
        <v>226.54588105546048</v>
      </c>
      <c r="G162" s="11">
        <f>HTM!$G$348/Thousand</f>
        <v>206.98427747135665</v>
      </c>
    </row>
    <row r="163" spans="1:11" x14ac:dyDescent="0.25">
      <c r="C163" s="3" t="s">
        <v>190</v>
      </c>
      <c r="D163" s="7" t="s">
        <v>0</v>
      </c>
      <c r="E163" s="11">
        <f>HTM!$G$349/Thousand</f>
        <v>80.660670904004192</v>
      </c>
      <c r="F163" s="11">
        <f>HTM!$G$350/Thousand</f>
        <v>57.853006540943255</v>
      </c>
      <c r="G163" s="11">
        <f>HTM!$G$351/Thousand</f>
        <v>38.29140295683942</v>
      </c>
    </row>
    <row r="164" spans="1:11" x14ac:dyDescent="0.25">
      <c r="C164" s="3" t="s">
        <v>191</v>
      </c>
      <c r="D164" s="7" t="s">
        <v>2</v>
      </c>
      <c r="E164" s="5">
        <f>HTM!$G$352</f>
        <v>721.03256427999509</v>
      </c>
      <c r="F164" s="5">
        <f>HTM!$G$353</f>
        <v>495.73852816378405</v>
      </c>
      <c r="G164" s="5">
        <f>HTM!$G$354</f>
        <v>305.7791993556977</v>
      </c>
    </row>
    <row r="165" spans="1:11" x14ac:dyDescent="0.25">
      <c r="C165" s="3"/>
      <c r="D165" s="7"/>
      <c r="E165" s="7" t="str">
        <f>IF(E161=Inputs!$E$226,"◄ live","")</f>
        <v/>
      </c>
      <c r="F165" s="7" t="str">
        <f>IF(F161=Inputs!$E$226,"◄ live","")</f>
        <v>◄ live</v>
      </c>
      <c r="G165" s="7" t="str">
        <f>IF(G161=Inputs!$E$226,"◄ live","")</f>
        <v/>
      </c>
    </row>
    <row r="167" spans="1:11" x14ac:dyDescent="0.25">
      <c r="A167" s="23" t="s">
        <v>7</v>
      </c>
      <c r="B167" s="23"/>
      <c r="C167" s="23" t="s">
        <v>192</v>
      </c>
      <c r="D167" s="23"/>
      <c r="E167" s="23"/>
      <c r="F167" s="23"/>
      <c r="G167" s="23"/>
      <c r="H167" s="23"/>
      <c r="I167" s="23"/>
      <c r="J167" s="23"/>
      <c r="K167" s="23"/>
    </row>
    <row r="168" spans="1:11" x14ac:dyDescent="0.25">
      <c r="E168" s="2" t="s">
        <v>193</v>
      </c>
      <c r="F168" s="2" t="s">
        <v>194</v>
      </c>
    </row>
    <row r="169" spans="1:11" x14ac:dyDescent="0.25">
      <c r="C169" s="3" t="s">
        <v>195</v>
      </c>
      <c r="D169" s="7" t="s">
        <v>29</v>
      </c>
      <c r="E169" s="20">
        <f>N(MOIC!$G$270&lt;&gt;"ALL OK")</f>
        <v>0</v>
      </c>
      <c r="F169" s="58" t="str">
        <f t="shared" ref="F169:F177" si="4">IF(E169=0,"OK","CHECK")</f>
        <v>OK</v>
      </c>
    </row>
    <row r="170" spans="1:11" x14ac:dyDescent="0.25">
      <c r="C170" s="3" t="s">
        <v>196</v>
      </c>
      <c r="D170" s="7" t="s">
        <v>29</v>
      </c>
      <c r="E170" s="20">
        <f>N(HTM!$G$172&lt;&gt;"ALL OK")</f>
        <v>0</v>
      </c>
      <c r="F170" s="58" t="str">
        <f t="shared" si="4"/>
        <v>OK</v>
      </c>
    </row>
    <row r="171" spans="1:11" x14ac:dyDescent="0.25">
      <c r="C171" s="3" t="s">
        <v>197</v>
      </c>
      <c r="D171" s="7" t="s">
        <v>29</v>
      </c>
      <c r="E171" s="20">
        <f>N(Deposits!$E$34&lt;&gt;"OK")</f>
        <v>0</v>
      </c>
      <c r="F171" s="58" t="str">
        <f t="shared" si="4"/>
        <v>OK</v>
      </c>
    </row>
    <row r="172" spans="1:11" x14ac:dyDescent="0.25">
      <c r="C172" s="3" t="s">
        <v>198</v>
      </c>
      <c r="D172" s="7" t="s">
        <v>29</v>
      </c>
      <c r="E172" s="20">
        <f>N(ABS($E$66-(HTM!$G$79-HTM!$G$30-HTM!$G$85)/Thousand)&gt;Tolerance)</f>
        <v>0</v>
      </c>
      <c r="F172" s="58" t="str">
        <f t="shared" si="4"/>
        <v>OK</v>
      </c>
    </row>
    <row r="173" spans="1:11" x14ac:dyDescent="0.25">
      <c r="C173" s="3" t="s">
        <v>199</v>
      </c>
      <c r="D173" s="7" t="s">
        <v>29</v>
      </c>
      <c r="E173" s="20">
        <f>--(SUMPRODUCT(ABS(Stored_Delta))&gt;Tolerance)</f>
        <v>0</v>
      </c>
      <c r="F173" s="58" t="str">
        <f t="shared" si="4"/>
        <v>OK</v>
      </c>
    </row>
    <row r="174" spans="1:11" x14ac:dyDescent="0.25">
      <c r="C174" s="3" t="s">
        <v>200</v>
      </c>
      <c r="D174" s="7" t="s">
        <v>29</v>
      </c>
      <c r="E174" s="20">
        <f>N((E28&lt;&gt;0)*(E28&lt;Osz1_Min)+(E28&gt;Osz1_Max)&gt;0)</f>
        <v>0</v>
      </c>
      <c r="F174" s="58" t="str">
        <f t="shared" si="4"/>
        <v>OK</v>
      </c>
    </row>
    <row r="175" spans="1:11" x14ac:dyDescent="0.25">
      <c r="C175" s="3" t="s">
        <v>201</v>
      </c>
      <c r="D175" s="7" t="s">
        <v>29</v>
      </c>
      <c r="E175" s="20">
        <f>N((E29&lt;&gt;0)*(E29&lt;Osz2_Min)+(E29&gt;Osz2_Max)&gt;0)</f>
        <v>0</v>
      </c>
      <c r="F175" s="58" t="str">
        <f t="shared" si="4"/>
        <v>OK</v>
      </c>
    </row>
    <row r="176" spans="1:11" x14ac:dyDescent="0.25">
      <c r="C176" s="3" t="s">
        <v>202</v>
      </c>
      <c r="D176" s="7" t="s">
        <v>29</v>
      </c>
      <c r="E176" s="20">
        <f>N((In_OSZ4_Ratio&gt;0)*(In_OSZ4_Ratio&lt;Osz4_Min)&gt;0)</f>
        <v>0</v>
      </c>
      <c r="F176" s="58" t="str">
        <f t="shared" si="4"/>
        <v>OK</v>
      </c>
    </row>
    <row r="177" spans="1:11" x14ac:dyDescent="0.25">
      <c r="C177" s="3" t="s">
        <v>203</v>
      </c>
      <c r="D177" s="7" t="s">
        <v>29</v>
      </c>
      <c r="E177" s="20">
        <f>N(Cash_Flow!$E$31&gt;0)</f>
        <v>0</v>
      </c>
      <c r="F177" s="58" t="str">
        <f t="shared" si="4"/>
        <v>OK</v>
      </c>
    </row>
    <row r="178" spans="1:11" x14ac:dyDescent="0.25">
      <c r="C178" s="3" t="s">
        <v>204</v>
      </c>
      <c r="D178" s="7" t="s">
        <v>29</v>
      </c>
      <c r="E178" s="20">
        <f>N(HTM!$G$257="FAIL")</f>
        <v>0</v>
      </c>
      <c r="F178" s="58" t="str">
        <f>IF(HTM!$G$257="OK","OK",IF(E178=0,"n/a","CHECK"))</f>
        <v>OK</v>
      </c>
    </row>
    <row r="179" spans="1:11" x14ac:dyDescent="0.25">
      <c r="C179" s="3" t="s">
        <v>205</v>
      </c>
      <c r="D179" s="7" t="s">
        <v>29</v>
      </c>
      <c r="E179" s="20" t="e">
        <f>N(ABS(Bid_Points!$E$34-$F$37)&gt;Tolerance)</f>
        <v>#REF!</v>
      </c>
      <c r="F179" s="58" t="e">
        <f>IF(E179=0,"OK","CHECK")</f>
        <v>#REF!</v>
      </c>
    </row>
    <row r="180" spans="1:11" x14ac:dyDescent="0.25">
      <c r="C180" s="3" t="s">
        <v>206</v>
      </c>
      <c r="D180" s="7" t="s">
        <v>29</v>
      </c>
      <c r="E180" s="20">
        <f>N(($E$43&gt;$E$41)+($E$25&lt;In_Min_Hours)&gt;0)</f>
        <v>0</v>
      </c>
      <c r="F180" s="58" t="str">
        <f>IF(E180=0,"OK","CHECK")</f>
        <v>OK</v>
      </c>
    </row>
    <row r="181" spans="1:11" x14ac:dyDescent="0.25">
      <c r="C181" s="12" t="s">
        <v>207</v>
      </c>
      <c r="D181" s="7" t="s">
        <v>29</v>
      </c>
      <c r="E181" s="19" t="e">
        <f>SUM(E169:E180)</f>
        <v>#REF!</v>
      </c>
      <c r="F181" s="22" t="e">
        <f>IF(E181=0,"OK","CHECK")</f>
        <v>#REF!</v>
      </c>
    </row>
    <row r="183" spans="1:11" x14ac:dyDescent="0.25">
      <c r="A183" s="23" t="s">
        <v>7</v>
      </c>
      <c r="B183" s="23"/>
      <c r="C183" s="23" t="s">
        <v>208</v>
      </c>
      <c r="D183" s="23"/>
      <c r="E183" s="23"/>
      <c r="F183" s="23"/>
      <c r="G183" s="23"/>
      <c r="H183" s="23"/>
      <c r="I183" s="23"/>
      <c r="J183" s="23"/>
      <c r="K183" s="23"/>
    </row>
    <row r="184" spans="1:11" x14ac:dyDescent="0.25">
      <c r="C184" s="3" t="s">
        <v>209</v>
      </c>
      <c r="D184" s="7" t="s">
        <v>51</v>
      </c>
      <c r="E184" s="31">
        <f>Inputs!$E$194</f>
        <v>0.01</v>
      </c>
    </row>
    <row r="185" spans="1:11" x14ac:dyDescent="0.25">
      <c r="C185" s="3" t="s">
        <v>210</v>
      </c>
      <c r="D185" s="7" t="s">
        <v>211</v>
      </c>
      <c r="E185" s="33">
        <f>Inputs!$E$195</f>
        <v>30</v>
      </c>
    </row>
    <row r="186" spans="1:11" x14ac:dyDescent="0.25">
      <c r="C186" s="3" t="s">
        <v>212</v>
      </c>
      <c r="D186" s="7" t="s">
        <v>51</v>
      </c>
      <c r="E186" s="31">
        <f>Inputs!$E$220</f>
        <v>0.05</v>
      </c>
    </row>
    <row r="187" spans="1:11" x14ac:dyDescent="0.25">
      <c r="C187" s="3" t="s">
        <v>213</v>
      </c>
      <c r="D187" s="7" t="s">
        <v>211</v>
      </c>
      <c r="E187" s="33">
        <f>Inputs!$E$222</f>
        <v>15</v>
      </c>
    </row>
    <row r="188" spans="1:11" x14ac:dyDescent="0.25">
      <c r="C188" s="3" t="s">
        <v>214</v>
      </c>
      <c r="D188" s="7" t="s">
        <v>7</v>
      </c>
      <c r="E188" s="50">
        <f>Inputs!$E$253</f>
        <v>1.5</v>
      </c>
    </row>
    <row r="189" spans="1:11" x14ac:dyDescent="0.25">
      <c r="C189" s="3" t="s">
        <v>215</v>
      </c>
      <c r="D189" s="7" t="s">
        <v>51</v>
      </c>
      <c r="E189" s="31">
        <f>Inputs!$E$255</f>
        <v>0.08</v>
      </c>
    </row>
    <row r="190" spans="1:11" x14ac:dyDescent="0.25">
      <c r="C190" s="3" t="s">
        <v>216</v>
      </c>
      <c r="D190" s="7" t="s">
        <v>211</v>
      </c>
      <c r="E190" s="33">
        <f>Inputs!$E$215</f>
        <v>20</v>
      </c>
    </row>
    <row r="191" spans="1:11" x14ac:dyDescent="0.25">
      <c r="C191" s="3" t="s">
        <v>217</v>
      </c>
      <c r="D191" s="7" t="s">
        <v>218</v>
      </c>
      <c r="E191" s="5">
        <f>Inputs!$E$11</f>
        <v>365</v>
      </c>
    </row>
    <row r="192" spans="1:11" x14ac:dyDescent="0.25">
      <c r="C192" s="3" t="s">
        <v>219</v>
      </c>
      <c r="D192" s="7" t="s">
        <v>220</v>
      </c>
      <c r="E192" s="59">
        <f>Inputs!$E$56</f>
        <v>47208</v>
      </c>
    </row>
    <row r="193" spans="3:5" x14ac:dyDescent="0.25">
      <c r="C193" s="3" t="s">
        <v>221</v>
      </c>
      <c r="D193" s="7" t="s">
        <v>220</v>
      </c>
      <c r="E193" s="59">
        <f>Inputs!$E$58</f>
        <v>47391</v>
      </c>
    </row>
    <row r="194" spans="3:5" x14ac:dyDescent="0.25">
      <c r="C194" s="3" t="s">
        <v>222</v>
      </c>
      <c r="D194" s="7" t="s">
        <v>220</v>
      </c>
      <c r="E194" s="59">
        <f>Inputs!$E$155</f>
        <v>48029</v>
      </c>
    </row>
    <row r="195" spans="3:5" x14ac:dyDescent="0.25">
      <c r="C195" s="3" t="s">
        <v>223</v>
      </c>
      <c r="D195" s="7" t="s">
        <v>211</v>
      </c>
      <c r="E195" s="33">
        <f>Inputs!$E$157</f>
        <v>30</v>
      </c>
    </row>
    <row r="196" spans="3:5" x14ac:dyDescent="0.25">
      <c r="C196" s="3" t="s">
        <v>224</v>
      </c>
      <c r="D196" s="7" t="s">
        <v>62</v>
      </c>
      <c r="E196" s="60">
        <f>Inputs!$E$230</f>
        <v>1</v>
      </c>
    </row>
    <row r="197" spans="3:5" x14ac:dyDescent="0.25">
      <c r="C197" s="3" t="s">
        <v>225</v>
      </c>
      <c r="D197" s="7" t="s">
        <v>51</v>
      </c>
      <c r="E197" s="31">
        <f>Inputs!$E$183</f>
        <v>0.02</v>
      </c>
    </row>
    <row r="198" spans="3:5" x14ac:dyDescent="0.25">
      <c r="C198" s="3" t="s">
        <v>226</v>
      </c>
      <c r="D198" s="7" t="s">
        <v>51</v>
      </c>
      <c r="E198" s="61">
        <f>Inputs!$E$184</f>
        <v>3.0000000000000001E-3</v>
      </c>
    </row>
    <row r="199" spans="3:5" x14ac:dyDescent="0.25">
      <c r="C199" s="3" t="s">
        <v>227</v>
      </c>
      <c r="D199" s="7" t="s">
        <v>6</v>
      </c>
      <c r="E199" s="33">
        <f>HTM!$G$358</f>
        <v>2032</v>
      </c>
    </row>
    <row r="200" spans="3:5" x14ac:dyDescent="0.25">
      <c r="C200" s="3" t="s">
        <v>228</v>
      </c>
      <c r="D200" s="7" t="s">
        <v>51</v>
      </c>
      <c r="E200" s="62">
        <f>In_Refi_Rate</f>
        <v>4.4999999999999998E-2</v>
      </c>
    </row>
    <row r="201" spans="3:5" x14ac:dyDescent="0.25">
      <c r="C201" s="3" t="s">
        <v>229</v>
      </c>
      <c r="D201" s="7" t="s">
        <v>211</v>
      </c>
      <c r="E201" s="33">
        <f>In_Refi_Tenor</f>
        <v>15</v>
      </c>
    </row>
    <row r="202" spans="3:5" x14ac:dyDescent="0.25">
      <c r="C202" s="3" t="s">
        <v>230</v>
      </c>
      <c r="D202" s="7" t="s">
        <v>51</v>
      </c>
      <c r="E202" s="61">
        <f>In_Refi_Gearing_Add</f>
        <v>0.04</v>
      </c>
    </row>
    <row r="203" spans="3:5" x14ac:dyDescent="0.25">
      <c r="C203" s="7" t="s">
        <v>231</v>
      </c>
    </row>
    <row r="204" spans="3:5" x14ac:dyDescent="0.25">
      <c r="C204" s="7" t="s">
        <v>232</v>
      </c>
    </row>
    <row r="205" spans="3:5" x14ac:dyDescent="0.25">
      <c r="C205" s="7" t="s">
        <v>233</v>
      </c>
    </row>
    <row r="207" spans="3:5" x14ac:dyDescent="0.25">
      <c r="C207" s="21" t="s">
        <v>30</v>
      </c>
    </row>
    <row r="210" spans="3:6" x14ac:dyDescent="0.25">
      <c r="C210" t="s">
        <v>234</v>
      </c>
      <c r="D210" s="63">
        <v>0.06</v>
      </c>
      <c r="E210" s="63">
        <v>0.08</v>
      </c>
      <c r="F210" s="63">
        <v>0.1</v>
      </c>
    </row>
    <row r="211" spans="3:6" x14ac:dyDescent="0.25">
      <c r="D211">
        <v>30</v>
      </c>
    </row>
    <row r="212" spans="3:6" x14ac:dyDescent="0.25">
      <c r="D212" s="64">
        <f>PMT(D210,D211,100)</f>
        <v>-7.2648911490047219</v>
      </c>
    </row>
  </sheetData>
  <mergeCells count="1">
    <mergeCell ref="E36:G36"/>
  </mergeCells>
  <conditionalFormatting sqref="E3">
    <cfRule type="cellIs" dxfId="7" priority="2" operator="equal">
      <formula>"OK"</formula>
    </cfRule>
    <cfRule type="cellIs" dxfId="6" priority="3" operator="equal">
      <formula>"CHECK"</formula>
    </cfRule>
  </conditionalFormatting>
  <conditionalFormatting sqref="F169:F181">
    <cfRule type="cellIs" dxfId="5" priority="4" operator="equal">
      <formula>"OK"</formula>
    </cfRule>
    <cfRule type="cellIs" dxfId="4" priority="5" operator="equal">
      <formula>"CHECK"</formula>
    </cfRule>
  </conditionalFormatting>
  <dataValidations count="2">
    <dataValidation type="list" showErrorMessage="1" errorTitle="Scenario" error="Pick Base, Low or High." sqref="E6" xr:uid="{00000000-0002-0000-0100-000000000000}">
      <formula1>$E$7:$G$7</formula1>
      <formula2>0</formula2>
    </dataValidation>
    <dataValidation type="list" showErrorMessage="1" errorTitle="Case" error="Pick a case from the list (Inputs G7:H7)." sqref="E36" xr:uid="{00000000-0002-0000-0100-000001000000}">
      <formula1>Scenario_Names</formula1>
      <formula2>0</formula2>
    </dataValidation>
  </dataValidations>
  <pageMargins left="0.75" right="0.75" top="1" bottom="1" header="0.511811023622047" footer="0.511811023622047"/>
  <pageSetup paperSize="9"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R236"/>
  <sheetViews>
    <sheetView showGridLines="0" topLeftCell="B60" zoomScale="115" zoomScaleNormal="115" workbookViewId="0">
      <selection activeCell="H78" sqref="H78"/>
    </sheetView>
  </sheetViews>
  <sheetFormatPr defaultColWidth="8.7109375" defaultRowHeight="15" x14ac:dyDescent="0.25"/>
  <cols>
    <col min="1" max="1" width="2" bestFit="1" customWidth="1"/>
    <col min="2" max="2" width="59.5703125" bestFit="1" customWidth="1"/>
    <col min="3" max="3" width="53.42578125" bestFit="1" customWidth="1"/>
    <col min="4" max="4" width="9.85546875" bestFit="1" customWidth="1"/>
    <col min="5" max="5" width="12.42578125" bestFit="1" customWidth="1"/>
    <col min="6" max="6" width="34.42578125" customWidth="1"/>
    <col min="7" max="7" width="13.5703125" hidden="1" customWidth="1"/>
    <col min="8" max="8" width="13.5703125" bestFit="1" customWidth="1"/>
    <col min="9" max="9" width="2" customWidth="1"/>
    <col min="10" max="10" width="10.42578125" hidden="1" customWidth="1"/>
    <col min="11" max="11" width="10.42578125" bestFit="1" customWidth="1"/>
    <col min="12" max="12" width="10" customWidth="1"/>
    <col min="14" max="14" width="8" customWidth="1"/>
    <col min="15" max="15" width="13" hidden="1" customWidth="1"/>
    <col min="16" max="16" width="14.140625" bestFit="1" customWidth="1"/>
    <col min="17" max="17" width="21" bestFit="1" customWidth="1"/>
    <col min="18" max="18" width="16.140625" bestFit="1" customWidth="1"/>
  </cols>
  <sheetData>
    <row r="2" spans="1:18" ht="15.75" customHeight="1" x14ac:dyDescent="0.25">
      <c r="A2" s="65"/>
      <c r="B2" s="65" t="str">
        <f>C3&amp;" – Bid, deposits and devex to COD"</f>
        <v>Bora – Bid, deposits and devex to COD</v>
      </c>
      <c r="C2" s="65"/>
      <c r="D2" s="65"/>
      <c r="E2" s="65"/>
      <c r="F2" s="65"/>
      <c r="G2" s="65"/>
      <c r="H2" s="65"/>
      <c r="I2" s="65"/>
      <c r="J2" s="65"/>
      <c r="K2" s="65"/>
      <c r="L2" s="65"/>
      <c r="M2" s="65"/>
    </row>
    <row r="3" spans="1:18" ht="19.5" customHeight="1" x14ac:dyDescent="0.35">
      <c r="C3" s="66" t="s">
        <v>786</v>
      </c>
      <c r="P3" s="67" t="s">
        <v>235</v>
      </c>
      <c r="Q3" s="67" t="s">
        <v>236</v>
      </c>
      <c r="R3" s="67" t="s">
        <v>237</v>
      </c>
    </row>
    <row r="4" spans="1:18" x14ac:dyDescent="0.25">
      <c r="C4" t="str">
        <f>"Bid strategy – "&amp;TEXT($E$9,"0 %")&amp;" overbuild"</f>
        <v>Bid strategy – 0% overbuild</v>
      </c>
      <c r="P4" s="68">
        <v>1000000</v>
      </c>
      <c r="Q4" s="68">
        <v>365</v>
      </c>
      <c r="R4" s="68">
        <v>3</v>
      </c>
    </row>
    <row r="5" spans="1:18" x14ac:dyDescent="0.25">
      <c r="P5" s="18" t="s">
        <v>29</v>
      </c>
      <c r="Q5" s="18" t="s">
        <v>238</v>
      </c>
      <c r="R5" s="18" t="s">
        <v>239</v>
      </c>
    </row>
    <row r="6" spans="1:18" x14ac:dyDescent="0.25">
      <c r="P6" s="18" t="s">
        <v>240</v>
      </c>
      <c r="Q6" s="18" t="s">
        <v>241</v>
      </c>
      <c r="R6" s="18" t="s">
        <v>242</v>
      </c>
    </row>
    <row r="7" spans="1:18" x14ac:dyDescent="0.25">
      <c r="A7" s="69" t="s">
        <v>7</v>
      </c>
      <c r="B7" s="69"/>
      <c r="C7" s="69" t="s">
        <v>243</v>
      </c>
      <c r="D7" s="69"/>
      <c r="E7" s="70" t="s">
        <v>244</v>
      </c>
      <c r="F7" s="70" t="s">
        <v>245</v>
      </c>
      <c r="G7" s="70"/>
      <c r="H7" s="69"/>
      <c r="I7" s="69"/>
      <c r="J7" s="69"/>
      <c r="K7" s="69"/>
      <c r="L7" s="69"/>
      <c r="M7" s="69"/>
    </row>
    <row r="8" spans="1:18" x14ac:dyDescent="0.25">
      <c r="C8" s="67" t="s">
        <v>246</v>
      </c>
      <c r="D8" s="18" t="s">
        <v>56</v>
      </c>
      <c r="E8" s="71">
        <f>Dash_MVA</f>
        <v>100</v>
      </c>
      <c r="F8" s="71">
        <f>Dash_MVA</f>
        <v>100</v>
      </c>
      <c r="G8" s="72"/>
    </row>
    <row r="9" spans="1:18" x14ac:dyDescent="0.25">
      <c r="C9" s="67" t="s">
        <v>58</v>
      </c>
      <c r="D9" s="18" t="s">
        <v>51</v>
      </c>
      <c r="E9" s="73">
        <f>Dash_Overbuild</f>
        <v>0.51</v>
      </c>
      <c r="F9" s="73">
        <f>Dash_Overbuild</f>
        <v>0.51</v>
      </c>
      <c r="G9" s="74"/>
    </row>
    <row r="10" spans="1:18" x14ac:dyDescent="0.25">
      <c r="C10" s="67" t="s">
        <v>247</v>
      </c>
      <c r="D10" s="18" t="s">
        <v>51</v>
      </c>
      <c r="E10" s="73">
        <f>Dash_BESS_Share</f>
        <v>0.3</v>
      </c>
      <c r="F10" s="73">
        <f>Dash_BESS_Share</f>
        <v>0.3</v>
      </c>
      <c r="G10" s="74"/>
    </row>
    <row r="11" spans="1:18" x14ac:dyDescent="0.25">
      <c r="C11" s="67" t="s">
        <v>63</v>
      </c>
      <c r="D11" s="18" t="s">
        <v>64</v>
      </c>
      <c r="E11" s="71">
        <f>Inputs!$E$21</f>
        <v>4</v>
      </c>
      <c r="F11" s="71">
        <f>Inputs!$E$21</f>
        <v>4</v>
      </c>
      <c r="G11" s="72"/>
    </row>
    <row r="12" spans="1:18" x14ac:dyDescent="0.25">
      <c r="C12" s="67" t="s">
        <v>248</v>
      </c>
      <c r="D12" s="18" t="s">
        <v>249</v>
      </c>
      <c r="E12" s="71">
        <f>Dash_Municipal</f>
        <v>50</v>
      </c>
      <c r="F12" s="71">
        <f>Dash_Municipal</f>
        <v>50</v>
      </c>
      <c r="G12" s="72"/>
    </row>
    <row r="13" spans="1:18" x14ac:dyDescent="0.25">
      <c r="C13" s="67" t="s">
        <v>69</v>
      </c>
      <c r="D13" s="18" t="s">
        <v>250</v>
      </c>
      <c r="E13" s="71">
        <f>Dash_Community</f>
        <v>3</v>
      </c>
      <c r="F13" s="71">
        <f>Dash_Community</f>
        <v>3</v>
      </c>
      <c r="G13" s="72"/>
    </row>
    <row r="14" spans="1:18" x14ac:dyDescent="0.25">
      <c r="C14" s="67" t="s">
        <v>70</v>
      </c>
      <c r="D14" s="18" t="s">
        <v>62</v>
      </c>
      <c r="E14" s="75">
        <f>Dash_Partial</f>
        <v>1</v>
      </c>
      <c r="F14" s="75">
        <f>Dash_Partial</f>
        <v>1</v>
      </c>
      <c r="G14" s="76"/>
    </row>
    <row r="15" spans="1:18" ht="14.25" customHeight="1" x14ac:dyDescent="0.25">
      <c r="C15" s="77" t="s">
        <v>67</v>
      </c>
      <c r="D15" s="78" t="s">
        <v>7</v>
      </c>
      <c r="E15" s="79">
        <f>Dash_PB_Mult</f>
        <v>1</v>
      </c>
      <c r="F15" s="79">
        <f>Dash_PB_Mult</f>
        <v>1</v>
      </c>
      <c r="G15" s="80"/>
    </row>
    <row r="16" spans="1:18" x14ac:dyDescent="0.25">
      <c r="C16" s="67" t="s">
        <v>71</v>
      </c>
      <c r="D16" s="18" t="s">
        <v>62</v>
      </c>
      <c r="E16" s="81">
        <f>Dash_Brownfield</f>
        <v>0</v>
      </c>
      <c r="F16" s="81">
        <f>Dash_Brownfield</f>
        <v>0</v>
      </c>
      <c r="G16" s="82"/>
    </row>
    <row r="17" spans="3:7" x14ac:dyDescent="0.25">
      <c r="C17" s="67" t="s">
        <v>72</v>
      </c>
      <c r="D17" s="18" t="s">
        <v>62</v>
      </c>
      <c r="E17" s="75">
        <f>Dash_Shared</f>
        <v>1</v>
      </c>
      <c r="F17" s="75">
        <f>Dash_Shared</f>
        <v>1</v>
      </c>
      <c r="G17" s="76"/>
    </row>
    <row r="18" spans="3:7" x14ac:dyDescent="0.25">
      <c r="C18" s="67" t="s">
        <v>251</v>
      </c>
      <c r="D18" s="18" t="s">
        <v>62</v>
      </c>
      <c r="E18" s="75">
        <f>Dash_EU_Turbine</f>
        <v>0</v>
      </c>
      <c r="F18" s="75">
        <f>Dash_EU_Turbine</f>
        <v>0</v>
      </c>
      <c r="G18" s="76"/>
    </row>
    <row r="19" spans="3:7" x14ac:dyDescent="0.25">
      <c r="C19" s="67" t="s">
        <v>252</v>
      </c>
      <c r="D19" s="18" t="s">
        <v>62</v>
      </c>
      <c r="E19" s="321">
        <f>Dash_EU_Transformer</f>
        <v>0</v>
      </c>
      <c r="F19" s="321">
        <f>Dash_EU_Transformer</f>
        <v>0</v>
      </c>
      <c r="G19" s="76"/>
    </row>
    <row r="20" spans="3:7" x14ac:dyDescent="0.25">
      <c r="C20" s="67" t="s">
        <v>253</v>
      </c>
      <c r="D20" s="18" t="s">
        <v>84</v>
      </c>
      <c r="E20" s="322">
        <f>E8*(1+E9)</f>
        <v>151</v>
      </c>
      <c r="F20" s="322">
        <f>F8*(1+F9)</f>
        <v>151</v>
      </c>
      <c r="G20" s="83"/>
    </row>
    <row r="21" spans="3:7" x14ac:dyDescent="0.25">
      <c r="C21" s="67" t="s">
        <v>86</v>
      </c>
      <c r="D21" s="18" t="s">
        <v>84</v>
      </c>
      <c r="E21" s="323">
        <f>E8*E10</f>
        <v>30</v>
      </c>
      <c r="F21" s="323">
        <f>F8*F10</f>
        <v>30</v>
      </c>
      <c r="G21" s="84"/>
    </row>
    <row r="22" spans="3:7" x14ac:dyDescent="0.25">
      <c r="C22" s="67" t="s">
        <v>87</v>
      </c>
      <c r="D22" s="18" t="s">
        <v>88</v>
      </c>
      <c r="E22" s="322">
        <f>E21*E11</f>
        <v>120</v>
      </c>
      <c r="F22" s="322">
        <f>F21*F11</f>
        <v>120</v>
      </c>
      <c r="G22" s="83"/>
    </row>
    <row r="23" spans="3:7" x14ac:dyDescent="0.25">
      <c r="E23" s="324"/>
      <c r="F23" s="324"/>
    </row>
    <row r="24" spans="3:7" x14ac:dyDescent="0.25">
      <c r="C24" s="67" t="s">
        <v>254</v>
      </c>
      <c r="D24" s="18" t="s">
        <v>80</v>
      </c>
      <c r="E24" s="325" t="e">
        <f t="array" ref="E24">INDEX(#REF!,1+SUMPRODUCT(($E$162:$E$170&lt;E12)+($E$162:$E$170=E12)*$F$162:$F$170))*$E$160</f>
        <v>#REF!</v>
      </c>
      <c r="F24" s="325" t="e">
        <f t="array" ref="F24">INDEX(#REF!,1+SUMPRODUCT(($E$162:$E$170&lt;F12)+($E$162:$E$170=F12)*$F$162:$F$170))*$E$160</f>
        <v>#REF!</v>
      </c>
      <c r="G24" s="320"/>
    </row>
    <row r="25" spans="3:7" x14ac:dyDescent="0.25">
      <c r="C25" s="67" t="s">
        <v>255</v>
      </c>
      <c r="D25" s="18" t="s">
        <v>80</v>
      </c>
      <c r="E25" s="325" t="e">
        <f t="array" ref="E25">INDEX(#REF!,1+SUMPRODUCT(($E$174:$E$184&lt;E13)+($E$174:$E$184=E13)*$F$174:$F$184))*$E$172</f>
        <v>#REF!</v>
      </c>
      <c r="F25" s="325" t="e">
        <f t="array" ref="F25">INDEX(#REF!,1+SUMPRODUCT(($E$174:$E$184&lt;F13)+($E$174:$E$184=F13)*$F$174:$F$184))*$E$172</f>
        <v>#REF!</v>
      </c>
      <c r="G25" s="320"/>
    </row>
    <row r="26" spans="3:7" x14ac:dyDescent="0.25">
      <c r="C26" s="67" t="s">
        <v>256</v>
      </c>
      <c r="D26" s="18" t="s">
        <v>80</v>
      </c>
      <c r="E26" s="325" t="e">
        <f t="array" ref="E26">INDEX(#REF!,1+SUMPRODUCT(($E$188:$E$197&lt;E9)+($E$188:$E$197=E9)*$F$188:$F$197))*$E$186</f>
        <v>#REF!</v>
      </c>
      <c r="F26" s="325" t="e">
        <f t="array" ref="F26">INDEX(#REF!,1+SUMPRODUCT(($E$188:$E$197&lt;F9)+($E$188:$E$197=F9)*$F$188:$F$197))*$E$186</f>
        <v>#REF!</v>
      </c>
      <c r="G26" s="320"/>
    </row>
    <row r="27" spans="3:7" x14ac:dyDescent="0.25">
      <c r="C27" s="67" t="s">
        <v>257</v>
      </c>
      <c r="D27" s="18" t="s">
        <v>80</v>
      </c>
      <c r="E27" s="325" t="e">
        <f t="array" ref="E27">INDEX(#REF!,1+SUMPRODUCT(($E$201:$E$210&lt;E10)+($E$201:$E$210=E10)*$F$201:$F$210))*$E$199</f>
        <v>#REF!</v>
      </c>
      <c r="F27" s="325" t="e">
        <f t="array" ref="F27">INDEX(#REF!,1+SUMPRODUCT(($E$201:$E$210&lt;F10)+($E$201:$E$210=F10)*$F$201:$F$210))*$E$199</f>
        <v>#REF!</v>
      </c>
      <c r="G27" s="320"/>
    </row>
    <row r="28" spans="3:7" x14ac:dyDescent="0.25">
      <c r="C28" s="67" t="s">
        <v>258</v>
      </c>
      <c r="D28" s="18" t="s">
        <v>80</v>
      </c>
      <c r="E28" s="325" t="e">
        <f>E14*#REF!*$E$226</f>
        <v>#REF!</v>
      </c>
      <c r="F28" s="325" t="e">
        <f>F14*#REF!*$E$226</f>
        <v>#REF!</v>
      </c>
      <c r="G28" s="320"/>
    </row>
    <row r="29" spans="3:7" x14ac:dyDescent="0.25">
      <c r="C29" s="67" t="s">
        <v>259</v>
      </c>
      <c r="D29" s="18" t="s">
        <v>80</v>
      </c>
      <c r="E29" s="325" t="e">
        <f t="array" ref="E29">INDEX(#REF!,1+SUMPRODUCT(($E$214:$E$223&lt;E15)+($E$214:$E$223=E15)*$F$214:$F$223))*$E$212</f>
        <v>#REF!</v>
      </c>
      <c r="F29" s="325" t="e">
        <f t="array" ref="F29">INDEX(#REF!,1+SUMPRODUCT(($E$214:$E$223&lt;F15)+($E$214:$E$223=F15)*$F$214:$F$223))*$E$212</f>
        <v>#REF!</v>
      </c>
      <c r="G29" s="320"/>
    </row>
    <row r="30" spans="3:7" x14ac:dyDescent="0.25">
      <c r="C30" s="67" t="s">
        <v>260</v>
      </c>
      <c r="D30" s="18" t="s">
        <v>80</v>
      </c>
      <c r="E30" s="325" t="e">
        <f>E16*#REF!*$E$227</f>
        <v>#REF!</v>
      </c>
      <c r="F30" s="325" t="e">
        <f>F16*#REF!*$E$227</f>
        <v>#REF!</v>
      </c>
      <c r="G30" s="320"/>
    </row>
    <row r="31" spans="3:7" x14ac:dyDescent="0.25">
      <c r="C31" s="67" t="s">
        <v>261</v>
      </c>
      <c r="D31" s="18" t="s">
        <v>80</v>
      </c>
      <c r="E31" s="325" t="e">
        <f>E17*#REF!*$E$228</f>
        <v>#REF!</v>
      </c>
      <c r="F31" s="325" t="e">
        <f>F17*#REF!*$E$228</f>
        <v>#REF!</v>
      </c>
      <c r="G31" s="320"/>
    </row>
    <row r="32" spans="3:7" x14ac:dyDescent="0.25">
      <c r="C32" s="67" t="s">
        <v>262</v>
      </c>
      <c r="D32" s="18" t="s">
        <v>80</v>
      </c>
      <c r="E32" s="325" t="e">
        <f>E18*#REF!*$E$230</f>
        <v>#REF!</v>
      </c>
      <c r="F32" s="325" t="e">
        <f>F18*#REF!*$E$230</f>
        <v>#REF!</v>
      </c>
      <c r="G32" s="320"/>
    </row>
    <row r="33" spans="1:13" x14ac:dyDescent="0.25">
      <c r="C33" s="67" t="s">
        <v>263</v>
      </c>
      <c r="D33" s="18" t="s">
        <v>80</v>
      </c>
      <c r="E33" s="325" t="e">
        <f>E19*#REF!*$E$230</f>
        <v>#REF!</v>
      </c>
      <c r="F33" s="325" t="e">
        <f>F19*#REF!*$E$230</f>
        <v>#REF!</v>
      </c>
      <c r="G33" s="320"/>
    </row>
    <row r="34" spans="1:13" x14ac:dyDescent="0.25">
      <c r="C34" s="85" t="s">
        <v>264</v>
      </c>
      <c r="D34" s="18" t="s">
        <v>80</v>
      </c>
      <c r="E34" s="86" t="e">
        <f>SUM(E24:E33)</f>
        <v>#REF!</v>
      </c>
      <c r="F34" s="86" t="e">
        <f>SUM(F24:F33)</f>
        <v>#REF!</v>
      </c>
      <c r="G34" s="86"/>
    </row>
    <row r="36" spans="1:13" x14ac:dyDescent="0.25">
      <c r="A36" s="69" t="s">
        <v>7</v>
      </c>
      <c r="B36" s="69"/>
      <c r="C36" s="69" t="s">
        <v>265</v>
      </c>
      <c r="D36" s="69"/>
      <c r="E36" s="70" t="s">
        <v>266</v>
      </c>
      <c r="F36" s="69"/>
      <c r="G36" s="69"/>
      <c r="H36" s="69"/>
      <c r="I36" s="69"/>
      <c r="J36" s="69"/>
      <c r="K36" s="69"/>
      <c r="L36" s="69"/>
      <c r="M36" s="69"/>
    </row>
    <row r="37" spans="1:13" x14ac:dyDescent="0.25">
      <c r="C37" s="67" t="s">
        <v>267</v>
      </c>
      <c r="D37" s="18" t="s">
        <v>220</v>
      </c>
      <c r="E37" s="87">
        <f>Inputs!$E$27</f>
        <v>46234</v>
      </c>
    </row>
    <row r="38" spans="1:13" x14ac:dyDescent="0.25">
      <c r="C38" s="67" t="s">
        <v>268</v>
      </c>
      <c r="D38" s="18" t="s">
        <v>220</v>
      </c>
      <c r="E38" s="87">
        <f>Inputs!$E$95</f>
        <v>46325</v>
      </c>
    </row>
    <row r="39" spans="1:13" x14ac:dyDescent="0.25">
      <c r="C39" s="67" t="s">
        <v>269</v>
      </c>
      <c r="D39" s="18" t="s">
        <v>220</v>
      </c>
      <c r="E39" s="87">
        <f>Deposits!$K$10</f>
        <v>46386</v>
      </c>
    </row>
    <row r="40" spans="1:13" x14ac:dyDescent="0.25">
      <c r="C40" s="67" t="s">
        <v>270</v>
      </c>
      <c r="D40" s="18" t="s">
        <v>220</v>
      </c>
      <c r="E40" s="87">
        <f>Inputs!$E$97</f>
        <v>46386</v>
      </c>
    </row>
    <row r="41" spans="1:13" x14ac:dyDescent="0.25">
      <c r="C41" s="67" t="s">
        <v>271</v>
      </c>
      <c r="D41" s="18" t="s">
        <v>220</v>
      </c>
      <c r="E41" s="87">
        <f>Devex_FEP!$F$38</f>
        <v>47118</v>
      </c>
    </row>
    <row r="42" spans="1:13" x14ac:dyDescent="0.25">
      <c r="C42" s="67" t="s">
        <v>272</v>
      </c>
      <c r="D42" s="18" t="s">
        <v>220</v>
      </c>
      <c r="E42" s="87">
        <f>Inputs!$E$99</f>
        <v>47126</v>
      </c>
    </row>
    <row r="43" spans="1:13" x14ac:dyDescent="0.25">
      <c r="C43" s="67" t="s">
        <v>273</v>
      </c>
      <c r="D43" s="18" t="s">
        <v>220</v>
      </c>
      <c r="E43" s="87">
        <f>Inputs!$E$154</f>
        <v>47299</v>
      </c>
    </row>
    <row r="44" spans="1:13" x14ac:dyDescent="0.25">
      <c r="C44" s="67" t="s">
        <v>222</v>
      </c>
      <c r="D44" s="18" t="s">
        <v>220</v>
      </c>
      <c r="E44" s="87">
        <f>Inputs!$E$155</f>
        <v>48029</v>
      </c>
    </row>
    <row r="45" spans="1:13" x14ac:dyDescent="0.25">
      <c r="C45" s="67" t="s">
        <v>274</v>
      </c>
      <c r="D45" s="18" t="s">
        <v>220</v>
      </c>
      <c r="E45" s="88">
        <v>48669</v>
      </c>
      <c r="F45" s="18" t="s">
        <v>275</v>
      </c>
    </row>
    <row r="47" spans="1:13" x14ac:dyDescent="0.25">
      <c r="A47" s="69" t="s">
        <v>7</v>
      </c>
      <c r="B47" s="69"/>
      <c r="C47" s="69" t="s">
        <v>276</v>
      </c>
      <c r="D47" s="69"/>
      <c r="E47" s="70" t="s">
        <v>244</v>
      </c>
      <c r="F47" s="70" t="s">
        <v>245</v>
      </c>
      <c r="G47" s="70"/>
      <c r="H47" s="69"/>
      <c r="I47" s="69"/>
      <c r="J47" s="69"/>
      <c r="K47" s="69"/>
      <c r="L47" s="69"/>
      <c r="M47" s="69"/>
    </row>
    <row r="48" spans="1:13" x14ac:dyDescent="0.25">
      <c r="C48" s="67" t="s">
        <v>277</v>
      </c>
      <c r="D48" s="18" t="s">
        <v>218</v>
      </c>
      <c r="E48" s="71">
        <f>Inputs!$E$11</f>
        <v>365</v>
      </c>
      <c r="F48" s="71">
        <f>Inputs!$E$11</f>
        <v>365</v>
      </c>
      <c r="G48" s="72"/>
    </row>
    <row r="49" spans="1:13" x14ac:dyDescent="0.25">
      <c r="C49" s="67" t="s">
        <v>278</v>
      </c>
      <c r="D49" s="18" t="s">
        <v>279</v>
      </c>
      <c r="E49" s="71">
        <f>Inputs!$E$75*Million</f>
        <v>406000000</v>
      </c>
      <c r="F49" s="71">
        <f>Inputs!$E$75*Million</f>
        <v>406000000</v>
      </c>
      <c r="G49" s="72"/>
    </row>
    <row r="50" spans="1:13" x14ac:dyDescent="0.25">
      <c r="C50" s="67" t="s">
        <v>280</v>
      </c>
      <c r="D50" s="18" t="s">
        <v>281</v>
      </c>
      <c r="E50" s="71">
        <f>Inputs!$E$89*Million</f>
        <v>200000000</v>
      </c>
      <c r="F50" s="71">
        <f>Inputs!$E$89*Million</f>
        <v>200000000</v>
      </c>
      <c r="G50" s="72"/>
    </row>
    <row r="51" spans="1:13" x14ac:dyDescent="0.25">
      <c r="C51" s="67" t="s">
        <v>282</v>
      </c>
      <c r="D51" s="18" t="s">
        <v>283</v>
      </c>
      <c r="E51" s="71">
        <f>Inputs!$E$81*Million</f>
        <v>3000000</v>
      </c>
      <c r="F51" s="71">
        <f>Inputs!$E$81*Million</f>
        <v>3000000</v>
      </c>
      <c r="G51" s="72"/>
    </row>
    <row r="52" spans="1:13" x14ac:dyDescent="0.25">
      <c r="C52" s="67" t="s">
        <v>284</v>
      </c>
      <c r="D52" s="18" t="s">
        <v>51</v>
      </c>
      <c r="E52" s="73">
        <f>Inputs!$E$76</f>
        <v>5.0000000000000001E-3</v>
      </c>
      <c r="F52" s="73">
        <f>Inputs!$E$76</f>
        <v>5.0000000000000001E-3</v>
      </c>
      <c r="G52" s="74"/>
    </row>
    <row r="53" spans="1:13" x14ac:dyDescent="0.25">
      <c r="C53" s="67" t="s">
        <v>285</v>
      </c>
      <c r="D53" s="18" t="s">
        <v>51</v>
      </c>
      <c r="E53" s="73">
        <f>Inputs!$E$77</f>
        <v>2.5000000000000001E-2</v>
      </c>
      <c r="F53" s="73">
        <f>Inputs!$E$77</f>
        <v>2.5000000000000001E-2</v>
      </c>
      <c r="G53" s="74"/>
    </row>
    <row r="54" spans="1:13" x14ac:dyDescent="0.25">
      <c r="C54" s="67" t="s">
        <v>286</v>
      </c>
      <c r="D54" s="18" t="s">
        <v>287</v>
      </c>
      <c r="E54" s="71">
        <f>Inputs!$E$83*Million</f>
        <v>4500000</v>
      </c>
      <c r="F54" s="71">
        <f>Inputs!$E$83*Million</f>
        <v>4500000</v>
      </c>
      <c r="G54" s="72"/>
    </row>
    <row r="55" spans="1:13" x14ac:dyDescent="0.25">
      <c r="C55" s="67" t="s">
        <v>288</v>
      </c>
      <c r="D55" s="18" t="s">
        <v>287</v>
      </c>
      <c r="E55" s="71">
        <f>Inputs!$E$85*Million</f>
        <v>73071306</v>
      </c>
      <c r="F55" s="71">
        <f>Inputs!$E$85*Million</f>
        <v>73071306</v>
      </c>
      <c r="G55" s="72"/>
    </row>
    <row r="56" spans="1:13" x14ac:dyDescent="0.25">
      <c r="C56" s="67" t="s">
        <v>289</v>
      </c>
      <c r="D56" s="18" t="s">
        <v>283</v>
      </c>
      <c r="E56" s="71">
        <f>Inputs!$E$84*Million*E$8</f>
        <v>254172902</v>
      </c>
      <c r="F56" s="71">
        <f>Inputs!$E$84*Million*F$8</f>
        <v>254172902</v>
      </c>
      <c r="G56" s="72"/>
    </row>
    <row r="57" spans="1:13" x14ac:dyDescent="0.25">
      <c r="C57" s="67" t="s">
        <v>290</v>
      </c>
      <c r="D57" s="18" t="s">
        <v>51</v>
      </c>
      <c r="E57" s="73">
        <f>Inputs!$E$113</f>
        <v>0.06</v>
      </c>
      <c r="F57" s="73">
        <f>Inputs!$E$113</f>
        <v>0.06</v>
      </c>
      <c r="G57" s="74"/>
    </row>
    <row r="58" spans="1:13" x14ac:dyDescent="0.25">
      <c r="C58" s="67" t="s">
        <v>291</v>
      </c>
      <c r="D58" s="18" t="s">
        <v>18</v>
      </c>
      <c r="E58" s="71">
        <f>Inputs!$E$24+Inputs!$E$25</f>
        <v>200</v>
      </c>
      <c r="F58" s="71">
        <f>Inputs!$E$24+Inputs!$E$25</f>
        <v>200</v>
      </c>
      <c r="G58" s="72"/>
    </row>
    <row r="59" spans="1:13" x14ac:dyDescent="0.25">
      <c r="C59" s="67" t="s">
        <v>292</v>
      </c>
      <c r="D59" s="18" t="s">
        <v>18</v>
      </c>
    </row>
    <row r="60" spans="1:13" x14ac:dyDescent="0.25">
      <c r="C60" s="67" t="s">
        <v>293</v>
      </c>
      <c r="D60" s="18" t="s">
        <v>51</v>
      </c>
      <c r="E60" s="73">
        <f>Inputs!$E$68</f>
        <v>0.1</v>
      </c>
      <c r="F60" s="73">
        <f>Inputs!$E$68</f>
        <v>0.1</v>
      </c>
      <c r="G60" s="74"/>
    </row>
    <row r="62" spans="1:13" x14ac:dyDescent="0.25">
      <c r="A62" s="69" t="s">
        <v>7</v>
      </c>
      <c r="B62" s="69"/>
      <c r="C62" s="69" t="s">
        <v>294</v>
      </c>
      <c r="D62" s="69"/>
      <c r="E62" s="70" t="s">
        <v>244</v>
      </c>
      <c r="F62" s="70" t="s">
        <v>245</v>
      </c>
      <c r="G62" s="89" t="s">
        <v>2540</v>
      </c>
      <c r="H62" s="89" t="s">
        <v>295</v>
      </c>
      <c r="I62" s="69"/>
      <c r="J62" s="70" t="s">
        <v>266</v>
      </c>
      <c r="K62" s="69"/>
      <c r="L62" s="69"/>
      <c r="M62" s="69"/>
    </row>
    <row r="63" spans="1:13" x14ac:dyDescent="0.25">
      <c r="C63" s="67" t="s">
        <v>168</v>
      </c>
      <c r="D63" s="18" t="s">
        <v>283</v>
      </c>
      <c r="E63" s="83">
        <f>$E$51*In_Bids</f>
        <v>3000000</v>
      </c>
      <c r="F63" s="83">
        <f>$F$51*In_Bids</f>
        <v>3000000</v>
      </c>
      <c r="G63" s="83">
        <f t="shared" ref="G63:G72" si="0">+E63+F63</f>
        <v>6000000</v>
      </c>
      <c r="H63" s="83">
        <f>SUM(E63:G63)-G63</f>
        <v>6000000</v>
      </c>
      <c r="J63" s="90">
        <f>Inputs!$E$95</f>
        <v>46325</v>
      </c>
    </row>
    <row r="64" spans="1:13" x14ac:dyDescent="0.25">
      <c r="C64" s="91" t="s">
        <v>296</v>
      </c>
      <c r="D64" s="92" t="s">
        <v>283</v>
      </c>
      <c r="E64" s="93">
        <f>$E$52*($E$20*$E$49+$E$22*$E$50)</f>
        <v>426530000</v>
      </c>
      <c r="F64" s="93">
        <f>$F$52*($F$20*$F$49+$F$22*$F$50)</f>
        <v>426530000</v>
      </c>
      <c r="G64" s="93">
        <f t="shared" si="0"/>
        <v>853060000</v>
      </c>
      <c r="H64" s="93">
        <f>SUM(E64:G64)-G64</f>
        <v>853060000</v>
      </c>
      <c r="I64" s="94"/>
      <c r="J64" s="95">
        <f>Inputs!$E$95</f>
        <v>46325</v>
      </c>
    </row>
    <row r="65" spans="1:13" x14ac:dyDescent="0.25">
      <c r="C65" s="96" t="s">
        <v>297</v>
      </c>
      <c r="D65" s="97" t="s">
        <v>283</v>
      </c>
      <c r="E65" s="98">
        <f>$E$53*$E$15*($E$20*$E$49+$E$22*$E$50)</f>
        <v>2132650000</v>
      </c>
      <c r="F65" s="98">
        <f>$F$53*$F$15*($F$20*$F$49+$F$22*$F$50)</f>
        <v>2132650000</v>
      </c>
      <c r="G65" s="98">
        <f t="shared" si="0"/>
        <v>4265300000</v>
      </c>
      <c r="H65" s="98">
        <f>SUM(E65:G65)-G65</f>
        <v>4265300000</v>
      </c>
      <c r="I65" s="99"/>
      <c r="J65" s="100">
        <f>Deposits!$K$10</f>
        <v>46386</v>
      </c>
    </row>
    <row r="66" spans="1:13" x14ac:dyDescent="0.25">
      <c r="C66" s="67" t="s">
        <v>298</v>
      </c>
      <c r="D66" s="18" t="s">
        <v>283</v>
      </c>
      <c r="E66" s="83">
        <f>$E$54*$E$8</f>
        <v>450000000</v>
      </c>
      <c r="F66" s="83">
        <f>$F$54*$F$8</f>
        <v>450000000</v>
      </c>
      <c r="G66" s="83">
        <f t="shared" si="0"/>
        <v>900000000</v>
      </c>
      <c r="H66" s="83">
        <f>SUM(E66:G66)-G66</f>
        <v>900000000</v>
      </c>
      <c r="J66" s="90">
        <f>Inputs!$E$97</f>
        <v>46386</v>
      </c>
    </row>
    <row r="67" spans="1:13" x14ac:dyDescent="0.25">
      <c r="C67" s="67" t="s">
        <v>299</v>
      </c>
      <c r="D67" s="18" t="s">
        <v>283</v>
      </c>
      <c r="E67" s="83">
        <f>$E$56</f>
        <v>254172902</v>
      </c>
      <c r="F67" s="83">
        <f>$F$56</f>
        <v>254172902</v>
      </c>
      <c r="G67" s="83">
        <f t="shared" si="0"/>
        <v>508345804</v>
      </c>
      <c r="H67" s="83">
        <f>SUM(E67:G67)-G67</f>
        <v>508345804</v>
      </c>
      <c r="J67" s="90">
        <f>Inputs!$E$99</f>
        <v>47126</v>
      </c>
    </row>
    <row r="68" spans="1:13" x14ac:dyDescent="0.25">
      <c r="C68" s="67" t="s">
        <v>300</v>
      </c>
      <c r="D68" s="18" t="s">
        <v>283</v>
      </c>
      <c r="E68" s="83">
        <f>$E$55*$E$8</f>
        <v>7307130600</v>
      </c>
      <c r="F68" s="83">
        <f>$F$55*$F$8</f>
        <v>7307130600</v>
      </c>
      <c r="G68" s="83">
        <f t="shared" si="0"/>
        <v>14614261200</v>
      </c>
      <c r="H68" s="83">
        <f>SUM(E68:G68)-G68</f>
        <v>14614261200</v>
      </c>
      <c r="J68" s="90">
        <f>Inputs!$E$99</f>
        <v>47126</v>
      </c>
    </row>
    <row r="69" spans="1:13" x14ac:dyDescent="0.25">
      <c r="C69" s="67" t="s">
        <v>301</v>
      </c>
      <c r="D69" s="18" t="s">
        <v>283</v>
      </c>
      <c r="E69" s="83">
        <f>-E66</f>
        <v>-450000000</v>
      </c>
      <c r="F69" s="83">
        <f>-F66</f>
        <v>-450000000</v>
      </c>
      <c r="G69" s="83">
        <f t="shared" si="0"/>
        <v>-900000000</v>
      </c>
      <c r="H69" s="83">
        <f>SUM(E69:G69)-G69</f>
        <v>-900000000</v>
      </c>
    </row>
    <row r="70" spans="1:13" x14ac:dyDescent="0.25">
      <c r="C70" s="67" t="s">
        <v>302</v>
      </c>
      <c r="D70" s="18" t="s">
        <v>283</v>
      </c>
      <c r="E70" s="83">
        <f>E68+E69</f>
        <v>6857130600</v>
      </c>
      <c r="F70" s="83">
        <f>F68+F69</f>
        <v>6857130600</v>
      </c>
      <c r="G70" s="101">
        <f t="shared" si="0"/>
        <v>13714261200</v>
      </c>
      <c r="H70" s="83">
        <f>SUM(E70:G70)-G70</f>
        <v>13714261200</v>
      </c>
      <c r="J70" s="90">
        <f>Inputs!$E$99</f>
        <v>47126</v>
      </c>
    </row>
    <row r="71" spans="1:13" x14ac:dyDescent="0.25">
      <c r="C71" s="85" t="s">
        <v>303</v>
      </c>
      <c r="D71" s="18" t="s">
        <v>283</v>
      </c>
      <c r="E71" s="102">
        <f>MAX(E64,E65)</f>
        <v>2132650000</v>
      </c>
      <c r="F71" s="102">
        <f>MAX(F64,F65)</f>
        <v>2132650000</v>
      </c>
      <c r="G71" s="103">
        <f t="shared" si="0"/>
        <v>4265300000</v>
      </c>
      <c r="H71" s="102">
        <f>SUM(E71:G71)-G71</f>
        <v>4265300000</v>
      </c>
    </row>
    <row r="72" spans="1:13" x14ac:dyDescent="0.25">
      <c r="C72" s="85" t="s">
        <v>304</v>
      </c>
      <c r="D72" s="18" t="s">
        <v>283</v>
      </c>
      <c r="E72" s="102">
        <f>E63+E66+E67+E70</f>
        <v>7564303502</v>
      </c>
      <c r="F72" s="102">
        <f>F63+F66+F67+F70</f>
        <v>7564303502</v>
      </c>
      <c r="G72" s="104">
        <f t="shared" si="0"/>
        <v>15128607004</v>
      </c>
      <c r="H72" s="102">
        <f>SUM(E72:G72)-G72</f>
        <v>15128607004</v>
      </c>
    </row>
    <row r="74" spans="1:13" x14ac:dyDescent="0.25">
      <c r="A74" s="69" t="s">
        <v>7</v>
      </c>
      <c r="B74" s="69"/>
      <c r="C74" s="69" t="s">
        <v>305</v>
      </c>
      <c r="D74" s="69"/>
      <c r="E74" s="70" t="s">
        <v>244</v>
      </c>
      <c r="F74" s="70" t="s">
        <v>245</v>
      </c>
      <c r="G74" s="70"/>
      <c r="H74" s="70" t="s">
        <v>295</v>
      </c>
      <c r="I74" s="69"/>
      <c r="J74" s="70" t="s">
        <v>266</v>
      </c>
      <c r="K74" s="70" t="s">
        <v>306</v>
      </c>
      <c r="L74" s="69"/>
      <c r="M74" s="69"/>
    </row>
    <row r="75" spans="1:13" x14ac:dyDescent="0.25">
      <c r="C75" s="67" t="s">
        <v>291</v>
      </c>
      <c r="D75" s="18" t="s">
        <v>18</v>
      </c>
      <c r="E75" s="83">
        <f>E$58</f>
        <v>200</v>
      </c>
      <c r="F75" s="83">
        <f>F$58</f>
        <v>200</v>
      </c>
      <c r="G75" s="83"/>
      <c r="H75" s="83">
        <f>SUM(E75:G75)</f>
        <v>400</v>
      </c>
      <c r="J75" s="90">
        <f>Inputs!$E$27</f>
        <v>46234</v>
      </c>
      <c r="K75" s="105">
        <v>1</v>
      </c>
    </row>
    <row r="76" spans="1:13" x14ac:dyDescent="0.25">
      <c r="C76" s="67" t="s">
        <v>168</v>
      </c>
      <c r="D76" s="18" t="s">
        <v>18</v>
      </c>
      <c r="E76" s="84">
        <f t="shared" ref="E76:F80" si="1">E63/Thousand/E$48</f>
        <v>8.2191780821917817</v>
      </c>
      <c r="F76" s="84">
        <f t="shared" si="1"/>
        <v>8.2191780821917817</v>
      </c>
      <c r="G76" s="84"/>
      <c r="H76" s="84">
        <f>SUM(E76:G76)</f>
        <v>16.438356164383563</v>
      </c>
      <c r="J76" s="90">
        <f>Inputs!$E$95</f>
        <v>46325</v>
      </c>
      <c r="K76" s="105">
        <v>1</v>
      </c>
    </row>
    <row r="77" spans="1:13" x14ac:dyDescent="0.25">
      <c r="C77" s="67" t="s">
        <v>296</v>
      </c>
      <c r="D77" s="18" t="s">
        <v>18</v>
      </c>
      <c r="E77" s="83">
        <f t="shared" si="1"/>
        <v>1168.5753424657535</v>
      </c>
      <c r="F77" s="83">
        <f t="shared" si="1"/>
        <v>1168.5753424657535</v>
      </c>
      <c r="G77" s="83"/>
      <c r="H77" s="83">
        <f>SUM(E77:G77)</f>
        <v>2337.1506849315069</v>
      </c>
      <c r="J77" s="90">
        <f>Inputs!$E$95</f>
        <v>46325</v>
      </c>
      <c r="K77" s="105">
        <v>0</v>
      </c>
    </row>
    <row r="78" spans="1:13" x14ac:dyDescent="0.25">
      <c r="C78" s="67" t="s">
        <v>297</v>
      </c>
      <c r="D78" s="18" t="s">
        <v>18</v>
      </c>
      <c r="E78" s="83">
        <f t="shared" si="1"/>
        <v>5842.8767123287671</v>
      </c>
      <c r="F78" s="83">
        <f t="shared" si="1"/>
        <v>5842.8767123287671</v>
      </c>
      <c r="G78" s="83"/>
      <c r="H78" s="83">
        <f>SUM(E78:G78)</f>
        <v>11685.753424657534</v>
      </c>
      <c r="J78" s="90">
        <f>Deposits!$K$10</f>
        <v>46386</v>
      </c>
      <c r="K78" s="105">
        <v>0</v>
      </c>
    </row>
    <row r="79" spans="1:13" x14ac:dyDescent="0.25">
      <c r="C79" s="67" t="s">
        <v>172</v>
      </c>
      <c r="D79" s="18" t="s">
        <v>18</v>
      </c>
      <c r="E79" s="83">
        <f t="shared" si="1"/>
        <v>1232.8767123287671</v>
      </c>
      <c r="F79" s="83">
        <f t="shared" si="1"/>
        <v>1232.8767123287671</v>
      </c>
      <c r="G79" s="83"/>
      <c r="H79" s="83">
        <f>SUM(E79:G79)</f>
        <v>2465.7534246575342</v>
      </c>
      <c r="J79" s="90">
        <f>Inputs!$E$97</f>
        <v>46386</v>
      </c>
      <c r="K79" s="105">
        <v>1</v>
      </c>
    </row>
    <row r="80" spans="1:13" x14ac:dyDescent="0.25">
      <c r="C80" s="67" t="s">
        <v>299</v>
      </c>
      <c r="D80" s="18" t="s">
        <v>18</v>
      </c>
      <c r="E80" s="83">
        <f t="shared" si="1"/>
        <v>696.36411506849311</v>
      </c>
      <c r="F80" s="83">
        <f t="shared" si="1"/>
        <v>696.36411506849311</v>
      </c>
      <c r="G80" s="83"/>
      <c r="H80" s="83">
        <f>SUM(E80:G80)</f>
        <v>1392.7282301369862</v>
      </c>
      <c r="J80" s="90">
        <f>Inputs!$E$99</f>
        <v>47126</v>
      </c>
      <c r="K80" s="105">
        <v>1</v>
      </c>
    </row>
    <row r="81" spans="1:13" x14ac:dyDescent="0.25">
      <c r="C81" s="67" t="s">
        <v>307</v>
      </c>
      <c r="D81" s="18" t="s">
        <v>18</v>
      </c>
      <c r="E81" s="83">
        <f>E70/Thousand/E$48</f>
        <v>18786.659178082191</v>
      </c>
      <c r="F81" s="83">
        <f>F70/Thousand/F$48</f>
        <v>18786.659178082191</v>
      </c>
      <c r="G81" s="83"/>
      <c r="H81" s="83">
        <f>SUM(E81:G81)</f>
        <v>37573.318356164382</v>
      </c>
      <c r="J81" s="90">
        <f>Inputs!$E$99</f>
        <v>47126</v>
      </c>
      <c r="K81" s="105">
        <v>1</v>
      </c>
    </row>
    <row r="82" spans="1:13" x14ac:dyDescent="0.25">
      <c r="C82" s="67" t="s">
        <v>308</v>
      </c>
      <c r="D82" s="18" t="s">
        <v>18</v>
      </c>
      <c r="E82" s="83">
        <f>$E$57*(($E$39-$E$38)*E77+MAX(0,MIN($E$44,$E$45)-$E$39+1)*E78)/Days_In_Year</f>
        <v>1590.7351908425594</v>
      </c>
      <c r="F82" s="83">
        <f>$F$57*(($E$39-$E$38)*F77+MAX(0,MIN($E$44,$E$45)-$E$39+1)*F78)/Days_In_Year</f>
        <v>1590.7351908425594</v>
      </c>
      <c r="G82" s="83"/>
      <c r="H82" s="83">
        <f>SUM(E82:G82)</f>
        <v>3181.4703816851188</v>
      </c>
      <c r="K82" s="105">
        <v>0</v>
      </c>
    </row>
    <row r="83" spans="1:13" x14ac:dyDescent="0.25">
      <c r="C83" s="85" t="s">
        <v>309</v>
      </c>
      <c r="D83" s="18" t="s">
        <v>18</v>
      </c>
      <c r="E83" s="102">
        <f>E76+E79+E80+E81</f>
        <v>20724.119183561641</v>
      </c>
      <c r="F83" s="102">
        <f>F76+F79+F80+F81</f>
        <v>20724.119183561641</v>
      </c>
      <c r="G83" s="102"/>
      <c r="H83" s="102">
        <f>SUM(E83:G83)</f>
        <v>41448.238367123282</v>
      </c>
      <c r="K83" s="105">
        <v>0</v>
      </c>
    </row>
    <row r="84" spans="1:13" x14ac:dyDescent="0.25">
      <c r="C84" s="67" t="s">
        <v>295</v>
      </c>
      <c r="D84" s="18" t="s">
        <v>18</v>
      </c>
      <c r="E84" s="106">
        <f>SUM(E75:E82)-E77-E79</f>
        <v>27124.854374404204</v>
      </c>
      <c r="F84" s="106">
        <f>SUM(F75:F82)-F77-F79</f>
        <v>27124.854374404204</v>
      </c>
      <c r="K84" s="105">
        <v>0</v>
      </c>
    </row>
    <row r="85" spans="1:13" x14ac:dyDescent="0.25">
      <c r="A85" s="69" t="s">
        <v>7</v>
      </c>
      <c r="B85" s="69"/>
      <c r="C85" s="69" t="s">
        <v>310</v>
      </c>
      <c r="D85" s="69"/>
      <c r="E85" s="70" t="s">
        <v>244</v>
      </c>
      <c r="F85" s="70" t="s">
        <v>245</v>
      </c>
      <c r="G85" s="70"/>
      <c r="H85" s="70" t="s">
        <v>295</v>
      </c>
      <c r="I85" s="69"/>
      <c r="J85" s="70" t="s">
        <v>266</v>
      </c>
      <c r="K85" s="69"/>
      <c r="L85" s="69"/>
      <c r="M85" s="69"/>
    </row>
    <row r="86" spans="1:13" x14ac:dyDescent="0.25">
      <c r="C86" s="67" t="s">
        <v>311</v>
      </c>
      <c r="D86" s="18" t="s">
        <v>18</v>
      </c>
      <c r="E86" s="107">
        <f>Devex_FEP!$E$5</f>
        <v>27.824999999999999</v>
      </c>
      <c r="F86" s="107">
        <f>Devex_FEP!$E$5</f>
        <v>27.824999999999999</v>
      </c>
      <c r="G86" s="84"/>
      <c r="H86" s="84">
        <f>SUM(E86:G86)</f>
        <v>55.65</v>
      </c>
      <c r="J86" s="87">
        <f>BORA_Devex!D14</f>
        <v>46431</v>
      </c>
      <c r="K86" s="105">
        <v>1</v>
      </c>
    </row>
    <row r="87" spans="1:13" x14ac:dyDescent="0.25">
      <c r="C87" s="67" t="s">
        <v>312</v>
      </c>
      <c r="D87" s="18" t="s">
        <v>18</v>
      </c>
      <c r="E87" s="107">
        <f>Devex_FEP!$E$6</f>
        <v>61.621621621621621</v>
      </c>
      <c r="F87" s="107">
        <f>Devex_FEP!$E$6</f>
        <v>61.621621621621621</v>
      </c>
      <c r="G87" s="84"/>
      <c r="H87" s="84">
        <f>SUM(E87:G87)</f>
        <v>123.24324324324324</v>
      </c>
      <c r="J87" s="87">
        <f>BORA_Devex!D14</f>
        <v>46431</v>
      </c>
      <c r="K87" s="105">
        <v>1</v>
      </c>
    </row>
    <row r="88" spans="1:13" x14ac:dyDescent="0.25">
      <c r="C88" s="67" t="s">
        <v>313</v>
      </c>
      <c r="D88" s="18" t="s">
        <v>18</v>
      </c>
      <c r="E88" s="107">
        <f>Devex_FEP!$E$7</f>
        <v>79.92277992277991</v>
      </c>
      <c r="F88" s="107">
        <f>Devex_FEP!$E$7</f>
        <v>79.92277992277991</v>
      </c>
      <c r="G88" s="84"/>
      <c r="H88" s="84">
        <f>SUM(E88:G88)</f>
        <v>159.84555984555982</v>
      </c>
      <c r="J88" s="87">
        <f>BORA_Devex!D16</f>
        <v>46976</v>
      </c>
      <c r="K88" s="105">
        <v>1</v>
      </c>
    </row>
    <row r="89" spans="1:13" x14ac:dyDescent="0.25">
      <c r="C89" s="67" t="s">
        <v>314</v>
      </c>
      <c r="D89" s="18" t="s">
        <v>18</v>
      </c>
      <c r="E89" s="107">
        <f>Devex_FEP!$E$8</f>
        <v>1.0142486486486486</v>
      </c>
      <c r="F89" s="107">
        <f>Devex_FEP!$E$8</f>
        <v>1.0142486486486486</v>
      </c>
      <c r="G89" s="84"/>
      <c r="H89" s="84">
        <f>SUM(E89:G89)</f>
        <v>2.0284972972972972</v>
      </c>
      <c r="J89" s="87">
        <f>BORA_Devex!D16</f>
        <v>46976</v>
      </c>
      <c r="K89" s="105">
        <v>1</v>
      </c>
    </row>
    <row r="90" spans="1:13" x14ac:dyDescent="0.25">
      <c r="C90" s="67" t="s">
        <v>315</v>
      </c>
      <c r="D90" s="18" t="s">
        <v>18</v>
      </c>
      <c r="E90" s="107">
        <f>Devex_FEP!$E$9</f>
        <v>88.621621621621628</v>
      </c>
      <c r="F90" s="107">
        <f>Devex_FEP!$E$9</f>
        <v>88.621621621621628</v>
      </c>
      <c r="G90" s="84"/>
      <c r="H90" s="84">
        <f>SUM(E90:G90)</f>
        <v>177.24324324324326</v>
      </c>
      <c r="J90" s="87">
        <f>BORA_Devex!$E$20</f>
        <v>46296</v>
      </c>
      <c r="K90" s="105">
        <v>1</v>
      </c>
    </row>
    <row r="91" spans="1:13" x14ac:dyDescent="0.25">
      <c r="C91" s="67" t="s">
        <v>316</v>
      </c>
      <c r="D91" s="18" t="s">
        <v>18</v>
      </c>
      <c r="E91" s="107">
        <f>Devex_FEP!$E$10</f>
        <v>199</v>
      </c>
      <c r="F91" s="107">
        <f>Devex_FEP!$E$10</f>
        <v>199</v>
      </c>
      <c r="G91" s="84"/>
      <c r="H91" s="84">
        <f>SUM(E91:G91)</f>
        <v>398</v>
      </c>
      <c r="J91" s="87">
        <f>BORA_Devex!C21</f>
        <v>46447</v>
      </c>
      <c r="K91" s="105">
        <v>1</v>
      </c>
    </row>
    <row r="92" spans="1:13" x14ac:dyDescent="0.25">
      <c r="C92" s="67" t="s">
        <v>317</v>
      </c>
      <c r="D92" s="18" t="s">
        <v>18</v>
      </c>
      <c r="E92" s="107">
        <f>Devex_FEP!$E$11</f>
        <v>4.8648648648648649</v>
      </c>
      <c r="F92" s="107">
        <f>Devex_FEP!$E$11</f>
        <v>4.8648648648648649</v>
      </c>
      <c r="G92" s="84"/>
      <c r="H92" s="84">
        <f>SUM(E92:G92)</f>
        <v>9.7297297297297298</v>
      </c>
      <c r="J92" s="87">
        <f>BORA_Devex!C22</f>
        <v>46388</v>
      </c>
      <c r="K92" s="105">
        <v>1</v>
      </c>
    </row>
    <row r="93" spans="1:13" x14ac:dyDescent="0.25">
      <c r="C93" s="67" t="s">
        <v>318</v>
      </c>
      <c r="D93" s="18" t="s">
        <v>18</v>
      </c>
      <c r="E93" s="107">
        <f>Devex_FEP!$E$12</f>
        <v>2.25</v>
      </c>
      <c r="F93" s="107">
        <f>Devex_FEP!$E$12</f>
        <v>2.25</v>
      </c>
      <c r="G93" s="84"/>
      <c r="H93" s="84">
        <f>SUM(E93:G93)</f>
        <v>4.5</v>
      </c>
      <c r="J93" s="87">
        <f>BORA_Devex!D23</f>
        <v>46932</v>
      </c>
      <c r="K93" s="105">
        <v>1</v>
      </c>
    </row>
    <row r="94" spans="1:13" x14ac:dyDescent="0.25">
      <c r="C94" s="67" t="s">
        <v>319</v>
      </c>
      <c r="D94" s="18" t="s">
        <v>18</v>
      </c>
      <c r="E94" s="107">
        <f>Devex_FEP!$E$13</f>
        <v>1.2972972972972974</v>
      </c>
      <c r="F94" s="107">
        <f>Devex_FEP!$E$13</f>
        <v>1.2972972972972974</v>
      </c>
      <c r="G94" s="84"/>
      <c r="H94" s="84">
        <f>SUM(E94:G94)</f>
        <v>2.5945945945945947</v>
      </c>
      <c r="J94" s="87">
        <f>BORA_Devex!D24</f>
        <v>46746</v>
      </c>
      <c r="K94" s="105">
        <v>1</v>
      </c>
    </row>
    <row r="95" spans="1:13" x14ac:dyDescent="0.25">
      <c r="C95" s="67" t="s">
        <v>320</v>
      </c>
      <c r="D95" s="18" t="s">
        <v>18</v>
      </c>
      <c r="E95" s="107">
        <f>Devex_FEP!$E$14</f>
        <v>10.810810810810811</v>
      </c>
      <c r="F95" s="107">
        <f>Devex_FEP!$E$14</f>
        <v>10.810810810810811</v>
      </c>
      <c r="G95" s="84"/>
      <c r="H95" s="84">
        <f>SUM(E95:G95)</f>
        <v>21.621621621621621</v>
      </c>
      <c r="J95" s="87">
        <f>BORA_Devex!$E$25</f>
        <v>46596</v>
      </c>
      <c r="K95" s="105">
        <v>1</v>
      </c>
    </row>
    <row r="96" spans="1:13" x14ac:dyDescent="0.25">
      <c r="C96" s="67" t="s">
        <v>321</v>
      </c>
      <c r="D96" s="18" t="s">
        <v>18</v>
      </c>
      <c r="E96" s="107">
        <f>Devex_FEP!$E$15</f>
        <v>67.567567567567579</v>
      </c>
      <c r="F96" s="107">
        <f>Devex_FEP!$E$15</f>
        <v>67.567567567567579</v>
      </c>
      <c r="G96" s="84"/>
      <c r="H96" s="84">
        <f>SUM(E96:G96)</f>
        <v>135.13513513513516</v>
      </c>
      <c r="J96" s="87">
        <f>BORA_Devex!$E$26</f>
        <v>46806</v>
      </c>
      <c r="K96" s="105">
        <v>1</v>
      </c>
    </row>
    <row r="97" spans="3:11" x14ac:dyDescent="0.25">
      <c r="C97" s="67" t="s">
        <v>322</v>
      </c>
      <c r="D97" s="18" t="s">
        <v>18</v>
      </c>
      <c r="E97" s="107">
        <f>Devex_FEP!$E$16</f>
        <v>47.297297297297298</v>
      </c>
      <c r="F97" s="107">
        <f>Devex_FEP!$E$16</f>
        <v>47.297297297297298</v>
      </c>
      <c r="G97" s="84"/>
      <c r="H97" s="84">
        <f>SUM(E97:G97)</f>
        <v>94.594594594594597</v>
      </c>
      <c r="J97" s="87">
        <f>BORA_Devex!E26</f>
        <v>46806</v>
      </c>
      <c r="K97" s="105">
        <v>1</v>
      </c>
    </row>
    <row r="98" spans="3:11" x14ac:dyDescent="0.25">
      <c r="C98" s="67" t="s">
        <v>323</v>
      </c>
      <c r="D98" s="18" t="s">
        <v>18</v>
      </c>
      <c r="E98" s="107">
        <f>Devex_FEP!$E$17</f>
        <v>20.043243243243243</v>
      </c>
      <c r="F98" s="107">
        <f>Devex_FEP!$E$17</f>
        <v>20.043243243243243</v>
      </c>
      <c r="G98" s="84"/>
      <c r="H98" s="84">
        <f>SUM(E98:G98)</f>
        <v>40.086486486486486</v>
      </c>
      <c r="J98" s="87">
        <f>BORA_Devex!D28</f>
        <v>46751</v>
      </c>
      <c r="K98" s="105">
        <v>1</v>
      </c>
    </row>
    <row r="99" spans="3:11" x14ac:dyDescent="0.25">
      <c r="C99" s="67" t="s">
        <v>314</v>
      </c>
      <c r="D99" s="18" t="s">
        <v>18</v>
      </c>
      <c r="E99" s="107">
        <f>Devex_FEP!$E$18</f>
        <v>5.4054054054054057E-2</v>
      </c>
      <c r="F99" s="107">
        <f>Devex_FEP!$E$18</f>
        <v>5.4054054054054057E-2</v>
      </c>
      <c r="G99" s="84"/>
      <c r="H99" s="84">
        <f>SUM(E99:G99)</f>
        <v>0.10810810810810811</v>
      </c>
      <c r="J99" s="87">
        <f>BORA_Devex!D29</f>
        <v>46871</v>
      </c>
      <c r="K99" s="105">
        <v>1</v>
      </c>
    </row>
    <row r="100" spans="3:11" x14ac:dyDescent="0.25">
      <c r="C100" s="67" t="s">
        <v>324</v>
      </c>
      <c r="D100" s="18" t="s">
        <v>18</v>
      </c>
      <c r="E100" s="107">
        <f>Devex_FEP!$E$19</f>
        <v>44.067567567567565</v>
      </c>
      <c r="F100" s="107">
        <f>Devex_FEP!$E$19</f>
        <v>44.067567567567565</v>
      </c>
      <c r="G100" s="84"/>
      <c r="H100" s="84">
        <f>SUM(E100:G100)</f>
        <v>88.13513513513513</v>
      </c>
      <c r="J100" s="87">
        <f>BORA_Devex!D30</f>
        <v>46841</v>
      </c>
      <c r="K100" s="105">
        <v>1</v>
      </c>
    </row>
    <row r="101" spans="3:11" x14ac:dyDescent="0.25">
      <c r="C101" s="67" t="s">
        <v>325</v>
      </c>
      <c r="D101" s="18" t="s">
        <v>18</v>
      </c>
      <c r="E101" s="107">
        <f>Devex_FEP!$E$20</f>
        <v>10.810810810810811</v>
      </c>
      <c r="F101" s="107">
        <f>Devex_FEP!$E$20</f>
        <v>10.810810810810811</v>
      </c>
      <c r="G101" s="84"/>
      <c r="H101" s="84">
        <f>SUM(E101:G101)</f>
        <v>21.621621621621621</v>
      </c>
      <c r="J101" s="87">
        <f>BORA_Devex!D31</f>
        <v>46596</v>
      </c>
      <c r="K101" s="105">
        <v>1</v>
      </c>
    </row>
    <row r="102" spans="3:11" x14ac:dyDescent="0.25">
      <c r="C102" s="67" t="s">
        <v>326</v>
      </c>
      <c r="D102" s="18" t="s">
        <v>18</v>
      </c>
      <c r="E102" s="107">
        <f>Devex_FEP!$E$21</f>
        <v>10.810810810810811</v>
      </c>
      <c r="F102" s="107">
        <f>Devex_FEP!$E$21</f>
        <v>10.810810810810811</v>
      </c>
      <c r="G102" s="84"/>
      <c r="H102" s="84">
        <f>SUM(E102:G102)</f>
        <v>21.621621621621621</v>
      </c>
      <c r="J102" s="87">
        <f>BORA_Devex!$E$32</f>
        <v>46566</v>
      </c>
      <c r="K102" s="105">
        <v>1</v>
      </c>
    </row>
    <row r="103" spans="3:11" x14ac:dyDescent="0.25">
      <c r="C103" s="67" t="s">
        <v>327</v>
      </c>
      <c r="D103" s="18" t="s">
        <v>18</v>
      </c>
      <c r="E103" s="107">
        <f>Devex_FEP!$E$22</f>
        <v>10.810810810810811</v>
      </c>
      <c r="F103" s="107">
        <f>Devex_FEP!$E$22</f>
        <v>10.810810810810811</v>
      </c>
      <c r="G103" s="84"/>
      <c r="H103" s="84">
        <f>SUM(E103:G103)</f>
        <v>21.621621621621621</v>
      </c>
      <c r="J103" s="87">
        <f>BORA_Devex!$E$33</f>
        <v>46566</v>
      </c>
      <c r="K103" s="105">
        <v>1</v>
      </c>
    </row>
    <row r="104" spans="3:11" x14ac:dyDescent="0.25">
      <c r="C104" s="67" t="s">
        <v>328</v>
      </c>
      <c r="D104" s="18" t="s">
        <v>18</v>
      </c>
      <c r="E104" s="107">
        <f>Devex_FEP!$E$23</f>
        <v>6.2027027027027026</v>
      </c>
      <c r="F104" s="107">
        <f>Devex_FEP!$E$23</f>
        <v>6.2027027027027026</v>
      </c>
      <c r="G104" s="84"/>
      <c r="H104" s="84">
        <f>SUM(E104:G104)</f>
        <v>12.405405405405405</v>
      </c>
      <c r="J104" s="87">
        <f>BORA_Devex!D35</f>
        <v>46780</v>
      </c>
      <c r="K104" s="105">
        <v>1</v>
      </c>
    </row>
    <row r="105" spans="3:11" x14ac:dyDescent="0.25">
      <c r="C105" s="67" t="s">
        <v>317</v>
      </c>
      <c r="D105" s="18" t="s">
        <v>18</v>
      </c>
      <c r="E105" s="107">
        <f>Devex_FEP!$E$24</f>
        <v>186.48648648648648</v>
      </c>
      <c r="F105" s="107">
        <f>Devex_FEP!$E$24</f>
        <v>186.48648648648648</v>
      </c>
      <c r="G105" s="84"/>
      <c r="H105" s="84">
        <f>SUM(E105:G105)</f>
        <v>372.97297297297297</v>
      </c>
      <c r="J105" s="87">
        <f>BORA_Devex!D35</f>
        <v>46780</v>
      </c>
      <c r="K105" s="105">
        <v>1</v>
      </c>
    </row>
    <row r="106" spans="3:11" x14ac:dyDescent="0.25">
      <c r="C106" s="67" t="s">
        <v>329</v>
      </c>
      <c r="D106" s="18" t="s">
        <v>18</v>
      </c>
      <c r="E106" s="107">
        <f>Devex_FEP!$E$25</f>
        <v>60.810810810810814</v>
      </c>
      <c r="F106" s="107">
        <f>Devex_FEP!$E$25</f>
        <v>60.810810810810814</v>
      </c>
      <c r="G106" s="84"/>
      <c r="H106" s="84">
        <f>SUM(E106:G106)</f>
        <v>121.62162162162163</v>
      </c>
      <c r="J106" s="87">
        <f>BORA_Devex!D37</f>
        <v>46780</v>
      </c>
      <c r="K106" s="105">
        <v>1</v>
      </c>
    </row>
    <row r="107" spans="3:11" x14ac:dyDescent="0.25">
      <c r="C107" s="67" t="s">
        <v>317</v>
      </c>
      <c r="D107" s="18" t="s">
        <v>18</v>
      </c>
      <c r="E107" s="107">
        <f>Devex_FEP!$E$26</f>
        <v>101.21173469387756</v>
      </c>
      <c r="F107" s="107">
        <f>Devex_FEP!$E$26</f>
        <v>101.21173469387756</v>
      </c>
      <c r="G107" s="84"/>
      <c r="H107" s="84">
        <f>SUM(E107:G107)</f>
        <v>202.42346938775512</v>
      </c>
      <c r="J107" s="87">
        <f>BORA_Devex!D37</f>
        <v>46780</v>
      </c>
      <c r="K107" s="105">
        <v>1</v>
      </c>
    </row>
    <row r="108" spans="3:11" x14ac:dyDescent="0.25">
      <c r="C108" s="67" t="s">
        <v>330</v>
      </c>
      <c r="D108" s="18" t="s">
        <v>18</v>
      </c>
      <c r="E108" s="107">
        <f>Devex_FEP!$E$27</f>
        <v>20.27027027027027</v>
      </c>
      <c r="F108" s="107">
        <f>Devex_FEP!$E$27</f>
        <v>20.27027027027027</v>
      </c>
      <c r="G108" s="84"/>
      <c r="H108" s="84">
        <f>SUM(E108:G108)</f>
        <v>40.54054054054054</v>
      </c>
      <c r="J108" s="87">
        <f>BORA_Devex!$E$38</f>
        <v>46720</v>
      </c>
      <c r="K108" s="105">
        <v>1</v>
      </c>
    </row>
    <row r="109" spans="3:11" x14ac:dyDescent="0.25">
      <c r="C109" s="67" t="s">
        <v>331</v>
      </c>
      <c r="D109" s="18" t="s">
        <v>18</v>
      </c>
      <c r="E109" s="107">
        <f>Devex_FEP!$E$28</f>
        <v>8.1081081081081088</v>
      </c>
      <c r="F109" s="107">
        <f>Devex_FEP!$E$28</f>
        <v>8.1081081081081088</v>
      </c>
      <c r="G109" s="84"/>
      <c r="H109" s="84">
        <f>SUM(E109:G109)</f>
        <v>16.216216216216218</v>
      </c>
      <c r="J109" s="87">
        <f>BORA_Devex!D40</f>
        <v>46780</v>
      </c>
      <c r="K109" s="105">
        <v>1</v>
      </c>
    </row>
    <row r="110" spans="3:11" x14ac:dyDescent="0.25">
      <c r="C110" s="67" t="s">
        <v>317</v>
      </c>
      <c r="D110" s="18" t="s">
        <v>18</v>
      </c>
      <c r="E110" s="107">
        <f>Devex_FEP!$E$29</f>
        <v>61.052123552123547</v>
      </c>
      <c r="F110" s="107">
        <f>Devex_FEP!$E$29</f>
        <v>61.052123552123547</v>
      </c>
      <c r="G110" s="84"/>
      <c r="H110" s="84">
        <f>SUM(E110:G110)</f>
        <v>122.10424710424709</v>
      </c>
      <c r="J110" s="87">
        <f>BORA_Devex!D40</f>
        <v>46780</v>
      </c>
      <c r="K110" s="105">
        <v>1</v>
      </c>
    </row>
    <row r="111" spans="3:11" x14ac:dyDescent="0.25">
      <c r="C111" s="67" t="s">
        <v>332</v>
      </c>
      <c r="D111" s="18" t="s">
        <v>18</v>
      </c>
      <c r="E111" s="107">
        <f>Devex_FEP!$E$30</f>
        <v>6.2027027027027026</v>
      </c>
      <c r="F111" s="107">
        <f>Devex_FEP!$E$30</f>
        <v>6.2027027027027026</v>
      </c>
      <c r="G111" s="84"/>
      <c r="H111" s="84">
        <f>SUM(E111:G111)</f>
        <v>12.405405405405405</v>
      </c>
      <c r="J111" s="87">
        <f>BORA_Devex!D42</f>
        <v>46780</v>
      </c>
      <c r="K111" s="105">
        <v>1</v>
      </c>
    </row>
    <row r="112" spans="3:11" x14ac:dyDescent="0.25">
      <c r="C112" s="67" t="s">
        <v>317</v>
      </c>
      <c r="D112" s="18" t="s">
        <v>18</v>
      </c>
      <c r="E112" s="107">
        <f>Devex_FEP!$E$31</f>
        <v>47.297297297297298</v>
      </c>
      <c r="F112" s="107">
        <f>Devex_FEP!$E$31</f>
        <v>47.297297297297298</v>
      </c>
      <c r="G112" s="84"/>
      <c r="H112" s="84">
        <f>SUM(E112:G112)</f>
        <v>94.594594594594597</v>
      </c>
      <c r="J112" s="87">
        <f>BORA_Devex!D42</f>
        <v>46780</v>
      </c>
      <c r="K112" s="105">
        <v>1</v>
      </c>
    </row>
    <row r="113" spans="1:13" x14ac:dyDescent="0.25">
      <c r="C113" s="67" t="s">
        <v>333</v>
      </c>
      <c r="D113" s="18" t="s">
        <v>18</v>
      </c>
      <c r="E113" s="107">
        <f>Devex_FEP!$E$32</f>
        <v>27.027027027027028</v>
      </c>
      <c r="F113" s="107">
        <f>Devex_FEP!$E$32</f>
        <v>27.027027027027028</v>
      </c>
      <c r="G113" s="84"/>
      <c r="H113" s="84">
        <f>SUM(E113:G113)</f>
        <v>54.054054054054056</v>
      </c>
      <c r="J113" s="87">
        <f>BORA_Devex!C18</f>
        <v>47126</v>
      </c>
      <c r="K113" s="105">
        <v>1</v>
      </c>
    </row>
    <row r="114" spans="1:13" x14ac:dyDescent="0.25">
      <c r="C114" s="67" t="s">
        <v>320</v>
      </c>
      <c r="D114" s="18" t="s">
        <v>18</v>
      </c>
      <c r="E114" s="107">
        <f>Devex_FEP!$E$33</f>
        <v>16.216216216216218</v>
      </c>
      <c r="F114" s="107">
        <f>Devex_FEP!$E$33</f>
        <v>16.216216216216218</v>
      </c>
      <c r="G114" s="84"/>
      <c r="H114" s="84">
        <f>SUM(E114:G114)</f>
        <v>32.432432432432435</v>
      </c>
      <c r="J114" s="87">
        <f>BORA_Devex!C44</f>
        <v>47066</v>
      </c>
      <c r="K114" s="105">
        <v>1</v>
      </c>
    </row>
    <row r="115" spans="1:13" x14ac:dyDescent="0.25">
      <c r="C115" s="67" t="s">
        <v>334</v>
      </c>
      <c r="D115" s="18" t="s">
        <v>18</v>
      </c>
      <c r="E115" s="107">
        <f>Devex_FEP!$E$34</f>
        <v>10</v>
      </c>
      <c r="F115" s="107">
        <f>Devex_FEP!$E$34</f>
        <v>10</v>
      </c>
      <c r="G115" s="84"/>
      <c r="H115" s="84">
        <f>SUM(E115:G115)</f>
        <v>20</v>
      </c>
      <c r="J115" s="87">
        <f>Devex_FEP!$F$34</f>
        <v>46752</v>
      </c>
      <c r="K115" s="105">
        <v>1</v>
      </c>
    </row>
    <row r="116" spans="1:13" x14ac:dyDescent="0.25">
      <c r="C116" s="67" t="s">
        <v>335</v>
      </c>
      <c r="D116" s="18" t="s">
        <v>18</v>
      </c>
      <c r="E116" s="107">
        <f>Devex_FEP!$E$35</f>
        <v>40</v>
      </c>
      <c r="F116" s="107">
        <f>Devex_FEP!$E$35</f>
        <v>40</v>
      </c>
      <c r="G116" s="84"/>
      <c r="H116" s="84">
        <f>SUM(E116:G116)</f>
        <v>80</v>
      </c>
      <c r="J116" s="87">
        <f>Devex_FEP!$F$35</f>
        <v>46752</v>
      </c>
      <c r="K116" s="105">
        <v>1</v>
      </c>
    </row>
    <row r="117" spans="1:13" x14ac:dyDescent="0.25">
      <c r="C117" s="67" t="s">
        <v>336</v>
      </c>
      <c r="D117" s="18" t="s">
        <v>18</v>
      </c>
      <c r="E117" s="107">
        <f>Devex_FEP!$E$36</f>
        <v>25</v>
      </c>
      <c r="F117" s="107">
        <f>Devex_FEP!$E$36</f>
        <v>25</v>
      </c>
      <c r="G117" s="84"/>
      <c r="H117" s="84">
        <f>SUM(E117:G117)</f>
        <v>50</v>
      </c>
      <c r="J117" s="87">
        <f>Devex_FEP!$F$36</f>
        <v>46752</v>
      </c>
      <c r="K117" s="105">
        <v>1</v>
      </c>
    </row>
    <row r="118" spans="1:13" x14ac:dyDescent="0.25">
      <c r="C118" s="67" t="s">
        <v>337</v>
      </c>
      <c r="D118" s="18" t="s">
        <v>18</v>
      </c>
      <c r="E118" s="107">
        <f>Devex_FEP!$E$37</f>
        <v>123.24324324324324</v>
      </c>
      <c r="F118" s="107">
        <f>Devex_FEP!$E$37</f>
        <v>123.24324324324324</v>
      </c>
      <c r="G118" s="84"/>
      <c r="H118" s="84">
        <f>SUM(E118:G118)</f>
        <v>246.48648648648648</v>
      </c>
      <c r="J118" s="87">
        <f>BORA_Devex!D43</f>
        <v>47201</v>
      </c>
      <c r="K118" s="105">
        <v>1</v>
      </c>
    </row>
    <row r="119" spans="1:13" x14ac:dyDescent="0.25">
      <c r="C119" s="67" t="s">
        <v>338</v>
      </c>
      <c r="D119" s="18" t="s">
        <v>18</v>
      </c>
      <c r="E119" s="107">
        <f>Devex_FEP!$E$38</f>
        <v>141.10383081428651</v>
      </c>
      <c r="F119" s="107">
        <f>Devex_FEP!$E$38</f>
        <v>141.10383081428651</v>
      </c>
      <c r="G119" s="84"/>
      <c r="H119" s="84">
        <f>SUM(E119:G119)</f>
        <v>282.20766162857302</v>
      </c>
      <c r="J119" s="90">
        <f>Devex_FEP!$F$38</f>
        <v>47118</v>
      </c>
      <c r="K119" s="105">
        <v>1</v>
      </c>
    </row>
    <row r="120" spans="1:13" x14ac:dyDescent="0.25">
      <c r="C120" s="85" t="s">
        <v>339</v>
      </c>
      <c r="D120" s="18" t="s">
        <v>18</v>
      </c>
      <c r="E120" s="102">
        <f>SUM(E86:E118)+E119</f>
        <v>1568.9229608749597</v>
      </c>
      <c r="F120" s="102">
        <f>SUM(F86:F118)+F119</f>
        <v>1568.9229608749597</v>
      </c>
      <c r="G120" s="102"/>
      <c r="H120" s="102">
        <f>SUM(E120:G120)</f>
        <v>3137.8459217499194</v>
      </c>
    </row>
    <row r="122" spans="1:13" x14ac:dyDescent="0.25">
      <c r="A122" s="69" t="s">
        <v>7</v>
      </c>
      <c r="B122" s="69"/>
      <c r="C122" s="69" t="s">
        <v>340</v>
      </c>
      <c r="D122" s="69"/>
      <c r="E122" s="70" t="s">
        <v>244</v>
      </c>
      <c r="F122" s="70" t="s">
        <v>245</v>
      </c>
      <c r="G122" s="70"/>
      <c r="H122" s="70" t="s">
        <v>295</v>
      </c>
      <c r="I122" s="69"/>
      <c r="J122" s="69"/>
      <c r="K122" s="69"/>
      <c r="L122" s="69"/>
      <c r="M122" s="69"/>
    </row>
    <row r="123" spans="1:13" x14ac:dyDescent="0.25">
      <c r="C123" s="67" t="s">
        <v>264</v>
      </c>
      <c r="D123" s="18" t="s">
        <v>80</v>
      </c>
      <c r="E123" s="108" t="e">
        <f>E34</f>
        <v>#REF!</v>
      </c>
      <c r="F123" s="108" t="e">
        <f>F34</f>
        <v>#REF!</v>
      </c>
      <c r="G123" s="108"/>
    </row>
    <row r="124" spans="1:13" x14ac:dyDescent="0.25">
      <c r="C124" s="67" t="s">
        <v>291</v>
      </c>
      <c r="D124" s="18" t="s">
        <v>18</v>
      </c>
      <c r="E124" s="83">
        <f>E$58</f>
        <v>200</v>
      </c>
      <c r="F124" s="83">
        <f>F$58</f>
        <v>200</v>
      </c>
      <c r="G124" s="83"/>
      <c r="H124" s="83">
        <f>SUM(E124:G124)</f>
        <v>400</v>
      </c>
    </row>
    <row r="125" spans="1:13" x14ac:dyDescent="0.25">
      <c r="C125" s="67" t="s">
        <v>309</v>
      </c>
      <c r="D125" s="18" t="s">
        <v>18</v>
      </c>
      <c r="E125" s="83">
        <f>E83</f>
        <v>20724.119183561641</v>
      </c>
      <c r="F125" s="83">
        <f>F83</f>
        <v>20724.119183561641</v>
      </c>
      <c r="G125" s="83"/>
      <c r="H125" s="83">
        <f>SUM(E125:G125)</f>
        <v>41448.238367123282</v>
      </c>
    </row>
    <row r="126" spans="1:13" x14ac:dyDescent="0.25">
      <c r="C126" s="67" t="s">
        <v>339</v>
      </c>
      <c r="D126" s="18" t="s">
        <v>18</v>
      </c>
      <c r="E126" s="83">
        <f>E120</f>
        <v>1568.9229608749597</v>
      </c>
      <c r="F126" s="83">
        <f>F120</f>
        <v>1568.9229608749597</v>
      </c>
      <c r="G126" s="83"/>
      <c r="H126" s="83">
        <f>SUM(E126:G126)</f>
        <v>3137.8459217499194</v>
      </c>
    </row>
    <row r="127" spans="1:13" x14ac:dyDescent="0.25">
      <c r="C127" s="85" t="s">
        <v>341</v>
      </c>
      <c r="D127" s="18" t="s">
        <v>18</v>
      </c>
      <c r="E127" s="102">
        <f>E124+E125+E126</f>
        <v>22493.0421444366</v>
      </c>
      <c r="F127" s="102">
        <f>F124+F125+F126</f>
        <v>22493.0421444366</v>
      </c>
      <c r="G127" s="102"/>
      <c r="H127" s="102">
        <f>SUM(E127:G127)</f>
        <v>44986.0842888732</v>
      </c>
    </row>
    <row r="128" spans="1:13" x14ac:dyDescent="0.25">
      <c r="C128" s="67" t="s">
        <v>308</v>
      </c>
      <c r="D128" s="18" t="s">
        <v>18</v>
      </c>
      <c r="E128" s="83">
        <f>E82</f>
        <v>1590.7351908425594</v>
      </c>
      <c r="F128" s="83">
        <f>F82</f>
        <v>1590.7351908425594</v>
      </c>
      <c r="G128" s="83"/>
      <c r="H128" s="83">
        <f>SUM(E128:G128)</f>
        <v>3181.4703816851188</v>
      </c>
    </row>
    <row r="129" spans="1:13" x14ac:dyDescent="0.25">
      <c r="C129" s="67" t="s">
        <v>342</v>
      </c>
      <c r="D129" s="18" t="s">
        <v>18</v>
      </c>
      <c r="E129" s="83">
        <f>E78</f>
        <v>5842.8767123287671</v>
      </c>
      <c r="F129" s="83">
        <f>F78</f>
        <v>5842.8767123287671</v>
      </c>
      <c r="G129" s="83"/>
      <c r="H129" s="83">
        <f>SUM(E129:G129)</f>
        <v>11685.753424657534</v>
      </c>
    </row>
    <row r="130" spans="1:13" x14ac:dyDescent="0.25">
      <c r="C130" s="67" t="s">
        <v>342</v>
      </c>
      <c r="D130" s="18" t="s">
        <v>283</v>
      </c>
      <c r="E130" s="83">
        <f>E71</f>
        <v>2132650000</v>
      </c>
      <c r="F130" s="83">
        <f>F71</f>
        <v>2132650000</v>
      </c>
      <c r="G130" s="83"/>
      <c r="H130" s="83">
        <f>SUM(E130:G130)</f>
        <v>4265300000</v>
      </c>
    </row>
    <row r="131" spans="1:13" x14ac:dyDescent="0.25">
      <c r="C131" s="67" t="s">
        <v>343</v>
      </c>
      <c r="D131" s="18" t="s">
        <v>283</v>
      </c>
      <c r="E131" s="83">
        <f>E72</f>
        <v>7564303502</v>
      </c>
      <c r="F131" s="83">
        <f>F72</f>
        <v>7564303502</v>
      </c>
      <c r="G131" s="83"/>
      <c r="H131" s="83">
        <f>SUM(E131:G131)</f>
        <v>15128607004</v>
      </c>
    </row>
    <row r="132" spans="1:13" x14ac:dyDescent="0.25">
      <c r="C132" s="67" t="s">
        <v>222</v>
      </c>
      <c r="D132" s="18" t="s">
        <v>220</v>
      </c>
      <c r="E132" s="90">
        <f>Inputs!$E$155</f>
        <v>48029</v>
      </c>
      <c r="F132" s="90">
        <f>Inputs!$E$155</f>
        <v>48029</v>
      </c>
      <c r="G132" s="90"/>
    </row>
    <row r="134" spans="1:13" x14ac:dyDescent="0.25">
      <c r="A134" s="69" t="s">
        <v>7</v>
      </c>
      <c r="B134" s="69"/>
      <c r="C134" s="69" t="s">
        <v>344</v>
      </c>
      <c r="D134" s="69"/>
      <c r="E134" s="70" t="s">
        <v>244</v>
      </c>
      <c r="F134" s="70" t="s">
        <v>245</v>
      </c>
      <c r="G134" s="70"/>
      <c r="H134" s="70" t="s">
        <v>295</v>
      </c>
      <c r="I134" s="69"/>
      <c r="J134" s="70" t="s">
        <v>345</v>
      </c>
      <c r="K134" s="70" t="s">
        <v>346</v>
      </c>
      <c r="L134" s="69"/>
      <c r="M134" s="69"/>
    </row>
    <row r="135" spans="1:13" x14ac:dyDescent="0.25">
      <c r="C135" s="109">
        <v>46295</v>
      </c>
      <c r="D135" s="18" t="s">
        <v>18</v>
      </c>
      <c r="E135" s="83">
        <f t="shared" ref="E135:F155" si="2">SUMPRODUCT((Bid_Dates&gt;EOMONTH($C135,-Qtr_Months))*(Bid_Dates&lt;=$C135)*Bid_Cash,E$75:E$119)</f>
        <v>200</v>
      </c>
      <c r="F135" s="83">
        <f t="shared" si="2"/>
        <v>200</v>
      </c>
      <c r="G135" s="83"/>
      <c r="H135" s="83">
        <f>SUM(E135:G135)</f>
        <v>400</v>
      </c>
      <c r="J135" s="83">
        <f>H135</f>
        <v>400</v>
      </c>
      <c r="K135" s="83">
        <f>($C135&lt;=$E$44)*(($E$38&lt;=$C135)*($E$39&gt;$C135)*$H$77+($E$39&lt;=$C135)*($E$45&gt;$C135)*$H$78)</f>
        <v>0</v>
      </c>
    </row>
    <row r="136" spans="1:13" x14ac:dyDescent="0.25">
      <c r="C136" s="110">
        <f t="shared" ref="C136:C155" si="3">EOMONTH(C135,Qtr_Months)</f>
        <v>46387</v>
      </c>
      <c r="D136" s="18" t="s">
        <v>18</v>
      </c>
      <c r="E136" s="83">
        <f t="shared" si="2"/>
        <v>1329.7175120325805</v>
      </c>
      <c r="F136" s="83">
        <f t="shared" si="2"/>
        <v>1329.7175120325805</v>
      </c>
      <c r="G136" s="83"/>
      <c r="H136" s="83">
        <f>SUM(E136:G136)</f>
        <v>2659.4350240651611</v>
      </c>
      <c r="J136" s="83">
        <f t="shared" ref="J136:J155" si="4">H136+J135</f>
        <v>3059.4350240651611</v>
      </c>
      <c r="K136" s="83">
        <f>($C136&lt;=$E$44)*(($E$38&lt;=$C136)*($E$39&gt;$C136)*$H$77+($E$39&lt;=$C136)*($E$45&gt;$C136)*$H$78)</f>
        <v>11685.753424657534</v>
      </c>
    </row>
    <row r="137" spans="1:13" x14ac:dyDescent="0.25">
      <c r="C137" s="110">
        <f t="shared" si="3"/>
        <v>46477</v>
      </c>
      <c r="D137" s="18" t="s">
        <v>18</v>
      </c>
      <c r="E137" s="83">
        <f t="shared" si="2"/>
        <v>293.31148648648644</v>
      </c>
      <c r="F137" s="83">
        <f t="shared" si="2"/>
        <v>293.31148648648644</v>
      </c>
      <c r="G137" s="83"/>
      <c r="H137" s="83">
        <f>SUM(E137:G137)</f>
        <v>586.62297297297289</v>
      </c>
      <c r="J137" s="83">
        <f t="shared" si="4"/>
        <v>3646.0579970381341</v>
      </c>
      <c r="K137" s="83">
        <f>($C137&lt;=$E$44)*(($E$38&lt;=$C137)*($E$39&gt;$C137)*$H$77+($E$39&lt;=$C137)*($E$45&gt;$C137)*$H$78)</f>
        <v>11685.753424657534</v>
      </c>
    </row>
    <row r="138" spans="1:13" x14ac:dyDescent="0.25">
      <c r="C138" s="110">
        <f t="shared" si="3"/>
        <v>46568</v>
      </c>
      <c r="D138" s="18" t="s">
        <v>18</v>
      </c>
      <c r="E138" s="83">
        <f t="shared" si="2"/>
        <v>21.621621621621621</v>
      </c>
      <c r="F138" s="83">
        <f t="shared" si="2"/>
        <v>21.621621621621621</v>
      </c>
      <c r="G138" s="83"/>
      <c r="H138" s="83">
        <f>SUM(E138:G138)</f>
        <v>43.243243243243242</v>
      </c>
      <c r="J138" s="83">
        <f t="shared" si="4"/>
        <v>3689.3012402813774</v>
      </c>
      <c r="K138" s="83">
        <f>($C138&lt;=$E$44)*(($E$38&lt;=$C138)*($E$39&gt;$C138)*$H$77+($E$39&lt;=$C138)*($E$45&gt;$C138)*$H$78)</f>
        <v>11685.753424657534</v>
      </c>
    </row>
    <row r="139" spans="1:13" x14ac:dyDescent="0.25">
      <c r="C139" s="110">
        <f t="shared" si="3"/>
        <v>46660</v>
      </c>
      <c r="D139" s="18" t="s">
        <v>18</v>
      </c>
      <c r="E139" s="83">
        <f t="shared" si="2"/>
        <v>21.621621621621621</v>
      </c>
      <c r="F139" s="83">
        <f t="shared" si="2"/>
        <v>21.621621621621621</v>
      </c>
      <c r="G139" s="83"/>
      <c r="H139" s="83">
        <f>SUM(E139:G139)</f>
        <v>43.243243243243242</v>
      </c>
      <c r="J139" s="83">
        <f t="shared" si="4"/>
        <v>3732.5444835246208</v>
      </c>
      <c r="K139" s="83">
        <f>($C139&lt;=$E$44)*(($E$38&lt;=$C139)*($E$39&gt;$C139)*$H$77+($E$39&lt;=$C139)*($E$45&gt;$C139)*$H$78)</f>
        <v>11685.753424657534</v>
      </c>
    </row>
    <row r="140" spans="1:13" x14ac:dyDescent="0.25">
      <c r="C140" s="110">
        <f t="shared" si="3"/>
        <v>46752</v>
      </c>
      <c r="D140" s="18" t="s">
        <v>18</v>
      </c>
      <c r="E140" s="83">
        <f t="shared" si="2"/>
        <v>116.61081081081082</v>
      </c>
      <c r="F140" s="83">
        <f t="shared" si="2"/>
        <v>116.61081081081082</v>
      </c>
      <c r="G140" s="83"/>
      <c r="H140" s="83">
        <f>SUM(E140:G140)</f>
        <v>233.22162162162164</v>
      </c>
      <c r="J140" s="83">
        <f t="shared" si="4"/>
        <v>3965.7661051462424</v>
      </c>
      <c r="K140" s="83">
        <f>($C140&lt;=$E$44)*(($E$38&lt;=$C140)*($E$39&gt;$C140)*$H$77+($E$39&lt;=$C140)*($E$45&gt;$C140)*$H$78)</f>
        <v>11685.753424657534</v>
      </c>
    </row>
    <row r="141" spans="1:13" x14ac:dyDescent="0.25">
      <c r="C141" s="110">
        <f t="shared" si="3"/>
        <v>46843</v>
      </c>
      <c r="D141" s="18" t="s">
        <v>18</v>
      </c>
      <c r="E141" s="83">
        <f t="shared" si="2"/>
        <v>636.30439878654181</v>
      </c>
      <c r="F141" s="83">
        <f t="shared" si="2"/>
        <v>636.30439878654181</v>
      </c>
      <c r="G141" s="83"/>
      <c r="H141" s="83">
        <f>SUM(E141:G141)</f>
        <v>1272.6087975730836</v>
      </c>
      <c r="J141" s="83">
        <f t="shared" si="4"/>
        <v>5238.3749027193262</v>
      </c>
      <c r="K141" s="83">
        <f>($C141&lt;=$E$44)*(($E$38&lt;=$C141)*($E$39&gt;$C141)*$H$77+($E$39&lt;=$C141)*($E$45&gt;$C141)*$H$78)</f>
        <v>11685.753424657534</v>
      </c>
    </row>
    <row r="142" spans="1:13" x14ac:dyDescent="0.25">
      <c r="C142" s="110">
        <f t="shared" si="3"/>
        <v>46934</v>
      </c>
      <c r="D142" s="18" t="s">
        <v>18</v>
      </c>
      <c r="E142" s="83">
        <f t="shared" si="2"/>
        <v>2.3040540540540539</v>
      </c>
      <c r="F142" s="83">
        <f t="shared" si="2"/>
        <v>2.3040540540540539</v>
      </c>
      <c r="G142" s="83"/>
      <c r="H142" s="83">
        <f>SUM(E142:G142)</f>
        <v>4.6081081081081079</v>
      </c>
      <c r="J142" s="83">
        <f t="shared" si="4"/>
        <v>5242.9830108274346</v>
      </c>
      <c r="K142" s="83">
        <f>($C142&lt;=$E$44)*(($E$38&lt;=$C142)*($E$39&gt;$C142)*$H$77+($E$39&lt;=$C142)*($E$45&gt;$C142)*$H$78)</f>
        <v>11685.753424657534</v>
      </c>
    </row>
    <row r="143" spans="1:13" x14ac:dyDescent="0.25">
      <c r="C143" s="110">
        <f t="shared" si="3"/>
        <v>47026</v>
      </c>
      <c r="D143" s="18" t="s">
        <v>18</v>
      </c>
      <c r="E143" s="83">
        <f t="shared" si="2"/>
        <v>80.937028571428556</v>
      </c>
      <c r="F143" s="83">
        <f t="shared" si="2"/>
        <v>80.937028571428556</v>
      </c>
      <c r="G143" s="83"/>
      <c r="H143" s="83">
        <f>SUM(E143:G143)</f>
        <v>161.87405714285711</v>
      </c>
      <c r="J143" s="83">
        <f t="shared" si="4"/>
        <v>5404.8570679702916</v>
      </c>
      <c r="K143" s="83">
        <f>($C143&lt;=$E$44)*(($E$38&lt;=$C143)*($E$39&gt;$C143)*$H$77+($E$39&lt;=$C143)*($E$45&gt;$C143)*$H$78)</f>
        <v>11685.753424657534</v>
      </c>
    </row>
    <row r="144" spans="1:13" x14ac:dyDescent="0.25">
      <c r="C144" s="110">
        <f t="shared" si="3"/>
        <v>47118</v>
      </c>
      <c r="D144" s="18" t="s">
        <v>18</v>
      </c>
      <c r="E144" s="83">
        <f t="shared" si="2"/>
        <v>157.32004703050274</v>
      </c>
      <c r="F144" s="83">
        <f t="shared" si="2"/>
        <v>157.32004703050274</v>
      </c>
      <c r="G144" s="83"/>
      <c r="H144" s="83">
        <f>SUM(E144:G144)</f>
        <v>314.64009406100547</v>
      </c>
      <c r="J144" s="83">
        <f t="shared" si="4"/>
        <v>5719.4971620312972</v>
      </c>
      <c r="K144" s="83">
        <f>($C144&lt;=$E$44)*(($E$38&lt;=$C144)*($E$39&gt;$C144)*$H$77+($E$39&lt;=$C144)*($E$45&gt;$C144)*$H$78)</f>
        <v>11685.753424657534</v>
      </c>
    </row>
    <row r="145" spans="1:11" x14ac:dyDescent="0.25">
      <c r="C145" s="110">
        <f t="shared" si="3"/>
        <v>47208</v>
      </c>
      <c r="D145" s="18" t="s">
        <v>18</v>
      </c>
      <c r="E145" s="83">
        <f t="shared" si="2"/>
        <v>19633.293563420953</v>
      </c>
      <c r="F145" s="83">
        <f t="shared" si="2"/>
        <v>19633.293563420953</v>
      </c>
      <c r="G145" s="83"/>
      <c r="H145" s="83">
        <f>SUM(E145:G145)</f>
        <v>39266.587126841907</v>
      </c>
      <c r="J145" s="83">
        <f t="shared" si="4"/>
        <v>44986.0842888732</v>
      </c>
      <c r="K145" s="83">
        <f>($C145&lt;=$E$44)*(($E$38&lt;=$C145)*($E$39&gt;$C145)*$H$77+($E$39&lt;=$C145)*($E$45&gt;$C145)*$H$78)</f>
        <v>11685.753424657534</v>
      </c>
    </row>
    <row r="146" spans="1:11" x14ac:dyDescent="0.25">
      <c r="C146" s="110">
        <f t="shared" si="3"/>
        <v>47299</v>
      </c>
      <c r="D146" s="18" t="s">
        <v>18</v>
      </c>
      <c r="E146" s="83">
        <f t="shared" si="2"/>
        <v>0</v>
      </c>
      <c r="F146" s="83">
        <f t="shared" si="2"/>
        <v>0</v>
      </c>
      <c r="G146" s="83"/>
      <c r="H146" s="83">
        <f>SUM(E146:G146)</f>
        <v>0</v>
      </c>
      <c r="J146" s="83">
        <f t="shared" si="4"/>
        <v>44986.0842888732</v>
      </c>
      <c r="K146" s="83">
        <f>($C146&lt;=$E$44)*(($E$38&lt;=$C146)*($E$39&gt;$C146)*$H$77+($E$39&lt;=$C146)*($E$45&gt;$C146)*$H$78)</f>
        <v>11685.753424657534</v>
      </c>
    </row>
    <row r="147" spans="1:11" x14ac:dyDescent="0.25">
      <c r="C147" s="110">
        <f t="shared" si="3"/>
        <v>47391</v>
      </c>
      <c r="D147" s="18" t="s">
        <v>18</v>
      </c>
      <c r="E147" s="83">
        <f t="shared" si="2"/>
        <v>0</v>
      </c>
      <c r="F147" s="83">
        <f t="shared" si="2"/>
        <v>0</v>
      </c>
      <c r="G147" s="83"/>
      <c r="H147" s="83">
        <f>SUM(E147:G147)</f>
        <v>0</v>
      </c>
      <c r="J147" s="83">
        <f t="shared" si="4"/>
        <v>44986.0842888732</v>
      </c>
      <c r="K147" s="83">
        <f>($C147&lt;=$E$44)*(($E$38&lt;=$C147)*($E$39&gt;$C147)*$H$77+($E$39&lt;=$C147)*($E$45&gt;$C147)*$H$78)</f>
        <v>11685.753424657534</v>
      </c>
    </row>
    <row r="148" spans="1:11" x14ac:dyDescent="0.25">
      <c r="C148" s="110">
        <f t="shared" si="3"/>
        <v>47483</v>
      </c>
      <c r="D148" s="18" t="s">
        <v>18</v>
      </c>
      <c r="E148" s="83">
        <f t="shared" si="2"/>
        <v>0</v>
      </c>
      <c r="F148" s="83">
        <f t="shared" si="2"/>
        <v>0</v>
      </c>
      <c r="G148" s="83"/>
      <c r="H148" s="83">
        <f>SUM(E148:G148)</f>
        <v>0</v>
      </c>
      <c r="J148" s="83">
        <f t="shared" si="4"/>
        <v>44986.0842888732</v>
      </c>
      <c r="K148" s="83">
        <f>($C148&lt;=$E$44)*(($E$38&lt;=$C148)*($E$39&gt;$C148)*$H$77+($E$39&lt;=$C148)*($E$45&gt;$C148)*$H$78)</f>
        <v>11685.753424657534</v>
      </c>
    </row>
    <row r="149" spans="1:11" x14ac:dyDescent="0.25">
      <c r="C149" s="110">
        <f t="shared" si="3"/>
        <v>47573</v>
      </c>
      <c r="D149" s="18" t="s">
        <v>18</v>
      </c>
      <c r="E149" s="83">
        <f t="shared" si="2"/>
        <v>0</v>
      </c>
      <c r="F149" s="83">
        <f t="shared" si="2"/>
        <v>0</v>
      </c>
      <c r="G149" s="83"/>
      <c r="H149" s="83">
        <f>SUM(E149:G149)</f>
        <v>0</v>
      </c>
      <c r="J149" s="83">
        <f t="shared" si="4"/>
        <v>44986.0842888732</v>
      </c>
      <c r="K149" s="83">
        <f>($C149&lt;=$E$44)*(($E$38&lt;=$C149)*($E$39&gt;$C149)*$H$77+($E$39&lt;=$C149)*($E$45&gt;$C149)*$H$78)</f>
        <v>11685.753424657534</v>
      </c>
    </row>
    <row r="150" spans="1:11" x14ac:dyDescent="0.25">
      <c r="C150" s="110">
        <f t="shared" si="3"/>
        <v>47664</v>
      </c>
      <c r="D150" s="18" t="s">
        <v>18</v>
      </c>
      <c r="E150" s="83">
        <f t="shared" si="2"/>
        <v>0</v>
      </c>
      <c r="F150" s="83">
        <f t="shared" si="2"/>
        <v>0</v>
      </c>
      <c r="G150" s="83"/>
      <c r="H150" s="83">
        <f>SUM(E150:G150)</f>
        <v>0</v>
      </c>
      <c r="J150" s="83">
        <f t="shared" si="4"/>
        <v>44986.0842888732</v>
      </c>
      <c r="K150" s="83">
        <f>($C150&lt;=$E$44)*(($E$38&lt;=$C150)*($E$39&gt;$C150)*$H$77+($E$39&lt;=$C150)*($E$45&gt;$C150)*$H$78)</f>
        <v>11685.753424657534</v>
      </c>
    </row>
    <row r="151" spans="1:11" x14ac:dyDescent="0.25">
      <c r="C151" s="110">
        <f t="shared" si="3"/>
        <v>47756</v>
      </c>
      <c r="D151" s="18" t="s">
        <v>18</v>
      </c>
      <c r="E151" s="83">
        <f t="shared" si="2"/>
        <v>0</v>
      </c>
      <c r="F151" s="83">
        <f t="shared" si="2"/>
        <v>0</v>
      </c>
      <c r="G151" s="83"/>
      <c r="H151" s="83">
        <f>SUM(E151:G151)</f>
        <v>0</v>
      </c>
      <c r="J151" s="83">
        <f t="shared" si="4"/>
        <v>44986.0842888732</v>
      </c>
      <c r="K151" s="83">
        <f>($C151&lt;=$E$44)*(($E$38&lt;=$C151)*($E$39&gt;$C151)*$H$77+($E$39&lt;=$C151)*($E$45&gt;$C151)*$H$78)</f>
        <v>11685.753424657534</v>
      </c>
    </row>
    <row r="152" spans="1:11" x14ac:dyDescent="0.25">
      <c r="C152" s="110">
        <f t="shared" si="3"/>
        <v>47848</v>
      </c>
      <c r="D152" s="18" t="s">
        <v>18</v>
      </c>
      <c r="E152" s="83">
        <f t="shared" si="2"/>
        <v>0</v>
      </c>
      <c r="F152" s="83">
        <f t="shared" si="2"/>
        <v>0</v>
      </c>
      <c r="G152" s="83"/>
      <c r="H152" s="83">
        <f>SUM(E152:G152)</f>
        <v>0</v>
      </c>
      <c r="J152" s="83">
        <f t="shared" si="4"/>
        <v>44986.0842888732</v>
      </c>
      <c r="K152" s="83">
        <f>($C152&lt;=$E$44)*(($E$38&lt;=$C152)*($E$39&gt;$C152)*$H$77+($E$39&lt;=$C152)*($E$45&gt;$C152)*$H$78)</f>
        <v>11685.753424657534</v>
      </c>
    </row>
    <row r="153" spans="1:11" x14ac:dyDescent="0.25">
      <c r="C153" s="110">
        <f t="shared" si="3"/>
        <v>47938</v>
      </c>
      <c r="D153" s="18" t="s">
        <v>18</v>
      </c>
      <c r="E153" s="83">
        <f t="shared" si="2"/>
        <v>0</v>
      </c>
      <c r="F153" s="83">
        <f t="shared" si="2"/>
        <v>0</v>
      </c>
      <c r="G153" s="83"/>
      <c r="H153" s="83">
        <f>SUM(E153:G153)</f>
        <v>0</v>
      </c>
      <c r="J153" s="83">
        <f t="shared" si="4"/>
        <v>44986.0842888732</v>
      </c>
      <c r="K153" s="83">
        <f>($C153&lt;=$E$44)*(($E$38&lt;=$C153)*($E$39&gt;$C153)*$H$77+($E$39&lt;=$C153)*($E$45&gt;$C153)*$H$78)</f>
        <v>11685.753424657534</v>
      </c>
    </row>
    <row r="154" spans="1:11" x14ac:dyDescent="0.25">
      <c r="C154" s="110">
        <f t="shared" si="3"/>
        <v>48029</v>
      </c>
      <c r="D154" s="18" t="s">
        <v>18</v>
      </c>
      <c r="E154" s="83">
        <f t="shared" si="2"/>
        <v>0</v>
      </c>
      <c r="F154" s="83">
        <f t="shared" si="2"/>
        <v>0</v>
      </c>
      <c r="G154" s="83"/>
      <c r="H154" s="83">
        <f>SUM(E154:G154)</f>
        <v>0</v>
      </c>
      <c r="J154" s="83">
        <f t="shared" si="4"/>
        <v>44986.0842888732</v>
      </c>
      <c r="K154" s="83">
        <f>($C154&lt;=$E$44)*(($E$38&lt;=$C154)*($E$39&gt;$C154)*$H$77+($E$39&lt;=$C154)*($E$45&gt;$C154)*$H$78)</f>
        <v>11685.753424657534</v>
      </c>
    </row>
    <row r="155" spans="1:11" x14ac:dyDescent="0.25">
      <c r="C155" s="110">
        <f t="shared" si="3"/>
        <v>48121</v>
      </c>
      <c r="D155" s="18" t="s">
        <v>18</v>
      </c>
      <c r="E155" s="83">
        <f t="shared" si="2"/>
        <v>0</v>
      </c>
      <c r="F155" s="83">
        <f t="shared" si="2"/>
        <v>0</v>
      </c>
      <c r="G155" s="83"/>
      <c r="H155" s="83">
        <f>SUM(E155:G155)</f>
        <v>0</v>
      </c>
      <c r="J155" s="83">
        <f t="shared" si="4"/>
        <v>44986.0842888732</v>
      </c>
      <c r="K155" s="83">
        <f>($C155&lt;=$E$44)*(($E$38&lt;=$C155)*($E$39&gt;$C155)*$H$77+($E$39&lt;=$C155)*($E$45&gt;$C155)*$H$78)</f>
        <v>0</v>
      </c>
    </row>
    <row r="156" spans="1:11" x14ac:dyDescent="0.25">
      <c r="C156" s="85" t="s">
        <v>295</v>
      </c>
      <c r="D156" s="18" t="s">
        <v>18</v>
      </c>
      <c r="E156" s="102">
        <f>SUM(E135:E155)</f>
        <v>22493.0421444366</v>
      </c>
      <c r="F156" s="102">
        <f>SUM(F135:F155)</f>
        <v>22493.0421444366</v>
      </c>
      <c r="G156" s="102"/>
      <c r="H156" s="102">
        <f>SUM(E156:G156)</f>
        <v>44986.0842888732</v>
      </c>
    </row>
    <row r="157" spans="1:11" x14ac:dyDescent="0.25">
      <c r="C157" s="67" t="s">
        <v>347</v>
      </c>
      <c r="D157" s="18" t="s">
        <v>62</v>
      </c>
      <c r="E157" s="111" t="str">
        <f>IF(ABS(E156-E127)&lt;Tolerance,"OK","CHECK")</f>
        <v>OK</v>
      </c>
      <c r="F157" s="111" t="str">
        <f>IF(ABS(F156-F127)&lt;Tolerance,"OK","CHECK")</f>
        <v>OK</v>
      </c>
      <c r="G157" s="111"/>
    </row>
    <row r="159" spans="1:11" x14ac:dyDescent="0.25">
      <c r="A159" s="69" t="s">
        <v>7</v>
      </c>
      <c r="B159" s="69"/>
      <c r="C159" s="69" t="s">
        <v>348</v>
      </c>
      <c r="D159" s="69"/>
      <c r="E159" s="70" t="s">
        <v>349</v>
      </c>
      <c r="F159" s="70" t="s">
        <v>350</v>
      </c>
      <c r="G159" s="70"/>
    </row>
    <row r="160" spans="1:11" x14ac:dyDescent="0.25">
      <c r="A160" s="67"/>
      <c r="B160" s="67"/>
      <c r="C160" s="112" t="s">
        <v>351</v>
      </c>
      <c r="D160" s="113" t="s">
        <v>352</v>
      </c>
      <c r="E160" s="114">
        <v>0.2</v>
      </c>
      <c r="F160" s="115"/>
      <c r="G160" s="115"/>
    </row>
    <row r="161" spans="1:7" x14ac:dyDescent="0.25">
      <c r="A161" s="67"/>
      <c r="B161" s="67"/>
      <c r="C161" s="67" t="s">
        <v>353</v>
      </c>
      <c r="D161" s="18" t="s">
        <v>80</v>
      </c>
      <c r="E161" s="111"/>
      <c r="F161" s="116"/>
      <c r="G161" s="116"/>
    </row>
    <row r="162" spans="1:7" x14ac:dyDescent="0.25">
      <c r="A162" s="67"/>
      <c r="B162" s="67"/>
      <c r="C162" s="67" t="s">
        <v>354</v>
      </c>
      <c r="D162" s="18" t="s">
        <v>80</v>
      </c>
      <c r="E162" s="117">
        <v>10</v>
      </c>
      <c r="F162" s="118">
        <v>0</v>
      </c>
      <c r="G162" s="118"/>
    </row>
    <row r="163" spans="1:7" x14ac:dyDescent="0.25">
      <c r="A163" s="67"/>
      <c r="B163" s="67"/>
      <c r="C163" s="67" t="s">
        <v>355</v>
      </c>
      <c r="D163" s="18" t="s">
        <v>80</v>
      </c>
      <c r="E163" s="117">
        <v>15</v>
      </c>
      <c r="F163" s="118">
        <v>0</v>
      </c>
      <c r="G163" s="118"/>
    </row>
    <row r="164" spans="1:7" x14ac:dyDescent="0.25">
      <c r="A164" s="67"/>
      <c r="B164" s="67"/>
      <c r="C164" s="67" t="s">
        <v>356</v>
      </c>
      <c r="D164" s="18" t="s">
        <v>80</v>
      </c>
      <c r="E164" s="117">
        <v>20</v>
      </c>
      <c r="F164" s="118">
        <v>0</v>
      </c>
      <c r="G164" s="118"/>
    </row>
    <row r="165" spans="1:7" x14ac:dyDescent="0.25">
      <c r="A165" s="67"/>
      <c r="B165" s="67"/>
      <c r="C165" s="67" t="s">
        <v>357</v>
      </c>
      <c r="D165" s="18" t="s">
        <v>80</v>
      </c>
      <c r="E165" s="117">
        <v>25</v>
      </c>
      <c r="F165" s="118">
        <v>0</v>
      </c>
      <c r="G165" s="118"/>
    </row>
    <row r="166" spans="1:7" x14ac:dyDescent="0.25">
      <c r="A166" s="67"/>
      <c r="B166" s="67"/>
      <c r="C166" s="67" t="s">
        <v>358</v>
      </c>
      <c r="D166" s="18" t="s">
        <v>80</v>
      </c>
      <c r="E166" s="117">
        <v>30</v>
      </c>
      <c r="F166" s="118">
        <v>0</v>
      </c>
      <c r="G166" s="118"/>
    </row>
    <row r="167" spans="1:7" x14ac:dyDescent="0.25">
      <c r="A167" s="67"/>
      <c r="B167" s="67"/>
      <c r="C167" s="67" t="s">
        <v>359</v>
      </c>
      <c r="D167" s="18" t="s">
        <v>80</v>
      </c>
      <c r="E167" s="117">
        <v>35</v>
      </c>
      <c r="F167" s="118">
        <v>0</v>
      </c>
      <c r="G167" s="118"/>
    </row>
    <row r="168" spans="1:7" x14ac:dyDescent="0.25">
      <c r="A168" s="67"/>
      <c r="B168" s="67"/>
      <c r="C168" s="67" t="s">
        <v>360</v>
      </c>
      <c r="D168" s="18" t="s">
        <v>80</v>
      </c>
      <c r="E168" s="117">
        <v>40</v>
      </c>
      <c r="F168" s="118">
        <v>0</v>
      </c>
      <c r="G168" s="118"/>
    </row>
    <row r="169" spans="1:7" x14ac:dyDescent="0.25">
      <c r="A169" s="67"/>
      <c r="B169" s="67"/>
      <c r="C169" s="67" t="s">
        <v>361</v>
      </c>
      <c r="D169" s="18" t="s">
        <v>80</v>
      </c>
      <c r="E169" s="117">
        <v>45</v>
      </c>
      <c r="F169" s="118">
        <v>0</v>
      </c>
      <c r="G169" s="118"/>
    </row>
    <row r="170" spans="1:7" x14ac:dyDescent="0.25">
      <c r="A170" s="67"/>
      <c r="B170" s="67"/>
      <c r="C170" s="67" t="s">
        <v>362</v>
      </c>
      <c r="D170" s="18" t="s">
        <v>80</v>
      </c>
      <c r="E170" s="117">
        <v>50</v>
      </c>
      <c r="F170" s="118">
        <v>1</v>
      </c>
      <c r="G170" s="118"/>
    </row>
    <row r="172" spans="1:7" x14ac:dyDescent="0.25">
      <c r="A172" s="67"/>
      <c r="B172" s="67"/>
      <c r="C172" s="112" t="s">
        <v>363</v>
      </c>
      <c r="D172" s="113" t="s">
        <v>352</v>
      </c>
      <c r="E172" s="114">
        <v>0.15</v>
      </c>
      <c r="F172" s="115"/>
      <c r="G172" s="115"/>
    </row>
    <row r="173" spans="1:7" x14ac:dyDescent="0.25">
      <c r="A173" s="67"/>
      <c r="B173" s="67"/>
      <c r="C173" s="67" t="s">
        <v>353</v>
      </c>
      <c r="D173" s="18" t="s">
        <v>80</v>
      </c>
      <c r="E173" s="111"/>
      <c r="F173" s="116"/>
      <c r="G173" s="116"/>
    </row>
    <row r="174" spans="1:7" x14ac:dyDescent="0.25">
      <c r="A174" s="67"/>
      <c r="B174" s="67"/>
      <c r="C174" s="67" t="s">
        <v>354</v>
      </c>
      <c r="D174" s="18" t="s">
        <v>80</v>
      </c>
      <c r="E174" s="119">
        <v>2</v>
      </c>
      <c r="F174" s="118">
        <v>0</v>
      </c>
      <c r="G174" s="118"/>
    </row>
    <row r="175" spans="1:7" x14ac:dyDescent="0.25">
      <c r="A175" s="67"/>
      <c r="B175" s="67"/>
      <c r="C175" s="67" t="s">
        <v>355</v>
      </c>
      <c r="D175" s="18" t="s">
        <v>80</v>
      </c>
      <c r="E175" s="119">
        <v>2.1</v>
      </c>
      <c r="F175" s="118">
        <v>0</v>
      </c>
      <c r="G175" s="118"/>
    </row>
    <row r="176" spans="1:7" x14ac:dyDescent="0.25">
      <c r="A176" s="67"/>
      <c r="B176" s="67"/>
      <c r="C176" s="67" t="s">
        <v>356</v>
      </c>
      <c r="D176" s="18" t="s">
        <v>80</v>
      </c>
      <c r="E176" s="119">
        <v>2.2000000000000002</v>
      </c>
      <c r="F176" s="118">
        <v>0</v>
      </c>
      <c r="G176" s="118"/>
    </row>
    <row r="177" spans="1:7" x14ac:dyDescent="0.25">
      <c r="A177" s="67"/>
      <c r="B177" s="67"/>
      <c r="C177" s="67" t="s">
        <v>357</v>
      </c>
      <c r="D177" s="18" t="s">
        <v>80</v>
      </c>
      <c r="E177" s="119">
        <v>2.2999999999999998</v>
      </c>
      <c r="F177" s="118">
        <v>0</v>
      </c>
      <c r="G177" s="118"/>
    </row>
    <row r="178" spans="1:7" x14ac:dyDescent="0.25">
      <c r="A178" s="67"/>
      <c r="B178" s="67"/>
      <c r="C178" s="67" t="s">
        <v>358</v>
      </c>
      <c r="D178" s="18" t="s">
        <v>80</v>
      </c>
      <c r="E178" s="119">
        <v>2.4</v>
      </c>
      <c r="F178" s="118">
        <v>0</v>
      </c>
      <c r="G178" s="118"/>
    </row>
    <row r="179" spans="1:7" x14ac:dyDescent="0.25">
      <c r="A179" s="67"/>
      <c r="B179" s="67"/>
      <c r="C179" s="67" t="s">
        <v>359</v>
      </c>
      <c r="D179" s="18" t="s">
        <v>80</v>
      </c>
      <c r="E179" s="119">
        <v>2.5</v>
      </c>
      <c r="F179" s="118">
        <v>0</v>
      </c>
      <c r="G179" s="118"/>
    </row>
    <row r="180" spans="1:7" x14ac:dyDescent="0.25">
      <c r="A180" s="67"/>
      <c r="B180" s="67"/>
      <c r="C180" s="67" t="s">
        <v>360</v>
      </c>
      <c r="D180" s="18" t="s">
        <v>80</v>
      </c>
      <c r="E180" s="119">
        <v>2.6</v>
      </c>
      <c r="F180" s="118">
        <v>0</v>
      </c>
      <c r="G180" s="118"/>
    </row>
    <row r="181" spans="1:7" x14ac:dyDescent="0.25">
      <c r="A181" s="67"/>
      <c r="B181" s="67"/>
      <c r="C181" s="67" t="s">
        <v>361</v>
      </c>
      <c r="D181" s="18" t="s">
        <v>80</v>
      </c>
      <c r="E181" s="119">
        <v>2.7</v>
      </c>
      <c r="F181" s="118">
        <v>0</v>
      </c>
      <c r="G181" s="118"/>
    </row>
    <row r="182" spans="1:7" x14ac:dyDescent="0.25">
      <c r="A182" s="67"/>
      <c r="B182" s="67"/>
      <c r="C182" s="67" t="s">
        <v>362</v>
      </c>
      <c r="D182" s="18" t="s">
        <v>80</v>
      </c>
      <c r="E182" s="119">
        <v>2.8</v>
      </c>
      <c r="F182" s="118">
        <v>0</v>
      </c>
      <c r="G182" s="118"/>
    </row>
    <row r="183" spans="1:7" x14ac:dyDescent="0.25">
      <c r="A183" s="67"/>
      <c r="B183" s="67"/>
      <c r="C183" s="67" t="s">
        <v>364</v>
      </c>
      <c r="D183" s="18" t="s">
        <v>80</v>
      </c>
      <c r="E183" s="119">
        <v>2.9</v>
      </c>
      <c r="F183" s="118">
        <v>0</v>
      </c>
      <c r="G183" s="118"/>
    </row>
    <row r="184" spans="1:7" x14ac:dyDescent="0.25">
      <c r="A184" s="67"/>
      <c r="B184" s="67"/>
      <c r="C184" s="67" t="s">
        <v>365</v>
      </c>
      <c r="D184" s="18" t="s">
        <v>80</v>
      </c>
      <c r="E184" s="119">
        <v>3</v>
      </c>
      <c r="F184" s="118">
        <v>1</v>
      </c>
      <c r="G184" s="118"/>
    </row>
    <row r="186" spans="1:7" x14ac:dyDescent="0.25">
      <c r="A186" s="67"/>
      <c r="B186" s="67"/>
      <c r="C186" s="112" t="s">
        <v>366</v>
      </c>
      <c r="D186" s="113" t="s">
        <v>352</v>
      </c>
      <c r="E186" s="114">
        <v>0.1</v>
      </c>
      <c r="F186" s="115"/>
      <c r="G186" s="115"/>
    </row>
    <row r="187" spans="1:7" x14ac:dyDescent="0.25">
      <c r="A187" s="67"/>
      <c r="B187" s="67"/>
      <c r="C187" s="67" t="s">
        <v>353</v>
      </c>
      <c r="D187" s="18" t="s">
        <v>80</v>
      </c>
      <c r="E187" s="111"/>
      <c r="F187" s="116"/>
      <c r="G187" s="116"/>
    </row>
    <row r="188" spans="1:7" x14ac:dyDescent="0.25">
      <c r="A188" s="67"/>
      <c r="B188" s="67"/>
      <c r="C188" s="67" t="s">
        <v>354</v>
      </c>
      <c r="D188" s="18" t="s">
        <v>80</v>
      </c>
      <c r="E188" s="120">
        <v>0.02</v>
      </c>
      <c r="F188" s="118">
        <v>0</v>
      </c>
      <c r="G188" s="118"/>
    </row>
    <row r="189" spans="1:7" x14ac:dyDescent="0.25">
      <c r="A189" s="67"/>
      <c r="B189" s="67"/>
      <c r="C189" s="67" t="s">
        <v>355</v>
      </c>
      <c r="D189" s="18" t="s">
        <v>80</v>
      </c>
      <c r="E189" s="120">
        <v>0.05</v>
      </c>
      <c r="F189" s="118">
        <v>1</v>
      </c>
      <c r="G189" s="118"/>
    </row>
    <row r="190" spans="1:7" x14ac:dyDescent="0.25">
      <c r="A190" s="67"/>
      <c r="B190" s="67"/>
      <c r="C190" s="67" t="s">
        <v>356</v>
      </c>
      <c r="D190" s="18" t="s">
        <v>80</v>
      </c>
      <c r="E190" s="120">
        <v>0.1</v>
      </c>
      <c r="F190" s="118">
        <v>1</v>
      </c>
      <c r="G190" s="118"/>
    </row>
    <row r="191" spans="1:7" x14ac:dyDescent="0.25">
      <c r="A191" s="67"/>
      <c r="B191" s="67"/>
      <c r="C191" s="67" t="s">
        <v>357</v>
      </c>
      <c r="D191" s="18" t="s">
        <v>80</v>
      </c>
      <c r="E191" s="120">
        <v>0.15</v>
      </c>
      <c r="F191" s="118">
        <v>1</v>
      </c>
      <c r="G191" s="118"/>
    </row>
    <row r="192" spans="1:7" x14ac:dyDescent="0.25">
      <c r="A192" s="67"/>
      <c r="B192" s="67"/>
      <c r="C192" s="67" t="s">
        <v>358</v>
      </c>
      <c r="D192" s="18" t="s">
        <v>80</v>
      </c>
      <c r="E192" s="120">
        <v>0.2</v>
      </c>
      <c r="F192" s="118">
        <v>1</v>
      </c>
      <c r="G192" s="118"/>
    </row>
    <row r="193" spans="1:7" x14ac:dyDescent="0.25">
      <c r="A193" s="67"/>
      <c r="B193" s="67"/>
      <c r="C193" s="67" t="s">
        <v>359</v>
      </c>
      <c r="D193" s="18" t="s">
        <v>80</v>
      </c>
      <c r="E193" s="120">
        <v>0.25</v>
      </c>
      <c r="F193" s="118">
        <v>1</v>
      </c>
      <c r="G193" s="118"/>
    </row>
    <row r="194" spans="1:7" x14ac:dyDescent="0.25">
      <c r="A194" s="67"/>
      <c r="B194" s="67"/>
      <c r="C194" s="67" t="s">
        <v>360</v>
      </c>
      <c r="D194" s="18" t="s">
        <v>80</v>
      </c>
      <c r="E194" s="120">
        <v>0.3</v>
      </c>
      <c r="F194" s="118">
        <v>1</v>
      </c>
      <c r="G194" s="118"/>
    </row>
    <row r="195" spans="1:7" x14ac:dyDescent="0.25">
      <c r="A195" s="67"/>
      <c r="B195" s="67"/>
      <c r="C195" s="67" t="s">
        <v>361</v>
      </c>
      <c r="D195" s="18" t="s">
        <v>80</v>
      </c>
      <c r="E195" s="120">
        <v>0.35</v>
      </c>
      <c r="F195" s="118">
        <v>1</v>
      </c>
      <c r="G195" s="118"/>
    </row>
    <row r="196" spans="1:7" x14ac:dyDescent="0.25">
      <c r="A196" s="67"/>
      <c r="B196" s="67"/>
      <c r="C196" s="67" t="s">
        <v>362</v>
      </c>
      <c r="D196" s="18" t="s">
        <v>80</v>
      </c>
      <c r="E196" s="120">
        <v>0.4</v>
      </c>
      <c r="F196" s="118">
        <v>1</v>
      </c>
      <c r="G196" s="118"/>
    </row>
    <row r="197" spans="1:7" x14ac:dyDescent="0.25">
      <c r="A197" s="67"/>
      <c r="B197" s="67"/>
      <c r="C197" s="67" t="s">
        <v>364</v>
      </c>
      <c r="D197" s="18" t="s">
        <v>80</v>
      </c>
      <c r="E197" s="120">
        <v>0.5</v>
      </c>
      <c r="F197" s="118">
        <v>0</v>
      </c>
      <c r="G197" s="118"/>
    </row>
    <row r="199" spans="1:7" x14ac:dyDescent="0.25">
      <c r="A199" s="67"/>
      <c r="B199" s="67"/>
      <c r="C199" s="112" t="s">
        <v>367</v>
      </c>
      <c r="D199" s="113" t="s">
        <v>352</v>
      </c>
      <c r="E199" s="114">
        <v>0.15</v>
      </c>
      <c r="F199" s="115"/>
      <c r="G199" s="115"/>
    </row>
    <row r="200" spans="1:7" x14ac:dyDescent="0.25">
      <c r="A200" s="67"/>
      <c r="B200" s="67"/>
      <c r="C200" s="67" t="s">
        <v>353</v>
      </c>
      <c r="D200" s="18" t="s">
        <v>80</v>
      </c>
      <c r="E200" s="111"/>
      <c r="F200" s="116"/>
      <c r="G200" s="116"/>
    </row>
    <row r="201" spans="1:7" x14ac:dyDescent="0.25">
      <c r="A201" s="67"/>
      <c r="B201" s="67"/>
      <c r="C201" s="67" t="s">
        <v>354</v>
      </c>
      <c r="D201" s="18" t="s">
        <v>80</v>
      </c>
      <c r="E201" s="120">
        <v>0.02</v>
      </c>
      <c r="F201" s="118">
        <v>0</v>
      </c>
      <c r="G201" s="118"/>
    </row>
    <row r="202" spans="1:7" x14ac:dyDescent="0.25">
      <c r="A202" s="67"/>
      <c r="B202" s="67"/>
      <c r="C202" s="67" t="s">
        <v>355</v>
      </c>
      <c r="D202" s="18" t="s">
        <v>80</v>
      </c>
      <c r="E202" s="120">
        <v>0.05</v>
      </c>
      <c r="F202" s="118">
        <v>1</v>
      </c>
      <c r="G202" s="118"/>
    </row>
    <row r="203" spans="1:7" x14ac:dyDescent="0.25">
      <c r="A203" s="67"/>
      <c r="B203" s="67"/>
      <c r="C203" s="67" t="s">
        <v>356</v>
      </c>
      <c r="D203" s="18" t="s">
        <v>80</v>
      </c>
      <c r="E203" s="120">
        <v>0.1</v>
      </c>
      <c r="F203" s="118">
        <v>1</v>
      </c>
      <c r="G203" s="118"/>
    </row>
    <row r="204" spans="1:7" x14ac:dyDescent="0.25">
      <c r="A204" s="67"/>
      <c r="B204" s="67"/>
      <c r="C204" s="67" t="s">
        <v>357</v>
      </c>
      <c r="D204" s="18" t="s">
        <v>80</v>
      </c>
      <c r="E204" s="120">
        <v>0.15</v>
      </c>
      <c r="F204" s="118">
        <v>1</v>
      </c>
      <c r="G204" s="118"/>
    </row>
    <row r="205" spans="1:7" x14ac:dyDescent="0.25">
      <c r="A205" s="67"/>
      <c r="B205" s="67"/>
      <c r="C205" s="67" t="s">
        <v>358</v>
      </c>
      <c r="D205" s="18" t="s">
        <v>80</v>
      </c>
      <c r="E205" s="120">
        <v>0.2</v>
      </c>
      <c r="F205" s="118">
        <v>1</v>
      </c>
      <c r="G205" s="118"/>
    </row>
    <row r="206" spans="1:7" x14ac:dyDescent="0.25">
      <c r="A206" s="67"/>
      <c r="B206" s="67"/>
      <c r="C206" s="67" t="s">
        <v>359</v>
      </c>
      <c r="D206" s="18" t="s">
        <v>80</v>
      </c>
      <c r="E206" s="120">
        <v>0.25</v>
      </c>
      <c r="F206" s="118">
        <v>1</v>
      </c>
      <c r="G206" s="118"/>
    </row>
    <row r="207" spans="1:7" x14ac:dyDescent="0.25">
      <c r="A207" s="67"/>
      <c r="B207" s="67"/>
      <c r="C207" s="67" t="s">
        <v>360</v>
      </c>
      <c r="D207" s="18" t="s">
        <v>80</v>
      </c>
      <c r="E207" s="120">
        <v>0.3</v>
      </c>
      <c r="F207" s="118">
        <v>1</v>
      </c>
      <c r="G207" s="118"/>
    </row>
    <row r="208" spans="1:7" x14ac:dyDescent="0.25">
      <c r="A208" s="67"/>
      <c r="B208" s="67"/>
      <c r="C208" s="67" t="s">
        <v>361</v>
      </c>
      <c r="D208" s="18" t="s">
        <v>80</v>
      </c>
      <c r="E208" s="120">
        <v>0.35</v>
      </c>
      <c r="F208" s="118">
        <v>1</v>
      </c>
      <c r="G208" s="118"/>
    </row>
    <row r="209" spans="1:7" x14ac:dyDescent="0.25">
      <c r="A209" s="67"/>
      <c r="B209" s="67"/>
      <c r="C209" s="67" t="s">
        <v>362</v>
      </c>
      <c r="D209" s="18" t="s">
        <v>80</v>
      </c>
      <c r="E209" s="120">
        <v>0.4</v>
      </c>
      <c r="F209" s="118">
        <v>1</v>
      </c>
      <c r="G209" s="118"/>
    </row>
    <row r="210" spans="1:7" x14ac:dyDescent="0.25">
      <c r="A210" s="67"/>
      <c r="B210" s="67"/>
      <c r="C210" s="67" t="s">
        <v>364</v>
      </c>
      <c r="D210" s="18" t="s">
        <v>80</v>
      </c>
      <c r="E210" s="120">
        <v>0.5</v>
      </c>
      <c r="F210" s="118">
        <v>0</v>
      </c>
      <c r="G210" s="118"/>
    </row>
    <row r="212" spans="1:7" x14ac:dyDescent="0.25">
      <c r="A212" s="67"/>
      <c r="B212" s="67"/>
      <c r="C212" s="112" t="s">
        <v>368</v>
      </c>
      <c r="D212" s="113" t="s">
        <v>352</v>
      </c>
      <c r="E212" s="114">
        <v>0.05</v>
      </c>
      <c r="F212" s="115"/>
      <c r="G212" s="115"/>
    </row>
    <row r="213" spans="1:7" x14ac:dyDescent="0.25">
      <c r="A213" s="67"/>
      <c r="B213" s="67"/>
      <c r="C213" s="67" t="s">
        <v>353</v>
      </c>
      <c r="D213" s="18" t="s">
        <v>80</v>
      </c>
      <c r="E213" s="111"/>
      <c r="F213" s="116"/>
      <c r="G213" s="116"/>
    </row>
    <row r="214" spans="1:7" x14ac:dyDescent="0.25">
      <c r="A214" s="67"/>
      <c r="B214" s="67"/>
      <c r="C214" s="67" t="s">
        <v>354</v>
      </c>
      <c r="D214" s="18" t="s">
        <v>80</v>
      </c>
      <c r="E214" s="121">
        <v>1</v>
      </c>
      <c r="F214" s="118">
        <v>0</v>
      </c>
      <c r="G214" s="118"/>
    </row>
    <row r="215" spans="1:7" x14ac:dyDescent="0.25">
      <c r="A215" s="67"/>
      <c r="B215" s="67"/>
      <c r="C215" s="67" t="s">
        <v>355</v>
      </c>
      <c r="D215" s="18" t="s">
        <v>80</v>
      </c>
      <c r="E215" s="121">
        <v>1.2</v>
      </c>
      <c r="F215" s="118">
        <v>1</v>
      </c>
      <c r="G215" s="118"/>
    </row>
    <row r="216" spans="1:7" x14ac:dyDescent="0.25">
      <c r="A216" s="67"/>
      <c r="B216" s="67"/>
      <c r="C216" s="67" t="s">
        <v>356</v>
      </c>
      <c r="D216" s="18" t="s">
        <v>80</v>
      </c>
      <c r="E216" s="121">
        <v>1.3</v>
      </c>
      <c r="F216" s="118">
        <v>1</v>
      </c>
      <c r="G216" s="118"/>
    </row>
    <row r="217" spans="1:7" x14ac:dyDescent="0.25">
      <c r="A217" s="67"/>
      <c r="B217" s="67"/>
      <c r="C217" s="67" t="s">
        <v>357</v>
      </c>
      <c r="D217" s="18" t="s">
        <v>80</v>
      </c>
      <c r="E217" s="121">
        <v>1.4</v>
      </c>
      <c r="F217" s="118">
        <v>1</v>
      </c>
      <c r="G217" s="118"/>
    </row>
    <row r="218" spans="1:7" x14ac:dyDescent="0.25">
      <c r="A218" s="67"/>
      <c r="B218" s="67"/>
      <c r="C218" s="67" t="s">
        <v>358</v>
      </c>
      <c r="D218" s="18" t="s">
        <v>80</v>
      </c>
      <c r="E218" s="121">
        <v>1.5</v>
      </c>
      <c r="F218" s="118">
        <v>1</v>
      </c>
      <c r="G218" s="118"/>
    </row>
    <row r="219" spans="1:7" x14ac:dyDescent="0.25">
      <c r="A219" s="67"/>
      <c r="B219" s="67"/>
      <c r="C219" s="67" t="s">
        <v>359</v>
      </c>
      <c r="D219" s="18" t="s">
        <v>80</v>
      </c>
      <c r="E219" s="121">
        <v>1.6</v>
      </c>
      <c r="F219" s="118">
        <v>1</v>
      </c>
      <c r="G219" s="118"/>
    </row>
    <row r="220" spans="1:7" x14ac:dyDescent="0.25">
      <c r="A220" s="67"/>
      <c r="B220" s="67"/>
      <c r="C220" s="67" t="s">
        <v>360</v>
      </c>
      <c r="D220" s="18" t="s">
        <v>80</v>
      </c>
      <c r="E220" s="121">
        <v>1.7</v>
      </c>
      <c r="F220" s="118">
        <v>1</v>
      </c>
      <c r="G220" s="118"/>
    </row>
    <row r="221" spans="1:7" x14ac:dyDescent="0.25">
      <c r="A221" s="67"/>
      <c r="B221" s="67"/>
      <c r="C221" s="67" t="s">
        <v>361</v>
      </c>
      <c r="D221" s="18" t="s">
        <v>80</v>
      </c>
      <c r="E221" s="121">
        <v>1.8</v>
      </c>
      <c r="F221" s="118">
        <v>1</v>
      </c>
      <c r="G221" s="118"/>
    </row>
    <row r="222" spans="1:7" x14ac:dyDescent="0.25">
      <c r="A222" s="67"/>
      <c r="B222" s="67"/>
      <c r="C222" s="67" t="s">
        <v>362</v>
      </c>
      <c r="D222" s="18" t="s">
        <v>80</v>
      </c>
      <c r="E222" s="121">
        <v>1.9</v>
      </c>
      <c r="F222" s="118">
        <v>1</v>
      </c>
      <c r="G222" s="118"/>
    </row>
    <row r="223" spans="1:7" x14ac:dyDescent="0.25">
      <c r="A223" s="67"/>
      <c r="B223" s="67"/>
      <c r="C223" s="67" t="s">
        <v>364</v>
      </c>
      <c r="D223" s="18" t="s">
        <v>80</v>
      </c>
      <c r="E223" s="121">
        <v>2</v>
      </c>
      <c r="F223" s="118">
        <v>1</v>
      </c>
      <c r="G223" s="118"/>
    </row>
    <row r="225" spans="1:7" x14ac:dyDescent="0.25">
      <c r="A225" s="67"/>
      <c r="B225" s="67"/>
      <c r="C225" s="112" t="s">
        <v>369</v>
      </c>
      <c r="D225" s="113" t="s">
        <v>352</v>
      </c>
      <c r="E225" s="115"/>
      <c r="F225" s="115"/>
      <c r="G225" s="115"/>
    </row>
    <row r="226" spans="1:7" x14ac:dyDescent="0.25">
      <c r="A226" s="67"/>
      <c r="B226" s="67"/>
      <c r="C226" s="67" t="s">
        <v>370</v>
      </c>
      <c r="D226" s="18" t="s">
        <v>80</v>
      </c>
      <c r="E226" s="122">
        <v>0.05</v>
      </c>
      <c r="F226" s="116"/>
      <c r="G226" s="116"/>
    </row>
    <row r="227" spans="1:7" x14ac:dyDescent="0.25">
      <c r="A227" s="67"/>
      <c r="B227" s="67"/>
      <c r="C227" s="67" t="s">
        <v>371</v>
      </c>
      <c r="D227" s="18" t="s">
        <v>80</v>
      </c>
      <c r="E227" s="122">
        <v>0.1</v>
      </c>
      <c r="F227" s="116"/>
      <c r="G227" s="116"/>
    </row>
    <row r="228" spans="1:7" x14ac:dyDescent="0.25">
      <c r="A228" s="67"/>
      <c r="B228" s="67"/>
      <c r="C228" s="67" t="s">
        <v>372</v>
      </c>
      <c r="D228" s="18" t="s">
        <v>80</v>
      </c>
      <c r="E228" s="122">
        <v>0.05</v>
      </c>
      <c r="F228" s="116"/>
      <c r="G228" s="116"/>
    </row>
    <row r="230" spans="1:7" x14ac:dyDescent="0.25">
      <c r="A230" s="67"/>
      <c r="B230" s="67"/>
      <c r="C230" s="112" t="s">
        <v>373</v>
      </c>
      <c r="D230" s="113" t="s">
        <v>352</v>
      </c>
      <c r="E230" s="114">
        <v>0.15</v>
      </c>
      <c r="F230" s="115"/>
      <c r="G230" s="115"/>
    </row>
    <row r="231" spans="1:7" x14ac:dyDescent="0.25">
      <c r="A231" s="67"/>
      <c r="B231" s="67"/>
      <c r="C231" s="67" t="s">
        <v>374</v>
      </c>
      <c r="D231" s="18" t="s">
        <v>80</v>
      </c>
      <c r="E231" s="111"/>
      <c r="F231" s="116"/>
      <c r="G231" s="116"/>
    </row>
    <row r="232" spans="1:7" x14ac:dyDescent="0.25">
      <c r="A232" s="67"/>
      <c r="B232" s="67"/>
      <c r="C232" s="67" t="s">
        <v>375</v>
      </c>
      <c r="D232" s="18" t="s">
        <v>80</v>
      </c>
      <c r="E232" s="111"/>
      <c r="F232" s="116"/>
      <c r="G232" s="116"/>
    </row>
    <row r="234" spans="1:7" x14ac:dyDescent="0.25">
      <c r="A234" s="67"/>
      <c r="B234" s="67"/>
      <c r="C234" s="112" t="s">
        <v>376</v>
      </c>
      <c r="D234" s="113" t="s">
        <v>80</v>
      </c>
      <c r="E234" s="115"/>
      <c r="F234" s="115"/>
      <c r="G234" s="115"/>
    </row>
    <row r="236" spans="1:7" x14ac:dyDescent="0.25">
      <c r="A236" s="67"/>
      <c r="B236" s="67"/>
      <c r="C236" s="67" t="s">
        <v>30</v>
      </c>
      <c r="D236" s="67"/>
      <c r="E236" s="67"/>
      <c r="F236" s="67"/>
      <c r="G236" s="67"/>
    </row>
  </sheetData>
  <conditionalFormatting sqref="E157:G157">
    <cfRule type="cellIs" dxfId="3" priority="2" operator="equal">
      <formula>"OK"</formula>
    </cfRule>
    <cfRule type="cellIs" dxfId="2" priority="3" operator="equal">
      <formula>"CHECK"</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70C0"/>
  </sheetPr>
  <dimension ref="A1:AB368"/>
  <sheetViews>
    <sheetView showGridLines="0" topLeftCell="A147" zoomScaleNormal="100" workbookViewId="0">
      <selection activeCell="G163" sqref="G163"/>
    </sheetView>
  </sheetViews>
  <sheetFormatPr defaultColWidth="8.5703125" defaultRowHeight="15" outlineLevelRow="1" x14ac:dyDescent="0.25"/>
  <cols>
    <col min="1" max="2" width="2.5703125" customWidth="1"/>
    <col min="3" max="3" width="62.85546875" customWidth="1"/>
    <col min="4" max="4" width="13.42578125" customWidth="1"/>
    <col min="5" max="5" width="17.140625" customWidth="1"/>
    <col min="6" max="6" width="26.42578125" hidden="1" customWidth="1"/>
    <col min="7" max="9" width="15.42578125" customWidth="1"/>
    <col min="10" max="16" width="15.42578125" hidden="1" customWidth="1"/>
    <col min="17" max="28" width="7" customWidth="1"/>
  </cols>
  <sheetData>
    <row r="1" spans="1:16" ht="18.75" customHeight="1" x14ac:dyDescent="0.3">
      <c r="A1" s="123" t="s">
        <v>377</v>
      </c>
    </row>
    <row r="2" spans="1:16" x14ac:dyDescent="0.25">
      <c r="A2" s="124" t="s">
        <v>378</v>
      </c>
    </row>
    <row r="3" spans="1:16" x14ac:dyDescent="0.25">
      <c r="A3" s="124" t="s">
        <v>379</v>
      </c>
    </row>
    <row r="5" spans="1:16" x14ac:dyDescent="0.25">
      <c r="C5" s="125" t="s">
        <v>380</v>
      </c>
      <c r="D5" s="125" t="s">
        <v>381</v>
      </c>
      <c r="E5" s="125" t="s">
        <v>382</v>
      </c>
      <c r="F5" s="125" t="s">
        <v>383</v>
      </c>
      <c r="G5" s="125" t="s">
        <v>384</v>
      </c>
      <c r="H5" s="125" t="s">
        <v>385</v>
      </c>
      <c r="I5" s="125" t="s">
        <v>386</v>
      </c>
      <c r="J5" s="125" t="s">
        <v>387</v>
      </c>
      <c r="K5" s="125" t="s">
        <v>388</v>
      </c>
      <c r="L5" s="125" t="s">
        <v>389</v>
      </c>
      <c r="M5" s="125" t="s">
        <v>390</v>
      </c>
      <c r="N5" s="125" t="s">
        <v>391</v>
      </c>
      <c r="O5" s="125" t="s">
        <v>392</v>
      </c>
      <c r="P5" s="125" t="s">
        <v>393</v>
      </c>
    </row>
    <row r="6" spans="1:16" x14ac:dyDescent="0.25">
      <c r="C6" t="s">
        <v>394</v>
      </c>
      <c r="D6" t="s">
        <v>29</v>
      </c>
      <c r="E6" s="126">
        <f>MATCH(Scenario_Name,Scenario_Names,0)</f>
        <v>2</v>
      </c>
      <c r="F6" s="124" t="s">
        <v>395</v>
      </c>
      <c r="G6">
        <v>1</v>
      </c>
      <c r="H6">
        <f t="shared" ref="H6:P6" si="0">G6+1</f>
        <v>2</v>
      </c>
      <c r="I6">
        <f t="shared" si="0"/>
        <v>3</v>
      </c>
      <c r="J6">
        <f t="shared" si="0"/>
        <v>4</v>
      </c>
      <c r="K6">
        <f t="shared" si="0"/>
        <v>5</v>
      </c>
      <c r="L6">
        <f t="shared" si="0"/>
        <v>6</v>
      </c>
      <c r="M6">
        <f t="shared" si="0"/>
        <v>7</v>
      </c>
      <c r="N6">
        <f t="shared" si="0"/>
        <v>8</v>
      </c>
      <c r="O6">
        <f t="shared" si="0"/>
        <v>9</v>
      </c>
      <c r="P6">
        <f t="shared" si="0"/>
        <v>10</v>
      </c>
    </row>
    <row r="7" spans="1:16" x14ac:dyDescent="0.25">
      <c r="C7" t="s">
        <v>396</v>
      </c>
      <c r="D7" t="s">
        <v>397</v>
      </c>
      <c r="E7" t="str">
        <f t="array" ref="E7">INDEX($G7:$P7,$E$6)</f>
        <v>CN turbine</v>
      </c>
      <c r="F7" s="124"/>
      <c r="G7" s="127" t="s">
        <v>398</v>
      </c>
      <c r="H7" s="127" t="s">
        <v>78</v>
      </c>
      <c r="I7" s="127" t="s">
        <v>399</v>
      </c>
      <c r="J7" s="127"/>
      <c r="K7" s="127"/>
      <c r="L7" s="127"/>
      <c r="M7" s="127"/>
      <c r="N7" s="127"/>
      <c r="O7" s="127"/>
      <c r="P7" s="127"/>
    </row>
    <row r="8" spans="1:16" x14ac:dyDescent="0.25">
      <c r="C8" t="s">
        <v>400</v>
      </c>
      <c r="D8" t="s">
        <v>401</v>
      </c>
      <c r="E8" t="str">
        <f t="array" ref="E8">INDEX($G8:$P8,$E$6)</f>
        <v>As the EU turbine case, but CN turbines 500 k€/MW and 50 % gearing</v>
      </c>
      <c r="F8" s="124"/>
      <c r="G8" s="127" t="s">
        <v>402</v>
      </c>
      <c r="H8" s="127" t="s">
        <v>403</v>
      </c>
      <c r="I8" s="127" t="s">
        <v>404</v>
      </c>
      <c r="J8" s="127"/>
      <c r="K8" s="127"/>
      <c r="L8" s="127"/>
      <c r="M8" s="127"/>
      <c r="N8" s="127"/>
      <c r="O8" s="127"/>
      <c r="P8" s="127"/>
    </row>
    <row r="9" spans="1:16" x14ac:dyDescent="0.25">
      <c r="C9" t="s">
        <v>405</v>
      </c>
      <c r="D9" t="s">
        <v>29</v>
      </c>
      <c r="E9" s="128">
        <v>1</v>
      </c>
      <c r="F9" s="124" t="s">
        <v>406</v>
      </c>
    </row>
    <row r="10" spans="1:16" x14ac:dyDescent="0.25">
      <c r="B10" t="s">
        <v>7</v>
      </c>
      <c r="C10" s="129" t="s">
        <v>407</v>
      </c>
      <c r="D10" s="129"/>
      <c r="E10" s="129"/>
      <c r="F10" s="130"/>
      <c r="G10" s="129"/>
      <c r="H10" s="129"/>
      <c r="I10" s="129"/>
      <c r="J10" s="129"/>
      <c r="K10" s="129"/>
      <c r="L10" s="129"/>
      <c r="M10" s="129"/>
      <c r="N10" s="129"/>
      <c r="O10" s="129"/>
      <c r="P10" s="129"/>
    </row>
    <row r="11" spans="1:16" x14ac:dyDescent="0.25">
      <c r="C11" t="s">
        <v>408</v>
      </c>
      <c r="D11" t="s">
        <v>218</v>
      </c>
      <c r="E11" s="131">
        <f t="array" ref="E11">IF(INDEX($G11:$P11,$E$6)="",$G11,INDEX($G11:$P11,$E$6))</f>
        <v>365</v>
      </c>
      <c r="F11" s="132" t="s">
        <v>409</v>
      </c>
      <c r="G11" s="133">
        <v>365</v>
      </c>
      <c r="H11" s="133"/>
      <c r="I11" s="133"/>
      <c r="J11" s="133"/>
      <c r="K11" s="133"/>
      <c r="L11" s="133"/>
      <c r="M11" s="133"/>
      <c r="N11" s="133"/>
      <c r="O11" s="133"/>
      <c r="P11" s="133"/>
    </row>
    <row r="12" spans="1:16" x14ac:dyDescent="0.25">
      <c r="C12" t="s">
        <v>410</v>
      </c>
      <c r="D12" t="s">
        <v>51</v>
      </c>
      <c r="E12" s="134">
        <f t="array" ref="E12">IF(INDEX($G12:$P12,$E$6)="",$G12,INDEX($G12:$P12,$E$6))</f>
        <v>0.15</v>
      </c>
      <c r="F12" s="135" t="s">
        <v>411</v>
      </c>
      <c r="G12" s="136">
        <v>0.15</v>
      </c>
      <c r="H12" s="136"/>
      <c r="I12" s="136"/>
      <c r="J12" s="136"/>
      <c r="K12" s="136"/>
      <c r="L12" s="136"/>
      <c r="M12" s="136"/>
      <c r="N12" s="136"/>
      <c r="O12" s="136"/>
      <c r="P12" s="136"/>
    </row>
    <row r="13" spans="1:16" x14ac:dyDescent="0.25">
      <c r="C13" t="s">
        <v>412</v>
      </c>
      <c r="D13" t="s">
        <v>51</v>
      </c>
      <c r="E13" s="134">
        <f t="array" ref="E13">IF(INDEX($G13:$P13,$E$6)="",$G13,INDEX($G13:$P13,$E$6))</f>
        <v>0.08</v>
      </c>
      <c r="F13" s="135" t="s">
        <v>413</v>
      </c>
      <c r="G13" s="137">
        <f>G$255</f>
        <v>0.08</v>
      </c>
      <c r="H13" s="136" t="str">
        <f>H$255</f>
        <v/>
      </c>
      <c r="I13" s="136"/>
      <c r="J13" s="136"/>
      <c r="K13" s="136"/>
      <c r="L13" s="136"/>
      <c r="M13" s="136"/>
      <c r="N13" s="136"/>
      <c r="O13" s="136"/>
      <c r="P13" s="136"/>
    </row>
    <row r="14" spans="1:16" x14ac:dyDescent="0.25">
      <c r="C14" t="s">
        <v>414</v>
      </c>
      <c r="D14" t="s">
        <v>415</v>
      </c>
      <c r="E14" s="134">
        <f t="array" ref="E14">IF(INDEX($G14:$P14,$E$6)="",$G14,INDEX($G14:$P14,$E$6))</f>
        <v>1</v>
      </c>
      <c r="F14" s="135" t="s">
        <v>416</v>
      </c>
      <c r="G14" s="136">
        <v>1</v>
      </c>
      <c r="H14" s="136"/>
      <c r="I14" s="136"/>
      <c r="J14" s="136"/>
      <c r="K14" s="136"/>
      <c r="L14" s="136"/>
      <c r="M14" s="136"/>
      <c r="N14" s="136"/>
      <c r="O14" s="136"/>
      <c r="P14" s="136"/>
    </row>
    <row r="15" spans="1:16" x14ac:dyDescent="0.25">
      <c r="B15" t="s">
        <v>7</v>
      </c>
      <c r="C15" s="129" t="s">
        <v>417</v>
      </c>
      <c r="D15" s="129"/>
      <c r="E15" s="129"/>
      <c r="F15" s="130"/>
      <c r="G15" s="129"/>
      <c r="H15" s="129"/>
      <c r="I15" s="129"/>
      <c r="J15" s="129"/>
      <c r="K15" s="129"/>
      <c r="L15" s="129"/>
      <c r="M15" s="129"/>
      <c r="N15" s="129"/>
      <c r="O15" s="129"/>
      <c r="P15" s="129"/>
    </row>
    <row r="16" spans="1:16" x14ac:dyDescent="0.25">
      <c r="C16" t="s">
        <v>418</v>
      </c>
      <c r="D16" t="s">
        <v>84</v>
      </c>
      <c r="E16" s="131">
        <f>Dash_MVA*(1+Dash_Overbuild)</f>
        <v>151</v>
      </c>
      <c r="F16" s="132" t="s">
        <v>419</v>
      </c>
      <c r="G16" s="138"/>
      <c r="H16" s="133"/>
      <c r="I16" s="133"/>
      <c r="J16" s="133"/>
      <c r="K16" s="133"/>
      <c r="L16" s="133"/>
      <c r="M16" s="133"/>
      <c r="N16" s="133"/>
      <c r="O16" s="133"/>
      <c r="P16" s="133"/>
    </row>
    <row r="17" spans="2:16" x14ac:dyDescent="0.25">
      <c r="C17" t="s">
        <v>420</v>
      </c>
      <c r="D17" t="s">
        <v>51</v>
      </c>
      <c r="E17" s="134">
        <f t="array" ref="E17">IF(INDEX($G17:$P17,$E$6)="",$G17,INDEX($G17:$P17,$E$6))</f>
        <v>1</v>
      </c>
      <c r="F17" s="135" t="s">
        <v>421</v>
      </c>
      <c r="G17" s="136">
        <v>1</v>
      </c>
      <c r="H17" s="136"/>
      <c r="I17" s="136"/>
      <c r="J17" s="136"/>
      <c r="K17" s="136"/>
      <c r="L17" s="136"/>
      <c r="M17" s="136"/>
      <c r="N17" s="136"/>
      <c r="O17" s="136"/>
      <c r="P17" s="136"/>
    </row>
    <row r="18" spans="2:16" x14ac:dyDescent="0.25">
      <c r="C18" t="s">
        <v>422</v>
      </c>
      <c r="D18" t="s">
        <v>84</v>
      </c>
      <c r="E18" s="131">
        <f>E16*E17</f>
        <v>151</v>
      </c>
      <c r="F18" s="132"/>
      <c r="G18" s="131"/>
      <c r="H18" s="131"/>
      <c r="I18" s="131"/>
      <c r="J18" s="131"/>
      <c r="K18" s="131"/>
      <c r="L18" s="131"/>
      <c r="M18" s="131"/>
      <c r="N18" s="131"/>
      <c r="O18" s="131"/>
      <c r="P18" s="131"/>
    </row>
    <row r="19" spans="2:16" x14ac:dyDescent="0.25">
      <c r="C19" t="s">
        <v>423</v>
      </c>
      <c r="D19" t="s">
        <v>84</v>
      </c>
      <c r="E19" s="131">
        <f>E16-E18</f>
        <v>0</v>
      </c>
      <c r="F19" s="132" t="s">
        <v>424</v>
      </c>
      <c r="G19" s="131"/>
      <c r="H19" s="131"/>
      <c r="I19" s="131"/>
      <c r="J19" s="131"/>
      <c r="K19" s="131"/>
      <c r="L19" s="131"/>
      <c r="M19" s="131"/>
      <c r="N19" s="131"/>
      <c r="O19" s="131"/>
      <c r="P19" s="131"/>
    </row>
    <row r="20" spans="2:16" x14ac:dyDescent="0.25">
      <c r="C20" t="s">
        <v>425</v>
      </c>
      <c r="D20" t="s">
        <v>84</v>
      </c>
      <c r="E20" s="131">
        <f>Dash_BESS_Share*Dash_MVA</f>
        <v>30</v>
      </c>
      <c r="F20" s="132" t="s">
        <v>426</v>
      </c>
      <c r="G20" s="138"/>
      <c r="H20" s="133"/>
      <c r="I20" s="133"/>
      <c r="J20" s="133"/>
      <c r="K20" s="133"/>
      <c r="L20" s="133"/>
      <c r="M20" s="133"/>
      <c r="N20" s="133"/>
      <c r="O20" s="133"/>
      <c r="P20" s="133"/>
    </row>
    <row r="21" spans="2:16" x14ac:dyDescent="0.25">
      <c r="C21" t="s">
        <v>63</v>
      </c>
      <c r="D21" t="s">
        <v>427</v>
      </c>
      <c r="E21" s="131">
        <f t="array" ref="E21">IF(INDEX($G21:$P21,$E$6)="",$G21,INDEX($G21:$P21,$E$6))</f>
        <v>4</v>
      </c>
      <c r="F21" s="132" t="s">
        <v>428</v>
      </c>
      <c r="G21" s="133">
        <v>4</v>
      </c>
      <c r="H21" s="133"/>
      <c r="I21" s="133"/>
      <c r="J21" s="133"/>
      <c r="K21" s="133"/>
      <c r="L21" s="133"/>
      <c r="M21" s="133"/>
      <c r="N21" s="133"/>
      <c r="O21" s="133"/>
      <c r="P21" s="133"/>
    </row>
    <row r="22" spans="2:16" x14ac:dyDescent="0.25">
      <c r="C22" t="s">
        <v>429</v>
      </c>
      <c r="D22" t="s">
        <v>88</v>
      </c>
      <c r="E22" s="131">
        <f>E20*E21</f>
        <v>120</v>
      </c>
      <c r="F22" s="132" t="s">
        <v>430</v>
      </c>
      <c r="G22" s="131"/>
      <c r="H22" s="131"/>
      <c r="I22" s="131"/>
      <c r="J22" s="131"/>
      <c r="K22" s="131"/>
      <c r="L22" s="131"/>
      <c r="M22" s="131"/>
      <c r="N22" s="131"/>
      <c r="O22" s="131"/>
      <c r="P22" s="131"/>
    </row>
    <row r="23" spans="2:16" x14ac:dyDescent="0.25">
      <c r="C23" t="s">
        <v>431</v>
      </c>
      <c r="D23" t="s">
        <v>88</v>
      </c>
      <c r="E23" s="131">
        <f>E22*E17</f>
        <v>120</v>
      </c>
      <c r="F23" s="132" t="s">
        <v>432</v>
      </c>
      <c r="G23" s="131"/>
      <c r="H23" s="131"/>
      <c r="I23" s="131"/>
      <c r="J23" s="131"/>
      <c r="K23" s="131"/>
      <c r="L23" s="131"/>
      <c r="M23" s="131"/>
      <c r="N23" s="131"/>
      <c r="O23" s="131"/>
      <c r="P23" s="131"/>
    </row>
    <row r="24" spans="2:16" x14ac:dyDescent="0.25">
      <c r="C24" t="s">
        <v>433</v>
      </c>
      <c r="D24" t="s">
        <v>125</v>
      </c>
      <c r="E24" s="139">
        <f>IF(INDEX($G24:$P24,$E$6)="",$G24,INDEX($G24:$P24,$E$6))*In_Scale</f>
        <v>125</v>
      </c>
      <c r="F24" s="140" t="s">
        <v>434</v>
      </c>
      <c r="G24" s="141">
        <v>250</v>
      </c>
      <c r="H24" s="142"/>
      <c r="I24" s="142"/>
      <c r="J24" s="142"/>
      <c r="K24" s="142"/>
      <c r="L24" s="142"/>
      <c r="M24" s="142"/>
      <c r="N24" s="142"/>
      <c r="O24" s="142"/>
      <c r="P24" s="142"/>
    </row>
    <row r="25" spans="2:16" x14ac:dyDescent="0.25">
      <c r="C25" t="s">
        <v>435</v>
      </c>
      <c r="D25" t="s">
        <v>125</v>
      </c>
      <c r="E25" s="139">
        <f>IF(INDEX($G25:$P25,$E$6)="",$G25,INDEX($G25:$P25,$E$6))*In_Scale</f>
        <v>75</v>
      </c>
      <c r="F25" s="140" t="s">
        <v>434</v>
      </c>
      <c r="G25" s="142">
        <v>150</v>
      </c>
      <c r="H25" s="142"/>
      <c r="I25" s="142"/>
      <c r="J25" s="142"/>
      <c r="K25" s="142"/>
      <c r="L25" s="142"/>
      <c r="M25" s="142"/>
      <c r="N25" s="142"/>
      <c r="O25" s="142"/>
      <c r="P25" s="142"/>
    </row>
    <row r="26" spans="2:16" x14ac:dyDescent="0.25">
      <c r="C26" t="s">
        <v>436</v>
      </c>
      <c r="D26" t="s">
        <v>125</v>
      </c>
      <c r="E26" s="139">
        <f>IF(INDEX($G26:$P26,$E$6)="",$G26,INDEX($G26:$P26,$E$6))*In_Scale</f>
        <v>250</v>
      </c>
      <c r="F26" s="140" t="s">
        <v>437</v>
      </c>
      <c r="G26" s="142">
        <v>500</v>
      </c>
      <c r="H26" s="142"/>
      <c r="I26" s="142"/>
      <c r="J26" s="142"/>
      <c r="K26" s="142"/>
      <c r="L26" s="142"/>
      <c r="M26" s="142"/>
      <c r="N26" s="142"/>
      <c r="O26" s="142"/>
      <c r="P26" s="142"/>
    </row>
    <row r="27" spans="2:16" x14ac:dyDescent="0.25">
      <c r="C27" t="s">
        <v>438</v>
      </c>
      <c r="D27" t="s">
        <v>266</v>
      </c>
      <c r="E27" s="143">
        <f t="array" ref="E27">IF(INDEX($G27:$P27,$E$6)="",$G27,INDEX($G27:$P27,$E$6))</f>
        <v>46234</v>
      </c>
      <c r="F27" s="144" t="s">
        <v>439</v>
      </c>
      <c r="G27" s="145">
        <v>46234</v>
      </c>
      <c r="H27" s="145"/>
      <c r="I27" s="145"/>
      <c r="J27" s="145"/>
      <c r="K27" s="145"/>
      <c r="L27" s="145"/>
      <c r="M27" s="145"/>
      <c r="N27" s="145"/>
      <c r="O27" s="145"/>
      <c r="P27" s="145"/>
    </row>
    <row r="28" spans="2:16" x14ac:dyDescent="0.25">
      <c r="C28" t="s">
        <v>440</v>
      </c>
      <c r="D28" t="s">
        <v>441</v>
      </c>
      <c r="E28" s="146">
        <f t="array" ref="E28">IF(INDEX($G28:$P28,$E$6)="",$G28,INDEX($G28:$P28,$E$6))</f>
        <v>6</v>
      </c>
      <c r="F28" s="147" t="s">
        <v>442</v>
      </c>
      <c r="G28" s="148">
        <v>6</v>
      </c>
      <c r="H28" s="148"/>
      <c r="I28" s="148"/>
      <c r="J28" s="149"/>
      <c r="K28" s="149"/>
      <c r="L28" s="149"/>
      <c r="M28" s="149"/>
      <c r="N28" s="149"/>
      <c r="O28" s="149"/>
      <c r="P28" s="149"/>
    </row>
    <row r="29" spans="2:16" x14ac:dyDescent="0.25">
      <c r="F29" s="124"/>
    </row>
    <row r="30" spans="2:16" x14ac:dyDescent="0.25">
      <c r="B30" t="s">
        <v>7</v>
      </c>
      <c r="C30" s="129" t="s">
        <v>443</v>
      </c>
      <c r="D30" s="129"/>
      <c r="E30" s="129"/>
      <c r="F30" s="130"/>
      <c r="G30" s="129"/>
      <c r="H30" s="129"/>
      <c r="I30" s="129"/>
      <c r="J30" s="129"/>
      <c r="K30" s="129"/>
      <c r="L30" s="129"/>
      <c r="M30" s="129"/>
      <c r="N30" s="129"/>
      <c r="O30" s="129"/>
      <c r="P30" s="129"/>
    </row>
    <row r="31" spans="2:16" x14ac:dyDescent="0.25">
      <c r="C31" t="s">
        <v>444</v>
      </c>
      <c r="D31" t="s">
        <v>415</v>
      </c>
      <c r="E31" s="146">
        <f t="array" ref="E31">IF($E$9=1,IF(INDEX($G31:$P31,$E$6)="",$G31,INDEX($G31:$P31,$E$6)),$E$286)</f>
        <v>1</v>
      </c>
      <c r="F31" s="147" t="s">
        <v>445</v>
      </c>
      <c r="G31" s="148">
        <v>1</v>
      </c>
      <c r="H31" s="149"/>
      <c r="I31" s="149"/>
      <c r="J31" s="149"/>
      <c r="K31" s="149"/>
      <c r="L31" s="149"/>
      <c r="M31" s="149"/>
      <c r="N31" s="149"/>
      <c r="O31" s="149"/>
      <c r="P31" s="149"/>
    </row>
    <row r="32" spans="2:16" x14ac:dyDescent="0.25">
      <c r="C32" t="s">
        <v>446</v>
      </c>
      <c r="D32" t="s">
        <v>51</v>
      </c>
      <c r="E32" s="134">
        <f t="array" ref="E32">IF($E$9=1,IF(INDEX($G32:$P32,$E$6)="",$G32,INDEX($G32:$P32,$E$6)),$E$287)</f>
        <v>0.7</v>
      </c>
      <c r="F32" s="135"/>
      <c r="G32" s="150">
        <v>0.7</v>
      </c>
      <c r="H32" s="136"/>
      <c r="I32" s="136"/>
      <c r="J32" s="136"/>
      <c r="K32" s="136"/>
      <c r="L32" s="136"/>
      <c r="M32" s="136"/>
      <c r="N32" s="136"/>
      <c r="O32" s="136"/>
      <c r="P32" s="136"/>
    </row>
    <row r="33" spans="2:16" x14ac:dyDescent="0.25">
      <c r="C33" t="s">
        <v>447</v>
      </c>
      <c r="D33" t="s">
        <v>51</v>
      </c>
      <c r="E33" s="134">
        <f>IF(E31=1,E32,1)</f>
        <v>0.7</v>
      </c>
      <c r="F33" s="135"/>
      <c r="G33" s="134"/>
      <c r="H33" s="134"/>
      <c r="I33" s="134"/>
      <c r="J33" s="134"/>
      <c r="K33" s="134"/>
      <c r="L33" s="134"/>
      <c r="M33" s="134"/>
      <c r="N33" s="134"/>
      <c r="O33" s="134"/>
      <c r="P33" s="134"/>
    </row>
    <row r="34" spans="2:16" x14ac:dyDescent="0.25">
      <c r="C34" t="s">
        <v>448</v>
      </c>
      <c r="D34" t="s">
        <v>51</v>
      </c>
      <c r="E34" s="134">
        <f>1-E33</f>
        <v>0.30000000000000004</v>
      </c>
      <c r="F34" s="135"/>
      <c r="G34" s="134"/>
      <c r="H34" s="134"/>
      <c r="I34" s="134"/>
      <c r="J34" s="134"/>
      <c r="K34" s="134"/>
      <c r="L34" s="134"/>
      <c r="M34" s="134"/>
      <c r="N34" s="134"/>
      <c r="O34" s="134"/>
      <c r="P34" s="134"/>
    </row>
    <row r="35" spans="2:16" x14ac:dyDescent="0.25">
      <c r="C35" t="s">
        <v>449</v>
      </c>
      <c r="D35" t="s">
        <v>415</v>
      </c>
      <c r="E35" s="146">
        <f t="array" ref="E35">IF(INDEX($G35:$P35,$E$6)="",$G35,INDEX($G35:$P35,$E$6))</f>
        <v>0</v>
      </c>
      <c r="F35" s="147" t="s">
        <v>450</v>
      </c>
      <c r="G35" s="149">
        <v>0</v>
      </c>
      <c r="H35" s="149"/>
      <c r="I35" s="149"/>
      <c r="J35" s="149"/>
      <c r="K35" s="149"/>
      <c r="L35" s="149"/>
      <c r="M35" s="149"/>
      <c r="N35" s="149"/>
      <c r="O35" s="149"/>
      <c r="P35" s="149"/>
    </row>
    <row r="36" spans="2:16" x14ac:dyDescent="0.25">
      <c r="C36" t="s">
        <v>451</v>
      </c>
      <c r="D36" t="s">
        <v>11</v>
      </c>
      <c r="E36" s="151">
        <f t="array" ref="E36">IF(INDEX($G36:$P36,$E$6)="",$G36,INDEX($G36:$P36,$E$6))</f>
        <v>2.5</v>
      </c>
      <c r="F36" s="152" t="s">
        <v>452</v>
      </c>
      <c r="G36" s="153">
        <v>2.5</v>
      </c>
      <c r="H36" s="153"/>
      <c r="I36" s="153"/>
      <c r="J36" s="153"/>
      <c r="K36" s="153"/>
      <c r="L36" s="153"/>
      <c r="M36" s="153"/>
      <c r="N36" s="153"/>
      <c r="O36" s="153"/>
      <c r="P36" s="153"/>
    </row>
    <row r="37" spans="2:16" x14ac:dyDescent="0.25">
      <c r="C37" t="s">
        <v>453</v>
      </c>
      <c r="D37" t="s">
        <v>11</v>
      </c>
      <c r="E37" s="151">
        <f t="array" ref="E37">IF(INDEX($G37:$P37,$E$6)="",$G37,INDEX($G37:$P37,$E$6))</f>
        <v>10</v>
      </c>
      <c r="F37" s="152"/>
      <c r="G37" s="153">
        <v>10</v>
      </c>
      <c r="H37" s="153"/>
      <c r="I37" s="153"/>
      <c r="J37" s="153"/>
      <c r="K37" s="153"/>
      <c r="L37" s="153"/>
      <c r="M37" s="153"/>
      <c r="N37" s="153"/>
      <c r="O37" s="153"/>
      <c r="P37" s="153"/>
    </row>
    <row r="38" spans="2:16" x14ac:dyDescent="0.25">
      <c r="C38" t="s">
        <v>454</v>
      </c>
      <c r="D38" t="s">
        <v>415</v>
      </c>
      <c r="E38" s="146">
        <f>IF($E$9=1,E31,$E$288)</f>
        <v>1</v>
      </c>
      <c r="F38" s="147" t="s">
        <v>455</v>
      </c>
      <c r="G38" s="146"/>
      <c r="H38" s="146"/>
      <c r="I38" s="146"/>
      <c r="J38" s="146"/>
      <c r="K38" s="146"/>
      <c r="L38" s="146"/>
      <c r="M38" s="146"/>
      <c r="N38" s="146"/>
      <c r="O38" s="146"/>
      <c r="P38" s="146"/>
    </row>
    <row r="39" spans="2:16" x14ac:dyDescent="0.25">
      <c r="F39" s="124"/>
    </row>
    <row r="40" spans="2:16" x14ac:dyDescent="0.25">
      <c r="B40" t="s">
        <v>7</v>
      </c>
      <c r="C40" s="129" t="s">
        <v>456</v>
      </c>
      <c r="D40" s="129"/>
      <c r="E40" s="129"/>
      <c r="F40" s="130"/>
      <c r="G40" s="129"/>
      <c r="H40" s="129"/>
      <c r="I40" s="129"/>
      <c r="J40" s="129"/>
      <c r="K40" s="129"/>
      <c r="L40" s="129"/>
      <c r="M40" s="129"/>
      <c r="N40" s="129"/>
      <c r="O40" s="129"/>
      <c r="P40" s="129"/>
    </row>
    <row r="41" spans="2:16" outlineLevel="1" x14ac:dyDescent="0.25">
      <c r="C41" t="s">
        <v>457</v>
      </c>
      <c r="D41" t="s">
        <v>11</v>
      </c>
      <c r="E41" s="151">
        <f t="shared" ref="E41:E46" si="1">IF(INDEX($G41:$P41,$E$6)="",$G41,INDEX($G41:$P41,$E$6))</f>
        <v>0</v>
      </c>
      <c r="F41" s="152" t="s">
        <v>458</v>
      </c>
      <c r="G41" s="153"/>
      <c r="H41" s="153"/>
      <c r="I41" s="153"/>
      <c r="J41" s="153"/>
      <c r="K41" s="153"/>
      <c r="L41" s="153"/>
      <c r="M41" s="153"/>
      <c r="N41" s="153"/>
      <c r="O41" s="153"/>
      <c r="P41" s="153"/>
    </row>
    <row r="42" spans="2:16" outlineLevel="1" x14ac:dyDescent="0.25">
      <c r="C42" t="s">
        <v>459</v>
      </c>
      <c r="D42" t="s">
        <v>11</v>
      </c>
      <c r="E42" s="151">
        <f t="shared" si="1"/>
        <v>0</v>
      </c>
      <c r="F42" s="152"/>
      <c r="G42" s="153"/>
      <c r="H42" s="153"/>
      <c r="I42" s="153"/>
      <c r="J42" s="153"/>
      <c r="K42" s="153"/>
      <c r="L42" s="153"/>
      <c r="M42" s="153"/>
      <c r="N42" s="153"/>
      <c r="O42" s="153"/>
      <c r="P42" s="153"/>
    </row>
    <row r="43" spans="2:16" outlineLevel="1" x14ac:dyDescent="0.25">
      <c r="C43" t="s">
        <v>460</v>
      </c>
      <c r="D43" t="s">
        <v>11</v>
      </c>
      <c r="E43" s="151">
        <f t="shared" si="1"/>
        <v>0</v>
      </c>
      <c r="F43" s="152"/>
      <c r="G43" s="153"/>
      <c r="H43" s="153"/>
      <c r="I43" s="153"/>
      <c r="J43" s="153"/>
      <c r="K43" s="153"/>
      <c r="L43" s="153"/>
      <c r="M43" s="153"/>
      <c r="N43" s="153"/>
      <c r="O43" s="153"/>
      <c r="P43" s="153"/>
    </row>
    <row r="44" spans="2:16" outlineLevel="1" x14ac:dyDescent="0.25">
      <c r="C44" t="s">
        <v>461</v>
      </c>
      <c r="D44" t="s">
        <v>11</v>
      </c>
      <c r="E44" s="151">
        <f t="shared" si="1"/>
        <v>0</v>
      </c>
      <c r="F44" s="152"/>
      <c r="G44" s="153"/>
      <c r="H44" s="153"/>
      <c r="I44" s="153"/>
      <c r="J44" s="153"/>
      <c r="K44" s="153"/>
      <c r="L44" s="153"/>
      <c r="M44" s="153"/>
      <c r="N44" s="153"/>
      <c r="O44" s="153"/>
      <c r="P44" s="153"/>
    </row>
    <row r="45" spans="2:16" outlineLevel="1" x14ac:dyDescent="0.25">
      <c r="C45" t="s">
        <v>462</v>
      </c>
      <c r="D45" t="s">
        <v>11</v>
      </c>
      <c r="E45" s="151">
        <f t="shared" si="1"/>
        <v>0</v>
      </c>
      <c r="F45" s="152"/>
      <c r="G45" s="153"/>
      <c r="H45" s="153"/>
      <c r="I45" s="153"/>
      <c r="J45" s="153"/>
      <c r="K45" s="153"/>
      <c r="L45" s="153"/>
      <c r="M45" s="153"/>
      <c r="N45" s="153"/>
      <c r="O45" s="153"/>
      <c r="P45" s="153"/>
    </row>
    <row r="46" spans="2:16" outlineLevel="1" x14ac:dyDescent="0.25">
      <c r="C46" t="s">
        <v>463</v>
      </c>
      <c r="D46" t="s">
        <v>11</v>
      </c>
      <c r="E46" s="151">
        <f t="shared" si="1"/>
        <v>0</v>
      </c>
      <c r="F46" s="152"/>
      <c r="G46" s="153"/>
      <c r="H46" s="153"/>
      <c r="I46" s="153"/>
      <c r="J46" s="153"/>
      <c r="K46" s="153"/>
      <c r="L46" s="153"/>
      <c r="M46" s="153"/>
      <c r="N46" s="153"/>
      <c r="O46" s="153"/>
      <c r="P46" s="153"/>
    </row>
    <row r="47" spans="2:16" outlineLevel="1" x14ac:dyDescent="0.25">
      <c r="C47" t="s">
        <v>464</v>
      </c>
      <c r="D47" t="s">
        <v>11</v>
      </c>
      <c r="E47" s="151">
        <f>SUM(E41:E46)</f>
        <v>0</v>
      </c>
      <c r="F47" s="152"/>
      <c r="G47" s="151"/>
      <c r="H47" s="151"/>
      <c r="I47" s="151"/>
      <c r="J47" s="151"/>
      <c r="K47" s="151"/>
      <c r="L47" s="151"/>
      <c r="M47" s="151"/>
      <c r="N47" s="151"/>
      <c r="O47" s="151"/>
      <c r="P47" s="151"/>
    </row>
    <row r="48" spans="2:16" outlineLevel="1" x14ac:dyDescent="0.25">
      <c r="C48" t="s">
        <v>465</v>
      </c>
      <c r="D48" t="s">
        <v>125</v>
      </c>
      <c r="E48" s="139">
        <f>E47*E16</f>
        <v>0</v>
      </c>
      <c r="F48" s="140" t="s">
        <v>466</v>
      </c>
      <c r="G48" s="139"/>
      <c r="H48" s="139"/>
      <c r="I48" s="139"/>
      <c r="J48" s="139"/>
      <c r="K48" s="139"/>
      <c r="L48" s="139"/>
      <c r="M48" s="139"/>
      <c r="N48" s="139"/>
      <c r="O48" s="139"/>
      <c r="P48" s="139"/>
    </row>
    <row r="49" spans="2:16" x14ac:dyDescent="0.25">
      <c r="C49" t="s">
        <v>467</v>
      </c>
      <c r="D49" t="s">
        <v>441</v>
      </c>
      <c r="E49" s="146">
        <f t="array" ref="E49">IF(INDEX($G49:$P49,$E$6)="",$G49,INDEX($G49:$P49,$E$6))</f>
        <v>0</v>
      </c>
      <c r="F49" s="147" t="s">
        <v>468</v>
      </c>
      <c r="G49" s="149">
        <v>0</v>
      </c>
      <c r="H49" s="149"/>
      <c r="I49" s="149"/>
      <c r="J49" s="149"/>
      <c r="K49" s="149"/>
      <c r="L49" s="149"/>
      <c r="M49" s="149"/>
      <c r="N49" s="149"/>
      <c r="O49" s="149"/>
      <c r="P49" s="149"/>
    </row>
    <row r="50" spans="2:16" x14ac:dyDescent="0.25">
      <c r="C50" t="s">
        <v>469</v>
      </c>
      <c r="D50" t="s">
        <v>441</v>
      </c>
      <c r="E50" s="146">
        <f t="array" ref="E50">IF(INDEX($G50:$P50,$E$6)="",$G50,INDEX($G50:$P50,$E$6))</f>
        <v>6</v>
      </c>
      <c r="F50" s="147"/>
      <c r="G50" s="149">
        <v>6</v>
      </c>
      <c r="H50" s="149"/>
      <c r="I50" s="149"/>
      <c r="J50" s="149"/>
      <c r="K50" s="149"/>
      <c r="L50" s="149"/>
      <c r="M50" s="149"/>
      <c r="N50" s="149"/>
      <c r="O50" s="149"/>
      <c r="P50" s="149"/>
    </row>
    <row r="51" spans="2:16" x14ac:dyDescent="0.25">
      <c r="C51" t="s">
        <v>470</v>
      </c>
      <c r="D51" t="s">
        <v>441</v>
      </c>
      <c r="E51" s="146">
        <f t="array" ref="E51">IF(INDEX($G51:$P51,$E$6)="",$G51,INDEX($G51:$P51,$E$6))</f>
        <v>6</v>
      </c>
      <c r="F51" s="147"/>
      <c r="G51" s="149">
        <v>6</v>
      </c>
      <c r="H51" s="149"/>
      <c r="I51" s="149"/>
      <c r="J51" s="149"/>
      <c r="K51" s="149"/>
      <c r="L51" s="149"/>
      <c r="M51" s="149"/>
      <c r="N51" s="149"/>
      <c r="O51" s="149"/>
      <c r="P51" s="149"/>
    </row>
    <row r="52" spans="2:16" x14ac:dyDescent="0.25">
      <c r="C52" t="s">
        <v>471</v>
      </c>
      <c r="D52" t="s">
        <v>441</v>
      </c>
      <c r="E52" s="146">
        <f t="array" ref="E52">IF(INDEX($G52:$P52,$E$6)="",$G52,INDEX($G52:$P52,$E$6))</f>
        <v>6</v>
      </c>
      <c r="F52" s="147"/>
      <c r="G52" s="149">
        <v>6</v>
      </c>
      <c r="H52" s="149"/>
      <c r="I52" s="149"/>
      <c r="J52" s="149"/>
      <c r="K52" s="149"/>
      <c r="L52" s="149"/>
      <c r="M52" s="149"/>
      <c r="N52" s="149"/>
      <c r="O52" s="149"/>
      <c r="P52" s="149"/>
    </row>
    <row r="53" spans="2:16" x14ac:dyDescent="0.25">
      <c r="C53" t="s">
        <v>472</v>
      </c>
      <c r="D53" t="s">
        <v>441</v>
      </c>
      <c r="E53" s="146">
        <f t="array" ref="E53">IF(INDEX($G53:$P53,$E$6)="",$G53,INDEX($G53:$P53,$E$6))</f>
        <v>7</v>
      </c>
      <c r="F53" s="147"/>
      <c r="G53" s="149">
        <v>7</v>
      </c>
      <c r="H53" s="149"/>
      <c r="I53" s="149"/>
      <c r="J53" s="149"/>
      <c r="K53" s="149"/>
      <c r="L53" s="149"/>
      <c r="M53" s="149"/>
      <c r="N53" s="149"/>
      <c r="O53" s="149"/>
      <c r="P53" s="149"/>
    </row>
    <row r="54" spans="2:16" x14ac:dyDescent="0.25">
      <c r="C54" t="s">
        <v>473</v>
      </c>
      <c r="D54" t="s">
        <v>441</v>
      </c>
      <c r="E54" s="146">
        <f t="array" ref="E54">IF(INDEX($G54:$P54,$E$6)="",$G54,INDEX($G54:$P54,$E$6))</f>
        <v>7</v>
      </c>
      <c r="F54" s="147"/>
      <c r="G54" s="149">
        <v>7</v>
      </c>
      <c r="H54" s="149"/>
      <c r="I54" s="149"/>
      <c r="J54" s="149"/>
      <c r="K54" s="149"/>
      <c r="L54" s="149"/>
      <c r="M54" s="149"/>
      <c r="N54" s="149"/>
      <c r="O54" s="149"/>
      <c r="P54" s="149"/>
    </row>
    <row r="55" spans="2:16" x14ac:dyDescent="0.25">
      <c r="C55" t="s">
        <v>474</v>
      </c>
      <c r="D55" t="s">
        <v>441</v>
      </c>
      <c r="E55" s="146">
        <f>SUM(E49:E54)</f>
        <v>32</v>
      </c>
      <c r="F55" s="147"/>
      <c r="G55" s="146"/>
      <c r="H55" s="146"/>
      <c r="I55" s="146"/>
      <c r="J55" s="146"/>
      <c r="K55" s="146"/>
      <c r="L55" s="146"/>
      <c r="M55" s="146"/>
      <c r="N55" s="146"/>
      <c r="O55" s="146"/>
      <c r="P55" s="146"/>
    </row>
    <row r="56" spans="2:16" x14ac:dyDescent="0.25">
      <c r="C56" t="s">
        <v>475</v>
      </c>
      <c r="D56" t="s">
        <v>266</v>
      </c>
      <c r="E56" s="143">
        <f>EOMONTH(E27,E55)</f>
        <v>47208</v>
      </c>
      <c r="F56" s="154"/>
      <c r="G56" s="143"/>
      <c r="H56" s="143"/>
      <c r="I56" s="143"/>
      <c r="J56" s="143"/>
      <c r="K56" s="143"/>
      <c r="L56" s="143"/>
      <c r="M56" s="143"/>
      <c r="N56" s="143"/>
      <c r="O56" s="143"/>
      <c r="P56" s="143"/>
    </row>
    <row r="57" spans="2:16" x14ac:dyDescent="0.25">
      <c r="C57" t="s">
        <v>476</v>
      </c>
      <c r="D57" t="s">
        <v>441</v>
      </c>
      <c r="E57" s="146">
        <f>E55+E28</f>
        <v>38</v>
      </c>
      <c r="F57" s="147"/>
      <c r="G57" s="146"/>
      <c r="H57" s="146"/>
      <c r="I57" s="146"/>
      <c r="J57" s="146"/>
      <c r="K57" s="146"/>
      <c r="L57" s="146"/>
      <c r="M57" s="146"/>
      <c r="N57" s="146"/>
      <c r="O57" s="146"/>
      <c r="P57" s="146"/>
    </row>
    <row r="58" spans="2:16" x14ac:dyDescent="0.25">
      <c r="C58" t="s">
        <v>477</v>
      </c>
      <c r="D58" t="s">
        <v>266</v>
      </c>
      <c r="E58" s="143">
        <f>EOMONTH(E27,E57)</f>
        <v>47391</v>
      </c>
      <c r="F58" s="144"/>
      <c r="G58" s="143"/>
      <c r="H58" s="143"/>
      <c r="I58" s="143"/>
      <c r="J58" s="143"/>
      <c r="K58" s="143"/>
      <c r="L58" s="143"/>
      <c r="M58" s="143"/>
      <c r="N58" s="143"/>
      <c r="O58" s="143"/>
      <c r="P58" s="143"/>
    </row>
    <row r="59" spans="2:16" x14ac:dyDescent="0.25">
      <c r="F59" s="124"/>
    </row>
    <row r="60" spans="2:16" x14ac:dyDescent="0.25">
      <c r="B60" t="s">
        <v>7</v>
      </c>
      <c r="C60" s="129" t="s">
        <v>478</v>
      </c>
      <c r="D60" s="129"/>
      <c r="E60" s="129"/>
      <c r="F60" s="130"/>
      <c r="G60" s="129"/>
      <c r="H60" s="129"/>
      <c r="I60" s="129"/>
      <c r="J60" s="129"/>
      <c r="K60" s="129"/>
      <c r="L60" s="129"/>
      <c r="M60" s="129"/>
      <c r="N60" s="129"/>
      <c r="O60" s="129"/>
      <c r="P60" s="129"/>
    </row>
    <row r="61" spans="2:16" x14ac:dyDescent="0.25">
      <c r="C61" t="s">
        <v>479</v>
      </c>
      <c r="D61" t="s">
        <v>480</v>
      </c>
      <c r="E61" s="134">
        <f t="array" ref="E61">IF(INDEX($G61:$P61,$E$6)="",$G61,INDEX($G61:$P61,$E$6))</f>
        <v>0.12</v>
      </c>
      <c r="F61" s="135" t="s">
        <v>481</v>
      </c>
      <c r="G61" s="136">
        <v>0.12</v>
      </c>
      <c r="H61" s="136"/>
      <c r="I61" s="136"/>
      <c r="J61" s="136"/>
      <c r="K61" s="136"/>
      <c r="L61" s="136"/>
      <c r="M61" s="136"/>
      <c r="N61" s="136"/>
      <c r="O61" s="136"/>
      <c r="P61" s="136"/>
    </row>
    <row r="62" spans="2:16" x14ac:dyDescent="0.25">
      <c r="C62" t="s">
        <v>482</v>
      </c>
      <c r="D62" t="s">
        <v>480</v>
      </c>
      <c r="E62" s="134">
        <f t="array" ref="E62">IF(INDEX($G62:$P62,$E$6)="",$G62,INDEX($G62:$P62,$E$6))</f>
        <v>0.2</v>
      </c>
      <c r="F62" s="135" t="s">
        <v>483</v>
      </c>
      <c r="G62" s="136">
        <v>0.2</v>
      </c>
      <c r="H62" s="136"/>
      <c r="I62" s="136"/>
      <c r="J62" s="136"/>
      <c r="K62" s="136"/>
      <c r="L62" s="136"/>
      <c r="M62" s="136"/>
      <c r="N62" s="136"/>
      <c r="O62" s="136"/>
      <c r="P62" s="136"/>
    </row>
    <row r="63" spans="2:16" x14ac:dyDescent="0.25">
      <c r="C63" t="s">
        <v>484</v>
      </c>
      <c r="D63" t="s">
        <v>7</v>
      </c>
      <c r="E63" s="155">
        <f t="array" ref="E63">IF(INDEX($G63:$P63,$E$6)="",$G63,INDEX($G63:$P63,$E$6))</f>
        <v>2</v>
      </c>
      <c r="F63" s="156" t="s">
        <v>485</v>
      </c>
      <c r="G63" s="157">
        <v>2</v>
      </c>
      <c r="H63" s="157"/>
      <c r="I63" s="157"/>
      <c r="J63" s="157"/>
      <c r="K63" s="157"/>
      <c r="L63" s="157"/>
      <c r="M63" s="157"/>
      <c r="N63" s="157"/>
      <c r="O63" s="157"/>
      <c r="P63" s="157"/>
    </row>
    <row r="64" spans="2:16" x14ac:dyDescent="0.25">
      <c r="C64" t="s">
        <v>486</v>
      </c>
      <c r="D64" t="s">
        <v>266</v>
      </c>
      <c r="E64" s="158">
        <f t="array" ref="E64">IF(INDEX($G64:$P64,$E$6)="",$G64,INDEX($G64:$P64,$E$6))</f>
        <v>47299</v>
      </c>
      <c r="F64" s="156" t="s">
        <v>487</v>
      </c>
      <c r="G64" s="159">
        <f>DATE(2029,6,30)</f>
        <v>47299</v>
      </c>
      <c r="H64" s="157"/>
      <c r="I64" s="157"/>
      <c r="J64" s="157"/>
      <c r="K64" s="157"/>
      <c r="L64" s="157"/>
      <c r="M64" s="157"/>
      <c r="N64" s="157"/>
      <c r="O64" s="157"/>
      <c r="P64" s="157"/>
    </row>
    <row r="65" spans="2:16" x14ac:dyDescent="0.25">
      <c r="C65" t="s">
        <v>488</v>
      </c>
      <c r="D65" t="s">
        <v>480</v>
      </c>
      <c r="E65" s="160">
        <f t="array" ref="E65">IF(INDEX($G65:$P65,$E$6)="",$G65,INDEX($G65:$P65,$E$6))</f>
        <v>0.06</v>
      </c>
      <c r="F65" s="156" t="s">
        <v>489</v>
      </c>
      <c r="G65" s="136">
        <v>0.06</v>
      </c>
      <c r="H65" s="157"/>
      <c r="I65" s="157"/>
      <c r="J65" s="157"/>
      <c r="K65" s="157"/>
      <c r="L65" s="157"/>
      <c r="M65" s="157"/>
      <c r="N65" s="157"/>
      <c r="O65" s="157"/>
      <c r="P65" s="157"/>
    </row>
    <row r="66" spans="2:16" x14ac:dyDescent="0.25">
      <c r="C66" t="s">
        <v>490</v>
      </c>
      <c r="D66" t="s">
        <v>415</v>
      </c>
      <c r="E66" s="161">
        <f t="array" ref="E66">IF(INDEX($G66:$P66,$E$6)="",$G66,INDEX($G66:$P66,$E$6))</f>
        <v>1</v>
      </c>
      <c r="F66" s="156" t="s">
        <v>491</v>
      </c>
      <c r="G66" s="149">
        <v>1</v>
      </c>
      <c r="H66" s="157"/>
      <c r="I66" s="157"/>
      <c r="J66" s="157"/>
      <c r="K66" s="157"/>
      <c r="L66" s="157"/>
      <c r="M66" s="157"/>
      <c r="N66" s="157"/>
      <c r="O66" s="157"/>
      <c r="P66" s="157"/>
    </row>
    <row r="67" spans="2:16" x14ac:dyDescent="0.25">
      <c r="C67" t="s">
        <v>492</v>
      </c>
      <c r="D67" t="s">
        <v>415</v>
      </c>
      <c r="E67" s="161">
        <f t="array" ref="E67">IF(INDEX($G67:$P67,$E$6)="",$G67,INDEX($G67:$P67,$E$6))</f>
        <v>1</v>
      </c>
      <c r="F67" s="162" t="s">
        <v>493</v>
      </c>
      <c r="G67" s="149">
        <v>1</v>
      </c>
      <c r="H67" s="157"/>
      <c r="I67" s="157"/>
      <c r="J67" s="157"/>
      <c r="K67" s="157"/>
      <c r="L67" s="157"/>
      <c r="M67" s="157"/>
      <c r="N67" s="157"/>
      <c r="O67" s="157"/>
      <c r="P67" s="157"/>
    </row>
    <row r="68" spans="2:16" x14ac:dyDescent="0.25">
      <c r="C68" t="s">
        <v>494</v>
      </c>
      <c r="D68" t="s">
        <v>51</v>
      </c>
      <c r="E68" s="160">
        <f t="array" ref="E68">IF(INDEX($G68:$P68,$E$6)="",$G68,INDEX($G68:$P68,$E$6))</f>
        <v>0.1</v>
      </c>
      <c r="F68" s="156" t="s">
        <v>495</v>
      </c>
      <c r="G68" s="136">
        <v>0.1</v>
      </c>
      <c r="H68" s="157"/>
      <c r="I68" s="157"/>
      <c r="J68" s="157"/>
      <c r="K68" s="157"/>
      <c r="L68" s="157"/>
      <c r="M68" s="157"/>
      <c r="N68" s="157"/>
      <c r="O68" s="157"/>
      <c r="P68" s="157"/>
    </row>
    <row r="69" spans="2:16" x14ac:dyDescent="0.25">
      <c r="C69" t="s">
        <v>496</v>
      </c>
      <c r="D69" t="s">
        <v>415</v>
      </c>
      <c r="E69" s="161">
        <f t="array" ref="E69">IF(INDEX($G69:$P69,$E$6)="",$G69,INDEX($G69:$P69,$E$6))</f>
        <v>1</v>
      </c>
      <c r="F69" s="156" t="s">
        <v>497</v>
      </c>
      <c r="G69" s="149">
        <v>1</v>
      </c>
      <c r="H69" s="157"/>
      <c r="I69" s="157"/>
      <c r="J69" s="157"/>
      <c r="K69" s="157"/>
      <c r="L69" s="157"/>
      <c r="M69" s="157"/>
      <c r="N69" s="157"/>
      <c r="O69" s="157"/>
      <c r="P69" s="157"/>
    </row>
    <row r="70" spans="2:16" x14ac:dyDescent="0.25">
      <c r="C70" t="s">
        <v>498</v>
      </c>
      <c r="D70" t="s">
        <v>266</v>
      </c>
      <c r="E70" s="158">
        <f t="array" ref="E70">IF(INDEX($G70:$P70,$E$6)="",$G70,INDEX($G70:$P70,$E$6))</f>
        <v>46321</v>
      </c>
      <c r="F70" s="156" t="s">
        <v>499</v>
      </c>
      <c r="G70" s="159">
        <f>DATE(2026,10,26)</f>
        <v>46321</v>
      </c>
      <c r="H70" s="157"/>
      <c r="I70" s="157"/>
      <c r="J70" s="157"/>
      <c r="K70" s="157"/>
      <c r="L70" s="157"/>
      <c r="M70" s="157"/>
      <c r="N70" s="157"/>
      <c r="O70" s="157"/>
      <c r="P70" s="157"/>
    </row>
    <row r="71" spans="2:16" x14ac:dyDescent="0.25">
      <c r="C71" t="s">
        <v>500</v>
      </c>
      <c r="D71" t="s">
        <v>415</v>
      </c>
      <c r="E71" s="161">
        <f t="array" ref="E71">IF(INDEX($G71:$P71,$E$6)="",$G71,INDEX($G71:$P71,$E$6))</f>
        <v>0</v>
      </c>
      <c r="F71" s="156" t="s">
        <v>501</v>
      </c>
      <c r="G71" s="149">
        <v>0</v>
      </c>
      <c r="H71" s="157"/>
      <c r="I71" s="157"/>
      <c r="J71" s="157"/>
      <c r="K71" s="157"/>
      <c r="L71" s="157"/>
      <c r="M71" s="157"/>
      <c r="N71" s="157"/>
      <c r="O71" s="157"/>
      <c r="P71" s="157"/>
    </row>
    <row r="72" spans="2:16" x14ac:dyDescent="0.25">
      <c r="C72" t="s">
        <v>502</v>
      </c>
      <c r="D72" t="s">
        <v>480</v>
      </c>
      <c r="E72" s="160">
        <f t="array" ref="E72">IF(INDEX($G72:$P72,$E$6)="",$G72,INDEX($G72:$P72,$E$6))</f>
        <v>0.08</v>
      </c>
      <c r="F72" s="156" t="s">
        <v>503</v>
      </c>
      <c r="G72" s="160">
        <f>$E$13</f>
        <v>0.08</v>
      </c>
      <c r="H72" s="157"/>
      <c r="I72" s="157"/>
      <c r="J72" s="157"/>
      <c r="K72" s="157"/>
      <c r="L72" s="157"/>
      <c r="M72" s="157"/>
      <c r="N72" s="157"/>
      <c r="O72" s="157"/>
      <c r="P72" s="157"/>
    </row>
    <row r="73" spans="2:16" x14ac:dyDescent="0.25">
      <c r="F73" s="124"/>
    </row>
    <row r="74" spans="2:16" x14ac:dyDescent="0.25">
      <c r="B74" t="s">
        <v>7</v>
      </c>
      <c r="C74" s="129" t="s">
        <v>504</v>
      </c>
      <c r="D74" s="129"/>
      <c r="E74" s="129"/>
      <c r="F74" s="130"/>
      <c r="G74" s="129"/>
      <c r="H74" s="129"/>
      <c r="I74" s="129"/>
      <c r="J74" s="129"/>
      <c r="K74" s="129"/>
      <c r="L74" s="129"/>
      <c r="M74" s="129"/>
      <c r="N74" s="129"/>
      <c r="O74" s="129"/>
      <c r="P74" s="129"/>
    </row>
    <row r="75" spans="2:16" x14ac:dyDescent="0.25">
      <c r="C75" t="s">
        <v>505</v>
      </c>
      <c r="D75" t="s">
        <v>506</v>
      </c>
      <c r="E75" s="163">
        <f t="array" ref="E75">IF(INDEX($G75:$P75,$E$6)="",$G75,INDEX($G75:$P75,$E$6))</f>
        <v>406</v>
      </c>
      <c r="F75" s="140" t="s">
        <v>507</v>
      </c>
      <c r="G75" s="164">
        <v>406</v>
      </c>
      <c r="H75" s="142"/>
      <c r="I75" s="142"/>
      <c r="J75" s="142"/>
      <c r="K75" s="142"/>
      <c r="L75" s="142"/>
      <c r="M75" s="142"/>
      <c r="N75" s="142"/>
      <c r="O75" s="142"/>
      <c r="P75" s="142"/>
    </row>
    <row r="76" spans="2:16" x14ac:dyDescent="0.25">
      <c r="C76" t="s">
        <v>508</v>
      </c>
      <c r="D76" t="s">
        <v>509</v>
      </c>
      <c r="E76" s="42">
        <f t="array" ref="E76">IF(INDEX($G76:$P76,$E$6)="",$G76,INDEX($G76:$P76,$E$6))</f>
        <v>5.0000000000000001E-3</v>
      </c>
      <c r="F76" s="165" t="s">
        <v>510</v>
      </c>
      <c r="G76" s="166">
        <v>5.0000000000000001E-3</v>
      </c>
      <c r="H76" s="166"/>
      <c r="I76" s="166"/>
      <c r="J76" s="166"/>
      <c r="K76" s="166"/>
      <c r="L76" s="166"/>
      <c r="M76" s="166"/>
      <c r="N76" s="166"/>
      <c r="O76" s="166"/>
      <c r="P76" s="166"/>
    </row>
    <row r="77" spans="2:16" x14ac:dyDescent="0.25">
      <c r="C77" t="s">
        <v>511</v>
      </c>
      <c r="D77" t="s">
        <v>509</v>
      </c>
      <c r="E77" s="42">
        <f t="array" ref="E77">IF(INDEX($G77:$P77,$E$6)="",$G77,INDEX($G77:$P77,$E$6))</f>
        <v>2.5000000000000001E-2</v>
      </c>
      <c r="F77" s="165"/>
      <c r="G77" s="166">
        <v>2.5000000000000001E-2</v>
      </c>
      <c r="H77" s="166"/>
      <c r="I77" s="166"/>
      <c r="J77" s="166"/>
      <c r="K77" s="166"/>
      <c r="L77" s="166"/>
      <c r="M77" s="166"/>
      <c r="N77" s="166"/>
      <c r="O77" s="166"/>
      <c r="P77" s="166"/>
    </row>
    <row r="78" spans="2:16" x14ac:dyDescent="0.25">
      <c r="C78" t="s">
        <v>512</v>
      </c>
      <c r="D78" t="s">
        <v>509</v>
      </c>
      <c r="E78" s="42">
        <f t="array" ref="E78">IF(INDEX($G78:$P78,$E$6)="",$G78,INDEX($G78:$P78,$E$6))</f>
        <v>0</v>
      </c>
      <c r="F78" s="165"/>
      <c r="G78" s="166">
        <v>0</v>
      </c>
      <c r="H78" s="166"/>
      <c r="I78" s="166"/>
      <c r="J78" s="166"/>
      <c r="K78" s="166"/>
      <c r="L78" s="166"/>
      <c r="M78" s="166"/>
      <c r="N78" s="166"/>
      <c r="O78" s="166"/>
      <c r="P78" s="166"/>
    </row>
    <row r="79" spans="2:16" x14ac:dyDescent="0.25">
      <c r="C79" t="s">
        <v>513</v>
      </c>
      <c r="D79" t="s">
        <v>51</v>
      </c>
      <c r="E79" s="134">
        <f t="array" ref="E79">IF(INDEX($G79:$P79,$E$6)="",$G79,INDEX($G79:$P79,$E$6))</f>
        <v>0.4</v>
      </c>
      <c r="F79" s="135" t="s">
        <v>514</v>
      </c>
      <c r="G79" s="136">
        <v>0.4</v>
      </c>
      <c r="H79" s="136"/>
      <c r="I79" s="136"/>
      <c r="J79" s="136"/>
      <c r="K79" s="136"/>
      <c r="L79" s="136"/>
      <c r="M79" s="136"/>
      <c r="N79" s="136"/>
      <c r="O79" s="136"/>
      <c r="P79" s="136"/>
    </row>
    <row r="80" spans="2:16" x14ac:dyDescent="0.25">
      <c r="C80" t="s">
        <v>515</v>
      </c>
      <c r="D80" t="s">
        <v>51</v>
      </c>
      <c r="E80" s="134">
        <f t="array" ref="E80">IF(INDEX($G80:$P80,$E$6)="",$G80,INDEX($G80:$P80,$E$6))</f>
        <v>0.2</v>
      </c>
      <c r="F80" s="135"/>
      <c r="G80" s="136">
        <v>0.2</v>
      </c>
      <c r="H80" s="136"/>
      <c r="I80" s="136"/>
      <c r="J80" s="136"/>
      <c r="K80" s="136"/>
      <c r="L80" s="136"/>
      <c r="M80" s="136"/>
      <c r="N80" s="136"/>
      <c r="O80" s="136"/>
      <c r="P80" s="136"/>
    </row>
    <row r="81" spans="2:16" x14ac:dyDescent="0.25">
      <c r="C81" t="s">
        <v>516</v>
      </c>
      <c r="D81" t="s">
        <v>517</v>
      </c>
      <c r="E81" s="163">
        <f t="array" ref="E81">IF(INDEX($G81:$P81,$E$6)="",$G81,INDEX($G81:$P81,$E$6))</f>
        <v>3</v>
      </c>
      <c r="F81" s="140" t="s">
        <v>518</v>
      </c>
      <c r="G81" s="164">
        <v>3</v>
      </c>
      <c r="H81" s="142"/>
      <c r="I81" s="142"/>
      <c r="J81" s="142"/>
      <c r="K81" s="142"/>
      <c r="L81" s="142"/>
      <c r="M81" s="142"/>
      <c r="N81" s="142"/>
      <c r="O81" s="142"/>
      <c r="P81" s="142"/>
    </row>
    <row r="82" spans="2:16" x14ac:dyDescent="0.25">
      <c r="C82" t="s">
        <v>519</v>
      </c>
      <c r="D82" t="s">
        <v>29</v>
      </c>
      <c r="E82" s="146">
        <f>In_Bids</f>
        <v>1</v>
      </c>
      <c r="F82" s="147" t="s">
        <v>520</v>
      </c>
      <c r="G82" s="148">
        <v>2</v>
      </c>
      <c r="H82" s="142"/>
      <c r="I82" s="142"/>
      <c r="J82" s="142"/>
      <c r="K82" s="142"/>
      <c r="L82" s="142"/>
      <c r="M82" s="142"/>
      <c r="N82" s="142"/>
      <c r="O82" s="142"/>
      <c r="P82" s="142"/>
    </row>
    <row r="83" spans="2:16" x14ac:dyDescent="0.25">
      <c r="C83" t="s">
        <v>521</v>
      </c>
      <c r="D83" t="s">
        <v>506</v>
      </c>
      <c r="E83" s="163">
        <f t="array" ref="E83">IF(INDEX($G83:$P83,$E$6)="",$G83,INDEX($G83:$P83,$E$6))</f>
        <v>4.5</v>
      </c>
      <c r="F83" s="140" t="s">
        <v>522</v>
      </c>
      <c r="G83" s="164">
        <v>4.5</v>
      </c>
      <c r="H83" s="142"/>
      <c r="I83" s="142"/>
      <c r="J83" s="142"/>
      <c r="K83" s="142"/>
      <c r="L83" s="142"/>
      <c r="M83" s="142"/>
      <c r="N83" s="142"/>
      <c r="O83" s="142"/>
      <c r="P83" s="142"/>
    </row>
    <row r="84" spans="2:16" x14ac:dyDescent="0.25">
      <c r="C84" t="s">
        <v>523</v>
      </c>
      <c r="D84" t="s">
        <v>506</v>
      </c>
      <c r="E84" s="163">
        <f t="array" ref="E84">IF($E$9=1,IF(INDEX($G84:$P84,$E$6)="",$G84,INDEX($G84:$P84,$E$6)),$E$293)</f>
        <v>2.54172902</v>
      </c>
      <c r="F84" s="140" t="s">
        <v>524</v>
      </c>
      <c r="G84" s="167">
        <v>2.54172902</v>
      </c>
      <c r="H84" s="142"/>
      <c r="I84" s="142"/>
      <c r="J84" s="142"/>
      <c r="K84" s="142"/>
      <c r="L84" s="142"/>
      <c r="M84" s="142"/>
      <c r="N84" s="142"/>
      <c r="O84" s="142"/>
      <c r="P84" s="142"/>
    </row>
    <row r="85" spans="2:16" x14ac:dyDescent="0.25">
      <c r="C85" t="s">
        <v>525</v>
      </c>
      <c r="D85" t="s">
        <v>506</v>
      </c>
      <c r="E85" s="163">
        <f t="array" ref="E85">IF($E$9=1,IF(INDEX($G85:$P85,$E$6)="",$G85,INDEX($G85:$P85,$E$6)),$E$292)</f>
        <v>73.071306000000007</v>
      </c>
      <c r="F85" s="140" t="s">
        <v>526</v>
      </c>
      <c r="G85" s="167">
        <v>73.071306000000007</v>
      </c>
      <c r="H85" s="142"/>
      <c r="I85" s="142"/>
      <c r="J85" s="142"/>
      <c r="K85" s="142"/>
      <c r="L85" s="142"/>
      <c r="M85" s="142"/>
      <c r="N85" s="142"/>
      <c r="O85" s="142"/>
      <c r="P85" s="142"/>
    </row>
    <row r="86" spans="2:16" x14ac:dyDescent="0.25">
      <c r="C86" t="s">
        <v>527</v>
      </c>
      <c r="D86" t="s">
        <v>84</v>
      </c>
      <c r="E86" s="131">
        <f t="array" ref="E86">IF($E$9=1,IF(INDEX($G86:$P86,$E$6)="",$G86,INDEX($G86:$P86,$E$6)),$E$283)</f>
        <v>200</v>
      </c>
      <c r="F86" s="132" t="s">
        <v>528</v>
      </c>
      <c r="G86" s="133">
        <v>200</v>
      </c>
      <c r="H86" s="133"/>
      <c r="I86" s="133"/>
      <c r="J86" s="133"/>
      <c r="K86" s="133"/>
      <c r="L86" s="133"/>
      <c r="M86" s="133"/>
      <c r="N86" s="133"/>
      <c r="O86" s="133"/>
      <c r="P86" s="133"/>
    </row>
    <row r="87" spans="2:16" x14ac:dyDescent="0.25">
      <c r="C87" t="s">
        <v>529</v>
      </c>
      <c r="D87" t="s">
        <v>169</v>
      </c>
      <c r="E87" s="151">
        <f t="array" ref="E87">IF($E$9=1,IF(INDEX($G87:$P87,$E$6)="",$G87,INDEX($G87:$P87,$E$6)),Deposits!$E$28)</f>
        <v>24497.61</v>
      </c>
      <c r="F87" s="140" t="s">
        <v>530</v>
      </c>
      <c r="G87" s="153">
        <v>24497.61</v>
      </c>
      <c r="H87" s="142"/>
      <c r="I87" s="142"/>
      <c r="J87" s="142"/>
      <c r="K87" s="142"/>
      <c r="L87" s="142"/>
      <c r="M87" s="142"/>
      <c r="N87" s="142"/>
      <c r="O87" s="142"/>
      <c r="P87" s="142"/>
    </row>
    <row r="88" spans="2:16" x14ac:dyDescent="0.25">
      <c r="C88" t="s">
        <v>531</v>
      </c>
      <c r="D88" t="s">
        <v>169</v>
      </c>
      <c r="E88" s="151">
        <f t="array" ref="E88">IF($E$9=1,IF(INDEX($G88:$P88,$E$6)="",$G88,INDEX($G88:$P88,$E$6)),Deposits!$E$31)</f>
        <v>22791.61</v>
      </c>
      <c r="F88" s="140" t="s">
        <v>532</v>
      </c>
      <c r="G88" s="153">
        <v>22791.61</v>
      </c>
      <c r="H88" s="142"/>
      <c r="I88" s="142"/>
      <c r="J88" s="142"/>
      <c r="K88" s="142"/>
      <c r="L88" s="142"/>
      <c r="M88" s="142"/>
      <c r="N88" s="142"/>
      <c r="O88" s="142"/>
      <c r="P88" s="142"/>
    </row>
    <row r="89" spans="2:16" x14ac:dyDescent="0.25">
      <c r="C89" t="s">
        <v>533</v>
      </c>
      <c r="D89" t="s">
        <v>534</v>
      </c>
      <c r="E89" s="163">
        <f t="array" ref="E89">IF(INDEX($G89:$P89,$E$6)="",$G89,INDEX($G89:$P89,$E$6))</f>
        <v>200</v>
      </c>
      <c r="F89" s="140" t="s">
        <v>535</v>
      </c>
      <c r="G89" s="164">
        <v>200</v>
      </c>
      <c r="H89" s="142"/>
      <c r="I89" s="142"/>
      <c r="J89" s="142"/>
      <c r="K89" s="142"/>
      <c r="L89" s="142"/>
      <c r="M89" s="142"/>
      <c r="N89" s="142"/>
      <c r="O89" s="142"/>
      <c r="P89" s="142"/>
    </row>
    <row r="90" spans="2:16" x14ac:dyDescent="0.25">
      <c r="C90" t="s">
        <v>536</v>
      </c>
      <c r="D90" t="s">
        <v>7</v>
      </c>
      <c r="E90" s="163">
        <f>Dash_PB_Mult</f>
        <v>1</v>
      </c>
      <c r="F90" s="140" t="s">
        <v>537</v>
      </c>
      <c r="G90" s="164">
        <v>1.5</v>
      </c>
      <c r="H90" s="142"/>
      <c r="I90" s="142"/>
      <c r="J90" s="142"/>
      <c r="K90" s="142"/>
      <c r="L90" s="142"/>
      <c r="M90" s="142"/>
      <c r="N90" s="142"/>
      <c r="O90" s="142"/>
      <c r="P90" s="142"/>
    </row>
    <row r="91" spans="2:16" x14ac:dyDescent="0.25">
      <c r="C91" t="s">
        <v>538</v>
      </c>
      <c r="D91" t="s">
        <v>169</v>
      </c>
      <c r="E91" s="131">
        <f>E16*E75+E22*E89</f>
        <v>85306</v>
      </c>
      <c r="F91" s="132" t="s">
        <v>539</v>
      </c>
      <c r="G91" s="131"/>
      <c r="H91" s="131"/>
      <c r="I91" s="131"/>
      <c r="J91" s="131"/>
      <c r="K91" s="131"/>
      <c r="L91" s="131"/>
      <c r="M91" s="131"/>
      <c r="N91" s="131"/>
      <c r="O91" s="131"/>
      <c r="P91" s="131"/>
    </row>
    <row r="92" spans="2:16" x14ac:dyDescent="0.25">
      <c r="C92" t="s">
        <v>540</v>
      </c>
      <c r="D92" t="s">
        <v>169</v>
      </c>
      <c r="E92" s="131">
        <f>E18*E75+E23*E89</f>
        <v>85306</v>
      </c>
      <c r="F92" s="132" t="s">
        <v>541</v>
      </c>
      <c r="G92" s="131"/>
      <c r="H92" s="131"/>
      <c r="I92" s="131"/>
      <c r="J92" s="131"/>
      <c r="K92" s="131"/>
      <c r="L92" s="131"/>
      <c r="M92" s="131"/>
      <c r="N92" s="131"/>
      <c r="O92" s="131"/>
      <c r="P92" s="131"/>
    </row>
    <row r="93" spans="2:16" x14ac:dyDescent="0.25">
      <c r="F93" s="124"/>
    </row>
    <row r="94" spans="2:16" x14ac:dyDescent="0.25">
      <c r="B94" t="s">
        <v>7</v>
      </c>
      <c r="C94" s="129" t="s">
        <v>542</v>
      </c>
      <c r="D94" s="129"/>
      <c r="E94" s="129"/>
      <c r="F94" s="130"/>
      <c r="G94" s="129"/>
      <c r="H94" s="129"/>
      <c r="I94" s="129"/>
      <c r="J94" s="129"/>
      <c r="K94" s="129"/>
      <c r="L94" s="129"/>
      <c r="M94" s="129"/>
      <c r="N94" s="129"/>
      <c r="O94" s="129"/>
      <c r="P94" s="129"/>
    </row>
    <row r="95" spans="2:16" x14ac:dyDescent="0.25">
      <c r="C95" t="s">
        <v>543</v>
      </c>
      <c r="D95" t="s">
        <v>266</v>
      </c>
      <c r="E95" s="143">
        <f t="array" ref="E95">IF(INDEX($G95:$P95,$E$6)="",$G95,INDEX($G95:$P95,$E$6))</f>
        <v>46325</v>
      </c>
      <c r="F95" s="144" t="s">
        <v>544</v>
      </c>
      <c r="G95" s="145">
        <f>DATE(2026,10,30)</f>
        <v>46325</v>
      </c>
      <c r="H95" s="145"/>
      <c r="I95" s="145"/>
      <c r="J95" s="145"/>
      <c r="K95" s="145"/>
      <c r="L95" s="145"/>
      <c r="M95" s="145"/>
      <c r="N95" s="145"/>
      <c r="O95" s="145"/>
      <c r="P95" s="145"/>
    </row>
    <row r="96" spans="2:16" x14ac:dyDescent="0.25">
      <c r="C96" t="s">
        <v>545</v>
      </c>
      <c r="D96" t="s">
        <v>266</v>
      </c>
      <c r="E96" s="143">
        <f t="array" ref="E96">IF(INDEX($G96:$P96,$E$6)="",$G96,INDEX($G96:$P96,$E$6))</f>
        <v>46369</v>
      </c>
      <c r="F96" s="144" t="s">
        <v>546</v>
      </c>
      <c r="G96" s="145">
        <f>DATE(2026,12,13)</f>
        <v>46369</v>
      </c>
      <c r="H96" s="145"/>
      <c r="I96" s="145"/>
      <c r="J96" s="145"/>
      <c r="K96" s="145"/>
      <c r="L96" s="145"/>
      <c r="M96" s="145"/>
      <c r="N96" s="145"/>
      <c r="O96" s="145"/>
      <c r="P96" s="145"/>
    </row>
    <row r="97" spans="2:16" x14ac:dyDescent="0.25">
      <c r="C97" t="s">
        <v>547</v>
      </c>
      <c r="D97" t="s">
        <v>266</v>
      </c>
      <c r="E97" s="143">
        <f t="array" ref="E97">IF(INDEX($G97:$P97,$E$6)="",$G97,INDEX($G97:$P97,$E$6))</f>
        <v>46386</v>
      </c>
      <c r="F97" s="144" t="s">
        <v>548</v>
      </c>
      <c r="G97" s="145">
        <f>DATE(2026,12,30)</f>
        <v>46386</v>
      </c>
      <c r="H97" s="145"/>
      <c r="I97" s="145"/>
      <c r="J97" s="145"/>
      <c r="K97" s="145"/>
      <c r="L97" s="145"/>
      <c r="M97" s="145"/>
      <c r="N97" s="145"/>
      <c r="O97" s="145"/>
      <c r="P97" s="145"/>
    </row>
    <row r="98" spans="2:16" x14ac:dyDescent="0.25">
      <c r="C98" t="s">
        <v>549</v>
      </c>
      <c r="D98" t="s">
        <v>266</v>
      </c>
      <c r="E98" s="143">
        <f t="array" ref="E98">IF(INDEX($G98:$P98,$E$6)="",$G98,INDEX($G98:$P98,$E$6))</f>
        <v>46478</v>
      </c>
      <c r="F98" s="144"/>
      <c r="G98" s="145">
        <v>46478</v>
      </c>
      <c r="H98" s="145"/>
      <c r="I98" s="145"/>
      <c r="J98" s="145"/>
      <c r="K98" s="145"/>
      <c r="L98" s="145"/>
      <c r="M98" s="145"/>
      <c r="N98" s="145"/>
      <c r="O98" s="145"/>
      <c r="P98" s="145"/>
    </row>
    <row r="99" spans="2:16" x14ac:dyDescent="0.25">
      <c r="C99" t="s">
        <v>550</v>
      </c>
      <c r="D99" t="s">
        <v>266</v>
      </c>
      <c r="E99" s="143">
        <f t="array" ref="E99">IF(INDEX($G99:$P99,$E$6)="",$G99,INDEX($G99:$P99,$E$6))</f>
        <v>47126</v>
      </c>
      <c r="F99" s="144" t="s">
        <v>551</v>
      </c>
      <c r="G99" s="145">
        <f>DATE(2029,1,8)</f>
        <v>47126</v>
      </c>
      <c r="H99" s="145"/>
      <c r="I99" s="145"/>
      <c r="J99" s="145"/>
      <c r="K99" s="145"/>
      <c r="L99" s="145"/>
      <c r="M99" s="145"/>
      <c r="N99" s="145"/>
      <c r="O99" s="145"/>
      <c r="P99" s="145"/>
    </row>
    <row r="100" spans="2:16" x14ac:dyDescent="0.25">
      <c r="C100" t="s">
        <v>552</v>
      </c>
      <c r="D100" t="s">
        <v>266</v>
      </c>
      <c r="E100" s="143">
        <f t="array" ref="E100">IF(INDEX($G100:$P100,$E$6)="",$G100,INDEX($G100:$P100,$E$6))</f>
        <v>46825</v>
      </c>
      <c r="F100" s="144" t="s">
        <v>553</v>
      </c>
      <c r="G100" s="145">
        <v>46825</v>
      </c>
      <c r="H100" s="145"/>
      <c r="I100" s="145"/>
      <c r="J100" s="145"/>
      <c r="K100" s="145"/>
      <c r="L100" s="145"/>
      <c r="M100" s="145"/>
      <c r="N100" s="145"/>
      <c r="O100" s="145"/>
      <c r="P100" s="145"/>
    </row>
    <row r="101" spans="2:16" x14ac:dyDescent="0.25">
      <c r="C101" t="s">
        <v>554</v>
      </c>
      <c r="D101" t="s">
        <v>266</v>
      </c>
      <c r="E101" s="143">
        <f t="array" ref="E101">IF(INDEX($G101:$P101,$E$6)="",$G101,INDEX($G101:$P101,$E$6))</f>
        <v>47848</v>
      </c>
      <c r="F101" s="144" t="s">
        <v>555</v>
      </c>
      <c r="G101" s="145">
        <v>47848</v>
      </c>
      <c r="H101" s="145"/>
      <c r="I101" s="145"/>
      <c r="J101" s="145"/>
      <c r="K101" s="145"/>
      <c r="L101" s="145"/>
      <c r="M101" s="145"/>
      <c r="N101" s="145"/>
      <c r="O101" s="145"/>
      <c r="P101" s="145"/>
    </row>
    <row r="102" spans="2:16" x14ac:dyDescent="0.25">
      <c r="C102" t="s">
        <v>556</v>
      </c>
      <c r="D102" t="s">
        <v>557</v>
      </c>
      <c r="E102" s="146">
        <f t="array" ref="E102">IF(INDEX($G102:$P102,$E$6)="",$G102,INDEX($G102:$P102,$E$6))</f>
        <v>17</v>
      </c>
      <c r="F102" s="147"/>
      <c r="G102" s="149">
        <v>17</v>
      </c>
      <c r="H102" s="149"/>
      <c r="I102" s="149"/>
      <c r="J102" s="149"/>
      <c r="K102" s="149"/>
      <c r="L102" s="149"/>
      <c r="M102" s="149"/>
      <c r="N102" s="149"/>
      <c r="O102" s="149"/>
      <c r="P102" s="149"/>
    </row>
    <row r="103" spans="2:16" x14ac:dyDescent="0.25">
      <c r="C103" t="s">
        <v>558</v>
      </c>
      <c r="D103" t="s">
        <v>559</v>
      </c>
      <c r="E103" s="146">
        <f t="array" ref="E103">IF(INDEX($G103:$P103,$E$6)="",$G103,INDEX($G103:$P103,$E$6))</f>
        <v>23</v>
      </c>
      <c r="F103" s="147"/>
      <c r="G103" s="149">
        <v>23</v>
      </c>
      <c r="H103" s="149"/>
      <c r="I103" s="149"/>
      <c r="J103" s="149"/>
      <c r="K103" s="149"/>
      <c r="L103" s="149"/>
      <c r="M103" s="149"/>
      <c r="N103" s="149"/>
      <c r="O103" s="149"/>
      <c r="P103" s="149"/>
    </row>
    <row r="104" spans="2:16" x14ac:dyDescent="0.25">
      <c r="C104" t="s">
        <v>560</v>
      </c>
      <c r="D104" t="s">
        <v>266</v>
      </c>
      <c r="E104" s="143">
        <f>IF(DATE(YEAR(E98),4,E103)&gt;=E98,DATE(YEAR(E98),4,E103),DATE(YEAR(E98)+1,4,E103))</f>
        <v>46500</v>
      </c>
      <c r="F104" s="144"/>
      <c r="G104" s="143"/>
      <c r="H104" s="143"/>
      <c r="I104" s="143"/>
      <c r="J104" s="143"/>
      <c r="K104" s="143"/>
      <c r="L104" s="143"/>
      <c r="M104" s="143"/>
      <c r="N104" s="143"/>
      <c r="O104" s="143"/>
      <c r="P104" s="143"/>
    </row>
    <row r="105" spans="2:16" x14ac:dyDescent="0.25">
      <c r="F105" s="124"/>
    </row>
    <row r="106" spans="2:16" x14ac:dyDescent="0.25">
      <c r="B106" t="s">
        <v>7</v>
      </c>
      <c r="C106" s="129" t="s">
        <v>561</v>
      </c>
      <c r="D106" s="129"/>
      <c r="E106" s="129"/>
      <c r="F106" s="130"/>
      <c r="G106" s="129"/>
      <c r="H106" s="129"/>
      <c r="I106" s="129"/>
      <c r="J106" s="129"/>
      <c r="K106" s="129"/>
      <c r="L106" s="129"/>
      <c r="M106" s="129"/>
      <c r="N106" s="129"/>
      <c r="O106" s="129"/>
      <c r="P106" s="129"/>
    </row>
    <row r="107" spans="2:16" x14ac:dyDescent="0.25">
      <c r="C107" t="s">
        <v>562</v>
      </c>
      <c r="D107" t="s">
        <v>415</v>
      </c>
      <c r="E107" s="146">
        <f t="array" ref="E107">IF(INDEX($G107:$P107,$E$6)="",$G107,INDEX($G107:$P107,$E$6))</f>
        <v>1</v>
      </c>
      <c r="F107" s="147" t="s">
        <v>563</v>
      </c>
      <c r="G107" s="149">
        <v>1</v>
      </c>
      <c r="H107" s="149"/>
      <c r="I107" s="149"/>
      <c r="J107" s="149"/>
      <c r="K107" s="149"/>
      <c r="L107" s="149"/>
      <c r="M107" s="149"/>
      <c r="N107" s="149"/>
      <c r="O107" s="149"/>
      <c r="P107" s="149"/>
    </row>
    <row r="108" spans="2:16" x14ac:dyDescent="0.25">
      <c r="C108" t="s">
        <v>564</v>
      </c>
      <c r="D108" t="s">
        <v>51</v>
      </c>
      <c r="E108" s="134">
        <f t="array" ref="E108">IF(INDEX($G108:$P108,$E$6)="",$G108,INDEX($G108:$P108,$E$6))</f>
        <v>0.5</v>
      </c>
      <c r="F108" s="135"/>
      <c r="G108" s="136">
        <v>0.5</v>
      </c>
      <c r="H108" s="136"/>
      <c r="I108" s="136"/>
      <c r="J108" s="136"/>
      <c r="K108" s="136"/>
      <c r="L108" s="136"/>
      <c r="M108" s="136"/>
      <c r="N108" s="136"/>
      <c r="O108" s="136"/>
      <c r="P108" s="136"/>
    </row>
    <row r="109" spans="2:16" x14ac:dyDescent="0.25">
      <c r="C109" t="s">
        <v>565</v>
      </c>
      <c r="D109" t="s">
        <v>415</v>
      </c>
      <c r="E109" s="168">
        <f t="array" ref="E109">IF(INDEX($G109:$P109,$E$6)="",$G109,INDEX($G109:$P109,$E$6))</f>
        <v>0</v>
      </c>
      <c r="F109" s="147" t="s">
        <v>566</v>
      </c>
      <c r="G109" s="149">
        <v>0</v>
      </c>
      <c r="H109" s="149"/>
      <c r="I109" s="149"/>
      <c r="J109" s="149"/>
      <c r="K109" s="149"/>
      <c r="L109" s="149"/>
      <c r="M109" s="149"/>
      <c r="N109" s="149"/>
      <c r="O109" s="149"/>
      <c r="P109" s="149"/>
    </row>
    <row r="110" spans="2:16" x14ac:dyDescent="0.25">
      <c r="C110" t="s">
        <v>567</v>
      </c>
      <c r="D110" t="s">
        <v>415</v>
      </c>
      <c r="E110" s="146">
        <f t="array" ref="E110">IF(INDEX($G110:$P110,$E$6)="",$G110,INDEX($G110:$P110,$E$6))</f>
        <v>1</v>
      </c>
      <c r="F110" s="147" t="s">
        <v>568</v>
      </c>
      <c r="G110" s="149">
        <v>1</v>
      </c>
      <c r="H110" s="149"/>
      <c r="I110" s="149"/>
      <c r="J110" s="149"/>
      <c r="K110" s="149"/>
      <c r="L110" s="149"/>
      <c r="M110" s="149"/>
      <c r="N110" s="149"/>
      <c r="O110" s="149"/>
      <c r="P110" s="149"/>
    </row>
    <row r="111" spans="2:16" x14ac:dyDescent="0.25">
      <c r="C111" t="s">
        <v>569</v>
      </c>
      <c r="D111" t="s">
        <v>51</v>
      </c>
      <c r="E111" s="42">
        <f t="array" ref="E111">IF(INDEX($G111:$P111,$E$6)="",$G111,INDEX($G111:$P111,$E$6))</f>
        <v>0.03</v>
      </c>
      <c r="F111" s="165" t="s">
        <v>570</v>
      </c>
      <c r="G111" s="166">
        <v>0.03</v>
      </c>
      <c r="H111" s="166"/>
      <c r="I111" s="166"/>
      <c r="J111" s="166"/>
      <c r="K111" s="166"/>
      <c r="L111" s="166"/>
      <c r="M111" s="166"/>
      <c r="N111" s="166"/>
      <c r="O111" s="166"/>
      <c r="P111" s="166"/>
    </row>
    <row r="112" spans="2:16" x14ac:dyDescent="0.25">
      <c r="C112" t="s">
        <v>571</v>
      </c>
      <c r="D112" t="s">
        <v>397</v>
      </c>
      <c r="E112" t="str">
        <f t="array" ref="E112">IF(INDEX($G112:$P112,$E$6)="",$G112,INDEX($G112:$P112,$E$6))</f>
        <v>1M EURIBOR Jul-26</v>
      </c>
      <c r="F112" s="124" t="s">
        <v>572</v>
      </c>
      <c r="G112" s="169" t="s">
        <v>573</v>
      </c>
      <c r="H112" s="169"/>
      <c r="I112" s="169"/>
      <c r="J112" s="169"/>
      <c r="K112" s="169"/>
      <c r="L112" s="169"/>
      <c r="M112" s="169"/>
      <c r="N112" s="169"/>
      <c r="O112" s="169"/>
      <c r="P112" s="169"/>
    </row>
    <row r="113" spans="2:16" x14ac:dyDescent="0.25">
      <c r="C113" t="s">
        <v>574</v>
      </c>
      <c r="D113" t="s">
        <v>480</v>
      </c>
      <c r="E113" s="42">
        <f t="array" ref="E113">IF(INDEX($G113:$P113,$E$6)="",$G113,INDEX($G113:$P113,$E$6))</f>
        <v>0.06</v>
      </c>
      <c r="F113" s="165" t="s">
        <v>575</v>
      </c>
      <c r="G113" s="166">
        <v>0.06</v>
      </c>
      <c r="H113" s="166"/>
      <c r="I113" s="166"/>
      <c r="J113" s="166"/>
      <c r="K113" s="166"/>
      <c r="L113" s="166"/>
      <c r="M113" s="166"/>
      <c r="N113" s="166"/>
      <c r="O113" s="166"/>
      <c r="P113" s="166"/>
    </row>
    <row r="114" spans="2:16" x14ac:dyDescent="0.25">
      <c r="C114" t="s">
        <v>576</v>
      </c>
      <c r="D114" t="s">
        <v>415</v>
      </c>
      <c r="E114" s="146">
        <f t="array" ref="E114">IF(INDEX($G114:$P114,$E$6)="",$G114,INDEX($G114:$P114,$E$6))</f>
        <v>1</v>
      </c>
      <c r="F114" s="147" t="s">
        <v>577</v>
      </c>
      <c r="G114" s="149">
        <v>1</v>
      </c>
      <c r="H114" s="149"/>
      <c r="I114" s="149"/>
      <c r="J114" s="149"/>
      <c r="K114" s="149"/>
      <c r="L114" s="149"/>
      <c r="M114" s="149"/>
      <c r="N114" s="149"/>
      <c r="O114" s="149"/>
      <c r="P114" s="149"/>
    </row>
    <row r="115" spans="2:16" x14ac:dyDescent="0.25">
      <c r="F115" s="124"/>
    </row>
    <row r="116" spans="2:16" x14ac:dyDescent="0.25">
      <c r="B116" t="s">
        <v>7</v>
      </c>
      <c r="C116" s="129" t="s">
        <v>578</v>
      </c>
      <c r="D116" s="129"/>
      <c r="E116" s="129"/>
      <c r="F116" s="130"/>
      <c r="G116" s="129"/>
      <c r="H116" s="129"/>
      <c r="I116" s="129"/>
      <c r="J116" s="129"/>
      <c r="K116" s="129"/>
      <c r="L116" s="129"/>
      <c r="M116" s="129"/>
      <c r="N116" s="129"/>
      <c r="O116" s="129"/>
      <c r="P116" s="129"/>
    </row>
    <row r="117" spans="2:16" x14ac:dyDescent="0.25">
      <c r="C117" t="s">
        <v>579</v>
      </c>
      <c r="D117" t="s">
        <v>415</v>
      </c>
      <c r="E117" s="146">
        <f t="array" ref="E117">IF(INDEX($G117:$P117,$E$6)="",$G117,INDEX($G117:$P117,$E$6))</f>
        <v>1</v>
      </c>
      <c r="F117" s="147" t="s">
        <v>580</v>
      </c>
      <c r="G117" s="149">
        <v>1</v>
      </c>
      <c r="H117" s="149"/>
      <c r="I117" s="149"/>
      <c r="J117" s="149"/>
      <c r="K117" s="149"/>
      <c r="L117" s="149"/>
      <c r="M117" s="149"/>
      <c r="N117" s="149"/>
      <c r="O117" s="149"/>
      <c r="P117" s="149"/>
    </row>
    <row r="118" spans="2:16" x14ac:dyDescent="0.25">
      <c r="C118" t="s">
        <v>581</v>
      </c>
      <c r="D118" t="s">
        <v>415</v>
      </c>
      <c r="E118" s="146">
        <f t="array" ref="E118">IF(INDEX($G118:$P118,$E$6)="",$G118,INDEX($G118:$P118,$E$6))</f>
        <v>0</v>
      </c>
      <c r="F118" s="147"/>
      <c r="G118" s="149">
        <v>0</v>
      </c>
      <c r="H118" s="149"/>
      <c r="I118" s="149"/>
      <c r="J118" s="149"/>
      <c r="K118" s="149"/>
      <c r="L118" s="149"/>
      <c r="M118" s="149"/>
      <c r="N118" s="149"/>
      <c r="O118" s="149"/>
      <c r="P118" s="149"/>
    </row>
    <row r="119" spans="2:16" x14ac:dyDescent="0.25">
      <c r="C119" t="s">
        <v>582</v>
      </c>
      <c r="D119" t="s">
        <v>415</v>
      </c>
      <c r="E119" s="146">
        <f t="array" ref="E119">IF(INDEX($G119:$P119,$E$6)="",$G119,INDEX($G119:$P119,$E$6))</f>
        <v>0</v>
      </c>
      <c r="F119" s="147"/>
      <c r="G119" s="149">
        <v>0</v>
      </c>
      <c r="H119" s="149"/>
      <c r="I119" s="149"/>
      <c r="J119" s="149"/>
      <c r="K119" s="149"/>
      <c r="L119" s="149"/>
      <c r="M119" s="149"/>
      <c r="N119" s="149"/>
      <c r="O119" s="149"/>
      <c r="P119" s="149"/>
    </row>
    <row r="120" spans="2:16" x14ac:dyDescent="0.25">
      <c r="C120" t="s">
        <v>583</v>
      </c>
      <c r="D120" t="s">
        <v>415</v>
      </c>
      <c r="E120" s="146">
        <f t="array" ref="E120">IF(INDEX($G120:$P120,$E$6)="",$G120,INDEX($G120:$P120,$E$6))</f>
        <v>1</v>
      </c>
      <c r="F120" s="147"/>
      <c r="G120" s="149">
        <v>1</v>
      </c>
      <c r="H120" s="149"/>
      <c r="I120" s="149"/>
      <c r="J120" s="149"/>
      <c r="K120" s="149"/>
      <c r="L120" s="149"/>
      <c r="M120" s="149"/>
      <c r="N120" s="149"/>
      <c r="O120" s="149"/>
      <c r="P120" s="149"/>
    </row>
    <row r="121" spans="2:16" x14ac:dyDescent="0.25">
      <c r="C121" t="s">
        <v>584</v>
      </c>
      <c r="D121" t="s">
        <v>415</v>
      </c>
      <c r="E121" s="146">
        <f t="array" ref="E121">IF(INDEX($G121:$P121,$E$6)="",$G121,INDEX($G121:$P121,$E$6))</f>
        <v>1</v>
      </c>
      <c r="F121" s="147"/>
      <c r="G121" s="149">
        <v>1</v>
      </c>
      <c r="H121" s="149"/>
      <c r="I121" s="149"/>
      <c r="J121" s="149"/>
      <c r="K121" s="149"/>
      <c r="L121" s="149"/>
      <c r="M121" s="149"/>
      <c r="N121" s="149"/>
      <c r="O121" s="149"/>
      <c r="P121" s="149"/>
    </row>
    <row r="122" spans="2:16" x14ac:dyDescent="0.25">
      <c r="C122" t="s">
        <v>585</v>
      </c>
      <c r="D122" t="s">
        <v>415</v>
      </c>
      <c r="E122" s="146">
        <f t="array" ref="E122">IF(INDEX($G122:$P122,$E$6)="",$G122,INDEX($G122:$P122,$E$6))</f>
        <v>0</v>
      </c>
      <c r="F122" s="147"/>
      <c r="G122" s="149">
        <v>0</v>
      </c>
      <c r="H122" s="149"/>
      <c r="I122" s="149"/>
      <c r="J122" s="149"/>
      <c r="K122" s="149"/>
      <c r="L122" s="149"/>
      <c r="M122" s="149"/>
      <c r="N122" s="149"/>
      <c r="O122" s="149"/>
      <c r="P122" s="149"/>
    </row>
    <row r="123" spans="2:16" x14ac:dyDescent="0.25">
      <c r="C123" t="s">
        <v>586</v>
      </c>
      <c r="D123" t="s">
        <v>415</v>
      </c>
      <c r="E123" s="146">
        <f t="array" ref="E123">IF(INDEX($G123:$P123,$E$6)="",$G123,INDEX($G123:$P123,$E$6))</f>
        <v>0</v>
      </c>
      <c r="F123" s="147"/>
      <c r="G123" s="149">
        <v>0</v>
      </c>
      <c r="H123" s="149"/>
      <c r="I123" s="149"/>
      <c r="J123" s="149"/>
      <c r="K123" s="149"/>
      <c r="L123" s="149"/>
      <c r="M123" s="149"/>
      <c r="N123" s="149"/>
      <c r="O123" s="149"/>
      <c r="P123" s="149"/>
    </row>
    <row r="124" spans="2:16" x14ac:dyDescent="0.25">
      <c r="C124" t="s">
        <v>587</v>
      </c>
      <c r="D124" t="s">
        <v>415</v>
      </c>
      <c r="E124" s="146">
        <f t="array" ref="E124">IF(INDEX($G124:$P124,$E$6)="",$G124,INDEX($G124:$P124,$E$6))</f>
        <v>0</v>
      </c>
      <c r="F124" s="147"/>
      <c r="G124" s="149">
        <v>0</v>
      </c>
      <c r="H124" s="149"/>
      <c r="I124" s="149"/>
      <c r="J124" s="149"/>
      <c r="K124" s="149"/>
      <c r="L124" s="149"/>
      <c r="M124" s="149"/>
      <c r="N124" s="149"/>
      <c r="O124" s="149"/>
      <c r="P124" s="149"/>
    </row>
    <row r="125" spans="2:16" x14ac:dyDescent="0.25">
      <c r="C125" t="s">
        <v>588</v>
      </c>
      <c r="D125" t="s">
        <v>415</v>
      </c>
      <c r="E125" s="146">
        <f t="array" ref="E125">IF(INDEX($G125:$P125,$E$6)="",$G125,INDEX($G125:$P125,$E$6))</f>
        <v>0</v>
      </c>
      <c r="F125" s="147"/>
      <c r="G125" s="149">
        <v>0</v>
      </c>
      <c r="H125" s="149"/>
      <c r="I125" s="149"/>
      <c r="J125" s="149"/>
      <c r="K125" s="149"/>
      <c r="L125" s="149"/>
      <c r="M125" s="149"/>
      <c r="N125" s="149"/>
      <c r="O125" s="149"/>
      <c r="P125" s="149"/>
    </row>
    <row r="126" spans="2:16" x14ac:dyDescent="0.25">
      <c r="C126" t="s">
        <v>589</v>
      </c>
      <c r="D126" t="s">
        <v>415</v>
      </c>
      <c r="E126" s="146">
        <f t="array" ref="E126">IF(INDEX($G126:$P126,$E$6)="",$G126,INDEX($G126:$P126,$E$6))</f>
        <v>1</v>
      </c>
      <c r="F126" s="147"/>
      <c r="G126" s="149">
        <v>1</v>
      </c>
      <c r="H126" s="149"/>
      <c r="I126" s="149"/>
      <c r="J126" s="149"/>
      <c r="K126" s="149"/>
      <c r="L126" s="149"/>
      <c r="M126" s="149"/>
      <c r="N126" s="149"/>
      <c r="O126" s="149"/>
      <c r="P126" s="149"/>
    </row>
    <row r="127" spans="2:16" x14ac:dyDescent="0.25">
      <c r="F127" s="124"/>
    </row>
    <row r="128" spans="2:16" x14ac:dyDescent="0.25">
      <c r="B128" t="s">
        <v>7</v>
      </c>
      <c r="C128" s="129" t="s">
        <v>590</v>
      </c>
      <c r="D128" s="129"/>
      <c r="E128" s="129"/>
      <c r="F128" s="130"/>
      <c r="G128" s="129"/>
      <c r="H128" s="129"/>
      <c r="I128" s="129"/>
      <c r="J128" s="129"/>
      <c r="K128" s="129"/>
      <c r="L128" s="129"/>
      <c r="M128" s="129"/>
      <c r="N128" s="129"/>
      <c r="O128" s="129"/>
      <c r="P128" s="129"/>
    </row>
    <row r="129" spans="2:16" x14ac:dyDescent="0.25">
      <c r="C129" t="s">
        <v>579</v>
      </c>
      <c r="D129" t="s">
        <v>51</v>
      </c>
      <c r="E129" s="134">
        <f t="array" ref="E129">IF(INDEX($G129:$P129,$E$6)="",$G129,INDEX($G129:$P129,$E$6))</f>
        <v>0</v>
      </c>
      <c r="F129" s="135" t="s">
        <v>591</v>
      </c>
      <c r="G129" s="136">
        <v>0</v>
      </c>
      <c r="H129" s="136"/>
      <c r="I129" s="136"/>
      <c r="J129" s="136"/>
      <c r="K129" s="136"/>
      <c r="L129" s="136"/>
      <c r="M129" s="136"/>
      <c r="N129" s="136"/>
      <c r="O129" s="136"/>
      <c r="P129" s="136"/>
    </row>
    <row r="130" spans="2:16" x14ac:dyDescent="0.25">
      <c r="C130" t="s">
        <v>581</v>
      </c>
      <c r="D130" t="s">
        <v>51</v>
      </c>
      <c r="E130" s="134">
        <f t="array" ref="E130">IF(INDEX($G130:$P130,$E$6)="",$G130,INDEX($G130:$P130,$E$6))</f>
        <v>1</v>
      </c>
      <c r="F130" s="135"/>
      <c r="G130" s="136">
        <v>1</v>
      </c>
      <c r="H130" s="136"/>
      <c r="I130" s="136"/>
      <c r="J130" s="136"/>
      <c r="K130" s="136"/>
      <c r="L130" s="136"/>
      <c r="M130" s="136"/>
      <c r="N130" s="136"/>
      <c r="O130" s="136"/>
      <c r="P130" s="136"/>
    </row>
    <row r="131" spans="2:16" x14ac:dyDescent="0.25">
      <c r="C131" t="s">
        <v>582</v>
      </c>
      <c r="D131" t="s">
        <v>51</v>
      </c>
      <c r="E131" s="134">
        <f t="array" ref="E131">IF(INDEX($G131:$P131,$E$6)="",$G131,INDEX($G131:$P131,$E$6))</f>
        <v>1</v>
      </c>
      <c r="F131" s="135"/>
      <c r="G131" s="136">
        <v>1</v>
      </c>
      <c r="H131" s="136"/>
      <c r="I131" s="136"/>
      <c r="J131" s="136"/>
      <c r="K131" s="136"/>
      <c r="L131" s="136"/>
      <c r="M131" s="136"/>
      <c r="N131" s="136"/>
      <c r="O131" s="136"/>
      <c r="P131" s="136"/>
    </row>
    <row r="132" spans="2:16" x14ac:dyDescent="0.25">
      <c r="C132" t="s">
        <v>583</v>
      </c>
      <c r="D132" t="s">
        <v>51</v>
      </c>
      <c r="E132" s="134">
        <f t="array" ref="E132">IF(INDEX($G132:$P132,$E$6)="",$G132,INDEX($G132:$P132,$E$6))</f>
        <v>1</v>
      </c>
      <c r="F132" s="135"/>
      <c r="G132" s="136">
        <v>1</v>
      </c>
      <c r="H132" s="136"/>
      <c r="I132" s="136"/>
      <c r="J132" s="136"/>
      <c r="K132" s="136"/>
      <c r="L132" s="136"/>
      <c r="M132" s="136"/>
      <c r="N132" s="136"/>
      <c r="O132" s="136"/>
      <c r="P132" s="136"/>
    </row>
    <row r="133" spans="2:16" x14ac:dyDescent="0.25">
      <c r="C133" t="s">
        <v>584</v>
      </c>
      <c r="D133" t="s">
        <v>51</v>
      </c>
      <c r="E133" s="134">
        <f t="array" ref="E133">IF(INDEX($G133:$P133,$E$6)="",$G133,INDEX($G133:$P133,$E$6))</f>
        <v>1</v>
      </c>
      <c r="F133" s="135"/>
      <c r="G133" s="136">
        <v>1</v>
      </c>
      <c r="H133" s="136"/>
      <c r="I133" s="136"/>
      <c r="J133" s="136"/>
      <c r="K133" s="136"/>
      <c r="L133" s="136"/>
      <c r="M133" s="136"/>
      <c r="N133" s="136"/>
      <c r="O133" s="136"/>
      <c r="P133" s="136"/>
    </row>
    <row r="134" spans="2:16" x14ac:dyDescent="0.25">
      <c r="C134" t="s">
        <v>585</v>
      </c>
      <c r="D134" t="s">
        <v>51</v>
      </c>
      <c r="E134" s="134">
        <f t="array" ref="E134">IF(INDEX($G134:$P134,$E$6)="",$G134,INDEX($G134:$P134,$E$6))</f>
        <v>1</v>
      </c>
      <c r="F134" s="135"/>
      <c r="G134" s="136">
        <v>1</v>
      </c>
      <c r="H134" s="136"/>
      <c r="I134" s="136"/>
      <c r="J134" s="136"/>
      <c r="K134" s="136"/>
      <c r="L134" s="136"/>
      <c r="M134" s="136"/>
      <c r="N134" s="136"/>
      <c r="O134" s="136"/>
      <c r="P134" s="136"/>
    </row>
    <row r="135" spans="2:16" x14ac:dyDescent="0.25">
      <c r="C135" t="s">
        <v>586</v>
      </c>
      <c r="D135" t="s">
        <v>51</v>
      </c>
      <c r="E135" s="134">
        <f t="array" ref="E135">IF(INDEX($G135:$P135,$E$6)="",$G135,INDEX($G135:$P135,$E$6))</f>
        <v>1</v>
      </c>
      <c r="F135" s="135"/>
      <c r="G135" s="136">
        <v>1</v>
      </c>
      <c r="H135" s="136"/>
      <c r="I135" s="136"/>
      <c r="J135" s="136"/>
      <c r="K135" s="136"/>
      <c r="L135" s="136"/>
      <c r="M135" s="136"/>
      <c r="N135" s="136"/>
      <c r="O135" s="136"/>
      <c r="P135" s="136"/>
    </row>
    <row r="136" spans="2:16" x14ac:dyDescent="0.25">
      <c r="C136" t="s">
        <v>587</v>
      </c>
      <c r="D136" t="s">
        <v>51</v>
      </c>
      <c r="E136" s="134">
        <f t="array" ref="E136">IF(INDEX($G136:$P136,$E$6)="",$G136,INDEX($G136:$P136,$E$6))</f>
        <v>1</v>
      </c>
      <c r="F136" s="135"/>
      <c r="G136" s="136">
        <v>1</v>
      </c>
      <c r="H136" s="136"/>
      <c r="I136" s="136"/>
      <c r="J136" s="136"/>
      <c r="K136" s="136"/>
      <c r="L136" s="136"/>
      <c r="M136" s="136"/>
      <c r="N136" s="136"/>
      <c r="O136" s="136"/>
      <c r="P136" s="136"/>
    </row>
    <row r="137" spans="2:16" x14ac:dyDescent="0.25">
      <c r="C137" t="s">
        <v>588</v>
      </c>
      <c r="D137" t="s">
        <v>51</v>
      </c>
      <c r="E137" s="134">
        <f t="array" ref="E137">IF(INDEX($G137:$P137,$E$6)="",$G137,INDEX($G137:$P137,$E$6))</f>
        <v>1</v>
      </c>
      <c r="F137" s="135"/>
      <c r="G137" s="136">
        <v>1</v>
      </c>
      <c r="H137" s="136"/>
      <c r="I137" s="136"/>
      <c r="J137" s="136"/>
      <c r="K137" s="136"/>
      <c r="L137" s="136"/>
      <c r="M137" s="136"/>
      <c r="N137" s="136"/>
      <c r="O137" s="136"/>
      <c r="P137" s="136"/>
    </row>
    <row r="138" spans="2:16" x14ac:dyDescent="0.25">
      <c r="C138" t="s">
        <v>589</v>
      </c>
      <c r="D138" t="s">
        <v>51</v>
      </c>
      <c r="E138" s="170">
        <f t="array" ref="E138">IF(INDEX($G138:$P138,$E$6)="",$G138,INDEX($G138:$P138,$E$6))</f>
        <v>1</v>
      </c>
      <c r="F138" s="135" t="s">
        <v>592</v>
      </c>
      <c r="G138" s="136">
        <v>1</v>
      </c>
      <c r="H138" s="136"/>
      <c r="I138" s="136"/>
      <c r="J138" s="136"/>
      <c r="K138" s="136"/>
      <c r="L138" s="136"/>
      <c r="M138" s="136"/>
      <c r="N138" s="136"/>
      <c r="O138" s="136"/>
      <c r="P138" s="136"/>
    </row>
    <row r="139" spans="2:16" x14ac:dyDescent="0.25">
      <c r="F139" s="124"/>
    </row>
    <row r="140" spans="2:16" x14ac:dyDescent="0.25">
      <c r="B140" t="s">
        <v>7</v>
      </c>
      <c r="C140" s="129" t="s">
        <v>593</v>
      </c>
      <c r="D140" s="129"/>
      <c r="E140" s="129"/>
      <c r="F140" s="130"/>
      <c r="G140" s="129"/>
      <c r="H140" s="129"/>
      <c r="I140" s="129"/>
      <c r="J140" s="129"/>
      <c r="K140" s="129"/>
      <c r="L140" s="129"/>
      <c r="M140" s="129"/>
      <c r="N140" s="129"/>
      <c r="O140" s="129"/>
      <c r="P140" s="129"/>
    </row>
    <row r="141" spans="2:16" x14ac:dyDescent="0.25">
      <c r="C141" t="s">
        <v>594</v>
      </c>
      <c r="D141" t="s">
        <v>2</v>
      </c>
      <c r="E141" s="151">
        <f t="array" ref="E141">IF(INDEX($G141:$P141,$E$6)="",$G141,INDEX($G141:$P141,$E$6))</f>
        <v>150</v>
      </c>
      <c r="F141" s="152" t="s">
        <v>595</v>
      </c>
      <c r="G141" s="171">
        <f>Dashboard!$H$12</f>
        <v>150</v>
      </c>
      <c r="H141" s="172"/>
      <c r="I141" s="172"/>
      <c r="J141" s="153"/>
      <c r="K141" s="153"/>
      <c r="L141" s="153"/>
      <c r="M141" s="153"/>
      <c r="N141" s="153"/>
      <c r="O141" s="153"/>
      <c r="P141" s="153"/>
    </row>
    <row r="142" spans="2:16" x14ac:dyDescent="0.25">
      <c r="C142" t="s">
        <v>596</v>
      </c>
      <c r="D142" t="s">
        <v>11</v>
      </c>
      <c r="E142" s="151"/>
      <c r="F142" s="152" t="s">
        <v>597</v>
      </c>
      <c r="G142" s="153"/>
      <c r="H142" s="153"/>
      <c r="I142" s="153"/>
      <c r="J142" s="153"/>
      <c r="K142" s="153"/>
      <c r="L142" s="153"/>
      <c r="M142" s="153"/>
      <c r="N142" s="153"/>
      <c r="O142" s="153"/>
      <c r="P142" s="153"/>
    </row>
    <row r="143" spans="2:16" x14ac:dyDescent="0.25">
      <c r="C143" t="s">
        <v>598</v>
      </c>
      <c r="D143" t="s">
        <v>11</v>
      </c>
      <c r="E143" s="151"/>
      <c r="F143" s="152"/>
      <c r="G143" s="153"/>
      <c r="H143" s="153"/>
      <c r="I143" s="153"/>
      <c r="J143" s="153"/>
      <c r="K143" s="153"/>
      <c r="L143" s="153"/>
      <c r="M143" s="153"/>
      <c r="N143" s="153"/>
      <c r="O143" s="153"/>
      <c r="P143" s="153"/>
    </row>
    <row r="144" spans="2:16" x14ac:dyDescent="0.25">
      <c r="C144" t="s">
        <v>599</v>
      </c>
      <c r="D144" t="s">
        <v>11</v>
      </c>
      <c r="E144" s="151"/>
      <c r="F144" s="152"/>
      <c r="G144" s="153"/>
      <c r="H144" s="153"/>
      <c r="I144" s="153"/>
      <c r="J144" s="153"/>
      <c r="K144" s="153"/>
      <c r="L144" s="153"/>
      <c r="M144" s="153"/>
      <c r="N144" s="153"/>
      <c r="O144" s="153"/>
      <c r="P144" s="153"/>
    </row>
    <row r="145" spans="3:16" x14ac:dyDescent="0.25">
      <c r="C145" t="s">
        <v>600</v>
      </c>
      <c r="D145" t="s">
        <v>11</v>
      </c>
      <c r="E145" s="151"/>
      <c r="F145" s="152"/>
      <c r="G145" s="153"/>
      <c r="H145" s="153"/>
      <c r="I145" s="153"/>
      <c r="J145" s="153"/>
      <c r="K145" s="153"/>
      <c r="L145" s="153"/>
      <c r="M145" s="153"/>
      <c r="N145" s="153"/>
      <c r="O145" s="153"/>
      <c r="P145" s="153"/>
    </row>
    <row r="146" spans="3:16" x14ac:dyDescent="0.25">
      <c r="C146" t="s">
        <v>601</v>
      </c>
      <c r="D146" t="s">
        <v>11</v>
      </c>
      <c r="E146" s="151"/>
      <c r="F146" s="152"/>
      <c r="G146" s="153"/>
      <c r="H146" s="153"/>
      <c r="I146" s="153"/>
      <c r="J146" s="153"/>
      <c r="K146" s="153"/>
      <c r="L146" s="153"/>
      <c r="M146" s="153"/>
      <c r="N146" s="153"/>
      <c r="O146" s="153"/>
      <c r="P146" s="153"/>
    </row>
    <row r="147" spans="3:16" x14ac:dyDescent="0.25">
      <c r="C147" t="s">
        <v>602</v>
      </c>
      <c r="D147" t="s">
        <v>11</v>
      </c>
      <c r="E147" s="151"/>
      <c r="F147" s="152"/>
      <c r="G147" s="153"/>
      <c r="H147" s="153"/>
      <c r="I147" s="153"/>
      <c r="J147" s="153"/>
      <c r="K147" s="153"/>
      <c r="L147" s="153"/>
      <c r="M147" s="153"/>
      <c r="N147" s="153"/>
      <c r="O147" s="153"/>
      <c r="P147" s="153"/>
    </row>
    <row r="148" spans="3:16" x14ac:dyDescent="0.25">
      <c r="C148" t="s">
        <v>603</v>
      </c>
      <c r="D148" t="s">
        <v>11</v>
      </c>
      <c r="E148" s="151"/>
      <c r="F148" s="152"/>
      <c r="G148" s="153"/>
      <c r="H148" s="153"/>
      <c r="I148" s="153"/>
      <c r="J148" s="153"/>
      <c r="K148" s="153"/>
      <c r="L148" s="153"/>
      <c r="M148" s="153"/>
      <c r="N148" s="153"/>
      <c r="O148" s="153"/>
      <c r="P148" s="153"/>
    </row>
    <row r="151" spans="3:16" x14ac:dyDescent="0.25">
      <c r="C151" s="129" t="s">
        <v>604</v>
      </c>
      <c r="D151" s="129"/>
      <c r="E151" s="129"/>
      <c r="F151" s="130"/>
      <c r="G151" s="129"/>
      <c r="H151" s="129"/>
      <c r="I151" s="129"/>
      <c r="J151" s="129"/>
      <c r="K151" s="129"/>
      <c r="L151" s="129"/>
      <c r="M151" s="129"/>
      <c r="N151" s="129"/>
      <c r="O151" s="129"/>
      <c r="P151" s="129"/>
    </row>
    <row r="152" spans="3:16" x14ac:dyDescent="0.25">
      <c r="C152" t="s">
        <v>605</v>
      </c>
      <c r="D152" t="s">
        <v>441</v>
      </c>
      <c r="E152" s="146">
        <f t="array" ref="E152">IF(INDEX($G152:$P152,$E$6)="",$G152,INDEX($G152:$P152,$E$6))</f>
        <v>3</v>
      </c>
      <c r="F152" s="124" t="s">
        <v>606</v>
      </c>
      <c r="G152" s="149">
        <v>3</v>
      </c>
      <c r="H152" s="149"/>
      <c r="I152" s="149"/>
      <c r="J152" s="149"/>
      <c r="K152" s="149"/>
      <c r="L152" s="149"/>
      <c r="M152" s="149"/>
      <c r="N152" s="149"/>
      <c r="O152" s="149"/>
      <c r="P152" s="149"/>
    </row>
    <row r="153" spans="3:16" x14ac:dyDescent="0.25">
      <c r="C153" t="s">
        <v>607</v>
      </c>
      <c r="D153" t="s">
        <v>441</v>
      </c>
      <c r="E153" s="146">
        <f t="array" ref="E153">IF(INDEX($G153:$P153,$E$6)="",$G153,INDEX($G153:$P153,$E$6))</f>
        <v>24</v>
      </c>
      <c r="F153" s="124" t="s">
        <v>608</v>
      </c>
      <c r="G153" s="148">
        <v>24</v>
      </c>
      <c r="H153" s="148"/>
      <c r="I153" s="148"/>
      <c r="J153" s="149"/>
      <c r="K153" s="149"/>
      <c r="L153" s="149"/>
      <c r="M153" s="149"/>
      <c r="N153" s="149"/>
      <c r="O153" s="149"/>
      <c r="P153" s="149"/>
    </row>
    <row r="154" spans="3:16" x14ac:dyDescent="0.25">
      <c r="C154" t="s">
        <v>609</v>
      </c>
      <c r="D154" t="s">
        <v>266</v>
      </c>
      <c r="E154" s="143">
        <f>EOMONTH($E$56,E152)</f>
        <v>47299</v>
      </c>
      <c r="F154" s="124"/>
    </row>
    <row r="155" spans="3:16" x14ac:dyDescent="0.25">
      <c r="C155" t="s">
        <v>610</v>
      </c>
      <c r="D155" t="s">
        <v>266</v>
      </c>
      <c r="E155" s="143">
        <f>EOMONTH(E154,E153)</f>
        <v>48029</v>
      </c>
      <c r="F155" s="124" t="s">
        <v>611</v>
      </c>
    </row>
    <row r="156" spans="3:16" x14ac:dyDescent="0.25">
      <c r="C156" t="s">
        <v>114</v>
      </c>
      <c r="D156" t="s">
        <v>5</v>
      </c>
      <c r="E156" s="146">
        <f>YEAR(E155)+1</f>
        <v>2032</v>
      </c>
      <c r="F156" s="124" t="s">
        <v>612</v>
      </c>
    </row>
    <row r="157" spans="3:16" x14ac:dyDescent="0.25">
      <c r="C157" t="s">
        <v>223</v>
      </c>
      <c r="D157" t="s">
        <v>613</v>
      </c>
      <c r="E157" s="146">
        <f t="array" ref="E157">IF(INDEX($G157:$P157,$E$6)="",$G157,INDEX($G157:$P157,$E$6))</f>
        <v>30</v>
      </c>
      <c r="F157" s="124" t="s">
        <v>614</v>
      </c>
      <c r="G157" s="148">
        <v>30</v>
      </c>
      <c r="H157" s="148"/>
      <c r="I157" s="148"/>
      <c r="J157" s="149"/>
      <c r="K157" s="149"/>
      <c r="L157" s="149"/>
      <c r="M157" s="149"/>
      <c r="N157" s="149"/>
      <c r="O157" s="149"/>
      <c r="P157" s="149"/>
    </row>
    <row r="158" spans="3:16" x14ac:dyDescent="0.25">
      <c r="C158" t="s">
        <v>615</v>
      </c>
      <c r="D158" t="s">
        <v>5</v>
      </c>
      <c r="E158" s="146">
        <f>YEAR(E155)+E157</f>
        <v>2061</v>
      </c>
      <c r="F158" s="124"/>
    </row>
    <row r="159" spans="3:16" x14ac:dyDescent="0.25">
      <c r="C159" t="s">
        <v>616</v>
      </c>
      <c r="D159" t="s">
        <v>194</v>
      </c>
      <c r="E159" t="str">
        <f>IF(E158&lt;=HTM!$AQ$5,"OK","EXTEND GRID")</f>
        <v>OK</v>
      </c>
      <c r="F159" s="124"/>
    </row>
    <row r="161" spans="3:16" x14ac:dyDescent="0.25">
      <c r="C161" s="129" t="s">
        <v>617</v>
      </c>
      <c r="D161" s="129"/>
      <c r="E161" s="129"/>
      <c r="F161" s="130"/>
      <c r="G161" s="129"/>
      <c r="H161" s="129"/>
      <c r="I161" s="129"/>
      <c r="J161" s="129"/>
      <c r="K161" s="129"/>
      <c r="L161" s="129"/>
      <c r="M161" s="129"/>
      <c r="N161" s="129"/>
      <c r="O161" s="129"/>
      <c r="P161" s="129"/>
    </row>
    <row r="162" spans="3:16" x14ac:dyDescent="0.25">
      <c r="C162" t="s">
        <v>618</v>
      </c>
      <c r="D162" t="s">
        <v>11</v>
      </c>
      <c r="E162" s="173">
        <f t="array" ref="E162">IF(INDEX($G162:$P162,$E$6)="",$G162,INDEX($G162:$P162,$E$6))</f>
        <v>500</v>
      </c>
      <c r="F162" s="124" t="s">
        <v>619</v>
      </c>
      <c r="G162" s="174">
        <v>800</v>
      </c>
      <c r="H162" s="175">
        <v>500</v>
      </c>
      <c r="I162" s="175"/>
      <c r="J162" s="176"/>
      <c r="K162" s="176"/>
      <c r="L162" s="176"/>
      <c r="M162" s="176"/>
      <c r="N162" s="176"/>
      <c r="O162" s="176"/>
      <c r="P162" s="176"/>
    </row>
    <row r="163" spans="3:16" x14ac:dyDescent="0.25">
      <c r="C163" t="s">
        <v>620</v>
      </c>
      <c r="D163" t="s">
        <v>11</v>
      </c>
      <c r="E163" s="173">
        <f t="array" ref="E163">IF(INDEX($G163:$P163,$E$6)="",$G163,INDEX($G163:$P163,$E$6))*$E$172</f>
        <v>80</v>
      </c>
      <c r="F163" s="124" t="s">
        <v>621</v>
      </c>
      <c r="G163" s="175">
        <v>80</v>
      </c>
      <c r="H163" s="175"/>
      <c r="I163" s="175"/>
      <c r="J163" s="176"/>
      <c r="K163" s="176"/>
      <c r="L163" s="176"/>
      <c r="M163" s="176"/>
      <c r="N163" s="176"/>
      <c r="O163" s="176"/>
      <c r="P163" s="176"/>
    </row>
    <row r="164" spans="3:16" x14ac:dyDescent="0.25">
      <c r="C164" t="s">
        <v>95</v>
      </c>
      <c r="D164" t="s">
        <v>11</v>
      </c>
      <c r="E164" s="173">
        <f t="array" ref="E164">IF(INDEX($G164:$P164,$E$6)="",$G164,INDEX($G164:$P164,$E$6))*$E$172</f>
        <v>90</v>
      </c>
      <c r="F164" s="124" t="s">
        <v>621</v>
      </c>
      <c r="G164" s="175">
        <v>90</v>
      </c>
      <c r="H164" s="175"/>
      <c r="I164" s="175"/>
      <c r="J164" s="176"/>
      <c r="K164" s="176"/>
      <c r="L164" s="176"/>
      <c r="M164" s="176"/>
      <c r="N164" s="176"/>
      <c r="O164" s="176"/>
      <c r="P164" s="176"/>
    </row>
    <row r="165" spans="3:16" x14ac:dyDescent="0.25">
      <c r="C165" t="s">
        <v>622</v>
      </c>
      <c r="D165" t="s">
        <v>11</v>
      </c>
      <c r="E165" s="173">
        <f t="array" ref="E165">IF(INDEX($G165:$P165,$E$6)="",$G165,INDEX($G165:$P165,$E$6))*$E$172</f>
        <v>70</v>
      </c>
      <c r="F165" s="124" t="s">
        <v>621</v>
      </c>
      <c r="G165" s="175">
        <v>70</v>
      </c>
      <c r="H165" s="175"/>
      <c r="I165" s="175"/>
      <c r="J165" s="176"/>
      <c r="K165" s="176"/>
      <c r="L165" s="176"/>
      <c r="M165" s="176"/>
      <c r="N165" s="176"/>
      <c r="O165" s="176"/>
      <c r="P165" s="176"/>
    </row>
    <row r="166" spans="3:16" x14ac:dyDescent="0.25">
      <c r="C166" t="s">
        <v>623</v>
      </c>
      <c r="D166" t="s">
        <v>11</v>
      </c>
      <c r="E166" s="173">
        <f t="array" ref="E166">IF(INDEX($G166:$P166,$E$6)="",$G166,INDEX($G166:$P166,$E$6))*$E$172</f>
        <v>60</v>
      </c>
      <c r="F166" s="124" t="s">
        <v>621</v>
      </c>
      <c r="G166" s="175">
        <v>60</v>
      </c>
      <c r="H166" s="175"/>
      <c r="I166" s="175"/>
      <c r="J166" s="176"/>
      <c r="K166" s="176"/>
      <c r="L166" s="176"/>
      <c r="M166" s="176"/>
      <c r="N166" s="176"/>
      <c r="O166" s="176"/>
      <c r="P166" s="176"/>
    </row>
    <row r="167" spans="3:16" x14ac:dyDescent="0.25">
      <c r="C167" t="s">
        <v>624</v>
      </c>
      <c r="D167" t="s">
        <v>125</v>
      </c>
      <c r="E167" s="131">
        <f>IF(INDEX($G167:$P167,$E$6)="",$G167,INDEX($G167:$P167,$E$6))*In_Scale</f>
        <v>6000</v>
      </c>
      <c r="F167" s="124" t="s">
        <v>625</v>
      </c>
      <c r="G167" s="177">
        <v>12000</v>
      </c>
      <c r="H167" s="177"/>
      <c r="I167" s="177"/>
      <c r="J167" s="177"/>
      <c r="K167" s="177"/>
      <c r="L167" s="177"/>
      <c r="M167" s="177"/>
      <c r="N167" s="177"/>
      <c r="O167" s="177"/>
      <c r="P167" s="177"/>
    </row>
    <row r="168" spans="3:16" x14ac:dyDescent="0.25">
      <c r="C168" t="s">
        <v>626</v>
      </c>
      <c r="D168" t="s">
        <v>627</v>
      </c>
      <c r="E168" s="131">
        <f>Dash_BESS_Capex_MWh*E21</f>
        <v>400</v>
      </c>
      <c r="F168" s="124" t="s">
        <v>628</v>
      </c>
      <c r="G168" s="177">
        <v>400</v>
      </c>
      <c r="H168" s="177"/>
      <c r="I168" s="177"/>
      <c r="J168" s="177"/>
      <c r="K168" s="177"/>
      <c r="L168" s="177"/>
      <c r="M168" s="177"/>
      <c r="N168" s="177"/>
      <c r="O168" s="177"/>
      <c r="P168" s="177"/>
    </row>
    <row r="169" spans="3:16" x14ac:dyDescent="0.25">
      <c r="C169" t="s">
        <v>629</v>
      </c>
      <c r="D169" t="s">
        <v>11</v>
      </c>
      <c r="E169" s="173">
        <f t="array" ref="E169">IF(INDEX($G169:$P169,$E$6)="",$G169,INDEX($G169:$P169,$E$6))*$E$172</f>
        <v>40</v>
      </c>
      <c r="F169" s="124" t="s">
        <v>621</v>
      </c>
      <c r="G169" s="176">
        <v>40</v>
      </c>
      <c r="H169" s="176"/>
      <c r="I169" s="176"/>
      <c r="J169" s="176"/>
      <c r="K169" s="176"/>
      <c r="L169" s="176"/>
      <c r="M169" s="176"/>
      <c r="N169" s="176"/>
      <c r="O169" s="176"/>
      <c r="P169" s="176"/>
    </row>
    <row r="170" spans="3:16" x14ac:dyDescent="0.25">
      <c r="C170" t="s">
        <v>630</v>
      </c>
      <c r="D170" t="s">
        <v>11</v>
      </c>
      <c r="E170" s="173">
        <f t="array" ref="E170">IF(INDEX($G170:$P170,$E$6)="",$G170,INDEX($G170:$P170,$E$6))*$E$172</f>
        <v>15</v>
      </c>
      <c r="F170" s="124" t="s">
        <v>631</v>
      </c>
      <c r="G170" s="176">
        <v>15</v>
      </c>
      <c r="H170" s="176"/>
      <c r="I170" s="176"/>
      <c r="J170" s="176"/>
      <c r="K170" s="176"/>
      <c r="L170" s="176"/>
      <c r="M170" s="176"/>
      <c r="N170" s="176"/>
      <c r="O170" s="176"/>
      <c r="P170" s="176"/>
    </row>
    <row r="171" spans="3:16" x14ac:dyDescent="0.25">
      <c r="C171" t="s">
        <v>632</v>
      </c>
      <c r="D171" t="s">
        <v>11</v>
      </c>
      <c r="E171" s="173">
        <f t="array" ref="E171">IF(INDEX($G171:$P171,$E$6)="",$G171,INDEX($G171:$P171,$E$6))</f>
        <v>355</v>
      </c>
      <c r="F171" s="124" t="s">
        <v>633</v>
      </c>
      <c r="G171" s="178">
        <f>Dashboard!$H$13</f>
        <v>355</v>
      </c>
      <c r="H171" s="176"/>
      <c r="I171" s="176"/>
      <c r="J171" s="176"/>
      <c r="K171" s="176"/>
      <c r="L171" s="176"/>
      <c r="M171" s="176"/>
      <c r="N171" s="176"/>
      <c r="O171" s="176"/>
      <c r="P171" s="176"/>
    </row>
    <row r="172" spans="3:16" x14ac:dyDescent="0.25">
      <c r="C172" t="s">
        <v>634</v>
      </c>
      <c r="D172" t="s">
        <v>7</v>
      </c>
      <c r="E172" s="173">
        <f>E171/(G163+G164+G165+G166+G169+G170)</f>
        <v>1</v>
      </c>
      <c r="F172" s="124" t="s">
        <v>635</v>
      </c>
      <c r="G172" s="176"/>
      <c r="H172" s="176"/>
      <c r="I172" s="176"/>
      <c r="J172" s="176"/>
      <c r="K172" s="176"/>
      <c r="L172" s="176"/>
      <c r="M172" s="176"/>
      <c r="N172" s="176"/>
      <c r="O172" s="176"/>
      <c r="P172" s="176"/>
    </row>
    <row r="173" spans="3:16" x14ac:dyDescent="0.25">
      <c r="C173" t="s">
        <v>636</v>
      </c>
      <c r="D173" t="s">
        <v>51</v>
      </c>
      <c r="E173" s="134">
        <f t="array" ref="E173">IF(INDEX($G173:$P173,$E$6)="",$G173,INDEX($G173:$P173,$E$6))</f>
        <v>0.05</v>
      </c>
      <c r="F173" s="124" t="s">
        <v>621</v>
      </c>
      <c r="G173" s="179">
        <v>0.05</v>
      </c>
      <c r="H173" s="179"/>
      <c r="I173" s="179"/>
      <c r="J173" s="179"/>
      <c r="K173" s="179"/>
      <c r="L173" s="179"/>
      <c r="M173" s="179"/>
      <c r="N173" s="179"/>
      <c r="O173" s="179"/>
      <c r="P173" s="179"/>
    </row>
    <row r="174" spans="3:16" x14ac:dyDescent="0.25">
      <c r="C174" t="s">
        <v>637</v>
      </c>
      <c r="D174" t="s">
        <v>125</v>
      </c>
      <c r="E174" s="131">
        <f>Deposits!$M$18+Deposits!$M$12</f>
        <v>19483.023293150687</v>
      </c>
      <c r="F174" s="124" t="s">
        <v>638</v>
      </c>
    </row>
    <row r="175" spans="3:16" x14ac:dyDescent="0.25">
      <c r="C175" t="s">
        <v>639</v>
      </c>
      <c r="D175" t="s">
        <v>1</v>
      </c>
      <c r="E175" s="173">
        <f>(SUM(E162:E166)+E169+E170)*(1+E173)+E167*(1+E173)/In_Wind_Built+E168*E20/In_Wind_Built</f>
        <v>1032.4078366445917</v>
      </c>
      <c r="F175" s="124"/>
    </row>
    <row r="176" spans="3:16" x14ac:dyDescent="0.25">
      <c r="C176" t="s">
        <v>640</v>
      </c>
      <c r="D176" t="s">
        <v>1</v>
      </c>
      <c r="E176" s="173">
        <f>E175+E174/In_Wind_Built</f>
        <v>1175.7707747840375</v>
      </c>
      <c r="F176" s="124" t="s">
        <v>641</v>
      </c>
    </row>
    <row r="177" spans="3:16" x14ac:dyDescent="0.25">
      <c r="C177" t="s">
        <v>642</v>
      </c>
      <c r="D177" t="s">
        <v>11</v>
      </c>
      <c r="E177" s="173">
        <f t="array" ref="E177">IF(INDEX($G177:$P177,$E$6)="",$G177,INDEX($G177:$P177,$E$6))</f>
        <v>30</v>
      </c>
      <c r="F177" s="124" t="s">
        <v>621</v>
      </c>
      <c r="G177" s="176">
        <v>30</v>
      </c>
      <c r="H177" s="176"/>
      <c r="I177" s="176"/>
      <c r="J177" s="176"/>
      <c r="K177" s="176"/>
      <c r="L177" s="176"/>
      <c r="M177" s="176"/>
      <c r="N177" s="176"/>
      <c r="O177" s="176"/>
      <c r="P177" s="176"/>
    </row>
    <row r="178" spans="3:16" x14ac:dyDescent="0.25">
      <c r="C178" t="s">
        <v>643</v>
      </c>
      <c r="D178" t="s">
        <v>11</v>
      </c>
      <c r="E178" s="173">
        <f t="array" ref="E178">IF(INDEX($G178:$P178,$E$6)="",$G178,INDEX($G178:$P178,$E$6))</f>
        <v>0</v>
      </c>
      <c r="F178" s="124" t="s">
        <v>644</v>
      </c>
      <c r="G178" s="180">
        <v>0</v>
      </c>
      <c r="H178" s="180"/>
      <c r="I178" s="180"/>
      <c r="J178" s="180"/>
      <c r="K178" s="180"/>
      <c r="L178" s="180"/>
      <c r="M178" s="180"/>
      <c r="N178" s="180"/>
      <c r="O178" s="180"/>
      <c r="P178" s="180"/>
    </row>
    <row r="180" spans="3:16" x14ac:dyDescent="0.25">
      <c r="C180" s="129" t="s">
        <v>645</v>
      </c>
      <c r="D180" s="129"/>
      <c r="E180" s="129"/>
      <c r="F180" s="130"/>
      <c r="G180" s="129"/>
      <c r="H180" s="129"/>
      <c r="I180" s="129"/>
      <c r="J180" s="129"/>
      <c r="K180" s="129"/>
      <c r="L180" s="129"/>
      <c r="M180" s="129"/>
      <c r="N180" s="129"/>
      <c r="O180" s="129"/>
      <c r="P180" s="129"/>
    </row>
    <row r="181" spans="3:16" x14ac:dyDescent="0.25">
      <c r="C181" t="s">
        <v>646</v>
      </c>
      <c r="D181" t="s">
        <v>647</v>
      </c>
      <c r="E181" s="131">
        <f t="array" ref="E181">IF(INDEX($G181:$P181,$E$6)="",$G181,INDEX($G181:$P181,$E$6))</f>
        <v>2500</v>
      </c>
      <c r="F181" s="124" t="s">
        <v>648</v>
      </c>
      <c r="G181" s="181">
        <f>Dashboard!$H$10</f>
        <v>2500</v>
      </c>
      <c r="H181" s="138"/>
      <c r="I181" s="138"/>
      <c r="J181" s="133"/>
      <c r="K181" s="133"/>
      <c r="L181" s="133"/>
      <c r="M181" s="133"/>
      <c r="N181" s="133"/>
      <c r="O181" s="133"/>
      <c r="P181" s="133"/>
    </row>
    <row r="182" spans="3:16" x14ac:dyDescent="0.25">
      <c r="C182" t="s">
        <v>649</v>
      </c>
      <c r="D182" t="s">
        <v>51</v>
      </c>
      <c r="E182" s="134">
        <f t="array" ref="E182">IF(INDEX($G182:$P182,$E$6)="",$G182,INDEX($G182:$P182,$E$6))</f>
        <v>0</v>
      </c>
      <c r="F182" s="124" t="s">
        <v>650</v>
      </c>
      <c r="G182" s="150">
        <v>0</v>
      </c>
      <c r="H182" s="150"/>
      <c r="I182" s="150"/>
      <c r="J182" s="136"/>
      <c r="K182" s="136"/>
      <c r="L182" s="136"/>
      <c r="M182" s="136"/>
      <c r="N182" s="136"/>
      <c r="O182" s="136"/>
      <c r="P182" s="136"/>
    </row>
    <row r="183" spans="3:16" x14ac:dyDescent="0.25">
      <c r="C183" t="s">
        <v>651</v>
      </c>
      <c r="D183" t="s">
        <v>51</v>
      </c>
      <c r="E183" s="134">
        <f t="array" ref="E183">IF(INDEX($G183:$P183,$E$6)="",$G183,INDEX($G183:$P183,$E$6))</f>
        <v>0.02</v>
      </c>
      <c r="F183" s="124" t="s">
        <v>621</v>
      </c>
      <c r="G183" s="150">
        <v>0.02</v>
      </c>
      <c r="H183" s="150"/>
      <c r="I183" s="150"/>
      <c r="J183" s="179"/>
      <c r="K183" s="179"/>
      <c r="L183" s="179"/>
      <c r="M183" s="179"/>
      <c r="N183" s="179"/>
      <c r="O183" s="179"/>
      <c r="P183" s="179"/>
    </row>
    <row r="184" spans="3:16" x14ac:dyDescent="0.25">
      <c r="C184" t="s">
        <v>652</v>
      </c>
      <c r="D184" t="s">
        <v>480</v>
      </c>
      <c r="E184" s="134">
        <f t="array" ref="E184">IF(INDEX($G184:$P184,$E$6)="",$G184,INDEX($G184:$P184,$E$6))</f>
        <v>3.0000000000000001E-3</v>
      </c>
      <c r="F184" s="124" t="s">
        <v>653</v>
      </c>
      <c r="G184" s="150">
        <v>3.0000000000000001E-3</v>
      </c>
      <c r="H184" s="150"/>
      <c r="I184" s="150"/>
      <c r="J184" s="179"/>
      <c r="K184" s="179"/>
      <c r="L184" s="179"/>
      <c r="M184" s="179"/>
      <c r="N184" s="179"/>
      <c r="O184" s="179"/>
      <c r="P184" s="179"/>
    </row>
    <row r="185" spans="3:16" x14ac:dyDescent="0.25">
      <c r="C185" t="s">
        <v>654</v>
      </c>
      <c r="D185" t="s">
        <v>7</v>
      </c>
      <c r="E185" s="182">
        <f t="array" ref="E185">IF(INDEX($G185:$P185,$E$6)="",$G185,INDEX($G185:$P185,$E$6))</f>
        <v>1</v>
      </c>
      <c r="F185" s="124" t="s">
        <v>655</v>
      </c>
      <c r="G185" s="183">
        <v>1</v>
      </c>
      <c r="H185" s="183"/>
      <c r="I185" s="183"/>
      <c r="J185" s="183"/>
      <c r="K185" s="183"/>
      <c r="L185" s="183"/>
      <c r="M185" s="183"/>
      <c r="N185" s="183"/>
      <c r="O185" s="183"/>
      <c r="P185" s="183"/>
    </row>
    <row r="186" spans="3:16" x14ac:dyDescent="0.25">
      <c r="C186" t="s">
        <v>656</v>
      </c>
      <c r="D186" t="s">
        <v>7</v>
      </c>
      <c r="E186" s="182">
        <f t="array" ref="E186">IF(INDEX($G186:$P186,$E$6)="",$G186,INDEX($G186:$P186,$E$6))</f>
        <v>1</v>
      </c>
      <c r="F186" s="124" t="s">
        <v>657</v>
      </c>
      <c r="G186" s="184">
        <v>1</v>
      </c>
      <c r="H186" s="184"/>
      <c r="I186" s="184"/>
      <c r="J186" s="183"/>
      <c r="K186" s="183"/>
      <c r="L186" s="183"/>
      <c r="M186" s="183"/>
      <c r="N186" s="183"/>
      <c r="O186" s="183"/>
      <c r="P186" s="183"/>
    </row>
    <row r="187" spans="3:16" x14ac:dyDescent="0.25">
      <c r="C187" s="129" t="s">
        <v>658</v>
      </c>
      <c r="D187" s="129"/>
      <c r="E187" s="129"/>
      <c r="F187" s="130"/>
      <c r="G187" s="129"/>
      <c r="H187" s="129"/>
      <c r="I187" s="129"/>
      <c r="J187" s="129"/>
      <c r="K187" s="129"/>
      <c r="L187" s="129"/>
      <c r="M187" s="129"/>
      <c r="N187" s="129"/>
      <c r="O187" s="129"/>
      <c r="P187" s="129"/>
    </row>
    <row r="188" spans="3:16" x14ac:dyDescent="0.25">
      <c r="C188" t="s">
        <v>659</v>
      </c>
      <c r="D188" t="s">
        <v>415</v>
      </c>
      <c r="E188" s="146">
        <f t="array" ref="E188">IF(INDEX($G188:$P188,$E$6)="",$G188,INDEX($G188:$P188,$E$6))</f>
        <v>1</v>
      </c>
      <c r="F188" s="124" t="s">
        <v>660</v>
      </c>
      <c r="G188" s="185">
        <v>1</v>
      </c>
      <c r="H188" s="185"/>
      <c r="I188" s="185"/>
      <c r="J188" s="185"/>
      <c r="K188" s="185"/>
      <c r="L188" s="185"/>
      <c r="M188" s="185"/>
      <c r="N188" s="185"/>
      <c r="O188" s="185"/>
      <c r="P188" s="185"/>
    </row>
    <row r="189" spans="3:16" x14ac:dyDescent="0.25">
      <c r="C189" t="s">
        <v>661</v>
      </c>
      <c r="D189" t="s">
        <v>250</v>
      </c>
      <c r="E189" s="173">
        <f t="array" ref="E189">IF(INDEX($G189:$P189,$E$6)="",$G189,INDEX($G189:$P189,$E$6))</f>
        <v>100</v>
      </c>
      <c r="F189" s="124" t="s">
        <v>662</v>
      </c>
      <c r="G189" s="176">
        <v>100</v>
      </c>
      <c r="H189" s="176"/>
      <c r="I189" s="176"/>
      <c r="J189" s="176"/>
      <c r="K189" s="176"/>
      <c r="L189" s="176"/>
      <c r="M189" s="176"/>
      <c r="N189" s="176"/>
      <c r="O189" s="176"/>
      <c r="P189" s="176"/>
    </row>
    <row r="190" spans="3:16" x14ac:dyDescent="0.25">
      <c r="C190" t="s">
        <v>663</v>
      </c>
      <c r="D190" t="s">
        <v>480</v>
      </c>
      <c r="E190" s="134">
        <f t="array" ref="E190">IF(INDEX($G190:$P190,$E$6)="",$G190,INDEX($G190:$P190,$E$6))</f>
        <v>0.02</v>
      </c>
      <c r="F190" s="124" t="s">
        <v>621</v>
      </c>
      <c r="G190" s="179">
        <v>0.02</v>
      </c>
      <c r="H190" s="179"/>
      <c r="I190" s="179"/>
      <c r="J190" s="179"/>
      <c r="K190" s="179"/>
      <c r="L190" s="179"/>
      <c r="M190" s="179"/>
      <c r="N190" s="179"/>
      <c r="O190" s="179"/>
      <c r="P190" s="179"/>
    </row>
    <row r="191" spans="3:16" x14ac:dyDescent="0.25">
      <c r="C191" t="s">
        <v>664</v>
      </c>
      <c r="D191" t="s">
        <v>51</v>
      </c>
      <c r="E191" s="134">
        <f t="array" ref="E191">IF(INDEX($G191:$P191,$E$6)="",$G191,INDEX($G191:$P191,$E$6))</f>
        <v>0.85</v>
      </c>
      <c r="F191" s="124" t="s">
        <v>665</v>
      </c>
      <c r="G191" s="179">
        <v>0.85</v>
      </c>
      <c r="H191" s="179"/>
      <c r="I191" s="179"/>
      <c r="J191" s="179"/>
      <c r="K191" s="179"/>
      <c r="L191" s="179"/>
      <c r="M191" s="179"/>
      <c r="N191" s="179"/>
      <c r="O191" s="179"/>
      <c r="P191" s="179"/>
    </row>
    <row r="192" spans="3:16" x14ac:dyDescent="0.25">
      <c r="C192" t="s">
        <v>666</v>
      </c>
      <c r="D192" t="s">
        <v>51</v>
      </c>
      <c r="E192" s="134">
        <f t="array" ref="E192">IF(INDEX($G192:$P192,$E$6)="",$G192,INDEX($G192:$P192,$E$6))</f>
        <v>0</v>
      </c>
      <c r="F192" s="124" t="s">
        <v>667</v>
      </c>
      <c r="G192" s="150">
        <v>0</v>
      </c>
      <c r="H192" s="150"/>
      <c r="I192" s="150"/>
      <c r="J192" s="136"/>
      <c r="K192" s="136"/>
      <c r="L192" s="136"/>
      <c r="M192" s="136"/>
      <c r="N192" s="136"/>
      <c r="O192" s="136"/>
      <c r="P192" s="136"/>
    </row>
    <row r="193" spans="3:16" x14ac:dyDescent="0.25">
      <c r="C193" t="s">
        <v>668</v>
      </c>
      <c r="D193" t="s">
        <v>250</v>
      </c>
      <c r="E193" s="173">
        <f t="array" ref="E193">IF(INDEX($G193:$P193,$E$6)="",$G193,INDEX($G193:$P193,$E$6))</f>
        <v>90</v>
      </c>
      <c r="F193" s="124" t="s">
        <v>621</v>
      </c>
      <c r="G193" s="174">
        <f>Dashboard!$H$9</f>
        <v>90</v>
      </c>
      <c r="H193" s="175"/>
      <c r="I193" s="175"/>
      <c r="J193" s="176"/>
      <c r="K193" s="176"/>
      <c r="L193" s="176"/>
      <c r="M193" s="176"/>
      <c r="N193" s="176"/>
      <c r="O193" s="176"/>
      <c r="P193" s="176"/>
    </row>
    <row r="194" spans="3:16" x14ac:dyDescent="0.25">
      <c r="C194" t="s">
        <v>669</v>
      </c>
      <c r="D194" t="s">
        <v>480</v>
      </c>
      <c r="E194" s="134">
        <f t="array" ref="E194">IF(INDEX($G194:$P194,$E$6)="",$G194,INDEX($G194:$P194,$E$6))</f>
        <v>0.01</v>
      </c>
      <c r="F194" s="124"/>
      <c r="G194" s="150">
        <v>0.01</v>
      </c>
      <c r="H194" s="150"/>
      <c r="I194" s="150"/>
      <c r="J194" s="136"/>
      <c r="K194" s="136"/>
      <c r="L194" s="136"/>
      <c r="M194" s="136"/>
      <c r="N194" s="136"/>
      <c r="O194" s="136"/>
      <c r="P194" s="136"/>
    </row>
    <row r="195" spans="3:16" x14ac:dyDescent="0.25">
      <c r="C195" t="s">
        <v>670</v>
      </c>
      <c r="D195" t="s">
        <v>613</v>
      </c>
      <c r="E195" s="146">
        <f t="array" ref="E195">IF(INDEX($G195:$P195,$E$6)="",$G195,INDEX($G195:$P195,$E$6))</f>
        <v>30</v>
      </c>
      <c r="F195" s="124" t="s">
        <v>671</v>
      </c>
      <c r="G195" s="148">
        <v>30</v>
      </c>
      <c r="H195" s="148"/>
      <c r="I195" s="148"/>
      <c r="J195" s="149"/>
      <c r="K195" s="149"/>
      <c r="L195" s="149"/>
      <c r="M195" s="149"/>
      <c r="N195" s="149"/>
      <c r="O195" s="149"/>
      <c r="P195" s="149"/>
    </row>
    <row r="196" spans="3:16" x14ac:dyDescent="0.25">
      <c r="C196" t="s">
        <v>672</v>
      </c>
      <c r="D196" t="s">
        <v>250</v>
      </c>
      <c r="E196" s="173">
        <f t="array" ref="E196">IF(INDEX($G196:$P196,$E$6)="",$G196,INDEX($G196:$P196,$E$6))</f>
        <v>4</v>
      </c>
      <c r="F196" s="124" t="s">
        <v>673</v>
      </c>
      <c r="G196" s="176">
        <v>4</v>
      </c>
      <c r="H196" s="176"/>
      <c r="I196" s="176"/>
      <c r="J196" s="176"/>
      <c r="K196" s="176"/>
      <c r="L196" s="176"/>
      <c r="M196" s="176"/>
      <c r="N196" s="176"/>
      <c r="O196" s="176"/>
      <c r="P196" s="176"/>
    </row>
    <row r="197" spans="3:16" x14ac:dyDescent="0.25">
      <c r="C197" t="s">
        <v>674</v>
      </c>
      <c r="D197" t="s">
        <v>250</v>
      </c>
      <c r="E197" s="173">
        <f t="array" ref="E197">IF(INDEX($G197:$P197,$E$6)="",$G197,INDEX($G197:$P197,$E$6))</f>
        <v>1</v>
      </c>
      <c r="F197" s="124" t="s">
        <v>621</v>
      </c>
      <c r="G197" s="176">
        <v>1</v>
      </c>
      <c r="H197" s="176"/>
      <c r="I197" s="176"/>
      <c r="J197" s="176"/>
      <c r="K197" s="176"/>
      <c r="L197" s="176"/>
      <c r="M197" s="176"/>
      <c r="N197" s="176"/>
      <c r="O197" s="176"/>
      <c r="P197" s="176"/>
    </row>
    <row r="198" spans="3:16" x14ac:dyDescent="0.25">
      <c r="C198" t="s">
        <v>675</v>
      </c>
      <c r="D198" t="s">
        <v>676</v>
      </c>
      <c r="E198" s="42">
        <f t="array" ref="E198">IF(INDEX($G198:$P198,$E$6)="",$G198,INDEX($G198:$P198,$E$6))</f>
        <v>1E-3</v>
      </c>
      <c r="F198" s="124"/>
      <c r="G198" s="166">
        <v>1E-3</v>
      </c>
      <c r="H198" s="166"/>
      <c r="I198" s="166"/>
      <c r="J198" s="166"/>
      <c r="K198" s="166"/>
      <c r="L198" s="166"/>
      <c r="M198" s="166"/>
      <c r="N198" s="166"/>
      <c r="O198" s="166"/>
      <c r="P198" s="166"/>
    </row>
    <row r="199" spans="3:16" x14ac:dyDescent="0.25">
      <c r="C199" t="s">
        <v>677</v>
      </c>
      <c r="D199" t="s">
        <v>415</v>
      </c>
      <c r="E199" s="146">
        <f t="array" ref="E199">IF(INDEX($G199:$P199,$E$6)="",$G199,INDEX($G199:$P199,$E$6))</f>
        <v>0</v>
      </c>
      <c r="F199" s="124" t="s">
        <v>678</v>
      </c>
      <c r="G199" s="148">
        <v>0</v>
      </c>
      <c r="H199" s="148"/>
      <c r="I199" s="148"/>
      <c r="J199" s="185"/>
      <c r="K199" s="185"/>
      <c r="L199" s="185"/>
      <c r="M199" s="185"/>
      <c r="N199" s="185"/>
      <c r="O199" s="185"/>
      <c r="P199" s="185"/>
    </row>
    <row r="200" spans="3:16" x14ac:dyDescent="0.25">
      <c r="C200" t="s">
        <v>679</v>
      </c>
      <c r="D200" t="s">
        <v>51</v>
      </c>
      <c r="E200" s="134">
        <f t="array" ref="E200">IF(INDEX($G200:$P200,$E$6)="",$G200,INDEX($G200:$P200,$E$6))</f>
        <v>0.31</v>
      </c>
      <c r="F200" s="124"/>
      <c r="G200" s="136">
        <v>0.31</v>
      </c>
      <c r="H200" s="136"/>
      <c r="I200" s="136"/>
      <c r="J200" s="136"/>
      <c r="K200" s="136"/>
      <c r="L200" s="136"/>
      <c r="M200" s="136"/>
      <c r="N200" s="136"/>
      <c r="O200" s="136"/>
      <c r="P200" s="136"/>
    </row>
    <row r="201" spans="3:16" x14ac:dyDescent="0.25">
      <c r="C201" t="s">
        <v>680</v>
      </c>
      <c r="D201" t="s">
        <v>415</v>
      </c>
      <c r="E201" s="146">
        <f t="array" ref="E201">IF(INDEX($G201:$P201,$E$6)="",$G201,INDEX($G201:$P201,$E$6))</f>
        <v>2</v>
      </c>
      <c r="F201" s="124" t="s">
        <v>681</v>
      </c>
      <c r="G201" s="148">
        <v>2</v>
      </c>
      <c r="H201" s="148">
        <v>2</v>
      </c>
      <c r="I201" s="148"/>
      <c r="J201" s="149"/>
      <c r="K201" s="149"/>
      <c r="L201" s="149"/>
      <c r="M201" s="149"/>
      <c r="N201" s="149"/>
      <c r="O201" s="149"/>
      <c r="P201" s="149"/>
    </row>
    <row r="202" spans="3:16" x14ac:dyDescent="0.25">
      <c r="C202" s="129" t="s">
        <v>682</v>
      </c>
      <c r="D202" s="129"/>
      <c r="E202" s="129"/>
      <c r="F202" s="130"/>
      <c r="G202" s="129"/>
      <c r="H202" s="129"/>
      <c r="I202" s="129"/>
      <c r="J202" s="129"/>
      <c r="K202" s="129"/>
      <c r="L202" s="129"/>
      <c r="M202" s="129"/>
      <c r="N202" s="129"/>
      <c r="O202" s="129"/>
      <c r="P202" s="129"/>
    </row>
    <row r="203" spans="3:16" x14ac:dyDescent="0.25">
      <c r="C203" t="s">
        <v>683</v>
      </c>
      <c r="D203" t="s">
        <v>44</v>
      </c>
      <c r="E203" s="173">
        <f t="array" ref="E203">IF(INDEX($G203:$P203,$E$6)="",$G203,INDEX($G203:$P203,$E$6))</f>
        <v>12</v>
      </c>
      <c r="F203" s="124" t="s">
        <v>684</v>
      </c>
      <c r="G203" s="174">
        <f>Dashboard!$H$11</f>
        <v>12</v>
      </c>
      <c r="H203" s="175"/>
      <c r="I203" s="175"/>
      <c r="J203" s="176"/>
      <c r="K203" s="176"/>
      <c r="L203" s="176"/>
      <c r="M203" s="176"/>
      <c r="N203" s="176"/>
      <c r="O203" s="176"/>
      <c r="P203" s="176"/>
    </row>
    <row r="204" spans="3:16" x14ac:dyDescent="0.25">
      <c r="C204" t="s">
        <v>685</v>
      </c>
      <c r="D204" t="s">
        <v>44</v>
      </c>
      <c r="E204" s="173">
        <f t="array" ref="E204">IF(INDEX($G204:$P204,$E$6)="",$G204,INDEX($G204:$P204,$E$6))</f>
        <v>3</v>
      </c>
      <c r="F204" s="124" t="s">
        <v>621</v>
      </c>
      <c r="G204" s="175">
        <v>3</v>
      </c>
      <c r="H204" s="175"/>
      <c r="I204" s="175"/>
      <c r="J204" s="176"/>
      <c r="K204" s="176"/>
      <c r="L204" s="176"/>
      <c r="M204" s="176"/>
      <c r="N204" s="176"/>
      <c r="O204" s="176"/>
      <c r="P204" s="176"/>
    </row>
    <row r="205" spans="3:16" x14ac:dyDescent="0.25">
      <c r="C205" t="s">
        <v>686</v>
      </c>
      <c r="D205" t="s">
        <v>44</v>
      </c>
      <c r="E205" s="173">
        <f t="array" ref="E205">IF(INDEX($G205:$P205,$E$6)="",$G205,INDEX($G205:$P205,$E$6))</f>
        <v>3</v>
      </c>
      <c r="F205" s="124" t="s">
        <v>687</v>
      </c>
      <c r="G205" s="175">
        <v>3</v>
      </c>
      <c r="H205" s="175"/>
      <c r="I205" s="175"/>
      <c r="J205" s="176"/>
      <c r="K205" s="176"/>
      <c r="L205" s="176"/>
      <c r="M205" s="176"/>
      <c r="N205" s="176"/>
      <c r="O205" s="176"/>
      <c r="P205" s="176"/>
    </row>
    <row r="206" spans="3:16" x14ac:dyDescent="0.25">
      <c r="C206" t="s">
        <v>688</v>
      </c>
      <c r="D206" t="s">
        <v>44</v>
      </c>
      <c r="E206" s="173">
        <f t="array" ref="E206">IF(INDEX($G206:$P206,$E$6)="",$G206,INDEX($G206:$P206,$E$6))</f>
        <v>2.5</v>
      </c>
      <c r="F206" s="124" t="s">
        <v>621</v>
      </c>
      <c r="G206" s="176">
        <v>2.5</v>
      </c>
      <c r="H206" s="176"/>
      <c r="I206" s="176"/>
      <c r="J206" s="176"/>
      <c r="K206" s="176"/>
      <c r="L206" s="176"/>
      <c r="M206" s="176"/>
      <c r="N206" s="176"/>
      <c r="O206" s="176"/>
      <c r="P206" s="176"/>
    </row>
    <row r="207" spans="3:16" x14ac:dyDescent="0.25">
      <c r="C207" t="s">
        <v>689</v>
      </c>
      <c r="D207" t="s">
        <v>44</v>
      </c>
      <c r="E207" s="173">
        <f t="array" ref="E207">IF(INDEX($G207:$P207,$E$6)="",$G207,INDEX($G207:$P207,$E$6))</f>
        <v>1.5</v>
      </c>
      <c r="F207" s="124" t="s">
        <v>621</v>
      </c>
      <c r="G207" s="176">
        <v>1.5</v>
      </c>
      <c r="H207" s="176"/>
      <c r="I207" s="176"/>
      <c r="J207" s="176"/>
      <c r="K207" s="176"/>
      <c r="L207" s="176"/>
      <c r="M207" s="176"/>
      <c r="N207" s="176"/>
      <c r="O207" s="176"/>
      <c r="P207" s="176"/>
    </row>
    <row r="208" spans="3:16" x14ac:dyDescent="0.25">
      <c r="C208" t="s">
        <v>690</v>
      </c>
      <c r="D208" t="s">
        <v>44</v>
      </c>
      <c r="E208" s="173">
        <f t="array" ref="E208">IF(INDEX($G208:$P208,$E$6)="",$G208,INDEX($G208:$P208,$E$6))</f>
        <v>3</v>
      </c>
      <c r="F208" s="124" t="s">
        <v>691</v>
      </c>
      <c r="G208" s="176">
        <v>3</v>
      </c>
      <c r="H208" s="176"/>
      <c r="I208" s="176"/>
      <c r="J208" s="176"/>
      <c r="K208" s="176"/>
      <c r="L208" s="176"/>
      <c r="M208" s="176"/>
      <c r="N208" s="176"/>
      <c r="O208" s="176"/>
      <c r="P208" s="176"/>
    </row>
    <row r="209" spans="3:16" x14ac:dyDescent="0.25">
      <c r="C209" t="s">
        <v>692</v>
      </c>
      <c r="D209" t="s">
        <v>693</v>
      </c>
      <c r="E209" s="131">
        <f>IF(INDEX($G209:$P209,$E$6)="",$G209,INDEX($G209:$P209,$E$6))*In_Scale</f>
        <v>75</v>
      </c>
      <c r="F209" s="124" t="s">
        <v>621</v>
      </c>
      <c r="G209" s="177">
        <v>150</v>
      </c>
      <c r="H209" s="177"/>
      <c r="I209" s="177"/>
      <c r="J209" s="177"/>
      <c r="K209" s="177"/>
      <c r="L209" s="177"/>
      <c r="M209" s="177"/>
      <c r="N209" s="177"/>
      <c r="O209" s="177"/>
      <c r="P209" s="177"/>
    </row>
    <row r="210" spans="3:16" x14ac:dyDescent="0.25">
      <c r="C210" t="s">
        <v>694</v>
      </c>
      <c r="D210" t="s">
        <v>51</v>
      </c>
      <c r="E210" s="134">
        <f t="array" ref="E210">IF(INDEX($G210:$P210,$E$6)="",$G210,INDEX($G210:$P210,$E$6))</f>
        <v>0.05</v>
      </c>
      <c r="F210" s="124" t="s">
        <v>621</v>
      </c>
      <c r="G210" s="179">
        <v>0.05</v>
      </c>
      <c r="H210" s="179"/>
      <c r="I210" s="179"/>
      <c r="J210" s="179"/>
      <c r="K210" s="179"/>
      <c r="L210" s="179"/>
      <c r="M210" s="179"/>
      <c r="N210" s="179"/>
      <c r="O210" s="179"/>
      <c r="P210" s="179"/>
    </row>
    <row r="211" spans="3:16" x14ac:dyDescent="0.25">
      <c r="C211" t="s">
        <v>695</v>
      </c>
      <c r="D211" t="s">
        <v>480</v>
      </c>
      <c r="E211" s="134">
        <f t="array" ref="E211">IF(INDEX($G211:$P211,$E$6)="",$G211,INDEX($G211:$P211,$E$6))</f>
        <v>2.5000000000000001E-2</v>
      </c>
      <c r="F211" s="124" t="s">
        <v>696</v>
      </c>
      <c r="G211" s="150">
        <v>2.5000000000000001E-2</v>
      </c>
      <c r="H211" s="150"/>
      <c r="I211" s="150"/>
      <c r="J211" s="179"/>
      <c r="K211" s="179"/>
      <c r="L211" s="179"/>
      <c r="M211" s="179"/>
      <c r="N211" s="179"/>
      <c r="O211" s="179"/>
      <c r="P211" s="179"/>
    </row>
    <row r="212" spans="3:16" x14ac:dyDescent="0.25">
      <c r="C212" t="s">
        <v>697</v>
      </c>
      <c r="D212" t="s">
        <v>676</v>
      </c>
      <c r="E212" s="42">
        <f t="array" ref="E212">IF(INDEX($G212:$P212,$E$6)="",$G212,INDEX($G212:$P212,$E$6))</f>
        <v>0.02</v>
      </c>
      <c r="F212" s="124" t="s">
        <v>698</v>
      </c>
      <c r="G212" s="186">
        <v>0.02</v>
      </c>
      <c r="H212" s="186"/>
      <c r="I212" s="186"/>
      <c r="J212" s="186"/>
      <c r="K212" s="186"/>
      <c r="L212" s="186"/>
      <c r="M212" s="186"/>
      <c r="N212" s="186"/>
      <c r="O212" s="186"/>
      <c r="P212" s="186"/>
    </row>
    <row r="214" spans="3:16" x14ac:dyDescent="0.25">
      <c r="C214" s="129" t="s">
        <v>699</v>
      </c>
      <c r="D214" s="129"/>
      <c r="E214" s="129"/>
      <c r="F214" s="130"/>
      <c r="G214" s="129"/>
      <c r="H214" s="129"/>
      <c r="I214" s="129"/>
      <c r="J214" s="129"/>
      <c r="K214" s="129"/>
      <c r="L214" s="129"/>
      <c r="M214" s="129"/>
      <c r="N214" s="129"/>
      <c r="O214" s="129"/>
      <c r="P214" s="129"/>
    </row>
    <row r="215" spans="3:16" x14ac:dyDescent="0.25">
      <c r="C215" t="s">
        <v>700</v>
      </c>
      <c r="D215" t="s">
        <v>613</v>
      </c>
      <c r="E215" s="146">
        <f t="array" ref="E215">IF(INDEX($G215:$P215,$E$6)="",$G215,INDEX($G215:$P215,$E$6))</f>
        <v>20</v>
      </c>
      <c r="F215" s="124" t="s">
        <v>701</v>
      </c>
      <c r="G215" s="185">
        <v>20</v>
      </c>
      <c r="H215" s="185"/>
      <c r="I215" s="185"/>
      <c r="J215" s="185"/>
      <c r="K215" s="185"/>
      <c r="L215" s="185"/>
      <c r="M215" s="185"/>
      <c r="N215" s="185"/>
      <c r="O215" s="185"/>
      <c r="P215" s="185"/>
    </row>
    <row r="216" spans="3:16" x14ac:dyDescent="0.25">
      <c r="C216" t="s">
        <v>702</v>
      </c>
      <c r="D216" t="s">
        <v>51</v>
      </c>
      <c r="E216" s="134">
        <f t="array" ref="E216">IF(INDEX($G216:$P216,$E$6)="",$G216,INDEX($G216:$P216,$E$6))</f>
        <v>0.5</v>
      </c>
      <c r="F216" s="124" t="s">
        <v>703</v>
      </c>
      <c r="G216" s="136">
        <v>0.5</v>
      </c>
      <c r="H216" s="136"/>
      <c r="I216" s="136"/>
      <c r="J216" s="136"/>
      <c r="K216" s="136"/>
      <c r="L216" s="136"/>
      <c r="M216" s="136"/>
      <c r="N216" s="136"/>
      <c r="O216" s="136"/>
      <c r="P216" s="136"/>
    </row>
    <row r="218" spans="3:16" x14ac:dyDescent="0.25">
      <c r="C218" s="129" t="s">
        <v>704</v>
      </c>
      <c r="D218" s="129"/>
      <c r="E218" s="129"/>
      <c r="F218" s="130"/>
      <c r="G218" s="129"/>
      <c r="H218" s="129"/>
      <c r="I218" s="129"/>
      <c r="J218" s="129"/>
      <c r="K218" s="129"/>
      <c r="L218" s="129"/>
      <c r="M218" s="129"/>
      <c r="N218" s="129"/>
      <c r="O218" s="129"/>
      <c r="P218" s="129"/>
    </row>
    <row r="219" spans="3:16" x14ac:dyDescent="0.25">
      <c r="C219" t="s">
        <v>705</v>
      </c>
      <c r="D219" t="s">
        <v>51</v>
      </c>
      <c r="E219" s="134">
        <f t="array" ref="E219">IF(INDEX($G219:$P219,$E$6)="",$G219,INDEX($G219:$P219,$E$6))</f>
        <v>0.5</v>
      </c>
      <c r="F219" s="124" t="s">
        <v>706</v>
      </c>
      <c r="G219" s="150">
        <v>0.6</v>
      </c>
      <c r="H219" s="150">
        <v>0.5</v>
      </c>
      <c r="I219" s="150"/>
      <c r="J219" s="179"/>
      <c r="K219" s="179"/>
      <c r="L219" s="179"/>
      <c r="M219" s="179"/>
      <c r="N219" s="179"/>
      <c r="O219" s="179"/>
      <c r="P219" s="179"/>
    </row>
    <row r="220" spans="3:16" x14ac:dyDescent="0.25">
      <c r="C220" t="s">
        <v>707</v>
      </c>
      <c r="D220" t="s">
        <v>51</v>
      </c>
      <c r="E220" s="134">
        <f t="array" ref="E220">IF(INDEX($G220:$P220,$E$6)="",$G220,INDEX($G220:$P220,$E$6))</f>
        <v>0.05</v>
      </c>
      <c r="F220" s="124" t="s">
        <v>708</v>
      </c>
      <c r="G220" s="150">
        <v>0.05</v>
      </c>
      <c r="H220" s="150"/>
      <c r="I220" s="150"/>
      <c r="J220" s="179"/>
      <c r="K220" s="179"/>
      <c r="L220" s="179"/>
      <c r="M220" s="179"/>
      <c r="N220" s="179"/>
      <c r="O220" s="179"/>
      <c r="P220" s="179"/>
    </row>
    <row r="221" spans="3:16" x14ac:dyDescent="0.25">
      <c r="C221" t="s">
        <v>709</v>
      </c>
      <c r="D221" t="s">
        <v>710</v>
      </c>
      <c r="E221" s="134">
        <f t="array" ref="E221">IF(INDEX($G221:$P221,$E$6)="",$G221,INDEX($G221:$P221,$E$6))</f>
        <v>1.7500000000000002E-2</v>
      </c>
      <c r="F221" s="124" t="s">
        <v>621</v>
      </c>
      <c r="G221" s="179">
        <v>1.7500000000000002E-2</v>
      </c>
      <c r="H221" s="179"/>
      <c r="I221" s="179"/>
      <c r="J221" s="179"/>
      <c r="K221" s="179"/>
      <c r="L221" s="179"/>
      <c r="M221" s="179"/>
      <c r="N221" s="179"/>
      <c r="O221" s="179"/>
      <c r="P221" s="179"/>
    </row>
    <row r="222" spans="3:16" x14ac:dyDescent="0.25">
      <c r="C222" t="s">
        <v>711</v>
      </c>
      <c r="D222" t="s">
        <v>613</v>
      </c>
      <c r="E222" s="146">
        <f t="array" ref="E222">IF(INDEX($G222:$P222,$E$6)="",$G222,INDEX($G222:$P222,$E$6))</f>
        <v>15</v>
      </c>
      <c r="F222" s="124" t="s">
        <v>712</v>
      </c>
      <c r="G222" s="185">
        <v>15</v>
      </c>
      <c r="H222" s="185"/>
      <c r="I222" s="185"/>
      <c r="J222" s="185"/>
      <c r="K222" s="185"/>
      <c r="L222" s="185"/>
      <c r="M222" s="185"/>
      <c r="N222" s="185"/>
      <c r="O222" s="185"/>
      <c r="P222" s="185"/>
    </row>
    <row r="223" spans="3:16" x14ac:dyDescent="0.25">
      <c r="C223" t="s">
        <v>713</v>
      </c>
      <c r="D223" t="s">
        <v>415</v>
      </c>
      <c r="E223" s="146">
        <f t="array" ref="E223">IF(INDEX($G223:$P223,$E$6)="",$G223,INDEX($G223:$P223,$E$6))</f>
        <v>1</v>
      </c>
      <c r="F223" s="124"/>
      <c r="G223" s="149">
        <v>1</v>
      </c>
      <c r="H223" s="149"/>
      <c r="I223" s="149"/>
      <c r="J223" s="149"/>
      <c r="K223" s="149"/>
      <c r="L223" s="149"/>
      <c r="M223" s="149"/>
      <c r="N223" s="149"/>
      <c r="O223" s="149"/>
      <c r="P223" s="149"/>
    </row>
    <row r="224" spans="3:16" x14ac:dyDescent="0.25">
      <c r="C224" t="s">
        <v>714</v>
      </c>
      <c r="D224" t="s">
        <v>480</v>
      </c>
      <c r="E224" s="134">
        <f t="array" ref="E224">IF(INDEX($G224:$P224,$E$6)="",$G224,INDEX($G224:$P224,$E$6))</f>
        <v>8.9999999999999993E-3</v>
      </c>
      <c r="F224" s="124" t="s">
        <v>715</v>
      </c>
      <c r="G224" s="150">
        <v>8.9999999999999993E-3</v>
      </c>
      <c r="H224" s="150"/>
      <c r="I224" s="150"/>
      <c r="J224" s="179"/>
      <c r="K224" s="179"/>
      <c r="L224" s="179"/>
      <c r="M224" s="179"/>
      <c r="N224" s="179"/>
      <c r="O224" s="179"/>
      <c r="P224" s="179"/>
    </row>
    <row r="225" spans="3:16" x14ac:dyDescent="0.25">
      <c r="C225" s="129" t="s">
        <v>716</v>
      </c>
      <c r="D225" s="129"/>
      <c r="E225" s="129"/>
      <c r="F225" s="130"/>
      <c r="G225" s="129"/>
      <c r="H225" s="129"/>
      <c r="I225" s="129"/>
      <c r="J225" s="129"/>
      <c r="K225" s="129"/>
      <c r="L225" s="129"/>
      <c r="M225" s="129"/>
      <c r="N225" s="129"/>
      <c r="O225" s="129"/>
      <c r="P225" s="129"/>
    </row>
    <row r="226" spans="3:16" x14ac:dyDescent="0.25">
      <c r="C226" t="s">
        <v>717</v>
      </c>
      <c r="D226" t="s">
        <v>51</v>
      </c>
      <c r="E226" s="134">
        <f t="array" ref="E226">IF(INDEX($G226:$P226,$E$6)="",$G226,INDEX($G226:$P226,$E$6))</f>
        <v>0.08</v>
      </c>
      <c r="F226" s="124" t="s">
        <v>718</v>
      </c>
      <c r="G226" s="187">
        <f>G$255</f>
        <v>0.08</v>
      </c>
      <c r="H226" s="179" t="str">
        <f>H$255</f>
        <v/>
      </c>
      <c r="I226" s="179"/>
      <c r="J226" s="179"/>
      <c r="K226" s="179"/>
      <c r="L226" s="179"/>
      <c r="M226" s="179"/>
      <c r="N226" s="179"/>
      <c r="O226" s="179"/>
      <c r="P226" s="179"/>
    </row>
    <row r="227" spans="3:16" x14ac:dyDescent="0.25">
      <c r="C227" t="s">
        <v>719</v>
      </c>
      <c r="D227" t="s">
        <v>51</v>
      </c>
      <c r="E227" s="134">
        <f t="array" ref="E227">IF(INDEX($G227:$P227,$E$6)="",$G227,INDEX($G227:$P227,$E$6))</f>
        <v>0.08</v>
      </c>
      <c r="F227" s="124" t="s">
        <v>720</v>
      </c>
      <c r="G227" s="187">
        <f>G$255</f>
        <v>0.08</v>
      </c>
      <c r="H227" s="179" t="str">
        <f>H$255</f>
        <v/>
      </c>
      <c r="I227" s="179"/>
      <c r="J227" s="179"/>
      <c r="K227" s="179"/>
      <c r="L227" s="179"/>
      <c r="M227" s="179"/>
      <c r="N227" s="179"/>
      <c r="O227" s="179"/>
      <c r="P227" s="179"/>
    </row>
    <row r="228" spans="3:16" x14ac:dyDescent="0.25">
      <c r="C228" t="s">
        <v>721</v>
      </c>
      <c r="D228" t="s">
        <v>415</v>
      </c>
      <c r="E228" s="146">
        <f t="array" ref="E228">IF(INDEX($G228:$P228,$E$6)="",$G228,INDEX($G228:$P228,$E$6))</f>
        <v>1</v>
      </c>
      <c r="F228" s="124" t="s">
        <v>722</v>
      </c>
      <c r="G228" s="149">
        <v>1</v>
      </c>
      <c r="H228" s="149"/>
      <c r="I228" s="149"/>
      <c r="J228" s="149"/>
      <c r="K228" s="149"/>
      <c r="L228" s="149"/>
      <c r="M228" s="149"/>
      <c r="N228" s="149"/>
      <c r="O228" s="149"/>
      <c r="P228" s="149"/>
    </row>
    <row r="229" spans="3:16" x14ac:dyDescent="0.25">
      <c r="C229" t="s">
        <v>723</v>
      </c>
      <c r="D229" t="s">
        <v>415</v>
      </c>
      <c r="E229" s="146">
        <f t="array" ref="E229">IF(INDEX($G229:$P229,$E$6)="",$G229,INDEX($G229:$P229,$E$6))</f>
        <v>0</v>
      </c>
      <c r="F229" s="124" t="s">
        <v>724</v>
      </c>
      <c r="G229" s="149">
        <v>0</v>
      </c>
      <c r="H229" s="149"/>
      <c r="I229" s="149"/>
      <c r="J229" s="149"/>
      <c r="K229" s="149"/>
      <c r="L229" s="149"/>
      <c r="M229" s="149"/>
      <c r="N229" s="149"/>
      <c r="O229" s="149"/>
      <c r="P229" s="149"/>
    </row>
    <row r="230" spans="3:16" x14ac:dyDescent="0.25">
      <c r="C230" t="s">
        <v>725</v>
      </c>
      <c r="D230" t="s">
        <v>415</v>
      </c>
      <c r="E230" s="146">
        <f t="array" ref="E230">IF(INDEX($G230:$P230,$E$6)="",$G230,INDEX($G230:$P230,$E$6))</f>
        <v>1</v>
      </c>
      <c r="F230" s="124" t="s">
        <v>726</v>
      </c>
      <c r="G230" s="149">
        <v>1</v>
      </c>
      <c r="H230" s="149"/>
      <c r="I230" s="149"/>
      <c r="J230" s="149"/>
      <c r="K230" s="149"/>
      <c r="L230" s="149"/>
      <c r="M230" s="149"/>
      <c r="N230" s="149"/>
      <c r="O230" s="149"/>
      <c r="P230" s="149"/>
    </row>
    <row r="231" spans="3:16" x14ac:dyDescent="0.25">
      <c r="C231" t="s">
        <v>727</v>
      </c>
      <c r="D231" t="s">
        <v>51</v>
      </c>
      <c r="E231" s="134">
        <f t="array" ref="E231">IF(INDEX($G231:$P231,$E$6)="",$G231,INDEX($G231:$P231,$E$6))</f>
        <v>0.2213175</v>
      </c>
      <c r="F231" s="124" t="s">
        <v>728</v>
      </c>
      <c r="G231" s="136">
        <v>0.2213175</v>
      </c>
      <c r="H231" s="149"/>
      <c r="I231" s="149"/>
      <c r="J231" s="149"/>
      <c r="K231" s="149"/>
      <c r="L231" s="149"/>
      <c r="M231" s="149"/>
      <c r="N231" s="149"/>
      <c r="O231" s="149"/>
      <c r="P231" s="149"/>
    </row>
    <row r="234" spans="3:16" x14ac:dyDescent="0.25">
      <c r="C234" s="129" t="s">
        <v>729</v>
      </c>
      <c r="D234" s="129"/>
      <c r="E234" s="129"/>
      <c r="F234" s="130"/>
      <c r="G234" s="129"/>
      <c r="H234" s="129"/>
      <c r="I234" s="129"/>
      <c r="J234" s="129"/>
      <c r="K234" s="129"/>
      <c r="L234" s="129"/>
      <c r="M234" s="129"/>
      <c r="N234" s="129"/>
      <c r="O234" s="129"/>
      <c r="P234" s="129"/>
    </row>
    <row r="235" spans="3:16" x14ac:dyDescent="0.25">
      <c r="C235" t="s">
        <v>730</v>
      </c>
      <c r="D235" t="s">
        <v>2</v>
      </c>
      <c r="E235" s="188">
        <f>Dash_Municipal</f>
        <v>50</v>
      </c>
      <c r="F235" s="124" t="s">
        <v>731</v>
      </c>
      <c r="G235" s="175"/>
      <c r="H235" s="150"/>
      <c r="I235" s="150"/>
      <c r="J235" s="179"/>
      <c r="K235" s="179"/>
      <c r="L235" s="179"/>
      <c r="M235" s="179"/>
      <c r="N235" s="179"/>
      <c r="O235" s="179"/>
      <c r="P235" s="179"/>
    </row>
    <row r="236" spans="3:16" x14ac:dyDescent="0.25">
      <c r="C236" t="s">
        <v>732</v>
      </c>
      <c r="D236" t="s">
        <v>40</v>
      </c>
      <c r="E236" s="189">
        <f>Dash_Community</f>
        <v>3</v>
      </c>
      <c r="F236" s="124" t="s">
        <v>733</v>
      </c>
      <c r="G236" s="184"/>
      <c r="H236" s="150"/>
      <c r="I236" s="150"/>
      <c r="J236" s="179"/>
      <c r="K236" s="179"/>
      <c r="L236" s="179"/>
      <c r="M236" s="179"/>
      <c r="N236" s="179"/>
      <c r="O236" s="179"/>
      <c r="P236" s="179"/>
    </row>
    <row r="237" spans="3:16" x14ac:dyDescent="0.25">
      <c r="C237" t="s">
        <v>734</v>
      </c>
      <c r="D237" t="s">
        <v>735</v>
      </c>
      <c r="E237" s="63">
        <f t="array" ref="E237">IF(INDEX($G237:$P237,$E$6)="",$G237,INDEX($G237:$P237,$E$6))</f>
        <v>0.25</v>
      </c>
      <c r="F237" s="124" t="s">
        <v>736</v>
      </c>
      <c r="G237" s="190">
        <v>0.25</v>
      </c>
      <c r="H237" s="179"/>
      <c r="I237" s="179"/>
      <c r="J237" s="179"/>
      <c r="K237" s="179"/>
      <c r="L237" s="179"/>
      <c r="M237" s="179"/>
      <c r="N237" s="179"/>
      <c r="O237" s="179"/>
      <c r="P237" s="179"/>
    </row>
    <row r="238" spans="3:16" x14ac:dyDescent="0.25">
      <c r="C238" t="s">
        <v>737</v>
      </c>
      <c r="D238" t="s">
        <v>266</v>
      </c>
      <c r="E238" s="143">
        <f t="array" ref="E238">IF(INDEX($G238:$P238,$E$6)="",$G238,INDEX($G238:$P238,$E$6))</f>
        <v>47484</v>
      </c>
      <c r="F238" s="124" t="s">
        <v>738</v>
      </c>
      <c r="G238" s="191">
        <f>DATE(2030,1,1)</f>
        <v>47484</v>
      </c>
      <c r="H238" s="179"/>
      <c r="I238" s="179"/>
      <c r="J238" s="179"/>
      <c r="K238" s="179"/>
      <c r="L238" s="179"/>
      <c r="M238" s="179"/>
      <c r="N238" s="179"/>
      <c r="O238" s="179"/>
      <c r="P238" s="179"/>
    </row>
    <row r="239" spans="3:16" x14ac:dyDescent="0.25">
      <c r="C239" t="s">
        <v>739</v>
      </c>
      <c r="D239" t="s">
        <v>266</v>
      </c>
      <c r="E239" s="143">
        <f t="array" ref="E239">IF(INDEX($G239:$P239,$E$6)="",$G239,INDEX($G239:$P239,$E$6))</f>
        <v>47756</v>
      </c>
      <c r="F239" s="124" t="s">
        <v>740</v>
      </c>
      <c r="G239" s="191">
        <f>DATE(2030,9,30)</f>
        <v>47756</v>
      </c>
      <c r="H239" s="179"/>
      <c r="I239" s="179"/>
      <c r="J239" s="179"/>
      <c r="K239" s="179"/>
      <c r="L239" s="179"/>
      <c r="M239" s="179"/>
      <c r="N239" s="179"/>
      <c r="O239" s="179"/>
      <c r="P239" s="179"/>
    </row>
    <row r="240" spans="3:16" x14ac:dyDescent="0.25">
      <c r="C240" t="s">
        <v>741</v>
      </c>
      <c r="D240" t="s">
        <v>266</v>
      </c>
      <c r="E240" s="143">
        <f t="array" ref="E240">IF(INDEX($G240:$P240,$E$6)="",$G240,INDEX($G240:$P240,$E$6))</f>
        <v>48487</v>
      </c>
      <c r="F240" s="124" t="s">
        <v>742</v>
      </c>
      <c r="G240" s="191">
        <f>DATE(2032,9,30)</f>
        <v>48487</v>
      </c>
      <c r="H240" s="179"/>
      <c r="I240" s="179"/>
      <c r="J240" s="179"/>
      <c r="K240" s="179"/>
      <c r="L240" s="179"/>
      <c r="M240" s="179"/>
      <c r="N240" s="179"/>
      <c r="O240" s="179"/>
      <c r="P240" s="179"/>
    </row>
    <row r="241" spans="2:16" x14ac:dyDescent="0.25">
      <c r="C241" t="s">
        <v>743</v>
      </c>
      <c r="D241" t="s">
        <v>56</v>
      </c>
      <c r="E241" s="146">
        <f t="array" ref="E241">IF(INDEX($G241:$P241,$E$6)="",$G241,INDEX($G241:$P241,$E$6))</f>
        <v>87</v>
      </c>
      <c r="F241" s="124" t="s">
        <v>744</v>
      </c>
      <c r="G241" s="185">
        <v>87</v>
      </c>
      <c r="H241" s="179"/>
      <c r="I241" s="179"/>
      <c r="J241" s="179"/>
      <c r="K241" s="179"/>
      <c r="L241" s="179"/>
      <c r="M241" s="179"/>
      <c r="N241" s="179"/>
      <c r="O241" s="179"/>
      <c r="P241" s="179"/>
    </row>
    <row r="242" spans="2:16" x14ac:dyDescent="0.25">
      <c r="C242" t="s">
        <v>745</v>
      </c>
      <c r="D242" t="s">
        <v>194</v>
      </c>
      <c r="E242" s="192" t="str">
        <f>IF(E155&gt;=E239,"OK","COD TOO EARLY")</f>
        <v>OK</v>
      </c>
    </row>
    <row r="243" spans="2:16" x14ac:dyDescent="0.25">
      <c r="C243" t="s">
        <v>746</v>
      </c>
      <c r="D243" t="s">
        <v>194</v>
      </c>
      <c r="E243" s="192" t="str">
        <f>IF(E155&lt;=E240,"OK","COD TOO LATE")</f>
        <v>OK</v>
      </c>
    </row>
    <row r="245" spans="2:16" x14ac:dyDescent="0.25">
      <c r="B245" t="s">
        <v>7</v>
      </c>
      <c r="C245" s="129" t="s">
        <v>747</v>
      </c>
      <c r="D245" s="129"/>
      <c r="E245" s="129"/>
      <c r="F245" s="130"/>
      <c r="G245" s="129"/>
      <c r="H245" s="129"/>
      <c r="I245" s="129"/>
      <c r="J245" s="129"/>
      <c r="K245" s="129"/>
      <c r="L245" s="129"/>
      <c r="M245" s="129"/>
      <c r="N245" s="129"/>
      <c r="O245" s="129"/>
      <c r="P245" s="129"/>
    </row>
    <row r="246" spans="2:16" x14ac:dyDescent="0.25">
      <c r="C246" t="s">
        <v>748</v>
      </c>
      <c r="D246" t="s">
        <v>51</v>
      </c>
      <c r="E246" s="134"/>
      <c r="F246" s="152" t="s">
        <v>749</v>
      </c>
      <c r="G246" s="136"/>
      <c r="H246" s="153"/>
      <c r="I246" s="153"/>
      <c r="J246" s="153"/>
      <c r="K246" s="153"/>
      <c r="L246" s="153"/>
      <c r="M246" s="153"/>
      <c r="N246" s="153"/>
      <c r="O246" s="153"/>
      <c r="P246" s="153"/>
    </row>
    <row r="247" spans="2:16" x14ac:dyDescent="0.25">
      <c r="C247" t="s">
        <v>750</v>
      </c>
      <c r="D247" t="s">
        <v>51</v>
      </c>
      <c r="E247" s="134"/>
      <c r="F247" s="152"/>
      <c r="G247" s="136"/>
      <c r="H247" s="153"/>
      <c r="I247" s="153"/>
      <c r="J247" s="153"/>
      <c r="K247" s="153"/>
      <c r="L247" s="153"/>
      <c r="M247" s="153"/>
      <c r="N247" s="153"/>
      <c r="O247" s="153"/>
      <c r="P247" s="153"/>
    </row>
    <row r="248" spans="2:16" x14ac:dyDescent="0.25">
      <c r="C248" t="s">
        <v>751</v>
      </c>
      <c r="D248" t="s">
        <v>51</v>
      </c>
      <c r="E248" s="134"/>
      <c r="F248" s="152"/>
      <c r="G248" s="136"/>
      <c r="H248" s="153"/>
      <c r="I248" s="153"/>
      <c r="J248" s="153"/>
      <c r="K248" s="153"/>
      <c r="L248" s="153"/>
      <c r="M248" s="153"/>
      <c r="N248" s="153"/>
      <c r="O248" s="153"/>
      <c r="P248" s="153"/>
    </row>
    <row r="249" spans="2:16" x14ac:dyDescent="0.25">
      <c r="C249" t="s">
        <v>752</v>
      </c>
      <c r="D249" t="s">
        <v>51</v>
      </c>
      <c r="E249" s="134"/>
      <c r="F249" s="152"/>
      <c r="G249" s="136"/>
      <c r="H249" s="153"/>
      <c r="I249" s="153"/>
      <c r="J249" s="153"/>
      <c r="K249" s="153"/>
      <c r="L249" s="153"/>
      <c r="M249" s="153"/>
      <c r="N249" s="153"/>
      <c r="O249" s="153"/>
      <c r="P249" s="153"/>
    </row>
    <row r="250" spans="2:16" x14ac:dyDescent="0.25">
      <c r="C250" t="s">
        <v>753</v>
      </c>
      <c r="D250" t="s">
        <v>51</v>
      </c>
      <c r="E250" s="134"/>
      <c r="F250" s="152"/>
      <c r="G250" s="136"/>
      <c r="H250" s="153"/>
      <c r="I250" s="153"/>
      <c r="J250" s="153"/>
      <c r="K250" s="153"/>
      <c r="L250" s="153"/>
      <c r="M250" s="153"/>
      <c r="N250" s="153"/>
      <c r="O250" s="153"/>
      <c r="P250" s="153"/>
    </row>
    <row r="251" spans="2:16" x14ac:dyDescent="0.25">
      <c r="C251" t="s">
        <v>754</v>
      </c>
      <c r="D251" t="s">
        <v>51</v>
      </c>
      <c r="E251" s="134"/>
      <c r="F251" s="152"/>
      <c r="G251" s="136"/>
      <c r="H251" s="153"/>
      <c r="I251" s="153"/>
      <c r="J251" s="153"/>
      <c r="K251" s="153"/>
      <c r="L251" s="153"/>
      <c r="M251" s="153"/>
      <c r="N251" s="153"/>
      <c r="O251" s="153"/>
      <c r="P251" s="153"/>
    </row>
    <row r="252" spans="2:16" x14ac:dyDescent="0.25">
      <c r="C252" t="s">
        <v>755</v>
      </c>
      <c r="D252" t="s">
        <v>51</v>
      </c>
      <c r="E252" s="134"/>
      <c r="F252" s="152"/>
      <c r="G252" s="136"/>
      <c r="H252" s="153"/>
      <c r="I252" s="153"/>
      <c r="J252" s="153"/>
      <c r="K252" s="153"/>
      <c r="L252" s="153"/>
      <c r="M252" s="153"/>
      <c r="N252" s="153"/>
      <c r="O252" s="153"/>
      <c r="P252" s="153"/>
    </row>
    <row r="253" spans="2:16" x14ac:dyDescent="0.25">
      <c r="C253" t="s">
        <v>756</v>
      </c>
      <c r="D253" t="s">
        <v>7</v>
      </c>
      <c r="E253" s="155">
        <f t="array" ref="E253">IF(INDEX($G253:$P253,$E$6)="",$G253,INDEX($G253:$P253,$E$6))</f>
        <v>1.5</v>
      </c>
      <c r="F253" s="152" t="s">
        <v>757</v>
      </c>
      <c r="G253" s="193">
        <v>1.5</v>
      </c>
      <c r="H253" s="153"/>
      <c r="I253" s="153"/>
      <c r="J253" s="153"/>
      <c r="K253" s="153"/>
      <c r="L253" s="153"/>
      <c r="M253" s="153"/>
      <c r="N253" s="153"/>
      <c r="O253" s="153"/>
      <c r="P253" s="153"/>
    </row>
    <row r="254" spans="2:16" x14ac:dyDescent="0.25">
      <c r="C254" t="s">
        <v>758</v>
      </c>
      <c r="D254" t="s">
        <v>51</v>
      </c>
      <c r="E254" s="134">
        <f t="array" ref="E254">IF(INDEX($G254:$P254,$E$6)="",$G254,INDEX($G254:$P254,$E$6))</f>
        <v>0.11</v>
      </c>
      <c r="F254" s="162" t="s">
        <v>759</v>
      </c>
      <c r="G254" s="179">
        <v>0.11</v>
      </c>
      <c r="H254" s="153"/>
      <c r="I254" s="153"/>
      <c r="J254" s="153"/>
      <c r="K254" s="153"/>
      <c r="L254" s="153"/>
      <c r="M254" s="153"/>
      <c r="N254" s="153"/>
      <c r="O254" s="153"/>
      <c r="P254" s="153"/>
    </row>
    <row r="255" spans="2:16" x14ac:dyDescent="0.25">
      <c r="C255" t="s">
        <v>760</v>
      </c>
      <c r="D255" t="s">
        <v>51</v>
      </c>
      <c r="E255" s="134">
        <f t="array" ref="E255">IF(INDEX($G255:$P255,$E$6)="",$G255,INDEX($G255:$P255,$E$6))</f>
        <v>0.08</v>
      </c>
      <c r="F255" s="162" t="s">
        <v>761</v>
      </c>
      <c r="G255" s="150">
        <v>0.08</v>
      </c>
      <c r="H255" s="172" t="str">
        <f>""</f>
        <v/>
      </c>
      <c r="I255" s="172"/>
      <c r="J255" s="153"/>
      <c r="K255" s="153"/>
      <c r="L255" s="153"/>
      <c r="M255" s="153"/>
      <c r="N255" s="153"/>
      <c r="O255" s="153"/>
      <c r="P255" s="153"/>
    </row>
    <row r="257" spans="2:16" x14ac:dyDescent="0.25">
      <c r="B257" t="s">
        <v>7</v>
      </c>
      <c r="C257" s="129" t="s">
        <v>762</v>
      </c>
      <c r="D257" s="129"/>
      <c r="E257" s="129"/>
      <c r="F257" s="130"/>
      <c r="G257" s="129"/>
      <c r="H257" s="129"/>
      <c r="I257" s="129"/>
      <c r="J257" s="129"/>
      <c r="K257" s="129"/>
      <c r="L257" s="129"/>
      <c r="M257" s="129"/>
      <c r="N257" s="129"/>
      <c r="O257" s="129"/>
      <c r="P257" s="129"/>
    </row>
    <row r="258" spans="2:16" x14ac:dyDescent="0.25">
      <c r="C258" t="s">
        <v>579</v>
      </c>
      <c r="D258" t="s">
        <v>51</v>
      </c>
      <c r="E258" s="63">
        <f t="array" ref="E258">IF(INDEX($G258:$P258,$E$6)="",$G258,INDEX($G258:$P258,$E$6))</f>
        <v>0</v>
      </c>
      <c r="F258" s="135" t="s">
        <v>763</v>
      </c>
      <c r="G258" s="190">
        <v>0</v>
      </c>
      <c r="H258" s="136"/>
      <c r="I258" s="136"/>
      <c r="J258" s="136"/>
      <c r="K258" s="136"/>
      <c r="L258" s="136"/>
      <c r="M258" s="136"/>
      <c r="N258" s="136"/>
      <c r="O258" s="136"/>
      <c r="P258" s="136"/>
    </row>
    <row r="259" spans="2:16" x14ac:dyDescent="0.25">
      <c r="C259" t="s">
        <v>581</v>
      </c>
      <c r="D259" t="s">
        <v>51</v>
      </c>
      <c r="E259" s="63">
        <f t="array" ref="E259">IF(INDEX($G259:$P259,$E$6)="",$G259,INDEX($G259:$P259,$E$6))</f>
        <v>0</v>
      </c>
      <c r="F259" s="135" t="s">
        <v>764</v>
      </c>
      <c r="G259" s="190">
        <v>0</v>
      </c>
      <c r="H259" s="136"/>
      <c r="I259" s="136"/>
      <c r="J259" s="136"/>
      <c r="K259" s="136"/>
      <c r="L259" s="136"/>
      <c r="M259" s="136"/>
      <c r="N259" s="136"/>
      <c r="O259" s="136"/>
      <c r="P259" s="136"/>
    </row>
    <row r="260" spans="2:16" x14ac:dyDescent="0.25">
      <c r="C260" t="s">
        <v>582</v>
      </c>
      <c r="D260" t="s">
        <v>51</v>
      </c>
      <c r="E260" s="63">
        <f t="array" ref="E260">IF(INDEX($G260:$P260,$E$6)="",$G260,INDEX($G260:$P260,$E$6))</f>
        <v>0</v>
      </c>
      <c r="F260" s="135" t="s">
        <v>765</v>
      </c>
      <c r="G260" s="190">
        <v>0</v>
      </c>
      <c r="H260" s="136"/>
      <c r="I260" s="136"/>
      <c r="J260" s="136"/>
      <c r="K260" s="136"/>
      <c r="L260" s="136"/>
      <c r="M260" s="136"/>
      <c r="N260" s="136"/>
      <c r="O260" s="136"/>
      <c r="P260" s="136"/>
    </row>
    <row r="261" spans="2:16" x14ac:dyDescent="0.25">
      <c r="C261" t="s">
        <v>583</v>
      </c>
      <c r="D261" t="s">
        <v>51</v>
      </c>
      <c r="E261" s="63">
        <f t="array" ref="E261">IF(INDEX($G261:$P261,$E$6)="",$G261,INDEX($G261:$P261,$E$6))</f>
        <v>1</v>
      </c>
      <c r="F261" s="135" t="s">
        <v>766</v>
      </c>
      <c r="G261" s="194">
        <v>1</v>
      </c>
      <c r="H261" s="136"/>
      <c r="I261" s="136"/>
      <c r="J261" s="136"/>
      <c r="K261" s="136"/>
      <c r="L261" s="136"/>
      <c r="M261" s="136"/>
      <c r="N261" s="136"/>
      <c r="O261" s="136"/>
      <c r="P261" s="136"/>
    </row>
    <row r="262" spans="2:16" x14ac:dyDescent="0.25">
      <c r="C262" t="s">
        <v>584</v>
      </c>
      <c r="D262" t="s">
        <v>51</v>
      </c>
      <c r="E262" s="63">
        <f t="array" ref="E262">IF(INDEX($G262:$P262,$E$6)="",$G262,INDEX($G262:$P262,$E$6))</f>
        <v>1</v>
      </c>
      <c r="F262" s="135" t="s">
        <v>767</v>
      </c>
      <c r="G262" s="194">
        <v>1</v>
      </c>
      <c r="H262" s="136"/>
      <c r="I262" s="136"/>
      <c r="J262" s="136"/>
      <c r="K262" s="136"/>
      <c r="L262" s="136"/>
      <c r="M262" s="136"/>
      <c r="N262" s="136"/>
      <c r="O262" s="136"/>
      <c r="P262" s="136"/>
    </row>
    <row r="263" spans="2:16" x14ac:dyDescent="0.25">
      <c r="C263" t="s">
        <v>585</v>
      </c>
      <c r="D263" t="s">
        <v>51</v>
      </c>
      <c r="E263" s="63">
        <f t="array" ref="E263">IF(INDEX($G263:$P263,$E$6)="",$G263,INDEX($G263:$P263,$E$6))</f>
        <v>1</v>
      </c>
      <c r="F263" s="135" t="s">
        <v>768</v>
      </c>
      <c r="G263" s="190">
        <v>1</v>
      </c>
      <c r="H263" s="136"/>
      <c r="I263" s="136"/>
      <c r="J263" s="136"/>
      <c r="K263" s="136"/>
      <c r="L263" s="136"/>
      <c r="M263" s="136"/>
      <c r="N263" s="136"/>
      <c r="O263" s="136"/>
      <c r="P263" s="136"/>
    </row>
    <row r="264" spans="2:16" x14ac:dyDescent="0.25">
      <c r="C264" t="s">
        <v>586</v>
      </c>
      <c r="D264" t="s">
        <v>51</v>
      </c>
      <c r="E264" s="63">
        <f t="array" ref="E264">IF(INDEX($G264:$P264,$E$6)="",$G264,INDEX($G264:$P264,$E$6))</f>
        <v>1</v>
      </c>
      <c r="F264" s="135" t="s">
        <v>768</v>
      </c>
      <c r="G264" s="190">
        <v>1</v>
      </c>
      <c r="H264" s="136"/>
      <c r="I264" s="136"/>
      <c r="J264" s="136"/>
      <c r="K264" s="136"/>
      <c r="L264" s="136"/>
      <c r="M264" s="136"/>
      <c r="N264" s="136"/>
      <c r="O264" s="136"/>
      <c r="P264" s="136"/>
    </row>
    <row r="265" spans="2:16" x14ac:dyDescent="0.25">
      <c r="C265" t="s">
        <v>587</v>
      </c>
      <c r="D265" t="s">
        <v>51</v>
      </c>
      <c r="E265" s="63">
        <f t="array" ref="E265">IF(INDEX($G265:$P265,$E$6)="",$G265,INDEX($G265:$P265,$E$6))</f>
        <v>1</v>
      </c>
      <c r="F265" s="135" t="s">
        <v>768</v>
      </c>
      <c r="G265" s="190">
        <v>1</v>
      </c>
      <c r="H265" s="136"/>
      <c r="I265" s="136"/>
      <c r="J265" s="136"/>
      <c r="K265" s="136"/>
      <c r="L265" s="136"/>
      <c r="M265" s="136"/>
      <c r="N265" s="136"/>
      <c r="O265" s="136"/>
      <c r="P265" s="136"/>
    </row>
    <row r="266" spans="2:16" x14ac:dyDescent="0.25">
      <c r="C266" t="s">
        <v>588</v>
      </c>
      <c r="D266" t="s">
        <v>51</v>
      </c>
      <c r="E266" s="63">
        <f t="array" ref="E266">IF(INDEX($G266:$P266,$E$6)="",$G266,INDEX($G266:$P266,$E$6))</f>
        <v>1</v>
      </c>
      <c r="F266" s="135" t="s">
        <v>768</v>
      </c>
      <c r="G266" s="190">
        <v>1</v>
      </c>
      <c r="H266" s="136"/>
      <c r="I266" s="136"/>
      <c r="J266" s="136"/>
      <c r="K266" s="136"/>
      <c r="L266" s="136"/>
      <c r="M266" s="136"/>
      <c r="N266" s="136"/>
      <c r="O266" s="136"/>
      <c r="P266" s="136"/>
    </row>
    <row r="267" spans="2:16" x14ac:dyDescent="0.25">
      <c r="C267" t="s">
        <v>589</v>
      </c>
      <c r="D267" t="s">
        <v>51</v>
      </c>
      <c r="E267" s="195">
        <f t="array" ref="E267">IF(INDEX($G267:$P267,$E$6)="",$G267,INDEX($G267:$P267,$E$6))</f>
        <v>1</v>
      </c>
      <c r="F267" s="135" t="s">
        <v>767</v>
      </c>
      <c r="G267" s="194">
        <v>1</v>
      </c>
      <c r="H267" s="136"/>
      <c r="I267" s="136"/>
      <c r="J267" s="136"/>
      <c r="K267" s="136"/>
      <c r="L267" s="136"/>
      <c r="M267" s="136"/>
      <c r="N267" s="136"/>
      <c r="O267" s="136"/>
      <c r="P267" s="136"/>
    </row>
    <row r="269" spans="2:16" x14ac:dyDescent="0.25">
      <c r="B269" t="s">
        <v>7</v>
      </c>
      <c r="C269" s="129" t="s">
        <v>769</v>
      </c>
      <c r="D269" s="129"/>
      <c r="E269" s="129"/>
      <c r="F269" s="130"/>
      <c r="G269" s="129"/>
      <c r="H269" s="129"/>
      <c r="I269" s="129"/>
      <c r="J269" s="129"/>
      <c r="K269" s="129"/>
      <c r="L269" s="129"/>
      <c r="M269" s="129"/>
      <c r="N269" s="129"/>
      <c r="O269" s="129"/>
      <c r="P269" s="129"/>
    </row>
    <row r="270" spans="2:16" x14ac:dyDescent="0.25">
      <c r="C270" t="s">
        <v>770</v>
      </c>
      <c r="D270" t="s">
        <v>239</v>
      </c>
      <c r="E270" s="146">
        <f t="array" ref="E270">IF(INDEX($G270:$P270,$E$6)="",$G270,INDEX($G270:$P270,$E$6))</f>
        <v>0</v>
      </c>
      <c r="F270" s="162" t="s">
        <v>771</v>
      </c>
      <c r="G270" s="148">
        <v>0</v>
      </c>
      <c r="H270" s="153"/>
      <c r="I270" s="153"/>
      <c r="J270" s="153"/>
      <c r="K270" s="153"/>
      <c r="L270" s="153"/>
      <c r="M270" s="153"/>
      <c r="N270" s="153"/>
      <c r="O270" s="153"/>
      <c r="P270" s="153"/>
    </row>
    <row r="271" spans="2:16" x14ac:dyDescent="0.25">
      <c r="C271" t="s">
        <v>772</v>
      </c>
      <c r="D271" t="s">
        <v>51</v>
      </c>
      <c r="E271" s="63">
        <f t="array" ref="E271">IF(INDEX($G271:$P271,$E$6)="",$G271,INDEX($G271:$P271,$E$6))</f>
        <v>0</v>
      </c>
      <c r="F271" s="162" t="s">
        <v>773</v>
      </c>
      <c r="G271" s="194">
        <v>0</v>
      </c>
      <c r="H271" s="153"/>
      <c r="I271" s="153"/>
      <c r="J271" s="153"/>
      <c r="K271" s="153"/>
      <c r="L271" s="153"/>
      <c r="M271" s="153"/>
      <c r="N271" s="153"/>
      <c r="O271" s="153"/>
      <c r="P271" s="153"/>
    </row>
    <row r="272" spans="2:16" x14ac:dyDescent="0.25">
      <c r="C272" t="s">
        <v>774</v>
      </c>
      <c r="D272" t="s">
        <v>211</v>
      </c>
      <c r="E272" s="146">
        <f t="array" ref="E272">IF(INDEX($G272:$P272,$E$6)="",$G272,INDEX($G272:$P272,$E$6))</f>
        <v>5</v>
      </c>
      <c r="F272" s="162" t="s">
        <v>775</v>
      </c>
      <c r="G272" s="148">
        <v>5</v>
      </c>
      <c r="H272" s="153"/>
      <c r="I272" s="153"/>
      <c r="J272" s="153"/>
      <c r="K272" s="153"/>
      <c r="L272" s="153"/>
      <c r="M272" s="153"/>
      <c r="N272" s="153"/>
      <c r="O272" s="153"/>
      <c r="P272" s="153"/>
    </row>
    <row r="273" spans="3:16" x14ac:dyDescent="0.25">
      <c r="G273" s="196"/>
      <c r="H273" s="153"/>
      <c r="I273" s="153"/>
      <c r="J273" s="153"/>
      <c r="K273" s="153"/>
      <c r="L273" s="153"/>
      <c r="M273" s="153"/>
      <c r="N273" s="153"/>
      <c r="O273" s="153"/>
      <c r="P273" s="153"/>
    </row>
    <row r="274" spans="3:16" x14ac:dyDescent="0.25">
      <c r="C274" t="s">
        <v>776</v>
      </c>
      <c r="D274" t="s">
        <v>7</v>
      </c>
      <c r="E274" s="155">
        <f t="array" ref="E274">IF(INDEX($G274:$P274,$E$6)="",$G274,INDEX($G274:$P274,$E$6))</f>
        <v>0.9</v>
      </c>
      <c r="F274" s="162" t="s">
        <v>777</v>
      </c>
      <c r="G274" s="197">
        <v>0.9</v>
      </c>
      <c r="H274" s="153"/>
      <c r="I274" s="153"/>
      <c r="J274" s="153"/>
      <c r="K274" s="153"/>
      <c r="L274" s="153"/>
      <c r="M274" s="153"/>
      <c r="N274" s="153"/>
      <c r="O274" s="153"/>
      <c r="P274" s="153"/>
    </row>
    <row r="275" spans="3:16" x14ac:dyDescent="0.25">
      <c r="C275" t="s">
        <v>778</v>
      </c>
      <c r="D275" t="s">
        <v>779</v>
      </c>
      <c r="E275" s="146">
        <f t="array" ref="E275">IF(INDEX($G275:$P275,$E$6)="",$G275,INDEX($G275:$P275,$E$6))</f>
        <v>1</v>
      </c>
      <c r="F275" s="162" t="s">
        <v>780</v>
      </c>
      <c r="G275" s="148">
        <v>1</v>
      </c>
      <c r="H275" s="153"/>
      <c r="I275" s="153"/>
      <c r="J275" s="153"/>
      <c r="K275" s="153"/>
      <c r="L275" s="153"/>
      <c r="M275" s="153"/>
      <c r="N275" s="153"/>
      <c r="O275" s="153"/>
      <c r="P275" s="153"/>
    </row>
    <row r="276" spans="3:16" x14ac:dyDescent="0.25">
      <c r="C276" t="s">
        <v>781</v>
      </c>
      <c r="D276" t="s">
        <v>7</v>
      </c>
      <c r="E276" s="155">
        <f t="array" ref="E276">IF(INDEX($G276:$P276,$E$6)="",$G276,INDEX($G276:$P276,$E$6))</f>
        <v>1.05</v>
      </c>
      <c r="F276" s="162" t="s">
        <v>782</v>
      </c>
      <c r="G276" s="197">
        <v>1.05</v>
      </c>
      <c r="H276" s="153"/>
      <c r="I276" s="153"/>
      <c r="J276" s="153"/>
      <c r="K276" s="153"/>
      <c r="L276" s="153"/>
      <c r="M276" s="153"/>
      <c r="N276" s="153"/>
      <c r="O276" s="153"/>
      <c r="P276" s="153"/>
    </row>
    <row r="279" spans="3:16" x14ac:dyDescent="0.25">
      <c r="C279" s="198" t="s">
        <v>783</v>
      </c>
      <c r="E279" s="155"/>
      <c r="F279" s="162"/>
      <c r="G279" s="197"/>
      <c r="H279" s="153"/>
      <c r="I279" s="153"/>
      <c r="J279" s="153"/>
    </row>
    <row r="280" spans="3:16" x14ac:dyDescent="0.25">
      <c r="C280" s="198" t="s">
        <v>380</v>
      </c>
      <c r="D280" s="198" t="s">
        <v>381</v>
      </c>
      <c r="E280" s="198" t="s">
        <v>784</v>
      </c>
      <c r="F280" s="198" t="s">
        <v>785</v>
      </c>
      <c r="G280" s="198" t="s">
        <v>786</v>
      </c>
    </row>
    <row r="281" spans="3:16" x14ac:dyDescent="0.25">
      <c r="C281" t="s">
        <v>787</v>
      </c>
      <c r="D281" t="s">
        <v>397</v>
      </c>
      <c r="E281" t="str">
        <f t="array" ref="E281">INDEX($G281:$J281,$E$9)</f>
        <v>Bora</v>
      </c>
      <c r="F281" s="124"/>
      <c r="G281" s="169" t="s">
        <v>786</v>
      </c>
    </row>
    <row r="282" spans="3:16" x14ac:dyDescent="0.25">
      <c r="C282" t="s">
        <v>788</v>
      </c>
      <c r="D282" t="s">
        <v>397</v>
      </c>
      <c r="E282" t="str">
        <f t="array" ref="E282">INDEX($G282:$J282,$E$9)</f>
        <v>Szombathely OVIT (SZHO B 132.00)</v>
      </c>
      <c r="F282" s="124" t="s">
        <v>789</v>
      </c>
      <c r="G282" s="199" t="s">
        <v>790</v>
      </c>
    </row>
    <row r="283" spans="3:16" x14ac:dyDescent="0.25">
      <c r="C283" t="s">
        <v>791</v>
      </c>
      <c r="D283" t="s">
        <v>84</v>
      </c>
      <c r="E283" s="131">
        <f t="array" ref="E283">INDEX($G283:$J283,$E$9)</f>
        <v>200</v>
      </c>
      <c r="F283" s="132" t="s">
        <v>792</v>
      </c>
      <c r="G283" s="138">
        <v>200</v>
      </c>
    </row>
    <row r="284" spans="3:16" x14ac:dyDescent="0.25">
      <c r="C284" t="s">
        <v>793</v>
      </c>
      <c r="D284" t="s">
        <v>84</v>
      </c>
      <c r="E284" s="131">
        <f t="array" ref="E284">INDEX($G284:$J284,$E$9)</f>
        <v>100</v>
      </c>
      <c r="F284" s="132" t="s">
        <v>794</v>
      </c>
      <c r="G284" s="138">
        <v>100</v>
      </c>
    </row>
    <row r="285" spans="3:16" x14ac:dyDescent="0.25">
      <c r="C285" t="s">
        <v>433</v>
      </c>
      <c r="D285" t="s">
        <v>125</v>
      </c>
      <c r="E285" s="131">
        <f t="array" ref="E285">INDEX($G285:$J285,$E$9)</f>
        <v>250</v>
      </c>
      <c r="F285" s="132"/>
      <c r="G285" s="138">
        <v>250</v>
      </c>
    </row>
    <row r="286" spans="3:16" x14ac:dyDescent="0.25">
      <c r="C286" t="s">
        <v>795</v>
      </c>
      <c r="D286" t="s">
        <v>415</v>
      </c>
      <c r="E286">
        <f t="array" ref="E286">INDEX($G286:$J286,$E$9)</f>
        <v>1</v>
      </c>
      <c r="F286" s="124" t="s">
        <v>796</v>
      </c>
      <c r="G286" s="199">
        <v>1</v>
      </c>
    </row>
    <row r="287" spans="3:16" x14ac:dyDescent="0.25">
      <c r="C287" t="s">
        <v>446</v>
      </c>
      <c r="D287" t="s">
        <v>51</v>
      </c>
      <c r="E287" s="63">
        <f t="array" ref="E287">INDEX($G287:$J287,$E$9)</f>
        <v>0.7</v>
      </c>
      <c r="F287" s="200" t="s">
        <v>797</v>
      </c>
      <c r="G287" s="194">
        <v>0.7</v>
      </c>
    </row>
    <row r="288" spans="3:16" x14ac:dyDescent="0.25">
      <c r="C288" t="s">
        <v>798</v>
      </c>
      <c r="D288" t="s">
        <v>415</v>
      </c>
      <c r="E288">
        <f t="array" ref="E288">INDEX($G288:$J288,$E$9)</f>
        <v>1</v>
      </c>
      <c r="F288" s="124" t="s">
        <v>799</v>
      </c>
      <c r="G288" s="199">
        <v>1</v>
      </c>
    </row>
    <row r="289" spans="2:7" x14ac:dyDescent="0.25">
      <c r="C289" t="s">
        <v>800</v>
      </c>
      <c r="D289" t="s">
        <v>29</v>
      </c>
      <c r="E289">
        <f t="array" ref="E289">INDEX($G289:$J289,$E$9)</f>
        <v>2</v>
      </c>
      <c r="F289" s="124" t="s">
        <v>282</v>
      </c>
      <c r="G289" s="199">
        <v>2</v>
      </c>
    </row>
    <row r="290" spans="2:7" x14ac:dyDescent="0.25">
      <c r="C290" t="s">
        <v>801</v>
      </c>
      <c r="D290" t="s">
        <v>802</v>
      </c>
      <c r="E290" s="131">
        <f t="array" ref="E290">INDEX($G290:$J290,$E$9)</f>
        <v>73071306</v>
      </c>
      <c r="F290" s="132" t="s">
        <v>803</v>
      </c>
      <c r="G290" s="138">
        <v>73071306</v>
      </c>
    </row>
    <row r="291" spans="2:7" x14ac:dyDescent="0.25">
      <c r="C291" t="s">
        <v>804</v>
      </c>
      <c r="D291" t="s">
        <v>805</v>
      </c>
      <c r="E291" s="131">
        <f t="array" ref="E291">INDEX($G291:$J291,$E$9)</f>
        <v>508345804</v>
      </c>
      <c r="F291" s="132" t="s">
        <v>803</v>
      </c>
      <c r="G291" s="138">
        <v>508345804</v>
      </c>
    </row>
    <row r="292" spans="2:7" x14ac:dyDescent="0.25">
      <c r="C292" t="s">
        <v>806</v>
      </c>
      <c r="D292" t="s">
        <v>506</v>
      </c>
      <c r="E292" s="201">
        <f t="array" ref="E292">INDEX($G292:$J292,$E$9)</f>
        <v>73.071306000000007</v>
      </c>
      <c r="F292" s="202" t="s">
        <v>807</v>
      </c>
      <c r="G292" s="201">
        <f>G290/1000000</f>
        <v>73.071306000000007</v>
      </c>
    </row>
    <row r="293" spans="2:7" x14ac:dyDescent="0.25">
      <c r="C293" t="s">
        <v>299</v>
      </c>
      <c r="D293" t="s">
        <v>506</v>
      </c>
      <c r="E293" s="201">
        <f t="array" ref="E293">INDEX($G293:$J293,$E$9)</f>
        <v>2.54172902</v>
      </c>
      <c r="F293" s="202" t="s">
        <v>808</v>
      </c>
      <c r="G293" s="201">
        <f>G291/1000000/G283</f>
        <v>2.54172902</v>
      </c>
    </row>
    <row r="294" spans="2:7" x14ac:dyDescent="0.25">
      <c r="C294" t="s">
        <v>809</v>
      </c>
      <c r="D294" t="s">
        <v>125</v>
      </c>
      <c r="E294" s="131">
        <f t="array" ref="E294">INDEX($G294:$J294,$E$9)</f>
        <v>3137.0240039417004</v>
      </c>
      <c r="F294" s="132" t="s">
        <v>810</v>
      </c>
      <c r="G294" s="203">
        <f t="array" ref="G294">G295+$E$68*(G297+SUMPRODUCT(Devex_FEP!$L$5:$L$37,Devex_FEP!$J$5:$J$37*(1-Devex_FEP!$G$5:$G$37))+Deposits!$O$7)</f>
        <v>3137.0240039417004</v>
      </c>
    </row>
    <row r="295" spans="2:7" x14ac:dyDescent="0.25">
      <c r="C295" t="s">
        <v>811</v>
      </c>
      <c r="D295" t="s">
        <v>125</v>
      </c>
      <c r="E295" s="131">
        <f t="array" ref="E295">INDEX($G295:$J295,$E$9)</f>
        <v>2855.6382601213463</v>
      </c>
      <c r="F295" s="132" t="s">
        <v>812</v>
      </c>
      <c r="G295" s="131">
        <f>SUM(Devex_FEP!$L$5:$L$37)</f>
        <v>2855.6382601213463</v>
      </c>
    </row>
    <row r="296" spans="2:7" x14ac:dyDescent="0.25">
      <c r="C296" t="s">
        <v>813</v>
      </c>
      <c r="D296" t="s">
        <v>7</v>
      </c>
      <c r="E296" s="204">
        <f>In_Scale</f>
        <v>0.5</v>
      </c>
      <c r="F296" s="205" t="s">
        <v>814</v>
      </c>
      <c r="G296" s="204">
        <f t="array" ref="G296">(G294-$E$68*Deposits!$O$7)/(G295+$E$68*(G297+SUMPRODUCT(Devex_FEP!$L$5:$L$37,Devex_FEP!$J$5:$J$37*(1-Devex_FEP!$G$5:$G$37))))</f>
        <v>1.0000000000000002</v>
      </c>
    </row>
    <row r="297" spans="2:7" x14ac:dyDescent="0.25">
      <c r="C297" t="s">
        <v>815</v>
      </c>
      <c r="D297" t="s">
        <v>125</v>
      </c>
      <c r="E297" s="131">
        <f t="array" ref="E297">INDEX($G297:$J297,$E$9)</f>
        <v>2380.2585303916167</v>
      </c>
      <c r="F297" s="132" t="s">
        <v>816</v>
      </c>
      <c r="G297" s="131">
        <f>SUMPRODUCT(Devex_FEP!$L$5:$L$37,Devex_FEP!$G$5:$G$37)</f>
        <v>2380.2585303916167</v>
      </c>
    </row>
    <row r="298" spans="2:7" x14ac:dyDescent="0.25">
      <c r="C298" t="s">
        <v>817</v>
      </c>
      <c r="D298" t="s">
        <v>383</v>
      </c>
      <c r="F298" s="124" t="s">
        <v>818</v>
      </c>
    </row>
    <row r="302" spans="2:7" x14ac:dyDescent="0.25">
      <c r="B302" t="s">
        <v>7</v>
      </c>
      <c r="C302" s="129" t="s">
        <v>819</v>
      </c>
    </row>
    <row r="303" spans="2:7" x14ac:dyDescent="0.25">
      <c r="C303" t="s">
        <v>820</v>
      </c>
      <c r="D303" t="s">
        <v>56</v>
      </c>
      <c r="E303" s="206">
        <v>100</v>
      </c>
      <c r="F303" s="162" t="s">
        <v>821</v>
      </c>
    </row>
    <row r="304" spans="2:7" x14ac:dyDescent="0.25">
      <c r="C304" t="s">
        <v>57</v>
      </c>
      <c r="D304" t="s">
        <v>29</v>
      </c>
      <c r="E304" s="146">
        <f>ROUNDUP(Dash_MVA/In_MVA_Per_Bid,0)</f>
        <v>1</v>
      </c>
      <c r="F304" s="162" t="s">
        <v>822</v>
      </c>
    </row>
    <row r="305" spans="3:28" x14ac:dyDescent="0.25">
      <c r="C305" t="s">
        <v>823</v>
      </c>
      <c r="D305" t="s">
        <v>56</v>
      </c>
      <c r="E305" s="206">
        <v>200</v>
      </c>
      <c r="F305" s="162" t="s">
        <v>824</v>
      </c>
    </row>
    <row r="306" spans="3:28" x14ac:dyDescent="0.25">
      <c r="C306" t="s">
        <v>825</v>
      </c>
      <c r="D306" t="s">
        <v>7</v>
      </c>
      <c r="E306" s="201">
        <f>Dash_MVA/In_Source_MVA</f>
        <v>0.5</v>
      </c>
      <c r="F306" s="162" t="s">
        <v>826</v>
      </c>
    </row>
    <row r="307" spans="3:28" x14ac:dyDescent="0.25">
      <c r="C307" t="s">
        <v>827</v>
      </c>
      <c r="D307" t="s">
        <v>62</v>
      </c>
      <c r="E307" s="207">
        <v>0</v>
      </c>
      <c r="F307" s="162" t="s">
        <v>828</v>
      </c>
    </row>
    <row r="308" spans="3:28" x14ac:dyDescent="0.25">
      <c r="C308" t="s">
        <v>829</v>
      </c>
      <c r="D308" t="s">
        <v>84</v>
      </c>
      <c r="E308" s="208">
        <f>E18*(1-Dash_Build_Shortfall)</f>
        <v>135.9</v>
      </c>
      <c r="F308" s="162" t="s">
        <v>830</v>
      </c>
    </row>
    <row r="309" spans="3:28" x14ac:dyDescent="0.25">
      <c r="C309" t="s">
        <v>831</v>
      </c>
      <c r="D309" t="s">
        <v>51</v>
      </c>
      <c r="E309" s="209">
        <f>Dash_BESS_Share/(1+Dash_Overbuild)</f>
        <v>0.19867549668874171</v>
      </c>
      <c r="F309" s="162" t="s">
        <v>832</v>
      </c>
    </row>
    <row r="310" spans="3:28" x14ac:dyDescent="0.25">
      <c r="C310" t="s">
        <v>833</v>
      </c>
      <c r="D310" t="s">
        <v>80</v>
      </c>
      <c r="E310" s="182">
        <f>INDEX(Osz3_Pts,1+SUMPRODUCT((Osz3_LB&lt;E309)+(Osz3_LB=E309)*Osz3_Incl))*Osz4_W</f>
        <v>6</v>
      </c>
      <c r="F310" s="162" t="s">
        <v>834</v>
      </c>
    </row>
    <row r="311" spans="3:28" x14ac:dyDescent="0.25">
      <c r="C311" t="s">
        <v>835</v>
      </c>
      <c r="D311" t="s">
        <v>51</v>
      </c>
      <c r="E311" s="209">
        <f>Dash_BESS_Share/(1+Dash_Overbuild*Dash_OSZ4_Basis)</f>
        <v>0.3</v>
      </c>
      <c r="F311" s="162" t="s">
        <v>834</v>
      </c>
    </row>
    <row r="312" spans="3:28" x14ac:dyDescent="0.25">
      <c r="C312" t="s">
        <v>836</v>
      </c>
      <c r="D312" t="s">
        <v>7</v>
      </c>
      <c r="F312" s="162" t="s">
        <v>837</v>
      </c>
      <c r="Q312" s="182">
        <v>1.01</v>
      </c>
      <c r="R312" s="182">
        <v>1.08</v>
      </c>
      <c r="S312" s="182">
        <v>1.1499999999999999</v>
      </c>
      <c r="T312" s="182">
        <v>1.22</v>
      </c>
      <c r="U312" s="182">
        <v>1.3</v>
      </c>
      <c r="V312" s="182">
        <v>1.37</v>
      </c>
      <c r="W312" s="182">
        <v>1.44</v>
      </c>
      <c r="X312" s="182">
        <v>1.51</v>
      </c>
      <c r="Y312" s="182">
        <v>1.58</v>
      </c>
      <c r="Z312" s="182">
        <v>1.66</v>
      </c>
      <c r="AA312" s="182">
        <v>1.73</v>
      </c>
      <c r="AB312" s="182">
        <v>1.8</v>
      </c>
    </row>
    <row r="313" spans="3:28" x14ac:dyDescent="0.25">
      <c r="C313" t="s">
        <v>838</v>
      </c>
      <c r="D313" t="s">
        <v>51</v>
      </c>
      <c r="F313" s="162" t="s">
        <v>837</v>
      </c>
      <c r="Q313" s="134">
        <v>0</v>
      </c>
      <c r="R313" s="134">
        <v>0.01</v>
      </c>
      <c r="S313" s="134">
        <v>3.2000000000000001E-2</v>
      </c>
      <c r="T313" s="134">
        <v>5.6000000000000001E-2</v>
      </c>
      <c r="U313" s="134">
        <v>0.08</v>
      </c>
      <c r="V313" s="134">
        <v>0.10299999999999999</v>
      </c>
      <c r="W313" s="134">
        <v>0.126</v>
      </c>
      <c r="X313" s="134">
        <v>0.14799999999999999</v>
      </c>
      <c r="Y313" s="134">
        <v>0.16900000000000001</v>
      </c>
      <c r="Z313" s="134">
        <v>0.19</v>
      </c>
      <c r="AA313" s="134">
        <v>0.20899999999999999</v>
      </c>
      <c r="AB313" s="134">
        <v>0.22800000000000001</v>
      </c>
    </row>
    <row r="314" spans="3:28" x14ac:dyDescent="0.25">
      <c r="C314" t="s">
        <v>839</v>
      </c>
      <c r="D314" t="s">
        <v>7</v>
      </c>
      <c r="E314" s="201">
        <f>In_Wind_Built/Dash_MVA</f>
        <v>1.359</v>
      </c>
      <c r="F314" s="162" t="s">
        <v>840</v>
      </c>
    </row>
    <row r="315" spans="3:28" x14ac:dyDescent="0.25">
      <c r="C315" t="s">
        <v>841</v>
      </c>
      <c r="D315" t="s">
        <v>29</v>
      </c>
      <c r="E315" s="146">
        <f>IFERROR(MATCH(E314,In_Clip_Ratios,1),1)</f>
        <v>5</v>
      </c>
      <c r="F315" s="162" t="s">
        <v>842</v>
      </c>
    </row>
    <row r="316" spans="3:28" x14ac:dyDescent="0.25">
      <c r="C316" t="s">
        <v>843</v>
      </c>
      <c r="D316" t="s">
        <v>29</v>
      </c>
      <c r="E316" s="146">
        <f>MIN(E315,COUNT(In_Clip_Ratios)-1)</f>
        <v>5</v>
      </c>
      <c r="F316" s="162" t="s">
        <v>842</v>
      </c>
    </row>
    <row r="317" spans="3:28" x14ac:dyDescent="0.25">
      <c r="C317" t="s">
        <v>844</v>
      </c>
      <c r="D317" t="s">
        <v>7</v>
      </c>
      <c r="E317" s="182">
        <f>INDEX(In_Clip_Ratios,E316)</f>
        <v>1.3</v>
      </c>
      <c r="F317" s="162" t="s">
        <v>842</v>
      </c>
    </row>
    <row r="318" spans="3:28" x14ac:dyDescent="0.25">
      <c r="C318" t="s">
        <v>845</v>
      </c>
      <c r="D318" t="s">
        <v>7</v>
      </c>
      <c r="E318" s="182">
        <f>INDEX(In_Clip_Ratios,E316+1)</f>
        <v>1.37</v>
      </c>
      <c r="F318" s="162" t="s">
        <v>842</v>
      </c>
    </row>
    <row r="319" spans="3:28" x14ac:dyDescent="0.25">
      <c r="C319" t="s">
        <v>846</v>
      </c>
      <c r="D319" t="s">
        <v>51</v>
      </c>
      <c r="E319" s="331">
        <f>INDEX(In_Clip_Shares,E316)</f>
        <v>0.08</v>
      </c>
      <c r="F319" s="162" t="s">
        <v>842</v>
      </c>
    </row>
    <row r="320" spans="3:28" x14ac:dyDescent="0.25">
      <c r="C320" t="s">
        <v>847</v>
      </c>
      <c r="D320" t="s">
        <v>51</v>
      </c>
      <c r="E320" s="134">
        <f>INDEX(In_Clip_Shares,E316+1)</f>
        <v>0.10299999999999999</v>
      </c>
      <c r="F320" s="162" t="s">
        <v>842</v>
      </c>
    </row>
    <row r="321" spans="3:7" x14ac:dyDescent="0.25">
      <c r="C321" t="s">
        <v>848</v>
      </c>
      <c r="D321" t="s">
        <v>849</v>
      </c>
      <c r="E321" s="332">
        <f>(E320-E319)/(E318-E317)</f>
        <v>0.32857142857142818</v>
      </c>
      <c r="F321" s="162" t="s">
        <v>842</v>
      </c>
    </row>
    <row r="322" spans="3:7" x14ac:dyDescent="0.25">
      <c r="C322" t="s">
        <v>850</v>
      </c>
      <c r="D322" t="s">
        <v>51</v>
      </c>
      <c r="E322" s="333">
        <v>0.04</v>
      </c>
      <c r="F322" s="162" t="s">
        <v>842</v>
      </c>
      <c r="G322" s="333">
        <f>MAX(0,G319+G321*(G314-G317))</f>
        <v>0</v>
      </c>
    </row>
    <row r="323" spans="3:7" x14ac:dyDescent="0.25">
      <c r="C323" t="s">
        <v>851</v>
      </c>
      <c r="D323" t="s">
        <v>7</v>
      </c>
      <c r="E323" s="329">
        <f>1-E322</f>
        <v>0.96</v>
      </c>
      <c r="F323" s="162" t="s">
        <v>852</v>
      </c>
    </row>
    <row r="324" spans="3:7" x14ac:dyDescent="0.25">
      <c r="C324" t="s">
        <v>853</v>
      </c>
      <c r="D324" t="s">
        <v>64</v>
      </c>
      <c r="E324" s="148">
        <v>4</v>
      </c>
      <c r="F324" s="162" t="s">
        <v>854</v>
      </c>
    </row>
    <row r="325" spans="3:7" x14ac:dyDescent="0.25">
      <c r="C325" t="s">
        <v>855</v>
      </c>
      <c r="D325" t="s">
        <v>29</v>
      </c>
      <c r="E325" s="148">
        <v>2</v>
      </c>
      <c r="F325" s="162" t="s">
        <v>856</v>
      </c>
    </row>
    <row r="326" spans="3:7" x14ac:dyDescent="0.25">
      <c r="C326" t="s">
        <v>857</v>
      </c>
      <c r="D326" t="s">
        <v>51</v>
      </c>
      <c r="E326" s="211">
        <v>0.2</v>
      </c>
      <c r="F326" s="162" t="s">
        <v>858</v>
      </c>
    </row>
    <row r="327" spans="3:7" x14ac:dyDescent="0.25">
      <c r="C327" t="s">
        <v>859</v>
      </c>
      <c r="D327" t="s">
        <v>51</v>
      </c>
      <c r="E327" s="211">
        <v>0.15</v>
      </c>
      <c r="F327" s="162" t="s">
        <v>858</v>
      </c>
    </row>
    <row r="328" spans="3:7" x14ac:dyDescent="0.25">
      <c r="C328" t="s">
        <v>860</v>
      </c>
      <c r="D328" t="s">
        <v>51</v>
      </c>
      <c r="E328" s="211">
        <v>0.1</v>
      </c>
      <c r="F328" s="162" t="s">
        <v>858</v>
      </c>
    </row>
    <row r="329" spans="3:7" x14ac:dyDescent="0.25">
      <c r="C329" t="s">
        <v>861</v>
      </c>
      <c r="D329" t="s">
        <v>51</v>
      </c>
      <c r="E329" s="211">
        <v>0.15</v>
      </c>
      <c r="F329" s="162" t="s">
        <v>858</v>
      </c>
    </row>
    <row r="330" spans="3:7" x14ac:dyDescent="0.25">
      <c r="C330" t="s">
        <v>862</v>
      </c>
      <c r="D330" t="s">
        <v>51</v>
      </c>
      <c r="E330" s="211">
        <v>0.05</v>
      </c>
      <c r="F330" s="162" t="s">
        <v>858</v>
      </c>
    </row>
    <row r="331" spans="3:7" x14ac:dyDescent="0.25">
      <c r="C331" t="s">
        <v>863</v>
      </c>
      <c r="D331" t="s">
        <v>51</v>
      </c>
      <c r="E331" s="211">
        <v>0.05</v>
      </c>
      <c r="F331" s="162" t="s">
        <v>858</v>
      </c>
    </row>
    <row r="332" spans="3:7" x14ac:dyDescent="0.25">
      <c r="C332" t="s">
        <v>864</v>
      </c>
      <c r="D332" t="s">
        <v>51</v>
      </c>
      <c r="E332" s="211">
        <v>0.1</v>
      </c>
      <c r="F332" s="162" t="s">
        <v>858</v>
      </c>
    </row>
    <row r="333" spans="3:7" x14ac:dyDescent="0.25">
      <c r="C333" t="s">
        <v>865</v>
      </c>
      <c r="D333" t="s">
        <v>51</v>
      </c>
      <c r="E333" s="211">
        <v>0.05</v>
      </c>
      <c r="F333" s="162" t="s">
        <v>858</v>
      </c>
    </row>
    <row r="334" spans="3:7" x14ac:dyDescent="0.25">
      <c r="C334" t="s">
        <v>866</v>
      </c>
      <c r="D334" t="s">
        <v>51</v>
      </c>
      <c r="E334" s="211">
        <v>0.15</v>
      </c>
      <c r="F334" s="162" t="s">
        <v>858</v>
      </c>
    </row>
    <row r="335" spans="3:7" x14ac:dyDescent="0.25">
      <c r="C335" t="s">
        <v>867</v>
      </c>
      <c r="D335" t="s">
        <v>80</v>
      </c>
      <c r="E335" s="148">
        <v>100</v>
      </c>
      <c r="F335" s="162" t="s">
        <v>868</v>
      </c>
    </row>
    <row r="336" spans="3:7" x14ac:dyDescent="0.25">
      <c r="C336" t="s">
        <v>869</v>
      </c>
      <c r="D336" t="s">
        <v>80</v>
      </c>
      <c r="E336" s="148">
        <v>100</v>
      </c>
      <c r="F336" s="162" t="s">
        <v>868</v>
      </c>
    </row>
    <row r="337" spans="3:28" x14ac:dyDescent="0.25">
      <c r="C337" t="s">
        <v>870</v>
      </c>
      <c r="D337" t="s">
        <v>80</v>
      </c>
      <c r="E337" s="148">
        <v>100</v>
      </c>
      <c r="F337" s="162" t="s">
        <v>868</v>
      </c>
    </row>
    <row r="338" spans="3:28" x14ac:dyDescent="0.25">
      <c r="C338" t="s">
        <v>871</v>
      </c>
      <c r="D338" t="s">
        <v>80</v>
      </c>
      <c r="E338" s="148">
        <v>80</v>
      </c>
      <c r="F338" s="162" t="s">
        <v>868</v>
      </c>
    </row>
    <row r="339" spans="3:28" x14ac:dyDescent="0.25">
      <c r="C339" t="s">
        <v>872</v>
      </c>
      <c r="D339" t="s">
        <v>80</v>
      </c>
      <c r="E339" s="148">
        <v>20</v>
      </c>
      <c r="F339" s="162" t="s">
        <v>868</v>
      </c>
    </row>
    <row r="340" spans="3:28" x14ac:dyDescent="0.25">
      <c r="C340" t="s">
        <v>873</v>
      </c>
      <c r="D340" t="s">
        <v>2</v>
      </c>
      <c r="E340" s="206">
        <v>10</v>
      </c>
      <c r="F340" s="162" t="s">
        <v>868</v>
      </c>
    </row>
    <row r="341" spans="3:28" x14ac:dyDescent="0.25">
      <c r="C341" t="s">
        <v>874</v>
      </c>
      <c r="D341" t="s">
        <v>2</v>
      </c>
      <c r="E341" s="206">
        <v>50</v>
      </c>
      <c r="F341" s="162" t="s">
        <v>875</v>
      </c>
    </row>
    <row r="342" spans="3:28" x14ac:dyDescent="0.25">
      <c r="C342" t="s">
        <v>876</v>
      </c>
      <c r="D342" t="s">
        <v>40</v>
      </c>
      <c r="E342" s="212">
        <v>2</v>
      </c>
      <c r="F342" s="162" t="s">
        <v>868</v>
      </c>
    </row>
    <row r="343" spans="3:28" x14ac:dyDescent="0.25">
      <c r="C343" t="s">
        <v>877</v>
      </c>
      <c r="D343" t="s">
        <v>40</v>
      </c>
      <c r="E343" s="212">
        <v>3</v>
      </c>
      <c r="F343" s="162" t="s">
        <v>875</v>
      </c>
    </row>
    <row r="344" spans="3:28" x14ac:dyDescent="0.25">
      <c r="C344" t="s">
        <v>878</v>
      </c>
      <c r="D344" t="s">
        <v>51</v>
      </c>
      <c r="E344" s="211">
        <v>0.05</v>
      </c>
      <c r="F344" s="162" t="s">
        <v>879</v>
      </c>
    </row>
    <row r="345" spans="3:28" x14ac:dyDescent="0.25">
      <c r="C345" t="s">
        <v>880</v>
      </c>
      <c r="D345" t="s">
        <v>29</v>
      </c>
      <c r="E345" s="206">
        <v>1000</v>
      </c>
      <c r="F345" s="162" t="s">
        <v>240</v>
      </c>
    </row>
    <row r="346" spans="3:28" x14ac:dyDescent="0.25">
      <c r="C346" t="s">
        <v>881</v>
      </c>
      <c r="D346" t="s">
        <v>64</v>
      </c>
      <c r="E346" s="206">
        <v>8760</v>
      </c>
      <c r="F346" s="162" t="s">
        <v>240</v>
      </c>
    </row>
    <row r="347" spans="3:28" x14ac:dyDescent="0.25">
      <c r="C347" t="s">
        <v>882</v>
      </c>
      <c r="D347" t="s">
        <v>29</v>
      </c>
      <c r="E347" s="213">
        <v>9.9999999999999995E-7</v>
      </c>
      <c r="F347" s="162" t="s">
        <v>883</v>
      </c>
    </row>
    <row r="349" spans="3:28" x14ac:dyDescent="0.25">
      <c r="C349" s="198" t="s">
        <v>884</v>
      </c>
      <c r="Q349" s="125">
        <v>1</v>
      </c>
      <c r="R349" s="125">
        <v>2</v>
      </c>
      <c r="S349" s="125">
        <v>3</v>
      </c>
      <c r="T349" s="125">
        <v>4</v>
      </c>
      <c r="U349" s="125">
        <v>5</v>
      </c>
      <c r="V349" s="125">
        <v>6</v>
      </c>
      <c r="W349" s="125">
        <v>7</v>
      </c>
      <c r="X349" s="125">
        <v>8</v>
      </c>
      <c r="Y349" s="125">
        <v>9</v>
      </c>
      <c r="Z349" s="125">
        <v>10</v>
      </c>
      <c r="AA349" s="125">
        <v>11</v>
      </c>
      <c r="AB349" s="125">
        <v>12</v>
      </c>
    </row>
    <row r="350" spans="3:28" x14ac:dyDescent="0.25">
      <c r="C350" t="s">
        <v>885</v>
      </c>
      <c r="D350" t="s">
        <v>2</v>
      </c>
      <c r="F350" s="162" t="s">
        <v>868</v>
      </c>
      <c r="Q350" s="199">
        <v>10</v>
      </c>
      <c r="R350" s="199">
        <v>15</v>
      </c>
      <c r="S350" s="199">
        <v>20</v>
      </c>
      <c r="T350" s="199">
        <v>25</v>
      </c>
      <c r="U350" s="199">
        <v>30</v>
      </c>
      <c r="V350" s="199">
        <v>35</v>
      </c>
      <c r="W350" s="199">
        <v>40</v>
      </c>
      <c r="X350" s="199">
        <v>45</v>
      </c>
      <c r="Y350" s="199">
        <v>50</v>
      </c>
    </row>
    <row r="351" spans="3:28" x14ac:dyDescent="0.25">
      <c r="C351" t="s">
        <v>886</v>
      </c>
      <c r="D351" t="s">
        <v>62</v>
      </c>
      <c r="F351" s="162" t="s">
        <v>868</v>
      </c>
      <c r="Q351" s="148">
        <v>0</v>
      </c>
      <c r="R351" s="148">
        <v>0</v>
      </c>
      <c r="S351" s="148">
        <v>0</v>
      </c>
      <c r="T351" s="148">
        <v>0</v>
      </c>
      <c r="U351" s="148">
        <v>0</v>
      </c>
      <c r="V351" s="148">
        <v>0</v>
      </c>
      <c r="W351" s="148">
        <v>0</v>
      </c>
      <c r="X351" s="148">
        <v>0</v>
      </c>
      <c r="Y351" s="148">
        <v>1</v>
      </c>
    </row>
    <row r="352" spans="3:28" x14ac:dyDescent="0.25">
      <c r="C352" t="s">
        <v>887</v>
      </c>
      <c r="D352" t="s">
        <v>80</v>
      </c>
      <c r="F352" s="162" t="s">
        <v>868</v>
      </c>
      <c r="Q352" s="148">
        <v>0</v>
      </c>
      <c r="R352" s="148">
        <v>10</v>
      </c>
      <c r="S352" s="148">
        <v>20</v>
      </c>
      <c r="T352" s="148">
        <v>30</v>
      </c>
      <c r="U352" s="148">
        <v>40</v>
      </c>
      <c r="V352" s="148">
        <v>55</v>
      </c>
      <c r="W352" s="148">
        <v>70</v>
      </c>
      <c r="X352" s="148">
        <v>80</v>
      </c>
      <c r="Y352" s="148">
        <v>90</v>
      </c>
      <c r="Z352" s="148">
        <v>100</v>
      </c>
    </row>
    <row r="353" spans="3:28" x14ac:dyDescent="0.25">
      <c r="C353" t="s">
        <v>888</v>
      </c>
      <c r="D353" t="s">
        <v>40</v>
      </c>
      <c r="F353" s="162" t="s">
        <v>868</v>
      </c>
      <c r="Q353" s="199">
        <v>2</v>
      </c>
      <c r="R353" s="199">
        <v>2.1</v>
      </c>
      <c r="S353" s="199">
        <v>2.2000000000000002</v>
      </c>
      <c r="T353" s="199">
        <v>2.2999999999999998</v>
      </c>
      <c r="U353" s="199">
        <v>2.4</v>
      </c>
      <c r="V353" s="199">
        <v>2.5</v>
      </c>
      <c r="W353" s="199">
        <v>2.6</v>
      </c>
      <c r="X353" s="199">
        <v>2.7</v>
      </c>
      <c r="Y353" s="199">
        <v>2.8</v>
      </c>
      <c r="Z353" s="199">
        <v>2.9</v>
      </c>
      <c r="AA353" s="199">
        <v>3</v>
      </c>
    </row>
    <row r="354" spans="3:28" x14ac:dyDescent="0.25">
      <c r="C354" t="s">
        <v>889</v>
      </c>
      <c r="D354" t="s">
        <v>62</v>
      </c>
      <c r="F354" s="162" t="s">
        <v>868</v>
      </c>
      <c r="Q354" s="148">
        <v>0</v>
      </c>
      <c r="R354" s="148">
        <v>0</v>
      </c>
      <c r="S354" s="148">
        <v>0</v>
      </c>
      <c r="T354" s="148">
        <v>0</v>
      </c>
      <c r="U354" s="148">
        <v>0</v>
      </c>
      <c r="V354" s="148">
        <v>0</v>
      </c>
      <c r="W354" s="148">
        <v>0</v>
      </c>
      <c r="X354" s="148">
        <v>0</v>
      </c>
      <c r="Y354" s="148">
        <v>0</v>
      </c>
      <c r="Z354" s="148">
        <v>0</v>
      </c>
      <c r="AA354" s="148">
        <v>1</v>
      </c>
    </row>
    <row r="355" spans="3:28" x14ac:dyDescent="0.25">
      <c r="C355" t="s">
        <v>890</v>
      </c>
      <c r="D355" t="s">
        <v>80</v>
      </c>
      <c r="F355" s="162" t="s">
        <v>868</v>
      </c>
      <c r="Q355" s="148">
        <v>0</v>
      </c>
      <c r="R355" s="148">
        <v>5</v>
      </c>
      <c r="S355" s="148">
        <v>10</v>
      </c>
      <c r="T355" s="148">
        <v>20</v>
      </c>
      <c r="U355" s="148">
        <v>30</v>
      </c>
      <c r="V355" s="148">
        <v>40</v>
      </c>
      <c r="W355" s="148">
        <v>50</v>
      </c>
      <c r="X355" s="148">
        <v>60</v>
      </c>
      <c r="Y355" s="148">
        <v>70</v>
      </c>
      <c r="Z355" s="148">
        <v>80</v>
      </c>
      <c r="AA355" s="148">
        <v>90</v>
      </c>
      <c r="AB355" s="148">
        <v>100</v>
      </c>
    </row>
    <row r="356" spans="3:28" x14ac:dyDescent="0.25">
      <c r="C356" t="s">
        <v>891</v>
      </c>
      <c r="D356" t="s">
        <v>51</v>
      </c>
      <c r="F356" s="162" t="s">
        <v>834</v>
      </c>
      <c r="Q356" s="199">
        <v>0.02</v>
      </c>
      <c r="R356" s="199">
        <v>0.05</v>
      </c>
      <c r="S356" s="199">
        <v>0.1</v>
      </c>
      <c r="T356" s="199">
        <v>0.15</v>
      </c>
      <c r="U356" s="199">
        <v>0.2</v>
      </c>
      <c r="V356" s="199">
        <v>0.25</v>
      </c>
      <c r="W356" s="199">
        <v>0.3</v>
      </c>
      <c r="X356" s="199">
        <v>0.35</v>
      </c>
      <c r="Y356" s="199">
        <v>0.4</v>
      </c>
      <c r="Z356" s="199">
        <v>0.5</v>
      </c>
    </row>
    <row r="357" spans="3:28" x14ac:dyDescent="0.25">
      <c r="C357" t="s">
        <v>892</v>
      </c>
      <c r="D357" t="s">
        <v>62</v>
      </c>
      <c r="F357" s="162" t="s">
        <v>834</v>
      </c>
      <c r="Q357" s="148">
        <v>0</v>
      </c>
      <c r="R357" s="148">
        <v>1</v>
      </c>
      <c r="S357" s="148">
        <v>1</v>
      </c>
      <c r="T357" s="148">
        <v>1</v>
      </c>
      <c r="U357" s="148">
        <v>1</v>
      </c>
      <c r="V357" s="148">
        <v>1</v>
      </c>
      <c r="W357" s="148">
        <v>1</v>
      </c>
      <c r="X357" s="148">
        <v>1</v>
      </c>
      <c r="Y357" s="148">
        <v>1</v>
      </c>
      <c r="Z357" s="148">
        <v>0</v>
      </c>
    </row>
    <row r="358" spans="3:28" x14ac:dyDescent="0.25">
      <c r="C358" t="s">
        <v>893</v>
      </c>
      <c r="D358" t="s">
        <v>80</v>
      </c>
      <c r="F358" s="162" t="s">
        <v>834</v>
      </c>
      <c r="Q358" s="148">
        <v>0</v>
      </c>
      <c r="R358" s="148">
        <v>10</v>
      </c>
      <c r="S358" s="148">
        <v>20</v>
      </c>
      <c r="T358" s="148">
        <v>30</v>
      </c>
      <c r="U358" s="148">
        <v>40</v>
      </c>
      <c r="V358" s="148">
        <v>50</v>
      </c>
      <c r="W358" s="148">
        <v>60</v>
      </c>
      <c r="X358" s="148">
        <v>70</v>
      </c>
      <c r="Y358" s="148">
        <v>80</v>
      </c>
      <c r="Z358" s="148">
        <v>90</v>
      </c>
      <c r="AA358" s="148">
        <v>100</v>
      </c>
    </row>
    <row r="359" spans="3:28" x14ac:dyDescent="0.25">
      <c r="C359" t="s">
        <v>894</v>
      </c>
      <c r="D359" t="s">
        <v>7</v>
      </c>
      <c r="F359" s="162" t="s">
        <v>895</v>
      </c>
      <c r="Q359" s="199">
        <v>1</v>
      </c>
      <c r="R359" s="199">
        <v>1.2</v>
      </c>
      <c r="S359" s="199">
        <v>1.3</v>
      </c>
      <c r="T359" s="199">
        <v>1.4</v>
      </c>
      <c r="U359" s="199">
        <v>1.5</v>
      </c>
      <c r="V359" s="199">
        <v>1.6</v>
      </c>
      <c r="W359" s="199">
        <v>1.7</v>
      </c>
      <c r="X359" s="199">
        <v>1.8</v>
      </c>
      <c r="Y359" s="199">
        <v>1.9</v>
      </c>
      <c r="Z359" s="199">
        <v>2</v>
      </c>
    </row>
    <row r="360" spans="3:28" x14ac:dyDescent="0.25">
      <c r="C360" t="s">
        <v>896</v>
      </c>
      <c r="D360" t="s">
        <v>62</v>
      </c>
      <c r="F360" s="162" t="s">
        <v>895</v>
      </c>
      <c r="Q360" s="148">
        <v>0</v>
      </c>
      <c r="R360" s="148">
        <v>1</v>
      </c>
      <c r="S360" s="148">
        <v>1</v>
      </c>
      <c r="T360" s="148">
        <v>1</v>
      </c>
      <c r="U360" s="148">
        <v>1</v>
      </c>
      <c r="V360" s="148">
        <v>1</v>
      </c>
      <c r="W360" s="148">
        <v>1</v>
      </c>
      <c r="X360" s="148">
        <v>1</v>
      </c>
      <c r="Y360" s="148">
        <v>1</v>
      </c>
      <c r="Z360" s="148">
        <v>1</v>
      </c>
    </row>
    <row r="361" spans="3:28" x14ac:dyDescent="0.25">
      <c r="C361" t="s">
        <v>897</v>
      </c>
      <c r="D361" t="s">
        <v>80</v>
      </c>
      <c r="F361" s="162" t="s">
        <v>895</v>
      </c>
      <c r="Q361" s="148">
        <v>0</v>
      </c>
      <c r="R361" s="148">
        <v>10</v>
      </c>
      <c r="S361" s="148">
        <v>20</v>
      </c>
      <c r="T361" s="148">
        <v>30</v>
      </c>
      <c r="U361" s="148">
        <v>40</v>
      </c>
      <c r="V361" s="148">
        <v>50</v>
      </c>
      <c r="W361" s="148">
        <v>60</v>
      </c>
      <c r="X361" s="148">
        <v>70</v>
      </c>
      <c r="Y361" s="148">
        <v>80</v>
      </c>
      <c r="Z361" s="148">
        <v>90</v>
      </c>
      <c r="AA361" s="148">
        <v>100</v>
      </c>
    </row>
    <row r="362" spans="3:28" x14ac:dyDescent="0.25">
      <c r="C362" s="129" t="s">
        <v>898</v>
      </c>
    </row>
    <row r="363" spans="3:28" x14ac:dyDescent="0.25">
      <c r="C363" t="s">
        <v>899</v>
      </c>
      <c r="D363" t="s">
        <v>62</v>
      </c>
      <c r="E363" s="146">
        <f>IF(INDEX($G363:$P363,$E$6)="",$G363,INDEX($G363:$P363,$E$6))</f>
        <v>0</v>
      </c>
      <c r="F363" s="162" t="s">
        <v>900</v>
      </c>
      <c r="G363" s="148">
        <v>0</v>
      </c>
      <c r="H363" s="148">
        <v>0</v>
      </c>
      <c r="I363" s="148">
        <v>1</v>
      </c>
    </row>
    <row r="364" spans="3:28" x14ac:dyDescent="0.25">
      <c r="C364" t="s">
        <v>901</v>
      </c>
      <c r="D364" t="s">
        <v>211</v>
      </c>
      <c r="E364" s="148">
        <v>1</v>
      </c>
      <c r="F364" s="162" t="s">
        <v>900</v>
      </c>
    </row>
    <row r="365" spans="3:28" x14ac:dyDescent="0.25">
      <c r="C365" t="s">
        <v>902</v>
      </c>
      <c r="D365" t="s">
        <v>51</v>
      </c>
      <c r="E365" s="150">
        <v>0.04</v>
      </c>
      <c r="F365" s="162" t="s">
        <v>903</v>
      </c>
    </row>
    <row r="366" spans="3:28" x14ac:dyDescent="0.25">
      <c r="C366" t="s">
        <v>904</v>
      </c>
      <c r="D366" t="s">
        <v>51</v>
      </c>
      <c r="E366" s="214">
        <v>4.4999999999999998E-2</v>
      </c>
      <c r="F366" s="162" t="s">
        <v>905</v>
      </c>
    </row>
    <row r="367" spans="3:28" x14ac:dyDescent="0.25">
      <c r="C367" t="s">
        <v>906</v>
      </c>
      <c r="D367" t="s">
        <v>211</v>
      </c>
      <c r="E367" s="148">
        <v>15</v>
      </c>
      <c r="F367" s="162" t="s">
        <v>900</v>
      </c>
    </row>
    <row r="368" spans="3:28" x14ac:dyDescent="0.25">
      <c r="C368" t="s">
        <v>907</v>
      </c>
      <c r="D368" t="s">
        <v>710</v>
      </c>
      <c r="E368" s="42">
        <f>E221</f>
        <v>1.7500000000000002E-2</v>
      </c>
      <c r="F368" s="162" t="s">
        <v>908</v>
      </c>
    </row>
  </sheetData>
  <dataValidations count="1">
    <dataValidation type="whole" allowBlank="1" showInputMessage="1" showErrorMessage="1" sqref="E9" xr:uid="{00000000-0002-0000-0300-000000000000}">
      <formula1>1</formula1>
      <formula2>1</formula2>
    </dataValidation>
  </dataValidations>
  <pageMargins left="0.7" right="0.7" top="0.75" bottom="0.75"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70C0"/>
  </sheetPr>
  <dimension ref="A1:BP73"/>
  <sheetViews>
    <sheetView showGridLines="0" zoomScaleNormal="100" workbookViewId="0">
      <selection activeCell="E20" sqref="E20"/>
    </sheetView>
  </sheetViews>
  <sheetFormatPr defaultColWidth="8.5703125" defaultRowHeight="15" x14ac:dyDescent="0.25"/>
  <cols>
    <col min="1" max="2" width="2.5703125" customWidth="1"/>
    <col min="3" max="3" width="57.140625" customWidth="1"/>
    <col min="4" max="18" width="18.140625" customWidth="1"/>
    <col min="19" max="68" width="11.42578125" customWidth="1"/>
  </cols>
  <sheetData>
    <row r="1" spans="1:68" ht="18.75" customHeight="1" x14ac:dyDescent="0.3">
      <c r="A1" s="123" t="s">
        <v>909</v>
      </c>
    </row>
    <row r="2" spans="1:68" x14ac:dyDescent="0.25">
      <c r="A2" s="124" t="s">
        <v>910</v>
      </c>
    </row>
    <row r="4" spans="1:68" x14ac:dyDescent="0.25">
      <c r="B4" t="s">
        <v>7</v>
      </c>
      <c r="C4" s="129" t="s">
        <v>911</v>
      </c>
      <c r="D4" s="215"/>
      <c r="E4" s="215"/>
      <c r="F4" s="215"/>
      <c r="G4" s="215"/>
      <c r="H4" s="215"/>
      <c r="I4" s="215"/>
      <c r="J4" s="215"/>
      <c r="K4" s="215"/>
      <c r="L4" s="215"/>
      <c r="M4" s="215"/>
      <c r="N4" s="215"/>
      <c r="O4" s="215"/>
      <c r="P4" s="215"/>
      <c r="Q4" s="215"/>
      <c r="R4" s="215"/>
      <c r="S4" s="215"/>
      <c r="T4" s="215"/>
      <c r="U4" s="215"/>
      <c r="V4" s="215"/>
      <c r="W4" s="215"/>
      <c r="X4" s="215"/>
      <c r="Y4" s="215"/>
      <c r="Z4" s="215"/>
      <c r="AA4" s="215"/>
      <c r="AB4" s="215"/>
      <c r="AC4" s="215"/>
      <c r="AD4" s="215"/>
      <c r="AE4" s="215"/>
      <c r="AF4" s="215"/>
      <c r="AG4" s="215"/>
      <c r="AH4" s="215"/>
      <c r="AI4" s="215"/>
      <c r="AJ4" s="215"/>
      <c r="AK4" s="215"/>
      <c r="AL4" s="215"/>
      <c r="AM4" s="215"/>
      <c r="AN4" s="215"/>
      <c r="AO4" s="215"/>
      <c r="AP4" s="215"/>
      <c r="AQ4" s="215"/>
      <c r="AR4" s="215"/>
      <c r="AS4" s="215"/>
      <c r="AT4" s="215"/>
      <c r="AU4" s="215"/>
      <c r="AV4" s="215"/>
      <c r="AW4" s="215"/>
      <c r="AX4" s="215"/>
      <c r="AY4" s="215"/>
      <c r="AZ4" s="215"/>
      <c r="BA4" s="215"/>
      <c r="BB4" s="215"/>
      <c r="BC4" s="215"/>
      <c r="BD4" s="215"/>
      <c r="BE4" s="215"/>
      <c r="BF4" s="215"/>
      <c r="BG4" s="215"/>
      <c r="BH4" s="215"/>
      <c r="BI4" s="215"/>
      <c r="BJ4" s="215"/>
      <c r="BK4" s="215"/>
      <c r="BL4" s="215"/>
      <c r="BM4" s="215"/>
      <c r="BN4" s="215"/>
      <c r="BO4" s="215"/>
      <c r="BP4" s="215"/>
    </row>
    <row r="5" spans="1:68" x14ac:dyDescent="0.25">
      <c r="C5" t="s">
        <v>912</v>
      </c>
      <c r="G5" t="s">
        <v>913</v>
      </c>
      <c r="H5" s="146">
        <f>MOIC!H4</f>
        <v>0</v>
      </c>
      <c r="I5" s="146">
        <f>MOIC!I4</f>
        <v>1</v>
      </c>
      <c r="J5" s="146">
        <f>MOIC!J4</f>
        <v>2</v>
      </c>
      <c r="K5" s="146">
        <f>MOIC!K4</f>
        <v>3</v>
      </c>
      <c r="L5" s="146">
        <f>MOIC!L4</f>
        <v>4</v>
      </c>
      <c r="M5" s="146">
        <f>MOIC!M4</f>
        <v>5</v>
      </c>
      <c r="N5" s="146">
        <f>MOIC!N4</f>
        <v>6</v>
      </c>
      <c r="O5" s="146">
        <f>MOIC!O4</f>
        <v>7</v>
      </c>
      <c r="P5" s="146">
        <f>MOIC!P4</f>
        <v>8</v>
      </c>
      <c r="Q5" s="146">
        <f>MOIC!Q4</f>
        <v>9</v>
      </c>
      <c r="R5" s="146">
        <f>MOIC!R4</f>
        <v>10</v>
      </c>
      <c r="S5" s="146">
        <f>MOIC!S4</f>
        <v>11</v>
      </c>
      <c r="T5" s="146">
        <f>MOIC!T4</f>
        <v>12</v>
      </c>
      <c r="U5" s="146">
        <f>MOIC!U4</f>
        <v>13</v>
      </c>
      <c r="V5" s="146">
        <f>MOIC!V4</f>
        <v>14</v>
      </c>
      <c r="W5" s="146">
        <f>MOIC!W4</f>
        <v>15</v>
      </c>
      <c r="X5" s="146">
        <f>MOIC!X4</f>
        <v>16</v>
      </c>
      <c r="Y5" s="146">
        <f>MOIC!Y4</f>
        <v>17</v>
      </c>
      <c r="Z5" s="146">
        <f>MOIC!Z4</f>
        <v>18</v>
      </c>
      <c r="AA5" s="146">
        <f>MOIC!AA4</f>
        <v>19</v>
      </c>
      <c r="AB5" s="146">
        <f>MOIC!AB4</f>
        <v>20</v>
      </c>
      <c r="AC5" s="146">
        <f>MOIC!AC4</f>
        <v>21</v>
      </c>
      <c r="AD5" s="146">
        <f>MOIC!AD4</f>
        <v>22</v>
      </c>
      <c r="AE5" s="146">
        <f>MOIC!AE4</f>
        <v>23</v>
      </c>
      <c r="AF5" s="146">
        <f>MOIC!AF4</f>
        <v>24</v>
      </c>
      <c r="AG5" s="146">
        <f>MOIC!AG4</f>
        <v>25</v>
      </c>
      <c r="AH5" s="146">
        <f>MOIC!AH4</f>
        <v>26</v>
      </c>
      <c r="AI5" s="146">
        <f>MOIC!AI4</f>
        <v>27</v>
      </c>
      <c r="AJ5" s="146">
        <f>MOIC!AJ4</f>
        <v>28</v>
      </c>
      <c r="AK5" s="146">
        <f>MOIC!AK4</f>
        <v>29</v>
      </c>
      <c r="AL5" s="146">
        <f>MOIC!AL4</f>
        <v>30</v>
      </c>
      <c r="AM5" s="146">
        <f>MOIC!AM4</f>
        <v>31</v>
      </c>
      <c r="AN5" s="146">
        <f>MOIC!AN4</f>
        <v>32</v>
      </c>
      <c r="AO5" s="146">
        <f>MOIC!AO4</f>
        <v>33</v>
      </c>
      <c r="AP5" s="146">
        <f>MOIC!AP4</f>
        <v>34</v>
      </c>
      <c r="AQ5" s="146">
        <f>MOIC!AQ4</f>
        <v>35</v>
      </c>
      <c r="AR5" s="146">
        <f>MOIC!AR4</f>
        <v>36</v>
      </c>
      <c r="AS5" s="146">
        <f>MOIC!AS4</f>
        <v>37</v>
      </c>
      <c r="AT5" s="146">
        <f>MOIC!AT4</f>
        <v>38</v>
      </c>
      <c r="AU5" s="146">
        <f>MOIC!AU4</f>
        <v>39</v>
      </c>
      <c r="AV5" s="146">
        <f>MOIC!AV4</f>
        <v>40</v>
      </c>
      <c r="AW5" s="146">
        <f>MOIC!AW4</f>
        <v>41</v>
      </c>
      <c r="AX5" s="146">
        <f>MOIC!AX4</f>
        <v>42</v>
      </c>
      <c r="AY5" s="146">
        <f>MOIC!AY4</f>
        <v>43</v>
      </c>
      <c r="AZ5" s="146">
        <f>MOIC!AZ4</f>
        <v>44</v>
      </c>
      <c r="BA5" s="146">
        <f>MOIC!BA4</f>
        <v>45</v>
      </c>
      <c r="BB5" s="146">
        <f>MOIC!BB4</f>
        <v>46</v>
      </c>
      <c r="BC5" s="146">
        <f>MOIC!BC4</f>
        <v>47</v>
      </c>
      <c r="BD5" s="146">
        <f>MOIC!BD4</f>
        <v>48</v>
      </c>
      <c r="BE5" s="146">
        <f>MOIC!BE4</f>
        <v>49</v>
      </c>
      <c r="BF5" s="146">
        <f>MOIC!BF4</f>
        <v>50</v>
      </c>
      <c r="BG5" s="146">
        <f>MOIC!BG4</f>
        <v>51</v>
      </c>
      <c r="BH5" s="146">
        <f>MOIC!BH4</f>
        <v>52</v>
      </c>
      <c r="BI5" s="146">
        <f>MOIC!BI4</f>
        <v>53</v>
      </c>
      <c r="BJ5" s="146">
        <f>MOIC!BJ4</f>
        <v>54</v>
      </c>
      <c r="BK5" s="146">
        <f>MOIC!BK4</f>
        <v>55</v>
      </c>
      <c r="BL5" s="146">
        <f>MOIC!BL4</f>
        <v>56</v>
      </c>
      <c r="BM5" s="146">
        <f>MOIC!BM4</f>
        <v>57</v>
      </c>
      <c r="BN5" s="146">
        <f>MOIC!BN4</f>
        <v>58</v>
      </c>
      <c r="BO5" s="146">
        <f>MOIC!BO4</f>
        <v>59</v>
      </c>
      <c r="BP5" s="146">
        <f>MOIC!BP4</f>
        <v>60</v>
      </c>
    </row>
    <row r="6" spans="1:68" x14ac:dyDescent="0.25">
      <c r="C6" t="s">
        <v>914</v>
      </c>
      <c r="D6" t="s">
        <v>266</v>
      </c>
      <c r="H6" s="216">
        <f>MOIC!H5</f>
        <v>46234</v>
      </c>
      <c r="I6" s="216">
        <f>MOIC!I5</f>
        <v>46265</v>
      </c>
      <c r="J6" s="216">
        <f>MOIC!J5</f>
        <v>46295</v>
      </c>
      <c r="K6" s="216">
        <f>MOIC!K5</f>
        <v>46326</v>
      </c>
      <c r="L6" s="216">
        <f>MOIC!L5</f>
        <v>46356</v>
      </c>
      <c r="M6" s="216">
        <f>MOIC!M5</f>
        <v>46387</v>
      </c>
      <c r="N6" s="216">
        <f>MOIC!N5</f>
        <v>46418</v>
      </c>
      <c r="O6" s="216">
        <f>MOIC!O5</f>
        <v>46446</v>
      </c>
      <c r="P6" s="216">
        <f>MOIC!P5</f>
        <v>46477</v>
      </c>
      <c r="Q6" s="216">
        <f>MOIC!Q5</f>
        <v>46507</v>
      </c>
      <c r="R6" s="216">
        <f>MOIC!R5</f>
        <v>46538</v>
      </c>
      <c r="S6" s="216">
        <f>MOIC!S5</f>
        <v>46568</v>
      </c>
      <c r="T6" s="216">
        <f>MOIC!T5</f>
        <v>46599</v>
      </c>
      <c r="U6" s="216">
        <f>MOIC!U5</f>
        <v>46630</v>
      </c>
      <c r="V6" s="216">
        <f>MOIC!V5</f>
        <v>46660</v>
      </c>
      <c r="W6" s="216">
        <f>MOIC!W5</f>
        <v>46691</v>
      </c>
      <c r="X6" s="216">
        <f>MOIC!X5</f>
        <v>46721</v>
      </c>
      <c r="Y6" s="216">
        <f>MOIC!Y5</f>
        <v>46752</v>
      </c>
      <c r="Z6" s="216">
        <f>MOIC!Z5</f>
        <v>46783</v>
      </c>
      <c r="AA6" s="216">
        <f>MOIC!AA5</f>
        <v>46812</v>
      </c>
      <c r="AB6" s="216">
        <f>MOIC!AB5</f>
        <v>46843</v>
      </c>
      <c r="AC6" s="216">
        <f>MOIC!AC5</f>
        <v>46873</v>
      </c>
      <c r="AD6" s="216">
        <f>MOIC!AD5</f>
        <v>46904</v>
      </c>
      <c r="AE6" s="216">
        <f>MOIC!AE5</f>
        <v>46934</v>
      </c>
      <c r="AF6" s="216">
        <f>MOIC!AF5</f>
        <v>46965</v>
      </c>
      <c r="AG6" s="216">
        <f>MOIC!AG5</f>
        <v>46996</v>
      </c>
      <c r="AH6" s="216">
        <f>MOIC!AH5</f>
        <v>47026</v>
      </c>
      <c r="AI6" s="216">
        <f>MOIC!AI5</f>
        <v>47057</v>
      </c>
      <c r="AJ6" s="216">
        <f>MOIC!AJ5</f>
        <v>47087</v>
      </c>
      <c r="AK6" s="216">
        <f>MOIC!AK5</f>
        <v>47118</v>
      </c>
      <c r="AL6" s="216">
        <f>MOIC!AL5</f>
        <v>47149</v>
      </c>
      <c r="AM6" s="216">
        <f>MOIC!AM5</f>
        <v>47177</v>
      </c>
      <c r="AN6" s="216">
        <f>MOIC!AN5</f>
        <v>47208</v>
      </c>
      <c r="AO6" s="216">
        <f>MOIC!AO5</f>
        <v>47238</v>
      </c>
      <c r="AP6" s="216">
        <f>MOIC!AP5</f>
        <v>47269</v>
      </c>
      <c r="AQ6" s="216">
        <f>MOIC!AQ5</f>
        <v>47299</v>
      </c>
      <c r="AR6" s="216">
        <f>MOIC!AR5</f>
        <v>47330</v>
      </c>
      <c r="AS6" s="216">
        <f>MOIC!AS5</f>
        <v>47361</v>
      </c>
      <c r="AT6" s="216">
        <f>MOIC!AT5</f>
        <v>47391</v>
      </c>
      <c r="AU6" s="216">
        <f>MOIC!AU5</f>
        <v>47422</v>
      </c>
      <c r="AV6" s="216">
        <f>MOIC!AV5</f>
        <v>47452</v>
      </c>
      <c r="AW6" s="216">
        <f>MOIC!AW5</f>
        <v>47483</v>
      </c>
      <c r="AX6" s="216">
        <f>MOIC!AX5</f>
        <v>47514</v>
      </c>
      <c r="AY6" s="216">
        <f>MOIC!AY5</f>
        <v>47542</v>
      </c>
      <c r="AZ6" s="216">
        <f>MOIC!AZ5</f>
        <v>47573</v>
      </c>
      <c r="BA6" s="216">
        <f>MOIC!BA5</f>
        <v>47603</v>
      </c>
      <c r="BB6" s="216">
        <f>MOIC!BB5</f>
        <v>47634</v>
      </c>
      <c r="BC6" s="216">
        <f>MOIC!BC5</f>
        <v>47664</v>
      </c>
      <c r="BD6" s="216">
        <f>MOIC!BD5</f>
        <v>47695</v>
      </c>
      <c r="BE6" s="216">
        <f>MOIC!BE5</f>
        <v>47726</v>
      </c>
      <c r="BF6" s="216">
        <f>MOIC!BF5</f>
        <v>47756</v>
      </c>
      <c r="BG6" s="216">
        <f>MOIC!BG5</f>
        <v>47787</v>
      </c>
      <c r="BH6" s="216">
        <f>MOIC!BH5</f>
        <v>47817</v>
      </c>
      <c r="BI6" s="216">
        <f>MOIC!BI5</f>
        <v>47848</v>
      </c>
      <c r="BJ6" s="216">
        <f>MOIC!BJ5</f>
        <v>47879</v>
      </c>
      <c r="BK6" s="216">
        <f>MOIC!BK5</f>
        <v>47907</v>
      </c>
      <c r="BL6" s="216">
        <f>MOIC!BL5</f>
        <v>47938</v>
      </c>
      <c r="BM6" s="216">
        <f>MOIC!BM5</f>
        <v>47968</v>
      </c>
      <c r="BN6" s="216">
        <f>MOIC!BN5</f>
        <v>47999</v>
      </c>
      <c r="BO6" s="216">
        <f>MOIC!BO5</f>
        <v>48029</v>
      </c>
      <c r="BP6" s="216">
        <f>MOIC!BP5</f>
        <v>48060</v>
      </c>
    </row>
    <row r="7" spans="1:68" x14ac:dyDescent="0.25">
      <c r="C7" t="s">
        <v>915</v>
      </c>
      <c r="D7" t="s">
        <v>480</v>
      </c>
      <c r="E7" s="217" t="str">
        <f>Inputs!E112</f>
        <v>1M EURIBOR Jul-26</v>
      </c>
      <c r="H7" s="218">
        <f t="shared" ref="H7:AM7" si="0">INDEX(H$9:H$11,MATCH($E$7,$C$9:$C$11,0))</f>
        <v>2.2040000000000001E-2</v>
      </c>
      <c r="I7" s="218">
        <f t="shared" si="0"/>
        <v>2.3033700000000001E-2</v>
      </c>
      <c r="J7" s="218">
        <f t="shared" si="0"/>
        <v>2.39429E-2</v>
      </c>
      <c r="K7" s="218">
        <f t="shared" si="0"/>
        <v>2.4809100000000001E-2</v>
      </c>
      <c r="L7" s="218">
        <f t="shared" si="0"/>
        <v>2.5636900000000001E-2</v>
      </c>
      <c r="M7" s="218">
        <f t="shared" si="0"/>
        <v>2.63515E-2</v>
      </c>
      <c r="N7" s="218">
        <f t="shared" si="0"/>
        <v>2.7014300000000002E-2</v>
      </c>
      <c r="O7" s="218">
        <f t="shared" si="0"/>
        <v>2.7475599999999999E-2</v>
      </c>
      <c r="P7" s="218">
        <f t="shared" si="0"/>
        <v>2.78202E-2</v>
      </c>
      <c r="Q7" s="218">
        <f t="shared" si="0"/>
        <v>2.80983E-2</v>
      </c>
      <c r="R7" s="218">
        <f t="shared" si="0"/>
        <v>2.8281199999999999E-2</v>
      </c>
      <c r="S7" s="218">
        <f t="shared" si="0"/>
        <v>2.83804E-2</v>
      </c>
      <c r="T7" s="218">
        <f t="shared" si="0"/>
        <v>2.8415599999999999E-2</v>
      </c>
      <c r="U7" s="218">
        <f t="shared" si="0"/>
        <v>2.8397800000000001E-2</v>
      </c>
      <c r="V7" s="218">
        <f t="shared" si="0"/>
        <v>2.8338700000000001E-2</v>
      </c>
      <c r="W7" s="218">
        <f t="shared" si="0"/>
        <v>2.8248700000000002E-2</v>
      </c>
      <c r="X7" s="218">
        <f t="shared" si="0"/>
        <v>2.81543E-2</v>
      </c>
      <c r="Y7" s="218">
        <f t="shared" si="0"/>
        <v>2.8056000000000001E-2</v>
      </c>
      <c r="Z7" s="218">
        <f t="shared" si="0"/>
        <v>2.79639E-2</v>
      </c>
      <c r="AA7" s="218">
        <f t="shared" si="0"/>
        <v>2.7895099999999999E-2</v>
      </c>
      <c r="AB7" s="218">
        <f t="shared" si="0"/>
        <v>2.78436E-2</v>
      </c>
      <c r="AC7" s="218">
        <f t="shared" si="0"/>
        <v>2.78026E-2</v>
      </c>
      <c r="AD7" s="218">
        <f t="shared" si="0"/>
        <v>2.7778400000000002E-2</v>
      </c>
      <c r="AE7" s="218">
        <f t="shared" si="0"/>
        <v>2.7765000000000001E-2</v>
      </c>
      <c r="AF7" s="218">
        <f t="shared" si="0"/>
        <v>2.7762800000000001E-2</v>
      </c>
      <c r="AG7" s="218">
        <f t="shared" si="0"/>
        <v>2.7770199999999998E-2</v>
      </c>
      <c r="AH7" s="218">
        <f t="shared" si="0"/>
        <v>2.77875E-2</v>
      </c>
      <c r="AI7" s="218">
        <f t="shared" si="0"/>
        <v>2.78085E-2</v>
      </c>
      <c r="AJ7" s="218">
        <f t="shared" si="0"/>
        <v>2.7837199999999999E-2</v>
      </c>
      <c r="AK7" s="218">
        <f t="shared" si="0"/>
        <v>2.7873499999999999E-2</v>
      </c>
      <c r="AL7" s="218">
        <f t="shared" si="0"/>
        <v>2.7873499999999999E-2</v>
      </c>
      <c r="AM7" s="218">
        <f t="shared" si="0"/>
        <v>2.7873499999999999E-2</v>
      </c>
      <c r="AN7" s="218">
        <f t="shared" ref="AN7:BP7" si="1">INDEX(AN$9:AN$11,MATCH($E$7,$C$9:$C$11,0))</f>
        <v>2.7873499999999999E-2</v>
      </c>
      <c r="AO7" s="218">
        <f t="shared" si="1"/>
        <v>2.7873499999999999E-2</v>
      </c>
      <c r="AP7" s="218">
        <f t="shared" si="1"/>
        <v>2.7873499999999999E-2</v>
      </c>
      <c r="AQ7" s="218">
        <f t="shared" si="1"/>
        <v>2.7873499999999999E-2</v>
      </c>
      <c r="AR7" s="218">
        <f t="shared" si="1"/>
        <v>2.7873499999999999E-2</v>
      </c>
      <c r="AS7" s="218">
        <f t="shared" si="1"/>
        <v>2.7873499999999999E-2</v>
      </c>
      <c r="AT7" s="218">
        <f t="shared" si="1"/>
        <v>2.7873499999999999E-2</v>
      </c>
      <c r="AU7" s="218">
        <f t="shared" si="1"/>
        <v>2.7873499999999999E-2</v>
      </c>
      <c r="AV7" s="218">
        <f t="shared" si="1"/>
        <v>2.7873499999999999E-2</v>
      </c>
      <c r="AW7" s="218">
        <f t="shared" si="1"/>
        <v>2.7873499999999999E-2</v>
      </c>
      <c r="AX7" s="218">
        <f t="shared" si="1"/>
        <v>2.7873499999999999E-2</v>
      </c>
      <c r="AY7" s="218">
        <f t="shared" si="1"/>
        <v>2.7873499999999999E-2</v>
      </c>
      <c r="AZ7" s="218">
        <f t="shared" si="1"/>
        <v>2.7873499999999999E-2</v>
      </c>
      <c r="BA7" s="218">
        <f t="shared" si="1"/>
        <v>2.7873499999999999E-2</v>
      </c>
      <c r="BB7" s="218">
        <f t="shared" si="1"/>
        <v>2.7873499999999999E-2</v>
      </c>
      <c r="BC7" s="218">
        <f t="shared" si="1"/>
        <v>2.7873499999999999E-2</v>
      </c>
      <c r="BD7" s="218">
        <f t="shared" si="1"/>
        <v>2.7873499999999999E-2</v>
      </c>
      <c r="BE7" s="218">
        <f t="shared" si="1"/>
        <v>2.7873499999999999E-2</v>
      </c>
      <c r="BF7" s="218">
        <f t="shared" si="1"/>
        <v>2.7873499999999999E-2</v>
      </c>
      <c r="BG7" s="218">
        <f t="shared" si="1"/>
        <v>2.7873499999999999E-2</v>
      </c>
      <c r="BH7" s="218">
        <f t="shared" si="1"/>
        <v>2.7873499999999999E-2</v>
      </c>
      <c r="BI7" s="218">
        <f t="shared" si="1"/>
        <v>2.7873499999999999E-2</v>
      </c>
      <c r="BJ7" s="218">
        <f t="shared" si="1"/>
        <v>2.7873499999999999E-2</v>
      </c>
      <c r="BK7" s="218">
        <f t="shared" si="1"/>
        <v>2.7873499999999999E-2</v>
      </c>
      <c r="BL7" s="218">
        <f t="shared" si="1"/>
        <v>2.7873499999999999E-2</v>
      </c>
      <c r="BM7" s="218">
        <f t="shared" si="1"/>
        <v>2.7873499999999999E-2</v>
      </c>
      <c r="BN7" s="218">
        <f t="shared" si="1"/>
        <v>2.7873499999999999E-2</v>
      </c>
      <c r="BO7" s="218">
        <f t="shared" si="1"/>
        <v>2.7873499999999999E-2</v>
      </c>
      <c r="BP7" s="218">
        <f t="shared" si="1"/>
        <v>2.7873499999999999E-2</v>
      </c>
    </row>
    <row r="8" spans="1:68" x14ac:dyDescent="0.25">
      <c r="C8" s="198" t="s">
        <v>916</v>
      </c>
      <c r="D8" s="198" t="s">
        <v>381</v>
      </c>
      <c r="E8" s="198" t="s">
        <v>917</v>
      </c>
      <c r="F8" s="198" t="s">
        <v>383</v>
      </c>
      <c r="G8" s="198"/>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row>
    <row r="9" spans="1:68" x14ac:dyDescent="0.25">
      <c r="C9" t="s">
        <v>918</v>
      </c>
      <c r="D9" t="s">
        <v>480</v>
      </c>
      <c r="E9" t="s">
        <v>919</v>
      </c>
      <c r="F9" t="s">
        <v>920</v>
      </c>
      <c r="H9" s="220">
        <v>1.9E-2</v>
      </c>
      <c r="I9" s="220">
        <v>1.8800000000000001E-2</v>
      </c>
      <c r="J9" s="220">
        <v>1.8599999999999998E-2</v>
      </c>
      <c r="K9" s="220">
        <v>1.84E-2</v>
      </c>
      <c r="L9" s="220">
        <v>1.8200000000000001E-2</v>
      </c>
      <c r="M9" s="220">
        <v>1.8100000000000002E-2</v>
      </c>
      <c r="N9" s="220">
        <v>1.7999999999999999E-2</v>
      </c>
      <c r="O9" s="220">
        <v>1.7999999999999999E-2</v>
      </c>
      <c r="P9" s="220">
        <v>1.7999999999999999E-2</v>
      </c>
      <c r="Q9" s="220">
        <v>1.7999999999999999E-2</v>
      </c>
      <c r="R9" s="220">
        <v>1.7999999999999999E-2</v>
      </c>
      <c r="S9" s="220">
        <v>1.8100000000000002E-2</v>
      </c>
      <c r="T9" s="220">
        <v>1.8200000000000001E-2</v>
      </c>
      <c r="U9" s="220">
        <v>1.83E-2</v>
      </c>
      <c r="V9" s="220">
        <v>1.8499999999999999E-2</v>
      </c>
      <c r="W9" s="220">
        <v>1.8599999999999998E-2</v>
      </c>
      <c r="X9" s="220">
        <v>1.8800000000000001E-2</v>
      </c>
      <c r="Y9" s="220">
        <v>1.9E-2</v>
      </c>
      <c r="Z9" s="220">
        <v>1.9199999999999998E-2</v>
      </c>
      <c r="AA9" s="220">
        <v>1.9199999999999998E-2</v>
      </c>
      <c r="AB9" s="220">
        <v>1.9199999999999998E-2</v>
      </c>
      <c r="AC9" s="220">
        <v>1.9199999999999998E-2</v>
      </c>
      <c r="AD9" s="220">
        <v>1.9199999999999998E-2</v>
      </c>
      <c r="AE9" s="220">
        <v>1.9199999999999998E-2</v>
      </c>
      <c r="AF9" s="220">
        <v>1.9199999999999998E-2</v>
      </c>
      <c r="AG9" s="220">
        <v>1.9199999999999998E-2</v>
      </c>
      <c r="AH9" s="220">
        <v>1.9199999999999998E-2</v>
      </c>
      <c r="AI9" s="220">
        <v>1.9199999999999998E-2</v>
      </c>
      <c r="AJ9" s="220">
        <v>1.9199999999999998E-2</v>
      </c>
      <c r="AK9" s="220">
        <v>1.9199999999999998E-2</v>
      </c>
      <c r="AL9" s="220">
        <v>1.9199999999999998E-2</v>
      </c>
      <c r="AM9" s="220">
        <v>1.9199999999999998E-2</v>
      </c>
      <c r="AN9" s="220">
        <v>1.9199999999999998E-2</v>
      </c>
      <c r="AO9" s="220">
        <v>1.9199999999999998E-2</v>
      </c>
      <c r="AP9" s="220">
        <v>1.9199999999999998E-2</v>
      </c>
      <c r="AQ9" s="220">
        <v>1.9199999999999998E-2</v>
      </c>
      <c r="AR9" s="220">
        <v>1.9199999999999998E-2</v>
      </c>
      <c r="AS9" s="220">
        <v>1.9199999999999998E-2</v>
      </c>
      <c r="AT9" s="220">
        <v>1.9199999999999998E-2</v>
      </c>
      <c r="AU9" s="220">
        <v>1.9199999999999998E-2</v>
      </c>
      <c r="AV9" s="220">
        <v>1.9199999999999998E-2</v>
      </c>
      <c r="AW9" s="220">
        <v>1.9199999999999998E-2</v>
      </c>
      <c r="AX9" s="220">
        <v>1.9199999999999998E-2</v>
      </c>
      <c r="AY9" s="220">
        <v>1.9199999999999998E-2</v>
      </c>
      <c r="AZ9" s="220">
        <v>1.9199999999999998E-2</v>
      </c>
      <c r="BA9" s="220">
        <v>1.9199999999999998E-2</v>
      </c>
      <c r="BB9" s="220">
        <v>1.9199999999999998E-2</v>
      </c>
      <c r="BC9" s="220">
        <v>1.9199999999999998E-2</v>
      </c>
      <c r="BD9" s="220">
        <v>1.9199999999999998E-2</v>
      </c>
      <c r="BE9" s="220">
        <v>1.9199999999999998E-2</v>
      </c>
      <c r="BF9" s="220">
        <v>1.9199999999999998E-2</v>
      </c>
      <c r="BG9" s="220">
        <v>1.9199999999999998E-2</v>
      </c>
      <c r="BH9" s="220">
        <v>1.9199999999999998E-2</v>
      </c>
      <c r="BI9" s="220">
        <v>1.9199999999999998E-2</v>
      </c>
      <c r="BJ9" s="220">
        <v>1.9199999999999998E-2</v>
      </c>
      <c r="BK9" s="218">
        <f t="shared" ref="BK9:BP11" si="2">BJ9</f>
        <v>1.9199999999999998E-2</v>
      </c>
      <c r="BL9" s="218">
        <f t="shared" si="2"/>
        <v>1.9199999999999998E-2</v>
      </c>
      <c r="BM9" s="218">
        <f t="shared" si="2"/>
        <v>1.9199999999999998E-2</v>
      </c>
      <c r="BN9" s="218">
        <f t="shared" si="2"/>
        <v>1.9199999999999998E-2</v>
      </c>
      <c r="BO9" s="218">
        <f t="shared" si="2"/>
        <v>1.9199999999999998E-2</v>
      </c>
      <c r="BP9" s="218">
        <f t="shared" si="2"/>
        <v>1.9199999999999998E-2</v>
      </c>
    </row>
    <row r="10" spans="1:68" x14ac:dyDescent="0.25">
      <c r="C10" t="s">
        <v>921</v>
      </c>
      <c r="D10" t="s">
        <v>480</v>
      </c>
      <c r="E10" t="s">
        <v>922</v>
      </c>
      <c r="F10" t="s">
        <v>920</v>
      </c>
      <c r="H10" s="220">
        <v>1.891E-2</v>
      </c>
      <c r="I10" s="220">
        <v>1.8853200000000001E-2</v>
      </c>
      <c r="J10" s="220">
        <v>1.8794600000000002E-2</v>
      </c>
      <c r="K10" s="220">
        <v>1.8743099999999999E-2</v>
      </c>
      <c r="L10" s="220">
        <v>1.86996E-2</v>
      </c>
      <c r="M10" s="220">
        <v>1.86559E-2</v>
      </c>
      <c r="N10" s="220">
        <v>1.86267E-2</v>
      </c>
      <c r="O10" s="220">
        <v>1.8604599999999999E-2</v>
      </c>
      <c r="P10" s="220">
        <v>1.8593599999999998E-2</v>
      </c>
      <c r="Q10" s="220">
        <v>1.8594599999999999E-2</v>
      </c>
      <c r="R10" s="220">
        <v>1.86079E-2</v>
      </c>
      <c r="S10" s="220">
        <v>1.8634299999999999E-2</v>
      </c>
      <c r="T10" s="220">
        <v>1.8672999999999999E-2</v>
      </c>
      <c r="U10" s="220">
        <v>1.8724999999999999E-2</v>
      </c>
      <c r="V10" s="220">
        <v>1.8793500000000001E-2</v>
      </c>
      <c r="W10" s="220">
        <v>1.8877600000000001E-2</v>
      </c>
      <c r="X10" s="220">
        <v>1.8967299999999999E-2</v>
      </c>
      <c r="Y10" s="220">
        <v>1.9086599999999999E-2</v>
      </c>
      <c r="Z10" s="220">
        <v>1.9210499999999998E-2</v>
      </c>
      <c r="AA10" s="220">
        <v>1.9210499999999998E-2</v>
      </c>
      <c r="AB10" s="220">
        <v>1.9210499999999998E-2</v>
      </c>
      <c r="AC10" s="220">
        <v>1.9210499999999998E-2</v>
      </c>
      <c r="AD10" s="220">
        <v>1.9210499999999998E-2</v>
      </c>
      <c r="AE10" s="220">
        <v>1.9210499999999998E-2</v>
      </c>
      <c r="AF10" s="220">
        <v>1.9210499999999998E-2</v>
      </c>
      <c r="AG10" s="220">
        <v>1.9210499999999998E-2</v>
      </c>
      <c r="AH10" s="220">
        <v>1.9210499999999998E-2</v>
      </c>
      <c r="AI10" s="220">
        <v>1.9210499999999998E-2</v>
      </c>
      <c r="AJ10" s="220">
        <v>1.9210499999999998E-2</v>
      </c>
      <c r="AK10" s="220">
        <v>1.9210499999999998E-2</v>
      </c>
      <c r="AL10" s="220">
        <v>1.9210499999999998E-2</v>
      </c>
      <c r="AM10" s="220">
        <v>1.9210499999999998E-2</v>
      </c>
      <c r="AN10" s="220">
        <v>1.9210499999999998E-2</v>
      </c>
      <c r="AO10" s="220">
        <v>1.9210499999999998E-2</v>
      </c>
      <c r="AP10" s="220">
        <v>1.9210499999999998E-2</v>
      </c>
      <c r="AQ10" s="220">
        <v>1.9210499999999998E-2</v>
      </c>
      <c r="AR10" s="220">
        <v>1.9210499999999998E-2</v>
      </c>
      <c r="AS10" s="220">
        <v>1.9210499999999998E-2</v>
      </c>
      <c r="AT10" s="220">
        <v>1.9210499999999998E-2</v>
      </c>
      <c r="AU10" s="220">
        <v>1.9210499999999998E-2</v>
      </c>
      <c r="AV10" s="220">
        <v>1.9210499999999998E-2</v>
      </c>
      <c r="AW10" s="220">
        <v>1.9210499999999998E-2</v>
      </c>
      <c r="AX10" s="220">
        <v>1.9210499999999998E-2</v>
      </c>
      <c r="AY10" s="220">
        <v>1.9210499999999998E-2</v>
      </c>
      <c r="AZ10" s="220">
        <v>1.9210499999999998E-2</v>
      </c>
      <c r="BA10" s="220">
        <v>1.9210499999999998E-2</v>
      </c>
      <c r="BB10" s="220">
        <v>1.9210499999999998E-2</v>
      </c>
      <c r="BC10" s="220">
        <v>1.9210499999999998E-2</v>
      </c>
      <c r="BD10" s="220">
        <v>1.9210499999999998E-2</v>
      </c>
      <c r="BE10" s="220">
        <v>1.9210499999999998E-2</v>
      </c>
      <c r="BF10" s="220">
        <v>1.9210499999999998E-2</v>
      </c>
      <c r="BG10" s="220">
        <v>1.9210499999999998E-2</v>
      </c>
      <c r="BH10" s="220">
        <v>1.9210499999999998E-2</v>
      </c>
      <c r="BI10" s="220">
        <v>1.9210499999999998E-2</v>
      </c>
      <c r="BJ10" s="220">
        <v>1.9210499999999998E-2</v>
      </c>
      <c r="BK10" s="218">
        <f t="shared" si="2"/>
        <v>1.9210499999999998E-2</v>
      </c>
      <c r="BL10" s="218">
        <f t="shared" si="2"/>
        <v>1.9210499999999998E-2</v>
      </c>
      <c r="BM10" s="218">
        <f t="shared" si="2"/>
        <v>1.9210499999999998E-2</v>
      </c>
      <c r="BN10" s="218">
        <f t="shared" si="2"/>
        <v>1.9210499999999998E-2</v>
      </c>
      <c r="BO10" s="218">
        <f t="shared" si="2"/>
        <v>1.9210499999999998E-2</v>
      </c>
      <c r="BP10" s="218">
        <f t="shared" si="2"/>
        <v>1.9210499999999998E-2</v>
      </c>
    </row>
    <row r="11" spans="1:68" x14ac:dyDescent="0.25">
      <c r="C11" t="s">
        <v>573</v>
      </c>
      <c r="D11" t="s">
        <v>480</v>
      </c>
      <c r="E11" t="s">
        <v>923</v>
      </c>
      <c r="F11" t="s">
        <v>920</v>
      </c>
      <c r="H11" s="220">
        <v>2.2040000000000001E-2</v>
      </c>
      <c r="I11" s="220">
        <v>2.3033700000000001E-2</v>
      </c>
      <c r="J11" s="220">
        <v>2.39429E-2</v>
      </c>
      <c r="K11" s="220">
        <v>2.4809100000000001E-2</v>
      </c>
      <c r="L11" s="220">
        <v>2.5636900000000001E-2</v>
      </c>
      <c r="M11" s="220">
        <v>2.63515E-2</v>
      </c>
      <c r="N11" s="220">
        <v>2.7014300000000002E-2</v>
      </c>
      <c r="O11" s="220">
        <v>2.7475599999999999E-2</v>
      </c>
      <c r="P11" s="220">
        <v>2.78202E-2</v>
      </c>
      <c r="Q11" s="220">
        <v>2.80983E-2</v>
      </c>
      <c r="R11" s="220">
        <v>2.8281199999999999E-2</v>
      </c>
      <c r="S11" s="220">
        <v>2.83804E-2</v>
      </c>
      <c r="T11" s="220">
        <v>2.8415599999999999E-2</v>
      </c>
      <c r="U11" s="220">
        <v>2.8397800000000001E-2</v>
      </c>
      <c r="V11" s="220">
        <v>2.8338700000000001E-2</v>
      </c>
      <c r="W11" s="220">
        <v>2.8248700000000002E-2</v>
      </c>
      <c r="X11" s="220">
        <v>2.81543E-2</v>
      </c>
      <c r="Y11" s="220">
        <v>2.8056000000000001E-2</v>
      </c>
      <c r="Z11" s="220">
        <v>2.79639E-2</v>
      </c>
      <c r="AA11" s="220">
        <v>2.7895099999999999E-2</v>
      </c>
      <c r="AB11" s="220">
        <v>2.78436E-2</v>
      </c>
      <c r="AC11" s="220">
        <v>2.78026E-2</v>
      </c>
      <c r="AD11" s="220">
        <v>2.7778400000000002E-2</v>
      </c>
      <c r="AE11" s="220">
        <v>2.7765000000000001E-2</v>
      </c>
      <c r="AF11" s="220">
        <v>2.7762800000000001E-2</v>
      </c>
      <c r="AG11" s="220">
        <v>2.7770199999999998E-2</v>
      </c>
      <c r="AH11" s="220">
        <v>2.77875E-2</v>
      </c>
      <c r="AI11" s="220">
        <v>2.78085E-2</v>
      </c>
      <c r="AJ11" s="220">
        <v>2.7837199999999999E-2</v>
      </c>
      <c r="AK11" s="220">
        <v>2.7873499999999999E-2</v>
      </c>
      <c r="AL11" s="220">
        <v>2.7873499999999999E-2</v>
      </c>
      <c r="AM11" s="220">
        <v>2.7873499999999999E-2</v>
      </c>
      <c r="AN11" s="220">
        <v>2.7873499999999999E-2</v>
      </c>
      <c r="AO11" s="220">
        <v>2.7873499999999999E-2</v>
      </c>
      <c r="AP11" s="220">
        <v>2.7873499999999999E-2</v>
      </c>
      <c r="AQ11" s="220">
        <v>2.7873499999999999E-2</v>
      </c>
      <c r="AR11" s="220">
        <v>2.7873499999999999E-2</v>
      </c>
      <c r="AS11" s="220">
        <v>2.7873499999999999E-2</v>
      </c>
      <c r="AT11" s="220">
        <v>2.7873499999999999E-2</v>
      </c>
      <c r="AU11" s="220">
        <v>2.7873499999999999E-2</v>
      </c>
      <c r="AV11" s="220">
        <v>2.7873499999999999E-2</v>
      </c>
      <c r="AW11" s="220">
        <v>2.7873499999999999E-2</v>
      </c>
      <c r="AX11" s="220">
        <v>2.7873499999999999E-2</v>
      </c>
      <c r="AY11" s="220">
        <v>2.7873499999999999E-2</v>
      </c>
      <c r="AZ11" s="220">
        <v>2.7873499999999999E-2</v>
      </c>
      <c r="BA11" s="220">
        <v>2.7873499999999999E-2</v>
      </c>
      <c r="BB11" s="220">
        <v>2.7873499999999999E-2</v>
      </c>
      <c r="BC11" s="220">
        <v>2.7873499999999999E-2</v>
      </c>
      <c r="BD11" s="220">
        <v>2.7873499999999999E-2</v>
      </c>
      <c r="BE11" s="220">
        <v>2.7873499999999999E-2</v>
      </c>
      <c r="BF11" s="220">
        <v>2.7873499999999999E-2</v>
      </c>
      <c r="BG11" s="220">
        <v>2.7873499999999999E-2</v>
      </c>
      <c r="BH11" s="220">
        <v>2.7873499999999999E-2</v>
      </c>
      <c r="BI11" s="220">
        <v>2.7873499999999999E-2</v>
      </c>
      <c r="BJ11" s="220">
        <v>2.7873499999999999E-2</v>
      </c>
      <c r="BK11" s="218">
        <f t="shared" si="2"/>
        <v>2.7873499999999999E-2</v>
      </c>
      <c r="BL11" s="218">
        <f t="shared" si="2"/>
        <v>2.7873499999999999E-2</v>
      </c>
      <c r="BM11" s="218">
        <f t="shared" si="2"/>
        <v>2.7873499999999999E-2</v>
      </c>
      <c r="BN11" s="218">
        <f t="shared" si="2"/>
        <v>2.7873499999999999E-2</v>
      </c>
      <c r="BO11" s="218">
        <f t="shared" si="2"/>
        <v>2.7873499999999999E-2</v>
      </c>
      <c r="BP11" s="218">
        <f t="shared" si="2"/>
        <v>2.7873499999999999E-2</v>
      </c>
    </row>
    <row r="14" spans="1:68" x14ac:dyDescent="0.25">
      <c r="B14" t="s">
        <v>7</v>
      </c>
      <c r="C14" s="129" t="s">
        <v>924</v>
      </c>
      <c r="D14" s="215"/>
      <c r="E14" s="215"/>
      <c r="F14" s="215"/>
      <c r="G14" s="215"/>
      <c r="H14" s="215"/>
      <c r="I14" s="215"/>
      <c r="J14" s="215"/>
      <c r="K14" s="215"/>
      <c r="L14" s="215"/>
      <c r="M14" s="215"/>
      <c r="N14" s="215"/>
      <c r="O14" s="215"/>
      <c r="P14" s="215"/>
    </row>
    <row r="15" spans="1:68" x14ac:dyDescent="0.25">
      <c r="C15" s="124" t="s">
        <v>925</v>
      </c>
    </row>
    <row r="16" spans="1:68" x14ac:dyDescent="0.25">
      <c r="C16" t="s">
        <v>926</v>
      </c>
      <c r="D16" t="s">
        <v>415</v>
      </c>
      <c r="E16" s="221">
        <f>Inputs!E201</f>
        <v>2</v>
      </c>
      <c r="F16" t="s">
        <v>927</v>
      </c>
    </row>
    <row r="17" spans="3:18" x14ac:dyDescent="0.25">
      <c r="C17" t="s">
        <v>928</v>
      </c>
      <c r="D17" t="s">
        <v>401</v>
      </c>
      <c r="E17" s="222" t="s">
        <v>929</v>
      </c>
      <c r="F17" t="s">
        <v>930</v>
      </c>
    </row>
    <row r="18" spans="3:18" x14ac:dyDescent="0.25">
      <c r="C18" t="s">
        <v>931</v>
      </c>
      <c r="D18" t="s">
        <v>401</v>
      </c>
      <c r="E18" s="222" t="s">
        <v>932</v>
      </c>
      <c r="F18" t="s">
        <v>933</v>
      </c>
    </row>
    <row r="19" spans="3:18" x14ac:dyDescent="0.25">
      <c r="C19" t="s">
        <v>934</v>
      </c>
      <c r="D19" t="s">
        <v>480</v>
      </c>
      <c r="E19" s="223">
        <v>0.02</v>
      </c>
      <c r="F19" t="s">
        <v>935</v>
      </c>
      <c r="G19" s="224">
        <v>2025</v>
      </c>
    </row>
    <row r="20" spans="3:18" ht="45" customHeight="1" x14ac:dyDescent="0.25">
      <c r="C20" s="125" t="s">
        <v>5</v>
      </c>
      <c r="D20" s="125" t="s">
        <v>936</v>
      </c>
      <c r="E20" s="125" t="s">
        <v>937</v>
      </c>
      <c r="F20" s="125" t="s">
        <v>938</v>
      </c>
      <c r="G20" s="125" t="s">
        <v>939</v>
      </c>
      <c r="H20" s="125" t="s">
        <v>940</v>
      </c>
      <c r="I20" s="125" t="s">
        <v>941</v>
      </c>
      <c r="J20" s="125" t="s">
        <v>942</v>
      </c>
      <c r="K20" s="125" t="s">
        <v>943</v>
      </c>
      <c r="L20" s="125" t="s">
        <v>944</v>
      </c>
      <c r="M20" s="225" t="s">
        <v>945</v>
      </c>
      <c r="N20" s="225" t="s">
        <v>946</v>
      </c>
      <c r="O20" s="225" t="s">
        <v>947</v>
      </c>
      <c r="P20" s="225" t="s">
        <v>948</v>
      </c>
      <c r="Q20" s="225" t="s">
        <v>949</v>
      </c>
      <c r="R20" s="225" t="s">
        <v>950</v>
      </c>
    </row>
    <row r="21" spans="3:18" x14ac:dyDescent="0.25">
      <c r="C21" s="226"/>
      <c r="D21" s="226" t="s">
        <v>250</v>
      </c>
      <c r="E21" s="226" t="s">
        <v>250</v>
      </c>
      <c r="F21" s="226" t="s">
        <v>250</v>
      </c>
      <c r="G21" s="226" t="s">
        <v>250</v>
      </c>
      <c r="H21" s="226" t="s">
        <v>250</v>
      </c>
      <c r="I21" s="226" t="s">
        <v>250</v>
      </c>
      <c r="J21" s="226" t="s">
        <v>951</v>
      </c>
      <c r="K21" s="226" t="s">
        <v>951</v>
      </c>
      <c r="L21" s="226" t="s">
        <v>51</v>
      </c>
      <c r="M21" s="226" t="s">
        <v>952</v>
      </c>
      <c r="N21" s="226" t="s">
        <v>952</v>
      </c>
      <c r="O21" s="226" t="s">
        <v>952</v>
      </c>
      <c r="P21" s="226" t="s">
        <v>953</v>
      </c>
      <c r="Q21" s="226" t="s">
        <v>953</v>
      </c>
      <c r="R21" s="226" t="s">
        <v>953</v>
      </c>
    </row>
    <row r="22" spans="3:18" x14ac:dyDescent="0.25">
      <c r="C22">
        <v>2027</v>
      </c>
      <c r="D22" s="227">
        <v>73.88</v>
      </c>
      <c r="E22" s="227">
        <v>119.34</v>
      </c>
      <c r="F22" s="227">
        <v>184.66</v>
      </c>
      <c r="G22" s="227">
        <v>76.680000000000007</v>
      </c>
      <c r="H22" s="227">
        <v>124.38</v>
      </c>
      <c r="I22" s="227">
        <v>190.39</v>
      </c>
      <c r="J22" s="182">
        <f t="array" ref="J22">IF(INDEX(D22:F22,$E$16)="","",INDEX(D22:F22,$E$16)*(1+$E$19)^($C22-$G$19))</f>
        <v>124.16133600000001</v>
      </c>
      <c r="K22" s="182">
        <f t="array" ref="K22">IF(INDEX(G22:I22,$E$16)="","",INDEX(G22:I22,$E$16)*(1+$E$19)^($C22-$G$19))</f>
        <v>129.40495199999998</v>
      </c>
      <c r="L22" s="134">
        <f t="shared" ref="L22:L66" si="3">IF(OR(J22="",K22="",J22=0),"",K22/J22)</f>
        <v>1.042232277526395</v>
      </c>
      <c r="M22" s="223">
        <v>4.8000000000000001E-2</v>
      </c>
      <c r="N22" s="223">
        <v>3.9E-2</v>
      </c>
      <c r="O22" s="223">
        <v>1.4999999999999999E-2</v>
      </c>
      <c r="P22" s="227">
        <v>80.72</v>
      </c>
      <c r="Q22" s="227">
        <v>129.58000000000001</v>
      </c>
      <c r="R22" s="227">
        <v>193.34</v>
      </c>
    </row>
    <row r="23" spans="3:18" x14ac:dyDescent="0.25">
      <c r="C23">
        <v>2028</v>
      </c>
      <c r="D23" s="227">
        <v>70.400000000000006</v>
      </c>
      <c r="E23" s="227">
        <v>110</v>
      </c>
      <c r="F23" s="227">
        <v>160.02000000000001</v>
      </c>
      <c r="G23" s="227">
        <v>75.08</v>
      </c>
      <c r="H23" s="227">
        <v>114.23</v>
      </c>
      <c r="I23" s="227">
        <v>164.62</v>
      </c>
      <c r="J23" s="182">
        <f t="array" ref="J23">IF(INDEX(D23:F23,$E$16)="","",INDEX(D23:F23,$E$16)*(1+$E$19)^($C23-$G$19))</f>
        <v>116.73287999999999</v>
      </c>
      <c r="K23" s="182">
        <f t="array" ref="K23">IF(INDEX(G23:I23,$E$16)="","",INDEX(G23:I23,$E$16)*(1+$E$19)^($C23-$G$19))</f>
        <v>121.22178984</v>
      </c>
      <c r="L23" s="134">
        <f t="shared" si="3"/>
        <v>1.0384545454545455</v>
      </c>
      <c r="M23" s="223">
        <v>3.5000000000000003E-2</v>
      </c>
      <c r="N23" s="223">
        <v>3.4000000000000002E-2</v>
      </c>
      <c r="O23" s="223">
        <v>1.4E-2</v>
      </c>
      <c r="P23" s="227">
        <v>78</v>
      </c>
      <c r="Q23" s="227">
        <v>118.43</v>
      </c>
      <c r="R23" s="227">
        <v>166.96</v>
      </c>
    </row>
    <row r="24" spans="3:18" x14ac:dyDescent="0.25">
      <c r="C24">
        <v>2029</v>
      </c>
      <c r="D24" s="227">
        <v>67.2</v>
      </c>
      <c r="E24" s="227">
        <v>103.08</v>
      </c>
      <c r="F24" s="227">
        <v>147.54</v>
      </c>
      <c r="G24" s="227">
        <v>69.52</v>
      </c>
      <c r="H24" s="227">
        <v>105.66</v>
      </c>
      <c r="I24" s="227">
        <v>150.51</v>
      </c>
      <c r="J24" s="182">
        <f t="array" ref="J24">IF(INDEX(D24:F24,$E$16)="","",INDEX(D24:F24,$E$16)*(1+$E$19)^($C24-$G$19))</f>
        <v>111.5771070528</v>
      </c>
      <c r="K24" s="182">
        <f t="array" ref="K24">IF(INDEX(G24:I24,$E$16)="","",INDEX(G24:I24,$E$16)*(1+$E$19)^($C24-$G$19))</f>
        <v>114.36978202559999</v>
      </c>
      <c r="L24" s="134">
        <f t="shared" si="3"/>
        <v>1.0250291036088475</v>
      </c>
      <c r="M24" s="223">
        <v>0.03</v>
      </c>
      <c r="N24" s="223">
        <v>3.2000000000000001E-2</v>
      </c>
      <c r="O24" s="223">
        <v>0.01</v>
      </c>
      <c r="P24" s="227">
        <v>71.91</v>
      </c>
      <c r="Q24" s="227">
        <v>109.41</v>
      </c>
      <c r="R24" s="227">
        <v>152.07</v>
      </c>
    </row>
    <row r="25" spans="3:18" x14ac:dyDescent="0.25">
      <c r="C25">
        <v>2030</v>
      </c>
      <c r="D25" s="227">
        <v>67.66</v>
      </c>
      <c r="E25" s="227">
        <v>94.89</v>
      </c>
      <c r="F25" s="227">
        <v>131.78</v>
      </c>
      <c r="G25" s="227">
        <v>69.45</v>
      </c>
      <c r="H25" s="227">
        <v>97.72</v>
      </c>
      <c r="I25" s="227">
        <v>135.02000000000001</v>
      </c>
      <c r="J25" s="182">
        <f t="array" ref="J25">IF(INDEX(D25:F25,$E$16)="","",INDEX(D25:F25,$E$16)*(1+$E$19)^($C25-$G$19))</f>
        <v>104.766227415648</v>
      </c>
      <c r="K25" s="182">
        <f t="array" ref="K25">IF(INDEX(G25:I25,$E$16)="","",INDEX(G25:I25,$E$16)*(1+$E$19)^($C25-$G$19))</f>
        <v>107.890776088704</v>
      </c>
      <c r="L25" s="134">
        <f t="shared" si="3"/>
        <v>1.0298240067446516</v>
      </c>
      <c r="M25" s="223">
        <v>2.7E-2</v>
      </c>
      <c r="N25" s="223">
        <v>2.1000000000000001E-2</v>
      </c>
      <c r="O25" s="223">
        <v>6.0000000000000001E-3</v>
      </c>
      <c r="P25" s="227">
        <v>71.569999999999993</v>
      </c>
      <c r="Q25" s="227">
        <v>99.99</v>
      </c>
      <c r="R25" s="227">
        <v>135.96</v>
      </c>
    </row>
    <row r="26" spans="3:18" x14ac:dyDescent="0.25">
      <c r="C26">
        <v>2031</v>
      </c>
      <c r="D26" s="227">
        <v>68.83</v>
      </c>
      <c r="E26" s="227">
        <v>98.51</v>
      </c>
      <c r="F26" s="227">
        <v>132.57</v>
      </c>
      <c r="G26" s="227">
        <v>71.22</v>
      </c>
      <c r="H26" s="227">
        <v>102.77</v>
      </c>
      <c r="I26" s="227">
        <v>135.86000000000001</v>
      </c>
      <c r="J26" s="182">
        <f t="array" ref="J26">IF(INDEX(D26:F26,$E$16)="","",INDEX(D26:F26,$E$16)*(1+$E$19)^($C26-$G$19))</f>
        <v>110.93825992169666</v>
      </c>
      <c r="K26" s="182">
        <f t="array" ref="K26">IF(INDEX(G26:I26,$E$16)="","",INDEX(G26:I26,$E$16)*(1+$E$19)^($C26-$G$19))</f>
        <v>115.73571182776128</v>
      </c>
      <c r="L26" s="134">
        <f t="shared" si="3"/>
        <v>1.0432443406760734</v>
      </c>
      <c r="M26" s="223">
        <v>1.4999999999999999E-2</v>
      </c>
      <c r="N26" s="223">
        <v>2.5999999999999999E-2</v>
      </c>
      <c r="O26" s="223">
        <v>5.0000000000000001E-3</v>
      </c>
      <c r="P26" s="227">
        <v>72.37</v>
      </c>
      <c r="Q26" s="227">
        <v>105.75</v>
      </c>
      <c r="R26" s="227">
        <v>136.51</v>
      </c>
    </row>
    <row r="27" spans="3:18" x14ac:dyDescent="0.25">
      <c r="C27">
        <v>2032</v>
      </c>
      <c r="D27" s="227">
        <v>66.42</v>
      </c>
      <c r="E27" s="227">
        <v>96.1</v>
      </c>
      <c r="F27" s="227">
        <v>123.49</v>
      </c>
      <c r="G27" s="227">
        <v>68.56</v>
      </c>
      <c r="H27" s="227">
        <v>99.64</v>
      </c>
      <c r="I27" s="227">
        <v>126.56</v>
      </c>
      <c r="J27" s="182">
        <f t="array" ref="J27">IF(INDEX(D27:F27,$E$16)="","",INDEX(D27:F27,$E$16)*(1+$E$19)^($C27-$G$19))</f>
        <v>110.38869266109579</v>
      </c>
      <c r="K27" s="182">
        <f t="array" ref="K27">IF(INDEX(G27:I27,$E$16)="","",INDEX(G27:I27,$E$16)*(1+$E$19)^($C27-$G$19))</f>
        <v>114.45503992457424</v>
      </c>
      <c r="L27" s="134">
        <f t="shared" si="3"/>
        <v>1.0368366285119668</v>
      </c>
      <c r="M27" s="223">
        <v>5.0000000000000001E-3</v>
      </c>
      <c r="N27" s="223">
        <v>1.4E-2</v>
      </c>
      <c r="O27" s="223">
        <v>5.0000000000000001E-3</v>
      </c>
      <c r="P27" s="227">
        <v>68.92</v>
      </c>
      <c r="Q27" s="227">
        <v>101.17</v>
      </c>
      <c r="R27" s="227">
        <v>127.15</v>
      </c>
    </row>
    <row r="28" spans="3:18" x14ac:dyDescent="0.25">
      <c r="C28">
        <v>2033</v>
      </c>
      <c r="D28" s="227">
        <v>66.19</v>
      </c>
      <c r="E28" s="227">
        <v>96.72</v>
      </c>
      <c r="F28" s="227">
        <v>122.89</v>
      </c>
      <c r="G28" s="227">
        <v>68.19</v>
      </c>
      <c r="H28" s="227">
        <v>100.09</v>
      </c>
      <c r="I28" s="227">
        <v>126.03</v>
      </c>
      <c r="J28" s="182">
        <f t="array" ref="J28">IF(INDEX(D28:F28,$E$16)="","",INDEX(D28:F28,$E$16)*(1+$E$19)^($C28-$G$19))</f>
        <v>113.32289533053913</v>
      </c>
      <c r="K28" s="182">
        <f t="array" ref="K28">IF(INDEX(G28:I28,$E$16)="","",INDEX(G28:I28,$E$16)*(1+$E$19)^($C28-$G$19))</f>
        <v>117.27138744451676</v>
      </c>
      <c r="L28" s="134">
        <f t="shared" si="3"/>
        <v>1.0348428453267162</v>
      </c>
      <c r="M28" s="223">
        <v>4.0000000000000001E-3</v>
      </c>
      <c r="N28" s="223">
        <v>1.7000000000000001E-2</v>
      </c>
      <c r="O28" s="223">
        <v>2E-3</v>
      </c>
      <c r="P28" s="227">
        <v>68.45</v>
      </c>
      <c r="Q28" s="227">
        <v>101.91</v>
      </c>
      <c r="R28" s="227">
        <v>126.36</v>
      </c>
    </row>
    <row r="29" spans="3:18" x14ac:dyDescent="0.25">
      <c r="C29">
        <v>2034</v>
      </c>
      <c r="D29" s="227">
        <v>62.4</v>
      </c>
      <c r="E29" s="227">
        <v>93.13</v>
      </c>
      <c r="F29" s="227">
        <v>116.85</v>
      </c>
      <c r="G29" s="227">
        <v>64.510000000000005</v>
      </c>
      <c r="H29" s="227">
        <v>96.3</v>
      </c>
      <c r="I29" s="227">
        <v>119.86</v>
      </c>
      <c r="J29" s="182">
        <f t="array" ref="J29">IF(INDEX(D29:F29,$E$16)="","",INDEX(D29:F29,$E$16)*(1+$E$19)^($C29-$G$19))</f>
        <v>111.29897091579581</v>
      </c>
      <c r="K29" s="182">
        <f t="array" ref="K29">IF(INDEX(G29:I29,$E$16)="","",INDEX(G29:I29,$E$16)*(1+$E$19)^($C29-$G$19))</f>
        <v>115.08741435832853</v>
      </c>
      <c r="L29" s="134">
        <f t="shared" si="3"/>
        <v>1.0340384408890797</v>
      </c>
      <c r="M29" s="223">
        <v>2E-3</v>
      </c>
      <c r="N29" s="223">
        <v>4.0000000000000001E-3</v>
      </c>
      <c r="O29" s="223">
        <v>1E-3</v>
      </c>
      <c r="P29" s="227">
        <v>64.650000000000006</v>
      </c>
      <c r="Q29" s="227">
        <v>96.69</v>
      </c>
      <c r="R29" s="227">
        <v>119.95</v>
      </c>
    </row>
    <row r="30" spans="3:18" x14ac:dyDescent="0.25">
      <c r="C30">
        <v>2035</v>
      </c>
      <c r="D30" s="227">
        <v>61.87</v>
      </c>
      <c r="E30" s="227">
        <v>92.97</v>
      </c>
      <c r="F30" s="227">
        <v>115.61</v>
      </c>
      <c r="G30" s="227">
        <v>63.86</v>
      </c>
      <c r="H30" s="227">
        <v>96.08</v>
      </c>
      <c r="I30" s="227">
        <v>118.57</v>
      </c>
      <c r="J30" s="182">
        <f t="array" ref="J30">IF(INDEX(D30:F30,$E$16)="","",INDEX(D30:F30,$E$16)*(1+$E$19)^($C30-$G$19))</f>
        <v>113.32991122691257</v>
      </c>
      <c r="K30" s="182">
        <f t="array" ref="K30">IF(INDEX(G30:I30,$E$16)="","",INDEX(G30:I30,$E$16)*(1+$E$19)^($C30-$G$19))</f>
        <v>117.12098387309626</v>
      </c>
      <c r="L30" s="134">
        <f t="shared" si="3"/>
        <v>1.0334516510702376</v>
      </c>
      <c r="M30" s="223">
        <v>3.0000000000000001E-3</v>
      </c>
      <c r="N30" s="223">
        <v>1E-3</v>
      </c>
      <c r="O30" s="223">
        <v>1E-3</v>
      </c>
      <c r="P30" s="227">
        <v>64.06</v>
      </c>
      <c r="Q30" s="227">
        <v>96.21</v>
      </c>
      <c r="R30" s="227">
        <v>118.67</v>
      </c>
    </row>
    <row r="31" spans="3:18" x14ac:dyDescent="0.25">
      <c r="C31">
        <v>2036</v>
      </c>
      <c r="D31" s="227">
        <v>62.29</v>
      </c>
      <c r="E31" s="227">
        <v>93.04</v>
      </c>
      <c r="F31" s="227">
        <v>116.98</v>
      </c>
      <c r="G31" s="227">
        <v>64.209999999999994</v>
      </c>
      <c r="H31" s="227">
        <v>96.19</v>
      </c>
      <c r="I31" s="227">
        <v>120.17</v>
      </c>
      <c r="J31" s="182">
        <f t="array" ref="J31">IF(INDEX(D31:F31,$E$16)="","",INDEX(D31:F31,$E$16)*(1+$E$19)^($C31-$G$19))</f>
        <v>115.68354565303844</v>
      </c>
      <c r="K31" s="182">
        <f t="array" ref="K31">IF(INDEX(G31:I31,$E$16)="","",INDEX(G31:I31,$E$16)*(1+$E$19)^($C31-$G$19))</f>
        <v>119.60017472448158</v>
      </c>
      <c r="L31" s="134">
        <f t="shared" si="3"/>
        <v>1.0338564058469475</v>
      </c>
      <c r="M31" s="223">
        <v>0</v>
      </c>
      <c r="N31" s="223">
        <v>1E-3</v>
      </c>
      <c r="O31" s="223">
        <v>0</v>
      </c>
      <c r="P31" s="227">
        <v>64.209999999999994</v>
      </c>
      <c r="Q31" s="227">
        <v>96.26</v>
      </c>
      <c r="R31" s="227">
        <v>120.17</v>
      </c>
    </row>
    <row r="32" spans="3:18" x14ac:dyDescent="0.25">
      <c r="C32">
        <v>2037</v>
      </c>
      <c r="D32" s="227">
        <v>64.78</v>
      </c>
      <c r="E32" s="227">
        <v>96.63</v>
      </c>
      <c r="F32" s="227">
        <v>121.54</v>
      </c>
      <c r="G32" s="227">
        <v>66.78</v>
      </c>
      <c r="H32" s="227">
        <v>99.52</v>
      </c>
      <c r="I32" s="227">
        <v>124.51</v>
      </c>
      <c r="J32" s="182">
        <f t="array" ref="J32">IF(INDEX(D32:F32,$E$16)="","",INDEX(D32:F32,$E$16)*(1+$E$19)^($C32-$G$19))</f>
        <v>122.55020460857874</v>
      </c>
      <c r="K32" s="182">
        <f t="array" ref="K32">IF(INDEX(G32:I32,$E$16)="","",INDEX(G32:I32,$E$16)*(1+$E$19)^($C32-$G$19))</f>
        <v>126.2154233948645</v>
      </c>
      <c r="L32" s="134">
        <f t="shared" si="3"/>
        <v>1.0299078960985202</v>
      </c>
      <c r="M32" s="223">
        <v>0</v>
      </c>
      <c r="N32" s="223">
        <v>1E-3</v>
      </c>
      <c r="O32" s="223">
        <v>0</v>
      </c>
      <c r="P32" s="227">
        <v>66.78</v>
      </c>
      <c r="Q32" s="227">
        <v>99.59</v>
      </c>
      <c r="R32" s="227">
        <v>124.51</v>
      </c>
    </row>
    <row r="33" spans="3:18" x14ac:dyDescent="0.25">
      <c r="C33">
        <v>2038</v>
      </c>
      <c r="D33" s="227">
        <v>64.13</v>
      </c>
      <c r="E33" s="227">
        <v>95.76</v>
      </c>
      <c r="F33" s="227">
        <v>121.06</v>
      </c>
      <c r="G33" s="227">
        <v>66.099999999999994</v>
      </c>
      <c r="H33" s="227">
        <v>98.19</v>
      </c>
      <c r="I33" s="227">
        <v>123.84</v>
      </c>
      <c r="J33" s="182">
        <f t="array" ref="J33">IF(INDEX(D33:F33,$E$16)="","",INDEX(D33:F33,$E$16)*(1+$E$19)^($C33-$G$19))</f>
        <v>123.87577093225552</v>
      </c>
      <c r="K33" s="182">
        <f t="array" ref="K33">IF(INDEX(G33:I33,$E$16)="","",INDEX(G33:I33,$E$16)*(1+$E$19)^($C33-$G$19))</f>
        <v>127.01923504425824</v>
      </c>
      <c r="L33" s="134">
        <f t="shared" si="3"/>
        <v>1.0253759398496241</v>
      </c>
      <c r="M33" s="223">
        <v>0</v>
      </c>
      <c r="N33" s="223">
        <v>0</v>
      </c>
      <c r="O33" s="223">
        <v>0</v>
      </c>
      <c r="P33" s="227">
        <v>66.099999999999994</v>
      </c>
      <c r="Q33" s="227">
        <v>98.22</v>
      </c>
      <c r="R33" s="227">
        <v>123.84</v>
      </c>
    </row>
    <row r="34" spans="3:18" x14ac:dyDescent="0.25">
      <c r="C34">
        <v>2039</v>
      </c>
      <c r="D34" s="227">
        <v>63.62</v>
      </c>
      <c r="E34" s="227">
        <v>95.26</v>
      </c>
      <c r="F34" s="227">
        <v>120.23</v>
      </c>
      <c r="G34" s="227">
        <v>65.569999999999993</v>
      </c>
      <c r="H34" s="227">
        <v>97.68</v>
      </c>
      <c r="I34" s="227">
        <v>123.04</v>
      </c>
      <c r="J34" s="182">
        <f t="array" ref="J34">IF(INDEX(D34:F34,$E$16)="","",INDEX(D34:F34,$E$16)*(1+$E$19)^($C34-$G$19))</f>
        <v>125.69354696936921</v>
      </c>
      <c r="K34" s="182">
        <f t="array" ref="K34">IF(INDEX(G34:I34,$E$16)="","",INDEX(G34:I34,$E$16)*(1+$E$19)^($C34-$G$19))</f>
        <v>128.88668557598137</v>
      </c>
      <c r="L34" s="134">
        <f t="shared" si="3"/>
        <v>1.0254041570438801</v>
      </c>
      <c r="M34" s="223">
        <v>0</v>
      </c>
      <c r="N34" s="223">
        <v>1E-3</v>
      </c>
      <c r="O34" s="223">
        <v>0</v>
      </c>
      <c r="P34" s="227">
        <v>65.569999999999993</v>
      </c>
      <c r="Q34" s="227">
        <v>97.76</v>
      </c>
      <c r="R34" s="227">
        <v>123.06</v>
      </c>
    </row>
    <row r="35" spans="3:18" x14ac:dyDescent="0.25">
      <c r="C35">
        <v>2040</v>
      </c>
      <c r="D35" s="227">
        <v>62.43</v>
      </c>
      <c r="E35" s="227">
        <v>93.94</v>
      </c>
      <c r="F35" s="227">
        <v>118.78</v>
      </c>
      <c r="G35" s="227">
        <v>64.41</v>
      </c>
      <c r="H35" s="227">
        <v>96.54</v>
      </c>
      <c r="I35" s="227">
        <v>121.65</v>
      </c>
      <c r="J35" s="182">
        <f t="array" ref="J35">IF(INDEX(D35:F35,$E$16)="","",INDEX(D35:F35,$E$16)*(1+$E$19)^($C35-$G$19))</f>
        <v>126.4308717021687</v>
      </c>
      <c r="K35" s="182">
        <f t="array" ref="K35">IF(INDEX(G35:I35,$E$16)="","",INDEX(G35:I35,$E$16)*(1+$E$19)^($C35-$G$19))</f>
        <v>129.93012938181144</v>
      </c>
      <c r="L35" s="134">
        <f t="shared" si="3"/>
        <v>1.027677240791995</v>
      </c>
      <c r="M35" s="223">
        <v>0</v>
      </c>
      <c r="N35" s="223">
        <v>1E-3</v>
      </c>
      <c r="O35" s="223">
        <v>0</v>
      </c>
      <c r="P35" s="227">
        <v>64.430000000000007</v>
      </c>
      <c r="Q35" s="227">
        <v>96.61</v>
      </c>
      <c r="R35" s="227">
        <v>121.65</v>
      </c>
    </row>
    <row r="36" spans="3:18" x14ac:dyDescent="0.25">
      <c r="C36">
        <v>2041</v>
      </c>
      <c r="D36" s="227">
        <v>61.25</v>
      </c>
      <c r="E36" s="227">
        <v>92.79</v>
      </c>
      <c r="F36" s="227">
        <v>116.93</v>
      </c>
      <c r="G36" s="227">
        <v>63.39</v>
      </c>
      <c r="H36" s="227">
        <v>95.35</v>
      </c>
      <c r="I36" s="227">
        <v>119.59</v>
      </c>
      <c r="J36" s="182">
        <f t="array" ref="J36">IF(INDEX(D36:F36,$E$16)="","",INDEX(D36:F36,$E$16)*(1+$E$19)^($C36-$G$19))</f>
        <v>127.3807855753579</v>
      </c>
      <c r="K36" s="182">
        <f t="array" ref="K36">IF(INDEX(G36:I36,$E$16)="","",INDEX(G36:I36,$E$16)*(1+$E$19)^($C36-$G$19))</f>
        <v>130.89511698038984</v>
      </c>
      <c r="L36" s="134">
        <f t="shared" si="3"/>
        <v>1.0275891798685202</v>
      </c>
      <c r="M36" s="223">
        <v>0</v>
      </c>
      <c r="N36" s="223">
        <v>0</v>
      </c>
      <c r="O36" s="223">
        <v>0</v>
      </c>
      <c r="P36" s="227">
        <v>63.4</v>
      </c>
      <c r="Q36" s="227">
        <v>95.39</v>
      </c>
      <c r="R36" s="227">
        <v>119.59</v>
      </c>
    </row>
    <row r="37" spans="3:18" x14ac:dyDescent="0.25">
      <c r="C37">
        <v>2042</v>
      </c>
      <c r="D37" s="227">
        <v>61.49</v>
      </c>
      <c r="E37" s="227">
        <v>93.62</v>
      </c>
      <c r="F37" s="227">
        <v>118.97</v>
      </c>
      <c r="G37" s="227">
        <v>63.61</v>
      </c>
      <c r="H37" s="227">
        <v>96.15</v>
      </c>
      <c r="I37" s="227">
        <v>121.62</v>
      </c>
      <c r="J37" s="182">
        <f t="array" ref="J37">IF(INDEX(D37:F37,$E$16)="","",INDEX(D37:F37,$E$16)*(1+$E$19)^($C37-$G$19))</f>
        <v>131.09060166479478</v>
      </c>
      <c r="K37" s="182">
        <f t="array" ref="K37">IF(INDEX(G37:I37,$E$16)="","",INDEX(G37:I37,$E$16)*(1+$E$19)^($C37-$G$19))</f>
        <v>134.63321245535161</v>
      </c>
      <c r="L37" s="134">
        <f t="shared" si="3"/>
        <v>1.0270241401409956</v>
      </c>
      <c r="M37" s="223">
        <v>0</v>
      </c>
      <c r="N37" s="223">
        <v>1E-3</v>
      </c>
      <c r="O37" s="223">
        <v>0</v>
      </c>
      <c r="P37" s="227">
        <v>63.61</v>
      </c>
      <c r="Q37" s="227">
        <v>96.21</v>
      </c>
      <c r="R37" s="227">
        <v>121.65</v>
      </c>
    </row>
    <row r="38" spans="3:18" x14ac:dyDescent="0.25">
      <c r="C38">
        <v>2043</v>
      </c>
      <c r="D38" s="227">
        <v>61.04</v>
      </c>
      <c r="E38" s="227">
        <v>93.93</v>
      </c>
      <c r="F38" s="227">
        <v>119.85</v>
      </c>
      <c r="G38" s="227">
        <v>63.2</v>
      </c>
      <c r="H38" s="227">
        <v>96.35</v>
      </c>
      <c r="I38" s="227">
        <v>122.31</v>
      </c>
      <c r="J38" s="182">
        <f t="array" ref="J38">IF(INDEX(D38:F38,$E$16)="","",INDEX(D38:F38,$E$16)*(1+$E$19)^($C38-$G$19))</f>
        <v>134.1551700348393</v>
      </c>
      <c r="K38" s="182">
        <f t="array" ref="K38">IF(INDEX(G38:I38,$E$16)="","",INDEX(G38:I38,$E$16)*(1+$E$19)^($C38-$G$19))</f>
        <v>137.61152595397388</v>
      </c>
      <c r="L38" s="134">
        <f t="shared" si="3"/>
        <v>1.0257638667092517</v>
      </c>
      <c r="M38" s="223">
        <v>0</v>
      </c>
      <c r="N38" s="223">
        <v>1E-3</v>
      </c>
      <c r="O38" s="223">
        <v>0</v>
      </c>
      <c r="P38" s="227">
        <v>63.21</v>
      </c>
      <c r="Q38" s="227">
        <v>96.47</v>
      </c>
      <c r="R38" s="227">
        <v>122.31</v>
      </c>
    </row>
    <row r="39" spans="3:18" x14ac:dyDescent="0.25">
      <c r="C39">
        <v>2044</v>
      </c>
      <c r="D39" s="227">
        <v>60.1</v>
      </c>
      <c r="E39" s="227">
        <v>93.16</v>
      </c>
      <c r="F39" s="227">
        <v>119.77</v>
      </c>
      <c r="G39" s="227">
        <v>62.18</v>
      </c>
      <c r="H39" s="227">
        <v>95.6</v>
      </c>
      <c r="I39" s="227">
        <v>121.66</v>
      </c>
      <c r="J39" s="182">
        <f t="array" ref="J39">IF(INDEX(D39:F39,$E$16)="","",INDEX(D39:F39,$E$16)*(1+$E$19)^($C39-$G$19))</f>
        <v>135.71652883268968</v>
      </c>
      <c r="K39" s="182">
        <f t="array" ref="K39">IF(INDEX(G39:I39,$E$16)="","",INDEX(G39:I39,$E$16)*(1+$E$19)^($C39-$G$19))</f>
        <v>139.2711480936575</v>
      </c>
      <c r="L39" s="134">
        <f t="shared" si="3"/>
        <v>1.0261914984972091</v>
      </c>
      <c r="M39" s="223">
        <v>0</v>
      </c>
      <c r="N39" s="223">
        <v>0</v>
      </c>
      <c r="O39" s="223">
        <v>0</v>
      </c>
      <c r="P39" s="227">
        <v>62.21</v>
      </c>
      <c r="Q39" s="227">
        <v>95.65</v>
      </c>
      <c r="R39" s="227">
        <v>121.66</v>
      </c>
    </row>
    <row r="40" spans="3:18" x14ac:dyDescent="0.25">
      <c r="C40">
        <v>2045</v>
      </c>
      <c r="D40" s="227">
        <v>60.8</v>
      </c>
      <c r="E40" s="227">
        <v>94.99</v>
      </c>
      <c r="F40" s="227">
        <v>123.03</v>
      </c>
      <c r="G40" s="227">
        <v>62.87</v>
      </c>
      <c r="H40" s="227">
        <v>97.18</v>
      </c>
      <c r="I40" s="227">
        <v>124.23</v>
      </c>
      <c r="J40" s="182">
        <f t="array" ref="J40">IF(INDEX(D40:F40,$E$16)="","",INDEX(D40:F40,$E$16)*(1+$E$19)^($C40-$G$19))</f>
        <v>141.15014314398385</v>
      </c>
      <c r="K40" s="182">
        <f t="array" ref="K40">IF(INDEX(G40:I40,$E$16)="","",INDEX(G40:I40,$E$16)*(1+$E$19)^($C40-$G$19))</f>
        <v>144.40436794117647</v>
      </c>
      <c r="L40" s="134">
        <f t="shared" si="3"/>
        <v>1.0230550584272031</v>
      </c>
      <c r="M40" s="223">
        <v>0</v>
      </c>
      <c r="N40" s="223">
        <v>0</v>
      </c>
      <c r="O40" s="223">
        <v>0</v>
      </c>
      <c r="P40" s="227">
        <v>62.87</v>
      </c>
      <c r="Q40" s="227">
        <v>97.21</v>
      </c>
      <c r="R40" s="227">
        <v>124.23</v>
      </c>
    </row>
    <row r="41" spans="3:18" x14ac:dyDescent="0.25">
      <c r="C41">
        <v>2046</v>
      </c>
      <c r="D41" s="227">
        <v>60.04</v>
      </c>
      <c r="E41" s="227">
        <v>95.37</v>
      </c>
      <c r="F41" s="227">
        <v>123.78</v>
      </c>
      <c r="G41" s="227">
        <v>61.93</v>
      </c>
      <c r="H41" s="227">
        <v>97.34</v>
      </c>
      <c r="I41" s="227">
        <v>124.08</v>
      </c>
      <c r="J41" s="182">
        <f t="array" ref="J41">IF(INDEX(D41:F41,$E$16)="","",INDEX(D41:F41,$E$16)*(1+$E$19)^($C41-$G$19))</f>
        <v>144.54909921754475</v>
      </c>
      <c r="K41" s="182">
        <f t="array" ref="K41">IF(INDEX(G41:I41,$E$16)="","",INDEX(G41:I41,$E$16)*(1+$E$19)^($C41-$G$19))</f>
        <v>147.53496191502364</v>
      </c>
      <c r="L41" s="134">
        <f t="shared" si="3"/>
        <v>1.0206563908986053</v>
      </c>
      <c r="M41" s="223">
        <v>0</v>
      </c>
      <c r="N41" s="223">
        <v>0</v>
      </c>
      <c r="O41" s="223">
        <v>0</v>
      </c>
      <c r="P41" s="227">
        <v>61.93</v>
      </c>
      <c r="Q41" s="227">
        <v>97.34</v>
      </c>
      <c r="R41" s="227">
        <v>124.08</v>
      </c>
    </row>
    <row r="42" spans="3:18" x14ac:dyDescent="0.25">
      <c r="C42">
        <v>2047</v>
      </c>
      <c r="D42" s="227">
        <v>59.52</v>
      </c>
      <c r="E42" s="227">
        <v>95.19</v>
      </c>
      <c r="F42" s="227">
        <v>124.41</v>
      </c>
      <c r="G42" s="227">
        <v>61.33</v>
      </c>
      <c r="H42" s="227">
        <v>97.12</v>
      </c>
      <c r="I42" s="227">
        <v>124.15</v>
      </c>
      <c r="J42" s="182">
        <f t="array" ref="J42">IF(INDEX(D42:F42,$E$16)="","",INDEX(D42:F42,$E$16)*(1+$E$19)^($C42-$G$19))</f>
        <v>147.16180486115599</v>
      </c>
      <c r="K42" s="182">
        <f t="array" ref="K42">IF(INDEX(G42:I42,$E$16)="","",INDEX(G42:I42,$E$16)*(1+$E$19)^($C42-$G$19))</f>
        <v>150.14554562575344</v>
      </c>
      <c r="L42" s="134">
        <f t="shared" si="3"/>
        <v>1.0202752389956928</v>
      </c>
      <c r="M42" s="223">
        <v>0</v>
      </c>
      <c r="N42" s="223">
        <v>0</v>
      </c>
      <c r="O42" s="223">
        <v>0</v>
      </c>
      <c r="P42" s="227">
        <v>61.33</v>
      </c>
      <c r="Q42" s="227">
        <v>97.12</v>
      </c>
      <c r="R42" s="227">
        <v>124.15</v>
      </c>
    </row>
    <row r="43" spans="3:18" x14ac:dyDescent="0.25">
      <c r="C43">
        <v>2048</v>
      </c>
      <c r="D43" s="227">
        <v>58.44</v>
      </c>
      <c r="E43" s="227">
        <v>93.3</v>
      </c>
      <c r="F43" s="227">
        <v>123.24</v>
      </c>
      <c r="G43" s="227">
        <v>60.24</v>
      </c>
      <c r="H43" s="227">
        <v>95.36</v>
      </c>
      <c r="I43" s="227">
        <v>122.51</v>
      </c>
      <c r="J43" s="182">
        <f t="array" ref="J43">IF(INDEX(D43:F43,$E$16)="","",INDEX(D43:F43,$E$16)*(1+$E$19)^($C43-$G$19))</f>
        <v>147.12470134905735</v>
      </c>
      <c r="K43" s="182">
        <f t="array" ref="K43">IF(INDEX(G43:I43,$E$16)="","",INDEX(G43:I43,$E$16)*(1+$E$19)^($C43-$G$19))</f>
        <v>150.37311383329163</v>
      </c>
      <c r="L43" s="134">
        <f t="shared" si="3"/>
        <v>1.0220793140407289</v>
      </c>
      <c r="M43" s="223">
        <v>0</v>
      </c>
      <c r="N43" s="223">
        <v>0</v>
      </c>
      <c r="O43" s="223">
        <v>0</v>
      </c>
      <c r="P43" s="227">
        <v>60.24</v>
      </c>
      <c r="Q43" s="227">
        <v>95.36</v>
      </c>
      <c r="R43" s="227">
        <v>122.51</v>
      </c>
    </row>
    <row r="44" spans="3:18" x14ac:dyDescent="0.25">
      <c r="C44">
        <v>2049</v>
      </c>
      <c r="D44" s="227">
        <v>57.91</v>
      </c>
      <c r="E44" s="227">
        <v>93.51</v>
      </c>
      <c r="F44" s="227">
        <v>124.49</v>
      </c>
      <c r="G44" s="227">
        <v>59.59</v>
      </c>
      <c r="H44" s="227">
        <v>95.45</v>
      </c>
      <c r="I44" s="227">
        <v>122.99</v>
      </c>
      <c r="J44" s="182">
        <f t="array" ref="J44">IF(INDEX(D44:F44,$E$16)="","",INDEX(D44:F44,$E$16)*(1+$E$19)^($C44-$G$19))</f>
        <v>150.4049671984283</v>
      </c>
      <c r="K44" s="182">
        <f t="array" ref="K44">IF(INDEX(G44:I44,$E$16)="","",INDEX(G44:I44,$E$16)*(1+$E$19)^($C44-$G$19))</f>
        <v>153.52533546241023</v>
      </c>
      <c r="L44" s="134">
        <f t="shared" si="3"/>
        <v>1.0207464442305636</v>
      </c>
      <c r="M44" s="223">
        <v>0</v>
      </c>
      <c r="N44" s="223">
        <v>0</v>
      </c>
      <c r="O44" s="223">
        <v>0</v>
      </c>
      <c r="P44" s="227">
        <v>59.59</v>
      </c>
      <c r="Q44" s="227">
        <v>95.45</v>
      </c>
      <c r="R44" s="227">
        <v>122.99</v>
      </c>
    </row>
    <row r="45" spans="3:18" x14ac:dyDescent="0.25">
      <c r="C45">
        <v>2050</v>
      </c>
      <c r="D45" s="227">
        <v>56.56</v>
      </c>
      <c r="E45" s="227">
        <v>92.38</v>
      </c>
      <c r="F45" s="227">
        <v>122.91</v>
      </c>
      <c r="G45" s="227">
        <v>58.15</v>
      </c>
      <c r="H45" s="227">
        <v>94.24</v>
      </c>
      <c r="I45" s="227">
        <v>120.71</v>
      </c>
      <c r="J45" s="182">
        <f t="array" ref="J45">IF(INDEX(D45:F45,$E$16)="","",INDEX(D45:F45,$E$16)*(1+$E$19)^($C45-$G$19))</f>
        <v>151.55918176865171</v>
      </c>
      <c r="K45" s="182">
        <f t="array" ref="K45">IF(INDEX(G45:I45,$E$16)="","",INDEX(G45:I45,$E$16)*(1+$E$19)^($C45-$G$19))</f>
        <v>154.6107089183561</v>
      </c>
      <c r="L45" s="134">
        <f t="shared" si="3"/>
        <v>1.0201342281879193</v>
      </c>
      <c r="M45" s="223">
        <v>0</v>
      </c>
      <c r="N45" s="223">
        <v>0</v>
      </c>
      <c r="O45" s="223">
        <v>0</v>
      </c>
      <c r="P45" s="227">
        <v>58.15</v>
      </c>
      <c r="Q45" s="227">
        <v>94.24</v>
      </c>
      <c r="R45" s="227">
        <v>120.71</v>
      </c>
    </row>
    <row r="46" spans="3:18" x14ac:dyDescent="0.25">
      <c r="C46">
        <v>2051</v>
      </c>
      <c r="D46" s="227">
        <v>56.08</v>
      </c>
      <c r="E46" s="227">
        <v>91.45</v>
      </c>
      <c r="F46" s="227">
        <v>119.47</v>
      </c>
      <c r="G46" s="227">
        <v>57.56</v>
      </c>
      <c r="H46" s="227">
        <v>93.24</v>
      </c>
      <c r="I46" s="227">
        <v>116.32</v>
      </c>
      <c r="J46" s="182">
        <f t="array" ref="J46">IF(INDEX(D46:F46,$E$16)="","",INDEX(D46:F46,$E$16)*(1+$E$19)^($C46-$G$19))</f>
        <v>153.03408655767552</v>
      </c>
      <c r="K46" s="182">
        <f t="array" ref="K46">IF(INDEX(G46:I46,$E$16)="","",INDEX(G46:I46,$E$16)*(1+$E$19)^($C46-$G$19))</f>
        <v>156.02950498236922</v>
      </c>
      <c r="L46" s="134">
        <f t="shared" si="3"/>
        <v>1.0195735374521595</v>
      </c>
      <c r="M46" s="223">
        <v>0</v>
      </c>
      <c r="N46" s="223">
        <v>0</v>
      </c>
      <c r="O46" s="223">
        <v>0</v>
      </c>
      <c r="P46" s="227">
        <v>57.56</v>
      </c>
      <c r="Q46" s="227">
        <v>93.24</v>
      </c>
      <c r="R46" s="227">
        <v>116.32</v>
      </c>
    </row>
    <row r="47" spans="3:18" x14ac:dyDescent="0.25">
      <c r="C47">
        <v>2052</v>
      </c>
      <c r="D47" s="227">
        <v>55.19</v>
      </c>
      <c r="E47" s="227">
        <v>89.7</v>
      </c>
      <c r="F47" s="227">
        <v>114.97</v>
      </c>
      <c r="G47" s="227">
        <v>56.62</v>
      </c>
      <c r="H47" s="227">
        <v>91.63</v>
      </c>
      <c r="I47" s="227">
        <v>111.42</v>
      </c>
      <c r="J47" s="182">
        <f t="array" ref="J47">IF(INDEX(D47:F47,$E$16)="","",INDEX(D47:F47,$E$16)*(1+$E$19)^($C47-$G$19))</f>
        <v>153.10771695470709</v>
      </c>
      <c r="K47" s="182">
        <f t="array" ref="K47">IF(INDEX(G47:I47,$E$16)="","",INDEX(G47:I47,$E$16)*(1+$E$19)^($C47-$G$19))</f>
        <v>156.4020078546244</v>
      </c>
      <c r="L47" s="134">
        <f t="shared" si="3"/>
        <v>1.0215161649944258</v>
      </c>
      <c r="M47" s="223">
        <v>0</v>
      </c>
      <c r="N47" s="223">
        <v>0</v>
      </c>
      <c r="O47" s="223">
        <v>0</v>
      </c>
      <c r="P47" s="227">
        <v>56.62</v>
      </c>
      <c r="Q47" s="227">
        <v>91.63</v>
      </c>
      <c r="R47" s="227">
        <v>111.42</v>
      </c>
    </row>
    <row r="48" spans="3:18" x14ac:dyDescent="0.25">
      <c r="C48">
        <v>2053</v>
      </c>
      <c r="D48" s="227">
        <v>55.76</v>
      </c>
      <c r="E48" s="227">
        <v>90.71</v>
      </c>
      <c r="F48" s="227">
        <v>114.94</v>
      </c>
      <c r="G48" s="227">
        <v>57.05</v>
      </c>
      <c r="H48" s="227">
        <v>92.47</v>
      </c>
      <c r="I48" s="227">
        <v>110.46</v>
      </c>
      <c r="J48" s="182">
        <f t="array" ref="J48">IF(INDEX(D48:F48,$E$16)="","",INDEX(D48:F48,$E$16)*(1+$E$19)^($C48-$G$19))</f>
        <v>157.92830574203691</v>
      </c>
      <c r="K48" s="182">
        <f t="array" ref="K48">IF(INDEX(G48:I48,$E$16)="","",INDEX(G48:I48,$E$16)*(1+$E$19)^($C48-$G$19))</f>
        <v>160.99250834490303</v>
      </c>
      <c r="L48" s="134">
        <f t="shared" si="3"/>
        <v>1.0194024914562894</v>
      </c>
      <c r="M48" s="223">
        <v>0</v>
      </c>
      <c r="N48" s="223">
        <v>0</v>
      </c>
      <c r="O48" s="223">
        <v>0</v>
      </c>
      <c r="P48" s="227">
        <v>57.05</v>
      </c>
      <c r="Q48" s="227">
        <v>92.47</v>
      </c>
      <c r="R48" s="227">
        <v>110.46</v>
      </c>
    </row>
    <row r="49" spans="3:18" x14ac:dyDescent="0.25">
      <c r="C49">
        <v>2054</v>
      </c>
      <c r="D49" s="227">
        <v>56.35</v>
      </c>
      <c r="E49" s="227">
        <v>90.37</v>
      </c>
      <c r="F49" s="227">
        <v>113.41</v>
      </c>
      <c r="G49" s="227">
        <v>57.42</v>
      </c>
      <c r="H49" s="227">
        <v>92</v>
      </c>
      <c r="I49" s="227">
        <v>108.05</v>
      </c>
      <c r="J49" s="182">
        <f t="array" ref="J49">IF(INDEX(D49:F49,$E$16)="","",INDEX(D49:F49,$E$16)*(1+$E$19)^($C49-$G$19))</f>
        <v>160.48308466217651</v>
      </c>
      <c r="K49" s="182">
        <f t="array" ref="K49">IF(INDEX(G49:I49,$E$16)="","",INDEX(G49:I49,$E$16)*(1+$E$19)^($C49-$G$19))</f>
        <v>163.37771150736128</v>
      </c>
      <c r="L49" s="134">
        <f t="shared" si="3"/>
        <v>1.0180369591678655</v>
      </c>
      <c r="M49" s="223">
        <v>0</v>
      </c>
      <c r="N49" s="223">
        <v>0</v>
      </c>
      <c r="O49" s="223">
        <v>0</v>
      </c>
      <c r="P49" s="227">
        <v>57.42</v>
      </c>
      <c r="Q49" s="227">
        <v>92</v>
      </c>
      <c r="R49" s="227">
        <v>108.05</v>
      </c>
    </row>
    <row r="50" spans="3:18" x14ac:dyDescent="0.25">
      <c r="C50">
        <v>2055</v>
      </c>
      <c r="D50" s="227">
        <v>56.08</v>
      </c>
      <c r="E50" s="227">
        <v>90.08</v>
      </c>
      <c r="F50" s="227">
        <v>112.26</v>
      </c>
      <c r="G50" s="227">
        <v>57.1</v>
      </c>
      <c r="H50" s="227">
        <v>91.57</v>
      </c>
      <c r="I50" s="227">
        <v>105.99</v>
      </c>
      <c r="J50" s="182">
        <f t="array" ref="J50">IF(INDEX(D50:F50,$E$16)="","",INDEX(D50:F50,$E$16)*(1+$E$19)^($C50-$G$19))</f>
        <v>163.16745149603008</v>
      </c>
      <c r="K50" s="182">
        <f t="array" ref="K50">IF(INDEX(G50:I50,$E$16)="","",INDEX(G50:I50,$E$16)*(1+$E$19)^($C50-$G$19))</f>
        <v>165.86638025634406</v>
      </c>
      <c r="L50" s="134">
        <f t="shared" si="3"/>
        <v>1.0165408525754884</v>
      </c>
      <c r="M50" s="223">
        <v>0</v>
      </c>
      <c r="N50" s="223">
        <v>0</v>
      </c>
      <c r="O50" s="223">
        <v>0</v>
      </c>
      <c r="P50" s="227">
        <v>57.1</v>
      </c>
      <c r="Q50" s="227">
        <v>91.57</v>
      </c>
      <c r="R50" s="227">
        <v>105.99</v>
      </c>
    </row>
    <row r="51" spans="3:18" x14ac:dyDescent="0.25">
      <c r="C51">
        <v>2056</v>
      </c>
      <c r="D51" s="227">
        <v>55.72</v>
      </c>
      <c r="E51" s="227">
        <v>88.97</v>
      </c>
      <c r="F51" s="227">
        <v>110.84</v>
      </c>
      <c r="G51" s="227">
        <v>56.66</v>
      </c>
      <c r="H51" s="227">
        <v>90.42</v>
      </c>
      <c r="I51" s="227">
        <v>104.33</v>
      </c>
      <c r="J51" s="182">
        <f t="array" ref="J51">IF(INDEX(D51:F51,$E$16)="","",INDEX(D51:F51,$E$16)*(1+$E$19)^($C51-$G$19))</f>
        <v>164.37997694042883</v>
      </c>
      <c r="K51" s="182">
        <f t="array" ref="K51">IF(INDEX(G51:I51,$E$16)="","",INDEX(G51:I51,$E$16)*(1+$E$19)^($C51-$G$19))</f>
        <v>167.05898072331769</v>
      </c>
      <c r="L51" s="134">
        <f t="shared" si="3"/>
        <v>1.0162976284140721</v>
      </c>
      <c r="M51" s="223">
        <v>0</v>
      </c>
      <c r="N51" s="223">
        <v>0</v>
      </c>
      <c r="O51" s="223">
        <v>0</v>
      </c>
      <c r="P51" s="227">
        <v>56.66</v>
      </c>
      <c r="Q51" s="227">
        <v>90.42</v>
      </c>
      <c r="R51" s="227">
        <v>104.33</v>
      </c>
    </row>
    <row r="52" spans="3:18" x14ac:dyDescent="0.25">
      <c r="C52">
        <v>2057</v>
      </c>
      <c r="D52" s="227">
        <v>56.33</v>
      </c>
      <c r="E52" s="227">
        <v>89.89</v>
      </c>
      <c r="F52" s="227">
        <v>111.7</v>
      </c>
      <c r="G52" s="227">
        <v>57.09</v>
      </c>
      <c r="H52" s="227">
        <v>91.11</v>
      </c>
      <c r="I52" s="227">
        <v>104.42</v>
      </c>
      <c r="J52" s="182">
        <f t="array" ref="J52">IF(INDEX(D52:F52,$E$16)="","",INDEX(D52:F52,$E$16)*(1+$E$19)^($C52-$G$19))</f>
        <v>169.40135382397048</v>
      </c>
      <c r="K52" s="182">
        <f t="array" ref="K52">IF(INDEX(G52:I52,$E$16)="","",INDEX(G52:I52,$E$16)*(1+$E$19)^($C52-$G$19))</f>
        <v>171.70049334633384</v>
      </c>
      <c r="L52" s="134">
        <f t="shared" si="3"/>
        <v>1.0135721437312271</v>
      </c>
      <c r="M52" s="223">
        <v>0</v>
      </c>
      <c r="N52" s="223">
        <v>0</v>
      </c>
      <c r="O52" s="223">
        <v>0</v>
      </c>
      <c r="P52" s="227">
        <v>57.09</v>
      </c>
      <c r="Q52" s="227">
        <v>91.11</v>
      </c>
      <c r="R52" s="227">
        <v>104.42</v>
      </c>
    </row>
    <row r="53" spans="3:18" x14ac:dyDescent="0.25">
      <c r="C53">
        <v>2058</v>
      </c>
      <c r="D53" s="227">
        <v>58.04</v>
      </c>
      <c r="E53" s="227">
        <v>92.13</v>
      </c>
      <c r="F53" s="227">
        <v>112.88</v>
      </c>
      <c r="G53" s="227">
        <v>58.6</v>
      </c>
      <c r="H53" s="227">
        <v>92.89</v>
      </c>
      <c r="I53" s="227">
        <v>104.37</v>
      </c>
      <c r="J53" s="182">
        <f t="array" ref="J53">IF(INDEX(D53:F53,$E$16)="","",INDEX(D53:F53,$E$16)*(1+$E$19)^($C53-$G$19))</f>
        <v>177.09517924528254</v>
      </c>
      <c r="K53" s="182">
        <f t="array" ref="K53">IF(INDEX(G53:I53,$E$16)="","",INDEX(G53:I53,$E$16)*(1+$E$19)^($C53-$G$19))</f>
        <v>178.55607511227936</v>
      </c>
      <c r="L53" s="134">
        <f t="shared" si="3"/>
        <v>1.0082492130684904</v>
      </c>
      <c r="M53" s="223">
        <v>0</v>
      </c>
      <c r="N53" s="223">
        <v>0</v>
      </c>
      <c r="O53" s="223">
        <v>0</v>
      </c>
      <c r="P53" s="227">
        <v>58.6</v>
      </c>
      <c r="Q53" s="227">
        <v>92.89</v>
      </c>
      <c r="R53" s="227">
        <v>104.37</v>
      </c>
    </row>
    <row r="54" spans="3:18" x14ac:dyDescent="0.25">
      <c r="C54">
        <v>2059</v>
      </c>
      <c r="D54" s="227">
        <v>58.19</v>
      </c>
      <c r="E54" s="227">
        <v>93.73</v>
      </c>
      <c r="F54" s="227">
        <v>112.93</v>
      </c>
      <c r="G54" s="227">
        <v>58.71</v>
      </c>
      <c r="H54" s="227">
        <v>94.29</v>
      </c>
      <c r="I54" s="227">
        <v>104.57</v>
      </c>
      <c r="J54" s="182">
        <f t="array" ref="J54">IF(INDEX(D54:F54,$E$16)="","",INDEX(D54:F54,$E$16)*(1+$E$19)^($C54-$G$19))</f>
        <v>183.77416448142341</v>
      </c>
      <c r="K54" s="182">
        <f t="array" ref="K54">IF(INDEX(G54:I54,$E$16)="","",INDEX(G54:I54,$E$16)*(1+$E$19)^($C54-$G$19))</f>
        <v>184.87214305935575</v>
      </c>
      <c r="L54" s="134">
        <f t="shared" si="3"/>
        <v>1.0059746079163556</v>
      </c>
      <c r="M54" s="223">
        <v>0</v>
      </c>
      <c r="N54" s="223">
        <v>0</v>
      </c>
      <c r="O54" s="223">
        <v>0</v>
      </c>
      <c r="P54" s="227">
        <v>58.71</v>
      </c>
      <c r="Q54" s="227">
        <v>94.29</v>
      </c>
      <c r="R54" s="227">
        <v>104.57</v>
      </c>
    </row>
    <row r="55" spans="3:18" x14ac:dyDescent="0.25">
      <c r="C55">
        <v>2060</v>
      </c>
      <c r="D55" s="227">
        <v>57.56</v>
      </c>
      <c r="E55" s="227">
        <v>92.71</v>
      </c>
      <c r="F55" s="227">
        <v>111.08</v>
      </c>
      <c r="G55" s="227">
        <v>58.1</v>
      </c>
      <c r="H55" s="227">
        <v>93.36</v>
      </c>
      <c r="I55" s="227">
        <v>103</v>
      </c>
      <c r="J55" s="182">
        <f t="array" ref="J55">IF(INDEX(D55:F55,$E$16)="","",INDEX(D55:F55,$E$16)*(1+$E$19)^($C55-$G$19))</f>
        <v>185.40976042733615</v>
      </c>
      <c r="K55" s="182">
        <f t="array" ref="K55">IF(INDEX(G55:I55,$E$16)="","",INDEX(G55:I55,$E$16)*(1+$E$19)^($C55-$G$19))</f>
        <v>186.70968863656677</v>
      </c>
      <c r="L55" s="134">
        <f t="shared" si="3"/>
        <v>1.0070111099126309</v>
      </c>
      <c r="M55" s="223">
        <v>0</v>
      </c>
      <c r="N55" s="223">
        <v>0</v>
      </c>
      <c r="O55" s="223">
        <v>0</v>
      </c>
      <c r="P55" s="227">
        <v>58.1</v>
      </c>
      <c r="Q55" s="227">
        <v>93.36</v>
      </c>
      <c r="R55" s="227">
        <v>103</v>
      </c>
    </row>
    <row r="56" spans="3:18" x14ac:dyDescent="0.25">
      <c r="C56">
        <v>2061</v>
      </c>
      <c r="D56" s="227"/>
      <c r="E56" s="227"/>
      <c r="F56" s="227"/>
      <c r="G56" s="227"/>
      <c r="H56" s="227"/>
      <c r="I56" s="227"/>
      <c r="J56" s="182" t="str">
        <f t="array" ref="J56">IF(INDEX(D56:F56,$E$16)="","",INDEX(D56:F56,$E$16)*(1+$E$19)^($C56-$G$19))</f>
        <v/>
      </c>
      <c r="K56" s="182" t="str">
        <f t="array" ref="K56">IF(INDEX(G56:I56,$E$16)="","",INDEX(G56:I56,$E$16)*(1+$E$19)^($C56-$G$19))</f>
        <v/>
      </c>
      <c r="L56" s="134" t="str">
        <f t="shared" si="3"/>
        <v/>
      </c>
      <c r="M56" s="223"/>
      <c r="N56" s="223"/>
      <c r="O56" s="223"/>
      <c r="P56" s="227"/>
      <c r="Q56" s="227"/>
      <c r="R56" s="227"/>
    </row>
    <row r="57" spans="3:18" x14ac:dyDescent="0.25">
      <c r="C57">
        <v>2062</v>
      </c>
      <c r="D57" s="227"/>
      <c r="E57" s="227"/>
      <c r="F57" s="227"/>
      <c r="G57" s="227"/>
      <c r="H57" s="227"/>
      <c r="I57" s="227"/>
      <c r="J57" s="182" t="str">
        <f t="array" ref="J57">IF(INDEX(D57:F57,$E$16)="","",INDEX(D57:F57,$E$16)*(1+$E$19)^($C57-$G$19))</f>
        <v/>
      </c>
      <c r="K57" s="182" t="str">
        <f t="array" ref="K57">IF(INDEX(G57:I57,$E$16)="","",INDEX(G57:I57,$E$16)*(1+$E$19)^($C57-$G$19))</f>
        <v/>
      </c>
      <c r="L57" s="134" t="str">
        <f t="shared" si="3"/>
        <v/>
      </c>
      <c r="M57" s="223"/>
      <c r="N57" s="223"/>
      <c r="O57" s="223"/>
      <c r="P57" s="227"/>
      <c r="Q57" s="227"/>
      <c r="R57" s="227"/>
    </row>
    <row r="58" spans="3:18" x14ac:dyDescent="0.25">
      <c r="C58">
        <v>2063</v>
      </c>
      <c r="D58" s="227"/>
      <c r="E58" s="227"/>
      <c r="F58" s="227"/>
      <c r="G58" s="227"/>
      <c r="H58" s="227"/>
      <c r="I58" s="227"/>
      <c r="J58" s="182" t="str">
        <f t="array" ref="J58">IF(INDEX(D58:F58,$E$16)="","",INDEX(D58:F58,$E$16)*(1+$E$19)^($C58-$G$19))</f>
        <v/>
      </c>
      <c r="K58" s="182" t="str">
        <f t="array" ref="K58">IF(INDEX(G58:I58,$E$16)="","",INDEX(G58:I58,$E$16)*(1+$E$19)^($C58-$G$19))</f>
        <v/>
      </c>
      <c r="L58" s="134" t="str">
        <f t="shared" si="3"/>
        <v/>
      </c>
      <c r="M58" s="223"/>
      <c r="N58" s="223"/>
      <c r="O58" s="223"/>
      <c r="P58" s="227"/>
      <c r="Q58" s="227"/>
      <c r="R58" s="227"/>
    </row>
    <row r="59" spans="3:18" x14ac:dyDescent="0.25">
      <c r="C59">
        <v>2064</v>
      </c>
      <c r="D59" s="227"/>
      <c r="E59" s="227"/>
      <c r="F59" s="227"/>
      <c r="G59" s="227"/>
      <c r="H59" s="227"/>
      <c r="I59" s="227"/>
      <c r="J59" s="182" t="str">
        <f t="array" ref="J59">IF(INDEX(D59:F59,$E$16)="","",INDEX(D59:F59,$E$16)*(1+$E$19)^($C59-$G$19))</f>
        <v/>
      </c>
      <c r="K59" s="182" t="str">
        <f t="array" ref="K59">IF(INDEX(G59:I59,$E$16)="","",INDEX(G59:I59,$E$16)*(1+$E$19)^($C59-$G$19))</f>
        <v/>
      </c>
      <c r="L59" s="134" t="str">
        <f t="shared" si="3"/>
        <v/>
      </c>
      <c r="M59" s="223"/>
      <c r="N59" s="223"/>
      <c r="O59" s="223"/>
      <c r="P59" s="227"/>
      <c r="Q59" s="227"/>
      <c r="R59" s="227"/>
    </row>
    <row r="60" spans="3:18" x14ac:dyDescent="0.25">
      <c r="C60">
        <v>2065</v>
      </c>
      <c r="D60" s="227"/>
      <c r="E60" s="227"/>
      <c r="F60" s="227"/>
      <c r="G60" s="227"/>
      <c r="H60" s="227"/>
      <c r="I60" s="227"/>
      <c r="J60" s="182" t="str">
        <f t="array" ref="J60">IF(INDEX(D60:F60,$E$16)="","",INDEX(D60:F60,$E$16)*(1+$E$19)^($C60-$G$19))</f>
        <v/>
      </c>
      <c r="K60" s="182" t="str">
        <f t="array" ref="K60">IF(INDEX(G60:I60,$E$16)="","",INDEX(G60:I60,$E$16)*(1+$E$19)^($C60-$G$19))</f>
        <v/>
      </c>
      <c r="L60" s="134" t="str">
        <f t="shared" si="3"/>
        <v/>
      </c>
      <c r="M60" s="223"/>
      <c r="N60" s="223"/>
      <c r="O60" s="223"/>
      <c r="P60" s="227"/>
      <c r="Q60" s="227"/>
      <c r="R60" s="227"/>
    </row>
    <row r="61" spans="3:18" x14ac:dyDescent="0.25">
      <c r="C61">
        <v>2066</v>
      </c>
      <c r="D61" s="227"/>
      <c r="E61" s="227"/>
      <c r="F61" s="227"/>
      <c r="G61" s="227"/>
      <c r="H61" s="227"/>
      <c r="I61" s="227"/>
      <c r="J61" s="182" t="str">
        <f t="array" ref="J61">IF(INDEX(D61:F61,$E$16)="","",INDEX(D61:F61,$E$16)*(1+$E$19)^($C61-$G$19))</f>
        <v/>
      </c>
      <c r="K61" s="182" t="str">
        <f t="array" ref="K61">IF(INDEX(G61:I61,$E$16)="","",INDEX(G61:I61,$E$16)*(1+$E$19)^($C61-$G$19))</f>
        <v/>
      </c>
      <c r="L61" s="134" t="str">
        <f t="shared" si="3"/>
        <v/>
      </c>
      <c r="M61" s="223"/>
      <c r="N61" s="223"/>
      <c r="O61" s="223"/>
      <c r="P61" s="227"/>
      <c r="Q61" s="227"/>
      <c r="R61" s="227"/>
    </row>
    <row r="62" spans="3:18" x14ac:dyDescent="0.25">
      <c r="C62">
        <v>2067</v>
      </c>
      <c r="D62" s="227"/>
      <c r="E62" s="227"/>
      <c r="F62" s="227"/>
      <c r="G62" s="227"/>
      <c r="H62" s="227"/>
      <c r="I62" s="227"/>
      <c r="J62" s="182" t="str">
        <f t="array" ref="J62">IF(INDEX(D62:F62,$E$16)="","",INDEX(D62:F62,$E$16)*(1+$E$19)^($C62-$G$19))</f>
        <v/>
      </c>
      <c r="K62" s="182" t="str">
        <f t="array" ref="K62">IF(INDEX(G62:I62,$E$16)="","",INDEX(G62:I62,$E$16)*(1+$E$19)^($C62-$G$19))</f>
        <v/>
      </c>
      <c r="L62" s="134" t="str">
        <f t="shared" si="3"/>
        <v/>
      </c>
      <c r="M62" s="223"/>
      <c r="N62" s="223"/>
      <c r="O62" s="223"/>
      <c r="P62" s="227"/>
      <c r="Q62" s="227"/>
      <c r="R62" s="227"/>
    </row>
    <row r="63" spans="3:18" x14ac:dyDescent="0.25">
      <c r="C63">
        <v>2068</v>
      </c>
      <c r="D63" s="227"/>
      <c r="E63" s="227"/>
      <c r="F63" s="227"/>
      <c r="G63" s="227"/>
      <c r="H63" s="227"/>
      <c r="I63" s="227"/>
      <c r="J63" s="182" t="str">
        <f t="array" ref="J63">IF(INDEX(D63:F63,$E$16)="","",INDEX(D63:F63,$E$16)*(1+$E$19)^($C63-$G$19))</f>
        <v/>
      </c>
      <c r="K63" s="182" t="str">
        <f t="array" ref="K63">IF(INDEX(G63:I63,$E$16)="","",INDEX(G63:I63,$E$16)*(1+$E$19)^($C63-$G$19))</f>
        <v/>
      </c>
      <c r="L63" s="134" t="str">
        <f t="shared" si="3"/>
        <v/>
      </c>
      <c r="M63" s="223"/>
      <c r="N63" s="223"/>
      <c r="O63" s="223"/>
      <c r="P63" s="227"/>
      <c r="Q63" s="227"/>
      <c r="R63" s="227"/>
    </row>
    <row r="64" spans="3:18" x14ac:dyDescent="0.25">
      <c r="C64">
        <v>2069</v>
      </c>
      <c r="D64" s="227"/>
      <c r="E64" s="227"/>
      <c r="F64" s="227"/>
      <c r="G64" s="227"/>
      <c r="H64" s="227"/>
      <c r="I64" s="227"/>
      <c r="J64" s="182" t="str">
        <f t="array" ref="J64">IF(INDEX(D64:F64,$E$16)="","",INDEX(D64:F64,$E$16)*(1+$E$19)^($C64-$G$19))</f>
        <v/>
      </c>
      <c r="K64" s="182" t="str">
        <f t="array" ref="K64">IF(INDEX(G64:I64,$E$16)="","",INDEX(G64:I64,$E$16)*(1+$E$19)^($C64-$G$19))</f>
        <v/>
      </c>
      <c r="L64" s="134" t="str">
        <f t="shared" si="3"/>
        <v/>
      </c>
      <c r="M64" s="223"/>
      <c r="N64" s="223"/>
      <c r="O64" s="223"/>
      <c r="P64" s="227"/>
      <c r="Q64" s="227"/>
      <c r="R64" s="227"/>
    </row>
    <row r="65" spans="3:18" x14ac:dyDescent="0.25">
      <c r="C65">
        <v>2070</v>
      </c>
      <c r="D65" s="227"/>
      <c r="E65" s="227"/>
      <c r="F65" s="227"/>
      <c r="G65" s="227"/>
      <c r="H65" s="227"/>
      <c r="I65" s="227"/>
      <c r="J65" s="182" t="str">
        <f t="array" ref="J65">IF(INDEX(D65:F65,$E$16)="","",INDEX(D65:F65,$E$16)*(1+$E$19)^($C65-$G$19))</f>
        <v/>
      </c>
      <c r="K65" s="182" t="str">
        <f t="array" ref="K65">IF(INDEX(G65:I65,$E$16)="","",INDEX(G65:I65,$E$16)*(1+$E$19)^($C65-$G$19))</f>
        <v/>
      </c>
      <c r="L65" s="134" t="str">
        <f t="shared" si="3"/>
        <v/>
      </c>
      <c r="M65" s="223"/>
      <c r="N65" s="223"/>
      <c r="O65" s="223"/>
      <c r="P65" s="227"/>
      <c r="Q65" s="227"/>
      <c r="R65" s="227"/>
    </row>
    <row r="66" spans="3:18" x14ac:dyDescent="0.25">
      <c r="C66">
        <v>2071</v>
      </c>
      <c r="D66" s="227"/>
      <c r="E66" s="227"/>
      <c r="F66" s="227"/>
      <c r="G66" s="227"/>
      <c r="H66" s="227"/>
      <c r="I66" s="227"/>
      <c r="J66" s="182" t="str">
        <f t="array" ref="J66">IF(INDEX(D66:F66,$E$16)="","",INDEX(D66:F66,$E$16)*(1+$E$19)^($C66-$G$19))</f>
        <v/>
      </c>
      <c r="K66" s="182" t="str">
        <f t="array" ref="K66">IF(INDEX(G66:I66,$E$16)="","",INDEX(G66:I66,$E$16)*(1+$E$19)^($C66-$G$19))</f>
        <v/>
      </c>
      <c r="L66" s="134" t="str">
        <f t="shared" si="3"/>
        <v/>
      </c>
      <c r="M66" s="223"/>
      <c r="N66" s="223"/>
      <c r="O66" s="223"/>
      <c r="P66" s="227"/>
      <c r="Q66" s="227"/>
      <c r="R66" s="227"/>
    </row>
    <row r="68" spans="3:18" x14ac:dyDescent="0.25">
      <c r="C68" s="129" t="s">
        <v>954</v>
      </c>
      <c r="D68" s="215"/>
      <c r="E68" s="215"/>
      <c r="F68" s="215"/>
      <c r="G68" s="215"/>
      <c r="H68" s="215"/>
      <c r="I68" s="215"/>
      <c r="J68" s="215"/>
      <c r="K68" s="215"/>
      <c r="L68" s="215"/>
      <c r="M68" s="215"/>
    </row>
    <row r="69" spans="3:18" x14ac:dyDescent="0.25">
      <c r="C69" t="s">
        <v>955</v>
      </c>
      <c r="D69" t="s">
        <v>5</v>
      </c>
      <c r="E69">
        <f>YEAR(Inputs!E101)+1</f>
        <v>2031</v>
      </c>
    </row>
    <row r="70" spans="3:18" x14ac:dyDescent="0.25">
      <c r="C70" t="s">
        <v>956</v>
      </c>
      <c r="D70" t="s">
        <v>250</v>
      </c>
      <c r="E70" s="182">
        <f>IFERROR(IF(INDEX($J$22:$J$66,MATCH(E69,$C$22:$C$66,0))="","",INDEX($J$22:$J$66,MATCH(E69,$C$22:$C$66,0))),"")</f>
        <v>110.93825992169666</v>
      </c>
    </row>
    <row r="71" spans="3:18" x14ac:dyDescent="0.25">
      <c r="C71" t="s">
        <v>957</v>
      </c>
      <c r="D71" t="s">
        <v>250</v>
      </c>
      <c r="E71" s="182">
        <f>IFERROR(IF(INDEX($K$22:$K$66,MATCH(E69,$C$22:$C$66,0))="","",INDEX($K$22:$K$66,MATCH(E69,$C$22:$C$66,0))),"")</f>
        <v>115.73571182776128</v>
      </c>
    </row>
    <row r="72" spans="3:18" x14ac:dyDescent="0.25">
      <c r="C72" t="s">
        <v>958</v>
      </c>
      <c r="D72" t="s">
        <v>51</v>
      </c>
      <c r="E72" s="134">
        <f>IF(COUNT($L$22:$L$66)=0,"",AVERAGE($L$22:$L$66))</f>
        <v>1.0247019278860348</v>
      </c>
    </row>
    <row r="73" spans="3:18" x14ac:dyDescent="0.25">
      <c r="C73" t="s">
        <v>959</v>
      </c>
      <c r="D73" t="s">
        <v>480</v>
      </c>
      <c r="E73" s="134">
        <f t="array" ref="E73">IF(COUNT($J$22:$J$66)&lt;2,"",(LOOKUP(9.99E+307,$J$22:$J$66)/INDEX($J$22:$J$66,MATCH(TRUE(),INDEX($J$22:$J$66&lt;&gt;"",0),0)))^(1/(COUNT($J$22:$J$66)-1))-1)</f>
        <v>1.2225230073321214E-2</v>
      </c>
    </row>
  </sheetData>
  <pageMargins left="0.7" right="0.7" top="0.75" bottom="0.75"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70C0"/>
  </sheetPr>
  <dimension ref="A1:Y35"/>
  <sheetViews>
    <sheetView showGridLines="0" topLeftCell="D1" zoomScaleNormal="100" workbookViewId="0">
      <selection activeCell="F18" sqref="F18"/>
    </sheetView>
  </sheetViews>
  <sheetFormatPr defaultColWidth="8.5703125" defaultRowHeight="15" x14ac:dyDescent="0.25"/>
  <cols>
    <col min="1" max="2" width="2.5703125" customWidth="1"/>
    <col min="3" max="3" width="57.140625" customWidth="1"/>
    <col min="4" max="4" width="41.85546875" customWidth="1"/>
    <col min="5" max="5" width="28.5703125" customWidth="1"/>
    <col min="6" max="6" width="19.42578125" customWidth="1"/>
    <col min="7" max="20" width="18.140625" customWidth="1"/>
    <col min="23" max="23" width="28.5703125" customWidth="1"/>
    <col min="24" max="25" width="18.140625" customWidth="1"/>
  </cols>
  <sheetData>
    <row r="1" spans="1:25" ht="18.75" customHeight="1" x14ac:dyDescent="0.3">
      <c r="A1" s="123" t="s">
        <v>909</v>
      </c>
    </row>
    <row r="2" spans="1:25" x14ac:dyDescent="0.25">
      <c r="A2" s="124" t="s">
        <v>960</v>
      </c>
    </row>
    <row r="3" spans="1:25" x14ac:dyDescent="0.25">
      <c r="A3" s="124" t="s">
        <v>961</v>
      </c>
    </row>
    <row r="5" spans="1:25" ht="45" customHeight="1" x14ac:dyDescent="0.25">
      <c r="C5" s="225" t="s">
        <v>962</v>
      </c>
      <c r="D5" s="225" t="s">
        <v>963</v>
      </c>
      <c r="E5" s="225" t="s">
        <v>964</v>
      </c>
      <c r="F5" s="225" t="s">
        <v>965</v>
      </c>
      <c r="G5" s="225" t="s">
        <v>966</v>
      </c>
      <c r="H5" s="225" t="s">
        <v>967</v>
      </c>
      <c r="I5" s="225" t="s">
        <v>968</v>
      </c>
      <c r="J5" s="225" t="s">
        <v>969</v>
      </c>
      <c r="K5" s="225" t="s">
        <v>970</v>
      </c>
      <c r="L5" s="225" t="s">
        <v>971</v>
      </c>
      <c r="M5" s="225" t="s">
        <v>969</v>
      </c>
      <c r="N5" s="225" t="s">
        <v>972</v>
      </c>
      <c r="O5" s="225" t="s">
        <v>973</v>
      </c>
      <c r="P5" s="225" t="s">
        <v>974</v>
      </c>
      <c r="Q5" s="225" t="s">
        <v>975</v>
      </c>
      <c r="R5" s="225" t="s">
        <v>976</v>
      </c>
      <c r="S5" s="225" t="s">
        <v>977</v>
      </c>
      <c r="T5" s="225" t="s">
        <v>978</v>
      </c>
      <c r="U5" s="225" t="s">
        <v>979</v>
      </c>
      <c r="W5" s="225" t="s">
        <v>980</v>
      </c>
      <c r="X5" s="225" t="s">
        <v>981</v>
      </c>
      <c r="Y5" s="225" t="s">
        <v>982</v>
      </c>
    </row>
    <row r="6" spans="1:25" x14ac:dyDescent="0.25">
      <c r="C6" s="226"/>
      <c r="D6" s="226"/>
      <c r="E6" s="226"/>
      <c r="F6" s="226" t="s">
        <v>983</v>
      </c>
      <c r="G6" s="226" t="s">
        <v>84</v>
      </c>
      <c r="H6" s="226" t="s">
        <v>169</v>
      </c>
      <c r="I6" s="226" t="s">
        <v>169</v>
      </c>
      <c r="J6" s="226" t="s">
        <v>169</v>
      </c>
      <c r="K6" s="226" t="s">
        <v>266</v>
      </c>
      <c r="L6" s="226" t="s">
        <v>29</v>
      </c>
      <c r="M6" s="226" t="s">
        <v>125</v>
      </c>
      <c r="N6" s="226" t="s">
        <v>984</v>
      </c>
      <c r="O6" s="226" t="s">
        <v>125</v>
      </c>
      <c r="P6" s="226" t="s">
        <v>415</v>
      </c>
      <c r="Q6" s="226" t="s">
        <v>51</v>
      </c>
      <c r="R6" s="226"/>
      <c r="S6" s="226" t="s">
        <v>169</v>
      </c>
      <c r="T6" s="226" t="s">
        <v>169</v>
      </c>
      <c r="U6" s="226" t="s">
        <v>51</v>
      </c>
      <c r="W6" s="226" t="s">
        <v>51</v>
      </c>
      <c r="X6" s="226" t="s">
        <v>7</v>
      </c>
      <c r="Y6" s="226" t="s">
        <v>125</v>
      </c>
    </row>
    <row r="7" spans="1:25" x14ac:dyDescent="0.25">
      <c r="C7" s="228" t="s">
        <v>579</v>
      </c>
      <c r="D7" s="228" t="s">
        <v>168</v>
      </c>
      <c r="E7" s="228" t="s">
        <v>985</v>
      </c>
      <c r="F7" s="229">
        <f>Inputs!$E$81</f>
        <v>3</v>
      </c>
      <c r="G7" s="203">
        <f>In_Bids</f>
        <v>1</v>
      </c>
      <c r="H7" s="230">
        <f>F7*G7</f>
        <v>3</v>
      </c>
      <c r="I7" s="230">
        <v>0</v>
      </c>
      <c r="J7" s="230">
        <f t="shared" ref="J7:J18" si="0">H7+I7</f>
        <v>3</v>
      </c>
      <c r="K7" s="231">
        <f>Inputs!$E$95</f>
        <v>46325</v>
      </c>
      <c r="L7" s="161">
        <f>IF(K7="","",(YEAR(K7)-YEAR(Inputs!$E$27))*12+MONTH(K7)-MONTH(Inputs!$E$27))</f>
        <v>3</v>
      </c>
      <c r="M7" s="230">
        <f>J7*1000/Inputs!$E$11</f>
        <v>8.2191780821917817</v>
      </c>
      <c r="N7" s="161">
        <f>IF(L7="",0,IF(L7&gt;Inputs!$E$57,1,0))</f>
        <v>0</v>
      </c>
      <c r="O7" s="230">
        <f>M7*IF(N7=1,Inputs!$E$109,1)</f>
        <v>8.2191780821917817</v>
      </c>
      <c r="P7" s="232">
        <f>Inputs!$E$117</f>
        <v>1</v>
      </c>
      <c r="Q7" s="233">
        <f>Inputs!$E$129</f>
        <v>0</v>
      </c>
      <c r="R7" s="234" t="s">
        <v>986</v>
      </c>
      <c r="S7" s="235">
        <v>0</v>
      </c>
      <c r="T7" s="151">
        <v>0</v>
      </c>
      <c r="U7" s="233">
        <f>Inputs!$E$258</f>
        <v>0</v>
      </c>
      <c r="W7" s="134">
        <f>IF(P7=1,Inputs!$E$61,Inputs!$E$65)</f>
        <v>0.12</v>
      </c>
      <c r="X7" s="210">
        <f>IF(K7&gt;Inputs!$E$64,1,(1+W7*(DATE(YEAR(K7),12,31)-K7+1)/365)*(1+W7)^(YEAR(Inputs!$E$64)-YEAR(K7)-1)*(1+W7*(Inputs!$E$64-DATE(YEAR(Inputs!$E$64),1,1)+1)/365))</f>
        <v>1.3565730168818169</v>
      </c>
      <c r="Y7" s="151">
        <f t="shared" ref="Y7:Y18" si="1">O7*(X7-1)</f>
        <v>2.9307371250560292</v>
      </c>
    </row>
    <row r="8" spans="1:25" x14ac:dyDescent="0.25">
      <c r="C8" s="228" t="s">
        <v>581</v>
      </c>
      <c r="D8" s="228" t="s">
        <v>987</v>
      </c>
      <c r="E8" s="228" t="s">
        <v>988</v>
      </c>
      <c r="F8" s="236">
        <f>Inputs!$E$76</f>
        <v>5.0000000000000001E-3</v>
      </c>
      <c r="G8" s="203">
        <f>Inputs!$E$91</f>
        <v>85306</v>
      </c>
      <c r="H8" s="230">
        <f>F8*G8</f>
        <v>426.53000000000003</v>
      </c>
      <c r="I8" s="230">
        <v>0</v>
      </c>
      <c r="J8" s="230">
        <f t="shared" si="0"/>
        <v>426.53000000000003</v>
      </c>
      <c r="K8" s="231">
        <f>Inputs!$E$95</f>
        <v>46325</v>
      </c>
      <c r="L8" s="161">
        <f>IF(K8="","",(YEAR(K8)-YEAR(Inputs!$E$27))*12+MONTH(K8)-MONTH(Inputs!$E$27))</f>
        <v>3</v>
      </c>
      <c r="M8" s="230">
        <f>J8*1000/Inputs!$E$11</f>
        <v>1168.5753424657537</v>
      </c>
      <c r="N8" s="161">
        <f>IF(L8="",0,IF(L8&gt;Inputs!$E$57,1,0))</f>
        <v>0</v>
      </c>
      <c r="O8" s="230">
        <f>M8*IF(N8=1,Inputs!$E$109,1)</f>
        <v>1168.5753424657537</v>
      </c>
      <c r="P8" s="232">
        <f>Inputs!$E$118</f>
        <v>0</v>
      </c>
      <c r="Q8" s="233">
        <f>Inputs!$E$130</f>
        <v>1</v>
      </c>
      <c r="R8" s="234" t="s">
        <v>989</v>
      </c>
      <c r="S8" s="151">
        <f>J8</f>
        <v>426.53000000000003</v>
      </c>
      <c r="T8" s="151">
        <f t="shared" ref="T8:T16" si="2">J8</f>
        <v>426.53000000000003</v>
      </c>
      <c r="U8" s="233">
        <f>Inputs!$E$259</f>
        <v>0</v>
      </c>
      <c r="W8" s="134">
        <f>IF(P8=1,Inputs!$E$61,Inputs!$E$65)</f>
        <v>0.06</v>
      </c>
      <c r="X8" s="210">
        <f>IF(K8&gt;Inputs!$E$64,1,(1+W8*(DATE(YEAR(K8),12,31)-K8+1)/365)*(1+W8)^(YEAR(Inputs!$E$64)-YEAR(K8)-1)*(1+W8*(Inputs!$E$64-DATE(YEAR(Inputs!$E$64),1,1)+1)/365))</f>
        <v>1.1690133506389944</v>
      </c>
      <c r="Y8" s="151">
        <f t="shared" si="1"/>
        <v>197.50483410424735</v>
      </c>
    </row>
    <row r="9" spans="1:25" x14ac:dyDescent="0.25">
      <c r="C9" s="228" t="s">
        <v>990</v>
      </c>
      <c r="D9" s="228" t="s">
        <v>991</v>
      </c>
      <c r="E9" s="228" t="s">
        <v>992</v>
      </c>
      <c r="F9" s="236">
        <f>F8</f>
        <v>5.0000000000000001E-3</v>
      </c>
      <c r="G9" s="203">
        <f>Inputs!$E$19*Inputs!$E$75</f>
        <v>0</v>
      </c>
      <c r="H9" s="230">
        <f>-F9*G9*Inputs!$E$110</f>
        <v>0</v>
      </c>
      <c r="I9" s="230">
        <v>0</v>
      </c>
      <c r="J9" s="230">
        <f t="shared" si="0"/>
        <v>0</v>
      </c>
      <c r="K9" s="237">
        <f>Inputs!$E$96</f>
        <v>46369</v>
      </c>
      <c r="L9" s="161">
        <f>IF(K9="","",(YEAR(K9)-YEAR(Inputs!$E$27))*12+MONTH(K9)-MONTH(Inputs!$E$27))</f>
        <v>5</v>
      </c>
      <c r="M9" s="230">
        <f>J9*1000/Inputs!$E$11</f>
        <v>0</v>
      </c>
      <c r="N9" s="161">
        <f>IF(L9="",0,IF(L9&gt;Inputs!$E$57,1,0))</f>
        <v>0</v>
      </c>
      <c r="O9" s="230">
        <f>M9*IF(N9=1,Inputs!$E$109,1)</f>
        <v>0</v>
      </c>
      <c r="P9" s="232">
        <f>P8</f>
        <v>0</v>
      </c>
      <c r="Q9" s="233">
        <f>Q8</f>
        <v>1</v>
      </c>
      <c r="R9" s="234" t="s">
        <v>993</v>
      </c>
      <c r="S9" s="151">
        <f>J9</f>
        <v>0</v>
      </c>
      <c r="T9" s="151">
        <f t="shared" si="2"/>
        <v>0</v>
      </c>
      <c r="U9" s="233">
        <f>U8</f>
        <v>0</v>
      </c>
      <c r="W9" s="134">
        <f>IF(P9=1,Inputs!$E$61,Inputs!$E$65)</f>
        <v>0.06</v>
      </c>
      <c r="X9" s="210">
        <f>IF(K9&gt;Inputs!$E$64,1,(1+W9*(DATE(YEAR(K9),12,31)-K9+1)/365)*(1+W9)^(YEAR(Inputs!$E$64)-YEAR(K9)-1)*(1+W9*(Inputs!$E$64-DATE(YEAR(Inputs!$E$64),1,1)+1)/365))</f>
        <v>1.1606446884401578</v>
      </c>
      <c r="Y9" s="151">
        <f t="shared" si="1"/>
        <v>0</v>
      </c>
    </row>
    <row r="10" spans="1:25" x14ac:dyDescent="0.25">
      <c r="C10" s="228" t="s">
        <v>582</v>
      </c>
      <c r="D10" s="228" t="s">
        <v>994</v>
      </c>
      <c r="E10" s="228" t="s">
        <v>995</v>
      </c>
      <c r="F10" s="236">
        <f>Inputs!$E$77*Inputs!$E$90</f>
        <v>2.5000000000000001E-2</v>
      </c>
      <c r="G10" s="203">
        <f>Inputs!$E$92</f>
        <v>85306</v>
      </c>
      <c r="H10" s="230">
        <f>F10*G10</f>
        <v>2132.65</v>
      </c>
      <c r="I10" s="230">
        <f>-$H$8*Inputs!$E$107</f>
        <v>-426.53000000000003</v>
      </c>
      <c r="J10" s="230">
        <f t="shared" si="0"/>
        <v>1706.1200000000001</v>
      </c>
      <c r="K10" s="237">
        <f>Inputs!$E$96+Inputs!$E$102</f>
        <v>46386</v>
      </c>
      <c r="L10" s="161">
        <f>IF(K10="","",(YEAR(K10)-YEAR(Inputs!$E$27))*12+MONTH(K10)-MONTH(Inputs!$E$27))</f>
        <v>5</v>
      </c>
      <c r="M10" s="230">
        <f>J10*1000/Inputs!$E$11</f>
        <v>4674.3013698630148</v>
      </c>
      <c r="N10" s="161">
        <f>IF(L10="",0,IF(L10&gt;Inputs!$E$57,1,0))</f>
        <v>0</v>
      </c>
      <c r="O10" s="230">
        <f>M10*IF(N10=1,Inputs!$E$109,1)</f>
        <v>4674.3013698630148</v>
      </c>
      <c r="P10" s="232">
        <f>Inputs!$E$119</f>
        <v>0</v>
      </c>
      <c r="Q10" s="233">
        <f>Inputs!$E$131</f>
        <v>1</v>
      </c>
      <c r="R10" s="234" t="s">
        <v>989</v>
      </c>
      <c r="S10" s="151">
        <f>J10+J8</f>
        <v>2132.65</v>
      </c>
      <c r="T10" s="151">
        <f t="shared" si="2"/>
        <v>1706.1200000000001</v>
      </c>
      <c r="U10" s="233">
        <f>Inputs!$E$260</f>
        <v>0</v>
      </c>
      <c r="W10" s="134">
        <f>IF(P10=1,Inputs!$E$61,Inputs!$E$65)</f>
        <v>0.06</v>
      </c>
      <c r="X10" s="210">
        <f>IF(K10&gt;Inputs!$E$64,1,(1+W10*(DATE(YEAR(K10),12,31)-K10+1)/365)*(1+W10)^(YEAR(Inputs!$E$64)-YEAR(K10)-1)*(1+W10*(Inputs!$E$64-DATE(YEAR(Inputs!$E$64),1,1)+1)/365))</f>
        <v>1.1574113416815164</v>
      </c>
      <c r="Y10" s="151">
        <f t="shared" si="1"/>
        <v>735.7880500538871</v>
      </c>
    </row>
    <row r="11" spans="1:25" x14ac:dyDescent="0.25">
      <c r="C11" s="228" t="s">
        <v>583</v>
      </c>
      <c r="D11" s="228" t="s">
        <v>996</v>
      </c>
      <c r="E11" s="228" t="s">
        <v>997</v>
      </c>
      <c r="F11" s="229">
        <f>Inputs!$E$83</f>
        <v>4.5</v>
      </c>
      <c r="G11" s="203">
        <f>Dash_MVA*Inputs!$E$17</f>
        <v>100</v>
      </c>
      <c r="H11" s="230">
        <f>F11*G11</f>
        <v>450</v>
      </c>
      <c r="I11" s="230">
        <v>0</v>
      </c>
      <c r="J11" s="230">
        <f t="shared" si="0"/>
        <v>450</v>
      </c>
      <c r="K11" s="237">
        <f>Inputs!$E$97</f>
        <v>46386</v>
      </c>
      <c r="L11" s="161">
        <f>IF(K11="","",(YEAR(K11)-YEAR(Inputs!$E$27))*12+MONTH(K11)-MONTH(Inputs!$E$27))</f>
        <v>5</v>
      </c>
      <c r="M11" s="230">
        <f>J11*1000/Inputs!$E$11</f>
        <v>1232.8767123287671</v>
      </c>
      <c r="N11" s="161">
        <f>IF(L11="",0,IF(L11&gt;Inputs!$E$57,1,0))</f>
        <v>0</v>
      </c>
      <c r="O11" s="230">
        <f>M11*IF(N11=1,Inputs!$E$109,1)</f>
        <v>1232.8767123287671</v>
      </c>
      <c r="P11" s="232">
        <f>Inputs!$E$120</f>
        <v>1</v>
      </c>
      <c r="Q11" s="233">
        <f>Inputs!$E$132</f>
        <v>1</v>
      </c>
      <c r="R11" s="234" t="s">
        <v>989</v>
      </c>
      <c r="S11" s="151">
        <f t="shared" ref="S11:S16" si="3">J11</f>
        <v>450</v>
      </c>
      <c r="T11" s="151">
        <f t="shared" si="2"/>
        <v>450</v>
      </c>
      <c r="U11" s="233">
        <f>Inputs!$E$261</f>
        <v>1</v>
      </c>
      <c r="W11" s="134">
        <f>IF(P11=1,Inputs!$E$61,Inputs!$E$65)</f>
        <v>0.12</v>
      </c>
      <c r="X11" s="210">
        <f>IF(K11&gt;Inputs!$E$64,1,(1+W11*(DATE(YEAR(K11),12,31)-K11+1)/365)*(1+W11)^(YEAR(Inputs!$E$64)-YEAR(K11)-1)*(1+W11*(Inputs!$E$64-DATE(YEAR(Inputs!$E$64),1,1)+1)/365))</f>
        <v>1.3299192846411714</v>
      </c>
      <c r="Y11" s="151">
        <f t="shared" si="1"/>
        <v>406.74980298226609</v>
      </c>
    </row>
    <row r="12" spans="1:25" x14ac:dyDescent="0.25">
      <c r="C12" s="228" t="s">
        <v>584</v>
      </c>
      <c r="D12" s="228" t="s">
        <v>998</v>
      </c>
      <c r="E12" s="228" t="s">
        <v>999</v>
      </c>
      <c r="F12" s="229">
        <f>Inputs!$E$84</f>
        <v>2.54172902</v>
      </c>
      <c r="G12" s="203">
        <f>Dash_MVA*Inputs!$E$17</f>
        <v>100</v>
      </c>
      <c r="H12" s="230">
        <f>F12*G12</f>
        <v>254.17290199999999</v>
      </c>
      <c r="I12" s="230">
        <v>0</v>
      </c>
      <c r="J12" s="230">
        <f t="shared" si="0"/>
        <v>254.17290199999999</v>
      </c>
      <c r="K12" s="237">
        <f>Inputs!$E$99</f>
        <v>47126</v>
      </c>
      <c r="L12" s="161">
        <f>IF(K12="","",(YEAR(K12)-YEAR(Inputs!$E$27))*12+MONTH(K12)-MONTH(Inputs!$E$27))</f>
        <v>30</v>
      </c>
      <c r="M12" s="230">
        <f>J12*1000/Inputs!$E$11</f>
        <v>696.36411506849311</v>
      </c>
      <c r="N12" s="161">
        <f>IF(L12="",0,IF(L12&gt;Inputs!$E$57,1,0))</f>
        <v>0</v>
      </c>
      <c r="O12" s="230">
        <f>M12*IF(N12=1,Inputs!$E$109,1)</f>
        <v>696.36411506849311</v>
      </c>
      <c r="P12" s="232">
        <f>Inputs!$E$121</f>
        <v>1</v>
      </c>
      <c r="Q12" s="233">
        <f>Inputs!$E$133</f>
        <v>1</v>
      </c>
      <c r="R12" s="234" t="s">
        <v>1000</v>
      </c>
      <c r="S12" s="151">
        <f t="shared" si="3"/>
        <v>254.17290199999999</v>
      </c>
      <c r="T12" s="151">
        <f t="shared" si="2"/>
        <v>254.17290199999999</v>
      </c>
      <c r="U12" s="233">
        <f>Inputs!$E$262</f>
        <v>1</v>
      </c>
      <c r="W12" s="134">
        <f>IF(P12=1,Inputs!$E$61,Inputs!$E$65)</f>
        <v>0.12</v>
      </c>
      <c r="X12" s="210">
        <f>IF(K12&gt;Inputs!$E$64,1,(1+W12*(DATE(YEAR(K12),12,31)-K12+1)/365)*(1+W12)^(YEAR(Inputs!$E$64)-YEAR(K12)-1)*(1+W12*(Inputs!$E$64-DATE(YEAR(Inputs!$E$64),1,1)+1)/365))</f>
        <v>1.0573297804466126</v>
      </c>
      <c r="Y12" s="151">
        <f t="shared" si="1"/>
        <v>39.922401827776405</v>
      </c>
    </row>
    <row r="13" spans="1:25" x14ac:dyDescent="0.25">
      <c r="C13" s="228" t="s">
        <v>585</v>
      </c>
      <c r="D13" s="228" t="s">
        <v>1001</v>
      </c>
      <c r="E13" s="228" t="s">
        <v>997</v>
      </c>
      <c r="F13" s="229">
        <f>Inputs!$E$75*Inputs!$E$78*Inputs!$E$79</f>
        <v>0</v>
      </c>
      <c r="G13" s="203">
        <f>Inputs!$E$18</f>
        <v>151</v>
      </c>
      <c r="H13" s="230">
        <f>F13*G13</f>
        <v>0</v>
      </c>
      <c r="I13" s="230">
        <f>-H13*Inputs!$E$108*(K13&gt;Inputs!$E$100)</f>
        <v>0</v>
      </c>
      <c r="J13" s="230">
        <f t="shared" si="0"/>
        <v>0</v>
      </c>
      <c r="K13" s="237">
        <f>Inputs!$E$104</f>
        <v>46500</v>
      </c>
      <c r="L13" s="161">
        <f>IF(K13="","",(YEAR(K13)-YEAR(Inputs!$E$27))*12+MONTH(K13)-MONTH(Inputs!$E$27))</f>
        <v>9</v>
      </c>
      <c r="M13" s="230">
        <f>J13*1000/Inputs!$E$11</f>
        <v>0</v>
      </c>
      <c r="N13" s="161">
        <f>IF(L13="",0,IF(L13&gt;Inputs!$E$57,1,0))</f>
        <v>0</v>
      </c>
      <c r="O13" s="230">
        <f>M13*IF(N13=1,Inputs!$E$109,1)</f>
        <v>0</v>
      </c>
      <c r="P13" s="232">
        <f>Inputs!$E$122</f>
        <v>0</v>
      </c>
      <c r="Q13" s="233">
        <f>Inputs!$E$134</f>
        <v>1</v>
      </c>
      <c r="R13" s="234" t="s">
        <v>989</v>
      </c>
      <c r="S13" s="151">
        <f t="shared" si="3"/>
        <v>0</v>
      </c>
      <c r="T13" s="151">
        <f t="shared" si="2"/>
        <v>0</v>
      </c>
      <c r="U13" s="233">
        <f>Inputs!$E$263</f>
        <v>1</v>
      </c>
      <c r="W13" s="134">
        <f>IF(P13=1,Inputs!$E$61,Inputs!$E$65)</f>
        <v>0.06</v>
      </c>
      <c r="X13" s="210">
        <f>IF(K13&gt;Inputs!$E$64,1,(1+W13*(DATE(YEAR(K13),12,31)-K13+1)/365)*(1+W13)^(YEAR(Inputs!$E$64)-YEAR(K13)-1)*(1+W13*(Inputs!$E$64-DATE(YEAR(Inputs!$E$64),1,1)+1)/365))</f>
        <v>1.1369346750835052</v>
      </c>
      <c r="Y13" s="151">
        <f t="shared" si="1"/>
        <v>0</v>
      </c>
    </row>
    <row r="14" spans="1:25" x14ac:dyDescent="0.25">
      <c r="C14" s="228" t="s">
        <v>586</v>
      </c>
      <c r="D14" s="228" t="s">
        <v>1002</v>
      </c>
      <c r="E14" s="228" t="s">
        <v>997</v>
      </c>
      <c r="F14" s="229">
        <f>Inputs!$E$75*Inputs!$E$78*Inputs!$E$80</f>
        <v>0</v>
      </c>
      <c r="G14" s="203">
        <f>Inputs!$E$18</f>
        <v>151</v>
      </c>
      <c r="H14" s="230">
        <f>F14*G14</f>
        <v>0</v>
      </c>
      <c r="I14" s="230">
        <f>-H14*Inputs!$E$108*(K14&gt;Inputs!$E$100)</f>
        <v>0</v>
      </c>
      <c r="J14" s="230">
        <f t="shared" si="0"/>
        <v>0</v>
      </c>
      <c r="K14" s="237">
        <f>EDATE(Inputs!$E$104,12)</f>
        <v>46866</v>
      </c>
      <c r="L14" s="161">
        <f>IF(K14="","",(YEAR(K14)-YEAR(Inputs!$E$27))*12+MONTH(K14)-MONTH(Inputs!$E$27))</f>
        <v>21</v>
      </c>
      <c r="M14" s="230">
        <f>J14*1000/Inputs!$E$11</f>
        <v>0</v>
      </c>
      <c r="N14" s="161">
        <f>IF(L14="",0,IF(L14&gt;Inputs!$E$57,1,0))</f>
        <v>0</v>
      </c>
      <c r="O14" s="230">
        <f>M14*IF(N14=1,Inputs!$E$109,1)</f>
        <v>0</v>
      </c>
      <c r="P14" s="232">
        <f>Inputs!$E$123</f>
        <v>0</v>
      </c>
      <c r="Q14" s="233">
        <f>Inputs!$E$135</f>
        <v>1</v>
      </c>
      <c r="R14" s="234" t="s">
        <v>989</v>
      </c>
      <c r="S14" s="151">
        <f t="shared" si="3"/>
        <v>0</v>
      </c>
      <c r="T14" s="151">
        <f t="shared" si="2"/>
        <v>0</v>
      </c>
      <c r="U14" s="233">
        <f>Inputs!$E$264</f>
        <v>1</v>
      </c>
      <c r="W14" s="134">
        <f>IF(P14=1,Inputs!$E$61,Inputs!$E$65)</f>
        <v>0.06</v>
      </c>
      <c r="X14" s="210">
        <f>IF(K14&gt;Inputs!$E$64,1,(1+W14*(DATE(YEAR(K14),12,31)-K14+1)/365)*(1+W14)^(YEAR(Inputs!$E$64)-YEAR(K14)-1)*(1+W14*(Inputs!$E$64-DATE(YEAR(Inputs!$E$64),1,1)+1)/365))</f>
        <v>1.0725798821542503</v>
      </c>
      <c r="Y14" s="151">
        <f t="shared" si="1"/>
        <v>0</v>
      </c>
    </row>
    <row r="15" spans="1:25" x14ac:dyDescent="0.25">
      <c r="C15" s="228" t="s">
        <v>1003</v>
      </c>
      <c r="D15" s="228" t="s">
        <v>1004</v>
      </c>
      <c r="E15" s="228" t="s">
        <v>1005</v>
      </c>
      <c r="F15" s="229"/>
      <c r="G15" s="203"/>
      <c r="H15" s="230">
        <v>0</v>
      </c>
      <c r="I15" s="230">
        <f>-Inputs!$E$108*((K13&lt;=Inputs!$E$100)*J13+(K14&lt;=Inputs!$E$100)*J14+(K16&lt;=Inputs!$E$100)*J16+(K17&lt;=Inputs!$E$100)*J17)</f>
        <v>0</v>
      </c>
      <c r="J15" s="230">
        <f t="shared" si="0"/>
        <v>0</v>
      </c>
      <c r="K15" s="237">
        <f>Inputs!$E$100</f>
        <v>46825</v>
      </c>
      <c r="L15" s="161">
        <f>IF(K15="","",(YEAR(K15)-YEAR(Inputs!$E$27))*12+MONTH(K15)-MONTH(Inputs!$E$27))</f>
        <v>20</v>
      </c>
      <c r="M15" s="230">
        <f>J15*1000/Inputs!$E$11</f>
        <v>0</v>
      </c>
      <c r="N15" s="161">
        <f>IF(L15="",0,IF(L15&gt;Inputs!$E$57,1,0))</f>
        <v>0</v>
      </c>
      <c r="O15" s="230">
        <f>M15*IF(N15=1,Inputs!$E$109,1)</f>
        <v>0</v>
      </c>
      <c r="P15" s="232">
        <f>P13</f>
        <v>0</v>
      </c>
      <c r="Q15" s="233">
        <f>Q13</f>
        <v>1</v>
      </c>
      <c r="R15" s="234" t="s">
        <v>993</v>
      </c>
      <c r="S15" s="151">
        <f t="shared" si="3"/>
        <v>0</v>
      </c>
      <c r="T15" s="151">
        <f t="shared" si="2"/>
        <v>0</v>
      </c>
      <c r="U15" s="233">
        <f>U13</f>
        <v>1</v>
      </c>
      <c r="W15" s="134">
        <f>IF(P15=1,Inputs!$E$61,Inputs!$E$65)</f>
        <v>0.06</v>
      </c>
      <c r="X15" s="210">
        <f>IF(K15&gt;Inputs!$E$64,1,(1+W15*(DATE(YEAR(K15),12,31)-K15+1)/365)*(1+W15)^(YEAR(Inputs!$E$64)-YEAR(K15)-1)*(1+W15*(Inputs!$E$64-DATE(YEAR(Inputs!$E$64),1,1)+1)/365))</f>
        <v>1.0795201381122161</v>
      </c>
      <c r="Y15" s="151">
        <f t="shared" si="1"/>
        <v>0</v>
      </c>
    </row>
    <row r="16" spans="1:25" x14ac:dyDescent="0.25">
      <c r="C16" s="228" t="s">
        <v>587</v>
      </c>
      <c r="D16" s="228" t="s">
        <v>1006</v>
      </c>
      <c r="E16" s="228" t="s">
        <v>997</v>
      </c>
      <c r="F16" s="229">
        <f>Inputs!$E$75*Inputs!$E$78*Inputs!$E$80</f>
        <v>0</v>
      </c>
      <c r="G16" s="203">
        <f>Inputs!$E$18</f>
        <v>151</v>
      </c>
      <c r="H16" s="230">
        <f>F16*G16</f>
        <v>0</v>
      </c>
      <c r="I16" s="230">
        <f>-H16*Inputs!$E$108*(K16&gt;Inputs!$E$100)</f>
        <v>0</v>
      </c>
      <c r="J16" s="230">
        <f t="shared" si="0"/>
        <v>0</v>
      </c>
      <c r="K16" s="237">
        <f>EDATE(Inputs!$E$104,24)</f>
        <v>47231</v>
      </c>
      <c r="L16" s="161">
        <f>IF(K16="","",(YEAR(K16)-YEAR(Inputs!$E$27))*12+MONTH(K16)-MONTH(Inputs!$E$27))</f>
        <v>33</v>
      </c>
      <c r="M16" s="230">
        <f>J16*1000/Inputs!$E$11</f>
        <v>0</v>
      </c>
      <c r="N16" s="161">
        <f>IF(L16="",0,IF(L16&gt;Inputs!$E$57,1,0))</f>
        <v>0</v>
      </c>
      <c r="O16" s="230">
        <f>M16*IF(N16=1,Inputs!$E$109,1)</f>
        <v>0</v>
      </c>
      <c r="P16" s="232">
        <f>Inputs!$E$124</f>
        <v>0</v>
      </c>
      <c r="Q16" s="233">
        <f>Inputs!$E$136</f>
        <v>1</v>
      </c>
      <c r="R16" s="234" t="s">
        <v>989</v>
      </c>
      <c r="S16" s="151">
        <f t="shared" si="3"/>
        <v>0</v>
      </c>
      <c r="T16" s="151">
        <f t="shared" si="2"/>
        <v>0</v>
      </c>
      <c r="U16" s="233">
        <f>Inputs!$E$265</f>
        <v>1</v>
      </c>
      <c r="W16" s="134">
        <f>IF(P16=1,Inputs!$E$61,Inputs!$E$65)</f>
        <v>0.06</v>
      </c>
      <c r="X16" s="210">
        <f>IF(K16&gt;Inputs!$E$64,1,(1+W16*(DATE(YEAR(K16),12,31)-K16+1)/365)*(1+W16)^(YEAR(Inputs!$E$64)-YEAR(K16)-1)*(1+W16*(Inputs!$E$64-DATE(YEAR(Inputs!$E$64),1,1)+1)/365))</f>
        <v>1.0118678133530661</v>
      </c>
      <c r="Y16" s="151">
        <f t="shared" si="1"/>
        <v>0</v>
      </c>
    </row>
    <row r="17" spans="2:25" x14ac:dyDescent="0.25">
      <c r="C17" s="228" t="s">
        <v>588</v>
      </c>
      <c r="D17" s="228" t="s">
        <v>1007</v>
      </c>
      <c r="E17" s="228" t="s">
        <v>997</v>
      </c>
      <c r="F17" s="229">
        <f>Inputs!$E$75*Inputs!$E$78*Inputs!$E$80</f>
        <v>0</v>
      </c>
      <c r="G17" s="203">
        <f>Inputs!$E$18</f>
        <v>151</v>
      </c>
      <c r="H17" s="230">
        <f>F17*G17</f>
        <v>0</v>
      </c>
      <c r="I17" s="230">
        <f>-H17*Inputs!$E$108*(K17&gt;Inputs!$E$100)</f>
        <v>0</v>
      </c>
      <c r="J17" s="230">
        <f t="shared" si="0"/>
        <v>0</v>
      </c>
      <c r="K17" s="237">
        <f>EDATE(Inputs!$E$104,36)</f>
        <v>47596</v>
      </c>
      <c r="L17" s="161">
        <f>IF(K17="","",(YEAR(K17)-YEAR(Inputs!$E$27))*12+MONTH(K17)-MONTH(Inputs!$E$27))</f>
        <v>45</v>
      </c>
      <c r="M17" s="230">
        <f>J17*1000/Inputs!$E$11</f>
        <v>0</v>
      </c>
      <c r="N17" s="161">
        <f>IF(L17="",0,IF(L17&gt;Inputs!$E$57,1,0))</f>
        <v>1</v>
      </c>
      <c r="O17" s="230">
        <f>M17*IF(N17=1,Inputs!$E$109,1)</f>
        <v>0</v>
      </c>
      <c r="P17" s="232">
        <f>Inputs!$E$125</f>
        <v>0</v>
      </c>
      <c r="Q17" s="233">
        <f>Inputs!$E$137</f>
        <v>1</v>
      </c>
      <c r="R17" s="234" t="s">
        <v>989</v>
      </c>
      <c r="S17" s="151">
        <v>0</v>
      </c>
      <c r="T17" s="151">
        <v>0</v>
      </c>
      <c r="U17" s="233">
        <f>Inputs!$E$266</f>
        <v>1</v>
      </c>
      <c r="W17" s="134">
        <f>IF(P17=1,Inputs!$E$61,Inputs!$E$65)</f>
        <v>0.06</v>
      </c>
      <c r="X17" s="210">
        <f>IF(K17&gt;Inputs!$E$64,1,(1+W17*(DATE(YEAR(K17),12,31)-K17+1)/365)*(1+W17)^(YEAR(Inputs!$E$64)-YEAR(K17)-1)*(1+W17*(Inputs!$E$64-DATE(YEAR(Inputs!$E$64),1,1)+1)/365))</f>
        <v>1</v>
      </c>
      <c r="Y17" s="151">
        <f t="shared" si="1"/>
        <v>0</v>
      </c>
    </row>
    <row r="18" spans="2:25" x14ac:dyDescent="0.25">
      <c r="C18" s="228" t="s">
        <v>1008</v>
      </c>
      <c r="D18" s="228" t="s">
        <v>1009</v>
      </c>
      <c r="E18" s="228" t="s">
        <v>997</v>
      </c>
      <c r="F18" s="229">
        <f>Inputs!$E$85</f>
        <v>73.071306000000007</v>
      </c>
      <c r="G18" s="203">
        <f>Dash_MVA*Inputs!$E$17</f>
        <v>100</v>
      </c>
      <c r="H18" s="230">
        <f>F18*G18</f>
        <v>7307.1306000000004</v>
      </c>
      <c r="I18" s="230">
        <f>-J11</f>
        <v>-450</v>
      </c>
      <c r="J18" s="230">
        <f t="shared" si="0"/>
        <v>6857.1306000000004</v>
      </c>
      <c r="K18" s="237">
        <f>Inputs!$E$99</f>
        <v>47126</v>
      </c>
      <c r="L18" s="161">
        <f>IF(K18="","",(YEAR(K18)-YEAR(Inputs!$E$27))*12+MONTH(K18)-MONTH(Inputs!$E$27))</f>
        <v>30</v>
      </c>
      <c r="M18" s="230">
        <f>J18*1000/Inputs!$E$11</f>
        <v>18786.659178082195</v>
      </c>
      <c r="N18" s="161">
        <f>IF(L18="",0,IF(L18&gt;Inputs!$E$57,1,0))</f>
        <v>0</v>
      </c>
      <c r="O18" s="230">
        <f>M18*IF(N18=1,Inputs!$E$109,1)</f>
        <v>18786.659178082195</v>
      </c>
      <c r="P18" s="232">
        <f>Inputs!$E$126</f>
        <v>1</v>
      </c>
      <c r="Q18" s="233">
        <f>Inputs!$E$138</f>
        <v>1</v>
      </c>
      <c r="R18" s="234" t="s">
        <v>1000</v>
      </c>
      <c r="S18" s="151">
        <f>J18+J11</f>
        <v>7307.1306000000004</v>
      </c>
      <c r="T18" s="151">
        <f>J18</f>
        <v>6857.1306000000004</v>
      </c>
      <c r="U18" s="233">
        <f>Inputs!$E$267</f>
        <v>1</v>
      </c>
      <c r="W18" s="134">
        <f>IF(P18=1,Inputs!$E$61,Inputs!$E$65)</f>
        <v>0.12</v>
      </c>
      <c r="X18" s="210">
        <f>IF(K18&gt;Inputs!$E$64,1,(1+W18*(DATE(YEAR(K18),12,31)-K18+1)/365)*(1+W18)^(YEAR(Inputs!$E$64)-YEAR(K18)-1)*(1+W18*(Inputs!$E$64-DATE(YEAR(Inputs!$E$64),1,1)+1)/365))</f>
        <v>1.0573297804466126</v>
      </c>
      <c r="Y18" s="151">
        <f t="shared" si="1"/>
        <v>1077.0350460047923</v>
      </c>
    </row>
    <row r="19" spans="2:25" x14ac:dyDescent="0.25">
      <c r="C19" s="238" t="s">
        <v>295</v>
      </c>
      <c r="D19" s="238"/>
      <c r="E19" s="238"/>
      <c r="F19" s="239"/>
      <c r="G19" s="239"/>
      <c r="H19" s="240">
        <f>SUM(H7:H18)</f>
        <v>10573.483502000001</v>
      </c>
      <c r="I19" s="240">
        <f>SUM(I7:I18)</f>
        <v>-876.53</v>
      </c>
      <c r="J19" s="240">
        <f>SUM(J7:J18)</f>
        <v>9696.9535020000003</v>
      </c>
      <c r="K19" s="241"/>
      <c r="L19" s="242"/>
      <c r="M19" s="240">
        <f>SUM(M7:M18)</f>
        <v>26566.995895890417</v>
      </c>
      <c r="N19" s="242"/>
      <c r="O19" s="240">
        <f>SUM(O7:O18)</f>
        <v>26566.995895890417</v>
      </c>
      <c r="P19" s="242"/>
      <c r="Q19" s="243"/>
      <c r="R19" s="238"/>
      <c r="S19" s="240">
        <f>SUM(S7:S18)</f>
        <v>10570.483502000001</v>
      </c>
      <c r="T19" s="240">
        <f>SUM(T7:T18)</f>
        <v>9693.9535020000003</v>
      </c>
      <c r="U19" s="243"/>
      <c r="Y19" s="244">
        <f>SUM(Y7:Y18)</f>
        <v>2459.9308720980252</v>
      </c>
    </row>
    <row r="21" spans="2:25" x14ac:dyDescent="0.25">
      <c r="B21" t="s">
        <v>7</v>
      </c>
      <c r="C21" s="245" t="s">
        <v>1010</v>
      </c>
      <c r="D21" s="215"/>
      <c r="E21" s="215"/>
      <c r="F21" s="215"/>
      <c r="G21" s="215"/>
      <c r="H21" s="215"/>
      <c r="I21" s="215"/>
      <c r="J21" s="215"/>
      <c r="K21" s="215"/>
      <c r="L21" s="215"/>
      <c r="M21" s="215"/>
      <c r="N21" s="215"/>
      <c r="O21" s="215"/>
      <c r="P21" s="215"/>
      <c r="Q21" s="215"/>
      <c r="R21" s="215"/>
      <c r="S21" s="215"/>
      <c r="T21" s="215"/>
      <c r="W21" s="198" t="s">
        <v>1011</v>
      </c>
    </row>
    <row r="22" spans="2:25" x14ac:dyDescent="0.25">
      <c r="C22" t="s">
        <v>1012</v>
      </c>
      <c r="D22" t="s">
        <v>169</v>
      </c>
      <c r="E22" s="151">
        <f>H19</f>
        <v>10573.483502000001</v>
      </c>
      <c r="W22" t="s">
        <v>1013</v>
      </c>
      <c r="Y22" s="151">
        <f>SUMIFS(Y7:Y18,P7:P18,0)</f>
        <v>933.29288415813448</v>
      </c>
    </row>
    <row r="23" spans="2:25" x14ac:dyDescent="0.25">
      <c r="C23" t="s">
        <v>1014</v>
      </c>
      <c r="D23" t="s">
        <v>169</v>
      </c>
      <c r="E23" s="151">
        <f>J19</f>
        <v>9696.9535020000003</v>
      </c>
      <c r="W23" t="s">
        <v>1015</v>
      </c>
      <c r="Y23" s="151">
        <f>SUMIFS(Y7:Y18,P7:P18,1,R7:R18,"&lt;&gt;Fee")</f>
        <v>1523.7072508148349</v>
      </c>
    </row>
    <row r="24" spans="2:25" x14ac:dyDescent="0.25">
      <c r="C24" t="s">
        <v>1014</v>
      </c>
      <c r="D24" t="s">
        <v>125</v>
      </c>
      <c r="E24" s="173">
        <f>M19</f>
        <v>26566.995895890417</v>
      </c>
      <c r="W24" t="s">
        <v>1016</v>
      </c>
      <c r="Y24" s="151">
        <f>SUMIFS(Y7:Y18,R7:R18,"Fee")</f>
        <v>2.9307371250560292</v>
      </c>
    </row>
    <row r="25" spans="2:25" x14ac:dyDescent="0.25">
      <c r="C25" t="s">
        <v>1017</v>
      </c>
      <c r="D25" t="s">
        <v>125</v>
      </c>
      <c r="E25" s="173">
        <f>O19</f>
        <v>26566.995895890417</v>
      </c>
    </row>
    <row r="26" spans="2:25" x14ac:dyDescent="0.25">
      <c r="C26" t="s">
        <v>1018</v>
      </c>
      <c r="D26" t="s">
        <v>125</v>
      </c>
      <c r="E26" s="173">
        <f>SUMPRODUCT(O7:O18,P7:P18)</f>
        <v>20724.119183561648</v>
      </c>
    </row>
    <row r="27" spans="2:25" x14ac:dyDescent="0.25">
      <c r="C27" t="s">
        <v>1019</v>
      </c>
      <c r="D27" t="s">
        <v>125</v>
      </c>
      <c r="E27" s="173">
        <f t="array" ref="E27">SUMPRODUCT(O7:O18,1-P7:P18)</f>
        <v>5842.8767123287689</v>
      </c>
    </row>
    <row r="28" spans="2:25" x14ac:dyDescent="0.25">
      <c r="C28" t="s">
        <v>1020</v>
      </c>
      <c r="D28" t="s">
        <v>169</v>
      </c>
      <c r="E28" s="151">
        <f>H19</f>
        <v>10573.483502000001</v>
      </c>
    </row>
    <row r="29" spans="2:25" x14ac:dyDescent="0.25">
      <c r="C29" t="s">
        <v>1021</v>
      </c>
      <c r="D29" t="s">
        <v>169</v>
      </c>
      <c r="E29" s="151">
        <f>SUM(H7:H18)</f>
        <v>10573.483502000001</v>
      </c>
    </row>
    <row r="30" spans="2:25" x14ac:dyDescent="0.25">
      <c r="C30" t="s">
        <v>1022</v>
      </c>
      <c r="D30" t="s">
        <v>169</v>
      </c>
      <c r="E30" s="151">
        <f>E28-E29</f>
        <v>0</v>
      </c>
    </row>
    <row r="31" spans="2:25" x14ac:dyDescent="0.25">
      <c r="C31" t="s">
        <v>1023</v>
      </c>
      <c r="D31" t="s">
        <v>125</v>
      </c>
      <c r="E31" s="151">
        <f>O19</f>
        <v>26566.995895890417</v>
      </c>
    </row>
    <row r="32" spans="2:25" x14ac:dyDescent="0.25">
      <c r="C32" t="s">
        <v>1024</v>
      </c>
      <c r="D32" t="s">
        <v>125</v>
      </c>
      <c r="E32" s="151">
        <f>MOIC!$G$40</f>
        <v>26566.995895890414</v>
      </c>
    </row>
    <row r="33" spans="3:5" x14ac:dyDescent="0.25">
      <c r="C33" t="s">
        <v>1025</v>
      </c>
      <c r="D33" t="s">
        <v>125</v>
      </c>
      <c r="E33" s="151">
        <f>E31-E32</f>
        <v>0</v>
      </c>
    </row>
    <row r="34" spans="3:5" x14ac:dyDescent="0.25">
      <c r="C34" s="198" t="s">
        <v>1026</v>
      </c>
      <c r="D34" s="198" t="s">
        <v>194</v>
      </c>
      <c r="E34" s="198" t="str">
        <f>IF(AND(ABS(E30)&lt;0.01,ABS(E33)&lt;0.01),"OK","FAIL")</f>
        <v>OK</v>
      </c>
    </row>
    <row r="35" spans="3:5" x14ac:dyDescent="0.25">
      <c r="C35" s="124" t="s">
        <v>1027</v>
      </c>
    </row>
  </sheetData>
  <pageMargins left="0.7" right="0.7" top="0.75" bottom="0.75" header="0.511811023622047" footer="0.511811023622047"/>
  <pageSetup paperSize="9" orientation="portrait" horizontalDpi="300" verticalDpi="30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00"/>
  </sheetPr>
  <dimension ref="A1:BP270"/>
  <sheetViews>
    <sheetView showGridLines="0" zoomScaleNormal="100" workbookViewId="0">
      <pane xSplit="7" ySplit="9" topLeftCell="H22" activePane="bottomRight" state="frozen"/>
      <selection pane="topRight" activeCell="H1" sqref="H1"/>
      <selection pane="bottomLeft" activeCell="A22" sqref="A22"/>
      <selection pane="bottomRight" activeCell="G186" sqref="G186"/>
    </sheetView>
  </sheetViews>
  <sheetFormatPr defaultColWidth="8.5703125" defaultRowHeight="15" outlineLevelRow="1" x14ac:dyDescent="0.25"/>
  <cols>
    <col min="1" max="2" width="2.5703125" customWidth="1"/>
    <col min="3" max="3" width="62.85546875" customWidth="1"/>
    <col min="4" max="4" width="10.42578125" customWidth="1"/>
    <col min="5" max="6" width="13.42578125" customWidth="1"/>
    <col min="7" max="7" width="18.140625" customWidth="1"/>
    <col min="8" max="68" width="13" customWidth="1"/>
  </cols>
  <sheetData>
    <row r="1" spans="1:68" ht="18.75" customHeight="1" x14ac:dyDescent="0.3">
      <c r="A1" s="123" t="str">
        <f>Inputs!A1</f>
        <v>HUN Onshore Wind – MOIC model v5</v>
      </c>
    </row>
    <row r="2" spans="1:68" x14ac:dyDescent="0.25">
      <c r="A2" s="124" t="s">
        <v>1028</v>
      </c>
    </row>
    <row r="3" spans="1:68" x14ac:dyDescent="0.25">
      <c r="A3" s="124" t="s">
        <v>1029</v>
      </c>
    </row>
    <row r="4" spans="1:68" x14ac:dyDescent="0.25">
      <c r="C4" s="246" t="s">
        <v>912</v>
      </c>
      <c r="D4" s="246" t="s">
        <v>29</v>
      </c>
      <c r="E4" s="246"/>
      <c r="F4" s="246"/>
      <c r="G4" s="246"/>
      <c r="H4" s="247">
        <v>0</v>
      </c>
      <c r="I4" s="247">
        <f t="shared" ref="I4:AN4" si="0">H4+1</f>
        <v>1</v>
      </c>
      <c r="J4" s="247">
        <f t="shared" si="0"/>
        <v>2</v>
      </c>
      <c r="K4" s="247">
        <f t="shared" si="0"/>
        <v>3</v>
      </c>
      <c r="L4" s="247">
        <f t="shared" si="0"/>
        <v>4</v>
      </c>
      <c r="M4" s="247">
        <f t="shared" si="0"/>
        <v>5</v>
      </c>
      <c r="N4" s="247">
        <f t="shared" si="0"/>
        <v>6</v>
      </c>
      <c r="O4" s="247">
        <f t="shared" si="0"/>
        <v>7</v>
      </c>
      <c r="P4" s="247">
        <f t="shared" si="0"/>
        <v>8</v>
      </c>
      <c r="Q4" s="247">
        <f t="shared" si="0"/>
        <v>9</v>
      </c>
      <c r="R4" s="247">
        <f t="shared" si="0"/>
        <v>10</v>
      </c>
      <c r="S4" s="247">
        <f t="shared" si="0"/>
        <v>11</v>
      </c>
      <c r="T4" s="247">
        <f t="shared" si="0"/>
        <v>12</v>
      </c>
      <c r="U4" s="247">
        <f t="shared" si="0"/>
        <v>13</v>
      </c>
      <c r="V4" s="247">
        <f t="shared" si="0"/>
        <v>14</v>
      </c>
      <c r="W4" s="247">
        <f t="shared" si="0"/>
        <v>15</v>
      </c>
      <c r="X4" s="247">
        <f t="shared" si="0"/>
        <v>16</v>
      </c>
      <c r="Y4" s="247">
        <f t="shared" si="0"/>
        <v>17</v>
      </c>
      <c r="Z4" s="247">
        <f t="shared" si="0"/>
        <v>18</v>
      </c>
      <c r="AA4" s="247">
        <f t="shared" si="0"/>
        <v>19</v>
      </c>
      <c r="AB4" s="247">
        <f t="shared" si="0"/>
        <v>20</v>
      </c>
      <c r="AC4" s="247">
        <f t="shared" si="0"/>
        <v>21</v>
      </c>
      <c r="AD4" s="247">
        <f t="shared" si="0"/>
        <v>22</v>
      </c>
      <c r="AE4" s="247">
        <f t="shared" si="0"/>
        <v>23</v>
      </c>
      <c r="AF4" s="247">
        <f t="shared" si="0"/>
        <v>24</v>
      </c>
      <c r="AG4" s="247">
        <f t="shared" si="0"/>
        <v>25</v>
      </c>
      <c r="AH4" s="247">
        <f t="shared" si="0"/>
        <v>26</v>
      </c>
      <c r="AI4" s="247">
        <f t="shared" si="0"/>
        <v>27</v>
      </c>
      <c r="AJ4" s="247">
        <f t="shared" si="0"/>
        <v>28</v>
      </c>
      <c r="AK4" s="247">
        <f t="shared" si="0"/>
        <v>29</v>
      </c>
      <c r="AL4" s="247">
        <f t="shared" si="0"/>
        <v>30</v>
      </c>
      <c r="AM4" s="247">
        <f t="shared" si="0"/>
        <v>31</v>
      </c>
      <c r="AN4" s="247">
        <f t="shared" si="0"/>
        <v>32</v>
      </c>
      <c r="AO4" s="247">
        <f t="shared" ref="AO4:BP4" si="1">AN4+1</f>
        <v>33</v>
      </c>
      <c r="AP4" s="247">
        <f t="shared" si="1"/>
        <v>34</v>
      </c>
      <c r="AQ4" s="247">
        <f t="shared" si="1"/>
        <v>35</v>
      </c>
      <c r="AR4" s="247">
        <f t="shared" si="1"/>
        <v>36</v>
      </c>
      <c r="AS4" s="247">
        <f t="shared" si="1"/>
        <v>37</v>
      </c>
      <c r="AT4" s="247">
        <f t="shared" si="1"/>
        <v>38</v>
      </c>
      <c r="AU4" s="247">
        <f t="shared" si="1"/>
        <v>39</v>
      </c>
      <c r="AV4" s="247">
        <f t="shared" si="1"/>
        <v>40</v>
      </c>
      <c r="AW4" s="247">
        <f t="shared" si="1"/>
        <v>41</v>
      </c>
      <c r="AX4" s="247">
        <f t="shared" si="1"/>
        <v>42</v>
      </c>
      <c r="AY4" s="247">
        <f t="shared" si="1"/>
        <v>43</v>
      </c>
      <c r="AZ4" s="247">
        <f t="shared" si="1"/>
        <v>44</v>
      </c>
      <c r="BA4" s="247">
        <f t="shared" si="1"/>
        <v>45</v>
      </c>
      <c r="BB4" s="247">
        <f t="shared" si="1"/>
        <v>46</v>
      </c>
      <c r="BC4" s="247">
        <f t="shared" si="1"/>
        <v>47</v>
      </c>
      <c r="BD4" s="247">
        <f t="shared" si="1"/>
        <v>48</v>
      </c>
      <c r="BE4" s="247">
        <f t="shared" si="1"/>
        <v>49</v>
      </c>
      <c r="BF4" s="247">
        <f t="shared" si="1"/>
        <v>50</v>
      </c>
      <c r="BG4" s="247">
        <f t="shared" si="1"/>
        <v>51</v>
      </c>
      <c r="BH4" s="247">
        <f t="shared" si="1"/>
        <v>52</v>
      </c>
      <c r="BI4" s="247">
        <f t="shared" si="1"/>
        <v>53</v>
      </c>
      <c r="BJ4" s="247">
        <f t="shared" si="1"/>
        <v>54</v>
      </c>
      <c r="BK4" s="247">
        <f t="shared" si="1"/>
        <v>55</v>
      </c>
      <c r="BL4" s="247">
        <f t="shared" si="1"/>
        <v>56</v>
      </c>
      <c r="BM4" s="247">
        <f t="shared" si="1"/>
        <v>57</v>
      </c>
      <c r="BN4" s="247">
        <f t="shared" si="1"/>
        <v>58</v>
      </c>
      <c r="BO4" s="247">
        <f t="shared" si="1"/>
        <v>59</v>
      </c>
      <c r="BP4" s="247">
        <f t="shared" si="1"/>
        <v>60</v>
      </c>
    </row>
    <row r="5" spans="1:68" x14ac:dyDescent="0.25">
      <c r="C5" s="246" t="s">
        <v>914</v>
      </c>
      <c r="D5" s="246" t="s">
        <v>266</v>
      </c>
      <c r="E5" s="246"/>
      <c r="F5" s="246"/>
      <c r="G5" s="246"/>
      <c r="H5" s="248">
        <f>Inputs!$E$27</f>
        <v>46234</v>
      </c>
      <c r="I5" s="249">
        <f t="shared" ref="I5:AN5" si="2">EOMONTH(H5,1)</f>
        <v>46265</v>
      </c>
      <c r="J5" s="249">
        <f t="shared" si="2"/>
        <v>46295</v>
      </c>
      <c r="K5" s="249">
        <f t="shared" si="2"/>
        <v>46326</v>
      </c>
      <c r="L5" s="249">
        <f t="shared" si="2"/>
        <v>46356</v>
      </c>
      <c r="M5" s="249">
        <f t="shared" si="2"/>
        <v>46387</v>
      </c>
      <c r="N5" s="249">
        <f t="shared" si="2"/>
        <v>46418</v>
      </c>
      <c r="O5" s="249">
        <f t="shared" si="2"/>
        <v>46446</v>
      </c>
      <c r="P5" s="249">
        <f t="shared" si="2"/>
        <v>46477</v>
      </c>
      <c r="Q5" s="249">
        <f t="shared" si="2"/>
        <v>46507</v>
      </c>
      <c r="R5" s="249">
        <f t="shared" si="2"/>
        <v>46538</v>
      </c>
      <c r="S5" s="249">
        <f t="shared" si="2"/>
        <v>46568</v>
      </c>
      <c r="T5" s="249">
        <f t="shared" si="2"/>
        <v>46599</v>
      </c>
      <c r="U5" s="249">
        <f t="shared" si="2"/>
        <v>46630</v>
      </c>
      <c r="V5" s="249">
        <f t="shared" si="2"/>
        <v>46660</v>
      </c>
      <c r="W5" s="249">
        <f t="shared" si="2"/>
        <v>46691</v>
      </c>
      <c r="X5" s="249">
        <f t="shared" si="2"/>
        <v>46721</v>
      </c>
      <c r="Y5" s="249">
        <f t="shared" si="2"/>
        <v>46752</v>
      </c>
      <c r="Z5" s="249">
        <f t="shared" si="2"/>
        <v>46783</v>
      </c>
      <c r="AA5" s="249">
        <f t="shared" si="2"/>
        <v>46812</v>
      </c>
      <c r="AB5" s="249">
        <f t="shared" si="2"/>
        <v>46843</v>
      </c>
      <c r="AC5" s="249">
        <f t="shared" si="2"/>
        <v>46873</v>
      </c>
      <c r="AD5" s="249">
        <f t="shared" si="2"/>
        <v>46904</v>
      </c>
      <c r="AE5" s="249">
        <f t="shared" si="2"/>
        <v>46934</v>
      </c>
      <c r="AF5" s="249">
        <f t="shared" si="2"/>
        <v>46965</v>
      </c>
      <c r="AG5" s="249">
        <f t="shared" si="2"/>
        <v>46996</v>
      </c>
      <c r="AH5" s="249">
        <f t="shared" si="2"/>
        <v>47026</v>
      </c>
      <c r="AI5" s="249">
        <f t="shared" si="2"/>
        <v>47057</v>
      </c>
      <c r="AJ5" s="249">
        <f t="shared" si="2"/>
        <v>47087</v>
      </c>
      <c r="AK5" s="249">
        <f t="shared" si="2"/>
        <v>47118</v>
      </c>
      <c r="AL5" s="249">
        <f t="shared" si="2"/>
        <v>47149</v>
      </c>
      <c r="AM5" s="249">
        <f t="shared" si="2"/>
        <v>47177</v>
      </c>
      <c r="AN5" s="249">
        <f t="shared" si="2"/>
        <v>47208</v>
      </c>
      <c r="AO5" s="249">
        <f t="shared" ref="AO5:BP5" si="3">EOMONTH(AN5,1)</f>
        <v>47238</v>
      </c>
      <c r="AP5" s="249">
        <f t="shared" si="3"/>
        <v>47269</v>
      </c>
      <c r="AQ5" s="249">
        <f t="shared" si="3"/>
        <v>47299</v>
      </c>
      <c r="AR5" s="249">
        <f t="shared" si="3"/>
        <v>47330</v>
      </c>
      <c r="AS5" s="249">
        <f t="shared" si="3"/>
        <v>47361</v>
      </c>
      <c r="AT5" s="249">
        <f t="shared" si="3"/>
        <v>47391</v>
      </c>
      <c r="AU5" s="249">
        <f t="shared" si="3"/>
        <v>47422</v>
      </c>
      <c r="AV5" s="249">
        <f t="shared" si="3"/>
        <v>47452</v>
      </c>
      <c r="AW5" s="249">
        <f t="shared" si="3"/>
        <v>47483</v>
      </c>
      <c r="AX5" s="249">
        <f t="shared" si="3"/>
        <v>47514</v>
      </c>
      <c r="AY5" s="249">
        <f t="shared" si="3"/>
        <v>47542</v>
      </c>
      <c r="AZ5" s="249">
        <f t="shared" si="3"/>
        <v>47573</v>
      </c>
      <c r="BA5" s="249">
        <f t="shared" si="3"/>
        <v>47603</v>
      </c>
      <c r="BB5" s="249">
        <f t="shared" si="3"/>
        <v>47634</v>
      </c>
      <c r="BC5" s="249">
        <f t="shared" si="3"/>
        <v>47664</v>
      </c>
      <c r="BD5" s="249">
        <f t="shared" si="3"/>
        <v>47695</v>
      </c>
      <c r="BE5" s="249">
        <f t="shared" si="3"/>
        <v>47726</v>
      </c>
      <c r="BF5" s="249">
        <f t="shared" si="3"/>
        <v>47756</v>
      </c>
      <c r="BG5" s="249">
        <f t="shared" si="3"/>
        <v>47787</v>
      </c>
      <c r="BH5" s="249">
        <f t="shared" si="3"/>
        <v>47817</v>
      </c>
      <c r="BI5" s="249">
        <f t="shared" si="3"/>
        <v>47848</v>
      </c>
      <c r="BJ5" s="249">
        <f t="shared" si="3"/>
        <v>47879</v>
      </c>
      <c r="BK5" s="249">
        <f t="shared" si="3"/>
        <v>47907</v>
      </c>
      <c r="BL5" s="249">
        <f t="shared" si="3"/>
        <v>47938</v>
      </c>
      <c r="BM5" s="249">
        <f t="shared" si="3"/>
        <v>47968</v>
      </c>
      <c r="BN5" s="249">
        <f t="shared" si="3"/>
        <v>47999</v>
      </c>
      <c r="BO5" s="249">
        <f t="shared" si="3"/>
        <v>48029</v>
      </c>
      <c r="BP5" s="249">
        <f t="shared" si="3"/>
        <v>48060</v>
      </c>
    </row>
    <row r="6" spans="1:68" x14ac:dyDescent="0.25">
      <c r="C6" s="250" t="s">
        <v>1030</v>
      </c>
      <c r="D6" s="250" t="s">
        <v>984</v>
      </c>
      <c r="E6" s="250"/>
      <c r="F6" s="250"/>
      <c r="G6" s="250"/>
      <c r="H6" s="251">
        <f>N(H$4=Inputs!$E$55)</f>
        <v>0</v>
      </c>
      <c r="I6" s="251">
        <f>N(I$4=Inputs!$E$55)</f>
        <v>0</v>
      </c>
      <c r="J6" s="251">
        <f>N(J$4=Inputs!$E$55)</f>
        <v>0</v>
      </c>
      <c r="K6" s="251">
        <f>N(K$4=Inputs!$E$55)</f>
        <v>0</v>
      </c>
      <c r="L6" s="251">
        <f>N(L$4=Inputs!$E$55)</f>
        <v>0</v>
      </c>
      <c r="M6" s="251">
        <f>N(M$4=Inputs!$E$55)</f>
        <v>0</v>
      </c>
      <c r="N6" s="251">
        <f>N(N$4=Inputs!$E$55)</f>
        <v>0</v>
      </c>
      <c r="O6" s="251">
        <f>N(O$4=Inputs!$E$55)</f>
        <v>0</v>
      </c>
      <c r="P6" s="251">
        <f>N(P$4=Inputs!$E$55)</f>
        <v>0</v>
      </c>
      <c r="Q6" s="251">
        <f>N(Q$4=Inputs!$E$55)</f>
        <v>0</v>
      </c>
      <c r="R6" s="251">
        <f>N(R$4=Inputs!$E$55)</f>
        <v>0</v>
      </c>
      <c r="S6" s="251">
        <f>N(S$4=Inputs!$E$55)</f>
        <v>0</v>
      </c>
      <c r="T6" s="251">
        <f>N(T$4=Inputs!$E$55)</f>
        <v>0</v>
      </c>
      <c r="U6" s="251">
        <f>N(U$4=Inputs!$E$55)</f>
        <v>0</v>
      </c>
      <c r="V6" s="251">
        <f>N(V$4=Inputs!$E$55)</f>
        <v>0</v>
      </c>
      <c r="W6" s="251">
        <f>N(W$4=Inputs!$E$55)</f>
        <v>0</v>
      </c>
      <c r="X6" s="251">
        <f>N(X$4=Inputs!$E$55)</f>
        <v>0</v>
      </c>
      <c r="Y6" s="251">
        <f>N(Y$4=Inputs!$E$55)</f>
        <v>0</v>
      </c>
      <c r="Z6" s="251">
        <f>N(Z$4=Inputs!$E$55)</f>
        <v>0</v>
      </c>
      <c r="AA6" s="251">
        <f>N(AA$4=Inputs!$E$55)</f>
        <v>0</v>
      </c>
      <c r="AB6" s="251">
        <f>N(AB$4=Inputs!$E$55)</f>
        <v>0</v>
      </c>
      <c r="AC6" s="251">
        <f>N(AC$4=Inputs!$E$55)</f>
        <v>0</v>
      </c>
      <c r="AD6" s="251">
        <f>N(AD$4=Inputs!$E$55)</f>
        <v>0</v>
      </c>
      <c r="AE6" s="251">
        <f>N(AE$4=Inputs!$E$55)</f>
        <v>0</v>
      </c>
      <c r="AF6" s="251">
        <f>N(AF$4=Inputs!$E$55)</f>
        <v>0</v>
      </c>
      <c r="AG6" s="251">
        <f>N(AG$4=Inputs!$E$55)</f>
        <v>0</v>
      </c>
      <c r="AH6" s="251">
        <f>N(AH$4=Inputs!$E$55)</f>
        <v>0</v>
      </c>
      <c r="AI6" s="251">
        <f>N(AI$4=Inputs!$E$55)</f>
        <v>0</v>
      </c>
      <c r="AJ6" s="251">
        <f>N(AJ$4=Inputs!$E$55)</f>
        <v>0</v>
      </c>
      <c r="AK6" s="251">
        <f>N(AK$4=Inputs!$E$55)</f>
        <v>0</v>
      </c>
      <c r="AL6" s="251">
        <f>N(AL$4=Inputs!$E$55)</f>
        <v>0</v>
      </c>
      <c r="AM6" s="251">
        <f>N(AM$4=Inputs!$E$55)</f>
        <v>0</v>
      </c>
      <c r="AN6" s="251">
        <f>N(AN$4=Inputs!$E$55)</f>
        <v>1</v>
      </c>
      <c r="AO6" s="251">
        <f>N(AO$4=Inputs!$E$55)</f>
        <v>0</v>
      </c>
      <c r="AP6" s="251">
        <f>N(AP$4=Inputs!$E$55)</f>
        <v>0</v>
      </c>
      <c r="AQ6" s="251">
        <f>N(AQ$4=Inputs!$E$55)</f>
        <v>0</v>
      </c>
      <c r="AR6" s="251">
        <f>N(AR$4=Inputs!$E$55)</f>
        <v>0</v>
      </c>
      <c r="AS6" s="251">
        <f>N(AS$4=Inputs!$E$55)</f>
        <v>0</v>
      </c>
      <c r="AT6" s="251">
        <f>N(AT$4=Inputs!$E$55)</f>
        <v>0</v>
      </c>
      <c r="AU6" s="251">
        <f>N(AU$4=Inputs!$E$55)</f>
        <v>0</v>
      </c>
      <c r="AV6" s="251">
        <f>N(AV$4=Inputs!$E$55)</f>
        <v>0</v>
      </c>
      <c r="AW6" s="251">
        <f>N(AW$4=Inputs!$E$55)</f>
        <v>0</v>
      </c>
      <c r="AX6" s="251">
        <f>N(AX$4=Inputs!$E$55)</f>
        <v>0</v>
      </c>
      <c r="AY6" s="251">
        <f>N(AY$4=Inputs!$E$55)</f>
        <v>0</v>
      </c>
      <c r="AZ6" s="251">
        <f>N(AZ$4=Inputs!$E$55)</f>
        <v>0</v>
      </c>
      <c r="BA6" s="251">
        <f>N(BA$4=Inputs!$E$55)</f>
        <v>0</v>
      </c>
      <c r="BB6" s="251">
        <f>N(BB$4=Inputs!$E$55)</f>
        <v>0</v>
      </c>
      <c r="BC6" s="251">
        <f>N(BC$4=Inputs!$E$55)</f>
        <v>0</v>
      </c>
      <c r="BD6" s="251">
        <f>N(BD$4=Inputs!$E$55)</f>
        <v>0</v>
      </c>
      <c r="BE6" s="251">
        <f>N(BE$4=Inputs!$E$55)</f>
        <v>0</v>
      </c>
      <c r="BF6" s="251">
        <f>N(BF$4=Inputs!$E$55)</f>
        <v>0</v>
      </c>
      <c r="BG6" s="251">
        <f>N(BG$4=Inputs!$E$55)</f>
        <v>0</v>
      </c>
      <c r="BH6" s="251">
        <f>N(BH$4=Inputs!$E$55)</f>
        <v>0</v>
      </c>
      <c r="BI6" s="251">
        <f>N(BI$4=Inputs!$E$55)</f>
        <v>0</v>
      </c>
      <c r="BJ6" s="251">
        <f>N(BJ$4=Inputs!$E$55)</f>
        <v>0</v>
      </c>
      <c r="BK6" s="251">
        <f>N(BK$4=Inputs!$E$55)</f>
        <v>0</v>
      </c>
      <c r="BL6" s="251">
        <f>N(BL$4=Inputs!$E$55)</f>
        <v>0</v>
      </c>
      <c r="BM6" s="251">
        <f>N(BM$4=Inputs!$E$55)</f>
        <v>0</v>
      </c>
      <c r="BN6" s="251">
        <f>N(BN$4=Inputs!$E$55)</f>
        <v>0</v>
      </c>
      <c r="BO6" s="251">
        <f>N(BO$4=Inputs!$E$55)</f>
        <v>0</v>
      </c>
      <c r="BP6" s="251">
        <f>N(BP$4=Inputs!$E$55)</f>
        <v>0</v>
      </c>
    </row>
    <row r="7" spans="1:68" x14ac:dyDescent="0.25">
      <c r="C7" s="250" t="s">
        <v>1031</v>
      </c>
      <c r="D7" s="250" t="s">
        <v>984</v>
      </c>
      <c r="E7" s="250"/>
      <c r="F7" s="250"/>
      <c r="G7" s="250"/>
      <c r="H7" s="251">
        <f>N(H$4=Inputs!$E$57)</f>
        <v>0</v>
      </c>
      <c r="I7" s="251">
        <f>N(I$4=Inputs!$E$57)</f>
        <v>0</v>
      </c>
      <c r="J7" s="251">
        <f>N(J$4=Inputs!$E$57)</f>
        <v>0</v>
      </c>
      <c r="K7" s="251">
        <f>N(K$4=Inputs!$E$57)</f>
        <v>0</v>
      </c>
      <c r="L7" s="251">
        <f>N(L$4=Inputs!$E$57)</f>
        <v>0</v>
      </c>
      <c r="M7" s="251">
        <f>N(M$4=Inputs!$E$57)</f>
        <v>0</v>
      </c>
      <c r="N7" s="251">
        <f>N(N$4=Inputs!$E$57)</f>
        <v>0</v>
      </c>
      <c r="O7" s="251">
        <f>N(O$4=Inputs!$E$57)</f>
        <v>0</v>
      </c>
      <c r="P7" s="251">
        <f>N(P$4=Inputs!$E$57)</f>
        <v>0</v>
      </c>
      <c r="Q7" s="251">
        <f>N(Q$4=Inputs!$E$57)</f>
        <v>0</v>
      </c>
      <c r="R7" s="251">
        <f>N(R$4=Inputs!$E$57)</f>
        <v>0</v>
      </c>
      <c r="S7" s="251">
        <f>N(S$4=Inputs!$E$57)</f>
        <v>0</v>
      </c>
      <c r="T7" s="251">
        <f>N(T$4=Inputs!$E$57)</f>
        <v>0</v>
      </c>
      <c r="U7" s="251">
        <f>N(U$4=Inputs!$E$57)</f>
        <v>0</v>
      </c>
      <c r="V7" s="251">
        <f>N(V$4=Inputs!$E$57)</f>
        <v>0</v>
      </c>
      <c r="W7" s="251">
        <f>N(W$4=Inputs!$E$57)</f>
        <v>0</v>
      </c>
      <c r="X7" s="251">
        <f>N(X$4=Inputs!$E$57)</f>
        <v>0</v>
      </c>
      <c r="Y7" s="251">
        <f>N(Y$4=Inputs!$E$57)</f>
        <v>0</v>
      </c>
      <c r="Z7" s="251">
        <f>N(Z$4=Inputs!$E$57)</f>
        <v>0</v>
      </c>
      <c r="AA7" s="251">
        <f>N(AA$4=Inputs!$E$57)</f>
        <v>0</v>
      </c>
      <c r="AB7" s="251">
        <f>N(AB$4=Inputs!$E$57)</f>
        <v>0</v>
      </c>
      <c r="AC7" s="251">
        <f>N(AC$4=Inputs!$E$57)</f>
        <v>0</v>
      </c>
      <c r="AD7" s="251">
        <f>N(AD$4=Inputs!$E$57)</f>
        <v>0</v>
      </c>
      <c r="AE7" s="251">
        <f>N(AE$4=Inputs!$E$57)</f>
        <v>0</v>
      </c>
      <c r="AF7" s="251">
        <f>N(AF$4=Inputs!$E$57)</f>
        <v>0</v>
      </c>
      <c r="AG7" s="251">
        <f>N(AG$4=Inputs!$E$57)</f>
        <v>0</v>
      </c>
      <c r="AH7" s="251">
        <f>N(AH$4=Inputs!$E$57)</f>
        <v>0</v>
      </c>
      <c r="AI7" s="251">
        <f>N(AI$4=Inputs!$E$57)</f>
        <v>0</v>
      </c>
      <c r="AJ7" s="251">
        <f>N(AJ$4=Inputs!$E$57)</f>
        <v>0</v>
      </c>
      <c r="AK7" s="251">
        <f>N(AK$4=Inputs!$E$57)</f>
        <v>0</v>
      </c>
      <c r="AL7" s="251">
        <f>N(AL$4=Inputs!$E$57)</f>
        <v>0</v>
      </c>
      <c r="AM7" s="251">
        <f>N(AM$4=Inputs!$E$57)</f>
        <v>0</v>
      </c>
      <c r="AN7" s="251">
        <f>N(AN$4=Inputs!$E$57)</f>
        <v>0</v>
      </c>
      <c r="AO7" s="251">
        <f>N(AO$4=Inputs!$E$57)</f>
        <v>0</v>
      </c>
      <c r="AP7" s="251">
        <f>N(AP$4=Inputs!$E$57)</f>
        <v>0</v>
      </c>
      <c r="AQ7" s="251">
        <f>N(AQ$4=Inputs!$E$57)</f>
        <v>0</v>
      </c>
      <c r="AR7" s="251">
        <f>N(AR$4=Inputs!$E$57)</f>
        <v>0</v>
      </c>
      <c r="AS7" s="251">
        <f>N(AS$4=Inputs!$E$57)</f>
        <v>0</v>
      </c>
      <c r="AT7" s="251">
        <f>N(AT$4=Inputs!$E$57)</f>
        <v>1</v>
      </c>
      <c r="AU7" s="251">
        <f>N(AU$4=Inputs!$E$57)</f>
        <v>0</v>
      </c>
      <c r="AV7" s="251">
        <f>N(AV$4=Inputs!$E$57)</f>
        <v>0</v>
      </c>
      <c r="AW7" s="251">
        <f>N(AW$4=Inputs!$E$57)</f>
        <v>0</v>
      </c>
      <c r="AX7" s="251">
        <f>N(AX$4=Inputs!$E$57)</f>
        <v>0</v>
      </c>
      <c r="AY7" s="251">
        <f>N(AY$4=Inputs!$E$57)</f>
        <v>0</v>
      </c>
      <c r="AZ7" s="251">
        <f>N(AZ$4=Inputs!$E$57)</f>
        <v>0</v>
      </c>
      <c r="BA7" s="251">
        <f>N(BA$4=Inputs!$E$57)</f>
        <v>0</v>
      </c>
      <c r="BB7" s="251">
        <f>N(BB$4=Inputs!$E$57)</f>
        <v>0</v>
      </c>
      <c r="BC7" s="251">
        <f>N(BC$4=Inputs!$E$57)</f>
        <v>0</v>
      </c>
      <c r="BD7" s="251">
        <f>N(BD$4=Inputs!$E$57)</f>
        <v>0</v>
      </c>
      <c r="BE7" s="251">
        <f>N(BE$4=Inputs!$E$57)</f>
        <v>0</v>
      </c>
      <c r="BF7" s="251">
        <f>N(BF$4=Inputs!$E$57)</f>
        <v>0</v>
      </c>
      <c r="BG7" s="251">
        <f>N(BG$4=Inputs!$E$57)</f>
        <v>0</v>
      </c>
      <c r="BH7" s="251">
        <f>N(BH$4=Inputs!$E$57)</f>
        <v>0</v>
      </c>
      <c r="BI7" s="251">
        <f>N(BI$4=Inputs!$E$57)</f>
        <v>0</v>
      </c>
      <c r="BJ7" s="251">
        <f>N(BJ$4=Inputs!$E$57)</f>
        <v>0</v>
      </c>
      <c r="BK7" s="251">
        <f>N(BK$4=Inputs!$E$57)</f>
        <v>0</v>
      </c>
      <c r="BL7" s="251">
        <f>N(BL$4=Inputs!$E$57)</f>
        <v>0</v>
      </c>
      <c r="BM7" s="251">
        <f>N(BM$4=Inputs!$E$57)</f>
        <v>0</v>
      </c>
      <c r="BN7" s="251">
        <f>N(BN$4=Inputs!$E$57)</f>
        <v>0</v>
      </c>
      <c r="BO7" s="251">
        <f>N(BO$4=Inputs!$E$57)</f>
        <v>0</v>
      </c>
      <c r="BP7" s="251">
        <f>N(BP$4=Inputs!$E$57)</f>
        <v>0</v>
      </c>
    </row>
    <row r="8" spans="1:68" x14ac:dyDescent="0.25">
      <c r="C8" s="250" t="s">
        <v>1032</v>
      </c>
      <c r="D8" s="250" t="s">
        <v>984</v>
      </c>
      <c r="E8" s="250"/>
      <c r="F8" s="250"/>
      <c r="G8" s="250"/>
      <c r="H8" s="251">
        <f>N(H$4&lt;=Inputs!$E$55)</f>
        <v>1</v>
      </c>
      <c r="I8" s="251">
        <f>N(I$4&lt;=Inputs!$E$55)</f>
        <v>1</v>
      </c>
      <c r="J8" s="251">
        <f>N(J$4&lt;=Inputs!$E$55)</f>
        <v>1</v>
      </c>
      <c r="K8" s="251">
        <f>N(K$4&lt;=Inputs!$E$55)</f>
        <v>1</v>
      </c>
      <c r="L8" s="251">
        <f>N(L$4&lt;=Inputs!$E$55)</f>
        <v>1</v>
      </c>
      <c r="M8" s="251">
        <f>N(M$4&lt;=Inputs!$E$55)</f>
        <v>1</v>
      </c>
      <c r="N8" s="251">
        <f>N(N$4&lt;=Inputs!$E$55)</f>
        <v>1</v>
      </c>
      <c r="O8" s="251">
        <f>N(O$4&lt;=Inputs!$E$55)</f>
        <v>1</v>
      </c>
      <c r="P8" s="251">
        <f>N(P$4&lt;=Inputs!$E$55)</f>
        <v>1</v>
      </c>
      <c r="Q8" s="251">
        <f>N(Q$4&lt;=Inputs!$E$55)</f>
        <v>1</v>
      </c>
      <c r="R8" s="251">
        <f>N(R$4&lt;=Inputs!$E$55)</f>
        <v>1</v>
      </c>
      <c r="S8" s="251">
        <f>N(S$4&lt;=Inputs!$E$55)</f>
        <v>1</v>
      </c>
      <c r="T8" s="251">
        <f>N(T$4&lt;=Inputs!$E$55)</f>
        <v>1</v>
      </c>
      <c r="U8" s="251">
        <f>N(U$4&lt;=Inputs!$E$55)</f>
        <v>1</v>
      </c>
      <c r="V8" s="251">
        <f>N(V$4&lt;=Inputs!$E$55)</f>
        <v>1</v>
      </c>
      <c r="W8" s="251">
        <f>N(W$4&lt;=Inputs!$E$55)</f>
        <v>1</v>
      </c>
      <c r="X8" s="251">
        <f>N(X$4&lt;=Inputs!$E$55)</f>
        <v>1</v>
      </c>
      <c r="Y8" s="251">
        <f>N(Y$4&lt;=Inputs!$E$55)</f>
        <v>1</v>
      </c>
      <c r="Z8" s="251">
        <f>N(Z$4&lt;=Inputs!$E$55)</f>
        <v>1</v>
      </c>
      <c r="AA8" s="251">
        <f>N(AA$4&lt;=Inputs!$E$55)</f>
        <v>1</v>
      </c>
      <c r="AB8" s="251">
        <f>N(AB$4&lt;=Inputs!$E$55)</f>
        <v>1</v>
      </c>
      <c r="AC8" s="251">
        <f>N(AC$4&lt;=Inputs!$E$55)</f>
        <v>1</v>
      </c>
      <c r="AD8" s="251">
        <f>N(AD$4&lt;=Inputs!$E$55)</f>
        <v>1</v>
      </c>
      <c r="AE8" s="251">
        <f>N(AE$4&lt;=Inputs!$E$55)</f>
        <v>1</v>
      </c>
      <c r="AF8" s="251">
        <f>N(AF$4&lt;=Inputs!$E$55)</f>
        <v>1</v>
      </c>
      <c r="AG8" s="251">
        <f>N(AG$4&lt;=Inputs!$E$55)</f>
        <v>1</v>
      </c>
      <c r="AH8" s="251">
        <f>N(AH$4&lt;=Inputs!$E$55)</f>
        <v>1</v>
      </c>
      <c r="AI8" s="251">
        <f>N(AI$4&lt;=Inputs!$E$55)</f>
        <v>1</v>
      </c>
      <c r="AJ8" s="251">
        <f>N(AJ$4&lt;=Inputs!$E$55)</f>
        <v>1</v>
      </c>
      <c r="AK8" s="251">
        <f>N(AK$4&lt;=Inputs!$E$55)</f>
        <v>1</v>
      </c>
      <c r="AL8" s="251">
        <f>N(AL$4&lt;=Inputs!$E$55)</f>
        <v>1</v>
      </c>
      <c r="AM8" s="251">
        <f>N(AM$4&lt;=Inputs!$E$55)</f>
        <v>1</v>
      </c>
      <c r="AN8" s="251">
        <f>N(AN$4&lt;=Inputs!$E$55)</f>
        <v>1</v>
      </c>
      <c r="AO8" s="251">
        <f>N(AO$4&lt;=Inputs!$E$55)</f>
        <v>0</v>
      </c>
      <c r="AP8" s="251">
        <f>N(AP$4&lt;=Inputs!$E$55)</f>
        <v>0</v>
      </c>
      <c r="AQ8" s="251">
        <f>N(AQ$4&lt;=Inputs!$E$55)</f>
        <v>0</v>
      </c>
      <c r="AR8" s="251">
        <f>N(AR$4&lt;=Inputs!$E$55)</f>
        <v>0</v>
      </c>
      <c r="AS8" s="251">
        <f>N(AS$4&lt;=Inputs!$E$55)</f>
        <v>0</v>
      </c>
      <c r="AT8" s="251">
        <f>N(AT$4&lt;=Inputs!$E$55)</f>
        <v>0</v>
      </c>
      <c r="AU8" s="251">
        <f>N(AU$4&lt;=Inputs!$E$55)</f>
        <v>0</v>
      </c>
      <c r="AV8" s="251">
        <f>N(AV$4&lt;=Inputs!$E$55)</f>
        <v>0</v>
      </c>
      <c r="AW8" s="251">
        <f>N(AW$4&lt;=Inputs!$E$55)</f>
        <v>0</v>
      </c>
      <c r="AX8" s="251">
        <f>N(AX$4&lt;=Inputs!$E$55)</f>
        <v>0</v>
      </c>
      <c r="AY8" s="251">
        <f>N(AY$4&lt;=Inputs!$E$55)</f>
        <v>0</v>
      </c>
      <c r="AZ8" s="251">
        <f>N(AZ$4&lt;=Inputs!$E$55)</f>
        <v>0</v>
      </c>
      <c r="BA8" s="251">
        <f>N(BA$4&lt;=Inputs!$E$55)</f>
        <v>0</v>
      </c>
      <c r="BB8" s="251">
        <f>N(BB$4&lt;=Inputs!$E$55)</f>
        <v>0</v>
      </c>
      <c r="BC8" s="251">
        <f>N(BC$4&lt;=Inputs!$E$55)</f>
        <v>0</v>
      </c>
      <c r="BD8" s="251">
        <f>N(BD$4&lt;=Inputs!$E$55)</f>
        <v>0</v>
      </c>
      <c r="BE8" s="251">
        <f>N(BE$4&lt;=Inputs!$E$55)</f>
        <v>0</v>
      </c>
      <c r="BF8" s="251">
        <f>N(BF$4&lt;=Inputs!$E$55)</f>
        <v>0</v>
      </c>
      <c r="BG8" s="251">
        <f>N(BG$4&lt;=Inputs!$E$55)</f>
        <v>0</v>
      </c>
      <c r="BH8" s="251">
        <f>N(BH$4&lt;=Inputs!$E$55)</f>
        <v>0</v>
      </c>
      <c r="BI8" s="251">
        <f>N(BI$4&lt;=Inputs!$E$55)</f>
        <v>0</v>
      </c>
      <c r="BJ8" s="251">
        <f>N(BJ$4&lt;=Inputs!$E$55)</f>
        <v>0</v>
      </c>
      <c r="BK8" s="251">
        <f>N(BK$4&lt;=Inputs!$E$55)</f>
        <v>0</v>
      </c>
      <c r="BL8" s="251">
        <f>N(BL$4&lt;=Inputs!$E$55)</f>
        <v>0</v>
      </c>
      <c r="BM8" s="251">
        <f>N(BM$4&lt;=Inputs!$E$55)</f>
        <v>0</v>
      </c>
      <c r="BN8" s="251">
        <f>N(BN$4&lt;=Inputs!$E$55)</f>
        <v>0</v>
      </c>
      <c r="BO8" s="251">
        <f>N(BO$4&lt;=Inputs!$E$55)</f>
        <v>0</v>
      </c>
      <c r="BP8" s="251">
        <f>N(BP$4&lt;=Inputs!$E$55)</f>
        <v>0</v>
      </c>
    </row>
    <row r="9" spans="1:68" x14ac:dyDescent="0.25">
      <c r="C9" s="250" t="s">
        <v>1033</v>
      </c>
      <c r="D9" s="250" t="s">
        <v>984</v>
      </c>
      <c r="E9" s="250"/>
      <c r="F9" s="250"/>
      <c r="G9" s="250"/>
      <c r="H9" s="251">
        <f>N(H$4&lt;=Inputs!$E$57)</f>
        <v>1</v>
      </c>
      <c r="I9" s="251">
        <f>N(I$4&lt;=Inputs!$E$57)</f>
        <v>1</v>
      </c>
      <c r="J9" s="251">
        <f>N(J$4&lt;=Inputs!$E$57)</f>
        <v>1</v>
      </c>
      <c r="K9" s="251">
        <f>N(K$4&lt;=Inputs!$E$57)</f>
        <v>1</v>
      </c>
      <c r="L9" s="251">
        <f>N(L$4&lt;=Inputs!$E$57)</f>
        <v>1</v>
      </c>
      <c r="M9" s="251">
        <f>N(M$4&lt;=Inputs!$E$57)</f>
        <v>1</v>
      </c>
      <c r="N9" s="251">
        <f>N(N$4&lt;=Inputs!$E$57)</f>
        <v>1</v>
      </c>
      <c r="O9" s="251">
        <f>N(O$4&lt;=Inputs!$E$57)</f>
        <v>1</v>
      </c>
      <c r="P9" s="251">
        <f>N(P$4&lt;=Inputs!$E$57)</f>
        <v>1</v>
      </c>
      <c r="Q9" s="251">
        <f>N(Q$4&lt;=Inputs!$E$57)</f>
        <v>1</v>
      </c>
      <c r="R9" s="251">
        <f>N(R$4&lt;=Inputs!$E$57)</f>
        <v>1</v>
      </c>
      <c r="S9" s="251">
        <f>N(S$4&lt;=Inputs!$E$57)</f>
        <v>1</v>
      </c>
      <c r="T9" s="251">
        <f>N(T$4&lt;=Inputs!$E$57)</f>
        <v>1</v>
      </c>
      <c r="U9" s="251">
        <f>N(U$4&lt;=Inputs!$E$57)</f>
        <v>1</v>
      </c>
      <c r="V9" s="251">
        <f>N(V$4&lt;=Inputs!$E$57)</f>
        <v>1</v>
      </c>
      <c r="W9" s="251">
        <f>N(W$4&lt;=Inputs!$E$57)</f>
        <v>1</v>
      </c>
      <c r="X9" s="251">
        <f>N(X$4&lt;=Inputs!$E$57)</f>
        <v>1</v>
      </c>
      <c r="Y9" s="251">
        <f>N(Y$4&lt;=Inputs!$E$57)</f>
        <v>1</v>
      </c>
      <c r="Z9" s="251">
        <f>N(Z$4&lt;=Inputs!$E$57)</f>
        <v>1</v>
      </c>
      <c r="AA9" s="251">
        <f>N(AA$4&lt;=Inputs!$E$57)</f>
        <v>1</v>
      </c>
      <c r="AB9" s="251">
        <f>N(AB$4&lt;=Inputs!$E$57)</f>
        <v>1</v>
      </c>
      <c r="AC9" s="251">
        <f>N(AC$4&lt;=Inputs!$E$57)</f>
        <v>1</v>
      </c>
      <c r="AD9" s="251">
        <f>N(AD$4&lt;=Inputs!$E$57)</f>
        <v>1</v>
      </c>
      <c r="AE9" s="251">
        <f>N(AE$4&lt;=Inputs!$E$57)</f>
        <v>1</v>
      </c>
      <c r="AF9" s="251">
        <f>N(AF$4&lt;=Inputs!$E$57)</f>
        <v>1</v>
      </c>
      <c r="AG9" s="251">
        <f>N(AG$4&lt;=Inputs!$E$57)</f>
        <v>1</v>
      </c>
      <c r="AH9" s="251">
        <f>N(AH$4&lt;=Inputs!$E$57)</f>
        <v>1</v>
      </c>
      <c r="AI9" s="251">
        <f>N(AI$4&lt;=Inputs!$E$57)</f>
        <v>1</v>
      </c>
      <c r="AJ9" s="251">
        <f>N(AJ$4&lt;=Inputs!$E$57)</f>
        <v>1</v>
      </c>
      <c r="AK9" s="251">
        <f>N(AK$4&lt;=Inputs!$E$57)</f>
        <v>1</v>
      </c>
      <c r="AL9" s="251">
        <f>N(AL$4&lt;=Inputs!$E$57)</f>
        <v>1</v>
      </c>
      <c r="AM9" s="251">
        <f>N(AM$4&lt;=Inputs!$E$57)</f>
        <v>1</v>
      </c>
      <c r="AN9" s="251">
        <f>N(AN$4&lt;=Inputs!$E$57)</f>
        <v>1</v>
      </c>
      <c r="AO9" s="251">
        <f>N(AO$4&lt;=Inputs!$E$57)</f>
        <v>1</v>
      </c>
      <c r="AP9" s="251">
        <f>N(AP$4&lt;=Inputs!$E$57)</f>
        <v>1</v>
      </c>
      <c r="AQ9" s="251">
        <f>N(AQ$4&lt;=Inputs!$E$57)</f>
        <v>1</v>
      </c>
      <c r="AR9" s="251">
        <f>N(AR$4&lt;=Inputs!$E$57)</f>
        <v>1</v>
      </c>
      <c r="AS9" s="251">
        <f>N(AS$4&lt;=Inputs!$E$57)</f>
        <v>1</v>
      </c>
      <c r="AT9" s="251">
        <f>N(AT$4&lt;=Inputs!$E$57)</f>
        <v>1</v>
      </c>
      <c r="AU9" s="251">
        <f>N(AU$4&lt;=Inputs!$E$57)</f>
        <v>0</v>
      </c>
      <c r="AV9" s="251">
        <f>N(AV$4&lt;=Inputs!$E$57)</f>
        <v>0</v>
      </c>
      <c r="AW9" s="251">
        <f>N(AW$4&lt;=Inputs!$E$57)</f>
        <v>0</v>
      </c>
      <c r="AX9" s="251">
        <f>N(AX$4&lt;=Inputs!$E$57)</f>
        <v>0</v>
      </c>
      <c r="AY9" s="251">
        <f>N(AY$4&lt;=Inputs!$E$57)</f>
        <v>0</v>
      </c>
      <c r="AZ9" s="251">
        <f>N(AZ$4&lt;=Inputs!$E$57)</f>
        <v>0</v>
      </c>
      <c r="BA9" s="251">
        <f>N(BA$4&lt;=Inputs!$E$57)</f>
        <v>0</v>
      </c>
      <c r="BB9" s="251">
        <f>N(BB$4&lt;=Inputs!$E$57)</f>
        <v>0</v>
      </c>
      <c r="BC9" s="251">
        <f>N(BC$4&lt;=Inputs!$E$57)</f>
        <v>0</v>
      </c>
      <c r="BD9" s="251">
        <f>N(BD$4&lt;=Inputs!$E$57)</f>
        <v>0</v>
      </c>
      <c r="BE9" s="251">
        <f>N(BE$4&lt;=Inputs!$E$57)</f>
        <v>0</v>
      </c>
      <c r="BF9" s="251">
        <f>N(BF$4&lt;=Inputs!$E$57)</f>
        <v>0</v>
      </c>
      <c r="BG9" s="251">
        <f>N(BG$4&lt;=Inputs!$E$57)</f>
        <v>0</v>
      </c>
      <c r="BH9" s="251">
        <f>N(BH$4&lt;=Inputs!$E$57)</f>
        <v>0</v>
      </c>
      <c r="BI9" s="251">
        <f>N(BI$4&lt;=Inputs!$E$57)</f>
        <v>0</v>
      </c>
      <c r="BJ9" s="251">
        <f>N(BJ$4&lt;=Inputs!$E$57)</f>
        <v>0</v>
      </c>
      <c r="BK9" s="251">
        <f>N(BK$4&lt;=Inputs!$E$57)</f>
        <v>0</v>
      </c>
      <c r="BL9" s="251">
        <f>N(BL$4&lt;=Inputs!$E$57)</f>
        <v>0</v>
      </c>
      <c r="BM9" s="251">
        <f>N(BM$4&lt;=Inputs!$E$57)</f>
        <v>0</v>
      </c>
      <c r="BN9" s="251">
        <f>N(BN$4&lt;=Inputs!$E$57)</f>
        <v>0</v>
      </c>
      <c r="BO9" s="251">
        <f>N(BO$4&lt;=Inputs!$E$57)</f>
        <v>0</v>
      </c>
      <c r="BP9" s="251">
        <f>N(BP$4&lt;=Inputs!$E$57)</f>
        <v>0</v>
      </c>
    </row>
    <row r="10" spans="1:68" x14ac:dyDescent="0.25">
      <c r="C10" s="250" t="s">
        <v>1034</v>
      </c>
      <c r="D10" s="250" t="s">
        <v>984</v>
      </c>
      <c r="E10" s="250"/>
      <c r="F10" s="250"/>
      <c r="G10" s="250"/>
      <c r="H10" s="251">
        <f>N(H$5&lt;=Inputs!$E$64)</f>
        <v>1</v>
      </c>
      <c r="I10" s="251">
        <f>N(I$5&lt;=Inputs!$E$64)</f>
        <v>1</v>
      </c>
      <c r="J10" s="251">
        <f>N(J$5&lt;=Inputs!$E$64)</f>
        <v>1</v>
      </c>
      <c r="K10" s="251">
        <f>N(K$5&lt;=Inputs!$E$64)</f>
        <v>1</v>
      </c>
      <c r="L10" s="251">
        <f>N(L$5&lt;=Inputs!$E$64)</f>
        <v>1</v>
      </c>
      <c r="M10" s="251">
        <f>N(M$5&lt;=Inputs!$E$64)</f>
        <v>1</v>
      </c>
      <c r="N10" s="251">
        <f>N(N$5&lt;=Inputs!$E$64)</f>
        <v>1</v>
      </c>
      <c r="O10" s="251">
        <f>N(O$5&lt;=Inputs!$E$64)</f>
        <v>1</v>
      </c>
      <c r="P10" s="251">
        <f>N(P$5&lt;=Inputs!$E$64)</f>
        <v>1</v>
      </c>
      <c r="Q10" s="251">
        <f>N(Q$5&lt;=Inputs!$E$64)</f>
        <v>1</v>
      </c>
      <c r="R10" s="251">
        <f>N(R$5&lt;=Inputs!$E$64)</f>
        <v>1</v>
      </c>
      <c r="S10" s="251">
        <f>N(S$5&lt;=Inputs!$E$64)</f>
        <v>1</v>
      </c>
      <c r="T10" s="251">
        <f>N(T$5&lt;=Inputs!$E$64)</f>
        <v>1</v>
      </c>
      <c r="U10" s="251">
        <f>N(U$5&lt;=Inputs!$E$64)</f>
        <v>1</v>
      </c>
      <c r="V10" s="251">
        <f>N(V$5&lt;=Inputs!$E$64)</f>
        <v>1</v>
      </c>
      <c r="W10" s="251">
        <f>N(W$5&lt;=Inputs!$E$64)</f>
        <v>1</v>
      </c>
      <c r="X10" s="251">
        <f>N(X$5&lt;=Inputs!$E$64)</f>
        <v>1</v>
      </c>
      <c r="Y10" s="251">
        <f>N(Y$5&lt;=Inputs!$E$64)</f>
        <v>1</v>
      </c>
      <c r="Z10" s="251">
        <f>N(Z$5&lt;=Inputs!$E$64)</f>
        <v>1</v>
      </c>
      <c r="AA10" s="251">
        <f>N(AA$5&lt;=Inputs!$E$64)</f>
        <v>1</v>
      </c>
      <c r="AB10" s="251">
        <f>N(AB$5&lt;=Inputs!$E$64)</f>
        <v>1</v>
      </c>
      <c r="AC10" s="251">
        <f>N(AC$5&lt;=Inputs!$E$64)</f>
        <v>1</v>
      </c>
      <c r="AD10" s="251">
        <f>N(AD$5&lt;=Inputs!$E$64)</f>
        <v>1</v>
      </c>
      <c r="AE10" s="251">
        <f>N(AE$5&lt;=Inputs!$E$64)</f>
        <v>1</v>
      </c>
      <c r="AF10" s="251">
        <f>N(AF$5&lt;=Inputs!$E$64)</f>
        <v>1</v>
      </c>
      <c r="AG10" s="251">
        <f>N(AG$5&lt;=Inputs!$E$64)</f>
        <v>1</v>
      </c>
      <c r="AH10" s="251">
        <f>N(AH$5&lt;=Inputs!$E$64)</f>
        <v>1</v>
      </c>
      <c r="AI10" s="251">
        <f>N(AI$5&lt;=Inputs!$E$64)</f>
        <v>1</v>
      </c>
      <c r="AJ10" s="251">
        <f>N(AJ$5&lt;=Inputs!$E$64)</f>
        <v>1</v>
      </c>
      <c r="AK10" s="251">
        <f>N(AK$5&lt;=Inputs!$E$64)</f>
        <v>1</v>
      </c>
      <c r="AL10" s="251">
        <f>N(AL$5&lt;=Inputs!$E$64)</f>
        <v>1</v>
      </c>
      <c r="AM10" s="251">
        <f>N(AM$5&lt;=Inputs!$E$64)</f>
        <v>1</v>
      </c>
      <c r="AN10" s="251">
        <f>N(AN$5&lt;=Inputs!$E$64)</f>
        <v>1</v>
      </c>
      <c r="AO10" s="251">
        <f>N(AO$5&lt;=Inputs!$E$64)</f>
        <v>1</v>
      </c>
      <c r="AP10" s="251">
        <f>N(AP$5&lt;=Inputs!$E$64)</f>
        <v>1</v>
      </c>
      <c r="AQ10" s="251">
        <f>N(AQ$5&lt;=Inputs!$E$64)</f>
        <v>1</v>
      </c>
      <c r="AR10" s="251">
        <f>N(AR$5&lt;=Inputs!$E$64)</f>
        <v>0</v>
      </c>
      <c r="AS10" s="251">
        <f>N(AS$5&lt;=Inputs!$E$64)</f>
        <v>0</v>
      </c>
      <c r="AT10" s="251">
        <f>N(AT$5&lt;=Inputs!$E$64)</f>
        <v>0</v>
      </c>
      <c r="AU10" s="251">
        <f>N(AU$5&lt;=Inputs!$E$64)</f>
        <v>0</v>
      </c>
      <c r="AV10" s="251">
        <f>N(AV$5&lt;=Inputs!$E$64)</f>
        <v>0</v>
      </c>
      <c r="AW10" s="251">
        <f>N(AW$5&lt;=Inputs!$E$64)</f>
        <v>0</v>
      </c>
      <c r="AX10" s="251">
        <f>N(AX$5&lt;=Inputs!$E$64)</f>
        <v>0</v>
      </c>
      <c r="AY10" s="251">
        <f>N(AY$5&lt;=Inputs!$E$64)</f>
        <v>0</v>
      </c>
      <c r="AZ10" s="251">
        <f>N(AZ$5&lt;=Inputs!$E$64)</f>
        <v>0</v>
      </c>
      <c r="BA10" s="251">
        <f>N(BA$5&lt;=Inputs!$E$64)</f>
        <v>0</v>
      </c>
      <c r="BB10" s="251">
        <f>N(BB$5&lt;=Inputs!$E$64)</f>
        <v>0</v>
      </c>
      <c r="BC10" s="251">
        <f>N(BC$5&lt;=Inputs!$E$64)</f>
        <v>0</v>
      </c>
      <c r="BD10" s="251">
        <f>N(BD$5&lt;=Inputs!$E$64)</f>
        <v>0</v>
      </c>
      <c r="BE10" s="251">
        <f>N(BE$5&lt;=Inputs!$E$64)</f>
        <v>0</v>
      </c>
      <c r="BF10" s="251">
        <f>N(BF$5&lt;=Inputs!$E$64)</f>
        <v>0</v>
      </c>
      <c r="BG10" s="251">
        <f>N(BG$5&lt;=Inputs!$E$64)</f>
        <v>0</v>
      </c>
      <c r="BH10" s="251">
        <f>N(BH$5&lt;=Inputs!$E$64)</f>
        <v>0</v>
      </c>
      <c r="BI10" s="251">
        <f>N(BI$5&lt;=Inputs!$E$64)</f>
        <v>0</v>
      </c>
      <c r="BJ10" s="251">
        <f>N(BJ$5&lt;=Inputs!$E$64)</f>
        <v>0</v>
      </c>
      <c r="BK10" s="251">
        <f>N(BK$5&lt;=Inputs!$E$64)</f>
        <v>0</v>
      </c>
      <c r="BL10" s="251">
        <f>N(BL$5&lt;=Inputs!$E$64)</f>
        <v>0</v>
      </c>
      <c r="BM10" s="251">
        <f>N(BM$5&lt;=Inputs!$E$64)</f>
        <v>0</v>
      </c>
      <c r="BN10" s="251">
        <f>N(BN$5&lt;=Inputs!$E$64)</f>
        <v>0</v>
      </c>
      <c r="BO10" s="251">
        <f>N(BO$5&lt;=Inputs!$E$64)</f>
        <v>0</v>
      </c>
      <c r="BP10" s="251">
        <f>N(BP$5&lt;=Inputs!$E$64)</f>
        <v>0</v>
      </c>
    </row>
    <row r="11" spans="1:68" x14ac:dyDescent="0.25">
      <c r="C11" s="129" t="s">
        <v>1035</v>
      </c>
      <c r="D11" s="129"/>
      <c r="E11" s="129" t="s">
        <v>1036</v>
      </c>
      <c r="F11" s="129" t="s">
        <v>1037</v>
      </c>
      <c r="G11" s="129" t="s">
        <v>295</v>
      </c>
      <c r="H11" s="129"/>
      <c r="I11" s="129"/>
      <c r="J11" s="129"/>
      <c r="K11" s="129"/>
      <c r="L11" s="129"/>
      <c r="M11" s="129"/>
      <c r="N11" s="129"/>
      <c r="O11" s="129"/>
      <c r="P11" s="129"/>
      <c r="Q11" s="129"/>
      <c r="R11" s="129"/>
      <c r="S11" s="129"/>
      <c r="T11" s="129"/>
      <c r="U11" s="129"/>
      <c r="V11" s="129"/>
      <c r="W11" s="129"/>
      <c r="X11" s="129"/>
      <c r="Y11" s="129"/>
      <c r="Z11" s="129"/>
      <c r="AA11" s="129"/>
      <c r="AB11" s="129"/>
      <c r="AC11" s="129"/>
      <c r="AD11" s="129"/>
      <c r="AE11" s="129"/>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c r="BE11" s="129"/>
      <c r="BF11" s="129"/>
      <c r="BG11" s="129"/>
      <c r="BH11" s="129"/>
      <c r="BI11" s="129"/>
      <c r="BJ11" s="129"/>
      <c r="BK11" s="129"/>
      <c r="BL11" s="129"/>
      <c r="BM11" s="129"/>
      <c r="BN11" s="129"/>
      <c r="BO11" s="129"/>
      <c r="BP11" s="129"/>
    </row>
    <row r="12" spans="1:68" outlineLevel="1" x14ac:dyDescent="0.25">
      <c r="C12" s="217" t="str">
        <f>Inputs!C41</f>
        <v>Milestone 1 devex</v>
      </c>
      <c r="D12" t="s">
        <v>125</v>
      </c>
      <c r="E12" s="146">
        <f>Inputs!E49</f>
        <v>0</v>
      </c>
      <c r="F12" s="151">
        <f>Inputs!E41*Inputs!$E$16</f>
        <v>0</v>
      </c>
      <c r="G12" s="151">
        <f t="shared" ref="G12:G18" si="4">SUM(H12:BP12)</f>
        <v>0</v>
      </c>
      <c r="H12" s="151">
        <f t="shared" ref="H12:Q17" si="5">IF(H$4=$E12,$F12,0)</f>
        <v>0</v>
      </c>
      <c r="I12" s="151">
        <f t="shared" si="5"/>
        <v>0</v>
      </c>
      <c r="J12" s="151">
        <f t="shared" si="5"/>
        <v>0</v>
      </c>
      <c r="K12" s="151">
        <f t="shared" si="5"/>
        <v>0</v>
      </c>
      <c r="L12" s="151">
        <f t="shared" si="5"/>
        <v>0</v>
      </c>
      <c r="M12" s="151">
        <f t="shared" si="5"/>
        <v>0</v>
      </c>
      <c r="N12" s="151">
        <f t="shared" si="5"/>
        <v>0</v>
      </c>
      <c r="O12" s="151">
        <f t="shared" si="5"/>
        <v>0</v>
      </c>
      <c r="P12" s="151">
        <f t="shared" si="5"/>
        <v>0</v>
      </c>
      <c r="Q12" s="151">
        <f t="shared" si="5"/>
        <v>0</v>
      </c>
      <c r="R12" s="151">
        <f t="shared" ref="R12:AA17" si="6">IF(R$4=$E12,$F12,0)</f>
        <v>0</v>
      </c>
      <c r="S12" s="151">
        <f t="shared" si="6"/>
        <v>0</v>
      </c>
      <c r="T12" s="151">
        <f t="shared" si="6"/>
        <v>0</v>
      </c>
      <c r="U12" s="151">
        <f t="shared" si="6"/>
        <v>0</v>
      </c>
      <c r="V12" s="151">
        <f t="shared" si="6"/>
        <v>0</v>
      </c>
      <c r="W12" s="151">
        <f t="shared" si="6"/>
        <v>0</v>
      </c>
      <c r="X12" s="151">
        <f t="shared" si="6"/>
        <v>0</v>
      </c>
      <c r="Y12" s="151">
        <f t="shared" si="6"/>
        <v>0</v>
      </c>
      <c r="Z12" s="151">
        <f t="shared" si="6"/>
        <v>0</v>
      </c>
      <c r="AA12" s="151">
        <f t="shared" si="6"/>
        <v>0</v>
      </c>
      <c r="AB12" s="151">
        <f t="shared" ref="AB12:AK17" si="7">IF(AB$4=$E12,$F12,0)</f>
        <v>0</v>
      </c>
      <c r="AC12" s="151">
        <f t="shared" si="7"/>
        <v>0</v>
      </c>
      <c r="AD12" s="151">
        <f t="shared" si="7"/>
        <v>0</v>
      </c>
      <c r="AE12" s="151">
        <f t="shared" si="7"/>
        <v>0</v>
      </c>
      <c r="AF12" s="151">
        <f t="shared" si="7"/>
        <v>0</v>
      </c>
      <c r="AG12" s="151">
        <f t="shared" si="7"/>
        <v>0</v>
      </c>
      <c r="AH12" s="151">
        <f t="shared" si="7"/>
        <v>0</v>
      </c>
      <c r="AI12" s="151">
        <f t="shared" si="7"/>
        <v>0</v>
      </c>
      <c r="AJ12" s="151">
        <f t="shared" si="7"/>
        <v>0</v>
      </c>
      <c r="AK12" s="151">
        <f t="shared" si="7"/>
        <v>0</v>
      </c>
      <c r="AL12" s="151">
        <f t="shared" ref="AL12:AU17" si="8">IF(AL$4=$E12,$F12,0)</f>
        <v>0</v>
      </c>
      <c r="AM12" s="151">
        <f t="shared" si="8"/>
        <v>0</v>
      </c>
      <c r="AN12" s="151">
        <f t="shared" si="8"/>
        <v>0</v>
      </c>
      <c r="AO12" s="151">
        <f t="shared" si="8"/>
        <v>0</v>
      </c>
      <c r="AP12" s="151">
        <f t="shared" si="8"/>
        <v>0</v>
      </c>
      <c r="AQ12" s="151">
        <f t="shared" si="8"/>
        <v>0</v>
      </c>
      <c r="AR12" s="151">
        <f t="shared" si="8"/>
        <v>0</v>
      </c>
      <c r="AS12" s="151">
        <f t="shared" si="8"/>
        <v>0</v>
      </c>
      <c r="AT12" s="151">
        <f t="shared" si="8"/>
        <v>0</v>
      </c>
      <c r="AU12" s="151">
        <f t="shared" si="8"/>
        <v>0</v>
      </c>
      <c r="AV12" s="151">
        <f t="shared" ref="AV12:BE17" si="9">IF(AV$4=$E12,$F12,0)</f>
        <v>0</v>
      </c>
      <c r="AW12" s="151">
        <f t="shared" si="9"/>
        <v>0</v>
      </c>
      <c r="AX12" s="151">
        <f t="shared" si="9"/>
        <v>0</v>
      </c>
      <c r="AY12" s="151">
        <f t="shared" si="9"/>
        <v>0</v>
      </c>
      <c r="AZ12" s="151">
        <f t="shared" si="9"/>
        <v>0</v>
      </c>
      <c r="BA12" s="151">
        <f t="shared" si="9"/>
        <v>0</v>
      </c>
      <c r="BB12" s="151">
        <f t="shared" si="9"/>
        <v>0</v>
      </c>
      <c r="BC12" s="151">
        <f t="shared" si="9"/>
        <v>0</v>
      </c>
      <c r="BD12" s="151">
        <f t="shared" si="9"/>
        <v>0</v>
      </c>
      <c r="BE12" s="151">
        <f t="shared" si="9"/>
        <v>0</v>
      </c>
      <c r="BF12" s="151">
        <f t="shared" ref="BF12:BP17" si="10">IF(BF$4=$E12,$F12,0)</f>
        <v>0</v>
      </c>
      <c r="BG12" s="151">
        <f t="shared" si="10"/>
        <v>0</v>
      </c>
      <c r="BH12" s="151">
        <f t="shared" si="10"/>
        <v>0</v>
      </c>
      <c r="BI12" s="151">
        <f t="shared" si="10"/>
        <v>0</v>
      </c>
      <c r="BJ12" s="151">
        <f t="shared" si="10"/>
        <v>0</v>
      </c>
      <c r="BK12" s="151">
        <f t="shared" si="10"/>
        <v>0</v>
      </c>
      <c r="BL12" s="151">
        <f t="shared" si="10"/>
        <v>0</v>
      </c>
      <c r="BM12" s="151">
        <f t="shared" si="10"/>
        <v>0</v>
      </c>
      <c r="BN12" s="151">
        <f t="shared" si="10"/>
        <v>0</v>
      </c>
      <c r="BO12" s="151">
        <f t="shared" si="10"/>
        <v>0</v>
      </c>
      <c r="BP12" s="151">
        <f t="shared" si="10"/>
        <v>0</v>
      </c>
    </row>
    <row r="13" spans="1:68" outlineLevel="1" x14ac:dyDescent="0.25">
      <c r="C13" s="217" t="str">
        <f>Inputs!C42</f>
        <v>Milestone 2 devex</v>
      </c>
      <c r="D13" t="s">
        <v>125</v>
      </c>
      <c r="E13" s="146">
        <f>E12+Inputs!E50</f>
        <v>6</v>
      </c>
      <c r="F13" s="151">
        <f>Inputs!E42*Inputs!$E$16</f>
        <v>0</v>
      </c>
      <c r="G13" s="151">
        <f t="shared" si="4"/>
        <v>0</v>
      </c>
      <c r="H13" s="151">
        <f t="shared" si="5"/>
        <v>0</v>
      </c>
      <c r="I13" s="151">
        <f t="shared" si="5"/>
        <v>0</v>
      </c>
      <c r="J13" s="151">
        <f t="shared" si="5"/>
        <v>0</v>
      </c>
      <c r="K13" s="151">
        <f t="shared" si="5"/>
        <v>0</v>
      </c>
      <c r="L13" s="151">
        <f t="shared" si="5"/>
        <v>0</v>
      </c>
      <c r="M13" s="151">
        <f t="shared" si="5"/>
        <v>0</v>
      </c>
      <c r="N13" s="151">
        <f t="shared" si="5"/>
        <v>0</v>
      </c>
      <c r="O13" s="151">
        <f t="shared" si="5"/>
        <v>0</v>
      </c>
      <c r="P13" s="151">
        <f t="shared" si="5"/>
        <v>0</v>
      </c>
      <c r="Q13" s="151">
        <f t="shared" si="5"/>
        <v>0</v>
      </c>
      <c r="R13" s="151">
        <f t="shared" si="6"/>
        <v>0</v>
      </c>
      <c r="S13" s="151">
        <f t="shared" si="6"/>
        <v>0</v>
      </c>
      <c r="T13" s="151">
        <f t="shared" si="6"/>
        <v>0</v>
      </c>
      <c r="U13" s="151">
        <f t="shared" si="6"/>
        <v>0</v>
      </c>
      <c r="V13" s="151">
        <f t="shared" si="6"/>
        <v>0</v>
      </c>
      <c r="W13" s="151">
        <f t="shared" si="6"/>
        <v>0</v>
      </c>
      <c r="X13" s="151">
        <f t="shared" si="6"/>
        <v>0</v>
      </c>
      <c r="Y13" s="151">
        <f t="shared" si="6"/>
        <v>0</v>
      </c>
      <c r="Z13" s="151">
        <f t="shared" si="6"/>
        <v>0</v>
      </c>
      <c r="AA13" s="151">
        <f t="shared" si="6"/>
        <v>0</v>
      </c>
      <c r="AB13" s="151">
        <f t="shared" si="7"/>
        <v>0</v>
      </c>
      <c r="AC13" s="151">
        <f t="shared" si="7"/>
        <v>0</v>
      </c>
      <c r="AD13" s="151">
        <f t="shared" si="7"/>
        <v>0</v>
      </c>
      <c r="AE13" s="151">
        <f t="shared" si="7"/>
        <v>0</v>
      </c>
      <c r="AF13" s="151">
        <f t="shared" si="7"/>
        <v>0</v>
      </c>
      <c r="AG13" s="151">
        <f t="shared" si="7"/>
        <v>0</v>
      </c>
      <c r="AH13" s="151">
        <f t="shared" si="7"/>
        <v>0</v>
      </c>
      <c r="AI13" s="151">
        <f t="shared" si="7"/>
        <v>0</v>
      </c>
      <c r="AJ13" s="151">
        <f t="shared" si="7"/>
        <v>0</v>
      </c>
      <c r="AK13" s="151">
        <f t="shared" si="7"/>
        <v>0</v>
      </c>
      <c r="AL13" s="151">
        <f t="shared" si="8"/>
        <v>0</v>
      </c>
      <c r="AM13" s="151">
        <f t="shared" si="8"/>
        <v>0</v>
      </c>
      <c r="AN13" s="151">
        <f t="shared" si="8"/>
        <v>0</v>
      </c>
      <c r="AO13" s="151">
        <f t="shared" si="8"/>
        <v>0</v>
      </c>
      <c r="AP13" s="151">
        <f t="shared" si="8"/>
        <v>0</v>
      </c>
      <c r="AQ13" s="151">
        <f t="shared" si="8"/>
        <v>0</v>
      </c>
      <c r="AR13" s="151">
        <f t="shared" si="8"/>
        <v>0</v>
      </c>
      <c r="AS13" s="151">
        <f t="shared" si="8"/>
        <v>0</v>
      </c>
      <c r="AT13" s="151">
        <f t="shared" si="8"/>
        <v>0</v>
      </c>
      <c r="AU13" s="151">
        <f t="shared" si="8"/>
        <v>0</v>
      </c>
      <c r="AV13" s="151">
        <f t="shared" si="9"/>
        <v>0</v>
      </c>
      <c r="AW13" s="151">
        <f t="shared" si="9"/>
        <v>0</v>
      </c>
      <c r="AX13" s="151">
        <f t="shared" si="9"/>
        <v>0</v>
      </c>
      <c r="AY13" s="151">
        <f t="shared" si="9"/>
        <v>0</v>
      </c>
      <c r="AZ13" s="151">
        <f t="shared" si="9"/>
        <v>0</v>
      </c>
      <c r="BA13" s="151">
        <f t="shared" si="9"/>
        <v>0</v>
      </c>
      <c r="BB13" s="151">
        <f t="shared" si="9"/>
        <v>0</v>
      </c>
      <c r="BC13" s="151">
        <f t="shared" si="9"/>
        <v>0</v>
      </c>
      <c r="BD13" s="151">
        <f t="shared" si="9"/>
        <v>0</v>
      </c>
      <c r="BE13" s="151">
        <f t="shared" si="9"/>
        <v>0</v>
      </c>
      <c r="BF13" s="151">
        <f t="shared" si="10"/>
        <v>0</v>
      </c>
      <c r="BG13" s="151">
        <f t="shared" si="10"/>
        <v>0</v>
      </c>
      <c r="BH13" s="151">
        <f t="shared" si="10"/>
        <v>0</v>
      </c>
      <c r="BI13" s="151">
        <f t="shared" si="10"/>
        <v>0</v>
      </c>
      <c r="BJ13" s="151">
        <f t="shared" si="10"/>
        <v>0</v>
      </c>
      <c r="BK13" s="151">
        <f t="shared" si="10"/>
        <v>0</v>
      </c>
      <c r="BL13" s="151">
        <f t="shared" si="10"/>
        <v>0</v>
      </c>
      <c r="BM13" s="151">
        <f t="shared" si="10"/>
        <v>0</v>
      </c>
      <c r="BN13" s="151">
        <f t="shared" si="10"/>
        <v>0</v>
      </c>
      <c r="BO13" s="151">
        <f t="shared" si="10"/>
        <v>0</v>
      </c>
      <c r="BP13" s="151">
        <f t="shared" si="10"/>
        <v>0</v>
      </c>
    </row>
    <row r="14" spans="1:68" outlineLevel="1" x14ac:dyDescent="0.25">
      <c r="C14" s="217" t="str">
        <f>Inputs!C43</f>
        <v>Milestone 3 devex</v>
      </c>
      <c r="D14" t="s">
        <v>125</v>
      </c>
      <c r="E14" s="146">
        <f>E13+Inputs!E51</f>
        <v>12</v>
      </c>
      <c r="F14" s="151">
        <f>Inputs!E43*Inputs!$E$16</f>
        <v>0</v>
      </c>
      <c r="G14" s="151">
        <f t="shared" si="4"/>
        <v>0</v>
      </c>
      <c r="H14" s="151">
        <f t="shared" si="5"/>
        <v>0</v>
      </c>
      <c r="I14" s="151">
        <f t="shared" si="5"/>
        <v>0</v>
      </c>
      <c r="J14" s="151">
        <f t="shared" si="5"/>
        <v>0</v>
      </c>
      <c r="K14" s="151">
        <f t="shared" si="5"/>
        <v>0</v>
      </c>
      <c r="L14" s="151">
        <f t="shared" si="5"/>
        <v>0</v>
      </c>
      <c r="M14" s="151">
        <f t="shared" si="5"/>
        <v>0</v>
      </c>
      <c r="N14" s="151">
        <f t="shared" si="5"/>
        <v>0</v>
      </c>
      <c r="O14" s="151">
        <f t="shared" si="5"/>
        <v>0</v>
      </c>
      <c r="P14" s="151">
        <f t="shared" si="5"/>
        <v>0</v>
      </c>
      <c r="Q14" s="151">
        <f t="shared" si="5"/>
        <v>0</v>
      </c>
      <c r="R14" s="151">
        <f t="shared" si="6"/>
        <v>0</v>
      </c>
      <c r="S14" s="151">
        <f t="shared" si="6"/>
        <v>0</v>
      </c>
      <c r="T14" s="151">
        <f t="shared" si="6"/>
        <v>0</v>
      </c>
      <c r="U14" s="151">
        <f t="shared" si="6"/>
        <v>0</v>
      </c>
      <c r="V14" s="151">
        <f t="shared" si="6"/>
        <v>0</v>
      </c>
      <c r="W14" s="151">
        <f t="shared" si="6"/>
        <v>0</v>
      </c>
      <c r="X14" s="151">
        <f t="shared" si="6"/>
        <v>0</v>
      </c>
      <c r="Y14" s="151">
        <f t="shared" si="6"/>
        <v>0</v>
      </c>
      <c r="Z14" s="151">
        <f t="shared" si="6"/>
        <v>0</v>
      </c>
      <c r="AA14" s="151">
        <f t="shared" si="6"/>
        <v>0</v>
      </c>
      <c r="AB14" s="151">
        <f t="shared" si="7"/>
        <v>0</v>
      </c>
      <c r="AC14" s="151">
        <f t="shared" si="7"/>
        <v>0</v>
      </c>
      <c r="AD14" s="151">
        <f t="shared" si="7"/>
        <v>0</v>
      </c>
      <c r="AE14" s="151">
        <f t="shared" si="7"/>
        <v>0</v>
      </c>
      <c r="AF14" s="151">
        <f t="shared" si="7"/>
        <v>0</v>
      </c>
      <c r="AG14" s="151">
        <f t="shared" si="7"/>
        <v>0</v>
      </c>
      <c r="AH14" s="151">
        <f t="shared" si="7"/>
        <v>0</v>
      </c>
      <c r="AI14" s="151">
        <f t="shared" si="7"/>
        <v>0</v>
      </c>
      <c r="AJ14" s="151">
        <f t="shared" si="7"/>
        <v>0</v>
      </c>
      <c r="AK14" s="151">
        <f t="shared" si="7"/>
        <v>0</v>
      </c>
      <c r="AL14" s="151">
        <f t="shared" si="8"/>
        <v>0</v>
      </c>
      <c r="AM14" s="151">
        <f t="shared" si="8"/>
        <v>0</v>
      </c>
      <c r="AN14" s="151">
        <f t="shared" si="8"/>
        <v>0</v>
      </c>
      <c r="AO14" s="151">
        <f t="shared" si="8"/>
        <v>0</v>
      </c>
      <c r="AP14" s="151">
        <f t="shared" si="8"/>
        <v>0</v>
      </c>
      <c r="AQ14" s="151">
        <f t="shared" si="8"/>
        <v>0</v>
      </c>
      <c r="AR14" s="151">
        <f t="shared" si="8"/>
        <v>0</v>
      </c>
      <c r="AS14" s="151">
        <f t="shared" si="8"/>
        <v>0</v>
      </c>
      <c r="AT14" s="151">
        <f t="shared" si="8"/>
        <v>0</v>
      </c>
      <c r="AU14" s="151">
        <f t="shared" si="8"/>
        <v>0</v>
      </c>
      <c r="AV14" s="151">
        <f t="shared" si="9"/>
        <v>0</v>
      </c>
      <c r="AW14" s="151">
        <f t="shared" si="9"/>
        <v>0</v>
      </c>
      <c r="AX14" s="151">
        <f t="shared" si="9"/>
        <v>0</v>
      </c>
      <c r="AY14" s="151">
        <f t="shared" si="9"/>
        <v>0</v>
      </c>
      <c r="AZ14" s="151">
        <f t="shared" si="9"/>
        <v>0</v>
      </c>
      <c r="BA14" s="151">
        <f t="shared" si="9"/>
        <v>0</v>
      </c>
      <c r="BB14" s="151">
        <f t="shared" si="9"/>
        <v>0</v>
      </c>
      <c r="BC14" s="151">
        <f t="shared" si="9"/>
        <v>0</v>
      </c>
      <c r="BD14" s="151">
        <f t="shared" si="9"/>
        <v>0</v>
      </c>
      <c r="BE14" s="151">
        <f t="shared" si="9"/>
        <v>0</v>
      </c>
      <c r="BF14" s="151">
        <f t="shared" si="10"/>
        <v>0</v>
      </c>
      <c r="BG14" s="151">
        <f t="shared" si="10"/>
        <v>0</v>
      </c>
      <c r="BH14" s="151">
        <f t="shared" si="10"/>
        <v>0</v>
      </c>
      <c r="BI14" s="151">
        <f t="shared" si="10"/>
        <v>0</v>
      </c>
      <c r="BJ14" s="151">
        <f t="shared" si="10"/>
        <v>0</v>
      </c>
      <c r="BK14" s="151">
        <f t="shared" si="10"/>
        <v>0</v>
      </c>
      <c r="BL14" s="151">
        <f t="shared" si="10"/>
        <v>0</v>
      </c>
      <c r="BM14" s="151">
        <f t="shared" si="10"/>
        <v>0</v>
      </c>
      <c r="BN14" s="151">
        <f t="shared" si="10"/>
        <v>0</v>
      </c>
      <c r="BO14" s="151">
        <f t="shared" si="10"/>
        <v>0</v>
      </c>
      <c r="BP14" s="151">
        <f t="shared" si="10"/>
        <v>0</v>
      </c>
    </row>
    <row r="15" spans="1:68" outlineLevel="1" x14ac:dyDescent="0.25">
      <c r="C15" s="217" t="str">
        <f>Inputs!C44</f>
        <v>Milestone 4 devex</v>
      </c>
      <c r="D15" t="s">
        <v>125</v>
      </c>
      <c r="E15" s="146">
        <f>E14+Inputs!E52</f>
        <v>18</v>
      </c>
      <c r="F15" s="151">
        <f>Inputs!E44*Inputs!$E$16</f>
        <v>0</v>
      </c>
      <c r="G15" s="151">
        <f t="shared" si="4"/>
        <v>0</v>
      </c>
      <c r="H15" s="151">
        <f t="shared" si="5"/>
        <v>0</v>
      </c>
      <c r="I15" s="151">
        <f t="shared" si="5"/>
        <v>0</v>
      </c>
      <c r="J15" s="151">
        <f t="shared" si="5"/>
        <v>0</v>
      </c>
      <c r="K15" s="151">
        <f t="shared" si="5"/>
        <v>0</v>
      </c>
      <c r="L15" s="151">
        <f t="shared" si="5"/>
        <v>0</v>
      </c>
      <c r="M15" s="151">
        <f t="shared" si="5"/>
        <v>0</v>
      </c>
      <c r="N15" s="151">
        <f t="shared" si="5"/>
        <v>0</v>
      </c>
      <c r="O15" s="151">
        <f t="shared" si="5"/>
        <v>0</v>
      </c>
      <c r="P15" s="151">
        <f t="shared" si="5"/>
        <v>0</v>
      </c>
      <c r="Q15" s="151">
        <f t="shared" si="5"/>
        <v>0</v>
      </c>
      <c r="R15" s="151">
        <f t="shared" si="6"/>
        <v>0</v>
      </c>
      <c r="S15" s="151">
        <f t="shared" si="6"/>
        <v>0</v>
      </c>
      <c r="T15" s="151">
        <f t="shared" si="6"/>
        <v>0</v>
      </c>
      <c r="U15" s="151">
        <f t="shared" si="6"/>
        <v>0</v>
      </c>
      <c r="V15" s="151">
        <f t="shared" si="6"/>
        <v>0</v>
      </c>
      <c r="W15" s="151">
        <f t="shared" si="6"/>
        <v>0</v>
      </c>
      <c r="X15" s="151">
        <f t="shared" si="6"/>
        <v>0</v>
      </c>
      <c r="Y15" s="151">
        <f t="shared" si="6"/>
        <v>0</v>
      </c>
      <c r="Z15" s="151">
        <f t="shared" si="6"/>
        <v>0</v>
      </c>
      <c r="AA15" s="151">
        <f t="shared" si="6"/>
        <v>0</v>
      </c>
      <c r="AB15" s="151">
        <f t="shared" si="7"/>
        <v>0</v>
      </c>
      <c r="AC15" s="151">
        <f t="shared" si="7"/>
        <v>0</v>
      </c>
      <c r="AD15" s="151">
        <f t="shared" si="7"/>
        <v>0</v>
      </c>
      <c r="AE15" s="151">
        <f t="shared" si="7"/>
        <v>0</v>
      </c>
      <c r="AF15" s="151">
        <f t="shared" si="7"/>
        <v>0</v>
      </c>
      <c r="AG15" s="151">
        <f t="shared" si="7"/>
        <v>0</v>
      </c>
      <c r="AH15" s="151">
        <f t="shared" si="7"/>
        <v>0</v>
      </c>
      <c r="AI15" s="151">
        <f t="shared" si="7"/>
        <v>0</v>
      </c>
      <c r="AJ15" s="151">
        <f t="shared" si="7"/>
        <v>0</v>
      </c>
      <c r="AK15" s="151">
        <f t="shared" si="7"/>
        <v>0</v>
      </c>
      <c r="AL15" s="151">
        <f t="shared" si="8"/>
        <v>0</v>
      </c>
      <c r="AM15" s="151">
        <f t="shared" si="8"/>
        <v>0</v>
      </c>
      <c r="AN15" s="151">
        <f t="shared" si="8"/>
        <v>0</v>
      </c>
      <c r="AO15" s="151">
        <f t="shared" si="8"/>
        <v>0</v>
      </c>
      <c r="AP15" s="151">
        <f t="shared" si="8"/>
        <v>0</v>
      </c>
      <c r="AQ15" s="151">
        <f t="shared" si="8"/>
        <v>0</v>
      </c>
      <c r="AR15" s="151">
        <f t="shared" si="8"/>
        <v>0</v>
      </c>
      <c r="AS15" s="151">
        <f t="shared" si="8"/>
        <v>0</v>
      </c>
      <c r="AT15" s="151">
        <f t="shared" si="8"/>
        <v>0</v>
      </c>
      <c r="AU15" s="151">
        <f t="shared" si="8"/>
        <v>0</v>
      </c>
      <c r="AV15" s="151">
        <f t="shared" si="9"/>
        <v>0</v>
      </c>
      <c r="AW15" s="151">
        <f t="shared" si="9"/>
        <v>0</v>
      </c>
      <c r="AX15" s="151">
        <f t="shared" si="9"/>
        <v>0</v>
      </c>
      <c r="AY15" s="151">
        <f t="shared" si="9"/>
        <v>0</v>
      </c>
      <c r="AZ15" s="151">
        <f t="shared" si="9"/>
        <v>0</v>
      </c>
      <c r="BA15" s="151">
        <f t="shared" si="9"/>
        <v>0</v>
      </c>
      <c r="BB15" s="151">
        <f t="shared" si="9"/>
        <v>0</v>
      </c>
      <c r="BC15" s="151">
        <f t="shared" si="9"/>
        <v>0</v>
      </c>
      <c r="BD15" s="151">
        <f t="shared" si="9"/>
        <v>0</v>
      </c>
      <c r="BE15" s="151">
        <f t="shared" si="9"/>
        <v>0</v>
      </c>
      <c r="BF15" s="151">
        <f t="shared" si="10"/>
        <v>0</v>
      </c>
      <c r="BG15" s="151">
        <f t="shared" si="10"/>
        <v>0</v>
      </c>
      <c r="BH15" s="151">
        <f t="shared" si="10"/>
        <v>0</v>
      </c>
      <c r="BI15" s="151">
        <f t="shared" si="10"/>
        <v>0</v>
      </c>
      <c r="BJ15" s="151">
        <f t="shared" si="10"/>
        <v>0</v>
      </c>
      <c r="BK15" s="151">
        <f t="shared" si="10"/>
        <v>0</v>
      </c>
      <c r="BL15" s="151">
        <f t="shared" si="10"/>
        <v>0</v>
      </c>
      <c r="BM15" s="151">
        <f t="shared" si="10"/>
        <v>0</v>
      </c>
      <c r="BN15" s="151">
        <f t="shared" si="10"/>
        <v>0</v>
      </c>
      <c r="BO15" s="151">
        <f t="shared" si="10"/>
        <v>0</v>
      </c>
      <c r="BP15" s="151">
        <f t="shared" si="10"/>
        <v>0</v>
      </c>
    </row>
    <row r="16" spans="1:68" outlineLevel="1" x14ac:dyDescent="0.25">
      <c r="C16" s="217" t="str">
        <f>Inputs!C45</f>
        <v>Milestone 5 devex</v>
      </c>
      <c r="D16" t="s">
        <v>125</v>
      </c>
      <c r="E16" s="146">
        <f>E15+Inputs!E53</f>
        <v>25</v>
      </c>
      <c r="F16" s="151">
        <f>Inputs!E45*Inputs!$E$16</f>
        <v>0</v>
      </c>
      <c r="G16" s="151">
        <f t="shared" si="4"/>
        <v>0</v>
      </c>
      <c r="H16" s="151">
        <f t="shared" si="5"/>
        <v>0</v>
      </c>
      <c r="I16" s="151">
        <f t="shared" si="5"/>
        <v>0</v>
      </c>
      <c r="J16" s="151">
        <f t="shared" si="5"/>
        <v>0</v>
      </c>
      <c r="K16" s="151">
        <f t="shared" si="5"/>
        <v>0</v>
      </c>
      <c r="L16" s="151">
        <f t="shared" si="5"/>
        <v>0</v>
      </c>
      <c r="M16" s="151">
        <f t="shared" si="5"/>
        <v>0</v>
      </c>
      <c r="N16" s="151">
        <f t="shared" si="5"/>
        <v>0</v>
      </c>
      <c r="O16" s="151">
        <f t="shared" si="5"/>
        <v>0</v>
      </c>
      <c r="P16" s="151">
        <f t="shared" si="5"/>
        <v>0</v>
      </c>
      <c r="Q16" s="151">
        <f t="shared" si="5"/>
        <v>0</v>
      </c>
      <c r="R16" s="151">
        <f t="shared" si="6"/>
        <v>0</v>
      </c>
      <c r="S16" s="151">
        <f t="shared" si="6"/>
        <v>0</v>
      </c>
      <c r="T16" s="151">
        <f t="shared" si="6"/>
        <v>0</v>
      </c>
      <c r="U16" s="151">
        <f t="shared" si="6"/>
        <v>0</v>
      </c>
      <c r="V16" s="151">
        <f t="shared" si="6"/>
        <v>0</v>
      </c>
      <c r="W16" s="151">
        <f t="shared" si="6"/>
        <v>0</v>
      </c>
      <c r="X16" s="151">
        <f t="shared" si="6"/>
        <v>0</v>
      </c>
      <c r="Y16" s="151">
        <f t="shared" si="6"/>
        <v>0</v>
      </c>
      <c r="Z16" s="151">
        <f t="shared" si="6"/>
        <v>0</v>
      </c>
      <c r="AA16" s="151">
        <f t="shared" si="6"/>
        <v>0</v>
      </c>
      <c r="AB16" s="151">
        <f t="shared" si="7"/>
        <v>0</v>
      </c>
      <c r="AC16" s="151">
        <f t="shared" si="7"/>
        <v>0</v>
      </c>
      <c r="AD16" s="151">
        <f t="shared" si="7"/>
        <v>0</v>
      </c>
      <c r="AE16" s="151">
        <f t="shared" si="7"/>
        <v>0</v>
      </c>
      <c r="AF16" s="151">
        <f t="shared" si="7"/>
        <v>0</v>
      </c>
      <c r="AG16" s="151">
        <f t="shared" si="7"/>
        <v>0</v>
      </c>
      <c r="AH16" s="151">
        <f t="shared" si="7"/>
        <v>0</v>
      </c>
      <c r="AI16" s="151">
        <f t="shared" si="7"/>
        <v>0</v>
      </c>
      <c r="AJ16" s="151">
        <f t="shared" si="7"/>
        <v>0</v>
      </c>
      <c r="AK16" s="151">
        <f t="shared" si="7"/>
        <v>0</v>
      </c>
      <c r="AL16" s="151">
        <f t="shared" si="8"/>
        <v>0</v>
      </c>
      <c r="AM16" s="151">
        <f t="shared" si="8"/>
        <v>0</v>
      </c>
      <c r="AN16" s="151">
        <f t="shared" si="8"/>
        <v>0</v>
      </c>
      <c r="AO16" s="151">
        <f t="shared" si="8"/>
        <v>0</v>
      </c>
      <c r="AP16" s="151">
        <f t="shared" si="8"/>
        <v>0</v>
      </c>
      <c r="AQ16" s="151">
        <f t="shared" si="8"/>
        <v>0</v>
      </c>
      <c r="AR16" s="151">
        <f t="shared" si="8"/>
        <v>0</v>
      </c>
      <c r="AS16" s="151">
        <f t="shared" si="8"/>
        <v>0</v>
      </c>
      <c r="AT16" s="151">
        <f t="shared" si="8"/>
        <v>0</v>
      </c>
      <c r="AU16" s="151">
        <f t="shared" si="8"/>
        <v>0</v>
      </c>
      <c r="AV16" s="151">
        <f t="shared" si="9"/>
        <v>0</v>
      </c>
      <c r="AW16" s="151">
        <f t="shared" si="9"/>
        <v>0</v>
      </c>
      <c r="AX16" s="151">
        <f t="shared" si="9"/>
        <v>0</v>
      </c>
      <c r="AY16" s="151">
        <f t="shared" si="9"/>
        <v>0</v>
      </c>
      <c r="AZ16" s="151">
        <f t="shared" si="9"/>
        <v>0</v>
      </c>
      <c r="BA16" s="151">
        <f t="shared" si="9"/>
        <v>0</v>
      </c>
      <c r="BB16" s="151">
        <f t="shared" si="9"/>
        <v>0</v>
      </c>
      <c r="BC16" s="151">
        <f t="shared" si="9"/>
        <v>0</v>
      </c>
      <c r="BD16" s="151">
        <f t="shared" si="9"/>
        <v>0</v>
      </c>
      <c r="BE16" s="151">
        <f t="shared" si="9"/>
        <v>0</v>
      </c>
      <c r="BF16" s="151">
        <f t="shared" si="10"/>
        <v>0</v>
      </c>
      <c r="BG16" s="151">
        <f t="shared" si="10"/>
        <v>0</v>
      </c>
      <c r="BH16" s="151">
        <f t="shared" si="10"/>
        <v>0</v>
      </c>
      <c r="BI16" s="151">
        <f t="shared" si="10"/>
        <v>0</v>
      </c>
      <c r="BJ16" s="151">
        <f t="shared" si="10"/>
        <v>0</v>
      </c>
      <c r="BK16" s="151">
        <f t="shared" si="10"/>
        <v>0</v>
      </c>
      <c r="BL16" s="151">
        <f t="shared" si="10"/>
        <v>0</v>
      </c>
      <c r="BM16" s="151">
        <f t="shared" si="10"/>
        <v>0</v>
      </c>
      <c r="BN16" s="151">
        <f t="shared" si="10"/>
        <v>0</v>
      </c>
      <c r="BO16" s="151">
        <f t="shared" si="10"/>
        <v>0</v>
      </c>
      <c r="BP16" s="151">
        <f t="shared" si="10"/>
        <v>0</v>
      </c>
    </row>
    <row r="17" spans="3:68" outlineLevel="1" x14ac:dyDescent="0.25">
      <c r="C17" s="217" t="str">
        <f>Inputs!C46</f>
        <v>Milestone 6 devex</v>
      </c>
      <c r="D17" t="s">
        <v>125</v>
      </c>
      <c r="E17" s="146">
        <f>E16+Inputs!E54</f>
        <v>32</v>
      </c>
      <c r="F17" s="151">
        <f>Inputs!E46*Inputs!$E$16</f>
        <v>0</v>
      </c>
      <c r="G17" s="151">
        <f t="shared" si="4"/>
        <v>0</v>
      </c>
      <c r="H17" s="151">
        <f t="shared" si="5"/>
        <v>0</v>
      </c>
      <c r="I17" s="151">
        <f t="shared" si="5"/>
        <v>0</v>
      </c>
      <c r="J17" s="151">
        <f t="shared" si="5"/>
        <v>0</v>
      </c>
      <c r="K17" s="151">
        <f t="shared" si="5"/>
        <v>0</v>
      </c>
      <c r="L17" s="151">
        <f t="shared" si="5"/>
        <v>0</v>
      </c>
      <c r="M17" s="151">
        <f t="shared" si="5"/>
        <v>0</v>
      </c>
      <c r="N17" s="151">
        <f t="shared" si="5"/>
        <v>0</v>
      </c>
      <c r="O17" s="151">
        <f t="shared" si="5"/>
        <v>0</v>
      </c>
      <c r="P17" s="151">
        <f t="shared" si="5"/>
        <v>0</v>
      </c>
      <c r="Q17" s="151">
        <f t="shared" si="5"/>
        <v>0</v>
      </c>
      <c r="R17" s="151">
        <f t="shared" si="6"/>
        <v>0</v>
      </c>
      <c r="S17" s="151">
        <f t="shared" si="6"/>
        <v>0</v>
      </c>
      <c r="T17" s="151">
        <f t="shared" si="6"/>
        <v>0</v>
      </c>
      <c r="U17" s="151">
        <f t="shared" si="6"/>
        <v>0</v>
      </c>
      <c r="V17" s="151">
        <f t="shared" si="6"/>
        <v>0</v>
      </c>
      <c r="W17" s="151">
        <f t="shared" si="6"/>
        <v>0</v>
      </c>
      <c r="X17" s="151">
        <f t="shared" si="6"/>
        <v>0</v>
      </c>
      <c r="Y17" s="151">
        <f t="shared" si="6"/>
        <v>0</v>
      </c>
      <c r="Z17" s="151">
        <f t="shared" si="6"/>
        <v>0</v>
      </c>
      <c r="AA17" s="151">
        <f t="shared" si="6"/>
        <v>0</v>
      </c>
      <c r="AB17" s="151">
        <f t="shared" si="7"/>
        <v>0</v>
      </c>
      <c r="AC17" s="151">
        <f t="shared" si="7"/>
        <v>0</v>
      </c>
      <c r="AD17" s="151">
        <f t="shared" si="7"/>
        <v>0</v>
      </c>
      <c r="AE17" s="151">
        <f t="shared" si="7"/>
        <v>0</v>
      </c>
      <c r="AF17" s="151">
        <f t="shared" si="7"/>
        <v>0</v>
      </c>
      <c r="AG17" s="151">
        <f t="shared" si="7"/>
        <v>0</v>
      </c>
      <c r="AH17" s="151">
        <f t="shared" si="7"/>
        <v>0</v>
      </c>
      <c r="AI17" s="151">
        <f t="shared" si="7"/>
        <v>0</v>
      </c>
      <c r="AJ17" s="151">
        <f t="shared" si="7"/>
        <v>0</v>
      </c>
      <c r="AK17" s="151">
        <f t="shared" si="7"/>
        <v>0</v>
      </c>
      <c r="AL17" s="151">
        <f t="shared" si="8"/>
        <v>0</v>
      </c>
      <c r="AM17" s="151">
        <f t="shared" si="8"/>
        <v>0</v>
      </c>
      <c r="AN17" s="151">
        <f t="shared" si="8"/>
        <v>0</v>
      </c>
      <c r="AO17" s="151">
        <f t="shared" si="8"/>
        <v>0</v>
      </c>
      <c r="AP17" s="151">
        <f t="shared" si="8"/>
        <v>0</v>
      </c>
      <c r="AQ17" s="151">
        <f t="shared" si="8"/>
        <v>0</v>
      </c>
      <c r="AR17" s="151">
        <f t="shared" si="8"/>
        <v>0</v>
      </c>
      <c r="AS17" s="151">
        <f t="shared" si="8"/>
        <v>0</v>
      </c>
      <c r="AT17" s="151">
        <f t="shared" si="8"/>
        <v>0</v>
      </c>
      <c r="AU17" s="151">
        <f t="shared" si="8"/>
        <v>0</v>
      </c>
      <c r="AV17" s="151">
        <f t="shared" si="9"/>
        <v>0</v>
      </c>
      <c r="AW17" s="151">
        <f t="shared" si="9"/>
        <v>0</v>
      </c>
      <c r="AX17" s="151">
        <f t="shared" si="9"/>
        <v>0</v>
      </c>
      <c r="AY17" s="151">
        <f t="shared" si="9"/>
        <v>0</v>
      </c>
      <c r="AZ17" s="151">
        <f t="shared" si="9"/>
        <v>0</v>
      </c>
      <c r="BA17" s="151">
        <f t="shared" si="9"/>
        <v>0</v>
      </c>
      <c r="BB17" s="151">
        <f t="shared" si="9"/>
        <v>0</v>
      </c>
      <c r="BC17" s="151">
        <f t="shared" si="9"/>
        <v>0</v>
      </c>
      <c r="BD17" s="151">
        <f t="shared" si="9"/>
        <v>0</v>
      </c>
      <c r="BE17" s="151">
        <f t="shared" si="9"/>
        <v>0</v>
      </c>
      <c r="BF17" s="151">
        <f t="shared" si="10"/>
        <v>0</v>
      </c>
      <c r="BG17" s="151">
        <f t="shared" si="10"/>
        <v>0</v>
      </c>
      <c r="BH17" s="151">
        <f t="shared" si="10"/>
        <v>0</v>
      </c>
      <c r="BI17" s="151">
        <f t="shared" si="10"/>
        <v>0</v>
      </c>
      <c r="BJ17" s="151">
        <f t="shared" si="10"/>
        <v>0</v>
      </c>
      <c r="BK17" s="151">
        <f t="shared" si="10"/>
        <v>0</v>
      </c>
      <c r="BL17" s="151">
        <f t="shared" si="10"/>
        <v>0</v>
      </c>
      <c r="BM17" s="151">
        <f t="shared" si="10"/>
        <v>0</v>
      </c>
      <c r="BN17" s="151">
        <f t="shared" si="10"/>
        <v>0</v>
      </c>
      <c r="BO17" s="151">
        <f t="shared" si="10"/>
        <v>0</v>
      </c>
      <c r="BP17" s="151">
        <f t="shared" si="10"/>
        <v>0</v>
      </c>
    </row>
    <row r="18" spans="3:68" x14ac:dyDescent="0.25">
      <c r="C18" s="198" t="s">
        <v>1038</v>
      </c>
      <c r="D18" s="198" t="s">
        <v>125</v>
      </c>
      <c r="E18" s="244"/>
      <c r="F18" s="244"/>
      <c r="G18" s="244">
        <f t="shared" si="4"/>
        <v>1331.2330960100946</v>
      </c>
      <c r="H18" s="244">
        <f>SUMIFS(Devex_FEP!$H$5:$H$38,Devex_FEP!$I$5:$I$38,H$4)</f>
        <v>0</v>
      </c>
      <c r="I18" s="244">
        <f>SUMIFS(Devex_FEP!$H$5:$H$38,Devex_FEP!$I$5:$I$38,I$4)</f>
        <v>0</v>
      </c>
      <c r="J18" s="244">
        <f>SUMIFS(Devex_FEP!$H$5:$H$38,Devex_FEP!$I$5:$I$38,J$4)</f>
        <v>0</v>
      </c>
      <c r="K18" s="244">
        <f>SUMIFS(Devex_FEP!$H$5:$H$38,Devex_FEP!$I$5:$I$38,K$4)</f>
        <v>88.621621621621628</v>
      </c>
      <c r="L18" s="244">
        <f>SUMIFS(Devex_FEP!$H$5:$H$38,Devex_FEP!$I$5:$I$38,L$4)</f>
        <v>0</v>
      </c>
      <c r="M18" s="244">
        <f>SUMIFS(Devex_FEP!$H$5:$H$38,Devex_FEP!$I$5:$I$38,M$4)</f>
        <v>0</v>
      </c>
      <c r="N18" s="244">
        <f>SUMIFS(Devex_FEP!$H$5:$H$38,Devex_FEP!$I$5:$I$38,N$4)</f>
        <v>4.8648648648648649</v>
      </c>
      <c r="O18" s="244">
        <f>SUMIFS(Devex_FEP!$H$5:$H$38,Devex_FEP!$I$5:$I$38,O$4)</f>
        <v>0</v>
      </c>
      <c r="P18" s="244">
        <f>SUMIFS(Devex_FEP!$H$5:$H$38,Devex_FEP!$I$5:$I$38,P$4)</f>
        <v>199</v>
      </c>
      <c r="Q18" s="244">
        <f>SUMIFS(Devex_FEP!$H$5:$H$38,Devex_FEP!$I$5:$I$38,Q$4)</f>
        <v>0</v>
      </c>
      <c r="R18" s="244">
        <f>SUMIFS(Devex_FEP!$H$5:$H$38,Devex_FEP!$I$5:$I$38,R$4)</f>
        <v>0</v>
      </c>
      <c r="S18" s="244">
        <f>SUMIFS(Devex_FEP!$H$5:$H$38,Devex_FEP!$I$5:$I$38,S$4)</f>
        <v>21.621621621621621</v>
      </c>
      <c r="T18" s="244">
        <f>SUMIFS(Devex_FEP!$H$5:$H$38,Devex_FEP!$I$5:$I$38,T$4)</f>
        <v>21.621621621621621</v>
      </c>
      <c r="U18" s="244">
        <f>SUMIFS(Devex_FEP!$H$5:$H$38,Devex_FEP!$I$5:$I$38,U$4)</f>
        <v>0</v>
      </c>
      <c r="V18" s="244">
        <f>SUMIFS(Devex_FEP!$H$5:$H$38,Devex_FEP!$I$5:$I$38,V$4)</f>
        <v>0</v>
      </c>
      <c r="W18" s="244">
        <f>SUMIFS(Devex_FEP!$H$5:$H$38,Devex_FEP!$I$5:$I$38,W$4)</f>
        <v>0</v>
      </c>
      <c r="X18" s="244">
        <f>SUMIFS(Devex_FEP!$H$5:$H$38,Devex_FEP!$I$5:$I$38,X$4)</f>
        <v>20.27027027027027</v>
      </c>
      <c r="Y18" s="244">
        <f>SUMIFS(Devex_FEP!$H$5:$H$38,Devex_FEP!$I$5:$I$38,Y$4)</f>
        <v>71.340540540540545</v>
      </c>
      <c r="Z18" s="244">
        <f>SUMIFS(Devex_FEP!$H$5:$H$38,Devex_FEP!$I$5:$I$38,Z$4)</f>
        <v>477.37196635410925</v>
      </c>
      <c r="AA18" s="244">
        <f>SUMIFS(Devex_FEP!$H$5:$H$38,Devex_FEP!$I$5:$I$38,AA$4)</f>
        <v>114.86486486486487</v>
      </c>
      <c r="AB18" s="244">
        <f>SUMIFS(Devex_FEP!$H$5:$H$38,Devex_FEP!$I$5:$I$38,AB$4)</f>
        <v>44.067567567567565</v>
      </c>
      <c r="AC18" s="244">
        <f>SUMIFS(Devex_FEP!$H$5:$H$38,Devex_FEP!$I$5:$I$38,AC$4)</f>
        <v>5.4054054054054057E-2</v>
      </c>
      <c r="AD18" s="244">
        <f>SUMIFS(Devex_FEP!$H$5:$H$38,Devex_FEP!$I$5:$I$38,AD$4)</f>
        <v>0</v>
      </c>
      <c r="AE18" s="244">
        <f>SUMIFS(Devex_FEP!$H$5:$H$38,Devex_FEP!$I$5:$I$38,AE$4)</f>
        <v>2.25</v>
      </c>
      <c r="AF18" s="244">
        <f>SUMIFS(Devex_FEP!$H$5:$H$38,Devex_FEP!$I$5:$I$38,AF$4)</f>
        <v>0</v>
      </c>
      <c r="AG18" s="244">
        <f>SUMIFS(Devex_FEP!$H$5:$H$38,Devex_FEP!$I$5:$I$38,AG$4)</f>
        <v>80.937028571428556</v>
      </c>
      <c r="AH18" s="244">
        <f>SUMIFS(Devex_FEP!$H$5:$H$38,Devex_FEP!$I$5:$I$38,AH$4)</f>
        <v>0</v>
      </c>
      <c r="AI18" s="244">
        <f>SUMIFS(Devex_FEP!$H$5:$H$38,Devex_FEP!$I$5:$I$38,AI$4)</f>
        <v>0</v>
      </c>
      <c r="AJ18" s="244">
        <f>SUMIFS(Devex_FEP!$H$5:$H$38,Devex_FEP!$I$5:$I$38,AJ$4)</f>
        <v>16.216216216216218</v>
      </c>
      <c r="AK18" s="244">
        <f>SUMIFS(Devex_FEP!$H$5:$H$38,Devex_FEP!$I$5:$I$38,AK$4)</f>
        <v>141.10383081428651</v>
      </c>
      <c r="AL18" s="244">
        <f>SUMIFS(Devex_FEP!$H$5:$H$38,Devex_FEP!$I$5:$I$38,AL$4)</f>
        <v>27.027027027027028</v>
      </c>
      <c r="AM18" s="244">
        <f>SUMIFS(Devex_FEP!$H$5:$H$38,Devex_FEP!$I$5:$I$38,AM$4)</f>
        <v>0</v>
      </c>
      <c r="AN18" s="244">
        <f>SUMIFS(Devex_FEP!$H$5:$H$38,Devex_FEP!$I$5:$I$38,AN$4)</f>
        <v>0</v>
      </c>
      <c r="AO18" s="244">
        <f>SUMIFS(Devex_FEP!$H$5:$H$38,Devex_FEP!$I$5:$I$38,AO$4)</f>
        <v>0</v>
      </c>
      <c r="AP18" s="244">
        <f>SUMIFS(Devex_FEP!$H$5:$H$38,Devex_FEP!$I$5:$I$38,AP$4)</f>
        <v>0</v>
      </c>
      <c r="AQ18" s="244">
        <f>SUMIFS(Devex_FEP!$H$5:$H$38,Devex_FEP!$I$5:$I$38,AQ$4)</f>
        <v>0</v>
      </c>
      <c r="AR18" s="244">
        <f>SUMIFS(Devex_FEP!$H$5:$H$38,Devex_FEP!$I$5:$I$38,AR$4)</f>
        <v>0</v>
      </c>
      <c r="AS18" s="244">
        <f>SUMIFS(Devex_FEP!$H$5:$H$38,Devex_FEP!$I$5:$I$38,AS$4)</f>
        <v>0</v>
      </c>
      <c r="AT18" s="244">
        <f>SUMIFS(Devex_FEP!$H$5:$H$38,Devex_FEP!$I$5:$I$38,AT$4)</f>
        <v>0</v>
      </c>
      <c r="AU18" s="244">
        <f>SUMIFS(Devex_FEP!$H$5:$H$38,Devex_FEP!$I$5:$I$38,AU$4)</f>
        <v>0</v>
      </c>
      <c r="AV18" s="244">
        <f>SUMIFS(Devex_FEP!$H$5:$H$38,Devex_FEP!$I$5:$I$38,AV$4)</f>
        <v>0</v>
      </c>
      <c r="AW18" s="244">
        <f>SUMIFS(Devex_FEP!$H$5:$H$38,Devex_FEP!$I$5:$I$38,AW$4)</f>
        <v>0</v>
      </c>
      <c r="AX18" s="244">
        <f>SUMIFS(Devex_FEP!$H$5:$H$38,Devex_FEP!$I$5:$I$38,AX$4)</f>
        <v>0</v>
      </c>
      <c r="AY18" s="244">
        <f>SUMIFS(Devex_FEP!$H$5:$H$38,Devex_FEP!$I$5:$I$38,AY$4)</f>
        <v>0</v>
      </c>
      <c r="AZ18" s="244">
        <f>SUMIFS(Devex_FEP!$H$5:$H$38,Devex_FEP!$I$5:$I$38,AZ$4)</f>
        <v>0</v>
      </c>
      <c r="BA18" s="244">
        <f>SUMIFS(Devex_FEP!$H$5:$H$38,Devex_FEP!$I$5:$I$38,BA$4)</f>
        <v>0</v>
      </c>
      <c r="BB18" s="244">
        <f>SUMIFS(Devex_FEP!$H$5:$H$38,Devex_FEP!$I$5:$I$38,BB$4)</f>
        <v>0</v>
      </c>
      <c r="BC18" s="244">
        <f>SUMIFS(Devex_FEP!$H$5:$H$38,Devex_FEP!$I$5:$I$38,BC$4)</f>
        <v>0</v>
      </c>
      <c r="BD18" s="244">
        <f>SUMIFS(Devex_FEP!$H$5:$H$38,Devex_FEP!$I$5:$I$38,BD$4)</f>
        <v>0</v>
      </c>
      <c r="BE18" s="244">
        <f>SUMIFS(Devex_FEP!$H$5:$H$38,Devex_FEP!$I$5:$I$38,BE$4)</f>
        <v>0</v>
      </c>
      <c r="BF18" s="244">
        <f>SUMIFS(Devex_FEP!$H$5:$H$38,Devex_FEP!$I$5:$I$38,BF$4)</f>
        <v>0</v>
      </c>
      <c r="BG18" s="244">
        <f>SUMIFS(Devex_FEP!$H$5:$H$38,Devex_FEP!$I$5:$I$38,BG$4)</f>
        <v>0</v>
      </c>
      <c r="BH18" s="244">
        <f>SUMIFS(Devex_FEP!$H$5:$H$38,Devex_FEP!$I$5:$I$38,BH$4)</f>
        <v>0</v>
      </c>
      <c r="BI18" s="244">
        <f>SUMIFS(Devex_FEP!$H$5:$H$38,Devex_FEP!$I$5:$I$38,BI$4)</f>
        <v>0</v>
      </c>
      <c r="BJ18" s="244">
        <f>SUMIFS(Devex_FEP!$H$5:$H$38,Devex_FEP!$I$5:$I$38,BJ$4)</f>
        <v>0</v>
      </c>
      <c r="BK18" s="244">
        <f>SUMIFS(Devex_FEP!$H$5:$H$38,Devex_FEP!$I$5:$I$38,BK$4)</f>
        <v>0</v>
      </c>
      <c r="BL18" s="244">
        <f>SUMIFS(Devex_FEP!$H$5:$H$38,Devex_FEP!$I$5:$I$38,BL$4)</f>
        <v>0</v>
      </c>
      <c r="BM18" s="244">
        <f>SUMIFS(Devex_FEP!$H$5:$H$38,Devex_FEP!$I$5:$I$38,BM$4)</f>
        <v>0</v>
      </c>
      <c r="BN18" s="244">
        <f>SUMIFS(Devex_FEP!$H$5:$H$38,Devex_FEP!$I$5:$I$38,BN$4)</f>
        <v>0</v>
      </c>
      <c r="BO18" s="244">
        <f>SUMIFS(Devex_FEP!$H$5:$H$38,Devex_FEP!$I$5:$I$38,BO$4)</f>
        <v>0</v>
      </c>
      <c r="BP18" s="244">
        <f>SUMIFS(Devex_FEP!$H$5:$H$38,Devex_FEP!$I$5:$I$38,BP$4)</f>
        <v>0</v>
      </c>
    </row>
    <row r="19" spans="3:68" x14ac:dyDescent="0.25">
      <c r="C19" t="s">
        <v>1039</v>
      </c>
      <c r="D19" t="s">
        <v>125</v>
      </c>
      <c r="E19" s="151"/>
      <c r="F19" s="151"/>
      <c r="G19" s="151"/>
      <c r="H19" s="151">
        <f>H18</f>
        <v>0</v>
      </c>
      <c r="I19" s="151">
        <f t="shared" ref="I19:AN19" si="11">H19+I18</f>
        <v>0</v>
      </c>
      <c r="J19" s="151">
        <f t="shared" si="11"/>
        <v>0</v>
      </c>
      <c r="K19" s="151">
        <f t="shared" si="11"/>
        <v>88.621621621621628</v>
      </c>
      <c r="L19" s="151">
        <f t="shared" si="11"/>
        <v>88.621621621621628</v>
      </c>
      <c r="M19" s="151">
        <f t="shared" si="11"/>
        <v>88.621621621621628</v>
      </c>
      <c r="N19" s="151">
        <f t="shared" si="11"/>
        <v>93.486486486486498</v>
      </c>
      <c r="O19" s="151">
        <f t="shared" si="11"/>
        <v>93.486486486486498</v>
      </c>
      <c r="P19" s="151">
        <f t="shared" si="11"/>
        <v>292.48648648648651</v>
      </c>
      <c r="Q19" s="151">
        <f t="shared" si="11"/>
        <v>292.48648648648651</v>
      </c>
      <c r="R19" s="151">
        <f t="shared" si="11"/>
        <v>292.48648648648651</v>
      </c>
      <c r="S19" s="151">
        <f t="shared" si="11"/>
        <v>314.10810810810813</v>
      </c>
      <c r="T19" s="151">
        <f t="shared" si="11"/>
        <v>335.72972972972974</v>
      </c>
      <c r="U19" s="151">
        <f t="shared" si="11"/>
        <v>335.72972972972974</v>
      </c>
      <c r="V19" s="151">
        <f t="shared" si="11"/>
        <v>335.72972972972974</v>
      </c>
      <c r="W19" s="151">
        <f t="shared" si="11"/>
        <v>335.72972972972974</v>
      </c>
      <c r="X19" s="151">
        <f t="shared" si="11"/>
        <v>356</v>
      </c>
      <c r="Y19" s="151">
        <f t="shared" si="11"/>
        <v>427.34054054054053</v>
      </c>
      <c r="Z19" s="151">
        <f t="shared" si="11"/>
        <v>904.71250689464978</v>
      </c>
      <c r="AA19" s="151">
        <f t="shared" si="11"/>
        <v>1019.5773717595147</v>
      </c>
      <c r="AB19" s="151">
        <f t="shared" si="11"/>
        <v>1063.6449393270823</v>
      </c>
      <c r="AC19" s="151">
        <f t="shared" si="11"/>
        <v>1063.6989933811362</v>
      </c>
      <c r="AD19" s="151">
        <f t="shared" si="11"/>
        <v>1063.6989933811362</v>
      </c>
      <c r="AE19" s="151">
        <f t="shared" si="11"/>
        <v>1065.9489933811362</v>
      </c>
      <c r="AF19" s="151">
        <f t="shared" si="11"/>
        <v>1065.9489933811362</v>
      </c>
      <c r="AG19" s="151">
        <f t="shared" si="11"/>
        <v>1146.8860219525648</v>
      </c>
      <c r="AH19" s="151">
        <f t="shared" si="11"/>
        <v>1146.8860219525648</v>
      </c>
      <c r="AI19" s="151">
        <f t="shared" si="11"/>
        <v>1146.8860219525648</v>
      </c>
      <c r="AJ19" s="151">
        <f t="shared" si="11"/>
        <v>1163.102238168781</v>
      </c>
      <c r="AK19" s="151">
        <f t="shared" si="11"/>
        <v>1304.2060689830676</v>
      </c>
      <c r="AL19" s="151">
        <f t="shared" si="11"/>
        <v>1331.2330960100946</v>
      </c>
      <c r="AM19" s="151">
        <f t="shared" si="11"/>
        <v>1331.2330960100946</v>
      </c>
      <c r="AN19" s="151">
        <f t="shared" si="11"/>
        <v>1331.2330960100946</v>
      </c>
      <c r="AO19" s="151">
        <f t="shared" ref="AO19:BP19" si="12">AN19+AO18</f>
        <v>1331.2330960100946</v>
      </c>
      <c r="AP19" s="151">
        <f t="shared" si="12"/>
        <v>1331.2330960100946</v>
      </c>
      <c r="AQ19" s="151">
        <f t="shared" si="12"/>
        <v>1331.2330960100946</v>
      </c>
      <c r="AR19" s="151">
        <f t="shared" si="12"/>
        <v>1331.2330960100946</v>
      </c>
      <c r="AS19" s="151">
        <f t="shared" si="12"/>
        <v>1331.2330960100946</v>
      </c>
      <c r="AT19" s="151">
        <f t="shared" si="12"/>
        <v>1331.2330960100946</v>
      </c>
      <c r="AU19" s="151">
        <f t="shared" si="12"/>
        <v>1331.2330960100946</v>
      </c>
      <c r="AV19" s="151">
        <f t="shared" si="12"/>
        <v>1331.2330960100946</v>
      </c>
      <c r="AW19" s="151">
        <f t="shared" si="12"/>
        <v>1331.2330960100946</v>
      </c>
      <c r="AX19" s="151">
        <f t="shared" si="12"/>
        <v>1331.2330960100946</v>
      </c>
      <c r="AY19" s="151">
        <f t="shared" si="12"/>
        <v>1331.2330960100946</v>
      </c>
      <c r="AZ19" s="151">
        <f t="shared" si="12"/>
        <v>1331.2330960100946</v>
      </c>
      <c r="BA19" s="151">
        <f t="shared" si="12"/>
        <v>1331.2330960100946</v>
      </c>
      <c r="BB19" s="151">
        <f t="shared" si="12"/>
        <v>1331.2330960100946</v>
      </c>
      <c r="BC19" s="151">
        <f t="shared" si="12"/>
        <v>1331.2330960100946</v>
      </c>
      <c r="BD19" s="151">
        <f t="shared" si="12"/>
        <v>1331.2330960100946</v>
      </c>
      <c r="BE19" s="151">
        <f t="shared" si="12"/>
        <v>1331.2330960100946</v>
      </c>
      <c r="BF19" s="151">
        <f t="shared" si="12"/>
        <v>1331.2330960100946</v>
      </c>
      <c r="BG19" s="151">
        <f t="shared" si="12"/>
        <v>1331.2330960100946</v>
      </c>
      <c r="BH19" s="151">
        <f t="shared" si="12"/>
        <v>1331.2330960100946</v>
      </c>
      <c r="BI19" s="151">
        <f t="shared" si="12"/>
        <v>1331.2330960100946</v>
      </c>
      <c r="BJ19" s="151">
        <f t="shared" si="12"/>
        <v>1331.2330960100946</v>
      </c>
      <c r="BK19" s="151">
        <f t="shared" si="12"/>
        <v>1331.2330960100946</v>
      </c>
      <c r="BL19" s="151">
        <f t="shared" si="12"/>
        <v>1331.2330960100946</v>
      </c>
      <c r="BM19" s="151">
        <f t="shared" si="12"/>
        <v>1331.2330960100946</v>
      </c>
      <c r="BN19" s="151">
        <f t="shared" si="12"/>
        <v>1331.2330960100946</v>
      </c>
      <c r="BO19" s="151">
        <f t="shared" si="12"/>
        <v>1331.2330960100946</v>
      </c>
      <c r="BP19" s="151">
        <f t="shared" si="12"/>
        <v>1331.2330960100946</v>
      </c>
    </row>
    <row r="20" spans="3:68" x14ac:dyDescent="0.25">
      <c r="C20" s="198" t="s">
        <v>1040</v>
      </c>
      <c r="D20" s="198" t="s">
        <v>125</v>
      </c>
      <c r="E20" s="244"/>
      <c r="F20" s="244"/>
      <c r="G20" s="244">
        <f>SUM(H20:BP20)</f>
        <v>212.68986486486486</v>
      </c>
      <c r="H20" s="244">
        <f>IF(Inputs!$E$67=1,SUMIFS(Devex_FEP!$K$5:$K$38,Devex_FEP!$I$5:$I$38,H$4),0)</f>
        <v>0</v>
      </c>
      <c r="I20" s="244">
        <f>IF(Inputs!$E$67=1,SUMIFS(Devex_FEP!$K$5:$K$38,Devex_FEP!$I$5:$I$38,I$4),0)</f>
        <v>0</v>
      </c>
      <c r="J20" s="244">
        <f>IF(Inputs!$E$67=1,SUMIFS(Devex_FEP!$K$5:$K$38,Devex_FEP!$I$5:$I$38,J$4),0)</f>
        <v>0</v>
      </c>
      <c r="K20" s="244">
        <f>IF(Inputs!$E$67=1,SUMIFS(Devex_FEP!$K$5:$K$38,Devex_FEP!$I$5:$I$38,K$4),0)</f>
        <v>0</v>
      </c>
      <c r="L20" s="244">
        <f>IF(Inputs!$E$67=1,SUMIFS(Devex_FEP!$K$5:$K$38,Devex_FEP!$I$5:$I$38,L$4),0)</f>
        <v>0</v>
      </c>
      <c r="M20" s="244">
        <f>IF(Inputs!$E$67=1,SUMIFS(Devex_FEP!$K$5:$K$38,Devex_FEP!$I$5:$I$38,M$4),0)</f>
        <v>0</v>
      </c>
      <c r="N20" s="244">
        <f>IF(Inputs!$E$67=1,SUMIFS(Devex_FEP!$K$5:$K$38,Devex_FEP!$I$5:$I$38,N$4),0)</f>
        <v>0</v>
      </c>
      <c r="O20" s="244">
        <f>IF(Inputs!$E$67=1,SUMIFS(Devex_FEP!$K$5:$K$38,Devex_FEP!$I$5:$I$38,O$4),0)</f>
        <v>89.446621621621617</v>
      </c>
      <c r="P20" s="244">
        <f>IF(Inputs!$E$67=1,SUMIFS(Devex_FEP!$K$5:$K$38,Devex_FEP!$I$5:$I$38,P$4),0)</f>
        <v>0</v>
      </c>
      <c r="Q20" s="244">
        <f>IF(Inputs!$E$67=1,SUMIFS(Devex_FEP!$K$5:$K$38,Devex_FEP!$I$5:$I$38,Q$4),0)</f>
        <v>0</v>
      </c>
      <c r="R20" s="244">
        <f>IF(Inputs!$E$67=1,SUMIFS(Devex_FEP!$K$5:$K$38,Devex_FEP!$I$5:$I$38,R$4),0)</f>
        <v>0</v>
      </c>
      <c r="S20" s="244">
        <f>IF(Inputs!$E$67=1,SUMIFS(Devex_FEP!$K$5:$K$38,Devex_FEP!$I$5:$I$38,S$4),0)</f>
        <v>0</v>
      </c>
      <c r="T20" s="244">
        <f>IF(Inputs!$E$67=1,SUMIFS(Devex_FEP!$K$5:$K$38,Devex_FEP!$I$5:$I$38,T$4),0)</f>
        <v>0</v>
      </c>
      <c r="U20" s="244">
        <f>IF(Inputs!$E$67=1,SUMIFS(Devex_FEP!$K$5:$K$38,Devex_FEP!$I$5:$I$38,U$4),0)</f>
        <v>0</v>
      </c>
      <c r="V20" s="244">
        <f>IF(Inputs!$E$67=1,SUMIFS(Devex_FEP!$K$5:$K$38,Devex_FEP!$I$5:$I$38,V$4),0)</f>
        <v>0</v>
      </c>
      <c r="W20" s="244">
        <f>IF(Inputs!$E$67=1,SUMIFS(Devex_FEP!$K$5:$K$38,Devex_FEP!$I$5:$I$38,W$4),0)</f>
        <v>0</v>
      </c>
      <c r="X20" s="244">
        <f>IF(Inputs!$E$67=1,SUMIFS(Devex_FEP!$K$5:$K$38,Devex_FEP!$I$5:$I$38,X$4),0)</f>
        <v>0</v>
      </c>
      <c r="Y20" s="244">
        <f>IF(Inputs!$E$67=1,SUMIFS(Devex_FEP!$K$5:$K$38,Devex_FEP!$I$5:$I$38,Y$4),0)</f>
        <v>0</v>
      </c>
      <c r="Z20" s="244">
        <f>IF(Inputs!$E$67=1,SUMIFS(Devex_FEP!$K$5:$K$38,Devex_FEP!$I$5:$I$38,Z$4),0)</f>
        <v>0</v>
      </c>
      <c r="AA20" s="244">
        <f>IF(Inputs!$E$67=1,SUMIFS(Devex_FEP!$K$5:$K$38,Devex_FEP!$I$5:$I$38,AA$4),0)</f>
        <v>0</v>
      </c>
      <c r="AB20" s="244">
        <f>IF(Inputs!$E$67=1,SUMIFS(Devex_FEP!$K$5:$K$38,Devex_FEP!$I$5:$I$38,AB$4),0)</f>
        <v>0</v>
      </c>
      <c r="AC20" s="244">
        <f>IF(Inputs!$E$67=1,SUMIFS(Devex_FEP!$K$5:$K$38,Devex_FEP!$I$5:$I$38,AC$4),0)</f>
        <v>0</v>
      </c>
      <c r="AD20" s="244">
        <f>IF(Inputs!$E$67=1,SUMIFS(Devex_FEP!$K$5:$K$38,Devex_FEP!$I$5:$I$38,AD$4),0)</f>
        <v>0</v>
      </c>
      <c r="AE20" s="244">
        <f>IF(Inputs!$E$67=1,SUMIFS(Devex_FEP!$K$5:$K$38,Devex_FEP!$I$5:$I$38,AE$4),0)</f>
        <v>0</v>
      </c>
      <c r="AF20" s="244">
        <f>IF(Inputs!$E$67=1,SUMIFS(Devex_FEP!$K$5:$K$38,Devex_FEP!$I$5:$I$38,AF$4),0)</f>
        <v>0</v>
      </c>
      <c r="AG20" s="244">
        <f>IF(Inputs!$E$67=1,SUMIFS(Devex_FEP!$K$5:$K$38,Devex_FEP!$I$5:$I$38,AG$4),0)</f>
        <v>0</v>
      </c>
      <c r="AH20" s="244">
        <f>IF(Inputs!$E$67=1,SUMIFS(Devex_FEP!$K$5:$K$38,Devex_FEP!$I$5:$I$38,AH$4),0)</f>
        <v>0</v>
      </c>
      <c r="AI20" s="244">
        <f>IF(Inputs!$E$67=1,SUMIFS(Devex_FEP!$K$5:$K$38,Devex_FEP!$I$5:$I$38,AI$4),0)</f>
        <v>0</v>
      </c>
      <c r="AJ20" s="244">
        <f>IF(Inputs!$E$67=1,SUMIFS(Devex_FEP!$K$5:$K$38,Devex_FEP!$I$5:$I$38,AJ$4),0)</f>
        <v>0</v>
      </c>
      <c r="AK20" s="244">
        <f>IF(Inputs!$E$67=1,SUMIFS(Devex_FEP!$K$5:$K$38,Devex_FEP!$I$5:$I$38,AK$4),0)</f>
        <v>0</v>
      </c>
      <c r="AL20" s="244">
        <f>IF(Inputs!$E$67=1,SUMIFS(Devex_FEP!$K$5:$K$38,Devex_FEP!$I$5:$I$38,AL$4),0)</f>
        <v>0</v>
      </c>
      <c r="AM20" s="244">
        <f>IF(Inputs!$E$67=1,SUMIFS(Devex_FEP!$K$5:$K$38,Devex_FEP!$I$5:$I$38,AM$4),0)</f>
        <v>0</v>
      </c>
      <c r="AN20" s="244">
        <f>IF(Inputs!$E$67=1,SUMIFS(Devex_FEP!$K$5:$K$38,Devex_FEP!$I$5:$I$38,AN$4),0)</f>
        <v>123.24324324324324</v>
      </c>
      <c r="AO20" s="244">
        <f>IF(Inputs!$E$67=1,SUMIFS(Devex_FEP!$K$5:$K$38,Devex_FEP!$I$5:$I$38,AO$4),0)</f>
        <v>0</v>
      </c>
      <c r="AP20" s="244">
        <f>IF(Inputs!$E$67=1,SUMIFS(Devex_FEP!$K$5:$K$38,Devex_FEP!$I$5:$I$38,AP$4),0)</f>
        <v>0</v>
      </c>
      <c r="AQ20" s="244">
        <f>IF(Inputs!$E$67=1,SUMIFS(Devex_FEP!$K$5:$K$38,Devex_FEP!$I$5:$I$38,AQ$4),0)</f>
        <v>0</v>
      </c>
      <c r="AR20" s="244">
        <f>IF(Inputs!$E$67=1,SUMIFS(Devex_FEP!$K$5:$K$38,Devex_FEP!$I$5:$I$38,AR$4),0)</f>
        <v>0</v>
      </c>
      <c r="AS20" s="244">
        <f>IF(Inputs!$E$67=1,SUMIFS(Devex_FEP!$K$5:$K$38,Devex_FEP!$I$5:$I$38,AS$4),0)</f>
        <v>0</v>
      </c>
      <c r="AT20" s="244">
        <f>IF(Inputs!$E$67=1,SUMIFS(Devex_FEP!$K$5:$K$38,Devex_FEP!$I$5:$I$38,AT$4),0)</f>
        <v>0</v>
      </c>
      <c r="AU20" s="244">
        <f>IF(Inputs!$E$67=1,SUMIFS(Devex_FEP!$K$5:$K$38,Devex_FEP!$I$5:$I$38,AU$4),0)</f>
        <v>0</v>
      </c>
      <c r="AV20" s="244">
        <f>IF(Inputs!$E$67=1,SUMIFS(Devex_FEP!$K$5:$K$38,Devex_FEP!$I$5:$I$38,AV$4),0)</f>
        <v>0</v>
      </c>
      <c r="AW20" s="244">
        <f>IF(Inputs!$E$67=1,SUMIFS(Devex_FEP!$K$5:$K$38,Devex_FEP!$I$5:$I$38,AW$4),0)</f>
        <v>0</v>
      </c>
      <c r="AX20" s="244">
        <f>IF(Inputs!$E$67=1,SUMIFS(Devex_FEP!$K$5:$K$38,Devex_FEP!$I$5:$I$38,AX$4),0)</f>
        <v>0</v>
      </c>
      <c r="AY20" s="244">
        <f>IF(Inputs!$E$67=1,SUMIFS(Devex_FEP!$K$5:$K$38,Devex_FEP!$I$5:$I$38,AY$4),0)</f>
        <v>0</v>
      </c>
      <c r="AZ20" s="244">
        <f>IF(Inputs!$E$67=1,SUMIFS(Devex_FEP!$K$5:$K$38,Devex_FEP!$I$5:$I$38,AZ$4),0)</f>
        <v>0</v>
      </c>
      <c r="BA20" s="244">
        <f>IF(Inputs!$E$67=1,SUMIFS(Devex_FEP!$K$5:$K$38,Devex_FEP!$I$5:$I$38,BA$4),0)</f>
        <v>0</v>
      </c>
      <c r="BB20" s="244">
        <f>IF(Inputs!$E$67=1,SUMIFS(Devex_FEP!$K$5:$K$38,Devex_FEP!$I$5:$I$38,BB$4),0)</f>
        <v>0</v>
      </c>
      <c r="BC20" s="244">
        <f>IF(Inputs!$E$67=1,SUMIFS(Devex_FEP!$K$5:$K$38,Devex_FEP!$I$5:$I$38,BC$4),0)</f>
        <v>0</v>
      </c>
      <c r="BD20" s="244">
        <f>IF(Inputs!$E$67=1,SUMIFS(Devex_FEP!$K$5:$K$38,Devex_FEP!$I$5:$I$38,BD$4),0)</f>
        <v>0</v>
      </c>
      <c r="BE20" s="244">
        <f>IF(Inputs!$E$67=1,SUMIFS(Devex_FEP!$K$5:$K$38,Devex_FEP!$I$5:$I$38,BE$4),0)</f>
        <v>0</v>
      </c>
      <c r="BF20" s="244">
        <f>IF(Inputs!$E$67=1,SUMIFS(Devex_FEP!$K$5:$K$38,Devex_FEP!$I$5:$I$38,BF$4),0)</f>
        <v>0</v>
      </c>
      <c r="BG20" s="244">
        <f>IF(Inputs!$E$67=1,SUMIFS(Devex_FEP!$K$5:$K$38,Devex_FEP!$I$5:$I$38,BG$4),0)</f>
        <v>0</v>
      </c>
      <c r="BH20" s="244">
        <f>IF(Inputs!$E$67=1,SUMIFS(Devex_FEP!$K$5:$K$38,Devex_FEP!$I$5:$I$38,BH$4),0)</f>
        <v>0</v>
      </c>
      <c r="BI20" s="244">
        <f>IF(Inputs!$E$67=1,SUMIFS(Devex_FEP!$K$5:$K$38,Devex_FEP!$I$5:$I$38,BI$4),0)</f>
        <v>0</v>
      </c>
      <c r="BJ20" s="244">
        <f>IF(Inputs!$E$67=1,SUMIFS(Devex_FEP!$K$5:$K$38,Devex_FEP!$I$5:$I$38,BJ$4),0)</f>
        <v>0</v>
      </c>
      <c r="BK20" s="244">
        <f>IF(Inputs!$E$67=1,SUMIFS(Devex_FEP!$K$5:$K$38,Devex_FEP!$I$5:$I$38,BK$4),0)</f>
        <v>0</v>
      </c>
      <c r="BL20" s="244">
        <f>IF(Inputs!$E$67=1,SUMIFS(Devex_FEP!$K$5:$K$38,Devex_FEP!$I$5:$I$38,BL$4),0)</f>
        <v>0</v>
      </c>
      <c r="BM20" s="244">
        <f>IF(Inputs!$E$67=1,SUMIFS(Devex_FEP!$K$5:$K$38,Devex_FEP!$I$5:$I$38,BM$4),0)</f>
        <v>0</v>
      </c>
      <c r="BN20" s="244">
        <f>IF(Inputs!$E$67=1,SUMIFS(Devex_FEP!$K$5:$K$38,Devex_FEP!$I$5:$I$38,BN$4),0)</f>
        <v>0</v>
      </c>
      <c r="BO20" s="244">
        <f>IF(Inputs!$E$67=1,SUMIFS(Devex_FEP!$K$5:$K$38,Devex_FEP!$I$5:$I$38,BO$4),0)</f>
        <v>0</v>
      </c>
      <c r="BP20" s="244">
        <f>IF(Inputs!$E$67=1,SUMIFS(Devex_FEP!$K$5:$K$38,Devex_FEP!$I$5:$I$38,BP$4),0)</f>
        <v>0</v>
      </c>
    </row>
    <row r="21" spans="3:68" x14ac:dyDescent="0.25">
      <c r="C21" s="129" t="s">
        <v>1041</v>
      </c>
      <c r="D21" s="129"/>
      <c r="E21" s="252"/>
      <c r="F21" s="252"/>
      <c r="G21" s="252"/>
      <c r="H21" s="252"/>
      <c r="I21" s="252"/>
      <c r="J21" s="252"/>
      <c r="K21" s="252"/>
      <c r="L21" s="252"/>
      <c r="M21" s="252"/>
      <c r="N21" s="252"/>
      <c r="O21" s="252"/>
      <c r="P21" s="252"/>
      <c r="Q21" s="252"/>
      <c r="R21" s="252"/>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row>
    <row r="22" spans="3:68" x14ac:dyDescent="0.25">
      <c r="C22" t="s">
        <v>1042</v>
      </c>
      <c r="D22" t="s">
        <v>11</v>
      </c>
      <c r="E22" s="151"/>
      <c r="F22" s="151"/>
      <c r="G22" s="151"/>
      <c r="H22" s="151">
        <v>0</v>
      </c>
      <c r="I22" s="151">
        <f t="shared" ref="I22:AN22" si="13">H24</f>
        <v>0</v>
      </c>
      <c r="J22" s="151">
        <f t="shared" si="13"/>
        <v>0</v>
      </c>
      <c r="K22" s="151">
        <f t="shared" si="13"/>
        <v>0</v>
      </c>
      <c r="L22" s="151">
        <f t="shared" si="13"/>
        <v>3.4722222222222224E-2</v>
      </c>
      <c r="M22" s="151">
        <f t="shared" si="13"/>
        <v>0.2361111111111111</v>
      </c>
      <c r="N22" s="151">
        <f t="shared" si="13"/>
        <v>0.4513888888888889</v>
      </c>
      <c r="O22" s="151">
        <f t="shared" si="13"/>
        <v>0.65972222222222221</v>
      </c>
      <c r="P22" s="151">
        <f t="shared" si="13"/>
        <v>0.84722222222222232</v>
      </c>
      <c r="Q22" s="151">
        <f t="shared" si="13"/>
        <v>1.0763888888888888</v>
      </c>
      <c r="R22" s="151">
        <f t="shared" si="13"/>
        <v>1.2777777777777777</v>
      </c>
      <c r="S22" s="151">
        <f t="shared" si="13"/>
        <v>1.4930555555555556</v>
      </c>
      <c r="T22" s="151">
        <f t="shared" si="13"/>
        <v>1.6944444444444446</v>
      </c>
      <c r="U22" s="151">
        <f t="shared" si="13"/>
        <v>1.9097222222222221</v>
      </c>
      <c r="V22" s="151">
        <f t="shared" si="13"/>
        <v>2.1180555555555554</v>
      </c>
      <c r="W22" s="151">
        <f t="shared" si="13"/>
        <v>2.3194444444444446</v>
      </c>
      <c r="X22" s="151">
        <f t="shared" si="13"/>
        <v>2.5347222222222223</v>
      </c>
      <c r="Y22" s="151">
        <f t="shared" si="13"/>
        <v>2.7361111111111116</v>
      </c>
      <c r="Z22" s="151">
        <f t="shared" si="13"/>
        <v>2.9513888888888888</v>
      </c>
      <c r="AA22" s="151">
        <f t="shared" si="13"/>
        <v>3.1597222222222223</v>
      </c>
      <c r="AB22" s="151">
        <f t="shared" si="13"/>
        <v>3.3541666666666665</v>
      </c>
      <c r="AC22" s="151">
        <f t="shared" si="13"/>
        <v>3.5763888888888888</v>
      </c>
      <c r="AD22" s="151">
        <f t="shared" si="13"/>
        <v>3.7777777777777777</v>
      </c>
      <c r="AE22" s="151">
        <f t="shared" si="13"/>
        <v>3.9930555555555558</v>
      </c>
      <c r="AF22" s="151">
        <f t="shared" si="13"/>
        <v>4.1944444444444446</v>
      </c>
      <c r="AG22" s="151">
        <f t="shared" si="13"/>
        <v>4.4097222222222223</v>
      </c>
      <c r="AH22" s="151">
        <f t="shared" si="13"/>
        <v>4.6180555555555554</v>
      </c>
      <c r="AI22" s="151">
        <f t="shared" si="13"/>
        <v>4.8194444444444446</v>
      </c>
      <c r="AJ22" s="151">
        <f t="shared" si="13"/>
        <v>5.0347222222222223</v>
      </c>
      <c r="AK22" s="151">
        <f t="shared" si="13"/>
        <v>5.2361111111111116</v>
      </c>
      <c r="AL22" s="151">
        <f t="shared" si="13"/>
        <v>5.4513888888888884</v>
      </c>
      <c r="AM22" s="151">
        <f t="shared" si="13"/>
        <v>5.6597222222222223</v>
      </c>
      <c r="AN22" s="151">
        <f t="shared" si="13"/>
        <v>5.8472222222222223</v>
      </c>
      <c r="AO22" s="151">
        <f t="shared" ref="AO22:BP22" si="14">AN24</f>
        <v>6.0763888888888884</v>
      </c>
      <c r="AP22" s="151">
        <f t="shared" si="14"/>
        <v>6.2777777777777777</v>
      </c>
      <c r="AQ22" s="151">
        <f t="shared" si="14"/>
        <v>6.4930555555555554</v>
      </c>
      <c r="AR22" s="151">
        <f t="shared" si="14"/>
        <v>6.6944444444444438</v>
      </c>
      <c r="AS22" s="151">
        <f t="shared" si="14"/>
        <v>6.9097222222222223</v>
      </c>
      <c r="AT22" s="151">
        <f t="shared" si="14"/>
        <v>7.1180555555555554</v>
      </c>
      <c r="AU22" s="151">
        <f t="shared" si="14"/>
        <v>7.3194444444444438</v>
      </c>
      <c r="AV22" s="151">
        <f t="shared" si="14"/>
        <v>7.3194444444444438</v>
      </c>
      <c r="AW22" s="151">
        <f t="shared" si="14"/>
        <v>7.3194444444444438</v>
      </c>
      <c r="AX22" s="151">
        <f t="shared" si="14"/>
        <v>7.3194444444444438</v>
      </c>
      <c r="AY22" s="151">
        <f t="shared" si="14"/>
        <v>7.3194444444444438</v>
      </c>
      <c r="AZ22" s="151">
        <f t="shared" si="14"/>
        <v>7.3194444444444438</v>
      </c>
      <c r="BA22" s="151">
        <f t="shared" si="14"/>
        <v>7.3194444444444438</v>
      </c>
      <c r="BB22" s="151">
        <f t="shared" si="14"/>
        <v>7.3194444444444438</v>
      </c>
      <c r="BC22" s="151">
        <f t="shared" si="14"/>
        <v>7.3194444444444438</v>
      </c>
      <c r="BD22" s="151">
        <f t="shared" si="14"/>
        <v>7.3194444444444438</v>
      </c>
      <c r="BE22" s="151">
        <f t="shared" si="14"/>
        <v>7.3194444444444438</v>
      </c>
      <c r="BF22" s="151">
        <f t="shared" si="14"/>
        <v>7.3194444444444438</v>
      </c>
      <c r="BG22" s="151">
        <f t="shared" si="14"/>
        <v>7.3194444444444438</v>
      </c>
      <c r="BH22" s="151">
        <f t="shared" si="14"/>
        <v>7.3194444444444438</v>
      </c>
      <c r="BI22" s="151">
        <f t="shared" si="14"/>
        <v>7.3194444444444438</v>
      </c>
      <c r="BJ22" s="151">
        <f t="shared" si="14"/>
        <v>7.3194444444444438</v>
      </c>
      <c r="BK22" s="151">
        <f t="shared" si="14"/>
        <v>7.3194444444444438</v>
      </c>
      <c r="BL22" s="151">
        <f t="shared" si="14"/>
        <v>7.3194444444444438</v>
      </c>
      <c r="BM22" s="151">
        <f t="shared" si="14"/>
        <v>7.3194444444444438</v>
      </c>
      <c r="BN22" s="151">
        <f t="shared" si="14"/>
        <v>7.3194444444444438</v>
      </c>
      <c r="BO22" s="151">
        <f t="shared" si="14"/>
        <v>7.3194444444444438</v>
      </c>
      <c r="BP22" s="151">
        <f t="shared" si="14"/>
        <v>7.3194444444444438</v>
      </c>
    </row>
    <row r="23" spans="3:68" x14ac:dyDescent="0.25">
      <c r="C23" t="s">
        <v>1043</v>
      </c>
      <c r="D23" t="s">
        <v>11</v>
      </c>
      <c r="E23" s="151"/>
      <c r="F23" s="151"/>
      <c r="G23" s="151"/>
      <c r="H23" s="151">
        <f>Inputs!$E$38*MAX(0,MIN(Inputs!$E$37,Inputs!$E$36*N(H$5&gt;=Inputs!$E$70)*YEARFRAC(Inputs!$E$70,MIN(H$5,Inputs!$E$58)))-H22)</f>
        <v>0</v>
      </c>
      <c r="I23" s="151">
        <f>Inputs!$E$38*MAX(0,MIN(Inputs!$E$37,Inputs!$E$36*N(I$5&gt;=Inputs!$E$70)*YEARFRAC(Inputs!$E$70,MIN(I$5,Inputs!$E$58)))-I22)</f>
        <v>0</v>
      </c>
      <c r="J23" s="151">
        <f>Inputs!$E$38*MAX(0,MIN(Inputs!$E$37,Inputs!$E$36*N(J$5&gt;=Inputs!$E$70)*YEARFRAC(Inputs!$E$70,MIN(J$5,Inputs!$E$58)))-J22)</f>
        <v>0</v>
      </c>
      <c r="K23" s="151">
        <f>Inputs!$E$38*MAX(0,MIN(Inputs!$E$37,Inputs!$E$36*N(K$5&gt;=Inputs!$E$70)*YEARFRAC(Inputs!$E$70,MIN(K$5,Inputs!$E$58)))-K22)</f>
        <v>3.4722222222222224E-2</v>
      </c>
      <c r="L23" s="151">
        <f>Inputs!$E$38*MAX(0,MIN(Inputs!$E$37,Inputs!$E$36*N(L$5&gt;=Inputs!$E$70)*YEARFRAC(Inputs!$E$70,MIN(L$5,Inputs!$E$58)))-L22)</f>
        <v>0.2013888888888889</v>
      </c>
      <c r="M23" s="151">
        <f>Inputs!$E$38*MAX(0,MIN(Inputs!$E$37,Inputs!$E$36*N(M$5&gt;=Inputs!$E$70)*YEARFRAC(Inputs!$E$70,MIN(M$5,Inputs!$E$58)))-M22)</f>
        <v>0.21527777777777779</v>
      </c>
      <c r="N23" s="151">
        <f>Inputs!$E$38*MAX(0,MIN(Inputs!$E$37,Inputs!$E$36*N(N$5&gt;=Inputs!$E$70)*YEARFRAC(Inputs!$E$70,MIN(N$5,Inputs!$E$58)))-N22)</f>
        <v>0.20833333333333331</v>
      </c>
      <c r="O23" s="151">
        <f>Inputs!$E$38*MAX(0,MIN(Inputs!$E$37,Inputs!$E$36*N(O$5&gt;=Inputs!$E$70)*YEARFRAC(Inputs!$E$70,MIN(O$5,Inputs!$E$58)))-O22)</f>
        <v>0.18750000000000011</v>
      </c>
      <c r="P23" s="151">
        <f>Inputs!$E$38*MAX(0,MIN(Inputs!$E$37,Inputs!$E$36*N(P$5&gt;=Inputs!$E$70)*YEARFRAC(Inputs!$E$70,MIN(P$5,Inputs!$E$58)))-P22)</f>
        <v>0.22916666666666652</v>
      </c>
      <c r="Q23" s="151">
        <f>Inputs!$E$38*MAX(0,MIN(Inputs!$E$37,Inputs!$E$36*N(Q$5&gt;=Inputs!$E$70)*YEARFRAC(Inputs!$E$70,MIN(Q$5,Inputs!$E$58)))-Q22)</f>
        <v>0.20138888888888884</v>
      </c>
      <c r="R23" s="151">
        <f>Inputs!$E$38*MAX(0,MIN(Inputs!$E$37,Inputs!$E$36*N(R$5&gt;=Inputs!$E$70)*YEARFRAC(Inputs!$E$70,MIN(R$5,Inputs!$E$58)))-R22)</f>
        <v>0.2152777777777779</v>
      </c>
      <c r="S23" s="151">
        <f>Inputs!$E$38*MAX(0,MIN(Inputs!$E$37,Inputs!$E$36*N(S$5&gt;=Inputs!$E$70)*YEARFRAC(Inputs!$E$70,MIN(S$5,Inputs!$E$58)))-S22)</f>
        <v>0.20138888888888906</v>
      </c>
      <c r="T23" s="151">
        <f>Inputs!$E$38*MAX(0,MIN(Inputs!$E$37,Inputs!$E$36*N(T$5&gt;=Inputs!$E$70)*YEARFRAC(Inputs!$E$70,MIN(T$5,Inputs!$E$58)))-T22)</f>
        <v>0.21527777777777746</v>
      </c>
      <c r="U23" s="151">
        <f>Inputs!$E$38*MAX(0,MIN(Inputs!$E$37,Inputs!$E$36*N(U$5&gt;=Inputs!$E$70)*YEARFRAC(Inputs!$E$70,MIN(U$5,Inputs!$E$58)))-U22)</f>
        <v>0.20833333333333326</v>
      </c>
      <c r="V23" s="151">
        <f>Inputs!$E$38*MAX(0,MIN(Inputs!$E$37,Inputs!$E$36*N(V$5&gt;=Inputs!$E$70)*YEARFRAC(Inputs!$E$70,MIN(V$5,Inputs!$E$58)))-V22)</f>
        <v>0.20138888888888928</v>
      </c>
      <c r="W23" s="151">
        <f>Inputs!$E$38*MAX(0,MIN(Inputs!$E$37,Inputs!$E$36*N(W$5&gt;=Inputs!$E$70)*YEARFRAC(Inputs!$E$70,MIN(W$5,Inputs!$E$58)))-W22)</f>
        <v>0.21527777777777768</v>
      </c>
      <c r="X23" s="151">
        <f>Inputs!$E$38*MAX(0,MIN(Inputs!$E$37,Inputs!$E$36*N(X$5&gt;=Inputs!$E$70)*YEARFRAC(Inputs!$E$70,MIN(X$5,Inputs!$E$58)))-X22)</f>
        <v>0.20138888888888928</v>
      </c>
      <c r="Y23" s="151">
        <f>Inputs!$E$38*MAX(0,MIN(Inputs!$E$37,Inputs!$E$36*N(Y$5&gt;=Inputs!$E$70)*YEARFRAC(Inputs!$E$70,MIN(Y$5,Inputs!$E$58)))-Y22)</f>
        <v>0.21527777777777724</v>
      </c>
      <c r="Z23" s="151">
        <f>Inputs!$E$38*MAX(0,MIN(Inputs!$E$37,Inputs!$E$36*N(Z$5&gt;=Inputs!$E$70)*YEARFRAC(Inputs!$E$70,MIN(Z$5,Inputs!$E$58)))-Z22)</f>
        <v>0.20833333333333348</v>
      </c>
      <c r="AA23" s="151">
        <f>Inputs!$E$38*MAX(0,MIN(Inputs!$E$37,Inputs!$E$36*N(AA$5&gt;=Inputs!$E$70)*YEARFRAC(Inputs!$E$70,MIN(AA$5,Inputs!$E$58)))-AA22)</f>
        <v>0.1944444444444442</v>
      </c>
      <c r="AB23" s="151">
        <f>Inputs!$E$38*MAX(0,MIN(Inputs!$E$37,Inputs!$E$36*N(AB$5&gt;=Inputs!$E$70)*YEARFRAC(Inputs!$E$70,MIN(AB$5,Inputs!$E$58)))-AB22)</f>
        <v>0.22222222222222232</v>
      </c>
      <c r="AC23" s="151">
        <f>Inputs!$E$38*MAX(0,MIN(Inputs!$E$37,Inputs!$E$36*N(AC$5&gt;=Inputs!$E$70)*YEARFRAC(Inputs!$E$70,MIN(AC$5,Inputs!$E$58)))-AC22)</f>
        <v>0.20138888888888884</v>
      </c>
      <c r="AD23" s="151">
        <f>Inputs!$E$38*MAX(0,MIN(Inputs!$E$37,Inputs!$E$36*N(AD$5&gt;=Inputs!$E$70)*YEARFRAC(Inputs!$E$70,MIN(AD$5,Inputs!$E$58)))-AD22)</f>
        <v>0.21527777777777812</v>
      </c>
      <c r="AE23" s="151">
        <f>Inputs!$E$38*MAX(0,MIN(Inputs!$E$37,Inputs!$E$36*N(AE$5&gt;=Inputs!$E$70)*YEARFRAC(Inputs!$E$70,MIN(AE$5,Inputs!$E$58)))-AE22)</f>
        <v>0.20138888888888884</v>
      </c>
      <c r="AF23" s="151">
        <f>Inputs!$E$38*MAX(0,MIN(Inputs!$E$37,Inputs!$E$36*N(AF$5&gt;=Inputs!$E$70)*YEARFRAC(Inputs!$E$70,MIN(AF$5,Inputs!$E$58)))-AF22)</f>
        <v>0.21527777777777768</v>
      </c>
      <c r="AG23" s="151">
        <f>Inputs!$E$38*MAX(0,MIN(Inputs!$E$37,Inputs!$E$36*N(AG$5&gt;=Inputs!$E$70)*YEARFRAC(Inputs!$E$70,MIN(AG$5,Inputs!$E$58)))-AG22)</f>
        <v>0.20833333333333304</v>
      </c>
      <c r="AH23" s="151">
        <f>Inputs!$E$38*MAX(0,MIN(Inputs!$E$37,Inputs!$E$36*N(AH$5&gt;=Inputs!$E$70)*YEARFRAC(Inputs!$E$70,MIN(AH$5,Inputs!$E$58)))-AH22)</f>
        <v>0.20138888888888928</v>
      </c>
      <c r="AI23" s="151">
        <f>Inputs!$E$38*MAX(0,MIN(Inputs!$E$37,Inputs!$E$36*N(AI$5&gt;=Inputs!$E$70)*YEARFRAC(Inputs!$E$70,MIN(AI$5,Inputs!$E$58)))-AI22)</f>
        <v>0.21527777777777768</v>
      </c>
      <c r="AJ23" s="151">
        <f>Inputs!$E$38*MAX(0,MIN(Inputs!$E$37,Inputs!$E$36*N(AJ$5&gt;=Inputs!$E$70)*YEARFRAC(Inputs!$E$70,MIN(AJ$5,Inputs!$E$58)))-AJ22)</f>
        <v>0.20138888888888928</v>
      </c>
      <c r="AK23" s="151">
        <f>Inputs!$E$38*MAX(0,MIN(Inputs!$E$37,Inputs!$E$36*N(AK$5&gt;=Inputs!$E$70)*YEARFRAC(Inputs!$E$70,MIN(AK$5,Inputs!$E$58)))-AK22)</f>
        <v>0.21527777777777679</v>
      </c>
      <c r="AL23" s="151">
        <f>Inputs!$E$38*MAX(0,MIN(Inputs!$E$37,Inputs!$E$36*N(AL$5&gt;=Inputs!$E$70)*YEARFRAC(Inputs!$E$70,MIN(AL$5,Inputs!$E$58)))-AL22)</f>
        <v>0.20833333333333393</v>
      </c>
      <c r="AM23" s="151">
        <f>Inputs!$E$38*MAX(0,MIN(Inputs!$E$37,Inputs!$E$36*N(AM$5&gt;=Inputs!$E$70)*YEARFRAC(Inputs!$E$70,MIN(AM$5,Inputs!$E$58)))-AM22)</f>
        <v>0.1875</v>
      </c>
      <c r="AN23" s="151">
        <f>Inputs!$E$38*MAX(0,MIN(Inputs!$E$37,Inputs!$E$36*N(AN$5&gt;=Inputs!$E$70)*YEARFRAC(Inputs!$E$70,MIN(AN$5,Inputs!$E$58)))-AN22)</f>
        <v>0.22916666666666607</v>
      </c>
      <c r="AO23" s="151">
        <f>Inputs!$E$38*MAX(0,MIN(Inputs!$E$37,Inputs!$E$36*N(AO$5&gt;=Inputs!$E$70)*YEARFRAC(Inputs!$E$70,MIN(AO$5,Inputs!$E$58)))-AO22)</f>
        <v>0.20138888888888928</v>
      </c>
      <c r="AP23" s="151">
        <f>Inputs!$E$38*MAX(0,MIN(Inputs!$E$37,Inputs!$E$36*N(AP$5&gt;=Inputs!$E$70)*YEARFRAC(Inputs!$E$70,MIN(AP$5,Inputs!$E$58)))-AP22)</f>
        <v>0.21527777777777768</v>
      </c>
      <c r="AQ23" s="151">
        <f>Inputs!$E$38*MAX(0,MIN(Inputs!$E$37,Inputs!$E$36*N(AQ$5&gt;=Inputs!$E$70)*YEARFRAC(Inputs!$E$70,MIN(AQ$5,Inputs!$E$58)))-AQ22)</f>
        <v>0.2013888888888884</v>
      </c>
      <c r="AR23" s="151">
        <f>Inputs!$E$38*MAX(0,MIN(Inputs!$E$37,Inputs!$E$36*N(AR$5&gt;=Inputs!$E$70)*YEARFRAC(Inputs!$E$70,MIN(AR$5,Inputs!$E$58)))-AR22)</f>
        <v>0.21527777777777857</v>
      </c>
      <c r="AS23" s="151">
        <f>Inputs!$E$38*MAX(0,MIN(Inputs!$E$37,Inputs!$E$36*N(AS$5&gt;=Inputs!$E$70)*YEARFRAC(Inputs!$E$70,MIN(AS$5,Inputs!$E$58)))-AS22)</f>
        <v>0.20833333333333304</v>
      </c>
      <c r="AT23" s="151">
        <f>Inputs!$E$38*MAX(0,MIN(Inputs!$E$37,Inputs!$E$36*N(AT$5&gt;=Inputs!$E$70)*YEARFRAC(Inputs!$E$70,MIN(AT$5,Inputs!$E$58)))-AT22)</f>
        <v>0.2013888888888884</v>
      </c>
      <c r="AU23" s="151">
        <f>Inputs!$E$38*MAX(0,MIN(Inputs!$E$37,Inputs!$E$36*N(AU$5&gt;=Inputs!$E$70)*YEARFRAC(Inputs!$E$70,MIN(AU$5,Inputs!$E$58)))-AU22)</f>
        <v>0</v>
      </c>
      <c r="AV23" s="151">
        <f>Inputs!$E$38*MAX(0,MIN(Inputs!$E$37,Inputs!$E$36*N(AV$5&gt;=Inputs!$E$70)*YEARFRAC(Inputs!$E$70,MIN(AV$5,Inputs!$E$58)))-AV22)</f>
        <v>0</v>
      </c>
      <c r="AW23" s="151">
        <f>Inputs!$E$38*MAX(0,MIN(Inputs!$E$37,Inputs!$E$36*N(AW$5&gt;=Inputs!$E$70)*YEARFRAC(Inputs!$E$70,MIN(AW$5,Inputs!$E$58)))-AW22)</f>
        <v>0</v>
      </c>
      <c r="AX23" s="151">
        <f>Inputs!$E$38*MAX(0,MIN(Inputs!$E$37,Inputs!$E$36*N(AX$5&gt;=Inputs!$E$70)*YEARFRAC(Inputs!$E$70,MIN(AX$5,Inputs!$E$58)))-AX22)</f>
        <v>0</v>
      </c>
      <c r="AY23" s="151">
        <f>Inputs!$E$38*MAX(0,MIN(Inputs!$E$37,Inputs!$E$36*N(AY$5&gt;=Inputs!$E$70)*YEARFRAC(Inputs!$E$70,MIN(AY$5,Inputs!$E$58)))-AY22)</f>
        <v>0</v>
      </c>
      <c r="AZ23" s="151">
        <f>Inputs!$E$38*MAX(0,MIN(Inputs!$E$37,Inputs!$E$36*N(AZ$5&gt;=Inputs!$E$70)*YEARFRAC(Inputs!$E$70,MIN(AZ$5,Inputs!$E$58)))-AZ22)</f>
        <v>0</v>
      </c>
      <c r="BA23" s="151">
        <f>Inputs!$E$38*MAX(0,MIN(Inputs!$E$37,Inputs!$E$36*N(BA$5&gt;=Inputs!$E$70)*YEARFRAC(Inputs!$E$70,MIN(BA$5,Inputs!$E$58)))-BA22)</f>
        <v>0</v>
      </c>
      <c r="BB23" s="151">
        <f>Inputs!$E$38*MAX(0,MIN(Inputs!$E$37,Inputs!$E$36*N(BB$5&gt;=Inputs!$E$70)*YEARFRAC(Inputs!$E$70,MIN(BB$5,Inputs!$E$58)))-BB22)</f>
        <v>0</v>
      </c>
      <c r="BC23" s="151">
        <f>Inputs!$E$38*MAX(0,MIN(Inputs!$E$37,Inputs!$E$36*N(BC$5&gt;=Inputs!$E$70)*YEARFRAC(Inputs!$E$70,MIN(BC$5,Inputs!$E$58)))-BC22)</f>
        <v>0</v>
      </c>
      <c r="BD23" s="151">
        <f>Inputs!$E$38*MAX(0,MIN(Inputs!$E$37,Inputs!$E$36*N(BD$5&gt;=Inputs!$E$70)*YEARFRAC(Inputs!$E$70,MIN(BD$5,Inputs!$E$58)))-BD22)</f>
        <v>0</v>
      </c>
      <c r="BE23" s="151">
        <f>Inputs!$E$38*MAX(0,MIN(Inputs!$E$37,Inputs!$E$36*N(BE$5&gt;=Inputs!$E$70)*YEARFRAC(Inputs!$E$70,MIN(BE$5,Inputs!$E$58)))-BE22)</f>
        <v>0</v>
      </c>
      <c r="BF23" s="151">
        <f>Inputs!$E$38*MAX(0,MIN(Inputs!$E$37,Inputs!$E$36*N(BF$5&gt;=Inputs!$E$70)*YEARFRAC(Inputs!$E$70,MIN(BF$5,Inputs!$E$58)))-BF22)</f>
        <v>0</v>
      </c>
      <c r="BG23" s="151">
        <f>Inputs!$E$38*MAX(0,MIN(Inputs!$E$37,Inputs!$E$36*N(BG$5&gt;=Inputs!$E$70)*YEARFRAC(Inputs!$E$70,MIN(BG$5,Inputs!$E$58)))-BG22)</f>
        <v>0</v>
      </c>
      <c r="BH23" s="151">
        <f>Inputs!$E$38*MAX(0,MIN(Inputs!$E$37,Inputs!$E$36*N(BH$5&gt;=Inputs!$E$70)*YEARFRAC(Inputs!$E$70,MIN(BH$5,Inputs!$E$58)))-BH22)</f>
        <v>0</v>
      </c>
      <c r="BI23" s="151">
        <f>Inputs!$E$38*MAX(0,MIN(Inputs!$E$37,Inputs!$E$36*N(BI$5&gt;=Inputs!$E$70)*YEARFRAC(Inputs!$E$70,MIN(BI$5,Inputs!$E$58)))-BI22)</f>
        <v>0</v>
      </c>
      <c r="BJ23" s="151">
        <f>Inputs!$E$38*MAX(0,MIN(Inputs!$E$37,Inputs!$E$36*N(BJ$5&gt;=Inputs!$E$70)*YEARFRAC(Inputs!$E$70,MIN(BJ$5,Inputs!$E$58)))-BJ22)</f>
        <v>0</v>
      </c>
      <c r="BK23" s="151">
        <f>Inputs!$E$38*MAX(0,MIN(Inputs!$E$37,Inputs!$E$36*N(BK$5&gt;=Inputs!$E$70)*YEARFRAC(Inputs!$E$70,MIN(BK$5,Inputs!$E$58)))-BK22)</f>
        <v>0</v>
      </c>
      <c r="BL23" s="151">
        <f>Inputs!$E$38*MAX(0,MIN(Inputs!$E$37,Inputs!$E$36*N(BL$5&gt;=Inputs!$E$70)*YEARFRAC(Inputs!$E$70,MIN(BL$5,Inputs!$E$58)))-BL22)</f>
        <v>0</v>
      </c>
      <c r="BM23" s="151">
        <f>Inputs!$E$38*MAX(0,MIN(Inputs!$E$37,Inputs!$E$36*N(BM$5&gt;=Inputs!$E$70)*YEARFRAC(Inputs!$E$70,MIN(BM$5,Inputs!$E$58)))-BM22)</f>
        <v>0</v>
      </c>
      <c r="BN23" s="151">
        <f>Inputs!$E$38*MAX(0,MIN(Inputs!$E$37,Inputs!$E$36*N(BN$5&gt;=Inputs!$E$70)*YEARFRAC(Inputs!$E$70,MIN(BN$5,Inputs!$E$58)))-BN22)</f>
        <v>0</v>
      </c>
      <c r="BO23" s="151">
        <f>Inputs!$E$38*MAX(0,MIN(Inputs!$E$37,Inputs!$E$36*N(BO$5&gt;=Inputs!$E$70)*YEARFRAC(Inputs!$E$70,MIN(BO$5,Inputs!$E$58)))-BO22)</f>
        <v>0</v>
      </c>
      <c r="BP23" s="151">
        <f>Inputs!$E$38*MAX(0,MIN(Inputs!$E$37,Inputs!$E$36*N(BP$5&gt;=Inputs!$E$70)*YEARFRAC(Inputs!$E$70,MIN(BP$5,Inputs!$E$58)))-BP22)</f>
        <v>0</v>
      </c>
    </row>
    <row r="24" spans="3:68" x14ac:dyDescent="0.25">
      <c r="C24" t="s">
        <v>1044</v>
      </c>
      <c r="D24" t="s">
        <v>11</v>
      </c>
      <c r="E24" s="151"/>
      <c r="F24" s="151"/>
      <c r="G24" s="151"/>
      <c r="H24" s="151">
        <f t="shared" ref="H24:AM24" si="15">H22+H23</f>
        <v>0</v>
      </c>
      <c r="I24" s="151">
        <f t="shared" si="15"/>
        <v>0</v>
      </c>
      <c r="J24" s="151">
        <f t="shared" si="15"/>
        <v>0</v>
      </c>
      <c r="K24" s="151">
        <f t="shared" si="15"/>
        <v>3.4722222222222224E-2</v>
      </c>
      <c r="L24" s="151">
        <f t="shared" si="15"/>
        <v>0.2361111111111111</v>
      </c>
      <c r="M24" s="151">
        <f t="shared" si="15"/>
        <v>0.4513888888888889</v>
      </c>
      <c r="N24" s="151">
        <f t="shared" si="15"/>
        <v>0.65972222222222221</v>
      </c>
      <c r="O24" s="151">
        <f t="shared" si="15"/>
        <v>0.84722222222222232</v>
      </c>
      <c r="P24" s="151">
        <f t="shared" si="15"/>
        <v>1.0763888888888888</v>
      </c>
      <c r="Q24" s="151">
        <f t="shared" si="15"/>
        <v>1.2777777777777777</v>
      </c>
      <c r="R24" s="151">
        <f t="shared" si="15"/>
        <v>1.4930555555555556</v>
      </c>
      <c r="S24" s="151">
        <f t="shared" si="15"/>
        <v>1.6944444444444446</v>
      </c>
      <c r="T24" s="151">
        <f t="shared" si="15"/>
        <v>1.9097222222222221</v>
      </c>
      <c r="U24" s="151">
        <f t="shared" si="15"/>
        <v>2.1180555555555554</v>
      </c>
      <c r="V24" s="151">
        <f t="shared" si="15"/>
        <v>2.3194444444444446</v>
      </c>
      <c r="W24" s="151">
        <f t="shared" si="15"/>
        <v>2.5347222222222223</v>
      </c>
      <c r="X24" s="151">
        <f t="shared" si="15"/>
        <v>2.7361111111111116</v>
      </c>
      <c r="Y24" s="151">
        <f t="shared" si="15"/>
        <v>2.9513888888888888</v>
      </c>
      <c r="Z24" s="151">
        <f t="shared" si="15"/>
        <v>3.1597222222222223</v>
      </c>
      <c r="AA24" s="151">
        <f t="shared" si="15"/>
        <v>3.3541666666666665</v>
      </c>
      <c r="AB24" s="151">
        <f t="shared" si="15"/>
        <v>3.5763888888888888</v>
      </c>
      <c r="AC24" s="151">
        <f t="shared" si="15"/>
        <v>3.7777777777777777</v>
      </c>
      <c r="AD24" s="151">
        <f t="shared" si="15"/>
        <v>3.9930555555555558</v>
      </c>
      <c r="AE24" s="151">
        <f t="shared" si="15"/>
        <v>4.1944444444444446</v>
      </c>
      <c r="AF24" s="151">
        <f t="shared" si="15"/>
        <v>4.4097222222222223</v>
      </c>
      <c r="AG24" s="151">
        <f t="shared" si="15"/>
        <v>4.6180555555555554</v>
      </c>
      <c r="AH24" s="151">
        <f t="shared" si="15"/>
        <v>4.8194444444444446</v>
      </c>
      <c r="AI24" s="151">
        <f t="shared" si="15"/>
        <v>5.0347222222222223</v>
      </c>
      <c r="AJ24" s="151">
        <f t="shared" si="15"/>
        <v>5.2361111111111116</v>
      </c>
      <c r="AK24" s="151">
        <f t="shared" si="15"/>
        <v>5.4513888888888884</v>
      </c>
      <c r="AL24" s="151">
        <f t="shared" si="15"/>
        <v>5.6597222222222223</v>
      </c>
      <c r="AM24" s="151">
        <f t="shared" si="15"/>
        <v>5.8472222222222223</v>
      </c>
      <c r="AN24" s="151">
        <f t="shared" ref="AN24:BP24" si="16">AN22+AN23</f>
        <v>6.0763888888888884</v>
      </c>
      <c r="AO24" s="151">
        <f t="shared" si="16"/>
        <v>6.2777777777777777</v>
      </c>
      <c r="AP24" s="151">
        <f t="shared" si="16"/>
        <v>6.4930555555555554</v>
      </c>
      <c r="AQ24" s="151">
        <f t="shared" si="16"/>
        <v>6.6944444444444438</v>
      </c>
      <c r="AR24" s="151">
        <f t="shared" si="16"/>
        <v>6.9097222222222223</v>
      </c>
      <c r="AS24" s="151">
        <f t="shared" si="16"/>
        <v>7.1180555555555554</v>
      </c>
      <c r="AT24" s="151">
        <f t="shared" si="16"/>
        <v>7.3194444444444438</v>
      </c>
      <c r="AU24" s="151">
        <f t="shared" si="16"/>
        <v>7.3194444444444438</v>
      </c>
      <c r="AV24" s="151">
        <f t="shared" si="16"/>
        <v>7.3194444444444438</v>
      </c>
      <c r="AW24" s="151">
        <f t="shared" si="16"/>
        <v>7.3194444444444438</v>
      </c>
      <c r="AX24" s="151">
        <f t="shared" si="16"/>
        <v>7.3194444444444438</v>
      </c>
      <c r="AY24" s="151">
        <f t="shared" si="16"/>
        <v>7.3194444444444438</v>
      </c>
      <c r="AZ24" s="151">
        <f t="shared" si="16"/>
        <v>7.3194444444444438</v>
      </c>
      <c r="BA24" s="151">
        <f t="shared" si="16"/>
        <v>7.3194444444444438</v>
      </c>
      <c r="BB24" s="151">
        <f t="shared" si="16"/>
        <v>7.3194444444444438</v>
      </c>
      <c r="BC24" s="151">
        <f t="shared" si="16"/>
        <v>7.3194444444444438</v>
      </c>
      <c r="BD24" s="151">
        <f t="shared" si="16"/>
        <v>7.3194444444444438</v>
      </c>
      <c r="BE24" s="151">
        <f t="shared" si="16"/>
        <v>7.3194444444444438</v>
      </c>
      <c r="BF24" s="151">
        <f t="shared" si="16"/>
        <v>7.3194444444444438</v>
      </c>
      <c r="BG24" s="151">
        <f t="shared" si="16"/>
        <v>7.3194444444444438</v>
      </c>
      <c r="BH24" s="151">
        <f t="shared" si="16"/>
        <v>7.3194444444444438</v>
      </c>
      <c r="BI24" s="151">
        <f t="shared" si="16"/>
        <v>7.3194444444444438</v>
      </c>
      <c r="BJ24" s="151">
        <f t="shared" si="16"/>
        <v>7.3194444444444438</v>
      </c>
      <c r="BK24" s="151">
        <f t="shared" si="16"/>
        <v>7.3194444444444438</v>
      </c>
      <c r="BL24" s="151">
        <f t="shared" si="16"/>
        <v>7.3194444444444438</v>
      </c>
      <c r="BM24" s="151">
        <f t="shared" si="16"/>
        <v>7.3194444444444438</v>
      </c>
      <c r="BN24" s="151">
        <f t="shared" si="16"/>
        <v>7.3194444444444438</v>
      </c>
      <c r="BO24" s="151">
        <f t="shared" si="16"/>
        <v>7.3194444444444438</v>
      </c>
      <c r="BP24" s="151">
        <f t="shared" si="16"/>
        <v>7.3194444444444438</v>
      </c>
    </row>
    <row r="25" spans="3:68" x14ac:dyDescent="0.25">
      <c r="C25" s="198" t="s">
        <v>1045</v>
      </c>
      <c r="D25" s="198" t="s">
        <v>125</v>
      </c>
      <c r="E25" s="244"/>
      <c r="F25" s="244"/>
      <c r="G25" s="244">
        <f>SUM(H25:BP25)</f>
        <v>1105.2361111111111</v>
      </c>
      <c r="H25" s="244">
        <f>H$7*H24*Inputs!$E$18</f>
        <v>0</v>
      </c>
      <c r="I25" s="244">
        <f>I$7*I24*Inputs!$E$18</f>
        <v>0</v>
      </c>
      <c r="J25" s="244">
        <f>J$7*J24*Inputs!$E$18</f>
        <v>0</v>
      </c>
      <c r="K25" s="244">
        <f>K$7*K24*Inputs!$E$18</f>
        <v>0</v>
      </c>
      <c r="L25" s="244">
        <f>L$7*L24*Inputs!$E$18</f>
        <v>0</v>
      </c>
      <c r="M25" s="244">
        <f>M$7*M24*Inputs!$E$18</f>
        <v>0</v>
      </c>
      <c r="N25" s="244">
        <f>N$7*N24*Inputs!$E$18</f>
        <v>0</v>
      </c>
      <c r="O25" s="244">
        <f>O$7*O24*Inputs!$E$18</f>
        <v>0</v>
      </c>
      <c r="P25" s="244">
        <f>P$7*P24*Inputs!$E$18</f>
        <v>0</v>
      </c>
      <c r="Q25" s="244">
        <f>Q$7*Q24*Inputs!$E$18</f>
        <v>0</v>
      </c>
      <c r="R25" s="244">
        <f>R$7*R24*Inputs!$E$18</f>
        <v>0</v>
      </c>
      <c r="S25" s="244">
        <f>S$7*S24*Inputs!$E$18</f>
        <v>0</v>
      </c>
      <c r="T25" s="244">
        <f>T$7*T24*Inputs!$E$18</f>
        <v>0</v>
      </c>
      <c r="U25" s="244">
        <f>U$7*U24*Inputs!$E$18</f>
        <v>0</v>
      </c>
      <c r="V25" s="244">
        <f>V$7*V24*Inputs!$E$18</f>
        <v>0</v>
      </c>
      <c r="W25" s="244">
        <f>W$7*W24*Inputs!$E$18</f>
        <v>0</v>
      </c>
      <c r="X25" s="244">
        <f>X$7*X24*Inputs!$E$18</f>
        <v>0</v>
      </c>
      <c r="Y25" s="244">
        <f>Y$7*Y24*Inputs!$E$18</f>
        <v>0</v>
      </c>
      <c r="Z25" s="244">
        <f>Z$7*Z24*Inputs!$E$18</f>
        <v>0</v>
      </c>
      <c r="AA25" s="244">
        <f>AA$7*AA24*Inputs!$E$18</f>
        <v>0</v>
      </c>
      <c r="AB25" s="244">
        <f>AB$7*AB24*Inputs!$E$18</f>
        <v>0</v>
      </c>
      <c r="AC25" s="244">
        <f>AC$7*AC24*Inputs!$E$18</f>
        <v>0</v>
      </c>
      <c r="AD25" s="244">
        <f>AD$7*AD24*Inputs!$E$18</f>
        <v>0</v>
      </c>
      <c r="AE25" s="244">
        <f>AE$7*AE24*Inputs!$E$18</f>
        <v>0</v>
      </c>
      <c r="AF25" s="244">
        <f>AF$7*AF24*Inputs!$E$18</f>
        <v>0</v>
      </c>
      <c r="AG25" s="244">
        <f>AG$7*AG24*Inputs!$E$18</f>
        <v>0</v>
      </c>
      <c r="AH25" s="244">
        <f>AH$7*AH24*Inputs!$E$18</f>
        <v>0</v>
      </c>
      <c r="AI25" s="244">
        <f>AI$7*AI24*Inputs!$E$18</f>
        <v>0</v>
      </c>
      <c r="AJ25" s="244">
        <f>AJ$7*AJ24*Inputs!$E$18</f>
        <v>0</v>
      </c>
      <c r="AK25" s="244">
        <f>AK$7*AK24*Inputs!$E$18</f>
        <v>0</v>
      </c>
      <c r="AL25" s="244">
        <f>AL$7*AL24*Inputs!$E$18</f>
        <v>0</v>
      </c>
      <c r="AM25" s="244">
        <f>AM$7*AM24*Inputs!$E$18</f>
        <v>0</v>
      </c>
      <c r="AN25" s="244">
        <f>AN$7*AN24*Inputs!$E$18</f>
        <v>0</v>
      </c>
      <c r="AO25" s="244">
        <f>AO$7*AO24*Inputs!$E$18</f>
        <v>0</v>
      </c>
      <c r="AP25" s="244">
        <f>AP$7*AP24*Inputs!$E$18</f>
        <v>0</v>
      </c>
      <c r="AQ25" s="244">
        <f>AQ$7*AQ24*Inputs!$E$18</f>
        <v>0</v>
      </c>
      <c r="AR25" s="244">
        <f>AR$7*AR24*Inputs!$E$18</f>
        <v>0</v>
      </c>
      <c r="AS25" s="244">
        <f>AS$7*AS24*Inputs!$E$18</f>
        <v>0</v>
      </c>
      <c r="AT25" s="244">
        <f>AT$7*AT24*Inputs!$E$18</f>
        <v>1105.2361111111111</v>
      </c>
      <c r="AU25" s="244">
        <f>AU$7*AU24*Inputs!$E$18</f>
        <v>0</v>
      </c>
      <c r="AV25" s="244">
        <f>AV$7*AV24*Inputs!$E$18</f>
        <v>0</v>
      </c>
      <c r="AW25" s="244">
        <f>AW$7*AW24*Inputs!$E$18</f>
        <v>0</v>
      </c>
      <c r="AX25" s="244">
        <f>AX$7*AX24*Inputs!$E$18</f>
        <v>0</v>
      </c>
      <c r="AY25" s="244">
        <f>AY$7*AY24*Inputs!$E$18</f>
        <v>0</v>
      </c>
      <c r="AZ25" s="244">
        <f>AZ$7*AZ24*Inputs!$E$18</f>
        <v>0</v>
      </c>
      <c r="BA25" s="244">
        <f>BA$7*BA24*Inputs!$E$18</f>
        <v>0</v>
      </c>
      <c r="BB25" s="244">
        <f>BB$7*BB24*Inputs!$E$18</f>
        <v>0</v>
      </c>
      <c r="BC25" s="244">
        <f>BC$7*BC24*Inputs!$E$18</f>
        <v>0</v>
      </c>
      <c r="BD25" s="244">
        <f>BD$7*BD24*Inputs!$E$18</f>
        <v>0</v>
      </c>
      <c r="BE25" s="244">
        <f>BE$7*BE24*Inputs!$E$18</f>
        <v>0</v>
      </c>
      <c r="BF25" s="244">
        <f>BF$7*BF24*Inputs!$E$18</f>
        <v>0</v>
      </c>
      <c r="BG25" s="244">
        <f>BG$7*BG24*Inputs!$E$18</f>
        <v>0</v>
      </c>
      <c r="BH25" s="244">
        <f>BH$7*BH24*Inputs!$E$18</f>
        <v>0</v>
      </c>
      <c r="BI25" s="244">
        <f>BI$7*BI24*Inputs!$E$18</f>
        <v>0</v>
      </c>
      <c r="BJ25" s="244">
        <f>BJ$7*BJ24*Inputs!$E$18</f>
        <v>0</v>
      </c>
      <c r="BK25" s="244">
        <f>BK$7*BK24*Inputs!$E$18</f>
        <v>0</v>
      </c>
      <c r="BL25" s="244">
        <f>BL$7*BL24*Inputs!$E$18</f>
        <v>0</v>
      </c>
      <c r="BM25" s="244">
        <f>BM$7*BM24*Inputs!$E$18</f>
        <v>0</v>
      </c>
      <c r="BN25" s="244">
        <f>BN$7*BN24*Inputs!$E$18</f>
        <v>0</v>
      </c>
      <c r="BO25" s="244">
        <f>BO$7*BO24*Inputs!$E$18</f>
        <v>0</v>
      </c>
      <c r="BP25" s="244">
        <f>BP$7*BP24*Inputs!$E$18</f>
        <v>0</v>
      </c>
    </row>
    <row r="26" spans="3:68" x14ac:dyDescent="0.25">
      <c r="E26" s="151"/>
      <c r="F26" s="151"/>
      <c r="G26" s="151"/>
      <c r="H26" s="151"/>
      <c r="I26" s="151"/>
      <c r="J26" s="151"/>
      <c r="K26" s="151"/>
      <c r="L26" s="151"/>
      <c r="M26" s="151"/>
      <c r="N26" s="151"/>
      <c r="O26" s="151"/>
      <c r="P26" s="151"/>
      <c r="Q26" s="151"/>
      <c r="R26" s="151"/>
      <c r="S26" s="151"/>
      <c r="T26" s="151"/>
      <c r="U26" s="151"/>
      <c r="V26" s="151"/>
      <c r="W26" s="151"/>
      <c r="X26" s="151"/>
      <c r="Y26" s="151"/>
      <c r="Z26" s="151"/>
      <c r="AA26" s="151"/>
      <c r="AB26" s="151"/>
      <c r="AC26" s="151"/>
      <c r="AD26" s="151"/>
      <c r="AE26" s="151"/>
      <c r="AF26" s="151"/>
      <c r="AG26" s="151"/>
      <c r="AH26" s="151"/>
      <c r="AI26" s="151"/>
      <c r="AJ26" s="151"/>
      <c r="AK26" s="151"/>
      <c r="AL26" s="151"/>
      <c r="AM26" s="151"/>
      <c r="AN26" s="151"/>
      <c r="AO26" s="151"/>
      <c r="AP26" s="151"/>
      <c r="AQ26" s="151"/>
      <c r="AR26" s="151"/>
      <c r="AS26" s="151"/>
      <c r="AT26" s="151"/>
      <c r="AU26" s="151"/>
      <c r="AV26" s="151"/>
      <c r="AW26" s="151"/>
      <c r="AX26" s="151"/>
      <c r="AY26" s="151"/>
      <c r="AZ26" s="151"/>
      <c r="BA26" s="151"/>
      <c r="BB26" s="151"/>
      <c r="BC26" s="151"/>
      <c r="BD26" s="151"/>
      <c r="BE26" s="151"/>
      <c r="BF26" s="151"/>
      <c r="BG26" s="151"/>
      <c r="BH26" s="151"/>
      <c r="BI26" s="151"/>
      <c r="BJ26" s="151"/>
      <c r="BK26" s="151"/>
      <c r="BL26" s="151"/>
      <c r="BM26" s="151"/>
      <c r="BN26" s="151"/>
      <c r="BO26" s="151"/>
      <c r="BP26" s="151"/>
    </row>
    <row r="27" spans="3:68" x14ac:dyDescent="0.25">
      <c r="C27" s="129" t="s">
        <v>1046</v>
      </c>
      <c r="D27" s="129"/>
      <c r="E27" s="252"/>
      <c r="F27" s="252"/>
      <c r="G27" s="252"/>
      <c r="H27" s="252"/>
      <c r="I27" s="252"/>
      <c r="J27" s="252"/>
      <c r="K27" s="252"/>
      <c r="L27" s="252"/>
      <c r="M27" s="252"/>
      <c r="N27" s="252"/>
      <c r="O27" s="252"/>
      <c r="P27" s="252"/>
      <c r="Q27" s="252"/>
      <c r="R27" s="252"/>
      <c r="S27" s="252"/>
      <c r="T27" s="252"/>
      <c r="U27" s="252"/>
      <c r="V27" s="252"/>
      <c r="W27" s="252"/>
      <c r="X27" s="252"/>
      <c r="Y27" s="252"/>
      <c r="Z27" s="252"/>
      <c r="AA27" s="252"/>
      <c r="AB27" s="252"/>
      <c r="AC27" s="252"/>
      <c r="AD27" s="252"/>
      <c r="AE27" s="252"/>
      <c r="AF27" s="252"/>
      <c r="AG27" s="252"/>
      <c r="AH27" s="252"/>
      <c r="AI27" s="252"/>
      <c r="AJ27" s="252"/>
      <c r="AK27" s="252"/>
      <c r="AL27" s="252"/>
      <c r="AM27" s="252"/>
      <c r="AN27" s="252"/>
      <c r="AO27" s="252"/>
      <c r="AP27" s="252"/>
      <c r="AQ27" s="252"/>
      <c r="AR27" s="252"/>
      <c r="AS27" s="252"/>
      <c r="AT27" s="252"/>
      <c r="AU27" s="252"/>
      <c r="AV27" s="252"/>
      <c r="AW27" s="252"/>
      <c r="AX27" s="252"/>
      <c r="AY27" s="252"/>
      <c r="AZ27" s="252"/>
      <c r="BA27" s="252"/>
      <c r="BB27" s="252"/>
      <c r="BC27" s="252"/>
      <c r="BD27" s="252"/>
      <c r="BE27" s="252"/>
      <c r="BF27" s="252"/>
      <c r="BG27" s="252"/>
      <c r="BH27" s="252"/>
      <c r="BI27" s="252"/>
      <c r="BJ27" s="252"/>
      <c r="BK27" s="252"/>
      <c r="BL27" s="252"/>
      <c r="BM27" s="252"/>
      <c r="BN27" s="252"/>
      <c r="BO27" s="252"/>
      <c r="BP27" s="252"/>
    </row>
    <row r="28" spans="3:68" x14ac:dyDescent="0.25">
      <c r="C28" s="253" t="str">
        <f>Deposits!C7</f>
        <v>Részvételi díj</v>
      </c>
      <c r="D28" t="s">
        <v>125</v>
      </c>
      <c r="E28" s="151"/>
      <c r="F28" s="151"/>
      <c r="G28" s="151">
        <f t="shared" ref="G28:G40" si="17">SUM(H28:BP28)</f>
        <v>8.2191780821917817</v>
      </c>
      <c r="H28" s="254">
        <f>IF(H$4=Deposits!$L$7,Deposits!$O$7,0)</f>
        <v>0</v>
      </c>
      <c r="I28" s="254">
        <f>IF(I$4=Deposits!$L$7,Deposits!$O$7,0)</f>
        <v>0</v>
      </c>
      <c r="J28" s="254">
        <f>IF(J$4=Deposits!$L$7,Deposits!$O$7,0)</f>
        <v>0</v>
      </c>
      <c r="K28" s="254">
        <f>IF(K$4=Deposits!$L$7,Deposits!$O$7,0)</f>
        <v>8.2191780821917817</v>
      </c>
      <c r="L28" s="254">
        <f>IF(L$4=Deposits!$L$7,Deposits!$O$7,0)</f>
        <v>0</v>
      </c>
      <c r="M28" s="254">
        <f>IF(M$4=Deposits!$L$7,Deposits!$O$7,0)</f>
        <v>0</v>
      </c>
      <c r="N28" s="254">
        <f>IF(N$4=Deposits!$L$7,Deposits!$O$7,0)</f>
        <v>0</v>
      </c>
      <c r="O28" s="254">
        <f>IF(O$4=Deposits!$L$7,Deposits!$O$7,0)</f>
        <v>0</v>
      </c>
      <c r="P28" s="254">
        <f>IF(P$4=Deposits!$L$7,Deposits!$O$7,0)</f>
        <v>0</v>
      </c>
      <c r="Q28" s="254">
        <f>IF(Q$4=Deposits!$L$7,Deposits!$O$7,0)</f>
        <v>0</v>
      </c>
      <c r="R28" s="254">
        <f>IF(R$4=Deposits!$L$7,Deposits!$O$7,0)</f>
        <v>0</v>
      </c>
      <c r="S28" s="254">
        <f>IF(S$4=Deposits!$L$7,Deposits!$O$7,0)</f>
        <v>0</v>
      </c>
      <c r="T28" s="254">
        <f>IF(T$4=Deposits!$L$7,Deposits!$O$7,0)</f>
        <v>0</v>
      </c>
      <c r="U28" s="254">
        <f>IF(U$4=Deposits!$L$7,Deposits!$O$7,0)</f>
        <v>0</v>
      </c>
      <c r="V28" s="254">
        <f>IF(V$4=Deposits!$L$7,Deposits!$O$7,0)</f>
        <v>0</v>
      </c>
      <c r="W28" s="254">
        <f>IF(W$4=Deposits!$L$7,Deposits!$O$7,0)</f>
        <v>0</v>
      </c>
      <c r="X28" s="254">
        <f>IF(X$4=Deposits!$L$7,Deposits!$O$7,0)</f>
        <v>0</v>
      </c>
      <c r="Y28" s="254">
        <f>IF(Y$4=Deposits!$L$7,Deposits!$O$7,0)</f>
        <v>0</v>
      </c>
      <c r="Z28" s="254">
        <f>IF(Z$4=Deposits!$L$7,Deposits!$O$7,0)</f>
        <v>0</v>
      </c>
      <c r="AA28" s="254">
        <f>IF(AA$4=Deposits!$L$7,Deposits!$O$7,0)</f>
        <v>0</v>
      </c>
      <c r="AB28" s="254">
        <f>IF(AB$4=Deposits!$L$7,Deposits!$O$7,0)</f>
        <v>0</v>
      </c>
      <c r="AC28" s="254">
        <f>IF(AC$4=Deposits!$L$7,Deposits!$O$7,0)</f>
        <v>0</v>
      </c>
      <c r="AD28" s="254">
        <f>IF(AD$4=Deposits!$L$7,Deposits!$O$7,0)</f>
        <v>0</v>
      </c>
      <c r="AE28" s="254">
        <f>IF(AE$4=Deposits!$L$7,Deposits!$O$7,0)</f>
        <v>0</v>
      </c>
      <c r="AF28" s="254">
        <f>IF(AF$4=Deposits!$L$7,Deposits!$O$7,0)</f>
        <v>0</v>
      </c>
      <c r="AG28" s="254">
        <f>IF(AG$4=Deposits!$L$7,Deposits!$O$7,0)</f>
        <v>0</v>
      </c>
      <c r="AH28" s="254">
        <f>IF(AH$4=Deposits!$L$7,Deposits!$O$7,0)</f>
        <v>0</v>
      </c>
      <c r="AI28" s="254">
        <f>IF(AI$4=Deposits!$L$7,Deposits!$O$7,0)</f>
        <v>0</v>
      </c>
      <c r="AJ28" s="254">
        <f>IF(AJ$4=Deposits!$L$7,Deposits!$O$7,0)</f>
        <v>0</v>
      </c>
      <c r="AK28" s="254">
        <f>IF(AK$4=Deposits!$L$7,Deposits!$O$7,0)</f>
        <v>0</v>
      </c>
      <c r="AL28" s="254">
        <f>IF(AL$4=Deposits!$L$7,Deposits!$O$7,0)</f>
        <v>0</v>
      </c>
      <c r="AM28" s="254">
        <f>IF(AM$4=Deposits!$L$7,Deposits!$O$7,0)</f>
        <v>0</v>
      </c>
      <c r="AN28" s="254">
        <f>IF(AN$4=Deposits!$L$7,Deposits!$O$7,0)</f>
        <v>0</v>
      </c>
      <c r="AO28" s="254">
        <f>IF(AO$4=Deposits!$L$7,Deposits!$O$7,0)</f>
        <v>0</v>
      </c>
      <c r="AP28" s="254">
        <f>IF(AP$4=Deposits!$L$7,Deposits!$O$7,0)</f>
        <v>0</v>
      </c>
      <c r="AQ28" s="254">
        <f>IF(AQ$4=Deposits!$L$7,Deposits!$O$7,0)</f>
        <v>0</v>
      </c>
      <c r="AR28" s="254">
        <f>IF(AR$4=Deposits!$L$7,Deposits!$O$7,0)</f>
        <v>0</v>
      </c>
      <c r="AS28" s="254">
        <f>IF(AS$4=Deposits!$L$7,Deposits!$O$7,0)</f>
        <v>0</v>
      </c>
      <c r="AT28" s="254">
        <f>IF(AT$4=Deposits!$L$7,Deposits!$O$7,0)</f>
        <v>0</v>
      </c>
      <c r="AU28" s="254">
        <f>IF(AU$4=Deposits!$L$7,Deposits!$O$7,0)</f>
        <v>0</v>
      </c>
      <c r="AV28" s="254">
        <f>IF(AV$4=Deposits!$L$7,Deposits!$O$7,0)</f>
        <v>0</v>
      </c>
      <c r="AW28" s="254">
        <f>IF(AW$4=Deposits!$L$7,Deposits!$O$7,0)</f>
        <v>0</v>
      </c>
      <c r="AX28" s="254">
        <f>IF(AX$4=Deposits!$L$7,Deposits!$O$7,0)</f>
        <v>0</v>
      </c>
      <c r="AY28" s="254">
        <f>IF(AY$4=Deposits!$L$7,Deposits!$O$7,0)</f>
        <v>0</v>
      </c>
      <c r="AZ28" s="254">
        <f>IF(AZ$4=Deposits!$L$7,Deposits!$O$7,0)</f>
        <v>0</v>
      </c>
      <c r="BA28" s="254">
        <f>IF(BA$4=Deposits!$L$7,Deposits!$O$7,0)</f>
        <v>0</v>
      </c>
      <c r="BB28" s="254">
        <f>IF(BB$4=Deposits!$L$7,Deposits!$O$7,0)</f>
        <v>0</v>
      </c>
      <c r="BC28" s="254">
        <f>IF(BC$4=Deposits!$L$7,Deposits!$O$7,0)</f>
        <v>0</v>
      </c>
      <c r="BD28" s="254">
        <f>IF(BD$4=Deposits!$L$7,Deposits!$O$7,0)</f>
        <v>0</v>
      </c>
      <c r="BE28" s="254">
        <f>IF(BE$4=Deposits!$L$7,Deposits!$O$7,0)</f>
        <v>0</v>
      </c>
      <c r="BF28" s="254">
        <f>IF(BF$4=Deposits!$L$7,Deposits!$O$7,0)</f>
        <v>0</v>
      </c>
      <c r="BG28" s="254">
        <f>IF(BG$4=Deposits!$L$7,Deposits!$O$7,0)</f>
        <v>0</v>
      </c>
      <c r="BH28" s="254">
        <f>IF(BH$4=Deposits!$L$7,Deposits!$O$7,0)</f>
        <v>0</v>
      </c>
      <c r="BI28" s="254">
        <f>IF(BI$4=Deposits!$L$7,Deposits!$O$7,0)</f>
        <v>0</v>
      </c>
      <c r="BJ28" s="254">
        <f>IF(BJ$4=Deposits!$L$7,Deposits!$O$7,0)</f>
        <v>0</v>
      </c>
      <c r="BK28" s="254">
        <f>IF(BK$4=Deposits!$L$7,Deposits!$O$7,0)</f>
        <v>0</v>
      </c>
      <c r="BL28" s="254">
        <f>IF(BL$4=Deposits!$L$7,Deposits!$O$7,0)</f>
        <v>0</v>
      </c>
      <c r="BM28" s="254">
        <f>IF(BM$4=Deposits!$L$7,Deposits!$O$7,0)</f>
        <v>0</v>
      </c>
      <c r="BN28" s="254">
        <f>IF(BN$4=Deposits!$L$7,Deposits!$O$7,0)</f>
        <v>0</v>
      </c>
      <c r="BO28" s="254">
        <f>IF(BO$4=Deposits!$L$7,Deposits!$O$7,0)</f>
        <v>0</v>
      </c>
      <c r="BP28" s="254">
        <f>IF(BP$4=Deposits!$L$7,Deposits!$O$7,0)</f>
        <v>0</v>
      </c>
    </row>
    <row r="29" spans="3:68" x14ac:dyDescent="0.25">
      <c r="C29" s="253" t="str">
        <f>Deposits!C8</f>
        <v>Ajánlati biztosíték</v>
      </c>
      <c r="D29" t="s">
        <v>125</v>
      </c>
      <c r="E29" s="151"/>
      <c r="F29" s="151"/>
      <c r="G29" s="151">
        <f t="shared" si="17"/>
        <v>1168.5753424657537</v>
      </c>
      <c r="H29" s="254">
        <f>IF(H$4=Deposits!$L$8,Deposits!$O$8,0)</f>
        <v>0</v>
      </c>
      <c r="I29" s="254">
        <f>IF(I$4=Deposits!$L$8,Deposits!$O$8,0)</f>
        <v>0</v>
      </c>
      <c r="J29" s="254">
        <f>IF(J$4=Deposits!$L$8,Deposits!$O$8,0)</f>
        <v>0</v>
      </c>
      <c r="K29" s="254">
        <f>IF(K$4=Deposits!$L$8,Deposits!$O$8,0)</f>
        <v>1168.5753424657537</v>
      </c>
      <c r="L29" s="254">
        <f>IF(L$4=Deposits!$L$8,Deposits!$O$8,0)</f>
        <v>0</v>
      </c>
      <c r="M29" s="254">
        <f>IF(M$4=Deposits!$L$8,Deposits!$O$8,0)</f>
        <v>0</v>
      </c>
      <c r="N29" s="254">
        <f>IF(N$4=Deposits!$L$8,Deposits!$O$8,0)</f>
        <v>0</v>
      </c>
      <c r="O29" s="254">
        <f>IF(O$4=Deposits!$L$8,Deposits!$O$8,0)</f>
        <v>0</v>
      </c>
      <c r="P29" s="254">
        <f>IF(P$4=Deposits!$L$8,Deposits!$O$8,0)</f>
        <v>0</v>
      </c>
      <c r="Q29" s="254">
        <f>IF(Q$4=Deposits!$L$8,Deposits!$O$8,0)</f>
        <v>0</v>
      </c>
      <c r="R29" s="254">
        <f>IF(R$4=Deposits!$L$8,Deposits!$O$8,0)</f>
        <v>0</v>
      </c>
      <c r="S29" s="254">
        <f>IF(S$4=Deposits!$L$8,Deposits!$O$8,0)</f>
        <v>0</v>
      </c>
      <c r="T29" s="254">
        <f>IF(T$4=Deposits!$L$8,Deposits!$O$8,0)</f>
        <v>0</v>
      </c>
      <c r="U29" s="254">
        <f>IF(U$4=Deposits!$L$8,Deposits!$O$8,0)</f>
        <v>0</v>
      </c>
      <c r="V29" s="254">
        <f>IF(V$4=Deposits!$L$8,Deposits!$O$8,0)</f>
        <v>0</v>
      </c>
      <c r="W29" s="254">
        <f>IF(W$4=Deposits!$L$8,Deposits!$O$8,0)</f>
        <v>0</v>
      </c>
      <c r="X29" s="254">
        <f>IF(X$4=Deposits!$L$8,Deposits!$O$8,0)</f>
        <v>0</v>
      </c>
      <c r="Y29" s="254">
        <f>IF(Y$4=Deposits!$L$8,Deposits!$O$8,0)</f>
        <v>0</v>
      </c>
      <c r="Z29" s="254">
        <f>IF(Z$4=Deposits!$L$8,Deposits!$O$8,0)</f>
        <v>0</v>
      </c>
      <c r="AA29" s="254">
        <f>IF(AA$4=Deposits!$L$8,Deposits!$O$8,0)</f>
        <v>0</v>
      </c>
      <c r="AB29" s="254">
        <f>IF(AB$4=Deposits!$L$8,Deposits!$O$8,0)</f>
        <v>0</v>
      </c>
      <c r="AC29" s="254">
        <f>IF(AC$4=Deposits!$L$8,Deposits!$O$8,0)</f>
        <v>0</v>
      </c>
      <c r="AD29" s="254">
        <f>IF(AD$4=Deposits!$L$8,Deposits!$O$8,0)</f>
        <v>0</v>
      </c>
      <c r="AE29" s="254">
        <f>IF(AE$4=Deposits!$L$8,Deposits!$O$8,0)</f>
        <v>0</v>
      </c>
      <c r="AF29" s="254">
        <f>IF(AF$4=Deposits!$L$8,Deposits!$O$8,0)</f>
        <v>0</v>
      </c>
      <c r="AG29" s="254">
        <f>IF(AG$4=Deposits!$L$8,Deposits!$O$8,0)</f>
        <v>0</v>
      </c>
      <c r="AH29" s="254">
        <f>IF(AH$4=Deposits!$L$8,Deposits!$O$8,0)</f>
        <v>0</v>
      </c>
      <c r="AI29" s="254">
        <f>IF(AI$4=Deposits!$L$8,Deposits!$O$8,0)</f>
        <v>0</v>
      </c>
      <c r="AJ29" s="254">
        <f>IF(AJ$4=Deposits!$L$8,Deposits!$O$8,0)</f>
        <v>0</v>
      </c>
      <c r="AK29" s="254">
        <f>IF(AK$4=Deposits!$L$8,Deposits!$O$8,0)</f>
        <v>0</v>
      </c>
      <c r="AL29" s="254">
        <f>IF(AL$4=Deposits!$L$8,Deposits!$O$8,0)</f>
        <v>0</v>
      </c>
      <c r="AM29" s="254">
        <f>IF(AM$4=Deposits!$L$8,Deposits!$O$8,0)</f>
        <v>0</v>
      </c>
      <c r="AN29" s="254">
        <f>IF(AN$4=Deposits!$L$8,Deposits!$O$8,0)</f>
        <v>0</v>
      </c>
      <c r="AO29" s="254">
        <f>IF(AO$4=Deposits!$L$8,Deposits!$O$8,0)</f>
        <v>0</v>
      </c>
      <c r="AP29" s="254">
        <f>IF(AP$4=Deposits!$L$8,Deposits!$O$8,0)</f>
        <v>0</v>
      </c>
      <c r="AQ29" s="254">
        <f>IF(AQ$4=Deposits!$L$8,Deposits!$O$8,0)</f>
        <v>0</v>
      </c>
      <c r="AR29" s="254">
        <f>IF(AR$4=Deposits!$L$8,Deposits!$O$8,0)</f>
        <v>0</v>
      </c>
      <c r="AS29" s="254">
        <f>IF(AS$4=Deposits!$L$8,Deposits!$O$8,0)</f>
        <v>0</v>
      </c>
      <c r="AT29" s="254">
        <f>IF(AT$4=Deposits!$L$8,Deposits!$O$8,0)</f>
        <v>0</v>
      </c>
      <c r="AU29" s="254">
        <f>IF(AU$4=Deposits!$L$8,Deposits!$O$8,0)</f>
        <v>0</v>
      </c>
      <c r="AV29" s="254">
        <f>IF(AV$4=Deposits!$L$8,Deposits!$O$8,0)</f>
        <v>0</v>
      </c>
      <c r="AW29" s="254">
        <f>IF(AW$4=Deposits!$L$8,Deposits!$O$8,0)</f>
        <v>0</v>
      </c>
      <c r="AX29" s="254">
        <f>IF(AX$4=Deposits!$L$8,Deposits!$O$8,0)</f>
        <v>0</v>
      </c>
      <c r="AY29" s="254">
        <f>IF(AY$4=Deposits!$L$8,Deposits!$O$8,0)</f>
        <v>0</v>
      </c>
      <c r="AZ29" s="254">
        <f>IF(AZ$4=Deposits!$L$8,Deposits!$O$8,0)</f>
        <v>0</v>
      </c>
      <c r="BA29" s="254">
        <f>IF(BA$4=Deposits!$L$8,Deposits!$O$8,0)</f>
        <v>0</v>
      </c>
      <c r="BB29" s="254">
        <f>IF(BB$4=Deposits!$L$8,Deposits!$O$8,0)</f>
        <v>0</v>
      </c>
      <c r="BC29" s="254">
        <f>IF(BC$4=Deposits!$L$8,Deposits!$O$8,0)</f>
        <v>0</v>
      </c>
      <c r="BD29" s="254">
        <f>IF(BD$4=Deposits!$L$8,Deposits!$O$8,0)</f>
        <v>0</v>
      </c>
      <c r="BE29" s="254">
        <f>IF(BE$4=Deposits!$L$8,Deposits!$O$8,0)</f>
        <v>0</v>
      </c>
      <c r="BF29" s="254">
        <f>IF(BF$4=Deposits!$L$8,Deposits!$O$8,0)</f>
        <v>0</v>
      </c>
      <c r="BG29" s="254">
        <f>IF(BG$4=Deposits!$L$8,Deposits!$O$8,0)</f>
        <v>0</v>
      </c>
      <c r="BH29" s="254">
        <f>IF(BH$4=Deposits!$L$8,Deposits!$O$8,0)</f>
        <v>0</v>
      </c>
      <c r="BI29" s="254">
        <f>IF(BI$4=Deposits!$L$8,Deposits!$O$8,0)</f>
        <v>0</v>
      </c>
      <c r="BJ29" s="254">
        <f>IF(BJ$4=Deposits!$L$8,Deposits!$O$8,0)</f>
        <v>0</v>
      </c>
      <c r="BK29" s="254">
        <f>IF(BK$4=Deposits!$L$8,Deposits!$O$8,0)</f>
        <v>0</v>
      </c>
      <c r="BL29" s="254">
        <f>IF(BL$4=Deposits!$L$8,Deposits!$O$8,0)</f>
        <v>0</v>
      </c>
      <c r="BM29" s="254">
        <f>IF(BM$4=Deposits!$L$8,Deposits!$O$8,0)</f>
        <v>0</v>
      </c>
      <c r="BN29" s="254">
        <f>IF(BN$4=Deposits!$L$8,Deposits!$O$8,0)</f>
        <v>0</v>
      </c>
      <c r="BO29" s="254">
        <f>IF(BO$4=Deposits!$L$8,Deposits!$O$8,0)</f>
        <v>0</v>
      </c>
      <c r="BP29" s="254">
        <f>IF(BP$4=Deposits!$L$8,Deposits!$O$8,0)</f>
        <v>0</v>
      </c>
    </row>
    <row r="30" spans="3:68" x14ac:dyDescent="0.25">
      <c r="C30" s="253" t="str">
        <f>Deposits!C9</f>
        <v>Ajánlati biztosíték visszatérítés – sikertelen kapacitás</v>
      </c>
      <c r="D30" t="s">
        <v>125</v>
      </c>
      <c r="E30" s="151"/>
      <c r="F30" s="151"/>
      <c r="G30" s="151">
        <f t="shared" si="17"/>
        <v>0</v>
      </c>
      <c r="H30" s="254">
        <f>IF(H$4=Deposits!$L$9,Deposits!$O$9,0)</f>
        <v>0</v>
      </c>
      <c r="I30" s="254">
        <f>IF(I$4=Deposits!$L$9,Deposits!$O$9,0)</f>
        <v>0</v>
      </c>
      <c r="J30" s="254">
        <f>IF(J$4=Deposits!$L$9,Deposits!$O$9,0)</f>
        <v>0</v>
      </c>
      <c r="K30" s="254">
        <f>IF(K$4=Deposits!$L$9,Deposits!$O$9,0)</f>
        <v>0</v>
      </c>
      <c r="L30" s="254">
        <f>IF(L$4=Deposits!$L$9,Deposits!$O$9,0)</f>
        <v>0</v>
      </c>
      <c r="M30" s="254">
        <f>IF(M$4=Deposits!$L$9,Deposits!$O$9,0)</f>
        <v>0</v>
      </c>
      <c r="N30" s="254">
        <f>IF(N$4=Deposits!$L$9,Deposits!$O$9,0)</f>
        <v>0</v>
      </c>
      <c r="O30" s="254">
        <f>IF(O$4=Deposits!$L$9,Deposits!$O$9,0)</f>
        <v>0</v>
      </c>
      <c r="P30" s="254">
        <f>IF(P$4=Deposits!$L$9,Deposits!$O$9,0)</f>
        <v>0</v>
      </c>
      <c r="Q30" s="254">
        <f>IF(Q$4=Deposits!$L$9,Deposits!$O$9,0)</f>
        <v>0</v>
      </c>
      <c r="R30" s="254">
        <f>IF(R$4=Deposits!$L$9,Deposits!$O$9,0)</f>
        <v>0</v>
      </c>
      <c r="S30" s="254">
        <f>IF(S$4=Deposits!$L$9,Deposits!$O$9,0)</f>
        <v>0</v>
      </c>
      <c r="T30" s="254">
        <f>IF(T$4=Deposits!$L$9,Deposits!$O$9,0)</f>
        <v>0</v>
      </c>
      <c r="U30" s="254">
        <f>IF(U$4=Deposits!$L$9,Deposits!$O$9,0)</f>
        <v>0</v>
      </c>
      <c r="V30" s="254">
        <f>IF(V$4=Deposits!$L$9,Deposits!$O$9,0)</f>
        <v>0</v>
      </c>
      <c r="W30" s="254">
        <f>IF(W$4=Deposits!$L$9,Deposits!$O$9,0)</f>
        <v>0</v>
      </c>
      <c r="X30" s="254">
        <f>IF(X$4=Deposits!$L$9,Deposits!$O$9,0)</f>
        <v>0</v>
      </c>
      <c r="Y30" s="254">
        <f>IF(Y$4=Deposits!$L$9,Deposits!$O$9,0)</f>
        <v>0</v>
      </c>
      <c r="Z30" s="254">
        <f>IF(Z$4=Deposits!$L$9,Deposits!$O$9,0)</f>
        <v>0</v>
      </c>
      <c r="AA30" s="254">
        <f>IF(AA$4=Deposits!$L$9,Deposits!$O$9,0)</f>
        <v>0</v>
      </c>
      <c r="AB30" s="254">
        <f>IF(AB$4=Deposits!$L$9,Deposits!$O$9,0)</f>
        <v>0</v>
      </c>
      <c r="AC30" s="254">
        <f>IF(AC$4=Deposits!$L$9,Deposits!$O$9,0)</f>
        <v>0</v>
      </c>
      <c r="AD30" s="254">
        <f>IF(AD$4=Deposits!$L$9,Deposits!$O$9,0)</f>
        <v>0</v>
      </c>
      <c r="AE30" s="254">
        <f>IF(AE$4=Deposits!$L$9,Deposits!$O$9,0)</f>
        <v>0</v>
      </c>
      <c r="AF30" s="254">
        <f>IF(AF$4=Deposits!$L$9,Deposits!$O$9,0)</f>
        <v>0</v>
      </c>
      <c r="AG30" s="254">
        <f>IF(AG$4=Deposits!$L$9,Deposits!$O$9,0)</f>
        <v>0</v>
      </c>
      <c r="AH30" s="254">
        <f>IF(AH$4=Deposits!$L$9,Deposits!$O$9,0)</f>
        <v>0</v>
      </c>
      <c r="AI30" s="254">
        <f>IF(AI$4=Deposits!$L$9,Deposits!$O$9,0)</f>
        <v>0</v>
      </c>
      <c r="AJ30" s="254">
        <f>IF(AJ$4=Deposits!$L$9,Deposits!$O$9,0)</f>
        <v>0</v>
      </c>
      <c r="AK30" s="254">
        <f>IF(AK$4=Deposits!$L$9,Deposits!$O$9,0)</f>
        <v>0</v>
      </c>
      <c r="AL30" s="254">
        <f>IF(AL$4=Deposits!$L$9,Deposits!$O$9,0)</f>
        <v>0</v>
      </c>
      <c r="AM30" s="254">
        <f>IF(AM$4=Deposits!$L$9,Deposits!$O$9,0)</f>
        <v>0</v>
      </c>
      <c r="AN30" s="254">
        <f>IF(AN$4=Deposits!$L$9,Deposits!$O$9,0)</f>
        <v>0</v>
      </c>
      <c r="AO30" s="254">
        <f>IF(AO$4=Deposits!$L$9,Deposits!$O$9,0)</f>
        <v>0</v>
      </c>
      <c r="AP30" s="254">
        <f>IF(AP$4=Deposits!$L$9,Deposits!$O$9,0)</f>
        <v>0</v>
      </c>
      <c r="AQ30" s="254">
        <f>IF(AQ$4=Deposits!$L$9,Deposits!$O$9,0)</f>
        <v>0</v>
      </c>
      <c r="AR30" s="254">
        <f>IF(AR$4=Deposits!$L$9,Deposits!$O$9,0)</f>
        <v>0</v>
      </c>
      <c r="AS30" s="254">
        <f>IF(AS$4=Deposits!$L$9,Deposits!$O$9,0)</f>
        <v>0</v>
      </c>
      <c r="AT30" s="254">
        <f>IF(AT$4=Deposits!$L$9,Deposits!$O$9,0)</f>
        <v>0</v>
      </c>
      <c r="AU30" s="254">
        <f>IF(AU$4=Deposits!$L$9,Deposits!$O$9,0)</f>
        <v>0</v>
      </c>
      <c r="AV30" s="254">
        <f>IF(AV$4=Deposits!$L$9,Deposits!$O$9,0)</f>
        <v>0</v>
      </c>
      <c r="AW30" s="254">
        <f>IF(AW$4=Deposits!$L$9,Deposits!$O$9,0)</f>
        <v>0</v>
      </c>
      <c r="AX30" s="254">
        <f>IF(AX$4=Deposits!$L$9,Deposits!$O$9,0)</f>
        <v>0</v>
      </c>
      <c r="AY30" s="254">
        <f>IF(AY$4=Deposits!$L$9,Deposits!$O$9,0)</f>
        <v>0</v>
      </c>
      <c r="AZ30" s="254">
        <f>IF(AZ$4=Deposits!$L$9,Deposits!$O$9,0)</f>
        <v>0</v>
      </c>
      <c r="BA30" s="254">
        <f>IF(BA$4=Deposits!$L$9,Deposits!$O$9,0)</f>
        <v>0</v>
      </c>
      <c r="BB30" s="254">
        <f>IF(BB$4=Deposits!$L$9,Deposits!$O$9,0)</f>
        <v>0</v>
      </c>
      <c r="BC30" s="254">
        <f>IF(BC$4=Deposits!$L$9,Deposits!$O$9,0)</f>
        <v>0</v>
      </c>
      <c r="BD30" s="254">
        <f>IF(BD$4=Deposits!$L$9,Deposits!$O$9,0)</f>
        <v>0</v>
      </c>
      <c r="BE30" s="254">
        <f>IF(BE$4=Deposits!$L$9,Deposits!$O$9,0)</f>
        <v>0</v>
      </c>
      <c r="BF30" s="254">
        <f>IF(BF$4=Deposits!$L$9,Deposits!$O$9,0)</f>
        <v>0</v>
      </c>
      <c r="BG30" s="254">
        <f>IF(BG$4=Deposits!$L$9,Deposits!$O$9,0)</f>
        <v>0</v>
      </c>
      <c r="BH30" s="254">
        <f>IF(BH$4=Deposits!$L$9,Deposits!$O$9,0)</f>
        <v>0</v>
      </c>
      <c r="BI30" s="254">
        <f>IF(BI$4=Deposits!$L$9,Deposits!$O$9,0)</f>
        <v>0</v>
      </c>
      <c r="BJ30" s="254">
        <f>IF(BJ$4=Deposits!$L$9,Deposits!$O$9,0)</f>
        <v>0</v>
      </c>
      <c r="BK30" s="254">
        <f>IF(BK$4=Deposits!$L$9,Deposits!$O$9,0)</f>
        <v>0</v>
      </c>
      <c r="BL30" s="254">
        <f>IF(BL$4=Deposits!$L$9,Deposits!$O$9,0)</f>
        <v>0</v>
      </c>
      <c r="BM30" s="254">
        <f>IF(BM$4=Deposits!$L$9,Deposits!$O$9,0)</f>
        <v>0</v>
      </c>
      <c r="BN30" s="254">
        <f>IF(BN$4=Deposits!$L$9,Deposits!$O$9,0)</f>
        <v>0</v>
      </c>
      <c r="BO30" s="254">
        <f>IF(BO$4=Deposits!$L$9,Deposits!$O$9,0)</f>
        <v>0</v>
      </c>
      <c r="BP30" s="254">
        <f>IF(BP$4=Deposits!$L$9,Deposits!$O$9,0)</f>
        <v>0</v>
      </c>
    </row>
    <row r="31" spans="3:68" x14ac:dyDescent="0.25">
      <c r="C31" s="253" t="str">
        <f>Deposits!C10</f>
        <v>Teljesítési biztosíték</v>
      </c>
      <c r="D31" t="s">
        <v>125</v>
      </c>
      <c r="E31" s="151"/>
      <c r="F31" s="151"/>
      <c r="G31" s="151">
        <f t="shared" si="17"/>
        <v>4674.3013698630148</v>
      </c>
      <c r="H31" s="254">
        <f>IF(H$4=Deposits!$L$10,Deposits!$O$10,0)</f>
        <v>0</v>
      </c>
      <c r="I31" s="254">
        <f>IF(I$4=Deposits!$L$10,Deposits!$O$10,0)</f>
        <v>0</v>
      </c>
      <c r="J31" s="254">
        <f>IF(J$4=Deposits!$L$10,Deposits!$O$10,0)</f>
        <v>0</v>
      </c>
      <c r="K31" s="254">
        <f>IF(K$4=Deposits!$L$10,Deposits!$O$10,0)</f>
        <v>0</v>
      </c>
      <c r="L31" s="254">
        <f>IF(L$4=Deposits!$L$10,Deposits!$O$10,0)</f>
        <v>0</v>
      </c>
      <c r="M31" s="254">
        <f>IF(M$4=Deposits!$L$10,Deposits!$O$10,0)</f>
        <v>4674.3013698630148</v>
      </c>
      <c r="N31" s="254">
        <f>IF(N$4=Deposits!$L$10,Deposits!$O$10,0)</f>
        <v>0</v>
      </c>
      <c r="O31" s="254">
        <f>IF(O$4=Deposits!$L$10,Deposits!$O$10,0)</f>
        <v>0</v>
      </c>
      <c r="P31" s="254">
        <f>IF(P$4=Deposits!$L$10,Deposits!$O$10,0)</f>
        <v>0</v>
      </c>
      <c r="Q31" s="254">
        <f>IF(Q$4=Deposits!$L$10,Deposits!$O$10,0)</f>
        <v>0</v>
      </c>
      <c r="R31" s="254">
        <f>IF(R$4=Deposits!$L$10,Deposits!$O$10,0)</f>
        <v>0</v>
      </c>
      <c r="S31" s="254">
        <f>IF(S$4=Deposits!$L$10,Deposits!$O$10,0)</f>
        <v>0</v>
      </c>
      <c r="T31" s="254">
        <f>IF(T$4=Deposits!$L$10,Deposits!$O$10,0)</f>
        <v>0</v>
      </c>
      <c r="U31" s="254">
        <f>IF(U$4=Deposits!$L$10,Deposits!$O$10,0)</f>
        <v>0</v>
      </c>
      <c r="V31" s="254">
        <f>IF(V$4=Deposits!$L$10,Deposits!$O$10,0)</f>
        <v>0</v>
      </c>
      <c r="W31" s="254">
        <f>IF(W$4=Deposits!$L$10,Deposits!$O$10,0)</f>
        <v>0</v>
      </c>
      <c r="X31" s="254">
        <f>IF(X$4=Deposits!$L$10,Deposits!$O$10,0)</f>
        <v>0</v>
      </c>
      <c r="Y31" s="254">
        <f>IF(Y$4=Deposits!$L$10,Deposits!$O$10,0)</f>
        <v>0</v>
      </c>
      <c r="Z31" s="254">
        <f>IF(Z$4=Deposits!$L$10,Deposits!$O$10,0)</f>
        <v>0</v>
      </c>
      <c r="AA31" s="254">
        <f>IF(AA$4=Deposits!$L$10,Deposits!$O$10,0)</f>
        <v>0</v>
      </c>
      <c r="AB31" s="254">
        <f>IF(AB$4=Deposits!$L$10,Deposits!$O$10,0)</f>
        <v>0</v>
      </c>
      <c r="AC31" s="254">
        <f>IF(AC$4=Deposits!$L$10,Deposits!$O$10,0)</f>
        <v>0</v>
      </c>
      <c r="AD31" s="254">
        <f>IF(AD$4=Deposits!$L$10,Deposits!$O$10,0)</f>
        <v>0</v>
      </c>
      <c r="AE31" s="254">
        <f>IF(AE$4=Deposits!$L$10,Deposits!$O$10,0)</f>
        <v>0</v>
      </c>
      <c r="AF31" s="254">
        <f>IF(AF$4=Deposits!$L$10,Deposits!$O$10,0)</f>
        <v>0</v>
      </c>
      <c r="AG31" s="254">
        <f>IF(AG$4=Deposits!$L$10,Deposits!$O$10,0)</f>
        <v>0</v>
      </c>
      <c r="AH31" s="254">
        <f>IF(AH$4=Deposits!$L$10,Deposits!$O$10,0)</f>
        <v>0</v>
      </c>
      <c r="AI31" s="254">
        <f>IF(AI$4=Deposits!$L$10,Deposits!$O$10,0)</f>
        <v>0</v>
      </c>
      <c r="AJ31" s="254">
        <f>IF(AJ$4=Deposits!$L$10,Deposits!$O$10,0)</f>
        <v>0</v>
      </c>
      <c r="AK31" s="254">
        <f>IF(AK$4=Deposits!$L$10,Deposits!$O$10,0)</f>
        <v>0</v>
      </c>
      <c r="AL31" s="254">
        <f>IF(AL$4=Deposits!$L$10,Deposits!$O$10,0)</f>
        <v>0</v>
      </c>
      <c r="AM31" s="254">
        <f>IF(AM$4=Deposits!$L$10,Deposits!$O$10,0)</f>
        <v>0</v>
      </c>
      <c r="AN31" s="254">
        <f>IF(AN$4=Deposits!$L$10,Deposits!$O$10,0)</f>
        <v>0</v>
      </c>
      <c r="AO31" s="254">
        <f>IF(AO$4=Deposits!$L$10,Deposits!$O$10,0)</f>
        <v>0</v>
      </c>
      <c r="AP31" s="254">
        <f>IF(AP$4=Deposits!$L$10,Deposits!$O$10,0)</f>
        <v>0</v>
      </c>
      <c r="AQ31" s="254">
        <f>IF(AQ$4=Deposits!$L$10,Deposits!$O$10,0)</f>
        <v>0</v>
      </c>
      <c r="AR31" s="254">
        <f>IF(AR$4=Deposits!$L$10,Deposits!$O$10,0)</f>
        <v>0</v>
      </c>
      <c r="AS31" s="254">
        <f>IF(AS$4=Deposits!$L$10,Deposits!$O$10,0)</f>
        <v>0</v>
      </c>
      <c r="AT31" s="254">
        <f>IF(AT$4=Deposits!$L$10,Deposits!$O$10,0)</f>
        <v>0</v>
      </c>
      <c r="AU31" s="254">
        <f>IF(AU$4=Deposits!$L$10,Deposits!$O$10,0)</f>
        <v>0</v>
      </c>
      <c r="AV31" s="254">
        <f>IF(AV$4=Deposits!$L$10,Deposits!$O$10,0)</f>
        <v>0</v>
      </c>
      <c r="AW31" s="254">
        <f>IF(AW$4=Deposits!$L$10,Deposits!$O$10,0)</f>
        <v>0</v>
      </c>
      <c r="AX31" s="254">
        <f>IF(AX$4=Deposits!$L$10,Deposits!$O$10,0)</f>
        <v>0</v>
      </c>
      <c r="AY31" s="254">
        <f>IF(AY$4=Deposits!$L$10,Deposits!$O$10,0)</f>
        <v>0</v>
      </c>
      <c r="AZ31" s="254">
        <f>IF(AZ$4=Deposits!$L$10,Deposits!$O$10,0)</f>
        <v>0</v>
      </c>
      <c r="BA31" s="254">
        <f>IF(BA$4=Deposits!$L$10,Deposits!$O$10,0)</f>
        <v>0</v>
      </c>
      <c r="BB31" s="254">
        <f>IF(BB$4=Deposits!$L$10,Deposits!$O$10,0)</f>
        <v>0</v>
      </c>
      <c r="BC31" s="254">
        <f>IF(BC$4=Deposits!$L$10,Deposits!$O$10,0)</f>
        <v>0</v>
      </c>
      <c r="BD31" s="254">
        <f>IF(BD$4=Deposits!$L$10,Deposits!$O$10,0)</f>
        <v>0</v>
      </c>
      <c r="BE31" s="254">
        <f>IF(BE$4=Deposits!$L$10,Deposits!$O$10,0)</f>
        <v>0</v>
      </c>
      <c r="BF31" s="254">
        <f>IF(BF$4=Deposits!$L$10,Deposits!$O$10,0)</f>
        <v>0</v>
      </c>
      <c r="BG31" s="254">
        <f>IF(BG$4=Deposits!$L$10,Deposits!$O$10,0)</f>
        <v>0</v>
      </c>
      <c r="BH31" s="254">
        <f>IF(BH$4=Deposits!$L$10,Deposits!$O$10,0)</f>
        <v>0</v>
      </c>
      <c r="BI31" s="254">
        <f>IF(BI$4=Deposits!$L$10,Deposits!$O$10,0)</f>
        <v>0</v>
      </c>
      <c r="BJ31" s="254">
        <f>IF(BJ$4=Deposits!$L$10,Deposits!$O$10,0)</f>
        <v>0</v>
      </c>
      <c r="BK31" s="254">
        <f>IF(BK$4=Deposits!$L$10,Deposits!$O$10,0)</f>
        <v>0</v>
      </c>
      <c r="BL31" s="254">
        <f>IF(BL$4=Deposits!$L$10,Deposits!$O$10,0)</f>
        <v>0</v>
      </c>
      <c r="BM31" s="254">
        <f>IF(BM$4=Deposits!$L$10,Deposits!$O$10,0)</f>
        <v>0</v>
      </c>
      <c r="BN31" s="254">
        <f>IF(BN$4=Deposits!$L$10,Deposits!$O$10,0)</f>
        <v>0</v>
      </c>
      <c r="BO31" s="254">
        <f>IF(BO$4=Deposits!$L$10,Deposits!$O$10,0)</f>
        <v>0</v>
      </c>
      <c r="BP31" s="254">
        <f>IF(BP$4=Deposits!$L$10,Deposits!$O$10,0)</f>
        <v>0</v>
      </c>
    </row>
    <row r="32" spans="3:68" x14ac:dyDescent="0.25">
      <c r="C32" s="253" t="str">
        <f>Deposits!C11</f>
        <v>Igénybejelentési biztosíték</v>
      </c>
      <c r="D32" t="s">
        <v>125</v>
      </c>
      <c r="E32" s="151"/>
      <c r="F32" s="151"/>
      <c r="G32" s="151">
        <f t="shared" si="17"/>
        <v>1232.8767123287671</v>
      </c>
      <c r="H32" s="254">
        <f>IF(H$4=Deposits!$L$11,Deposits!$O$11,0)</f>
        <v>0</v>
      </c>
      <c r="I32" s="254">
        <f>IF(I$4=Deposits!$L$11,Deposits!$O$11,0)</f>
        <v>0</v>
      </c>
      <c r="J32" s="254">
        <f>IF(J$4=Deposits!$L$11,Deposits!$O$11,0)</f>
        <v>0</v>
      </c>
      <c r="K32" s="254">
        <f>IF(K$4=Deposits!$L$11,Deposits!$O$11,0)</f>
        <v>0</v>
      </c>
      <c r="L32" s="254">
        <f>IF(L$4=Deposits!$L$11,Deposits!$O$11,0)</f>
        <v>0</v>
      </c>
      <c r="M32" s="254">
        <f>IF(M$4=Deposits!$L$11,Deposits!$O$11,0)</f>
        <v>1232.8767123287671</v>
      </c>
      <c r="N32" s="254">
        <f>IF(N$4=Deposits!$L$11,Deposits!$O$11,0)</f>
        <v>0</v>
      </c>
      <c r="O32" s="254">
        <f>IF(O$4=Deposits!$L$11,Deposits!$O$11,0)</f>
        <v>0</v>
      </c>
      <c r="P32" s="254">
        <f>IF(P$4=Deposits!$L$11,Deposits!$O$11,0)</f>
        <v>0</v>
      </c>
      <c r="Q32" s="254">
        <f>IF(Q$4=Deposits!$L$11,Deposits!$O$11,0)</f>
        <v>0</v>
      </c>
      <c r="R32" s="254">
        <f>IF(R$4=Deposits!$L$11,Deposits!$O$11,0)</f>
        <v>0</v>
      </c>
      <c r="S32" s="254">
        <f>IF(S$4=Deposits!$L$11,Deposits!$O$11,0)</f>
        <v>0</v>
      </c>
      <c r="T32" s="254">
        <f>IF(T$4=Deposits!$L$11,Deposits!$O$11,0)</f>
        <v>0</v>
      </c>
      <c r="U32" s="254">
        <f>IF(U$4=Deposits!$L$11,Deposits!$O$11,0)</f>
        <v>0</v>
      </c>
      <c r="V32" s="254">
        <f>IF(V$4=Deposits!$L$11,Deposits!$O$11,0)</f>
        <v>0</v>
      </c>
      <c r="W32" s="254">
        <f>IF(W$4=Deposits!$L$11,Deposits!$O$11,0)</f>
        <v>0</v>
      </c>
      <c r="X32" s="254">
        <f>IF(X$4=Deposits!$L$11,Deposits!$O$11,0)</f>
        <v>0</v>
      </c>
      <c r="Y32" s="254">
        <f>IF(Y$4=Deposits!$L$11,Deposits!$O$11,0)</f>
        <v>0</v>
      </c>
      <c r="Z32" s="254">
        <f>IF(Z$4=Deposits!$L$11,Deposits!$O$11,0)</f>
        <v>0</v>
      </c>
      <c r="AA32" s="254">
        <f>IF(AA$4=Deposits!$L$11,Deposits!$O$11,0)</f>
        <v>0</v>
      </c>
      <c r="AB32" s="254">
        <f>IF(AB$4=Deposits!$L$11,Deposits!$O$11,0)</f>
        <v>0</v>
      </c>
      <c r="AC32" s="254">
        <f>IF(AC$4=Deposits!$L$11,Deposits!$O$11,0)</f>
        <v>0</v>
      </c>
      <c r="AD32" s="254">
        <f>IF(AD$4=Deposits!$L$11,Deposits!$O$11,0)</f>
        <v>0</v>
      </c>
      <c r="AE32" s="254">
        <f>IF(AE$4=Deposits!$L$11,Deposits!$O$11,0)</f>
        <v>0</v>
      </c>
      <c r="AF32" s="254">
        <f>IF(AF$4=Deposits!$L$11,Deposits!$O$11,0)</f>
        <v>0</v>
      </c>
      <c r="AG32" s="254">
        <f>IF(AG$4=Deposits!$L$11,Deposits!$O$11,0)</f>
        <v>0</v>
      </c>
      <c r="AH32" s="254">
        <f>IF(AH$4=Deposits!$L$11,Deposits!$O$11,0)</f>
        <v>0</v>
      </c>
      <c r="AI32" s="254">
        <f>IF(AI$4=Deposits!$L$11,Deposits!$O$11,0)</f>
        <v>0</v>
      </c>
      <c r="AJ32" s="254">
        <f>IF(AJ$4=Deposits!$L$11,Deposits!$O$11,0)</f>
        <v>0</v>
      </c>
      <c r="AK32" s="254">
        <f>IF(AK$4=Deposits!$L$11,Deposits!$O$11,0)</f>
        <v>0</v>
      </c>
      <c r="AL32" s="254">
        <f>IF(AL$4=Deposits!$L$11,Deposits!$O$11,0)</f>
        <v>0</v>
      </c>
      <c r="AM32" s="254">
        <f>IF(AM$4=Deposits!$L$11,Deposits!$O$11,0)</f>
        <v>0</v>
      </c>
      <c r="AN32" s="254">
        <f>IF(AN$4=Deposits!$L$11,Deposits!$O$11,0)</f>
        <v>0</v>
      </c>
      <c r="AO32" s="254">
        <f>IF(AO$4=Deposits!$L$11,Deposits!$O$11,0)</f>
        <v>0</v>
      </c>
      <c r="AP32" s="254">
        <f>IF(AP$4=Deposits!$L$11,Deposits!$O$11,0)</f>
        <v>0</v>
      </c>
      <c r="AQ32" s="254">
        <f>IF(AQ$4=Deposits!$L$11,Deposits!$O$11,0)</f>
        <v>0</v>
      </c>
      <c r="AR32" s="254">
        <f>IF(AR$4=Deposits!$L$11,Deposits!$O$11,0)</f>
        <v>0</v>
      </c>
      <c r="AS32" s="254">
        <f>IF(AS$4=Deposits!$L$11,Deposits!$O$11,0)</f>
        <v>0</v>
      </c>
      <c r="AT32" s="254">
        <f>IF(AT$4=Deposits!$L$11,Deposits!$O$11,0)</f>
        <v>0</v>
      </c>
      <c r="AU32" s="254">
        <f>IF(AU$4=Deposits!$L$11,Deposits!$O$11,0)</f>
        <v>0</v>
      </c>
      <c r="AV32" s="254">
        <f>IF(AV$4=Deposits!$L$11,Deposits!$O$11,0)</f>
        <v>0</v>
      </c>
      <c r="AW32" s="254">
        <f>IF(AW$4=Deposits!$L$11,Deposits!$O$11,0)</f>
        <v>0</v>
      </c>
      <c r="AX32" s="254">
        <f>IF(AX$4=Deposits!$L$11,Deposits!$O$11,0)</f>
        <v>0</v>
      </c>
      <c r="AY32" s="254">
        <f>IF(AY$4=Deposits!$L$11,Deposits!$O$11,0)</f>
        <v>0</v>
      </c>
      <c r="AZ32" s="254">
        <f>IF(AZ$4=Deposits!$L$11,Deposits!$O$11,0)</f>
        <v>0</v>
      </c>
      <c r="BA32" s="254">
        <f>IF(BA$4=Deposits!$L$11,Deposits!$O$11,0)</f>
        <v>0</v>
      </c>
      <c r="BB32" s="254">
        <f>IF(BB$4=Deposits!$L$11,Deposits!$O$11,0)</f>
        <v>0</v>
      </c>
      <c r="BC32" s="254">
        <f>IF(BC$4=Deposits!$L$11,Deposits!$O$11,0)</f>
        <v>0</v>
      </c>
      <c r="BD32" s="254">
        <f>IF(BD$4=Deposits!$L$11,Deposits!$O$11,0)</f>
        <v>0</v>
      </c>
      <c r="BE32" s="254">
        <f>IF(BE$4=Deposits!$L$11,Deposits!$O$11,0)</f>
        <v>0</v>
      </c>
      <c r="BF32" s="254">
        <f>IF(BF$4=Deposits!$L$11,Deposits!$O$11,0)</f>
        <v>0</v>
      </c>
      <c r="BG32" s="254">
        <f>IF(BG$4=Deposits!$L$11,Deposits!$O$11,0)</f>
        <v>0</v>
      </c>
      <c r="BH32" s="254">
        <f>IF(BH$4=Deposits!$L$11,Deposits!$O$11,0)</f>
        <v>0</v>
      </c>
      <c r="BI32" s="254">
        <f>IF(BI$4=Deposits!$L$11,Deposits!$O$11,0)</f>
        <v>0</v>
      </c>
      <c r="BJ32" s="254">
        <f>IF(BJ$4=Deposits!$L$11,Deposits!$O$11,0)</f>
        <v>0</v>
      </c>
      <c r="BK32" s="254">
        <f>IF(BK$4=Deposits!$L$11,Deposits!$O$11,0)</f>
        <v>0</v>
      </c>
      <c r="BL32" s="254">
        <f>IF(BL$4=Deposits!$L$11,Deposits!$O$11,0)</f>
        <v>0</v>
      </c>
      <c r="BM32" s="254">
        <f>IF(BM$4=Deposits!$L$11,Deposits!$O$11,0)</f>
        <v>0</v>
      </c>
      <c r="BN32" s="254">
        <f>IF(BN$4=Deposits!$L$11,Deposits!$O$11,0)</f>
        <v>0</v>
      </c>
      <c r="BO32" s="254">
        <f>IF(BO$4=Deposits!$L$11,Deposits!$O$11,0)</f>
        <v>0</v>
      </c>
      <c r="BP32" s="254">
        <f>IF(BP$4=Deposits!$L$11,Deposits!$O$11,0)</f>
        <v>0</v>
      </c>
    </row>
    <row r="33" spans="3:68" x14ac:dyDescent="0.25">
      <c r="C33" s="253" t="str">
        <f>Deposits!C12</f>
        <v>Csatlakozási díj – közvetlen</v>
      </c>
      <c r="D33" t="s">
        <v>125</v>
      </c>
      <c r="E33" s="151"/>
      <c r="F33" s="151"/>
      <c r="G33" s="151">
        <f t="shared" si="17"/>
        <v>696.36411506849311</v>
      </c>
      <c r="H33" s="254">
        <f>IF(H$4=Deposits!$L$12,Deposits!$O$12,0)</f>
        <v>0</v>
      </c>
      <c r="I33" s="254">
        <f>IF(I$4=Deposits!$L$12,Deposits!$O$12,0)</f>
        <v>0</v>
      </c>
      <c r="J33" s="254">
        <f>IF(J$4=Deposits!$L$12,Deposits!$O$12,0)</f>
        <v>0</v>
      </c>
      <c r="K33" s="254">
        <f>IF(K$4=Deposits!$L$12,Deposits!$O$12,0)</f>
        <v>0</v>
      </c>
      <c r="L33" s="254">
        <f>IF(L$4=Deposits!$L$12,Deposits!$O$12,0)</f>
        <v>0</v>
      </c>
      <c r="M33" s="254">
        <f>IF(M$4=Deposits!$L$12,Deposits!$O$12,0)</f>
        <v>0</v>
      </c>
      <c r="N33" s="254">
        <f>IF(N$4=Deposits!$L$12,Deposits!$O$12,0)</f>
        <v>0</v>
      </c>
      <c r="O33" s="254">
        <f>IF(O$4=Deposits!$L$12,Deposits!$O$12,0)</f>
        <v>0</v>
      </c>
      <c r="P33" s="254">
        <f>IF(P$4=Deposits!$L$12,Deposits!$O$12,0)</f>
        <v>0</v>
      </c>
      <c r="Q33" s="254">
        <f>IF(Q$4=Deposits!$L$12,Deposits!$O$12,0)</f>
        <v>0</v>
      </c>
      <c r="R33" s="254">
        <f>IF(R$4=Deposits!$L$12,Deposits!$O$12,0)</f>
        <v>0</v>
      </c>
      <c r="S33" s="254">
        <f>IF(S$4=Deposits!$L$12,Deposits!$O$12,0)</f>
        <v>0</v>
      </c>
      <c r="T33" s="254">
        <f>IF(T$4=Deposits!$L$12,Deposits!$O$12,0)</f>
        <v>0</v>
      </c>
      <c r="U33" s="254">
        <f>IF(U$4=Deposits!$L$12,Deposits!$O$12,0)</f>
        <v>0</v>
      </c>
      <c r="V33" s="254">
        <f>IF(V$4=Deposits!$L$12,Deposits!$O$12,0)</f>
        <v>0</v>
      </c>
      <c r="W33" s="254">
        <f>IF(W$4=Deposits!$L$12,Deposits!$O$12,0)</f>
        <v>0</v>
      </c>
      <c r="X33" s="254">
        <f>IF(X$4=Deposits!$L$12,Deposits!$O$12,0)</f>
        <v>0</v>
      </c>
      <c r="Y33" s="254">
        <f>IF(Y$4=Deposits!$L$12,Deposits!$O$12,0)</f>
        <v>0</v>
      </c>
      <c r="Z33" s="254">
        <f>IF(Z$4=Deposits!$L$12,Deposits!$O$12,0)</f>
        <v>0</v>
      </c>
      <c r="AA33" s="254">
        <f>IF(AA$4=Deposits!$L$12,Deposits!$O$12,0)</f>
        <v>0</v>
      </c>
      <c r="AB33" s="254">
        <f>IF(AB$4=Deposits!$L$12,Deposits!$O$12,0)</f>
        <v>0</v>
      </c>
      <c r="AC33" s="254">
        <f>IF(AC$4=Deposits!$L$12,Deposits!$O$12,0)</f>
        <v>0</v>
      </c>
      <c r="AD33" s="254">
        <f>IF(AD$4=Deposits!$L$12,Deposits!$O$12,0)</f>
        <v>0</v>
      </c>
      <c r="AE33" s="254">
        <f>IF(AE$4=Deposits!$L$12,Deposits!$O$12,0)</f>
        <v>0</v>
      </c>
      <c r="AF33" s="254">
        <f>IF(AF$4=Deposits!$L$12,Deposits!$O$12,0)</f>
        <v>0</v>
      </c>
      <c r="AG33" s="254">
        <f>IF(AG$4=Deposits!$L$12,Deposits!$O$12,0)</f>
        <v>0</v>
      </c>
      <c r="AH33" s="254">
        <f>IF(AH$4=Deposits!$L$12,Deposits!$O$12,0)</f>
        <v>0</v>
      </c>
      <c r="AI33" s="254">
        <f>IF(AI$4=Deposits!$L$12,Deposits!$O$12,0)</f>
        <v>0</v>
      </c>
      <c r="AJ33" s="254">
        <f>IF(AJ$4=Deposits!$L$12,Deposits!$O$12,0)</f>
        <v>0</v>
      </c>
      <c r="AK33" s="254">
        <f>IF(AK$4=Deposits!$L$12,Deposits!$O$12,0)</f>
        <v>0</v>
      </c>
      <c r="AL33" s="254">
        <f>IF(AL$4=Deposits!$L$12,Deposits!$O$12,0)</f>
        <v>696.36411506849311</v>
      </c>
      <c r="AM33" s="254">
        <f>IF(AM$4=Deposits!$L$12,Deposits!$O$12,0)</f>
        <v>0</v>
      </c>
      <c r="AN33" s="254">
        <f>IF(AN$4=Deposits!$L$12,Deposits!$O$12,0)</f>
        <v>0</v>
      </c>
      <c r="AO33" s="254">
        <f>IF(AO$4=Deposits!$L$12,Deposits!$O$12,0)</f>
        <v>0</v>
      </c>
      <c r="AP33" s="254">
        <f>IF(AP$4=Deposits!$L$12,Deposits!$O$12,0)</f>
        <v>0</v>
      </c>
      <c r="AQ33" s="254">
        <f>IF(AQ$4=Deposits!$L$12,Deposits!$O$12,0)</f>
        <v>0</v>
      </c>
      <c r="AR33" s="254">
        <f>IF(AR$4=Deposits!$L$12,Deposits!$O$12,0)</f>
        <v>0</v>
      </c>
      <c r="AS33" s="254">
        <f>IF(AS$4=Deposits!$L$12,Deposits!$O$12,0)</f>
        <v>0</v>
      </c>
      <c r="AT33" s="254">
        <f>IF(AT$4=Deposits!$L$12,Deposits!$O$12,0)</f>
        <v>0</v>
      </c>
      <c r="AU33" s="254">
        <f>IF(AU$4=Deposits!$L$12,Deposits!$O$12,0)</f>
        <v>0</v>
      </c>
      <c r="AV33" s="254">
        <f>IF(AV$4=Deposits!$L$12,Deposits!$O$12,0)</f>
        <v>0</v>
      </c>
      <c r="AW33" s="254">
        <f>IF(AW$4=Deposits!$L$12,Deposits!$O$12,0)</f>
        <v>0</v>
      </c>
      <c r="AX33" s="254">
        <f>IF(AX$4=Deposits!$L$12,Deposits!$O$12,0)</f>
        <v>0</v>
      </c>
      <c r="AY33" s="254">
        <f>IF(AY$4=Deposits!$L$12,Deposits!$O$12,0)</f>
        <v>0</v>
      </c>
      <c r="AZ33" s="254">
        <f>IF(AZ$4=Deposits!$L$12,Deposits!$O$12,0)</f>
        <v>0</v>
      </c>
      <c r="BA33" s="254">
        <f>IF(BA$4=Deposits!$L$12,Deposits!$O$12,0)</f>
        <v>0</v>
      </c>
      <c r="BB33" s="254">
        <f>IF(BB$4=Deposits!$L$12,Deposits!$O$12,0)</f>
        <v>0</v>
      </c>
      <c r="BC33" s="254">
        <f>IF(BC$4=Deposits!$L$12,Deposits!$O$12,0)</f>
        <v>0</v>
      </c>
      <c r="BD33" s="254">
        <f>IF(BD$4=Deposits!$L$12,Deposits!$O$12,0)</f>
        <v>0</v>
      </c>
      <c r="BE33" s="254">
        <f>IF(BE$4=Deposits!$L$12,Deposits!$O$12,0)</f>
        <v>0</v>
      </c>
      <c r="BF33" s="254">
        <f>IF(BF$4=Deposits!$L$12,Deposits!$O$12,0)</f>
        <v>0</v>
      </c>
      <c r="BG33" s="254">
        <f>IF(BG$4=Deposits!$L$12,Deposits!$O$12,0)</f>
        <v>0</v>
      </c>
      <c r="BH33" s="254">
        <f>IF(BH$4=Deposits!$L$12,Deposits!$O$12,0)</f>
        <v>0</v>
      </c>
      <c r="BI33" s="254">
        <f>IF(BI$4=Deposits!$L$12,Deposits!$O$12,0)</f>
        <v>0</v>
      </c>
      <c r="BJ33" s="254">
        <f>IF(BJ$4=Deposits!$L$12,Deposits!$O$12,0)</f>
        <v>0</v>
      </c>
      <c r="BK33" s="254">
        <f>IF(BK$4=Deposits!$L$12,Deposits!$O$12,0)</f>
        <v>0</v>
      </c>
      <c r="BL33" s="254">
        <f>IF(BL$4=Deposits!$L$12,Deposits!$O$12,0)</f>
        <v>0</v>
      </c>
      <c r="BM33" s="254">
        <f>IF(BM$4=Deposits!$L$12,Deposits!$O$12,0)</f>
        <v>0</v>
      </c>
      <c r="BN33" s="254">
        <f>IF(BN$4=Deposits!$L$12,Deposits!$O$12,0)</f>
        <v>0</v>
      </c>
      <c r="BO33" s="254">
        <f>IF(BO$4=Deposits!$L$12,Deposits!$O$12,0)</f>
        <v>0</v>
      </c>
      <c r="BP33" s="254">
        <f>IF(BP$4=Deposits!$L$12,Deposits!$O$12,0)</f>
        <v>0</v>
      </c>
    </row>
    <row r="34" spans="3:68" x14ac:dyDescent="0.25">
      <c r="C34" s="253" t="str">
        <f>Deposits!C13</f>
        <v>Kiegészítő biztosíték 1. részlet</v>
      </c>
      <c r="D34" t="s">
        <v>125</v>
      </c>
      <c r="E34" s="151"/>
      <c r="F34" s="151"/>
      <c r="G34" s="151">
        <f t="shared" si="17"/>
        <v>0</v>
      </c>
      <c r="H34" s="254">
        <f>IF(H$4=Deposits!$L$13,Deposits!$O$13,0)</f>
        <v>0</v>
      </c>
      <c r="I34" s="254">
        <f>IF(I$4=Deposits!$L$13,Deposits!$O$13,0)</f>
        <v>0</v>
      </c>
      <c r="J34" s="254">
        <f>IF(J$4=Deposits!$L$13,Deposits!$O$13,0)</f>
        <v>0</v>
      </c>
      <c r="K34" s="254">
        <f>IF(K$4=Deposits!$L$13,Deposits!$O$13,0)</f>
        <v>0</v>
      </c>
      <c r="L34" s="254">
        <f>IF(L$4=Deposits!$L$13,Deposits!$O$13,0)</f>
        <v>0</v>
      </c>
      <c r="M34" s="254">
        <f>IF(M$4=Deposits!$L$13,Deposits!$O$13,0)</f>
        <v>0</v>
      </c>
      <c r="N34" s="254">
        <f>IF(N$4=Deposits!$L$13,Deposits!$O$13,0)</f>
        <v>0</v>
      </c>
      <c r="O34" s="254">
        <f>IF(O$4=Deposits!$L$13,Deposits!$O$13,0)</f>
        <v>0</v>
      </c>
      <c r="P34" s="254">
        <f>IF(P$4=Deposits!$L$13,Deposits!$O$13,0)</f>
        <v>0</v>
      </c>
      <c r="Q34" s="254">
        <f>IF(Q$4=Deposits!$L$13,Deposits!$O$13,0)</f>
        <v>0</v>
      </c>
      <c r="R34" s="254">
        <f>IF(R$4=Deposits!$L$13,Deposits!$O$13,0)</f>
        <v>0</v>
      </c>
      <c r="S34" s="254">
        <f>IF(S$4=Deposits!$L$13,Deposits!$O$13,0)</f>
        <v>0</v>
      </c>
      <c r="T34" s="254">
        <f>IF(T$4=Deposits!$L$13,Deposits!$O$13,0)</f>
        <v>0</v>
      </c>
      <c r="U34" s="254">
        <f>IF(U$4=Deposits!$L$13,Deposits!$O$13,0)</f>
        <v>0</v>
      </c>
      <c r="V34" s="254">
        <f>IF(V$4=Deposits!$L$13,Deposits!$O$13,0)</f>
        <v>0</v>
      </c>
      <c r="W34" s="254">
        <f>IF(W$4=Deposits!$L$13,Deposits!$O$13,0)</f>
        <v>0</v>
      </c>
      <c r="X34" s="254">
        <f>IF(X$4=Deposits!$L$13,Deposits!$O$13,0)</f>
        <v>0</v>
      </c>
      <c r="Y34" s="254">
        <f>IF(Y$4=Deposits!$L$13,Deposits!$O$13,0)</f>
        <v>0</v>
      </c>
      <c r="Z34" s="254">
        <f>IF(Z$4=Deposits!$L$13,Deposits!$O$13,0)</f>
        <v>0</v>
      </c>
      <c r="AA34" s="254">
        <f>IF(AA$4=Deposits!$L$13,Deposits!$O$13,0)</f>
        <v>0</v>
      </c>
      <c r="AB34" s="254">
        <f>IF(AB$4=Deposits!$L$13,Deposits!$O$13,0)</f>
        <v>0</v>
      </c>
      <c r="AC34" s="254">
        <f>IF(AC$4=Deposits!$L$13,Deposits!$O$13,0)</f>
        <v>0</v>
      </c>
      <c r="AD34" s="254">
        <f>IF(AD$4=Deposits!$L$13,Deposits!$O$13,0)</f>
        <v>0</v>
      </c>
      <c r="AE34" s="254">
        <f>IF(AE$4=Deposits!$L$13,Deposits!$O$13,0)</f>
        <v>0</v>
      </c>
      <c r="AF34" s="254">
        <f>IF(AF$4=Deposits!$L$13,Deposits!$O$13,0)</f>
        <v>0</v>
      </c>
      <c r="AG34" s="254">
        <f>IF(AG$4=Deposits!$L$13,Deposits!$O$13,0)</f>
        <v>0</v>
      </c>
      <c r="AH34" s="254">
        <f>IF(AH$4=Deposits!$L$13,Deposits!$O$13,0)</f>
        <v>0</v>
      </c>
      <c r="AI34" s="254">
        <f>IF(AI$4=Deposits!$L$13,Deposits!$O$13,0)</f>
        <v>0</v>
      </c>
      <c r="AJ34" s="254">
        <f>IF(AJ$4=Deposits!$L$13,Deposits!$O$13,0)</f>
        <v>0</v>
      </c>
      <c r="AK34" s="254">
        <f>IF(AK$4=Deposits!$L$13,Deposits!$O$13,0)</f>
        <v>0</v>
      </c>
      <c r="AL34" s="254">
        <f>IF(AL$4=Deposits!$L$13,Deposits!$O$13,0)</f>
        <v>0</v>
      </c>
      <c r="AM34" s="254">
        <f>IF(AM$4=Deposits!$L$13,Deposits!$O$13,0)</f>
        <v>0</v>
      </c>
      <c r="AN34" s="254">
        <f>IF(AN$4=Deposits!$L$13,Deposits!$O$13,0)</f>
        <v>0</v>
      </c>
      <c r="AO34" s="254">
        <f>IF(AO$4=Deposits!$L$13,Deposits!$O$13,0)</f>
        <v>0</v>
      </c>
      <c r="AP34" s="254">
        <f>IF(AP$4=Deposits!$L$13,Deposits!$O$13,0)</f>
        <v>0</v>
      </c>
      <c r="AQ34" s="254">
        <f>IF(AQ$4=Deposits!$L$13,Deposits!$O$13,0)</f>
        <v>0</v>
      </c>
      <c r="AR34" s="254">
        <f>IF(AR$4=Deposits!$L$13,Deposits!$O$13,0)</f>
        <v>0</v>
      </c>
      <c r="AS34" s="254">
        <f>IF(AS$4=Deposits!$L$13,Deposits!$O$13,0)</f>
        <v>0</v>
      </c>
      <c r="AT34" s="254">
        <f>IF(AT$4=Deposits!$L$13,Deposits!$O$13,0)</f>
        <v>0</v>
      </c>
      <c r="AU34" s="254">
        <f>IF(AU$4=Deposits!$L$13,Deposits!$O$13,0)</f>
        <v>0</v>
      </c>
      <c r="AV34" s="254">
        <f>IF(AV$4=Deposits!$L$13,Deposits!$O$13,0)</f>
        <v>0</v>
      </c>
      <c r="AW34" s="254">
        <f>IF(AW$4=Deposits!$L$13,Deposits!$O$13,0)</f>
        <v>0</v>
      </c>
      <c r="AX34" s="254">
        <f>IF(AX$4=Deposits!$L$13,Deposits!$O$13,0)</f>
        <v>0</v>
      </c>
      <c r="AY34" s="254">
        <f>IF(AY$4=Deposits!$L$13,Deposits!$O$13,0)</f>
        <v>0</v>
      </c>
      <c r="AZ34" s="254">
        <f>IF(AZ$4=Deposits!$L$13,Deposits!$O$13,0)</f>
        <v>0</v>
      </c>
      <c r="BA34" s="254">
        <f>IF(BA$4=Deposits!$L$13,Deposits!$O$13,0)</f>
        <v>0</v>
      </c>
      <c r="BB34" s="254">
        <f>IF(BB$4=Deposits!$L$13,Deposits!$O$13,0)</f>
        <v>0</v>
      </c>
      <c r="BC34" s="254">
        <f>IF(BC$4=Deposits!$L$13,Deposits!$O$13,0)</f>
        <v>0</v>
      </c>
      <c r="BD34" s="254">
        <f>IF(BD$4=Deposits!$L$13,Deposits!$O$13,0)</f>
        <v>0</v>
      </c>
      <c r="BE34" s="254">
        <f>IF(BE$4=Deposits!$L$13,Deposits!$O$13,0)</f>
        <v>0</v>
      </c>
      <c r="BF34" s="254">
        <f>IF(BF$4=Deposits!$L$13,Deposits!$O$13,0)</f>
        <v>0</v>
      </c>
      <c r="BG34" s="254">
        <f>IF(BG$4=Deposits!$L$13,Deposits!$O$13,0)</f>
        <v>0</v>
      </c>
      <c r="BH34" s="254">
        <f>IF(BH$4=Deposits!$L$13,Deposits!$O$13,0)</f>
        <v>0</v>
      </c>
      <c r="BI34" s="254">
        <f>IF(BI$4=Deposits!$L$13,Deposits!$O$13,0)</f>
        <v>0</v>
      </c>
      <c r="BJ34" s="254">
        <f>IF(BJ$4=Deposits!$L$13,Deposits!$O$13,0)</f>
        <v>0</v>
      </c>
      <c r="BK34" s="254">
        <f>IF(BK$4=Deposits!$L$13,Deposits!$O$13,0)</f>
        <v>0</v>
      </c>
      <c r="BL34" s="254">
        <f>IF(BL$4=Deposits!$L$13,Deposits!$O$13,0)</f>
        <v>0</v>
      </c>
      <c r="BM34" s="254">
        <f>IF(BM$4=Deposits!$L$13,Deposits!$O$13,0)</f>
        <v>0</v>
      </c>
      <c r="BN34" s="254">
        <f>IF(BN$4=Deposits!$L$13,Deposits!$O$13,0)</f>
        <v>0</v>
      </c>
      <c r="BO34" s="254">
        <f>IF(BO$4=Deposits!$L$13,Deposits!$O$13,0)</f>
        <v>0</v>
      </c>
      <c r="BP34" s="254">
        <f>IF(BP$4=Deposits!$L$13,Deposits!$O$13,0)</f>
        <v>0</v>
      </c>
    </row>
    <row r="35" spans="3:68" x14ac:dyDescent="0.25">
      <c r="C35" s="253" t="str">
        <f>Deposits!C14</f>
        <v>Kiegészítő biztosíték 2. részlet</v>
      </c>
      <c r="D35" t="s">
        <v>125</v>
      </c>
      <c r="E35" s="151"/>
      <c r="F35" s="151"/>
      <c r="G35" s="151">
        <f t="shared" si="17"/>
        <v>0</v>
      </c>
      <c r="H35" s="254">
        <f>IF(H$4=Deposits!$L$14,Deposits!$O$14,0)</f>
        <v>0</v>
      </c>
      <c r="I35" s="254">
        <f>IF(I$4=Deposits!$L$14,Deposits!$O$14,0)</f>
        <v>0</v>
      </c>
      <c r="J35" s="254">
        <f>IF(J$4=Deposits!$L$14,Deposits!$O$14,0)</f>
        <v>0</v>
      </c>
      <c r="K35" s="254">
        <f>IF(K$4=Deposits!$L$14,Deposits!$O$14,0)</f>
        <v>0</v>
      </c>
      <c r="L35" s="254">
        <f>IF(L$4=Deposits!$L$14,Deposits!$O$14,0)</f>
        <v>0</v>
      </c>
      <c r="M35" s="254">
        <f>IF(M$4=Deposits!$L$14,Deposits!$O$14,0)</f>
        <v>0</v>
      </c>
      <c r="N35" s="254">
        <f>IF(N$4=Deposits!$L$14,Deposits!$O$14,0)</f>
        <v>0</v>
      </c>
      <c r="O35" s="254">
        <f>IF(O$4=Deposits!$L$14,Deposits!$O$14,0)</f>
        <v>0</v>
      </c>
      <c r="P35" s="254">
        <f>IF(P$4=Deposits!$L$14,Deposits!$O$14,0)</f>
        <v>0</v>
      </c>
      <c r="Q35" s="254">
        <f>IF(Q$4=Deposits!$L$14,Deposits!$O$14,0)</f>
        <v>0</v>
      </c>
      <c r="R35" s="254">
        <f>IF(R$4=Deposits!$L$14,Deposits!$O$14,0)</f>
        <v>0</v>
      </c>
      <c r="S35" s="254">
        <f>IF(S$4=Deposits!$L$14,Deposits!$O$14,0)</f>
        <v>0</v>
      </c>
      <c r="T35" s="254">
        <f>IF(T$4=Deposits!$L$14,Deposits!$O$14,0)</f>
        <v>0</v>
      </c>
      <c r="U35" s="254">
        <f>IF(U$4=Deposits!$L$14,Deposits!$O$14,0)</f>
        <v>0</v>
      </c>
      <c r="V35" s="254">
        <f>IF(V$4=Deposits!$L$14,Deposits!$O$14,0)</f>
        <v>0</v>
      </c>
      <c r="W35" s="254">
        <f>IF(W$4=Deposits!$L$14,Deposits!$O$14,0)</f>
        <v>0</v>
      </c>
      <c r="X35" s="254">
        <f>IF(X$4=Deposits!$L$14,Deposits!$O$14,0)</f>
        <v>0</v>
      </c>
      <c r="Y35" s="254">
        <f>IF(Y$4=Deposits!$L$14,Deposits!$O$14,0)</f>
        <v>0</v>
      </c>
      <c r="Z35" s="254">
        <f>IF(Z$4=Deposits!$L$14,Deposits!$O$14,0)</f>
        <v>0</v>
      </c>
      <c r="AA35" s="254">
        <f>IF(AA$4=Deposits!$L$14,Deposits!$O$14,0)</f>
        <v>0</v>
      </c>
      <c r="AB35" s="254">
        <f>IF(AB$4=Deposits!$L$14,Deposits!$O$14,0)</f>
        <v>0</v>
      </c>
      <c r="AC35" s="254">
        <f>IF(AC$4=Deposits!$L$14,Deposits!$O$14,0)</f>
        <v>0</v>
      </c>
      <c r="AD35" s="254">
        <f>IF(AD$4=Deposits!$L$14,Deposits!$O$14,0)</f>
        <v>0</v>
      </c>
      <c r="AE35" s="254">
        <f>IF(AE$4=Deposits!$L$14,Deposits!$O$14,0)</f>
        <v>0</v>
      </c>
      <c r="AF35" s="254">
        <f>IF(AF$4=Deposits!$L$14,Deposits!$O$14,0)</f>
        <v>0</v>
      </c>
      <c r="AG35" s="254">
        <f>IF(AG$4=Deposits!$L$14,Deposits!$O$14,0)</f>
        <v>0</v>
      </c>
      <c r="AH35" s="254">
        <f>IF(AH$4=Deposits!$L$14,Deposits!$O$14,0)</f>
        <v>0</v>
      </c>
      <c r="AI35" s="254">
        <f>IF(AI$4=Deposits!$L$14,Deposits!$O$14,0)</f>
        <v>0</v>
      </c>
      <c r="AJ35" s="254">
        <f>IF(AJ$4=Deposits!$L$14,Deposits!$O$14,0)</f>
        <v>0</v>
      </c>
      <c r="AK35" s="254">
        <f>IF(AK$4=Deposits!$L$14,Deposits!$O$14,0)</f>
        <v>0</v>
      </c>
      <c r="AL35" s="254">
        <f>IF(AL$4=Deposits!$L$14,Deposits!$O$14,0)</f>
        <v>0</v>
      </c>
      <c r="AM35" s="254">
        <f>IF(AM$4=Deposits!$L$14,Deposits!$O$14,0)</f>
        <v>0</v>
      </c>
      <c r="AN35" s="254">
        <f>IF(AN$4=Deposits!$L$14,Deposits!$O$14,0)</f>
        <v>0</v>
      </c>
      <c r="AO35" s="254">
        <f>IF(AO$4=Deposits!$L$14,Deposits!$O$14,0)</f>
        <v>0</v>
      </c>
      <c r="AP35" s="254">
        <f>IF(AP$4=Deposits!$L$14,Deposits!$O$14,0)</f>
        <v>0</v>
      </c>
      <c r="AQ35" s="254">
        <f>IF(AQ$4=Deposits!$L$14,Deposits!$O$14,0)</f>
        <v>0</v>
      </c>
      <c r="AR35" s="254">
        <f>IF(AR$4=Deposits!$L$14,Deposits!$O$14,0)</f>
        <v>0</v>
      </c>
      <c r="AS35" s="254">
        <f>IF(AS$4=Deposits!$L$14,Deposits!$O$14,0)</f>
        <v>0</v>
      </c>
      <c r="AT35" s="254">
        <f>IF(AT$4=Deposits!$L$14,Deposits!$O$14,0)</f>
        <v>0</v>
      </c>
      <c r="AU35" s="254">
        <f>IF(AU$4=Deposits!$L$14,Deposits!$O$14,0)</f>
        <v>0</v>
      </c>
      <c r="AV35" s="254">
        <f>IF(AV$4=Deposits!$L$14,Deposits!$O$14,0)</f>
        <v>0</v>
      </c>
      <c r="AW35" s="254">
        <f>IF(AW$4=Deposits!$L$14,Deposits!$O$14,0)</f>
        <v>0</v>
      </c>
      <c r="AX35" s="254">
        <f>IF(AX$4=Deposits!$L$14,Deposits!$O$14,0)</f>
        <v>0</v>
      </c>
      <c r="AY35" s="254">
        <f>IF(AY$4=Deposits!$L$14,Deposits!$O$14,0)</f>
        <v>0</v>
      </c>
      <c r="AZ35" s="254">
        <f>IF(AZ$4=Deposits!$L$14,Deposits!$O$14,0)</f>
        <v>0</v>
      </c>
      <c r="BA35" s="254">
        <f>IF(BA$4=Deposits!$L$14,Deposits!$O$14,0)</f>
        <v>0</v>
      </c>
      <c r="BB35" s="254">
        <f>IF(BB$4=Deposits!$L$14,Deposits!$O$14,0)</f>
        <v>0</v>
      </c>
      <c r="BC35" s="254">
        <f>IF(BC$4=Deposits!$L$14,Deposits!$O$14,0)</f>
        <v>0</v>
      </c>
      <c r="BD35" s="254">
        <f>IF(BD$4=Deposits!$L$14,Deposits!$O$14,0)</f>
        <v>0</v>
      </c>
      <c r="BE35" s="254">
        <f>IF(BE$4=Deposits!$L$14,Deposits!$O$14,0)</f>
        <v>0</v>
      </c>
      <c r="BF35" s="254">
        <f>IF(BF$4=Deposits!$L$14,Deposits!$O$14,0)</f>
        <v>0</v>
      </c>
      <c r="BG35" s="254">
        <f>IF(BG$4=Deposits!$L$14,Deposits!$O$14,0)</f>
        <v>0</v>
      </c>
      <c r="BH35" s="254">
        <f>IF(BH$4=Deposits!$L$14,Deposits!$O$14,0)</f>
        <v>0</v>
      </c>
      <c r="BI35" s="254">
        <f>IF(BI$4=Deposits!$L$14,Deposits!$O$14,0)</f>
        <v>0</v>
      </c>
      <c r="BJ35" s="254">
        <f>IF(BJ$4=Deposits!$L$14,Deposits!$O$14,0)</f>
        <v>0</v>
      </c>
      <c r="BK35" s="254">
        <f>IF(BK$4=Deposits!$L$14,Deposits!$O$14,0)</f>
        <v>0</v>
      </c>
      <c r="BL35" s="254">
        <f>IF(BL$4=Deposits!$L$14,Deposits!$O$14,0)</f>
        <v>0</v>
      </c>
      <c r="BM35" s="254">
        <f>IF(BM$4=Deposits!$L$14,Deposits!$O$14,0)</f>
        <v>0</v>
      </c>
      <c r="BN35" s="254">
        <f>IF(BN$4=Deposits!$L$14,Deposits!$O$14,0)</f>
        <v>0</v>
      </c>
      <c r="BO35" s="254">
        <f>IF(BO$4=Deposits!$L$14,Deposits!$O$14,0)</f>
        <v>0</v>
      </c>
      <c r="BP35" s="254">
        <f>IF(BP$4=Deposits!$L$14,Deposits!$O$14,0)</f>
        <v>0</v>
      </c>
    </row>
    <row r="36" spans="3:68" x14ac:dyDescent="0.25">
      <c r="C36" s="253" t="str">
        <f>Deposits!C15</f>
        <v>Kiegészítő biztosíték visszautalás építési engedély megszerzésekor</v>
      </c>
      <c r="D36" t="s">
        <v>125</v>
      </c>
      <c r="E36" s="151"/>
      <c r="F36" s="151"/>
      <c r="G36" s="151">
        <f t="shared" si="17"/>
        <v>0</v>
      </c>
      <c r="H36" s="254">
        <f>IF(H$4=Deposits!$L$15,Deposits!$O$15,0)</f>
        <v>0</v>
      </c>
      <c r="I36" s="254">
        <f>IF(I$4=Deposits!$L$15,Deposits!$O$15,0)</f>
        <v>0</v>
      </c>
      <c r="J36" s="254">
        <f>IF(J$4=Deposits!$L$15,Deposits!$O$15,0)</f>
        <v>0</v>
      </c>
      <c r="K36" s="254">
        <f>IF(K$4=Deposits!$L$15,Deposits!$O$15,0)</f>
        <v>0</v>
      </c>
      <c r="L36" s="254">
        <f>IF(L$4=Deposits!$L$15,Deposits!$O$15,0)</f>
        <v>0</v>
      </c>
      <c r="M36" s="254">
        <f>IF(M$4=Deposits!$L$15,Deposits!$O$15,0)</f>
        <v>0</v>
      </c>
      <c r="N36" s="254">
        <f>IF(N$4=Deposits!$L$15,Deposits!$O$15,0)</f>
        <v>0</v>
      </c>
      <c r="O36" s="254">
        <f>IF(O$4=Deposits!$L$15,Deposits!$O$15,0)</f>
        <v>0</v>
      </c>
      <c r="P36" s="254">
        <f>IF(P$4=Deposits!$L$15,Deposits!$O$15,0)</f>
        <v>0</v>
      </c>
      <c r="Q36" s="254">
        <f>IF(Q$4=Deposits!$L$15,Deposits!$O$15,0)</f>
        <v>0</v>
      </c>
      <c r="R36" s="254">
        <f>IF(R$4=Deposits!$L$15,Deposits!$O$15,0)</f>
        <v>0</v>
      </c>
      <c r="S36" s="254">
        <f>IF(S$4=Deposits!$L$15,Deposits!$O$15,0)</f>
        <v>0</v>
      </c>
      <c r="T36" s="254">
        <f>IF(T$4=Deposits!$L$15,Deposits!$O$15,0)</f>
        <v>0</v>
      </c>
      <c r="U36" s="254">
        <f>IF(U$4=Deposits!$L$15,Deposits!$O$15,0)</f>
        <v>0</v>
      </c>
      <c r="V36" s="254">
        <f>IF(V$4=Deposits!$L$15,Deposits!$O$15,0)</f>
        <v>0</v>
      </c>
      <c r="W36" s="254">
        <f>IF(W$4=Deposits!$L$15,Deposits!$O$15,0)</f>
        <v>0</v>
      </c>
      <c r="X36" s="254">
        <f>IF(X$4=Deposits!$L$15,Deposits!$O$15,0)</f>
        <v>0</v>
      </c>
      <c r="Y36" s="254">
        <f>IF(Y$4=Deposits!$L$15,Deposits!$O$15,0)</f>
        <v>0</v>
      </c>
      <c r="Z36" s="254">
        <f>IF(Z$4=Deposits!$L$15,Deposits!$O$15,0)</f>
        <v>0</v>
      </c>
      <c r="AA36" s="254">
        <f>IF(AA$4=Deposits!$L$15,Deposits!$O$15,0)</f>
        <v>0</v>
      </c>
      <c r="AB36" s="254">
        <f>IF(AB$4=Deposits!$L$15,Deposits!$O$15,0)</f>
        <v>0</v>
      </c>
      <c r="AC36" s="254">
        <f>IF(AC$4=Deposits!$L$15,Deposits!$O$15,0)</f>
        <v>0</v>
      </c>
      <c r="AD36" s="254">
        <f>IF(AD$4=Deposits!$L$15,Deposits!$O$15,0)</f>
        <v>0</v>
      </c>
      <c r="AE36" s="254">
        <f>IF(AE$4=Deposits!$L$15,Deposits!$O$15,0)</f>
        <v>0</v>
      </c>
      <c r="AF36" s="254">
        <f>IF(AF$4=Deposits!$L$15,Deposits!$O$15,0)</f>
        <v>0</v>
      </c>
      <c r="AG36" s="254">
        <f>IF(AG$4=Deposits!$L$15,Deposits!$O$15,0)</f>
        <v>0</v>
      </c>
      <c r="AH36" s="254">
        <f>IF(AH$4=Deposits!$L$15,Deposits!$O$15,0)</f>
        <v>0</v>
      </c>
      <c r="AI36" s="254">
        <f>IF(AI$4=Deposits!$L$15,Deposits!$O$15,0)</f>
        <v>0</v>
      </c>
      <c r="AJ36" s="254">
        <f>IF(AJ$4=Deposits!$L$15,Deposits!$O$15,0)</f>
        <v>0</v>
      </c>
      <c r="AK36" s="254">
        <f>IF(AK$4=Deposits!$L$15,Deposits!$O$15,0)</f>
        <v>0</v>
      </c>
      <c r="AL36" s="254">
        <f>IF(AL$4=Deposits!$L$15,Deposits!$O$15,0)</f>
        <v>0</v>
      </c>
      <c r="AM36" s="254">
        <f>IF(AM$4=Deposits!$L$15,Deposits!$O$15,0)</f>
        <v>0</v>
      </c>
      <c r="AN36" s="254">
        <f>IF(AN$4=Deposits!$L$15,Deposits!$O$15,0)</f>
        <v>0</v>
      </c>
      <c r="AO36" s="254">
        <f>IF(AO$4=Deposits!$L$15,Deposits!$O$15,0)</f>
        <v>0</v>
      </c>
      <c r="AP36" s="254">
        <f>IF(AP$4=Deposits!$L$15,Deposits!$O$15,0)</f>
        <v>0</v>
      </c>
      <c r="AQ36" s="254">
        <f>IF(AQ$4=Deposits!$L$15,Deposits!$O$15,0)</f>
        <v>0</v>
      </c>
      <c r="AR36" s="254">
        <f>IF(AR$4=Deposits!$L$15,Deposits!$O$15,0)</f>
        <v>0</v>
      </c>
      <c r="AS36" s="254">
        <f>IF(AS$4=Deposits!$L$15,Deposits!$O$15,0)</f>
        <v>0</v>
      </c>
      <c r="AT36" s="254">
        <f>IF(AT$4=Deposits!$L$15,Deposits!$O$15,0)</f>
        <v>0</v>
      </c>
      <c r="AU36" s="254">
        <f>IF(AU$4=Deposits!$L$15,Deposits!$O$15,0)</f>
        <v>0</v>
      </c>
      <c r="AV36" s="254">
        <f>IF(AV$4=Deposits!$L$15,Deposits!$O$15,0)</f>
        <v>0</v>
      </c>
      <c r="AW36" s="254">
        <f>IF(AW$4=Deposits!$L$15,Deposits!$O$15,0)</f>
        <v>0</v>
      </c>
      <c r="AX36" s="254">
        <f>IF(AX$4=Deposits!$L$15,Deposits!$O$15,0)</f>
        <v>0</v>
      </c>
      <c r="AY36" s="254">
        <f>IF(AY$4=Deposits!$L$15,Deposits!$O$15,0)</f>
        <v>0</v>
      </c>
      <c r="AZ36" s="254">
        <f>IF(AZ$4=Deposits!$L$15,Deposits!$O$15,0)</f>
        <v>0</v>
      </c>
      <c r="BA36" s="254">
        <f>IF(BA$4=Deposits!$L$15,Deposits!$O$15,0)</f>
        <v>0</v>
      </c>
      <c r="BB36" s="254">
        <f>IF(BB$4=Deposits!$L$15,Deposits!$O$15,0)</f>
        <v>0</v>
      </c>
      <c r="BC36" s="254">
        <f>IF(BC$4=Deposits!$L$15,Deposits!$O$15,0)</f>
        <v>0</v>
      </c>
      <c r="BD36" s="254">
        <f>IF(BD$4=Deposits!$L$15,Deposits!$O$15,0)</f>
        <v>0</v>
      </c>
      <c r="BE36" s="254">
        <f>IF(BE$4=Deposits!$L$15,Deposits!$O$15,0)</f>
        <v>0</v>
      </c>
      <c r="BF36" s="254">
        <f>IF(BF$4=Deposits!$L$15,Deposits!$O$15,0)</f>
        <v>0</v>
      </c>
      <c r="BG36" s="254">
        <f>IF(BG$4=Deposits!$L$15,Deposits!$O$15,0)</f>
        <v>0</v>
      </c>
      <c r="BH36" s="254">
        <f>IF(BH$4=Deposits!$L$15,Deposits!$O$15,0)</f>
        <v>0</v>
      </c>
      <c r="BI36" s="254">
        <f>IF(BI$4=Deposits!$L$15,Deposits!$O$15,0)</f>
        <v>0</v>
      </c>
      <c r="BJ36" s="254">
        <f>IF(BJ$4=Deposits!$L$15,Deposits!$O$15,0)</f>
        <v>0</v>
      </c>
      <c r="BK36" s="254">
        <f>IF(BK$4=Deposits!$L$15,Deposits!$O$15,0)</f>
        <v>0</v>
      </c>
      <c r="BL36" s="254">
        <f>IF(BL$4=Deposits!$L$15,Deposits!$O$15,0)</f>
        <v>0</v>
      </c>
      <c r="BM36" s="254">
        <f>IF(BM$4=Deposits!$L$15,Deposits!$O$15,0)</f>
        <v>0</v>
      </c>
      <c r="BN36" s="254">
        <f>IF(BN$4=Deposits!$L$15,Deposits!$O$15,0)</f>
        <v>0</v>
      </c>
      <c r="BO36" s="254">
        <f>IF(BO$4=Deposits!$L$15,Deposits!$O$15,0)</f>
        <v>0</v>
      </c>
      <c r="BP36" s="254">
        <f>IF(BP$4=Deposits!$L$15,Deposits!$O$15,0)</f>
        <v>0</v>
      </c>
    </row>
    <row r="37" spans="3:68" x14ac:dyDescent="0.25">
      <c r="C37" s="253" t="str">
        <f>Deposits!C16</f>
        <v>Kiegészítő biztosíték 3. részlet</v>
      </c>
      <c r="D37" t="s">
        <v>125</v>
      </c>
      <c r="E37" s="151"/>
      <c r="F37" s="151"/>
      <c r="G37" s="151">
        <f t="shared" si="17"/>
        <v>0</v>
      </c>
      <c r="H37" s="254">
        <f>IF(H$4=Deposits!$L$16,Deposits!$O$16,0)</f>
        <v>0</v>
      </c>
      <c r="I37" s="254">
        <f>IF(I$4=Deposits!$L$16,Deposits!$O$16,0)</f>
        <v>0</v>
      </c>
      <c r="J37" s="254">
        <f>IF(J$4=Deposits!$L$16,Deposits!$O$16,0)</f>
        <v>0</v>
      </c>
      <c r="K37" s="254">
        <f>IF(K$4=Deposits!$L$16,Deposits!$O$16,0)</f>
        <v>0</v>
      </c>
      <c r="L37" s="254">
        <f>IF(L$4=Deposits!$L$16,Deposits!$O$16,0)</f>
        <v>0</v>
      </c>
      <c r="M37" s="254">
        <f>IF(M$4=Deposits!$L$16,Deposits!$O$16,0)</f>
        <v>0</v>
      </c>
      <c r="N37" s="254">
        <f>IF(N$4=Deposits!$L$16,Deposits!$O$16,0)</f>
        <v>0</v>
      </c>
      <c r="O37" s="254">
        <f>IF(O$4=Deposits!$L$16,Deposits!$O$16,0)</f>
        <v>0</v>
      </c>
      <c r="P37" s="254">
        <f>IF(P$4=Deposits!$L$16,Deposits!$O$16,0)</f>
        <v>0</v>
      </c>
      <c r="Q37" s="254">
        <f>IF(Q$4=Deposits!$L$16,Deposits!$O$16,0)</f>
        <v>0</v>
      </c>
      <c r="R37" s="254">
        <f>IF(R$4=Deposits!$L$16,Deposits!$O$16,0)</f>
        <v>0</v>
      </c>
      <c r="S37" s="254">
        <f>IF(S$4=Deposits!$L$16,Deposits!$O$16,0)</f>
        <v>0</v>
      </c>
      <c r="T37" s="254">
        <f>IF(T$4=Deposits!$L$16,Deposits!$O$16,0)</f>
        <v>0</v>
      </c>
      <c r="U37" s="254">
        <f>IF(U$4=Deposits!$L$16,Deposits!$O$16,0)</f>
        <v>0</v>
      </c>
      <c r="V37" s="254">
        <f>IF(V$4=Deposits!$L$16,Deposits!$O$16,0)</f>
        <v>0</v>
      </c>
      <c r="W37" s="254">
        <f>IF(W$4=Deposits!$L$16,Deposits!$O$16,0)</f>
        <v>0</v>
      </c>
      <c r="X37" s="254">
        <f>IF(X$4=Deposits!$L$16,Deposits!$O$16,0)</f>
        <v>0</v>
      </c>
      <c r="Y37" s="254">
        <f>IF(Y$4=Deposits!$L$16,Deposits!$O$16,0)</f>
        <v>0</v>
      </c>
      <c r="Z37" s="254">
        <f>IF(Z$4=Deposits!$L$16,Deposits!$O$16,0)</f>
        <v>0</v>
      </c>
      <c r="AA37" s="254">
        <f>IF(AA$4=Deposits!$L$16,Deposits!$O$16,0)</f>
        <v>0</v>
      </c>
      <c r="AB37" s="254">
        <f>IF(AB$4=Deposits!$L$16,Deposits!$O$16,0)</f>
        <v>0</v>
      </c>
      <c r="AC37" s="254">
        <f>IF(AC$4=Deposits!$L$16,Deposits!$O$16,0)</f>
        <v>0</v>
      </c>
      <c r="AD37" s="254">
        <f>IF(AD$4=Deposits!$L$16,Deposits!$O$16,0)</f>
        <v>0</v>
      </c>
      <c r="AE37" s="254">
        <f>IF(AE$4=Deposits!$L$16,Deposits!$O$16,0)</f>
        <v>0</v>
      </c>
      <c r="AF37" s="254">
        <f>IF(AF$4=Deposits!$L$16,Deposits!$O$16,0)</f>
        <v>0</v>
      </c>
      <c r="AG37" s="254">
        <f>IF(AG$4=Deposits!$L$16,Deposits!$O$16,0)</f>
        <v>0</v>
      </c>
      <c r="AH37" s="254">
        <f>IF(AH$4=Deposits!$L$16,Deposits!$O$16,0)</f>
        <v>0</v>
      </c>
      <c r="AI37" s="254">
        <f>IF(AI$4=Deposits!$L$16,Deposits!$O$16,0)</f>
        <v>0</v>
      </c>
      <c r="AJ37" s="254">
        <f>IF(AJ$4=Deposits!$L$16,Deposits!$O$16,0)</f>
        <v>0</v>
      </c>
      <c r="AK37" s="254">
        <f>IF(AK$4=Deposits!$L$16,Deposits!$O$16,0)</f>
        <v>0</v>
      </c>
      <c r="AL37" s="254">
        <f>IF(AL$4=Deposits!$L$16,Deposits!$O$16,0)</f>
        <v>0</v>
      </c>
      <c r="AM37" s="254">
        <f>IF(AM$4=Deposits!$L$16,Deposits!$O$16,0)</f>
        <v>0</v>
      </c>
      <c r="AN37" s="254">
        <f>IF(AN$4=Deposits!$L$16,Deposits!$O$16,0)</f>
        <v>0</v>
      </c>
      <c r="AO37" s="254">
        <f>IF(AO$4=Deposits!$L$16,Deposits!$O$16,0)</f>
        <v>0</v>
      </c>
      <c r="AP37" s="254">
        <f>IF(AP$4=Deposits!$L$16,Deposits!$O$16,0)</f>
        <v>0</v>
      </c>
      <c r="AQ37" s="254">
        <f>IF(AQ$4=Deposits!$L$16,Deposits!$O$16,0)</f>
        <v>0</v>
      </c>
      <c r="AR37" s="254">
        <f>IF(AR$4=Deposits!$L$16,Deposits!$O$16,0)</f>
        <v>0</v>
      </c>
      <c r="AS37" s="254">
        <f>IF(AS$4=Deposits!$L$16,Deposits!$O$16,0)</f>
        <v>0</v>
      </c>
      <c r="AT37" s="254">
        <f>IF(AT$4=Deposits!$L$16,Deposits!$O$16,0)</f>
        <v>0</v>
      </c>
      <c r="AU37" s="254">
        <f>IF(AU$4=Deposits!$L$16,Deposits!$O$16,0)</f>
        <v>0</v>
      </c>
      <c r="AV37" s="254">
        <f>IF(AV$4=Deposits!$L$16,Deposits!$O$16,0)</f>
        <v>0</v>
      </c>
      <c r="AW37" s="254">
        <f>IF(AW$4=Deposits!$L$16,Deposits!$O$16,0)</f>
        <v>0</v>
      </c>
      <c r="AX37" s="254">
        <f>IF(AX$4=Deposits!$L$16,Deposits!$O$16,0)</f>
        <v>0</v>
      </c>
      <c r="AY37" s="254">
        <f>IF(AY$4=Deposits!$L$16,Deposits!$O$16,0)</f>
        <v>0</v>
      </c>
      <c r="AZ37" s="254">
        <f>IF(AZ$4=Deposits!$L$16,Deposits!$O$16,0)</f>
        <v>0</v>
      </c>
      <c r="BA37" s="254">
        <f>IF(BA$4=Deposits!$L$16,Deposits!$O$16,0)</f>
        <v>0</v>
      </c>
      <c r="BB37" s="254">
        <f>IF(BB$4=Deposits!$L$16,Deposits!$O$16,0)</f>
        <v>0</v>
      </c>
      <c r="BC37" s="254">
        <f>IF(BC$4=Deposits!$L$16,Deposits!$O$16,0)</f>
        <v>0</v>
      </c>
      <c r="BD37" s="254">
        <f>IF(BD$4=Deposits!$L$16,Deposits!$O$16,0)</f>
        <v>0</v>
      </c>
      <c r="BE37" s="254">
        <f>IF(BE$4=Deposits!$L$16,Deposits!$O$16,0)</f>
        <v>0</v>
      </c>
      <c r="BF37" s="254">
        <f>IF(BF$4=Deposits!$L$16,Deposits!$O$16,0)</f>
        <v>0</v>
      </c>
      <c r="BG37" s="254">
        <f>IF(BG$4=Deposits!$L$16,Deposits!$O$16,0)</f>
        <v>0</v>
      </c>
      <c r="BH37" s="254">
        <f>IF(BH$4=Deposits!$L$16,Deposits!$O$16,0)</f>
        <v>0</v>
      </c>
      <c r="BI37" s="254">
        <f>IF(BI$4=Deposits!$L$16,Deposits!$O$16,0)</f>
        <v>0</v>
      </c>
      <c r="BJ37" s="254">
        <f>IF(BJ$4=Deposits!$L$16,Deposits!$O$16,0)</f>
        <v>0</v>
      </c>
      <c r="BK37" s="254">
        <f>IF(BK$4=Deposits!$L$16,Deposits!$O$16,0)</f>
        <v>0</v>
      </c>
      <c r="BL37" s="254">
        <f>IF(BL$4=Deposits!$L$16,Deposits!$O$16,0)</f>
        <v>0</v>
      </c>
      <c r="BM37" s="254">
        <f>IF(BM$4=Deposits!$L$16,Deposits!$O$16,0)</f>
        <v>0</v>
      </c>
      <c r="BN37" s="254">
        <f>IF(BN$4=Deposits!$L$16,Deposits!$O$16,0)</f>
        <v>0</v>
      </c>
      <c r="BO37" s="254">
        <f>IF(BO$4=Deposits!$L$16,Deposits!$O$16,0)</f>
        <v>0</v>
      </c>
      <c r="BP37" s="254">
        <f>IF(BP$4=Deposits!$L$16,Deposits!$O$16,0)</f>
        <v>0</v>
      </c>
    </row>
    <row r="38" spans="3:68" x14ac:dyDescent="0.25">
      <c r="C38" s="253" t="str">
        <f>Deposits!C17</f>
        <v>Kiegészítő biztosíték 4. részlet</v>
      </c>
      <c r="D38" t="s">
        <v>125</v>
      </c>
      <c r="E38" s="151"/>
      <c r="F38" s="151"/>
      <c r="G38" s="151">
        <f t="shared" si="17"/>
        <v>0</v>
      </c>
      <c r="H38" s="254">
        <f>IF(H$4=Deposits!$L$17,Deposits!$O$17,0)</f>
        <v>0</v>
      </c>
      <c r="I38" s="254">
        <f>IF(I$4=Deposits!$L$17,Deposits!$O$17,0)</f>
        <v>0</v>
      </c>
      <c r="J38" s="254">
        <f>IF(J$4=Deposits!$L$17,Deposits!$O$17,0)</f>
        <v>0</v>
      </c>
      <c r="K38" s="254">
        <f>IF(K$4=Deposits!$L$17,Deposits!$O$17,0)</f>
        <v>0</v>
      </c>
      <c r="L38" s="254">
        <f>IF(L$4=Deposits!$L$17,Deposits!$O$17,0)</f>
        <v>0</v>
      </c>
      <c r="M38" s="254">
        <f>IF(M$4=Deposits!$L$17,Deposits!$O$17,0)</f>
        <v>0</v>
      </c>
      <c r="N38" s="254">
        <f>IF(N$4=Deposits!$L$17,Deposits!$O$17,0)</f>
        <v>0</v>
      </c>
      <c r="O38" s="254">
        <f>IF(O$4=Deposits!$L$17,Deposits!$O$17,0)</f>
        <v>0</v>
      </c>
      <c r="P38" s="254">
        <f>IF(P$4=Deposits!$L$17,Deposits!$O$17,0)</f>
        <v>0</v>
      </c>
      <c r="Q38" s="254">
        <f>IF(Q$4=Deposits!$L$17,Deposits!$O$17,0)</f>
        <v>0</v>
      </c>
      <c r="R38" s="254">
        <f>IF(R$4=Deposits!$L$17,Deposits!$O$17,0)</f>
        <v>0</v>
      </c>
      <c r="S38" s="254">
        <f>IF(S$4=Deposits!$L$17,Deposits!$O$17,0)</f>
        <v>0</v>
      </c>
      <c r="T38" s="254">
        <f>IF(T$4=Deposits!$L$17,Deposits!$O$17,0)</f>
        <v>0</v>
      </c>
      <c r="U38" s="254">
        <f>IF(U$4=Deposits!$L$17,Deposits!$O$17,0)</f>
        <v>0</v>
      </c>
      <c r="V38" s="254">
        <f>IF(V$4=Deposits!$L$17,Deposits!$O$17,0)</f>
        <v>0</v>
      </c>
      <c r="W38" s="254">
        <f>IF(W$4=Deposits!$L$17,Deposits!$O$17,0)</f>
        <v>0</v>
      </c>
      <c r="X38" s="254">
        <f>IF(X$4=Deposits!$L$17,Deposits!$O$17,0)</f>
        <v>0</v>
      </c>
      <c r="Y38" s="254">
        <f>IF(Y$4=Deposits!$L$17,Deposits!$O$17,0)</f>
        <v>0</v>
      </c>
      <c r="Z38" s="254">
        <f>IF(Z$4=Deposits!$L$17,Deposits!$O$17,0)</f>
        <v>0</v>
      </c>
      <c r="AA38" s="254">
        <f>IF(AA$4=Deposits!$L$17,Deposits!$O$17,0)</f>
        <v>0</v>
      </c>
      <c r="AB38" s="254">
        <f>IF(AB$4=Deposits!$L$17,Deposits!$O$17,0)</f>
        <v>0</v>
      </c>
      <c r="AC38" s="254">
        <f>IF(AC$4=Deposits!$L$17,Deposits!$O$17,0)</f>
        <v>0</v>
      </c>
      <c r="AD38" s="254">
        <f>IF(AD$4=Deposits!$L$17,Deposits!$O$17,0)</f>
        <v>0</v>
      </c>
      <c r="AE38" s="254">
        <f>IF(AE$4=Deposits!$L$17,Deposits!$O$17,0)</f>
        <v>0</v>
      </c>
      <c r="AF38" s="254">
        <f>IF(AF$4=Deposits!$L$17,Deposits!$O$17,0)</f>
        <v>0</v>
      </c>
      <c r="AG38" s="254">
        <f>IF(AG$4=Deposits!$L$17,Deposits!$O$17,0)</f>
        <v>0</v>
      </c>
      <c r="AH38" s="254">
        <f>IF(AH$4=Deposits!$L$17,Deposits!$O$17,0)</f>
        <v>0</v>
      </c>
      <c r="AI38" s="254">
        <f>IF(AI$4=Deposits!$L$17,Deposits!$O$17,0)</f>
        <v>0</v>
      </c>
      <c r="AJ38" s="254">
        <f>IF(AJ$4=Deposits!$L$17,Deposits!$O$17,0)</f>
        <v>0</v>
      </c>
      <c r="AK38" s="254">
        <f>IF(AK$4=Deposits!$L$17,Deposits!$O$17,0)</f>
        <v>0</v>
      </c>
      <c r="AL38" s="254">
        <f>IF(AL$4=Deposits!$L$17,Deposits!$O$17,0)</f>
        <v>0</v>
      </c>
      <c r="AM38" s="254">
        <f>IF(AM$4=Deposits!$L$17,Deposits!$O$17,0)</f>
        <v>0</v>
      </c>
      <c r="AN38" s="254">
        <f>IF(AN$4=Deposits!$L$17,Deposits!$O$17,0)</f>
        <v>0</v>
      </c>
      <c r="AO38" s="254">
        <f>IF(AO$4=Deposits!$L$17,Deposits!$O$17,0)</f>
        <v>0</v>
      </c>
      <c r="AP38" s="254">
        <f>IF(AP$4=Deposits!$L$17,Deposits!$O$17,0)</f>
        <v>0</v>
      </c>
      <c r="AQ38" s="254">
        <f>IF(AQ$4=Deposits!$L$17,Deposits!$O$17,0)</f>
        <v>0</v>
      </c>
      <c r="AR38" s="254">
        <f>IF(AR$4=Deposits!$L$17,Deposits!$O$17,0)</f>
        <v>0</v>
      </c>
      <c r="AS38" s="254">
        <f>IF(AS$4=Deposits!$L$17,Deposits!$O$17,0)</f>
        <v>0</v>
      </c>
      <c r="AT38" s="254">
        <f>IF(AT$4=Deposits!$L$17,Deposits!$O$17,0)</f>
        <v>0</v>
      </c>
      <c r="AU38" s="254">
        <f>IF(AU$4=Deposits!$L$17,Deposits!$O$17,0)</f>
        <v>0</v>
      </c>
      <c r="AV38" s="254">
        <f>IF(AV$4=Deposits!$L$17,Deposits!$O$17,0)</f>
        <v>0</v>
      </c>
      <c r="AW38" s="254">
        <f>IF(AW$4=Deposits!$L$17,Deposits!$O$17,0)</f>
        <v>0</v>
      </c>
      <c r="AX38" s="254">
        <f>IF(AX$4=Deposits!$L$17,Deposits!$O$17,0)</f>
        <v>0</v>
      </c>
      <c r="AY38" s="254">
        <f>IF(AY$4=Deposits!$L$17,Deposits!$O$17,0)</f>
        <v>0</v>
      </c>
      <c r="AZ38" s="254">
        <f>IF(AZ$4=Deposits!$L$17,Deposits!$O$17,0)</f>
        <v>0</v>
      </c>
      <c r="BA38" s="254">
        <f>IF(BA$4=Deposits!$L$17,Deposits!$O$17,0)</f>
        <v>0</v>
      </c>
      <c r="BB38" s="254">
        <f>IF(BB$4=Deposits!$L$17,Deposits!$O$17,0)</f>
        <v>0</v>
      </c>
      <c r="BC38" s="254">
        <f>IF(BC$4=Deposits!$L$17,Deposits!$O$17,0)</f>
        <v>0</v>
      </c>
      <c r="BD38" s="254">
        <f>IF(BD$4=Deposits!$L$17,Deposits!$O$17,0)</f>
        <v>0</v>
      </c>
      <c r="BE38" s="254">
        <f>IF(BE$4=Deposits!$L$17,Deposits!$O$17,0)</f>
        <v>0</v>
      </c>
      <c r="BF38" s="254">
        <f>IF(BF$4=Deposits!$L$17,Deposits!$O$17,0)</f>
        <v>0</v>
      </c>
      <c r="BG38" s="254">
        <f>IF(BG$4=Deposits!$L$17,Deposits!$O$17,0)</f>
        <v>0</v>
      </c>
      <c r="BH38" s="254">
        <f>IF(BH$4=Deposits!$L$17,Deposits!$O$17,0)</f>
        <v>0</v>
      </c>
      <c r="BI38" s="254">
        <f>IF(BI$4=Deposits!$L$17,Deposits!$O$17,0)</f>
        <v>0</v>
      </c>
      <c r="BJ38" s="254">
        <f>IF(BJ$4=Deposits!$L$17,Deposits!$O$17,0)</f>
        <v>0</v>
      </c>
      <c r="BK38" s="254">
        <f>IF(BK$4=Deposits!$L$17,Deposits!$O$17,0)</f>
        <v>0</v>
      </c>
      <c r="BL38" s="254">
        <f>IF(BL$4=Deposits!$L$17,Deposits!$O$17,0)</f>
        <v>0</v>
      </c>
      <c r="BM38" s="254">
        <f>IF(BM$4=Deposits!$L$17,Deposits!$O$17,0)</f>
        <v>0</v>
      </c>
      <c r="BN38" s="254">
        <f>IF(BN$4=Deposits!$L$17,Deposits!$O$17,0)</f>
        <v>0</v>
      </c>
      <c r="BO38" s="254">
        <f>IF(BO$4=Deposits!$L$17,Deposits!$O$17,0)</f>
        <v>0</v>
      </c>
      <c r="BP38" s="254">
        <f>IF(BP$4=Deposits!$L$17,Deposits!$O$17,0)</f>
        <v>0</v>
      </c>
    </row>
    <row r="39" spans="3:68" x14ac:dyDescent="0.25">
      <c r="C39" s="253" t="str">
        <f>Deposits!C18</f>
        <v>Csatlakozási díj – becsült összeg</v>
      </c>
      <c r="D39" t="s">
        <v>125</v>
      </c>
      <c r="E39" s="151"/>
      <c r="F39" s="151"/>
      <c r="G39" s="151">
        <f t="shared" si="17"/>
        <v>18786.659178082195</v>
      </c>
      <c r="H39" s="254">
        <f>IF(H$4=Deposits!$L$18,Deposits!$O$18,0)</f>
        <v>0</v>
      </c>
      <c r="I39" s="254">
        <f>IF(I$4=Deposits!$L$18,Deposits!$O$18,0)</f>
        <v>0</v>
      </c>
      <c r="J39" s="254">
        <f>IF(J$4=Deposits!$L$18,Deposits!$O$18,0)</f>
        <v>0</v>
      </c>
      <c r="K39" s="254">
        <f>IF(K$4=Deposits!$L$18,Deposits!$O$18,0)</f>
        <v>0</v>
      </c>
      <c r="L39" s="254">
        <f>IF(L$4=Deposits!$L$18,Deposits!$O$18,0)</f>
        <v>0</v>
      </c>
      <c r="M39" s="254">
        <f>IF(M$4=Deposits!$L$18,Deposits!$O$18,0)</f>
        <v>0</v>
      </c>
      <c r="N39" s="254">
        <f>IF(N$4=Deposits!$L$18,Deposits!$O$18,0)</f>
        <v>0</v>
      </c>
      <c r="O39" s="254">
        <f>IF(O$4=Deposits!$L$18,Deposits!$O$18,0)</f>
        <v>0</v>
      </c>
      <c r="P39" s="254">
        <f>IF(P$4=Deposits!$L$18,Deposits!$O$18,0)</f>
        <v>0</v>
      </c>
      <c r="Q39" s="254">
        <f>IF(Q$4=Deposits!$L$18,Deposits!$O$18,0)</f>
        <v>0</v>
      </c>
      <c r="R39" s="254">
        <f>IF(R$4=Deposits!$L$18,Deposits!$O$18,0)</f>
        <v>0</v>
      </c>
      <c r="S39" s="254">
        <f>IF(S$4=Deposits!$L$18,Deposits!$O$18,0)</f>
        <v>0</v>
      </c>
      <c r="T39" s="254">
        <f>IF(T$4=Deposits!$L$18,Deposits!$O$18,0)</f>
        <v>0</v>
      </c>
      <c r="U39" s="254">
        <f>IF(U$4=Deposits!$L$18,Deposits!$O$18,0)</f>
        <v>0</v>
      </c>
      <c r="V39" s="254">
        <f>IF(V$4=Deposits!$L$18,Deposits!$O$18,0)</f>
        <v>0</v>
      </c>
      <c r="W39" s="254">
        <f>IF(W$4=Deposits!$L$18,Deposits!$O$18,0)</f>
        <v>0</v>
      </c>
      <c r="X39" s="254">
        <f>IF(X$4=Deposits!$L$18,Deposits!$O$18,0)</f>
        <v>0</v>
      </c>
      <c r="Y39" s="254">
        <f>IF(Y$4=Deposits!$L$18,Deposits!$O$18,0)</f>
        <v>0</v>
      </c>
      <c r="Z39" s="254">
        <f>IF(Z$4=Deposits!$L$18,Deposits!$O$18,0)</f>
        <v>0</v>
      </c>
      <c r="AA39" s="254">
        <f>IF(AA$4=Deposits!$L$18,Deposits!$O$18,0)</f>
        <v>0</v>
      </c>
      <c r="AB39" s="254">
        <f>IF(AB$4=Deposits!$L$18,Deposits!$O$18,0)</f>
        <v>0</v>
      </c>
      <c r="AC39" s="254">
        <f>IF(AC$4=Deposits!$L$18,Deposits!$O$18,0)</f>
        <v>0</v>
      </c>
      <c r="AD39" s="254">
        <f>IF(AD$4=Deposits!$L$18,Deposits!$O$18,0)</f>
        <v>0</v>
      </c>
      <c r="AE39" s="254">
        <f>IF(AE$4=Deposits!$L$18,Deposits!$O$18,0)</f>
        <v>0</v>
      </c>
      <c r="AF39" s="254">
        <f>IF(AF$4=Deposits!$L$18,Deposits!$O$18,0)</f>
        <v>0</v>
      </c>
      <c r="AG39" s="254">
        <f>IF(AG$4=Deposits!$L$18,Deposits!$O$18,0)</f>
        <v>0</v>
      </c>
      <c r="AH39" s="254">
        <f>IF(AH$4=Deposits!$L$18,Deposits!$O$18,0)</f>
        <v>0</v>
      </c>
      <c r="AI39" s="254">
        <f>IF(AI$4=Deposits!$L$18,Deposits!$O$18,0)</f>
        <v>0</v>
      </c>
      <c r="AJ39" s="254">
        <f>IF(AJ$4=Deposits!$L$18,Deposits!$O$18,0)</f>
        <v>0</v>
      </c>
      <c r="AK39" s="254">
        <f>IF(AK$4=Deposits!$L$18,Deposits!$O$18,0)</f>
        <v>0</v>
      </c>
      <c r="AL39" s="254">
        <f>IF(AL$4=Deposits!$L$18,Deposits!$O$18,0)</f>
        <v>18786.659178082195</v>
      </c>
      <c r="AM39" s="254">
        <f>IF(AM$4=Deposits!$L$18,Deposits!$O$18,0)</f>
        <v>0</v>
      </c>
      <c r="AN39" s="254">
        <f>IF(AN$4=Deposits!$L$18,Deposits!$O$18,0)</f>
        <v>0</v>
      </c>
      <c r="AO39" s="254">
        <f>IF(AO$4=Deposits!$L$18,Deposits!$O$18,0)</f>
        <v>0</v>
      </c>
      <c r="AP39" s="254">
        <f>IF(AP$4=Deposits!$L$18,Deposits!$O$18,0)</f>
        <v>0</v>
      </c>
      <c r="AQ39" s="254">
        <f>IF(AQ$4=Deposits!$L$18,Deposits!$O$18,0)</f>
        <v>0</v>
      </c>
      <c r="AR39" s="254">
        <f>IF(AR$4=Deposits!$L$18,Deposits!$O$18,0)</f>
        <v>0</v>
      </c>
      <c r="AS39" s="254">
        <f>IF(AS$4=Deposits!$L$18,Deposits!$O$18,0)</f>
        <v>0</v>
      </c>
      <c r="AT39" s="254">
        <f>IF(AT$4=Deposits!$L$18,Deposits!$O$18,0)</f>
        <v>0</v>
      </c>
      <c r="AU39" s="254">
        <f>IF(AU$4=Deposits!$L$18,Deposits!$O$18,0)</f>
        <v>0</v>
      </c>
      <c r="AV39" s="254">
        <f>IF(AV$4=Deposits!$L$18,Deposits!$O$18,0)</f>
        <v>0</v>
      </c>
      <c r="AW39" s="254">
        <f>IF(AW$4=Deposits!$L$18,Deposits!$O$18,0)</f>
        <v>0</v>
      </c>
      <c r="AX39" s="254">
        <f>IF(AX$4=Deposits!$L$18,Deposits!$O$18,0)</f>
        <v>0</v>
      </c>
      <c r="AY39" s="254">
        <f>IF(AY$4=Deposits!$L$18,Deposits!$O$18,0)</f>
        <v>0</v>
      </c>
      <c r="AZ39" s="254">
        <f>IF(AZ$4=Deposits!$L$18,Deposits!$O$18,0)</f>
        <v>0</v>
      </c>
      <c r="BA39" s="254">
        <f>IF(BA$4=Deposits!$L$18,Deposits!$O$18,0)</f>
        <v>0</v>
      </c>
      <c r="BB39" s="254">
        <f>IF(BB$4=Deposits!$L$18,Deposits!$O$18,0)</f>
        <v>0</v>
      </c>
      <c r="BC39" s="254">
        <f>IF(BC$4=Deposits!$L$18,Deposits!$O$18,0)</f>
        <v>0</v>
      </c>
      <c r="BD39" s="254">
        <f>IF(BD$4=Deposits!$L$18,Deposits!$O$18,0)</f>
        <v>0</v>
      </c>
      <c r="BE39" s="254">
        <f>IF(BE$4=Deposits!$L$18,Deposits!$O$18,0)</f>
        <v>0</v>
      </c>
      <c r="BF39" s="254">
        <f>IF(BF$4=Deposits!$L$18,Deposits!$O$18,0)</f>
        <v>0</v>
      </c>
      <c r="BG39" s="254">
        <f>IF(BG$4=Deposits!$L$18,Deposits!$O$18,0)</f>
        <v>0</v>
      </c>
      <c r="BH39" s="254">
        <f>IF(BH$4=Deposits!$L$18,Deposits!$O$18,0)</f>
        <v>0</v>
      </c>
      <c r="BI39" s="254">
        <f>IF(BI$4=Deposits!$L$18,Deposits!$O$18,0)</f>
        <v>0</v>
      </c>
      <c r="BJ39" s="254">
        <f>IF(BJ$4=Deposits!$L$18,Deposits!$O$18,0)</f>
        <v>0</v>
      </c>
      <c r="BK39" s="254">
        <f>IF(BK$4=Deposits!$L$18,Deposits!$O$18,0)</f>
        <v>0</v>
      </c>
      <c r="BL39" s="254">
        <f>IF(BL$4=Deposits!$L$18,Deposits!$O$18,0)</f>
        <v>0</v>
      </c>
      <c r="BM39" s="254">
        <f>IF(BM$4=Deposits!$L$18,Deposits!$O$18,0)</f>
        <v>0</v>
      </c>
      <c r="BN39" s="254">
        <f>IF(BN$4=Deposits!$L$18,Deposits!$O$18,0)</f>
        <v>0</v>
      </c>
      <c r="BO39" s="254">
        <f>IF(BO$4=Deposits!$L$18,Deposits!$O$18,0)</f>
        <v>0</v>
      </c>
      <c r="BP39" s="254">
        <f>IF(BP$4=Deposits!$L$18,Deposits!$O$18,0)</f>
        <v>0</v>
      </c>
    </row>
    <row r="40" spans="3:68" x14ac:dyDescent="0.25">
      <c r="C40" s="198" t="s">
        <v>1047</v>
      </c>
      <c r="D40" s="198" t="s">
        <v>125</v>
      </c>
      <c r="E40" s="244"/>
      <c r="F40" s="244"/>
      <c r="G40" s="244">
        <f t="shared" si="17"/>
        <v>26566.995895890414</v>
      </c>
      <c r="H40" s="244">
        <f t="shared" ref="H40:AM40" si="18">SUM(H28:H39)</f>
        <v>0</v>
      </c>
      <c r="I40" s="244">
        <f t="shared" si="18"/>
        <v>0</v>
      </c>
      <c r="J40" s="244">
        <f t="shared" si="18"/>
        <v>0</v>
      </c>
      <c r="K40" s="244">
        <f t="shared" si="18"/>
        <v>1176.7945205479455</v>
      </c>
      <c r="L40" s="244">
        <f t="shared" si="18"/>
        <v>0</v>
      </c>
      <c r="M40" s="244">
        <f t="shared" si="18"/>
        <v>5907.1780821917819</v>
      </c>
      <c r="N40" s="244">
        <f t="shared" si="18"/>
        <v>0</v>
      </c>
      <c r="O40" s="244">
        <f t="shared" si="18"/>
        <v>0</v>
      </c>
      <c r="P40" s="244">
        <f t="shared" si="18"/>
        <v>0</v>
      </c>
      <c r="Q40" s="244">
        <f t="shared" si="18"/>
        <v>0</v>
      </c>
      <c r="R40" s="244">
        <f t="shared" si="18"/>
        <v>0</v>
      </c>
      <c r="S40" s="244">
        <f t="shared" si="18"/>
        <v>0</v>
      </c>
      <c r="T40" s="244">
        <f t="shared" si="18"/>
        <v>0</v>
      </c>
      <c r="U40" s="244">
        <f t="shared" si="18"/>
        <v>0</v>
      </c>
      <c r="V40" s="244">
        <f t="shared" si="18"/>
        <v>0</v>
      </c>
      <c r="W40" s="244">
        <f t="shared" si="18"/>
        <v>0</v>
      </c>
      <c r="X40" s="244">
        <f t="shared" si="18"/>
        <v>0</v>
      </c>
      <c r="Y40" s="244">
        <f t="shared" si="18"/>
        <v>0</v>
      </c>
      <c r="Z40" s="244">
        <f t="shared" si="18"/>
        <v>0</v>
      </c>
      <c r="AA40" s="244">
        <f t="shared" si="18"/>
        <v>0</v>
      </c>
      <c r="AB40" s="244">
        <f t="shared" si="18"/>
        <v>0</v>
      </c>
      <c r="AC40" s="244">
        <f t="shared" si="18"/>
        <v>0</v>
      </c>
      <c r="AD40" s="244">
        <f t="shared" si="18"/>
        <v>0</v>
      </c>
      <c r="AE40" s="244">
        <f t="shared" si="18"/>
        <v>0</v>
      </c>
      <c r="AF40" s="244">
        <f t="shared" si="18"/>
        <v>0</v>
      </c>
      <c r="AG40" s="244">
        <f t="shared" si="18"/>
        <v>0</v>
      </c>
      <c r="AH40" s="244">
        <f t="shared" si="18"/>
        <v>0</v>
      </c>
      <c r="AI40" s="244">
        <f t="shared" si="18"/>
        <v>0</v>
      </c>
      <c r="AJ40" s="244">
        <f t="shared" si="18"/>
        <v>0</v>
      </c>
      <c r="AK40" s="244">
        <f t="shared" si="18"/>
        <v>0</v>
      </c>
      <c r="AL40" s="244">
        <f t="shared" si="18"/>
        <v>19483.023293150687</v>
      </c>
      <c r="AM40" s="244">
        <f t="shared" si="18"/>
        <v>0</v>
      </c>
      <c r="AN40" s="244">
        <f t="shared" ref="AN40:BP40" si="19">SUM(AN28:AN39)</f>
        <v>0</v>
      </c>
      <c r="AO40" s="244">
        <f t="shared" si="19"/>
        <v>0</v>
      </c>
      <c r="AP40" s="244">
        <f t="shared" si="19"/>
        <v>0</v>
      </c>
      <c r="AQ40" s="244">
        <f t="shared" si="19"/>
        <v>0</v>
      </c>
      <c r="AR40" s="244">
        <f t="shared" si="19"/>
        <v>0</v>
      </c>
      <c r="AS40" s="244">
        <f t="shared" si="19"/>
        <v>0</v>
      </c>
      <c r="AT40" s="244">
        <f t="shared" si="19"/>
        <v>0</v>
      </c>
      <c r="AU40" s="244">
        <f t="shared" si="19"/>
        <v>0</v>
      </c>
      <c r="AV40" s="244">
        <f t="shared" si="19"/>
        <v>0</v>
      </c>
      <c r="AW40" s="244">
        <f t="shared" si="19"/>
        <v>0</v>
      </c>
      <c r="AX40" s="244">
        <f t="shared" si="19"/>
        <v>0</v>
      </c>
      <c r="AY40" s="244">
        <f t="shared" si="19"/>
        <v>0</v>
      </c>
      <c r="AZ40" s="244">
        <f t="shared" si="19"/>
        <v>0</v>
      </c>
      <c r="BA40" s="244">
        <f t="shared" si="19"/>
        <v>0</v>
      </c>
      <c r="BB40" s="244">
        <f t="shared" si="19"/>
        <v>0</v>
      </c>
      <c r="BC40" s="244">
        <f t="shared" si="19"/>
        <v>0</v>
      </c>
      <c r="BD40" s="244">
        <f t="shared" si="19"/>
        <v>0</v>
      </c>
      <c r="BE40" s="244">
        <f t="shared" si="19"/>
        <v>0</v>
      </c>
      <c r="BF40" s="244">
        <f t="shared" si="19"/>
        <v>0</v>
      </c>
      <c r="BG40" s="244">
        <f t="shared" si="19"/>
        <v>0</v>
      </c>
      <c r="BH40" s="244">
        <f t="shared" si="19"/>
        <v>0</v>
      </c>
      <c r="BI40" s="244">
        <f t="shared" si="19"/>
        <v>0</v>
      </c>
      <c r="BJ40" s="244">
        <f t="shared" si="19"/>
        <v>0</v>
      </c>
      <c r="BK40" s="244">
        <f t="shared" si="19"/>
        <v>0</v>
      </c>
      <c r="BL40" s="244">
        <f t="shared" si="19"/>
        <v>0</v>
      </c>
      <c r="BM40" s="244">
        <f t="shared" si="19"/>
        <v>0</v>
      </c>
      <c r="BN40" s="244">
        <f t="shared" si="19"/>
        <v>0</v>
      </c>
      <c r="BO40" s="244">
        <f t="shared" si="19"/>
        <v>0</v>
      </c>
      <c r="BP40" s="244">
        <f t="shared" si="19"/>
        <v>0</v>
      </c>
    </row>
    <row r="41" spans="3:68" x14ac:dyDescent="0.25">
      <c r="C41" t="s">
        <v>345</v>
      </c>
      <c r="D41" t="s">
        <v>125</v>
      </c>
      <c r="E41" s="151"/>
      <c r="F41" s="151"/>
      <c r="G41" s="151"/>
      <c r="H41" s="151">
        <f>H40</f>
        <v>0</v>
      </c>
      <c r="I41" s="151">
        <f t="shared" ref="I41:AN41" si="20">H41+I40</f>
        <v>0</v>
      </c>
      <c r="J41" s="151">
        <f t="shared" si="20"/>
        <v>0</v>
      </c>
      <c r="K41" s="151">
        <f t="shared" si="20"/>
        <v>1176.7945205479455</v>
      </c>
      <c r="L41" s="151">
        <f t="shared" si="20"/>
        <v>1176.7945205479455</v>
      </c>
      <c r="M41" s="151">
        <f t="shared" si="20"/>
        <v>7083.9726027397273</v>
      </c>
      <c r="N41" s="151">
        <f t="shared" si="20"/>
        <v>7083.9726027397273</v>
      </c>
      <c r="O41" s="151">
        <f t="shared" si="20"/>
        <v>7083.9726027397273</v>
      </c>
      <c r="P41" s="151">
        <f t="shared" si="20"/>
        <v>7083.9726027397273</v>
      </c>
      <c r="Q41" s="151">
        <f t="shared" si="20"/>
        <v>7083.9726027397273</v>
      </c>
      <c r="R41" s="151">
        <f t="shared" si="20"/>
        <v>7083.9726027397273</v>
      </c>
      <c r="S41" s="151">
        <f t="shared" si="20"/>
        <v>7083.9726027397273</v>
      </c>
      <c r="T41" s="151">
        <f t="shared" si="20"/>
        <v>7083.9726027397273</v>
      </c>
      <c r="U41" s="151">
        <f t="shared" si="20"/>
        <v>7083.9726027397273</v>
      </c>
      <c r="V41" s="151">
        <f t="shared" si="20"/>
        <v>7083.9726027397273</v>
      </c>
      <c r="W41" s="151">
        <f t="shared" si="20"/>
        <v>7083.9726027397273</v>
      </c>
      <c r="X41" s="151">
        <f t="shared" si="20"/>
        <v>7083.9726027397273</v>
      </c>
      <c r="Y41" s="151">
        <f t="shared" si="20"/>
        <v>7083.9726027397273</v>
      </c>
      <c r="Z41" s="151">
        <f t="shared" si="20"/>
        <v>7083.9726027397273</v>
      </c>
      <c r="AA41" s="151">
        <f t="shared" si="20"/>
        <v>7083.9726027397273</v>
      </c>
      <c r="AB41" s="151">
        <f t="shared" si="20"/>
        <v>7083.9726027397273</v>
      </c>
      <c r="AC41" s="151">
        <f t="shared" si="20"/>
        <v>7083.9726027397273</v>
      </c>
      <c r="AD41" s="151">
        <f t="shared" si="20"/>
        <v>7083.9726027397273</v>
      </c>
      <c r="AE41" s="151">
        <f t="shared" si="20"/>
        <v>7083.9726027397273</v>
      </c>
      <c r="AF41" s="151">
        <f t="shared" si="20"/>
        <v>7083.9726027397273</v>
      </c>
      <c r="AG41" s="151">
        <f t="shared" si="20"/>
        <v>7083.9726027397273</v>
      </c>
      <c r="AH41" s="151">
        <f t="shared" si="20"/>
        <v>7083.9726027397273</v>
      </c>
      <c r="AI41" s="151">
        <f t="shared" si="20"/>
        <v>7083.9726027397273</v>
      </c>
      <c r="AJ41" s="151">
        <f t="shared" si="20"/>
        <v>7083.9726027397273</v>
      </c>
      <c r="AK41" s="151">
        <f t="shared" si="20"/>
        <v>7083.9726027397273</v>
      </c>
      <c r="AL41" s="151">
        <f t="shared" si="20"/>
        <v>26566.995895890414</v>
      </c>
      <c r="AM41" s="151">
        <f t="shared" si="20"/>
        <v>26566.995895890414</v>
      </c>
      <c r="AN41" s="151">
        <f t="shared" si="20"/>
        <v>26566.995895890414</v>
      </c>
      <c r="AO41" s="151">
        <f t="shared" ref="AO41:BP41" si="21">AN41+AO40</f>
        <v>26566.995895890414</v>
      </c>
      <c r="AP41" s="151">
        <f t="shared" si="21"/>
        <v>26566.995895890414</v>
      </c>
      <c r="AQ41" s="151">
        <f t="shared" si="21"/>
        <v>26566.995895890414</v>
      </c>
      <c r="AR41" s="151">
        <f t="shared" si="21"/>
        <v>26566.995895890414</v>
      </c>
      <c r="AS41" s="151">
        <f t="shared" si="21"/>
        <v>26566.995895890414</v>
      </c>
      <c r="AT41" s="151">
        <f t="shared" si="21"/>
        <v>26566.995895890414</v>
      </c>
      <c r="AU41" s="151">
        <f t="shared" si="21"/>
        <v>26566.995895890414</v>
      </c>
      <c r="AV41" s="151">
        <f t="shared" si="21"/>
        <v>26566.995895890414</v>
      </c>
      <c r="AW41" s="151">
        <f t="shared" si="21"/>
        <v>26566.995895890414</v>
      </c>
      <c r="AX41" s="151">
        <f t="shared" si="21"/>
        <v>26566.995895890414</v>
      </c>
      <c r="AY41" s="151">
        <f t="shared" si="21"/>
        <v>26566.995895890414</v>
      </c>
      <c r="AZ41" s="151">
        <f t="shared" si="21"/>
        <v>26566.995895890414</v>
      </c>
      <c r="BA41" s="151">
        <f t="shared" si="21"/>
        <v>26566.995895890414</v>
      </c>
      <c r="BB41" s="151">
        <f t="shared" si="21"/>
        <v>26566.995895890414</v>
      </c>
      <c r="BC41" s="151">
        <f t="shared" si="21"/>
        <v>26566.995895890414</v>
      </c>
      <c r="BD41" s="151">
        <f t="shared" si="21"/>
        <v>26566.995895890414</v>
      </c>
      <c r="BE41" s="151">
        <f t="shared" si="21"/>
        <v>26566.995895890414</v>
      </c>
      <c r="BF41" s="151">
        <f t="shared" si="21"/>
        <v>26566.995895890414</v>
      </c>
      <c r="BG41" s="151">
        <f t="shared" si="21"/>
        <v>26566.995895890414</v>
      </c>
      <c r="BH41" s="151">
        <f t="shared" si="21"/>
        <v>26566.995895890414</v>
      </c>
      <c r="BI41" s="151">
        <f t="shared" si="21"/>
        <v>26566.995895890414</v>
      </c>
      <c r="BJ41" s="151">
        <f t="shared" si="21"/>
        <v>26566.995895890414</v>
      </c>
      <c r="BK41" s="151">
        <f t="shared" si="21"/>
        <v>26566.995895890414</v>
      </c>
      <c r="BL41" s="151">
        <f t="shared" si="21"/>
        <v>26566.995895890414</v>
      </c>
      <c r="BM41" s="151">
        <f t="shared" si="21"/>
        <v>26566.995895890414</v>
      </c>
      <c r="BN41" s="151">
        <f t="shared" si="21"/>
        <v>26566.995895890414</v>
      </c>
      <c r="BO41" s="151">
        <f t="shared" si="21"/>
        <v>26566.995895890414</v>
      </c>
      <c r="BP41" s="151">
        <f t="shared" si="21"/>
        <v>26566.995895890414</v>
      </c>
    </row>
    <row r="42" spans="3:68" x14ac:dyDescent="0.25">
      <c r="E42" s="151"/>
      <c r="F42" s="151"/>
      <c r="G42" s="151"/>
      <c r="H42" s="151"/>
      <c r="I42" s="151"/>
      <c r="J42" s="151"/>
      <c r="K42" s="151"/>
      <c r="L42" s="151"/>
      <c r="M42" s="151"/>
      <c r="N42" s="151"/>
      <c r="O42" s="151"/>
      <c r="P42" s="151"/>
      <c r="Q42" s="151"/>
      <c r="R42" s="151"/>
      <c r="S42" s="151"/>
      <c r="T42" s="151"/>
      <c r="U42" s="151"/>
      <c r="V42" s="151"/>
      <c r="W42" s="151"/>
      <c r="X42" s="151"/>
      <c r="Y42" s="151"/>
      <c r="Z42" s="151"/>
      <c r="AA42" s="151"/>
      <c r="AB42" s="151"/>
      <c r="AC42" s="151"/>
      <c r="AD42" s="151"/>
      <c r="AE42" s="151"/>
      <c r="AF42" s="151"/>
      <c r="AG42" s="151"/>
      <c r="AH42" s="151"/>
      <c r="AI42" s="151"/>
      <c r="AJ42" s="151"/>
      <c r="AK42" s="151"/>
      <c r="AL42" s="151"/>
      <c r="AM42" s="151"/>
      <c r="AN42" s="151"/>
      <c r="AO42" s="151"/>
      <c r="AP42" s="151"/>
      <c r="AQ42" s="151"/>
      <c r="AR42" s="151"/>
      <c r="AS42" s="151"/>
      <c r="AT42" s="151"/>
      <c r="AU42" s="151"/>
      <c r="AV42" s="151"/>
      <c r="AW42" s="151"/>
      <c r="AX42" s="151"/>
      <c r="AY42" s="151"/>
      <c r="AZ42" s="151"/>
      <c r="BA42" s="151"/>
      <c r="BB42" s="151"/>
      <c r="BC42" s="151"/>
      <c r="BD42" s="151"/>
      <c r="BE42" s="151"/>
      <c r="BF42" s="151"/>
      <c r="BG42" s="151"/>
      <c r="BH42" s="151"/>
      <c r="BI42" s="151"/>
      <c r="BJ42" s="151"/>
      <c r="BK42" s="151"/>
      <c r="BL42" s="151"/>
      <c r="BM42" s="151"/>
      <c r="BN42" s="151"/>
      <c r="BO42" s="151"/>
      <c r="BP42" s="151"/>
    </row>
    <row r="43" spans="3:68" x14ac:dyDescent="0.25">
      <c r="C43" s="129" t="s">
        <v>1048</v>
      </c>
      <c r="D43" s="129"/>
      <c r="E43" s="252"/>
      <c r="F43" s="252"/>
      <c r="G43" s="252"/>
      <c r="H43" s="252"/>
      <c r="I43" s="252"/>
      <c r="J43" s="252"/>
      <c r="K43" s="252"/>
      <c r="L43" s="252"/>
      <c r="M43" s="252"/>
      <c r="N43" s="252"/>
      <c r="O43" s="252"/>
      <c r="P43" s="252"/>
      <c r="Q43" s="252"/>
      <c r="R43" s="252"/>
      <c r="S43" s="252"/>
      <c r="T43" s="252"/>
      <c r="U43" s="252"/>
      <c r="V43" s="252"/>
      <c r="W43" s="252"/>
      <c r="X43" s="252"/>
      <c r="Y43" s="252"/>
      <c r="Z43" s="252"/>
      <c r="AA43" s="252"/>
      <c r="AB43" s="252"/>
      <c r="AC43" s="252"/>
      <c r="AD43" s="252"/>
      <c r="AE43" s="252"/>
      <c r="AF43" s="252"/>
      <c r="AG43" s="252"/>
      <c r="AH43" s="252"/>
      <c r="AI43" s="252"/>
      <c r="AJ43" s="252"/>
      <c r="AK43" s="252"/>
      <c r="AL43" s="252"/>
      <c r="AM43" s="252"/>
      <c r="AN43" s="252"/>
      <c r="AO43" s="252"/>
      <c r="AP43" s="252"/>
      <c r="AQ43" s="252"/>
      <c r="AR43" s="252"/>
      <c r="AS43" s="252"/>
      <c r="AT43" s="252"/>
      <c r="AU43" s="252"/>
      <c r="AV43" s="252"/>
      <c r="AW43" s="252"/>
      <c r="AX43" s="252"/>
      <c r="AY43" s="252"/>
      <c r="AZ43" s="252"/>
      <c r="BA43" s="252"/>
      <c r="BB43" s="252"/>
      <c r="BC43" s="252"/>
      <c r="BD43" s="252"/>
      <c r="BE43" s="252"/>
      <c r="BF43" s="252"/>
      <c r="BG43" s="252"/>
      <c r="BH43" s="252"/>
      <c r="BI43" s="252"/>
      <c r="BJ43" s="252"/>
      <c r="BK43" s="252"/>
      <c r="BL43" s="252"/>
      <c r="BM43" s="252"/>
      <c r="BN43" s="252"/>
      <c r="BO43" s="252"/>
      <c r="BP43" s="252"/>
    </row>
    <row r="44" spans="3:68" x14ac:dyDescent="0.25">
      <c r="C44" s="228" t="str">
        <f t="shared" ref="C44:C55" si="22">C28</f>
        <v>Részvételi díj</v>
      </c>
      <c r="D44" t="s">
        <v>125</v>
      </c>
      <c r="E44" s="151"/>
      <c r="F44" s="151"/>
      <c r="G44" s="151">
        <f t="shared" ref="G44:G56" si="23">SUM(H44:BP44)</f>
        <v>8.2191780821917817</v>
      </c>
      <c r="H44" s="151">
        <f>H28*Deposits!$P$7</f>
        <v>0</v>
      </c>
      <c r="I44" s="151">
        <f>I28*Deposits!$P$7</f>
        <v>0</v>
      </c>
      <c r="J44" s="151">
        <f>J28*Deposits!$P$7</f>
        <v>0</v>
      </c>
      <c r="K44" s="151">
        <f>K28*Deposits!$P$7</f>
        <v>8.2191780821917817</v>
      </c>
      <c r="L44" s="151">
        <f>L28*Deposits!$P$7</f>
        <v>0</v>
      </c>
      <c r="M44" s="151">
        <f>M28*Deposits!$P$7</f>
        <v>0</v>
      </c>
      <c r="N44" s="151">
        <f>N28*Deposits!$P$7</f>
        <v>0</v>
      </c>
      <c r="O44" s="151">
        <f>O28*Deposits!$P$7</f>
        <v>0</v>
      </c>
      <c r="P44" s="151">
        <f>P28*Deposits!$P$7</f>
        <v>0</v>
      </c>
      <c r="Q44" s="151">
        <f>Q28*Deposits!$P$7</f>
        <v>0</v>
      </c>
      <c r="R44" s="151">
        <f>R28*Deposits!$P$7</f>
        <v>0</v>
      </c>
      <c r="S44" s="151">
        <f>S28*Deposits!$P$7</f>
        <v>0</v>
      </c>
      <c r="T44" s="151">
        <f>T28*Deposits!$P$7</f>
        <v>0</v>
      </c>
      <c r="U44" s="151">
        <f>U28*Deposits!$P$7</f>
        <v>0</v>
      </c>
      <c r="V44" s="151">
        <f>V28*Deposits!$P$7</f>
        <v>0</v>
      </c>
      <c r="W44" s="151">
        <f>W28*Deposits!$P$7</f>
        <v>0</v>
      </c>
      <c r="X44" s="151">
        <f>X28*Deposits!$P$7</f>
        <v>0</v>
      </c>
      <c r="Y44" s="151">
        <f>Y28*Deposits!$P$7</f>
        <v>0</v>
      </c>
      <c r="Z44" s="151">
        <f>Z28*Deposits!$P$7</f>
        <v>0</v>
      </c>
      <c r="AA44" s="151">
        <f>AA28*Deposits!$P$7</f>
        <v>0</v>
      </c>
      <c r="AB44" s="151">
        <f>AB28*Deposits!$P$7</f>
        <v>0</v>
      </c>
      <c r="AC44" s="151">
        <f>AC28*Deposits!$P$7</f>
        <v>0</v>
      </c>
      <c r="AD44" s="151">
        <f>AD28*Deposits!$P$7</f>
        <v>0</v>
      </c>
      <c r="AE44" s="151">
        <f>AE28*Deposits!$P$7</f>
        <v>0</v>
      </c>
      <c r="AF44" s="151">
        <f>AF28*Deposits!$P$7</f>
        <v>0</v>
      </c>
      <c r="AG44" s="151">
        <f>AG28*Deposits!$P$7</f>
        <v>0</v>
      </c>
      <c r="AH44" s="151">
        <f>AH28*Deposits!$P$7</f>
        <v>0</v>
      </c>
      <c r="AI44" s="151">
        <f>AI28*Deposits!$P$7</f>
        <v>0</v>
      </c>
      <c r="AJ44" s="151">
        <f>AJ28*Deposits!$P$7</f>
        <v>0</v>
      </c>
      <c r="AK44" s="151">
        <f>AK28*Deposits!$P$7</f>
        <v>0</v>
      </c>
      <c r="AL44" s="151">
        <f>AL28*Deposits!$P$7</f>
        <v>0</v>
      </c>
      <c r="AM44" s="151">
        <f>AM28*Deposits!$P$7</f>
        <v>0</v>
      </c>
      <c r="AN44" s="151">
        <f>AN28*Deposits!$P$7</f>
        <v>0</v>
      </c>
      <c r="AO44" s="151">
        <f>AO28*Deposits!$P$7</f>
        <v>0</v>
      </c>
      <c r="AP44" s="151">
        <f>AP28*Deposits!$P$7</f>
        <v>0</v>
      </c>
      <c r="AQ44" s="151">
        <f>AQ28*Deposits!$P$7</f>
        <v>0</v>
      </c>
      <c r="AR44" s="151">
        <f>AR28*Deposits!$P$7</f>
        <v>0</v>
      </c>
      <c r="AS44" s="151">
        <f>AS28*Deposits!$P$7</f>
        <v>0</v>
      </c>
      <c r="AT44" s="151">
        <f>AT28*Deposits!$P$7</f>
        <v>0</v>
      </c>
      <c r="AU44" s="151">
        <f>AU28*Deposits!$P$7</f>
        <v>0</v>
      </c>
      <c r="AV44" s="151">
        <f>AV28*Deposits!$P$7</f>
        <v>0</v>
      </c>
      <c r="AW44" s="151">
        <f>AW28*Deposits!$P$7</f>
        <v>0</v>
      </c>
      <c r="AX44" s="151">
        <f>AX28*Deposits!$P$7</f>
        <v>0</v>
      </c>
      <c r="AY44" s="151">
        <f>AY28*Deposits!$P$7</f>
        <v>0</v>
      </c>
      <c r="AZ44" s="151">
        <f>AZ28*Deposits!$P$7</f>
        <v>0</v>
      </c>
      <c r="BA44" s="151">
        <f>BA28*Deposits!$P$7</f>
        <v>0</v>
      </c>
      <c r="BB44" s="151">
        <f>BB28*Deposits!$P$7</f>
        <v>0</v>
      </c>
      <c r="BC44" s="151">
        <f>BC28*Deposits!$P$7</f>
        <v>0</v>
      </c>
      <c r="BD44" s="151">
        <f>BD28*Deposits!$P$7</f>
        <v>0</v>
      </c>
      <c r="BE44" s="151">
        <f>BE28*Deposits!$P$7</f>
        <v>0</v>
      </c>
      <c r="BF44" s="151">
        <f>BF28*Deposits!$P$7</f>
        <v>0</v>
      </c>
      <c r="BG44" s="151">
        <f>BG28*Deposits!$P$7</f>
        <v>0</v>
      </c>
      <c r="BH44" s="151">
        <f>BH28*Deposits!$P$7</f>
        <v>0</v>
      </c>
      <c r="BI44" s="151">
        <f>BI28*Deposits!$P$7</f>
        <v>0</v>
      </c>
      <c r="BJ44" s="151">
        <f>BJ28*Deposits!$P$7</f>
        <v>0</v>
      </c>
      <c r="BK44" s="151">
        <f>BK28*Deposits!$P$7</f>
        <v>0</v>
      </c>
      <c r="BL44" s="151">
        <f>BL28*Deposits!$P$7</f>
        <v>0</v>
      </c>
      <c r="BM44" s="151">
        <f>BM28*Deposits!$P$7</f>
        <v>0</v>
      </c>
      <c r="BN44" s="151">
        <f>BN28*Deposits!$P$7</f>
        <v>0</v>
      </c>
      <c r="BO44" s="151">
        <f>BO28*Deposits!$P$7</f>
        <v>0</v>
      </c>
      <c r="BP44" s="151">
        <f>BP28*Deposits!$P$7</f>
        <v>0</v>
      </c>
    </row>
    <row r="45" spans="3:68" x14ac:dyDescent="0.25">
      <c r="C45" s="228" t="str">
        <f t="shared" si="22"/>
        <v>Ajánlati biztosíték</v>
      </c>
      <c r="D45" t="s">
        <v>125</v>
      </c>
      <c r="E45" s="151"/>
      <c r="F45" s="151"/>
      <c r="G45" s="151">
        <f t="shared" si="23"/>
        <v>0</v>
      </c>
      <c r="H45" s="151">
        <f>H29*Deposits!$P$8</f>
        <v>0</v>
      </c>
      <c r="I45" s="151">
        <f>I29*Deposits!$P$8</f>
        <v>0</v>
      </c>
      <c r="J45" s="151">
        <f>J29*Deposits!$P$8</f>
        <v>0</v>
      </c>
      <c r="K45" s="151">
        <f>K29*Deposits!$P$8</f>
        <v>0</v>
      </c>
      <c r="L45" s="151">
        <f>L29*Deposits!$P$8</f>
        <v>0</v>
      </c>
      <c r="M45" s="151">
        <f>M29*Deposits!$P$8</f>
        <v>0</v>
      </c>
      <c r="N45" s="151">
        <f>N29*Deposits!$P$8</f>
        <v>0</v>
      </c>
      <c r="O45" s="151">
        <f>O29*Deposits!$P$8</f>
        <v>0</v>
      </c>
      <c r="P45" s="151">
        <f>P29*Deposits!$P$8</f>
        <v>0</v>
      </c>
      <c r="Q45" s="151">
        <f>Q29*Deposits!$P$8</f>
        <v>0</v>
      </c>
      <c r="R45" s="151">
        <f>R29*Deposits!$P$8</f>
        <v>0</v>
      </c>
      <c r="S45" s="151">
        <f>S29*Deposits!$P$8</f>
        <v>0</v>
      </c>
      <c r="T45" s="151">
        <f>T29*Deposits!$P$8</f>
        <v>0</v>
      </c>
      <c r="U45" s="151">
        <f>U29*Deposits!$P$8</f>
        <v>0</v>
      </c>
      <c r="V45" s="151">
        <f>V29*Deposits!$P$8</f>
        <v>0</v>
      </c>
      <c r="W45" s="151">
        <f>W29*Deposits!$P$8</f>
        <v>0</v>
      </c>
      <c r="X45" s="151">
        <f>X29*Deposits!$P$8</f>
        <v>0</v>
      </c>
      <c r="Y45" s="151">
        <f>Y29*Deposits!$P$8</f>
        <v>0</v>
      </c>
      <c r="Z45" s="151">
        <f>Z29*Deposits!$P$8</f>
        <v>0</v>
      </c>
      <c r="AA45" s="151">
        <f>AA29*Deposits!$P$8</f>
        <v>0</v>
      </c>
      <c r="AB45" s="151">
        <f>AB29*Deposits!$P$8</f>
        <v>0</v>
      </c>
      <c r="AC45" s="151">
        <f>AC29*Deposits!$P$8</f>
        <v>0</v>
      </c>
      <c r="AD45" s="151">
        <f>AD29*Deposits!$P$8</f>
        <v>0</v>
      </c>
      <c r="AE45" s="151">
        <f>AE29*Deposits!$P$8</f>
        <v>0</v>
      </c>
      <c r="AF45" s="151">
        <f>AF29*Deposits!$P$8</f>
        <v>0</v>
      </c>
      <c r="AG45" s="151">
        <f>AG29*Deposits!$P$8</f>
        <v>0</v>
      </c>
      <c r="AH45" s="151">
        <f>AH29*Deposits!$P$8</f>
        <v>0</v>
      </c>
      <c r="AI45" s="151">
        <f>AI29*Deposits!$P$8</f>
        <v>0</v>
      </c>
      <c r="AJ45" s="151">
        <f>AJ29*Deposits!$P$8</f>
        <v>0</v>
      </c>
      <c r="AK45" s="151">
        <f>AK29*Deposits!$P$8</f>
        <v>0</v>
      </c>
      <c r="AL45" s="151">
        <f>AL29*Deposits!$P$8</f>
        <v>0</v>
      </c>
      <c r="AM45" s="151">
        <f>AM29*Deposits!$P$8</f>
        <v>0</v>
      </c>
      <c r="AN45" s="151">
        <f>AN29*Deposits!$P$8</f>
        <v>0</v>
      </c>
      <c r="AO45" s="151">
        <f>AO29*Deposits!$P$8</f>
        <v>0</v>
      </c>
      <c r="AP45" s="151">
        <f>AP29*Deposits!$P$8</f>
        <v>0</v>
      </c>
      <c r="AQ45" s="151">
        <f>AQ29*Deposits!$P$8</f>
        <v>0</v>
      </c>
      <c r="AR45" s="151">
        <f>AR29*Deposits!$P$8</f>
        <v>0</v>
      </c>
      <c r="AS45" s="151">
        <f>AS29*Deposits!$P$8</f>
        <v>0</v>
      </c>
      <c r="AT45" s="151">
        <f>AT29*Deposits!$P$8</f>
        <v>0</v>
      </c>
      <c r="AU45" s="151">
        <f>AU29*Deposits!$P$8</f>
        <v>0</v>
      </c>
      <c r="AV45" s="151">
        <f>AV29*Deposits!$P$8</f>
        <v>0</v>
      </c>
      <c r="AW45" s="151">
        <f>AW29*Deposits!$P$8</f>
        <v>0</v>
      </c>
      <c r="AX45" s="151">
        <f>AX29*Deposits!$P$8</f>
        <v>0</v>
      </c>
      <c r="AY45" s="151">
        <f>AY29*Deposits!$P$8</f>
        <v>0</v>
      </c>
      <c r="AZ45" s="151">
        <f>AZ29*Deposits!$P$8</f>
        <v>0</v>
      </c>
      <c r="BA45" s="151">
        <f>BA29*Deposits!$P$8</f>
        <v>0</v>
      </c>
      <c r="BB45" s="151">
        <f>BB29*Deposits!$P$8</f>
        <v>0</v>
      </c>
      <c r="BC45" s="151">
        <f>BC29*Deposits!$P$8</f>
        <v>0</v>
      </c>
      <c r="BD45" s="151">
        <f>BD29*Deposits!$P$8</f>
        <v>0</v>
      </c>
      <c r="BE45" s="151">
        <f>BE29*Deposits!$P$8</f>
        <v>0</v>
      </c>
      <c r="BF45" s="151">
        <f>BF29*Deposits!$P$8</f>
        <v>0</v>
      </c>
      <c r="BG45" s="151">
        <f>BG29*Deposits!$P$8</f>
        <v>0</v>
      </c>
      <c r="BH45" s="151">
        <f>BH29*Deposits!$P$8</f>
        <v>0</v>
      </c>
      <c r="BI45" s="151">
        <f>BI29*Deposits!$P$8</f>
        <v>0</v>
      </c>
      <c r="BJ45" s="151">
        <f>BJ29*Deposits!$P$8</f>
        <v>0</v>
      </c>
      <c r="BK45" s="151">
        <f>BK29*Deposits!$P$8</f>
        <v>0</v>
      </c>
      <c r="BL45" s="151">
        <f>BL29*Deposits!$P$8</f>
        <v>0</v>
      </c>
      <c r="BM45" s="151">
        <f>BM29*Deposits!$P$8</f>
        <v>0</v>
      </c>
      <c r="BN45" s="151">
        <f>BN29*Deposits!$P$8</f>
        <v>0</v>
      </c>
      <c r="BO45" s="151">
        <f>BO29*Deposits!$P$8</f>
        <v>0</v>
      </c>
      <c r="BP45" s="151">
        <f>BP29*Deposits!$P$8</f>
        <v>0</v>
      </c>
    </row>
    <row r="46" spans="3:68" x14ac:dyDescent="0.25">
      <c r="C46" s="228" t="str">
        <f t="shared" si="22"/>
        <v>Ajánlati biztosíték visszatérítés – sikertelen kapacitás</v>
      </c>
      <c r="D46" t="s">
        <v>125</v>
      </c>
      <c r="E46" s="151"/>
      <c r="F46" s="151"/>
      <c r="G46" s="151">
        <f t="shared" si="23"/>
        <v>0</v>
      </c>
      <c r="H46" s="151">
        <f>H30*Deposits!$P$9</f>
        <v>0</v>
      </c>
      <c r="I46" s="151">
        <f>I30*Deposits!$P$9</f>
        <v>0</v>
      </c>
      <c r="J46" s="151">
        <f>J30*Deposits!$P$9</f>
        <v>0</v>
      </c>
      <c r="K46" s="151">
        <f>K30*Deposits!$P$9</f>
        <v>0</v>
      </c>
      <c r="L46" s="151">
        <f>L30*Deposits!$P$9</f>
        <v>0</v>
      </c>
      <c r="M46" s="151">
        <f>M30*Deposits!$P$9</f>
        <v>0</v>
      </c>
      <c r="N46" s="151">
        <f>N30*Deposits!$P$9</f>
        <v>0</v>
      </c>
      <c r="O46" s="151">
        <f>O30*Deposits!$P$9</f>
        <v>0</v>
      </c>
      <c r="P46" s="151">
        <f>P30*Deposits!$P$9</f>
        <v>0</v>
      </c>
      <c r="Q46" s="151">
        <f>Q30*Deposits!$P$9</f>
        <v>0</v>
      </c>
      <c r="R46" s="151">
        <f>R30*Deposits!$P$9</f>
        <v>0</v>
      </c>
      <c r="S46" s="151">
        <f>S30*Deposits!$P$9</f>
        <v>0</v>
      </c>
      <c r="T46" s="151">
        <f>T30*Deposits!$P$9</f>
        <v>0</v>
      </c>
      <c r="U46" s="151">
        <f>U30*Deposits!$P$9</f>
        <v>0</v>
      </c>
      <c r="V46" s="151">
        <f>V30*Deposits!$P$9</f>
        <v>0</v>
      </c>
      <c r="W46" s="151">
        <f>W30*Deposits!$P$9</f>
        <v>0</v>
      </c>
      <c r="X46" s="151">
        <f>X30*Deposits!$P$9</f>
        <v>0</v>
      </c>
      <c r="Y46" s="151">
        <f>Y30*Deposits!$P$9</f>
        <v>0</v>
      </c>
      <c r="Z46" s="151">
        <f>Z30*Deposits!$P$9</f>
        <v>0</v>
      </c>
      <c r="AA46" s="151">
        <f>AA30*Deposits!$P$9</f>
        <v>0</v>
      </c>
      <c r="AB46" s="151">
        <f>AB30*Deposits!$P$9</f>
        <v>0</v>
      </c>
      <c r="AC46" s="151">
        <f>AC30*Deposits!$P$9</f>
        <v>0</v>
      </c>
      <c r="AD46" s="151">
        <f>AD30*Deposits!$P$9</f>
        <v>0</v>
      </c>
      <c r="AE46" s="151">
        <f>AE30*Deposits!$P$9</f>
        <v>0</v>
      </c>
      <c r="AF46" s="151">
        <f>AF30*Deposits!$P$9</f>
        <v>0</v>
      </c>
      <c r="AG46" s="151">
        <f>AG30*Deposits!$P$9</f>
        <v>0</v>
      </c>
      <c r="AH46" s="151">
        <f>AH30*Deposits!$P$9</f>
        <v>0</v>
      </c>
      <c r="AI46" s="151">
        <f>AI30*Deposits!$P$9</f>
        <v>0</v>
      </c>
      <c r="AJ46" s="151">
        <f>AJ30*Deposits!$P$9</f>
        <v>0</v>
      </c>
      <c r="AK46" s="151">
        <f>AK30*Deposits!$P$9</f>
        <v>0</v>
      </c>
      <c r="AL46" s="151">
        <f>AL30*Deposits!$P$9</f>
        <v>0</v>
      </c>
      <c r="AM46" s="151">
        <f>AM30*Deposits!$P$9</f>
        <v>0</v>
      </c>
      <c r="AN46" s="151">
        <f>AN30*Deposits!$P$9</f>
        <v>0</v>
      </c>
      <c r="AO46" s="151">
        <f>AO30*Deposits!$P$9</f>
        <v>0</v>
      </c>
      <c r="AP46" s="151">
        <f>AP30*Deposits!$P$9</f>
        <v>0</v>
      </c>
      <c r="AQ46" s="151">
        <f>AQ30*Deposits!$P$9</f>
        <v>0</v>
      </c>
      <c r="AR46" s="151">
        <f>AR30*Deposits!$P$9</f>
        <v>0</v>
      </c>
      <c r="AS46" s="151">
        <f>AS30*Deposits!$P$9</f>
        <v>0</v>
      </c>
      <c r="AT46" s="151">
        <f>AT30*Deposits!$P$9</f>
        <v>0</v>
      </c>
      <c r="AU46" s="151">
        <f>AU30*Deposits!$P$9</f>
        <v>0</v>
      </c>
      <c r="AV46" s="151">
        <f>AV30*Deposits!$P$9</f>
        <v>0</v>
      </c>
      <c r="AW46" s="151">
        <f>AW30*Deposits!$P$9</f>
        <v>0</v>
      </c>
      <c r="AX46" s="151">
        <f>AX30*Deposits!$P$9</f>
        <v>0</v>
      </c>
      <c r="AY46" s="151">
        <f>AY30*Deposits!$P$9</f>
        <v>0</v>
      </c>
      <c r="AZ46" s="151">
        <f>AZ30*Deposits!$P$9</f>
        <v>0</v>
      </c>
      <c r="BA46" s="151">
        <f>BA30*Deposits!$P$9</f>
        <v>0</v>
      </c>
      <c r="BB46" s="151">
        <f>BB30*Deposits!$P$9</f>
        <v>0</v>
      </c>
      <c r="BC46" s="151">
        <f>BC30*Deposits!$P$9</f>
        <v>0</v>
      </c>
      <c r="BD46" s="151">
        <f>BD30*Deposits!$P$9</f>
        <v>0</v>
      </c>
      <c r="BE46" s="151">
        <f>BE30*Deposits!$P$9</f>
        <v>0</v>
      </c>
      <c r="BF46" s="151">
        <f>BF30*Deposits!$P$9</f>
        <v>0</v>
      </c>
      <c r="BG46" s="151">
        <f>BG30*Deposits!$P$9</f>
        <v>0</v>
      </c>
      <c r="BH46" s="151">
        <f>BH30*Deposits!$P$9</f>
        <v>0</v>
      </c>
      <c r="BI46" s="151">
        <f>BI30*Deposits!$P$9</f>
        <v>0</v>
      </c>
      <c r="BJ46" s="151">
        <f>BJ30*Deposits!$P$9</f>
        <v>0</v>
      </c>
      <c r="BK46" s="151">
        <f>BK30*Deposits!$P$9</f>
        <v>0</v>
      </c>
      <c r="BL46" s="151">
        <f>BL30*Deposits!$P$9</f>
        <v>0</v>
      </c>
      <c r="BM46" s="151">
        <f>BM30*Deposits!$P$9</f>
        <v>0</v>
      </c>
      <c r="BN46" s="151">
        <f>BN30*Deposits!$P$9</f>
        <v>0</v>
      </c>
      <c r="BO46" s="151">
        <f>BO30*Deposits!$P$9</f>
        <v>0</v>
      </c>
      <c r="BP46" s="151">
        <f>BP30*Deposits!$P$9</f>
        <v>0</v>
      </c>
    </row>
    <row r="47" spans="3:68" x14ac:dyDescent="0.25">
      <c r="C47" s="228" t="str">
        <f t="shared" si="22"/>
        <v>Teljesítési biztosíték</v>
      </c>
      <c r="D47" t="s">
        <v>125</v>
      </c>
      <c r="E47" s="151"/>
      <c r="F47" s="151"/>
      <c r="G47" s="151">
        <f t="shared" si="23"/>
        <v>0</v>
      </c>
      <c r="H47" s="151">
        <f>H31*Deposits!$P$10</f>
        <v>0</v>
      </c>
      <c r="I47" s="151">
        <f>I31*Deposits!$P$10</f>
        <v>0</v>
      </c>
      <c r="J47" s="151">
        <f>J31*Deposits!$P$10</f>
        <v>0</v>
      </c>
      <c r="K47" s="151">
        <f>K31*Deposits!$P$10</f>
        <v>0</v>
      </c>
      <c r="L47" s="151">
        <f>L31*Deposits!$P$10</f>
        <v>0</v>
      </c>
      <c r="M47" s="151">
        <f>M31*Deposits!$P$10</f>
        <v>0</v>
      </c>
      <c r="N47" s="151">
        <f>N31*Deposits!$P$10</f>
        <v>0</v>
      </c>
      <c r="O47" s="151">
        <f>O31*Deposits!$P$10</f>
        <v>0</v>
      </c>
      <c r="P47" s="151">
        <f>P31*Deposits!$P$10</f>
        <v>0</v>
      </c>
      <c r="Q47" s="151">
        <f>Q31*Deposits!$P$10</f>
        <v>0</v>
      </c>
      <c r="R47" s="151">
        <f>R31*Deposits!$P$10</f>
        <v>0</v>
      </c>
      <c r="S47" s="151">
        <f>S31*Deposits!$P$10</f>
        <v>0</v>
      </c>
      <c r="T47" s="151">
        <f>T31*Deposits!$P$10</f>
        <v>0</v>
      </c>
      <c r="U47" s="151">
        <f>U31*Deposits!$P$10</f>
        <v>0</v>
      </c>
      <c r="V47" s="151">
        <f>V31*Deposits!$P$10</f>
        <v>0</v>
      </c>
      <c r="W47" s="151">
        <f>W31*Deposits!$P$10</f>
        <v>0</v>
      </c>
      <c r="X47" s="151">
        <f>X31*Deposits!$P$10</f>
        <v>0</v>
      </c>
      <c r="Y47" s="151">
        <f>Y31*Deposits!$P$10</f>
        <v>0</v>
      </c>
      <c r="Z47" s="151">
        <f>Z31*Deposits!$P$10</f>
        <v>0</v>
      </c>
      <c r="AA47" s="151">
        <f>AA31*Deposits!$P$10</f>
        <v>0</v>
      </c>
      <c r="AB47" s="151">
        <f>AB31*Deposits!$P$10</f>
        <v>0</v>
      </c>
      <c r="AC47" s="151">
        <f>AC31*Deposits!$P$10</f>
        <v>0</v>
      </c>
      <c r="AD47" s="151">
        <f>AD31*Deposits!$P$10</f>
        <v>0</v>
      </c>
      <c r="AE47" s="151">
        <f>AE31*Deposits!$P$10</f>
        <v>0</v>
      </c>
      <c r="AF47" s="151">
        <f>AF31*Deposits!$P$10</f>
        <v>0</v>
      </c>
      <c r="AG47" s="151">
        <f>AG31*Deposits!$P$10</f>
        <v>0</v>
      </c>
      <c r="AH47" s="151">
        <f>AH31*Deposits!$P$10</f>
        <v>0</v>
      </c>
      <c r="AI47" s="151">
        <f>AI31*Deposits!$P$10</f>
        <v>0</v>
      </c>
      <c r="AJ47" s="151">
        <f>AJ31*Deposits!$P$10</f>
        <v>0</v>
      </c>
      <c r="AK47" s="151">
        <f>AK31*Deposits!$P$10</f>
        <v>0</v>
      </c>
      <c r="AL47" s="151">
        <f>AL31*Deposits!$P$10</f>
        <v>0</v>
      </c>
      <c r="AM47" s="151">
        <f>AM31*Deposits!$P$10</f>
        <v>0</v>
      </c>
      <c r="AN47" s="151">
        <f>AN31*Deposits!$P$10</f>
        <v>0</v>
      </c>
      <c r="AO47" s="151">
        <f>AO31*Deposits!$P$10</f>
        <v>0</v>
      </c>
      <c r="AP47" s="151">
        <f>AP31*Deposits!$P$10</f>
        <v>0</v>
      </c>
      <c r="AQ47" s="151">
        <f>AQ31*Deposits!$P$10</f>
        <v>0</v>
      </c>
      <c r="AR47" s="151">
        <f>AR31*Deposits!$P$10</f>
        <v>0</v>
      </c>
      <c r="AS47" s="151">
        <f>AS31*Deposits!$P$10</f>
        <v>0</v>
      </c>
      <c r="AT47" s="151">
        <f>AT31*Deposits!$P$10</f>
        <v>0</v>
      </c>
      <c r="AU47" s="151">
        <f>AU31*Deposits!$P$10</f>
        <v>0</v>
      </c>
      <c r="AV47" s="151">
        <f>AV31*Deposits!$P$10</f>
        <v>0</v>
      </c>
      <c r="AW47" s="151">
        <f>AW31*Deposits!$P$10</f>
        <v>0</v>
      </c>
      <c r="AX47" s="151">
        <f>AX31*Deposits!$P$10</f>
        <v>0</v>
      </c>
      <c r="AY47" s="151">
        <f>AY31*Deposits!$P$10</f>
        <v>0</v>
      </c>
      <c r="AZ47" s="151">
        <f>AZ31*Deposits!$P$10</f>
        <v>0</v>
      </c>
      <c r="BA47" s="151">
        <f>BA31*Deposits!$P$10</f>
        <v>0</v>
      </c>
      <c r="BB47" s="151">
        <f>BB31*Deposits!$P$10</f>
        <v>0</v>
      </c>
      <c r="BC47" s="151">
        <f>BC31*Deposits!$P$10</f>
        <v>0</v>
      </c>
      <c r="BD47" s="151">
        <f>BD31*Deposits!$P$10</f>
        <v>0</v>
      </c>
      <c r="BE47" s="151">
        <f>BE31*Deposits!$P$10</f>
        <v>0</v>
      </c>
      <c r="BF47" s="151">
        <f>BF31*Deposits!$P$10</f>
        <v>0</v>
      </c>
      <c r="BG47" s="151">
        <f>BG31*Deposits!$P$10</f>
        <v>0</v>
      </c>
      <c r="BH47" s="151">
        <f>BH31*Deposits!$P$10</f>
        <v>0</v>
      </c>
      <c r="BI47" s="151">
        <f>BI31*Deposits!$P$10</f>
        <v>0</v>
      </c>
      <c r="BJ47" s="151">
        <f>BJ31*Deposits!$P$10</f>
        <v>0</v>
      </c>
      <c r="BK47" s="151">
        <f>BK31*Deposits!$P$10</f>
        <v>0</v>
      </c>
      <c r="BL47" s="151">
        <f>BL31*Deposits!$P$10</f>
        <v>0</v>
      </c>
      <c r="BM47" s="151">
        <f>BM31*Deposits!$P$10</f>
        <v>0</v>
      </c>
      <c r="BN47" s="151">
        <f>BN31*Deposits!$P$10</f>
        <v>0</v>
      </c>
      <c r="BO47" s="151">
        <f>BO31*Deposits!$P$10</f>
        <v>0</v>
      </c>
      <c r="BP47" s="151">
        <f>BP31*Deposits!$P$10</f>
        <v>0</v>
      </c>
    </row>
    <row r="48" spans="3:68" x14ac:dyDescent="0.25">
      <c r="C48" s="228" t="str">
        <f t="shared" si="22"/>
        <v>Igénybejelentési biztosíték</v>
      </c>
      <c r="D48" t="s">
        <v>125</v>
      </c>
      <c r="E48" s="151"/>
      <c r="F48" s="151"/>
      <c r="G48" s="151">
        <f t="shared" si="23"/>
        <v>1232.8767123287671</v>
      </c>
      <c r="H48" s="151">
        <f>H32*Deposits!$P$11</f>
        <v>0</v>
      </c>
      <c r="I48" s="151">
        <f>I32*Deposits!$P$11</f>
        <v>0</v>
      </c>
      <c r="J48" s="151">
        <f>J32*Deposits!$P$11</f>
        <v>0</v>
      </c>
      <c r="K48" s="151">
        <f>K32*Deposits!$P$11</f>
        <v>0</v>
      </c>
      <c r="L48" s="151">
        <f>L32*Deposits!$P$11</f>
        <v>0</v>
      </c>
      <c r="M48" s="151">
        <f>M32*Deposits!$P$11</f>
        <v>1232.8767123287671</v>
      </c>
      <c r="N48" s="151">
        <f>N32*Deposits!$P$11</f>
        <v>0</v>
      </c>
      <c r="O48" s="151">
        <f>O32*Deposits!$P$11</f>
        <v>0</v>
      </c>
      <c r="P48" s="151">
        <f>P32*Deposits!$P$11</f>
        <v>0</v>
      </c>
      <c r="Q48" s="151">
        <f>Q32*Deposits!$P$11</f>
        <v>0</v>
      </c>
      <c r="R48" s="151">
        <f>R32*Deposits!$P$11</f>
        <v>0</v>
      </c>
      <c r="S48" s="151">
        <f>S32*Deposits!$P$11</f>
        <v>0</v>
      </c>
      <c r="T48" s="151">
        <f>T32*Deposits!$P$11</f>
        <v>0</v>
      </c>
      <c r="U48" s="151">
        <f>U32*Deposits!$P$11</f>
        <v>0</v>
      </c>
      <c r="V48" s="151">
        <f>V32*Deposits!$P$11</f>
        <v>0</v>
      </c>
      <c r="W48" s="151">
        <f>W32*Deposits!$P$11</f>
        <v>0</v>
      </c>
      <c r="X48" s="151">
        <f>X32*Deposits!$P$11</f>
        <v>0</v>
      </c>
      <c r="Y48" s="151">
        <f>Y32*Deposits!$P$11</f>
        <v>0</v>
      </c>
      <c r="Z48" s="151">
        <f>Z32*Deposits!$P$11</f>
        <v>0</v>
      </c>
      <c r="AA48" s="151">
        <f>AA32*Deposits!$P$11</f>
        <v>0</v>
      </c>
      <c r="AB48" s="151">
        <f>AB32*Deposits!$P$11</f>
        <v>0</v>
      </c>
      <c r="AC48" s="151">
        <f>AC32*Deposits!$P$11</f>
        <v>0</v>
      </c>
      <c r="AD48" s="151">
        <f>AD32*Deposits!$P$11</f>
        <v>0</v>
      </c>
      <c r="AE48" s="151">
        <f>AE32*Deposits!$P$11</f>
        <v>0</v>
      </c>
      <c r="AF48" s="151">
        <f>AF32*Deposits!$P$11</f>
        <v>0</v>
      </c>
      <c r="AG48" s="151">
        <f>AG32*Deposits!$P$11</f>
        <v>0</v>
      </c>
      <c r="AH48" s="151">
        <f>AH32*Deposits!$P$11</f>
        <v>0</v>
      </c>
      <c r="AI48" s="151">
        <f>AI32*Deposits!$P$11</f>
        <v>0</v>
      </c>
      <c r="AJ48" s="151">
        <f>AJ32*Deposits!$P$11</f>
        <v>0</v>
      </c>
      <c r="AK48" s="151">
        <f>AK32*Deposits!$P$11</f>
        <v>0</v>
      </c>
      <c r="AL48" s="151">
        <f>AL32*Deposits!$P$11</f>
        <v>0</v>
      </c>
      <c r="AM48" s="151">
        <f>AM32*Deposits!$P$11</f>
        <v>0</v>
      </c>
      <c r="AN48" s="151">
        <f>AN32*Deposits!$P$11</f>
        <v>0</v>
      </c>
      <c r="AO48" s="151">
        <f>AO32*Deposits!$P$11</f>
        <v>0</v>
      </c>
      <c r="AP48" s="151">
        <f>AP32*Deposits!$P$11</f>
        <v>0</v>
      </c>
      <c r="AQ48" s="151">
        <f>AQ32*Deposits!$P$11</f>
        <v>0</v>
      </c>
      <c r="AR48" s="151">
        <f>AR32*Deposits!$P$11</f>
        <v>0</v>
      </c>
      <c r="AS48" s="151">
        <f>AS32*Deposits!$P$11</f>
        <v>0</v>
      </c>
      <c r="AT48" s="151">
        <f>AT32*Deposits!$P$11</f>
        <v>0</v>
      </c>
      <c r="AU48" s="151">
        <f>AU32*Deposits!$P$11</f>
        <v>0</v>
      </c>
      <c r="AV48" s="151">
        <f>AV32*Deposits!$P$11</f>
        <v>0</v>
      </c>
      <c r="AW48" s="151">
        <f>AW32*Deposits!$P$11</f>
        <v>0</v>
      </c>
      <c r="AX48" s="151">
        <f>AX32*Deposits!$P$11</f>
        <v>0</v>
      </c>
      <c r="AY48" s="151">
        <f>AY32*Deposits!$P$11</f>
        <v>0</v>
      </c>
      <c r="AZ48" s="151">
        <f>AZ32*Deposits!$P$11</f>
        <v>0</v>
      </c>
      <c r="BA48" s="151">
        <f>BA32*Deposits!$P$11</f>
        <v>0</v>
      </c>
      <c r="BB48" s="151">
        <f>BB32*Deposits!$P$11</f>
        <v>0</v>
      </c>
      <c r="BC48" s="151">
        <f>BC32*Deposits!$P$11</f>
        <v>0</v>
      </c>
      <c r="BD48" s="151">
        <f>BD32*Deposits!$P$11</f>
        <v>0</v>
      </c>
      <c r="BE48" s="151">
        <f>BE32*Deposits!$P$11</f>
        <v>0</v>
      </c>
      <c r="BF48" s="151">
        <f>BF32*Deposits!$P$11</f>
        <v>0</v>
      </c>
      <c r="BG48" s="151">
        <f>BG32*Deposits!$P$11</f>
        <v>0</v>
      </c>
      <c r="BH48" s="151">
        <f>BH32*Deposits!$P$11</f>
        <v>0</v>
      </c>
      <c r="BI48" s="151">
        <f>BI32*Deposits!$P$11</f>
        <v>0</v>
      </c>
      <c r="BJ48" s="151">
        <f>BJ32*Deposits!$P$11</f>
        <v>0</v>
      </c>
      <c r="BK48" s="151">
        <f>BK32*Deposits!$P$11</f>
        <v>0</v>
      </c>
      <c r="BL48" s="151">
        <f>BL32*Deposits!$P$11</f>
        <v>0</v>
      </c>
      <c r="BM48" s="151">
        <f>BM32*Deposits!$P$11</f>
        <v>0</v>
      </c>
      <c r="BN48" s="151">
        <f>BN32*Deposits!$P$11</f>
        <v>0</v>
      </c>
      <c r="BO48" s="151">
        <f>BO32*Deposits!$P$11</f>
        <v>0</v>
      </c>
      <c r="BP48" s="151">
        <f>BP32*Deposits!$P$11</f>
        <v>0</v>
      </c>
    </row>
    <row r="49" spans="3:68" x14ac:dyDescent="0.25">
      <c r="C49" s="228" t="str">
        <f t="shared" si="22"/>
        <v>Csatlakozási díj – közvetlen</v>
      </c>
      <c r="D49" t="s">
        <v>125</v>
      </c>
      <c r="E49" s="151"/>
      <c r="F49" s="151"/>
      <c r="G49" s="151">
        <f t="shared" si="23"/>
        <v>696.36411506849311</v>
      </c>
      <c r="H49" s="151">
        <f>H33*Deposits!$P$12</f>
        <v>0</v>
      </c>
      <c r="I49" s="151">
        <f>I33*Deposits!$P$12</f>
        <v>0</v>
      </c>
      <c r="J49" s="151">
        <f>J33*Deposits!$P$12</f>
        <v>0</v>
      </c>
      <c r="K49" s="151">
        <f>K33*Deposits!$P$12</f>
        <v>0</v>
      </c>
      <c r="L49" s="151">
        <f>L33*Deposits!$P$12</f>
        <v>0</v>
      </c>
      <c r="M49" s="151">
        <f>M33*Deposits!$P$12</f>
        <v>0</v>
      </c>
      <c r="N49" s="151">
        <f>N33*Deposits!$P$12</f>
        <v>0</v>
      </c>
      <c r="O49" s="151">
        <f>O33*Deposits!$P$12</f>
        <v>0</v>
      </c>
      <c r="P49" s="151">
        <f>P33*Deposits!$P$12</f>
        <v>0</v>
      </c>
      <c r="Q49" s="151">
        <f>Q33*Deposits!$P$12</f>
        <v>0</v>
      </c>
      <c r="R49" s="151">
        <f>R33*Deposits!$P$12</f>
        <v>0</v>
      </c>
      <c r="S49" s="151">
        <f>S33*Deposits!$P$12</f>
        <v>0</v>
      </c>
      <c r="T49" s="151">
        <f>T33*Deposits!$P$12</f>
        <v>0</v>
      </c>
      <c r="U49" s="151">
        <f>U33*Deposits!$P$12</f>
        <v>0</v>
      </c>
      <c r="V49" s="151">
        <f>V33*Deposits!$P$12</f>
        <v>0</v>
      </c>
      <c r="W49" s="151">
        <f>W33*Deposits!$P$12</f>
        <v>0</v>
      </c>
      <c r="X49" s="151">
        <f>X33*Deposits!$P$12</f>
        <v>0</v>
      </c>
      <c r="Y49" s="151">
        <f>Y33*Deposits!$P$12</f>
        <v>0</v>
      </c>
      <c r="Z49" s="151">
        <f>Z33*Deposits!$P$12</f>
        <v>0</v>
      </c>
      <c r="AA49" s="151">
        <f>AA33*Deposits!$P$12</f>
        <v>0</v>
      </c>
      <c r="AB49" s="151">
        <f>AB33*Deposits!$P$12</f>
        <v>0</v>
      </c>
      <c r="AC49" s="151">
        <f>AC33*Deposits!$P$12</f>
        <v>0</v>
      </c>
      <c r="AD49" s="151">
        <f>AD33*Deposits!$P$12</f>
        <v>0</v>
      </c>
      <c r="AE49" s="151">
        <f>AE33*Deposits!$P$12</f>
        <v>0</v>
      </c>
      <c r="AF49" s="151">
        <f>AF33*Deposits!$P$12</f>
        <v>0</v>
      </c>
      <c r="AG49" s="151">
        <f>AG33*Deposits!$P$12</f>
        <v>0</v>
      </c>
      <c r="AH49" s="151">
        <f>AH33*Deposits!$P$12</f>
        <v>0</v>
      </c>
      <c r="AI49" s="151">
        <f>AI33*Deposits!$P$12</f>
        <v>0</v>
      </c>
      <c r="AJ49" s="151">
        <f>AJ33*Deposits!$P$12</f>
        <v>0</v>
      </c>
      <c r="AK49" s="151">
        <f>AK33*Deposits!$P$12</f>
        <v>0</v>
      </c>
      <c r="AL49" s="151">
        <f>AL33*Deposits!$P$12</f>
        <v>696.36411506849311</v>
      </c>
      <c r="AM49" s="151">
        <f>AM33*Deposits!$P$12</f>
        <v>0</v>
      </c>
      <c r="AN49" s="151">
        <f>AN33*Deposits!$P$12</f>
        <v>0</v>
      </c>
      <c r="AO49" s="151">
        <f>AO33*Deposits!$P$12</f>
        <v>0</v>
      </c>
      <c r="AP49" s="151">
        <f>AP33*Deposits!$P$12</f>
        <v>0</v>
      </c>
      <c r="AQ49" s="151">
        <f>AQ33*Deposits!$P$12</f>
        <v>0</v>
      </c>
      <c r="AR49" s="151">
        <f>AR33*Deposits!$P$12</f>
        <v>0</v>
      </c>
      <c r="AS49" s="151">
        <f>AS33*Deposits!$P$12</f>
        <v>0</v>
      </c>
      <c r="AT49" s="151">
        <f>AT33*Deposits!$P$12</f>
        <v>0</v>
      </c>
      <c r="AU49" s="151">
        <f>AU33*Deposits!$P$12</f>
        <v>0</v>
      </c>
      <c r="AV49" s="151">
        <f>AV33*Deposits!$P$12</f>
        <v>0</v>
      </c>
      <c r="AW49" s="151">
        <f>AW33*Deposits!$P$12</f>
        <v>0</v>
      </c>
      <c r="AX49" s="151">
        <f>AX33*Deposits!$P$12</f>
        <v>0</v>
      </c>
      <c r="AY49" s="151">
        <f>AY33*Deposits!$P$12</f>
        <v>0</v>
      </c>
      <c r="AZ49" s="151">
        <f>AZ33*Deposits!$P$12</f>
        <v>0</v>
      </c>
      <c r="BA49" s="151">
        <f>BA33*Deposits!$P$12</f>
        <v>0</v>
      </c>
      <c r="BB49" s="151">
        <f>BB33*Deposits!$P$12</f>
        <v>0</v>
      </c>
      <c r="BC49" s="151">
        <f>BC33*Deposits!$P$12</f>
        <v>0</v>
      </c>
      <c r="BD49" s="151">
        <f>BD33*Deposits!$P$12</f>
        <v>0</v>
      </c>
      <c r="BE49" s="151">
        <f>BE33*Deposits!$P$12</f>
        <v>0</v>
      </c>
      <c r="BF49" s="151">
        <f>BF33*Deposits!$P$12</f>
        <v>0</v>
      </c>
      <c r="BG49" s="151">
        <f>BG33*Deposits!$P$12</f>
        <v>0</v>
      </c>
      <c r="BH49" s="151">
        <f>BH33*Deposits!$P$12</f>
        <v>0</v>
      </c>
      <c r="BI49" s="151">
        <f>BI33*Deposits!$P$12</f>
        <v>0</v>
      </c>
      <c r="BJ49" s="151">
        <f>BJ33*Deposits!$P$12</f>
        <v>0</v>
      </c>
      <c r="BK49" s="151">
        <f>BK33*Deposits!$P$12</f>
        <v>0</v>
      </c>
      <c r="BL49" s="151">
        <f>BL33*Deposits!$P$12</f>
        <v>0</v>
      </c>
      <c r="BM49" s="151">
        <f>BM33*Deposits!$P$12</f>
        <v>0</v>
      </c>
      <c r="BN49" s="151">
        <f>BN33*Deposits!$P$12</f>
        <v>0</v>
      </c>
      <c r="BO49" s="151">
        <f>BO33*Deposits!$P$12</f>
        <v>0</v>
      </c>
      <c r="BP49" s="151">
        <f>BP33*Deposits!$P$12</f>
        <v>0</v>
      </c>
    </row>
    <row r="50" spans="3:68" x14ac:dyDescent="0.25">
      <c r="C50" s="228" t="str">
        <f t="shared" si="22"/>
        <v>Kiegészítő biztosíték 1. részlet</v>
      </c>
      <c r="D50" t="s">
        <v>125</v>
      </c>
      <c r="E50" s="151"/>
      <c r="F50" s="151"/>
      <c r="G50" s="151">
        <f t="shared" si="23"/>
        <v>0</v>
      </c>
      <c r="H50" s="151">
        <f>H34*Deposits!$P$13</f>
        <v>0</v>
      </c>
      <c r="I50" s="151">
        <f>I34*Deposits!$P$13</f>
        <v>0</v>
      </c>
      <c r="J50" s="151">
        <f>J34*Deposits!$P$13</f>
        <v>0</v>
      </c>
      <c r="K50" s="151">
        <f>K34*Deposits!$P$13</f>
        <v>0</v>
      </c>
      <c r="L50" s="151">
        <f>L34*Deposits!$P$13</f>
        <v>0</v>
      </c>
      <c r="M50" s="151">
        <f>M34*Deposits!$P$13</f>
        <v>0</v>
      </c>
      <c r="N50" s="151">
        <f>N34*Deposits!$P$13</f>
        <v>0</v>
      </c>
      <c r="O50" s="151">
        <f>O34*Deposits!$P$13</f>
        <v>0</v>
      </c>
      <c r="P50" s="151">
        <f>P34*Deposits!$P$13</f>
        <v>0</v>
      </c>
      <c r="Q50" s="151">
        <f>Q34*Deposits!$P$13</f>
        <v>0</v>
      </c>
      <c r="R50" s="151">
        <f>R34*Deposits!$P$13</f>
        <v>0</v>
      </c>
      <c r="S50" s="151">
        <f>S34*Deposits!$P$13</f>
        <v>0</v>
      </c>
      <c r="T50" s="151">
        <f>T34*Deposits!$P$13</f>
        <v>0</v>
      </c>
      <c r="U50" s="151">
        <f>U34*Deposits!$P$13</f>
        <v>0</v>
      </c>
      <c r="V50" s="151">
        <f>V34*Deposits!$P$13</f>
        <v>0</v>
      </c>
      <c r="W50" s="151">
        <f>W34*Deposits!$P$13</f>
        <v>0</v>
      </c>
      <c r="X50" s="151">
        <f>X34*Deposits!$P$13</f>
        <v>0</v>
      </c>
      <c r="Y50" s="151">
        <f>Y34*Deposits!$P$13</f>
        <v>0</v>
      </c>
      <c r="Z50" s="151">
        <f>Z34*Deposits!$P$13</f>
        <v>0</v>
      </c>
      <c r="AA50" s="151">
        <f>AA34*Deposits!$P$13</f>
        <v>0</v>
      </c>
      <c r="AB50" s="151">
        <f>AB34*Deposits!$P$13</f>
        <v>0</v>
      </c>
      <c r="AC50" s="151">
        <f>AC34*Deposits!$P$13</f>
        <v>0</v>
      </c>
      <c r="AD50" s="151">
        <f>AD34*Deposits!$P$13</f>
        <v>0</v>
      </c>
      <c r="AE50" s="151">
        <f>AE34*Deposits!$P$13</f>
        <v>0</v>
      </c>
      <c r="AF50" s="151">
        <f>AF34*Deposits!$P$13</f>
        <v>0</v>
      </c>
      <c r="AG50" s="151">
        <f>AG34*Deposits!$P$13</f>
        <v>0</v>
      </c>
      <c r="AH50" s="151">
        <f>AH34*Deposits!$P$13</f>
        <v>0</v>
      </c>
      <c r="AI50" s="151">
        <f>AI34*Deposits!$P$13</f>
        <v>0</v>
      </c>
      <c r="AJ50" s="151">
        <f>AJ34*Deposits!$P$13</f>
        <v>0</v>
      </c>
      <c r="AK50" s="151">
        <f>AK34*Deposits!$P$13</f>
        <v>0</v>
      </c>
      <c r="AL50" s="151">
        <f>AL34*Deposits!$P$13</f>
        <v>0</v>
      </c>
      <c r="AM50" s="151">
        <f>AM34*Deposits!$P$13</f>
        <v>0</v>
      </c>
      <c r="AN50" s="151">
        <f>AN34*Deposits!$P$13</f>
        <v>0</v>
      </c>
      <c r="AO50" s="151">
        <f>AO34*Deposits!$P$13</f>
        <v>0</v>
      </c>
      <c r="AP50" s="151">
        <f>AP34*Deposits!$P$13</f>
        <v>0</v>
      </c>
      <c r="AQ50" s="151">
        <f>AQ34*Deposits!$P$13</f>
        <v>0</v>
      </c>
      <c r="AR50" s="151">
        <f>AR34*Deposits!$P$13</f>
        <v>0</v>
      </c>
      <c r="AS50" s="151">
        <f>AS34*Deposits!$P$13</f>
        <v>0</v>
      </c>
      <c r="AT50" s="151">
        <f>AT34*Deposits!$P$13</f>
        <v>0</v>
      </c>
      <c r="AU50" s="151">
        <f>AU34*Deposits!$P$13</f>
        <v>0</v>
      </c>
      <c r="AV50" s="151">
        <f>AV34*Deposits!$P$13</f>
        <v>0</v>
      </c>
      <c r="AW50" s="151">
        <f>AW34*Deposits!$P$13</f>
        <v>0</v>
      </c>
      <c r="AX50" s="151">
        <f>AX34*Deposits!$P$13</f>
        <v>0</v>
      </c>
      <c r="AY50" s="151">
        <f>AY34*Deposits!$P$13</f>
        <v>0</v>
      </c>
      <c r="AZ50" s="151">
        <f>AZ34*Deposits!$P$13</f>
        <v>0</v>
      </c>
      <c r="BA50" s="151">
        <f>BA34*Deposits!$P$13</f>
        <v>0</v>
      </c>
      <c r="BB50" s="151">
        <f>BB34*Deposits!$P$13</f>
        <v>0</v>
      </c>
      <c r="BC50" s="151">
        <f>BC34*Deposits!$P$13</f>
        <v>0</v>
      </c>
      <c r="BD50" s="151">
        <f>BD34*Deposits!$P$13</f>
        <v>0</v>
      </c>
      <c r="BE50" s="151">
        <f>BE34*Deposits!$P$13</f>
        <v>0</v>
      </c>
      <c r="BF50" s="151">
        <f>BF34*Deposits!$P$13</f>
        <v>0</v>
      </c>
      <c r="BG50" s="151">
        <f>BG34*Deposits!$P$13</f>
        <v>0</v>
      </c>
      <c r="BH50" s="151">
        <f>BH34*Deposits!$P$13</f>
        <v>0</v>
      </c>
      <c r="BI50" s="151">
        <f>BI34*Deposits!$P$13</f>
        <v>0</v>
      </c>
      <c r="BJ50" s="151">
        <f>BJ34*Deposits!$P$13</f>
        <v>0</v>
      </c>
      <c r="BK50" s="151">
        <f>BK34*Deposits!$P$13</f>
        <v>0</v>
      </c>
      <c r="BL50" s="151">
        <f>BL34*Deposits!$P$13</f>
        <v>0</v>
      </c>
      <c r="BM50" s="151">
        <f>BM34*Deposits!$P$13</f>
        <v>0</v>
      </c>
      <c r="BN50" s="151">
        <f>BN34*Deposits!$P$13</f>
        <v>0</v>
      </c>
      <c r="BO50" s="151">
        <f>BO34*Deposits!$P$13</f>
        <v>0</v>
      </c>
      <c r="BP50" s="151">
        <f>BP34*Deposits!$P$13</f>
        <v>0</v>
      </c>
    </row>
    <row r="51" spans="3:68" x14ac:dyDescent="0.25">
      <c r="C51" s="228" t="str">
        <f t="shared" si="22"/>
        <v>Kiegészítő biztosíték 2. részlet</v>
      </c>
      <c r="D51" t="s">
        <v>125</v>
      </c>
      <c r="E51" s="151"/>
      <c r="F51" s="151"/>
      <c r="G51" s="151">
        <f t="shared" si="23"/>
        <v>0</v>
      </c>
      <c r="H51" s="151">
        <f>H35*Deposits!$P$14</f>
        <v>0</v>
      </c>
      <c r="I51" s="151">
        <f>I35*Deposits!$P$14</f>
        <v>0</v>
      </c>
      <c r="J51" s="151">
        <f>J35*Deposits!$P$14</f>
        <v>0</v>
      </c>
      <c r="K51" s="151">
        <f>K35*Deposits!$P$14</f>
        <v>0</v>
      </c>
      <c r="L51" s="151">
        <f>L35*Deposits!$P$14</f>
        <v>0</v>
      </c>
      <c r="M51" s="151">
        <f>M35*Deposits!$P$14</f>
        <v>0</v>
      </c>
      <c r="N51" s="151">
        <f>N35*Deposits!$P$14</f>
        <v>0</v>
      </c>
      <c r="O51" s="151">
        <f>O35*Deposits!$P$14</f>
        <v>0</v>
      </c>
      <c r="P51" s="151">
        <f>P35*Deposits!$P$14</f>
        <v>0</v>
      </c>
      <c r="Q51" s="151">
        <f>Q35*Deposits!$P$14</f>
        <v>0</v>
      </c>
      <c r="R51" s="151">
        <f>R35*Deposits!$P$14</f>
        <v>0</v>
      </c>
      <c r="S51" s="151">
        <f>S35*Deposits!$P$14</f>
        <v>0</v>
      </c>
      <c r="T51" s="151">
        <f>T35*Deposits!$P$14</f>
        <v>0</v>
      </c>
      <c r="U51" s="151">
        <f>U35*Deposits!$P$14</f>
        <v>0</v>
      </c>
      <c r="V51" s="151">
        <f>V35*Deposits!$P$14</f>
        <v>0</v>
      </c>
      <c r="W51" s="151">
        <f>W35*Deposits!$P$14</f>
        <v>0</v>
      </c>
      <c r="X51" s="151">
        <f>X35*Deposits!$P$14</f>
        <v>0</v>
      </c>
      <c r="Y51" s="151">
        <f>Y35*Deposits!$P$14</f>
        <v>0</v>
      </c>
      <c r="Z51" s="151">
        <f>Z35*Deposits!$P$14</f>
        <v>0</v>
      </c>
      <c r="AA51" s="151">
        <f>AA35*Deposits!$P$14</f>
        <v>0</v>
      </c>
      <c r="AB51" s="151">
        <f>AB35*Deposits!$P$14</f>
        <v>0</v>
      </c>
      <c r="AC51" s="151">
        <f>AC35*Deposits!$P$14</f>
        <v>0</v>
      </c>
      <c r="AD51" s="151">
        <f>AD35*Deposits!$P$14</f>
        <v>0</v>
      </c>
      <c r="AE51" s="151">
        <f>AE35*Deposits!$P$14</f>
        <v>0</v>
      </c>
      <c r="AF51" s="151">
        <f>AF35*Deposits!$P$14</f>
        <v>0</v>
      </c>
      <c r="AG51" s="151">
        <f>AG35*Deposits!$P$14</f>
        <v>0</v>
      </c>
      <c r="AH51" s="151">
        <f>AH35*Deposits!$P$14</f>
        <v>0</v>
      </c>
      <c r="AI51" s="151">
        <f>AI35*Deposits!$P$14</f>
        <v>0</v>
      </c>
      <c r="AJ51" s="151">
        <f>AJ35*Deposits!$P$14</f>
        <v>0</v>
      </c>
      <c r="AK51" s="151">
        <f>AK35*Deposits!$P$14</f>
        <v>0</v>
      </c>
      <c r="AL51" s="151">
        <f>AL35*Deposits!$P$14</f>
        <v>0</v>
      </c>
      <c r="AM51" s="151">
        <f>AM35*Deposits!$P$14</f>
        <v>0</v>
      </c>
      <c r="AN51" s="151">
        <f>AN35*Deposits!$P$14</f>
        <v>0</v>
      </c>
      <c r="AO51" s="151">
        <f>AO35*Deposits!$P$14</f>
        <v>0</v>
      </c>
      <c r="AP51" s="151">
        <f>AP35*Deposits!$P$14</f>
        <v>0</v>
      </c>
      <c r="AQ51" s="151">
        <f>AQ35*Deposits!$P$14</f>
        <v>0</v>
      </c>
      <c r="AR51" s="151">
        <f>AR35*Deposits!$P$14</f>
        <v>0</v>
      </c>
      <c r="AS51" s="151">
        <f>AS35*Deposits!$P$14</f>
        <v>0</v>
      </c>
      <c r="AT51" s="151">
        <f>AT35*Deposits!$P$14</f>
        <v>0</v>
      </c>
      <c r="AU51" s="151">
        <f>AU35*Deposits!$P$14</f>
        <v>0</v>
      </c>
      <c r="AV51" s="151">
        <f>AV35*Deposits!$P$14</f>
        <v>0</v>
      </c>
      <c r="AW51" s="151">
        <f>AW35*Deposits!$P$14</f>
        <v>0</v>
      </c>
      <c r="AX51" s="151">
        <f>AX35*Deposits!$P$14</f>
        <v>0</v>
      </c>
      <c r="AY51" s="151">
        <f>AY35*Deposits!$P$14</f>
        <v>0</v>
      </c>
      <c r="AZ51" s="151">
        <f>AZ35*Deposits!$P$14</f>
        <v>0</v>
      </c>
      <c r="BA51" s="151">
        <f>BA35*Deposits!$P$14</f>
        <v>0</v>
      </c>
      <c r="BB51" s="151">
        <f>BB35*Deposits!$P$14</f>
        <v>0</v>
      </c>
      <c r="BC51" s="151">
        <f>BC35*Deposits!$P$14</f>
        <v>0</v>
      </c>
      <c r="BD51" s="151">
        <f>BD35*Deposits!$P$14</f>
        <v>0</v>
      </c>
      <c r="BE51" s="151">
        <f>BE35*Deposits!$P$14</f>
        <v>0</v>
      </c>
      <c r="BF51" s="151">
        <f>BF35*Deposits!$P$14</f>
        <v>0</v>
      </c>
      <c r="BG51" s="151">
        <f>BG35*Deposits!$P$14</f>
        <v>0</v>
      </c>
      <c r="BH51" s="151">
        <f>BH35*Deposits!$P$14</f>
        <v>0</v>
      </c>
      <c r="BI51" s="151">
        <f>BI35*Deposits!$P$14</f>
        <v>0</v>
      </c>
      <c r="BJ51" s="151">
        <f>BJ35*Deposits!$P$14</f>
        <v>0</v>
      </c>
      <c r="BK51" s="151">
        <f>BK35*Deposits!$P$14</f>
        <v>0</v>
      </c>
      <c r="BL51" s="151">
        <f>BL35*Deposits!$P$14</f>
        <v>0</v>
      </c>
      <c r="BM51" s="151">
        <f>BM35*Deposits!$P$14</f>
        <v>0</v>
      </c>
      <c r="BN51" s="151">
        <f>BN35*Deposits!$P$14</f>
        <v>0</v>
      </c>
      <c r="BO51" s="151">
        <f>BO35*Deposits!$P$14</f>
        <v>0</v>
      </c>
      <c r="BP51" s="151">
        <f>BP35*Deposits!$P$14</f>
        <v>0</v>
      </c>
    </row>
    <row r="52" spans="3:68" x14ac:dyDescent="0.25">
      <c r="C52" s="228" t="str">
        <f t="shared" si="22"/>
        <v>Kiegészítő biztosíték visszautalás építési engedély megszerzésekor</v>
      </c>
      <c r="D52" t="s">
        <v>125</v>
      </c>
      <c r="E52" s="151"/>
      <c r="F52" s="151"/>
      <c r="G52" s="151">
        <f t="shared" si="23"/>
        <v>0</v>
      </c>
      <c r="H52" s="151">
        <f>H36*Deposits!$P$15</f>
        <v>0</v>
      </c>
      <c r="I52" s="151">
        <f>I36*Deposits!$P$15</f>
        <v>0</v>
      </c>
      <c r="J52" s="151">
        <f>J36*Deposits!$P$15</f>
        <v>0</v>
      </c>
      <c r="K52" s="151">
        <f>K36*Deposits!$P$15</f>
        <v>0</v>
      </c>
      <c r="L52" s="151">
        <f>L36*Deposits!$P$15</f>
        <v>0</v>
      </c>
      <c r="M52" s="151">
        <f>M36*Deposits!$P$15</f>
        <v>0</v>
      </c>
      <c r="N52" s="151">
        <f>N36*Deposits!$P$15</f>
        <v>0</v>
      </c>
      <c r="O52" s="151">
        <f>O36*Deposits!$P$15</f>
        <v>0</v>
      </c>
      <c r="P52" s="151">
        <f>P36*Deposits!$P$15</f>
        <v>0</v>
      </c>
      <c r="Q52" s="151">
        <f>Q36*Deposits!$P$15</f>
        <v>0</v>
      </c>
      <c r="R52" s="151">
        <f>R36*Deposits!$P$15</f>
        <v>0</v>
      </c>
      <c r="S52" s="151">
        <f>S36*Deposits!$P$15</f>
        <v>0</v>
      </c>
      <c r="T52" s="151">
        <f>T36*Deposits!$P$15</f>
        <v>0</v>
      </c>
      <c r="U52" s="151">
        <f>U36*Deposits!$P$15</f>
        <v>0</v>
      </c>
      <c r="V52" s="151">
        <f>V36*Deposits!$P$15</f>
        <v>0</v>
      </c>
      <c r="W52" s="151">
        <f>W36*Deposits!$P$15</f>
        <v>0</v>
      </c>
      <c r="X52" s="151">
        <f>X36*Deposits!$P$15</f>
        <v>0</v>
      </c>
      <c r="Y52" s="151">
        <f>Y36*Deposits!$P$15</f>
        <v>0</v>
      </c>
      <c r="Z52" s="151">
        <f>Z36*Deposits!$P$15</f>
        <v>0</v>
      </c>
      <c r="AA52" s="151">
        <f>AA36*Deposits!$P$15</f>
        <v>0</v>
      </c>
      <c r="AB52" s="151">
        <f>AB36*Deposits!$P$15</f>
        <v>0</v>
      </c>
      <c r="AC52" s="151">
        <f>AC36*Deposits!$P$15</f>
        <v>0</v>
      </c>
      <c r="AD52" s="151">
        <f>AD36*Deposits!$P$15</f>
        <v>0</v>
      </c>
      <c r="AE52" s="151">
        <f>AE36*Deposits!$P$15</f>
        <v>0</v>
      </c>
      <c r="AF52" s="151">
        <f>AF36*Deposits!$P$15</f>
        <v>0</v>
      </c>
      <c r="AG52" s="151">
        <f>AG36*Deposits!$P$15</f>
        <v>0</v>
      </c>
      <c r="AH52" s="151">
        <f>AH36*Deposits!$P$15</f>
        <v>0</v>
      </c>
      <c r="AI52" s="151">
        <f>AI36*Deposits!$P$15</f>
        <v>0</v>
      </c>
      <c r="AJ52" s="151">
        <f>AJ36*Deposits!$P$15</f>
        <v>0</v>
      </c>
      <c r="AK52" s="151">
        <f>AK36*Deposits!$P$15</f>
        <v>0</v>
      </c>
      <c r="AL52" s="151">
        <f>AL36*Deposits!$P$15</f>
        <v>0</v>
      </c>
      <c r="AM52" s="151">
        <f>AM36*Deposits!$P$15</f>
        <v>0</v>
      </c>
      <c r="AN52" s="151">
        <f>AN36*Deposits!$P$15</f>
        <v>0</v>
      </c>
      <c r="AO52" s="151">
        <f>AO36*Deposits!$P$15</f>
        <v>0</v>
      </c>
      <c r="AP52" s="151">
        <f>AP36*Deposits!$P$15</f>
        <v>0</v>
      </c>
      <c r="AQ52" s="151">
        <f>AQ36*Deposits!$P$15</f>
        <v>0</v>
      </c>
      <c r="AR52" s="151">
        <f>AR36*Deposits!$P$15</f>
        <v>0</v>
      </c>
      <c r="AS52" s="151">
        <f>AS36*Deposits!$P$15</f>
        <v>0</v>
      </c>
      <c r="AT52" s="151">
        <f>AT36*Deposits!$P$15</f>
        <v>0</v>
      </c>
      <c r="AU52" s="151">
        <f>AU36*Deposits!$P$15</f>
        <v>0</v>
      </c>
      <c r="AV52" s="151">
        <f>AV36*Deposits!$P$15</f>
        <v>0</v>
      </c>
      <c r="AW52" s="151">
        <f>AW36*Deposits!$P$15</f>
        <v>0</v>
      </c>
      <c r="AX52" s="151">
        <f>AX36*Deposits!$P$15</f>
        <v>0</v>
      </c>
      <c r="AY52" s="151">
        <f>AY36*Deposits!$P$15</f>
        <v>0</v>
      </c>
      <c r="AZ52" s="151">
        <f>AZ36*Deposits!$P$15</f>
        <v>0</v>
      </c>
      <c r="BA52" s="151">
        <f>BA36*Deposits!$P$15</f>
        <v>0</v>
      </c>
      <c r="BB52" s="151">
        <f>BB36*Deposits!$P$15</f>
        <v>0</v>
      </c>
      <c r="BC52" s="151">
        <f>BC36*Deposits!$P$15</f>
        <v>0</v>
      </c>
      <c r="BD52" s="151">
        <f>BD36*Deposits!$P$15</f>
        <v>0</v>
      </c>
      <c r="BE52" s="151">
        <f>BE36*Deposits!$P$15</f>
        <v>0</v>
      </c>
      <c r="BF52" s="151">
        <f>BF36*Deposits!$P$15</f>
        <v>0</v>
      </c>
      <c r="BG52" s="151">
        <f>BG36*Deposits!$P$15</f>
        <v>0</v>
      </c>
      <c r="BH52" s="151">
        <f>BH36*Deposits!$P$15</f>
        <v>0</v>
      </c>
      <c r="BI52" s="151">
        <f>BI36*Deposits!$P$15</f>
        <v>0</v>
      </c>
      <c r="BJ52" s="151">
        <f>BJ36*Deposits!$P$15</f>
        <v>0</v>
      </c>
      <c r="BK52" s="151">
        <f>BK36*Deposits!$P$15</f>
        <v>0</v>
      </c>
      <c r="BL52" s="151">
        <f>BL36*Deposits!$P$15</f>
        <v>0</v>
      </c>
      <c r="BM52" s="151">
        <f>BM36*Deposits!$P$15</f>
        <v>0</v>
      </c>
      <c r="BN52" s="151">
        <f>BN36*Deposits!$P$15</f>
        <v>0</v>
      </c>
      <c r="BO52" s="151">
        <f>BO36*Deposits!$P$15</f>
        <v>0</v>
      </c>
      <c r="BP52" s="151">
        <f>BP36*Deposits!$P$15</f>
        <v>0</v>
      </c>
    </row>
    <row r="53" spans="3:68" x14ac:dyDescent="0.25">
      <c r="C53" s="228" t="str">
        <f t="shared" si="22"/>
        <v>Kiegészítő biztosíték 3. részlet</v>
      </c>
      <c r="D53" t="s">
        <v>125</v>
      </c>
      <c r="E53" s="151"/>
      <c r="F53" s="151"/>
      <c r="G53" s="151">
        <f t="shared" si="23"/>
        <v>0</v>
      </c>
      <c r="H53" s="151">
        <f>H37*Deposits!$P$16</f>
        <v>0</v>
      </c>
      <c r="I53" s="151">
        <f>I37*Deposits!$P$16</f>
        <v>0</v>
      </c>
      <c r="J53" s="151">
        <f>J37*Deposits!$P$16</f>
        <v>0</v>
      </c>
      <c r="K53" s="151">
        <f>K37*Deposits!$P$16</f>
        <v>0</v>
      </c>
      <c r="L53" s="151">
        <f>L37*Deposits!$P$16</f>
        <v>0</v>
      </c>
      <c r="M53" s="151">
        <f>M37*Deposits!$P$16</f>
        <v>0</v>
      </c>
      <c r="N53" s="151">
        <f>N37*Deposits!$P$16</f>
        <v>0</v>
      </c>
      <c r="O53" s="151">
        <f>O37*Deposits!$P$16</f>
        <v>0</v>
      </c>
      <c r="P53" s="151">
        <f>P37*Deposits!$P$16</f>
        <v>0</v>
      </c>
      <c r="Q53" s="151">
        <f>Q37*Deposits!$P$16</f>
        <v>0</v>
      </c>
      <c r="R53" s="151">
        <f>R37*Deposits!$P$16</f>
        <v>0</v>
      </c>
      <c r="S53" s="151">
        <f>S37*Deposits!$P$16</f>
        <v>0</v>
      </c>
      <c r="T53" s="151">
        <f>T37*Deposits!$P$16</f>
        <v>0</v>
      </c>
      <c r="U53" s="151">
        <f>U37*Deposits!$P$16</f>
        <v>0</v>
      </c>
      <c r="V53" s="151">
        <f>V37*Deposits!$P$16</f>
        <v>0</v>
      </c>
      <c r="W53" s="151">
        <f>W37*Deposits!$P$16</f>
        <v>0</v>
      </c>
      <c r="X53" s="151">
        <f>X37*Deposits!$P$16</f>
        <v>0</v>
      </c>
      <c r="Y53" s="151">
        <f>Y37*Deposits!$P$16</f>
        <v>0</v>
      </c>
      <c r="Z53" s="151">
        <f>Z37*Deposits!$P$16</f>
        <v>0</v>
      </c>
      <c r="AA53" s="151">
        <f>AA37*Deposits!$P$16</f>
        <v>0</v>
      </c>
      <c r="AB53" s="151">
        <f>AB37*Deposits!$P$16</f>
        <v>0</v>
      </c>
      <c r="AC53" s="151">
        <f>AC37*Deposits!$P$16</f>
        <v>0</v>
      </c>
      <c r="AD53" s="151">
        <f>AD37*Deposits!$P$16</f>
        <v>0</v>
      </c>
      <c r="AE53" s="151">
        <f>AE37*Deposits!$P$16</f>
        <v>0</v>
      </c>
      <c r="AF53" s="151">
        <f>AF37*Deposits!$P$16</f>
        <v>0</v>
      </c>
      <c r="AG53" s="151">
        <f>AG37*Deposits!$P$16</f>
        <v>0</v>
      </c>
      <c r="AH53" s="151">
        <f>AH37*Deposits!$P$16</f>
        <v>0</v>
      </c>
      <c r="AI53" s="151">
        <f>AI37*Deposits!$P$16</f>
        <v>0</v>
      </c>
      <c r="AJ53" s="151">
        <f>AJ37*Deposits!$P$16</f>
        <v>0</v>
      </c>
      <c r="AK53" s="151">
        <f>AK37*Deposits!$P$16</f>
        <v>0</v>
      </c>
      <c r="AL53" s="151">
        <f>AL37*Deposits!$P$16</f>
        <v>0</v>
      </c>
      <c r="AM53" s="151">
        <f>AM37*Deposits!$P$16</f>
        <v>0</v>
      </c>
      <c r="AN53" s="151">
        <f>AN37*Deposits!$P$16</f>
        <v>0</v>
      </c>
      <c r="AO53" s="151">
        <f>AO37*Deposits!$P$16</f>
        <v>0</v>
      </c>
      <c r="AP53" s="151">
        <f>AP37*Deposits!$P$16</f>
        <v>0</v>
      </c>
      <c r="AQ53" s="151">
        <f>AQ37*Deposits!$P$16</f>
        <v>0</v>
      </c>
      <c r="AR53" s="151">
        <f>AR37*Deposits!$P$16</f>
        <v>0</v>
      </c>
      <c r="AS53" s="151">
        <f>AS37*Deposits!$P$16</f>
        <v>0</v>
      </c>
      <c r="AT53" s="151">
        <f>AT37*Deposits!$P$16</f>
        <v>0</v>
      </c>
      <c r="AU53" s="151">
        <f>AU37*Deposits!$P$16</f>
        <v>0</v>
      </c>
      <c r="AV53" s="151">
        <f>AV37*Deposits!$P$16</f>
        <v>0</v>
      </c>
      <c r="AW53" s="151">
        <f>AW37*Deposits!$P$16</f>
        <v>0</v>
      </c>
      <c r="AX53" s="151">
        <f>AX37*Deposits!$P$16</f>
        <v>0</v>
      </c>
      <c r="AY53" s="151">
        <f>AY37*Deposits!$P$16</f>
        <v>0</v>
      </c>
      <c r="AZ53" s="151">
        <f>AZ37*Deposits!$P$16</f>
        <v>0</v>
      </c>
      <c r="BA53" s="151">
        <f>BA37*Deposits!$P$16</f>
        <v>0</v>
      </c>
      <c r="BB53" s="151">
        <f>BB37*Deposits!$P$16</f>
        <v>0</v>
      </c>
      <c r="BC53" s="151">
        <f>BC37*Deposits!$P$16</f>
        <v>0</v>
      </c>
      <c r="BD53" s="151">
        <f>BD37*Deposits!$P$16</f>
        <v>0</v>
      </c>
      <c r="BE53" s="151">
        <f>BE37*Deposits!$P$16</f>
        <v>0</v>
      </c>
      <c r="BF53" s="151">
        <f>BF37*Deposits!$P$16</f>
        <v>0</v>
      </c>
      <c r="BG53" s="151">
        <f>BG37*Deposits!$P$16</f>
        <v>0</v>
      </c>
      <c r="BH53" s="151">
        <f>BH37*Deposits!$P$16</f>
        <v>0</v>
      </c>
      <c r="BI53" s="151">
        <f>BI37*Deposits!$P$16</f>
        <v>0</v>
      </c>
      <c r="BJ53" s="151">
        <f>BJ37*Deposits!$P$16</f>
        <v>0</v>
      </c>
      <c r="BK53" s="151">
        <f>BK37*Deposits!$P$16</f>
        <v>0</v>
      </c>
      <c r="BL53" s="151">
        <f>BL37*Deposits!$P$16</f>
        <v>0</v>
      </c>
      <c r="BM53" s="151">
        <f>BM37*Deposits!$P$16</f>
        <v>0</v>
      </c>
      <c r="BN53" s="151">
        <f>BN37*Deposits!$P$16</f>
        <v>0</v>
      </c>
      <c r="BO53" s="151">
        <f>BO37*Deposits!$P$16</f>
        <v>0</v>
      </c>
      <c r="BP53" s="151">
        <f>BP37*Deposits!$P$16</f>
        <v>0</v>
      </c>
    </row>
    <row r="54" spans="3:68" x14ac:dyDescent="0.25">
      <c r="C54" s="228" t="str">
        <f t="shared" si="22"/>
        <v>Kiegészítő biztosíték 4. részlet</v>
      </c>
      <c r="D54" t="s">
        <v>125</v>
      </c>
      <c r="E54" s="151"/>
      <c r="F54" s="151"/>
      <c r="G54" s="151">
        <f t="shared" si="23"/>
        <v>0</v>
      </c>
      <c r="H54" s="151">
        <f>H38*Deposits!$P$17</f>
        <v>0</v>
      </c>
      <c r="I54" s="151">
        <f>I38*Deposits!$P$17</f>
        <v>0</v>
      </c>
      <c r="J54" s="151">
        <f>J38*Deposits!$P$17</f>
        <v>0</v>
      </c>
      <c r="K54" s="151">
        <f>K38*Deposits!$P$17</f>
        <v>0</v>
      </c>
      <c r="L54" s="151">
        <f>L38*Deposits!$P$17</f>
        <v>0</v>
      </c>
      <c r="M54" s="151">
        <f>M38*Deposits!$P$17</f>
        <v>0</v>
      </c>
      <c r="N54" s="151">
        <f>N38*Deposits!$P$17</f>
        <v>0</v>
      </c>
      <c r="O54" s="151">
        <f>O38*Deposits!$P$17</f>
        <v>0</v>
      </c>
      <c r="P54" s="151">
        <f>P38*Deposits!$P$17</f>
        <v>0</v>
      </c>
      <c r="Q54" s="151">
        <f>Q38*Deposits!$P$17</f>
        <v>0</v>
      </c>
      <c r="R54" s="151">
        <f>R38*Deposits!$P$17</f>
        <v>0</v>
      </c>
      <c r="S54" s="151">
        <f>S38*Deposits!$P$17</f>
        <v>0</v>
      </c>
      <c r="T54" s="151">
        <f>T38*Deposits!$P$17</f>
        <v>0</v>
      </c>
      <c r="U54" s="151">
        <f>U38*Deposits!$P$17</f>
        <v>0</v>
      </c>
      <c r="V54" s="151">
        <f>V38*Deposits!$P$17</f>
        <v>0</v>
      </c>
      <c r="W54" s="151">
        <f>W38*Deposits!$P$17</f>
        <v>0</v>
      </c>
      <c r="X54" s="151">
        <f>X38*Deposits!$P$17</f>
        <v>0</v>
      </c>
      <c r="Y54" s="151">
        <f>Y38*Deposits!$P$17</f>
        <v>0</v>
      </c>
      <c r="Z54" s="151">
        <f>Z38*Deposits!$P$17</f>
        <v>0</v>
      </c>
      <c r="AA54" s="151">
        <f>AA38*Deposits!$P$17</f>
        <v>0</v>
      </c>
      <c r="AB54" s="151">
        <f>AB38*Deposits!$P$17</f>
        <v>0</v>
      </c>
      <c r="AC54" s="151">
        <f>AC38*Deposits!$P$17</f>
        <v>0</v>
      </c>
      <c r="AD54" s="151">
        <f>AD38*Deposits!$P$17</f>
        <v>0</v>
      </c>
      <c r="AE54" s="151">
        <f>AE38*Deposits!$P$17</f>
        <v>0</v>
      </c>
      <c r="AF54" s="151">
        <f>AF38*Deposits!$P$17</f>
        <v>0</v>
      </c>
      <c r="AG54" s="151">
        <f>AG38*Deposits!$P$17</f>
        <v>0</v>
      </c>
      <c r="AH54" s="151">
        <f>AH38*Deposits!$P$17</f>
        <v>0</v>
      </c>
      <c r="AI54" s="151">
        <f>AI38*Deposits!$P$17</f>
        <v>0</v>
      </c>
      <c r="AJ54" s="151">
        <f>AJ38*Deposits!$P$17</f>
        <v>0</v>
      </c>
      <c r="AK54" s="151">
        <f>AK38*Deposits!$P$17</f>
        <v>0</v>
      </c>
      <c r="AL54" s="151">
        <f>AL38*Deposits!$P$17</f>
        <v>0</v>
      </c>
      <c r="AM54" s="151">
        <f>AM38*Deposits!$P$17</f>
        <v>0</v>
      </c>
      <c r="AN54" s="151">
        <f>AN38*Deposits!$P$17</f>
        <v>0</v>
      </c>
      <c r="AO54" s="151">
        <f>AO38*Deposits!$P$17</f>
        <v>0</v>
      </c>
      <c r="AP54" s="151">
        <f>AP38*Deposits!$P$17</f>
        <v>0</v>
      </c>
      <c r="AQ54" s="151">
        <f>AQ38*Deposits!$P$17</f>
        <v>0</v>
      </c>
      <c r="AR54" s="151">
        <f>AR38*Deposits!$P$17</f>
        <v>0</v>
      </c>
      <c r="AS54" s="151">
        <f>AS38*Deposits!$P$17</f>
        <v>0</v>
      </c>
      <c r="AT54" s="151">
        <f>AT38*Deposits!$P$17</f>
        <v>0</v>
      </c>
      <c r="AU54" s="151">
        <f>AU38*Deposits!$P$17</f>
        <v>0</v>
      </c>
      <c r="AV54" s="151">
        <f>AV38*Deposits!$P$17</f>
        <v>0</v>
      </c>
      <c r="AW54" s="151">
        <f>AW38*Deposits!$P$17</f>
        <v>0</v>
      </c>
      <c r="AX54" s="151">
        <f>AX38*Deposits!$P$17</f>
        <v>0</v>
      </c>
      <c r="AY54" s="151">
        <f>AY38*Deposits!$P$17</f>
        <v>0</v>
      </c>
      <c r="AZ54" s="151">
        <f>AZ38*Deposits!$P$17</f>
        <v>0</v>
      </c>
      <c r="BA54" s="151">
        <f>BA38*Deposits!$P$17</f>
        <v>0</v>
      </c>
      <c r="BB54" s="151">
        <f>BB38*Deposits!$P$17</f>
        <v>0</v>
      </c>
      <c r="BC54" s="151">
        <f>BC38*Deposits!$P$17</f>
        <v>0</v>
      </c>
      <c r="BD54" s="151">
        <f>BD38*Deposits!$P$17</f>
        <v>0</v>
      </c>
      <c r="BE54" s="151">
        <f>BE38*Deposits!$P$17</f>
        <v>0</v>
      </c>
      <c r="BF54" s="151">
        <f>BF38*Deposits!$P$17</f>
        <v>0</v>
      </c>
      <c r="BG54" s="151">
        <f>BG38*Deposits!$P$17</f>
        <v>0</v>
      </c>
      <c r="BH54" s="151">
        <f>BH38*Deposits!$P$17</f>
        <v>0</v>
      </c>
      <c r="BI54" s="151">
        <f>BI38*Deposits!$P$17</f>
        <v>0</v>
      </c>
      <c r="BJ54" s="151">
        <f>BJ38*Deposits!$P$17</f>
        <v>0</v>
      </c>
      <c r="BK54" s="151">
        <f>BK38*Deposits!$P$17</f>
        <v>0</v>
      </c>
      <c r="BL54" s="151">
        <f>BL38*Deposits!$P$17</f>
        <v>0</v>
      </c>
      <c r="BM54" s="151">
        <f>BM38*Deposits!$P$17</f>
        <v>0</v>
      </c>
      <c r="BN54" s="151">
        <f>BN38*Deposits!$P$17</f>
        <v>0</v>
      </c>
      <c r="BO54" s="151">
        <f>BO38*Deposits!$P$17</f>
        <v>0</v>
      </c>
      <c r="BP54" s="151">
        <f>BP38*Deposits!$P$17</f>
        <v>0</v>
      </c>
    </row>
    <row r="55" spans="3:68" x14ac:dyDescent="0.25">
      <c r="C55" s="228" t="str">
        <f t="shared" si="22"/>
        <v>Csatlakozási díj – becsült összeg</v>
      </c>
      <c r="D55" t="s">
        <v>125</v>
      </c>
      <c r="E55" s="151"/>
      <c r="F55" s="151"/>
      <c r="G55" s="151">
        <f t="shared" si="23"/>
        <v>18786.659178082195</v>
      </c>
      <c r="H55" s="151">
        <f>H39*Deposits!$P$18</f>
        <v>0</v>
      </c>
      <c r="I55" s="151">
        <f>I39*Deposits!$P$18</f>
        <v>0</v>
      </c>
      <c r="J55" s="151">
        <f>J39*Deposits!$P$18</f>
        <v>0</v>
      </c>
      <c r="K55" s="151">
        <f>K39*Deposits!$P$18</f>
        <v>0</v>
      </c>
      <c r="L55" s="151">
        <f>L39*Deposits!$P$18</f>
        <v>0</v>
      </c>
      <c r="M55" s="151">
        <f>M39*Deposits!$P$18</f>
        <v>0</v>
      </c>
      <c r="N55" s="151">
        <f>N39*Deposits!$P$18</f>
        <v>0</v>
      </c>
      <c r="O55" s="151">
        <f>O39*Deposits!$P$18</f>
        <v>0</v>
      </c>
      <c r="P55" s="151">
        <f>P39*Deposits!$P$18</f>
        <v>0</v>
      </c>
      <c r="Q55" s="151">
        <f>Q39*Deposits!$P$18</f>
        <v>0</v>
      </c>
      <c r="R55" s="151">
        <f>R39*Deposits!$P$18</f>
        <v>0</v>
      </c>
      <c r="S55" s="151">
        <f>S39*Deposits!$P$18</f>
        <v>0</v>
      </c>
      <c r="T55" s="151">
        <f>T39*Deposits!$P$18</f>
        <v>0</v>
      </c>
      <c r="U55" s="151">
        <f>U39*Deposits!$P$18</f>
        <v>0</v>
      </c>
      <c r="V55" s="151">
        <f>V39*Deposits!$P$18</f>
        <v>0</v>
      </c>
      <c r="W55" s="151">
        <f>W39*Deposits!$P$18</f>
        <v>0</v>
      </c>
      <c r="X55" s="151">
        <f>X39*Deposits!$P$18</f>
        <v>0</v>
      </c>
      <c r="Y55" s="151">
        <f>Y39*Deposits!$P$18</f>
        <v>0</v>
      </c>
      <c r="Z55" s="151">
        <f>Z39*Deposits!$P$18</f>
        <v>0</v>
      </c>
      <c r="AA55" s="151">
        <f>AA39*Deposits!$P$18</f>
        <v>0</v>
      </c>
      <c r="AB55" s="151">
        <f>AB39*Deposits!$P$18</f>
        <v>0</v>
      </c>
      <c r="AC55" s="151">
        <f>AC39*Deposits!$P$18</f>
        <v>0</v>
      </c>
      <c r="AD55" s="151">
        <f>AD39*Deposits!$P$18</f>
        <v>0</v>
      </c>
      <c r="AE55" s="151">
        <f>AE39*Deposits!$P$18</f>
        <v>0</v>
      </c>
      <c r="AF55" s="151">
        <f>AF39*Deposits!$P$18</f>
        <v>0</v>
      </c>
      <c r="AG55" s="151">
        <f>AG39*Deposits!$P$18</f>
        <v>0</v>
      </c>
      <c r="AH55" s="151">
        <f>AH39*Deposits!$P$18</f>
        <v>0</v>
      </c>
      <c r="AI55" s="151">
        <f>AI39*Deposits!$P$18</f>
        <v>0</v>
      </c>
      <c r="AJ55" s="151">
        <f>AJ39*Deposits!$P$18</f>
        <v>0</v>
      </c>
      <c r="AK55" s="151">
        <f>AK39*Deposits!$P$18</f>
        <v>0</v>
      </c>
      <c r="AL55" s="151">
        <f>AL39*Deposits!$P$18</f>
        <v>18786.659178082195</v>
      </c>
      <c r="AM55" s="151">
        <f>AM39*Deposits!$P$18</f>
        <v>0</v>
      </c>
      <c r="AN55" s="151">
        <f>AN39*Deposits!$P$18</f>
        <v>0</v>
      </c>
      <c r="AO55" s="151">
        <f>AO39*Deposits!$P$18</f>
        <v>0</v>
      </c>
      <c r="AP55" s="151">
        <f>AP39*Deposits!$P$18</f>
        <v>0</v>
      </c>
      <c r="AQ55" s="151">
        <f>AQ39*Deposits!$P$18</f>
        <v>0</v>
      </c>
      <c r="AR55" s="151">
        <f>AR39*Deposits!$P$18</f>
        <v>0</v>
      </c>
      <c r="AS55" s="151">
        <f>AS39*Deposits!$P$18</f>
        <v>0</v>
      </c>
      <c r="AT55" s="151">
        <f>AT39*Deposits!$P$18</f>
        <v>0</v>
      </c>
      <c r="AU55" s="151">
        <f>AU39*Deposits!$P$18</f>
        <v>0</v>
      </c>
      <c r="AV55" s="151">
        <f>AV39*Deposits!$P$18</f>
        <v>0</v>
      </c>
      <c r="AW55" s="151">
        <f>AW39*Deposits!$P$18</f>
        <v>0</v>
      </c>
      <c r="AX55" s="151">
        <f>AX39*Deposits!$P$18</f>
        <v>0</v>
      </c>
      <c r="AY55" s="151">
        <f>AY39*Deposits!$P$18</f>
        <v>0</v>
      </c>
      <c r="AZ55" s="151">
        <f>AZ39*Deposits!$P$18</f>
        <v>0</v>
      </c>
      <c r="BA55" s="151">
        <f>BA39*Deposits!$P$18</f>
        <v>0</v>
      </c>
      <c r="BB55" s="151">
        <f>BB39*Deposits!$P$18</f>
        <v>0</v>
      </c>
      <c r="BC55" s="151">
        <f>BC39*Deposits!$P$18</f>
        <v>0</v>
      </c>
      <c r="BD55" s="151">
        <f>BD39*Deposits!$P$18</f>
        <v>0</v>
      </c>
      <c r="BE55" s="151">
        <f>BE39*Deposits!$P$18</f>
        <v>0</v>
      </c>
      <c r="BF55" s="151">
        <f>BF39*Deposits!$P$18</f>
        <v>0</v>
      </c>
      <c r="BG55" s="151">
        <f>BG39*Deposits!$P$18</f>
        <v>0</v>
      </c>
      <c r="BH55" s="151">
        <f>BH39*Deposits!$P$18</f>
        <v>0</v>
      </c>
      <c r="BI55" s="151">
        <f>BI39*Deposits!$P$18</f>
        <v>0</v>
      </c>
      <c r="BJ55" s="151">
        <f>BJ39*Deposits!$P$18</f>
        <v>0</v>
      </c>
      <c r="BK55" s="151">
        <f>BK39*Deposits!$P$18</f>
        <v>0</v>
      </c>
      <c r="BL55" s="151">
        <f>BL39*Deposits!$P$18</f>
        <v>0</v>
      </c>
      <c r="BM55" s="151">
        <f>BM39*Deposits!$P$18</f>
        <v>0</v>
      </c>
      <c r="BN55" s="151">
        <f>BN39*Deposits!$P$18</f>
        <v>0</v>
      </c>
      <c r="BO55" s="151">
        <f>BO39*Deposits!$P$18</f>
        <v>0</v>
      </c>
      <c r="BP55" s="151">
        <f>BP39*Deposits!$P$18</f>
        <v>0</v>
      </c>
    </row>
    <row r="56" spans="3:68" x14ac:dyDescent="0.25">
      <c r="C56" s="198" t="s">
        <v>1049</v>
      </c>
      <c r="D56" s="198" t="s">
        <v>125</v>
      </c>
      <c r="E56" s="244"/>
      <c r="F56" s="244"/>
      <c r="G56" s="244">
        <f t="shared" si="23"/>
        <v>20724.119183561645</v>
      </c>
      <c r="H56" s="244">
        <f t="shared" ref="H56:AM56" si="24">SUM(H44:H55)</f>
        <v>0</v>
      </c>
      <c r="I56" s="244">
        <f t="shared" si="24"/>
        <v>0</v>
      </c>
      <c r="J56" s="244">
        <f t="shared" si="24"/>
        <v>0</v>
      </c>
      <c r="K56" s="244">
        <f t="shared" si="24"/>
        <v>8.2191780821917817</v>
      </c>
      <c r="L56" s="244">
        <f t="shared" si="24"/>
        <v>0</v>
      </c>
      <c r="M56" s="244">
        <f t="shared" si="24"/>
        <v>1232.8767123287671</v>
      </c>
      <c r="N56" s="244">
        <f t="shared" si="24"/>
        <v>0</v>
      </c>
      <c r="O56" s="244">
        <f t="shared" si="24"/>
        <v>0</v>
      </c>
      <c r="P56" s="244">
        <f t="shared" si="24"/>
        <v>0</v>
      </c>
      <c r="Q56" s="244">
        <f t="shared" si="24"/>
        <v>0</v>
      </c>
      <c r="R56" s="244">
        <f t="shared" si="24"/>
        <v>0</v>
      </c>
      <c r="S56" s="244">
        <f t="shared" si="24"/>
        <v>0</v>
      </c>
      <c r="T56" s="244">
        <f t="shared" si="24"/>
        <v>0</v>
      </c>
      <c r="U56" s="244">
        <f t="shared" si="24"/>
        <v>0</v>
      </c>
      <c r="V56" s="244">
        <f t="shared" si="24"/>
        <v>0</v>
      </c>
      <c r="W56" s="244">
        <f t="shared" si="24"/>
        <v>0</v>
      </c>
      <c r="X56" s="244">
        <f t="shared" si="24"/>
        <v>0</v>
      </c>
      <c r="Y56" s="244">
        <f t="shared" si="24"/>
        <v>0</v>
      </c>
      <c r="Z56" s="244">
        <f t="shared" si="24"/>
        <v>0</v>
      </c>
      <c r="AA56" s="244">
        <f t="shared" si="24"/>
        <v>0</v>
      </c>
      <c r="AB56" s="244">
        <f t="shared" si="24"/>
        <v>0</v>
      </c>
      <c r="AC56" s="244">
        <f t="shared" si="24"/>
        <v>0</v>
      </c>
      <c r="AD56" s="244">
        <f t="shared" si="24"/>
        <v>0</v>
      </c>
      <c r="AE56" s="244">
        <f t="shared" si="24"/>
        <v>0</v>
      </c>
      <c r="AF56" s="244">
        <f t="shared" si="24"/>
        <v>0</v>
      </c>
      <c r="AG56" s="244">
        <f t="shared" si="24"/>
        <v>0</v>
      </c>
      <c r="AH56" s="244">
        <f t="shared" si="24"/>
        <v>0</v>
      </c>
      <c r="AI56" s="244">
        <f t="shared" si="24"/>
        <v>0</v>
      </c>
      <c r="AJ56" s="244">
        <f t="shared" si="24"/>
        <v>0</v>
      </c>
      <c r="AK56" s="244">
        <f t="shared" si="24"/>
        <v>0</v>
      </c>
      <c r="AL56" s="244">
        <f t="shared" si="24"/>
        <v>19483.023293150687</v>
      </c>
      <c r="AM56" s="244">
        <f t="shared" si="24"/>
        <v>0</v>
      </c>
      <c r="AN56" s="244">
        <f t="shared" ref="AN56:BP56" si="25">SUM(AN44:AN55)</f>
        <v>0</v>
      </c>
      <c r="AO56" s="244">
        <f t="shared" si="25"/>
        <v>0</v>
      </c>
      <c r="AP56" s="244">
        <f t="shared" si="25"/>
        <v>0</v>
      </c>
      <c r="AQ56" s="244">
        <f t="shared" si="25"/>
        <v>0</v>
      </c>
      <c r="AR56" s="244">
        <f t="shared" si="25"/>
        <v>0</v>
      </c>
      <c r="AS56" s="244">
        <f t="shared" si="25"/>
        <v>0</v>
      </c>
      <c r="AT56" s="244">
        <f t="shared" si="25"/>
        <v>0</v>
      </c>
      <c r="AU56" s="244">
        <f t="shared" si="25"/>
        <v>0</v>
      </c>
      <c r="AV56" s="244">
        <f t="shared" si="25"/>
        <v>0</v>
      </c>
      <c r="AW56" s="244">
        <f t="shared" si="25"/>
        <v>0</v>
      </c>
      <c r="AX56" s="244">
        <f t="shared" si="25"/>
        <v>0</v>
      </c>
      <c r="AY56" s="244">
        <f t="shared" si="25"/>
        <v>0</v>
      </c>
      <c r="AZ56" s="244">
        <f t="shared" si="25"/>
        <v>0</v>
      </c>
      <c r="BA56" s="244">
        <f t="shared" si="25"/>
        <v>0</v>
      </c>
      <c r="BB56" s="244">
        <f t="shared" si="25"/>
        <v>0</v>
      </c>
      <c r="BC56" s="244">
        <f t="shared" si="25"/>
        <v>0</v>
      </c>
      <c r="BD56" s="244">
        <f t="shared" si="25"/>
        <v>0</v>
      </c>
      <c r="BE56" s="244">
        <f t="shared" si="25"/>
        <v>0</v>
      </c>
      <c r="BF56" s="244">
        <f t="shared" si="25"/>
        <v>0</v>
      </c>
      <c r="BG56" s="244">
        <f t="shared" si="25"/>
        <v>0</v>
      </c>
      <c r="BH56" s="244">
        <f t="shared" si="25"/>
        <v>0</v>
      </c>
      <c r="BI56" s="244">
        <f t="shared" si="25"/>
        <v>0</v>
      </c>
      <c r="BJ56" s="244">
        <f t="shared" si="25"/>
        <v>0</v>
      </c>
      <c r="BK56" s="244">
        <f t="shared" si="25"/>
        <v>0</v>
      </c>
      <c r="BL56" s="244">
        <f t="shared" si="25"/>
        <v>0</v>
      </c>
      <c r="BM56" s="244">
        <f t="shared" si="25"/>
        <v>0</v>
      </c>
      <c r="BN56" s="244">
        <f t="shared" si="25"/>
        <v>0</v>
      </c>
      <c r="BO56" s="244">
        <f t="shared" si="25"/>
        <v>0</v>
      </c>
      <c r="BP56" s="244">
        <f t="shared" si="25"/>
        <v>0</v>
      </c>
    </row>
    <row r="57" spans="3:68" x14ac:dyDescent="0.25">
      <c r="C57" t="s">
        <v>1050</v>
      </c>
      <c r="D57" t="s">
        <v>125</v>
      </c>
      <c r="E57" s="151"/>
      <c r="F57" s="151"/>
      <c r="G57" s="151">
        <f>MAX(H57:BP57)</f>
        <v>20724.119183561645</v>
      </c>
      <c r="H57" s="151">
        <f>H56</f>
        <v>0</v>
      </c>
      <c r="I57" s="151">
        <f t="shared" ref="I57:AN57" si="26">H57+I56</f>
        <v>0</v>
      </c>
      <c r="J57" s="151">
        <f t="shared" si="26"/>
        <v>0</v>
      </c>
      <c r="K57" s="151">
        <f t="shared" si="26"/>
        <v>8.2191780821917817</v>
      </c>
      <c r="L57" s="151">
        <f t="shared" si="26"/>
        <v>8.2191780821917817</v>
      </c>
      <c r="M57" s="151">
        <f t="shared" si="26"/>
        <v>1241.0958904109589</v>
      </c>
      <c r="N57" s="151">
        <f t="shared" si="26"/>
        <v>1241.0958904109589</v>
      </c>
      <c r="O57" s="151">
        <f t="shared" si="26"/>
        <v>1241.0958904109589</v>
      </c>
      <c r="P57" s="151">
        <f t="shared" si="26"/>
        <v>1241.0958904109589</v>
      </c>
      <c r="Q57" s="151">
        <f t="shared" si="26"/>
        <v>1241.0958904109589</v>
      </c>
      <c r="R57" s="151">
        <f t="shared" si="26"/>
        <v>1241.0958904109589</v>
      </c>
      <c r="S57" s="151">
        <f t="shared" si="26"/>
        <v>1241.0958904109589</v>
      </c>
      <c r="T57" s="151">
        <f t="shared" si="26"/>
        <v>1241.0958904109589</v>
      </c>
      <c r="U57" s="151">
        <f t="shared" si="26"/>
        <v>1241.0958904109589</v>
      </c>
      <c r="V57" s="151">
        <f t="shared" si="26"/>
        <v>1241.0958904109589</v>
      </c>
      <c r="W57" s="151">
        <f t="shared" si="26"/>
        <v>1241.0958904109589</v>
      </c>
      <c r="X57" s="151">
        <f t="shared" si="26"/>
        <v>1241.0958904109589</v>
      </c>
      <c r="Y57" s="151">
        <f t="shared" si="26"/>
        <v>1241.0958904109589</v>
      </c>
      <c r="Z57" s="151">
        <f t="shared" si="26"/>
        <v>1241.0958904109589</v>
      </c>
      <c r="AA57" s="151">
        <f t="shared" si="26"/>
        <v>1241.0958904109589</v>
      </c>
      <c r="AB57" s="151">
        <f t="shared" si="26"/>
        <v>1241.0958904109589</v>
      </c>
      <c r="AC57" s="151">
        <f t="shared" si="26"/>
        <v>1241.0958904109589</v>
      </c>
      <c r="AD57" s="151">
        <f t="shared" si="26"/>
        <v>1241.0958904109589</v>
      </c>
      <c r="AE57" s="151">
        <f t="shared" si="26"/>
        <v>1241.0958904109589</v>
      </c>
      <c r="AF57" s="151">
        <f t="shared" si="26"/>
        <v>1241.0958904109589</v>
      </c>
      <c r="AG57" s="151">
        <f t="shared" si="26"/>
        <v>1241.0958904109589</v>
      </c>
      <c r="AH57" s="151">
        <f t="shared" si="26"/>
        <v>1241.0958904109589</v>
      </c>
      <c r="AI57" s="151">
        <f t="shared" si="26"/>
        <v>1241.0958904109589</v>
      </c>
      <c r="AJ57" s="151">
        <f t="shared" si="26"/>
        <v>1241.0958904109589</v>
      </c>
      <c r="AK57" s="151">
        <f t="shared" si="26"/>
        <v>1241.0958904109589</v>
      </c>
      <c r="AL57" s="151">
        <f t="shared" si="26"/>
        <v>20724.119183561645</v>
      </c>
      <c r="AM57" s="151">
        <f t="shared" si="26"/>
        <v>20724.119183561645</v>
      </c>
      <c r="AN57" s="151">
        <f t="shared" si="26"/>
        <v>20724.119183561645</v>
      </c>
      <c r="AO57" s="151">
        <f t="shared" ref="AO57:BP57" si="27">AN57+AO56</f>
        <v>20724.119183561645</v>
      </c>
      <c r="AP57" s="151">
        <f t="shared" si="27"/>
        <v>20724.119183561645</v>
      </c>
      <c r="AQ57" s="151">
        <f t="shared" si="27"/>
        <v>20724.119183561645</v>
      </c>
      <c r="AR57" s="151">
        <f t="shared" si="27"/>
        <v>20724.119183561645</v>
      </c>
      <c r="AS57" s="151">
        <f t="shared" si="27"/>
        <v>20724.119183561645</v>
      </c>
      <c r="AT57" s="151">
        <f t="shared" si="27"/>
        <v>20724.119183561645</v>
      </c>
      <c r="AU57" s="151">
        <f t="shared" si="27"/>
        <v>20724.119183561645</v>
      </c>
      <c r="AV57" s="151">
        <f t="shared" si="27"/>
        <v>20724.119183561645</v>
      </c>
      <c r="AW57" s="151">
        <f t="shared" si="27"/>
        <v>20724.119183561645</v>
      </c>
      <c r="AX57" s="151">
        <f t="shared" si="27"/>
        <v>20724.119183561645</v>
      </c>
      <c r="AY57" s="151">
        <f t="shared" si="27"/>
        <v>20724.119183561645</v>
      </c>
      <c r="AZ57" s="151">
        <f t="shared" si="27"/>
        <v>20724.119183561645</v>
      </c>
      <c r="BA57" s="151">
        <f t="shared" si="27"/>
        <v>20724.119183561645</v>
      </c>
      <c r="BB57" s="151">
        <f t="shared" si="27"/>
        <v>20724.119183561645</v>
      </c>
      <c r="BC57" s="151">
        <f t="shared" si="27"/>
        <v>20724.119183561645</v>
      </c>
      <c r="BD57" s="151">
        <f t="shared" si="27"/>
        <v>20724.119183561645</v>
      </c>
      <c r="BE57" s="151">
        <f t="shared" si="27"/>
        <v>20724.119183561645</v>
      </c>
      <c r="BF57" s="151">
        <f t="shared" si="27"/>
        <v>20724.119183561645</v>
      </c>
      <c r="BG57" s="151">
        <f t="shared" si="27"/>
        <v>20724.119183561645</v>
      </c>
      <c r="BH57" s="151">
        <f t="shared" si="27"/>
        <v>20724.119183561645</v>
      </c>
      <c r="BI57" s="151">
        <f t="shared" si="27"/>
        <v>20724.119183561645</v>
      </c>
      <c r="BJ57" s="151">
        <f t="shared" si="27"/>
        <v>20724.119183561645</v>
      </c>
      <c r="BK57" s="151">
        <f t="shared" si="27"/>
        <v>20724.119183561645</v>
      </c>
      <c r="BL57" s="151">
        <f t="shared" si="27"/>
        <v>20724.119183561645</v>
      </c>
      <c r="BM57" s="151">
        <f t="shared" si="27"/>
        <v>20724.119183561645</v>
      </c>
      <c r="BN57" s="151">
        <f t="shared" si="27"/>
        <v>20724.119183561645</v>
      </c>
      <c r="BO57" s="151">
        <f t="shared" si="27"/>
        <v>20724.119183561645</v>
      </c>
      <c r="BP57" s="151">
        <f t="shared" si="27"/>
        <v>20724.119183561645</v>
      </c>
    </row>
    <row r="58" spans="3:68" x14ac:dyDescent="0.25">
      <c r="E58" s="151"/>
      <c r="F58" s="151"/>
      <c r="G58" s="151"/>
      <c r="H58" s="151"/>
      <c r="I58" s="151"/>
      <c r="J58" s="151"/>
      <c r="K58" s="151"/>
      <c r="L58" s="151"/>
      <c r="M58" s="151"/>
      <c r="N58" s="151"/>
      <c r="O58" s="151"/>
      <c r="P58" s="151"/>
      <c r="Q58" s="151"/>
      <c r="R58" s="151"/>
      <c r="S58" s="151"/>
      <c r="T58" s="151"/>
      <c r="U58" s="151"/>
      <c r="V58" s="151"/>
      <c r="W58" s="151"/>
      <c r="X58" s="151"/>
      <c r="Y58" s="151"/>
      <c r="Z58" s="151"/>
      <c r="AA58" s="151"/>
      <c r="AB58" s="151"/>
      <c r="AC58" s="151"/>
      <c r="AD58" s="151"/>
      <c r="AE58" s="151"/>
      <c r="AF58" s="151"/>
      <c r="AG58" s="151"/>
      <c r="AH58" s="151"/>
      <c r="AI58" s="151"/>
      <c r="AJ58" s="151"/>
      <c r="AK58" s="151"/>
      <c r="AL58" s="151"/>
      <c r="AM58" s="151"/>
      <c r="AN58" s="151"/>
      <c r="AO58" s="151"/>
      <c r="AP58" s="151"/>
      <c r="AQ58" s="151"/>
      <c r="AR58" s="151"/>
      <c r="AS58" s="151"/>
      <c r="AT58" s="151"/>
      <c r="AU58" s="151"/>
      <c r="AV58" s="151"/>
      <c r="AW58" s="151"/>
      <c r="AX58" s="151"/>
      <c r="AY58" s="151"/>
      <c r="AZ58" s="151"/>
      <c r="BA58" s="151"/>
      <c r="BB58" s="151"/>
      <c r="BC58" s="151"/>
      <c r="BD58" s="151"/>
      <c r="BE58" s="151"/>
      <c r="BF58" s="151"/>
      <c r="BG58" s="151"/>
      <c r="BH58" s="151"/>
      <c r="BI58" s="151"/>
      <c r="BJ58" s="151"/>
      <c r="BK58" s="151"/>
      <c r="BL58" s="151"/>
      <c r="BM58" s="151"/>
      <c r="BN58" s="151"/>
      <c r="BO58" s="151"/>
      <c r="BP58" s="151"/>
    </row>
    <row r="59" spans="3:68" x14ac:dyDescent="0.25">
      <c r="C59" s="129" t="s">
        <v>1051</v>
      </c>
      <c r="D59" s="129"/>
      <c r="E59" s="252"/>
      <c r="F59" s="252"/>
      <c r="G59" s="252"/>
      <c r="H59" s="252"/>
      <c r="I59" s="252"/>
      <c r="J59" s="252"/>
      <c r="K59" s="252"/>
      <c r="L59" s="252"/>
      <c r="M59" s="252"/>
      <c r="N59" s="252"/>
      <c r="O59" s="252"/>
      <c r="P59" s="252"/>
      <c r="Q59" s="252"/>
      <c r="R59" s="252"/>
      <c r="S59" s="252"/>
      <c r="T59" s="252"/>
      <c r="U59" s="252"/>
      <c r="V59" s="252"/>
      <c r="W59" s="252"/>
      <c r="X59" s="252"/>
      <c r="Y59" s="252"/>
      <c r="Z59" s="252"/>
      <c r="AA59" s="252"/>
      <c r="AB59" s="252"/>
      <c r="AC59" s="252"/>
      <c r="AD59" s="252"/>
      <c r="AE59" s="252"/>
      <c r="AF59" s="252"/>
      <c r="AG59" s="252"/>
      <c r="AH59" s="252"/>
      <c r="AI59" s="252"/>
      <c r="AJ59" s="252"/>
      <c r="AK59" s="252"/>
      <c r="AL59" s="252"/>
      <c r="AM59" s="252"/>
      <c r="AN59" s="252"/>
      <c r="AO59" s="252"/>
      <c r="AP59" s="252"/>
      <c r="AQ59" s="252"/>
      <c r="AR59" s="252"/>
      <c r="AS59" s="252"/>
      <c r="AT59" s="252"/>
      <c r="AU59" s="252"/>
      <c r="AV59" s="252"/>
      <c r="AW59" s="252"/>
      <c r="AX59" s="252"/>
      <c r="AY59" s="252"/>
      <c r="AZ59" s="252"/>
      <c r="BA59" s="252"/>
      <c r="BB59" s="252"/>
      <c r="BC59" s="252"/>
      <c r="BD59" s="252"/>
      <c r="BE59" s="252"/>
      <c r="BF59" s="252"/>
      <c r="BG59" s="252"/>
      <c r="BH59" s="252"/>
      <c r="BI59" s="252"/>
      <c r="BJ59" s="252"/>
      <c r="BK59" s="252"/>
      <c r="BL59" s="252"/>
      <c r="BM59" s="252"/>
      <c r="BN59" s="252"/>
      <c r="BO59" s="252"/>
      <c r="BP59" s="252"/>
    </row>
    <row r="60" spans="3:68" x14ac:dyDescent="0.25">
      <c r="C60" s="228" t="str">
        <f t="shared" ref="C60:C71" si="28">C28</f>
        <v>Részvételi díj</v>
      </c>
      <c r="D60" t="s">
        <v>125</v>
      </c>
      <c r="E60" s="151"/>
      <c r="F60" s="151"/>
      <c r="G60" s="151">
        <f t="shared" ref="G60:G72" si="29">SUM(H60:BP60)</f>
        <v>0</v>
      </c>
      <c r="H60" s="151">
        <f>H28*(1-Deposits!$P$7)</f>
        <v>0</v>
      </c>
      <c r="I60" s="151">
        <f>I28*(1-Deposits!$P$7)</f>
        <v>0</v>
      </c>
      <c r="J60" s="151">
        <f>J28*(1-Deposits!$P$7)</f>
        <v>0</v>
      </c>
      <c r="K60" s="151">
        <f>K28*(1-Deposits!$P$7)</f>
        <v>0</v>
      </c>
      <c r="L60" s="151">
        <f>L28*(1-Deposits!$P$7)</f>
        <v>0</v>
      </c>
      <c r="M60" s="151">
        <f>M28*(1-Deposits!$P$7)</f>
        <v>0</v>
      </c>
      <c r="N60" s="151">
        <f>N28*(1-Deposits!$P$7)</f>
        <v>0</v>
      </c>
      <c r="O60" s="151">
        <f>O28*(1-Deposits!$P$7)</f>
        <v>0</v>
      </c>
      <c r="P60" s="151">
        <f>P28*(1-Deposits!$P$7)</f>
        <v>0</v>
      </c>
      <c r="Q60" s="151">
        <f>Q28*(1-Deposits!$P$7)</f>
        <v>0</v>
      </c>
      <c r="R60" s="151">
        <f>R28*(1-Deposits!$P$7)</f>
        <v>0</v>
      </c>
      <c r="S60" s="151">
        <f>S28*(1-Deposits!$P$7)</f>
        <v>0</v>
      </c>
      <c r="T60" s="151">
        <f>T28*(1-Deposits!$P$7)</f>
        <v>0</v>
      </c>
      <c r="U60" s="151">
        <f>U28*(1-Deposits!$P$7)</f>
        <v>0</v>
      </c>
      <c r="V60" s="151">
        <f>V28*(1-Deposits!$P$7)</f>
        <v>0</v>
      </c>
      <c r="W60" s="151">
        <f>W28*(1-Deposits!$P$7)</f>
        <v>0</v>
      </c>
      <c r="X60" s="151">
        <f>X28*(1-Deposits!$P$7)</f>
        <v>0</v>
      </c>
      <c r="Y60" s="151">
        <f>Y28*(1-Deposits!$P$7)</f>
        <v>0</v>
      </c>
      <c r="Z60" s="151">
        <f>Z28*(1-Deposits!$P$7)</f>
        <v>0</v>
      </c>
      <c r="AA60" s="151">
        <f>AA28*(1-Deposits!$P$7)</f>
        <v>0</v>
      </c>
      <c r="AB60" s="151">
        <f>AB28*(1-Deposits!$P$7)</f>
        <v>0</v>
      </c>
      <c r="AC60" s="151">
        <f>AC28*(1-Deposits!$P$7)</f>
        <v>0</v>
      </c>
      <c r="AD60" s="151">
        <f>AD28*(1-Deposits!$P$7)</f>
        <v>0</v>
      </c>
      <c r="AE60" s="151">
        <f>AE28*(1-Deposits!$P$7)</f>
        <v>0</v>
      </c>
      <c r="AF60" s="151">
        <f>AF28*(1-Deposits!$P$7)</f>
        <v>0</v>
      </c>
      <c r="AG60" s="151">
        <f>AG28*(1-Deposits!$P$7)</f>
        <v>0</v>
      </c>
      <c r="AH60" s="151">
        <f>AH28*(1-Deposits!$P$7)</f>
        <v>0</v>
      </c>
      <c r="AI60" s="151">
        <f>AI28*(1-Deposits!$P$7)</f>
        <v>0</v>
      </c>
      <c r="AJ60" s="151">
        <f>AJ28*(1-Deposits!$P$7)</f>
        <v>0</v>
      </c>
      <c r="AK60" s="151">
        <f>AK28*(1-Deposits!$P$7)</f>
        <v>0</v>
      </c>
      <c r="AL60" s="151">
        <f>AL28*(1-Deposits!$P$7)</f>
        <v>0</v>
      </c>
      <c r="AM60" s="151">
        <f>AM28*(1-Deposits!$P$7)</f>
        <v>0</v>
      </c>
      <c r="AN60" s="151">
        <f>AN28*(1-Deposits!$P$7)</f>
        <v>0</v>
      </c>
      <c r="AO60" s="151">
        <f>AO28*(1-Deposits!$P$7)</f>
        <v>0</v>
      </c>
      <c r="AP60" s="151">
        <f>AP28*(1-Deposits!$P$7)</f>
        <v>0</v>
      </c>
      <c r="AQ60" s="151">
        <f>AQ28*(1-Deposits!$P$7)</f>
        <v>0</v>
      </c>
      <c r="AR60" s="151">
        <f>AR28*(1-Deposits!$P$7)</f>
        <v>0</v>
      </c>
      <c r="AS60" s="151">
        <f>AS28*(1-Deposits!$P$7)</f>
        <v>0</v>
      </c>
      <c r="AT60" s="151">
        <f>AT28*(1-Deposits!$P$7)</f>
        <v>0</v>
      </c>
      <c r="AU60" s="151">
        <f>AU28*(1-Deposits!$P$7)</f>
        <v>0</v>
      </c>
      <c r="AV60" s="151">
        <f>AV28*(1-Deposits!$P$7)</f>
        <v>0</v>
      </c>
      <c r="AW60" s="151">
        <f>AW28*(1-Deposits!$P$7)</f>
        <v>0</v>
      </c>
      <c r="AX60" s="151">
        <f>AX28*(1-Deposits!$P$7)</f>
        <v>0</v>
      </c>
      <c r="AY60" s="151">
        <f>AY28*(1-Deposits!$P$7)</f>
        <v>0</v>
      </c>
      <c r="AZ60" s="151">
        <f>AZ28*(1-Deposits!$P$7)</f>
        <v>0</v>
      </c>
      <c r="BA60" s="151">
        <f>BA28*(1-Deposits!$P$7)</f>
        <v>0</v>
      </c>
      <c r="BB60" s="151">
        <f>BB28*(1-Deposits!$P$7)</f>
        <v>0</v>
      </c>
      <c r="BC60" s="151">
        <f>BC28*(1-Deposits!$P$7)</f>
        <v>0</v>
      </c>
      <c r="BD60" s="151">
        <f>BD28*(1-Deposits!$P$7)</f>
        <v>0</v>
      </c>
      <c r="BE60" s="151">
        <f>BE28*(1-Deposits!$P$7)</f>
        <v>0</v>
      </c>
      <c r="BF60" s="151">
        <f>BF28*(1-Deposits!$P$7)</f>
        <v>0</v>
      </c>
      <c r="BG60" s="151">
        <f>BG28*(1-Deposits!$P$7)</f>
        <v>0</v>
      </c>
      <c r="BH60" s="151">
        <f>BH28*(1-Deposits!$P$7)</f>
        <v>0</v>
      </c>
      <c r="BI60" s="151">
        <f>BI28*(1-Deposits!$P$7)</f>
        <v>0</v>
      </c>
      <c r="BJ60" s="151">
        <f>BJ28*(1-Deposits!$P$7)</f>
        <v>0</v>
      </c>
      <c r="BK60" s="151">
        <f>BK28*(1-Deposits!$P$7)</f>
        <v>0</v>
      </c>
      <c r="BL60" s="151">
        <f>BL28*(1-Deposits!$P$7)</f>
        <v>0</v>
      </c>
      <c r="BM60" s="151">
        <f>BM28*(1-Deposits!$P$7)</f>
        <v>0</v>
      </c>
      <c r="BN60" s="151">
        <f>BN28*(1-Deposits!$P$7)</f>
        <v>0</v>
      </c>
      <c r="BO60" s="151">
        <f>BO28*(1-Deposits!$P$7)</f>
        <v>0</v>
      </c>
      <c r="BP60" s="151">
        <f>BP28*(1-Deposits!$P$7)</f>
        <v>0</v>
      </c>
    </row>
    <row r="61" spans="3:68" x14ac:dyDescent="0.25">
      <c r="C61" s="228" t="str">
        <f t="shared" si="28"/>
        <v>Ajánlati biztosíték</v>
      </c>
      <c r="D61" t="s">
        <v>125</v>
      </c>
      <c r="E61" s="151"/>
      <c r="F61" s="151"/>
      <c r="G61" s="151">
        <f t="shared" si="29"/>
        <v>1168.5753424657537</v>
      </c>
      <c r="H61" s="151">
        <f>H29*(1-Deposits!$P$8)</f>
        <v>0</v>
      </c>
      <c r="I61" s="151">
        <f>I29*(1-Deposits!$P$8)</f>
        <v>0</v>
      </c>
      <c r="J61" s="151">
        <f>J29*(1-Deposits!$P$8)</f>
        <v>0</v>
      </c>
      <c r="K61" s="151">
        <f>K29*(1-Deposits!$P$8)</f>
        <v>1168.5753424657537</v>
      </c>
      <c r="L61" s="151">
        <f>L29*(1-Deposits!$P$8)</f>
        <v>0</v>
      </c>
      <c r="M61" s="151">
        <f>M29*(1-Deposits!$P$8)</f>
        <v>0</v>
      </c>
      <c r="N61" s="151">
        <f>N29*(1-Deposits!$P$8)</f>
        <v>0</v>
      </c>
      <c r="O61" s="151">
        <f>O29*(1-Deposits!$P$8)</f>
        <v>0</v>
      </c>
      <c r="P61" s="151">
        <f>P29*(1-Deposits!$P$8)</f>
        <v>0</v>
      </c>
      <c r="Q61" s="151">
        <f>Q29*(1-Deposits!$P$8)</f>
        <v>0</v>
      </c>
      <c r="R61" s="151">
        <f>R29*(1-Deposits!$P$8)</f>
        <v>0</v>
      </c>
      <c r="S61" s="151">
        <f>S29*(1-Deposits!$P$8)</f>
        <v>0</v>
      </c>
      <c r="T61" s="151">
        <f>T29*(1-Deposits!$P$8)</f>
        <v>0</v>
      </c>
      <c r="U61" s="151">
        <f>U29*(1-Deposits!$P$8)</f>
        <v>0</v>
      </c>
      <c r="V61" s="151">
        <f>V29*(1-Deposits!$P$8)</f>
        <v>0</v>
      </c>
      <c r="W61" s="151">
        <f>W29*(1-Deposits!$P$8)</f>
        <v>0</v>
      </c>
      <c r="X61" s="151">
        <f>X29*(1-Deposits!$P$8)</f>
        <v>0</v>
      </c>
      <c r="Y61" s="151">
        <f>Y29*(1-Deposits!$P$8)</f>
        <v>0</v>
      </c>
      <c r="Z61" s="151">
        <f>Z29*(1-Deposits!$P$8)</f>
        <v>0</v>
      </c>
      <c r="AA61" s="151">
        <f>AA29*(1-Deposits!$P$8)</f>
        <v>0</v>
      </c>
      <c r="AB61" s="151">
        <f>AB29*(1-Deposits!$P$8)</f>
        <v>0</v>
      </c>
      <c r="AC61" s="151">
        <f>AC29*(1-Deposits!$P$8)</f>
        <v>0</v>
      </c>
      <c r="AD61" s="151">
        <f>AD29*(1-Deposits!$P$8)</f>
        <v>0</v>
      </c>
      <c r="AE61" s="151">
        <f>AE29*(1-Deposits!$P$8)</f>
        <v>0</v>
      </c>
      <c r="AF61" s="151">
        <f>AF29*(1-Deposits!$P$8)</f>
        <v>0</v>
      </c>
      <c r="AG61" s="151">
        <f>AG29*(1-Deposits!$P$8)</f>
        <v>0</v>
      </c>
      <c r="AH61" s="151">
        <f>AH29*(1-Deposits!$P$8)</f>
        <v>0</v>
      </c>
      <c r="AI61" s="151">
        <f>AI29*(1-Deposits!$P$8)</f>
        <v>0</v>
      </c>
      <c r="AJ61" s="151">
        <f>AJ29*(1-Deposits!$P$8)</f>
        <v>0</v>
      </c>
      <c r="AK61" s="151">
        <f>AK29*(1-Deposits!$P$8)</f>
        <v>0</v>
      </c>
      <c r="AL61" s="151">
        <f>AL29*(1-Deposits!$P$8)</f>
        <v>0</v>
      </c>
      <c r="AM61" s="151">
        <f>AM29*(1-Deposits!$P$8)</f>
        <v>0</v>
      </c>
      <c r="AN61" s="151">
        <f>AN29*(1-Deposits!$P$8)</f>
        <v>0</v>
      </c>
      <c r="AO61" s="151">
        <f>AO29*(1-Deposits!$P$8)</f>
        <v>0</v>
      </c>
      <c r="AP61" s="151">
        <f>AP29*(1-Deposits!$P$8)</f>
        <v>0</v>
      </c>
      <c r="AQ61" s="151">
        <f>AQ29*(1-Deposits!$P$8)</f>
        <v>0</v>
      </c>
      <c r="AR61" s="151">
        <f>AR29*(1-Deposits!$P$8)</f>
        <v>0</v>
      </c>
      <c r="AS61" s="151">
        <f>AS29*(1-Deposits!$P$8)</f>
        <v>0</v>
      </c>
      <c r="AT61" s="151">
        <f>AT29*(1-Deposits!$P$8)</f>
        <v>0</v>
      </c>
      <c r="AU61" s="151">
        <f>AU29*(1-Deposits!$P$8)</f>
        <v>0</v>
      </c>
      <c r="AV61" s="151">
        <f>AV29*(1-Deposits!$P$8)</f>
        <v>0</v>
      </c>
      <c r="AW61" s="151">
        <f>AW29*(1-Deposits!$P$8)</f>
        <v>0</v>
      </c>
      <c r="AX61" s="151">
        <f>AX29*(1-Deposits!$P$8)</f>
        <v>0</v>
      </c>
      <c r="AY61" s="151">
        <f>AY29*(1-Deposits!$P$8)</f>
        <v>0</v>
      </c>
      <c r="AZ61" s="151">
        <f>AZ29*(1-Deposits!$P$8)</f>
        <v>0</v>
      </c>
      <c r="BA61" s="151">
        <f>BA29*(1-Deposits!$P$8)</f>
        <v>0</v>
      </c>
      <c r="BB61" s="151">
        <f>BB29*(1-Deposits!$P$8)</f>
        <v>0</v>
      </c>
      <c r="BC61" s="151">
        <f>BC29*(1-Deposits!$P$8)</f>
        <v>0</v>
      </c>
      <c r="BD61" s="151">
        <f>BD29*(1-Deposits!$P$8)</f>
        <v>0</v>
      </c>
      <c r="BE61" s="151">
        <f>BE29*(1-Deposits!$P$8)</f>
        <v>0</v>
      </c>
      <c r="BF61" s="151">
        <f>BF29*(1-Deposits!$P$8)</f>
        <v>0</v>
      </c>
      <c r="BG61" s="151">
        <f>BG29*(1-Deposits!$P$8)</f>
        <v>0</v>
      </c>
      <c r="BH61" s="151">
        <f>BH29*(1-Deposits!$P$8)</f>
        <v>0</v>
      </c>
      <c r="BI61" s="151">
        <f>BI29*(1-Deposits!$P$8)</f>
        <v>0</v>
      </c>
      <c r="BJ61" s="151">
        <f>BJ29*(1-Deposits!$P$8)</f>
        <v>0</v>
      </c>
      <c r="BK61" s="151">
        <f>BK29*(1-Deposits!$P$8)</f>
        <v>0</v>
      </c>
      <c r="BL61" s="151">
        <f>BL29*(1-Deposits!$P$8)</f>
        <v>0</v>
      </c>
      <c r="BM61" s="151">
        <f>BM29*(1-Deposits!$P$8)</f>
        <v>0</v>
      </c>
      <c r="BN61" s="151">
        <f>BN29*(1-Deposits!$P$8)</f>
        <v>0</v>
      </c>
      <c r="BO61" s="151">
        <f>BO29*(1-Deposits!$P$8)</f>
        <v>0</v>
      </c>
      <c r="BP61" s="151">
        <f>BP29*(1-Deposits!$P$8)</f>
        <v>0</v>
      </c>
    </row>
    <row r="62" spans="3:68" x14ac:dyDescent="0.25">
      <c r="C62" s="228" t="str">
        <f t="shared" si="28"/>
        <v>Ajánlati biztosíték visszatérítés – sikertelen kapacitás</v>
      </c>
      <c r="D62" t="s">
        <v>125</v>
      </c>
      <c r="E62" s="151"/>
      <c r="F62" s="151"/>
      <c r="G62" s="151">
        <f t="shared" si="29"/>
        <v>0</v>
      </c>
      <c r="H62" s="151">
        <f>H30*(1-Deposits!$P$9)</f>
        <v>0</v>
      </c>
      <c r="I62" s="151">
        <f>I30*(1-Deposits!$P$9)</f>
        <v>0</v>
      </c>
      <c r="J62" s="151">
        <f>J30*(1-Deposits!$P$9)</f>
        <v>0</v>
      </c>
      <c r="K62" s="151">
        <f>K30*(1-Deposits!$P$9)</f>
        <v>0</v>
      </c>
      <c r="L62" s="151">
        <f>L30*(1-Deposits!$P$9)</f>
        <v>0</v>
      </c>
      <c r="M62" s="151">
        <f>M30*(1-Deposits!$P$9)</f>
        <v>0</v>
      </c>
      <c r="N62" s="151">
        <f>N30*(1-Deposits!$P$9)</f>
        <v>0</v>
      </c>
      <c r="O62" s="151">
        <f>O30*(1-Deposits!$P$9)</f>
        <v>0</v>
      </c>
      <c r="P62" s="151">
        <f>P30*(1-Deposits!$P$9)</f>
        <v>0</v>
      </c>
      <c r="Q62" s="151">
        <f>Q30*(1-Deposits!$P$9)</f>
        <v>0</v>
      </c>
      <c r="R62" s="151">
        <f>R30*(1-Deposits!$P$9)</f>
        <v>0</v>
      </c>
      <c r="S62" s="151">
        <f>S30*(1-Deposits!$P$9)</f>
        <v>0</v>
      </c>
      <c r="T62" s="151">
        <f>T30*(1-Deposits!$P$9)</f>
        <v>0</v>
      </c>
      <c r="U62" s="151">
        <f>U30*(1-Deposits!$P$9)</f>
        <v>0</v>
      </c>
      <c r="V62" s="151">
        <f>V30*(1-Deposits!$P$9)</f>
        <v>0</v>
      </c>
      <c r="W62" s="151">
        <f>W30*(1-Deposits!$P$9)</f>
        <v>0</v>
      </c>
      <c r="X62" s="151">
        <f>X30*(1-Deposits!$P$9)</f>
        <v>0</v>
      </c>
      <c r="Y62" s="151">
        <f>Y30*(1-Deposits!$P$9)</f>
        <v>0</v>
      </c>
      <c r="Z62" s="151">
        <f>Z30*(1-Deposits!$P$9)</f>
        <v>0</v>
      </c>
      <c r="AA62" s="151">
        <f>AA30*(1-Deposits!$P$9)</f>
        <v>0</v>
      </c>
      <c r="AB62" s="151">
        <f>AB30*(1-Deposits!$P$9)</f>
        <v>0</v>
      </c>
      <c r="AC62" s="151">
        <f>AC30*(1-Deposits!$P$9)</f>
        <v>0</v>
      </c>
      <c r="AD62" s="151">
        <f>AD30*(1-Deposits!$P$9)</f>
        <v>0</v>
      </c>
      <c r="AE62" s="151">
        <f>AE30*(1-Deposits!$P$9)</f>
        <v>0</v>
      </c>
      <c r="AF62" s="151">
        <f>AF30*(1-Deposits!$P$9)</f>
        <v>0</v>
      </c>
      <c r="AG62" s="151">
        <f>AG30*(1-Deposits!$P$9)</f>
        <v>0</v>
      </c>
      <c r="AH62" s="151">
        <f>AH30*(1-Deposits!$P$9)</f>
        <v>0</v>
      </c>
      <c r="AI62" s="151">
        <f>AI30*(1-Deposits!$P$9)</f>
        <v>0</v>
      </c>
      <c r="AJ62" s="151">
        <f>AJ30*(1-Deposits!$P$9)</f>
        <v>0</v>
      </c>
      <c r="AK62" s="151">
        <f>AK30*(1-Deposits!$P$9)</f>
        <v>0</v>
      </c>
      <c r="AL62" s="151">
        <f>AL30*(1-Deposits!$P$9)</f>
        <v>0</v>
      </c>
      <c r="AM62" s="151">
        <f>AM30*(1-Deposits!$P$9)</f>
        <v>0</v>
      </c>
      <c r="AN62" s="151">
        <f>AN30*(1-Deposits!$P$9)</f>
        <v>0</v>
      </c>
      <c r="AO62" s="151">
        <f>AO30*(1-Deposits!$P$9)</f>
        <v>0</v>
      </c>
      <c r="AP62" s="151">
        <f>AP30*(1-Deposits!$P$9)</f>
        <v>0</v>
      </c>
      <c r="AQ62" s="151">
        <f>AQ30*(1-Deposits!$P$9)</f>
        <v>0</v>
      </c>
      <c r="AR62" s="151">
        <f>AR30*(1-Deposits!$P$9)</f>
        <v>0</v>
      </c>
      <c r="AS62" s="151">
        <f>AS30*(1-Deposits!$P$9)</f>
        <v>0</v>
      </c>
      <c r="AT62" s="151">
        <f>AT30*(1-Deposits!$P$9)</f>
        <v>0</v>
      </c>
      <c r="AU62" s="151">
        <f>AU30*(1-Deposits!$P$9)</f>
        <v>0</v>
      </c>
      <c r="AV62" s="151">
        <f>AV30*(1-Deposits!$P$9)</f>
        <v>0</v>
      </c>
      <c r="AW62" s="151">
        <f>AW30*(1-Deposits!$P$9)</f>
        <v>0</v>
      </c>
      <c r="AX62" s="151">
        <f>AX30*(1-Deposits!$P$9)</f>
        <v>0</v>
      </c>
      <c r="AY62" s="151">
        <f>AY30*(1-Deposits!$P$9)</f>
        <v>0</v>
      </c>
      <c r="AZ62" s="151">
        <f>AZ30*(1-Deposits!$P$9)</f>
        <v>0</v>
      </c>
      <c r="BA62" s="151">
        <f>BA30*(1-Deposits!$P$9)</f>
        <v>0</v>
      </c>
      <c r="BB62" s="151">
        <f>BB30*(1-Deposits!$P$9)</f>
        <v>0</v>
      </c>
      <c r="BC62" s="151">
        <f>BC30*(1-Deposits!$P$9)</f>
        <v>0</v>
      </c>
      <c r="BD62" s="151">
        <f>BD30*(1-Deposits!$P$9)</f>
        <v>0</v>
      </c>
      <c r="BE62" s="151">
        <f>BE30*(1-Deposits!$P$9)</f>
        <v>0</v>
      </c>
      <c r="BF62" s="151">
        <f>BF30*(1-Deposits!$P$9)</f>
        <v>0</v>
      </c>
      <c r="BG62" s="151">
        <f>BG30*(1-Deposits!$P$9)</f>
        <v>0</v>
      </c>
      <c r="BH62" s="151">
        <f>BH30*(1-Deposits!$P$9)</f>
        <v>0</v>
      </c>
      <c r="BI62" s="151">
        <f>BI30*(1-Deposits!$P$9)</f>
        <v>0</v>
      </c>
      <c r="BJ62" s="151">
        <f>BJ30*(1-Deposits!$P$9)</f>
        <v>0</v>
      </c>
      <c r="BK62" s="151">
        <f>BK30*(1-Deposits!$P$9)</f>
        <v>0</v>
      </c>
      <c r="BL62" s="151">
        <f>BL30*(1-Deposits!$P$9)</f>
        <v>0</v>
      </c>
      <c r="BM62" s="151">
        <f>BM30*(1-Deposits!$P$9)</f>
        <v>0</v>
      </c>
      <c r="BN62" s="151">
        <f>BN30*(1-Deposits!$P$9)</f>
        <v>0</v>
      </c>
      <c r="BO62" s="151">
        <f>BO30*(1-Deposits!$P$9)</f>
        <v>0</v>
      </c>
      <c r="BP62" s="151">
        <f>BP30*(1-Deposits!$P$9)</f>
        <v>0</v>
      </c>
    </row>
    <row r="63" spans="3:68" x14ac:dyDescent="0.25">
      <c r="C63" s="228" t="str">
        <f t="shared" si="28"/>
        <v>Teljesítési biztosíték</v>
      </c>
      <c r="D63" t="s">
        <v>125</v>
      </c>
      <c r="E63" s="151"/>
      <c r="F63" s="151"/>
      <c r="G63" s="151">
        <f t="shared" si="29"/>
        <v>4674.3013698630148</v>
      </c>
      <c r="H63" s="151">
        <f>H31*(1-Deposits!$P$10)</f>
        <v>0</v>
      </c>
      <c r="I63" s="151">
        <f>I31*(1-Deposits!$P$10)</f>
        <v>0</v>
      </c>
      <c r="J63" s="151">
        <f>J31*(1-Deposits!$P$10)</f>
        <v>0</v>
      </c>
      <c r="K63" s="151">
        <f>K31*(1-Deposits!$P$10)</f>
        <v>0</v>
      </c>
      <c r="L63" s="151">
        <f>L31*(1-Deposits!$P$10)</f>
        <v>0</v>
      </c>
      <c r="M63" s="151">
        <f>M31*(1-Deposits!$P$10)</f>
        <v>4674.3013698630148</v>
      </c>
      <c r="N63" s="151">
        <f>N31*(1-Deposits!$P$10)</f>
        <v>0</v>
      </c>
      <c r="O63" s="151">
        <f>O31*(1-Deposits!$P$10)</f>
        <v>0</v>
      </c>
      <c r="P63" s="151">
        <f>P31*(1-Deposits!$P$10)</f>
        <v>0</v>
      </c>
      <c r="Q63" s="151">
        <f>Q31*(1-Deposits!$P$10)</f>
        <v>0</v>
      </c>
      <c r="R63" s="151">
        <f>R31*(1-Deposits!$P$10)</f>
        <v>0</v>
      </c>
      <c r="S63" s="151">
        <f>S31*(1-Deposits!$P$10)</f>
        <v>0</v>
      </c>
      <c r="T63" s="151">
        <f>T31*(1-Deposits!$P$10)</f>
        <v>0</v>
      </c>
      <c r="U63" s="151">
        <f>U31*(1-Deposits!$P$10)</f>
        <v>0</v>
      </c>
      <c r="V63" s="151">
        <f>V31*(1-Deposits!$P$10)</f>
        <v>0</v>
      </c>
      <c r="W63" s="151">
        <f>W31*(1-Deposits!$P$10)</f>
        <v>0</v>
      </c>
      <c r="X63" s="151">
        <f>X31*(1-Deposits!$P$10)</f>
        <v>0</v>
      </c>
      <c r="Y63" s="151">
        <f>Y31*(1-Deposits!$P$10)</f>
        <v>0</v>
      </c>
      <c r="Z63" s="151">
        <f>Z31*(1-Deposits!$P$10)</f>
        <v>0</v>
      </c>
      <c r="AA63" s="151">
        <f>AA31*(1-Deposits!$P$10)</f>
        <v>0</v>
      </c>
      <c r="AB63" s="151">
        <f>AB31*(1-Deposits!$P$10)</f>
        <v>0</v>
      </c>
      <c r="AC63" s="151">
        <f>AC31*(1-Deposits!$P$10)</f>
        <v>0</v>
      </c>
      <c r="AD63" s="151">
        <f>AD31*(1-Deposits!$P$10)</f>
        <v>0</v>
      </c>
      <c r="AE63" s="151">
        <f>AE31*(1-Deposits!$P$10)</f>
        <v>0</v>
      </c>
      <c r="AF63" s="151">
        <f>AF31*(1-Deposits!$P$10)</f>
        <v>0</v>
      </c>
      <c r="AG63" s="151">
        <f>AG31*(1-Deposits!$P$10)</f>
        <v>0</v>
      </c>
      <c r="AH63" s="151">
        <f>AH31*(1-Deposits!$P$10)</f>
        <v>0</v>
      </c>
      <c r="AI63" s="151">
        <f>AI31*(1-Deposits!$P$10)</f>
        <v>0</v>
      </c>
      <c r="AJ63" s="151">
        <f>AJ31*(1-Deposits!$P$10)</f>
        <v>0</v>
      </c>
      <c r="AK63" s="151">
        <f>AK31*(1-Deposits!$P$10)</f>
        <v>0</v>
      </c>
      <c r="AL63" s="151">
        <f>AL31*(1-Deposits!$P$10)</f>
        <v>0</v>
      </c>
      <c r="AM63" s="151">
        <f>AM31*(1-Deposits!$P$10)</f>
        <v>0</v>
      </c>
      <c r="AN63" s="151">
        <f>AN31*(1-Deposits!$P$10)</f>
        <v>0</v>
      </c>
      <c r="AO63" s="151">
        <f>AO31*(1-Deposits!$P$10)</f>
        <v>0</v>
      </c>
      <c r="AP63" s="151">
        <f>AP31*(1-Deposits!$P$10)</f>
        <v>0</v>
      </c>
      <c r="AQ63" s="151">
        <f>AQ31*(1-Deposits!$P$10)</f>
        <v>0</v>
      </c>
      <c r="AR63" s="151">
        <f>AR31*(1-Deposits!$P$10)</f>
        <v>0</v>
      </c>
      <c r="AS63" s="151">
        <f>AS31*(1-Deposits!$P$10)</f>
        <v>0</v>
      </c>
      <c r="AT63" s="151">
        <f>AT31*(1-Deposits!$P$10)</f>
        <v>0</v>
      </c>
      <c r="AU63" s="151">
        <f>AU31*(1-Deposits!$P$10)</f>
        <v>0</v>
      </c>
      <c r="AV63" s="151">
        <f>AV31*(1-Deposits!$P$10)</f>
        <v>0</v>
      </c>
      <c r="AW63" s="151">
        <f>AW31*(1-Deposits!$P$10)</f>
        <v>0</v>
      </c>
      <c r="AX63" s="151">
        <f>AX31*(1-Deposits!$P$10)</f>
        <v>0</v>
      </c>
      <c r="AY63" s="151">
        <f>AY31*(1-Deposits!$P$10)</f>
        <v>0</v>
      </c>
      <c r="AZ63" s="151">
        <f>AZ31*(1-Deposits!$P$10)</f>
        <v>0</v>
      </c>
      <c r="BA63" s="151">
        <f>BA31*(1-Deposits!$P$10)</f>
        <v>0</v>
      </c>
      <c r="BB63" s="151">
        <f>BB31*(1-Deposits!$P$10)</f>
        <v>0</v>
      </c>
      <c r="BC63" s="151">
        <f>BC31*(1-Deposits!$P$10)</f>
        <v>0</v>
      </c>
      <c r="BD63" s="151">
        <f>BD31*(1-Deposits!$P$10)</f>
        <v>0</v>
      </c>
      <c r="BE63" s="151">
        <f>BE31*(1-Deposits!$P$10)</f>
        <v>0</v>
      </c>
      <c r="BF63" s="151">
        <f>BF31*(1-Deposits!$P$10)</f>
        <v>0</v>
      </c>
      <c r="BG63" s="151">
        <f>BG31*(1-Deposits!$P$10)</f>
        <v>0</v>
      </c>
      <c r="BH63" s="151">
        <f>BH31*(1-Deposits!$P$10)</f>
        <v>0</v>
      </c>
      <c r="BI63" s="151">
        <f>BI31*(1-Deposits!$P$10)</f>
        <v>0</v>
      </c>
      <c r="BJ63" s="151">
        <f>BJ31*(1-Deposits!$P$10)</f>
        <v>0</v>
      </c>
      <c r="BK63" s="151">
        <f>BK31*(1-Deposits!$P$10)</f>
        <v>0</v>
      </c>
      <c r="BL63" s="151">
        <f>BL31*(1-Deposits!$P$10)</f>
        <v>0</v>
      </c>
      <c r="BM63" s="151">
        <f>BM31*(1-Deposits!$P$10)</f>
        <v>0</v>
      </c>
      <c r="BN63" s="151">
        <f>BN31*(1-Deposits!$P$10)</f>
        <v>0</v>
      </c>
      <c r="BO63" s="151">
        <f>BO31*(1-Deposits!$P$10)</f>
        <v>0</v>
      </c>
      <c r="BP63" s="151">
        <f>BP31*(1-Deposits!$P$10)</f>
        <v>0</v>
      </c>
    </row>
    <row r="64" spans="3:68" x14ac:dyDescent="0.25">
      <c r="C64" s="228" t="str">
        <f t="shared" si="28"/>
        <v>Igénybejelentési biztosíték</v>
      </c>
      <c r="D64" t="s">
        <v>125</v>
      </c>
      <c r="E64" s="151"/>
      <c r="F64" s="151"/>
      <c r="G64" s="151">
        <f t="shared" si="29"/>
        <v>0</v>
      </c>
      <c r="H64" s="151">
        <f>H32*(1-Deposits!$P$11)</f>
        <v>0</v>
      </c>
      <c r="I64" s="151">
        <f>I32*(1-Deposits!$P$11)</f>
        <v>0</v>
      </c>
      <c r="J64" s="151">
        <f>J32*(1-Deposits!$P$11)</f>
        <v>0</v>
      </c>
      <c r="K64" s="151">
        <f>K32*(1-Deposits!$P$11)</f>
        <v>0</v>
      </c>
      <c r="L64" s="151">
        <f>L32*(1-Deposits!$P$11)</f>
        <v>0</v>
      </c>
      <c r="M64" s="151">
        <f>M32*(1-Deposits!$P$11)</f>
        <v>0</v>
      </c>
      <c r="N64" s="151">
        <f>N32*(1-Deposits!$P$11)</f>
        <v>0</v>
      </c>
      <c r="O64" s="151">
        <f>O32*(1-Deposits!$P$11)</f>
        <v>0</v>
      </c>
      <c r="P64" s="151">
        <f>P32*(1-Deposits!$P$11)</f>
        <v>0</v>
      </c>
      <c r="Q64" s="151">
        <f>Q32*(1-Deposits!$P$11)</f>
        <v>0</v>
      </c>
      <c r="R64" s="151">
        <f>R32*(1-Deposits!$P$11)</f>
        <v>0</v>
      </c>
      <c r="S64" s="151">
        <f>S32*(1-Deposits!$P$11)</f>
        <v>0</v>
      </c>
      <c r="T64" s="151">
        <f>T32*(1-Deposits!$P$11)</f>
        <v>0</v>
      </c>
      <c r="U64" s="151">
        <f>U32*(1-Deposits!$P$11)</f>
        <v>0</v>
      </c>
      <c r="V64" s="151">
        <f>V32*(1-Deposits!$P$11)</f>
        <v>0</v>
      </c>
      <c r="W64" s="151">
        <f>W32*(1-Deposits!$P$11)</f>
        <v>0</v>
      </c>
      <c r="X64" s="151">
        <f>X32*(1-Deposits!$P$11)</f>
        <v>0</v>
      </c>
      <c r="Y64" s="151">
        <f>Y32*(1-Deposits!$P$11)</f>
        <v>0</v>
      </c>
      <c r="Z64" s="151">
        <f>Z32*(1-Deposits!$P$11)</f>
        <v>0</v>
      </c>
      <c r="AA64" s="151">
        <f>AA32*(1-Deposits!$P$11)</f>
        <v>0</v>
      </c>
      <c r="AB64" s="151">
        <f>AB32*(1-Deposits!$P$11)</f>
        <v>0</v>
      </c>
      <c r="AC64" s="151">
        <f>AC32*(1-Deposits!$P$11)</f>
        <v>0</v>
      </c>
      <c r="AD64" s="151">
        <f>AD32*(1-Deposits!$P$11)</f>
        <v>0</v>
      </c>
      <c r="AE64" s="151">
        <f>AE32*(1-Deposits!$P$11)</f>
        <v>0</v>
      </c>
      <c r="AF64" s="151">
        <f>AF32*(1-Deposits!$P$11)</f>
        <v>0</v>
      </c>
      <c r="AG64" s="151">
        <f>AG32*(1-Deposits!$P$11)</f>
        <v>0</v>
      </c>
      <c r="AH64" s="151">
        <f>AH32*(1-Deposits!$P$11)</f>
        <v>0</v>
      </c>
      <c r="AI64" s="151">
        <f>AI32*(1-Deposits!$P$11)</f>
        <v>0</v>
      </c>
      <c r="AJ64" s="151">
        <f>AJ32*(1-Deposits!$P$11)</f>
        <v>0</v>
      </c>
      <c r="AK64" s="151">
        <f>AK32*(1-Deposits!$P$11)</f>
        <v>0</v>
      </c>
      <c r="AL64" s="151">
        <f>AL32*(1-Deposits!$P$11)</f>
        <v>0</v>
      </c>
      <c r="AM64" s="151">
        <f>AM32*(1-Deposits!$P$11)</f>
        <v>0</v>
      </c>
      <c r="AN64" s="151">
        <f>AN32*(1-Deposits!$P$11)</f>
        <v>0</v>
      </c>
      <c r="AO64" s="151">
        <f>AO32*(1-Deposits!$P$11)</f>
        <v>0</v>
      </c>
      <c r="AP64" s="151">
        <f>AP32*(1-Deposits!$P$11)</f>
        <v>0</v>
      </c>
      <c r="AQ64" s="151">
        <f>AQ32*(1-Deposits!$P$11)</f>
        <v>0</v>
      </c>
      <c r="AR64" s="151">
        <f>AR32*(1-Deposits!$P$11)</f>
        <v>0</v>
      </c>
      <c r="AS64" s="151">
        <f>AS32*(1-Deposits!$P$11)</f>
        <v>0</v>
      </c>
      <c r="AT64" s="151">
        <f>AT32*(1-Deposits!$P$11)</f>
        <v>0</v>
      </c>
      <c r="AU64" s="151">
        <f>AU32*(1-Deposits!$P$11)</f>
        <v>0</v>
      </c>
      <c r="AV64" s="151">
        <f>AV32*(1-Deposits!$P$11)</f>
        <v>0</v>
      </c>
      <c r="AW64" s="151">
        <f>AW32*(1-Deposits!$P$11)</f>
        <v>0</v>
      </c>
      <c r="AX64" s="151">
        <f>AX32*(1-Deposits!$P$11)</f>
        <v>0</v>
      </c>
      <c r="AY64" s="151">
        <f>AY32*(1-Deposits!$P$11)</f>
        <v>0</v>
      </c>
      <c r="AZ64" s="151">
        <f>AZ32*(1-Deposits!$P$11)</f>
        <v>0</v>
      </c>
      <c r="BA64" s="151">
        <f>BA32*(1-Deposits!$P$11)</f>
        <v>0</v>
      </c>
      <c r="BB64" s="151">
        <f>BB32*(1-Deposits!$P$11)</f>
        <v>0</v>
      </c>
      <c r="BC64" s="151">
        <f>BC32*(1-Deposits!$P$11)</f>
        <v>0</v>
      </c>
      <c r="BD64" s="151">
        <f>BD32*(1-Deposits!$P$11)</f>
        <v>0</v>
      </c>
      <c r="BE64" s="151">
        <f>BE32*(1-Deposits!$P$11)</f>
        <v>0</v>
      </c>
      <c r="BF64" s="151">
        <f>BF32*(1-Deposits!$P$11)</f>
        <v>0</v>
      </c>
      <c r="BG64" s="151">
        <f>BG32*(1-Deposits!$P$11)</f>
        <v>0</v>
      </c>
      <c r="BH64" s="151">
        <f>BH32*(1-Deposits!$P$11)</f>
        <v>0</v>
      </c>
      <c r="BI64" s="151">
        <f>BI32*(1-Deposits!$P$11)</f>
        <v>0</v>
      </c>
      <c r="BJ64" s="151">
        <f>BJ32*(1-Deposits!$P$11)</f>
        <v>0</v>
      </c>
      <c r="BK64" s="151">
        <f>BK32*(1-Deposits!$P$11)</f>
        <v>0</v>
      </c>
      <c r="BL64" s="151">
        <f>BL32*(1-Deposits!$P$11)</f>
        <v>0</v>
      </c>
      <c r="BM64" s="151">
        <f>BM32*(1-Deposits!$P$11)</f>
        <v>0</v>
      </c>
      <c r="BN64" s="151">
        <f>BN32*(1-Deposits!$P$11)</f>
        <v>0</v>
      </c>
      <c r="BO64" s="151">
        <f>BO32*(1-Deposits!$P$11)</f>
        <v>0</v>
      </c>
      <c r="BP64" s="151">
        <f>BP32*(1-Deposits!$P$11)</f>
        <v>0</v>
      </c>
    </row>
    <row r="65" spans="3:68" x14ac:dyDescent="0.25">
      <c r="C65" s="228" t="str">
        <f t="shared" si="28"/>
        <v>Csatlakozási díj – közvetlen</v>
      </c>
      <c r="D65" t="s">
        <v>125</v>
      </c>
      <c r="E65" s="151"/>
      <c r="F65" s="151"/>
      <c r="G65" s="151">
        <f t="shared" si="29"/>
        <v>0</v>
      </c>
      <c r="H65" s="151">
        <f>H33*(1-Deposits!$P$12)</f>
        <v>0</v>
      </c>
      <c r="I65" s="151">
        <f>I33*(1-Deposits!$P$12)</f>
        <v>0</v>
      </c>
      <c r="J65" s="151">
        <f>J33*(1-Deposits!$P$12)</f>
        <v>0</v>
      </c>
      <c r="K65" s="151">
        <f>K33*(1-Deposits!$P$12)</f>
        <v>0</v>
      </c>
      <c r="L65" s="151">
        <f>L33*(1-Deposits!$P$12)</f>
        <v>0</v>
      </c>
      <c r="M65" s="151">
        <f>M33*(1-Deposits!$P$12)</f>
        <v>0</v>
      </c>
      <c r="N65" s="151">
        <f>N33*(1-Deposits!$P$12)</f>
        <v>0</v>
      </c>
      <c r="O65" s="151">
        <f>O33*(1-Deposits!$P$12)</f>
        <v>0</v>
      </c>
      <c r="P65" s="151">
        <f>P33*(1-Deposits!$P$12)</f>
        <v>0</v>
      </c>
      <c r="Q65" s="151">
        <f>Q33*(1-Deposits!$P$12)</f>
        <v>0</v>
      </c>
      <c r="R65" s="151">
        <f>R33*(1-Deposits!$P$12)</f>
        <v>0</v>
      </c>
      <c r="S65" s="151">
        <f>S33*(1-Deposits!$P$12)</f>
        <v>0</v>
      </c>
      <c r="T65" s="151">
        <f>T33*(1-Deposits!$P$12)</f>
        <v>0</v>
      </c>
      <c r="U65" s="151">
        <f>U33*(1-Deposits!$P$12)</f>
        <v>0</v>
      </c>
      <c r="V65" s="151">
        <f>V33*(1-Deposits!$P$12)</f>
        <v>0</v>
      </c>
      <c r="W65" s="151">
        <f>W33*(1-Deposits!$P$12)</f>
        <v>0</v>
      </c>
      <c r="X65" s="151">
        <f>X33*(1-Deposits!$P$12)</f>
        <v>0</v>
      </c>
      <c r="Y65" s="151">
        <f>Y33*(1-Deposits!$P$12)</f>
        <v>0</v>
      </c>
      <c r="Z65" s="151">
        <f>Z33*(1-Deposits!$P$12)</f>
        <v>0</v>
      </c>
      <c r="AA65" s="151">
        <f>AA33*(1-Deposits!$P$12)</f>
        <v>0</v>
      </c>
      <c r="AB65" s="151">
        <f>AB33*(1-Deposits!$P$12)</f>
        <v>0</v>
      </c>
      <c r="AC65" s="151">
        <f>AC33*(1-Deposits!$P$12)</f>
        <v>0</v>
      </c>
      <c r="AD65" s="151">
        <f>AD33*(1-Deposits!$P$12)</f>
        <v>0</v>
      </c>
      <c r="AE65" s="151">
        <f>AE33*(1-Deposits!$P$12)</f>
        <v>0</v>
      </c>
      <c r="AF65" s="151">
        <f>AF33*(1-Deposits!$P$12)</f>
        <v>0</v>
      </c>
      <c r="AG65" s="151">
        <f>AG33*(1-Deposits!$P$12)</f>
        <v>0</v>
      </c>
      <c r="AH65" s="151">
        <f>AH33*(1-Deposits!$P$12)</f>
        <v>0</v>
      </c>
      <c r="AI65" s="151">
        <f>AI33*(1-Deposits!$P$12)</f>
        <v>0</v>
      </c>
      <c r="AJ65" s="151">
        <f>AJ33*(1-Deposits!$P$12)</f>
        <v>0</v>
      </c>
      <c r="AK65" s="151">
        <f>AK33*(1-Deposits!$P$12)</f>
        <v>0</v>
      </c>
      <c r="AL65" s="151">
        <f>AL33*(1-Deposits!$P$12)</f>
        <v>0</v>
      </c>
      <c r="AM65" s="151">
        <f>AM33*(1-Deposits!$P$12)</f>
        <v>0</v>
      </c>
      <c r="AN65" s="151">
        <f>AN33*(1-Deposits!$P$12)</f>
        <v>0</v>
      </c>
      <c r="AO65" s="151">
        <f>AO33*(1-Deposits!$P$12)</f>
        <v>0</v>
      </c>
      <c r="AP65" s="151">
        <f>AP33*(1-Deposits!$P$12)</f>
        <v>0</v>
      </c>
      <c r="AQ65" s="151">
        <f>AQ33*(1-Deposits!$P$12)</f>
        <v>0</v>
      </c>
      <c r="AR65" s="151">
        <f>AR33*(1-Deposits!$P$12)</f>
        <v>0</v>
      </c>
      <c r="AS65" s="151">
        <f>AS33*(1-Deposits!$P$12)</f>
        <v>0</v>
      </c>
      <c r="AT65" s="151">
        <f>AT33*(1-Deposits!$P$12)</f>
        <v>0</v>
      </c>
      <c r="AU65" s="151">
        <f>AU33*(1-Deposits!$P$12)</f>
        <v>0</v>
      </c>
      <c r="AV65" s="151">
        <f>AV33*(1-Deposits!$P$12)</f>
        <v>0</v>
      </c>
      <c r="AW65" s="151">
        <f>AW33*(1-Deposits!$P$12)</f>
        <v>0</v>
      </c>
      <c r="AX65" s="151">
        <f>AX33*(1-Deposits!$P$12)</f>
        <v>0</v>
      </c>
      <c r="AY65" s="151">
        <f>AY33*(1-Deposits!$P$12)</f>
        <v>0</v>
      </c>
      <c r="AZ65" s="151">
        <f>AZ33*(1-Deposits!$P$12)</f>
        <v>0</v>
      </c>
      <c r="BA65" s="151">
        <f>BA33*(1-Deposits!$P$12)</f>
        <v>0</v>
      </c>
      <c r="BB65" s="151">
        <f>BB33*(1-Deposits!$P$12)</f>
        <v>0</v>
      </c>
      <c r="BC65" s="151">
        <f>BC33*(1-Deposits!$P$12)</f>
        <v>0</v>
      </c>
      <c r="BD65" s="151">
        <f>BD33*(1-Deposits!$P$12)</f>
        <v>0</v>
      </c>
      <c r="BE65" s="151">
        <f>BE33*(1-Deposits!$P$12)</f>
        <v>0</v>
      </c>
      <c r="BF65" s="151">
        <f>BF33*(1-Deposits!$P$12)</f>
        <v>0</v>
      </c>
      <c r="BG65" s="151">
        <f>BG33*(1-Deposits!$P$12)</f>
        <v>0</v>
      </c>
      <c r="BH65" s="151">
        <f>BH33*(1-Deposits!$P$12)</f>
        <v>0</v>
      </c>
      <c r="BI65" s="151">
        <f>BI33*(1-Deposits!$P$12)</f>
        <v>0</v>
      </c>
      <c r="BJ65" s="151">
        <f>BJ33*(1-Deposits!$P$12)</f>
        <v>0</v>
      </c>
      <c r="BK65" s="151">
        <f>BK33*(1-Deposits!$P$12)</f>
        <v>0</v>
      </c>
      <c r="BL65" s="151">
        <f>BL33*(1-Deposits!$P$12)</f>
        <v>0</v>
      </c>
      <c r="BM65" s="151">
        <f>BM33*(1-Deposits!$P$12)</f>
        <v>0</v>
      </c>
      <c r="BN65" s="151">
        <f>BN33*(1-Deposits!$P$12)</f>
        <v>0</v>
      </c>
      <c r="BO65" s="151">
        <f>BO33*(1-Deposits!$P$12)</f>
        <v>0</v>
      </c>
      <c r="BP65" s="151">
        <f>BP33*(1-Deposits!$P$12)</f>
        <v>0</v>
      </c>
    </row>
    <row r="66" spans="3:68" x14ac:dyDescent="0.25">
      <c r="C66" s="228" t="str">
        <f t="shared" si="28"/>
        <v>Kiegészítő biztosíték 1. részlet</v>
      </c>
      <c r="D66" t="s">
        <v>125</v>
      </c>
      <c r="E66" s="151"/>
      <c r="F66" s="151"/>
      <c r="G66" s="151">
        <f t="shared" si="29"/>
        <v>0</v>
      </c>
      <c r="H66" s="151">
        <f>H34*(1-Deposits!$P$13)</f>
        <v>0</v>
      </c>
      <c r="I66" s="151">
        <f>I34*(1-Deposits!$P$13)</f>
        <v>0</v>
      </c>
      <c r="J66" s="151">
        <f>J34*(1-Deposits!$P$13)</f>
        <v>0</v>
      </c>
      <c r="K66" s="151">
        <f>K34*(1-Deposits!$P$13)</f>
        <v>0</v>
      </c>
      <c r="L66" s="151">
        <f>L34*(1-Deposits!$P$13)</f>
        <v>0</v>
      </c>
      <c r="M66" s="151">
        <f>M34*(1-Deposits!$P$13)</f>
        <v>0</v>
      </c>
      <c r="N66" s="151">
        <f>N34*(1-Deposits!$P$13)</f>
        <v>0</v>
      </c>
      <c r="O66" s="151">
        <f>O34*(1-Deposits!$P$13)</f>
        <v>0</v>
      </c>
      <c r="P66" s="151">
        <f>P34*(1-Deposits!$P$13)</f>
        <v>0</v>
      </c>
      <c r="Q66" s="151">
        <f>Q34*(1-Deposits!$P$13)</f>
        <v>0</v>
      </c>
      <c r="R66" s="151">
        <f>R34*(1-Deposits!$P$13)</f>
        <v>0</v>
      </c>
      <c r="S66" s="151">
        <f>S34*(1-Deposits!$P$13)</f>
        <v>0</v>
      </c>
      <c r="T66" s="151">
        <f>T34*(1-Deposits!$P$13)</f>
        <v>0</v>
      </c>
      <c r="U66" s="151">
        <f>U34*(1-Deposits!$P$13)</f>
        <v>0</v>
      </c>
      <c r="V66" s="151">
        <f>V34*(1-Deposits!$P$13)</f>
        <v>0</v>
      </c>
      <c r="W66" s="151">
        <f>W34*(1-Deposits!$P$13)</f>
        <v>0</v>
      </c>
      <c r="X66" s="151">
        <f>X34*(1-Deposits!$P$13)</f>
        <v>0</v>
      </c>
      <c r="Y66" s="151">
        <f>Y34*(1-Deposits!$P$13)</f>
        <v>0</v>
      </c>
      <c r="Z66" s="151">
        <f>Z34*(1-Deposits!$P$13)</f>
        <v>0</v>
      </c>
      <c r="AA66" s="151">
        <f>AA34*(1-Deposits!$P$13)</f>
        <v>0</v>
      </c>
      <c r="AB66" s="151">
        <f>AB34*(1-Deposits!$P$13)</f>
        <v>0</v>
      </c>
      <c r="AC66" s="151">
        <f>AC34*(1-Deposits!$P$13)</f>
        <v>0</v>
      </c>
      <c r="AD66" s="151">
        <f>AD34*(1-Deposits!$P$13)</f>
        <v>0</v>
      </c>
      <c r="AE66" s="151">
        <f>AE34*(1-Deposits!$P$13)</f>
        <v>0</v>
      </c>
      <c r="AF66" s="151">
        <f>AF34*(1-Deposits!$P$13)</f>
        <v>0</v>
      </c>
      <c r="AG66" s="151">
        <f>AG34*(1-Deposits!$P$13)</f>
        <v>0</v>
      </c>
      <c r="AH66" s="151">
        <f>AH34*(1-Deposits!$P$13)</f>
        <v>0</v>
      </c>
      <c r="AI66" s="151">
        <f>AI34*(1-Deposits!$P$13)</f>
        <v>0</v>
      </c>
      <c r="AJ66" s="151">
        <f>AJ34*(1-Deposits!$P$13)</f>
        <v>0</v>
      </c>
      <c r="AK66" s="151">
        <f>AK34*(1-Deposits!$P$13)</f>
        <v>0</v>
      </c>
      <c r="AL66" s="151">
        <f>AL34*(1-Deposits!$P$13)</f>
        <v>0</v>
      </c>
      <c r="AM66" s="151">
        <f>AM34*(1-Deposits!$P$13)</f>
        <v>0</v>
      </c>
      <c r="AN66" s="151">
        <f>AN34*(1-Deposits!$P$13)</f>
        <v>0</v>
      </c>
      <c r="AO66" s="151">
        <f>AO34*(1-Deposits!$P$13)</f>
        <v>0</v>
      </c>
      <c r="AP66" s="151">
        <f>AP34*(1-Deposits!$P$13)</f>
        <v>0</v>
      </c>
      <c r="AQ66" s="151">
        <f>AQ34*(1-Deposits!$P$13)</f>
        <v>0</v>
      </c>
      <c r="AR66" s="151">
        <f>AR34*(1-Deposits!$P$13)</f>
        <v>0</v>
      </c>
      <c r="AS66" s="151">
        <f>AS34*(1-Deposits!$P$13)</f>
        <v>0</v>
      </c>
      <c r="AT66" s="151">
        <f>AT34*(1-Deposits!$P$13)</f>
        <v>0</v>
      </c>
      <c r="AU66" s="151">
        <f>AU34*(1-Deposits!$P$13)</f>
        <v>0</v>
      </c>
      <c r="AV66" s="151">
        <f>AV34*(1-Deposits!$P$13)</f>
        <v>0</v>
      </c>
      <c r="AW66" s="151">
        <f>AW34*(1-Deposits!$P$13)</f>
        <v>0</v>
      </c>
      <c r="AX66" s="151">
        <f>AX34*(1-Deposits!$P$13)</f>
        <v>0</v>
      </c>
      <c r="AY66" s="151">
        <f>AY34*(1-Deposits!$P$13)</f>
        <v>0</v>
      </c>
      <c r="AZ66" s="151">
        <f>AZ34*(1-Deposits!$P$13)</f>
        <v>0</v>
      </c>
      <c r="BA66" s="151">
        <f>BA34*(1-Deposits!$P$13)</f>
        <v>0</v>
      </c>
      <c r="BB66" s="151">
        <f>BB34*(1-Deposits!$P$13)</f>
        <v>0</v>
      </c>
      <c r="BC66" s="151">
        <f>BC34*(1-Deposits!$P$13)</f>
        <v>0</v>
      </c>
      <c r="BD66" s="151">
        <f>BD34*(1-Deposits!$P$13)</f>
        <v>0</v>
      </c>
      <c r="BE66" s="151">
        <f>BE34*(1-Deposits!$P$13)</f>
        <v>0</v>
      </c>
      <c r="BF66" s="151">
        <f>BF34*(1-Deposits!$P$13)</f>
        <v>0</v>
      </c>
      <c r="BG66" s="151">
        <f>BG34*(1-Deposits!$P$13)</f>
        <v>0</v>
      </c>
      <c r="BH66" s="151">
        <f>BH34*(1-Deposits!$P$13)</f>
        <v>0</v>
      </c>
      <c r="BI66" s="151">
        <f>BI34*(1-Deposits!$P$13)</f>
        <v>0</v>
      </c>
      <c r="BJ66" s="151">
        <f>BJ34*(1-Deposits!$P$13)</f>
        <v>0</v>
      </c>
      <c r="BK66" s="151">
        <f>BK34*(1-Deposits!$P$13)</f>
        <v>0</v>
      </c>
      <c r="BL66" s="151">
        <f>BL34*(1-Deposits!$P$13)</f>
        <v>0</v>
      </c>
      <c r="BM66" s="151">
        <f>BM34*(1-Deposits!$P$13)</f>
        <v>0</v>
      </c>
      <c r="BN66" s="151">
        <f>BN34*(1-Deposits!$P$13)</f>
        <v>0</v>
      </c>
      <c r="BO66" s="151">
        <f>BO34*(1-Deposits!$P$13)</f>
        <v>0</v>
      </c>
      <c r="BP66" s="151">
        <f>BP34*(1-Deposits!$P$13)</f>
        <v>0</v>
      </c>
    </row>
    <row r="67" spans="3:68" x14ac:dyDescent="0.25">
      <c r="C67" s="228" t="str">
        <f t="shared" si="28"/>
        <v>Kiegészítő biztosíték 2. részlet</v>
      </c>
      <c r="D67" t="s">
        <v>125</v>
      </c>
      <c r="E67" s="151"/>
      <c r="F67" s="151"/>
      <c r="G67" s="151">
        <f t="shared" si="29"/>
        <v>0</v>
      </c>
      <c r="H67" s="151">
        <f>H35*(1-Deposits!$P$14)</f>
        <v>0</v>
      </c>
      <c r="I67" s="151">
        <f>I35*(1-Deposits!$P$14)</f>
        <v>0</v>
      </c>
      <c r="J67" s="151">
        <f>J35*(1-Deposits!$P$14)</f>
        <v>0</v>
      </c>
      <c r="K67" s="151">
        <f>K35*(1-Deposits!$P$14)</f>
        <v>0</v>
      </c>
      <c r="L67" s="151">
        <f>L35*(1-Deposits!$P$14)</f>
        <v>0</v>
      </c>
      <c r="M67" s="151">
        <f>M35*(1-Deposits!$P$14)</f>
        <v>0</v>
      </c>
      <c r="N67" s="151">
        <f>N35*(1-Deposits!$P$14)</f>
        <v>0</v>
      </c>
      <c r="O67" s="151">
        <f>O35*(1-Deposits!$P$14)</f>
        <v>0</v>
      </c>
      <c r="P67" s="151">
        <f>P35*(1-Deposits!$P$14)</f>
        <v>0</v>
      </c>
      <c r="Q67" s="151">
        <f>Q35*(1-Deposits!$P$14)</f>
        <v>0</v>
      </c>
      <c r="R67" s="151">
        <f>R35*(1-Deposits!$P$14)</f>
        <v>0</v>
      </c>
      <c r="S67" s="151">
        <f>S35*(1-Deposits!$P$14)</f>
        <v>0</v>
      </c>
      <c r="T67" s="151">
        <f>T35*(1-Deposits!$P$14)</f>
        <v>0</v>
      </c>
      <c r="U67" s="151">
        <f>U35*(1-Deposits!$P$14)</f>
        <v>0</v>
      </c>
      <c r="V67" s="151">
        <f>V35*(1-Deposits!$P$14)</f>
        <v>0</v>
      </c>
      <c r="W67" s="151">
        <f>W35*(1-Deposits!$P$14)</f>
        <v>0</v>
      </c>
      <c r="X67" s="151">
        <f>X35*(1-Deposits!$P$14)</f>
        <v>0</v>
      </c>
      <c r="Y67" s="151">
        <f>Y35*(1-Deposits!$P$14)</f>
        <v>0</v>
      </c>
      <c r="Z67" s="151">
        <f>Z35*(1-Deposits!$P$14)</f>
        <v>0</v>
      </c>
      <c r="AA67" s="151">
        <f>AA35*(1-Deposits!$P$14)</f>
        <v>0</v>
      </c>
      <c r="AB67" s="151">
        <f>AB35*(1-Deposits!$P$14)</f>
        <v>0</v>
      </c>
      <c r="AC67" s="151">
        <f>AC35*(1-Deposits!$P$14)</f>
        <v>0</v>
      </c>
      <c r="AD67" s="151">
        <f>AD35*(1-Deposits!$P$14)</f>
        <v>0</v>
      </c>
      <c r="AE67" s="151">
        <f>AE35*(1-Deposits!$P$14)</f>
        <v>0</v>
      </c>
      <c r="AF67" s="151">
        <f>AF35*(1-Deposits!$P$14)</f>
        <v>0</v>
      </c>
      <c r="AG67" s="151">
        <f>AG35*(1-Deposits!$P$14)</f>
        <v>0</v>
      </c>
      <c r="AH67" s="151">
        <f>AH35*(1-Deposits!$P$14)</f>
        <v>0</v>
      </c>
      <c r="AI67" s="151">
        <f>AI35*(1-Deposits!$P$14)</f>
        <v>0</v>
      </c>
      <c r="AJ67" s="151">
        <f>AJ35*(1-Deposits!$P$14)</f>
        <v>0</v>
      </c>
      <c r="AK67" s="151">
        <f>AK35*(1-Deposits!$P$14)</f>
        <v>0</v>
      </c>
      <c r="AL67" s="151">
        <f>AL35*(1-Deposits!$P$14)</f>
        <v>0</v>
      </c>
      <c r="AM67" s="151">
        <f>AM35*(1-Deposits!$P$14)</f>
        <v>0</v>
      </c>
      <c r="AN67" s="151">
        <f>AN35*(1-Deposits!$P$14)</f>
        <v>0</v>
      </c>
      <c r="AO67" s="151">
        <f>AO35*(1-Deposits!$P$14)</f>
        <v>0</v>
      </c>
      <c r="AP67" s="151">
        <f>AP35*(1-Deposits!$P$14)</f>
        <v>0</v>
      </c>
      <c r="AQ67" s="151">
        <f>AQ35*(1-Deposits!$P$14)</f>
        <v>0</v>
      </c>
      <c r="AR67" s="151">
        <f>AR35*(1-Deposits!$P$14)</f>
        <v>0</v>
      </c>
      <c r="AS67" s="151">
        <f>AS35*(1-Deposits!$P$14)</f>
        <v>0</v>
      </c>
      <c r="AT67" s="151">
        <f>AT35*(1-Deposits!$P$14)</f>
        <v>0</v>
      </c>
      <c r="AU67" s="151">
        <f>AU35*(1-Deposits!$P$14)</f>
        <v>0</v>
      </c>
      <c r="AV67" s="151">
        <f>AV35*(1-Deposits!$P$14)</f>
        <v>0</v>
      </c>
      <c r="AW67" s="151">
        <f>AW35*(1-Deposits!$P$14)</f>
        <v>0</v>
      </c>
      <c r="AX67" s="151">
        <f>AX35*(1-Deposits!$P$14)</f>
        <v>0</v>
      </c>
      <c r="AY67" s="151">
        <f>AY35*(1-Deposits!$P$14)</f>
        <v>0</v>
      </c>
      <c r="AZ67" s="151">
        <f>AZ35*(1-Deposits!$P$14)</f>
        <v>0</v>
      </c>
      <c r="BA67" s="151">
        <f>BA35*(1-Deposits!$P$14)</f>
        <v>0</v>
      </c>
      <c r="BB67" s="151">
        <f>BB35*(1-Deposits!$P$14)</f>
        <v>0</v>
      </c>
      <c r="BC67" s="151">
        <f>BC35*(1-Deposits!$P$14)</f>
        <v>0</v>
      </c>
      <c r="BD67" s="151">
        <f>BD35*(1-Deposits!$P$14)</f>
        <v>0</v>
      </c>
      <c r="BE67" s="151">
        <f>BE35*(1-Deposits!$P$14)</f>
        <v>0</v>
      </c>
      <c r="BF67" s="151">
        <f>BF35*(1-Deposits!$P$14)</f>
        <v>0</v>
      </c>
      <c r="BG67" s="151">
        <f>BG35*(1-Deposits!$P$14)</f>
        <v>0</v>
      </c>
      <c r="BH67" s="151">
        <f>BH35*(1-Deposits!$P$14)</f>
        <v>0</v>
      </c>
      <c r="BI67" s="151">
        <f>BI35*(1-Deposits!$P$14)</f>
        <v>0</v>
      </c>
      <c r="BJ67" s="151">
        <f>BJ35*(1-Deposits!$P$14)</f>
        <v>0</v>
      </c>
      <c r="BK67" s="151">
        <f>BK35*(1-Deposits!$P$14)</f>
        <v>0</v>
      </c>
      <c r="BL67" s="151">
        <f>BL35*(1-Deposits!$P$14)</f>
        <v>0</v>
      </c>
      <c r="BM67" s="151">
        <f>BM35*(1-Deposits!$P$14)</f>
        <v>0</v>
      </c>
      <c r="BN67" s="151">
        <f>BN35*(1-Deposits!$P$14)</f>
        <v>0</v>
      </c>
      <c r="BO67" s="151">
        <f>BO35*(1-Deposits!$P$14)</f>
        <v>0</v>
      </c>
      <c r="BP67" s="151">
        <f>BP35*(1-Deposits!$P$14)</f>
        <v>0</v>
      </c>
    </row>
    <row r="68" spans="3:68" x14ac:dyDescent="0.25">
      <c r="C68" s="228" t="str">
        <f t="shared" si="28"/>
        <v>Kiegészítő biztosíték visszautalás építési engedély megszerzésekor</v>
      </c>
      <c r="D68" t="s">
        <v>125</v>
      </c>
      <c r="E68" s="151"/>
      <c r="F68" s="151"/>
      <c r="G68" s="151">
        <f t="shared" si="29"/>
        <v>0</v>
      </c>
      <c r="H68" s="151">
        <f>H36*(1-Deposits!$P$15)</f>
        <v>0</v>
      </c>
      <c r="I68" s="151">
        <f>I36*(1-Deposits!$P$15)</f>
        <v>0</v>
      </c>
      <c r="J68" s="151">
        <f>J36*(1-Deposits!$P$15)</f>
        <v>0</v>
      </c>
      <c r="K68" s="151">
        <f>K36*(1-Deposits!$P$15)</f>
        <v>0</v>
      </c>
      <c r="L68" s="151">
        <f>L36*(1-Deposits!$P$15)</f>
        <v>0</v>
      </c>
      <c r="M68" s="151">
        <f>M36*(1-Deposits!$P$15)</f>
        <v>0</v>
      </c>
      <c r="N68" s="151">
        <f>N36*(1-Deposits!$P$15)</f>
        <v>0</v>
      </c>
      <c r="O68" s="151">
        <f>O36*(1-Deposits!$P$15)</f>
        <v>0</v>
      </c>
      <c r="P68" s="151">
        <f>P36*(1-Deposits!$P$15)</f>
        <v>0</v>
      </c>
      <c r="Q68" s="151">
        <f>Q36*(1-Deposits!$P$15)</f>
        <v>0</v>
      </c>
      <c r="R68" s="151">
        <f>R36*(1-Deposits!$P$15)</f>
        <v>0</v>
      </c>
      <c r="S68" s="151">
        <f>S36*(1-Deposits!$P$15)</f>
        <v>0</v>
      </c>
      <c r="T68" s="151">
        <f>T36*(1-Deposits!$P$15)</f>
        <v>0</v>
      </c>
      <c r="U68" s="151">
        <f>U36*(1-Deposits!$P$15)</f>
        <v>0</v>
      </c>
      <c r="V68" s="151">
        <f>V36*(1-Deposits!$P$15)</f>
        <v>0</v>
      </c>
      <c r="W68" s="151">
        <f>W36*(1-Deposits!$P$15)</f>
        <v>0</v>
      </c>
      <c r="X68" s="151">
        <f>X36*(1-Deposits!$P$15)</f>
        <v>0</v>
      </c>
      <c r="Y68" s="151">
        <f>Y36*(1-Deposits!$P$15)</f>
        <v>0</v>
      </c>
      <c r="Z68" s="151">
        <f>Z36*(1-Deposits!$P$15)</f>
        <v>0</v>
      </c>
      <c r="AA68" s="151">
        <f>AA36*(1-Deposits!$P$15)</f>
        <v>0</v>
      </c>
      <c r="AB68" s="151">
        <f>AB36*(1-Deposits!$P$15)</f>
        <v>0</v>
      </c>
      <c r="AC68" s="151">
        <f>AC36*(1-Deposits!$P$15)</f>
        <v>0</v>
      </c>
      <c r="AD68" s="151">
        <f>AD36*(1-Deposits!$P$15)</f>
        <v>0</v>
      </c>
      <c r="AE68" s="151">
        <f>AE36*(1-Deposits!$P$15)</f>
        <v>0</v>
      </c>
      <c r="AF68" s="151">
        <f>AF36*(1-Deposits!$P$15)</f>
        <v>0</v>
      </c>
      <c r="AG68" s="151">
        <f>AG36*(1-Deposits!$P$15)</f>
        <v>0</v>
      </c>
      <c r="AH68" s="151">
        <f>AH36*(1-Deposits!$P$15)</f>
        <v>0</v>
      </c>
      <c r="AI68" s="151">
        <f>AI36*(1-Deposits!$P$15)</f>
        <v>0</v>
      </c>
      <c r="AJ68" s="151">
        <f>AJ36*(1-Deposits!$P$15)</f>
        <v>0</v>
      </c>
      <c r="AK68" s="151">
        <f>AK36*(1-Deposits!$P$15)</f>
        <v>0</v>
      </c>
      <c r="AL68" s="151">
        <f>AL36*(1-Deposits!$P$15)</f>
        <v>0</v>
      </c>
      <c r="AM68" s="151">
        <f>AM36*(1-Deposits!$P$15)</f>
        <v>0</v>
      </c>
      <c r="AN68" s="151">
        <f>AN36*(1-Deposits!$P$15)</f>
        <v>0</v>
      </c>
      <c r="AO68" s="151">
        <f>AO36*(1-Deposits!$P$15)</f>
        <v>0</v>
      </c>
      <c r="AP68" s="151">
        <f>AP36*(1-Deposits!$P$15)</f>
        <v>0</v>
      </c>
      <c r="AQ68" s="151">
        <f>AQ36*(1-Deposits!$P$15)</f>
        <v>0</v>
      </c>
      <c r="AR68" s="151">
        <f>AR36*(1-Deposits!$P$15)</f>
        <v>0</v>
      </c>
      <c r="AS68" s="151">
        <f>AS36*(1-Deposits!$P$15)</f>
        <v>0</v>
      </c>
      <c r="AT68" s="151">
        <f>AT36*(1-Deposits!$P$15)</f>
        <v>0</v>
      </c>
      <c r="AU68" s="151">
        <f>AU36*(1-Deposits!$P$15)</f>
        <v>0</v>
      </c>
      <c r="AV68" s="151">
        <f>AV36*(1-Deposits!$P$15)</f>
        <v>0</v>
      </c>
      <c r="AW68" s="151">
        <f>AW36*(1-Deposits!$P$15)</f>
        <v>0</v>
      </c>
      <c r="AX68" s="151">
        <f>AX36*(1-Deposits!$P$15)</f>
        <v>0</v>
      </c>
      <c r="AY68" s="151">
        <f>AY36*(1-Deposits!$P$15)</f>
        <v>0</v>
      </c>
      <c r="AZ68" s="151">
        <f>AZ36*(1-Deposits!$P$15)</f>
        <v>0</v>
      </c>
      <c r="BA68" s="151">
        <f>BA36*(1-Deposits!$P$15)</f>
        <v>0</v>
      </c>
      <c r="BB68" s="151">
        <f>BB36*(1-Deposits!$P$15)</f>
        <v>0</v>
      </c>
      <c r="BC68" s="151">
        <f>BC36*(1-Deposits!$P$15)</f>
        <v>0</v>
      </c>
      <c r="BD68" s="151">
        <f>BD36*(1-Deposits!$P$15)</f>
        <v>0</v>
      </c>
      <c r="BE68" s="151">
        <f>BE36*(1-Deposits!$P$15)</f>
        <v>0</v>
      </c>
      <c r="BF68" s="151">
        <f>BF36*(1-Deposits!$P$15)</f>
        <v>0</v>
      </c>
      <c r="BG68" s="151">
        <f>BG36*(1-Deposits!$P$15)</f>
        <v>0</v>
      </c>
      <c r="BH68" s="151">
        <f>BH36*(1-Deposits!$P$15)</f>
        <v>0</v>
      </c>
      <c r="BI68" s="151">
        <f>BI36*(1-Deposits!$P$15)</f>
        <v>0</v>
      </c>
      <c r="BJ68" s="151">
        <f>BJ36*(1-Deposits!$P$15)</f>
        <v>0</v>
      </c>
      <c r="BK68" s="151">
        <f>BK36*(1-Deposits!$P$15)</f>
        <v>0</v>
      </c>
      <c r="BL68" s="151">
        <f>BL36*(1-Deposits!$P$15)</f>
        <v>0</v>
      </c>
      <c r="BM68" s="151">
        <f>BM36*(1-Deposits!$P$15)</f>
        <v>0</v>
      </c>
      <c r="BN68" s="151">
        <f>BN36*(1-Deposits!$P$15)</f>
        <v>0</v>
      </c>
      <c r="BO68" s="151">
        <f>BO36*(1-Deposits!$P$15)</f>
        <v>0</v>
      </c>
      <c r="BP68" s="151">
        <f>BP36*(1-Deposits!$P$15)</f>
        <v>0</v>
      </c>
    </row>
    <row r="69" spans="3:68" x14ac:dyDescent="0.25">
      <c r="C69" s="228" t="str">
        <f t="shared" si="28"/>
        <v>Kiegészítő biztosíték 3. részlet</v>
      </c>
      <c r="D69" t="s">
        <v>125</v>
      </c>
      <c r="E69" s="151"/>
      <c r="F69" s="151"/>
      <c r="G69" s="151">
        <f t="shared" si="29"/>
        <v>0</v>
      </c>
      <c r="H69" s="151">
        <f>H37*(1-Deposits!$P$16)</f>
        <v>0</v>
      </c>
      <c r="I69" s="151">
        <f>I37*(1-Deposits!$P$16)</f>
        <v>0</v>
      </c>
      <c r="J69" s="151">
        <f>J37*(1-Deposits!$P$16)</f>
        <v>0</v>
      </c>
      <c r="K69" s="151">
        <f>K37*(1-Deposits!$P$16)</f>
        <v>0</v>
      </c>
      <c r="L69" s="151">
        <f>L37*(1-Deposits!$P$16)</f>
        <v>0</v>
      </c>
      <c r="M69" s="151">
        <f>M37*(1-Deposits!$P$16)</f>
        <v>0</v>
      </c>
      <c r="N69" s="151">
        <f>N37*(1-Deposits!$P$16)</f>
        <v>0</v>
      </c>
      <c r="O69" s="151">
        <f>O37*(1-Deposits!$P$16)</f>
        <v>0</v>
      </c>
      <c r="P69" s="151">
        <f>P37*(1-Deposits!$P$16)</f>
        <v>0</v>
      </c>
      <c r="Q69" s="151">
        <f>Q37*(1-Deposits!$P$16)</f>
        <v>0</v>
      </c>
      <c r="R69" s="151">
        <f>R37*(1-Deposits!$P$16)</f>
        <v>0</v>
      </c>
      <c r="S69" s="151">
        <f>S37*(1-Deposits!$P$16)</f>
        <v>0</v>
      </c>
      <c r="T69" s="151">
        <f>T37*(1-Deposits!$P$16)</f>
        <v>0</v>
      </c>
      <c r="U69" s="151">
        <f>U37*(1-Deposits!$P$16)</f>
        <v>0</v>
      </c>
      <c r="V69" s="151">
        <f>V37*(1-Deposits!$P$16)</f>
        <v>0</v>
      </c>
      <c r="W69" s="151">
        <f>W37*(1-Deposits!$P$16)</f>
        <v>0</v>
      </c>
      <c r="X69" s="151">
        <f>X37*(1-Deposits!$P$16)</f>
        <v>0</v>
      </c>
      <c r="Y69" s="151">
        <f>Y37*(1-Deposits!$P$16)</f>
        <v>0</v>
      </c>
      <c r="Z69" s="151">
        <f>Z37*(1-Deposits!$P$16)</f>
        <v>0</v>
      </c>
      <c r="AA69" s="151">
        <f>AA37*(1-Deposits!$P$16)</f>
        <v>0</v>
      </c>
      <c r="AB69" s="151">
        <f>AB37*(1-Deposits!$P$16)</f>
        <v>0</v>
      </c>
      <c r="AC69" s="151">
        <f>AC37*(1-Deposits!$P$16)</f>
        <v>0</v>
      </c>
      <c r="AD69" s="151">
        <f>AD37*(1-Deposits!$P$16)</f>
        <v>0</v>
      </c>
      <c r="AE69" s="151">
        <f>AE37*(1-Deposits!$P$16)</f>
        <v>0</v>
      </c>
      <c r="AF69" s="151">
        <f>AF37*(1-Deposits!$P$16)</f>
        <v>0</v>
      </c>
      <c r="AG69" s="151">
        <f>AG37*(1-Deposits!$P$16)</f>
        <v>0</v>
      </c>
      <c r="AH69" s="151">
        <f>AH37*(1-Deposits!$P$16)</f>
        <v>0</v>
      </c>
      <c r="AI69" s="151">
        <f>AI37*(1-Deposits!$P$16)</f>
        <v>0</v>
      </c>
      <c r="AJ69" s="151">
        <f>AJ37*(1-Deposits!$P$16)</f>
        <v>0</v>
      </c>
      <c r="AK69" s="151">
        <f>AK37*(1-Deposits!$P$16)</f>
        <v>0</v>
      </c>
      <c r="AL69" s="151">
        <f>AL37*(1-Deposits!$P$16)</f>
        <v>0</v>
      </c>
      <c r="AM69" s="151">
        <f>AM37*(1-Deposits!$P$16)</f>
        <v>0</v>
      </c>
      <c r="AN69" s="151">
        <f>AN37*(1-Deposits!$P$16)</f>
        <v>0</v>
      </c>
      <c r="AO69" s="151">
        <f>AO37*(1-Deposits!$P$16)</f>
        <v>0</v>
      </c>
      <c r="AP69" s="151">
        <f>AP37*(1-Deposits!$P$16)</f>
        <v>0</v>
      </c>
      <c r="AQ69" s="151">
        <f>AQ37*(1-Deposits!$P$16)</f>
        <v>0</v>
      </c>
      <c r="AR69" s="151">
        <f>AR37*(1-Deposits!$P$16)</f>
        <v>0</v>
      </c>
      <c r="AS69" s="151">
        <f>AS37*(1-Deposits!$P$16)</f>
        <v>0</v>
      </c>
      <c r="AT69" s="151">
        <f>AT37*(1-Deposits!$P$16)</f>
        <v>0</v>
      </c>
      <c r="AU69" s="151">
        <f>AU37*(1-Deposits!$P$16)</f>
        <v>0</v>
      </c>
      <c r="AV69" s="151">
        <f>AV37*(1-Deposits!$P$16)</f>
        <v>0</v>
      </c>
      <c r="AW69" s="151">
        <f>AW37*(1-Deposits!$P$16)</f>
        <v>0</v>
      </c>
      <c r="AX69" s="151">
        <f>AX37*(1-Deposits!$P$16)</f>
        <v>0</v>
      </c>
      <c r="AY69" s="151">
        <f>AY37*(1-Deposits!$P$16)</f>
        <v>0</v>
      </c>
      <c r="AZ69" s="151">
        <f>AZ37*(1-Deposits!$P$16)</f>
        <v>0</v>
      </c>
      <c r="BA69" s="151">
        <f>BA37*(1-Deposits!$P$16)</f>
        <v>0</v>
      </c>
      <c r="BB69" s="151">
        <f>BB37*(1-Deposits!$P$16)</f>
        <v>0</v>
      </c>
      <c r="BC69" s="151">
        <f>BC37*(1-Deposits!$P$16)</f>
        <v>0</v>
      </c>
      <c r="BD69" s="151">
        <f>BD37*(1-Deposits!$P$16)</f>
        <v>0</v>
      </c>
      <c r="BE69" s="151">
        <f>BE37*(1-Deposits!$P$16)</f>
        <v>0</v>
      </c>
      <c r="BF69" s="151">
        <f>BF37*(1-Deposits!$P$16)</f>
        <v>0</v>
      </c>
      <c r="BG69" s="151">
        <f>BG37*(1-Deposits!$P$16)</f>
        <v>0</v>
      </c>
      <c r="BH69" s="151">
        <f>BH37*(1-Deposits!$P$16)</f>
        <v>0</v>
      </c>
      <c r="BI69" s="151">
        <f>BI37*(1-Deposits!$P$16)</f>
        <v>0</v>
      </c>
      <c r="BJ69" s="151">
        <f>BJ37*(1-Deposits!$P$16)</f>
        <v>0</v>
      </c>
      <c r="BK69" s="151">
        <f>BK37*(1-Deposits!$P$16)</f>
        <v>0</v>
      </c>
      <c r="BL69" s="151">
        <f>BL37*(1-Deposits!$P$16)</f>
        <v>0</v>
      </c>
      <c r="BM69" s="151">
        <f>BM37*(1-Deposits!$P$16)</f>
        <v>0</v>
      </c>
      <c r="BN69" s="151">
        <f>BN37*(1-Deposits!$P$16)</f>
        <v>0</v>
      </c>
      <c r="BO69" s="151">
        <f>BO37*(1-Deposits!$P$16)</f>
        <v>0</v>
      </c>
      <c r="BP69" s="151">
        <f>BP37*(1-Deposits!$P$16)</f>
        <v>0</v>
      </c>
    </row>
    <row r="70" spans="3:68" x14ac:dyDescent="0.25">
      <c r="C70" s="228" t="str">
        <f t="shared" si="28"/>
        <v>Kiegészítő biztosíték 4. részlet</v>
      </c>
      <c r="D70" t="s">
        <v>125</v>
      </c>
      <c r="E70" s="151"/>
      <c r="F70" s="151"/>
      <c r="G70" s="151">
        <f t="shared" si="29"/>
        <v>0</v>
      </c>
      <c r="H70" s="151">
        <f>H38*(1-Deposits!$P$17)</f>
        <v>0</v>
      </c>
      <c r="I70" s="151">
        <f>I38*(1-Deposits!$P$17)</f>
        <v>0</v>
      </c>
      <c r="J70" s="151">
        <f>J38*(1-Deposits!$P$17)</f>
        <v>0</v>
      </c>
      <c r="K70" s="151">
        <f>K38*(1-Deposits!$P$17)</f>
        <v>0</v>
      </c>
      <c r="L70" s="151">
        <f>L38*(1-Deposits!$P$17)</f>
        <v>0</v>
      </c>
      <c r="M70" s="151">
        <f>M38*(1-Deposits!$P$17)</f>
        <v>0</v>
      </c>
      <c r="N70" s="151">
        <f>N38*(1-Deposits!$P$17)</f>
        <v>0</v>
      </c>
      <c r="O70" s="151">
        <f>O38*(1-Deposits!$P$17)</f>
        <v>0</v>
      </c>
      <c r="P70" s="151">
        <f>P38*(1-Deposits!$P$17)</f>
        <v>0</v>
      </c>
      <c r="Q70" s="151">
        <f>Q38*(1-Deposits!$P$17)</f>
        <v>0</v>
      </c>
      <c r="R70" s="151">
        <f>R38*(1-Deposits!$P$17)</f>
        <v>0</v>
      </c>
      <c r="S70" s="151">
        <f>S38*(1-Deposits!$P$17)</f>
        <v>0</v>
      </c>
      <c r="T70" s="151">
        <f>T38*(1-Deposits!$P$17)</f>
        <v>0</v>
      </c>
      <c r="U70" s="151">
        <f>U38*(1-Deposits!$P$17)</f>
        <v>0</v>
      </c>
      <c r="V70" s="151">
        <f>V38*(1-Deposits!$P$17)</f>
        <v>0</v>
      </c>
      <c r="W70" s="151">
        <f>W38*(1-Deposits!$P$17)</f>
        <v>0</v>
      </c>
      <c r="X70" s="151">
        <f>X38*(1-Deposits!$P$17)</f>
        <v>0</v>
      </c>
      <c r="Y70" s="151">
        <f>Y38*(1-Deposits!$P$17)</f>
        <v>0</v>
      </c>
      <c r="Z70" s="151">
        <f>Z38*(1-Deposits!$P$17)</f>
        <v>0</v>
      </c>
      <c r="AA70" s="151">
        <f>AA38*(1-Deposits!$P$17)</f>
        <v>0</v>
      </c>
      <c r="AB70" s="151">
        <f>AB38*(1-Deposits!$P$17)</f>
        <v>0</v>
      </c>
      <c r="AC70" s="151">
        <f>AC38*(1-Deposits!$P$17)</f>
        <v>0</v>
      </c>
      <c r="AD70" s="151">
        <f>AD38*(1-Deposits!$P$17)</f>
        <v>0</v>
      </c>
      <c r="AE70" s="151">
        <f>AE38*(1-Deposits!$P$17)</f>
        <v>0</v>
      </c>
      <c r="AF70" s="151">
        <f>AF38*(1-Deposits!$P$17)</f>
        <v>0</v>
      </c>
      <c r="AG70" s="151">
        <f>AG38*(1-Deposits!$P$17)</f>
        <v>0</v>
      </c>
      <c r="AH70" s="151">
        <f>AH38*(1-Deposits!$P$17)</f>
        <v>0</v>
      </c>
      <c r="AI70" s="151">
        <f>AI38*(1-Deposits!$P$17)</f>
        <v>0</v>
      </c>
      <c r="AJ70" s="151">
        <f>AJ38*(1-Deposits!$P$17)</f>
        <v>0</v>
      </c>
      <c r="AK70" s="151">
        <f>AK38*(1-Deposits!$P$17)</f>
        <v>0</v>
      </c>
      <c r="AL70" s="151">
        <f>AL38*(1-Deposits!$P$17)</f>
        <v>0</v>
      </c>
      <c r="AM70" s="151">
        <f>AM38*(1-Deposits!$P$17)</f>
        <v>0</v>
      </c>
      <c r="AN70" s="151">
        <f>AN38*(1-Deposits!$P$17)</f>
        <v>0</v>
      </c>
      <c r="AO70" s="151">
        <f>AO38*(1-Deposits!$P$17)</f>
        <v>0</v>
      </c>
      <c r="AP70" s="151">
        <f>AP38*(1-Deposits!$P$17)</f>
        <v>0</v>
      </c>
      <c r="AQ70" s="151">
        <f>AQ38*(1-Deposits!$P$17)</f>
        <v>0</v>
      </c>
      <c r="AR70" s="151">
        <f>AR38*(1-Deposits!$P$17)</f>
        <v>0</v>
      </c>
      <c r="AS70" s="151">
        <f>AS38*(1-Deposits!$P$17)</f>
        <v>0</v>
      </c>
      <c r="AT70" s="151">
        <f>AT38*(1-Deposits!$P$17)</f>
        <v>0</v>
      </c>
      <c r="AU70" s="151">
        <f>AU38*(1-Deposits!$P$17)</f>
        <v>0</v>
      </c>
      <c r="AV70" s="151">
        <f>AV38*(1-Deposits!$P$17)</f>
        <v>0</v>
      </c>
      <c r="AW70" s="151">
        <f>AW38*(1-Deposits!$P$17)</f>
        <v>0</v>
      </c>
      <c r="AX70" s="151">
        <f>AX38*(1-Deposits!$P$17)</f>
        <v>0</v>
      </c>
      <c r="AY70" s="151">
        <f>AY38*(1-Deposits!$P$17)</f>
        <v>0</v>
      </c>
      <c r="AZ70" s="151">
        <f>AZ38*(1-Deposits!$P$17)</f>
        <v>0</v>
      </c>
      <c r="BA70" s="151">
        <f>BA38*(1-Deposits!$P$17)</f>
        <v>0</v>
      </c>
      <c r="BB70" s="151">
        <f>BB38*(1-Deposits!$P$17)</f>
        <v>0</v>
      </c>
      <c r="BC70" s="151">
        <f>BC38*(1-Deposits!$P$17)</f>
        <v>0</v>
      </c>
      <c r="BD70" s="151">
        <f>BD38*(1-Deposits!$P$17)</f>
        <v>0</v>
      </c>
      <c r="BE70" s="151">
        <f>BE38*(1-Deposits!$P$17)</f>
        <v>0</v>
      </c>
      <c r="BF70" s="151">
        <f>BF38*(1-Deposits!$P$17)</f>
        <v>0</v>
      </c>
      <c r="BG70" s="151">
        <f>BG38*(1-Deposits!$P$17)</f>
        <v>0</v>
      </c>
      <c r="BH70" s="151">
        <f>BH38*(1-Deposits!$P$17)</f>
        <v>0</v>
      </c>
      <c r="BI70" s="151">
        <f>BI38*(1-Deposits!$P$17)</f>
        <v>0</v>
      </c>
      <c r="BJ70" s="151">
        <f>BJ38*(1-Deposits!$P$17)</f>
        <v>0</v>
      </c>
      <c r="BK70" s="151">
        <f>BK38*(1-Deposits!$P$17)</f>
        <v>0</v>
      </c>
      <c r="BL70" s="151">
        <f>BL38*(1-Deposits!$P$17)</f>
        <v>0</v>
      </c>
      <c r="BM70" s="151">
        <f>BM38*(1-Deposits!$P$17)</f>
        <v>0</v>
      </c>
      <c r="BN70" s="151">
        <f>BN38*(1-Deposits!$P$17)</f>
        <v>0</v>
      </c>
      <c r="BO70" s="151">
        <f>BO38*(1-Deposits!$P$17)</f>
        <v>0</v>
      </c>
      <c r="BP70" s="151">
        <f>BP38*(1-Deposits!$P$17)</f>
        <v>0</v>
      </c>
    </row>
    <row r="71" spans="3:68" x14ac:dyDescent="0.25">
      <c r="C71" s="228" t="str">
        <f t="shared" si="28"/>
        <v>Csatlakozási díj – becsült összeg</v>
      </c>
      <c r="D71" t="s">
        <v>125</v>
      </c>
      <c r="E71" s="151"/>
      <c r="F71" s="151"/>
      <c r="G71" s="151">
        <f t="shared" si="29"/>
        <v>0</v>
      </c>
      <c r="H71" s="151">
        <f>H39*(1-Deposits!$P$18)</f>
        <v>0</v>
      </c>
      <c r="I71" s="151">
        <f>I39*(1-Deposits!$P$18)</f>
        <v>0</v>
      </c>
      <c r="J71" s="151">
        <f>J39*(1-Deposits!$P$18)</f>
        <v>0</v>
      </c>
      <c r="K71" s="151">
        <f>K39*(1-Deposits!$P$18)</f>
        <v>0</v>
      </c>
      <c r="L71" s="151">
        <f>L39*(1-Deposits!$P$18)</f>
        <v>0</v>
      </c>
      <c r="M71" s="151">
        <f>M39*(1-Deposits!$P$18)</f>
        <v>0</v>
      </c>
      <c r="N71" s="151">
        <f>N39*(1-Deposits!$P$18)</f>
        <v>0</v>
      </c>
      <c r="O71" s="151">
        <f>O39*(1-Deposits!$P$18)</f>
        <v>0</v>
      </c>
      <c r="P71" s="151">
        <f>P39*(1-Deposits!$P$18)</f>
        <v>0</v>
      </c>
      <c r="Q71" s="151">
        <f>Q39*(1-Deposits!$P$18)</f>
        <v>0</v>
      </c>
      <c r="R71" s="151">
        <f>R39*(1-Deposits!$P$18)</f>
        <v>0</v>
      </c>
      <c r="S71" s="151">
        <f>S39*(1-Deposits!$P$18)</f>
        <v>0</v>
      </c>
      <c r="T71" s="151">
        <f>T39*(1-Deposits!$P$18)</f>
        <v>0</v>
      </c>
      <c r="U71" s="151">
        <f>U39*(1-Deposits!$P$18)</f>
        <v>0</v>
      </c>
      <c r="V71" s="151">
        <f>V39*(1-Deposits!$P$18)</f>
        <v>0</v>
      </c>
      <c r="W71" s="151">
        <f>W39*(1-Deposits!$P$18)</f>
        <v>0</v>
      </c>
      <c r="X71" s="151">
        <f>X39*(1-Deposits!$P$18)</f>
        <v>0</v>
      </c>
      <c r="Y71" s="151">
        <f>Y39*(1-Deposits!$P$18)</f>
        <v>0</v>
      </c>
      <c r="Z71" s="151">
        <f>Z39*(1-Deposits!$P$18)</f>
        <v>0</v>
      </c>
      <c r="AA71" s="151">
        <f>AA39*(1-Deposits!$P$18)</f>
        <v>0</v>
      </c>
      <c r="AB71" s="151">
        <f>AB39*(1-Deposits!$P$18)</f>
        <v>0</v>
      </c>
      <c r="AC71" s="151">
        <f>AC39*(1-Deposits!$P$18)</f>
        <v>0</v>
      </c>
      <c r="AD71" s="151">
        <f>AD39*(1-Deposits!$P$18)</f>
        <v>0</v>
      </c>
      <c r="AE71" s="151">
        <f>AE39*(1-Deposits!$P$18)</f>
        <v>0</v>
      </c>
      <c r="AF71" s="151">
        <f>AF39*(1-Deposits!$P$18)</f>
        <v>0</v>
      </c>
      <c r="AG71" s="151">
        <f>AG39*(1-Deposits!$P$18)</f>
        <v>0</v>
      </c>
      <c r="AH71" s="151">
        <f>AH39*(1-Deposits!$P$18)</f>
        <v>0</v>
      </c>
      <c r="AI71" s="151">
        <f>AI39*(1-Deposits!$P$18)</f>
        <v>0</v>
      </c>
      <c r="AJ71" s="151">
        <f>AJ39*(1-Deposits!$P$18)</f>
        <v>0</v>
      </c>
      <c r="AK71" s="151">
        <f>AK39*(1-Deposits!$P$18)</f>
        <v>0</v>
      </c>
      <c r="AL71" s="151">
        <f>AL39*(1-Deposits!$P$18)</f>
        <v>0</v>
      </c>
      <c r="AM71" s="151">
        <f>AM39*(1-Deposits!$P$18)</f>
        <v>0</v>
      </c>
      <c r="AN71" s="151">
        <f>AN39*(1-Deposits!$P$18)</f>
        <v>0</v>
      </c>
      <c r="AO71" s="151">
        <f>AO39*(1-Deposits!$P$18)</f>
        <v>0</v>
      </c>
      <c r="AP71" s="151">
        <f>AP39*(1-Deposits!$P$18)</f>
        <v>0</v>
      </c>
      <c r="AQ71" s="151">
        <f>AQ39*(1-Deposits!$P$18)</f>
        <v>0</v>
      </c>
      <c r="AR71" s="151">
        <f>AR39*(1-Deposits!$P$18)</f>
        <v>0</v>
      </c>
      <c r="AS71" s="151">
        <f>AS39*(1-Deposits!$P$18)</f>
        <v>0</v>
      </c>
      <c r="AT71" s="151">
        <f>AT39*(1-Deposits!$P$18)</f>
        <v>0</v>
      </c>
      <c r="AU71" s="151">
        <f>AU39*(1-Deposits!$P$18)</f>
        <v>0</v>
      </c>
      <c r="AV71" s="151">
        <f>AV39*(1-Deposits!$P$18)</f>
        <v>0</v>
      </c>
      <c r="AW71" s="151">
        <f>AW39*(1-Deposits!$P$18)</f>
        <v>0</v>
      </c>
      <c r="AX71" s="151">
        <f>AX39*(1-Deposits!$P$18)</f>
        <v>0</v>
      </c>
      <c r="AY71" s="151">
        <f>AY39*(1-Deposits!$P$18)</f>
        <v>0</v>
      </c>
      <c r="AZ71" s="151">
        <f>AZ39*(1-Deposits!$P$18)</f>
        <v>0</v>
      </c>
      <c r="BA71" s="151">
        <f>BA39*(1-Deposits!$P$18)</f>
        <v>0</v>
      </c>
      <c r="BB71" s="151">
        <f>BB39*(1-Deposits!$P$18)</f>
        <v>0</v>
      </c>
      <c r="BC71" s="151">
        <f>BC39*(1-Deposits!$P$18)</f>
        <v>0</v>
      </c>
      <c r="BD71" s="151">
        <f>BD39*(1-Deposits!$P$18)</f>
        <v>0</v>
      </c>
      <c r="BE71" s="151">
        <f>BE39*(1-Deposits!$P$18)</f>
        <v>0</v>
      </c>
      <c r="BF71" s="151">
        <f>BF39*(1-Deposits!$P$18)</f>
        <v>0</v>
      </c>
      <c r="BG71" s="151">
        <f>BG39*(1-Deposits!$P$18)</f>
        <v>0</v>
      </c>
      <c r="BH71" s="151">
        <f>BH39*(1-Deposits!$P$18)</f>
        <v>0</v>
      </c>
      <c r="BI71" s="151">
        <f>BI39*(1-Deposits!$P$18)</f>
        <v>0</v>
      </c>
      <c r="BJ71" s="151">
        <f>BJ39*(1-Deposits!$P$18)</f>
        <v>0</v>
      </c>
      <c r="BK71" s="151">
        <f>BK39*(1-Deposits!$P$18)</f>
        <v>0</v>
      </c>
      <c r="BL71" s="151">
        <f>BL39*(1-Deposits!$P$18)</f>
        <v>0</v>
      </c>
      <c r="BM71" s="151">
        <f>BM39*(1-Deposits!$P$18)</f>
        <v>0</v>
      </c>
      <c r="BN71" s="151">
        <f>BN39*(1-Deposits!$P$18)</f>
        <v>0</v>
      </c>
      <c r="BO71" s="151">
        <f>BO39*(1-Deposits!$P$18)</f>
        <v>0</v>
      </c>
      <c r="BP71" s="151">
        <f>BP39*(1-Deposits!$P$18)</f>
        <v>0</v>
      </c>
    </row>
    <row r="72" spans="3:68" x14ac:dyDescent="0.25">
      <c r="C72" s="198" t="s">
        <v>1052</v>
      </c>
      <c r="D72" s="198" t="s">
        <v>125</v>
      </c>
      <c r="E72" s="244"/>
      <c r="F72" s="244"/>
      <c r="G72" s="244">
        <f t="shared" si="29"/>
        <v>5842.8767123287689</v>
      </c>
      <c r="H72" s="244">
        <f t="shared" ref="H72:AM72" si="30">SUM(H60:H71)</f>
        <v>0</v>
      </c>
      <c r="I72" s="244">
        <f t="shared" si="30"/>
        <v>0</v>
      </c>
      <c r="J72" s="244">
        <f t="shared" si="30"/>
        <v>0</v>
      </c>
      <c r="K72" s="244">
        <f t="shared" si="30"/>
        <v>1168.5753424657537</v>
      </c>
      <c r="L72" s="244">
        <f t="shared" si="30"/>
        <v>0</v>
      </c>
      <c r="M72" s="244">
        <f t="shared" si="30"/>
        <v>4674.3013698630148</v>
      </c>
      <c r="N72" s="244">
        <f t="shared" si="30"/>
        <v>0</v>
      </c>
      <c r="O72" s="244">
        <f t="shared" si="30"/>
        <v>0</v>
      </c>
      <c r="P72" s="244">
        <f t="shared" si="30"/>
        <v>0</v>
      </c>
      <c r="Q72" s="244">
        <f t="shared" si="30"/>
        <v>0</v>
      </c>
      <c r="R72" s="244">
        <f t="shared" si="30"/>
        <v>0</v>
      </c>
      <c r="S72" s="244">
        <f t="shared" si="30"/>
        <v>0</v>
      </c>
      <c r="T72" s="244">
        <f t="shared" si="30"/>
        <v>0</v>
      </c>
      <c r="U72" s="244">
        <f t="shared" si="30"/>
        <v>0</v>
      </c>
      <c r="V72" s="244">
        <f t="shared" si="30"/>
        <v>0</v>
      </c>
      <c r="W72" s="244">
        <f t="shared" si="30"/>
        <v>0</v>
      </c>
      <c r="X72" s="244">
        <f t="shared" si="30"/>
        <v>0</v>
      </c>
      <c r="Y72" s="244">
        <f t="shared" si="30"/>
        <v>0</v>
      </c>
      <c r="Z72" s="244">
        <f t="shared" si="30"/>
        <v>0</v>
      </c>
      <c r="AA72" s="244">
        <f t="shared" si="30"/>
        <v>0</v>
      </c>
      <c r="AB72" s="244">
        <f t="shared" si="30"/>
        <v>0</v>
      </c>
      <c r="AC72" s="244">
        <f t="shared" si="30"/>
        <v>0</v>
      </c>
      <c r="AD72" s="244">
        <f t="shared" si="30"/>
        <v>0</v>
      </c>
      <c r="AE72" s="244">
        <f t="shared" si="30"/>
        <v>0</v>
      </c>
      <c r="AF72" s="244">
        <f t="shared" si="30"/>
        <v>0</v>
      </c>
      <c r="AG72" s="244">
        <f t="shared" si="30"/>
        <v>0</v>
      </c>
      <c r="AH72" s="244">
        <f t="shared" si="30"/>
        <v>0</v>
      </c>
      <c r="AI72" s="244">
        <f t="shared" si="30"/>
        <v>0</v>
      </c>
      <c r="AJ72" s="244">
        <f t="shared" si="30"/>
        <v>0</v>
      </c>
      <c r="AK72" s="244">
        <f t="shared" si="30"/>
        <v>0</v>
      </c>
      <c r="AL72" s="244">
        <f t="shared" si="30"/>
        <v>0</v>
      </c>
      <c r="AM72" s="244">
        <f t="shared" si="30"/>
        <v>0</v>
      </c>
      <c r="AN72" s="244">
        <f t="shared" ref="AN72:BP72" si="31">SUM(AN60:AN71)</f>
        <v>0</v>
      </c>
      <c r="AO72" s="244">
        <f t="shared" si="31"/>
        <v>0</v>
      </c>
      <c r="AP72" s="244">
        <f t="shared" si="31"/>
        <v>0</v>
      </c>
      <c r="AQ72" s="244">
        <f t="shared" si="31"/>
        <v>0</v>
      </c>
      <c r="AR72" s="244">
        <f t="shared" si="31"/>
        <v>0</v>
      </c>
      <c r="AS72" s="244">
        <f t="shared" si="31"/>
        <v>0</v>
      </c>
      <c r="AT72" s="244">
        <f t="shared" si="31"/>
        <v>0</v>
      </c>
      <c r="AU72" s="244">
        <f t="shared" si="31"/>
        <v>0</v>
      </c>
      <c r="AV72" s="244">
        <f t="shared" si="31"/>
        <v>0</v>
      </c>
      <c r="AW72" s="244">
        <f t="shared" si="31"/>
        <v>0</v>
      </c>
      <c r="AX72" s="244">
        <f t="shared" si="31"/>
        <v>0</v>
      </c>
      <c r="AY72" s="244">
        <f t="shared" si="31"/>
        <v>0</v>
      </c>
      <c r="AZ72" s="244">
        <f t="shared" si="31"/>
        <v>0</v>
      </c>
      <c r="BA72" s="244">
        <f t="shared" si="31"/>
        <v>0</v>
      </c>
      <c r="BB72" s="244">
        <f t="shared" si="31"/>
        <v>0</v>
      </c>
      <c r="BC72" s="244">
        <f t="shared" si="31"/>
        <v>0</v>
      </c>
      <c r="BD72" s="244">
        <f t="shared" si="31"/>
        <v>0</v>
      </c>
      <c r="BE72" s="244">
        <f t="shared" si="31"/>
        <v>0</v>
      </c>
      <c r="BF72" s="244">
        <f t="shared" si="31"/>
        <v>0</v>
      </c>
      <c r="BG72" s="244">
        <f t="shared" si="31"/>
        <v>0</v>
      </c>
      <c r="BH72" s="244">
        <f t="shared" si="31"/>
        <v>0</v>
      </c>
      <c r="BI72" s="244">
        <f t="shared" si="31"/>
        <v>0</v>
      </c>
      <c r="BJ72" s="244">
        <f t="shared" si="31"/>
        <v>0</v>
      </c>
      <c r="BK72" s="244">
        <f t="shared" si="31"/>
        <v>0</v>
      </c>
      <c r="BL72" s="244">
        <f t="shared" si="31"/>
        <v>0</v>
      </c>
      <c r="BM72" s="244">
        <f t="shared" si="31"/>
        <v>0</v>
      </c>
      <c r="BN72" s="244">
        <f t="shared" si="31"/>
        <v>0</v>
      </c>
      <c r="BO72" s="244">
        <f t="shared" si="31"/>
        <v>0</v>
      </c>
      <c r="BP72" s="244">
        <f t="shared" si="31"/>
        <v>0</v>
      </c>
    </row>
    <row r="73" spans="3:68" x14ac:dyDescent="0.25">
      <c r="C73" t="s">
        <v>1053</v>
      </c>
      <c r="D73" t="s">
        <v>125</v>
      </c>
      <c r="E73" s="151"/>
      <c r="F73" s="151"/>
      <c r="G73" s="151"/>
      <c r="H73" s="151">
        <v>0</v>
      </c>
      <c r="I73" s="151">
        <f t="shared" ref="I73:AN73" si="32">H76</f>
        <v>0</v>
      </c>
      <c r="J73" s="151">
        <f t="shared" si="32"/>
        <v>0</v>
      </c>
      <c r="K73" s="151">
        <f t="shared" si="32"/>
        <v>0</v>
      </c>
      <c r="L73" s="151">
        <f t="shared" si="32"/>
        <v>1168.5753424657537</v>
      </c>
      <c r="M73" s="151">
        <f t="shared" si="32"/>
        <v>1168.5753424657537</v>
      </c>
      <c r="N73" s="151">
        <f t="shared" si="32"/>
        <v>5842.8767123287689</v>
      </c>
      <c r="O73" s="151">
        <f t="shared" si="32"/>
        <v>5842.8767123287689</v>
      </c>
      <c r="P73" s="151">
        <f t="shared" si="32"/>
        <v>5842.8767123287689</v>
      </c>
      <c r="Q73" s="151">
        <f t="shared" si="32"/>
        <v>5842.8767123287689</v>
      </c>
      <c r="R73" s="151">
        <f t="shared" si="32"/>
        <v>5842.8767123287689</v>
      </c>
      <c r="S73" s="151">
        <f t="shared" si="32"/>
        <v>5842.8767123287689</v>
      </c>
      <c r="T73" s="151">
        <f t="shared" si="32"/>
        <v>5842.8767123287689</v>
      </c>
      <c r="U73" s="151">
        <f t="shared" si="32"/>
        <v>5842.8767123287689</v>
      </c>
      <c r="V73" s="151">
        <f t="shared" si="32"/>
        <v>5842.8767123287689</v>
      </c>
      <c r="W73" s="151">
        <f t="shared" si="32"/>
        <v>5842.8767123287689</v>
      </c>
      <c r="X73" s="151">
        <f t="shared" si="32"/>
        <v>5842.8767123287689</v>
      </c>
      <c r="Y73" s="151">
        <f t="shared" si="32"/>
        <v>5842.8767123287689</v>
      </c>
      <c r="Z73" s="151">
        <f t="shared" si="32"/>
        <v>5842.8767123287689</v>
      </c>
      <c r="AA73" s="151">
        <f t="shared" si="32"/>
        <v>5842.8767123287689</v>
      </c>
      <c r="AB73" s="151">
        <f t="shared" si="32"/>
        <v>5842.8767123287689</v>
      </c>
      <c r="AC73" s="151">
        <f t="shared" si="32"/>
        <v>5842.8767123287689</v>
      </c>
      <c r="AD73" s="151">
        <f t="shared" si="32"/>
        <v>5842.8767123287689</v>
      </c>
      <c r="AE73" s="151">
        <f t="shared" si="32"/>
        <v>5842.8767123287689</v>
      </c>
      <c r="AF73" s="151">
        <f t="shared" si="32"/>
        <v>5842.8767123287689</v>
      </c>
      <c r="AG73" s="151">
        <f t="shared" si="32"/>
        <v>5842.8767123287689</v>
      </c>
      <c r="AH73" s="151">
        <f t="shared" si="32"/>
        <v>5842.8767123287689</v>
      </c>
      <c r="AI73" s="151">
        <f t="shared" si="32"/>
        <v>5842.8767123287689</v>
      </c>
      <c r="AJ73" s="151">
        <f t="shared" si="32"/>
        <v>5842.8767123287689</v>
      </c>
      <c r="AK73" s="151">
        <f t="shared" si="32"/>
        <v>5842.8767123287689</v>
      </c>
      <c r="AL73" s="151">
        <f t="shared" si="32"/>
        <v>5842.8767123287689</v>
      </c>
      <c r="AM73" s="151">
        <f t="shared" si="32"/>
        <v>5842.8767123287689</v>
      </c>
      <c r="AN73" s="151">
        <f t="shared" si="32"/>
        <v>5842.8767123287689</v>
      </c>
      <c r="AO73" s="151">
        <f t="shared" ref="AO73:BP73" si="33">AN76</f>
        <v>5842.8767123287689</v>
      </c>
      <c r="AP73" s="151">
        <f t="shared" si="33"/>
        <v>5842.8767123287689</v>
      </c>
      <c r="AQ73" s="151">
        <f t="shared" si="33"/>
        <v>5842.8767123287689</v>
      </c>
      <c r="AR73" s="151">
        <f t="shared" si="33"/>
        <v>5842.8767123287689</v>
      </c>
      <c r="AS73" s="151">
        <f t="shared" si="33"/>
        <v>5842.8767123287689</v>
      </c>
      <c r="AT73" s="151">
        <f t="shared" si="33"/>
        <v>5842.8767123287689</v>
      </c>
      <c r="AU73" s="151">
        <f t="shared" si="33"/>
        <v>0</v>
      </c>
      <c r="AV73" s="151">
        <f t="shared" si="33"/>
        <v>0</v>
      </c>
      <c r="AW73" s="151">
        <f t="shared" si="33"/>
        <v>0</v>
      </c>
      <c r="AX73" s="151">
        <f t="shared" si="33"/>
        <v>0</v>
      </c>
      <c r="AY73" s="151">
        <f t="shared" si="33"/>
        <v>0</v>
      </c>
      <c r="AZ73" s="151">
        <f t="shared" si="33"/>
        <v>0</v>
      </c>
      <c r="BA73" s="151">
        <f t="shared" si="33"/>
        <v>0</v>
      </c>
      <c r="BB73" s="151">
        <f t="shared" si="33"/>
        <v>0</v>
      </c>
      <c r="BC73" s="151">
        <f t="shared" si="33"/>
        <v>0</v>
      </c>
      <c r="BD73" s="151">
        <f t="shared" si="33"/>
        <v>0</v>
      </c>
      <c r="BE73" s="151">
        <f t="shared" si="33"/>
        <v>0</v>
      </c>
      <c r="BF73" s="151">
        <f t="shared" si="33"/>
        <v>0</v>
      </c>
      <c r="BG73" s="151">
        <f t="shared" si="33"/>
        <v>0</v>
      </c>
      <c r="BH73" s="151">
        <f t="shared" si="33"/>
        <v>0</v>
      </c>
      <c r="BI73" s="151">
        <f t="shared" si="33"/>
        <v>0</v>
      </c>
      <c r="BJ73" s="151">
        <f t="shared" si="33"/>
        <v>0</v>
      </c>
      <c r="BK73" s="151">
        <f t="shared" si="33"/>
        <v>0</v>
      </c>
      <c r="BL73" s="151">
        <f t="shared" si="33"/>
        <v>0</v>
      </c>
      <c r="BM73" s="151">
        <f t="shared" si="33"/>
        <v>0</v>
      </c>
      <c r="BN73" s="151">
        <f t="shared" si="33"/>
        <v>0</v>
      </c>
      <c r="BO73" s="151">
        <f t="shared" si="33"/>
        <v>0</v>
      </c>
      <c r="BP73" s="151">
        <f t="shared" si="33"/>
        <v>0</v>
      </c>
    </row>
    <row r="74" spans="3:68" x14ac:dyDescent="0.25">
      <c r="C74" t="s">
        <v>1054</v>
      </c>
      <c r="D74" t="s">
        <v>125</v>
      </c>
      <c r="E74" s="151"/>
      <c r="F74" s="151"/>
      <c r="G74" s="151"/>
      <c r="H74" s="151">
        <f t="shared" ref="H74:AM74" si="34">H72</f>
        <v>0</v>
      </c>
      <c r="I74" s="151">
        <f t="shared" si="34"/>
        <v>0</v>
      </c>
      <c r="J74" s="151">
        <f t="shared" si="34"/>
        <v>0</v>
      </c>
      <c r="K74" s="151">
        <f t="shared" si="34"/>
        <v>1168.5753424657537</v>
      </c>
      <c r="L74" s="151">
        <f t="shared" si="34"/>
        <v>0</v>
      </c>
      <c r="M74" s="151">
        <f t="shared" si="34"/>
        <v>4674.3013698630148</v>
      </c>
      <c r="N74" s="151">
        <f t="shared" si="34"/>
        <v>0</v>
      </c>
      <c r="O74" s="151">
        <f t="shared" si="34"/>
        <v>0</v>
      </c>
      <c r="P74" s="151">
        <f t="shared" si="34"/>
        <v>0</v>
      </c>
      <c r="Q74" s="151">
        <f t="shared" si="34"/>
        <v>0</v>
      </c>
      <c r="R74" s="151">
        <f t="shared" si="34"/>
        <v>0</v>
      </c>
      <c r="S74" s="151">
        <f t="shared" si="34"/>
        <v>0</v>
      </c>
      <c r="T74" s="151">
        <f t="shared" si="34"/>
        <v>0</v>
      </c>
      <c r="U74" s="151">
        <f t="shared" si="34"/>
        <v>0</v>
      </c>
      <c r="V74" s="151">
        <f t="shared" si="34"/>
        <v>0</v>
      </c>
      <c r="W74" s="151">
        <f t="shared" si="34"/>
        <v>0</v>
      </c>
      <c r="X74" s="151">
        <f t="shared" si="34"/>
        <v>0</v>
      </c>
      <c r="Y74" s="151">
        <f t="shared" si="34"/>
        <v>0</v>
      </c>
      <c r="Z74" s="151">
        <f t="shared" si="34"/>
        <v>0</v>
      </c>
      <c r="AA74" s="151">
        <f t="shared" si="34"/>
        <v>0</v>
      </c>
      <c r="AB74" s="151">
        <f t="shared" si="34"/>
        <v>0</v>
      </c>
      <c r="AC74" s="151">
        <f t="shared" si="34"/>
        <v>0</v>
      </c>
      <c r="AD74" s="151">
        <f t="shared" si="34"/>
        <v>0</v>
      </c>
      <c r="AE74" s="151">
        <f t="shared" si="34"/>
        <v>0</v>
      </c>
      <c r="AF74" s="151">
        <f t="shared" si="34"/>
        <v>0</v>
      </c>
      <c r="AG74" s="151">
        <f t="shared" si="34"/>
        <v>0</v>
      </c>
      <c r="AH74" s="151">
        <f t="shared" si="34"/>
        <v>0</v>
      </c>
      <c r="AI74" s="151">
        <f t="shared" si="34"/>
        <v>0</v>
      </c>
      <c r="AJ74" s="151">
        <f t="shared" si="34"/>
        <v>0</v>
      </c>
      <c r="AK74" s="151">
        <f t="shared" si="34"/>
        <v>0</v>
      </c>
      <c r="AL74" s="151">
        <f t="shared" si="34"/>
        <v>0</v>
      </c>
      <c r="AM74" s="151">
        <f t="shared" si="34"/>
        <v>0</v>
      </c>
      <c r="AN74" s="151">
        <f t="shared" ref="AN74:BP74" si="35">AN72</f>
        <v>0</v>
      </c>
      <c r="AO74" s="151">
        <f t="shared" si="35"/>
        <v>0</v>
      </c>
      <c r="AP74" s="151">
        <f t="shared" si="35"/>
        <v>0</v>
      </c>
      <c r="AQ74" s="151">
        <f t="shared" si="35"/>
        <v>0</v>
      </c>
      <c r="AR74" s="151">
        <f t="shared" si="35"/>
        <v>0</v>
      </c>
      <c r="AS74" s="151">
        <f t="shared" si="35"/>
        <v>0</v>
      </c>
      <c r="AT74" s="151">
        <f t="shared" si="35"/>
        <v>0</v>
      </c>
      <c r="AU74" s="151">
        <f t="shared" si="35"/>
        <v>0</v>
      </c>
      <c r="AV74" s="151">
        <f t="shared" si="35"/>
        <v>0</v>
      </c>
      <c r="AW74" s="151">
        <f t="shared" si="35"/>
        <v>0</v>
      </c>
      <c r="AX74" s="151">
        <f t="shared" si="35"/>
        <v>0</v>
      </c>
      <c r="AY74" s="151">
        <f t="shared" si="35"/>
        <v>0</v>
      </c>
      <c r="AZ74" s="151">
        <f t="shared" si="35"/>
        <v>0</v>
      </c>
      <c r="BA74" s="151">
        <f t="shared" si="35"/>
        <v>0</v>
      </c>
      <c r="BB74" s="151">
        <f t="shared" si="35"/>
        <v>0</v>
      </c>
      <c r="BC74" s="151">
        <f t="shared" si="35"/>
        <v>0</v>
      </c>
      <c r="BD74" s="151">
        <f t="shared" si="35"/>
        <v>0</v>
      </c>
      <c r="BE74" s="151">
        <f t="shared" si="35"/>
        <v>0</v>
      </c>
      <c r="BF74" s="151">
        <f t="shared" si="35"/>
        <v>0</v>
      </c>
      <c r="BG74" s="151">
        <f t="shared" si="35"/>
        <v>0</v>
      </c>
      <c r="BH74" s="151">
        <f t="shared" si="35"/>
        <v>0</v>
      </c>
      <c r="BI74" s="151">
        <f t="shared" si="35"/>
        <v>0</v>
      </c>
      <c r="BJ74" s="151">
        <f t="shared" si="35"/>
        <v>0</v>
      </c>
      <c r="BK74" s="151">
        <f t="shared" si="35"/>
        <v>0</v>
      </c>
      <c r="BL74" s="151">
        <f t="shared" si="35"/>
        <v>0</v>
      </c>
      <c r="BM74" s="151">
        <f t="shared" si="35"/>
        <v>0</v>
      </c>
      <c r="BN74" s="151">
        <f t="shared" si="35"/>
        <v>0</v>
      </c>
      <c r="BO74" s="151">
        <f t="shared" si="35"/>
        <v>0</v>
      </c>
      <c r="BP74" s="151">
        <f t="shared" si="35"/>
        <v>0</v>
      </c>
    </row>
    <row r="75" spans="3:68" x14ac:dyDescent="0.25">
      <c r="C75" t="s">
        <v>1055</v>
      </c>
      <c r="D75" t="s">
        <v>125</v>
      </c>
      <c r="E75" s="151"/>
      <c r="F75" s="151"/>
      <c r="G75" s="151">
        <f>SUM(H75:BP75)</f>
        <v>-5842.8767123287689</v>
      </c>
      <c r="H75" s="151">
        <f t="shared" ref="H75:AM75" si="36">-H$7*(H73+H74)</f>
        <v>0</v>
      </c>
      <c r="I75" s="151">
        <f t="shared" si="36"/>
        <v>0</v>
      </c>
      <c r="J75" s="151">
        <f t="shared" si="36"/>
        <v>0</v>
      </c>
      <c r="K75" s="151">
        <f t="shared" si="36"/>
        <v>0</v>
      </c>
      <c r="L75" s="151">
        <f t="shared" si="36"/>
        <v>0</v>
      </c>
      <c r="M75" s="151">
        <f t="shared" si="36"/>
        <v>0</v>
      </c>
      <c r="N75" s="151">
        <f t="shared" si="36"/>
        <v>0</v>
      </c>
      <c r="O75" s="151">
        <f t="shared" si="36"/>
        <v>0</v>
      </c>
      <c r="P75" s="151">
        <f t="shared" si="36"/>
        <v>0</v>
      </c>
      <c r="Q75" s="151">
        <f t="shared" si="36"/>
        <v>0</v>
      </c>
      <c r="R75" s="151">
        <f t="shared" si="36"/>
        <v>0</v>
      </c>
      <c r="S75" s="151">
        <f t="shared" si="36"/>
        <v>0</v>
      </c>
      <c r="T75" s="151">
        <f t="shared" si="36"/>
        <v>0</v>
      </c>
      <c r="U75" s="151">
        <f t="shared" si="36"/>
        <v>0</v>
      </c>
      <c r="V75" s="151">
        <f t="shared" si="36"/>
        <v>0</v>
      </c>
      <c r="W75" s="151">
        <f t="shared" si="36"/>
        <v>0</v>
      </c>
      <c r="X75" s="151">
        <f t="shared" si="36"/>
        <v>0</v>
      </c>
      <c r="Y75" s="151">
        <f t="shared" si="36"/>
        <v>0</v>
      </c>
      <c r="Z75" s="151">
        <f t="shared" si="36"/>
        <v>0</v>
      </c>
      <c r="AA75" s="151">
        <f t="shared" si="36"/>
        <v>0</v>
      </c>
      <c r="AB75" s="151">
        <f t="shared" si="36"/>
        <v>0</v>
      </c>
      <c r="AC75" s="151">
        <f t="shared" si="36"/>
        <v>0</v>
      </c>
      <c r="AD75" s="151">
        <f t="shared" si="36"/>
        <v>0</v>
      </c>
      <c r="AE75" s="151">
        <f t="shared" si="36"/>
        <v>0</v>
      </c>
      <c r="AF75" s="151">
        <f t="shared" si="36"/>
        <v>0</v>
      </c>
      <c r="AG75" s="151">
        <f t="shared" si="36"/>
        <v>0</v>
      </c>
      <c r="AH75" s="151">
        <f t="shared" si="36"/>
        <v>0</v>
      </c>
      <c r="AI75" s="151">
        <f t="shared" si="36"/>
        <v>0</v>
      </c>
      <c r="AJ75" s="151">
        <f t="shared" si="36"/>
        <v>0</v>
      </c>
      <c r="AK75" s="151">
        <f t="shared" si="36"/>
        <v>0</v>
      </c>
      <c r="AL75" s="151">
        <f t="shared" si="36"/>
        <v>0</v>
      </c>
      <c r="AM75" s="151">
        <f t="shared" si="36"/>
        <v>0</v>
      </c>
      <c r="AN75" s="151">
        <f t="shared" ref="AN75:BP75" si="37">-AN$7*(AN73+AN74)</f>
        <v>0</v>
      </c>
      <c r="AO75" s="151">
        <f t="shared" si="37"/>
        <v>0</v>
      </c>
      <c r="AP75" s="151">
        <f t="shared" si="37"/>
        <v>0</v>
      </c>
      <c r="AQ75" s="151">
        <f t="shared" si="37"/>
        <v>0</v>
      </c>
      <c r="AR75" s="151">
        <f t="shared" si="37"/>
        <v>0</v>
      </c>
      <c r="AS75" s="151">
        <f t="shared" si="37"/>
        <v>0</v>
      </c>
      <c r="AT75" s="151">
        <f t="shared" si="37"/>
        <v>-5842.8767123287689</v>
      </c>
      <c r="AU75" s="151">
        <f t="shared" si="37"/>
        <v>0</v>
      </c>
      <c r="AV75" s="151">
        <f t="shared" si="37"/>
        <v>0</v>
      </c>
      <c r="AW75" s="151">
        <f t="shared" si="37"/>
        <v>0</v>
      </c>
      <c r="AX75" s="151">
        <f t="shared" si="37"/>
        <v>0</v>
      </c>
      <c r="AY75" s="151">
        <f t="shared" si="37"/>
        <v>0</v>
      </c>
      <c r="AZ75" s="151">
        <f t="shared" si="37"/>
        <v>0</v>
      </c>
      <c r="BA75" s="151">
        <f t="shared" si="37"/>
        <v>0</v>
      </c>
      <c r="BB75" s="151">
        <f t="shared" si="37"/>
        <v>0</v>
      </c>
      <c r="BC75" s="151">
        <f t="shared" si="37"/>
        <v>0</v>
      </c>
      <c r="BD75" s="151">
        <f t="shared" si="37"/>
        <v>0</v>
      </c>
      <c r="BE75" s="151">
        <f t="shared" si="37"/>
        <v>0</v>
      </c>
      <c r="BF75" s="151">
        <f t="shared" si="37"/>
        <v>0</v>
      </c>
      <c r="BG75" s="151">
        <f t="shared" si="37"/>
        <v>0</v>
      </c>
      <c r="BH75" s="151">
        <f t="shared" si="37"/>
        <v>0</v>
      </c>
      <c r="BI75" s="151">
        <f t="shared" si="37"/>
        <v>0</v>
      </c>
      <c r="BJ75" s="151">
        <f t="shared" si="37"/>
        <v>0</v>
      </c>
      <c r="BK75" s="151">
        <f t="shared" si="37"/>
        <v>0</v>
      </c>
      <c r="BL75" s="151">
        <f t="shared" si="37"/>
        <v>0</v>
      </c>
      <c r="BM75" s="151">
        <f t="shared" si="37"/>
        <v>0</v>
      </c>
      <c r="BN75" s="151">
        <f t="shared" si="37"/>
        <v>0</v>
      </c>
      <c r="BO75" s="151">
        <f t="shared" si="37"/>
        <v>0</v>
      </c>
      <c r="BP75" s="151">
        <f t="shared" si="37"/>
        <v>0</v>
      </c>
    </row>
    <row r="76" spans="3:68" x14ac:dyDescent="0.25">
      <c r="C76" t="s">
        <v>1056</v>
      </c>
      <c r="D76" t="s">
        <v>125</v>
      </c>
      <c r="E76" s="151"/>
      <c r="F76" s="151"/>
      <c r="G76" s="151">
        <f>MAX(H76:BP76)</f>
        <v>5842.8767123287689</v>
      </c>
      <c r="H76" s="151">
        <f t="shared" ref="H76:AM76" si="38">H73+H74+H75</f>
        <v>0</v>
      </c>
      <c r="I76" s="151">
        <f t="shared" si="38"/>
        <v>0</v>
      </c>
      <c r="J76" s="151">
        <f t="shared" si="38"/>
        <v>0</v>
      </c>
      <c r="K76" s="151">
        <f t="shared" si="38"/>
        <v>1168.5753424657537</v>
      </c>
      <c r="L76" s="151">
        <f t="shared" si="38"/>
        <v>1168.5753424657537</v>
      </c>
      <c r="M76" s="151">
        <f t="shared" si="38"/>
        <v>5842.8767123287689</v>
      </c>
      <c r="N76" s="151">
        <f t="shared" si="38"/>
        <v>5842.8767123287689</v>
      </c>
      <c r="O76" s="151">
        <f t="shared" si="38"/>
        <v>5842.8767123287689</v>
      </c>
      <c r="P76" s="151">
        <f t="shared" si="38"/>
        <v>5842.8767123287689</v>
      </c>
      <c r="Q76" s="151">
        <f t="shared" si="38"/>
        <v>5842.8767123287689</v>
      </c>
      <c r="R76" s="151">
        <f t="shared" si="38"/>
        <v>5842.8767123287689</v>
      </c>
      <c r="S76" s="151">
        <f t="shared" si="38"/>
        <v>5842.8767123287689</v>
      </c>
      <c r="T76" s="151">
        <f t="shared" si="38"/>
        <v>5842.8767123287689</v>
      </c>
      <c r="U76" s="151">
        <f t="shared" si="38"/>
        <v>5842.8767123287689</v>
      </c>
      <c r="V76" s="151">
        <f t="shared" si="38"/>
        <v>5842.8767123287689</v>
      </c>
      <c r="W76" s="151">
        <f t="shared" si="38"/>
        <v>5842.8767123287689</v>
      </c>
      <c r="X76" s="151">
        <f t="shared" si="38"/>
        <v>5842.8767123287689</v>
      </c>
      <c r="Y76" s="151">
        <f t="shared" si="38"/>
        <v>5842.8767123287689</v>
      </c>
      <c r="Z76" s="151">
        <f t="shared" si="38"/>
        <v>5842.8767123287689</v>
      </c>
      <c r="AA76" s="151">
        <f t="shared" si="38"/>
        <v>5842.8767123287689</v>
      </c>
      <c r="AB76" s="151">
        <f t="shared" si="38"/>
        <v>5842.8767123287689</v>
      </c>
      <c r="AC76" s="151">
        <f t="shared" si="38"/>
        <v>5842.8767123287689</v>
      </c>
      <c r="AD76" s="151">
        <f t="shared" si="38"/>
        <v>5842.8767123287689</v>
      </c>
      <c r="AE76" s="151">
        <f t="shared" si="38"/>
        <v>5842.8767123287689</v>
      </c>
      <c r="AF76" s="151">
        <f t="shared" si="38"/>
        <v>5842.8767123287689</v>
      </c>
      <c r="AG76" s="151">
        <f t="shared" si="38"/>
        <v>5842.8767123287689</v>
      </c>
      <c r="AH76" s="151">
        <f t="shared" si="38"/>
        <v>5842.8767123287689</v>
      </c>
      <c r="AI76" s="151">
        <f t="shared" si="38"/>
        <v>5842.8767123287689</v>
      </c>
      <c r="AJ76" s="151">
        <f t="shared" si="38"/>
        <v>5842.8767123287689</v>
      </c>
      <c r="AK76" s="151">
        <f t="shared" si="38"/>
        <v>5842.8767123287689</v>
      </c>
      <c r="AL76" s="151">
        <f t="shared" si="38"/>
        <v>5842.8767123287689</v>
      </c>
      <c r="AM76" s="151">
        <f t="shared" si="38"/>
        <v>5842.8767123287689</v>
      </c>
      <c r="AN76" s="151">
        <f t="shared" ref="AN76:BP76" si="39">AN73+AN74+AN75</f>
        <v>5842.8767123287689</v>
      </c>
      <c r="AO76" s="151">
        <f t="shared" si="39"/>
        <v>5842.8767123287689</v>
      </c>
      <c r="AP76" s="151">
        <f t="shared" si="39"/>
        <v>5842.8767123287689</v>
      </c>
      <c r="AQ76" s="151">
        <f t="shared" si="39"/>
        <v>5842.8767123287689</v>
      </c>
      <c r="AR76" s="151">
        <f t="shared" si="39"/>
        <v>5842.8767123287689</v>
      </c>
      <c r="AS76" s="151">
        <f t="shared" si="39"/>
        <v>5842.8767123287689</v>
      </c>
      <c r="AT76" s="151">
        <f t="shared" si="39"/>
        <v>0</v>
      </c>
      <c r="AU76" s="151">
        <f t="shared" si="39"/>
        <v>0</v>
      </c>
      <c r="AV76" s="151">
        <f t="shared" si="39"/>
        <v>0</v>
      </c>
      <c r="AW76" s="151">
        <f t="shared" si="39"/>
        <v>0</v>
      </c>
      <c r="AX76" s="151">
        <f t="shared" si="39"/>
        <v>0</v>
      </c>
      <c r="AY76" s="151">
        <f t="shared" si="39"/>
        <v>0</v>
      </c>
      <c r="AZ76" s="151">
        <f t="shared" si="39"/>
        <v>0</v>
      </c>
      <c r="BA76" s="151">
        <f t="shared" si="39"/>
        <v>0</v>
      </c>
      <c r="BB76" s="151">
        <f t="shared" si="39"/>
        <v>0</v>
      </c>
      <c r="BC76" s="151">
        <f t="shared" si="39"/>
        <v>0</v>
      </c>
      <c r="BD76" s="151">
        <f t="shared" si="39"/>
        <v>0</v>
      </c>
      <c r="BE76" s="151">
        <f t="shared" si="39"/>
        <v>0</v>
      </c>
      <c r="BF76" s="151">
        <f t="shared" si="39"/>
        <v>0</v>
      </c>
      <c r="BG76" s="151">
        <f t="shared" si="39"/>
        <v>0</v>
      </c>
      <c r="BH76" s="151">
        <f t="shared" si="39"/>
        <v>0</v>
      </c>
      <c r="BI76" s="151">
        <f t="shared" si="39"/>
        <v>0</v>
      </c>
      <c r="BJ76" s="151">
        <f t="shared" si="39"/>
        <v>0</v>
      </c>
      <c r="BK76" s="151">
        <f t="shared" si="39"/>
        <v>0</v>
      </c>
      <c r="BL76" s="151">
        <f t="shared" si="39"/>
        <v>0</v>
      </c>
      <c r="BM76" s="151">
        <f t="shared" si="39"/>
        <v>0</v>
      </c>
      <c r="BN76" s="151">
        <f t="shared" si="39"/>
        <v>0</v>
      </c>
      <c r="BO76" s="151">
        <f t="shared" si="39"/>
        <v>0</v>
      </c>
      <c r="BP76" s="151">
        <f t="shared" si="39"/>
        <v>0</v>
      </c>
    </row>
    <row r="77" spans="3:68" x14ac:dyDescent="0.25">
      <c r="C77" t="s">
        <v>1057</v>
      </c>
      <c r="D77" t="s">
        <v>480</v>
      </c>
      <c r="E77" s="151"/>
      <c r="F77" s="151"/>
      <c r="G77" s="151"/>
      <c r="H77" s="255">
        <f>Curves!H7</f>
        <v>2.2040000000000001E-2</v>
      </c>
      <c r="I77" s="255">
        <f>Curves!I7</f>
        <v>2.3033700000000001E-2</v>
      </c>
      <c r="J77" s="255">
        <f>Curves!J7</f>
        <v>2.39429E-2</v>
      </c>
      <c r="K77" s="255">
        <f>Curves!K7</f>
        <v>2.4809100000000001E-2</v>
      </c>
      <c r="L77" s="255">
        <f>Curves!L7</f>
        <v>2.5636900000000001E-2</v>
      </c>
      <c r="M77" s="255">
        <f>Curves!M7</f>
        <v>2.63515E-2</v>
      </c>
      <c r="N77" s="255">
        <f>Curves!N7</f>
        <v>2.7014300000000002E-2</v>
      </c>
      <c r="O77" s="255">
        <f>Curves!O7</f>
        <v>2.7475599999999999E-2</v>
      </c>
      <c r="P77" s="255">
        <f>Curves!P7</f>
        <v>2.78202E-2</v>
      </c>
      <c r="Q77" s="255">
        <f>Curves!Q7</f>
        <v>2.80983E-2</v>
      </c>
      <c r="R77" s="255">
        <f>Curves!R7</f>
        <v>2.8281199999999999E-2</v>
      </c>
      <c r="S77" s="255">
        <f>Curves!S7</f>
        <v>2.83804E-2</v>
      </c>
      <c r="T77" s="255">
        <f>Curves!T7</f>
        <v>2.8415599999999999E-2</v>
      </c>
      <c r="U77" s="255">
        <f>Curves!U7</f>
        <v>2.8397800000000001E-2</v>
      </c>
      <c r="V77" s="255">
        <f>Curves!V7</f>
        <v>2.8338700000000001E-2</v>
      </c>
      <c r="W77" s="255">
        <f>Curves!W7</f>
        <v>2.8248700000000002E-2</v>
      </c>
      <c r="X77" s="255">
        <f>Curves!X7</f>
        <v>2.81543E-2</v>
      </c>
      <c r="Y77" s="255">
        <f>Curves!Y7</f>
        <v>2.8056000000000001E-2</v>
      </c>
      <c r="Z77" s="255">
        <f>Curves!Z7</f>
        <v>2.79639E-2</v>
      </c>
      <c r="AA77" s="255">
        <f>Curves!AA7</f>
        <v>2.7895099999999999E-2</v>
      </c>
      <c r="AB77" s="255">
        <f>Curves!AB7</f>
        <v>2.78436E-2</v>
      </c>
      <c r="AC77" s="255">
        <f>Curves!AC7</f>
        <v>2.78026E-2</v>
      </c>
      <c r="AD77" s="255">
        <f>Curves!AD7</f>
        <v>2.7778400000000002E-2</v>
      </c>
      <c r="AE77" s="255">
        <f>Curves!AE7</f>
        <v>2.7765000000000001E-2</v>
      </c>
      <c r="AF77" s="255">
        <f>Curves!AF7</f>
        <v>2.7762800000000001E-2</v>
      </c>
      <c r="AG77" s="255">
        <f>Curves!AG7</f>
        <v>2.7770199999999998E-2</v>
      </c>
      <c r="AH77" s="255">
        <f>Curves!AH7</f>
        <v>2.77875E-2</v>
      </c>
      <c r="AI77" s="255">
        <f>Curves!AI7</f>
        <v>2.78085E-2</v>
      </c>
      <c r="AJ77" s="255">
        <f>Curves!AJ7</f>
        <v>2.7837199999999999E-2</v>
      </c>
      <c r="AK77" s="255">
        <f>Curves!AK7</f>
        <v>2.7873499999999999E-2</v>
      </c>
      <c r="AL77" s="255">
        <f>Curves!AL7</f>
        <v>2.7873499999999999E-2</v>
      </c>
      <c r="AM77" s="255">
        <f>Curves!AM7</f>
        <v>2.7873499999999999E-2</v>
      </c>
      <c r="AN77" s="255">
        <f>Curves!AN7</f>
        <v>2.7873499999999999E-2</v>
      </c>
      <c r="AO77" s="255">
        <f>Curves!AO7</f>
        <v>2.7873499999999999E-2</v>
      </c>
      <c r="AP77" s="255">
        <f>Curves!AP7</f>
        <v>2.7873499999999999E-2</v>
      </c>
      <c r="AQ77" s="255">
        <f>Curves!AQ7</f>
        <v>2.7873499999999999E-2</v>
      </c>
      <c r="AR77" s="255">
        <f>Curves!AR7</f>
        <v>2.7873499999999999E-2</v>
      </c>
      <c r="AS77" s="255">
        <f>Curves!AS7</f>
        <v>2.7873499999999999E-2</v>
      </c>
      <c r="AT77" s="255">
        <f>Curves!AT7</f>
        <v>2.7873499999999999E-2</v>
      </c>
      <c r="AU77" s="255">
        <f>Curves!AU7</f>
        <v>2.7873499999999999E-2</v>
      </c>
      <c r="AV77" s="255">
        <f>Curves!AV7</f>
        <v>2.7873499999999999E-2</v>
      </c>
      <c r="AW77" s="255">
        <f>Curves!AW7</f>
        <v>2.7873499999999999E-2</v>
      </c>
      <c r="AX77" s="255">
        <f>Curves!AX7</f>
        <v>2.7873499999999999E-2</v>
      </c>
      <c r="AY77" s="255">
        <f>Curves!AY7</f>
        <v>2.7873499999999999E-2</v>
      </c>
      <c r="AZ77" s="255">
        <f>Curves!AZ7</f>
        <v>2.7873499999999999E-2</v>
      </c>
      <c r="BA77" s="255">
        <f>Curves!BA7</f>
        <v>2.7873499999999999E-2</v>
      </c>
      <c r="BB77" s="255">
        <f>Curves!BB7</f>
        <v>2.7873499999999999E-2</v>
      </c>
      <c r="BC77" s="255">
        <f>Curves!BC7</f>
        <v>2.7873499999999999E-2</v>
      </c>
      <c r="BD77" s="255">
        <f>Curves!BD7</f>
        <v>2.7873499999999999E-2</v>
      </c>
      <c r="BE77" s="255">
        <f>Curves!BE7</f>
        <v>2.7873499999999999E-2</v>
      </c>
      <c r="BF77" s="255">
        <f>Curves!BF7</f>
        <v>2.7873499999999999E-2</v>
      </c>
      <c r="BG77" s="255">
        <f>Curves!BG7</f>
        <v>2.7873499999999999E-2</v>
      </c>
      <c r="BH77" s="255">
        <f>Curves!BH7</f>
        <v>2.7873499999999999E-2</v>
      </c>
      <c r="BI77" s="255">
        <f>Curves!BI7</f>
        <v>2.7873499999999999E-2</v>
      </c>
      <c r="BJ77" s="255">
        <f>Curves!BJ7</f>
        <v>2.7873499999999999E-2</v>
      </c>
      <c r="BK77" s="255">
        <f>Curves!BK7</f>
        <v>2.7873499999999999E-2</v>
      </c>
      <c r="BL77" s="255">
        <f>Curves!BL7</f>
        <v>2.7873499999999999E-2</v>
      </c>
      <c r="BM77" s="255">
        <f>Curves!BM7</f>
        <v>2.7873499999999999E-2</v>
      </c>
      <c r="BN77" s="255">
        <f>Curves!BN7</f>
        <v>2.7873499999999999E-2</v>
      </c>
      <c r="BO77" s="255">
        <f>Curves!BO7</f>
        <v>2.7873499999999999E-2</v>
      </c>
      <c r="BP77" s="255">
        <f>Curves!BP7</f>
        <v>2.7873499999999999E-2</v>
      </c>
    </row>
    <row r="78" spans="3:68" x14ac:dyDescent="0.25">
      <c r="C78" t="s">
        <v>1058</v>
      </c>
      <c r="D78" t="s">
        <v>480</v>
      </c>
      <c r="E78" s="151"/>
      <c r="F78" s="151"/>
      <c r="G78" s="151"/>
      <c r="H78" s="218">
        <f>IF(Inputs!$E$114=1,Inputs!$E$113,H77+Inputs!$E$111)</f>
        <v>0.06</v>
      </c>
      <c r="I78" s="218">
        <f>IF(Inputs!$E$114=1,Inputs!$E$113,I77+Inputs!$E$111)</f>
        <v>0.06</v>
      </c>
      <c r="J78" s="218">
        <f>IF(Inputs!$E$114=1,Inputs!$E$113,J77+Inputs!$E$111)</f>
        <v>0.06</v>
      </c>
      <c r="K78" s="218">
        <f>IF(Inputs!$E$114=1,Inputs!$E$113,K77+Inputs!$E$111)</f>
        <v>0.06</v>
      </c>
      <c r="L78" s="218">
        <f>IF(Inputs!$E$114=1,Inputs!$E$113,L77+Inputs!$E$111)</f>
        <v>0.06</v>
      </c>
      <c r="M78" s="218">
        <f>IF(Inputs!$E$114=1,Inputs!$E$113,M77+Inputs!$E$111)</f>
        <v>0.06</v>
      </c>
      <c r="N78" s="218">
        <f>IF(Inputs!$E$114=1,Inputs!$E$113,N77+Inputs!$E$111)</f>
        <v>0.06</v>
      </c>
      <c r="O78" s="218">
        <f>IF(Inputs!$E$114=1,Inputs!$E$113,O77+Inputs!$E$111)</f>
        <v>0.06</v>
      </c>
      <c r="P78" s="218">
        <f>IF(Inputs!$E$114=1,Inputs!$E$113,P77+Inputs!$E$111)</f>
        <v>0.06</v>
      </c>
      <c r="Q78" s="218">
        <f>IF(Inputs!$E$114=1,Inputs!$E$113,Q77+Inputs!$E$111)</f>
        <v>0.06</v>
      </c>
      <c r="R78" s="218">
        <f>IF(Inputs!$E$114=1,Inputs!$E$113,R77+Inputs!$E$111)</f>
        <v>0.06</v>
      </c>
      <c r="S78" s="218">
        <f>IF(Inputs!$E$114=1,Inputs!$E$113,S77+Inputs!$E$111)</f>
        <v>0.06</v>
      </c>
      <c r="T78" s="218">
        <f>IF(Inputs!$E$114=1,Inputs!$E$113,T77+Inputs!$E$111)</f>
        <v>0.06</v>
      </c>
      <c r="U78" s="218">
        <f>IF(Inputs!$E$114=1,Inputs!$E$113,U77+Inputs!$E$111)</f>
        <v>0.06</v>
      </c>
      <c r="V78" s="218">
        <f>IF(Inputs!$E$114=1,Inputs!$E$113,V77+Inputs!$E$111)</f>
        <v>0.06</v>
      </c>
      <c r="W78" s="218">
        <f>IF(Inputs!$E$114=1,Inputs!$E$113,W77+Inputs!$E$111)</f>
        <v>0.06</v>
      </c>
      <c r="X78" s="218">
        <f>IF(Inputs!$E$114=1,Inputs!$E$113,X77+Inputs!$E$111)</f>
        <v>0.06</v>
      </c>
      <c r="Y78" s="218">
        <f>IF(Inputs!$E$114=1,Inputs!$E$113,Y77+Inputs!$E$111)</f>
        <v>0.06</v>
      </c>
      <c r="Z78" s="218">
        <f>IF(Inputs!$E$114=1,Inputs!$E$113,Z77+Inputs!$E$111)</f>
        <v>0.06</v>
      </c>
      <c r="AA78" s="218">
        <f>IF(Inputs!$E$114=1,Inputs!$E$113,AA77+Inputs!$E$111)</f>
        <v>0.06</v>
      </c>
      <c r="AB78" s="218">
        <f>IF(Inputs!$E$114=1,Inputs!$E$113,AB77+Inputs!$E$111)</f>
        <v>0.06</v>
      </c>
      <c r="AC78" s="218">
        <f>IF(Inputs!$E$114=1,Inputs!$E$113,AC77+Inputs!$E$111)</f>
        <v>0.06</v>
      </c>
      <c r="AD78" s="218">
        <f>IF(Inputs!$E$114=1,Inputs!$E$113,AD77+Inputs!$E$111)</f>
        <v>0.06</v>
      </c>
      <c r="AE78" s="218">
        <f>IF(Inputs!$E$114=1,Inputs!$E$113,AE77+Inputs!$E$111)</f>
        <v>0.06</v>
      </c>
      <c r="AF78" s="218">
        <f>IF(Inputs!$E$114=1,Inputs!$E$113,AF77+Inputs!$E$111)</f>
        <v>0.06</v>
      </c>
      <c r="AG78" s="218">
        <f>IF(Inputs!$E$114=1,Inputs!$E$113,AG77+Inputs!$E$111)</f>
        <v>0.06</v>
      </c>
      <c r="AH78" s="218">
        <f>IF(Inputs!$E$114=1,Inputs!$E$113,AH77+Inputs!$E$111)</f>
        <v>0.06</v>
      </c>
      <c r="AI78" s="218">
        <f>IF(Inputs!$E$114=1,Inputs!$E$113,AI77+Inputs!$E$111)</f>
        <v>0.06</v>
      </c>
      <c r="AJ78" s="218">
        <f>IF(Inputs!$E$114=1,Inputs!$E$113,AJ77+Inputs!$E$111)</f>
        <v>0.06</v>
      </c>
      <c r="AK78" s="218">
        <f>IF(Inputs!$E$114=1,Inputs!$E$113,AK77+Inputs!$E$111)</f>
        <v>0.06</v>
      </c>
      <c r="AL78" s="218">
        <f>IF(Inputs!$E$114=1,Inputs!$E$113,AL77+Inputs!$E$111)</f>
        <v>0.06</v>
      </c>
      <c r="AM78" s="218">
        <f>IF(Inputs!$E$114=1,Inputs!$E$113,AM77+Inputs!$E$111)</f>
        <v>0.06</v>
      </c>
      <c r="AN78" s="218">
        <f>IF(Inputs!$E$114=1,Inputs!$E$113,AN77+Inputs!$E$111)</f>
        <v>0.06</v>
      </c>
      <c r="AO78" s="218">
        <f>IF(Inputs!$E$114=1,Inputs!$E$113,AO77+Inputs!$E$111)</f>
        <v>0.06</v>
      </c>
      <c r="AP78" s="218">
        <f>IF(Inputs!$E$114=1,Inputs!$E$113,AP77+Inputs!$E$111)</f>
        <v>0.06</v>
      </c>
      <c r="AQ78" s="218">
        <f>IF(Inputs!$E$114=1,Inputs!$E$113,AQ77+Inputs!$E$111)</f>
        <v>0.06</v>
      </c>
      <c r="AR78" s="218">
        <f>IF(Inputs!$E$114=1,Inputs!$E$113,AR77+Inputs!$E$111)</f>
        <v>0.06</v>
      </c>
      <c r="AS78" s="218">
        <f>IF(Inputs!$E$114=1,Inputs!$E$113,AS77+Inputs!$E$111)</f>
        <v>0.06</v>
      </c>
      <c r="AT78" s="218">
        <f>IF(Inputs!$E$114=1,Inputs!$E$113,AT77+Inputs!$E$111)</f>
        <v>0.06</v>
      </c>
      <c r="AU78" s="218">
        <f>IF(Inputs!$E$114=1,Inputs!$E$113,AU77+Inputs!$E$111)</f>
        <v>0.06</v>
      </c>
      <c r="AV78" s="218">
        <f>IF(Inputs!$E$114=1,Inputs!$E$113,AV77+Inputs!$E$111)</f>
        <v>0.06</v>
      </c>
      <c r="AW78" s="218">
        <f>IF(Inputs!$E$114=1,Inputs!$E$113,AW77+Inputs!$E$111)</f>
        <v>0.06</v>
      </c>
      <c r="AX78" s="218">
        <f>IF(Inputs!$E$114=1,Inputs!$E$113,AX77+Inputs!$E$111)</f>
        <v>0.06</v>
      </c>
      <c r="AY78" s="218">
        <f>IF(Inputs!$E$114=1,Inputs!$E$113,AY77+Inputs!$E$111)</f>
        <v>0.06</v>
      </c>
      <c r="AZ78" s="218">
        <f>IF(Inputs!$E$114=1,Inputs!$E$113,AZ77+Inputs!$E$111)</f>
        <v>0.06</v>
      </c>
      <c r="BA78" s="218">
        <f>IF(Inputs!$E$114=1,Inputs!$E$113,BA77+Inputs!$E$111)</f>
        <v>0.06</v>
      </c>
      <c r="BB78" s="218">
        <f>IF(Inputs!$E$114=1,Inputs!$E$113,BB77+Inputs!$E$111)</f>
        <v>0.06</v>
      </c>
      <c r="BC78" s="218">
        <f>IF(Inputs!$E$114=1,Inputs!$E$113,BC77+Inputs!$E$111)</f>
        <v>0.06</v>
      </c>
      <c r="BD78" s="218">
        <f>IF(Inputs!$E$114=1,Inputs!$E$113,BD77+Inputs!$E$111)</f>
        <v>0.06</v>
      </c>
      <c r="BE78" s="218">
        <f>IF(Inputs!$E$114=1,Inputs!$E$113,BE77+Inputs!$E$111)</f>
        <v>0.06</v>
      </c>
      <c r="BF78" s="218">
        <f>IF(Inputs!$E$114=1,Inputs!$E$113,BF77+Inputs!$E$111)</f>
        <v>0.06</v>
      </c>
      <c r="BG78" s="218">
        <f>IF(Inputs!$E$114=1,Inputs!$E$113,BG77+Inputs!$E$111)</f>
        <v>0.06</v>
      </c>
      <c r="BH78" s="218">
        <f>IF(Inputs!$E$114=1,Inputs!$E$113,BH77+Inputs!$E$111)</f>
        <v>0.06</v>
      </c>
      <c r="BI78" s="218">
        <f>IF(Inputs!$E$114=1,Inputs!$E$113,BI77+Inputs!$E$111)</f>
        <v>0.06</v>
      </c>
      <c r="BJ78" s="218">
        <f>IF(Inputs!$E$114=1,Inputs!$E$113,BJ77+Inputs!$E$111)</f>
        <v>0.06</v>
      </c>
      <c r="BK78" s="218">
        <f>IF(Inputs!$E$114=1,Inputs!$E$113,BK77+Inputs!$E$111)</f>
        <v>0.06</v>
      </c>
      <c r="BL78" s="218">
        <f>IF(Inputs!$E$114=1,Inputs!$E$113,BL77+Inputs!$E$111)</f>
        <v>0.06</v>
      </c>
      <c r="BM78" s="218">
        <f>IF(Inputs!$E$114=1,Inputs!$E$113,BM77+Inputs!$E$111)</f>
        <v>0.06</v>
      </c>
      <c r="BN78" s="218">
        <f>IF(Inputs!$E$114=1,Inputs!$E$113,BN77+Inputs!$E$111)</f>
        <v>0.06</v>
      </c>
      <c r="BO78" s="218">
        <f>IF(Inputs!$E$114=1,Inputs!$E$113,BO77+Inputs!$E$111)</f>
        <v>0.06</v>
      </c>
      <c r="BP78" s="218">
        <f>IF(Inputs!$E$114=1,Inputs!$E$113,BP77+Inputs!$E$111)</f>
        <v>0.06</v>
      </c>
    </row>
    <row r="79" spans="3:68" x14ac:dyDescent="0.25">
      <c r="C79" s="198" t="s">
        <v>1059</v>
      </c>
      <c r="D79" s="198" t="s">
        <v>125</v>
      </c>
      <c r="E79" s="244"/>
      <c r="F79" s="244"/>
      <c r="G79" s="244">
        <f>SUM(H79:BP79)</f>
        <v>1004.974794520549</v>
      </c>
      <c r="H79" s="244">
        <f t="shared" ref="H79:AM79" si="40">(H73+H74)*H78/12</f>
        <v>0</v>
      </c>
      <c r="I79" s="244">
        <f t="shared" si="40"/>
        <v>0</v>
      </c>
      <c r="J79" s="244">
        <f t="shared" si="40"/>
        <v>0</v>
      </c>
      <c r="K79" s="244">
        <f t="shared" si="40"/>
        <v>5.8428767123287679</v>
      </c>
      <c r="L79" s="244">
        <f t="shared" si="40"/>
        <v>5.8428767123287679</v>
      </c>
      <c r="M79" s="244">
        <f t="shared" si="40"/>
        <v>29.214383561643842</v>
      </c>
      <c r="N79" s="244">
        <f t="shared" si="40"/>
        <v>29.214383561643842</v>
      </c>
      <c r="O79" s="244">
        <f t="shared" si="40"/>
        <v>29.214383561643842</v>
      </c>
      <c r="P79" s="244">
        <f t="shared" si="40"/>
        <v>29.214383561643842</v>
      </c>
      <c r="Q79" s="244">
        <f t="shared" si="40"/>
        <v>29.214383561643842</v>
      </c>
      <c r="R79" s="244">
        <f t="shared" si="40"/>
        <v>29.214383561643842</v>
      </c>
      <c r="S79" s="244">
        <f t="shared" si="40"/>
        <v>29.214383561643842</v>
      </c>
      <c r="T79" s="244">
        <f t="shared" si="40"/>
        <v>29.214383561643842</v>
      </c>
      <c r="U79" s="244">
        <f t="shared" si="40"/>
        <v>29.214383561643842</v>
      </c>
      <c r="V79" s="244">
        <f t="shared" si="40"/>
        <v>29.214383561643842</v>
      </c>
      <c r="W79" s="244">
        <f t="shared" si="40"/>
        <v>29.214383561643842</v>
      </c>
      <c r="X79" s="244">
        <f t="shared" si="40"/>
        <v>29.214383561643842</v>
      </c>
      <c r="Y79" s="244">
        <f t="shared" si="40"/>
        <v>29.214383561643842</v>
      </c>
      <c r="Z79" s="244">
        <f t="shared" si="40"/>
        <v>29.214383561643842</v>
      </c>
      <c r="AA79" s="244">
        <f t="shared" si="40"/>
        <v>29.214383561643842</v>
      </c>
      <c r="AB79" s="244">
        <f t="shared" si="40"/>
        <v>29.214383561643842</v>
      </c>
      <c r="AC79" s="244">
        <f t="shared" si="40"/>
        <v>29.214383561643842</v>
      </c>
      <c r="AD79" s="244">
        <f t="shared" si="40"/>
        <v>29.214383561643842</v>
      </c>
      <c r="AE79" s="244">
        <f t="shared" si="40"/>
        <v>29.214383561643842</v>
      </c>
      <c r="AF79" s="244">
        <f t="shared" si="40"/>
        <v>29.214383561643842</v>
      </c>
      <c r="AG79" s="244">
        <f t="shared" si="40"/>
        <v>29.214383561643842</v>
      </c>
      <c r="AH79" s="244">
        <f t="shared" si="40"/>
        <v>29.214383561643842</v>
      </c>
      <c r="AI79" s="244">
        <f t="shared" si="40"/>
        <v>29.214383561643842</v>
      </c>
      <c r="AJ79" s="244">
        <f t="shared" si="40"/>
        <v>29.214383561643842</v>
      </c>
      <c r="AK79" s="244">
        <f t="shared" si="40"/>
        <v>29.214383561643842</v>
      </c>
      <c r="AL79" s="244">
        <f t="shared" si="40"/>
        <v>29.214383561643842</v>
      </c>
      <c r="AM79" s="244">
        <f t="shared" si="40"/>
        <v>29.214383561643842</v>
      </c>
      <c r="AN79" s="244">
        <f t="shared" ref="AN79:BP79" si="41">(AN73+AN74)*AN78/12</f>
        <v>29.214383561643842</v>
      </c>
      <c r="AO79" s="244">
        <f t="shared" si="41"/>
        <v>29.214383561643842</v>
      </c>
      <c r="AP79" s="244">
        <f t="shared" si="41"/>
        <v>29.214383561643842</v>
      </c>
      <c r="AQ79" s="244">
        <f t="shared" si="41"/>
        <v>29.214383561643842</v>
      </c>
      <c r="AR79" s="244">
        <f t="shared" si="41"/>
        <v>29.214383561643842</v>
      </c>
      <c r="AS79" s="244">
        <f t="shared" si="41"/>
        <v>29.214383561643842</v>
      </c>
      <c r="AT79" s="244">
        <f t="shared" si="41"/>
        <v>29.214383561643842</v>
      </c>
      <c r="AU79" s="244">
        <f t="shared" si="41"/>
        <v>0</v>
      </c>
      <c r="AV79" s="244">
        <f t="shared" si="41"/>
        <v>0</v>
      </c>
      <c r="AW79" s="244">
        <f t="shared" si="41"/>
        <v>0</v>
      </c>
      <c r="AX79" s="244">
        <f t="shared" si="41"/>
        <v>0</v>
      </c>
      <c r="AY79" s="244">
        <f t="shared" si="41"/>
        <v>0</v>
      </c>
      <c r="AZ79" s="244">
        <f t="shared" si="41"/>
        <v>0</v>
      </c>
      <c r="BA79" s="244">
        <f t="shared" si="41"/>
        <v>0</v>
      </c>
      <c r="BB79" s="244">
        <f t="shared" si="41"/>
        <v>0</v>
      </c>
      <c r="BC79" s="244">
        <f t="shared" si="41"/>
        <v>0</v>
      </c>
      <c r="BD79" s="244">
        <f t="shared" si="41"/>
        <v>0</v>
      </c>
      <c r="BE79" s="244">
        <f t="shared" si="41"/>
        <v>0</v>
      </c>
      <c r="BF79" s="244">
        <f t="shared" si="41"/>
        <v>0</v>
      </c>
      <c r="BG79" s="244">
        <f t="shared" si="41"/>
        <v>0</v>
      </c>
      <c r="BH79" s="244">
        <f t="shared" si="41"/>
        <v>0</v>
      </c>
      <c r="BI79" s="244">
        <f t="shared" si="41"/>
        <v>0</v>
      </c>
      <c r="BJ79" s="244">
        <f t="shared" si="41"/>
        <v>0</v>
      </c>
      <c r="BK79" s="244">
        <f t="shared" si="41"/>
        <v>0</v>
      </c>
      <c r="BL79" s="244">
        <f t="shared" si="41"/>
        <v>0</v>
      </c>
      <c r="BM79" s="244">
        <f t="shared" si="41"/>
        <v>0</v>
      </c>
      <c r="BN79" s="244">
        <f t="shared" si="41"/>
        <v>0</v>
      </c>
      <c r="BO79" s="244">
        <f t="shared" si="41"/>
        <v>0</v>
      </c>
      <c r="BP79" s="244">
        <f t="shared" si="41"/>
        <v>0</v>
      </c>
    </row>
    <row r="80" spans="3:68" x14ac:dyDescent="0.25">
      <c r="C80" t="s">
        <v>1060</v>
      </c>
      <c r="D80" t="s">
        <v>480</v>
      </c>
      <c r="E80" s="256">
        <f>Inputs!$E$65</f>
        <v>0.06</v>
      </c>
      <c r="F80" s="151"/>
      <c r="G80" s="151"/>
      <c r="H80" s="151"/>
      <c r="I80" s="151"/>
      <c r="J80" s="151"/>
      <c r="K80" s="151"/>
      <c r="L80" s="151"/>
      <c r="M80" s="151"/>
      <c r="N80" s="151"/>
      <c r="O80" s="151"/>
      <c r="P80" s="151"/>
      <c r="Q80" s="151"/>
      <c r="R80" s="151"/>
      <c r="S80" s="151"/>
      <c r="T80" s="151"/>
      <c r="U80" s="151"/>
      <c r="V80" s="151"/>
      <c r="W80" s="151"/>
      <c r="X80" s="151"/>
      <c r="Y80" s="151"/>
      <c r="Z80" s="151"/>
      <c r="AA80" s="151"/>
      <c r="AB80" s="151"/>
      <c r="AC80" s="151"/>
      <c r="AD80" s="151"/>
      <c r="AE80" s="151"/>
      <c r="AF80" s="151"/>
      <c r="AG80" s="151"/>
      <c r="AH80" s="151"/>
      <c r="AI80" s="151"/>
      <c r="AJ80" s="151"/>
      <c r="AK80" s="151"/>
      <c r="AL80" s="151"/>
      <c r="AM80" s="151"/>
      <c r="AN80" s="151"/>
      <c r="AO80" s="151"/>
      <c r="AP80" s="151"/>
      <c r="AQ80" s="151"/>
      <c r="AR80" s="151"/>
      <c r="AS80" s="151"/>
      <c r="AT80" s="151"/>
      <c r="AU80" s="151"/>
      <c r="AV80" s="151"/>
      <c r="AW80" s="151"/>
      <c r="AX80" s="151"/>
      <c r="AY80" s="151"/>
      <c r="AZ80" s="151"/>
      <c r="BA80" s="151"/>
      <c r="BB80" s="151"/>
      <c r="BC80" s="151"/>
      <c r="BD80" s="151"/>
      <c r="BE80" s="151"/>
      <c r="BF80" s="151"/>
      <c r="BG80" s="151"/>
      <c r="BH80" s="151"/>
      <c r="BI80" s="151"/>
      <c r="BJ80" s="151"/>
      <c r="BK80" s="151"/>
      <c r="BL80" s="151"/>
      <c r="BM80" s="151"/>
      <c r="BN80" s="151"/>
      <c r="BO80" s="151"/>
      <c r="BP80" s="151"/>
    </row>
    <row r="81" spans="3:68" x14ac:dyDescent="0.25">
      <c r="C81" t="s">
        <v>1061</v>
      </c>
      <c r="D81" t="s">
        <v>125</v>
      </c>
      <c r="E81" s="151"/>
      <c r="F81" s="151"/>
      <c r="G81" s="151"/>
      <c r="H81" s="151">
        <v>0</v>
      </c>
      <c r="I81" s="151">
        <f t="shared" ref="I81:AN81" si="42">H84</f>
        <v>0</v>
      </c>
      <c r="J81" s="151">
        <f t="shared" si="42"/>
        <v>0</v>
      </c>
      <c r="K81" s="151">
        <f t="shared" si="42"/>
        <v>0</v>
      </c>
      <c r="L81" s="151">
        <f t="shared" si="42"/>
        <v>5.6880995688651259</v>
      </c>
      <c r="M81" s="151">
        <f t="shared" si="42"/>
        <v>11.403886250002408</v>
      </c>
      <c r="N81" s="151">
        <f t="shared" si="42"/>
        <v>39.899893087291346</v>
      </c>
      <c r="O81" s="151">
        <f t="shared" si="42"/>
        <v>68.534605678771157</v>
      </c>
      <c r="P81" s="151">
        <f t="shared" si="42"/>
        <v>97.308699181714047</v>
      </c>
      <c r="Q81" s="151">
        <f t="shared" si="42"/>
        <v>126.22285203975443</v>
      </c>
      <c r="R81" s="151">
        <f t="shared" si="42"/>
        <v>155.27774599888539</v>
      </c>
      <c r="S81" s="151">
        <f t="shared" si="42"/>
        <v>184.47406612353311</v>
      </c>
      <c r="T81" s="151">
        <f t="shared" si="42"/>
        <v>213.81250081270946</v>
      </c>
      <c r="U81" s="151">
        <f t="shared" si="42"/>
        <v>243.2937418162434</v>
      </c>
      <c r="V81" s="151">
        <f t="shared" si="42"/>
        <v>272.91848425109112</v>
      </c>
      <c r="W81" s="151">
        <f t="shared" si="42"/>
        <v>302.68742661772569</v>
      </c>
      <c r="X81" s="151">
        <f t="shared" si="42"/>
        <v>332.60127081660664</v>
      </c>
      <c r="Y81" s="151">
        <f t="shared" si="42"/>
        <v>362.66072216472946</v>
      </c>
      <c r="Z81" s="151">
        <f t="shared" si="42"/>
        <v>392.86648941225576</v>
      </c>
      <c r="AA81" s="151">
        <f t="shared" si="42"/>
        <v>423.21928475922437</v>
      </c>
      <c r="AB81" s="151">
        <f t="shared" si="42"/>
        <v>453.71982387234385</v>
      </c>
      <c r="AC81" s="151">
        <f t="shared" si="42"/>
        <v>484.36882590186667</v>
      </c>
      <c r="AD81" s="151">
        <f t="shared" si="42"/>
        <v>515.16701349854543</v>
      </c>
      <c r="AE81" s="151">
        <f t="shared" si="42"/>
        <v>546.11511283067205</v>
      </c>
      <c r="AF81" s="151">
        <f t="shared" si="42"/>
        <v>577.21385360119905</v>
      </c>
      <c r="AG81" s="151">
        <f t="shared" si="42"/>
        <v>608.46396906494499</v>
      </c>
      <c r="AH81" s="151">
        <f t="shared" si="42"/>
        <v>639.86619604588361</v>
      </c>
      <c r="AI81" s="151">
        <f t="shared" si="42"/>
        <v>671.42127495451632</v>
      </c>
      <c r="AJ81" s="151">
        <f t="shared" si="42"/>
        <v>703.12994980533017</v>
      </c>
      <c r="AK81" s="151">
        <f t="shared" si="42"/>
        <v>734.99296823434042</v>
      </c>
      <c r="AL81" s="151">
        <f t="shared" si="42"/>
        <v>767.01108151671826</v>
      </c>
      <c r="AM81" s="151">
        <f t="shared" si="42"/>
        <v>799.18504458450502</v>
      </c>
      <c r="AN81" s="151">
        <f t="shared" si="42"/>
        <v>831.51561604441167</v>
      </c>
      <c r="AO81" s="151">
        <f t="shared" ref="AO81:BP81" si="43">AN84</f>
        <v>864.00355819570586</v>
      </c>
      <c r="AP81" s="151">
        <f t="shared" si="43"/>
        <v>896.64963704818535</v>
      </c>
      <c r="AQ81" s="151">
        <f t="shared" si="43"/>
        <v>929.45462234023955</v>
      </c>
      <c r="AR81" s="151">
        <f t="shared" si="43"/>
        <v>962.41928755699814</v>
      </c>
      <c r="AS81" s="151">
        <f t="shared" si="43"/>
        <v>962.41928755699814</v>
      </c>
      <c r="AT81" s="151">
        <f t="shared" si="43"/>
        <v>962.41928755699814</v>
      </c>
      <c r="AU81" s="151">
        <f t="shared" si="43"/>
        <v>0</v>
      </c>
      <c r="AV81" s="151">
        <f t="shared" si="43"/>
        <v>0</v>
      </c>
      <c r="AW81" s="151">
        <f t="shared" si="43"/>
        <v>0</v>
      </c>
      <c r="AX81" s="151">
        <f t="shared" si="43"/>
        <v>0</v>
      </c>
      <c r="AY81" s="151">
        <f t="shared" si="43"/>
        <v>0</v>
      </c>
      <c r="AZ81" s="151">
        <f t="shared" si="43"/>
        <v>0</v>
      </c>
      <c r="BA81" s="151">
        <f t="shared" si="43"/>
        <v>0</v>
      </c>
      <c r="BB81" s="151">
        <f t="shared" si="43"/>
        <v>0</v>
      </c>
      <c r="BC81" s="151">
        <f t="shared" si="43"/>
        <v>0</v>
      </c>
      <c r="BD81" s="151">
        <f t="shared" si="43"/>
        <v>0</v>
      </c>
      <c r="BE81" s="151">
        <f t="shared" si="43"/>
        <v>0</v>
      </c>
      <c r="BF81" s="151">
        <f t="shared" si="43"/>
        <v>0</v>
      </c>
      <c r="BG81" s="151">
        <f t="shared" si="43"/>
        <v>0</v>
      </c>
      <c r="BH81" s="151">
        <f t="shared" si="43"/>
        <v>0</v>
      </c>
      <c r="BI81" s="151">
        <f t="shared" si="43"/>
        <v>0</v>
      </c>
      <c r="BJ81" s="151">
        <f t="shared" si="43"/>
        <v>0</v>
      </c>
      <c r="BK81" s="151">
        <f t="shared" si="43"/>
        <v>0</v>
      </c>
      <c r="BL81" s="151">
        <f t="shared" si="43"/>
        <v>0</v>
      </c>
      <c r="BM81" s="151">
        <f t="shared" si="43"/>
        <v>0</v>
      </c>
      <c r="BN81" s="151">
        <f t="shared" si="43"/>
        <v>0</v>
      </c>
      <c r="BO81" s="151">
        <f t="shared" si="43"/>
        <v>0</v>
      </c>
      <c r="BP81" s="151">
        <f t="shared" si="43"/>
        <v>0</v>
      </c>
    </row>
    <row r="82" spans="3:68" x14ac:dyDescent="0.25">
      <c r="C82" t="s">
        <v>1062</v>
      </c>
      <c r="D82" t="s">
        <v>125</v>
      </c>
      <c r="E82" s="151"/>
      <c r="F82" s="151"/>
      <c r="G82" s="151">
        <f>SUM(H82:BP82)</f>
        <v>962.41928755699814</v>
      </c>
      <c r="H82" s="151">
        <f>IF(Inputs!$E$69=1,(1+$E$80)^(1/12)-1,$E$80/12)*(H73+H74+H81)*H$10</f>
        <v>0</v>
      </c>
      <c r="I82" s="151">
        <f>IF(Inputs!$E$69=1,(1+$E$80)^(1/12)-1,$E$80/12)*(I73+I74+I81)*I$10</f>
        <v>0</v>
      </c>
      <c r="J82" s="151">
        <f>IF(Inputs!$E$69=1,(1+$E$80)^(1/12)-1,$E$80/12)*(J73+J74+J81)*J$10</f>
        <v>0</v>
      </c>
      <c r="K82" s="151">
        <f>IF(Inputs!$E$69=1,(1+$E$80)^(1/12)-1,$E$80/12)*(K73+K74+K81)*K$10</f>
        <v>5.6880995688651259</v>
      </c>
      <c r="L82" s="151">
        <f>IF(Inputs!$E$69=1,(1+$E$80)^(1/12)-1,$E$80/12)*(L73+L74+L81)*L$10</f>
        <v>5.7157866811372822</v>
      </c>
      <c r="M82" s="151">
        <f>IF(Inputs!$E$69=1,(1+$E$80)^(1/12)-1,$E$80/12)*(M73+M74+M81)*M$10</f>
        <v>28.496006837288935</v>
      </c>
      <c r="N82" s="151">
        <f>IF(Inputs!$E$69=1,(1+$E$80)^(1/12)-1,$E$80/12)*(N73+N74+N81)*N$10</f>
        <v>28.634712591479804</v>
      </c>
      <c r="O82" s="151">
        <f>IF(Inputs!$E$69=1,(1+$E$80)^(1/12)-1,$E$80/12)*(O73+O74+O81)*O$10</f>
        <v>28.774093502942897</v>
      </c>
      <c r="P82" s="151">
        <f>IF(Inputs!$E$69=1,(1+$E$80)^(1/12)-1,$E$80/12)*(P73+P74+P81)*P$10</f>
        <v>28.914152858040381</v>
      </c>
      <c r="Q82" s="151">
        <f>IF(Inputs!$E$69=1,(1+$E$80)^(1/12)-1,$E$80/12)*(Q73+Q74+Q81)*Q$10</f>
        <v>29.054893959130951</v>
      </c>
      <c r="R82" s="151">
        <f>IF(Inputs!$E$69=1,(1+$E$80)^(1/12)-1,$E$80/12)*(R73+R74+R81)*R$10</f>
        <v>29.196320124647702</v>
      </c>
      <c r="S82" s="151">
        <f>IF(Inputs!$E$69=1,(1+$E$80)^(1/12)-1,$E$80/12)*(S73+S74+S81)*S$10</f>
        <v>29.338434689176363</v>
      </c>
      <c r="T82" s="151">
        <f>IF(Inputs!$E$69=1,(1+$E$80)^(1/12)-1,$E$80/12)*(T73+T74+T81)*T$10</f>
        <v>29.481241003533949</v>
      </c>
      <c r="U82" s="151">
        <f>IF(Inputs!$E$69=1,(1+$E$80)^(1/12)-1,$E$80/12)*(U73+U74+U81)*U$10</f>
        <v>29.624742434847715</v>
      </c>
      <c r="V82" s="151">
        <f>IF(Inputs!$E$69=1,(1+$E$80)^(1/12)-1,$E$80/12)*(V73+V74+V81)*V$10</f>
        <v>29.768942366634597</v>
      </c>
      <c r="W82" s="151">
        <f>IF(Inputs!$E$69=1,(1+$E$80)^(1/12)-1,$E$80/12)*(W73+W74+W81)*W$10</f>
        <v>29.913844198880973</v>
      </c>
      <c r="X82" s="151">
        <f>IF(Inputs!$E$69=1,(1+$E$80)^(1/12)-1,$E$80/12)*(X73+X74+X81)*X$10</f>
        <v>30.05945134812282</v>
      </c>
      <c r="Y82" s="151">
        <f>IF(Inputs!$E$69=1,(1+$E$80)^(1/12)-1,$E$80/12)*(Y73+Y74+Y81)*Y$10</f>
        <v>30.205767247526278</v>
      </c>
      <c r="Z82" s="151">
        <f>IF(Inputs!$E$69=1,(1+$E$80)^(1/12)-1,$E$80/12)*(Z73+Z74+Z81)*Z$10</f>
        <v>30.352795346968595</v>
      </c>
      <c r="AA82" s="151">
        <f>IF(Inputs!$E$69=1,(1+$E$80)^(1/12)-1,$E$80/12)*(AA73+AA74+AA81)*AA$10</f>
        <v>30.500539113119473</v>
      </c>
      <c r="AB82" s="151">
        <f>IF(Inputs!$E$69=1,(1+$E$80)^(1/12)-1,$E$80/12)*(AB73+AB74+AB81)*AB$10</f>
        <v>30.649002029522808</v>
      </c>
      <c r="AC82" s="151">
        <f>IF(Inputs!$E$69=1,(1+$E$80)^(1/12)-1,$E$80/12)*(AC73+AC74+AC81)*AC$10</f>
        <v>30.798187596678808</v>
      </c>
      <c r="AD82" s="151">
        <f>IF(Inputs!$E$69=1,(1+$E$80)^(1/12)-1,$E$80/12)*(AD73+AD74+AD81)*AD$10</f>
        <v>30.948099332126564</v>
      </c>
      <c r="AE82" s="151">
        <f>IF(Inputs!$E$69=1,(1+$E$80)^(1/12)-1,$E$80/12)*(AE73+AE74+AE81)*AE$10</f>
        <v>31.098740770526952</v>
      </c>
      <c r="AF82" s="151">
        <f>IF(Inputs!$E$69=1,(1+$E$80)^(1/12)-1,$E$80/12)*(AF73+AF74+AF81)*AF$10</f>
        <v>31.250115463745988</v>
      </c>
      <c r="AG82" s="151">
        <f>IF(Inputs!$E$69=1,(1+$E$80)^(1/12)-1,$E$80/12)*(AG73+AG74+AG81)*AG$10</f>
        <v>31.402226980938579</v>
      </c>
      <c r="AH82" s="151">
        <f>IF(Inputs!$E$69=1,(1+$E$80)^(1/12)-1,$E$80/12)*(AH73+AH74+AH81)*AH$10</f>
        <v>31.55507890863268</v>
      </c>
      <c r="AI82" s="151">
        <f>IF(Inputs!$E$69=1,(1+$E$80)^(1/12)-1,$E$80/12)*(AI73+AI74+AI81)*AI$10</f>
        <v>31.708674850813839</v>
      </c>
      <c r="AJ82" s="151">
        <f>IF(Inputs!$E$69=1,(1+$E$80)^(1/12)-1,$E$80/12)*(AJ73+AJ74+AJ81)*AJ$10</f>
        <v>31.863018429010197</v>
      </c>
      <c r="AK82" s="151">
        <f>IF(Inputs!$E$69=1,(1+$E$80)^(1/12)-1,$E$80/12)*(AK73+AK74+AK81)*AK$10</f>
        <v>32.018113282377861</v>
      </c>
      <c r="AL82" s="151">
        <f>IF(Inputs!$E$69=1,(1+$E$80)^(1/12)-1,$E$80/12)*(AL73+AL74+AL81)*AL$10</f>
        <v>32.173963067786715</v>
      </c>
      <c r="AM82" s="151">
        <f>IF(Inputs!$E$69=1,(1+$E$80)^(1/12)-1,$E$80/12)*(AM73+AM74+AM81)*AM$10</f>
        <v>32.330571459906643</v>
      </c>
      <c r="AN82" s="151">
        <f>IF(Inputs!$E$69=1,(1+$E$80)^(1/12)-1,$E$80/12)*(AN73+AN74+AN81)*AN$10</f>
        <v>32.487942151294178</v>
      </c>
      <c r="AO82" s="151">
        <f>IF(Inputs!$E$69=1,(1+$E$80)^(1/12)-1,$E$80/12)*(AO73+AO74+AO81)*AO$10</f>
        <v>32.64607885247954</v>
      </c>
      <c r="AP82" s="151">
        <f>IF(Inputs!$E$69=1,(1+$E$80)^(1/12)-1,$E$80/12)*(AP73+AP74+AP81)*AP$10</f>
        <v>32.804985292054162</v>
      </c>
      <c r="AQ82" s="151">
        <f>IF(Inputs!$E$69=1,(1+$E$80)^(1/12)-1,$E$80/12)*(AQ73+AQ74+AQ81)*AQ$10</f>
        <v>32.964665216758576</v>
      </c>
      <c r="AR82" s="151">
        <f>IF(Inputs!$E$69=1,(1+$E$80)^(1/12)-1,$E$80/12)*(AR73+AR74+AR81)*AR$10</f>
        <v>0</v>
      </c>
      <c r="AS82" s="151">
        <f>IF(Inputs!$E$69=1,(1+$E$80)^(1/12)-1,$E$80/12)*(AS73+AS74+AS81)*AS$10</f>
        <v>0</v>
      </c>
      <c r="AT82" s="151">
        <f>IF(Inputs!$E$69=1,(1+$E$80)^(1/12)-1,$E$80/12)*(AT73+AT74+AT81)*AT$10</f>
        <v>0</v>
      </c>
      <c r="AU82" s="151">
        <f>IF(Inputs!$E$69=1,(1+$E$80)^(1/12)-1,$E$80/12)*(AU73+AU74+AU81)*AU$10</f>
        <v>0</v>
      </c>
      <c r="AV82" s="151">
        <f>IF(Inputs!$E$69=1,(1+$E$80)^(1/12)-1,$E$80/12)*(AV73+AV74+AV81)*AV$10</f>
        <v>0</v>
      </c>
      <c r="AW82" s="151">
        <f>IF(Inputs!$E$69=1,(1+$E$80)^(1/12)-1,$E$80/12)*(AW73+AW74+AW81)*AW$10</f>
        <v>0</v>
      </c>
      <c r="AX82" s="151">
        <f>IF(Inputs!$E$69=1,(1+$E$80)^(1/12)-1,$E$80/12)*(AX73+AX74+AX81)*AX$10</f>
        <v>0</v>
      </c>
      <c r="AY82" s="151">
        <f>IF(Inputs!$E$69=1,(1+$E$80)^(1/12)-1,$E$80/12)*(AY73+AY74+AY81)*AY$10</f>
        <v>0</v>
      </c>
      <c r="AZ82" s="151">
        <f>IF(Inputs!$E$69=1,(1+$E$80)^(1/12)-1,$E$80/12)*(AZ73+AZ74+AZ81)*AZ$10</f>
        <v>0</v>
      </c>
      <c r="BA82" s="151">
        <f>IF(Inputs!$E$69=1,(1+$E$80)^(1/12)-1,$E$80/12)*(BA73+BA74+BA81)*BA$10</f>
        <v>0</v>
      </c>
      <c r="BB82" s="151">
        <f>IF(Inputs!$E$69=1,(1+$E$80)^(1/12)-1,$E$80/12)*(BB73+BB74+BB81)*BB$10</f>
        <v>0</v>
      </c>
      <c r="BC82" s="151">
        <f>IF(Inputs!$E$69=1,(1+$E$80)^(1/12)-1,$E$80/12)*(BC73+BC74+BC81)*BC$10</f>
        <v>0</v>
      </c>
      <c r="BD82" s="151">
        <f>IF(Inputs!$E$69=1,(1+$E$80)^(1/12)-1,$E$80/12)*(BD73+BD74+BD81)*BD$10</f>
        <v>0</v>
      </c>
      <c r="BE82" s="151">
        <f>IF(Inputs!$E$69=1,(1+$E$80)^(1/12)-1,$E$80/12)*(BE73+BE74+BE81)*BE$10</f>
        <v>0</v>
      </c>
      <c r="BF82" s="151">
        <f>IF(Inputs!$E$69=1,(1+$E$80)^(1/12)-1,$E$80/12)*(BF73+BF74+BF81)*BF$10</f>
        <v>0</v>
      </c>
      <c r="BG82" s="151">
        <f>IF(Inputs!$E$69=1,(1+$E$80)^(1/12)-1,$E$80/12)*(BG73+BG74+BG81)*BG$10</f>
        <v>0</v>
      </c>
      <c r="BH82" s="151">
        <f>IF(Inputs!$E$69=1,(1+$E$80)^(1/12)-1,$E$80/12)*(BH73+BH74+BH81)*BH$10</f>
        <v>0</v>
      </c>
      <c r="BI82" s="151">
        <f>IF(Inputs!$E$69=1,(1+$E$80)^(1/12)-1,$E$80/12)*(BI73+BI74+BI81)*BI$10</f>
        <v>0</v>
      </c>
      <c r="BJ82" s="151">
        <f>IF(Inputs!$E$69=1,(1+$E$80)^(1/12)-1,$E$80/12)*(BJ73+BJ74+BJ81)*BJ$10</f>
        <v>0</v>
      </c>
      <c r="BK82" s="151">
        <f>IF(Inputs!$E$69=1,(1+$E$80)^(1/12)-1,$E$80/12)*(BK73+BK74+BK81)*BK$10</f>
        <v>0</v>
      </c>
      <c r="BL82" s="151">
        <f>IF(Inputs!$E$69=1,(1+$E$80)^(1/12)-1,$E$80/12)*(BL73+BL74+BL81)*BL$10</f>
        <v>0</v>
      </c>
      <c r="BM82" s="151">
        <f>IF(Inputs!$E$69=1,(1+$E$80)^(1/12)-1,$E$80/12)*(BM73+BM74+BM81)*BM$10</f>
        <v>0</v>
      </c>
      <c r="BN82" s="151">
        <f>IF(Inputs!$E$69=1,(1+$E$80)^(1/12)-1,$E$80/12)*(BN73+BN74+BN81)*BN$10</f>
        <v>0</v>
      </c>
      <c r="BO82" s="151">
        <f>IF(Inputs!$E$69=1,(1+$E$80)^(1/12)-1,$E$80/12)*(BO73+BO74+BO81)*BO$10</f>
        <v>0</v>
      </c>
      <c r="BP82" s="151">
        <f>IF(Inputs!$E$69=1,(1+$E$80)^(1/12)-1,$E$80/12)*(BP73+BP74+BP81)*BP$10</f>
        <v>0</v>
      </c>
    </row>
    <row r="83" spans="3:68" x14ac:dyDescent="0.25">
      <c r="C83" t="s">
        <v>1063</v>
      </c>
      <c r="D83" t="s">
        <v>125</v>
      </c>
      <c r="E83" s="151"/>
      <c r="F83" s="151"/>
      <c r="G83" s="151">
        <f>SUM(H83:BP83)</f>
        <v>-962.41928755699814</v>
      </c>
      <c r="H83" s="151">
        <f t="shared" ref="H83:AM83" si="44">-H$7*(H81+H82)</f>
        <v>0</v>
      </c>
      <c r="I83" s="151">
        <f t="shared" si="44"/>
        <v>0</v>
      </c>
      <c r="J83" s="151">
        <f t="shared" si="44"/>
        <v>0</v>
      </c>
      <c r="K83" s="151">
        <f t="shared" si="44"/>
        <v>0</v>
      </c>
      <c r="L83" s="151">
        <f t="shared" si="44"/>
        <v>0</v>
      </c>
      <c r="M83" s="151">
        <f t="shared" si="44"/>
        <v>0</v>
      </c>
      <c r="N83" s="151">
        <f t="shared" si="44"/>
        <v>0</v>
      </c>
      <c r="O83" s="151">
        <f t="shared" si="44"/>
        <v>0</v>
      </c>
      <c r="P83" s="151">
        <f t="shared" si="44"/>
        <v>0</v>
      </c>
      <c r="Q83" s="151">
        <f t="shared" si="44"/>
        <v>0</v>
      </c>
      <c r="R83" s="151">
        <f t="shared" si="44"/>
        <v>0</v>
      </c>
      <c r="S83" s="151">
        <f t="shared" si="44"/>
        <v>0</v>
      </c>
      <c r="T83" s="151">
        <f t="shared" si="44"/>
        <v>0</v>
      </c>
      <c r="U83" s="151">
        <f t="shared" si="44"/>
        <v>0</v>
      </c>
      <c r="V83" s="151">
        <f t="shared" si="44"/>
        <v>0</v>
      </c>
      <c r="W83" s="151">
        <f t="shared" si="44"/>
        <v>0</v>
      </c>
      <c r="X83" s="151">
        <f t="shared" si="44"/>
        <v>0</v>
      </c>
      <c r="Y83" s="151">
        <f t="shared" si="44"/>
        <v>0</v>
      </c>
      <c r="Z83" s="151">
        <f t="shared" si="44"/>
        <v>0</v>
      </c>
      <c r="AA83" s="151">
        <f t="shared" si="44"/>
        <v>0</v>
      </c>
      <c r="AB83" s="151">
        <f t="shared" si="44"/>
        <v>0</v>
      </c>
      <c r="AC83" s="151">
        <f t="shared" si="44"/>
        <v>0</v>
      </c>
      <c r="AD83" s="151">
        <f t="shared" si="44"/>
        <v>0</v>
      </c>
      <c r="AE83" s="151">
        <f t="shared" si="44"/>
        <v>0</v>
      </c>
      <c r="AF83" s="151">
        <f t="shared" si="44"/>
        <v>0</v>
      </c>
      <c r="AG83" s="151">
        <f t="shared" si="44"/>
        <v>0</v>
      </c>
      <c r="AH83" s="151">
        <f t="shared" si="44"/>
        <v>0</v>
      </c>
      <c r="AI83" s="151">
        <f t="shared" si="44"/>
        <v>0</v>
      </c>
      <c r="AJ83" s="151">
        <f t="shared" si="44"/>
        <v>0</v>
      </c>
      <c r="AK83" s="151">
        <f t="shared" si="44"/>
        <v>0</v>
      </c>
      <c r="AL83" s="151">
        <f t="shared" si="44"/>
        <v>0</v>
      </c>
      <c r="AM83" s="151">
        <f t="shared" si="44"/>
        <v>0</v>
      </c>
      <c r="AN83" s="151">
        <f t="shared" ref="AN83:BP83" si="45">-AN$7*(AN81+AN82)</f>
        <v>0</v>
      </c>
      <c r="AO83" s="151">
        <f t="shared" si="45"/>
        <v>0</v>
      </c>
      <c r="AP83" s="151">
        <f t="shared" si="45"/>
        <v>0</v>
      </c>
      <c r="AQ83" s="151">
        <f t="shared" si="45"/>
        <v>0</v>
      </c>
      <c r="AR83" s="151">
        <f t="shared" si="45"/>
        <v>0</v>
      </c>
      <c r="AS83" s="151">
        <f t="shared" si="45"/>
        <v>0</v>
      </c>
      <c r="AT83" s="151">
        <f t="shared" si="45"/>
        <v>-962.41928755699814</v>
      </c>
      <c r="AU83" s="151">
        <f t="shared" si="45"/>
        <v>0</v>
      </c>
      <c r="AV83" s="151">
        <f t="shared" si="45"/>
        <v>0</v>
      </c>
      <c r="AW83" s="151">
        <f t="shared" si="45"/>
        <v>0</v>
      </c>
      <c r="AX83" s="151">
        <f t="shared" si="45"/>
        <v>0</v>
      </c>
      <c r="AY83" s="151">
        <f t="shared" si="45"/>
        <v>0</v>
      </c>
      <c r="AZ83" s="151">
        <f t="shared" si="45"/>
        <v>0</v>
      </c>
      <c r="BA83" s="151">
        <f t="shared" si="45"/>
        <v>0</v>
      </c>
      <c r="BB83" s="151">
        <f t="shared" si="45"/>
        <v>0</v>
      </c>
      <c r="BC83" s="151">
        <f t="shared" si="45"/>
        <v>0</v>
      </c>
      <c r="BD83" s="151">
        <f t="shared" si="45"/>
        <v>0</v>
      </c>
      <c r="BE83" s="151">
        <f t="shared" si="45"/>
        <v>0</v>
      </c>
      <c r="BF83" s="151">
        <f t="shared" si="45"/>
        <v>0</v>
      </c>
      <c r="BG83" s="151">
        <f t="shared" si="45"/>
        <v>0</v>
      </c>
      <c r="BH83" s="151">
        <f t="shared" si="45"/>
        <v>0</v>
      </c>
      <c r="BI83" s="151">
        <f t="shared" si="45"/>
        <v>0</v>
      </c>
      <c r="BJ83" s="151">
        <f t="shared" si="45"/>
        <v>0</v>
      </c>
      <c r="BK83" s="151">
        <f t="shared" si="45"/>
        <v>0</v>
      </c>
      <c r="BL83" s="151">
        <f t="shared" si="45"/>
        <v>0</v>
      </c>
      <c r="BM83" s="151">
        <f t="shared" si="45"/>
        <v>0</v>
      </c>
      <c r="BN83" s="151">
        <f t="shared" si="45"/>
        <v>0</v>
      </c>
      <c r="BO83" s="151">
        <f t="shared" si="45"/>
        <v>0</v>
      </c>
      <c r="BP83" s="151">
        <f t="shared" si="45"/>
        <v>0</v>
      </c>
    </row>
    <row r="84" spans="3:68" x14ac:dyDescent="0.25">
      <c r="C84" t="s">
        <v>1064</v>
      </c>
      <c r="D84" t="s">
        <v>125</v>
      </c>
      <c r="E84" s="151"/>
      <c r="F84" s="151"/>
      <c r="G84" s="151"/>
      <c r="H84" s="151">
        <f t="shared" ref="H84:AM84" si="46">SUM(H81:H83)</f>
        <v>0</v>
      </c>
      <c r="I84" s="151">
        <f t="shared" si="46"/>
        <v>0</v>
      </c>
      <c r="J84" s="151">
        <f t="shared" si="46"/>
        <v>0</v>
      </c>
      <c r="K84" s="151">
        <f t="shared" si="46"/>
        <v>5.6880995688651259</v>
      </c>
      <c r="L84" s="151">
        <f t="shared" si="46"/>
        <v>11.403886250002408</v>
      </c>
      <c r="M84" s="151">
        <f t="shared" si="46"/>
        <v>39.899893087291346</v>
      </c>
      <c r="N84" s="151">
        <f t="shared" si="46"/>
        <v>68.534605678771157</v>
      </c>
      <c r="O84" s="151">
        <f t="shared" si="46"/>
        <v>97.308699181714047</v>
      </c>
      <c r="P84" s="151">
        <f t="shared" si="46"/>
        <v>126.22285203975443</v>
      </c>
      <c r="Q84" s="151">
        <f t="shared" si="46"/>
        <v>155.27774599888539</v>
      </c>
      <c r="R84" s="151">
        <f t="shared" si="46"/>
        <v>184.47406612353311</v>
      </c>
      <c r="S84" s="151">
        <f t="shared" si="46"/>
        <v>213.81250081270946</v>
      </c>
      <c r="T84" s="151">
        <f t="shared" si="46"/>
        <v>243.2937418162434</v>
      </c>
      <c r="U84" s="151">
        <f t="shared" si="46"/>
        <v>272.91848425109112</v>
      </c>
      <c r="V84" s="151">
        <f t="shared" si="46"/>
        <v>302.68742661772569</v>
      </c>
      <c r="W84" s="151">
        <f t="shared" si="46"/>
        <v>332.60127081660664</v>
      </c>
      <c r="X84" s="151">
        <f t="shared" si="46"/>
        <v>362.66072216472946</v>
      </c>
      <c r="Y84" s="151">
        <f t="shared" si="46"/>
        <v>392.86648941225576</v>
      </c>
      <c r="Z84" s="151">
        <f t="shared" si="46"/>
        <v>423.21928475922437</v>
      </c>
      <c r="AA84" s="151">
        <f t="shared" si="46"/>
        <v>453.71982387234385</v>
      </c>
      <c r="AB84" s="151">
        <f t="shared" si="46"/>
        <v>484.36882590186667</v>
      </c>
      <c r="AC84" s="151">
        <f t="shared" si="46"/>
        <v>515.16701349854543</v>
      </c>
      <c r="AD84" s="151">
        <f t="shared" si="46"/>
        <v>546.11511283067205</v>
      </c>
      <c r="AE84" s="151">
        <f t="shared" si="46"/>
        <v>577.21385360119905</v>
      </c>
      <c r="AF84" s="151">
        <f t="shared" si="46"/>
        <v>608.46396906494499</v>
      </c>
      <c r="AG84" s="151">
        <f t="shared" si="46"/>
        <v>639.86619604588361</v>
      </c>
      <c r="AH84" s="151">
        <f t="shared" si="46"/>
        <v>671.42127495451632</v>
      </c>
      <c r="AI84" s="151">
        <f t="shared" si="46"/>
        <v>703.12994980533017</v>
      </c>
      <c r="AJ84" s="151">
        <f t="shared" si="46"/>
        <v>734.99296823434042</v>
      </c>
      <c r="AK84" s="151">
        <f t="shared" si="46"/>
        <v>767.01108151671826</v>
      </c>
      <c r="AL84" s="151">
        <f t="shared" si="46"/>
        <v>799.18504458450502</v>
      </c>
      <c r="AM84" s="151">
        <f t="shared" si="46"/>
        <v>831.51561604441167</v>
      </c>
      <c r="AN84" s="151">
        <f t="shared" ref="AN84:BP84" si="47">SUM(AN81:AN83)</f>
        <v>864.00355819570586</v>
      </c>
      <c r="AO84" s="151">
        <f t="shared" si="47"/>
        <v>896.64963704818535</v>
      </c>
      <c r="AP84" s="151">
        <f t="shared" si="47"/>
        <v>929.45462234023955</v>
      </c>
      <c r="AQ84" s="151">
        <f t="shared" si="47"/>
        <v>962.41928755699814</v>
      </c>
      <c r="AR84" s="151">
        <f t="shared" si="47"/>
        <v>962.41928755699814</v>
      </c>
      <c r="AS84" s="151">
        <f t="shared" si="47"/>
        <v>962.41928755699814</v>
      </c>
      <c r="AT84" s="151">
        <f t="shared" si="47"/>
        <v>0</v>
      </c>
      <c r="AU84" s="151">
        <f t="shared" si="47"/>
        <v>0</v>
      </c>
      <c r="AV84" s="151">
        <f t="shared" si="47"/>
        <v>0</v>
      </c>
      <c r="AW84" s="151">
        <f t="shared" si="47"/>
        <v>0</v>
      </c>
      <c r="AX84" s="151">
        <f t="shared" si="47"/>
        <v>0</v>
      </c>
      <c r="AY84" s="151">
        <f t="shared" si="47"/>
        <v>0</v>
      </c>
      <c r="AZ84" s="151">
        <f t="shared" si="47"/>
        <v>0</v>
      </c>
      <c r="BA84" s="151">
        <f t="shared" si="47"/>
        <v>0</v>
      </c>
      <c r="BB84" s="151">
        <f t="shared" si="47"/>
        <v>0</v>
      </c>
      <c r="BC84" s="151">
        <f t="shared" si="47"/>
        <v>0</v>
      </c>
      <c r="BD84" s="151">
        <f t="shared" si="47"/>
        <v>0</v>
      </c>
      <c r="BE84" s="151">
        <f t="shared" si="47"/>
        <v>0</v>
      </c>
      <c r="BF84" s="151">
        <f t="shared" si="47"/>
        <v>0</v>
      </c>
      <c r="BG84" s="151">
        <f t="shared" si="47"/>
        <v>0</v>
      </c>
      <c r="BH84" s="151">
        <f t="shared" si="47"/>
        <v>0</v>
      </c>
      <c r="BI84" s="151">
        <f t="shared" si="47"/>
        <v>0</v>
      </c>
      <c r="BJ84" s="151">
        <f t="shared" si="47"/>
        <v>0</v>
      </c>
      <c r="BK84" s="151">
        <f t="shared" si="47"/>
        <v>0</v>
      </c>
      <c r="BL84" s="151">
        <f t="shared" si="47"/>
        <v>0</v>
      </c>
      <c r="BM84" s="151">
        <f t="shared" si="47"/>
        <v>0</v>
      </c>
      <c r="BN84" s="151">
        <f t="shared" si="47"/>
        <v>0</v>
      </c>
      <c r="BO84" s="151">
        <f t="shared" si="47"/>
        <v>0</v>
      </c>
      <c r="BP84" s="151">
        <f t="shared" si="47"/>
        <v>0</v>
      </c>
    </row>
    <row r="85" spans="3:68" x14ac:dyDescent="0.25">
      <c r="E85" s="151"/>
      <c r="F85" s="151"/>
      <c r="G85" s="151"/>
      <c r="H85" s="151"/>
      <c r="I85" s="151"/>
      <c r="J85" s="151"/>
      <c r="K85" s="151"/>
      <c r="L85" s="151"/>
      <c r="M85" s="151"/>
      <c r="N85" s="151"/>
      <c r="O85" s="151"/>
      <c r="P85" s="151"/>
      <c r="Q85" s="151"/>
      <c r="R85" s="151"/>
      <c r="S85" s="151"/>
      <c r="T85" s="151"/>
      <c r="U85" s="151"/>
      <c r="V85" s="151"/>
      <c r="W85" s="151"/>
      <c r="X85" s="151"/>
      <c r="Y85" s="151"/>
      <c r="Z85" s="151"/>
      <c r="AA85" s="151"/>
      <c r="AB85" s="151"/>
      <c r="AC85" s="151"/>
      <c r="AD85" s="151"/>
      <c r="AE85" s="151"/>
      <c r="AF85" s="151"/>
      <c r="AG85" s="151"/>
      <c r="AH85" s="151"/>
      <c r="AI85" s="151"/>
      <c r="AJ85" s="151"/>
      <c r="AK85" s="151"/>
      <c r="AL85" s="151"/>
      <c r="AM85" s="151"/>
      <c r="AN85" s="151"/>
      <c r="AO85" s="151"/>
      <c r="AP85" s="151"/>
      <c r="AQ85" s="151"/>
      <c r="AR85" s="151"/>
      <c r="AS85" s="151"/>
      <c r="AT85" s="151"/>
      <c r="AU85" s="151"/>
      <c r="AV85" s="151"/>
      <c r="AW85" s="151"/>
      <c r="AX85" s="151"/>
      <c r="AY85" s="151"/>
      <c r="AZ85" s="151"/>
      <c r="BA85" s="151"/>
      <c r="BB85" s="151"/>
      <c r="BC85" s="151"/>
      <c r="BD85" s="151"/>
      <c r="BE85" s="151"/>
      <c r="BF85" s="151"/>
      <c r="BG85" s="151"/>
      <c r="BH85" s="151"/>
      <c r="BI85" s="151"/>
      <c r="BJ85" s="151"/>
      <c r="BK85" s="151"/>
      <c r="BL85" s="151"/>
      <c r="BM85" s="151"/>
      <c r="BN85" s="151"/>
      <c r="BO85" s="151"/>
      <c r="BP85" s="151"/>
    </row>
    <row r="86" spans="3:68" x14ac:dyDescent="0.25">
      <c r="C86" s="129" t="s">
        <v>1065</v>
      </c>
      <c r="D86" s="129"/>
      <c r="E86" s="252"/>
      <c r="F86" s="252"/>
      <c r="G86" s="252"/>
      <c r="H86" s="252"/>
      <c r="I86" s="252"/>
      <c r="J86" s="252"/>
      <c r="K86" s="252"/>
      <c r="L86" s="252"/>
      <c r="M86" s="252"/>
      <c r="N86" s="252"/>
      <c r="O86" s="252"/>
      <c r="P86" s="252"/>
      <c r="Q86" s="252"/>
      <c r="R86" s="252"/>
      <c r="S86" s="252"/>
      <c r="T86" s="252"/>
      <c r="U86" s="252"/>
      <c r="V86" s="252"/>
      <c r="W86" s="252"/>
      <c r="X86" s="252"/>
      <c r="Y86" s="252"/>
      <c r="Z86" s="252"/>
      <c r="AA86" s="252"/>
      <c r="AB86" s="252"/>
      <c r="AC86" s="252"/>
      <c r="AD86" s="252"/>
      <c r="AE86" s="252"/>
      <c r="AF86" s="252"/>
      <c r="AG86" s="252"/>
      <c r="AH86" s="252"/>
      <c r="AI86" s="252"/>
      <c r="AJ86" s="252"/>
      <c r="AK86" s="252"/>
      <c r="AL86" s="252"/>
      <c r="AM86" s="252"/>
      <c r="AN86" s="252"/>
      <c r="AO86" s="252"/>
      <c r="AP86" s="252"/>
      <c r="AQ86" s="252"/>
      <c r="AR86" s="252"/>
      <c r="AS86" s="252"/>
      <c r="AT86" s="252"/>
      <c r="AU86" s="252"/>
      <c r="AV86" s="252"/>
      <c r="AW86" s="252"/>
      <c r="AX86" s="252"/>
      <c r="AY86" s="252"/>
      <c r="AZ86" s="252"/>
      <c r="BA86" s="252"/>
      <c r="BB86" s="252"/>
      <c r="BC86" s="252"/>
      <c r="BD86" s="252"/>
      <c r="BE86" s="252"/>
      <c r="BF86" s="252"/>
      <c r="BG86" s="252"/>
      <c r="BH86" s="252"/>
      <c r="BI86" s="252"/>
      <c r="BJ86" s="252"/>
      <c r="BK86" s="252"/>
      <c r="BL86" s="252"/>
      <c r="BM86" s="252"/>
      <c r="BN86" s="252"/>
      <c r="BO86" s="252"/>
      <c r="BP86" s="252"/>
    </row>
    <row r="87" spans="3:68" x14ac:dyDescent="0.25">
      <c r="C87" s="228" t="str">
        <f t="shared" ref="C87:C98" si="48">C28</f>
        <v>Részvételi díj</v>
      </c>
      <c r="D87" t="s">
        <v>125</v>
      </c>
      <c r="E87" s="151"/>
      <c r="F87" s="151"/>
      <c r="G87" s="151">
        <f t="shared" ref="G87:G99" si="49">SUM(H87:BP87)</f>
        <v>0</v>
      </c>
      <c r="H87" s="151">
        <f>H$7*SUM($H44:H44)*Deposits!$Q$7</f>
        <v>0</v>
      </c>
      <c r="I87" s="151">
        <f>I$7*SUM($H44:I44)*Deposits!$Q$7</f>
        <v>0</v>
      </c>
      <c r="J87" s="151">
        <f>J$7*SUM($H44:J44)*Deposits!$Q$7</f>
        <v>0</v>
      </c>
      <c r="K87" s="151">
        <f>K$7*SUM($H44:K44)*Deposits!$Q$7</f>
        <v>0</v>
      </c>
      <c r="L87" s="151">
        <f>L$7*SUM($H44:L44)*Deposits!$Q$7</f>
        <v>0</v>
      </c>
      <c r="M87" s="151">
        <f>M$7*SUM($H44:M44)*Deposits!$Q$7</f>
        <v>0</v>
      </c>
      <c r="N87" s="151">
        <f>N$7*SUM($H44:N44)*Deposits!$Q$7</f>
        <v>0</v>
      </c>
      <c r="O87" s="151">
        <f>O$7*SUM($H44:O44)*Deposits!$Q$7</f>
        <v>0</v>
      </c>
      <c r="P87" s="151">
        <f>P$7*SUM($H44:P44)*Deposits!$Q$7</f>
        <v>0</v>
      </c>
      <c r="Q87" s="151">
        <f>Q$7*SUM($H44:Q44)*Deposits!$Q$7</f>
        <v>0</v>
      </c>
      <c r="R87" s="151">
        <f>R$7*SUM($H44:R44)*Deposits!$Q$7</f>
        <v>0</v>
      </c>
      <c r="S87" s="151">
        <f>S$7*SUM($H44:S44)*Deposits!$Q$7</f>
        <v>0</v>
      </c>
      <c r="T87" s="151">
        <f>T$7*SUM($H44:T44)*Deposits!$Q$7</f>
        <v>0</v>
      </c>
      <c r="U87" s="151">
        <f>U$7*SUM($H44:U44)*Deposits!$Q$7</f>
        <v>0</v>
      </c>
      <c r="V87" s="151">
        <f>V$7*SUM($H44:V44)*Deposits!$Q$7</f>
        <v>0</v>
      </c>
      <c r="W87" s="151">
        <f>W$7*SUM($H44:W44)*Deposits!$Q$7</f>
        <v>0</v>
      </c>
      <c r="X87" s="151">
        <f>X$7*SUM($H44:X44)*Deposits!$Q$7</f>
        <v>0</v>
      </c>
      <c r="Y87" s="151">
        <f>Y$7*SUM($H44:Y44)*Deposits!$Q$7</f>
        <v>0</v>
      </c>
      <c r="Z87" s="151">
        <f>Z$7*SUM($H44:Z44)*Deposits!$Q$7</f>
        <v>0</v>
      </c>
      <c r="AA87" s="151">
        <f>AA$7*SUM($H44:AA44)*Deposits!$Q$7</f>
        <v>0</v>
      </c>
      <c r="AB87" s="151">
        <f>AB$7*SUM($H44:AB44)*Deposits!$Q$7</f>
        <v>0</v>
      </c>
      <c r="AC87" s="151">
        <f>AC$7*SUM($H44:AC44)*Deposits!$Q$7</f>
        <v>0</v>
      </c>
      <c r="AD87" s="151">
        <f>AD$7*SUM($H44:AD44)*Deposits!$Q$7</f>
        <v>0</v>
      </c>
      <c r="AE87" s="151">
        <f>AE$7*SUM($H44:AE44)*Deposits!$Q$7</f>
        <v>0</v>
      </c>
      <c r="AF87" s="151">
        <f>AF$7*SUM($H44:AF44)*Deposits!$Q$7</f>
        <v>0</v>
      </c>
      <c r="AG87" s="151">
        <f>AG$7*SUM($H44:AG44)*Deposits!$Q$7</f>
        <v>0</v>
      </c>
      <c r="AH87" s="151">
        <f>AH$7*SUM($H44:AH44)*Deposits!$Q$7</f>
        <v>0</v>
      </c>
      <c r="AI87" s="151">
        <f>AI$7*SUM($H44:AI44)*Deposits!$Q$7</f>
        <v>0</v>
      </c>
      <c r="AJ87" s="151">
        <f>AJ$7*SUM($H44:AJ44)*Deposits!$Q$7</f>
        <v>0</v>
      </c>
      <c r="AK87" s="151">
        <f>AK$7*SUM($H44:AK44)*Deposits!$Q$7</f>
        <v>0</v>
      </c>
      <c r="AL87" s="151">
        <f>AL$7*SUM($H44:AL44)*Deposits!$Q$7</f>
        <v>0</v>
      </c>
      <c r="AM87" s="151">
        <f>AM$7*SUM($H44:AM44)*Deposits!$Q$7</f>
        <v>0</v>
      </c>
      <c r="AN87" s="151">
        <f>AN$7*SUM($H44:AN44)*Deposits!$Q$7</f>
        <v>0</v>
      </c>
      <c r="AO87" s="151">
        <f>AO$7*SUM($H44:AO44)*Deposits!$Q$7</f>
        <v>0</v>
      </c>
      <c r="AP87" s="151">
        <f>AP$7*SUM($H44:AP44)*Deposits!$Q$7</f>
        <v>0</v>
      </c>
      <c r="AQ87" s="151">
        <f>AQ$7*SUM($H44:AQ44)*Deposits!$Q$7</f>
        <v>0</v>
      </c>
      <c r="AR87" s="151">
        <f>AR$7*SUM($H44:AR44)*Deposits!$Q$7</f>
        <v>0</v>
      </c>
      <c r="AS87" s="151">
        <f>AS$7*SUM($H44:AS44)*Deposits!$Q$7</f>
        <v>0</v>
      </c>
      <c r="AT87" s="151">
        <f>AT$7*SUM($H44:AT44)*Deposits!$Q$7</f>
        <v>0</v>
      </c>
      <c r="AU87" s="151">
        <f>AU$7*SUM($H44:AU44)*Deposits!$Q$7</f>
        <v>0</v>
      </c>
      <c r="AV87" s="151">
        <f>AV$7*SUM($H44:AV44)*Deposits!$Q$7</f>
        <v>0</v>
      </c>
      <c r="AW87" s="151">
        <f>AW$7*SUM($H44:AW44)*Deposits!$Q$7</f>
        <v>0</v>
      </c>
      <c r="AX87" s="151">
        <f>AX$7*SUM($H44:AX44)*Deposits!$Q$7</f>
        <v>0</v>
      </c>
      <c r="AY87" s="151">
        <f>AY$7*SUM($H44:AY44)*Deposits!$Q$7</f>
        <v>0</v>
      </c>
      <c r="AZ87" s="151">
        <f>AZ$7*SUM($H44:AZ44)*Deposits!$Q$7</f>
        <v>0</v>
      </c>
      <c r="BA87" s="151">
        <f>BA$7*SUM($H44:BA44)*Deposits!$Q$7</f>
        <v>0</v>
      </c>
      <c r="BB87" s="151">
        <f>BB$7*SUM($H44:BB44)*Deposits!$Q$7</f>
        <v>0</v>
      </c>
      <c r="BC87" s="151">
        <f>BC$7*SUM($H44:BC44)*Deposits!$Q$7</f>
        <v>0</v>
      </c>
      <c r="BD87" s="151">
        <f>BD$7*SUM($H44:BD44)*Deposits!$Q$7</f>
        <v>0</v>
      </c>
      <c r="BE87" s="151">
        <f>BE$7*SUM($H44:BE44)*Deposits!$Q$7</f>
        <v>0</v>
      </c>
      <c r="BF87" s="151">
        <f>BF$7*SUM($H44:BF44)*Deposits!$Q$7</f>
        <v>0</v>
      </c>
      <c r="BG87" s="151">
        <f>BG$7*SUM($H44:BG44)*Deposits!$Q$7</f>
        <v>0</v>
      </c>
      <c r="BH87" s="151">
        <f>BH$7*SUM($H44:BH44)*Deposits!$Q$7</f>
        <v>0</v>
      </c>
      <c r="BI87" s="151">
        <f>BI$7*SUM($H44:BI44)*Deposits!$Q$7</f>
        <v>0</v>
      </c>
      <c r="BJ87" s="151">
        <f>BJ$7*SUM($H44:BJ44)*Deposits!$Q$7</f>
        <v>0</v>
      </c>
      <c r="BK87" s="151">
        <f>BK$7*SUM($H44:BK44)*Deposits!$Q$7</f>
        <v>0</v>
      </c>
      <c r="BL87" s="151">
        <f>BL$7*SUM($H44:BL44)*Deposits!$Q$7</f>
        <v>0</v>
      </c>
      <c r="BM87" s="151">
        <f>BM$7*SUM($H44:BM44)*Deposits!$Q$7</f>
        <v>0</v>
      </c>
      <c r="BN87" s="151">
        <f>BN$7*SUM($H44:BN44)*Deposits!$Q$7</f>
        <v>0</v>
      </c>
      <c r="BO87" s="151">
        <f>BO$7*SUM($H44:BO44)*Deposits!$Q$7</f>
        <v>0</v>
      </c>
      <c r="BP87" s="151">
        <f>BP$7*SUM($H44:BP44)*Deposits!$Q$7</f>
        <v>0</v>
      </c>
    </row>
    <row r="88" spans="3:68" x14ac:dyDescent="0.25">
      <c r="C88" s="228" t="str">
        <f t="shared" si="48"/>
        <v>Ajánlati biztosíték</v>
      </c>
      <c r="D88" t="s">
        <v>125</v>
      </c>
      <c r="E88" s="151"/>
      <c r="F88" s="151"/>
      <c r="G88" s="151">
        <f t="shared" si="49"/>
        <v>0</v>
      </c>
      <c r="H88" s="151">
        <f>H$7*SUM($H45:H45)*Deposits!$Q$8</f>
        <v>0</v>
      </c>
      <c r="I88" s="151">
        <f>I$7*SUM($H45:I45)*Deposits!$Q$8</f>
        <v>0</v>
      </c>
      <c r="J88" s="151">
        <f>J$7*SUM($H45:J45)*Deposits!$Q$8</f>
        <v>0</v>
      </c>
      <c r="K88" s="151">
        <f>K$7*SUM($H45:K45)*Deposits!$Q$8</f>
        <v>0</v>
      </c>
      <c r="L88" s="151">
        <f>L$7*SUM($H45:L45)*Deposits!$Q$8</f>
        <v>0</v>
      </c>
      <c r="M88" s="151">
        <f>M$7*SUM($H45:M45)*Deposits!$Q$8</f>
        <v>0</v>
      </c>
      <c r="N88" s="151">
        <f>N$7*SUM($H45:N45)*Deposits!$Q$8</f>
        <v>0</v>
      </c>
      <c r="O88" s="151">
        <f>O$7*SUM($H45:O45)*Deposits!$Q$8</f>
        <v>0</v>
      </c>
      <c r="P88" s="151">
        <f>P$7*SUM($H45:P45)*Deposits!$Q$8</f>
        <v>0</v>
      </c>
      <c r="Q88" s="151">
        <f>Q$7*SUM($H45:Q45)*Deposits!$Q$8</f>
        <v>0</v>
      </c>
      <c r="R88" s="151">
        <f>R$7*SUM($H45:R45)*Deposits!$Q$8</f>
        <v>0</v>
      </c>
      <c r="S88" s="151">
        <f>S$7*SUM($H45:S45)*Deposits!$Q$8</f>
        <v>0</v>
      </c>
      <c r="T88" s="151">
        <f>T$7*SUM($H45:T45)*Deposits!$Q$8</f>
        <v>0</v>
      </c>
      <c r="U88" s="151">
        <f>U$7*SUM($H45:U45)*Deposits!$Q$8</f>
        <v>0</v>
      </c>
      <c r="V88" s="151">
        <f>V$7*SUM($H45:V45)*Deposits!$Q$8</f>
        <v>0</v>
      </c>
      <c r="W88" s="151">
        <f>W$7*SUM($H45:W45)*Deposits!$Q$8</f>
        <v>0</v>
      </c>
      <c r="X88" s="151">
        <f>X$7*SUM($H45:X45)*Deposits!$Q$8</f>
        <v>0</v>
      </c>
      <c r="Y88" s="151">
        <f>Y$7*SUM($H45:Y45)*Deposits!$Q$8</f>
        <v>0</v>
      </c>
      <c r="Z88" s="151">
        <f>Z$7*SUM($H45:Z45)*Deposits!$Q$8</f>
        <v>0</v>
      </c>
      <c r="AA88" s="151">
        <f>AA$7*SUM($H45:AA45)*Deposits!$Q$8</f>
        <v>0</v>
      </c>
      <c r="AB88" s="151">
        <f>AB$7*SUM($H45:AB45)*Deposits!$Q$8</f>
        <v>0</v>
      </c>
      <c r="AC88" s="151">
        <f>AC$7*SUM($H45:AC45)*Deposits!$Q$8</f>
        <v>0</v>
      </c>
      <c r="AD88" s="151">
        <f>AD$7*SUM($H45:AD45)*Deposits!$Q$8</f>
        <v>0</v>
      </c>
      <c r="AE88" s="151">
        <f>AE$7*SUM($H45:AE45)*Deposits!$Q$8</f>
        <v>0</v>
      </c>
      <c r="AF88" s="151">
        <f>AF$7*SUM($H45:AF45)*Deposits!$Q$8</f>
        <v>0</v>
      </c>
      <c r="AG88" s="151">
        <f>AG$7*SUM($H45:AG45)*Deposits!$Q$8</f>
        <v>0</v>
      </c>
      <c r="AH88" s="151">
        <f>AH$7*SUM($H45:AH45)*Deposits!$Q$8</f>
        <v>0</v>
      </c>
      <c r="AI88" s="151">
        <f>AI$7*SUM($H45:AI45)*Deposits!$Q$8</f>
        <v>0</v>
      </c>
      <c r="AJ88" s="151">
        <f>AJ$7*SUM($H45:AJ45)*Deposits!$Q$8</f>
        <v>0</v>
      </c>
      <c r="AK88" s="151">
        <f>AK$7*SUM($H45:AK45)*Deposits!$Q$8</f>
        <v>0</v>
      </c>
      <c r="AL88" s="151">
        <f>AL$7*SUM($H45:AL45)*Deposits!$Q$8</f>
        <v>0</v>
      </c>
      <c r="AM88" s="151">
        <f>AM$7*SUM($H45:AM45)*Deposits!$Q$8</f>
        <v>0</v>
      </c>
      <c r="AN88" s="151">
        <f>AN$7*SUM($H45:AN45)*Deposits!$Q$8</f>
        <v>0</v>
      </c>
      <c r="AO88" s="151">
        <f>AO$7*SUM($H45:AO45)*Deposits!$Q$8</f>
        <v>0</v>
      </c>
      <c r="AP88" s="151">
        <f>AP$7*SUM($H45:AP45)*Deposits!$Q$8</f>
        <v>0</v>
      </c>
      <c r="AQ88" s="151">
        <f>AQ$7*SUM($H45:AQ45)*Deposits!$Q$8</f>
        <v>0</v>
      </c>
      <c r="AR88" s="151">
        <f>AR$7*SUM($H45:AR45)*Deposits!$Q$8</f>
        <v>0</v>
      </c>
      <c r="AS88" s="151">
        <f>AS$7*SUM($H45:AS45)*Deposits!$Q$8</f>
        <v>0</v>
      </c>
      <c r="AT88" s="151">
        <f>AT$7*SUM($H45:AT45)*Deposits!$Q$8</f>
        <v>0</v>
      </c>
      <c r="AU88" s="151">
        <f>AU$7*SUM($H45:AU45)*Deposits!$Q$8</f>
        <v>0</v>
      </c>
      <c r="AV88" s="151">
        <f>AV$7*SUM($H45:AV45)*Deposits!$Q$8</f>
        <v>0</v>
      </c>
      <c r="AW88" s="151">
        <f>AW$7*SUM($H45:AW45)*Deposits!$Q$8</f>
        <v>0</v>
      </c>
      <c r="AX88" s="151">
        <f>AX$7*SUM($H45:AX45)*Deposits!$Q$8</f>
        <v>0</v>
      </c>
      <c r="AY88" s="151">
        <f>AY$7*SUM($H45:AY45)*Deposits!$Q$8</f>
        <v>0</v>
      </c>
      <c r="AZ88" s="151">
        <f>AZ$7*SUM($H45:AZ45)*Deposits!$Q$8</f>
        <v>0</v>
      </c>
      <c r="BA88" s="151">
        <f>BA$7*SUM($H45:BA45)*Deposits!$Q$8</f>
        <v>0</v>
      </c>
      <c r="BB88" s="151">
        <f>BB$7*SUM($H45:BB45)*Deposits!$Q$8</f>
        <v>0</v>
      </c>
      <c r="BC88" s="151">
        <f>BC$7*SUM($H45:BC45)*Deposits!$Q$8</f>
        <v>0</v>
      </c>
      <c r="BD88" s="151">
        <f>BD$7*SUM($H45:BD45)*Deposits!$Q$8</f>
        <v>0</v>
      </c>
      <c r="BE88" s="151">
        <f>BE$7*SUM($H45:BE45)*Deposits!$Q$8</f>
        <v>0</v>
      </c>
      <c r="BF88" s="151">
        <f>BF$7*SUM($H45:BF45)*Deposits!$Q$8</f>
        <v>0</v>
      </c>
      <c r="BG88" s="151">
        <f>BG$7*SUM($H45:BG45)*Deposits!$Q$8</f>
        <v>0</v>
      </c>
      <c r="BH88" s="151">
        <f>BH$7*SUM($H45:BH45)*Deposits!$Q$8</f>
        <v>0</v>
      </c>
      <c r="BI88" s="151">
        <f>BI$7*SUM($H45:BI45)*Deposits!$Q$8</f>
        <v>0</v>
      </c>
      <c r="BJ88" s="151">
        <f>BJ$7*SUM($H45:BJ45)*Deposits!$Q$8</f>
        <v>0</v>
      </c>
      <c r="BK88" s="151">
        <f>BK$7*SUM($H45:BK45)*Deposits!$Q$8</f>
        <v>0</v>
      </c>
      <c r="BL88" s="151">
        <f>BL$7*SUM($H45:BL45)*Deposits!$Q$8</f>
        <v>0</v>
      </c>
      <c r="BM88" s="151">
        <f>BM$7*SUM($H45:BM45)*Deposits!$Q$8</f>
        <v>0</v>
      </c>
      <c r="BN88" s="151">
        <f>BN$7*SUM($H45:BN45)*Deposits!$Q$8</f>
        <v>0</v>
      </c>
      <c r="BO88" s="151">
        <f>BO$7*SUM($H45:BO45)*Deposits!$Q$8</f>
        <v>0</v>
      </c>
      <c r="BP88" s="151">
        <f>BP$7*SUM($H45:BP45)*Deposits!$Q$8</f>
        <v>0</v>
      </c>
    </row>
    <row r="89" spans="3:68" x14ac:dyDescent="0.25">
      <c r="C89" s="228" t="str">
        <f t="shared" si="48"/>
        <v>Ajánlati biztosíték visszatérítés – sikertelen kapacitás</v>
      </c>
      <c r="D89" t="s">
        <v>125</v>
      </c>
      <c r="E89" s="151"/>
      <c r="F89" s="151"/>
      <c r="G89" s="151">
        <f t="shared" si="49"/>
        <v>0</v>
      </c>
      <c r="H89" s="151">
        <f>H$7*SUM($H46:H46)*Deposits!$Q$9</f>
        <v>0</v>
      </c>
      <c r="I89" s="151">
        <f>I$7*SUM($H46:I46)*Deposits!$Q$9</f>
        <v>0</v>
      </c>
      <c r="J89" s="151">
        <f>J$7*SUM($H46:J46)*Deposits!$Q$9</f>
        <v>0</v>
      </c>
      <c r="K89" s="151">
        <f>K$7*SUM($H46:K46)*Deposits!$Q$9</f>
        <v>0</v>
      </c>
      <c r="L89" s="151">
        <f>L$7*SUM($H46:L46)*Deposits!$Q$9</f>
        <v>0</v>
      </c>
      <c r="M89" s="151">
        <f>M$7*SUM($H46:M46)*Deposits!$Q$9</f>
        <v>0</v>
      </c>
      <c r="N89" s="151">
        <f>N$7*SUM($H46:N46)*Deposits!$Q$9</f>
        <v>0</v>
      </c>
      <c r="O89" s="151">
        <f>O$7*SUM($H46:O46)*Deposits!$Q$9</f>
        <v>0</v>
      </c>
      <c r="P89" s="151">
        <f>P$7*SUM($H46:P46)*Deposits!$Q$9</f>
        <v>0</v>
      </c>
      <c r="Q89" s="151">
        <f>Q$7*SUM($H46:Q46)*Deposits!$Q$9</f>
        <v>0</v>
      </c>
      <c r="R89" s="151">
        <f>R$7*SUM($H46:R46)*Deposits!$Q$9</f>
        <v>0</v>
      </c>
      <c r="S89" s="151">
        <f>S$7*SUM($H46:S46)*Deposits!$Q$9</f>
        <v>0</v>
      </c>
      <c r="T89" s="151">
        <f>T$7*SUM($H46:T46)*Deposits!$Q$9</f>
        <v>0</v>
      </c>
      <c r="U89" s="151">
        <f>U$7*SUM($H46:U46)*Deposits!$Q$9</f>
        <v>0</v>
      </c>
      <c r="V89" s="151">
        <f>V$7*SUM($H46:V46)*Deposits!$Q$9</f>
        <v>0</v>
      </c>
      <c r="W89" s="151">
        <f>W$7*SUM($H46:W46)*Deposits!$Q$9</f>
        <v>0</v>
      </c>
      <c r="X89" s="151">
        <f>X$7*SUM($H46:X46)*Deposits!$Q$9</f>
        <v>0</v>
      </c>
      <c r="Y89" s="151">
        <f>Y$7*SUM($H46:Y46)*Deposits!$Q$9</f>
        <v>0</v>
      </c>
      <c r="Z89" s="151">
        <f>Z$7*SUM($H46:Z46)*Deposits!$Q$9</f>
        <v>0</v>
      </c>
      <c r="AA89" s="151">
        <f>AA$7*SUM($H46:AA46)*Deposits!$Q$9</f>
        <v>0</v>
      </c>
      <c r="AB89" s="151">
        <f>AB$7*SUM($H46:AB46)*Deposits!$Q$9</f>
        <v>0</v>
      </c>
      <c r="AC89" s="151">
        <f>AC$7*SUM($H46:AC46)*Deposits!$Q$9</f>
        <v>0</v>
      </c>
      <c r="AD89" s="151">
        <f>AD$7*SUM($H46:AD46)*Deposits!$Q$9</f>
        <v>0</v>
      </c>
      <c r="AE89" s="151">
        <f>AE$7*SUM($H46:AE46)*Deposits!$Q$9</f>
        <v>0</v>
      </c>
      <c r="AF89" s="151">
        <f>AF$7*SUM($H46:AF46)*Deposits!$Q$9</f>
        <v>0</v>
      </c>
      <c r="AG89" s="151">
        <f>AG$7*SUM($H46:AG46)*Deposits!$Q$9</f>
        <v>0</v>
      </c>
      <c r="AH89" s="151">
        <f>AH$7*SUM($H46:AH46)*Deposits!$Q$9</f>
        <v>0</v>
      </c>
      <c r="AI89" s="151">
        <f>AI$7*SUM($H46:AI46)*Deposits!$Q$9</f>
        <v>0</v>
      </c>
      <c r="AJ89" s="151">
        <f>AJ$7*SUM($H46:AJ46)*Deposits!$Q$9</f>
        <v>0</v>
      </c>
      <c r="AK89" s="151">
        <f>AK$7*SUM($H46:AK46)*Deposits!$Q$9</f>
        <v>0</v>
      </c>
      <c r="AL89" s="151">
        <f>AL$7*SUM($H46:AL46)*Deposits!$Q$9</f>
        <v>0</v>
      </c>
      <c r="AM89" s="151">
        <f>AM$7*SUM($H46:AM46)*Deposits!$Q$9</f>
        <v>0</v>
      </c>
      <c r="AN89" s="151">
        <f>AN$7*SUM($H46:AN46)*Deposits!$Q$9</f>
        <v>0</v>
      </c>
      <c r="AO89" s="151">
        <f>AO$7*SUM($H46:AO46)*Deposits!$Q$9</f>
        <v>0</v>
      </c>
      <c r="AP89" s="151">
        <f>AP$7*SUM($H46:AP46)*Deposits!$Q$9</f>
        <v>0</v>
      </c>
      <c r="AQ89" s="151">
        <f>AQ$7*SUM($H46:AQ46)*Deposits!$Q$9</f>
        <v>0</v>
      </c>
      <c r="AR89" s="151">
        <f>AR$7*SUM($H46:AR46)*Deposits!$Q$9</f>
        <v>0</v>
      </c>
      <c r="AS89" s="151">
        <f>AS$7*SUM($H46:AS46)*Deposits!$Q$9</f>
        <v>0</v>
      </c>
      <c r="AT89" s="151">
        <f>AT$7*SUM($H46:AT46)*Deposits!$Q$9</f>
        <v>0</v>
      </c>
      <c r="AU89" s="151">
        <f>AU$7*SUM($H46:AU46)*Deposits!$Q$9</f>
        <v>0</v>
      </c>
      <c r="AV89" s="151">
        <f>AV$7*SUM($H46:AV46)*Deposits!$Q$9</f>
        <v>0</v>
      </c>
      <c r="AW89" s="151">
        <f>AW$7*SUM($H46:AW46)*Deposits!$Q$9</f>
        <v>0</v>
      </c>
      <c r="AX89" s="151">
        <f>AX$7*SUM($H46:AX46)*Deposits!$Q$9</f>
        <v>0</v>
      </c>
      <c r="AY89" s="151">
        <f>AY$7*SUM($H46:AY46)*Deposits!$Q$9</f>
        <v>0</v>
      </c>
      <c r="AZ89" s="151">
        <f>AZ$7*SUM($H46:AZ46)*Deposits!$Q$9</f>
        <v>0</v>
      </c>
      <c r="BA89" s="151">
        <f>BA$7*SUM($H46:BA46)*Deposits!$Q$9</f>
        <v>0</v>
      </c>
      <c r="BB89" s="151">
        <f>BB$7*SUM($H46:BB46)*Deposits!$Q$9</f>
        <v>0</v>
      </c>
      <c r="BC89" s="151">
        <f>BC$7*SUM($H46:BC46)*Deposits!$Q$9</f>
        <v>0</v>
      </c>
      <c r="BD89" s="151">
        <f>BD$7*SUM($H46:BD46)*Deposits!$Q$9</f>
        <v>0</v>
      </c>
      <c r="BE89" s="151">
        <f>BE$7*SUM($H46:BE46)*Deposits!$Q$9</f>
        <v>0</v>
      </c>
      <c r="BF89" s="151">
        <f>BF$7*SUM($H46:BF46)*Deposits!$Q$9</f>
        <v>0</v>
      </c>
      <c r="BG89" s="151">
        <f>BG$7*SUM($H46:BG46)*Deposits!$Q$9</f>
        <v>0</v>
      </c>
      <c r="BH89" s="151">
        <f>BH$7*SUM($H46:BH46)*Deposits!$Q$9</f>
        <v>0</v>
      </c>
      <c r="BI89" s="151">
        <f>BI$7*SUM($H46:BI46)*Deposits!$Q$9</f>
        <v>0</v>
      </c>
      <c r="BJ89" s="151">
        <f>BJ$7*SUM($H46:BJ46)*Deposits!$Q$9</f>
        <v>0</v>
      </c>
      <c r="BK89" s="151">
        <f>BK$7*SUM($H46:BK46)*Deposits!$Q$9</f>
        <v>0</v>
      </c>
      <c r="BL89" s="151">
        <f>BL$7*SUM($H46:BL46)*Deposits!$Q$9</f>
        <v>0</v>
      </c>
      <c r="BM89" s="151">
        <f>BM$7*SUM($H46:BM46)*Deposits!$Q$9</f>
        <v>0</v>
      </c>
      <c r="BN89" s="151">
        <f>BN$7*SUM($H46:BN46)*Deposits!$Q$9</f>
        <v>0</v>
      </c>
      <c r="BO89" s="151">
        <f>BO$7*SUM($H46:BO46)*Deposits!$Q$9</f>
        <v>0</v>
      </c>
      <c r="BP89" s="151">
        <f>BP$7*SUM($H46:BP46)*Deposits!$Q$9</f>
        <v>0</v>
      </c>
    </row>
    <row r="90" spans="3:68" x14ac:dyDescent="0.25">
      <c r="C90" s="228" t="str">
        <f t="shared" si="48"/>
        <v>Teljesítési biztosíték</v>
      </c>
      <c r="D90" t="s">
        <v>125</v>
      </c>
      <c r="E90" s="151"/>
      <c r="F90" s="151"/>
      <c r="G90" s="151">
        <f t="shared" si="49"/>
        <v>0</v>
      </c>
      <c r="H90" s="151">
        <f>H$7*SUM($H47:H47)*Deposits!$Q$10</f>
        <v>0</v>
      </c>
      <c r="I90" s="151">
        <f>I$7*SUM($H47:I47)*Deposits!$Q$10</f>
        <v>0</v>
      </c>
      <c r="J90" s="151">
        <f>J$7*SUM($H47:J47)*Deposits!$Q$10</f>
        <v>0</v>
      </c>
      <c r="K90" s="151">
        <f>K$7*SUM($H47:K47)*Deposits!$Q$10</f>
        <v>0</v>
      </c>
      <c r="L90" s="151">
        <f>L$7*SUM($H47:L47)*Deposits!$Q$10</f>
        <v>0</v>
      </c>
      <c r="M90" s="151">
        <f>M$7*SUM($H47:M47)*Deposits!$Q$10</f>
        <v>0</v>
      </c>
      <c r="N90" s="151">
        <f>N$7*SUM($H47:N47)*Deposits!$Q$10</f>
        <v>0</v>
      </c>
      <c r="O90" s="151">
        <f>O$7*SUM($H47:O47)*Deposits!$Q$10</f>
        <v>0</v>
      </c>
      <c r="P90" s="151">
        <f>P$7*SUM($H47:P47)*Deposits!$Q$10</f>
        <v>0</v>
      </c>
      <c r="Q90" s="151">
        <f>Q$7*SUM($H47:Q47)*Deposits!$Q$10</f>
        <v>0</v>
      </c>
      <c r="R90" s="151">
        <f>R$7*SUM($H47:R47)*Deposits!$Q$10</f>
        <v>0</v>
      </c>
      <c r="S90" s="151">
        <f>S$7*SUM($H47:S47)*Deposits!$Q$10</f>
        <v>0</v>
      </c>
      <c r="T90" s="151">
        <f>T$7*SUM($H47:T47)*Deposits!$Q$10</f>
        <v>0</v>
      </c>
      <c r="U90" s="151">
        <f>U$7*SUM($H47:U47)*Deposits!$Q$10</f>
        <v>0</v>
      </c>
      <c r="V90" s="151">
        <f>V$7*SUM($H47:V47)*Deposits!$Q$10</f>
        <v>0</v>
      </c>
      <c r="W90" s="151">
        <f>W$7*SUM($H47:W47)*Deposits!$Q$10</f>
        <v>0</v>
      </c>
      <c r="X90" s="151">
        <f>X$7*SUM($H47:X47)*Deposits!$Q$10</f>
        <v>0</v>
      </c>
      <c r="Y90" s="151">
        <f>Y$7*SUM($H47:Y47)*Deposits!$Q$10</f>
        <v>0</v>
      </c>
      <c r="Z90" s="151">
        <f>Z$7*SUM($H47:Z47)*Deposits!$Q$10</f>
        <v>0</v>
      </c>
      <c r="AA90" s="151">
        <f>AA$7*SUM($H47:AA47)*Deposits!$Q$10</f>
        <v>0</v>
      </c>
      <c r="AB90" s="151">
        <f>AB$7*SUM($H47:AB47)*Deposits!$Q$10</f>
        <v>0</v>
      </c>
      <c r="AC90" s="151">
        <f>AC$7*SUM($H47:AC47)*Deposits!$Q$10</f>
        <v>0</v>
      </c>
      <c r="AD90" s="151">
        <f>AD$7*SUM($H47:AD47)*Deposits!$Q$10</f>
        <v>0</v>
      </c>
      <c r="AE90" s="151">
        <f>AE$7*SUM($H47:AE47)*Deposits!$Q$10</f>
        <v>0</v>
      </c>
      <c r="AF90" s="151">
        <f>AF$7*SUM($H47:AF47)*Deposits!$Q$10</f>
        <v>0</v>
      </c>
      <c r="AG90" s="151">
        <f>AG$7*SUM($H47:AG47)*Deposits!$Q$10</f>
        <v>0</v>
      </c>
      <c r="AH90" s="151">
        <f>AH$7*SUM($H47:AH47)*Deposits!$Q$10</f>
        <v>0</v>
      </c>
      <c r="AI90" s="151">
        <f>AI$7*SUM($H47:AI47)*Deposits!$Q$10</f>
        <v>0</v>
      </c>
      <c r="AJ90" s="151">
        <f>AJ$7*SUM($H47:AJ47)*Deposits!$Q$10</f>
        <v>0</v>
      </c>
      <c r="AK90" s="151">
        <f>AK$7*SUM($H47:AK47)*Deposits!$Q$10</f>
        <v>0</v>
      </c>
      <c r="AL90" s="151">
        <f>AL$7*SUM($H47:AL47)*Deposits!$Q$10</f>
        <v>0</v>
      </c>
      <c r="AM90" s="151">
        <f>AM$7*SUM($H47:AM47)*Deposits!$Q$10</f>
        <v>0</v>
      </c>
      <c r="AN90" s="151">
        <f>AN$7*SUM($H47:AN47)*Deposits!$Q$10</f>
        <v>0</v>
      </c>
      <c r="AO90" s="151">
        <f>AO$7*SUM($H47:AO47)*Deposits!$Q$10</f>
        <v>0</v>
      </c>
      <c r="AP90" s="151">
        <f>AP$7*SUM($H47:AP47)*Deposits!$Q$10</f>
        <v>0</v>
      </c>
      <c r="AQ90" s="151">
        <f>AQ$7*SUM($H47:AQ47)*Deposits!$Q$10</f>
        <v>0</v>
      </c>
      <c r="AR90" s="151">
        <f>AR$7*SUM($H47:AR47)*Deposits!$Q$10</f>
        <v>0</v>
      </c>
      <c r="AS90" s="151">
        <f>AS$7*SUM($H47:AS47)*Deposits!$Q$10</f>
        <v>0</v>
      </c>
      <c r="AT90" s="151">
        <f>AT$7*SUM($H47:AT47)*Deposits!$Q$10</f>
        <v>0</v>
      </c>
      <c r="AU90" s="151">
        <f>AU$7*SUM($H47:AU47)*Deposits!$Q$10</f>
        <v>0</v>
      </c>
      <c r="AV90" s="151">
        <f>AV$7*SUM($H47:AV47)*Deposits!$Q$10</f>
        <v>0</v>
      </c>
      <c r="AW90" s="151">
        <f>AW$7*SUM($H47:AW47)*Deposits!$Q$10</f>
        <v>0</v>
      </c>
      <c r="AX90" s="151">
        <f>AX$7*SUM($H47:AX47)*Deposits!$Q$10</f>
        <v>0</v>
      </c>
      <c r="AY90" s="151">
        <f>AY$7*SUM($H47:AY47)*Deposits!$Q$10</f>
        <v>0</v>
      </c>
      <c r="AZ90" s="151">
        <f>AZ$7*SUM($H47:AZ47)*Deposits!$Q$10</f>
        <v>0</v>
      </c>
      <c r="BA90" s="151">
        <f>BA$7*SUM($H47:BA47)*Deposits!$Q$10</f>
        <v>0</v>
      </c>
      <c r="BB90" s="151">
        <f>BB$7*SUM($H47:BB47)*Deposits!$Q$10</f>
        <v>0</v>
      </c>
      <c r="BC90" s="151">
        <f>BC$7*SUM($H47:BC47)*Deposits!$Q$10</f>
        <v>0</v>
      </c>
      <c r="BD90" s="151">
        <f>BD$7*SUM($H47:BD47)*Deposits!$Q$10</f>
        <v>0</v>
      </c>
      <c r="BE90" s="151">
        <f>BE$7*SUM($H47:BE47)*Deposits!$Q$10</f>
        <v>0</v>
      </c>
      <c r="BF90" s="151">
        <f>BF$7*SUM($H47:BF47)*Deposits!$Q$10</f>
        <v>0</v>
      </c>
      <c r="BG90" s="151">
        <f>BG$7*SUM($H47:BG47)*Deposits!$Q$10</f>
        <v>0</v>
      </c>
      <c r="BH90" s="151">
        <f>BH$7*SUM($H47:BH47)*Deposits!$Q$10</f>
        <v>0</v>
      </c>
      <c r="BI90" s="151">
        <f>BI$7*SUM($H47:BI47)*Deposits!$Q$10</f>
        <v>0</v>
      </c>
      <c r="BJ90" s="151">
        <f>BJ$7*SUM($H47:BJ47)*Deposits!$Q$10</f>
        <v>0</v>
      </c>
      <c r="BK90" s="151">
        <f>BK$7*SUM($H47:BK47)*Deposits!$Q$10</f>
        <v>0</v>
      </c>
      <c r="BL90" s="151">
        <f>BL$7*SUM($H47:BL47)*Deposits!$Q$10</f>
        <v>0</v>
      </c>
      <c r="BM90" s="151">
        <f>BM$7*SUM($H47:BM47)*Deposits!$Q$10</f>
        <v>0</v>
      </c>
      <c r="BN90" s="151">
        <f>BN$7*SUM($H47:BN47)*Deposits!$Q$10</f>
        <v>0</v>
      </c>
      <c r="BO90" s="151">
        <f>BO$7*SUM($H47:BO47)*Deposits!$Q$10</f>
        <v>0</v>
      </c>
      <c r="BP90" s="151">
        <f>BP$7*SUM($H47:BP47)*Deposits!$Q$10</f>
        <v>0</v>
      </c>
    </row>
    <row r="91" spans="3:68" x14ac:dyDescent="0.25">
      <c r="C91" s="228" t="str">
        <f t="shared" si="48"/>
        <v>Igénybejelentési biztosíték</v>
      </c>
      <c r="D91" t="s">
        <v>125</v>
      </c>
      <c r="E91" s="151"/>
      <c r="F91" s="151"/>
      <c r="G91" s="151">
        <f t="shared" si="49"/>
        <v>1232.8767123287671</v>
      </c>
      <c r="H91" s="151">
        <f>H$7*SUM($H48:H48)*Deposits!$Q$11</f>
        <v>0</v>
      </c>
      <c r="I91" s="151">
        <f>I$7*SUM($H48:I48)*Deposits!$Q$11</f>
        <v>0</v>
      </c>
      <c r="J91" s="151">
        <f>J$7*SUM($H48:J48)*Deposits!$Q$11</f>
        <v>0</v>
      </c>
      <c r="K91" s="151">
        <f>K$7*SUM($H48:K48)*Deposits!$Q$11</f>
        <v>0</v>
      </c>
      <c r="L91" s="151">
        <f>L$7*SUM($H48:L48)*Deposits!$Q$11</f>
        <v>0</v>
      </c>
      <c r="M91" s="151">
        <f>M$7*SUM($H48:M48)*Deposits!$Q$11</f>
        <v>0</v>
      </c>
      <c r="N91" s="151">
        <f>N$7*SUM($H48:N48)*Deposits!$Q$11</f>
        <v>0</v>
      </c>
      <c r="O91" s="151">
        <f>O$7*SUM($H48:O48)*Deposits!$Q$11</f>
        <v>0</v>
      </c>
      <c r="P91" s="151">
        <f>P$7*SUM($H48:P48)*Deposits!$Q$11</f>
        <v>0</v>
      </c>
      <c r="Q91" s="151">
        <f>Q$7*SUM($H48:Q48)*Deposits!$Q$11</f>
        <v>0</v>
      </c>
      <c r="R91" s="151">
        <f>R$7*SUM($H48:R48)*Deposits!$Q$11</f>
        <v>0</v>
      </c>
      <c r="S91" s="151">
        <f>S$7*SUM($H48:S48)*Deposits!$Q$11</f>
        <v>0</v>
      </c>
      <c r="T91" s="151">
        <f>T$7*SUM($H48:T48)*Deposits!$Q$11</f>
        <v>0</v>
      </c>
      <c r="U91" s="151">
        <f>U$7*SUM($H48:U48)*Deposits!$Q$11</f>
        <v>0</v>
      </c>
      <c r="V91" s="151">
        <f>V$7*SUM($H48:V48)*Deposits!$Q$11</f>
        <v>0</v>
      </c>
      <c r="W91" s="151">
        <f>W$7*SUM($H48:W48)*Deposits!$Q$11</f>
        <v>0</v>
      </c>
      <c r="X91" s="151">
        <f>X$7*SUM($H48:X48)*Deposits!$Q$11</f>
        <v>0</v>
      </c>
      <c r="Y91" s="151">
        <f>Y$7*SUM($H48:Y48)*Deposits!$Q$11</f>
        <v>0</v>
      </c>
      <c r="Z91" s="151">
        <f>Z$7*SUM($H48:Z48)*Deposits!$Q$11</f>
        <v>0</v>
      </c>
      <c r="AA91" s="151">
        <f>AA$7*SUM($H48:AA48)*Deposits!$Q$11</f>
        <v>0</v>
      </c>
      <c r="AB91" s="151">
        <f>AB$7*SUM($H48:AB48)*Deposits!$Q$11</f>
        <v>0</v>
      </c>
      <c r="AC91" s="151">
        <f>AC$7*SUM($H48:AC48)*Deposits!$Q$11</f>
        <v>0</v>
      </c>
      <c r="AD91" s="151">
        <f>AD$7*SUM($H48:AD48)*Deposits!$Q$11</f>
        <v>0</v>
      </c>
      <c r="AE91" s="151">
        <f>AE$7*SUM($H48:AE48)*Deposits!$Q$11</f>
        <v>0</v>
      </c>
      <c r="AF91" s="151">
        <f>AF$7*SUM($H48:AF48)*Deposits!$Q$11</f>
        <v>0</v>
      </c>
      <c r="AG91" s="151">
        <f>AG$7*SUM($H48:AG48)*Deposits!$Q$11</f>
        <v>0</v>
      </c>
      <c r="AH91" s="151">
        <f>AH$7*SUM($H48:AH48)*Deposits!$Q$11</f>
        <v>0</v>
      </c>
      <c r="AI91" s="151">
        <f>AI$7*SUM($H48:AI48)*Deposits!$Q$11</f>
        <v>0</v>
      </c>
      <c r="AJ91" s="151">
        <f>AJ$7*SUM($H48:AJ48)*Deposits!$Q$11</f>
        <v>0</v>
      </c>
      <c r="AK91" s="151">
        <f>AK$7*SUM($H48:AK48)*Deposits!$Q$11</f>
        <v>0</v>
      </c>
      <c r="AL91" s="151">
        <f>AL$7*SUM($H48:AL48)*Deposits!$Q$11</f>
        <v>0</v>
      </c>
      <c r="AM91" s="151">
        <f>AM$7*SUM($H48:AM48)*Deposits!$Q$11</f>
        <v>0</v>
      </c>
      <c r="AN91" s="151">
        <f>AN$7*SUM($H48:AN48)*Deposits!$Q$11</f>
        <v>0</v>
      </c>
      <c r="AO91" s="151">
        <f>AO$7*SUM($H48:AO48)*Deposits!$Q$11</f>
        <v>0</v>
      </c>
      <c r="AP91" s="151">
        <f>AP$7*SUM($H48:AP48)*Deposits!$Q$11</f>
        <v>0</v>
      </c>
      <c r="AQ91" s="151">
        <f>AQ$7*SUM($H48:AQ48)*Deposits!$Q$11</f>
        <v>0</v>
      </c>
      <c r="AR91" s="151">
        <f>AR$7*SUM($H48:AR48)*Deposits!$Q$11</f>
        <v>0</v>
      </c>
      <c r="AS91" s="151">
        <f>AS$7*SUM($H48:AS48)*Deposits!$Q$11</f>
        <v>0</v>
      </c>
      <c r="AT91" s="151">
        <f>AT$7*SUM($H48:AT48)*Deposits!$Q$11</f>
        <v>1232.8767123287671</v>
      </c>
      <c r="AU91" s="151">
        <f>AU$7*SUM($H48:AU48)*Deposits!$Q$11</f>
        <v>0</v>
      </c>
      <c r="AV91" s="151">
        <f>AV$7*SUM($H48:AV48)*Deposits!$Q$11</f>
        <v>0</v>
      </c>
      <c r="AW91" s="151">
        <f>AW$7*SUM($H48:AW48)*Deposits!$Q$11</f>
        <v>0</v>
      </c>
      <c r="AX91" s="151">
        <f>AX$7*SUM($H48:AX48)*Deposits!$Q$11</f>
        <v>0</v>
      </c>
      <c r="AY91" s="151">
        <f>AY$7*SUM($H48:AY48)*Deposits!$Q$11</f>
        <v>0</v>
      </c>
      <c r="AZ91" s="151">
        <f>AZ$7*SUM($H48:AZ48)*Deposits!$Q$11</f>
        <v>0</v>
      </c>
      <c r="BA91" s="151">
        <f>BA$7*SUM($H48:BA48)*Deposits!$Q$11</f>
        <v>0</v>
      </c>
      <c r="BB91" s="151">
        <f>BB$7*SUM($H48:BB48)*Deposits!$Q$11</f>
        <v>0</v>
      </c>
      <c r="BC91" s="151">
        <f>BC$7*SUM($H48:BC48)*Deposits!$Q$11</f>
        <v>0</v>
      </c>
      <c r="BD91" s="151">
        <f>BD$7*SUM($H48:BD48)*Deposits!$Q$11</f>
        <v>0</v>
      </c>
      <c r="BE91" s="151">
        <f>BE$7*SUM($H48:BE48)*Deposits!$Q$11</f>
        <v>0</v>
      </c>
      <c r="BF91" s="151">
        <f>BF$7*SUM($H48:BF48)*Deposits!$Q$11</f>
        <v>0</v>
      </c>
      <c r="BG91" s="151">
        <f>BG$7*SUM($H48:BG48)*Deposits!$Q$11</f>
        <v>0</v>
      </c>
      <c r="BH91" s="151">
        <f>BH$7*SUM($H48:BH48)*Deposits!$Q$11</f>
        <v>0</v>
      </c>
      <c r="BI91" s="151">
        <f>BI$7*SUM($H48:BI48)*Deposits!$Q$11</f>
        <v>0</v>
      </c>
      <c r="BJ91" s="151">
        <f>BJ$7*SUM($H48:BJ48)*Deposits!$Q$11</f>
        <v>0</v>
      </c>
      <c r="BK91" s="151">
        <f>BK$7*SUM($H48:BK48)*Deposits!$Q$11</f>
        <v>0</v>
      </c>
      <c r="BL91" s="151">
        <f>BL$7*SUM($H48:BL48)*Deposits!$Q$11</f>
        <v>0</v>
      </c>
      <c r="BM91" s="151">
        <f>BM$7*SUM($H48:BM48)*Deposits!$Q$11</f>
        <v>0</v>
      </c>
      <c r="BN91" s="151">
        <f>BN$7*SUM($H48:BN48)*Deposits!$Q$11</f>
        <v>0</v>
      </c>
      <c r="BO91" s="151">
        <f>BO$7*SUM($H48:BO48)*Deposits!$Q$11</f>
        <v>0</v>
      </c>
      <c r="BP91" s="151">
        <f>BP$7*SUM($H48:BP48)*Deposits!$Q$11</f>
        <v>0</v>
      </c>
    </row>
    <row r="92" spans="3:68" x14ac:dyDescent="0.25">
      <c r="C92" s="228" t="str">
        <f t="shared" si="48"/>
        <v>Csatlakozási díj – közvetlen</v>
      </c>
      <c r="D92" t="s">
        <v>125</v>
      </c>
      <c r="E92" s="151"/>
      <c r="F92" s="151"/>
      <c r="G92" s="151">
        <f t="shared" si="49"/>
        <v>696.36411506849311</v>
      </c>
      <c r="H92" s="151">
        <f>H$7*SUM($H49:H49)*Deposits!$Q$12</f>
        <v>0</v>
      </c>
      <c r="I92" s="151">
        <f>I$7*SUM($H49:I49)*Deposits!$Q$12</f>
        <v>0</v>
      </c>
      <c r="J92" s="151">
        <f>J$7*SUM($H49:J49)*Deposits!$Q$12</f>
        <v>0</v>
      </c>
      <c r="K92" s="151">
        <f>K$7*SUM($H49:K49)*Deposits!$Q$12</f>
        <v>0</v>
      </c>
      <c r="L92" s="151">
        <f>L$7*SUM($H49:L49)*Deposits!$Q$12</f>
        <v>0</v>
      </c>
      <c r="M92" s="151">
        <f>M$7*SUM($H49:M49)*Deposits!$Q$12</f>
        <v>0</v>
      </c>
      <c r="N92" s="151">
        <f>N$7*SUM($H49:N49)*Deposits!$Q$12</f>
        <v>0</v>
      </c>
      <c r="O92" s="151">
        <f>O$7*SUM($H49:O49)*Deposits!$Q$12</f>
        <v>0</v>
      </c>
      <c r="P92" s="151">
        <f>P$7*SUM($H49:P49)*Deposits!$Q$12</f>
        <v>0</v>
      </c>
      <c r="Q92" s="151">
        <f>Q$7*SUM($H49:Q49)*Deposits!$Q$12</f>
        <v>0</v>
      </c>
      <c r="R92" s="151">
        <f>R$7*SUM($H49:R49)*Deposits!$Q$12</f>
        <v>0</v>
      </c>
      <c r="S92" s="151">
        <f>S$7*SUM($H49:S49)*Deposits!$Q$12</f>
        <v>0</v>
      </c>
      <c r="T92" s="151">
        <f>T$7*SUM($H49:T49)*Deposits!$Q$12</f>
        <v>0</v>
      </c>
      <c r="U92" s="151">
        <f>U$7*SUM($H49:U49)*Deposits!$Q$12</f>
        <v>0</v>
      </c>
      <c r="V92" s="151">
        <f>V$7*SUM($H49:V49)*Deposits!$Q$12</f>
        <v>0</v>
      </c>
      <c r="W92" s="151">
        <f>W$7*SUM($H49:W49)*Deposits!$Q$12</f>
        <v>0</v>
      </c>
      <c r="X92" s="151">
        <f>X$7*SUM($H49:X49)*Deposits!$Q$12</f>
        <v>0</v>
      </c>
      <c r="Y92" s="151">
        <f>Y$7*SUM($H49:Y49)*Deposits!$Q$12</f>
        <v>0</v>
      </c>
      <c r="Z92" s="151">
        <f>Z$7*SUM($H49:Z49)*Deposits!$Q$12</f>
        <v>0</v>
      </c>
      <c r="AA92" s="151">
        <f>AA$7*SUM($H49:AA49)*Deposits!$Q$12</f>
        <v>0</v>
      </c>
      <c r="AB92" s="151">
        <f>AB$7*SUM($H49:AB49)*Deposits!$Q$12</f>
        <v>0</v>
      </c>
      <c r="AC92" s="151">
        <f>AC$7*SUM($H49:AC49)*Deposits!$Q$12</f>
        <v>0</v>
      </c>
      <c r="AD92" s="151">
        <f>AD$7*SUM($H49:AD49)*Deposits!$Q$12</f>
        <v>0</v>
      </c>
      <c r="AE92" s="151">
        <f>AE$7*SUM($H49:AE49)*Deposits!$Q$12</f>
        <v>0</v>
      </c>
      <c r="AF92" s="151">
        <f>AF$7*SUM($H49:AF49)*Deposits!$Q$12</f>
        <v>0</v>
      </c>
      <c r="AG92" s="151">
        <f>AG$7*SUM($H49:AG49)*Deposits!$Q$12</f>
        <v>0</v>
      </c>
      <c r="AH92" s="151">
        <f>AH$7*SUM($H49:AH49)*Deposits!$Q$12</f>
        <v>0</v>
      </c>
      <c r="AI92" s="151">
        <f>AI$7*SUM($H49:AI49)*Deposits!$Q$12</f>
        <v>0</v>
      </c>
      <c r="AJ92" s="151">
        <f>AJ$7*SUM($H49:AJ49)*Deposits!$Q$12</f>
        <v>0</v>
      </c>
      <c r="AK92" s="151">
        <f>AK$7*SUM($H49:AK49)*Deposits!$Q$12</f>
        <v>0</v>
      </c>
      <c r="AL92" s="151">
        <f>AL$7*SUM($H49:AL49)*Deposits!$Q$12</f>
        <v>0</v>
      </c>
      <c r="AM92" s="151">
        <f>AM$7*SUM($H49:AM49)*Deposits!$Q$12</f>
        <v>0</v>
      </c>
      <c r="AN92" s="151">
        <f>AN$7*SUM($H49:AN49)*Deposits!$Q$12</f>
        <v>0</v>
      </c>
      <c r="AO92" s="151">
        <f>AO$7*SUM($H49:AO49)*Deposits!$Q$12</f>
        <v>0</v>
      </c>
      <c r="AP92" s="151">
        <f>AP$7*SUM($H49:AP49)*Deposits!$Q$12</f>
        <v>0</v>
      </c>
      <c r="AQ92" s="151">
        <f>AQ$7*SUM($H49:AQ49)*Deposits!$Q$12</f>
        <v>0</v>
      </c>
      <c r="AR92" s="151">
        <f>AR$7*SUM($H49:AR49)*Deposits!$Q$12</f>
        <v>0</v>
      </c>
      <c r="AS92" s="151">
        <f>AS$7*SUM($H49:AS49)*Deposits!$Q$12</f>
        <v>0</v>
      </c>
      <c r="AT92" s="151">
        <f>AT$7*SUM($H49:AT49)*Deposits!$Q$12</f>
        <v>696.36411506849311</v>
      </c>
      <c r="AU92" s="151">
        <f>AU$7*SUM($H49:AU49)*Deposits!$Q$12</f>
        <v>0</v>
      </c>
      <c r="AV92" s="151">
        <f>AV$7*SUM($H49:AV49)*Deposits!$Q$12</f>
        <v>0</v>
      </c>
      <c r="AW92" s="151">
        <f>AW$7*SUM($H49:AW49)*Deposits!$Q$12</f>
        <v>0</v>
      </c>
      <c r="AX92" s="151">
        <f>AX$7*SUM($H49:AX49)*Deposits!$Q$12</f>
        <v>0</v>
      </c>
      <c r="AY92" s="151">
        <f>AY$7*SUM($H49:AY49)*Deposits!$Q$12</f>
        <v>0</v>
      </c>
      <c r="AZ92" s="151">
        <f>AZ$7*SUM($H49:AZ49)*Deposits!$Q$12</f>
        <v>0</v>
      </c>
      <c r="BA92" s="151">
        <f>BA$7*SUM($H49:BA49)*Deposits!$Q$12</f>
        <v>0</v>
      </c>
      <c r="BB92" s="151">
        <f>BB$7*SUM($H49:BB49)*Deposits!$Q$12</f>
        <v>0</v>
      </c>
      <c r="BC92" s="151">
        <f>BC$7*SUM($H49:BC49)*Deposits!$Q$12</f>
        <v>0</v>
      </c>
      <c r="BD92" s="151">
        <f>BD$7*SUM($H49:BD49)*Deposits!$Q$12</f>
        <v>0</v>
      </c>
      <c r="BE92" s="151">
        <f>BE$7*SUM($H49:BE49)*Deposits!$Q$12</f>
        <v>0</v>
      </c>
      <c r="BF92" s="151">
        <f>BF$7*SUM($H49:BF49)*Deposits!$Q$12</f>
        <v>0</v>
      </c>
      <c r="BG92" s="151">
        <f>BG$7*SUM($H49:BG49)*Deposits!$Q$12</f>
        <v>0</v>
      </c>
      <c r="BH92" s="151">
        <f>BH$7*SUM($H49:BH49)*Deposits!$Q$12</f>
        <v>0</v>
      </c>
      <c r="BI92" s="151">
        <f>BI$7*SUM($H49:BI49)*Deposits!$Q$12</f>
        <v>0</v>
      </c>
      <c r="BJ92" s="151">
        <f>BJ$7*SUM($H49:BJ49)*Deposits!$Q$12</f>
        <v>0</v>
      </c>
      <c r="BK92" s="151">
        <f>BK$7*SUM($H49:BK49)*Deposits!$Q$12</f>
        <v>0</v>
      </c>
      <c r="BL92" s="151">
        <f>BL$7*SUM($H49:BL49)*Deposits!$Q$12</f>
        <v>0</v>
      </c>
      <c r="BM92" s="151">
        <f>BM$7*SUM($H49:BM49)*Deposits!$Q$12</f>
        <v>0</v>
      </c>
      <c r="BN92" s="151">
        <f>BN$7*SUM($H49:BN49)*Deposits!$Q$12</f>
        <v>0</v>
      </c>
      <c r="BO92" s="151">
        <f>BO$7*SUM($H49:BO49)*Deposits!$Q$12</f>
        <v>0</v>
      </c>
      <c r="BP92" s="151">
        <f>BP$7*SUM($H49:BP49)*Deposits!$Q$12</f>
        <v>0</v>
      </c>
    </row>
    <row r="93" spans="3:68" x14ac:dyDescent="0.25">
      <c r="C93" s="228" t="str">
        <f t="shared" si="48"/>
        <v>Kiegészítő biztosíték 1. részlet</v>
      </c>
      <c r="D93" t="s">
        <v>125</v>
      </c>
      <c r="E93" s="151"/>
      <c r="F93" s="151"/>
      <c r="G93" s="151">
        <f t="shared" si="49"/>
        <v>0</v>
      </c>
      <c r="H93" s="151">
        <f>H$7*SUM($H50:H50)*Deposits!$Q$13</f>
        <v>0</v>
      </c>
      <c r="I93" s="151">
        <f>I$7*SUM($H50:I50)*Deposits!$Q$13</f>
        <v>0</v>
      </c>
      <c r="J93" s="151">
        <f>J$7*SUM($H50:J50)*Deposits!$Q$13</f>
        <v>0</v>
      </c>
      <c r="K93" s="151">
        <f>K$7*SUM($H50:K50)*Deposits!$Q$13</f>
        <v>0</v>
      </c>
      <c r="L93" s="151">
        <f>L$7*SUM($H50:L50)*Deposits!$Q$13</f>
        <v>0</v>
      </c>
      <c r="M93" s="151">
        <f>M$7*SUM($H50:M50)*Deposits!$Q$13</f>
        <v>0</v>
      </c>
      <c r="N93" s="151">
        <f>N$7*SUM($H50:N50)*Deposits!$Q$13</f>
        <v>0</v>
      </c>
      <c r="O93" s="151">
        <f>O$7*SUM($H50:O50)*Deposits!$Q$13</f>
        <v>0</v>
      </c>
      <c r="P93" s="151">
        <f>P$7*SUM($H50:P50)*Deposits!$Q$13</f>
        <v>0</v>
      </c>
      <c r="Q93" s="151">
        <f>Q$7*SUM($H50:Q50)*Deposits!$Q$13</f>
        <v>0</v>
      </c>
      <c r="R93" s="151">
        <f>R$7*SUM($H50:R50)*Deposits!$Q$13</f>
        <v>0</v>
      </c>
      <c r="S93" s="151">
        <f>S$7*SUM($H50:S50)*Deposits!$Q$13</f>
        <v>0</v>
      </c>
      <c r="T93" s="151">
        <f>T$7*SUM($H50:T50)*Deposits!$Q$13</f>
        <v>0</v>
      </c>
      <c r="U93" s="151">
        <f>U$7*SUM($H50:U50)*Deposits!$Q$13</f>
        <v>0</v>
      </c>
      <c r="V93" s="151">
        <f>V$7*SUM($H50:V50)*Deposits!$Q$13</f>
        <v>0</v>
      </c>
      <c r="W93" s="151">
        <f>W$7*SUM($H50:W50)*Deposits!$Q$13</f>
        <v>0</v>
      </c>
      <c r="X93" s="151">
        <f>X$7*SUM($H50:X50)*Deposits!$Q$13</f>
        <v>0</v>
      </c>
      <c r="Y93" s="151">
        <f>Y$7*SUM($H50:Y50)*Deposits!$Q$13</f>
        <v>0</v>
      </c>
      <c r="Z93" s="151">
        <f>Z$7*SUM($H50:Z50)*Deposits!$Q$13</f>
        <v>0</v>
      </c>
      <c r="AA93" s="151">
        <f>AA$7*SUM($H50:AA50)*Deposits!$Q$13</f>
        <v>0</v>
      </c>
      <c r="AB93" s="151">
        <f>AB$7*SUM($H50:AB50)*Deposits!$Q$13</f>
        <v>0</v>
      </c>
      <c r="AC93" s="151">
        <f>AC$7*SUM($H50:AC50)*Deposits!$Q$13</f>
        <v>0</v>
      </c>
      <c r="AD93" s="151">
        <f>AD$7*SUM($H50:AD50)*Deposits!$Q$13</f>
        <v>0</v>
      </c>
      <c r="AE93" s="151">
        <f>AE$7*SUM($H50:AE50)*Deposits!$Q$13</f>
        <v>0</v>
      </c>
      <c r="AF93" s="151">
        <f>AF$7*SUM($H50:AF50)*Deposits!$Q$13</f>
        <v>0</v>
      </c>
      <c r="AG93" s="151">
        <f>AG$7*SUM($H50:AG50)*Deposits!$Q$13</f>
        <v>0</v>
      </c>
      <c r="AH93" s="151">
        <f>AH$7*SUM($H50:AH50)*Deposits!$Q$13</f>
        <v>0</v>
      </c>
      <c r="AI93" s="151">
        <f>AI$7*SUM($H50:AI50)*Deposits!$Q$13</f>
        <v>0</v>
      </c>
      <c r="AJ93" s="151">
        <f>AJ$7*SUM($H50:AJ50)*Deposits!$Q$13</f>
        <v>0</v>
      </c>
      <c r="AK93" s="151">
        <f>AK$7*SUM($H50:AK50)*Deposits!$Q$13</f>
        <v>0</v>
      </c>
      <c r="AL93" s="151">
        <f>AL$7*SUM($H50:AL50)*Deposits!$Q$13</f>
        <v>0</v>
      </c>
      <c r="AM93" s="151">
        <f>AM$7*SUM($H50:AM50)*Deposits!$Q$13</f>
        <v>0</v>
      </c>
      <c r="AN93" s="151">
        <f>AN$7*SUM($H50:AN50)*Deposits!$Q$13</f>
        <v>0</v>
      </c>
      <c r="AO93" s="151">
        <f>AO$7*SUM($H50:AO50)*Deposits!$Q$13</f>
        <v>0</v>
      </c>
      <c r="AP93" s="151">
        <f>AP$7*SUM($H50:AP50)*Deposits!$Q$13</f>
        <v>0</v>
      </c>
      <c r="AQ93" s="151">
        <f>AQ$7*SUM($H50:AQ50)*Deposits!$Q$13</f>
        <v>0</v>
      </c>
      <c r="AR93" s="151">
        <f>AR$7*SUM($H50:AR50)*Deposits!$Q$13</f>
        <v>0</v>
      </c>
      <c r="AS93" s="151">
        <f>AS$7*SUM($H50:AS50)*Deposits!$Q$13</f>
        <v>0</v>
      </c>
      <c r="AT93" s="151">
        <f>AT$7*SUM($H50:AT50)*Deposits!$Q$13</f>
        <v>0</v>
      </c>
      <c r="AU93" s="151">
        <f>AU$7*SUM($H50:AU50)*Deposits!$Q$13</f>
        <v>0</v>
      </c>
      <c r="AV93" s="151">
        <f>AV$7*SUM($H50:AV50)*Deposits!$Q$13</f>
        <v>0</v>
      </c>
      <c r="AW93" s="151">
        <f>AW$7*SUM($H50:AW50)*Deposits!$Q$13</f>
        <v>0</v>
      </c>
      <c r="AX93" s="151">
        <f>AX$7*SUM($H50:AX50)*Deposits!$Q$13</f>
        <v>0</v>
      </c>
      <c r="AY93" s="151">
        <f>AY$7*SUM($H50:AY50)*Deposits!$Q$13</f>
        <v>0</v>
      </c>
      <c r="AZ93" s="151">
        <f>AZ$7*SUM($H50:AZ50)*Deposits!$Q$13</f>
        <v>0</v>
      </c>
      <c r="BA93" s="151">
        <f>BA$7*SUM($H50:BA50)*Deposits!$Q$13</f>
        <v>0</v>
      </c>
      <c r="BB93" s="151">
        <f>BB$7*SUM($H50:BB50)*Deposits!$Q$13</f>
        <v>0</v>
      </c>
      <c r="BC93" s="151">
        <f>BC$7*SUM($H50:BC50)*Deposits!$Q$13</f>
        <v>0</v>
      </c>
      <c r="BD93" s="151">
        <f>BD$7*SUM($H50:BD50)*Deposits!$Q$13</f>
        <v>0</v>
      </c>
      <c r="BE93" s="151">
        <f>BE$7*SUM($H50:BE50)*Deposits!$Q$13</f>
        <v>0</v>
      </c>
      <c r="BF93" s="151">
        <f>BF$7*SUM($H50:BF50)*Deposits!$Q$13</f>
        <v>0</v>
      </c>
      <c r="BG93" s="151">
        <f>BG$7*SUM($H50:BG50)*Deposits!$Q$13</f>
        <v>0</v>
      </c>
      <c r="BH93" s="151">
        <f>BH$7*SUM($H50:BH50)*Deposits!$Q$13</f>
        <v>0</v>
      </c>
      <c r="BI93" s="151">
        <f>BI$7*SUM($H50:BI50)*Deposits!$Q$13</f>
        <v>0</v>
      </c>
      <c r="BJ93" s="151">
        <f>BJ$7*SUM($H50:BJ50)*Deposits!$Q$13</f>
        <v>0</v>
      </c>
      <c r="BK93" s="151">
        <f>BK$7*SUM($H50:BK50)*Deposits!$Q$13</f>
        <v>0</v>
      </c>
      <c r="BL93" s="151">
        <f>BL$7*SUM($H50:BL50)*Deposits!$Q$13</f>
        <v>0</v>
      </c>
      <c r="BM93" s="151">
        <f>BM$7*SUM($H50:BM50)*Deposits!$Q$13</f>
        <v>0</v>
      </c>
      <c r="BN93" s="151">
        <f>BN$7*SUM($H50:BN50)*Deposits!$Q$13</f>
        <v>0</v>
      </c>
      <c r="BO93" s="151">
        <f>BO$7*SUM($H50:BO50)*Deposits!$Q$13</f>
        <v>0</v>
      </c>
      <c r="BP93" s="151">
        <f>BP$7*SUM($H50:BP50)*Deposits!$Q$13</f>
        <v>0</v>
      </c>
    </row>
    <row r="94" spans="3:68" x14ac:dyDescent="0.25">
      <c r="C94" s="228" t="str">
        <f t="shared" si="48"/>
        <v>Kiegészítő biztosíték 2. részlet</v>
      </c>
      <c r="D94" t="s">
        <v>125</v>
      </c>
      <c r="E94" s="151"/>
      <c r="F94" s="151"/>
      <c r="G94" s="151">
        <f t="shared" si="49"/>
        <v>0</v>
      </c>
      <c r="H94" s="151">
        <f>H$7*SUM($H51:H51)*Deposits!$Q$14</f>
        <v>0</v>
      </c>
      <c r="I94" s="151">
        <f>I$7*SUM($H51:I51)*Deposits!$Q$14</f>
        <v>0</v>
      </c>
      <c r="J94" s="151">
        <f>J$7*SUM($H51:J51)*Deposits!$Q$14</f>
        <v>0</v>
      </c>
      <c r="K94" s="151">
        <f>K$7*SUM($H51:K51)*Deposits!$Q$14</f>
        <v>0</v>
      </c>
      <c r="L94" s="151">
        <f>L$7*SUM($H51:L51)*Deposits!$Q$14</f>
        <v>0</v>
      </c>
      <c r="M94" s="151">
        <f>M$7*SUM($H51:M51)*Deposits!$Q$14</f>
        <v>0</v>
      </c>
      <c r="N94" s="151">
        <f>N$7*SUM($H51:N51)*Deposits!$Q$14</f>
        <v>0</v>
      </c>
      <c r="O94" s="151">
        <f>O$7*SUM($H51:O51)*Deposits!$Q$14</f>
        <v>0</v>
      </c>
      <c r="P94" s="151">
        <f>P$7*SUM($H51:P51)*Deposits!$Q$14</f>
        <v>0</v>
      </c>
      <c r="Q94" s="151">
        <f>Q$7*SUM($H51:Q51)*Deposits!$Q$14</f>
        <v>0</v>
      </c>
      <c r="R94" s="151">
        <f>R$7*SUM($H51:R51)*Deposits!$Q$14</f>
        <v>0</v>
      </c>
      <c r="S94" s="151">
        <f>S$7*SUM($H51:S51)*Deposits!$Q$14</f>
        <v>0</v>
      </c>
      <c r="T94" s="151">
        <f>T$7*SUM($H51:T51)*Deposits!$Q$14</f>
        <v>0</v>
      </c>
      <c r="U94" s="151">
        <f>U$7*SUM($H51:U51)*Deposits!$Q$14</f>
        <v>0</v>
      </c>
      <c r="V94" s="151">
        <f>V$7*SUM($H51:V51)*Deposits!$Q$14</f>
        <v>0</v>
      </c>
      <c r="W94" s="151">
        <f>W$7*SUM($H51:W51)*Deposits!$Q$14</f>
        <v>0</v>
      </c>
      <c r="X94" s="151">
        <f>X$7*SUM($H51:X51)*Deposits!$Q$14</f>
        <v>0</v>
      </c>
      <c r="Y94" s="151">
        <f>Y$7*SUM($H51:Y51)*Deposits!$Q$14</f>
        <v>0</v>
      </c>
      <c r="Z94" s="151">
        <f>Z$7*SUM($H51:Z51)*Deposits!$Q$14</f>
        <v>0</v>
      </c>
      <c r="AA94" s="151">
        <f>AA$7*SUM($H51:AA51)*Deposits!$Q$14</f>
        <v>0</v>
      </c>
      <c r="AB94" s="151">
        <f>AB$7*SUM($H51:AB51)*Deposits!$Q$14</f>
        <v>0</v>
      </c>
      <c r="AC94" s="151">
        <f>AC$7*SUM($H51:AC51)*Deposits!$Q$14</f>
        <v>0</v>
      </c>
      <c r="AD94" s="151">
        <f>AD$7*SUM($H51:AD51)*Deposits!$Q$14</f>
        <v>0</v>
      </c>
      <c r="AE94" s="151">
        <f>AE$7*SUM($H51:AE51)*Deposits!$Q$14</f>
        <v>0</v>
      </c>
      <c r="AF94" s="151">
        <f>AF$7*SUM($H51:AF51)*Deposits!$Q$14</f>
        <v>0</v>
      </c>
      <c r="AG94" s="151">
        <f>AG$7*SUM($H51:AG51)*Deposits!$Q$14</f>
        <v>0</v>
      </c>
      <c r="AH94" s="151">
        <f>AH$7*SUM($H51:AH51)*Deposits!$Q$14</f>
        <v>0</v>
      </c>
      <c r="AI94" s="151">
        <f>AI$7*SUM($H51:AI51)*Deposits!$Q$14</f>
        <v>0</v>
      </c>
      <c r="AJ94" s="151">
        <f>AJ$7*SUM($H51:AJ51)*Deposits!$Q$14</f>
        <v>0</v>
      </c>
      <c r="AK94" s="151">
        <f>AK$7*SUM($H51:AK51)*Deposits!$Q$14</f>
        <v>0</v>
      </c>
      <c r="AL94" s="151">
        <f>AL$7*SUM($H51:AL51)*Deposits!$Q$14</f>
        <v>0</v>
      </c>
      <c r="AM94" s="151">
        <f>AM$7*SUM($H51:AM51)*Deposits!$Q$14</f>
        <v>0</v>
      </c>
      <c r="AN94" s="151">
        <f>AN$7*SUM($H51:AN51)*Deposits!$Q$14</f>
        <v>0</v>
      </c>
      <c r="AO94" s="151">
        <f>AO$7*SUM($H51:AO51)*Deposits!$Q$14</f>
        <v>0</v>
      </c>
      <c r="AP94" s="151">
        <f>AP$7*SUM($H51:AP51)*Deposits!$Q$14</f>
        <v>0</v>
      </c>
      <c r="AQ94" s="151">
        <f>AQ$7*SUM($H51:AQ51)*Deposits!$Q$14</f>
        <v>0</v>
      </c>
      <c r="AR94" s="151">
        <f>AR$7*SUM($H51:AR51)*Deposits!$Q$14</f>
        <v>0</v>
      </c>
      <c r="AS94" s="151">
        <f>AS$7*SUM($H51:AS51)*Deposits!$Q$14</f>
        <v>0</v>
      </c>
      <c r="AT94" s="151">
        <f>AT$7*SUM($H51:AT51)*Deposits!$Q$14</f>
        <v>0</v>
      </c>
      <c r="AU94" s="151">
        <f>AU$7*SUM($H51:AU51)*Deposits!$Q$14</f>
        <v>0</v>
      </c>
      <c r="AV94" s="151">
        <f>AV$7*SUM($H51:AV51)*Deposits!$Q$14</f>
        <v>0</v>
      </c>
      <c r="AW94" s="151">
        <f>AW$7*SUM($H51:AW51)*Deposits!$Q$14</f>
        <v>0</v>
      </c>
      <c r="AX94" s="151">
        <f>AX$7*SUM($H51:AX51)*Deposits!$Q$14</f>
        <v>0</v>
      </c>
      <c r="AY94" s="151">
        <f>AY$7*SUM($H51:AY51)*Deposits!$Q$14</f>
        <v>0</v>
      </c>
      <c r="AZ94" s="151">
        <f>AZ$7*SUM($H51:AZ51)*Deposits!$Q$14</f>
        <v>0</v>
      </c>
      <c r="BA94" s="151">
        <f>BA$7*SUM($H51:BA51)*Deposits!$Q$14</f>
        <v>0</v>
      </c>
      <c r="BB94" s="151">
        <f>BB$7*SUM($H51:BB51)*Deposits!$Q$14</f>
        <v>0</v>
      </c>
      <c r="BC94" s="151">
        <f>BC$7*SUM($H51:BC51)*Deposits!$Q$14</f>
        <v>0</v>
      </c>
      <c r="BD94" s="151">
        <f>BD$7*SUM($H51:BD51)*Deposits!$Q$14</f>
        <v>0</v>
      </c>
      <c r="BE94" s="151">
        <f>BE$7*SUM($H51:BE51)*Deposits!$Q$14</f>
        <v>0</v>
      </c>
      <c r="BF94" s="151">
        <f>BF$7*SUM($H51:BF51)*Deposits!$Q$14</f>
        <v>0</v>
      </c>
      <c r="BG94" s="151">
        <f>BG$7*SUM($H51:BG51)*Deposits!$Q$14</f>
        <v>0</v>
      </c>
      <c r="BH94" s="151">
        <f>BH$7*SUM($H51:BH51)*Deposits!$Q$14</f>
        <v>0</v>
      </c>
      <c r="BI94" s="151">
        <f>BI$7*SUM($H51:BI51)*Deposits!$Q$14</f>
        <v>0</v>
      </c>
      <c r="BJ94" s="151">
        <f>BJ$7*SUM($H51:BJ51)*Deposits!$Q$14</f>
        <v>0</v>
      </c>
      <c r="BK94" s="151">
        <f>BK$7*SUM($H51:BK51)*Deposits!$Q$14</f>
        <v>0</v>
      </c>
      <c r="BL94" s="151">
        <f>BL$7*SUM($H51:BL51)*Deposits!$Q$14</f>
        <v>0</v>
      </c>
      <c r="BM94" s="151">
        <f>BM$7*SUM($H51:BM51)*Deposits!$Q$14</f>
        <v>0</v>
      </c>
      <c r="BN94" s="151">
        <f>BN$7*SUM($H51:BN51)*Deposits!$Q$14</f>
        <v>0</v>
      </c>
      <c r="BO94" s="151">
        <f>BO$7*SUM($H51:BO51)*Deposits!$Q$14</f>
        <v>0</v>
      </c>
      <c r="BP94" s="151">
        <f>BP$7*SUM($H51:BP51)*Deposits!$Q$14</f>
        <v>0</v>
      </c>
    </row>
    <row r="95" spans="3:68" x14ac:dyDescent="0.25">
      <c r="C95" s="228" t="str">
        <f t="shared" si="48"/>
        <v>Kiegészítő biztosíték visszautalás építési engedély megszerzésekor</v>
      </c>
      <c r="D95" t="s">
        <v>125</v>
      </c>
      <c r="E95" s="151"/>
      <c r="F95" s="151"/>
      <c r="G95" s="151">
        <f t="shared" si="49"/>
        <v>0</v>
      </c>
      <c r="H95" s="151">
        <f>H$7*SUM($H52:H52)*Deposits!$Q$15</f>
        <v>0</v>
      </c>
      <c r="I95" s="151">
        <f>I$7*SUM($H52:I52)*Deposits!$Q$15</f>
        <v>0</v>
      </c>
      <c r="J95" s="151">
        <f>J$7*SUM($H52:J52)*Deposits!$Q$15</f>
        <v>0</v>
      </c>
      <c r="K95" s="151">
        <f>K$7*SUM($H52:K52)*Deposits!$Q$15</f>
        <v>0</v>
      </c>
      <c r="L95" s="151">
        <f>L$7*SUM($H52:L52)*Deposits!$Q$15</f>
        <v>0</v>
      </c>
      <c r="M95" s="151">
        <f>M$7*SUM($H52:M52)*Deposits!$Q$15</f>
        <v>0</v>
      </c>
      <c r="N95" s="151">
        <f>N$7*SUM($H52:N52)*Deposits!$Q$15</f>
        <v>0</v>
      </c>
      <c r="O95" s="151">
        <f>O$7*SUM($H52:O52)*Deposits!$Q$15</f>
        <v>0</v>
      </c>
      <c r="P95" s="151">
        <f>P$7*SUM($H52:P52)*Deposits!$Q$15</f>
        <v>0</v>
      </c>
      <c r="Q95" s="151">
        <f>Q$7*SUM($H52:Q52)*Deposits!$Q$15</f>
        <v>0</v>
      </c>
      <c r="R95" s="151">
        <f>R$7*SUM($H52:R52)*Deposits!$Q$15</f>
        <v>0</v>
      </c>
      <c r="S95" s="151">
        <f>S$7*SUM($H52:S52)*Deposits!$Q$15</f>
        <v>0</v>
      </c>
      <c r="T95" s="151">
        <f>T$7*SUM($H52:T52)*Deposits!$Q$15</f>
        <v>0</v>
      </c>
      <c r="U95" s="151">
        <f>U$7*SUM($H52:U52)*Deposits!$Q$15</f>
        <v>0</v>
      </c>
      <c r="V95" s="151">
        <f>V$7*SUM($H52:V52)*Deposits!$Q$15</f>
        <v>0</v>
      </c>
      <c r="W95" s="151">
        <f>W$7*SUM($H52:W52)*Deposits!$Q$15</f>
        <v>0</v>
      </c>
      <c r="X95" s="151">
        <f>X$7*SUM($H52:X52)*Deposits!$Q$15</f>
        <v>0</v>
      </c>
      <c r="Y95" s="151">
        <f>Y$7*SUM($H52:Y52)*Deposits!$Q$15</f>
        <v>0</v>
      </c>
      <c r="Z95" s="151">
        <f>Z$7*SUM($H52:Z52)*Deposits!$Q$15</f>
        <v>0</v>
      </c>
      <c r="AA95" s="151">
        <f>AA$7*SUM($H52:AA52)*Deposits!$Q$15</f>
        <v>0</v>
      </c>
      <c r="AB95" s="151">
        <f>AB$7*SUM($H52:AB52)*Deposits!$Q$15</f>
        <v>0</v>
      </c>
      <c r="AC95" s="151">
        <f>AC$7*SUM($H52:AC52)*Deposits!$Q$15</f>
        <v>0</v>
      </c>
      <c r="AD95" s="151">
        <f>AD$7*SUM($H52:AD52)*Deposits!$Q$15</f>
        <v>0</v>
      </c>
      <c r="AE95" s="151">
        <f>AE$7*SUM($H52:AE52)*Deposits!$Q$15</f>
        <v>0</v>
      </c>
      <c r="AF95" s="151">
        <f>AF$7*SUM($H52:AF52)*Deposits!$Q$15</f>
        <v>0</v>
      </c>
      <c r="AG95" s="151">
        <f>AG$7*SUM($H52:AG52)*Deposits!$Q$15</f>
        <v>0</v>
      </c>
      <c r="AH95" s="151">
        <f>AH$7*SUM($H52:AH52)*Deposits!$Q$15</f>
        <v>0</v>
      </c>
      <c r="AI95" s="151">
        <f>AI$7*SUM($H52:AI52)*Deposits!$Q$15</f>
        <v>0</v>
      </c>
      <c r="AJ95" s="151">
        <f>AJ$7*SUM($H52:AJ52)*Deposits!$Q$15</f>
        <v>0</v>
      </c>
      <c r="AK95" s="151">
        <f>AK$7*SUM($H52:AK52)*Deposits!$Q$15</f>
        <v>0</v>
      </c>
      <c r="AL95" s="151">
        <f>AL$7*SUM($H52:AL52)*Deposits!$Q$15</f>
        <v>0</v>
      </c>
      <c r="AM95" s="151">
        <f>AM$7*SUM($H52:AM52)*Deposits!$Q$15</f>
        <v>0</v>
      </c>
      <c r="AN95" s="151">
        <f>AN$7*SUM($H52:AN52)*Deposits!$Q$15</f>
        <v>0</v>
      </c>
      <c r="AO95" s="151">
        <f>AO$7*SUM($H52:AO52)*Deposits!$Q$15</f>
        <v>0</v>
      </c>
      <c r="AP95" s="151">
        <f>AP$7*SUM($H52:AP52)*Deposits!$Q$15</f>
        <v>0</v>
      </c>
      <c r="AQ95" s="151">
        <f>AQ$7*SUM($H52:AQ52)*Deposits!$Q$15</f>
        <v>0</v>
      </c>
      <c r="AR95" s="151">
        <f>AR$7*SUM($H52:AR52)*Deposits!$Q$15</f>
        <v>0</v>
      </c>
      <c r="AS95" s="151">
        <f>AS$7*SUM($H52:AS52)*Deposits!$Q$15</f>
        <v>0</v>
      </c>
      <c r="AT95" s="151">
        <f>AT$7*SUM($H52:AT52)*Deposits!$Q$15</f>
        <v>0</v>
      </c>
      <c r="AU95" s="151">
        <f>AU$7*SUM($H52:AU52)*Deposits!$Q$15</f>
        <v>0</v>
      </c>
      <c r="AV95" s="151">
        <f>AV$7*SUM($H52:AV52)*Deposits!$Q$15</f>
        <v>0</v>
      </c>
      <c r="AW95" s="151">
        <f>AW$7*SUM($H52:AW52)*Deposits!$Q$15</f>
        <v>0</v>
      </c>
      <c r="AX95" s="151">
        <f>AX$7*SUM($H52:AX52)*Deposits!$Q$15</f>
        <v>0</v>
      </c>
      <c r="AY95" s="151">
        <f>AY$7*SUM($H52:AY52)*Deposits!$Q$15</f>
        <v>0</v>
      </c>
      <c r="AZ95" s="151">
        <f>AZ$7*SUM($H52:AZ52)*Deposits!$Q$15</f>
        <v>0</v>
      </c>
      <c r="BA95" s="151">
        <f>BA$7*SUM($H52:BA52)*Deposits!$Q$15</f>
        <v>0</v>
      </c>
      <c r="BB95" s="151">
        <f>BB$7*SUM($H52:BB52)*Deposits!$Q$15</f>
        <v>0</v>
      </c>
      <c r="BC95" s="151">
        <f>BC$7*SUM($H52:BC52)*Deposits!$Q$15</f>
        <v>0</v>
      </c>
      <c r="BD95" s="151">
        <f>BD$7*SUM($H52:BD52)*Deposits!$Q$15</f>
        <v>0</v>
      </c>
      <c r="BE95" s="151">
        <f>BE$7*SUM($H52:BE52)*Deposits!$Q$15</f>
        <v>0</v>
      </c>
      <c r="BF95" s="151">
        <f>BF$7*SUM($H52:BF52)*Deposits!$Q$15</f>
        <v>0</v>
      </c>
      <c r="BG95" s="151">
        <f>BG$7*SUM($H52:BG52)*Deposits!$Q$15</f>
        <v>0</v>
      </c>
      <c r="BH95" s="151">
        <f>BH$7*SUM($H52:BH52)*Deposits!$Q$15</f>
        <v>0</v>
      </c>
      <c r="BI95" s="151">
        <f>BI$7*SUM($H52:BI52)*Deposits!$Q$15</f>
        <v>0</v>
      </c>
      <c r="BJ95" s="151">
        <f>BJ$7*SUM($H52:BJ52)*Deposits!$Q$15</f>
        <v>0</v>
      </c>
      <c r="BK95" s="151">
        <f>BK$7*SUM($H52:BK52)*Deposits!$Q$15</f>
        <v>0</v>
      </c>
      <c r="BL95" s="151">
        <f>BL$7*SUM($H52:BL52)*Deposits!$Q$15</f>
        <v>0</v>
      </c>
      <c r="BM95" s="151">
        <f>BM$7*SUM($H52:BM52)*Deposits!$Q$15</f>
        <v>0</v>
      </c>
      <c r="BN95" s="151">
        <f>BN$7*SUM($H52:BN52)*Deposits!$Q$15</f>
        <v>0</v>
      </c>
      <c r="BO95" s="151">
        <f>BO$7*SUM($H52:BO52)*Deposits!$Q$15</f>
        <v>0</v>
      </c>
      <c r="BP95" s="151">
        <f>BP$7*SUM($H52:BP52)*Deposits!$Q$15</f>
        <v>0</v>
      </c>
    </row>
    <row r="96" spans="3:68" x14ac:dyDescent="0.25">
      <c r="C96" s="228" t="str">
        <f t="shared" si="48"/>
        <v>Kiegészítő biztosíték 3. részlet</v>
      </c>
      <c r="D96" t="s">
        <v>125</v>
      </c>
      <c r="E96" s="151"/>
      <c r="F96" s="151"/>
      <c r="G96" s="151">
        <f t="shared" si="49"/>
        <v>0</v>
      </c>
      <c r="H96" s="151">
        <f>H$7*SUM($H53:H53)*Deposits!$Q$16</f>
        <v>0</v>
      </c>
      <c r="I96" s="151">
        <f>I$7*SUM($H53:I53)*Deposits!$Q$16</f>
        <v>0</v>
      </c>
      <c r="J96" s="151">
        <f>J$7*SUM($H53:J53)*Deposits!$Q$16</f>
        <v>0</v>
      </c>
      <c r="K96" s="151">
        <f>K$7*SUM($H53:K53)*Deposits!$Q$16</f>
        <v>0</v>
      </c>
      <c r="L96" s="151">
        <f>L$7*SUM($H53:L53)*Deposits!$Q$16</f>
        <v>0</v>
      </c>
      <c r="M96" s="151">
        <f>M$7*SUM($H53:M53)*Deposits!$Q$16</f>
        <v>0</v>
      </c>
      <c r="N96" s="151">
        <f>N$7*SUM($H53:N53)*Deposits!$Q$16</f>
        <v>0</v>
      </c>
      <c r="O96" s="151">
        <f>O$7*SUM($H53:O53)*Deposits!$Q$16</f>
        <v>0</v>
      </c>
      <c r="P96" s="151">
        <f>P$7*SUM($H53:P53)*Deposits!$Q$16</f>
        <v>0</v>
      </c>
      <c r="Q96" s="151">
        <f>Q$7*SUM($H53:Q53)*Deposits!$Q$16</f>
        <v>0</v>
      </c>
      <c r="R96" s="151">
        <f>R$7*SUM($H53:R53)*Deposits!$Q$16</f>
        <v>0</v>
      </c>
      <c r="S96" s="151">
        <f>S$7*SUM($H53:S53)*Deposits!$Q$16</f>
        <v>0</v>
      </c>
      <c r="T96" s="151">
        <f>T$7*SUM($H53:T53)*Deposits!$Q$16</f>
        <v>0</v>
      </c>
      <c r="U96" s="151">
        <f>U$7*SUM($H53:U53)*Deposits!$Q$16</f>
        <v>0</v>
      </c>
      <c r="V96" s="151">
        <f>V$7*SUM($H53:V53)*Deposits!$Q$16</f>
        <v>0</v>
      </c>
      <c r="W96" s="151">
        <f>W$7*SUM($H53:W53)*Deposits!$Q$16</f>
        <v>0</v>
      </c>
      <c r="X96" s="151">
        <f>X$7*SUM($H53:X53)*Deposits!$Q$16</f>
        <v>0</v>
      </c>
      <c r="Y96" s="151">
        <f>Y$7*SUM($H53:Y53)*Deposits!$Q$16</f>
        <v>0</v>
      </c>
      <c r="Z96" s="151">
        <f>Z$7*SUM($H53:Z53)*Deposits!$Q$16</f>
        <v>0</v>
      </c>
      <c r="AA96" s="151">
        <f>AA$7*SUM($H53:AA53)*Deposits!$Q$16</f>
        <v>0</v>
      </c>
      <c r="AB96" s="151">
        <f>AB$7*SUM($H53:AB53)*Deposits!$Q$16</f>
        <v>0</v>
      </c>
      <c r="AC96" s="151">
        <f>AC$7*SUM($H53:AC53)*Deposits!$Q$16</f>
        <v>0</v>
      </c>
      <c r="AD96" s="151">
        <f>AD$7*SUM($H53:AD53)*Deposits!$Q$16</f>
        <v>0</v>
      </c>
      <c r="AE96" s="151">
        <f>AE$7*SUM($H53:AE53)*Deposits!$Q$16</f>
        <v>0</v>
      </c>
      <c r="AF96" s="151">
        <f>AF$7*SUM($H53:AF53)*Deposits!$Q$16</f>
        <v>0</v>
      </c>
      <c r="AG96" s="151">
        <f>AG$7*SUM($H53:AG53)*Deposits!$Q$16</f>
        <v>0</v>
      </c>
      <c r="AH96" s="151">
        <f>AH$7*SUM($H53:AH53)*Deposits!$Q$16</f>
        <v>0</v>
      </c>
      <c r="AI96" s="151">
        <f>AI$7*SUM($H53:AI53)*Deposits!$Q$16</f>
        <v>0</v>
      </c>
      <c r="AJ96" s="151">
        <f>AJ$7*SUM($H53:AJ53)*Deposits!$Q$16</f>
        <v>0</v>
      </c>
      <c r="AK96" s="151">
        <f>AK$7*SUM($H53:AK53)*Deposits!$Q$16</f>
        <v>0</v>
      </c>
      <c r="AL96" s="151">
        <f>AL$7*SUM($H53:AL53)*Deposits!$Q$16</f>
        <v>0</v>
      </c>
      <c r="AM96" s="151">
        <f>AM$7*SUM($H53:AM53)*Deposits!$Q$16</f>
        <v>0</v>
      </c>
      <c r="AN96" s="151">
        <f>AN$7*SUM($H53:AN53)*Deposits!$Q$16</f>
        <v>0</v>
      </c>
      <c r="AO96" s="151">
        <f>AO$7*SUM($H53:AO53)*Deposits!$Q$16</f>
        <v>0</v>
      </c>
      <c r="AP96" s="151">
        <f>AP$7*SUM($H53:AP53)*Deposits!$Q$16</f>
        <v>0</v>
      </c>
      <c r="AQ96" s="151">
        <f>AQ$7*SUM($H53:AQ53)*Deposits!$Q$16</f>
        <v>0</v>
      </c>
      <c r="AR96" s="151">
        <f>AR$7*SUM($H53:AR53)*Deposits!$Q$16</f>
        <v>0</v>
      </c>
      <c r="AS96" s="151">
        <f>AS$7*SUM($H53:AS53)*Deposits!$Q$16</f>
        <v>0</v>
      </c>
      <c r="AT96" s="151">
        <f>AT$7*SUM($H53:AT53)*Deposits!$Q$16</f>
        <v>0</v>
      </c>
      <c r="AU96" s="151">
        <f>AU$7*SUM($H53:AU53)*Deposits!$Q$16</f>
        <v>0</v>
      </c>
      <c r="AV96" s="151">
        <f>AV$7*SUM($H53:AV53)*Deposits!$Q$16</f>
        <v>0</v>
      </c>
      <c r="AW96" s="151">
        <f>AW$7*SUM($H53:AW53)*Deposits!$Q$16</f>
        <v>0</v>
      </c>
      <c r="AX96" s="151">
        <f>AX$7*SUM($H53:AX53)*Deposits!$Q$16</f>
        <v>0</v>
      </c>
      <c r="AY96" s="151">
        <f>AY$7*SUM($H53:AY53)*Deposits!$Q$16</f>
        <v>0</v>
      </c>
      <c r="AZ96" s="151">
        <f>AZ$7*SUM($H53:AZ53)*Deposits!$Q$16</f>
        <v>0</v>
      </c>
      <c r="BA96" s="151">
        <f>BA$7*SUM($H53:BA53)*Deposits!$Q$16</f>
        <v>0</v>
      </c>
      <c r="BB96" s="151">
        <f>BB$7*SUM($H53:BB53)*Deposits!$Q$16</f>
        <v>0</v>
      </c>
      <c r="BC96" s="151">
        <f>BC$7*SUM($H53:BC53)*Deposits!$Q$16</f>
        <v>0</v>
      </c>
      <c r="BD96" s="151">
        <f>BD$7*SUM($H53:BD53)*Deposits!$Q$16</f>
        <v>0</v>
      </c>
      <c r="BE96" s="151">
        <f>BE$7*SUM($H53:BE53)*Deposits!$Q$16</f>
        <v>0</v>
      </c>
      <c r="BF96" s="151">
        <f>BF$7*SUM($H53:BF53)*Deposits!$Q$16</f>
        <v>0</v>
      </c>
      <c r="BG96" s="151">
        <f>BG$7*SUM($H53:BG53)*Deposits!$Q$16</f>
        <v>0</v>
      </c>
      <c r="BH96" s="151">
        <f>BH$7*SUM($H53:BH53)*Deposits!$Q$16</f>
        <v>0</v>
      </c>
      <c r="BI96" s="151">
        <f>BI$7*SUM($H53:BI53)*Deposits!$Q$16</f>
        <v>0</v>
      </c>
      <c r="BJ96" s="151">
        <f>BJ$7*SUM($H53:BJ53)*Deposits!$Q$16</f>
        <v>0</v>
      </c>
      <c r="BK96" s="151">
        <f>BK$7*SUM($H53:BK53)*Deposits!$Q$16</f>
        <v>0</v>
      </c>
      <c r="BL96" s="151">
        <f>BL$7*SUM($H53:BL53)*Deposits!$Q$16</f>
        <v>0</v>
      </c>
      <c r="BM96" s="151">
        <f>BM$7*SUM($H53:BM53)*Deposits!$Q$16</f>
        <v>0</v>
      </c>
      <c r="BN96" s="151">
        <f>BN$7*SUM($H53:BN53)*Deposits!$Q$16</f>
        <v>0</v>
      </c>
      <c r="BO96" s="151">
        <f>BO$7*SUM($H53:BO53)*Deposits!$Q$16</f>
        <v>0</v>
      </c>
      <c r="BP96" s="151">
        <f>BP$7*SUM($H53:BP53)*Deposits!$Q$16</f>
        <v>0</v>
      </c>
    </row>
    <row r="97" spans="3:68" x14ac:dyDescent="0.25">
      <c r="C97" s="228" t="str">
        <f t="shared" si="48"/>
        <v>Kiegészítő biztosíték 4. részlet</v>
      </c>
      <c r="D97" t="s">
        <v>125</v>
      </c>
      <c r="E97" s="151"/>
      <c r="F97" s="151"/>
      <c r="G97" s="151">
        <f t="shared" si="49"/>
        <v>0</v>
      </c>
      <c r="H97" s="151">
        <f>H$7*SUM($H54:H54)*Deposits!$Q$17</f>
        <v>0</v>
      </c>
      <c r="I97" s="151">
        <f>I$7*SUM($H54:I54)*Deposits!$Q$17</f>
        <v>0</v>
      </c>
      <c r="J97" s="151">
        <f>J$7*SUM($H54:J54)*Deposits!$Q$17</f>
        <v>0</v>
      </c>
      <c r="K97" s="151">
        <f>K$7*SUM($H54:K54)*Deposits!$Q$17</f>
        <v>0</v>
      </c>
      <c r="L97" s="151">
        <f>L$7*SUM($H54:L54)*Deposits!$Q$17</f>
        <v>0</v>
      </c>
      <c r="M97" s="151">
        <f>M$7*SUM($H54:M54)*Deposits!$Q$17</f>
        <v>0</v>
      </c>
      <c r="N97" s="151">
        <f>N$7*SUM($H54:N54)*Deposits!$Q$17</f>
        <v>0</v>
      </c>
      <c r="O97" s="151">
        <f>O$7*SUM($H54:O54)*Deposits!$Q$17</f>
        <v>0</v>
      </c>
      <c r="P97" s="151">
        <f>P$7*SUM($H54:P54)*Deposits!$Q$17</f>
        <v>0</v>
      </c>
      <c r="Q97" s="151">
        <f>Q$7*SUM($H54:Q54)*Deposits!$Q$17</f>
        <v>0</v>
      </c>
      <c r="R97" s="151">
        <f>R$7*SUM($H54:R54)*Deposits!$Q$17</f>
        <v>0</v>
      </c>
      <c r="S97" s="151">
        <f>S$7*SUM($H54:S54)*Deposits!$Q$17</f>
        <v>0</v>
      </c>
      <c r="T97" s="151">
        <f>T$7*SUM($H54:T54)*Deposits!$Q$17</f>
        <v>0</v>
      </c>
      <c r="U97" s="151">
        <f>U$7*SUM($H54:U54)*Deposits!$Q$17</f>
        <v>0</v>
      </c>
      <c r="V97" s="151">
        <f>V$7*SUM($H54:V54)*Deposits!$Q$17</f>
        <v>0</v>
      </c>
      <c r="W97" s="151">
        <f>W$7*SUM($H54:W54)*Deposits!$Q$17</f>
        <v>0</v>
      </c>
      <c r="X97" s="151">
        <f>X$7*SUM($H54:X54)*Deposits!$Q$17</f>
        <v>0</v>
      </c>
      <c r="Y97" s="151">
        <f>Y$7*SUM($H54:Y54)*Deposits!$Q$17</f>
        <v>0</v>
      </c>
      <c r="Z97" s="151">
        <f>Z$7*SUM($H54:Z54)*Deposits!$Q$17</f>
        <v>0</v>
      </c>
      <c r="AA97" s="151">
        <f>AA$7*SUM($H54:AA54)*Deposits!$Q$17</f>
        <v>0</v>
      </c>
      <c r="AB97" s="151">
        <f>AB$7*SUM($H54:AB54)*Deposits!$Q$17</f>
        <v>0</v>
      </c>
      <c r="AC97" s="151">
        <f>AC$7*SUM($H54:AC54)*Deposits!$Q$17</f>
        <v>0</v>
      </c>
      <c r="AD97" s="151">
        <f>AD$7*SUM($H54:AD54)*Deposits!$Q$17</f>
        <v>0</v>
      </c>
      <c r="AE97" s="151">
        <f>AE$7*SUM($H54:AE54)*Deposits!$Q$17</f>
        <v>0</v>
      </c>
      <c r="AF97" s="151">
        <f>AF$7*SUM($H54:AF54)*Deposits!$Q$17</f>
        <v>0</v>
      </c>
      <c r="AG97" s="151">
        <f>AG$7*SUM($H54:AG54)*Deposits!$Q$17</f>
        <v>0</v>
      </c>
      <c r="AH97" s="151">
        <f>AH$7*SUM($H54:AH54)*Deposits!$Q$17</f>
        <v>0</v>
      </c>
      <c r="AI97" s="151">
        <f>AI$7*SUM($H54:AI54)*Deposits!$Q$17</f>
        <v>0</v>
      </c>
      <c r="AJ97" s="151">
        <f>AJ$7*SUM($H54:AJ54)*Deposits!$Q$17</f>
        <v>0</v>
      </c>
      <c r="AK97" s="151">
        <f>AK$7*SUM($H54:AK54)*Deposits!$Q$17</f>
        <v>0</v>
      </c>
      <c r="AL97" s="151">
        <f>AL$7*SUM($H54:AL54)*Deposits!$Q$17</f>
        <v>0</v>
      </c>
      <c r="AM97" s="151">
        <f>AM$7*SUM($H54:AM54)*Deposits!$Q$17</f>
        <v>0</v>
      </c>
      <c r="AN97" s="151">
        <f>AN$7*SUM($H54:AN54)*Deposits!$Q$17</f>
        <v>0</v>
      </c>
      <c r="AO97" s="151">
        <f>AO$7*SUM($H54:AO54)*Deposits!$Q$17</f>
        <v>0</v>
      </c>
      <c r="AP97" s="151">
        <f>AP$7*SUM($H54:AP54)*Deposits!$Q$17</f>
        <v>0</v>
      </c>
      <c r="AQ97" s="151">
        <f>AQ$7*SUM($H54:AQ54)*Deposits!$Q$17</f>
        <v>0</v>
      </c>
      <c r="AR97" s="151">
        <f>AR$7*SUM($H54:AR54)*Deposits!$Q$17</f>
        <v>0</v>
      </c>
      <c r="AS97" s="151">
        <f>AS$7*SUM($H54:AS54)*Deposits!$Q$17</f>
        <v>0</v>
      </c>
      <c r="AT97" s="151">
        <f>AT$7*SUM($H54:AT54)*Deposits!$Q$17</f>
        <v>0</v>
      </c>
      <c r="AU97" s="151">
        <f>AU$7*SUM($H54:AU54)*Deposits!$Q$17</f>
        <v>0</v>
      </c>
      <c r="AV97" s="151">
        <f>AV$7*SUM($H54:AV54)*Deposits!$Q$17</f>
        <v>0</v>
      </c>
      <c r="AW97" s="151">
        <f>AW$7*SUM($H54:AW54)*Deposits!$Q$17</f>
        <v>0</v>
      </c>
      <c r="AX97" s="151">
        <f>AX$7*SUM($H54:AX54)*Deposits!$Q$17</f>
        <v>0</v>
      </c>
      <c r="AY97" s="151">
        <f>AY$7*SUM($H54:AY54)*Deposits!$Q$17</f>
        <v>0</v>
      </c>
      <c r="AZ97" s="151">
        <f>AZ$7*SUM($H54:AZ54)*Deposits!$Q$17</f>
        <v>0</v>
      </c>
      <c r="BA97" s="151">
        <f>BA$7*SUM($H54:BA54)*Deposits!$Q$17</f>
        <v>0</v>
      </c>
      <c r="BB97" s="151">
        <f>BB$7*SUM($H54:BB54)*Deposits!$Q$17</f>
        <v>0</v>
      </c>
      <c r="BC97" s="151">
        <f>BC$7*SUM($H54:BC54)*Deposits!$Q$17</f>
        <v>0</v>
      </c>
      <c r="BD97" s="151">
        <f>BD$7*SUM($H54:BD54)*Deposits!$Q$17</f>
        <v>0</v>
      </c>
      <c r="BE97" s="151">
        <f>BE$7*SUM($H54:BE54)*Deposits!$Q$17</f>
        <v>0</v>
      </c>
      <c r="BF97" s="151">
        <f>BF$7*SUM($H54:BF54)*Deposits!$Q$17</f>
        <v>0</v>
      </c>
      <c r="BG97" s="151">
        <f>BG$7*SUM($H54:BG54)*Deposits!$Q$17</f>
        <v>0</v>
      </c>
      <c r="BH97" s="151">
        <f>BH$7*SUM($H54:BH54)*Deposits!$Q$17</f>
        <v>0</v>
      </c>
      <c r="BI97" s="151">
        <f>BI$7*SUM($H54:BI54)*Deposits!$Q$17</f>
        <v>0</v>
      </c>
      <c r="BJ97" s="151">
        <f>BJ$7*SUM($H54:BJ54)*Deposits!$Q$17</f>
        <v>0</v>
      </c>
      <c r="BK97" s="151">
        <f>BK$7*SUM($H54:BK54)*Deposits!$Q$17</f>
        <v>0</v>
      </c>
      <c r="BL97" s="151">
        <f>BL$7*SUM($H54:BL54)*Deposits!$Q$17</f>
        <v>0</v>
      </c>
      <c r="BM97" s="151">
        <f>BM$7*SUM($H54:BM54)*Deposits!$Q$17</f>
        <v>0</v>
      </c>
      <c r="BN97" s="151">
        <f>BN$7*SUM($H54:BN54)*Deposits!$Q$17</f>
        <v>0</v>
      </c>
      <c r="BO97" s="151">
        <f>BO$7*SUM($H54:BO54)*Deposits!$Q$17</f>
        <v>0</v>
      </c>
      <c r="BP97" s="151">
        <f>BP$7*SUM($H54:BP54)*Deposits!$Q$17</f>
        <v>0</v>
      </c>
    </row>
    <row r="98" spans="3:68" x14ac:dyDescent="0.25">
      <c r="C98" s="228" t="str">
        <f t="shared" si="48"/>
        <v>Csatlakozási díj – becsült összeg</v>
      </c>
      <c r="D98" t="s">
        <v>125</v>
      </c>
      <c r="E98" s="151"/>
      <c r="F98" s="151"/>
      <c r="G98" s="151">
        <f t="shared" si="49"/>
        <v>18786.659178082195</v>
      </c>
      <c r="H98" s="151">
        <f>H$7*SUM($H55:H55)*Deposits!$Q$18</f>
        <v>0</v>
      </c>
      <c r="I98" s="151">
        <f>I$7*SUM($H55:I55)*Deposits!$Q$18</f>
        <v>0</v>
      </c>
      <c r="J98" s="151">
        <f>J$7*SUM($H55:J55)*Deposits!$Q$18</f>
        <v>0</v>
      </c>
      <c r="K98" s="151">
        <f>K$7*SUM($H55:K55)*Deposits!$Q$18</f>
        <v>0</v>
      </c>
      <c r="L98" s="151">
        <f>L$7*SUM($H55:L55)*Deposits!$Q$18</f>
        <v>0</v>
      </c>
      <c r="M98" s="151">
        <f>M$7*SUM($H55:M55)*Deposits!$Q$18</f>
        <v>0</v>
      </c>
      <c r="N98" s="151">
        <f>N$7*SUM($H55:N55)*Deposits!$Q$18</f>
        <v>0</v>
      </c>
      <c r="O98" s="151">
        <f>O$7*SUM($H55:O55)*Deposits!$Q$18</f>
        <v>0</v>
      </c>
      <c r="P98" s="151">
        <f>P$7*SUM($H55:P55)*Deposits!$Q$18</f>
        <v>0</v>
      </c>
      <c r="Q98" s="151">
        <f>Q$7*SUM($H55:Q55)*Deposits!$Q$18</f>
        <v>0</v>
      </c>
      <c r="R98" s="151">
        <f>R$7*SUM($H55:R55)*Deposits!$Q$18</f>
        <v>0</v>
      </c>
      <c r="S98" s="151">
        <f>S$7*SUM($H55:S55)*Deposits!$Q$18</f>
        <v>0</v>
      </c>
      <c r="T98" s="151">
        <f>T$7*SUM($H55:T55)*Deposits!$Q$18</f>
        <v>0</v>
      </c>
      <c r="U98" s="151">
        <f>U$7*SUM($H55:U55)*Deposits!$Q$18</f>
        <v>0</v>
      </c>
      <c r="V98" s="151">
        <f>V$7*SUM($H55:V55)*Deposits!$Q$18</f>
        <v>0</v>
      </c>
      <c r="W98" s="151">
        <f>W$7*SUM($H55:W55)*Deposits!$Q$18</f>
        <v>0</v>
      </c>
      <c r="X98" s="151">
        <f>X$7*SUM($H55:X55)*Deposits!$Q$18</f>
        <v>0</v>
      </c>
      <c r="Y98" s="151">
        <f>Y$7*SUM($H55:Y55)*Deposits!$Q$18</f>
        <v>0</v>
      </c>
      <c r="Z98" s="151">
        <f>Z$7*SUM($H55:Z55)*Deposits!$Q$18</f>
        <v>0</v>
      </c>
      <c r="AA98" s="151">
        <f>AA$7*SUM($H55:AA55)*Deposits!$Q$18</f>
        <v>0</v>
      </c>
      <c r="AB98" s="151">
        <f>AB$7*SUM($H55:AB55)*Deposits!$Q$18</f>
        <v>0</v>
      </c>
      <c r="AC98" s="151">
        <f>AC$7*SUM($H55:AC55)*Deposits!$Q$18</f>
        <v>0</v>
      </c>
      <c r="AD98" s="151">
        <f>AD$7*SUM($H55:AD55)*Deposits!$Q$18</f>
        <v>0</v>
      </c>
      <c r="AE98" s="151">
        <f>AE$7*SUM($H55:AE55)*Deposits!$Q$18</f>
        <v>0</v>
      </c>
      <c r="AF98" s="151">
        <f>AF$7*SUM($H55:AF55)*Deposits!$Q$18</f>
        <v>0</v>
      </c>
      <c r="AG98" s="151">
        <f>AG$7*SUM($H55:AG55)*Deposits!$Q$18</f>
        <v>0</v>
      </c>
      <c r="AH98" s="151">
        <f>AH$7*SUM($H55:AH55)*Deposits!$Q$18</f>
        <v>0</v>
      </c>
      <c r="AI98" s="151">
        <f>AI$7*SUM($H55:AI55)*Deposits!$Q$18</f>
        <v>0</v>
      </c>
      <c r="AJ98" s="151">
        <f>AJ$7*SUM($H55:AJ55)*Deposits!$Q$18</f>
        <v>0</v>
      </c>
      <c r="AK98" s="151">
        <f>AK$7*SUM($H55:AK55)*Deposits!$Q$18</f>
        <v>0</v>
      </c>
      <c r="AL98" s="151">
        <f>AL$7*SUM($H55:AL55)*Deposits!$Q$18</f>
        <v>0</v>
      </c>
      <c r="AM98" s="151">
        <f>AM$7*SUM($H55:AM55)*Deposits!$Q$18</f>
        <v>0</v>
      </c>
      <c r="AN98" s="151">
        <f>AN$7*SUM($H55:AN55)*Deposits!$Q$18</f>
        <v>0</v>
      </c>
      <c r="AO98" s="151">
        <f>AO$7*SUM($H55:AO55)*Deposits!$Q$18</f>
        <v>0</v>
      </c>
      <c r="AP98" s="151">
        <f>AP$7*SUM($H55:AP55)*Deposits!$Q$18</f>
        <v>0</v>
      </c>
      <c r="AQ98" s="151">
        <f>AQ$7*SUM($H55:AQ55)*Deposits!$Q$18</f>
        <v>0</v>
      </c>
      <c r="AR98" s="151">
        <f>AR$7*SUM($H55:AR55)*Deposits!$Q$18</f>
        <v>0</v>
      </c>
      <c r="AS98" s="151">
        <f>AS$7*SUM($H55:AS55)*Deposits!$Q$18</f>
        <v>0</v>
      </c>
      <c r="AT98" s="151">
        <f>AT$7*SUM($H55:AT55)*Deposits!$Q$18</f>
        <v>18786.659178082195</v>
      </c>
      <c r="AU98" s="151">
        <f>AU$7*SUM($H55:AU55)*Deposits!$Q$18</f>
        <v>0</v>
      </c>
      <c r="AV98" s="151">
        <f>AV$7*SUM($H55:AV55)*Deposits!$Q$18</f>
        <v>0</v>
      </c>
      <c r="AW98" s="151">
        <f>AW$7*SUM($H55:AW55)*Deposits!$Q$18</f>
        <v>0</v>
      </c>
      <c r="AX98" s="151">
        <f>AX$7*SUM($H55:AX55)*Deposits!$Q$18</f>
        <v>0</v>
      </c>
      <c r="AY98" s="151">
        <f>AY$7*SUM($H55:AY55)*Deposits!$Q$18</f>
        <v>0</v>
      </c>
      <c r="AZ98" s="151">
        <f>AZ$7*SUM($H55:AZ55)*Deposits!$Q$18</f>
        <v>0</v>
      </c>
      <c r="BA98" s="151">
        <f>BA$7*SUM($H55:BA55)*Deposits!$Q$18</f>
        <v>0</v>
      </c>
      <c r="BB98" s="151">
        <f>BB$7*SUM($H55:BB55)*Deposits!$Q$18</f>
        <v>0</v>
      </c>
      <c r="BC98" s="151">
        <f>BC$7*SUM($H55:BC55)*Deposits!$Q$18</f>
        <v>0</v>
      </c>
      <c r="BD98" s="151">
        <f>BD$7*SUM($H55:BD55)*Deposits!$Q$18</f>
        <v>0</v>
      </c>
      <c r="BE98" s="151">
        <f>BE$7*SUM($H55:BE55)*Deposits!$Q$18</f>
        <v>0</v>
      </c>
      <c r="BF98" s="151">
        <f>BF$7*SUM($H55:BF55)*Deposits!$Q$18</f>
        <v>0</v>
      </c>
      <c r="BG98" s="151">
        <f>BG$7*SUM($H55:BG55)*Deposits!$Q$18</f>
        <v>0</v>
      </c>
      <c r="BH98" s="151">
        <f>BH$7*SUM($H55:BH55)*Deposits!$Q$18</f>
        <v>0</v>
      </c>
      <c r="BI98" s="151">
        <f>BI$7*SUM($H55:BI55)*Deposits!$Q$18</f>
        <v>0</v>
      </c>
      <c r="BJ98" s="151">
        <f>BJ$7*SUM($H55:BJ55)*Deposits!$Q$18</f>
        <v>0</v>
      </c>
      <c r="BK98" s="151">
        <f>BK$7*SUM($H55:BK55)*Deposits!$Q$18</f>
        <v>0</v>
      </c>
      <c r="BL98" s="151">
        <f>BL$7*SUM($H55:BL55)*Deposits!$Q$18</f>
        <v>0</v>
      </c>
      <c r="BM98" s="151">
        <f>BM$7*SUM($H55:BM55)*Deposits!$Q$18</f>
        <v>0</v>
      </c>
      <c r="BN98" s="151">
        <f>BN$7*SUM($H55:BN55)*Deposits!$Q$18</f>
        <v>0</v>
      </c>
      <c r="BO98" s="151">
        <f>BO$7*SUM($H55:BO55)*Deposits!$Q$18</f>
        <v>0</v>
      </c>
      <c r="BP98" s="151">
        <f>BP$7*SUM($H55:BP55)*Deposits!$Q$18</f>
        <v>0</v>
      </c>
    </row>
    <row r="99" spans="3:68" x14ac:dyDescent="0.25">
      <c r="C99" s="198" t="s">
        <v>1066</v>
      </c>
      <c r="D99" s="198" t="s">
        <v>125</v>
      </c>
      <c r="E99" s="244"/>
      <c r="F99" s="244"/>
      <c r="G99" s="244">
        <f t="shared" si="49"/>
        <v>20715.900005479456</v>
      </c>
      <c r="H99" s="244">
        <f t="shared" ref="H99:AM99" si="50">SUM(H87:H98)</f>
        <v>0</v>
      </c>
      <c r="I99" s="244">
        <f t="shared" si="50"/>
        <v>0</v>
      </c>
      <c r="J99" s="244">
        <f t="shared" si="50"/>
        <v>0</v>
      </c>
      <c r="K99" s="244">
        <f t="shared" si="50"/>
        <v>0</v>
      </c>
      <c r="L99" s="244">
        <f t="shared" si="50"/>
        <v>0</v>
      </c>
      <c r="M99" s="244">
        <f t="shared" si="50"/>
        <v>0</v>
      </c>
      <c r="N99" s="244">
        <f t="shared" si="50"/>
        <v>0</v>
      </c>
      <c r="O99" s="244">
        <f t="shared" si="50"/>
        <v>0</v>
      </c>
      <c r="P99" s="244">
        <f t="shared" si="50"/>
        <v>0</v>
      </c>
      <c r="Q99" s="244">
        <f t="shared" si="50"/>
        <v>0</v>
      </c>
      <c r="R99" s="244">
        <f t="shared" si="50"/>
        <v>0</v>
      </c>
      <c r="S99" s="244">
        <f t="shared" si="50"/>
        <v>0</v>
      </c>
      <c r="T99" s="244">
        <f t="shared" si="50"/>
        <v>0</v>
      </c>
      <c r="U99" s="244">
        <f t="shared" si="50"/>
        <v>0</v>
      </c>
      <c r="V99" s="244">
        <f t="shared" si="50"/>
        <v>0</v>
      </c>
      <c r="W99" s="244">
        <f t="shared" si="50"/>
        <v>0</v>
      </c>
      <c r="X99" s="244">
        <f t="shared" si="50"/>
        <v>0</v>
      </c>
      <c r="Y99" s="244">
        <f t="shared" si="50"/>
        <v>0</v>
      </c>
      <c r="Z99" s="244">
        <f t="shared" si="50"/>
        <v>0</v>
      </c>
      <c r="AA99" s="244">
        <f t="shared" si="50"/>
        <v>0</v>
      </c>
      <c r="AB99" s="244">
        <f t="shared" si="50"/>
        <v>0</v>
      </c>
      <c r="AC99" s="244">
        <f t="shared" si="50"/>
        <v>0</v>
      </c>
      <c r="AD99" s="244">
        <f t="shared" si="50"/>
        <v>0</v>
      </c>
      <c r="AE99" s="244">
        <f t="shared" si="50"/>
        <v>0</v>
      </c>
      <c r="AF99" s="244">
        <f t="shared" si="50"/>
        <v>0</v>
      </c>
      <c r="AG99" s="244">
        <f t="shared" si="50"/>
        <v>0</v>
      </c>
      <c r="AH99" s="244">
        <f t="shared" si="50"/>
        <v>0</v>
      </c>
      <c r="AI99" s="244">
        <f t="shared" si="50"/>
        <v>0</v>
      </c>
      <c r="AJ99" s="244">
        <f t="shared" si="50"/>
        <v>0</v>
      </c>
      <c r="AK99" s="244">
        <f t="shared" si="50"/>
        <v>0</v>
      </c>
      <c r="AL99" s="244">
        <f t="shared" si="50"/>
        <v>0</v>
      </c>
      <c r="AM99" s="244">
        <f t="shared" si="50"/>
        <v>0</v>
      </c>
      <c r="AN99" s="244">
        <f t="shared" ref="AN99:BP99" si="51">SUM(AN87:AN98)</f>
        <v>0</v>
      </c>
      <c r="AO99" s="244">
        <f t="shared" si="51"/>
        <v>0</v>
      </c>
      <c r="AP99" s="244">
        <f t="shared" si="51"/>
        <v>0</v>
      </c>
      <c r="AQ99" s="244">
        <f t="shared" si="51"/>
        <v>0</v>
      </c>
      <c r="AR99" s="244">
        <f t="shared" si="51"/>
        <v>0</v>
      </c>
      <c r="AS99" s="244">
        <f t="shared" si="51"/>
        <v>0</v>
      </c>
      <c r="AT99" s="244">
        <f t="shared" si="51"/>
        <v>20715.900005479456</v>
      </c>
      <c r="AU99" s="244">
        <f t="shared" si="51"/>
        <v>0</v>
      </c>
      <c r="AV99" s="244">
        <f t="shared" si="51"/>
        <v>0</v>
      </c>
      <c r="AW99" s="244">
        <f t="shared" si="51"/>
        <v>0</v>
      </c>
      <c r="AX99" s="244">
        <f t="shared" si="51"/>
        <v>0</v>
      </c>
      <c r="AY99" s="244">
        <f t="shared" si="51"/>
        <v>0</v>
      </c>
      <c r="AZ99" s="244">
        <f t="shared" si="51"/>
        <v>0</v>
      </c>
      <c r="BA99" s="244">
        <f t="shared" si="51"/>
        <v>0</v>
      </c>
      <c r="BB99" s="244">
        <f t="shared" si="51"/>
        <v>0</v>
      </c>
      <c r="BC99" s="244">
        <f t="shared" si="51"/>
        <v>0</v>
      </c>
      <c r="BD99" s="244">
        <f t="shared" si="51"/>
        <v>0</v>
      </c>
      <c r="BE99" s="244">
        <f t="shared" si="51"/>
        <v>0</v>
      </c>
      <c r="BF99" s="244">
        <f t="shared" si="51"/>
        <v>0</v>
      </c>
      <c r="BG99" s="244">
        <f t="shared" si="51"/>
        <v>0</v>
      </c>
      <c r="BH99" s="244">
        <f t="shared" si="51"/>
        <v>0</v>
      </c>
      <c r="BI99" s="244">
        <f t="shared" si="51"/>
        <v>0</v>
      </c>
      <c r="BJ99" s="244">
        <f t="shared" si="51"/>
        <v>0</v>
      </c>
      <c r="BK99" s="244">
        <f t="shared" si="51"/>
        <v>0</v>
      </c>
      <c r="BL99" s="244">
        <f t="shared" si="51"/>
        <v>0</v>
      </c>
      <c r="BM99" s="244">
        <f t="shared" si="51"/>
        <v>0</v>
      </c>
      <c r="BN99" s="244">
        <f t="shared" si="51"/>
        <v>0</v>
      </c>
      <c r="BO99" s="244">
        <f t="shared" si="51"/>
        <v>0</v>
      </c>
      <c r="BP99" s="244">
        <f t="shared" si="51"/>
        <v>0</v>
      </c>
    </row>
    <row r="100" spans="3:68" x14ac:dyDescent="0.25">
      <c r="E100" s="151"/>
      <c r="F100" s="151"/>
      <c r="G100" s="151"/>
      <c r="H100" s="151"/>
      <c r="I100" s="151"/>
      <c r="J100" s="151"/>
      <c r="K100" s="151"/>
      <c r="L100" s="151"/>
      <c r="M100" s="151"/>
      <c r="N100" s="151"/>
      <c r="O100" s="151"/>
      <c r="P100" s="151"/>
      <c r="Q100" s="151"/>
      <c r="R100" s="151"/>
      <c r="S100" s="151"/>
      <c r="T100" s="151"/>
      <c r="U100" s="151"/>
      <c r="V100" s="151"/>
      <c r="W100" s="151"/>
      <c r="X100" s="151"/>
      <c r="Y100" s="151"/>
      <c r="Z100" s="151"/>
      <c r="AA100" s="151"/>
      <c r="AB100" s="151"/>
      <c r="AC100" s="151"/>
      <c r="AD100" s="151"/>
      <c r="AE100" s="151"/>
      <c r="AF100" s="151"/>
      <c r="AG100" s="151"/>
      <c r="AH100" s="151"/>
      <c r="AI100" s="151"/>
      <c r="AJ100" s="151"/>
      <c r="AK100" s="151"/>
      <c r="AL100" s="151"/>
      <c r="AM100" s="151"/>
      <c r="AN100" s="151"/>
      <c r="AO100" s="151"/>
      <c r="AP100" s="151"/>
      <c r="AQ100" s="151"/>
      <c r="AR100" s="151"/>
      <c r="AS100" s="151"/>
      <c r="AT100" s="151"/>
      <c r="AU100" s="151"/>
      <c r="AV100" s="151"/>
      <c r="AW100" s="151"/>
      <c r="AX100" s="151"/>
      <c r="AY100" s="151"/>
      <c r="AZ100" s="151"/>
      <c r="BA100" s="151"/>
      <c r="BB100" s="151"/>
      <c r="BC100" s="151"/>
      <c r="BD100" s="151"/>
      <c r="BE100" s="151"/>
      <c r="BF100" s="151"/>
      <c r="BG100" s="151"/>
      <c r="BH100" s="151"/>
      <c r="BI100" s="151"/>
      <c r="BJ100" s="151"/>
      <c r="BK100" s="151"/>
      <c r="BL100" s="151"/>
      <c r="BM100" s="151"/>
      <c r="BN100" s="151"/>
      <c r="BO100" s="151"/>
      <c r="BP100" s="151"/>
    </row>
    <row r="101" spans="3:68" x14ac:dyDescent="0.25">
      <c r="C101" s="129" t="s">
        <v>1067</v>
      </c>
      <c r="D101" s="129"/>
      <c r="E101" s="252"/>
      <c r="F101" s="252"/>
      <c r="G101" s="252"/>
      <c r="H101" s="252"/>
      <c r="I101" s="252"/>
      <c r="J101" s="252"/>
      <c r="K101" s="252"/>
      <c r="L101" s="252"/>
      <c r="M101" s="252"/>
      <c r="N101" s="252"/>
      <c r="O101" s="252"/>
      <c r="P101" s="252"/>
      <c r="Q101" s="252"/>
      <c r="R101" s="252"/>
      <c r="S101" s="252"/>
      <c r="T101" s="252"/>
      <c r="U101" s="252"/>
      <c r="V101" s="252"/>
      <c r="W101" s="252"/>
      <c r="X101" s="252"/>
      <c r="Y101" s="252"/>
      <c r="Z101" s="252"/>
      <c r="AA101" s="252"/>
      <c r="AB101" s="252"/>
      <c r="AC101" s="252"/>
      <c r="AD101" s="252"/>
      <c r="AE101" s="252"/>
      <c r="AF101" s="252"/>
      <c r="AG101" s="252"/>
      <c r="AH101" s="252"/>
      <c r="AI101" s="252"/>
      <c r="AJ101" s="252"/>
      <c r="AK101" s="252"/>
      <c r="AL101" s="252"/>
      <c r="AM101" s="252"/>
      <c r="AN101" s="252"/>
      <c r="AO101" s="252"/>
      <c r="AP101" s="252"/>
      <c r="AQ101" s="252"/>
      <c r="AR101" s="252"/>
      <c r="AS101" s="252"/>
      <c r="AT101" s="252"/>
      <c r="AU101" s="252"/>
      <c r="AV101" s="252"/>
      <c r="AW101" s="252"/>
      <c r="AX101" s="252"/>
      <c r="AY101" s="252"/>
      <c r="AZ101" s="252"/>
      <c r="BA101" s="252"/>
      <c r="BB101" s="252"/>
      <c r="BC101" s="252"/>
      <c r="BD101" s="252"/>
      <c r="BE101" s="252"/>
      <c r="BF101" s="252"/>
      <c r="BG101" s="252"/>
      <c r="BH101" s="252"/>
      <c r="BI101" s="252"/>
      <c r="BJ101" s="252"/>
      <c r="BK101" s="252"/>
      <c r="BL101" s="252"/>
      <c r="BM101" s="252"/>
      <c r="BN101" s="252"/>
      <c r="BO101" s="252"/>
      <c r="BP101" s="252"/>
    </row>
    <row r="102" spans="3:68" x14ac:dyDescent="0.25">
      <c r="C102" t="s">
        <v>1068</v>
      </c>
      <c r="D102" t="s">
        <v>125</v>
      </c>
      <c r="E102" s="151"/>
      <c r="F102" s="151"/>
      <c r="G102" s="151">
        <f>SUM(H102:BP102)</f>
        <v>20715.900005479452</v>
      </c>
      <c r="H102" s="151">
        <f>SUMPRODUCT(H44:H55,Deposits!$U$7:$U$18)</f>
        <v>0</v>
      </c>
      <c r="I102" s="151">
        <f>SUMPRODUCT(I44:I55,Deposits!$U$7:$U$18)</f>
        <v>0</v>
      </c>
      <c r="J102" s="151">
        <f>SUMPRODUCT(J44:J55,Deposits!$U$7:$U$18)</f>
        <v>0</v>
      </c>
      <c r="K102" s="151">
        <f>SUMPRODUCT(K44:K55,Deposits!$U$7:$U$18)</f>
        <v>0</v>
      </c>
      <c r="L102" s="151">
        <f>SUMPRODUCT(L44:L55,Deposits!$U$7:$U$18)</f>
        <v>0</v>
      </c>
      <c r="M102" s="151">
        <f>SUMPRODUCT(M44:M55,Deposits!$U$7:$U$18)</f>
        <v>1232.8767123287671</v>
      </c>
      <c r="N102" s="151">
        <f>SUMPRODUCT(N44:N55,Deposits!$U$7:$U$18)</f>
        <v>0</v>
      </c>
      <c r="O102" s="151">
        <f>SUMPRODUCT(O44:O55,Deposits!$U$7:$U$18)</f>
        <v>0</v>
      </c>
      <c r="P102" s="151">
        <f>SUMPRODUCT(P44:P55,Deposits!$U$7:$U$18)</f>
        <v>0</v>
      </c>
      <c r="Q102" s="151">
        <f>SUMPRODUCT(Q44:Q55,Deposits!$U$7:$U$18)</f>
        <v>0</v>
      </c>
      <c r="R102" s="151">
        <f>SUMPRODUCT(R44:R55,Deposits!$U$7:$U$18)</f>
        <v>0</v>
      </c>
      <c r="S102" s="151">
        <f>SUMPRODUCT(S44:S55,Deposits!$U$7:$U$18)</f>
        <v>0</v>
      </c>
      <c r="T102" s="151">
        <f>SUMPRODUCT(T44:T55,Deposits!$U$7:$U$18)</f>
        <v>0</v>
      </c>
      <c r="U102" s="151">
        <f>SUMPRODUCT(U44:U55,Deposits!$U$7:$U$18)</f>
        <v>0</v>
      </c>
      <c r="V102" s="151">
        <f>SUMPRODUCT(V44:V55,Deposits!$U$7:$U$18)</f>
        <v>0</v>
      </c>
      <c r="W102" s="151">
        <f>SUMPRODUCT(W44:W55,Deposits!$U$7:$U$18)</f>
        <v>0</v>
      </c>
      <c r="X102" s="151">
        <f>SUMPRODUCT(X44:X55,Deposits!$U$7:$U$18)</f>
        <v>0</v>
      </c>
      <c r="Y102" s="151">
        <f>SUMPRODUCT(Y44:Y55,Deposits!$U$7:$U$18)</f>
        <v>0</v>
      </c>
      <c r="Z102" s="151">
        <f>SUMPRODUCT(Z44:Z55,Deposits!$U$7:$U$18)</f>
        <v>0</v>
      </c>
      <c r="AA102" s="151">
        <f>SUMPRODUCT(AA44:AA55,Deposits!$U$7:$U$18)</f>
        <v>0</v>
      </c>
      <c r="AB102" s="151">
        <f>SUMPRODUCT(AB44:AB55,Deposits!$U$7:$U$18)</f>
        <v>0</v>
      </c>
      <c r="AC102" s="151">
        <f>SUMPRODUCT(AC44:AC55,Deposits!$U$7:$U$18)</f>
        <v>0</v>
      </c>
      <c r="AD102" s="151">
        <f>SUMPRODUCT(AD44:AD55,Deposits!$U$7:$U$18)</f>
        <v>0</v>
      </c>
      <c r="AE102" s="151">
        <f>SUMPRODUCT(AE44:AE55,Deposits!$U$7:$U$18)</f>
        <v>0</v>
      </c>
      <c r="AF102" s="151">
        <f>SUMPRODUCT(AF44:AF55,Deposits!$U$7:$U$18)</f>
        <v>0</v>
      </c>
      <c r="AG102" s="151">
        <f>SUMPRODUCT(AG44:AG55,Deposits!$U$7:$U$18)</f>
        <v>0</v>
      </c>
      <c r="AH102" s="151">
        <f>SUMPRODUCT(AH44:AH55,Deposits!$U$7:$U$18)</f>
        <v>0</v>
      </c>
      <c r="AI102" s="151">
        <f>SUMPRODUCT(AI44:AI55,Deposits!$U$7:$U$18)</f>
        <v>0</v>
      </c>
      <c r="AJ102" s="151">
        <f>SUMPRODUCT(AJ44:AJ55,Deposits!$U$7:$U$18)</f>
        <v>0</v>
      </c>
      <c r="AK102" s="151">
        <f>SUMPRODUCT(AK44:AK55,Deposits!$U$7:$U$18)</f>
        <v>0</v>
      </c>
      <c r="AL102" s="151">
        <f>SUMPRODUCT(AL44:AL55,Deposits!$U$7:$U$18)</f>
        <v>19483.023293150687</v>
      </c>
      <c r="AM102" s="151">
        <f>SUMPRODUCT(AM44:AM55,Deposits!$U$7:$U$18)</f>
        <v>0</v>
      </c>
      <c r="AN102" s="151">
        <f>SUMPRODUCT(AN44:AN55,Deposits!$U$7:$U$18)</f>
        <v>0</v>
      </c>
      <c r="AO102" s="151">
        <f>SUMPRODUCT(AO44:AO55,Deposits!$U$7:$U$18)</f>
        <v>0</v>
      </c>
      <c r="AP102" s="151">
        <f>SUMPRODUCT(AP44:AP55,Deposits!$U$7:$U$18)</f>
        <v>0</v>
      </c>
      <c r="AQ102" s="151">
        <f>SUMPRODUCT(AQ44:AQ55,Deposits!$U$7:$U$18)</f>
        <v>0</v>
      </c>
      <c r="AR102" s="151">
        <f>SUMPRODUCT(AR44:AR55,Deposits!$U$7:$U$18)</f>
        <v>0</v>
      </c>
      <c r="AS102" s="151">
        <f>SUMPRODUCT(AS44:AS55,Deposits!$U$7:$U$18)</f>
        <v>0</v>
      </c>
      <c r="AT102" s="151">
        <f>SUMPRODUCT(AT44:AT55,Deposits!$U$7:$U$18)</f>
        <v>0</v>
      </c>
      <c r="AU102" s="151">
        <f>SUMPRODUCT(AU44:AU55,Deposits!$U$7:$U$18)</f>
        <v>0</v>
      </c>
      <c r="AV102" s="151">
        <f>SUMPRODUCT(AV44:AV55,Deposits!$U$7:$U$18)</f>
        <v>0</v>
      </c>
      <c r="AW102" s="151">
        <f>SUMPRODUCT(AW44:AW55,Deposits!$U$7:$U$18)</f>
        <v>0</v>
      </c>
      <c r="AX102" s="151">
        <f>SUMPRODUCT(AX44:AX55,Deposits!$U$7:$U$18)</f>
        <v>0</v>
      </c>
      <c r="AY102" s="151">
        <f>SUMPRODUCT(AY44:AY55,Deposits!$U$7:$U$18)</f>
        <v>0</v>
      </c>
      <c r="AZ102" s="151">
        <f>SUMPRODUCT(AZ44:AZ55,Deposits!$U$7:$U$18)</f>
        <v>0</v>
      </c>
      <c r="BA102" s="151">
        <f>SUMPRODUCT(BA44:BA55,Deposits!$U$7:$U$18)</f>
        <v>0</v>
      </c>
      <c r="BB102" s="151">
        <f>SUMPRODUCT(BB44:BB55,Deposits!$U$7:$U$18)</f>
        <v>0</v>
      </c>
      <c r="BC102" s="151">
        <f>SUMPRODUCT(BC44:BC55,Deposits!$U$7:$U$18)</f>
        <v>0</v>
      </c>
      <c r="BD102" s="151">
        <f>SUMPRODUCT(BD44:BD55,Deposits!$U$7:$U$18)</f>
        <v>0</v>
      </c>
      <c r="BE102" s="151">
        <f>SUMPRODUCT(BE44:BE55,Deposits!$U$7:$U$18)</f>
        <v>0</v>
      </c>
      <c r="BF102" s="151">
        <f>SUMPRODUCT(BF44:BF55,Deposits!$U$7:$U$18)</f>
        <v>0</v>
      </c>
      <c r="BG102" s="151">
        <f>SUMPRODUCT(BG44:BG55,Deposits!$U$7:$U$18)</f>
        <v>0</v>
      </c>
      <c r="BH102" s="151">
        <f>SUMPRODUCT(BH44:BH55,Deposits!$U$7:$U$18)</f>
        <v>0</v>
      </c>
      <c r="BI102" s="151">
        <f>SUMPRODUCT(BI44:BI55,Deposits!$U$7:$U$18)</f>
        <v>0</v>
      </c>
      <c r="BJ102" s="151">
        <f>SUMPRODUCT(BJ44:BJ55,Deposits!$U$7:$U$18)</f>
        <v>0</v>
      </c>
      <c r="BK102" s="151">
        <f>SUMPRODUCT(BK44:BK55,Deposits!$U$7:$U$18)</f>
        <v>0</v>
      </c>
      <c r="BL102" s="151">
        <f>SUMPRODUCT(BL44:BL55,Deposits!$U$7:$U$18)</f>
        <v>0</v>
      </c>
      <c r="BM102" s="151">
        <f>SUMPRODUCT(BM44:BM55,Deposits!$U$7:$U$18)</f>
        <v>0</v>
      </c>
      <c r="BN102" s="151">
        <f>SUMPRODUCT(BN44:BN55,Deposits!$U$7:$U$18)</f>
        <v>0</v>
      </c>
      <c r="BO102" s="151">
        <f>SUMPRODUCT(BO44:BO55,Deposits!$U$7:$U$18)</f>
        <v>0</v>
      </c>
      <c r="BP102" s="151">
        <f>SUMPRODUCT(BP44:BP55,Deposits!$U$7:$U$18)</f>
        <v>0</v>
      </c>
    </row>
    <row r="103" spans="3:68" x14ac:dyDescent="0.25">
      <c r="C103" t="s">
        <v>1069</v>
      </c>
      <c r="D103" t="s">
        <v>125</v>
      </c>
      <c r="E103" s="151"/>
      <c r="F103" s="151"/>
      <c r="G103" s="151">
        <f>SUM(H103:BP103)</f>
        <v>8.2191780821917817</v>
      </c>
      <c r="H103" s="151">
        <f t="shared" ref="H103:AM103" si="52">H56-H102</f>
        <v>0</v>
      </c>
      <c r="I103" s="151">
        <f t="shared" si="52"/>
        <v>0</v>
      </c>
      <c r="J103" s="151">
        <f t="shared" si="52"/>
        <v>0</v>
      </c>
      <c r="K103" s="151">
        <f t="shared" si="52"/>
        <v>8.2191780821917817</v>
      </c>
      <c r="L103" s="151">
        <f t="shared" si="52"/>
        <v>0</v>
      </c>
      <c r="M103" s="151">
        <f t="shared" si="52"/>
        <v>0</v>
      </c>
      <c r="N103" s="151">
        <f t="shared" si="52"/>
        <v>0</v>
      </c>
      <c r="O103" s="151">
        <f t="shared" si="52"/>
        <v>0</v>
      </c>
      <c r="P103" s="151">
        <f t="shared" si="52"/>
        <v>0</v>
      </c>
      <c r="Q103" s="151">
        <f t="shared" si="52"/>
        <v>0</v>
      </c>
      <c r="R103" s="151">
        <f t="shared" si="52"/>
        <v>0</v>
      </c>
      <c r="S103" s="151">
        <f t="shared" si="52"/>
        <v>0</v>
      </c>
      <c r="T103" s="151">
        <f t="shared" si="52"/>
        <v>0</v>
      </c>
      <c r="U103" s="151">
        <f t="shared" si="52"/>
        <v>0</v>
      </c>
      <c r="V103" s="151">
        <f t="shared" si="52"/>
        <v>0</v>
      </c>
      <c r="W103" s="151">
        <f t="shared" si="52"/>
        <v>0</v>
      </c>
      <c r="X103" s="151">
        <f t="shared" si="52"/>
        <v>0</v>
      </c>
      <c r="Y103" s="151">
        <f t="shared" si="52"/>
        <v>0</v>
      </c>
      <c r="Z103" s="151">
        <f t="shared" si="52"/>
        <v>0</v>
      </c>
      <c r="AA103" s="151">
        <f t="shared" si="52"/>
        <v>0</v>
      </c>
      <c r="AB103" s="151">
        <f t="shared" si="52"/>
        <v>0</v>
      </c>
      <c r="AC103" s="151">
        <f t="shared" si="52"/>
        <v>0</v>
      </c>
      <c r="AD103" s="151">
        <f t="shared" si="52"/>
        <v>0</v>
      </c>
      <c r="AE103" s="151">
        <f t="shared" si="52"/>
        <v>0</v>
      </c>
      <c r="AF103" s="151">
        <f t="shared" si="52"/>
        <v>0</v>
      </c>
      <c r="AG103" s="151">
        <f t="shared" si="52"/>
        <v>0</v>
      </c>
      <c r="AH103" s="151">
        <f t="shared" si="52"/>
        <v>0</v>
      </c>
      <c r="AI103" s="151">
        <f t="shared" si="52"/>
        <v>0</v>
      </c>
      <c r="AJ103" s="151">
        <f t="shared" si="52"/>
        <v>0</v>
      </c>
      <c r="AK103" s="151">
        <f t="shared" si="52"/>
        <v>0</v>
      </c>
      <c r="AL103" s="151">
        <f t="shared" si="52"/>
        <v>0</v>
      </c>
      <c r="AM103" s="151">
        <f t="shared" si="52"/>
        <v>0</v>
      </c>
      <c r="AN103" s="151">
        <f t="shared" ref="AN103:BP103" si="53">AN56-AN102</f>
        <v>0</v>
      </c>
      <c r="AO103" s="151">
        <f t="shared" si="53"/>
        <v>0</v>
      </c>
      <c r="AP103" s="151">
        <f t="shared" si="53"/>
        <v>0</v>
      </c>
      <c r="AQ103" s="151">
        <f t="shared" si="53"/>
        <v>0</v>
      </c>
      <c r="AR103" s="151">
        <f t="shared" si="53"/>
        <v>0</v>
      </c>
      <c r="AS103" s="151">
        <f t="shared" si="53"/>
        <v>0</v>
      </c>
      <c r="AT103" s="151">
        <f t="shared" si="53"/>
        <v>0</v>
      </c>
      <c r="AU103" s="151">
        <f t="shared" si="53"/>
        <v>0</v>
      </c>
      <c r="AV103" s="151">
        <f t="shared" si="53"/>
        <v>0</v>
      </c>
      <c r="AW103" s="151">
        <f t="shared" si="53"/>
        <v>0</v>
      </c>
      <c r="AX103" s="151">
        <f t="shared" si="53"/>
        <v>0</v>
      </c>
      <c r="AY103" s="151">
        <f t="shared" si="53"/>
        <v>0</v>
      </c>
      <c r="AZ103" s="151">
        <f t="shared" si="53"/>
        <v>0</v>
      </c>
      <c r="BA103" s="151">
        <f t="shared" si="53"/>
        <v>0</v>
      </c>
      <c r="BB103" s="151">
        <f t="shared" si="53"/>
        <v>0</v>
      </c>
      <c r="BC103" s="151">
        <f t="shared" si="53"/>
        <v>0</v>
      </c>
      <c r="BD103" s="151">
        <f t="shared" si="53"/>
        <v>0</v>
      </c>
      <c r="BE103" s="151">
        <f t="shared" si="53"/>
        <v>0</v>
      </c>
      <c r="BF103" s="151">
        <f t="shared" si="53"/>
        <v>0</v>
      </c>
      <c r="BG103" s="151">
        <f t="shared" si="53"/>
        <v>0</v>
      </c>
      <c r="BH103" s="151">
        <f t="shared" si="53"/>
        <v>0</v>
      </c>
      <c r="BI103" s="151">
        <f t="shared" si="53"/>
        <v>0</v>
      </c>
      <c r="BJ103" s="151">
        <f t="shared" si="53"/>
        <v>0</v>
      </c>
      <c r="BK103" s="151">
        <f t="shared" si="53"/>
        <v>0</v>
      </c>
      <c r="BL103" s="151">
        <f t="shared" si="53"/>
        <v>0</v>
      </c>
      <c r="BM103" s="151">
        <f t="shared" si="53"/>
        <v>0</v>
      </c>
      <c r="BN103" s="151">
        <f t="shared" si="53"/>
        <v>0</v>
      </c>
      <c r="BO103" s="151">
        <f t="shared" si="53"/>
        <v>0</v>
      </c>
      <c r="BP103" s="151">
        <f t="shared" si="53"/>
        <v>0</v>
      </c>
    </row>
    <row r="104" spans="3:68" x14ac:dyDescent="0.25">
      <c r="E104" s="151"/>
      <c r="F104" s="151"/>
      <c r="G104" s="151"/>
      <c r="H104" s="151"/>
      <c r="I104" s="151"/>
      <c r="J104" s="151"/>
      <c r="K104" s="151"/>
      <c r="L104" s="151"/>
      <c r="M104" s="151"/>
      <c r="N104" s="151"/>
      <c r="O104" s="151"/>
      <c r="P104" s="151"/>
      <c r="Q104" s="151"/>
      <c r="R104" s="151"/>
      <c r="S104" s="151"/>
      <c r="T104" s="151"/>
      <c r="U104" s="151"/>
      <c r="V104" s="151"/>
      <c r="W104" s="151"/>
      <c r="X104" s="151"/>
      <c r="Y104" s="151"/>
      <c r="Z104" s="151"/>
      <c r="AA104" s="151"/>
      <c r="AB104" s="151"/>
      <c r="AC104" s="151"/>
      <c r="AD104" s="151"/>
      <c r="AE104" s="151"/>
      <c r="AF104" s="151"/>
      <c r="AG104" s="151"/>
      <c r="AH104" s="151"/>
      <c r="AI104" s="151"/>
      <c r="AJ104" s="151"/>
      <c r="AK104" s="151"/>
      <c r="AL104" s="151"/>
      <c r="AM104" s="151"/>
      <c r="AN104" s="151"/>
      <c r="AO104" s="151"/>
      <c r="AP104" s="151"/>
      <c r="AQ104" s="151"/>
      <c r="AR104" s="151"/>
      <c r="AS104" s="151"/>
      <c r="AT104" s="151"/>
      <c r="AU104" s="151"/>
      <c r="AV104" s="151"/>
      <c r="AW104" s="151"/>
      <c r="AX104" s="151"/>
      <c r="AY104" s="151"/>
      <c r="AZ104" s="151"/>
      <c r="BA104" s="151"/>
      <c r="BB104" s="151"/>
      <c r="BC104" s="151"/>
      <c r="BD104" s="151"/>
      <c r="BE104" s="151"/>
      <c r="BF104" s="151"/>
      <c r="BG104" s="151"/>
      <c r="BH104" s="151"/>
      <c r="BI104" s="151"/>
      <c r="BJ104" s="151"/>
      <c r="BK104" s="151"/>
      <c r="BL104" s="151"/>
      <c r="BM104" s="151"/>
      <c r="BN104" s="151"/>
      <c r="BO104" s="151"/>
      <c r="BP104" s="151"/>
    </row>
    <row r="105" spans="3:68" x14ac:dyDescent="0.25">
      <c r="C105" s="129" t="s">
        <v>1070</v>
      </c>
      <c r="D105" s="129"/>
      <c r="E105" s="252"/>
      <c r="F105" s="252"/>
      <c r="G105" s="252"/>
      <c r="H105" s="252"/>
      <c r="I105" s="252"/>
      <c r="J105" s="252"/>
      <c r="K105" s="252"/>
      <c r="L105" s="252"/>
      <c r="M105" s="252"/>
      <c r="N105" s="252"/>
      <c r="O105" s="252"/>
      <c r="P105" s="252"/>
      <c r="Q105" s="252"/>
      <c r="R105" s="252"/>
      <c r="S105" s="252"/>
      <c r="T105" s="252"/>
      <c r="U105" s="252"/>
      <c r="V105" s="252"/>
      <c r="W105" s="252"/>
      <c r="X105" s="252"/>
      <c r="Y105" s="252"/>
      <c r="Z105" s="252"/>
      <c r="AA105" s="252"/>
      <c r="AB105" s="252"/>
      <c r="AC105" s="252"/>
      <c r="AD105" s="252"/>
      <c r="AE105" s="252"/>
      <c r="AF105" s="252"/>
      <c r="AG105" s="252"/>
      <c r="AH105" s="252"/>
      <c r="AI105" s="252"/>
      <c r="AJ105" s="252"/>
      <c r="AK105" s="252"/>
      <c r="AL105" s="252"/>
      <c r="AM105" s="252"/>
      <c r="AN105" s="252"/>
      <c r="AO105" s="252"/>
      <c r="AP105" s="252"/>
      <c r="AQ105" s="252"/>
      <c r="AR105" s="252"/>
      <c r="AS105" s="252"/>
      <c r="AT105" s="252"/>
      <c r="AU105" s="252"/>
      <c r="AV105" s="252"/>
      <c r="AW105" s="252"/>
      <c r="AX105" s="252"/>
      <c r="AY105" s="252"/>
      <c r="AZ105" s="252"/>
      <c r="BA105" s="252"/>
      <c r="BB105" s="252"/>
      <c r="BC105" s="252"/>
      <c r="BD105" s="252"/>
      <c r="BE105" s="252"/>
      <c r="BF105" s="252"/>
      <c r="BG105" s="252"/>
      <c r="BH105" s="252"/>
      <c r="BI105" s="252"/>
      <c r="BJ105" s="252"/>
      <c r="BK105" s="252"/>
      <c r="BL105" s="252"/>
      <c r="BM105" s="252"/>
      <c r="BN105" s="252"/>
      <c r="BO105" s="252"/>
      <c r="BP105" s="252"/>
    </row>
    <row r="106" spans="3:68" x14ac:dyDescent="0.25">
      <c r="C106" t="s">
        <v>1071</v>
      </c>
      <c r="D106" t="s">
        <v>51</v>
      </c>
      <c r="E106" s="134">
        <f>IF(Inputs!$E$35=1,Inputs!$E$33,1)</f>
        <v>1</v>
      </c>
      <c r="F106" s="151"/>
      <c r="G106" s="151"/>
      <c r="H106" s="151"/>
      <c r="I106" s="151"/>
      <c r="J106" s="151"/>
      <c r="K106" s="151"/>
      <c r="L106" s="151"/>
      <c r="M106" s="151"/>
      <c r="N106" s="151"/>
      <c r="O106" s="151"/>
      <c r="P106" s="151"/>
      <c r="Q106" s="151"/>
      <c r="R106" s="151"/>
      <c r="S106" s="151"/>
      <c r="T106" s="151"/>
      <c r="U106" s="151"/>
      <c r="V106" s="151"/>
      <c r="W106" s="151"/>
      <c r="X106" s="151"/>
      <c r="Y106" s="151"/>
      <c r="Z106" s="151"/>
      <c r="AA106" s="151"/>
      <c r="AB106" s="151"/>
      <c r="AC106" s="151"/>
      <c r="AD106" s="151"/>
      <c r="AE106" s="151"/>
      <c r="AF106" s="151"/>
      <c r="AG106" s="151"/>
      <c r="AH106" s="151"/>
      <c r="AI106" s="151"/>
      <c r="AJ106" s="151"/>
      <c r="AK106" s="151"/>
      <c r="AL106" s="151"/>
      <c r="AM106" s="151"/>
      <c r="AN106" s="151"/>
      <c r="AO106" s="151"/>
      <c r="AP106" s="151"/>
      <c r="AQ106" s="151"/>
      <c r="AR106" s="151"/>
      <c r="AS106" s="151"/>
      <c r="AT106" s="151"/>
      <c r="AU106" s="151"/>
      <c r="AV106" s="151"/>
      <c r="AW106" s="151"/>
      <c r="AX106" s="151"/>
      <c r="AY106" s="151"/>
      <c r="AZ106" s="151"/>
      <c r="BA106" s="151"/>
      <c r="BB106" s="151"/>
      <c r="BC106" s="151"/>
      <c r="BD106" s="151"/>
      <c r="BE106" s="151"/>
      <c r="BF106" s="151"/>
      <c r="BG106" s="151"/>
      <c r="BH106" s="151"/>
      <c r="BI106" s="151"/>
      <c r="BJ106" s="151"/>
      <c r="BK106" s="151"/>
      <c r="BL106" s="151"/>
      <c r="BM106" s="151"/>
      <c r="BN106" s="151"/>
      <c r="BO106" s="151"/>
      <c r="BP106" s="151"/>
    </row>
    <row r="107" spans="3:68" x14ac:dyDescent="0.25">
      <c r="C107" t="s">
        <v>1072</v>
      </c>
      <c r="D107" t="s">
        <v>51</v>
      </c>
      <c r="E107" s="134">
        <f>1-E106</f>
        <v>0</v>
      </c>
      <c r="F107" s="151"/>
      <c r="G107" s="151"/>
      <c r="H107" s="151"/>
      <c r="I107" s="151"/>
      <c r="J107" s="151"/>
      <c r="K107" s="151"/>
      <c r="L107" s="151"/>
      <c r="M107" s="151"/>
      <c r="N107" s="151"/>
      <c r="O107" s="151"/>
      <c r="P107" s="151"/>
      <c r="Q107" s="151"/>
      <c r="R107" s="151"/>
      <c r="S107" s="151"/>
      <c r="T107" s="151"/>
      <c r="U107" s="151"/>
      <c r="V107" s="151"/>
      <c r="W107" s="151"/>
      <c r="X107" s="151"/>
      <c r="Y107" s="151"/>
      <c r="Z107" s="151"/>
      <c r="AA107" s="151"/>
      <c r="AB107" s="151"/>
      <c r="AC107" s="151"/>
      <c r="AD107" s="151"/>
      <c r="AE107" s="151"/>
      <c r="AF107" s="151"/>
      <c r="AG107" s="151"/>
      <c r="AH107" s="151"/>
      <c r="AI107" s="151"/>
      <c r="AJ107" s="151"/>
      <c r="AK107" s="151"/>
      <c r="AL107" s="151"/>
      <c r="AM107" s="151"/>
      <c r="AN107" s="151"/>
      <c r="AO107" s="151"/>
      <c r="AP107" s="151"/>
      <c r="AQ107" s="151"/>
      <c r="AR107" s="151"/>
      <c r="AS107" s="151"/>
      <c r="AT107" s="151"/>
      <c r="AU107" s="151"/>
      <c r="AV107" s="151"/>
      <c r="AW107" s="151"/>
      <c r="AX107" s="151"/>
      <c r="AY107" s="151"/>
      <c r="AZ107" s="151"/>
      <c r="BA107" s="151"/>
      <c r="BB107" s="151"/>
      <c r="BC107" s="151"/>
      <c r="BD107" s="151"/>
      <c r="BE107" s="151"/>
      <c r="BF107" s="151"/>
      <c r="BG107" s="151"/>
      <c r="BH107" s="151"/>
      <c r="BI107" s="151"/>
      <c r="BJ107" s="151"/>
      <c r="BK107" s="151"/>
      <c r="BL107" s="151"/>
      <c r="BM107" s="151"/>
      <c r="BN107" s="151"/>
      <c r="BO107" s="151"/>
      <c r="BP107" s="151"/>
    </row>
    <row r="108" spans="3:68" x14ac:dyDescent="0.25">
      <c r="C108" s="198" t="s">
        <v>1073</v>
      </c>
      <c r="D108" s="198"/>
      <c r="E108" s="244"/>
      <c r="F108" s="244"/>
      <c r="G108" s="244"/>
      <c r="H108" s="244"/>
      <c r="I108" s="244"/>
      <c r="J108" s="244"/>
      <c r="K108" s="244"/>
      <c r="L108" s="244"/>
      <c r="M108" s="244"/>
      <c r="N108" s="244"/>
      <c r="O108" s="244"/>
      <c r="P108" s="244"/>
      <c r="Q108" s="244"/>
      <c r="R108" s="244"/>
      <c r="S108" s="244"/>
      <c r="T108" s="244"/>
      <c r="U108" s="244"/>
      <c r="V108" s="244"/>
      <c r="W108" s="244"/>
      <c r="X108" s="244"/>
      <c r="Y108" s="244"/>
      <c r="Z108" s="244"/>
      <c r="AA108" s="244"/>
      <c r="AB108" s="244"/>
      <c r="AC108" s="244"/>
      <c r="AD108" s="244"/>
      <c r="AE108" s="244"/>
      <c r="AF108" s="244"/>
      <c r="AG108" s="244"/>
      <c r="AH108" s="244"/>
      <c r="AI108" s="244"/>
      <c r="AJ108" s="244"/>
      <c r="AK108" s="244"/>
      <c r="AL108" s="244"/>
      <c r="AM108" s="244"/>
      <c r="AN108" s="244"/>
      <c r="AO108" s="244"/>
      <c r="AP108" s="244"/>
      <c r="AQ108" s="244"/>
      <c r="AR108" s="244"/>
      <c r="AS108" s="244"/>
      <c r="AT108" s="244"/>
      <c r="AU108" s="244"/>
      <c r="AV108" s="244"/>
      <c r="AW108" s="244"/>
      <c r="AX108" s="244"/>
      <c r="AY108" s="244"/>
      <c r="AZ108" s="244"/>
      <c r="BA108" s="244"/>
      <c r="BB108" s="244"/>
      <c r="BC108" s="244"/>
      <c r="BD108" s="244"/>
      <c r="BE108" s="244"/>
      <c r="BF108" s="244"/>
      <c r="BG108" s="244"/>
      <c r="BH108" s="244"/>
      <c r="BI108" s="244"/>
      <c r="BJ108" s="244"/>
      <c r="BK108" s="244"/>
      <c r="BL108" s="244"/>
      <c r="BM108" s="244"/>
      <c r="BN108" s="244"/>
      <c r="BO108" s="244"/>
      <c r="BP108" s="244"/>
    </row>
    <row r="109" spans="3:68" x14ac:dyDescent="0.25">
      <c r="C109" t="s">
        <v>1042</v>
      </c>
      <c r="D109" t="s">
        <v>125</v>
      </c>
      <c r="E109" s="151"/>
      <c r="F109" s="151"/>
      <c r="G109" s="151"/>
      <c r="H109" s="151">
        <v>0</v>
      </c>
      <c r="I109" s="151">
        <f t="shared" ref="I109:AN109" si="54">H113</f>
        <v>0</v>
      </c>
      <c r="J109" s="151">
        <f t="shared" si="54"/>
        <v>0</v>
      </c>
      <c r="K109" s="151">
        <f t="shared" si="54"/>
        <v>0</v>
      </c>
      <c r="L109" s="151">
        <f t="shared" si="54"/>
        <v>0</v>
      </c>
      <c r="M109" s="151">
        <f t="shared" si="54"/>
        <v>0</v>
      </c>
      <c r="N109" s="151">
        <f t="shared" si="54"/>
        <v>1244.5752241659243</v>
      </c>
      <c r="O109" s="151">
        <f t="shared" si="54"/>
        <v>1256.384740759547</v>
      </c>
      <c r="P109" s="151">
        <f t="shared" si="54"/>
        <v>1268.306315410784</v>
      </c>
      <c r="Q109" s="151">
        <f t="shared" si="54"/>
        <v>1280.341011415341</v>
      </c>
      <c r="R109" s="151">
        <f t="shared" si="54"/>
        <v>1292.4899021583158</v>
      </c>
      <c r="S109" s="151">
        <f t="shared" si="54"/>
        <v>1304.7540712099355</v>
      </c>
      <c r="T109" s="151">
        <f t="shared" si="54"/>
        <v>1317.1346124222009</v>
      </c>
      <c r="U109" s="151">
        <f t="shared" si="54"/>
        <v>1329.6326300264475</v>
      </c>
      <c r="V109" s="151">
        <f t="shared" si="54"/>
        <v>1342.2492387318334</v>
      </c>
      <c r="W109" s="151">
        <f t="shared" si="54"/>
        <v>1354.9855638247616</v>
      </c>
      <c r="X109" s="151">
        <f t="shared" si="54"/>
        <v>1367.842741269244</v>
      </c>
      <c r="Y109" s="151">
        <f t="shared" si="54"/>
        <v>1380.8219178082204</v>
      </c>
      <c r="Z109" s="151">
        <f t="shared" si="54"/>
        <v>1393.9242510658364</v>
      </c>
      <c r="AA109" s="151">
        <f t="shared" si="54"/>
        <v>1407.1509096506938</v>
      </c>
      <c r="AB109" s="151">
        <f t="shared" si="54"/>
        <v>1420.5030732600794</v>
      </c>
      <c r="AC109" s="151">
        <f t="shared" si="54"/>
        <v>1433.9819327851831</v>
      </c>
      <c r="AD109" s="151">
        <f t="shared" si="54"/>
        <v>1447.5886904173149</v>
      </c>
      <c r="AE109" s="151">
        <f t="shared" si="54"/>
        <v>1461.324559755129</v>
      </c>
      <c r="AF109" s="151">
        <f t="shared" si="54"/>
        <v>1475.1907659128663</v>
      </c>
      <c r="AG109" s="151">
        <f t="shared" si="54"/>
        <v>1489.1885456296225</v>
      </c>
      <c r="AH109" s="151">
        <f t="shared" si="54"/>
        <v>1503.3191473796549</v>
      </c>
      <c r="AI109" s="151">
        <f t="shared" si="54"/>
        <v>1517.5838314837342</v>
      </c>
      <c r="AJ109" s="151">
        <f t="shared" si="54"/>
        <v>1531.9838702215545</v>
      </c>
      <c r="AK109" s="151">
        <f t="shared" si="54"/>
        <v>1546.5205479452079</v>
      </c>
      <c r="AL109" s="151">
        <f t="shared" si="54"/>
        <v>1561.1951611937379</v>
      </c>
      <c r="AM109" s="151">
        <f t="shared" si="54"/>
        <v>21243.90268572783</v>
      </c>
      <c r="AN109" s="151">
        <f t="shared" si="54"/>
        <v>21445.481679435132</v>
      </c>
      <c r="AO109" s="151">
        <f t="shared" ref="AO109:BP109" si="55">AN113</f>
        <v>21648.973414473687</v>
      </c>
      <c r="AP109" s="151">
        <f t="shared" si="55"/>
        <v>21854.396040449919</v>
      </c>
      <c r="AQ109" s="151">
        <f t="shared" si="55"/>
        <v>22061.767879188119</v>
      </c>
      <c r="AR109" s="151">
        <f t="shared" si="55"/>
        <v>22271.107426364571</v>
      </c>
      <c r="AS109" s="151">
        <f t="shared" si="55"/>
        <v>22271.107426364571</v>
      </c>
      <c r="AT109" s="151">
        <f t="shared" si="55"/>
        <v>22271.107426364571</v>
      </c>
      <c r="AU109" s="151">
        <f t="shared" si="55"/>
        <v>0</v>
      </c>
      <c r="AV109" s="151">
        <f t="shared" si="55"/>
        <v>0</v>
      </c>
      <c r="AW109" s="151">
        <f t="shared" si="55"/>
        <v>0</v>
      </c>
      <c r="AX109" s="151">
        <f t="shared" si="55"/>
        <v>0</v>
      </c>
      <c r="AY109" s="151">
        <f t="shared" si="55"/>
        <v>0</v>
      </c>
      <c r="AZ109" s="151">
        <f t="shared" si="55"/>
        <v>0</v>
      </c>
      <c r="BA109" s="151">
        <f t="shared" si="55"/>
        <v>0</v>
      </c>
      <c r="BB109" s="151">
        <f t="shared" si="55"/>
        <v>0</v>
      </c>
      <c r="BC109" s="151">
        <f t="shared" si="55"/>
        <v>0</v>
      </c>
      <c r="BD109" s="151">
        <f t="shared" si="55"/>
        <v>0</v>
      </c>
      <c r="BE109" s="151">
        <f t="shared" si="55"/>
        <v>0</v>
      </c>
      <c r="BF109" s="151">
        <f t="shared" si="55"/>
        <v>0</v>
      </c>
      <c r="BG109" s="151">
        <f t="shared" si="55"/>
        <v>0</v>
      </c>
      <c r="BH109" s="151">
        <f t="shared" si="55"/>
        <v>0</v>
      </c>
      <c r="BI109" s="151">
        <f t="shared" si="55"/>
        <v>0</v>
      </c>
      <c r="BJ109" s="151">
        <f t="shared" si="55"/>
        <v>0</v>
      </c>
      <c r="BK109" s="151">
        <f t="shared" si="55"/>
        <v>0</v>
      </c>
      <c r="BL109" s="151">
        <f t="shared" si="55"/>
        <v>0</v>
      </c>
      <c r="BM109" s="151">
        <f t="shared" si="55"/>
        <v>0</v>
      </c>
      <c r="BN109" s="151">
        <f t="shared" si="55"/>
        <v>0</v>
      </c>
      <c r="BO109" s="151">
        <f t="shared" si="55"/>
        <v>0</v>
      </c>
      <c r="BP109" s="151">
        <f t="shared" si="55"/>
        <v>0</v>
      </c>
    </row>
    <row r="110" spans="3:68" x14ac:dyDescent="0.25">
      <c r="C110" t="s">
        <v>1074</v>
      </c>
      <c r="D110" t="s">
        <v>125</v>
      </c>
      <c r="E110" s="151"/>
      <c r="F110" s="151"/>
      <c r="G110" s="151">
        <f>SUM(H110:BP110)</f>
        <v>20715.900005479452</v>
      </c>
      <c r="H110" s="151">
        <f t="shared" ref="H110:AM110" si="56">$E$106*H102</f>
        <v>0</v>
      </c>
      <c r="I110" s="151">
        <f t="shared" si="56"/>
        <v>0</v>
      </c>
      <c r="J110" s="151">
        <f t="shared" si="56"/>
        <v>0</v>
      </c>
      <c r="K110" s="151">
        <f t="shared" si="56"/>
        <v>0</v>
      </c>
      <c r="L110" s="151">
        <f t="shared" si="56"/>
        <v>0</v>
      </c>
      <c r="M110" s="151">
        <f t="shared" si="56"/>
        <v>1232.8767123287671</v>
      </c>
      <c r="N110" s="151">
        <f t="shared" si="56"/>
        <v>0</v>
      </c>
      <c r="O110" s="151">
        <f t="shared" si="56"/>
        <v>0</v>
      </c>
      <c r="P110" s="151">
        <f t="shared" si="56"/>
        <v>0</v>
      </c>
      <c r="Q110" s="151">
        <f t="shared" si="56"/>
        <v>0</v>
      </c>
      <c r="R110" s="151">
        <f t="shared" si="56"/>
        <v>0</v>
      </c>
      <c r="S110" s="151">
        <f t="shared" si="56"/>
        <v>0</v>
      </c>
      <c r="T110" s="151">
        <f t="shared" si="56"/>
        <v>0</v>
      </c>
      <c r="U110" s="151">
        <f t="shared" si="56"/>
        <v>0</v>
      </c>
      <c r="V110" s="151">
        <f t="shared" si="56"/>
        <v>0</v>
      </c>
      <c r="W110" s="151">
        <f t="shared" si="56"/>
        <v>0</v>
      </c>
      <c r="X110" s="151">
        <f t="shared" si="56"/>
        <v>0</v>
      </c>
      <c r="Y110" s="151">
        <f t="shared" si="56"/>
        <v>0</v>
      </c>
      <c r="Z110" s="151">
        <f t="shared" si="56"/>
        <v>0</v>
      </c>
      <c r="AA110" s="151">
        <f t="shared" si="56"/>
        <v>0</v>
      </c>
      <c r="AB110" s="151">
        <f t="shared" si="56"/>
        <v>0</v>
      </c>
      <c r="AC110" s="151">
        <f t="shared" si="56"/>
        <v>0</v>
      </c>
      <c r="AD110" s="151">
        <f t="shared" si="56"/>
        <v>0</v>
      </c>
      <c r="AE110" s="151">
        <f t="shared" si="56"/>
        <v>0</v>
      </c>
      <c r="AF110" s="151">
        <f t="shared" si="56"/>
        <v>0</v>
      </c>
      <c r="AG110" s="151">
        <f t="shared" si="56"/>
        <v>0</v>
      </c>
      <c r="AH110" s="151">
        <f t="shared" si="56"/>
        <v>0</v>
      </c>
      <c r="AI110" s="151">
        <f t="shared" si="56"/>
        <v>0</v>
      </c>
      <c r="AJ110" s="151">
        <f t="shared" si="56"/>
        <v>0</v>
      </c>
      <c r="AK110" s="151">
        <f t="shared" si="56"/>
        <v>0</v>
      </c>
      <c r="AL110" s="151">
        <f t="shared" si="56"/>
        <v>19483.023293150687</v>
      </c>
      <c r="AM110" s="151">
        <f t="shared" si="56"/>
        <v>0</v>
      </c>
      <c r="AN110" s="151">
        <f t="shared" ref="AN110:BP110" si="57">$E$106*AN102</f>
        <v>0</v>
      </c>
      <c r="AO110" s="151">
        <f t="shared" si="57"/>
        <v>0</v>
      </c>
      <c r="AP110" s="151">
        <f t="shared" si="57"/>
        <v>0</v>
      </c>
      <c r="AQ110" s="151">
        <f t="shared" si="57"/>
        <v>0</v>
      </c>
      <c r="AR110" s="151">
        <f t="shared" si="57"/>
        <v>0</v>
      </c>
      <c r="AS110" s="151">
        <f t="shared" si="57"/>
        <v>0</v>
      </c>
      <c r="AT110" s="151">
        <f t="shared" si="57"/>
        <v>0</v>
      </c>
      <c r="AU110" s="151">
        <f t="shared" si="57"/>
        <v>0</v>
      </c>
      <c r="AV110" s="151">
        <f t="shared" si="57"/>
        <v>0</v>
      </c>
      <c r="AW110" s="151">
        <f t="shared" si="57"/>
        <v>0</v>
      </c>
      <c r="AX110" s="151">
        <f t="shared" si="57"/>
        <v>0</v>
      </c>
      <c r="AY110" s="151">
        <f t="shared" si="57"/>
        <v>0</v>
      </c>
      <c r="AZ110" s="151">
        <f t="shared" si="57"/>
        <v>0</v>
      </c>
      <c r="BA110" s="151">
        <f t="shared" si="57"/>
        <v>0</v>
      </c>
      <c r="BB110" s="151">
        <f t="shared" si="57"/>
        <v>0</v>
      </c>
      <c r="BC110" s="151">
        <f t="shared" si="57"/>
        <v>0</v>
      </c>
      <c r="BD110" s="151">
        <f t="shared" si="57"/>
        <v>0</v>
      </c>
      <c r="BE110" s="151">
        <f t="shared" si="57"/>
        <v>0</v>
      </c>
      <c r="BF110" s="151">
        <f t="shared" si="57"/>
        <v>0</v>
      </c>
      <c r="BG110" s="151">
        <f t="shared" si="57"/>
        <v>0</v>
      </c>
      <c r="BH110" s="151">
        <f t="shared" si="57"/>
        <v>0</v>
      </c>
      <c r="BI110" s="151">
        <f t="shared" si="57"/>
        <v>0</v>
      </c>
      <c r="BJ110" s="151">
        <f t="shared" si="57"/>
        <v>0</v>
      </c>
      <c r="BK110" s="151">
        <f t="shared" si="57"/>
        <v>0</v>
      </c>
      <c r="BL110" s="151">
        <f t="shared" si="57"/>
        <v>0</v>
      </c>
      <c r="BM110" s="151">
        <f t="shared" si="57"/>
        <v>0</v>
      </c>
      <c r="BN110" s="151">
        <f t="shared" si="57"/>
        <v>0</v>
      </c>
      <c r="BO110" s="151">
        <f t="shared" si="57"/>
        <v>0</v>
      </c>
      <c r="BP110" s="151">
        <f t="shared" si="57"/>
        <v>0</v>
      </c>
    </row>
    <row r="111" spans="3:68" x14ac:dyDescent="0.25">
      <c r="C111" t="s">
        <v>1075</v>
      </c>
      <c r="D111" t="s">
        <v>125</v>
      </c>
      <c r="E111" s="134">
        <f>Inputs!$E$61</f>
        <v>0.12</v>
      </c>
      <c r="F111" s="151"/>
      <c r="G111" s="151">
        <f>SUM(H111:BP111)</f>
        <v>1555.2074208851211</v>
      </c>
      <c r="H111" s="151">
        <f>IF(Inputs!$E$69=1,(1+$E$111)^(1/12)-1,$E$111/12)*(H109+H110)*H$10</f>
        <v>0</v>
      </c>
      <c r="I111" s="151">
        <f>IF(Inputs!$E$69=1,(1+$E$111)^(1/12)-1,$E$111/12)*(I109+I110)*I$10</f>
        <v>0</v>
      </c>
      <c r="J111" s="151">
        <f>IF(Inputs!$E$69=1,(1+$E$111)^(1/12)-1,$E$111/12)*(J109+J110)*J$10</f>
        <v>0</v>
      </c>
      <c r="K111" s="151">
        <f>IF(Inputs!$E$69=1,(1+$E$111)^(1/12)-1,$E$111/12)*(K109+K110)*K$10</f>
        <v>0</v>
      </c>
      <c r="L111" s="151">
        <f>IF(Inputs!$E$69=1,(1+$E$111)^(1/12)-1,$E$111/12)*(L109+L110)*L$10</f>
        <v>0</v>
      </c>
      <c r="M111" s="151">
        <f>IF(Inputs!$E$69=1,(1+$E$111)^(1/12)-1,$E$111/12)*(M109+M110)*M$10</f>
        <v>11.698511837157179</v>
      </c>
      <c r="N111" s="151">
        <f>IF(Inputs!$E$69=1,(1+$E$111)^(1/12)-1,$E$111/12)*(N109+N110)*N$10</f>
        <v>11.809516593622734</v>
      </c>
      <c r="O111" s="151">
        <f>IF(Inputs!$E$69=1,(1+$E$111)^(1/12)-1,$E$111/12)*(O109+O110)*O$10</f>
        <v>11.92157465123714</v>
      </c>
      <c r="P111" s="151">
        <f>IF(Inputs!$E$69=1,(1+$E$111)^(1/12)-1,$E$111/12)*(P109+P110)*P$10</f>
        <v>12.034696004556903</v>
      </c>
      <c r="Q111" s="151">
        <f>IF(Inputs!$E$69=1,(1+$E$111)^(1/12)-1,$E$111/12)*(Q109+Q110)*Q$10</f>
        <v>12.148890742974798</v>
      </c>
      <c r="R111" s="151">
        <f>IF(Inputs!$E$69=1,(1+$E$111)^(1/12)-1,$E$111/12)*(R109+R110)*R$10</f>
        <v>12.264169051619758</v>
      </c>
      <c r="S111" s="151">
        <f>IF(Inputs!$E$69=1,(1+$E$111)^(1/12)-1,$E$111/12)*(S109+S110)*S$10</f>
        <v>12.380541212265301</v>
      </c>
      <c r="T111" s="151">
        <f>IF(Inputs!$E$69=1,(1+$E$111)^(1/12)-1,$E$111/12)*(T109+T110)*T$10</f>
        <v>12.498017604246558</v>
      </c>
      <c r="U111" s="151">
        <f>IF(Inputs!$E$69=1,(1+$E$111)^(1/12)-1,$E$111/12)*(U109+U110)*U$10</f>
        <v>12.616608705386028</v>
      </c>
      <c r="V111" s="151">
        <f>IF(Inputs!$E$69=1,(1+$E$111)^(1/12)-1,$E$111/12)*(V109+V110)*V$10</f>
        <v>12.736325092928093</v>
      </c>
      <c r="W111" s="151">
        <f>IF(Inputs!$E$69=1,(1+$E$111)^(1/12)-1,$E$111/12)*(W109+W110)*W$10</f>
        <v>12.857177444482423</v>
      </c>
      <c r="X111" s="151">
        <f>IF(Inputs!$E$69=1,(1+$E$111)^(1/12)-1,$E$111/12)*(X109+X110)*X$10</f>
        <v>12.979176538976308</v>
      </c>
      <c r="Y111" s="151">
        <f>IF(Inputs!$E$69=1,(1+$E$111)^(1/12)-1,$E$111/12)*(Y109+Y110)*Y$10</f>
        <v>13.102333257616053</v>
      </c>
      <c r="Z111" s="151">
        <f>IF(Inputs!$E$69=1,(1+$E$111)^(1/12)-1,$E$111/12)*(Z109+Z110)*Z$10</f>
        <v>13.226658584857471</v>
      </c>
      <c r="AA111" s="151">
        <f>IF(Inputs!$E$69=1,(1+$E$111)^(1/12)-1,$E$111/12)*(AA109+AA110)*AA$10</f>
        <v>13.35216360938561</v>
      </c>
      <c r="AB111" s="151">
        <f>IF(Inputs!$E$69=1,(1+$E$111)^(1/12)-1,$E$111/12)*(AB109+AB110)*AB$10</f>
        <v>13.478859525103744</v>
      </c>
      <c r="AC111" s="151">
        <f>IF(Inputs!$E$69=1,(1+$E$111)^(1/12)-1,$E$111/12)*(AC109+AC110)*AC$10</f>
        <v>13.606757632131785</v>
      </c>
      <c r="AD111" s="151">
        <f>IF(Inputs!$E$69=1,(1+$E$111)^(1/12)-1,$E$111/12)*(AD109+AD110)*AD$10</f>
        <v>13.735869337814142</v>
      </c>
      <c r="AE111" s="151">
        <f>IF(Inputs!$E$69=1,(1+$E$111)^(1/12)-1,$E$111/12)*(AE109+AE110)*AE$10</f>
        <v>13.866206157737148</v>
      </c>
      <c r="AF111" s="151">
        <f>IF(Inputs!$E$69=1,(1+$E$111)^(1/12)-1,$E$111/12)*(AF109+AF110)*AF$10</f>
        <v>13.997779716756156</v>
      </c>
      <c r="AG111" s="151">
        <f>IF(Inputs!$E$69=1,(1+$E$111)^(1/12)-1,$E$111/12)*(AG109+AG110)*AG$10</f>
        <v>14.130601750032364</v>
      </c>
      <c r="AH111" s="151">
        <f>IF(Inputs!$E$69=1,(1+$E$111)^(1/12)-1,$E$111/12)*(AH109+AH110)*AH$10</f>
        <v>14.264684104079477</v>
      </c>
      <c r="AI111" s="151">
        <f>IF(Inputs!$E$69=1,(1+$E$111)^(1/12)-1,$E$111/12)*(AI109+AI110)*AI$10</f>
        <v>14.400038737820324</v>
      </c>
      <c r="AJ111" s="151">
        <f>IF(Inputs!$E$69=1,(1+$E$111)^(1/12)-1,$E$111/12)*(AJ109+AJ110)*AJ$10</f>
        <v>14.536677723653476</v>
      </c>
      <c r="AK111" s="151">
        <f>IF(Inputs!$E$69=1,(1+$E$111)^(1/12)-1,$E$111/12)*(AK109+AK110)*AK$10</f>
        <v>14.674613248529988</v>
      </c>
      <c r="AL111" s="151">
        <f>IF(Inputs!$E$69=1,(1+$E$111)^(1/12)-1,$E$111/12)*(AL109+AL110)*AL$10</f>
        <v>199.68423138340552</v>
      </c>
      <c r="AM111" s="151">
        <f>IF(Inputs!$E$69=1,(1+$E$111)^(1/12)-1,$E$111/12)*(AM109+AM110)*AM$10</f>
        <v>201.57899370730402</v>
      </c>
      <c r="AN111" s="151">
        <f>IF(Inputs!$E$69=1,(1+$E$111)^(1/12)-1,$E$111/12)*(AN109+AN110)*AN$10</f>
        <v>203.49173503855422</v>
      </c>
      <c r="AO111" s="151">
        <f>IF(Inputs!$E$69=1,(1+$E$111)^(1/12)-1,$E$111/12)*(AO109+AO110)*AO$10</f>
        <v>205.42262597623412</v>
      </c>
      <c r="AP111" s="151">
        <f>IF(Inputs!$E$69=1,(1+$E$111)^(1/12)-1,$E$111/12)*(AP109+AP110)*AP$10</f>
        <v>207.37183873820089</v>
      </c>
      <c r="AQ111" s="151">
        <f>IF(Inputs!$E$69=1,(1+$E$111)^(1/12)-1,$E$111/12)*(AQ109+AQ110)*AQ$10</f>
        <v>209.33954717645142</v>
      </c>
      <c r="AR111" s="151">
        <f>IF(Inputs!$E$69=1,(1+$E$111)^(1/12)-1,$E$111/12)*(AR109+AR110)*AR$10</f>
        <v>0</v>
      </c>
      <c r="AS111" s="151">
        <f>IF(Inputs!$E$69=1,(1+$E$111)^(1/12)-1,$E$111/12)*(AS109+AS110)*AS$10</f>
        <v>0</v>
      </c>
      <c r="AT111" s="151">
        <f>IF(Inputs!$E$69=1,(1+$E$111)^(1/12)-1,$E$111/12)*(AT109+AT110)*AT$10</f>
        <v>0</v>
      </c>
      <c r="AU111" s="151">
        <f>IF(Inputs!$E$69=1,(1+$E$111)^(1/12)-1,$E$111/12)*(AU109+AU110)*AU$10</f>
        <v>0</v>
      </c>
      <c r="AV111" s="151">
        <f>IF(Inputs!$E$69=1,(1+$E$111)^(1/12)-1,$E$111/12)*(AV109+AV110)*AV$10</f>
        <v>0</v>
      </c>
      <c r="AW111" s="151">
        <f>IF(Inputs!$E$69=1,(1+$E$111)^(1/12)-1,$E$111/12)*(AW109+AW110)*AW$10</f>
        <v>0</v>
      </c>
      <c r="AX111" s="151">
        <f>IF(Inputs!$E$69=1,(1+$E$111)^(1/12)-1,$E$111/12)*(AX109+AX110)*AX$10</f>
        <v>0</v>
      </c>
      <c r="AY111" s="151">
        <f>IF(Inputs!$E$69=1,(1+$E$111)^(1/12)-1,$E$111/12)*(AY109+AY110)*AY$10</f>
        <v>0</v>
      </c>
      <c r="AZ111" s="151">
        <f>IF(Inputs!$E$69=1,(1+$E$111)^(1/12)-1,$E$111/12)*(AZ109+AZ110)*AZ$10</f>
        <v>0</v>
      </c>
      <c r="BA111" s="151">
        <f>IF(Inputs!$E$69=1,(1+$E$111)^(1/12)-1,$E$111/12)*(BA109+BA110)*BA$10</f>
        <v>0</v>
      </c>
      <c r="BB111" s="151">
        <f>IF(Inputs!$E$69=1,(1+$E$111)^(1/12)-1,$E$111/12)*(BB109+BB110)*BB$10</f>
        <v>0</v>
      </c>
      <c r="BC111" s="151">
        <f>IF(Inputs!$E$69=1,(1+$E$111)^(1/12)-1,$E$111/12)*(BC109+BC110)*BC$10</f>
        <v>0</v>
      </c>
      <c r="BD111" s="151">
        <f>IF(Inputs!$E$69=1,(1+$E$111)^(1/12)-1,$E$111/12)*(BD109+BD110)*BD$10</f>
        <v>0</v>
      </c>
      <c r="BE111" s="151">
        <f>IF(Inputs!$E$69=1,(1+$E$111)^(1/12)-1,$E$111/12)*(BE109+BE110)*BE$10</f>
        <v>0</v>
      </c>
      <c r="BF111" s="151">
        <f>IF(Inputs!$E$69=1,(1+$E$111)^(1/12)-1,$E$111/12)*(BF109+BF110)*BF$10</f>
        <v>0</v>
      </c>
      <c r="BG111" s="151">
        <f>IF(Inputs!$E$69=1,(1+$E$111)^(1/12)-1,$E$111/12)*(BG109+BG110)*BG$10</f>
        <v>0</v>
      </c>
      <c r="BH111" s="151">
        <f>IF(Inputs!$E$69=1,(1+$E$111)^(1/12)-1,$E$111/12)*(BH109+BH110)*BH$10</f>
        <v>0</v>
      </c>
      <c r="BI111" s="151">
        <f>IF(Inputs!$E$69=1,(1+$E$111)^(1/12)-1,$E$111/12)*(BI109+BI110)*BI$10</f>
        <v>0</v>
      </c>
      <c r="BJ111" s="151">
        <f>IF(Inputs!$E$69=1,(1+$E$111)^(1/12)-1,$E$111/12)*(BJ109+BJ110)*BJ$10</f>
        <v>0</v>
      </c>
      <c r="BK111" s="151">
        <f>IF(Inputs!$E$69=1,(1+$E$111)^(1/12)-1,$E$111/12)*(BK109+BK110)*BK$10</f>
        <v>0</v>
      </c>
      <c r="BL111" s="151">
        <f>IF(Inputs!$E$69=1,(1+$E$111)^(1/12)-1,$E$111/12)*(BL109+BL110)*BL$10</f>
        <v>0</v>
      </c>
      <c r="BM111" s="151">
        <f>IF(Inputs!$E$69=1,(1+$E$111)^(1/12)-1,$E$111/12)*(BM109+BM110)*BM$10</f>
        <v>0</v>
      </c>
      <c r="BN111" s="151">
        <f>IF(Inputs!$E$69=1,(1+$E$111)^(1/12)-1,$E$111/12)*(BN109+BN110)*BN$10</f>
        <v>0</v>
      </c>
      <c r="BO111" s="151">
        <f>IF(Inputs!$E$69=1,(1+$E$111)^(1/12)-1,$E$111/12)*(BO109+BO110)*BO$10</f>
        <v>0</v>
      </c>
      <c r="BP111" s="151">
        <f>IF(Inputs!$E$69=1,(1+$E$111)^(1/12)-1,$E$111/12)*(BP109+BP110)*BP$10</f>
        <v>0</v>
      </c>
    </row>
    <row r="112" spans="3:68" x14ac:dyDescent="0.25">
      <c r="C112" t="s">
        <v>1076</v>
      </c>
      <c r="D112" t="s">
        <v>125</v>
      </c>
      <c r="E112" s="151"/>
      <c r="F112" s="151"/>
      <c r="G112" s="151">
        <f>SUM(H112:BP112)</f>
        <v>-22271.107426364571</v>
      </c>
      <c r="H112" s="151">
        <f t="shared" ref="H112:AM112" si="58">-H$7*(H109+H110+H111)</f>
        <v>0</v>
      </c>
      <c r="I112" s="151">
        <f t="shared" si="58"/>
        <v>0</v>
      </c>
      <c r="J112" s="151">
        <f t="shared" si="58"/>
        <v>0</v>
      </c>
      <c r="K112" s="151">
        <f t="shared" si="58"/>
        <v>0</v>
      </c>
      <c r="L112" s="151">
        <f t="shared" si="58"/>
        <v>0</v>
      </c>
      <c r="M112" s="151">
        <f t="shared" si="58"/>
        <v>0</v>
      </c>
      <c r="N112" s="151">
        <f t="shared" si="58"/>
        <v>0</v>
      </c>
      <c r="O112" s="151">
        <f t="shared" si="58"/>
        <v>0</v>
      </c>
      <c r="P112" s="151">
        <f t="shared" si="58"/>
        <v>0</v>
      </c>
      <c r="Q112" s="151">
        <f t="shared" si="58"/>
        <v>0</v>
      </c>
      <c r="R112" s="151">
        <f t="shared" si="58"/>
        <v>0</v>
      </c>
      <c r="S112" s="151">
        <f t="shared" si="58"/>
        <v>0</v>
      </c>
      <c r="T112" s="151">
        <f t="shared" si="58"/>
        <v>0</v>
      </c>
      <c r="U112" s="151">
        <f t="shared" si="58"/>
        <v>0</v>
      </c>
      <c r="V112" s="151">
        <f t="shared" si="58"/>
        <v>0</v>
      </c>
      <c r="W112" s="151">
        <f t="shared" si="58"/>
        <v>0</v>
      </c>
      <c r="X112" s="151">
        <f t="shared" si="58"/>
        <v>0</v>
      </c>
      <c r="Y112" s="151">
        <f t="shared" si="58"/>
        <v>0</v>
      </c>
      <c r="Z112" s="151">
        <f t="shared" si="58"/>
        <v>0</v>
      </c>
      <c r="AA112" s="151">
        <f t="shared" si="58"/>
        <v>0</v>
      </c>
      <c r="AB112" s="151">
        <f t="shared" si="58"/>
        <v>0</v>
      </c>
      <c r="AC112" s="151">
        <f t="shared" si="58"/>
        <v>0</v>
      </c>
      <c r="AD112" s="151">
        <f t="shared" si="58"/>
        <v>0</v>
      </c>
      <c r="AE112" s="151">
        <f t="shared" si="58"/>
        <v>0</v>
      </c>
      <c r="AF112" s="151">
        <f t="shared" si="58"/>
        <v>0</v>
      </c>
      <c r="AG112" s="151">
        <f t="shared" si="58"/>
        <v>0</v>
      </c>
      <c r="AH112" s="151">
        <f t="shared" si="58"/>
        <v>0</v>
      </c>
      <c r="AI112" s="151">
        <f t="shared" si="58"/>
        <v>0</v>
      </c>
      <c r="AJ112" s="151">
        <f t="shared" si="58"/>
        <v>0</v>
      </c>
      <c r="AK112" s="151">
        <f t="shared" si="58"/>
        <v>0</v>
      </c>
      <c r="AL112" s="151">
        <f t="shared" si="58"/>
        <v>0</v>
      </c>
      <c r="AM112" s="151">
        <f t="shared" si="58"/>
        <v>0</v>
      </c>
      <c r="AN112" s="151">
        <f t="shared" ref="AN112:BP112" si="59">-AN$7*(AN109+AN110+AN111)</f>
        <v>0</v>
      </c>
      <c r="AO112" s="151">
        <f t="shared" si="59"/>
        <v>0</v>
      </c>
      <c r="AP112" s="151">
        <f t="shared" si="59"/>
        <v>0</v>
      </c>
      <c r="AQ112" s="151">
        <f t="shared" si="59"/>
        <v>0</v>
      </c>
      <c r="AR112" s="151">
        <f t="shared" si="59"/>
        <v>0</v>
      </c>
      <c r="AS112" s="151">
        <f t="shared" si="59"/>
        <v>0</v>
      </c>
      <c r="AT112" s="151">
        <f t="shared" si="59"/>
        <v>-22271.107426364571</v>
      </c>
      <c r="AU112" s="151">
        <f t="shared" si="59"/>
        <v>0</v>
      </c>
      <c r="AV112" s="151">
        <f t="shared" si="59"/>
        <v>0</v>
      </c>
      <c r="AW112" s="151">
        <f t="shared" si="59"/>
        <v>0</v>
      </c>
      <c r="AX112" s="151">
        <f t="shared" si="59"/>
        <v>0</v>
      </c>
      <c r="AY112" s="151">
        <f t="shared" si="59"/>
        <v>0</v>
      </c>
      <c r="AZ112" s="151">
        <f t="shared" si="59"/>
        <v>0</v>
      </c>
      <c r="BA112" s="151">
        <f t="shared" si="59"/>
        <v>0</v>
      </c>
      <c r="BB112" s="151">
        <f t="shared" si="59"/>
        <v>0</v>
      </c>
      <c r="BC112" s="151">
        <f t="shared" si="59"/>
        <v>0</v>
      </c>
      <c r="BD112" s="151">
        <f t="shared" si="59"/>
        <v>0</v>
      </c>
      <c r="BE112" s="151">
        <f t="shared" si="59"/>
        <v>0</v>
      </c>
      <c r="BF112" s="151">
        <f t="shared" si="59"/>
        <v>0</v>
      </c>
      <c r="BG112" s="151">
        <f t="shared" si="59"/>
        <v>0</v>
      </c>
      <c r="BH112" s="151">
        <f t="shared" si="59"/>
        <v>0</v>
      </c>
      <c r="BI112" s="151">
        <f t="shared" si="59"/>
        <v>0</v>
      </c>
      <c r="BJ112" s="151">
        <f t="shared" si="59"/>
        <v>0</v>
      </c>
      <c r="BK112" s="151">
        <f t="shared" si="59"/>
        <v>0</v>
      </c>
      <c r="BL112" s="151">
        <f t="shared" si="59"/>
        <v>0</v>
      </c>
      <c r="BM112" s="151">
        <f t="shared" si="59"/>
        <v>0</v>
      </c>
      <c r="BN112" s="151">
        <f t="shared" si="59"/>
        <v>0</v>
      </c>
      <c r="BO112" s="151">
        <f t="shared" si="59"/>
        <v>0</v>
      </c>
      <c r="BP112" s="151">
        <f t="shared" si="59"/>
        <v>0</v>
      </c>
    </row>
    <row r="113" spans="3:68" x14ac:dyDescent="0.25">
      <c r="C113" t="s">
        <v>1044</v>
      </c>
      <c r="D113" t="s">
        <v>125</v>
      </c>
      <c r="E113" s="151"/>
      <c r="F113" s="151"/>
      <c r="G113" s="151"/>
      <c r="H113" s="151">
        <f t="shared" ref="H113:AM113" si="60">SUM(H109:H112)</f>
        <v>0</v>
      </c>
      <c r="I113" s="151">
        <f t="shared" si="60"/>
        <v>0</v>
      </c>
      <c r="J113" s="151">
        <f t="shared" si="60"/>
        <v>0</v>
      </c>
      <c r="K113" s="151">
        <f t="shared" si="60"/>
        <v>0</v>
      </c>
      <c r="L113" s="151">
        <f t="shared" si="60"/>
        <v>0</v>
      </c>
      <c r="M113" s="151">
        <f t="shared" si="60"/>
        <v>1244.5752241659243</v>
      </c>
      <c r="N113" s="151">
        <f t="shared" si="60"/>
        <v>1256.384740759547</v>
      </c>
      <c r="O113" s="151">
        <f t="shared" si="60"/>
        <v>1268.306315410784</v>
      </c>
      <c r="P113" s="151">
        <f t="shared" si="60"/>
        <v>1280.341011415341</v>
      </c>
      <c r="Q113" s="151">
        <f t="shared" si="60"/>
        <v>1292.4899021583158</v>
      </c>
      <c r="R113" s="151">
        <f t="shared" si="60"/>
        <v>1304.7540712099355</v>
      </c>
      <c r="S113" s="151">
        <f t="shared" si="60"/>
        <v>1317.1346124222009</v>
      </c>
      <c r="T113" s="151">
        <f t="shared" si="60"/>
        <v>1329.6326300264475</v>
      </c>
      <c r="U113" s="151">
        <f t="shared" si="60"/>
        <v>1342.2492387318334</v>
      </c>
      <c r="V113" s="151">
        <f t="shared" si="60"/>
        <v>1354.9855638247616</v>
      </c>
      <c r="W113" s="151">
        <f t="shared" si="60"/>
        <v>1367.842741269244</v>
      </c>
      <c r="X113" s="151">
        <f t="shared" si="60"/>
        <v>1380.8219178082204</v>
      </c>
      <c r="Y113" s="151">
        <f t="shared" si="60"/>
        <v>1393.9242510658364</v>
      </c>
      <c r="Z113" s="151">
        <f t="shared" si="60"/>
        <v>1407.1509096506938</v>
      </c>
      <c r="AA113" s="151">
        <f t="shared" si="60"/>
        <v>1420.5030732600794</v>
      </c>
      <c r="AB113" s="151">
        <f t="shared" si="60"/>
        <v>1433.9819327851831</v>
      </c>
      <c r="AC113" s="151">
        <f t="shared" si="60"/>
        <v>1447.5886904173149</v>
      </c>
      <c r="AD113" s="151">
        <f t="shared" si="60"/>
        <v>1461.324559755129</v>
      </c>
      <c r="AE113" s="151">
        <f t="shared" si="60"/>
        <v>1475.1907659128663</v>
      </c>
      <c r="AF113" s="151">
        <f t="shared" si="60"/>
        <v>1489.1885456296225</v>
      </c>
      <c r="AG113" s="151">
        <f t="shared" si="60"/>
        <v>1503.3191473796549</v>
      </c>
      <c r="AH113" s="151">
        <f t="shared" si="60"/>
        <v>1517.5838314837342</v>
      </c>
      <c r="AI113" s="151">
        <f t="shared" si="60"/>
        <v>1531.9838702215545</v>
      </c>
      <c r="AJ113" s="151">
        <f t="shared" si="60"/>
        <v>1546.5205479452079</v>
      </c>
      <c r="AK113" s="151">
        <f t="shared" si="60"/>
        <v>1561.1951611937379</v>
      </c>
      <c r="AL113" s="151">
        <f t="shared" si="60"/>
        <v>21243.90268572783</v>
      </c>
      <c r="AM113" s="151">
        <f t="shared" si="60"/>
        <v>21445.481679435132</v>
      </c>
      <c r="AN113" s="151">
        <f t="shared" ref="AN113:BP113" si="61">SUM(AN109:AN112)</f>
        <v>21648.973414473687</v>
      </c>
      <c r="AO113" s="151">
        <f t="shared" si="61"/>
        <v>21854.396040449919</v>
      </c>
      <c r="AP113" s="151">
        <f t="shared" si="61"/>
        <v>22061.767879188119</v>
      </c>
      <c r="AQ113" s="151">
        <f t="shared" si="61"/>
        <v>22271.107426364571</v>
      </c>
      <c r="AR113" s="151">
        <f t="shared" si="61"/>
        <v>22271.107426364571</v>
      </c>
      <c r="AS113" s="151">
        <f t="shared" si="61"/>
        <v>22271.107426364571</v>
      </c>
      <c r="AT113" s="151">
        <f t="shared" si="61"/>
        <v>0</v>
      </c>
      <c r="AU113" s="151">
        <f t="shared" si="61"/>
        <v>0</v>
      </c>
      <c r="AV113" s="151">
        <f t="shared" si="61"/>
        <v>0</v>
      </c>
      <c r="AW113" s="151">
        <f t="shared" si="61"/>
        <v>0</v>
      </c>
      <c r="AX113" s="151">
        <f t="shared" si="61"/>
        <v>0</v>
      </c>
      <c r="AY113" s="151">
        <f t="shared" si="61"/>
        <v>0</v>
      </c>
      <c r="AZ113" s="151">
        <f t="shared" si="61"/>
        <v>0</v>
      </c>
      <c r="BA113" s="151">
        <f t="shared" si="61"/>
        <v>0</v>
      </c>
      <c r="BB113" s="151">
        <f t="shared" si="61"/>
        <v>0</v>
      </c>
      <c r="BC113" s="151">
        <f t="shared" si="61"/>
        <v>0</v>
      </c>
      <c r="BD113" s="151">
        <f t="shared" si="61"/>
        <v>0</v>
      </c>
      <c r="BE113" s="151">
        <f t="shared" si="61"/>
        <v>0</v>
      </c>
      <c r="BF113" s="151">
        <f t="shared" si="61"/>
        <v>0</v>
      </c>
      <c r="BG113" s="151">
        <f t="shared" si="61"/>
        <v>0</v>
      </c>
      <c r="BH113" s="151">
        <f t="shared" si="61"/>
        <v>0</v>
      </c>
      <c r="BI113" s="151">
        <f t="shared" si="61"/>
        <v>0</v>
      </c>
      <c r="BJ113" s="151">
        <f t="shared" si="61"/>
        <v>0</v>
      </c>
      <c r="BK113" s="151">
        <f t="shared" si="61"/>
        <v>0</v>
      </c>
      <c r="BL113" s="151">
        <f t="shared" si="61"/>
        <v>0</v>
      </c>
      <c r="BM113" s="151">
        <f t="shared" si="61"/>
        <v>0</v>
      </c>
      <c r="BN113" s="151">
        <f t="shared" si="61"/>
        <v>0</v>
      </c>
      <c r="BO113" s="151">
        <f t="shared" si="61"/>
        <v>0</v>
      </c>
      <c r="BP113" s="151">
        <f t="shared" si="61"/>
        <v>0</v>
      </c>
    </row>
    <row r="114" spans="3:68" x14ac:dyDescent="0.25">
      <c r="E114" s="151"/>
      <c r="F114" s="151"/>
      <c r="G114" s="151"/>
      <c r="H114" s="151"/>
      <c r="I114" s="151"/>
      <c r="J114" s="151"/>
      <c r="K114" s="151"/>
      <c r="L114" s="151"/>
      <c r="M114" s="151"/>
      <c r="N114" s="151"/>
      <c r="O114" s="151"/>
      <c r="P114" s="151"/>
      <c r="Q114" s="151"/>
      <c r="R114" s="151"/>
      <c r="S114" s="151"/>
      <c r="T114" s="151"/>
      <c r="U114" s="151"/>
      <c r="V114" s="151"/>
      <c r="W114" s="151"/>
      <c r="X114" s="151"/>
      <c r="Y114" s="151"/>
      <c r="Z114" s="151"/>
      <c r="AA114" s="151"/>
      <c r="AB114" s="151"/>
      <c r="AC114" s="151"/>
      <c r="AD114" s="151"/>
      <c r="AE114" s="151"/>
      <c r="AF114" s="151"/>
      <c r="AG114" s="151"/>
      <c r="AH114" s="151"/>
      <c r="AI114" s="151"/>
      <c r="AJ114" s="151"/>
      <c r="AK114" s="151"/>
      <c r="AL114" s="151"/>
      <c r="AM114" s="151"/>
      <c r="AN114" s="151"/>
      <c r="AO114" s="151"/>
      <c r="AP114" s="151"/>
      <c r="AQ114" s="151"/>
      <c r="AR114" s="151"/>
      <c r="AS114" s="151"/>
      <c r="AT114" s="151"/>
      <c r="AU114" s="151"/>
      <c r="AV114" s="151"/>
      <c r="AW114" s="151"/>
      <c r="AX114" s="151"/>
      <c r="AY114" s="151"/>
      <c r="AZ114" s="151"/>
      <c r="BA114" s="151"/>
      <c r="BB114" s="151"/>
      <c r="BC114" s="151"/>
      <c r="BD114" s="151"/>
      <c r="BE114" s="151"/>
      <c r="BF114" s="151"/>
      <c r="BG114" s="151"/>
      <c r="BH114" s="151"/>
      <c r="BI114" s="151"/>
      <c r="BJ114" s="151"/>
      <c r="BK114" s="151"/>
      <c r="BL114" s="151"/>
      <c r="BM114" s="151"/>
      <c r="BN114" s="151"/>
      <c r="BO114" s="151"/>
      <c r="BP114" s="151"/>
    </row>
    <row r="115" spans="3:68" x14ac:dyDescent="0.25">
      <c r="C115" s="198" t="s">
        <v>1077</v>
      </c>
      <c r="D115" s="198"/>
      <c r="E115" s="244"/>
      <c r="F115" s="244"/>
      <c r="G115" s="244"/>
      <c r="H115" s="244"/>
      <c r="I115" s="244"/>
      <c r="J115" s="244"/>
      <c r="K115" s="244"/>
      <c r="L115" s="244"/>
      <c r="M115" s="244"/>
      <c r="N115" s="244"/>
      <c r="O115" s="244"/>
      <c r="P115" s="244"/>
      <c r="Q115" s="244"/>
      <c r="R115" s="244"/>
      <c r="S115" s="244"/>
      <c r="T115" s="244"/>
      <c r="U115" s="244"/>
      <c r="V115" s="244"/>
      <c r="W115" s="244"/>
      <c r="X115" s="244"/>
      <c r="Y115" s="244"/>
      <c r="Z115" s="244"/>
      <c r="AA115" s="244"/>
      <c r="AB115" s="244"/>
      <c r="AC115" s="244"/>
      <c r="AD115" s="244"/>
      <c r="AE115" s="244"/>
      <c r="AF115" s="244"/>
      <c r="AG115" s="244"/>
      <c r="AH115" s="244"/>
      <c r="AI115" s="244"/>
      <c r="AJ115" s="244"/>
      <c r="AK115" s="244"/>
      <c r="AL115" s="244"/>
      <c r="AM115" s="244"/>
      <c r="AN115" s="244"/>
      <c r="AO115" s="244"/>
      <c r="AP115" s="244"/>
      <c r="AQ115" s="244"/>
      <c r="AR115" s="244"/>
      <c r="AS115" s="244"/>
      <c r="AT115" s="244"/>
      <c r="AU115" s="244"/>
      <c r="AV115" s="244"/>
      <c r="AW115" s="244"/>
      <c r="AX115" s="244"/>
      <c r="AY115" s="244"/>
      <c r="AZ115" s="244"/>
      <c r="BA115" s="244"/>
      <c r="BB115" s="244"/>
      <c r="BC115" s="244"/>
      <c r="BD115" s="244"/>
      <c r="BE115" s="244"/>
      <c r="BF115" s="244"/>
      <c r="BG115" s="244"/>
      <c r="BH115" s="244"/>
      <c r="BI115" s="244"/>
      <c r="BJ115" s="244"/>
      <c r="BK115" s="244"/>
      <c r="BL115" s="244"/>
      <c r="BM115" s="244"/>
      <c r="BN115" s="244"/>
      <c r="BO115" s="244"/>
      <c r="BP115" s="244"/>
    </row>
    <row r="116" spans="3:68" x14ac:dyDescent="0.25">
      <c r="C116" t="s">
        <v>1042</v>
      </c>
      <c r="D116" t="s">
        <v>125</v>
      </c>
      <c r="E116" s="151"/>
      <c r="F116" s="151"/>
      <c r="G116" s="151"/>
      <c r="H116" s="151">
        <v>0</v>
      </c>
      <c r="I116" s="151">
        <f t="shared" ref="I116:AN116" si="62">H120</f>
        <v>0</v>
      </c>
      <c r="J116" s="151">
        <f t="shared" si="62"/>
        <v>0</v>
      </c>
      <c r="K116" s="151">
        <f t="shared" si="62"/>
        <v>0</v>
      </c>
      <c r="L116" s="151">
        <f t="shared" si="62"/>
        <v>0</v>
      </c>
      <c r="M116" s="151">
        <f t="shared" si="62"/>
        <v>0</v>
      </c>
      <c r="N116" s="151">
        <f t="shared" si="62"/>
        <v>0</v>
      </c>
      <c r="O116" s="151">
        <f t="shared" si="62"/>
        <v>0</v>
      </c>
      <c r="P116" s="151">
        <f t="shared" si="62"/>
        <v>0</v>
      </c>
      <c r="Q116" s="151">
        <f t="shared" si="62"/>
        <v>0</v>
      </c>
      <c r="R116" s="151">
        <f t="shared" si="62"/>
        <v>0</v>
      </c>
      <c r="S116" s="151">
        <f t="shared" si="62"/>
        <v>0</v>
      </c>
      <c r="T116" s="151">
        <f t="shared" si="62"/>
        <v>0</v>
      </c>
      <c r="U116" s="151">
        <f t="shared" si="62"/>
        <v>0</v>
      </c>
      <c r="V116" s="151">
        <f t="shared" si="62"/>
        <v>0</v>
      </c>
      <c r="W116" s="151">
        <f t="shared" si="62"/>
        <v>0</v>
      </c>
      <c r="X116" s="151">
        <f t="shared" si="62"/>
        <v>0</v>
      </c>
      <c r="Y116" s="151">
        <f t="shared" si="62"/>
        <v>0</v>
      </c>
      <c r="Z116" s="151">
        <f t="shared" si="62"/>
        <v>0</v>
      </c>
      <c r="AA116" s="151">
        <f t="shared" si="62"/>
        <v>0</v>
      </c>
      <c r="AB116" s="151">
        <f t="shared" si="62"/>
        <v>0</v>
      </c>
      <c r="AC116" s="151">
        <f t="shared" si="62"/>
        <v>0</v>
      </c>
      <c r="AD116" s="151">
        <f t="shared" si="62"/>
        <v>0</v>
      </c>
      <c r="AE116" s="151">
        <f t="shared" si="62"/>
        <v>0</v>
      </c>
      <c r="AF116" s="151">
        <f t="shared" si="62"/>
        <v>0</v>
      </c>
      <c r="AG116" s="151">
        <f t="shared" si="62"/>
        <v>0</v>
      </c>
      <c r="AH116" s="151">
        <f t="shared" si="62"/>
        <v>0</v>
      </c>
      <c r="AI116" s="151">
        <f t="shared" si="62"/>
        <v>0</v>
      </c>
      <c r="AJ116" s="151">
        <f t="shared" si="62"/>
        <v>0</v>
      </c>
      <c r="AK116" s="151">
        <f t="shared" si="62"/>
        <v>0</v>
      </c>
      <c r="AL116" s="151">
        <f t="shared" si="62"/>
        <v>0</v>
      </c>
      <c r="AM116" s="151">
        <f t="shared" si="62"/>
        <v>0</v>
      </c>
      <c r="AN116" s="151">
        <f t="shared" si="62"/>
        <v>0</v>
      </c>
      <c r="AO116" s="151">
        <f t="shared" ref="AO116:BP116" si="63">AN120</f>
        <v>0</v>
      </c>
      <c r="AP116" s="151">
        <f t="shared" si="63"/>
        <v>0</v>
      </c>
      <c r="AQ116" s="151">
        <f t="shared" si="63"/>
        <v>0</v>
      </c>
      <c r="AR116" s="151">
        <f t="shared" si="63"/>
        <v>0</v>
      </c>
      <c r="AS116" s="151">
        <f t="shared" si="63"/>
        <v>0</v>
      </c>
      <c r="AT116" s="151">
        <f t="shared" si="63"/>
        <v>0</v>
      </c>
      <c r="AU116" s="151">
        <f t="shared" si="63"/>
        <v>0</v>
      </c>
      <c r="AV116" s="151">
        <f t="shared" si="63"/>
        <v>0</v>
      </c>
      <c r="AW116" s="151">
        <f t="shared" si="63"/>
        <v>0</v>
      </c>
      <c r="AX116" s="151">
        <f t="shared" si="63"/>
        <v>0</v>
      </c>
      <c r="AY116" s="151">
        <f t="shared" si="63"/>
        <v>0</v>
      </c>
      <c r="AZ116" s="151">
        <f t="shared" si="63"/>
        <v>0</v>
      </c>
      <c r="BA116" s="151">
        <f t="shared" si="63"/>
        <v>0</v>
      </c>
      <c r="BB116" s="151">
        <f t="shared" si="63"/>
        <v>0</v>
      </c>
      <c r="BC116" s="151">
        <f t="shared" si="63"/>
        <v>0</v>
      </c>
      <c r="BD116" s="151">
        <f t="shared" si="63"/>
        <v>0</v>
      </c>
      <c r="BE116" s="151">
        <f t="shared" si="63"/>
        <v>0</v>
      </c>
      <c r="BF116" s="151">
        <f t="shared" si="63"/>
        <v>0</v>
      </c>
      <c r="BG116" s="151">
        <f t="shared" si="63"/>
        <v>0</v>
      </c>
      <c r="BH116" s="151">
        <f t="shared" si="63"/>
        <v>0</v>
      </c>
      <c r="BI116" s="151">
        <f t="shared" si="63"/>
        <v>0</v>
      </c>
      <c r="BJ116" s="151">
        <f t="shared" si="63"/>
        <v>0</v>
      </c>
      <c r="BK116" s="151">
        <f t="shared" si="63"/>
        <v>0</v>
      </c>
      <c r="BL116" s="151">
        <f t="shared" si="63"/>
        <v>0</v>
      </c>
      <c r="BM116" s="151">
        <f t="shared" si="63"/>
        <v>0</v>
      </c>
      <c r="BN116" s="151">
        <f t="shared" si="63"/>
        <v>0</v>
      </c>
      <c r="BO116" s="151">
        <f t="shared" si="63"/>
        <v>0</v>
      </c>
      <c r="BP116" s="151">
        <f t="shared" si="63"/>
        <v>0</v>
      </c>
    </row>
    <row r="117" spans="3:68" x14ac:dyDescent="0.25">
      <c r="C117" t="s">
        <v>1074</v>
      </c>
      <c r="D117" t="s">
        <v>125</v>
      </c>
      <c r="E117" s="151"/>
      <c r="F117" s="151"/>
      <c r="G117" s="151">
        <f>SUM(H117:BP117)</f>
        <v>0</v>
      </c>
      <c r="H117" s="151">
        <f t="shared" ref="H117:AM117" si="64">$E$107*H102</f>
        <v>0</v>
      </c>
      <c r="I117" s="151">
        <f t="shared" si="64"/>
        <v>0</v>
      </c>
      <c r="J117" s="151">
        <f t="shared" si="64"/>
        <v>0</v>
      </c>
      <c r="K117" s="151">
        <f t="shared" si="64"/>
        <v>0</v>
      </c>
      <c r="L117" s="151">
        <f t="shared" si="64"/>
        <v>0</v>
      </c>
      <c r="M117" s="151">
        <f t="shared" si="64"/>
        <v>0</v>
      </c>
      <c r="N117" s="151">
        <f t="shared" si="64"/>
        <v>0</v>
      </c>
      <c r="O117" s="151">
        <f t="shared" si="64"/>
        <v>0</v>
      </c>
      <c r="P117" s="151">
        <f t="shared" si="64"/>
        <v>0</v>
      </c>
      <c r="Q117" s="151">
        <f t="shared" si="64"/>
        <v>0</v>
      </c>
      <c r="R117" s="151">
        <f t="shared" si="64"/>
        <v>0</v>
      </c>
      <c r="S117" s="151">
        <f t="shared" si="64"/>
        <v>0</v>
      </c>
      <c r="T117" s="151">
        <f t="shared" si="64"/>
        <v>0</v>
      </c>
      <c r="U117" s="151">
        <f t="shared" si="64"/>
        <v>0</v>
      </c>
      <c r="V117" s="151">
        <f t="shared" si="64"/>
        <v>0</v>
      </c>
      <c r="W117" s="151">
        <f t="shared" si="64"/>
        <v>0</v>
      </c>
      <c r="X117" s="151">
        <f t="shared" si="64"/>
        <v>0</v>
      </c>
      <c r="Y117" s="151">
        <f t="shared" si="64"/>
        <v>0</v>
      </c>
      <c r="Z117" s="151">
        <f t="shared" si="64"/>
        <v>0</v>
      </c>
      <c r="AA117" s="151">
        <f t="shared" si="64"/>
        <v>0</v>
      </c>
      <c r="AB117" s="151">
        <f t="shared" si="64"/>
        <v>0</v>
      </c>
      <c r="AC117" s="151">
        <f t="shared" si="64"/>
        <v>0</v>
      </c>
      <c r="AD117" s="151">
        <f t="shared" si="64"/>
        <v>0</v>
      </c>
      <c r="AE117" s="151">
        <f t="shared" si="64"/>
        <v>0</v>
      </c>
      <c r="AF117" s="151">
        <f t="shared" si="64"/>
        <v>0</v>
      </c>
      <c r="AG117" s="151">
        <f t="shared" si="64"/>
        <v>0</v>
      </c>
      <c r="AH117" s="151">
        <f t="shared" si="64"/>
        <v>0</v>
      </c>
      <c r="AI117" s="151">
        <f t="shared" si="64"/>
        <v>0</v>
      </c>
      <c r="AJ117" s="151">
        <f t="shared" si="64"/>
        <v>0</v>
      </c>
      <c r="AK117" s="151">
        <f t="shared" si="64"/>
        <v>0</v>
      </c>
      <c r="AL117" s="151">
        <f t="shared" si="64"/>
        <v>0</v>
      </c>
      <c r="AM117" s="151">
        <f t="shared" si="64"/>
        <v>0</v>
      </c>
      <c r="AN117" s="151">
        <f t="shared" ref="AN117:BP117" si="65">$E$107*AN102</f>
        <v>0</v>
      </c>
      <c r="AO117" s="151">
        <f t="shared" si="65"/>
        <v>0</v>
      </c>
      <c r="AP117" s="151">
        <f t="shared" si="65"/>
        <v>0</v>
      </c>
      <c r="AQ117" s="151">
        <f t="shared" si="65"/>
        <v>0</v>
      </c>
      <c r="AR117" s="151">
        <f t="shared" si="65"/>
        <v>0</v>
      </c>
      <c r="AS117" s="151">
        <f t="shared" si="65"/>
        <v>0</v>
      </c>
      <c r="AT117" s="151">
        <f t="shared" si="65"/>
        <v>0</v>
      </c>
      <c r="AU117" s="151">
        <f t="shared" si="65"/>
        <v>0</v>
      </c>
      <c r="AV117" s="151">
        <f t="shared" si="65"/>
        <v>0</v>
      </c>
      <c r="AW117" s="151">
        <f t="shared" si="65"/>
        <v>0</v>
      </c>
      <c r="AX117" s="151">
        <f t="shared" si="65"/>
        <v>0</v>
      </c>
      <c r="AY117" s="151">
        <f t="shared" si="65"/>
        <v>0</v>
      </c>
      <c r="AZ117" s="151">
        <f t="shared" si="65"/>
        <v>0</v>
      </c>
      <c r="BA117" s="151">
        <f t="shared" si="65"/>
        <v>0</v>
      </c>
      <c r="BB117" s="151">
        <f t="shared" si="65"/>
        <v>0</v>
      </c>
      <c r="BC117" s="151">
        <f t="shared" si="65"/>
        <v>0</v>
      </c>
      <c r="BD117" s="151">
        <f t="shared" si="65"/>
        <v>0</v>
      </c>
      <c r="BE117" s="151">
        <f t="shared" si="65"/>
        <v>0</v>
      </c>
      <c r="BF117" s="151">
        <f t="shared" si="65"/>
        <v>0</v>
      </c>
      <c r="BG117" s="151">
        <f t="shared" si="65"/>
        <v>0</v>
      </c>
      <c r="BH117" s="151">
        <f t="shared" si="65"/>
        <v>0</v>
      </c>
      <c r="BI117" s="151">
        <f t="shared" si="65"/>
        <v>0</v>
      </c>
      <c r="BJ117" s="151">
        <f t="shared" si="65"/>
        <v>0</v>
      </c>
      <c r="BK117" s="151">
        <f t="shared" si="65"/>
        <v>0</v>
      </c>
      <c r="BL117" s="151">
        <f t="shared" si="65"/>
        <v>0</v>
      </c>
      <c r="BM117" s="151">
        <f t="shared" si="65"/>
        <v>0</v>
      </c>
      <c r="BN117" s="151">
        <f t="shared" si="65"/>
        <v>0</v>
      </c>
      <c r="BO117" s="151">
        <f t="shared" si="65"/>
        <v>0</v>
      </c>
      <c r="BP117" s="151">
        <f t="shared" si="65"/>
        <v>0</v>
      </c>
    </row>
    <row r="118" spans="3:68" x14ac:dyDescent="0.25">
      <c r="C118" t="s">
        <v>1075</v>
      </c>
      <c r="D118" t="s">
        <v>125</v>
      </c>
      <c r="E118" s="134">
        <f>Inputs!$E$61</f>
        <v>0.12</v>
      </c>
      <c r="F118" s="151"/>
      <c r="G118" s="151">
        <f>SUM(H118:BP118)</f>
        <v>0</v>
      </c>
      <c r="H118" s="151">
        <f>IF(Inputs!$E$69=1,(1+$E$118)^(1/12)-1,$E$118/12)*(H116+H117)*H$10</f>
        <v>0</v>
      </c>
      <c r="I118" s="151">
        <f>IF(Inputs!$E$69=1,(1+$E$118)^(1/12)-1,$E$118/12)*(I116+I117)*I$10</f>
        <v>0</v>
      </c>
      <c r="J118" s="151">
        <f>IF(Inputs!$E$69=1,(1+$E$118)^(1/12)-1,$E$118/12)*(J116+J117)*J$10</f>
        <v>0</v>
      </c>
      <c r="K118" s="151">
        <f>IF(Inputs!$E$69=1,(1+$E$118)^(1/12)-1,$E$118/12)*(K116+K117)*K$10</f>
        <v>0</v>
      </c>
      <c r="L118" s="151">
        <f>IF(Inputs!$E$69=1,(1+$E$118)^(1/12)-1,$E$118/12)*(L116+L117)*L$10</f>
        <v>0</v>
      </c>
      <c r="M118" s="151">
        <f>IF(Inputs!$E$69=1,(1+$E$118)^(1/12)-1,$E$118/12)*(M116+M117)*M$10</f>
        <v>0</v>
      </c>
      <c r="N118" s="151">
        <f>IF(Inputs!$E$69=1,(1+$E$118)^(1/12)-1,$E$118/12)*(N116+N117)*N$10</f>
        <v>0</v>
      </c>
      <c r="O118" s="151">
        <f>IF(Inputs!$E$69=1,(1+$E$118)^(1/12)-1,$E$118/12)*(O116+O117)*O$10</f>
        <v>0</v>
      </c>
      <c r="P118" s="151">
        <f>IF(Inputs!$E$69=1,(1+$E$118)^(1/12)-1,$E$118/12)*(P116+P117)*P$10</f>
        <v>0</v>
      </c>
      <c r="Q118" s="151">
        <f>IF(Inputs!$E$69=1,(1+$E$118)^(1/12)-1,$E$118/12)*(Q116+Q117)*Q$10</f>
        <v>0</v>
      </c>
      <c r="R118" s="151">
        <f>IF(Inputs!$E$69=1,(1+$E$118)^(1/12)-1,$E$118/12)*(R116+R117)*R$10</f>
        <v>0</v>
      </c>
      <c r="S118" s="151">
        <f>IF(Inputs!$E$69=1,(1+$E$118)^(1/12)-1,$E$118/12)*(S116+S117)*S$10</f>
        <v>0</v>
      </c>
      <c r="T118" s="151">
        <f>IF(Inputs!$E$69=1,(1+$E$118)^(1/12)-1,$E$118/12)*(T116+T117)*T$10</f>
        <v>0</v>
      </c>
      <c r="U118" s="151">
        <f>IF(Inputs!$E$69=1,(1+$E$118)^(1/12)-1,$E$118/12)*(U116+U117)*U$10</f>
        <v>0</v>
      </c>
      <c r="V118" s="151">
        <f>IF(Inputs!$E$69=1,(1+$E$118)^(1/12)-1,$E$118/12)*(V116+V117)*V$10</f>
        <v>0</v>
      </c>
      <c r="W118" s="151">
        <f>IF(Inputs!$E$69=1,(1+$E$118)^(1/12)-1,$E$118/12)*(W116+W117)*W$10</f>
        <v>0</v>
      </c>
      <c r="X118" s="151">
        <f>IF(Inputs!$E$69=1,(1+$E$118)^(1/12)-1,$E$118/12)*(X116+X117)*X$10</f>
        <v>0</v>
      </c>
      <c r="Y118" s="151">
        <f>IF(Inputs!$E$69=1,(1+$E$118)^(1/12)-1,$E$118/12)*(Y116+Y117)*Y$10</f>
        <v>0</v>
      </c>
      <c r="Z118" s="151">
        <f>IF(Inputs!$E$69=1,(1+$E$118)^(1/12)-1,$E$118/12)*(Z116+Z117)*Z$10</f>
        <v>0</v>
      </c>
      <c r="AA118" s="151">
        <f>IF(Inputs!$E$69=1,(1+$E$118)^(1/12)-1,$E$118/12)*(AA116+AA117)*AA$10</f>
        <v>0</v>
      </c>
      <c r="AB118" s="151">
        <f>IF(Inputs!$E$69=1,(1+$E$118)^(1/12)-1,$E$118/12)*(AB116+AB117)*AB$10</f>
        <v>0</v>
      </c>
      <c r="AC118" s="151">
        <f>IF(Inputs!$E$69=1,(1+$E$118)^(1/12)-1,$E$118/12)*(AC116+AC117)*AC$10</f>
        <v>0</v>
      </c>
      <c r="AD118" s="151">
        <f>IF(Inputs!$E$69=1,(1+$E$118)^(1/12)-1,$E$118/12)*(AD116+AD117)*AD$10</f>
        <v>0</v>
      </c>
      <c r="AE118" s="151">
        <f>IF(Inputs!$E$69=1,(1+$E$118)^(1/12)-1,$E$118/12)*(AE116+AE117)*AE$10</f>
        <v>0</v>
      </c>
      <c r="AF118" s="151">
        <f>IF(Inputs!$E$69=1,(1+$E$118)^(1/12)-1,$E$118/12)*(AF116+AF117)*AF$10</f>
        <v>0</v>
      </c>
      <c r="AG118" s="151">
        <f>IF(Inputs!$E$69=1,(1+$E$118)^(1/12)-1,$E$118/12)*(AG116+AG117)*AG$10</f>
        <v>0</v>
      </c>
      <c r="AH118" s="151">
        <f>IF(Inputs!$E$69=1,(1+$E$118)^(1/12)-1,$E$118/12)*(AH116+AH117)*AH$10</f>
        <v>0</v>
      </c>
      <c r="AI118" s="151">
        <f>IF(Inputs!$E$69=1,(1+$E$118)^(1/12)-1,$E$118/12)*(AI116+AI117)*AI$10</f>
        <v>0</v>
      </c>
      <c r="AJ118" s="151">
        <f>IF(Inputs!$E$69=1,(1+$E$118)^(1/12)-1,$E$118/12)*(AJ116+AJ117)*AJ$10</f>
        <v>0</v>
      </c>
      <c r="AK118" s="151">
        <f>IF(Inputs!$E$69=1,(1+$E$118)^(1/12)-1,$E$118/12)*(AK116+AK117)*AK$10</f>
        <v>0</v>
      </c>
      <c r="AL118" s="151">
        <f>IF(Inputs!$E$69=1,(1+$E$118)^(1/12)-1,$E$118/12)*(AL116+AL117)*AL$10</f>
        <v>0</v>
      </c>
      <c r="AM118" s="151">
        <f>IF(Inputs!$E$69=1,(1+$E$118)^(1/12)-1,$E$118/12)*(AM116+AM117)*AM$10</f>
        <v>0</v>
      </c>
      <c r="AN118" s="151">
        <f>IF(Inputs!$E$69=1,(1+$E$118)^(1/12)-1,$E$118/12)*(AN116+AN117)*AN$10</f>
        <v>0</v>
      </c>
      <c r="AO118" s="151">
        <f>IF(Inputs!$E$69=1,(1+$E$118)^(1/12)-1,$E$118/12)*(AO116+AO117)*AO$10</f>
        <v>0</v>
      </c>
      <c r="AP118" s="151">
        <f>IF(Inputs!$E$69=1,(1+$E$118)^(1/12)-1,$E$118/12)*(AP116+AP117)*AP$10</f>
        <v>0</v>
      </c>
      <c r="AQ118" s="151">
        <f>IF(Inputs!$E$69=1,(1+$E$118)^(1/12)-1,$E$118/12)*(AQ116+AQ117)*AQ$10</f>
        <v>0</v>
      </c>
      <c r="AR118" s="151">
        <f>IF(Inputs!$E$69=1,(1+$E$118)^(1/12)-1,$E$118/12)*(AR116+AR117)*AR$10</f>
        <v>0</v>
      </c>
      <c r="AS118" s="151">
        <f>IF(Inputs!$E$69=1,(1+$E$118)^(1/12)-1,$E$118/12)*(AS116+AS117)*AS$10</f>
        <v>0</v>
      </c>
      <c r="AT118" s="151">
        <f>IF(Inputs!$E$69=1,(1+$E$118)^(1/12)-1,$E$118/12)*(AT116+AT117)*AT$10</f>
        <v>0</v>
      </c>
      <c r="AU118" s="151">
        <f>IF(Inputs!$E$69=1,(1+$E$118)^(1/12)-1,$E$118/12)*(AU116+AU117)*AU$10</f>
        <v>0</v>
      </c>
      <c r="AV118" s="151">
        <f>IF(Inputs!$E$69=1,(1+$E$118)^(1/12)-1,$E$118/12)*(AV116+AV117)*AV$10</f>
        <v>0</v>
      </c>
      <c r="AW118" s="151">
        <f>IF(Inputs!$E$69=1,(1+$E$118)^(1/12)-1,$E$118/12)*(AW116+AW117)*AW$10</f>
        <v>0</v>
      </c>
      <c r="AX118" s="151">
        <f>IF(Inputs!$E$69=1,(1+$E$118)^(1/12)-1,$E$118/12)*(AX116+AX117)*AX$10</f>
        <v>0</v>
      </c>
      <c r="AY118" s="151">
        <f>IF(Inputs!$E$69=1,(1+$E$118)^(1/12)-1,$E$118/12)*(AY116+AY117)*AY$10</f>
        <v>0</v>
      </c>
      <c r="AZ118" s="151">
        <f>IF(Inputs!$E$69=1,(1+$E$118)^(1/12)-1,$E$118/12)*(AZ116+AZ117)*AZ$10</f>
        <v>0</v>
      </c>
      <c r="BA118" s="151">
        <f>IF(Inputs!$E$69=1,(1+$E$118)^(1/12)-1,$E$118/12)*(BA116+BA117)*BA$10</f>
        <v>0</v>
      </c>
      <c r="BB118" s="151">
        <f>IF(Inputs!$E$69=1,(1+$E$118)^(1/12)-1,$E$118/12)*(BB116+BB117)*BB$10</f>
        <v>0</v>
      </c>
      <c r="BC118" s="151">
        <f>IF(Inputs!$E$69=1,(1+$E$118)^(1/12)-1,$E$118/12)*(BC116+BC117)*BC$10</f>
        <v>0</v>
      </c>
      <c r="BD118" s="151">
        <f>IF(Inputs!$E$69=1,(1+$E$118)^(1/12)-1,$E$118/12)*(BD116+BD117)*BD$10</f>
        <v>0</v>
      </c>
      <c r="BE118" s="151">
        <f>IF(Inputs!$E$69=1,(1+$E$118)^(1/12)-1,$E$118/12)*(BE116+BE117)*BE$10</f>
        <v>0</v>
      </c>
      <c r="BF118" s="151">
        <f>IF(Inputs!$E$69=1,(1+$E$118)^(1/12)-1,$E$118/12)*(BF116+BF117)*BF$10</f>
        <v>0</v>
      </c>
      <c r="BG118" s="151">
        <f>IF(Inputs!$E$69=1,(1+$E$118)^(1/12)-1,$E$118/12)*(BG116+BG117)*BG$10</f>
        <v>0</v>
      </c>
      <c r="BH118" s="151">
        <f>IF(Inputs!$E$69=1,(1+$E$118)^(1/12)-1,$E$118/12)*(BH116+BH117)*BH$10</f>
        <v>0</v>
      </c>
      <c r="BI118" s="151">
        <f>IF(Inputs!$E$69=1,(1+$E$118)^(1/12)-1,$E$118/12)*(BI116+BI117)*BI$10</f>
        <v>0</v>
      </c>
      <c r="BJ118" s="151">
        <f>IF(Inputs!$E$69=1,(1+$E$118)^(1/12)-1,$E$118/12)*(BJ116+BJ117)*BJ$10</f>
        <v>0</v>
      </c>
      <c r="BK118" s="151">
        <f>IF(Inputs!$E$69=1,(1+$E$118)^(1/12)-1,$E$118/12)*(BK116+BK117)*BK$10</f>
        <v>0</v>
      </c>
      <c r="BL118" s="151">
        <f>IF(Inputs!$E$69=1,(1+$E$118)^(1/12)-1,$E$118/12)*(BL116+BL117)*BL$10</f>
        <v>0</v>
      </c>
      <c r="BM118" s="151">
        <f>IF(Inputs!$E$69=1,(1+$E$118)^(1/12)-1,$E$118/12)*(BM116+BM117)*BM$10</f>
        <v>0</v>
      </c>
      <c r="BN118" s="151">
        <f>IF(Inputs!$E$69=1,(1+$E$118)^(1/12)-1,$E$118/12)*(BN116+BN117)*BN$10</f>
        <v>0</v>
      </c>
      <c r="BO118" s="151">
        <f>IF(Inputs!$E$69=1,(1+$E$118)^(1/12)-1,$E$118/12)*(BO116+BO117)*BO$10</f>
        <v>0</v>
      </c>
      <c r="BP118" s="151">
        <f>IF(Inputs!$E$69=1,(1+$E$118)^(1/12)-1,$E$118/12)*(BP116+BP117)*BP$10</f>
        <v>0</v>
      </c>
    </row>
    <row r="119" spans="3:68" x14ac:dyDescent="0.25">
      <c r="C119" t="s">
        <v>1076</v>
      </c>
      <c r="D119" t="s">
        <v>125</v>
      </c>
      <c r="E119" s="151"/>
      <c r="F119" s="151"/>
      <c r="G119" s="151">
        <f>SUM(H119:BP119)</f>
        <v>0</v>
      </c>
      <c r="H119" s="151">
        <f t="shared" ref="H119:AM119" si="66">-H$7*(H116+H117+H118)</f>
        <v>0</v>
      </c>
      <c r="I119" s="151">
        <f t="shared" si="66"/>
        <v>0</v>
      </c>
      <c r="J119" s="151">
        <f t="shared" si="66"/>
        <v>0</v>
      </c>
      <c r="K119" s="151">
        <f t="shared" si="66"/>
        <v>0</v>
      </c>
      <c r="L119" s="151">
        <f t="shared" si="66"/>
        <v>0</v>
      </c>
      <c r="M119" s="151">
        <f t="shared" si="66"/>
        <v>0</v>
      </c>
      <c r="N119" s="151">
        <f t="shared" si="66"/>
        <v>0</v>
      </c>
      <c r="O119" s="151">
        <f t="shared" si="66"/>
        <v>0</v>
      </c>
      <c r="P119" s="151">
        <f t="shared" si="66"/>
        <v>0</v>
      </c>
      <c r="Q119" s="151">
        <f t="shared" si="66"/>
        <v>0</v>
      </c>
      <c r="R119" s="151">
        <f t="shared" si="66"/>
        <v>0</v>
      </c>
      <c r="S119" s="151">
        <f t="shared" si="66"/>
        <v>0</v>
      </c>
      <c r="T119" s="151">
        <f t="shared" si="66"/>
        <v>0</v>
      </c>
      <c r="U119" s="151">
        <f t="shared" si="66"/>
        <v>0</v>
      </c>
      <c r="V119" s="151">
        <f t="shared" si="66"/>
        <v>0</v>
      </c>
      <c r="W119" s="151">
        <f t="shared" si="66"/>
        <v>0</v>
      </c>
      <c r="X119" s="151">
        <f t="shared" si="66"/>
        <v>0</v>
      </c>
      <c r="Y119" s="151">
        <f t="shared" si="66"/>
        <v>0</v>
      </c>
      <c r="Z119" s="151">
        <f t="shared" si="66"/>
        <v>0</v>
      </c>
      <c r="AA119" s="151">
        <f t="shared" si="66"/>
        <v>0</v>
      </c>
      <c r="AB119" s="151">
        <f t="shared" si="66"/>
        <v>0</v>
      </c>
      <c r="AC119" s="151">
        <f t="shared" si="66"/>
        <v>0</v>
      </c>
      <c r="AD119" s="151">
        <f t="shared" si="66"/>
        <v>0</v>
      </c>
      <c r="AE119" s="151">
        <f t="shared" si="66"/>
        <v>0</v>
      </c>
      <c r="AF119" s="151">
        <f t="shared" si="66"/>
        <v>0</v>
      </c>
      <c r="AG119" s="151">
        <f t="shared" si="66"/>
        <v>0</v>
      </c>
      <c r="AH119" s="151">
        <f t="shared" si="66"/>
        <v>0</v>
      </c>
      <c r="AI119" s="151">
        <f t="shared" si="66"/>
        <v>0</v>
      </c>
      <c r="AJ119" s="151">
        <f t="shared" si="66"/>
        <v>0</v>
      </c>
      <c r="AK119" s="151">
        <f t="shared" si="66"/>
        <v>0</v>
      </c>
      <c r="AL119" s="151">
        <f t="shared" si="66"/>
        <v>0</v>
      </c>
      <c r="AM119" s="151">
        <f t="shared" si="66"/>
        <v>0</v>
      </c>
      <c r="AN119" s="151">
        <f t="shared" ref="AN119:BP119" si="67">-AN$7*(AN116+AN117+AN118)</f>
        <v>0</v>
      </c>
      <c r="AO119" s="151">
        <f t="shared" si="67"/>
        <v>0</v>
      </c>
      <c r="AP119" s="151">
        <f t="shared" si="67"/>
        <v>0</v>
      </c>
      <c r="AQ119" s="151">
        <f t="shared" si="67"/>
        <v>0</v>
      </c>
      <c r="AR119" s="151">
        <f t="shared" si="67"/>
        <v>0</v>
      </c>
      <c r="AS119" s="151">
        <f t="shared" si="67"/>
        <v>0</v>
      </c>
      <c r="AT119" s="151">
        <f t="shared" si="67"/>
        <v>0</v>
      </c>
      <c r="AU119" s="151">
        <f t="shared" si="67"/>
        <v>0</v>
      </c>
      <c r="AV119" s="151">
        <f t="shared" si="67"/>
        <v>0</v>
      </c>
      <c r="AW119" s="151">
        <f t="shared" si="67"/>
        <v>0</v>
      </c>
      <c r="AX119" s="151">
        <f t="shared" si="67"/>
        <v>0</v>
      </c>
      <c r="AY119" s="151">
        <f t="shared" si="67"/>
        <v>0</v>
      </c>
      <c r="AZ119" s="151">
        <f t="shared" si="67"/>
        <v>0</v>
      </c>
      <c r="BA119" s="151">
        <f t="shared" si="67"/>
        <v>0</v>
      </c>
      <c r="BB119" s="151">
        <f t="shared" si="67"/>
        <v>0</v>
      </c>
      <c r="BC119" s="151">
        <f t="shared" si="67"/>
        <v>0</v>
      </c>
      <c r="BD119" s="151">
        <f t="shared" si="67"/>
        <v>0</v>
      </c>
      <c r="BE119" s="151">
        <f t="shared" si="67"/>
        <v>0</v>
      </c>
      <c r="BF119" s="151">
        <f t="shared" si="67"/>
        <v>0</v>
      </c>
      <c r="BG119" s="151">
        <f t="shared" si="67"/>
        <v>0</v>
      </c>
      <c r="BH119" s="151">
        <f t="shared" si="67"/>
        <v>0</v>
      </c>
      <c r="BI119" s="151">
        <f t="shared" si="67"/>
        <v>0</v>
      </c>
      <c r="BJ119" s="151">
        <f t="shared" si="67"/>
        <v>0</v>
      </c>
      <c r="BK119" s="151">
        <f t="shared" si="67"/>
        <v>0</v>
      </c>
      <c r="BL119" s="151">
        <f t="shared" si="67"/>
        <v>0</v>
      </c>
      <c r="BM119" s="151">
        <f t="shared" si="67"/>
        <v>0</v>
      </c>
      <c r="BN119" s="151">
        <f t="shared" si="67"/>
        <v>0</v>
      </c>
      <c r="BO119" s="151">
        <f t="shared" si="67"/>
        <v>0</v>
      </c>
      <c r="BP119" s="151">
        <f t="shared" si="67"/>
        <v>0</v>
      </c>
    </row>
    <row r="120" spans="3:68" x14ac:dyDescent="0.25">
      <c r="C120" t="s">
        <v>1044</v>
      </c>
      <c r="D120" t="s">
        <v>125</v>
      </c>
      <c r="E120" s="151"/>
      <c r="F120" s="151"/>
      <c r="G120" s="151"/>
      <c r="H120" s="151">
        <f t="shared" ref="H120:AM120" si="68">SUM(H116:H119)</f>
        <v>0</v>
      </c>
      <c r="I120" s="151">
        <f t="shared" si="68"/>
        <v>0</v>
      </c>
      <c r="J120" s="151">
        <f t="shared" si="68"/>
        <v>0</v>
      </c>
      <c r="K120" s="151">
        <f t="shared" si="68"/>
        <v>0</v>
      </c>
      <c r="L120" s="151">
        <f t="shared" si="68"/>
        <v>0</v>
      </c>
      <c r="M120" s="151">
        <f t="shared" si="68"/>
        <v>0</v>
      </c>
      <c r="N120" s="151">
        <f t="shared" si="68"/>
        <v>0</v>
      </c>
      <c r="O120" s="151">
        <f t="shared" si="68"/>
        <v>0</v>
      </c>
      <c r="P120" s="151">
        <f t="shared" si="68"/>
        <v>0</v>
      </c>
      <c r="Q120" s="151">
        <f t="shared" si="68"/>
        <v>0</v>
      </c>
      <c r="R120" s="151">
        <f t="shared" si="68"/>
        <v>0</v>
      </c>
      <c r="S120" s="151">
        <f t="shared" si="68"/>
        <v>0</v>
      </c>
      <c r="T120" s="151">
        <f t="shared" si="68"/>
        <v>0</v>
      </c>
      <c r="U120" s="151">
        <f t="shared" si="68"/>
        <v>0</v>
      </c>
      <c r="V120" s="151">
        <f t="shared" si="68"/>
        <v>0</v>
      </c>
      <c r="W120" s="151">
        <f t="shared" si="68"/>
        <v>0</v>
      </c>
      <c r="X120" s="151">
        <f t="shared" si="68"/>
        <v>0</v>
      </c>
      <c r="Y120" s="151">
        <f t="shared" si="68"/>
        <v>0</v>
      </c>
      <c r="Z120" s="151">
        <f t="shared" si="68"/>
        <v>0</v>
      </c>
      <c r="AA120" s="151">
        <f t="shared" si="68"/>
        <v>0</v>
      </c>
      <c r="AB120" s="151">
        <f t="shared" si="68"/>
        <v>0</v>
      </c>
      <c r="AC120" s="151">
        <f t="shared" si="68"/>
        <v>0</v>
      </c>
      <c r="AD120" s="151">
        <f t="shared" si="68"/>
        <v>0</v>
      </c>
      <c r="AE120" s="151">
        <f t="shared" si="68"/>
        <v>0</v>
      </c>
      <c r="AF120" s="151">
        <f t="shared" si="68"/>
        <v>0</v>
      </c>
      <c r="AG120" s="151">
        <f t="shared" si="68"/>
        <v>0</v>
      </c>
      <c r="AH120" s="151">
        <f t="shared" si="68"/>
        <v>0</v>
      </c>
      <c r="AI120" s="151">
        <f t="shared" si="68"/>
        <v>0</v>
      </c>
      <c r="AJ120" s="151">
        <f t="shared" si="68"/>
        <v>0</v>
      </c>
      <c r="AK120" s="151">
        <f t="shared" si="68"/>
        <v>0</v>
      </c>
      <c r="AL120" s="151">
        <f t="shared" si="68"/>
        <v>0</v>
      </c>
      <c r="AM120" s="151">
        <f t="shared" si="68"/>
        <v>0</v>
      </c>
      <c r="AN120" s="151">
        <f t="shared" ref="AN120:BP120" si="69">SUM(AN116:AN119)</f>
        <v>0</v>
      </c>
      <c r="AO120" s="151">
        <f t="shared" si="69"/>
        <v>0</v>
      </c>
      <c r="AP120" s="151">
        <f t="shared" si="69"/>
        <v>0</v>
      </c>
      <c r="AQ120" s="151">
        <f t="shared" si="69"/>
        <v>0</v>
      </c>
      <c r="AR120" s="151">
        <f t="shared" si="69"/>
        <v>0</v>
      </c>
      <c r="AS120" s="151">
        <f t="shared" si="69"/>
        <v>0</v>
      </c>
      <c r="AT120" s="151">
        <f t="shared" si="69"/>
        <v>0</v>
      </c>
      <c r="AU120" s="151">
        <f t="shared" si="69"/>
        <v>0</v>
      </c>
      <c r="AV120" s="151">
        <f t="shared" si="69"/>
        <v>0</v>
      </c>
      <c r="AW120" s="151">
        <f t="shared" si="69"/>
        <v>0</v>
      </c>
      <c r="AX120" s="151">
        <f t="shared" si="69"/>
        <v>0</v>
      </c>
      <c r="AY120" s="151">
        <f t="shared" si="69"/>
        <v>0</v>
      </c>
      <c r="AZ120" s="151">
        <f t="shared" si="69"/>
        <v>0</v>
      </c>
      <c r="BA120" s="151">
        <f t="shared" si="69"/>
        <v>0</v>
      </c>
      <c r="BB120" s="151">
        <f t="shared" si="69"/>
        <v>0</v>
      </c>
      <c r="BC120" s="151">
        <f t="shared" si="69"/>
        <v>0</v>
      </c>
      <c r="BD120" s="151">
        <f t="shared" si="69"/>
        <v>0</v>
      </c>
      <c r="BE120" s="151">
        <f t="shared" si="69"/>
        <v>0</v>
      </c>
      <c r="BF120" s="151">
        <f t="shared" si="69"/>
        <v>0</v>
      </c>
      <c r="BG120" s="151">
        <f t="shared" si="69"/>
        <v>0</v>
      </c>
      <c r="BH120" s="151">
        <f t="shared" si="69"/>
        <v>0</v>
      </c>
      <c r="BI120" s="151">
        <f t="shared" si="69"/>
        <v>0</v>
      </c>
      <c r="BJ120" s="151">
        <f t="shared" si="69"/>
        <v>0</v>
      </c>
      <c r="BK120" s="151">
        <f t="shared" si="69"/>
        <v>0</v>
      </c>
      <c r="BL120" s="151">
        <f t="shared" si="69"/>
        <v>0</v>
      </c>
      <c r="BM120" s="151">
        <f t="shared" si="69"/>
        <v>0</v>
      </c>
      <c r="BN120" s="151">
        <f t="shared" si="69"/>
        <v>0</v>
      </c>
      <c r="BO120" s="151">
        <f t="shared" si="69"/>
        <v>0</v>
      </c>
      <c r="BP120" s="151">
        <f t="shared" si="69"/>
        <v>0</v>
      </c>
    </row>
    <row r="121" spans="3:68" x14ac:dyDescent="0.25">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151"/>
      <c r="AB121" s="151"/>
      <c r="AC121" s="151"/>
      <c r="AD121" s="151"/>
      <c r="AE121" s="151"/>
      <c r="AF121" s="151"/>
      <c r="AG121" s="151"/>
      <c r="AH121" s="151"/>
      <c r="AI121" s="151"/>
      <c r="AJ121" s="151"/>
      <c r="AK121" s="151"/>
      <c r="AL121" s="151"/>
      <c r="AM121" s="151"/>
      <c r="AN121" s="151"/>
      <c r="AO121" s="151"/>
      <c r="AP121" s="151"/>
      <c r="AQ121" s="151"/>
      <c r="AR121" s="151"/>
      <c r="AS121" s="151"/>
      <c r="AT121" s="151"/>
      <c r="AU121" s="151"/>
      <c r="AV121" s="151"/>
      <c r="AW121" s="151"/>
      <c r="AX121" s="151"/>
      <c r="AY121" s="151"/>
      <c r="AZ121" s="151"/>
      <c r="BA121" s="151"/>
      <c r="BB121" s="151"/>
      <c r="BC121" s="151"/>
      <c r="BD121" s="151"/>
      <c r="BE121" s="151"/>
      <c r="BF121" s="151"/>
      <c r="BG121" s="151"/>
      <c r="BH121" s="151"/>
      <c r="BI121" s="151"/>
      <c r="BJ121" s="151"/>
      <c r="BK121" s="151"/>
      <c r="BL121" s="151"/>
      <c r="BM121" s="151"/>
      <c r="BN121" s="151"/>
      <c r="BO121" s="151"/>
      <c r="BP121" s="151"/>
    </row>
    <row r="122" spans="3:68" x14ac:dyDescent="0.25">
      <c r="C122" s="198" t="s">
        <v>1078</v>
      </c>
      <c r="D122" s="198"/>
      <c r="E122" s="244"/>
      <c r="F122" s="244"/>
      <c r="G122" s="244"/>
      <c r="H122" s="244"/>
      <c r="I122" s="244"/>
      <c r="J122" s="244"/>
      <c r="K122" s="244"/>
      <c r="L122" s="244"/>
      <c r="M122" s="244"/>
      <c r="N122" s="244"/>
      <c r="O122" s="244"/>
      <c r="P122" s="244"/>
      <c r="Q122" s="244"/>
      <c r="R122" s="244"/>
      <c r="S122" s="244"/>
      <c r="T122" s="244"/>
      <c r="U122" s="244"/>
      <c r="V122" s="244"/>
      <c r="W122" s="244"/>
      <c r="X122" s="244"/>
      <c r="Y122" s="244"/>
      <c r="Z122" s="244"/>
      <c r="AA122" s="244"/>
      <c r="AB122" s="244"/>
      <c r="AC122" s="244"/>
      <c r="AD122" s="244"/>
      <c r="AE122" s="244"/>
      <c r="AF122" s="244"/>
      <c r="AG122" s="244"/>
      <c r="AH122" s="244"/>
      <c r="AI122" s="244"/>
      <c r="AJ122" s="244"/>
      <c r="AK122" s="244"/>
      <c r="AL122" s="244"/>
      <c r="AM122" s="244"/>
      <c r="AN122" s="244"/>
      <c r="AO122" s="244"/>
      <c r="AP122" s="244"/>
      <c r="AQ122" s="244"/>
      <c r="AR122" s="244"/>
      <c r="AS122" s="244"/>
      <c r="AT122" s="244"/>
      <c r="AU122" s="244"/>
      <c r="AV122" s="244"/>
      <c r="AW122" s="244"/>
      <c r="AX122" s="244"/>
      <c r="AY122" s="244"/>
      <c r="AZ122" s="244"/>
      <c r="BA122" s="244"/>
      <c r="BB122" s="244"/>
      <c r="BC122" s="244"/>
      <c r="BD122" s="244"/>
      <c r="BE122" s="244"/>
      <c r="BF122" s="244"/>
      <c r="BG122" s="244"/>
      <c r="BH122" s="244"/>
      <c r="BI122" s="244"/>
      <c r="BJ122" s="244"/>
      <c r="BK122" s="244"/>
      <c r="BL122" s="244"/>
      <c r="BM122" s="244"/>
      <c r="BN122" s="244"/>
      <c r="BO122" s="244"/>
      <c r="BP122" s="244"/>
    </row>
    <row r="123" spans="3:68" x14ac:dyDescent="0.25">
      <c r="C123" t="s">
        <v>1042</v>
      </c>
      <c r="D123" t="s">
        <v>125</v>
      </c>
      <c r="E123" s="151"/>
      <c r="F123" s="151"/>
      <c r="G123" s="151"/>
      <c r="H123" s="151">
        <v>0</v>
      </c>
      <c r="I123" s="151">
        <f t="shared" ref="I123:AN123" si="70">H128</f>
        <v>0</v>
      </c>
      <c r="J123" s="151">
        <f t="shared" si="70"/>
        <v>0</v>
      </c>
      <c r="K123" s="151">
        <f t="shared" si="70"/>
        <v>0</v>
      </c>
      <c r="L123" s="151">
        <f t="shared" si="70"/>
        <v>96.840799703813417</v>
      </c>
      <c r="M123" s="151">
        <f t="shared" si="70"/>
        <v>96.840799703813417</v>
      </c>
      <c r="N123" s="151">
        <f t="shared" si="70"/>
        <v>96.840799703813417</v>
      </c>
      <c r="O123" s="151">
        <f t="shared" si="70"/>
        <v>101.70566456867829</v>
      </c>
      <c r="P123" s="151">
        <f t="shared" si="70"/>
        <v>191.15228619029989</v>
      </c>
      <c r="Q123" s="151">
        <f t="shared" si="70"/>
        <v>390.15228619029989</v>
      </c>
      <c r="R123" s="151">
        <f t="shared" si="70"/>
        <v>390.15228619029989</v>
      </c>
      <c r="S123" s="151">
        <f t="shared" si="70"/>
        <v>390.15228619029989</v>
      </c>
      <c r="T123" s="151">
        <f t="shared" si="70"/>
        <v>411.7739078119215</v>
      </c>
      <c r="U123" s="151">
        <f t="shared" si="70"/>
        <v>433.39552943354312</v>
      </c>
      <c r="V123" s="151">
        <f t="shared" si="70"/>
        <v>433.39552943354312</v>
      </c>
      <c r="W123" s="151">
        <f t="shared" si="70"/>
        <v>433.39552943354312</v>
      </c>
      <c r="X123" s="151">
        <f t="shared" si="70"/>
        <v>433.39552943354312</v>
      </c>
      <c r="Y123" s="151">
        <f t="shared" si="70"/>
        <v>453.66579970381338</v>
      </c>
      <c r="Z123" s="151">
        <f t="shared" si="70"/>
        <v>525.00634024435396</v>
      </c>
      <c r="AA123" s="151">
        <f t="shared" si="70"/>
        <v>1002.3783065984633</v>
      </c>
      <c r="AB123" s="151">
        <f t="shared" si="70"/>
        <v>1117.2431714633281</v>
      </c>
      <c r="AC123" s="151">
        <f t="shared" si="70"/>
        <v>1161.3107390308955</v>
      </c>
      <c r="AD123" s="151">
        <f t="shared" si="70"/>
        <v>1161.3647930849495</v>
      </c>
      <c r="AE123" s="151">
        <f t="shared" si="70"/>
        <v>1161.3647930849495</v>
      </c>
      <c r="AF123" s="151">
        <f t="shared" si="70"/>
        <v>1163.6147930849495</v>
      </c>
      <c r="AG123" s="151">
        <f t="shared" si="70"/>
        <v>1163.6147930849495</v>
      </c>
      <c r="AH123" s="151">
        <f t="shared" si="70"/>
        <v>1244.551821656378</v>
      </c>
      <c r="AI123" s="151">
        <f t="shared" si="70"/>
        <v>1244.551821656378</v>
      </c>
      <c r="AJ123" s="151">
        <f t="shared" si="70"/>
        <v>1244.551821656378</v>
      </c>
      <c r="AK123" s="151">
        <f t="shared" si="70"/>
        <v>1260.7680378725943</v>
      </c>
      <c r="AL123" s="151">
        <f t="shared" si="70"/>
        <v>1401.8718686868808</v>
      </c>
      <c r="AM123" s="151">
        <f t="shared" si="70"/>
        <v>1428.8988957139079</v>
      </c>
      <c r="AN123" s="151">
        <f t="shared" si="70"/>
        <v>1428.8988957139079</v>
      </c>
      <c r="AO123" s="151">
        <f t="shared" ref="AO123:BP123" si="71">AN128</f>
        <v>1552.1421389571512</v>
      </c>
      <c r="AP123" s="151">
        <f t="shared" si="71"/>
        <v>1552.1421389571512</v>
      </c>
      <c r="AQ123" s="151">
        <f t="shared" si="71"/>
        <v>1552.1421389571512</v>
      </c>
      <c r="AR123" s="151">
        <f t="shared" si="71"/>
        <v>1552.1421389571512</v>
      </c>
      <c r="AS123" s="151">
        <f t="shared" si="71"/>
        <v>1552.1421389571512</v>
      </c>
      <c r="AT123" s="151">
        <f t="shared" si="71"/>
        <v>1552.1421389571512</v>
      </c>
      <c r="AU123" s="151">
        <f t="shared" si="71"/>
        <v>0</v>
      </c>
      <c r="AV123" s="151">
        <f t="shared" si="71"/>
        <v>0</v>
      </c>
      <c r="AW123" s="151">
        <f t="shared" si="71"/>
        <v>0</v>
      </c>
      <c r="AX123" s="151">
        <f t="shared" si="71"/>
        <v>0</v>
      </c>
      <c r="AY123" s="151">
        <f t="shared" si="71"/>
        <v>0</v>
      </c>
      <c r="AZ123" s="151">
        <f t="shared" si="71"/>
        <v>0</v>
      </c>
      <c r="BA123" s="151">
        <f t="shared" si="71"/>
        <v>0</v>
      </c>
      <c r="BB123" s="151">
        <f t="shared" si="71"/>
        <v>0</v>
      </c>
      <c r="BC123" s="151">
        <f t="shared" si="71"/>
        <v>0</v>
      </c>
      <c r="BD123" s="151">
        <f t="shared" si="71"/>
        <v>0</v>
      </c>
      <c r="BE123" s="151">
        <f t="shared" si="71"/>
        <v>0</v>
      </c>
      <c r="BF123" s="151">
        <f t="shared" si="71"/>
        <v>0</v>
      </c>
      <c r="BG123" s="151">
        <f t="shared" si="71"/>
        <v>0</v>
      </c>
      <c r="BH123" s="151">
        <f t="shared" si="71"/>
        <v>0</v>
      </c>
      <c r="BI123" s="151">
        <f t="shared" si="71"/>
        <v>0</v>
      </c>
      <c r="BJ123" s="151">
        <f t="shared" si="71"/>
        <v>0</v>
      </c>
      <c r="BK123" s="151">
        <f t="shared" si="71"/>
        <v>0</v>
      </c>
      <c r="BL123" s="151">
        <f t="shared" si="71"/>
        <v>0</v>
      </c>
      <c r="BM123" s="151">
        <f t="shared" si="71"/>
        <v>0</v>
      </c>
      <c r="BN123" s="151">
        <f t="shared" si="71"/>
        <v>0</v>
      </c>
      <c r="BO123" s="151">
        <f t="shared" si="71"/>
        <v>0</v>
      </c>
      <c r="BP123" s="151">
        <f t="shared" si="71"/>
        <v>0</v>
      </c>
    </row>
    <row r="124" spans="3:68" x14ac:dyDescent="0.25">
      <c r="C124" t="s">
        <v>1079</v>
      </c>
      <c r="D124" t="s">
        <v>125</v>
      </c>
      <c r="E124" s="151"/>
      <c r="F124" s="151"/>
      <c r="G124" s="151">
        <f>SUM(H124:BP124)</f>
        <v>8.2191780821917817</v>
      </c>
      <c r="H124" s="151">
        <f t="shared" ref="H124:AM124" si="72">$E$106*H103</f>
        <v>0</v>
      </c>
      <c r="I124" s="151">
        <f t="shared" si="72"/>
        <v>0</v>
      </c>
      <c r="J124" s="151">
        <f t="shared" si="72"/>
        <v>0</v>
      </c>
      <c r="K124" s="151">
        <f t="shared" si="72"/>
        <v>8.2191780821917817</v>
      </c>
      <c r="L124" s="151">
        <f t="shared" si="72"/>
        <v>0</v>
      </c>
      <c r="M124" s="151">
        <f t="shared" si="72"/>
        <v>0</v>
      </c>
      <c r="N124" s="151">
        <f t="shared" si="72"/>
        <v>0</v>
      </c>
      <c r="O124" s="151">
        <f t="shared" si="72"/>
        <v>0</v>
      </c>
      <c r="P124" s="151">
        <f t="shared" si="72"/>
        <v>0</v>
      </c>
      <c r="Q124" s="151">
        <f t="shared" si="72"/>
        <v>0</v>
      </c>
      <c r="R124" s="151">
        <f t="shared" si="72"/>
        <v>0</v>
      </c>
      <c r="S124" s="151">
        <f t="shared" si="72"/>
        <v>0</v>
      </c>
      <c r="T124" s="151">
        <f t="shared" si="72"/>
        <v>0</v>
      </c>
      <c r="U124" s="151">
        <f t="shared" si="72"/>
        <v>0</v>
      </c>
      <c r="V124" s="151">
        <f t="shared" si="72"/>
        <v>0</v>
      </c>
      <c r="W124" s="151">
        <f t="shared" si="72"/>
        <v>0</v>
      </c>
      <c r="X124" s="151">
        <f t="shared" si="72"/>
        <v>0</v>
      </c>
      <c r="Y124" s="151">
        <f t="shared" si="72"/>
        <v>0</v>
      </c>
      <c r="Z124" s="151">
        <f t="shared" si="72"/>
        <v>0</v>
      </c>
      <c r="AA124" s="151">
        <f t="shared" si="72"/>
        <v>0</v>
      </c>
      <c r="AB124" s="151">
        <f t="shared" si="72"/>
        <v>0</v>
      </c>
      <c r="AC124" s="151">
        <f t="shared" si="72"/>
        <v>0</v>
      </c>
      <c r="AD124" s="151">
        <f t="shared" si="72"/>
        <v>0</v>
      </c>
      <c r="AE124" s="151">
        <f t="shared" si="72"/>
        <v>0</v>
      </c>
      <c r="AF124" s="151">
        <f t="shared" si="72"/>
        <v>0</v>
      </c>
      <c r="AG124" s="151">
        <f t="shared" si="72"/>
        <v>0</v>
      </c>
      <c r="AH124" s="151">
        <f t="shared" si="72"/>
        <v>0</v>
      </c>
      <c r="AI124" s="151">
        <f t="shared" si="72"/>
        <v>0</v>
      </c>
      <c r="AJ124" s="151">
        <f t="shared" si="72"/>
        <v>0</v>
      </c>
      <c r="AK124" s="151">
        <f t="shared" si="72"/>
        <v>0</v>
      </c>
      <c r="AL124" s="151">
        <f t="shared" si="72"/>
        <v>0</v>
      </c>
      <c r="AM124" s="151">
        <f t="shared" si="72"/>
        <v>0</v>
      </c>
      <c r="AN124" s="151">
        <f t="shared" ref="AN124:BP124" si="73">$E$106*AN103</f>
        <v>0</v>
      </c>
      <c r="AO124" s="151">
        <f t="shared" si="73"/>
        <v>0</v>
      </c>
      <c r="AP124" s="151">
        <f t="shared" si="73"/>
        <v>0</v>
      </c>
      <c r="AQ124" s="151">
        <f t="shared" si="73"/>
        <v>0</v>
      </c>
      <c r="AR124" s="151">
        <f t="shared" si="73"/>
        <v>0</v>
      </c>
      <c r="AS124" s="151">
        <f t="shared" si="73"/>
        <v>0</v>
      </c>
      <c r="AT124" s="151">
        <f t="shared" si="73"/>
        <v>0</v>
      </c>
      <c r="AU124" s="151">
        <f t="shared" si="73"/>
        <v>0</v>
      </c>
      <c r="AV124" s="151">
        <f t="shared" si="73"/>
        <v>0</v>
      </c>
      <c r="AW124" s="151">
        <f t="shared" si="73"/>
        <v>0</v>
      </c>
      <c r="AX124" s="151">
        <f t="shared" si="73"/>
        <v>0</v>
      </c>
      <c r="AY124" s="151">
        <f t="shared" si="73"/>
        <v>0</v>
      </c>
      <c r="AZ124" s="151">
        <f t="shared" si="73"/>
        <v>0</v>
      </c>
      <c r="BA124" s="151">
        <f t="shared" si="73"/>
        <v>0</v>
      </c>
      <c r="BB124" s="151">
        <f t="shared" si="73"/>
        <v>0</v>
      </c>
      <c r="BC124" s="151">
        <f t="shared" si="73"/>
        <v>0</v>
      </c>
      <c r="BD124" s="151">
        <f t="shared" si="73"/>
        <v>0</v>
      </c>
      <c r="BE124" s="151">
        <f t="shared" si="73"/>
        <v>0</v>
      </c>
      <c r="BF124" s="151">
        <f t="shared" si="73"/>
        <v>0</v>
      </c>
      <c r="BG124" s="151">
        <f t="shared" si="73"/>
        <v>0</v>
      </c>
      <c r="BH124" s="151">
        <f t="shared" si="73"/>
        <v>0</v>
      </c>
      <c r="BI124" s="151">
        <f t="shared" si="73"/>
        <v>0</v>
      </c>
      <c r="BJ124" s="151">
        <f t="shared" si="73"/>
        <v>0</v>
      </c>
      <c r="BK124" s="151">
        <f t="shared" si="73"/>
        <v>0</v>
      </c>
      <c r="BL124" s="151">
        <f t="shared" si="73"/>
        <v>0</v>
      </c>
      <c r="BM124" s="151">
        <f t="shared" si="73"/>
        <v>0</v>
      </c>
      <c r="BN124" s="151">
        <f t="shared" si="73"/>
        <v>0</v>
      </c>
      <c r="BO124" s="151">
        <f t="shared" si="73"/>
        <v>0</v>
      </c>
      <c r="BP124" s="151">
        <f t="shared" si="73"/>
        <v>0</v>
      </c>
    </row>
    <row r="125" spans="3:68" x14ac:dyDescent="0.25">
      <c r="C125" t="s">
        <v>1080</v>
      </c>
      <c r="D125" t="s">
        <v>125</v>
      </c>
      <c r="E125" s="151"/>
      <c r="F125" s="151"/>
      <c r="G125" s="151">
        <f>SUM(H125:BP125)</f>
        <v>1543.9229608749595</v>
      </c>
      <c r="H125" s="151">
        <f t="shared" ref="H125:AM125" si="74">$E$106*(H18+H20)</f>
        <v>0</v>
      </c>
      <c r="I125" s="151">
        <f t="shared" si="74"/>
        <v>0</v>
      </c>
      <c r="J125" s="151">
        <f t="shared" si="74"/>
        <v>0</v>
      </c>
      <c r="K125" s="151">
        <f t="shared" si="74"/>
        <v>88.621621621621628</v>
      </c>
      <c r="L125" s="151">
        <f t="shared" si="74"/>
        <v>0</v>
      </c>
      <c r="M125" s="151">
        <f t="shared" si="74"/>
        <v>0</v>
      </c>
      <c r="N125" s="151">
        <f t="shared" si="74"/>
        <v>4.8648648648648649</v>
      </c>
      <c r="O125" s="151">
        <f t="shared" si="74"/>
        <v>89.446621621621617</v>
      </c>
      <c r="P125" s="151">
        <f t="shared" si="74"/>
        <v>199</v>
      </c>
      <c r="Q125" s="151">
        <f t="shared" si="74"/>
        <v>0</v>
      </c>
      <c r="R125" s="151">
        <f t="shared" si="74"/>
        <v>0</v>
      </c>
      <c r="S125" s="151">
        <f t="shared" si="74"/>
        <v>21.621621621621621</v>
      </c>
      <c r="T125" s="151">
        <f t="shared" si="74"/>
        <v>21.621621621621621</v>
      </c>
      <c r="U125" s="151">
        <f t="shared" si="74"/>
        <v>0</v>
      </c>
      <c r="V125" s="151">
        <f t="shared" si="74"/>
        <v>0</v>
      </c>
      <c r="W125" s="151">
        <f t="shared" si="74"/>
        <v>0</v>
      </c>
      <c r="X125" s="151">
        <f t="shared" si="74"/>
        <v>20.27027027027027</v>
      </c>
      <c r="Y125" s="151">
        <f t="shared" si="74"/>
        <v>71.340540540540545</v>
      </c>
      <c r="Z125" s="151">
        <f t="shared" si="74"/>
        <v>477.37196635410925</v>
      </c>
      <c r="AA125" s="151">
        <f t="shared" si="74"/>
        <v>114.86486486486487</v>
      </c>
      <c r="AB125" s="151">
        <f t="shared" si="74"/>
        <v>44.067567567567565</v>
      </c>
      <c r="AC125" s="151">
        <f t="shared" si="74"/>
        <v>5.4054054054054057E-2</v>
      </c>
      <c r="AD125" s="151">
        <f t="shared" si="74"/>
        <v>0</v>
      </c>
      <c r="AE125" s="151">
        <f t="shared" si="74"/>
        <v>2.25</v>
      </c>
      <c r="AF125" s="151">
        <f t="shared" si="74"/>
        <v>0</v>
      </c>
      <c r="AG125" s="151">
        <f t="shared" si="74"/>
        <v>80.937028571428556</v>
      </c>
      <c r="AH125" s="151">
        <f t="shared" si="74"/>
        <v>0</v>
      </c>
      <c r="AI125" s="151">
        <f t="shared" si="74"/>
        <v>0</v>
      </c>
      <c r="AJ125" s="151">
        <f t="shared" si="74"/>
        <v>16.216216216216218</v>
      </c>
      <c r="AK125" s="151">
        <f t="shared" si="74"/>
        <v>141.10383081428651</v>
      </c>
      <c r="AL125" s="151">
        <f t="shared" si="74"/>
        <v>27.027027027027028</v>
      </c>
      <c r="AM125" s="151">
        <f t="shared" si="74"/>
        <v>0</v>
      </c>
      <c r="AN125" s="151">
        <f t="shared" ref="AN125:BP125" si="75">$E$106*(AN18+AN20)</f>
        <v>123.24324324324324</v>
      </c>
      <c r="AO125" s="151">
        <f t="shared" si="75"/>
        <v>0</v>
      </c>
      <c r="AP125" s="151">
        <f t="shared" si="75"/>
        <v>0</v>
      </c>
      <c r="AQ125" s="151">
        <f t="shared" si="75"/>
        <v>0</v>
      </c>
      <c r="AR125" s="151">
        <f t="shared" si="75"/>
        <v>0</v>
      </c>
      <c r="AS125" s="151">
        <f t="shared" si="75"/>
        <v>0</v>
      </c>
      <c r="AT125" s="151">
        <f t="shared" si="75"/>
        <v>0</v>
      </c>
      <c r="AU125" s="151">
        <f t="shared" si="75"/>
        <v>0</v>
      </c>
      <c r="AV125" s="151">
        <f t="shared" si="75"/>
        <v>0</v>
      </c>
      <c r="AW125" s="151">
        <f t="shared" si="75"/>
        <v>0</v>
      </c>
      <c r="AX125" s="151">
        <f t="shared" si="75"/>
        <v>0</v>
      </c>
      <c r="AY125" s="151">
        <f t="shared" si="75"/>
        <v>0</v>
      </c>
      <c r="AZ125" s="151">
        <f t="shared" si="75"/>
        <v>0</v>
      </c>
      <c r="BA125" s="151">
        <f t="shared" si="75"/>
        <v>0</v>
      </c>
      <c r="BB125" s="151">
        <f t="shared" si="75"/>
        <v>0</v>
      </c>
      <c r="BC125" s="151">
        <f t="shared" si="75"/>
        <v>0</v>
      </c>
      <c r="BD125" s="151">
        <f t="shared" si="75"/>
        <v>0</v>
      </c>
      <c r="BE125" s="151">
        <f t="shared" si="75"/>
        <v>0</v>
      </c>
      <c r="BF125" s="151">
        <f t="shared" si="75"/>
        <v>0</v>
      </c>
      <c r="BG125" s="151">
        <f t="shared" si="75"/>
        <v>0</v>
      </c>
      <c r="BH125" s="151">
        <f t="shared" si="75"/>
        <v>0</v>
      </c>
      <c r="BI125" s="151">
        <f t="shared" si="75"/>
        <v>0</v>
      </c>
      <c r="BJ125" s="151">
        <f t="shared" si="75"/>
        <v>0</v>
      </c>
      <c r="BK125" s="151">
        <f t="shared" si="75"/>
        <v>0</v>
      </c>
      <c r="BL125" s="151">
        <f t="shared" si="75"/>
        <v>0</v>
      </c>
      <c r="BM125" s="151">
        <f t="shared" si="75"/>
        <v>0</v>
      </c>
      <c r="BN125" s="151">
        <f t="shared" si="75"/>
        <v>0</v>
      </c>
      <c r="BO125" s="151">
        <f t="shared" si="75"/>
        <v>0</v>
      </c>
      <c r="BP125" s="151">
        <f t="shared" si="75"/>
        <v>0</v>
      </c>
    </row>
    <row r="126" spans="3:68" x14ac:dyDescent="0.25">
      <c r="C126" t="s">
        <v>1075</v>
      </c>
      <c r="D126" t="s">
        <v>125</v>
      </c>
      <c r="E126" s="134">
        <f>Inputs!$E$62</f>
        <v>0.2</v>
      </c>
      <c r="F126" s="151"/>
      <c r="G126" s="151">
        <f>SUM(H126:BP126)</f>
        <v>0</v>
      </c>
      <c r="H126" s="151">
        <f>IF(Inputs!$E$69=1,(1+$E$126)^(1/12)-1,$E$126/12)*SUM(H123:H125)*H$10*(1-Inputs!$E$66)</f>
        <v>0</v>
      </c>
      <c r="I126" s="151">
        <f>IF(Inputs!$E$69=1,(1+$E$126)^(1/12)-1,$E$126/12)*SUM(I123:I125)*I$10*(1-Inputs!$E$66)</f>
        <v>0</v>
      </c>
      <c r="J126" s="151">
        <f>IF(Inputs!$E$69=1,(1+$E$126)^(1/12)-1,$E$126/12)*SUM(J123:J125)*J$10*(1-Inputs!$E$66)</f>
        <v>0</v>
      </c>
      <c r="K126" s="151">
        <f>IF(Inputs!$E$69=1,(1+$E$126)^(1/12)-1,$E$126/12)*SUM(K123:K125)*K$10*(1-Inputs!$E$66)</f>
        <v>0</v>
      </c>
      <c r="L126" s="151">
        <f>IF(Inputs!$E$69=1,(1+$E$126)^(1/12)-1,$E$126/12)*SUM(L123:L125)*L$10*(1-Inputs!$E$66)</f>
        <v>0</v>
      </c>
      <c r="M126" s="151">
        <f>IF(Inputs!$E$69=1,(1+$E$126)^(1/12)-1,$E$126/12)*SUM(M123:M125)*M$10*(1-Inputs!$E$66)</f>
        <v>0</v>
      </c>
      <c r="N126" s="151">
        <f>IF(Inputs!$E$69=1,(1+$E$126)^(1/12)-1,$E$126/12)*SUM(N123:N125)*N$10*(1-Inputs!$E$66)</f>
        <v>0</v>
      </c>
      <c r="O126" s="151">
        <f>IF(Inputs!$E$69=1,(1+$E$126)^(1/12)-1,$E$126/12)*SUM(O123:O125)*O$10*(1-Inputs!$E$66)</f>
        <v>0</v>
      </c>
      <c r="P126" s="151">
        <f>IF(Inputs!$E$69=1,(1+$E$126)^(1/12)-1,$E$126/12)*SUM(P123:P125)*P$10*(1-Inputs!$E$66)</f>
        <v>0</v>
      </c>
      <c r="Q126" s="151">
        <f>IF(Inputs!$E$69=1,(1+$E$126)^(1/12)-1,$E$126/12)*SUM(Q123:Q125)*Q$10*(1-Inputs!$E$66)</f>
        <v>0</v>
      </c>
      <c r="R126" s="151">
        <f>IF(Inputs!$E$69=1,(1+$E$126)^(1/12)-1,$E$126/12)*SUM(R123:R125)*R$10*(1-Inputs!$E$66)</f>
        <v>0</v>
      </c>
      <c r="S126" s="151">
        <f>IF(Inputs!$E$69=1,(1+$E$126)^(1/12)-1,$E$126/12)*SUM(S123:S125)*S$10*(1-Inputs!$E$66)</f>
        <v>0</v>
      </c>
      <c r="T126" s="151">
        <f>IF(Inputs!$E$69=1,(1+$E$126)^(1/12)-1,$E$126/12)*SUM(T123:T125)*T$10*(1-Inputs!$E$66)</f>
        <v>0</v>
      </c>
      <c r="U126" s="151">
        <f>IF(Inputs!$E$69=1,(1+$E$126)^(1/12)-1,$E$126/12)*SUM(U123:U125)*U$10*(1-Inputs!$E$66)</f>
        <v>0</v>
      </c>
      <c r="V126" s="151">
        <f>IF(Inputs!$E$69=1,(1+$E$126)^(1/12)-1,$E$126/12)*SUM(V123:V125)*V$10*(1-Inputs!$E$66)</f>
        <v>0</v>
      </c>
      <c r="W126" s="151">
        <f>IF(Inputs!$E$69=1,(1+$E$126)^(1/12)-1,$E$126/12)*SUM(W123:W125)*W$10*(1-Inputs!$E$66)</f>
        <v>0</v>
      </c>
      <c r="X126" s="151">
        <f>IF(Inputs!$E$69=1,(1+$E$126)^(1/12)-1,$E$126/12)*SUM(X123:X125)*X$10*(1-Inputs!$E$66)</f>
        <v>0</v>
      </c>
      <c r="Y126" s="151">
        <f>IF(Inputs!$E$69=1,(1+$E$126)^(1/12)-1,$E$126/12)*SUM(Y123:Y125)*Y$10*(1-Inputs!$E$66)</f>
        <v>0</v>
      </c>
      <c r="Z126" s="151">
        <f>IF(Inputs!$E$69=1,(1+$E$126)^(1/12)-1,$E$126/12)*SUM(Z123:Z125)*Z$10*(1-Inputs!$E$66)</f>
        <v>0</v>
      </c>
      <c r="AA126" s="151">
        <f>IF(Inputs!$E$69=1,(1+$E$126)^(1/12)-1,$E$126/12)*SUM(AA123:AA125)*AA$10*(1-Inputs!$E$66)</f>
        <v>0</v>
      </c>
      <c r="AB126" s="151">
        <f>IF(Inputs!$E$69=1,(1+$E$126)^(1/12)-1,$E$126/12)*SUM(AB123:AB125)*AB$10*(1-Inputs!$E$66)</f>
        <v>0</v>
      </c>
      <c r="AC126" s="151">
        <f>IF(Inputs!$E$69=1,(1+$E$126)^(1/12)-1,$E$126/12)*SUM(AC123:AC125)*AC$10*(1-Inputs!$E$66)</f>
        <v>0</v>
      </c>
      <c r="AD126" s="151">
        <f>IF(Inputs!$E$69=1,(1+$E$126)^(1/12)-1,$E$126/12)*SUM(AD123:AD125)*AD$10*(1-Inputs!$E$66)</f>
        <v>0</v>
      </c>
      <c r="AE126" s="151">
        <f>IF(Inputs!$E$69=1,(1+$E$126)^(1/12)-1,$E$126/12)*SUM(AE123:AE125)*AE$10*(1-Inputs!$E$66)</f>
        <v>0</v>
      </c>
      <c r="AF126" s="151">
        <f>IF(Inputs!$E$69=1,(1+$E$126)^(1/12)-1,$E$126/12)*SUM(AF123:AF125)*AF$10*(1-Inputs!$E$66)</f>
        <v>0</v>
      </c>
      <c r="AG126" s="151">
        <f>IF(Inputs!$E$69=1,(1+$E$126)^(1/12)-1,$E$126/12)*SUM(AG123:AG125)*AG$10*(1-Inputs!$E$66)</f>
        <v>0</v>
      </c>
      <c r="AH126" s="151">
        <f>IF(Inputs!$E$69=1,(1+$E$126)^(1/12)-1,$E$126/12)*SUM(AH123:AH125)*AH$10*(1-Inputs!$E$66)</f>
        <v>0</v>
      </c>
      <c r="AI126" s="151">
        <f>IF(Inputs!$E$69=1,(1+$E$126)^(1/12)-1,$E$126/12)*SUM(AI123:AI125)*AI$10*(1-Inputs!$E$66)</f>
        <v>0</v>
      </c>
      <c r="AJ126" s="151">
        <f>IF(Inputs!$E$69=1,(1+$E$126)^(1/12)-1,$E$126/12)*SUM(AJ123:AJ125)*AJ$10*(1-Inputs!$E$66)</f>
        <v>0</v>
      </c>
      <c r="AK126" s="151">
        <f>IF(Inputs!$E$69=1,(1+$E$126)^(1/12)-1,$E$126/12)*SUM(AK123:AK125)*AK$10*(1-Inputs!$E$66)</f>
        <v>0</v>
      </c>
      <c r="AL126" s="151">
        <f>IF(Inputs!$E$69=1,(1+$E$126)^(1/12)-1,$E$126/12)*SUM(AL123:AL125)*AL$10*(1-Inputs!$E$66)</f>
        <v>0</v>
      </c>
      <c r="AM126" s="151">
        <f>IF(Inputs!$E$69=1,(1+$E$126)^(1/12)-1,$E$126/12)*SUM(AM123:AM125)*AM$10*(1-Inputs!$E$66)</f>
        <v>0</v>
      </c>
      <c r="AN126" s="151">
        <f>IF(Inputs!$E$69=1,(1+$E$126)^(1/12)-1,$E$126/12)*SUM(AN123:AN125)*AN$10*(1-Inputs!$E$66)</f>
        <v>0</v>
      </c>
      <c r="AO126" s="151">
        <f>IF(Inputs!$E$69=1,(1+$E$126)^(1/12)-1,$E$126/12)*SUM(AO123:AO125)*AO$10*(1-Inputs!$E$66)</f>
        <v>0</v>
      </c>
      <c r="AP126" s="151">
        <f>IF(Inputs!$E$69=1,(1+$E$126)^(1/12)-1,$E$126/12)*SUM(AP123:AP125)*AP$10*(1-Inputs!$E$66)</f>
        <v>0</v>
      </c>
      <c r="AQ126" s="151">
        <f>IF(Inputs!$E$69=1,(1+$E$126)^(1/12)-1,$E$126/12)*SUM(AQ123:AQ125)*AQ$10*(1-Inputs!$E$66)</f>
        <v>0</v>
      </c>
      <c r="AR126" s="151">
        <f>IF(Inputs!$E$69=1,(1+$E$126)^(1/12)-1,$E$126/12)*SUM(AR123:AR125)*AR$10*(1-Inputs!$E$66)</f>
        <v>0</v>
      </c>
      <c r="AS126" s="151">
        <f>IF(Inputs!$E$69=1,(1+$E$126)^(1/12)-1,$E$126/12)*SUM(AS123:AS125)*AS$10*(1-Inputs!$E$66)</f>
        <v>0</v>
      </c>
      <c r="AT126" s="151">
        <f>IF(Inputs!$E$69=1,(1+$E$126)^(1/12)-1,$E$126/12)*SUM(AT123:AT125)*AT$10*(1-Inputs!$E$66)</f>
        <v>0</v>
      </c>
      <c r="AU126" s="151">
        <f>IF(Inputs!$E$69=1,(1+$E$126)^(1/12)-1,$E$126/12)*SUM(AU123:AU125)*AU$10*(1-Inputs!$E$66)</f>
        <v>0</v>
      </c>
      <c r="AV126" s="151">
        <f>IF(Inputs!$E$69=1,(1+$E$126)^(1/12)-1,$E$126/12)*SUM(AV123:AV125)*AV$10*(1-Inputs!$E$66)</f>
        <v>0</v>
      </c>
      <c r="AW126" s="151">
        <f>IF(Inputs!$E$69=1,(1+$E$126)^(1/12)-1,$E$126/12)*SUM(AW123:AW125)*AW$10*(1-Inputs!$E$66)</f>
        <v>0</v>
      </c>
      <c r="AX126" s="151">
        <f>IF(Inputs!$E$69=1,(1+$E$126)^(1/12)-1,$E$126/12)*SUM(AX123:AX125)*AX$10*(1-Inputs!$E$66)</f>
        <v>0</v>
      </c>
      <c r="AY126" s="151">
        <f>IF(Inputs!$E$69=1,(1+$E$126)^(1/12)-1,$E$126/12)*SUM(AY123:AY125)*AY$10*(1-Inputs!$E$66)</f>
        <v>0</v>
      </c>
      <c r="AZ126" s="151">
        <f>IF(Inputs!$E$69=1,(1+$E$126)^(1/12)-1,$E$126/12)*SUM(AZ123:AZ125)*AZ$10*(1-Inputs!$E$66)</f>
        <v>0</v>
      </c>
      <c r="BA126" s="151">
        <f>IF(Inputs!$E$69=1,(1+$E$126)^(1/12)-1,$E$126/12)*SUM(BA123:BA125)*BA$10*(1-Inputs!$E$66)</f>
        <v>0</v>
      </c>
      <c r="BB126" s="151">
        <f>IF(Inputs!$E$69=1,(1+$E$126)^(1/12)-1,$E$126/12)*SUM(BB123:BB125)*BB$10*(1-Inputs!$E$66)</f>
        <v>0</v>
      </c>
      <c r="BC126" s="151">
        <f>IF(Inputs!$E$69=1,(1+$E$126)^(1/12)-1,$E$126/12)*SUM(BC123:BC125)*BC$10*(1-Inputs!$E$66)</f>
        <v>0</v>
      </c>
      <c r="BD126" s="151">
        <f>IF(Inputs!$E$69=1,(1+$E$126)^(1/12)-1,$E$126/12)*SUM(BD123:BD125)*BD$10*(1-Inputs!$E$66)</f>
        <v>0</v>
      </c>
      <c r="BE126" s="151">
        <f>IF(Inputs!$E$69=1,(1+$E$126)^(1/12)-1,$E$126/12)*SUM(BE123:BE125)*BE$10*(1-Inputs!$E$66)</f>
        <v>0</v>
      </c>
      <c r="BF126" s="151">
        <f>IF(Inputs!$E$69=1,(1+$E$126)^(1/12)-1,$E$126/12)*SUM(BF123:BF125)*BF$10*(1-Inputs!$E$66)</f>
        <v>0</v>
      </c>
      <c r="BG126" s="151">
        <f>IF(Inputs!$E$69=1,(1+$E$126)^(1/12)-1,$E$126/12)*SUM(BG123:BG125)*BG$10*(1-Inputs!$E$66)</f>
        <v>0</v>
      </c>
      <c r="BH126" s="151">
        <f>IF(Inputs!$E$69=1,(1+$E$126)^(1/12)-1,$E$126/12)*SUM(BH123:BH125)*BH$10*(1-Inputs!$E$66)</f>
        <v>0</v>
      </c>
      <c r="BI126" s="151">
        <f>IF(Inputs!$E$69=1,(1+$E$126)^(1/12)-1,$E$126/12)*SUM(BI123:BI125)*BI$10*(1-Inputs!$E$66)</f>
        <v>0</v>
      </c>
      <c r="BJ126" s="151">
        <f>IF(Inputs!$E$69=1,(1+$E$126)^(1/12)-1,$E$126/12)*SUM(BJ123:BJ125)*BJ$10*(1-Inputs!$E$66)</f>
        <v>0</v>
      </c>
      <c r="BK126" s="151">
        <f>IF(Inputs!$E$69=1,(1+$E$126)^(1/12)-1,$E$126/12)*SUM(BK123:BK125)*BK$10*(1-Inputs!$E$66)</f>
        <v>0</v>
      </c>
      <c r="BL126" s="151">
        <f>IF(Inputs!$E$69=1,(1+$E$126)^(1/12)-1,$E$126/12)*SUM(BL123:BL125)*BL$10*(1-Inputs!$E$66)</f>
        <v>0</v>
      </c>
      <c r="BM126" s="151">
        <f>IF(Inputs!$E$69=1,(1+$E$126)^(1/12)-1,$E$126/12)*SUM(BM123:BM125)*BM$10*(1-Inputs!$E$66)</f>
        <v>0</v>
      </c>
      <c r="BN126" s="151">
        <f>IF(Inputs!$E$69=1,(1+$E$126)^(1/12)-1,$E$126/12)*SUM(BN123:BN125)*BN$10*(1-Inputs!$E$66)</f>
        <v>0</v>
      </c>
      <c r="BO126" s="151">
        <f>IF(Inputs!$E$69=1,(1+$E$126)^(1/12)-1,$E$126/12)*SUM(BO123:BO125)*BO$10*(1-Inputs!$E$66)</f>
        <v>0</v>
      </c>
      <c r="BP126" s="151">
        <f>IF(Inputs!$E$69=1,(1+$E$126)^(1/12)-1,$E$126/12)*SUM(BP123:BP125)*BP$10*(1-Inputs!$E$66)</f>
        <v>0</v>
      </c>
    </row>
    <row r="127" spans="3:68" x14ac:dyDescent="0.25">
      <c r="C127" t="s">
        <v>1076</v>
      </c>
      <c r="D127" t="s">
        <v>125</v>
      </c>
      <c r="E127" s="151"/>
      <c r="F127" s="151"/>
      <c r="G127" s="151">
        <f>SUM(H127:BP127)</f>
        <v>-1552.1421389571512</v>
      </c>
      <c r="H127" s="151">
        <f t="shared" ref="H127:AM127" si="76">-H$7*SUM(H123:H126)</f>
        <v>0</v>
      </c>
      <c r="I127" s="151">
        <f t="shared" si="76"/>
        <v>0</v>
      </c>
      <c r="J127" s="151">
        <f t="shared" si="76"/>
        <v>0</v>
      </c>
      <c r="K127" s="151">
        <f t="shared" si="76"/>
        <v>0</v>
      </c>
      <c r="L127" s="151">
        <f t="shared" si="76"/>
        <v>0</v>
      </c>
      <c r="M127" s="151">
        <f t="shared" si="76"/>
        <v>0</v>
      </c>
      <c r="N127" s="151">
        <f t="shared" si="76"/>
        <v>0</v>
      </c>
      <c r="O127" s="151">
        <f t="shared" si="76"/>
        <v>0</v>
      </c>
      <c r="P127" s="151">
        <f t="shared" si="76"/>
        <v>0</v>
      </c>
      <c r="Q127" s="151">
        <f t="shared" si="76"/>
        <v>0</v>
      </c>
      <c r="R127" s="151">
        <f t="shared" si="76"/>
        <v>0</v>
      </c>
      <c r="S127" s="151">
        <f t="shared" si="76"/>
        <v>0</v>
      </c>
      <c r="T127" s="151">
        <f t="shared" si="76"/>
        <v>0</v>
      </c>
      <c r="U127" s="151">
        <f t="shared" si="76"/>
        <v>0</v>
      </c>
      <c r="V127" s="151">
        <f t="shared" si="76"/>
        <v>0</v>
      </c>
      <c r="W127" s="151">
        <f t="shared" si="76"/>
        <v>0</v>
      </c>
      <c r="X127" s="151">
        <f t="shared" si="76"/>
        <v>0</v>
      </c>
      <c r="Y127" s="151">
        <f t="shared" si="76"/>
        <v>0</v>
      </c>
      <c r="Z127" s="151">
        <f t="shared" si="76"/>
        <v>0</v>
      </c>
      <c r="AA127" s="151">
        <f t="shared" si="76"/>
        <v>0</v>
      </c>
      <c r="AB127" s="151">
        <f t="shared" si="76"/>
        <v>0</v>
      </c>
      <c r="AC127" s="151">
        <f t="shared" si="76"/>
        <v>0</v>
      </c>
      <c r="AD127" s="151">
        <f t="shared" si="76"/>
        <v>0</v>
      </c>
      <c r="AE127" s="151">
        <f t="shared" si="76"/>
        <v>0</v>
      </c>
      <c r="AF127" s="151">
        <f t="shared" si="76"/>
        <v>0</v>
      </c>
      <c r="AG127" s="151">
        <f t="shared" si="76"/>
        <v>0</v>
      </c>
      <c r="AH127" s="151">
        <f t="shared" si="76"/>
        <v>0</v>
      </c>
      <c r="AI127" s="151">
        <f t="shared" si="76"/>
        <v>0</v>
      </c>
      <c r="AJ127" s="151">
        <f t="shared" si="76"/>
        <v>0</v>
      </c>
      <c r="AK127" s="151">
        <f t="shared" si="76"/>
        <v>0</v>
      </c>
      <c r="AL127" s="151">
        <f t="shared" si="76"/>
        <v>0</v>
      </c>
      <c r="AM127" s="151">
        <f t="shared" si="76"/>
        <v>0</v>
      </c>
      <c r="AN127" s="151">
        <f t="shared" ref="AN127:BP127" si="77">-AN$7*SUM(AN123:AN126)</f>
        <v>0</v>
      </c>
      <c r="AO127" s="151">
        <f t="shared" si="77"/>
        <v>0</v>
      </c>
      <c r="AP127" s="151">
        <f t="shared" si="77"/>
        <v>0</v>
      </c>
      <c r="AQ127" s="151">
        <f t="shared" si="77"/>
        <v>0</v>
      </c>
      <c r="AR127" s="151">
        <f t="shared" si="77"/>
        <v>0</v>
      </c>
      <c r="AS127" s="151">
        <f t="shared" si="77"/>
        <v>0</v>
      </c>
      <c r="AT127" s="151">
        <f t="shared" si="77"/>
        <v>-1552.1421389571512</v>
      </c>
      <c r="AU127" s="151">
        <f t="shared" si="77"/>
        <v>0</v>
      </c>
      <c r="AV127" s="151">
        <f t="shared" si="77"/>
        <v>0</v>
      </c>
      <c r="AW127" s="151">
        <f t="shared" si="77"/>
        <v>0</v>
      </c>
      <c r="AX127" s="151">
        <f t="shared" si="77"/>
        <v>0</v>
      </c>
      <c r="AY127" s="151">
        <f t="shared" si="77"/>
        <v>0</v>
      </c>
      <c r="AZ127" s="151">
        <f t="shared" si="77"/>
        <v>0</v>
      </c>
      <c r="BA127" s="151">
        <f t="shared" si="77"/>
        <v>0</v>
      </c>
      <c r="BB127" s="151">
        <f t="shared" si="77"/>
        <v>0</v>
      </c>
      <c r="BC127" s="151">
        <f t="shared" si="77"/>
        <v>0</v>
      </c>
      <c r="BD127" s="151">
        <f t="shared" si="77"/>
        <v>0</v>
      </c>
      <c r="BE127" s="151">
        <f t="shared" si="77"/>
        <v>0</v>
      </c>
      <c r="BF127" s="151">
        <f t="shared" si="77"/>
        <v>0</v>
      </c>
      <c r="BG127" s="151">
        <f t="shared" si="77"/>
        <v>0</v>
      </c>
      <c r="BH127" s="151">
        <f t="shared" si="77"/>
        <v>0</v>
      </c>
      <c r="BI127" s="151">
        <f t="shared" si="77"/>
        <v>0</v>
      </c>
      <c r="BJ127" s="151">
        <f t="shared" si="77"/>
        <v>0</v>
      </c>
      <c r="BK127" s="151">
        <f t="shared" si="77"/>
        <v>0</v>
      </c>
      <c r="BL127" s="151">
        <f t="shared" si="77"/>
        <v>0</v>
      </c>
      <c r="BM127" s="151">
        <f t="shared" si="77"/>
        <v>0</v>
      </c>
      <c r="BN127" s="151">
        <f t="shared" si="77"/>
        <v>0</v>
      </c>
      <c r="BO127" s="151">
        <f t="shared" si="77"/>
        <v>0</v>
      </c>
      <c r="BP127" s="151">
        <f t="shared" si="77"/>
        <v>0</v>
      </c>
    </row>
    <row r="128" spans="3:68" x14ac:dyDescent="0.25">
      <c r="C128" t="s">
        <v>1044</v>
      </c>
      <c r="D128" t="s">
        <v>125</v>
      </c>
      <c r="E128" s="151"/>
      <c r="F128" s="151"/>
      <c r="G128" s="151"/>
      <c r="H128" s="151">
        <f t="shared" ref="H128:AM128" si="78">SUM(H123:H127)</f>
        <v>0</v>
      </c>
      <c r="I128" s="151">
        <f t="shared" si="78"/>
        <v>0</v>
      </c>
      <c r="J128" s="151">
        <f t="shared" si="78"/>
        <v>0</v>
      </c>
      <c r="K128" s="151">
        <f t="shared" si="78"/>
        <v>96.840799703813417</v>
      </c>
      <c r="L128" s="151">
        <f t="shared" si="78"/>
        <v>96.840799703813417</v>
      </c>
      <c r="M128" s="151">
        <f t="shared" si="78"/>
        <v>96.840799703813417</v>
      </c>
      <c r="N128" s="151">
        <f t="shared" si="78"/>
        <v>101.70566456867829</v>
      </c>
      <c r="O128" s="151">
        <f t="shared" si="78"/>
        <v>191.15228619029989</v>
      </c>
      <c r="P128" s="151">
        <f t="shared" si="78"/>
        <v>390.15228619029989</v>
      </c>
      <c r="Q128" s="151">
        <f t="shared" si="78"/>
        <v>390.15228619029989</v>
      </c>
      <c r="R128" s="151">
        <f t="shared" si="78"/>
        <v>390.15228619029989</v>
      </c>
      <c r="S128" s="151">
        <f t="shared" si="78"/>
        <v>411.7739078119215</v>
      </c>
      <c r="T128" s="151">
        <f t="shared" si="78"/>
        <v>433.39552943354312</v>
      </c>
      <c r="U128" s="151">
        <f t="shared" si="78"/>
        <v>433.39552943354312</v>
      </c>
      <c r="V128" s="151">
        <f t="shared" si="78"/>
        <v>433.39552943354312</v>
      </c>
      <c r="W128" s="151">
        <f t="shared" si="78"/>
        <v>433.39552943354312</v>
      </c>
      <c r="X128" s="151">
        <f t="shared" si="78"/>
        <v>453.66579970381338</v>
      </c>
      <c r="Y128" s="151">
        <f t="shared" si="78"/>
        <v>525.00634024435396</v>
      </c>
      <c r="Z128" s="151">
        <f t="shared" si="78"/>
        <v>1002.3783065984633</v>
      </c>
      <c r="AA128" s="151">
        <f t="shared" si="78"/>
        <v>1117.2431714633281</v>
      </c>
      <c r="AB128" s="151">
        <f t="shared" si="78"/>
        <v>1161.3107390308955</v>
      </c>
      <c r="AC128" s="151">
        <f t="shared" si="78"/>
        <v>1161.3647930849495</v>
      </c>
      <c r="AD128" s="151">
        <f t="shared" si="78"/>
        <v>1161.3647930849495</v>
      </c>
      <c r="AE128" s="151">
        <f t="shared" si="78"/>
        <v>1163.6147930849495</v>
      </c>
      <c r="AF128" s="151">
        <f t="shared" si="78"/>
        <v>1163.6147930849495</v>
      </c>
      <c r="AG128" s="151">
        <f t="shared" si="78"/>
        <v>1244.551821656378</v>
      </c>
      <c r="AH128" s="151">
        <f t="shared" si="78"/>
        <v>1244.551821656378</v>
      </c>
      <c r="AI128" s="151">
        <f t="shared" si="78"/>
        <v>1244.551821656378</v>
      </c>
      <c r="AJ128" s="151">
        <f t="shared" si="78"/>
        <v>1260.7680378725943</v>
      </c>
      <c r="AK128" s="151">
        <f t="shared" si="78"/>
        <v>1401.8718686868808</v>
      </c>
      <c r="AL128" s="151">
        <f t="shared" si="78"/>
        <v>1428.8988957139079</v>
      </c>
      <c r="AM128" s="151">
        <f t="shared" si="78"/>
        <v>1428.8988957139079</v>
      </c>
      <c r="AN128" s="151">
        <f t="shared" ref="AN128:BP128" si="79">SUM(AN123:AN127)</f>
        <v>1552.1421389571512</v>
      </c>
      <c r="AO128" s="151">
        <f t="shared" si="79"/>
        <v>1552.1421389571512</v>
      </c>
      <c r="AP128" s="151">
        <f t="shared" si="79"/>
        <v>1552.1421389571512</v>
      </c>
      <c r="AQ128" s="151">
        <f t="shared" si="79"/>
        <v>1552.1421389571512</v>
      </c>
      <c r="AR128" s="151">
        <f t="shared" si="79"/>
        <v>1552.1421389571512</v>
      </c>
      <c r="AS128" s="151">
        <f t="shared" si="79"/>
        <v>1552.1421389571512</v>
      </c>
      <c r="AT128" s="151">
        <f t="shared" si="79"/>
        <v>0</v>
      </c>
      <c r="AU128" s="151">
        <f t="shared" si="79"/>
        <v>0</v>
      </c>
      <c r="AV128" s="151">
        <f t="shared" si="79"/>
        <v>0</v>
      </c>
      <c r="AW128" s="151">
        <f t="shared" si="79"/>
        <v>0</v>
      </c>
      <c r="AX128" s="151">
        <f t="shared" si="79"/>
        <v>0</v>
      </c>
      <c r="AY128" s="151">
        <f t="shared" si="79"/>
        <v>0</v>
      </c>
      <c r="AZ128" s="151">
        <f t="shared" si="79"/>
        <v>0</v>
      </c>
      <c r="BA128" s="151">
        <f t="shared" si="79"/>
        <v>0</v>
      </c>
      <c r="BB128" s="151">
        <f t="shared" si="79"/>
        <v>0</v>
      </c>
      <c r="BC128" s="151">
        <f t="shared" si="79"/>
        <v>0</v>
      </c>
      <c r="BD128" s="151">
        <f t="shared" si="79"/>
        <v>0</v>
      </c>
      <c r="BE128" s="151">
        <f t="shared" si="79"/>
        <v>0</v>
      </c>
      <c r="BF128" s="151">
        <f t="shared" si="79"/>
        <v>0</v>
      </c>
      <c r="BG128" s="151">
        <f t="shared" si="79"/>
        <v>0</v>
      </c>
      <c r="BH128" s="151">
        <f t="shared" si="79"/>
        <v>0</v>
      </c>
      <c r="BI128" s="151">
        <f t="shared" si="79"/>
        <v>0</v>
      </c>
      <c r="BJ128" s="151">
        <f t="shared" si="79"/>
        <v>0</v>
      </c>
      <c r="BK128" s="151">
        <f t="shared" si="79"/>
        <v>0</v>
      </c>
      <c r="BL128" s="151">
        <f t="shared" si="79"/>
        <v>0</v>
      </c>
      <c r="BM128" s="151">
        <f t="shared" si="79"/>
        <v>0</v>
      </c>
      <c r="BN128" s="151">
        <f t="shared" si="79"/>
        <v>0</v>
      </c>
      <c r="BO128" s="151">
        <f t="shared" si="79"/>
        <v>0</v>
      </c>
      <c r="BP128" s="151">
        <f t="shared" si="79"/>
        <v>0</v>
      </c>
    </row>
    <row r="129" spans="3:68" x14ac:dyDescent="0.25">
      <c r="C129" t="s">
        <v>1081</v>
      </c>
      <c r="D129" t="s">
        <v>125</v>
      </c>
      <c r="E129" s="151"/>
      <c r="F129" s="151"/>
      <c r="G129" s="151"/>
      <c r="H129" s="151">
        <f>H124+H125</f>
        <v>0</v>
      </c>
      <c r="I129" s="151">
        <f t="shared" ref="I129:AN129" si="80">H129+I124+I125</f>
        <v>0</v>
      </c>
      <c r="J129" s="151">
        <f t="shared" si="80"/>
        <v>0</v>
      </c>
      <c r="K129" s="151">
        <f t="shared" si="80"/>
        <v>96.840799703813417</v>
      </c>
      <c r="L129" s="151">
        <f t="shared" si="80"/>
        <v>96.840799703813417</v>
      </c>
      <c r="M129" s="151">
        <f t="shared" si="80"/>
        <v>96.840799703813417</v>
      </c>
      <c r="N129" s="151">
        <f t="shared" si="80"/>
        <v>101.70566456867829</v>
      </c>
      <c r="O129" s="151">
        <f t="shared" si="80"/>
        <v>191.15228619029989</v>
      </c>
      <c r="P129" s="151">
        <f t="shared" si="80"/>
        <v>390.15228619029989</v>
      </c>
      <c r="Q129" s="151">
        <f t="shared" si="80"/>
        <v>390.15228619029989</v>
      </c>
      <c r="R129" s="151">
        <f t="shared" si="80"/>
        <v>390.15228619029989</v>
      </c>
      <c r="S129" s="151">
        <f t="shared" si="80"/>
        <v>411.7739078119215</v>
      </c>
      <c r="T129" s="151">
        <f t="shared" si="80"/>
        <v>433.39552943354312</v>
      </c>
      <c r="U129" s="151">
        <f t="shared" si="80"/>
        <v>433.39552943354312</v>
      </c>
      <c r="V129" s="151">
        <f t="shared" si="80"/>
        <v>433.39552943354312</v>
      </c>
      <c r="W129" s="151">
        <f t="shared" si="80"/>
        <v>433.39552943354312</v>
      </c>
      <c r="X129" s="151">
        <f t="shared" si="80"/>
        <v>453.66579970381338</v>
      </c>
      <c r="Y129" s="151">
        <f t="shared" si="80"/>
        <v>525.00634024435396</v>
      </c>
      <c r="Z129" s="151">
        <f t="shared" si="80"/>
        <v>1002.3783065984633</v>
      </c>
      <c r="AA129" s="151">
        <f t="shared" si="80"/>
        <v>1117.2431714633281</v>
      </c>
      <c r="AB129" s="151">
        <f t="shared" si="80"/>
        <v>1161.3107390308955</v>
      </c>
      <c r="AC129" s="151">
        <f t="shared" si="80"/>
        <v>1161.3647930849495</v>
      </c>
      <c r="AD129" s="151">
        <f t="shared" si="80"/>
        <v>1161.3647930849495</v>
      </c>
      <c r="AE129" s="151">
        <f t="shared" si="80"/>
        <v>1163.6147930849495</v>
      </c>
      <c r="AF129" s="151">
        <f t="shared" si="80"/>
        <v>1163.6147930849495</v>
      </c>
      <c r="AG129" s="151">
        <f t="shared" si="80"/>
        <v>1244.551821656378</v>
      </c>
      <c r="AH129" s="151">
        <f t="shared" si="80"/>
        <v>1244.551821656378</v>
      </c>
      <c r="AI129" s="151">
        <f t="shared" si="80"/>
        <v>1244.551821656378</v>
      </c>
      <c r="AJ129" s="151">
        <f t="shared" si="80"/>
        <v>1260.7680378725943</v>
      </c>
      <c r="AK129" s="151">
        <f t="shared" si="80"/>
        <v>1401.8718686868808</v>
      </c>
      <c r="AL129" s="151">
        <f t="shared" si="80"/>
        <v>1428.8988957139079</v>
      </c>
      <c r="AM129" s="151">
        <f t="shared" si="80"/>
        <v>1428.8988957139079</v>
      </c>
      <c r="AN129" s="151">
        <f t="shared" si="80"/>
        <v>1552.1421389571512</v>
      </c>
      <c r="AO129" s="151">
        <f t="shared" ref="AO129:BP129" si="81">AN129+AO124+AO125</f>
        <v>1552.1421389571512</v>
      </c>
      <c r="AP129" s="151">
        <f t="shared" si="81"/>
        <v>1552.1421389571512</v>
      </c>
      <c r="AQ129" s="151">
        <f t="shared" si="81"/>
        <v>1552.1421389571512</v>
      </c>
      <c r="AR129" s="151">
        <f t="shared" si="81"/>
        <v>1552.1421389571512</v>
      </c>
      <c r="AS129" s="151">
        <f t="shared" si="81"/>
        <v>1552.1421389571512</v>
      </c>
      <c r="AT129" s="151">
        <f t="shared" si="81"/>
        <v>1552.1421389571512</v>
      </c>
      <c r="AU129" s="151">
        <f t="shared" si="81"/>
        <v>1552.1421389571512</v>
      </c>
      <c r="AV129" s="151">
        <f t="shared" si="81"/>
        <v>1552.1421389571512</v>
      </c>
      <c r="AW129" s="151">
        <f t="shared" si="81"/>
        <v>1552.1421389571512</v>
      </c>
      <c r="AX129" s="151">
        <f t="shared" si="81"/>
        <v>1552.1421389571512</v>
      </c>
      <c r="AY129" s="151">
        <f t="shared" si="81"/>
        <v>1552.1421389571512</v>
      </c>
      <c r="AZ129" s="151">
        <f t="shared" si="81"/>
        <v>1552.1421389571512</v>
      </c>
      <c r="BA129" s="151">
        <f t="shared" si="81"/>
        <v>1552.1421389571512</v>
      </c>
      <c r="BB129" s="151">
        <f t="shared" si="81"/>
        <v>1552.1421389571512</v>
      </c>
      <c r="BC129" s="151">
        <f t="shared" si="81"/>
        <v>1552.1421389571512</v>
      </c>
      <c r="BD129" s="151">
        <f t="shared" si="81"/>
        <v>1552.1421389571512</v>
      </c>
      <c r="BE129" s="151">
        <f t="shared" si="81"/>
        <v>1552.1421389571512</v>
      </c>
      <c r="BF129" s="151">
        <f t="shared" si="81"/>
        <v>1552.1421389571512</v>
      </c>
      <c r="BG129" s="151">
        <f t="shared" si="81"/>
        <v>1552.1421389571512</v>
      </c>
      <c r="BH129" s="151">
        <f t="shared" si="81"/>
        <v>1552.1421389571512</v>
      </c>
      <c r="BI129" s="151">
        <f t="shared" si="81"/>
        <v>1552.1421389571512</v>
      </c>
      <c r="BJ129" s="151">
        <f t="shared" si="81"/>
        <v>1552.1421389571512</v>
      </c>
      <c r="BK129" s="151">
        <f t="shared" si="81"/>
        <v>1552.1421389571512</v>
      </c>
      <c r="BL129" s="151">
        <f t="shared" si="81"/>
        <v>1552.1421389571512</v>
      </c>
      <c r="BM129" s="151">
        <f t="shared" si="81"/>
        <v>1552.1421389571512</v>
      </c>
      <c r="BN129" s="151">
        <f t="shared" si="81"/>
        <v>1552.1421389571512</v>
      </c>
      <c r="BO129" s="151">
        <f t="shared" si="81"/>
        <v>1552.1421389571512</v>
      </c>
      <c r="BP129" s="151">
        <f t="shared" si="81"/>
        <v>1552.1421389571512</v>
      </c>
    </row>
    <row r="130" spans="3:68" x14ac:dyDescent="0.25">
      <c r="C130" t="s">
        <v>1082</v>
      </c>
      <c r="D130" t="s">
        <v>125</v>
      </c>
      <c r="E130" s="155">
        <f>Inputs!$E$63</f>
        <v>2</v>
      </c>
      <c r="F130" s="151"/>
      <c r="G130" s="151">
        <f>SUM(H130:BP130)</f>
        <v>1552.1421389571512</v>
      </c>
      <c r="H130" s="151">
        <f t="shared" ref="H130:AM130" si="82">H$7*MAX($E$130*H129-SUM(H123:H126),0)</f>
        <v>0</v>
      </c>
      <c r="I130" s="151">
        <f t="shared" si="82"/>
        <v>0</v>
      </c>
      <c r="J130" s="151">
        <f t="shared" si="82"/>
        <v>0</v>
      </c>
      <c r="K130" s="151">
        <f t="shared" si="82"/>
        <v>0</v>
      </c>
      <c r="L130" s="151">
        <f t="shared" si="82"/>
        <v>0</v>
      </c>
      <c r="M130" s="151">
        <f t="shared" si="82"/>
        <v>0</v>
      </c>
      <c r="N130" s="151">
        <f t="shared" si="82"/>
        <v>0</v>
      </c>
      <c r="O130" s="151">
        <f t="shared" si="82"/>
        <v>0</v>
      </c>
      <c r="P130" s="151">
        <f t="shared" si="82"/>
        <v>0</v>
      </c>
      <c r="Q130" s="151">
        <f t="shared" si="82"/>
        <v>0</v>
      </c>
      <c r="R130" s="151">
        <f t="shared" si="82"/>
        <v>0</v>
      </c>
      <c r="S130" s="151">
        <f t="shared" si="82"/>
        <v>0</v>
      </c>
      <c r="T130" s="151">
        <f t="shared" si="82"/>
        <v>0</v>
      </c>
      <c r="U130" s="151">
        <f t="shared" si="82"/>
        <v>0</v>
      </c>
      <c r="V130" s="151">
        <f t="shared" si="82"/>
        <v>0</v>
      </c>
      <c r="W130" s="151">
        <f t="shared" si="82"/>
        <v>0</v>
      </c>
      <c r="X130" s="151">
        <f t="shared" si="82"/>
        <v>0</v>
      </c>
      <c r="Y130" s="151">
        <f t="shared" si="82"/>
        <v>0</v>
      </c>
      <c r="Z130" s="151">
        <f t="shared" si="82"/>
        <v>0</v>
      </c>
      <c r="AA130" s="151">
        <f t="shared" si="82"/>
        <v>0</v>
      </c>
      <c r="AB130" s="151">
        <f t="shared" si="82"/>
        <v>0</v>
      </c>
      <c r="AC130" s="151">
        <f t="shared" si="82"/>
        <v>0</v>
      </c>
      <c r="AD130" s="151">
        <f t="shared" si="82"/>
        <v>0</v>
      </c>
      <c r="AE130" s="151">
        <f t="shared" si="82"/>
        <v>0</v>
      </c>
      <c r="AF130" s="151">
        <f t="shared" si="82"/>
        <v>0</v>
      </c>
      <c r="AG130" s="151">
        <f t="shared" si="82"/>
        <v>0</v>
      </c>
      <c r="AH130" s="151">
        <f t="shared" si="82"/>
        <v>0</v>
      </c>
      <c r="AI130" s="151">
        <f t="shared" si="82"/>
        <v>0</v>
      </c>
      <c r="AJ130" s="151">
        <f t="shared" si="82"/>
        <v>0</v>
      </c>
      <c r="AK130" s="151">
        <f t="shared" si="82"/>
        <v>0</v>
      </c>
      <c r="AL130" s="151">
        <f t="shared" si="82"/>
        <v>0</v>
      </c>
      <c r="AM130" s="151">
        <f t="shared" si="82"/>
        <v>0</v>
      </c>
      <c r="AN130" s="151">
        <f t="shared" ref="AN130:BP130" si="83">AN$7*MAX($E$130*AN129-SUM(AN123:AN126),0)</f>
        <v>0</v>
      </c>
      <c r="AO130" s="151">
        <f t="shared" si="83"/>
        <v>0</v>
      </c>
      <c r="AP130" s="151">
        <f t="shared" si="83"/>
        <v>0</v>
      </c>
      <c r="AQ130" s="151">
        <f t="shared" si="83"/>
        <v>0</v>
      </c>
      <c r="AR130" s="151">
        <f t="shared" si="83"/>
        <v>0</v>
      </c>
      <c r="AS130" s="151">
        <f t="shared" si="83"/>
        <v>0</v>
      </c>
      <c r="AT130" s="151">
        <f t="shared" si="83"/>
        <v>1552.1421389571512</v>
      </c>
      <c r="AU130" s="151">
        <f t="shared" si="83"/>
        <v>0</v>
      </c>
      <c r="AV130" s="151">
        <f t="shared" si="83"/>
        <v>0</v>
      </c>
      <c r="AW130" s="151">
        <f t="shared" si="83"/>
        <v>0</v>
      </c>
      <c r="AX130" s="151">
        <f t="shared" si="83"/>
        <v>0</v>
      </c>
      <c r="AY130" s="151">
        <f t="shared" si="83"/>
        <v>0</v>
      </c>
      <c r="AZ130" s="151">
        <f t="shared" si="83"/>
        <v>0</v>
      </c>
      <c r="BA130" s="151">
        <f t="shared" si="83"/>
        <v>0</v>
      </c>
      <c r="BB130" s="151">
        <f t="shared" si="83"/>
        <v>0</v>
      </c>
      <c r="BC130" s="151">
        <f t="shared" si="83"/>
        <v>0</v>
      </c>
      <c r="BD130" s="151">
        <f t="shared" si="83"/>
        <v>0</v>
      </c>
      <c r="BE130" s="151">
        <f t="shared" si="83"/>
        <v>0</v>
      </c>
      <c r="BF130" s="151">
        <f t="shared" si="83"/>
        <v>0</v>
      </c>
      <c r="BG130" s="151">
        <f t="shared" si="83"/>
        <v>0</v>
      </c>
      <c r="BH130" s="151">
        <f t="shared" si="83"/>
        <v>0</v>
      </c>
      <c r="BI130" s="151">
        <f t="shared" si="83"/>
        <v>0</v>
      </c>
      <c r="BJ130" s="151">
        <f t="shared" si="83"/>
        <v>0</v>
      </c>
      <c r="BK130" s="151">
        <f t="shared" si="83"/>
        <v>0</v>
      </c>
      <c r="BL130" s="151">
        <f t="shared" si="83"/>
        <v>0</v>
      </c>
      <c r="BM130" s="151">
        <f t="shared" si="83"/>
        <v>0</v>
      </c>
      <c r="BN130" s="151">
        <f t="shared" si="83"/>
        <v>0</v>
      </c>
      <c r="BO130" s="151">
        <f t="shared" si="83"/>
        <v>0</v>
      </c>
      <c r="BP130" s="151">
        <f t="shared" si="83"/>
        <v>0</v>
      </c>
    </row>
    <row r="131" spans="3:68" x14ac:dyDescent="0.25">
      <c r="C131" t="s">
        <v>1083</v>
      </c>
      <c r="D131" t="s">
        <v>7</v>
      </c>
      <c r="E131" s="151">
        <f>Inputs!$E$63</f>
        <v>2</v>
      </c>
      <c r="F131" s="151"/>
      <c r="G131" s="139">
        <f t="array" ref="G131">SUMPRODUCT(H125:BP125,H131:BP131-1,N(+H$4:BP$4&lt;=Inputs!$E$57))+SUMPRODUCT(H135:BP135,H131:BP131-1,N(+H$4:BP$4&lt;=Inputs!$E$57))</f>
        <v>1543.9229608749595</v>
      </c>
      <c r="H131" s="155">
        <f>MAX(IF(H$5&gt;Inputs!$E$64,1,(1+Inputs!$E$62*(DATE(YEAR(H$5),12,31)-H$5+1)/365)*(1+Inputs!$E$62)^(YEAR(Inputs!$E$64)-YEAR(H$5)-1)*(1+Inputs!$E$62*(Inputs!$E$64-DATE(YEAR(Inputs!$E$64),1,1)+1)/365)),$E$131)</f>
        <v>2</v>
      </c>
      <c r="I131" s="155">
        <f>MAX(IF(I$5&gt;Inputs!$E$64,1,(1+Inputs!$E$62*(DATE(YEAR(I$5),12,31)-I$5+1)/365)*(1+Inputs!$E$62)^(YEAR(Inputs!$E$64)-YEAR(I$5)-1)*(1+Inputs!$E$62*(Inputs!$E$64-DATE(YEAR(Inputs!$E$64),1,1)+1)/365)),$E$131)</f>
        <v>2</v>
      </c>
      <c r="J131" s="155">
        <f>MAX(IF(J$5&gt;Inputs!$E$64,1,(1+Inputs!$E$62*(DATE(YEAR(J$5),12,31)-J$5+1)/365)*(1+Inputs!$E$62)^(YEAR(Inputs!$E$64)-YEAR(J$5)-1)*(1+Inputs!$E$62*(Inputs!$E$64-DATE(YEAR(Inputs!$E$64),1,1)+1)/365)),$E$131)</f>
        <v>2</v>
      </c>
      <c r="K131" s="155">
        <f>MAX(IF(K$5&gt;Inputs!$E$64,1,(1+Inputs!$E$62*(DATE(YEAR(K$5),12,31)-K$5+1)/365)*(1+Inputs!$E$62)^(YEAR(Inputs!$E$64)-YEAR(K$5)-1)*(1+Inputs!$E$62*(Inputs!$E$64-DATE(YEAR(Inputs!$E$64),1,1)+1)/365)),$E$131)</f>
        <v>2</v>
      </c>
      <c r="L131" s="155">
        <f>MAX(IF(L$5&gt;Inputs!$E$64,1,(1+Inputs!$E$62*(DATE(YEAR(L$5),12,31)-L$5+1)/365)*(1+Inputs!$E$62)^(YEAR(Inputs!$E$64)-YEAR(L$5)-1)*(1+Inputs!$E$62*(Inputs!$E$64-DATE(YEAR(Inputs!$E$64),1,1)+1)/365)),$E$131)</f>
        <v>2</v>
      </c>
      <c r="M131" s="155">
        <f>MAX(IF(M$5&gt;Inputs!$E$64,1,(1+Inputs!$E$62*(DATE(YEAR(M$5),12,31)-M$5+1)/365)*(1+Inputs!$E$62)^(YEAR(Inputs!$E$64)-YEAR(M$5)-1)*(1+Inputs!$E$62*(Inputs!$E$64-DATE(YEAR(Inputs!$E$64),1,1)+1)/365)),$E$131)</f>
        <v>2</v>
      </c>
      <c r="N131" s="155">
        <f>MAX(IF(N$5&gt;Inputs!$E$64,1,(1+Inputs!$E$62*(DATE(YEAR(N$5),12,31)-N$5+1)/365)*(1+Inputs!$E$62)^(YEAR(Inputs!$E$64)-YEAR(N$5)-1)*(1+Inputs!$E$62*(Inputs!$E$64-DATE(YEAR(Inputs!$E$64),1,1)+1)/365)),$E$131)</f>
        <v>2</v>
      </c>
      <c r="O131" s="155">
        <f>MAX(IF(O$5&gt;Inputs!$E$64,1,(1+Inputs!$E$62*(DATE(YEAR(O$5),12,31)-O$5+1)/365)*(1+Inputs!$E$62)^(YEAR(Inputs!$E$64)-YEAR(O$5)-1)*(1+Inputs!$E$62*(Inputs!$E$64-DATE(YEAR(Inputs!$E$64),1,1)+1)/365)),$E$131)</f>
        <v>2</v>
      </c>
      <c r="P131" s="155">
        <f>MAX(IF(P$5&gt;Inputs!$E$64,1,(1+Inputs!$E$62*(DATE(YEAR(P$5),12,31)-P$5+1)/365)*(1+Inputs!$E$62)^(YEAR(Inputs!$E$64)-YEAR(P$5)-1)*(1+Inputs!$E$62*(Inputs!$E$64-DATE(YEAR(Inputs!$E$64),1,1)+1)/365)),$E$131)</f>
        <v>2</v>
      </c>
      <c r="Q131" s="155">
        <f>MAX(IF(Q$5&gt;Inputs!$E$64,1,(1+Inputs!$E$62*(DATE(YEAR(Q$5),12,31)-Q$5+1)/365)*(1+Inputs!$E$62)^(YEAR(Inputs!$E$64)-YEAR(Q$5)-1)*(1+Inputs!$E$62*(Inputs!$E$64-DATE(YEAR(Inputs!$E$64),1,1)+1)/365)),$E$131)</f>
        <v>2</v>
      </c>
      <c r="R131" s="155">
        <f>MAX(IF(R$5&gt;Inputs!$E$64,1,(1+Inputs!$E$62*(DATE(YEAR(R$5),12,31)-R$5+1)/365)*(1+Inputs!$E$62)^(YEAR(Inputs!$E$64)-YEAR(R$5)-1)*(1+Inputs!$E$62*(Inputs!$E$64-DATE(YEAR(Inputs!$E$64),1,1)+1)/365)),$E$131)</f>
        <v>2</v>
      </c>
      <c r="S131" s="155">
        <f>MAX(IF(S$5&gt;Inputs!$E$64,1,(1+Inputs!$E$62*(DATE(YEAR(S$5),12,31)-S$5+1)/365)*(1+Inputs!$E$62)^(YEAR(Inputs!$E$64)-YEAR(S$5)-1)*(1+Inputs!$E$62*(Inputs!$E$64-DATE(YEAR(Inputs!$E$64),1,1)+1)/365)),$E$131)</f>
        <v>2</v>
      </c>
      <c r="T131" s="155">
        <f>MAX(IF(T$5&gt;Inputs!$E$64,1,(1+Inputs!$E$62*(DATE(YEAR(T$5),12,31)-T$5+1)/365)*(1+Inputs!$E$62)^(YEAR(Inputs!$E$64)-YEAR(T$5)-1)*(1+Inputs!$E$62*(Inputs!$E$64-DATE(YEAR(Inputs!$E$64),1,1)+1)/365)),$E$131)</f>
        <v>2</v>
      </c>
      <c r="U131" s="155">
        <f>MAX(IF(U$5&gt;Inputs!$E$64,1,(1+Inputs!$E$62*(DATE(YEAR(U$5),12,31)-U$5+1)/365)*(1+Inputs!$E$62)^(YEAR(Inputs!$E$64)-YEAR(U$5)-1)*(1+Inputs!$E$62*(Inputs!$E$64-DATE(YEAR(Inputs!$E$64),1,1)+1)/365)),$E$131)</f>
        <v>2</v>
      </c>
      <c r="V131" s="155">
        <f>MAX(IF(V$5&gt;Inputs!$E$64,1,(1+Inputs!$E$62*(DATE(YEAR(V$5),12,31)-V$5+1)/365)*(1+Inputs!$E$62)^(YEAR(Inputs!$E$64)-YEAR(V$5)-1)*(1+Inputs!$E$62*(Inputs!$E$64-DATE(YEAR(Inputs!$E$64),1,1)+1)/365)),$E$131)</f>
        <v>2</v>
      </c>
      <c r="W131" s="155">
        <f>MAX(IF(W$5&gt;Inputs!$E$64,1,(1+Inputs!$E$62*(DATE(YEAR(W$5),12,31)-W$5+1)/365)*(1+Inputs!$E$62)^(YEAR(Inputs!$E$64)-YEAR(W$5)-1)*(1+Inputs!$E$62*(Inputs!$E$64-DATE(YEAR(Inputs!$E$64),1,1)+1)/365)),$E$131)</f>
        <v>2</v>
      </c>
      <c r="X131" s="155">
        <f>MAX(IF(X$5&gt;Inputs!$E$64,1,(1+Inputs!$E$62*(DATE(YEAR(X$5),12,31)-X$5+1)/365)*(1+Inputs!$E$62)^(YEAR(Inputs!$E$64)-YEAR(X$5)-1)*(1+Inputs!$E$62*(Inputs!$E$64-DATE(YEAR(Inputs!$E$64),1,1)+1)/365)),$E$131)</f>
        <v>2</v>
      </c>
      <c r="Y131" s="155">
        <f>MAX(IF(Y$5&gt;Inputs!$E$64,1,(1+Inputs!$E$62*(DATE(YEAR(Y$5),12,31)-Y$5+1)/365)*(1+Inputs!$E$62)^(YEAR(Inputs!$E$64)-YEAR(Y$5)-1)*(1+Inputs!$E$62*(Inputs!$E$64-DATE(YEAR(Inputs!$E$64),1,1)+1)/365)),$E$131)</f>
        <v>2</v>
      </c>
      <c r="Z131" s="155">
        <f>MAX(IF(Z$5&gt;Inputs!$E$64,1,(1+Inputs!$E$62*(DATE(YEAR(Z$5),12,31)-Z$5+1)/365)*(1+Inputs!$E$62)^(YEAR(Inputs!$E$64)-YEAR(Z$5)-1)*(1+Inputs!$E$62*(Inputs!$E$64-DATE(YEAR(Inputs!$E$64),1,1)+1)/365)),$E$131)</f>
        <v>2</v>
      </c>
      <c r="AA131" s="155">
        <f>MAX(IF(AA$5&gt;Inputs!$E$64,1,(1+Inputs!$E$62*(DATE(YEAR(AA$5),12,31)-AA$5+1)/365)*(1+Inputs!$E$62)^(YEAR(Inputs!$E$64)-YEAR(AA$5)-1)*(1+Inputs!$E$62*(Inputs!$E$64-DATE(YEAR(Inputs!$E$64),1,1)+1)/365)),$E$131)</f>
        <v>2</v>
      </c>
      <c r="AB131" s="155">
        <f>MAX(IF(AB$5&gt;Inputs!$E$64,1,(1+Inputs!$E$62*(DATE(YEAR(AB$5),12,31)-AB$5+1)/365)*(1+Inputs!$E$62)^(YEAR(Inputs!$E$64)-YEAR(AB$5)-1)*(1+Inputs!$E$62*(Inputs!$E$64-DATE(YEAR(Inputs!$E$64),1,1)+1)/365)),$E$131)</f>
        <v>2</v>
      </c>
      <c r="AC131" s="155">
        <f>MAX(IF(AC$5&gt;Inputs!$E$64,1,(1+Inputs!$E$62*(DATE(YEAR(AC$5),12,31)-AC$5+1)/365)*(1+Inputs!$E$62)^(YEAR(Inputs!$E$64)-YEAR(AC$5)-1)*(1+Inputs!$E$62*(Inputs!$E$64-DATE(YEAR(Inputs!$E$64),1,1)+1)/365)),$E$131)</f>
        <v>2</v>
      </c>
      <c r="AD131" s="155">
        <f>MAX(IF(AD$5&gt;Inputs!$E$64,1,(1+Inputs!$E$62*(DATE(YEAR(AD$5),12,31)-AD$5+1)/365)*(1+Inputs!$E$62)^(YEAR(Inputs!$E$64)-YEAR(AD$5)-1)*(1+Inputs!$E$62*(Inputs!$E$64-DATE(YEAR(Inputs!$E$64),1,1)+1)/365)),$E$131)</f>
        <v>2</v>
      </c>
      <c r="AE131" s="155">
        <f>MAX(IF(AE$5&gt;Inputs!$E$64,1,(1+Inputs!$E$62*(DATE(YEAR(AE$5),12,31)-AE$5+1)/365)*(1+Inputs!$E$62)^(YEAR(Inputs!$E$64)-YEAR(AE$5)-1)*(1+Inputs!$E$62*(Inputs!$E$64-DATE(YEAR(Inputs!$E$64),1,1)+1)/365)),$E$131)</f>
        <v>2</v>
      </c>
      <c r="AF131" s="155">
        <f>MAX(IF(AF$5&gt;Inputs!$E$64,1,(1+Inputs!$E$62*(DATE(YEAR(AF$5),12,31)-AF$5+1)/365)*(1+Inputs!$E$62)^(YEAR(Inputs!$E$64)-YEAR(AF$5)-1)*(1+Inputs!$E$62*(Inputs!$E$64-DATE(YEAR(Inputs!$E$64),1,1)+1)/365)),$E$131)</f>
        <v>2</v>
      </c>
      <c r="AG131" s="155">
        <f>MAX(IF(AG$5&gt;Inputs!$E$64,1,(1+Inputs!$E$62*(DATE(YEAR(AG$5),12,31)-AG$5+1)/365)*(1+Inputs!$E$62)^(YEAR(Inputs!$E$64)-YEAR(AG$5)-1)*(1+Inputs!$E$62*(Inputs!$E$64-DATE(YEAR(Inputs!$E$64),1,1)+1)/365)),$E$131)</f>
        <v>2</v>
      </c>
      <c r="AH131" s="155">
        <f>MAX(IF(AH$5&gt;Inputs!$E$64,1,(1+Inputs!$E$62*(DATE(YEAR(AH$5),12,31)-AH$5+1)/365)*(1+Inputs!$E$62)^(YEAR(Inputs!$E$64)-YEAR(AH$5)-1)*(1+Inputs!$E$62*(Inputs!$E$64-DATE(YEAR(Inputs!$E$64),1,1)+1)/365)),$E$131)</f>
        <v>2</v>
      </c>
      <c r="AI131" s="155">
        <f>MAX(IF(AI$5&gt;Inputs!$E$64,1,(1+Inputs!$E$62*(DATE(YEAR(AI$5),12,31)-AI$5+1)/365)*(1+Inputs!$E$62)^(YEAR(Inputs!$E$64)-YEAR(AI$5)-1)*(1+Inputs!$E$62*(Inputs!$E$64-DATE(YEAR(Inputs!$E$64),1,1)+1)/365)),$E$131)</f>
        <v>2</v>
      </c>
      <c r="AJ131" s="155">
        <f>MAX(IF(AJ$5&gt;Inputs!$E$64,1,(1+Inputs!$E$62*(DATE(YEAR(AJ$5),12,31)-AJ$5+1)/365)*(1+Inputs!$E$62)^(YEAR(Inputs!$E$64)-YEAR(AJ$5)-1)*(1+Inputs!$E$62*(Inputs!$E$64-DATE(YEAR(Inputs!$E$64),1,1)+1)/365)),$E$131)</f>
        <v>2</v>
      </c>
      <c r="AK131" s="155">
        <f>MAX(IF(AK$5&gt;Inputs!$E$64,1,(1+Inputs!$E$62*(DATE(YEAR(AK$5),12,31)-AK$5+1)/365)*(1+Inputs!$E$62)^(YEAR(Inputs!$E$64)-YEAR(AK$5)-1)*(1+Inputs!$E$62*(Inputs!$E$64-DATE(YEAR(Inputs!$E$64),1,1)+1)/365)),$E$131)</f>
        <v>2</v>
      </c>
      <c r="AL131" s="155">
        <f>MAX(IF(AL$5&gt;Inputs!$E$64,1,(1+Inputs!$E$62*(DATE(YEAR(AL$5),12,31)-AL$5+1)/365)*(1+Inputs!$E$62)^(YEAR(Inputs!$E$64)-YEAR(AL$5)-1)*(1+Inputs!$E$62*(Inputs!$E$64-DATE(YEAR(Inputs!$E$64),1,1)+1)/365)),$E$131)</f>
        <v>2</v>
      </c>
      <c r="AM131" s="155">
        <f>MAX(IF(AM$5&gt;Inputs!$E$64,1,(1+Inputs!$E$62*(DATE(YEAR(AM$5),12,31)-AM$5+1)/365)*(1+Inputs!$E$62)^(YEAR(Inputs!$E$64)-YEAR(AM$5)-1)*(1+Inputs!$E$62*(Inputs!$E$64-DATE(YEAR(Inputs!$E$64),1,1)+1)/365)),$E$131)</f>
        <v>2</v>
      </c>
      <c r="AN131" s="155">
        <f>MAX(IF(AN$5&gt;Inputs!$E$64,1,(1+Inputs!$E$62*(DATE(YEAR(AN$5),12,31)-AN$5+1)/365)*(1+Inputs!$E$62)^(YEAR(Inputs!$E$64)-YEAR(AN$5)-1)*(1+Inputs!$E$62*(Inputs!$E$64-DATE(YEAR(Inputs!$E$64),1,1)+1)/365)),$E$131)</f>
        <v>2</v>
      </c>
      <c r="AO131" s="155">
        <f>MAX(IF(AO$5&gt;Inputs!$E$64,1,(1+Inputs!$E$62*(DATE(YEAR(AO$5),12,31)-AO$5+1)/365)*(1+Inputs!$E$62)^(YEAR(Inputs!$E$64)-YEAR(AO$5)-1)*(1+Inputs!$E$62*(Inputs!$E$64-DATE(YEAR(Inputs!$E$64),1,1)+1)/365)),$E$131)</f>
        <v>2</v>
      </c>
      <c r="AP131" s="155">
        <f>MAX(IF(AP$5&gt;Inputs!$E$64,1,(1+Inputs!$E$62*(DATE(YEAR(AP$5),12,31)-AP$5+1)/365)*(1+Inputs!$E$62)^(YEAR(Inputs!$E$64)-YEAR(AP$5)-1)*(1+Inputs!$E$62*(Inputs!$E$64-DATE(YEAR(Inputs!$E$64),1,1)+1)/365)),$E$131)</f>
        <v>2</v>
      </c>
      <c r="AQ131" s="155">
        <f>MAX(IF(AQ$5&gt;Inputs!$E$64,1,(1+Inputs!$E$62*(DATE(YEAR(AQ$5),12,31)-AQ$5+1)/365)*(1+Inputs!$E$62)^(YEAR(Inputs!$E$64)-YEAR(AQ$5)-1)*(1+Inputs!$E$62*(Inputs!$E$64-DATE(YEAR(Inputs!$E$64),1,1)+1)/365)),$E$131)</f>
        <v>2</v>
      </c>
      <c r="AR131" s="155">
        <f>MAX(IF(AR$5&gt;Inputs!$E$64,1,(1+Inputs!$E$62*(DATE(YEAR(AR$5),12,31)-AR$5+1)/365)*(1+Inputs!$E$62)^(YEAR(Inputs!$E$64)-YEAR(AR$5)-1)*(1+Inputs!$E$62*(Inputs!$E$64-DATE(YEAR(Inputs!$E$64),1,1)+1)/365)),$E$131)</f>
        <v>2</v>
      </c>
      <c r="AS131" s="155">
        <f>MAX(IF(AS$5&gt;Inputs!$E$64,1,(1+Inputs!$E$62*(DATE(YEAR(AS$5),12,31)-AS$5+1)/365)*(1+Inputs!$E$62)^(YEAR(Inputs!$E$64)-YEAR(AS$5)-1)*(1+Inputs!$E$62*(Inputs!$E$64-DATE(YEAR(Inputs!$E$64),1,1)+1)/365)),$E$131)</f>
        <v>2</v>
      </c>
      <c r="AT131" s="155">
        <f>MAX(IF(AT$5&gt;Inputs!$E$64,1,(1+Inputs!$E$62*(DATE(YEAR(AT$5),12,31)-AT$5+1)/365)*(1+Inputs!$E$62)^(YEAR(Inputs!$E$64)-YEAR(AT$5)-1)*(1+Inputs!$E$62*(Inputs!$E$64-DATE(YEAR(Inputs!$E$64),1,1)+1)/365)),$E$131)</f>
        <v>2</v>
      </c>
      <c r="AU131" s="155">
        <f>MAX(IF(AU$5&gt;Inputs!$E$64,1,(1+Inputs!$E$62*(DATE(YEAR(AU$5),12,31)-AU$5+1)/365)*(1+Inputs!$E$62)^(YEAR(Inputs!$E$64)-YEAR(AU$5)-1)*(1+Inputs!$E$62*(Inputs!$E$64-DATE(YEAR(Inputs!$E$64),1,1)+1)/365)),$E$131)</f>
        <v>2</v>
      </c>
      <c r="AV131" s="155">
        <f>MAX(IF(AV$5&gt;Inputs!$E$64,1,(1+Inputs!$E$62*(DATE(YEAR(AV$5),12,31)-AV$5+1)/365)*(1+Inputs!$E$62)^(YEAR(Inputs!$E$64)-YEAR(AV$5)-1)*(1+Inputs!$E$62*(Inputs!$E$64-DATE(YEAR(Inputs!$E$64),1,1)+1)/365)),$E$131)</f>
        <v>2</v>
      </c>
      <c r="AW131" s="155">
        <f>MAX(IF(AW$5&gt;Inputs!$E$64,1,(1+Inputs!$E$62*(DATE(YEAR(AW$5),12,31)-AW$5+1)/365)*(1+Inputs!$E$62)^(YEAR(Inputs!$E$64)-YEAR(AW$5)-1)*(1+Inputs!$E$62*(Inputs!$E$64-DATE(YEAR(Inputs!$E$64),1,1)+1)/365)),$E$131)</f>
        <v>2</v>
      </c>
      <c r="AX131" s="155">
        <f>MAX(IF(AX$5&gt;Inputs!$E$64,1,(1+Inputs!$E$62*(DATE(YEAR(AX$5),12,31)-AX$5+1)/365)*(1+Inputs!$E$62)^(YEAR(Inputs!$E$64)-YEAR(AX$5)-1)*(1+Inputs!$E$62*(Inputs!$E$64-DATE(YEAR(Inputs!$E$64),1,1)+1)/365)),$E$131)</f>
        <v>2</v>
      </c>
      <c r="AY131" s="155">
        <f>MAX(IF(AY$5&gt;Inputs!$E$64,1,(1+Inputs!$E$62*(DATE(YEAR(AY$5),12,31)-AY$5+1)/365)*(1+Inputs!$E$62)^(YEAR(Inputs!$E$64)-YEAR(AY$5)-1)*(1+Inputs!$E$62*(Inputs!$E$64-DATE(YEAR(Inputs!$E$64),1,1)+1)/365)),$E$131)</f>
        <v>2</v>
      </c>
      <c r="AZ131" s="155">
        <f>MAX(IF(AZ$5&gt;Inputs!$E$64,1,(1+Inputs!$E$62*(DATE(YEAR(AZ$5),12,31)-AZ$5+1)/365)*(1+Inputs!$E$62)^(YEAR(Inputs!$E$64)-YEAR(AZ$5)-1)*(1+Inputs!$E$62*(Inputs!$E$64-DATE(YEAR(Inputs!$E$64),1,1)+1)/365)),$E$131)</f>
        <v>2</v>
      </c>
      <c r="BA131" s="155">
        <f>MAX(IF(BA$5&gt;Inputs!$E$64,1,(1+Inputs!$E$62*(DATE(YEAR(BA$5),12,31)-BA$5+1)/365)*(1+Inputs!$E$62)^(YEAR(Inputs!$E$64)-YEAR(BA$5)-1)*(1+Inputs!$E$62*(Inputs!$E$64-DATE(YEAR(Inputs!$E$64),1,1)+1)/365)),$E$131)</f>
        <v>2</v>
      </c>
      <c r="BB131" s="155">
        <f>MAX(IF(BB$5&gt;Inputs!$E$64,1,(1+Inputs!$E$62*(DATE(YEAR(BB$5),12,31)-BB$5+1)/365)*(1+Inputs!$E$62)^(YEAR(Inputs!$E$64)-YEAR(BB$5)-1)*(1+Inputs!$E$62*(Inputs!$E$64-DATE(YEAR(Inputs!$E$64),1,1)+1)/365)),$E$131)</f>
        <v>2</v>
      </c>
      <c r="BC131" s="155">
        <f>MAX(IF(BC$5&gt;Inputs!$E$64,1,(1+Inputs!$E$62*(DATE(YEAR(BC$5),12,31)-BC$5+1)/365)*(1+Inputs!$E$62)^(YEAR(Inputs!$E$64)-YEAR(BC$5)-1)*(1+Inputs!$E$62*(Inputs!$E$64-DATE(YEAR(Inputs!$E$64),1,1)+1)/365)),$E$131)</f>
        <v>2</v>
      </c>
      <c r="BD131" s="155">
        <f>MAX(IF(BD$5&gt;Inputs!$E$64,1,(1+Inputs!$E$62*(DATE(YEAR(BD$5),12,31)-BD$5+1)/365)*(1+Inputs!$E$62)^(YEAR(Inputs!$E$64)-YEAR(BD$5)-1)*(1+Inputs!$E$62*(Inputs!$E$64-DATE(YEAR(Inputs!$E$64),1,1)+1)/365)),$E$131)</f>
        <v>2</v>
      </c>
      <c r="BE131" s="155">
        <f>MAX(IF(BE$5&gt;Inputs!$E$64,1,(1+Inputs!$E$62*(DATE(YEAR(BE$5),12,31)-BE$5+1)/365)*(1+Inputs!$E$62)^(YEAR(Inputs!$E$64)-YEAR(BE$5)-1)*(1+Inputs!$E$62*(Inputs!$E$64-DATE(YEAR(Inputs!$E$64),1,1)+1)/365)),$E$131)</f>
        <v>2</v>
      </c>
      <c r="BF131" s="155">
        <f>MAX(IF(BF$5&gt;Inputs!$E$64,1,(1+Inputs!$E$62*(DATE(YEAR(BF$5),12,31)-BF$5+1)/365)*(1+Inputs!$E$62)^(YEAR(Inputs!$E$64)-YEAR(BF$5)-1)*(1+Inputs!$E$62*(Inputs!$E$64-DATE(YEAR(Inputs!$E$64),1,1)+1)/365)),$E$131)</f>
        <v>2</v>
      </c>
      <c r="BG131" s="155">
        <f>MAX(IF(BG$5&gt;Inputs!$E$64,1,(1+Inputs!$E$62*(DATE(YEAR(BG$5),12,31)-BG$5+1)/365)*(1+Inputs!$E$62)^(YEAR(Inputs!$E$64)-YEAR(BG$5)-1)*(1+Inputs!$E$62*(Inputs!$E$64-DATE(YEAR(Inputs!$E$64),1,1)+1)/365)),$E$131)</f>
        <v>2</v>
      </c>
      <c r="BH131" s="155">
        <f>MAX(IF(BH$5&gt;Inputs!$E$64,1,(1+Inputs!$E$62*(DATE(YEAR(BH$5),12,31)-BH$5+1)/365)*(1+Inputs!$E$62)^(YEAR(Inputs!$E$64)-YEAR(BH$5)-1)*(1+Inputs!$E$62*(Inputs!$E$64-DATE(YEAR(Inputs!$E$64),1,1)+1)/365)),$E$131)</f>
        <v>2</v>
      </c>
      <c r="BI131" s="155">
        <f>MAX(IF(BI$5&gt;Inputs!$E$64,1,(1+Inputs!$E$62*(DATE(YEAR(BI$5),12,31)-BI$5+1)/365)*(1+Inputs!$E$62)^(YEAR(Inputs!$E$64)-YEAR(BI$5)-1)*(1+Inputs!$E$62*(Inputs!$E$64-DATE(YEAR(Inputs!$E$64),1,1)+1)/365)),$E$131)</f>
        <v>2</v>
      </c>
      <c r="BJ131" s="155">
        <f>MAX(IF(BJ$5&gt;Inputs!$E$64,1,(1+Inputs!$E$62*(DATE(YEAR(BJ$5),12,31)-BJ$5+1)/365)*(1+Inputs!$E$62)^(YEAR(Inputs!$E$64)-YEAR(BJ$5)-1)*(1+Inputs!$E$62*(Inputs!$E$64-DATE(YEAR(Inputs!$E$64),1,1)+1)/365)),$E$131)</f>
        <v>2</v>
      </c>
      <c r="BK131" s="155">
        <f>MAX(IF(BK$5&gt;Inputs!$E$64,1,(1+Inputs!$E$62*(DATE(YEAR(BK$5),12,31)-BK$5+1)/365)*(1+Inputs!$E$62)^(YEAR(Inputs!$E$64)-YEAR(BK$5)-1)*(1+Inputs!$E$62*(Inputs!$E$64-DATE(YEAR(Inputs!$E$64),1,1)+1)/365)),$E$131)</f>
        <v>2</v>
      </c>
      <c r="BL131" s="155">
        <f>MAX(IF(BL$5&gt;Inputs!$E$64,1,(1+Inputs!$E$62*(DATE(YEAR(BL$5),12,31)-BL$5+1)/365)*(1+Inputs!$E$62)^(YEAR(Inputs!$E$64)-YEAR(BL$5)-1)*(1+Inputs!$E$62*(Inputs!$E$64-DATE(YEAR(Inputs!$E$64),1,1)+1)/365)),$E$131)</f>
        <v>2</v>
      </c>
      <c r="BM131" s="155">
        <f>MAX(IF(BM$5&gt;Inputs!$E$64,1,(1+Inputs!$E$62*(DATE(YEAR(BM$5),12,31)-BM$5+1)/365)*(1+Inputs!$E$62)^(YEAR(Inputs!$E$64)-YEAR(BM$5)-1)*(1+Inputs!$E$62*(Inputs!$E$64-DATE(YEAR(Inputs!$E$64),1,1)+1)/365)),$E$131)</f>
        <v>2</v>
      </c>
      <c r="BN131" s="155">
        <f>MAX(IF(BN$5&gt;Inputs!$E$64,1,(1+Inputs!$E$62*(DATE(YEAR(BN$5),12,31)-BN$5+1)/365)*(1+Inputs!$E$62)^(YEAR(Inputs!$E$64)-YEAR(BN$5)-1)*(1+Inputs!$E$62*(Inputs!$E$64-DATE(YEAR(Inputs!$E$64),1,1)+1)/365)),$E$131)</f>
        <v>2</v>
      </c>
      <c r="BO131" s="155">
        <f>MAX(IF(BO$5&gt;Inputs!$E$64,1,(1+Inputs!$E$62*(DATE(YEAR(BO$5),12,31)-BO$5+1)/365)*(1+Inputs!$E$62)^(YEAR(Inputs!$E$64)-YEAR(BO$5)-1)*(1+Inputs!$E$62*(Inputs!$E$64-DATE(YEAR(Inputs!$E$64),1,1)+1)/365)),$E$131)</f>
        <v>2</v>
      </c>
      <c r="BP131" s="155">
        <f>MAX(IF(BP$5&gt;Inputs!$E$64,1,(1+Inputs!$E$62*(DATE(YEAR(BP$5),12,31)-BP$5+1)/365)*(1+Inputs!$E$62)^(YEAR(Inputs!$E$64)-YEAR(BP$5)-1)*(1+Inputs!$E$62*(Inputs!$E$64-DATE(YEAR(Inputs!$E$64),1,1)+1)/365)),$E$131)</f>
        <v>2</v>
      </c>
    </row>
    <row r="132" spans="3:68" x14ac:dyDescent="0.25">
      <c r="C132" s="198" t="s">
        <v>1084</v>
      </c>
      <c r="D132" s="198"/>
      <c r="E132" s="244"/>
      <c r="F132" s="244"/>
      <c r="G132" s="244"/>
      <c r="H132" s="244"/>
      <c r="I132" s="244"/>
      <c r="J132" s="244"/>
      <c r="K132" s="244"/>
      <c r="L132" s="244"/>
      <c r="M132" s="244"/>
      <c r="N132" s="244"/>
      <c r="O132" s="244"/>
      <c r="P132" s="244"/>
      <c r="Q132" s="244"/>
      <c r="R132" s="244"/>
      <c r="S132" s="244"/>
      <c r="T132" s="244"/>
      <c r="U132" s="244"/>
      <c r="V132" s="244"/>
      <c r="W132" s="244"/>
      <c r="X132" s="244"/>
      <c r="Y132" s="244"/>
      <c r="Z132" s="244"/>
      <c r="AA132" s="244"/>
      <c r="AB132" s="244"/>
      <c r="AC132" s="244"/>
      <c r="AD132" s="244"/>
      <c r="AE132" s="244"/>
      <c r="AF132" s="244"/>
      <c r="AG132" s="244"/>
      <c r="AH132" s="244"/>
      <c r="AI132" s="244"/>
      <c r="AJ132" s="244"/>
      <c r="AK132" s="244"/>
      <c r="AL132" s="244"/>
      <c r="AM132" s="244"/>
      <c r="AN132" s="244"/>
      <c r="AO132" s="244"/>
      <c r="AP132" s="244"/>
      <c r="AQ132" s="244"/>
      <c r="AR132" s="244"/>
      <c r="AS132" s="244"/>
      <c r="AT132" s="244"/>
      <c r="AU132" s="244"/>
      <c r="AV132" s="244"/>
      <c r="AW132" s="244"/>
      <c r="AX132" s="244"/>
      <c r="AY132" s="244"/>
      <c r="AZ132" s="244"/>
      <c r="BA132" s="244"/>
      <c r="BB132" s="244"/>
      <c r="BC132" s="244"/>
      <c r="BD132" s="244"/>
      <c r="BE132" s="244"/>
      <c r="BF132" s="244"/>
      <c r="BG132" s="244"/>
      <c r="BH132" s="244"/>
      <c r="BI132" s="244"/>
      <c r="BJ132" s="244"/>
      <c r="BK132" s="244"/>
      <c r="BL132" s="244"/>
      <c r="BM132" s="244"/>
      <c r="BN132" s="244"/>
      <c r="BO132" s="244"/>
      <c r="BP132" s="244"/>
    </row>
    <row r="133" spans="3:68" x14ac:dyDescent="0.25">
      <c r="C133" t="s">
        <v>1042</v>
      </c>
      <c r="D133" t="s">
        <v>125</v>
      </c>
      <c r="E133" s="151"/>
      <c r="F133" s="151"/>
      <c r="G133" s="151"/>
      <c r="H133" s="151">
        <v>0</v>
      </c>
      <c r="I133" s="151">
        <f t="shared" ref="I133:AN133" si="84">H138</f>
        <v>0</v>
      </c>
      <c r="J133" s="151">
        <f t="shared" si="84"/>
        <v>0</v>
      </c>
      <c r="K133" s="151">
        <f t="shared" si="84"/>
        <v>0</v>
      </c>
      <c r="L133" s="151">
        <f t="shared" si="84"/>
        <v>0</v>
      </c>
      <c r="M133" s="151">
        <f t="shared" si="84"/>
        <v>0</v>
      </c>
      <c r="N133" s="151">
        <f t="shared" si="84"/>
        <v>0</v>
      </c>
      <c r="O133" s="151">
        <f t="shared" si="84"/>
        <v>0</v>
      </c>
      <c r="P133" s="151">
        <f t="shared" si="84"/>
        <v>0</v>
      </c>
      <c r="Q133" s="151">
        <f t="shared" si="84"/>
        <v>0</v>
      </c>
      <c r="R133" s="151">
        <f t="shared" si="84"/>
        <v>0</v>
      </c>
      <c r="S133" s="151">
        <f t="shared" si="84"/>
        <v>0</v>
      </c>
      <c r="T133" s="151">
        <f t="shared" si="84"/>
        <v>0</v>
      </c>
      <c r="U133" s="151">
        <f t="shared" si="84"/>
        <v>0</v>
      </c>
      <c r="V133" s="151">
        <f t="shared" si="84"/>
        <v>0</v>
      </c>
      <c r="W133" s="151">
        <f t="shared" si="84"/>
        <v>0</v>
      </c>
      <c r="X133" s="151">
        <f t="shared" si="84"/>
        <v>0</v>
      </c>
      <c r="Y133" s="151">
        <f t="shared" si="84"/>
        <v>0</v>
      </c>
      <c r="Z133" s="151">
        <f t="shared" si="84"/>
        <v>0</v>
      </c>
      <c r="AA133" s="151">
        <f t="shared" si="84"/>
        <v>0</v>
      </c>
      <c r="AB133" s="151">
        <f t="shared" si="84"/>
        <v>0</v>
      </c>
      <c r="AC133" s="151">
        <f t="shared" si="84"/>
        <v>0</v>
      </c>
      <c r="AD133" s="151">
        <f t="shared" si="84"/>
        <v>0</v>
      </c>
      <c r="AE133" s="151">
        <f t="shared" si="84"/>
        <v>0</v>
      </c>
      <c r="AF133" s="151">
        <f t="shared" si="84"/>
        <v>0</v>
      </c>
      <c r="AG133" s="151">
        <f t="shared" si="84"/>
        <v>0</v>
      </c>
      <c r="AH133" s="151">
        <f t="shared" si="84"/>
        <v>0</v>
      </c>
      <c r="AI133" s="151">
        <f t="shared" si="84"/>
        <v>0</v>
      </c>
      <c r="AJ133" s="151">
        <f t="shared" si="84"/>
        <v>0</v>
      </c>
      <c r="AK133" s="151">
        <f t="shared" si="84"/>
        <v>0</v>
      </c>
      <c r="AL133" s="151">
        <f t="shared" si="84"/>
        <v>0</v>
      </c>
      <c r="AM133" s="151">
        <f t="shared" si="84"/>
        <v>0</v>
      </c>
      <c r="AN133" s="151">
        <f t="shared" si="84"/>
        <v>0</v>
      </c>
      <c r="AO133" s="151">
        <f t="shared" ref="AO133:BP133" si="85">AN138</f>
        <v>0</v>
      </c>
      <c r="AP133" s="151">
        <f t="shared" si="85"/>
        <v>0</v>
      </c>
      <c r="AQ133" s="151">
        <f t="shared" si="85"/>
        <v>0</v>
      </c>
      <c r="AR133" s="151">
        <f t="shared" si="85"/>
        <v>0</v>
      </c>
      <c r="AS133" s="151">
        <f t="shared" si="85"/>
        <v>0</v>
      </c>
      <c r="AT133" s="151">
        <f t="shared" si="85"/>
        <v>0</v>
      </c>
      <c r="AU133" s="151">
        <f t="shared" si="85"/>
        <v>0</v>
      </c>
      <c r="AV133" s="151">
        <f t="shared" si="85"/>
        <v>0</v>
      </c>
      <c r="AW133" s="151">
        <f t="shared" si="85"/>
        <v>0</v>
      </c>
      <c r="AX133" s="151">
        <f t="shared" si="85"/>
        <v>0</v>
      </c>
      <c r="AY133" s="151">
        <f t="shared" si="85"/>
        <v>0</v>
      </c>
      <c r="AZ133" s="151">
        <f t="shared" si="85"/>
        <v>0</v>
      </c>
      <c r="BA133" s="151">
        <f t="shared" si="85"/>
        <v>0</v>
      </c>
      <c r="BB133" s="151">
        <f t="shared" si="85"/>
        <v>0</v>
      </c>
      <c r="BC133" s="151">
        <f t="shared" si="85"/>
        <v>0</v>
      </c>
      <c r="BD133" s="151">
        <f t="shared" si="85"/>
        <v>0</v>
      </c>
      <c r="BE133" s="151">
        <f t="shared" si="85"/>
        <v>0</v>
      </c>
      <c r="BF133" s="151">
        <f t="shared" si="85"/>
        <v>0</v>
      </c>
      <c r="BG133" s="151">
        <f t="shared" si="85"/>
        <v>0</v>
      </c>
      <c r="BH133" s="151">
        <f t="shared" si="85"/>
        <v>0</v>
      </c>
      <c r="BI133" s="151">
        <f t="shared" si="85"/>
        <v>0</v>
      </c>
      <c r="BJ133" s="151">
        <f t="shared" si="85"/>
        <v>0</v>
      </c>
      <c r="BK133" s="151">
        <f t="shared" si="85"/>
        <v>0</v>
      </c>
      <c r="BL133" s="151">
        <f t="shared" si="85"/>
        <v>0</v>
      </c>
      <c r="BM133" s="151">
        <f t="shared" si="85"/>
        <v>0</v>
      </c>
      <c r="BN133" s="151">
        <f t="shared" si="85"/>
        <v>0</v>
      </c>
      <c r="BO133" s="151">
        <f t="shared" si="85"/>
        <v>0</v>
      </c>
      <c r="BP133" s="151">
        <f t="shared" si="85"/>
        <v>0</v>
      </c>
    </row>
    <row r="134" spans="3:68" x14ac:dyDescent="0.25">
      <c r="C134" t="s">
        <v>1079</v>
      </c>
      <c r="D134" t="s">
        <v>125</v>
      </c>
      <c r="E134" s="151"/>
      <c r="F134" s="151"/>
      <c r="G134" s="151">
        <f>SUM(H134:BP134)</f>
        <v>0</v>
      </c>
      <c r="H134" s="151">
        <f t="shared" ref="H134:AM134" si="86">$E$107*H103</f>
        <v>0</v>
      </c>
      <c r="I134" s="151">
        <f t="shared" si="86"/>
        <v>0</v>
      </c>
      <c r="J134" s="151">
        <f t="shared" si="86"/>
        <v>0</v>
      </c>
      <c r="K134" s="151">
        <f t="shared" si="86"/>
        <v>0</v>
      </c>
      <c r="L134" s="151">
        <f t="shared" si="86"/>
        <v>0</v>
      </c>
      <c r="M134" s="151">
        <f t="shared" si="86"/>
        <v>0</v>
      </c>
      <c r="N134" s="151">
        <f t="shared" si="86"/>
        <v>0</v>
      </c>
      <c r="O134" s="151">
        <f t="shared" si="86"/>
        <v>0</v>
      </c>
      <c r="P134" s="151">
        <f t="shared" si="86"/>
        <v>0</v>
      </c>
      <c r="Q134" s="151">
        <f t="shared" si="86"/>
        <v>0</v>
      </c>
      <c r="R134" s="151">
        <f t="shared" si="86"/>
        <v>0</v>
      </c>
      <c r="S134" s="151">
        <f t="shared" si="86"/>
        <v>0</v>
      </c>
      <c r="T134" s="151">
        <f t="shared" si="86"/>
        <v>0</v>
      </c>
      <c r="U134" s="151">
        <f t="shared" si="86"/>
        <v>0</v>
      </c>
      <c r="V134" s="151">
        <f t="shared" si="86"/>
        <v>0</v>
      </c>
      <c r="W134" s="151">
        <f t="shared" si="86"/>
        <v>0</v>
      </c>
      <c r="X134" s="151">
        <f t="shared" si="86"/>
        <v>0</v>
      </c>
      <c r="Y134" s="151">
        <f t="shared" si="86"/>
        <v>0</v>
      </c>
      <c r="Z134" s="151">
        <f t="shared" si="86"/>
        <v>0</v>
      </c>
      <c r="AA134" s="151">
        <f t="shared" si="86"/>
        <v>0</v>
      </c>
      <c r="AB134" s="151">
        <f t="shared" si="86"/>
        <v>0</v>
      </c>
      <c r="AC134" s="151">
        <f t="shared" si="86"/>
        <v>0</v>
      </c>
      <c r="AD134" s="151">
        <f t="shared" si="86"/>
        <v>0</v>
      </c>
      <c r="AE134" s="151">
        <f t="shared" si="86"/>
        <v>0</v>
      </c>
      <c r="AF134" s="151">
        <f t="shared" si="86"/>
        <v>0</v>
      </c>
      <c r="AG134" s="151">
        <f t="shared" si="86"/>
        <v>0</v>
      </c>
      <c r="AH134" s="151">
        <f t="shared" si="86"/>
        <v>0</v>
      </c>
      <c r="AI134" s="151">
        <f t="shared" si="86"/>
        <v>0</v>
      </c>
      <c r="AJ134" s="151">
        <f t="shared" si="86"/>
        <v>0</v>
      </c>
      <c r="AK134" s="151">
        <f t="shared" si="86"/>
        <v>0</v>
      </c>
      <c r="AL134" s="151">
        <f t="shared" si="86"/>
        <v>0</v>
      </c>
      <c r="AM134" s="151">
        <f t="shared" si="86"/>
        <v>0</v>
      </c>
      <c r="AN134" s="151">
        <f t="shared" ref="AN134:BP134" si="87">$E$107*AN103</f>
        <v>0</v>
      </c>
      <c r="AO134" s="151">
        <f t="shared" si="87"/>
        <v>0</v>
      </c>
      <c r="AP134" s="151">
        <f t="shared" si="87"/>
        <v>0</v>
      </c>
      <c r="AQ134" s="151">
        <f t="shared" si="87"/>
        <v>0</v>
      </c>
      <c r="AR134" s="151">
        <f t="shared" si="87"/>
        <v>0</v>
      </c>
      <c r="AS134" s="151">
        <f t="shared" si="87"/>
        <v>0</v>
      </c>
      <c r="AT134" s="151">
        <f t="shared" si="87"/>
        <v>0</v>
      </c>
      <c r="AU134" s="151">
        <f t="shared" si="87"/>
        <v>0</v>
      </c>
      <c r="AV134" s="151">
        <f t="shared" si="87"/>
        <v>0</v>
      </c>
      <c r="AW134" s="151">
        <f t="shared" si="87"/>
        <v>0</v>
      </c>
      <c r="AX134" s="151">
        <f t="shared" si="87"/>
        <v>0</v>
      </c>
      <c r="AY134" s="151">
        <f t="shared" si="87"/>
        <v>0</v>
      </c>
      <c r="AZ134" s="151">
        <f t="shared" si="87"/>
        <v>0</v>
      </c>
      <c r="BA134" s="151">
        <f t="shared" si="87"/>
        <v>0</v>
      </c>
      <c r="BB134" s="151">
        <f t="shared" si="87"/>
        <v>0</v>
      </c>
      <c r="BC134" s="151">
        <f t="shared" si="87"/>
        <v>0</v>
      </c>
      <c r="BD134" s="151">
        <f t="shared" si="87"/>
        <v>0</v>
      </c>
      <c r="BE134" s="151">
        <f t="shared" si="87"/>
        <v>0</v>
      </c>
      <c r="BF134" s="151">
        <f t="shared" si="87"/>
        <v>0</v>
      </c>
      <c r="BG134" s="151">
        <f t="shared" si="87"/>
        <v>0</v>
      </c>
      <c r="BH134" s="151">
        <f t="shared" si="87"/>
        <v>0</v>
      </c>
      <c r="BI134" s="151">
        <f t="shared" si="87"/>
        <v>0</v>
      </c>
      <c r="BJ134" s="151">
        <f t="shared" si="87"/>
        <v>0</v>
      </c>
      <c r="BK134" s="151">
        <f t="shared" si="87"/>
        <v>0</v>
      </c>
      <c r="BL134" s="151">
        <f t="shared" si="87"/>
        <v>0</v>
      </c>
      <c r="BM134" s="151">
        <f t="shared" si="87"/>
        <v>0</v>
      </c>
      <c r="BN134" s="151">
        <f t="shared" si="87"/>
        <v>0</v>
      </c>
      <c r="BO134" s="151">
        <f t="shared" si="87"/>
        <v>0</v>
      </c>
      <c r="BP134" s="151">
        <f t="shared" si="87"/>
        <v>0</v>
      </c>
    </row>
    <row r="135" spans="3:68" x14ac:dyDescent="0.25">
      <c r="C135" t="s">
        <v>1080</v>
      </c>
      <c r="D135" t="s">
        <v>125</v>
      </c>
      <c r="E135" s="151"/>
      <c r="F135" s="151"/>
      <c r="G135" s="151">
        <f>SUM(H135:BP135)</f>
        <v>0</v>
      </c>
      <c r="H135" s="151">
        <f t="shared" ref="H135:AM135" si="88">$E$107*(H18+H20)</f>
        <v>0</v>
      </c>
      <c r="I135" s="151">
        <f t="shared" si="88"/>
        <v>0</v>
      </c>
      <c r="J135" s="151">
        <f t="shared" si="88"/>
        <v>0</v>
      </c>
      <c r="K135" s="151">
        <f t="shared" si="88"/>
        <v>0</v>
      </c>
      <c r="L135" s="151">
        <f t="shared" si="88"/>
        <v>0</v>
      </c>
      <c r="M135" s="151">
        <f t="shared" si="88"/>
        <v>0</v>
      </c>
      <c r="N135" s="151">
        <f t="shared" si="88"/>
        <v>0</v>
      </c>
      <c r="O135" s="151">
        <f t="shared" si="88"/>
        <v>0</v>
      </c>
      <c r="P135" s="151">
        <f t="shared" si="88"/>
        <v>0</v>
      </c>
      <c r="Q135" s="151">
        <f t="shared" si="88"/>
        <v>0</v>
      </c>
      <c r="R135" s="151">
        <f t="shared" si="88"/>
        <v>0</v>
      </c>
      <c r="S135" s="151">
        <f t="shared" si="88"/>
        <v>0</v>
      </c>
      <c r="T135" s="151">
        <f t="shared" si="88"/>
        <v>0</v>
      </c>
      <c r="U135" s="151">
        <f t="shared" si="88"/>
        <v>0</v>
      </c>
      <c r="V135" s="151">
        <f t="shared" si="88"/>
        <v>0</v>
      </c>
      <c r="W135" s="151">
        <f t="shared" si="88"/>
        <v>0</v>
      </c>
      <c r="X135" s="151">
        <f t="shared" si="88"/>
        <v>0</v>
      </c>
      <c r="Y135" s="151">
        <f t="shared" si="88"/>
        <v>0</v>
      </c>
      <c r="Z135" s="151">
        <f t="shared" si="88"/>
        <v>0</v>
      </c>
      <c r="AA135" s="151">
        <f t="shared" si="88"/>
        <v>0</v>
      </c>
      <c r="AB135" s="151">
        <f t="shared" si="88"/>
        <v>0</v>
      </c>
      <c r="AC135" s="151">
        <f t="shared" si="88"/>
        <v>0</v>
      </c>
      <c r="AD135" s="151">
        <f t="shared" si="88"/>
        <v>0</v>
      </c>
      <c r="AE135" s="151">
        <f t="shared" si="88"/>
        <v>0</v>
      </c>
      <c r="AF135" s="151">
        <f t="shared" si="88"/>
        <v>0</v>
      </c>
      <c r="AG135" s="151">
        <f t="shared" si="88"/>
        <v>0</v>
      </c>
      <c r="AH135" s="151">
        <f t="shared" si="88"/>
        <v>0</v>
      </c>
      <c r="AI135" s="151">
        <f t="shared" si="88"/>
        <v>0</v>
      </c>
      <c r="AJ135" s="151">
        <f t="shared" si="88"/>
        <v>0</v>
      </c>
      <c r="AK135" s="151">
        <f t="shared" si="88"/>
        <v>0</v>
      </c>
      <c r="AL135" s="151">
        <f t="shared" si="88"/>
        <v>0</v>
      </c>
      <c r="AM135" s="151">
        <f t="shared" si="88"/>
        <v>0</v>
      </c>
      <c r="AN135" s="151">
        <f t="shared" ref="AN135:BP135" si="89">$E$107*(AN18+AN20)</f>
        <v>0</v>
      </c>
      <c r="AO135" s="151">
        <f t="shared" si="89"/>
        <v>0</v>
      </c>
      <c r="AP135" s="151">
        <f t="shared" si="89"/>
        <v>0</v>
      </c>
      <c r="AQ135" s="151">
        <f t="shared" si="89"/>
        <v>0</v>
      </c>
      <c r="AR135" s="151">
        <f t="shared" si="89"/>
        <v>0</v>
      </c>
      <c r="AS135" s="151">
        <f t="shared" si="89"/>
        <v>0</v>
      </c>
      <c r="AT135" s="151">
        <f t="shared" si="89"/>
        <v>0</v>
      </c>
      <c r="AU135" s="151">
        <f t="shared" si="89"/>
        <v>0</v>
      </c>
      <c r="AV135" s="151">
        <f t="shared" si="89"/>
        <v>0</v>
      </c>
      <c r="AW135" s="151">
        <f t="shared" si="89"/>
        <v>0</v>
      </c>
      <c r="AX135" s="151">
        <f t="shared" si="89"/>
        <v>0</v>
      </c>
      <c r="AY135" s="151">
        <f t="shared" si="89"/>
        <v>0</v>
      </c>
      <c r="AZ135" s="151">
        <f t="shared" si="89"/>
        <v>0</v>
      </c>
      <c r="BA135" s="151">
        <f t="shared" si="89"/>
        <v>0</v>
      </c>
      <c r="BB135" s="151">
        <f t="shared" si="89"/>
        <v>0</v>
      </c>
      <c r="BC135" s="151">
        <f t="shared" si="89"/>
        <v>0</v>
      </c>
      <c r="BD135" s="151">
        <f t="shared" si="89"/>
        <v>0</v>
      </c>
      <c r="BE135" s="151">
        <f t="shared" si="89"/>
        <v>0</v>
      </c>
      <c r="BF135" s="151">
        <f t="shared" si="89"/>
        <v>0</v>
      </c>
      <c r="BG135" s="151">
        <f t="shared" si="89"/>
        <v>0</v>
      </c>
      <c r="BH135" s="151">
        <f t="shared" si="89"/>
        <v>0</v>
      </c>
      <c r="BI135" s="151">
        <f t="shared" si="89"/>
        <v>0</v>
      </c>
      <c r="BJ135" s="151">
        <f t="shared" si="89"/>
        <v>0</v>
      </c>
      <c r="BK135" s="151">
        <f t="shared" si="89"/>
        <v>0</v>
      </c>
      <c r="BL135" s="151">
        <f t="shared" si="89"/>
        <v>0</v>
      </c>
      <c r="BM135" s="151">
        <f t="shared" si="89"/>
        <v>0</v>
      </c>
      <c r="BN135" s="151">
        <f t="shared" si="89"/>
        <v>0</v>
      </c>
      <c r="BO135" s="151">
        <f t="shared" si="89"/>
        <v>0</v>
      </c>
      <c r="BP135" s="151">
        <f t="shared" si="89"/>
        <v>0</v>
      </c>
    </row>
    <row r="136" spans="3:68" x14ac:dyDescent="0.25">
      <c r="C136" t="s">
        <v>1075</v>
      </c>
      <c r="D136" t="s">
        <v>125</v>
      </c>
      <c r="E136" s="134">
        <f>Inputs!$E$62</f>
        <v>0.2</v>
      </c>
      <c r="F136" s="151"/>
      <c r="G136" s="151">
        <f>SUM(H136:BP136)</f>
        <v>0</v>
      </c>
      <c r="H136" s="151">
        <f>IF(Inputs!$E$69=1,(1+$E$136)^(1/12)-1,$E$136/12)*SUM(H133:H135)*H$10*(1-Inputs!$E$66)</f>
        <v>0</v>
      </c>
      <c r="I136" s="151">
        <f>IF(Inputs!$E$69=1,(1+$E$136)^(1/12)-1,$E$136/12)*SUM(I133:I135)*I$10*(1-Inputs!$E$66)</f>
        <v>0</v>
      </c>
      <c r="J136" s="151">
        <f>IF(Inputs!$E$69=1,(1+$E$136)^(1/12)-1,$E$136/12)*SUM(J133:J135)*J$10*(1-Inputs!$E$66)</f>
        <v>0</v>
      </c>
      <c r="K136" s="151">
        <f>IF(Inputs!$E$69=1,(1+$E$136)^(1/12)-1,$E$136/12)*SUM(K133:K135)*K$10*(1-Inputs!$E$66)</f>
        <v>0</v>
      </c>
      <c r="L136" s="151">
        <f>IF(Inputs!$E$69=1,(1+$E$136)^(1/12)-1,$E$136/12)*SUM(L133:L135)*L$10*(1-Inputs!$E$66)</f>
        <v>0</v>
      </c>
      <c r="M136" s="151">
        <f>IF(Inputs!$E$69=1,(1+$E$136)^(1/12)-1,$E$136/12)*SUM(M133:M135)*M$10*(1-Inputs!$E$66)</f>
        <v>0</v>
      </c>
      <c r="N136" s="151">
        <f>IF(Inputs!$E$69=1,(1+$E$136)^(1/12)-1,$E$136/12)*SUM(N133:N135)*N$10*(1-Inputs!$E$66)</f>
        <v>0</v>
      </c>
      <c r="O136" s="151">
        <f>IF(Inputs!$E$69=1,(1+$E$136)^(1/12)-1,$E$136/12)*SUM(O133:O135)*O$10*(1-Inputs!$E$66)</f>
        <v>0</v>
      </c>
      <c r="P136" s="151">
        <f>IF(Inputs!$E$69=1,(1+$E$136)^(1/12)-1,$E$136/12)*SUM(P133:P135)*P$10*(1-Inputs!$E$66)</f>
        <v>0</v>
      </c>
      <c r="Q136" s="151">
        <f>IF(Inputs!$E$69=1,(1+$E$136)^(1/12)-1,$E$136/12)*SUM(Q133:Q135)*Q$10*(1-Inputs!$E$66)</f>
        <v>0</v>
      </c>
      <c r="R136" s="151">
        <f>IF(Inputs!$E$69=1,(1+$E$136)^(1/12)-1,$E$136/12)*SUM(R133:R135)*R$10*(1-Inputs!$E$66)</f>
        <v>0</v>
      </c>
      <c r="S136" s="151">
        <f>IF(Inputs!$E$69=1,(1+$E$136)^(1/12)-1,$E$136/12)*SUM(S133:S135)*S$10*(1-Inputs!$E$66)</f>
        <v>0</v>
      </c>
      <c r="T136" s="151">
        <f>IF(Inputs!$E$69=1,(1+$E$136)^(1/12)-1,$E$136/12)*SUM(T133:T135)*T$10*(1-Inputs!$E$66)</f>
        <v>0</v>
      </c>
      <c r="U136" s="151">
        <f>IF(Inputs!$E$69=1,(1+$E$136)^(1/12)-1,$E$136/12)*SUM(U133:U135)*U$10*(1-Inputs!$E$66)</f>
        <v>0</v>
      </c>
      <c r="V136" s="151">
        <f>IF(Inputs!$E$69=1,(1+$E$136)^(1/12)-1,$E$136/12)*SUM(V133:V135)*V$10*(1-Inputs!$E$66)</f>
        <v>0</v>
      </c>
      <c r="W136" s="151">
        <f>IF(Inputs!$E$69=1,(1+$E$136)^(1/12)-1,$E$136/12)*SUM(W133:W135)*W$10*(1-Inputs!$E$66)</f>
        <v>0</v>
      </c>
      <c r="X136" s="151">
        <f>IF(Inputs!$E$69=1,(1+$E$136)^(1/12)-1,$E$136/12)*SUM(X133:X135)*X$10*(1-Inputs!$E$66)</f>
        <v>0</v>
      </c>
      <c r="Y136" s="151">
        <f>IF(Inputs!$E$69=1,(1+$E$136)^(1/12)-1,$E$136/12)*SUM(Y133:Y135)*Y$10*(1-Inputs!$E$66)</f>
        <v>0</v>
      </c>
      <c r="Z136" s="151">
        <f>IF(Inputs!$E$69=1,(1+$E$136)^(1/12)-1,$E$136/12)*SUM(Z133:Z135)*Z$10*(1-Inputs!$E$66)</f>
        <v>0</v>
      </c>
      <c r="AA136" s="151">
        <f>IF(Inputs!$E$69=1,(1+$E$136)^(1/12)-1,$E$136/12)*SUM(AA133:AA135)*AA$10*(1-Inputs!$E$66)</f>
        <v>0</v>
      </c>
      <c r="AB136" s="151">
        <f>IF(Inputs!$E$69=1,(1+$E$136)^(1/12)-1,$E$136/12)*SUM(AB133:AB135)*AB$10*(1-Inputs!$E$66)</f>
        <v>0</v>
      </c>
      <c r="AC136" s="151">
        <f>IF(Inputs!$E$69=1,(1+$E$136)^(1/12)-1,$E$136/12)*SUM(AC133:AC135)*AC$10*(1-Inputs!$E$66)</f>
        <v>0</v>
      </c>
      <c r="AD136" s="151">
        <f>IF(Inputs!$E$69=1,(1+$E$136)^(1/12)-1,$E$136/12)*SUM(AD133:AD135)*AD$10*(1-Inputs!$E$66)</f>
        <v>0</v>
      </c>
      <c r="AE136" s="151">
        <f>IF(Inputs!$E$69=1,(1+$E$136)^(1/12)-1,$E$136/12)*SUM(AE133:AE135)*AE$10*(1-Inputs!$E$66)</f>
        <v>0</v>
      </c>
      <c r="AF136" s="151">
        <f>IF(Inputs!$E$69=1,(1+$E$136)^(1/12)-1,$E$136/12)*SUM(AF133:AF135)*AF$10*(1-Inputs!$E$66)</f>
        <v>0</v>
      </c>
      <c r="AG136" s="151">
        <f>IF(Inputs!$E$69=1,(1+$E$136)^(1/12)-1,$E$136/12)*SUM(AG133:AG135)*AG$10*(1-Inputs!$E$66)</f>
        <v>0</v>
      </c>
      <c r="AH136" s="151">
        <f>IF(Inputs!$E$69=1,(1+$E$136)^(1/12)-1,$E$136/12)*SUM(AH133:AH135)*AH$10*(1-Inputs!$E$66)</f>
        <v>0</v>
      </c>
      <c r="AI136" s="151">
        <f>IF(Inputs!$E$69=1,(1+$E$136)^(1/12)-1,$E$136/12)*SUM(AI133:AI135)*AI$10*(1-Inputs!$E$66)</f>
        <v>0</v>
      </c>
      <c r="AJ136" s="151">
        <f>IF(Inputs!$E$69=1,(1+$E$136)^(1/12)-1,$E$136/12)*SUM(AJ133:AJ135)*AJ$10*(1-Inputs!$E$66)</f>
        <v>0</v>
      </c>
      <c r="AK136" s="151">
        <f>IF(Inputs!$E$69=1,(1+$E$136)^(1/12)-1,$E$136/12)*SUM(AK133:AK135)*AK$10*(1-Inputs!$E$66)</f>
        <v>0</v>
      </c>
      <c r="AL136" s="151">
        <f>IF(Inputs!$E$69=1,(1+$E$136)^(1/12)-1,$E$136/12)*SUM(AL133:AL135)*AL$10*(1-Inputs!$E$66)</f>
        <v>0</v>
      </c>
      <c r="AM136" s="151">
        <f>IF(Inputs!$E$69=1,(1+$E$136)^(1/12)-1,$E$136/12)*SUM(AM133:AM135)*AM$10*(1-Inputs!$E$66)</f>
        <v>0</v>
      </c>
      <c r="AN136" s="151">
        <f>IF(Inputs!$E$69=1,(1+$E$136)^(1/12)-1,$E$136/12)*SUM(AN133:AN135)*AN$10*(1-Inputs!$E$66)</f>
        <v>0</v>
      </c>
      <c r="AO136" s="151">
        <f>IF(Inputs!$E$69=1,(1+$E$136)^(1/12)-1,$E$136/12)*SUM(AO133:AO135)*AO$10*(1-Inputs!$E$66)</f>
        <v>0</v>
      </c>
      <c r="AP136" s="151">
        <f>IF(Inputs!$E$69=1,(1+$E$136)^(1/12)-1,$E$136/12)*SUM(AP133:AP135)*AP$10*(1-Inputs!$E$66)</f>
        <v>0</v>
      </c>
      <c r="AQ136" s="151">
        <f>IF(Inputs!$E$69=1,(1+$E$136)^(1/12)-1,$E$136/12)*SUM(AQ133:AQ135)*AQ$10*(1-Inputs!$E$66)</f>
        <v>0</v>
      </c>
      <c r="AR136" s="151">
        <f>IF(Inputs!$E$69=1,(1+$E$136)^(1/12)-1,$E$136/12)*SUM(AR133:AR135)*AR$10*(1-Inputs!$E$66)</f>
        <v>0</v>
      </c>
      <c r="AS136" s="151">
        <f>IF(Inputs!$E$69=1,(1+$E$136)^(1/12)-1,$E$136/12)*SUM(AS133:AS135)*AS$10*(1-Inputs!$E$66)</f>
        <v>0</v>
      </c>
      <c r="AT136" s="151">
        <f>IF(Inputs!$E$69=1,(1+$E$136)^(1/12)-1,$E$136/12)*SUM(AT133:AT135)*AT$10*(1-Inputs!$E$66)</f>
        <v>0</v>
      </c>
      <c r="AU136" s="151">
        <f>IF(Inputs!$E$69=1,(1+$E$136)^(1/12)-1,$E$136/12)*SUM(AU133:AU135)*AU$10*(1-Inputs!$E$66)</f>
        <v>0</v>
      </c>
      <c r="AV136" s="151">
        <f>IF(Inputs!$E$69=1,(1+$E$136)^(1/12)-1,$E$136/12)*SUM(AV133:AV135)*AV$10*(1-Inputs!$E$66)</f>
        <v>0</v>
      </c>
      <c r="AW136" s="151">
        <f>IF(Inputs!$E$69=1,(1+$E$136)^(1/12)-1,$E$136/12)*SUM(AW133:AW135)*AW$10*(1-Inputs!$E$66)</f>
        <v>0</v>
      </c>
      <c r="AX136" s="151">
        <f>IF(Inputs!$E$69=1,(1+$E$136)^(1/12)-1,$E$136/12)*SUM(AX133:AX135)*AX$10*(1-Inputs!$E$66)</f>
        <v>0</v>
      </c>
      <c r="AY136" s="151">
        <f>IF(Inputs!$E$69=1,(1+$E$136)^(1/12)-1,$E$136/12)*SUM(AY133:AY135)*AY$10*(1-Inputs!$E$66)</f>
        <v>0</v>
      </c>
      <c r="AZ136" s="151">
        <f>IF(Inputs!$E$69=1,(1+$E$136)^(1/12)-1,$E$136/12)*SUM(AZ133:AZ135)*AZ$10*(1-Inputs!$E$66)</f>
        <v>0</v>
      </c>
      <c r="BA136" s="151">
        <f>IF(Inputs!$E$69=1,(1+$E$136)^(1/12)-1,$E$136/12)*SUM(BA133:BA135)*BA$10*(1-Inputs!$E$66)</f>
        <v>0</v>
      </c>
      <c r="BB136" s="151">
        <f>IF(Inputs!$E$69=1,(1+$E$136)^(1/12)-1,$E$136/12)*SUM(BB133:BB135)*BB$10*(1-Inputs!$E$66)</f>
        <v>0</v>
      </c>
      <c r="BC136" s="151">
        <f>IF(Inputs!$E$69=1,(1+$E$136)^(1/12)-1,$E$136/12)*SUM(BC133:BC135)*BC$10*(1-Inputs!$E$66)</f>
        <v>0</v>
      </c>
      <c r="BD136" s="151">
        <f>IF(Inputs!$E$69=1,(1+$E$136)^(1/12)-1,$E$136/12)*SUM(BD133:BD135)*BD$10*(1-Inputs!$E$66)</f>
        <v>0</v>
      </c>
      <c r="BE136" s="151">
        <f>IF(Inputs!$E$69=1,(1+$E$136)^(1/12)-1,$E$136/12)*SUM(BE133:BE135)*BE$10*(1-Inputs!$E$66)</f>
        <v>0</v>
      </c>
      <c r="BF136" s="151">
        <f>IF(Inputs!$E$69=1,(1+$E$136)^(1/12)-1,$E$136/12)*SUM(BF133:BF135)*BF$10*(1-Inputs!$E$66)</f>
        <v>0</v>
      </c>
      <c r="BG136" s="151">
        <f>IF(Inputs!$E$69=1,(1+$E$136)^(1/12)-1,$E$136/12)*SUM(BG133:BG135)*BG$10*(1-Inputs!$E$66)</f>
        <v>0</v>
      </c>
      <c r="BH136" s="151">
        <f>IF(Inputs!$E$69=1,(1+$E$136)^(1/12)-1,$E$136/12)*SUM(BH133:BH135)*BH$10*(1-Inputs!$E$66)</f>
        <v>0</v>
      </c>
      <c r="BI136" s="151">
        <f>IF(Inputs!$E$69=1,(1+$E$136)^(1/12)-1,$E$136/12)*SUM(BI133:BI135)*BI$10*(1-Inputs!$E$66)</f>
        <v>0</v>
      </c>
      <c r="BJ136" s="151">
        <f>IF(Inputs!$E$69=1,(1+$E$136)^(1/12)-1,$E$136/12)*SUM(BJ133:BJ135)*BJ$10*(1-Inputs!$E$66)</f>
        <v>0</v>
      </c>
      <c r="BK136" s="151">
        <f>IF(Inputs!$E$69=1,(1+$E$136)^(1/12)-1,$E$136/12)*SUM(BK133:BK135)*BK$10*(1-Inputs!$E$66)</f>
        <v>0</v>
      </c>
      <c r="BL136" s="151">
        <f>IF(Inputs!$E$69=1,(1+$E$136)^(1/12)-1,$E$136/12)*SUM(BL133:BL135)*BL$10*(1-Inputs!$E$66)</f>
        <v>0</v>
      </c>
      <c r="BM136" s="151">
        <f>IF(Inputs!$E$69=1,(1+$E$136)^(1/12)-1,$E$136/12)*SUM(BM133:BM135)*BM$10*(1-Inputs!$E$66)</f>
        <v>0</v>
      </c>
      <c r="BN136" s="151">
        <f>IF(Inputs!$E$69=1,(1+$E$136)^(1/12)-1,$E$136/12)*SUM(BN133:BN135)*BN$10*(1-Inputs!$E$66)</f>
        <v>0</v>
      </c>
      <c r="BO136" s="151">
        <f>IF(Inputs!$E$69=1,(1+$E$136)^(1/12)-1,$E$136/12)*SUM(BO133:BO135)*BO$10*(1-Inputs!$E$66)</f>
        <v>0</v>
      </c>
      <c r="BP136" s="151">
        <f>IF(Inputs!$E$69=1,(1+$E$136)^(1/12)-1,$E$136/12)*SUM(BP133:BP135)*BP$10*(1-Inputs!$E$66)</f>
        <v>0</v>
      </c>
    </row>
    <row r="137" spans="3:68" x14ac:dyDescent="0.25">
      <c r="C137" t="s">
        <v>1076</v>
      </c>
      <c r="D137" t="s">
        <v>125</v>
      </c>
      <c r="E137" s="151"/>
      <c r="F137" s="151"/>
      <c r="G137" s="151">
        <f>SUM(H137:BP137)</f>
        <v>0</v>
      </c>
      <c r="H137" s="151">
        <f t="shared" ref="H137:AM137" si="90">-H$7*SUM(H133:H136)</f>
        <v>0</v>
      </c>
      <c r="I137" s="151">
        <f t="shared" si="90"/>
        <v>0</v>
      </c>
      <c r="J137" s="151">
        <f t="shared" si="90"/>
        <v>0</v>
      </c>
      <c r="K137" s="151">
        <f t="shared" si="90"/>
        <v>0</v>
      </c>
      <c r="L137" s="151">
        <f t="shared" si="90"/>
        <v>0</v>
      </c>
      <c r="M137" s="151">
        <f t="shared" si="90"/>
        <v>0</v>
      </c>
      <c r="N137" s="151">
        <f t="shared" si="90"/>
        <v>0</v>
      </c>
      <c r="O137" s="151">
        <f t="shared" si="90"/>
        <v>0</v>
      </c>
      <c r="P137" s="151">
        <f t="shared" si="90"/>
        <v>0</v>
      </c>
      <c r="Q137" s="151">
        <f t="shared" si="90"/>
        <v>0</v>
      </c>
      <c r="R137" s="151">
        <f t="shared" si="90"/>
        <v>0</v>
      </c>
      <c r="S137" s="151">
        <f t="shared" si="90"/>
        <v>0</v>
      </c>
      <c r="T137" s="151">
        <f t="shared" si="90"/>
        <v>0</v>
      </c>
      <c r="U137" s="151">
        <f t="shared" si="90"/>
        <v>0</v>
      </c>
      <c r="V137" s="151">
        <f t="shared" si="90"/>
        <v>0</v>
      </c>
      <c r="W137" s="151">
        <f t="shared" si="90"/>
        <v>0</v>
      </c>
      <c r="X137" s="151">
        <f t="shared" si="90"/>
        <v>0</v>
      </c>
      <c r="Y137" s="151">
        <f t="shared" si="90"/>
        <v>0</v>
      </c>
      <c r="Z137" s="151">
        <f t="shared" si="90"/>
        <v>0</v>
      </c>
      <c r="AA137" s="151">
        <f t="shared" si="90"/>
        <v>0</v>
      </c>
      <c r="AB137" s="151">
        <f t="shared" si="90"/>
        <v>0</v>
      </c>
      <c r="AC137" s="151">
        <f t="shared" si="90"/>
        <v>0</v>
      </c>
      <c r="AD137" s="151">
        <f t="shared" si="90"/>
        <v>0</v>
      </c>
      <c r="AE137" s="151">
        <f t="shared" si="90"/>
        <v>0</v>
      </c>
      <c r="AF137" s="151">
        <f t="shared" si="90"/>
        <v>0</v>
      </c>
      <c r="AG137" s="151">
        <f t="shared" si="90"/>
        <v>0</v>
      </c>
      <c r="AH137" s="151">
        <f t="shared" si="90"/>
        <v>0</v>
      </c>
      <c r="AI137" s="151">
        <f t="shared" si="90"/>
        <v>0</v>
      </c>
      <c r="AJ137" s="151">
        <f t="shared" si="90"/>
        <v>0</v>
      </c>
      <c r="AK137" s="151">
        <f t="shared" si="90"/>
        <v>0</v>
      </c>
      <c r="AL137" s="151">
        <f t="shared" si="90"/>
        <v>0</v>
      </c>
      <c r="AM137" s="151">
        <f t="shared" si="90"/>
        <v>0</v>
      </c>
      <c r="AN137" s="151">
        <f t="shared" ref="AN137:BP137" si="91">-AN$7*SUM(AN133:AN136)</f>
        <v>0</v>
      </c>
      <c r="AO137" s="151">
        <f t="shared" si="91"/>
        <v>0</v>
      </c>
      <c r="AP137" s="151">
        <f t="shared" si="91"/>
        <v>0</v>
      </c>
      <c r="AQ137" s="151">
        <f t="shared" si="91"/>
        <v>0</v>
      </c>
      <c r="AR137" s="151">
        <f t="shared" si="91"/>
        <v>0</v>
      </c>
      <c r="AS137" s="151">
        <f t="shared" si="91"/>
        <v>0</v>
      </c>
      <c r="AT137" s="151">
        <f t="shared" si="91"/>
        <v>0</v>
      </c>
      <c r="AU137" s="151">
        <f t="shared" si="91"/>
        <v>0</v>
      </c>
      <c r="AV137" s="151">
        <f t="shared" si="91"/>
        <v>0</v>
      </c>
      <c r="AW137" s="151">
        <f t="shared" si="91"/>
        <v>0</v>
      </c>
      <c r="AX137" s="151">
        <f t="shared" si="91"/>
        <v>0</v>
      </c>
      <c r="AY137" s="151">
        <f t="shared" si="91"/>
        <v>0</v>
      </c>
      <c r="AZ137" s="151">
        <f t="shared" si="91"/>
        <v>0</v>
      </c>
      <c r="BA137" s="151">
        <f t="shared" si="91"/>
        <v>0</v>
      </c>
      <c r="BB137" s="151">
        <f t="shared" si="91"/>
        <v>0</v>
      </c>
      <c r="BC137" s="151">
        <f t="shared" si="91"/>
        <v>0</v>
      </c>
      <c r="BD137" s="151">
        <f t="shared" si="91"/>
        <v>0</v>
      </c>
      <c r="BE137" s="151">
        <f t="shared" si="91"/>
        <v>0</v>
      </c>
      <c r="BF137" s="151">
        <f t="shared" si="91"/>
        <v>0</v>
      </c>
      <c r="BG137" s="151">
        <f t="shared" si="91"/>
        <v>0</v>
      </c>
      <c r="BH137" s="151">
        <f t="shared" si="91"/>
        <v>0</v>
      </c>
      <c r="BI137" s="151">
        <f t="shared" si="91"/>
        <v>0</v>
      </c>
      <c r="BJ137" s="151">
        <f t="shared" si="91"/>
        <v>0</v>
      </c>
      <c r="BK137" s="151">
        <f t="shared" si="91"/>
        <v>0</v>
      </c>
      <c r="BL137" s="151">
        <f t="shared" si="91"/>
        <v>0</v>
      </c>
      <c r="BM137" s="151">
        <f t="shared" si="91"/>
        <v>0</v>
      </c>
      <c r="BN137" s="151">
        <f t="shared" si="91"/>
        <v>0</v>
      </c>
      <c r="BO137" s="151">
        <f t="shared" si="91"/>
        <v>0</v>
      </c>
      <c r="BP137" s="151">
        <f t="shared" si="91"/>
        <v>0</v>
      </c>
    </row>
    <row r="138" spans="3:68" x14ac:dyDescent="0.25">
      <c r="C138" t="s">
        <v>1044</v>
      </c>
      <c r="D138" t="s">
        <v>125</v>
      </c>
      <c r="E138" s="151"/>
      <c r="F138" s="151"/>
      <c r="G138" s="151"/>
      <c r="H138" s="151">
        <f t="shared" ref="H138:AM138" si="92">SUM(H133:H137)</f>
        <v>0</v>
      </c>
      <c r="I138" s="151">
        <f t="shared" si="92"/>
        <v>0</v>
      </c>
      <c r="J138" s="151">
        <f t="shared" si="92"/>
        <v>0</v>
      </c>
      <c r="K138" s="151">
        <f t="shared" si="92"/>
        <v>0</v>
      </c>
      <c r="L138" s="151">
        <f t="shared" si="92"/>
        <v>0</v>
      </c>
      <c r="M138" s="151">
        <f t="shared" si="92"/>
        <v>0</v>
      </c>
      <c r="N138" s="151">
        <f t="shared" si="92"/>
        <v>0</v>
      </c>
      <c r="O138" s="151">
        <f t="shared" si="92"/>
        <v>0</v>
      </c>
      <c r="P138" s="151">
        <f t="shared" si="92"/>
        <v>0</v>
      </c>
      <c r="Q138" s="151">
        <f t="shared" si="92"/>
        <v>0</v>
      </c>
      <c r="R138" s="151">
        <f t="shared" si="92"/>
        <v>0</v>
      </c>
      <c r="S138" s="151">
        <f t="shared" si="92"/>
        <v>0</v>
      </c>
      <c r="T138" s="151">
        <f t="shared" si="92"/>
        <v>0</v>
      </c>
      <c r="U138" s="151">
        <f t="shared" si="92"/>
        <v>0</v>
      </c>
      <c r="V138" s="151">
        <f t="shared" si="92"/>
        <v>0</v>
      </c>
      <c r="W138" s="151">
        <f t="shared" si="92"/>
        <v>0</v>
      </c>
      <c r="X138" s="151">
        <f t="shared" si="92"/>
        <v>0</v>
      </c>
      <c r="Y138" s="151">
        <f t="shared" si="92"/>
        <v>0</v>
      </c>
      <c r="Z138" s="151">
        <f t="shared" si="92"/>
        <v>0</v>
      </c>
      <c r="AA138" s="151">
        <f t="shared" si="92"/>
        <v>0</v>
      </c>
      <c r="AB138" s="151">
        <f t="shared" si="92"/>
        <v>0</v>
      </c>
      <c r="AC138" s="151">
        <f t="shared" si="92"/>
        <v>0</v>
      </c>
      <c r="AD138" s="151">
        <f t="shared" si="92"/>
        <v>0</v>
      </c>
      <c r="AE138" s="151">
        <f t="shared" si="92"/>
        <v>0</v>
      </c>
      <c r="AF138" s="151">
        <f t="shared" si="92"/>
        <v>0</v>
      </c>
      <c r="AG138" s="151">
        <f t="shared" si="92"/>
        <v>0</v>
      </c>
      <c r="AH138" s="151">
        <f t="shared" si="92"/>
        <v>0</v>
      </c>
      <c r="AI138" s="151">
        <f t="shared" si="92"/>
        <v>0</v>
      </c>
      <c r="AJ138" s="151">
        <f t="shared" si="92"/>
        <v>0</v>
      </c>
      <c r="AK138" s="151">
        <f t="shared" si="92"/>
        <v>0</v>
      </c>
      <c r="AL138" s="151">
        <f t="shared" si="92"/>
        <v>0</v>
      </c>
      <c r="AM138" s="151">
        <f t="shared" si="92"/>
        <v>0</v>
      </c>
      <c r="AN138" s="151">
        <f t="shared" ref="AN138:BP138" si="93">SUM(AN133:AN137)</f>
        <v>0</v>
      </c>
      <c r="AO138" s="151">
        <f t="shared" si="93"/>
        <v>0</v>
      </c>
      <c r="AP138" s="151">
        <f t="shared" si="93"/>
        <v>0</v>
      </c>
      <c r="AQ138" s="151">
        <f t="shared" si="93"/>
        <v>0</v>
      </c>
      <c r="AR138" s="151">
        <f t="shared" si="93"/>
        <v>0</v>
      </c>
      <c r="AS138" s="151">
        <f t="shared" si="93"/>
        <v>0</v>
      </c>
      <c r="AT138" s="151">
        <f t="shared" si="93"/>
        <v>0</v>
      </c>
      <c r="AU138" s="151">
        <f t="shared" si="93"/>
        <v>0</v>
      </c>
      <c r="AV138" s="151">
        <f t="shared" si="93"/>
        <v>0</v>
      </c>
      <c r="AW138" s="151">
        <f t="shared" si="93"/>
        <v>0</v>
      </c>
      <c r="AX138" s="151">
        <f t="shared" si="93"/>
        <v>0</v>
      </c>
      <c r="AY138" s="151">
        <f t="shared" si="93"/>
        <v>0</v>
      </c>
      <c r="AZ138" s="151">
        <f t="shared" si="93"/>
        <v>0</v>
      </c>
      <c r="BA138" s="151">
        <f t="shared" si="93"/>
        <v>0</v>
      </c>
      <c r="BB138" s="151">
        <f t="shared" si="93"/>
        <v>0</v>
      </c>
      <c r="BC138" s="151">
        <f t="shared" si="93"/>
        <v>0</v>
      </c>
      <c r="BD138" s="151">
        <f t="shared" si="93"/>
        <v>0</v>
      </c>
      <c r="BE138" s="151">
        <f t="shared" si="93"/>
        <v>0</v>
      </c>
      <c r="BF138" s="151">
        <f t="shared" si="93"/>
        <v>0</v>
      </c>
      <c r="BG138" s="151">
        <f t="shared" si="93"/>
        <v>0</v>
      </c>
      <c r="BH138" s="151">
        <f t="shared" si="93"/>
        <v>0</v>
      </c>
      <c r="BI138" s="151">
        <f t="shared" si="93"/>
        <v>0</v>
      </c>
      <c r="BJ138" s="151">
        <f t="shared" si="93"/>
        <v>0</v>
      </c>
      <c r="BK138" s="151">
        <f t="shared" si="93"/>
        <v>0</v>
      </c>
      <c r="BL138" s="151">
        <f t="shared" si="93"/>
        <v>0</v>
      </c>
      <c r="BM138" s="151">
        <f t="shared" si="93"/>
        <v>0</v>
      </c>
      <c r="BN138" s="151">
        <f t="shared" si="93"/>
        <v>0</v>
      </c>
      <c r="BO138" s="151">
        <f t="shared" si="93"/>
        <v>0</v>
      </c>
      <c r="BP138" s="151">
        <f t="shared" si="93"/>
        <v>0</v>
      </c>
    </row>
    <row r="139" spans="3:68" x14ac:dyDescent="0.25">
      <c r="C139" t="s">
        <v>1081</v>
      </c>
      <c r="D139" t="s">
        <v>125</v>
      </c>
      <c r="E139" s="151"/>
      <c r="F139" s="151"/>
      <c r="G139" s="151"/>
      <c r="H139" s="151">
        <f>H134+H135</f>
        <v>0</v>
      </c>
      <c r="I139" s="151">
        <f t="shared" ref="I139:AN139" si="94">H139+I134+I135</f>
        <v>0</v>
      </c>
      <c r="J139" s="151">
        <f t="shared" si="94"/>
        <v>0</v>
      </c>
      <c r="K139" s="151">
        <f t="shared" si="94"/>
        <v>0</v>
      </c>
      <c r="L139" s="151">
        <f t="shared" si="94"/>
        <v>0</v>
      </c>
      <c r="M139" s="151">
        <f t="shared" si="94"/>
        <v>0</v>
      </c>
      <c r="N139" s="151">
        <f t="shared" si="94"/>
        <v>0</v>
      </c>
      <c r="O139" s="151">
        <f t="shared" si="94"/>
        <v>0</v>
      </c>
      <c r="P139" s="151">
        <f t="shared" si="94"/>
        <v>0</v>
      </c>
      <c r="Q139" s="151">
        <f t="shared" si="94"/>
        <v>0</v>
      </c>
      <c r="R139" s="151">
        <f t="shared" si="94"/>
        <v>0</v>
      </c>
      <c r="S139" s="151">
        <f t="shared" si="94"/>
        <v>0</v>
      </c>
      <c r="T139" s="151">
        <f t="shared" si="94"/>
        <v>0</v>
      </c>
      <c r="U139" s="151">
        <f t="shared" si="94"/>
        <v>0</v>
      </c>
      <c r="V139" s="151">
        <f t="shared" si="94"/>
        <v>0</v>
      </c>
      <c r="W139" s="151">
        <f t="shared" si="94"/>
        <v>0</v>
      </c>
      <c r="X139" s="151">
        <f t="shared" si="94"/>
        <v>0</v>
      </c>
      <c r="Y139" s="151">
        <f t="shared" si="94"/>
        <v>0</v>
      </c>
      <c r="Z139" s="151">
        <f t="shared" si="94"/>
        <v>0</v>
      </c>
      <c r="AA139" s="151">
        <f t="shared" si="94"/>
        <v>0</v>
      </c>
      <c r="AB139" s="151">
        <f t="shared" si="94"/>
        <v>0</v>
      </c>
      <c r="AC139" s="151">
        <f t="shared" si="94"/>
        <v>0</v>
      </c>
      <c r="AD139" s="151">
        <f t="shared" si="94"/>
        <v>0</v>
      </c>
      <c r="AE139" s="151">
        <f t="shared" si="94"/>
        <v>0</v>
      </c>
      <c r="AF139" s="151">
        <f t="shared" si="94"/>
        <v>0</v>
      </c>
      <c r="AG139" s="151">
        <f t="shared" si="94"/>
        <v>0</v>
      </c>
      <c r="AH139" s="151">
        <f t="shared" si="94"/>
        <v>0</v>
      </c>
      <c r="AI139" s="151">
        <f t="shared" si="94"/>
        <v>0</v>
      </c>
      <c r="AJ139" s="151">
        <f t="shared" si="94"/>
        <v>0</v>
      </c>
      <c r="AK139" s="151">
        <f t="shared" si="94"/>
        <v>0</v>
      </c>
      <c r="AL139" s="151">
        <f t="shared" si="94"/>
        <v>0</v>
      </c>
      <c r="AM139" s="151">
        <f t="shared" si="94"/>
        <v>0</v>
      </c>
      <c r="AN139" s="151">
        <f t="shared" si="94"/>
        <v>0</v>
      </c>
      <c r="AO139" s="151">
        <f t="shared" ref="AO139:BP139" si="95">AN139+AO134+AO135</f>
        <v>0</v>
      </c>
      <c r="AP139" s="151">
        <f t="shared" si="95"/>
        <v>0</v>
      </c>
      <c r="AQ139" s="151">
        <f t="shared" si="95"/>
        <v>0</v>
      </c>
      <c r="AR139" s="151">
        <f t="shared" si="95"/>
        <v>0</v>
      </c>
      <c r="AS139" s="151">
        <f t="shared" si="95"/>
        <v>0</v>
      </c>
      <c r="AT139" s="151">
        <f t="shared" si="95"/>
        <v>0</v>
      </c>
      <c r="AU139" s="151">
        <f t="shared" si="95"/>
        <v>0</v>
      </c>
      <c r="AV139" s="151">
        <f t="shared" si="95"/>
        <v>0</v>
      </c>
      <c r="AW139" s="151">
        <f t="shared" si="95"/>
        <v>0</v>
      </c>
      <c r="AX139" s="151">
        <f t="shared" si="95"/>
        <v>0</v>
      </c>
      <c r="AY139" s="151">
        <f t="shared" si="95"/>
        <v>0</v>
      </c>
      <c r="AZ139" s="151">
        <f t="shared" si="95"/>
        <v>0</v>
      </c>
      <c r="BA139" s="151">
        <f t="shared" si="95"/>
        <v>0</v>
      </c>
      <c r="BB139" s="151">
        <f t="shared" si="95"/>
        <v>0</v>
      </c>
      <c r="BC139" s="151">
        <f t="shared" si="95"/>
        <v>0</v>
      </c>
      <c r="BD139" s="151">
        <f t="shared" si="95"/>
        <v>0</v>
      </c>
      <c r="BE139" s="151">
        <f t="shared" si="95"/>
        <v>0</v>
      </c>
      <c r="BF139" s="151">
        <f t="shared" si="95"/>
        <v>0</v>
      </c>
      <c r="BG139" s="151">
        <f t="shared" si="95"/>
        <v>0</v>
      </c>
      <c r="BH139" s="151">
        <f t="shared" si="95"/>
        <v>0</v>
      </c>
      <c r="BI139" s="151">
        <f t="shared" si="95"/>
        <v>0</v>
      </c>
      <c r="BJ139" s="151">
        <f t="shared" si="95"/>
        <v>0</v>
      </c>
      <c r="BK139" s="151">
        <f t="shared" si="95"/>
        <v>0</v>
      </c>
      <c r="BL139" s="151">
        <f t="shared" si="95"/>
        <v>0</v>
      </c>
      <c r="BM139" s="151">
        <f t="shared" si="95"/>
        <v>0</v>
      </c>
      <c r="BN139" s="151">
        <f t="shared" si="95"/>
        <v>0</v>
      </c>
      <c r="BO139" s="151">
        <f t="shared" si="95"/>
        <v>0</v>
      </c>
      <c r="BP139" s="151">
        <f t="shared" si="95"/>
        <v>0</v>
      </c>
    </row>
    <row r="140" spans="3:68" x14ac:dyDescent="0.25">
      <c r="C140" t="s">
        <v>1085</v>
      </c>
      <c r="D140" t="s">
        <v>125</v>
      </c>
      <c r="E140" s="155">
        <f>Inputs!$E$63</f>
        <v>2</v>
      </c>
      <c r="F140" s="151"/>
      <c r="G140" s="151">
        <f>SUM(H140:BP140)</f>
        <v>0</v>
      </c>
      <c r="H140" s="151">
        <f t="shared" ref="H140:AM140" si="96">H$7*MAX($E$140*H139-SUM(H133:H136),0)</f>
        <v>0</v>
      </c>
      <c r="I140" s="151">
        <f t="shared" si="96"/>
        <v>0</v>
      </c>
      <c r="J140" s="151">
        <f t="shared" si="96"/>
        <v>0</v>
      </c>
      <c r="K140" s="151">
        <f t="shared" si="96"/>
        <v>0</v>
      </c>
      <c r="L140" s="151">
        <f t="shared" si="96"/>
        <v>0</v>
      </c>
      <c r="M140" s="151">
        <f t="shared" si="96"/>
        <v>0</v>
      </c>
      <c r="N140" s="151">
        <f t="shared" si="96"/>
        <v>0</v>
      </c>
      <c r="O140" s="151">
        <f t="shared" si="96"/>
        <v>0</v>
      </c>
      <c r="P140" s="151">
        <f t="shared" si="96"/>
        <v>0</v>
      </c>
      <c r="Q140" s="151">
        <f t="shared" si="96"/>
        <v>0</v>
      </c>
      <c r="R140" s="151">
        <f t="shared" si="96"/>
        <v>0</v>
      </c>
      <c r="S140" s="151">
        <f t="shared" si="96"/>
        <v>0</v>
      </c>
      <c r="T140" s="151">
        <f t="shared" si="96"/>
        <v>0</v>
      </c>
      <c r="U140" s="151">
        <f t="shared" si="96"/>
        <v>0</v>
      </c>
      <c r="V140" s="151">
        <f t="shared" si="96"/>
        <v>0</v>
      </c>
      <c r="W140" s="151">
        <f t="shared" si="96"/>
        <v>0</v>
      </c>
      <c r="X140" s="151">
        <f t="shared" si="96"/>
        <v>0</v>
      </c>
      <c r="Y140" s="151">
        <f t="shared" si="96"/>
        <v>0</v>
      </c>
      <c r="Z140" s="151">
        <f t="shared" si="96"/>
        <v>0</v>
      </c>
      <c r="AA140" s="151">
        <f t="shared" si="96"/>
        <v>0</v>
      </c>
      <c r="AB140" s="151">
        <f t="shared" si="96"/>
        <v>0</v>
      </c>
      <c r="AC140" s="151">
        <f t="shared" si="96"/>
        <v>0</v>
      </c>
      <c r="AD140" s="151">
        <f t="shared" si="96"/>
        <v>0</v>
      </c>
      <c r="AE140" s="151">
        <f t="shared" si="96"/>
        <v>0</v>
      </c>
      <c r="AF140" s="151">
        <f t="shared" si="96"/>
        <v>0</v>
      </c>
      <c r="AG140" s="151">
        <f t="shared" si="96"/>
        <v>0</v>
      </c>
      <c r="AH140" s="151">
        <f t="shared" si="96"/>
        <v>0</v>
      </c>
      <c r="AI140" s="151">
        <f t="shared" si="96"/>
        <v>0</v>
      </c>
      <c r="AJ140" s="151">
        <f t="shared" si="96"/>
        <v>0</v>
      </c>
      <c r="AK140" s="151">
        <f t="shared" si="96"/>
        <v>0</v>
      </c>
      <c r="AL140" s="151">
        <f t="shared" si="96"/>
        <v>0</v>
      </c>
      <c r="AM140" s="151">
        <f t="shared" si="96"/>
        <v>0</v>
      </c>
      <c r="AN140" s="151">
        <f t="shared" ref="AN140:BP140" si="97">AN$7*MAX($E$140*AN139-SUM(AN133:AN136),0)</f>
        <v>0</v>
      </c>
      <c r="AO140" s="151">
        <f t="shared" si="97"/>
        <v>0</v>
      </c>
      <c r="AP140" s="151">
        <f t="shared" si="97"/>
        <v>0</v>
      </c>
      <c r="AQ140" s="151">
        <f t="shared" si="97"/>
        <v>0</v>
      </c>
      <c r="AR140" s="151">
        <f t="shared" si="97"/>
        <v>0</v>
      </c>
      <c r="AS140" s="151">
        <f t="shared" si="97"/>
        <v>0</v>
      </c>
      <c r="AT140" s="151">
        <f t="shared" si="97"/>
        <v>0</v>
      </c>
      <c r="AU140" s="151">
        <f t="shared" si="97"/>
        <v>0</v>
      </c>
      <c r="AV140" s="151">
        <f t="shared" si="97"/>
        <v>0</v>
      </c>
      <c r="AW140" s="151">
        <f t="shared" si="97"/>
        <v>0</v>
      </c>
      <c r="AX140" s="151">
        <f t="shared" si="97"/>
        <v>0</v>
      </c>
      <c r="AY140" s="151">
        <f t="shared" si="97"/>
        <v>0</v>
      </c>
      <c r="AZ140" s="151">
        <f t="shared" si="97"/>
        <v>0</v>
      </c>
      <c r="BA140" s="151">
        <f t="shared" si="97"/>
        <v>0</v>
      </c>
      <c r="BB140" s="151">
        <f t="shared" si="97"/>
        <v>0</v>
      </c>
      <c r="BC140" s="151">
        <f t="shared" si="97"/>
        <v>0</v>
      </c>
      <c r="BD140" s="151">
        <f t="shared" si="97"/>
        <v>0</v>
      </c>
      <c r="BE140" s="151">
        <f t="shared" si="97"/>
        <v>0</v>
      </c>
      <c r="BF140" s="151">
        <f t="shared" si="97"/>
        <v>0</v>
      </c>
      <c r="BG140" s="151">
        <f t="shared" si="97"/>
        <v>0</v>
      </c>
      <c r="BH140" s="151">
        <f t="shared" si="97"/>
        <v>0</v>
      </c>
      <c r="BI140" s="151">
        <f t="shared" si="97"/>
        <v>0</v>
      </c>
      <c r="BJ140" s="151">
        <f t="shared" si="97"/>
        <v>0</v>
      </c>
      <c r="BK140" s="151">
        <f t="shared" si="97"/>
        <v>0</v>
      </c>
      <c r="BL140" s="151">
        <f t="shared" si="97"/>
        <v>0</v>
      </c>
      <c r="BM140" s="151">
        <f t="shared" si="97"/>
        <v>0</v>
      </c>
      <c r="BN140" s="151">
        <f t="shared" si="97"/>
        <v>0</v>
      </c>
      <c r="BO140" s="151">
        <f t="shared" si="97"/>
        <v>0</v>
      </c>
      <c r="BP140" s="151">
        <f t="shared" si="97"/>
        <v>0</v>
      </c>
    </row>
    <row r="141" spans="3:68" x14ac:dyDescent="0.25">
      <c r="E141" s="151"/>
      <c r="F141" s="151"/>
      <c r="G141" s="151"/>
      <c r="H141" s="151"/>
      <c r="I141" s="151"/>
      <c r="J141" s="151"/>
      <c r="K141" s="151"/>
      <c r="L141" s="151"/>
      <c r="M141" s="151"/>
      <c r="N141" s="151"/>
      <c r="O141" s="151"/>
      <c r="P141" s="151"/>
      <c r="Q141" s="151"/>
      <c r="R141" s="151"/>
      <c r="S141" s="151"/>
      <c r="T141" s="151"/>
      <c r="U141" s="151"/>
      <c r="V141" s="151"/>
      <c r="W141" s="151"/>
      <c r="X141" s="151"/>
      <c r="Y141" s="151"/>
      <c r="Z141" s="151"/>
      <c r="AA141" s="151"/>
      <c r="AB141" s="151"/>
      <c r="AC141" s="151"/>
      <c r="AD141" s="151"/>
      <c r="AE141" s="151"/>
      <c r="AF141" s="151"/>
      <c r="AG141" s="151"/>
      <c r="AH141" s="151"/>
      <c r="AI141" s="151"/>
      <c r="AJ141" s="151"/>
      <c r="AK141" s="151"/>
      <c r="AL141" s="151"/>
      <c r="AM141" s="151"/>
      <c r="AN141" s="151"/>
      <c r="AO141" s="151"/>
      <c r="AP141" s="151"/>
      <c r="AQ141" s="151"/>
      <c r="AR141" s="151"/>
      <c r="AS141" s="151"/>
      <c r="AT141" s="151"/>
      <c r="AU141" s="151"/>
      <c r="AV141" s="151"/>
      <c r="AW141" s="151"/>
      <c r="AX141" s="151"/>
      <c r="AY141" s="151"/>
      <c r="AZ141" s="151"/>
      <c r="BA141" s="151"/>
      <c r="BB141" s="151"/>
      <c r="BC141" s="151"/>
      <c r="BD141" s="151"/>
      <c r="BE141" s="151"/>
      <c r="BF141" s="151"/>
      <c r="BG141" s="151"/>
      <c r="BH141" s="151"/>
      <c r="BI141" s="151"/>
      <c r="BJ141" s="151"/>
      <c r="BK141" s="151"/>
      <c r="BL141" s="151"/>
      <c r="BM141" s="151"/>
      <c r="BN141" s="151"/>
      <c r="BO141" s="151"/>
      <c r="BP141" s="151"/>
    </row>
    <row r="142" spans="3:68" x14ac:dyDescent="0.25">
      <c r="C142" s="129" t="s">
        <v>1086</v>
      </c>
      <c r="D142" s="129"/>
      <c r="E142" s="252"/>
      <c r="F142" s="252"/>
      <c r="G142" s="252"/>
      <c r="H142" s="252"/>
      <c r="I142" s="252"/>
      <c r="J142" s="252"/>
      <c r="K142" s="252"/>
      <c r="L142" s="252"/>
      <c r="M142" s="252"/>
      <c r="N142" s="252"/>
      <c r="O142" s="252"/>
      <c r="P142" s="252"/>
      <c r="Q142" s="252"/>
      <c r="R142" s="252"/>
      <c r="S142" s="252"/>
      <c r="T142" s="252"/>
      <c r="U142" s="252"/>
      <c r="V142" s="252"/>
      <c r="W142" s="252"/>
      <c r="X142" s="252"/>
      <c r="Y142" s="252"/>
      <c r="Z142" s="252"/>
      <c r="AA142" s="252"/>
      <c r="AB142" s="252"/>
      <c r="AC142" s="252"/>
      <c r="AD142" s="252"/>
      <c r="AE142" s="252"/>
      <c r="AF142" s="252"/>
      <c r="AG142" s="252"/>
      <c r="AH142" s="252"/>
      <c r="AI142" s="252"/>
      <c r="AJ142" s="252"/>
      <c r="AK142" s="252"/>
      <c r="AL142" s="252"/>
      <c r="AM142" s="252"/>
      <c r="AN142" s="252"/>
      <c r="AO142" s="252"/>
      <c r="AP142" s="252"/>
      <c r="AQ142" s="252"/>
      <c r="AR142" s="252"/>
      <c r="AS142" s="252"/>
      <c r="AT142" s="252"/>
      <c r="AU142" s="252"/>
      <c r="AV142" s="252"/>
      <c r="AW142" s="252"/>
      <c r="AX142" s="252"/>
      <c r="AY142" s="252"/>
      <c r="AZ142" s="252"/>
      <c r="BA142" s="252"/>
      <c r="BB142" s="252"/>
      <c r="BC142" s="252"/>
      <c r="BD142" s="252"/>
      <c r="BE142" s="252"/>
      <c r="BF142" s="252"/>
      <c r="BG142" s="252"/>
      <c r="BH142" s="252"/>
      <c r="BI142" s="252"/>
      <c r="BJ142" s="252"/>
      <c r="BK142" s="252"/>
      <c r="BL142" s="252"/>
      <c r="BM142" s="252"/>
      <c r="BN142" s="252"/>
      <c r="BO142" s="252"/>
      <c r="BP142" s="252"/>
    </row>
    <row r="143" spans="3:68" x14ac:dyDescent="0.25">
      <c r="C143" t="s">
        <v>1087</v>
      </c>
      <c r="D143" t="s">
        <v>125</v>
      </c>
      <c r="E143" s="151"/>
      <c r="F143" s="151"/>
      <c r="G143" s="151">
        <f>Inputs!$E$141*Dash_MVA</f>
        <v>15000</v>
      </c>
      <c r="H143" s="151"/>
      <c r="I143" s="151"/>
      <c r="J143" s="151"/>
      <c r="K143" s="151"/>
      <c r="L143" s="151"/>
      <c r="M143" s="151"/>
      <c r="N143" s="151"/>
      <c r="O143" s="151"/>
      <c r="P143" s="151"/>
      <c r="Q143" s="151"/>
      <c r="R143" s="151"/>
      <c r="S143" s="151"/>
      <c r="T143" s="151"/>
      <c r="U143" s="151"/>
      <c r="V143" s="151"/>
      <c r="W143" s="151"/>
      <c r="X143" s="151"/>
      <c r="Y143" s="151"/>
      <c r="Z143" s="151"/>
      <c r="AA143" s="151"/>
      <c r="AB143" s="151"/>
      <c r="AC143" s="151"/>
      <c r="AD143" s="151"/>
      <c r="AE143" s="151"/>
      <c r="AF143" s="151"/>
      <c r="AG143" s="151"/>
      <c r="AH143" s="151"/>
      <c r="AI143" s="151"/>
      <c r="AJ143" s="151"/>
      <c r="AK143" s="151"/>
      <c r="AL143" s="151"/>
      <c r="AM143" s="151"/>
      <c r="AN143" s="151"/>
      <c r="AO143" s="151"/>
      <c r="AP143" s="151"/>
      <c r="AQ143" s="151"/>
      <c r="AR143" s="151"/>
      <c r="AS143" s="151"/>
      <c r="AT143" s="151"/>
      <c r="AU143" s="151"/>
      <c r="AV143" s="151"/>
      <c r="AW143" s="151"/>
      <c r="AX143" s="151"/>
      <c r="AY143" s="151"/>
      <c r="AZ143" s="151"/>
      <c r="BA143" s="151"/>
      <c r="BB143" s="151"/>
      <c r="BC143" s="151"/>
      <c r="BD143" s="151"/>
      <c r="BE143" s="151"/>
      <c r="BF143" s="151"/>
      <c r="BG143" s="151"/>
      <c r="BH143" s="151"/>
      <c r="BI143" s="151"/>
      <c r="BJ143" s="151"/>
      <c r="BK143" s="151"/>
      <c r="BL143" s="151"/>
      <c r="BM143" s="151"/>
      <c r="BN143" s="151"/>
      <c r="BO143" s="151"/>
      <c r="BP143" s="151"/>
    </row>
    <row r="144" spans="3:68" x14ac:dyDescent="0.25">
      <c r="C144" t="s">
        <v>1088</v>
      </c>
      <c r="D144" t="s">
        <v>125</v>
      </c>
      <c r="E144" s="151"/>
      <c r="F144" s="151"/>
      <c r="G144" s="151">
        <f>G99+G20</f>
        <v>20928.58987034432</v>
      </c>
      <c r="H144" s="151"/>
      <c r="I144" s="151"/>
      <c r="J144" s="151"/>
      <c r="K144" s="151"/>
      <c r="L144" s="151"/>
      <c r="M144" s="151"/>
      <c r="N144" s="151"/>
      <c r="O144" s="151"/>
      <c r="P144" s="151"/>
      <c r="Q144" s="151"/>
      <c r="R144" s="151"/>
      <c r="S144" s="151"/>
      <c r="T144" s="151"/>
      <c r="U144" s="151"/>
      <c r="V144" s="151"/>
      <c r="W144" s="151"/>
      <c r="X144" s="151"/>
      <c r="Y144" s="151"/>
      <c r="Z144" s="151"/>
      <c r="AA144" s="151"/>
      <c r="AB144" s="151"/>
      <c r="AC144" s="151"/>
      <c r="AD144" s="151"/>
      <c r="AE144" s="151"/>
      <c r="AF144" s="151"/>
      <c r="AG144" s="151"/>
      <c r="AH144" s="151"/>
      <c r="AI144" s="151"/>
      <c r="AJ144" s="151"/>
      <c r="AK144" s="151"/>
      <c r="AL144" s="151"/>
      <c r="AM144" s="151"/>
      <c r="AN144" s="151"/>
      <c r="AO144" s="151"/>
      <c r="AP144" s="151"/>
      <c r="AQ144" s="151"/>
      <c r="AR144" s="151"/>
      <c r="AS144" s="151"/>
      <c r="AT144" s="151"/>
      <c r="AU144" s="151"/>
      <c r="AV144" s="151"/>
      <c r="AW144" s="151"/>
      <c r="AX144" s="151"/>
      <c r="AY144" s="151"/>
      <c r="AZ144" s="151"/>
      <c r="BA144" s="151"/>
      <c r="BB144" s="151"/>
      <c r="BC144" s="151"/>
      <c r="BD144" s="151"/>
      <c r="BE144" s="151"/>
      <c r="BF144" s="151"/>
      <c r="BG144" s="151"/>
      <c r="BH144" s="151"/>
      <c r="BI144" s="151"/>
      <c r="BJ144" s="151"/>
      <c r="BK144" s="151"/>
      <c r="BL144" s="151"/>
      <c r="BM144" s="151"/>
      <c r="BN144" s="151"/>
      <c r="BO144" s="151"/>
      <c r="BP144" s="151"/>
    </row>
    <row r="145" spans="3:68" x14ac:dyDescent="0.25">
      <c r="C145" s="198" t="s">
        <v>1089</v>
      </c>
      <c r="D145" s="198" t="s">
        <v>125</v>
      </c>
      <c r="E145" s="244"/>
      <c r="F145" s="244"/>
      <c r="G145" s="151">
        <f>G143+G144</f>
        <v>35928.589870344324</v>
      </c>
      <c r="H145" s="244"/>
      <c r="I145" s="244"/>
      <c r="J145" s="244"/>
      <c r="K145" s="244"/>
      <c r="L145" s="244"/>
      <c r="M145" s="244"/>
      <c r="N145" s="244"/>
      <c r="O145" s="244"/>
      <c r="P145" s="244"/>
      <c r="Q145" s="244"/>
      <c r="R145" s="244"/>
      <c r="S145" s="244"/>
      <c r="T145" s="244"/>
      <c r="U145" s="244"/>
      <c r="V145" s="244"/>
      <c r="W145" s="244"/>
      <c r="X145" s="244"/>
      <c r="Y145" s="244"/>
      <c r="Z145" s="244"/>
      <c r="AA145" s="244"/>
      <c r="AB145" s="244"/>
      <c r="AC145" s="244"/>
      <c r="AD145" s="244"/>
      <c r="AE145" s="244"/>
      <c r="AF145" s="244"/>
      <c r="AG145" s="244"/>
      <c r="AH145" s="244"/>
      <c r="AI145" s="244"/>
      <c r="AJ145" s="244"/>
      <c r="AK145" s="244"/>
      <c r="AL145" s="244"/>
      <c r="AM145" s="244"/>
      <c r="AN145" s="244"/>
      <c r="AO145" s="244"/>
      <c r="AP145" s="244"/>
      <c r="AQ145" s="244"/>
      <c r="AR145" s="244"/>
      <c r="AS145" s="244"/>
      <c r="AT145" s="244"/>
      <c r="AU145" s="244"/>
      <c r="AV145" s="244"/>
      <c r="AW145" s="244"/>
      <c r="AX145" s="244"/>
      <c r="AY145" s="244"/>
      <c r="AZ145" s="244"/>
      <c r="BA145" s="244"/>
      <c r="BB145" s="244"/>
      <c r="BC145" s="244"/>
      <c r="BD145" s="244"/>
      <c r="BE145" s="244"/>
      <c r="BF145" s="244"/>
      <c r="BG145" s="244"/>
      <c r="BH145" s="244"/>
      <c r="BI145" s="244"/>
      <c r="BJ145" s="244"/>
      <c r="BK145" s="244"/>
      <c r="BL145" s="244"/>
      <c r="BM145" s="244"/>
      <c r="BN145" s="244"/>
      <c r="BO145" s="244"/>
      <c r="BP145" s="244"/>
    </row>
    <row r="146" spans="3:68" x14ac:dyDescent="0.25">
      <c r="C146" t="s">
        <v>1090</v>
      </c>
      <c r="D146" t="s">
        <v>125</v>
      </c>
      <c r="E146" s="151"/>
      <c r="F146" s="151"/>
      <c r="G146" s="151">
        <f>-MIN(Inputs!$E$26,G145)</f>
        <v>-250</v>
      </c>
      <c r="H146" s="151"/>
      <c r="I146" s="151"/>
      <c r="J146" s="151"/>
      <c r="K146" s="151"/>
      <c r="L146" s="151"/>
      <c r="M146" s="151"/>
      <c r="N146" s="151"/>
      <c r="O146" s="151"/>
      <c r="P146" s="151"/>
      <c r="Q146" s="151"/>
      <c r="R146" s="151"/>
      <c r="S146" s="151"/>
      <c r="T146" s="151"/>
      <c r="U146" s="151"/>
      <c r="V146" s="151"/>
      <c r="W146" s="151"/>
      <c r="X146" s="151"/>
      <c r="Y146" s="151"/>
      <c r="Z146" s="151"/>
      <c r="AA146" s="151"/>
      <c r="AB146" s="151"/>
      <c r="AC146" s="151"/>
      <c r="AD146" s="151"/>
      <c r="AE146" s="151"/>
      <c r="AF146" s="151"/>
      <c r="AG146" s="151"/>
      <c r="AH146" s="151"/>
      <c r="AI146" s="151"/>
      <c r="AJ146" s="151"/>
      <c r="AK146" s="151"/>
      <c r="AL146" s="151"/>
      <c r="AM146" s="151"/>
      <c r="AN146" s="151"/>
      <c r="AO146" s="151"/>
      <c r="AP146" s="151"/>
      <c r="AQ146" s="151"/>
      <c r="AR146" s="151"/>
      <c r="AS146" s="151"/>
      <c r="AT146" s="151"/>
      <c r="AU146" s="151"/>
      <c r="AV146" s="151"/>
      <c r="AW146" s="151"/>
      <c r="AX146" s="151"/>
      <c r="AY146" s="151"/>
      <c r="AZ146" s="151"/>
      <c r="BA146" s="151"/>
      <c r="BB146" s="151"/>
      <c r="BC146" s="151"/>
      <c r="BD146" s="151"/>
      <c r="BE146" s="151"/>
      <c r="BF146" s="151"/>
      <c r="BG146" s="151"/>
      <c r="BH146" s="151"/>
      <c r="BI146" s="151"/>
      <c r="BJ146" s="151"/>
      <c r="BK146" s="151"/>
      <c r="BL146" s="151"/>
      <c r="BM146" s="151"/>
      <c r="BN146" s="151"/>
      <c r="BO146" s="151"/>
      <c r="BP146" s="151"/>
    </row>
    <row r="147" spans="3:68" x14ac:dyDescent="0.25">
      <c r="C147" t="s">
        <v>1091</v>
      </c>
      <c r="D147" t="s">
        <v>125</v>
      </c>
      <c r="E147" s="151"/>
      <c r="F147" s="151"/>
      <c r="G147" s="151">
        <f>-MIN((G110+G117)+Deposits!$Y$23,SUM(G145:G146))</f>
        <v>-22239.607256294286</v>
      </c>
      <c r="H147" s="151"/>
      <c r="I147" s="151"/>
      <c r="J147" s="151"/>
      <c r="K147" s="151"/>
      <c r="L147" s="151"/>
      <c r="M147" s="151"/>
      <c r="N147" s="151"/>
      <c r="O147" s="151"/>
      <c r="P147" s="151"/>
      <c r="Q147" s="151"/>
      <c r="R147" s="151"/>
      <c r="S147" s="151"/>
      <c r="T147" s="151"/>
      <c r="U147" s="151"/>
      <c r="V147" s="151"/>
      <c r="W147" s="151"/>
      <c r="X147" s="151"/>
      <c r="Y147" s="151"/>
      <c r="Z147" s="151"/>
      <c r="AA147" s="151"/>
      <c r="AB147" s="151"/>
      <c r="AC147" s="151"/>
      <c r="AD147" s="151"/>
      <c r="AE147" s="151"/>
      <c r="AF147" s="151"/>
      <c r="AG147" s="151"/>
      <c r="AH147" s="151"/>
      <c r="AI147" s="151"/>
      <c r="AJ147" s="151"/>
      <c r="AK147" s="151"/>
      <c r="AL147" s="151"/>
      <c r="AM147" s="151"/>
      <c r="AN147" s="151"/>
      <c r="AO147" s="151"/>
      <c r="AP147" s="151"/>
      <c r="AQ147" s="151"/>
      <c r="AR147" s="151"/>
      <c r="AS147" s="151"/>
      <c r="AT147" s="151"/>
      <c r="AU147" s="151"/>
      <c r="AV147" s="151"/>
      <c r="AW147" s="151"/>
      <c r="AX147" s="151"/>
      <c r="AY147" s="151"/>
      <c r="AZ147" s="151"/>
      <c r="BA147" s="151"/>
      <c r="BB147" s="151"/>
      <c r="BC147" s="151"/>
      <c r="BD147" s="151"/>
      <c r="BE147" s="151"/>
      <c r="BF147" s="151"/>
      <c r="BG147" s="151"/>
      <c r="BH147" s="151"/>
      <c r="BI147" s="151"/>
      <c r="BJ147" s="151"/>
      <c r="BK147" s="151"/>
      <c r="BL147" s="151"/>
      <c r="BM147" s="151"/>
      <c r="BN147" s="151"/>
      <c r="BO147" s="151"/>
      <c r="BP147" s="151"/>
    </row>
    <row r="148" spans="3:68" x14ac:dyDescent="0.25">
      <c r="C148" t="s">
        <v>1092</v>
      </c>
      <c r="D148" t="s">
        <v>125</v>
      </c>
      <c r="E148" s="151"/>
      <c r="F148" s="151"/>
      <c r="G148" s="151">
        <f>-MIN(IF(Inputs!$E$71=1,-(G127+G137),G20),SUM(G145:G147))</f>
        <v>-212.68986486486486</v>
      </c>
      <c r="H148" s="151"/>
      <c r="I148" s="151"/>
      <c r="J148" s="151"/>
      <c r="K148" s="151"/>
      <c r="L148" s="151"/>
      <c r="M148" s="151"/>
      <c r="N148" s="151"/>
      <c r="O148" s="151"/>
      <c r="P148" s="151"/>
      <c r="Q148" s="151"/>
      <c r="R148" s="151"/>
      <c r="S148" s="151"/>
      <c r="T148" s="151"/>
      <c r="U148" s="151"/>
      <c r="V148" s="151"/>
      <c r="W148" s="151"/>
      <c r="X148" s="151"/>
      <c r="Y148" s="151"/>
      <c r="Z148" s="151"/>
      <c r="AA148" s="151"/>
      <c r="AB148" s="151"/>
      <c r="AC148" s="151"/>
      <c r="AD148" s="151"/>
      <c r="AE148" s="151"/>
      <c r="AF148" s="151"/>
      <c r="AG148" s="151"/>
      <c r="AH148" s="151"/>
      <c r="AI148" s="151"/>
      <c r="AJ148" s="151"/>
      <c r="AK148" s="151"/>
      <c r="AL148" s="151"/>
      <c r="AM148" s="151"/>
      <c r="AN148" s="151"/>
      <c r="AO148" s="151"/>
      <c r="AP148" s="151"/>
      <c r="AQ148" s="151"/>
      <c r="AR148" s="151"/>
      <c r="AS148" s="151"/>
      <c r="AT148" s="151"/>
      <c r="AU148" s="151"/>
      <c r="AV148" s="151"/>
      <c r="AW148" s="151"/>
      <c r="AX148" s="151"/>
      <c r="AY148" s="151"/>
      <c r="AZ148" s="151"/>
      <c r="BA148" s="151"/>
      <c r="BB148" s="151"/>
      <c r="BC148" s="151"/>
      <c r="BD148" s="151"/>
      <c r="BE148" s="151"/>
      <c r="BF148" s="151"/>
      <c r="BG148" s="151"/>
      <c r="BH148" s="151"/>
      <c r="BI148" s="151"/>
      <c r="BJ148" s="151"/>
      <c r="BK148" s="151"/>
      <c r="BL148" s="151"/>
      <c r="BM148" s="151"/>
      <c r="BN148" s="151"/>
      <c r="BO148" s="151"/>
      <c r="BP148" s="151"/>
    </row>
    <row r="149" spans="3:68" x14ac:dyDescent="0.25">
      <c r="C149" t="s">
        <v>1093</v>
      </c>
      <c r="D149" t="s">
        <v>125</v>
      </c>
      <c r="E149" s="151"/>
      <c r="F149" s="151"/>
      <c r="G149" s="151">
        <f>-MIN(G131+Deposits!$Y$24,SUM(G145:G148))</f>
        <v>-1546.8536980000156</v>
      </c>
      <c r="H149" s="151"/>
      <c r="I149" s="151"/>
      <c r="J149" s="151"/>
      <c r="K149" s="151"/>
      <c r="L149" s="151"/>
      <c r="M149" s="151"/>
      <c r="N149" s="151"/>
      <c r="O149" s="151"/>
      <c r="P149" s="151"/>
      <c r="Q149" s="151"/>
      <c r="R149" s="151"/>
      <c r="S149" s="151"/>
      <c r="T149" s="151"/>
      <c r="U149" s="151"/>
      <c r="V149" s="151"/>
      <c r="W149" s="151"/>
      <c r="X149" s="151"/>
      <c r="Y149" s="151"/>
      <c r="Z149" s="151"/>
      <c r="AA149" s="151"/>
      <c r="AB149" s="151"/>
      <c r="AC149" s="151"/>
      <c r="AD149" s="151"/>
      <c r="AE149" s="151"/>
      <c r="AF149" s="151"/>
      <c r="AG149" s="151"/>
      <c r="AH149" s="151"/>
      <c r="AI149" s="151"/>
      <c r="AJ149" s="151"/>
      <c r="AK149" s="151"/>
      <c r="AL149" s="151"/>
      <c r="AM149" s="151"/>
      <c r="AN149" s="151"/>
      <c r="AO149" s="151"/>
      <c r="AP149" s="151"/>
      <c r="AQ149" s="151"/>
      <c r="AR149" s="151"/>
      <c r="AS149" s="151"/>
      <c r="AT149" s="151"/>
      <c r="AU149" s="151"/>
      <c r="AV149" s="151"/>
      <c r="AW149" s="151"/>
      <c r="AX149" s="151"/>
      <c r="AY149" s="151"/>
      <c r="AZ149" s="151"/>
      <c r="BA149" s="151"/>
      <c r="BB149" s="151"/>
      <c r="BC149" s="151"/>
      <c r="BD149" s="151"/>
      <c r="BE149" s="151"/>
      <c r="BF149" s="151"/>
      <c r="BG149" s="151"/>
      <c r="BH149" s="151"/>
      <c r="BI149" s="151"/>
      <c r="BJ149" s="151"/>
      <c r="BK149" s="151"/>
      <c r="BL149" s="151"/>
      <c r="BM149" s="151"/>
      <c r="BN149" s="151"/>
      <c r="BO149" s="151"/>
      <c r="BP149" s="151"/>
    </row>
    <row r="150" spans="3:68" x14ac:dyDescent="0.25">
      <c r="C150" t="s">
        <v>1094</v>
      </c>
      <c r="D150" t="s">
        <v>125</v>
      </c>
      <c r="E150" s="151"/>
      <c r="F150" s="151"/>
      <c r="G150" s="151">
        <f>-MIN(Deposits!$Y$22,SUM(G145:G149))</f>
        <v>-933.29288415813448</v>
      </c>
      <c r="H150" s="151"/>
      <c r="I150" s="151"/>
      <c r="J150" s="151"/>
      <c r="K150" s="151"/>
      <c r="L150" s="151"/>
      <c r="M150" s="151"/>
      <c r="N150" s="151"/>
      <c r="O150" s="151"/>
      <c r="P150" s="151"/>
      <c r="Q150" s="151"/>
      <c r="R150" s="151"/>
      <c r="S150" s="151"/>
      <c r="T150" s="151"/>
      <c r="U150" s="151"/>
      <c r="V150" s="151"/>
      <c r="W150" s="151"/>
      <c r="X150" s="151"/>
      <c r="Y150" s="151"/>
      <c r="Z150" s="151"/>
      <c r="AA150" s="151"/>
      <c r="AB150" s="151"/>
      <c r="AC150" s="151"/>
      <c r="AD150" s="151"/>
      <c r="AE150" s="151"/>
      <c r="AF150" s="151"/>
      <c r="AG150" s="151"/>
      <c r="AH150" s="151"/>
      <c r="AI150" s="151"/>
      <c r="AJ150" s="151"/>
      <c r="AK150" s="151"/>
      <c r="AL150" s="151"/>
      <c r="AM150" s="151"/>
      <c r="AN150" s="151"/>
      <c r="AO150" s="151"/>
      <c r="AP150" s="151"/>
      <c r="AQ150" s="151"/>
      <c r="AR150" s="151"/>
      <c r="AS150" s="151"/>
      <c r="AT150" s="151"/>
      <c r="AU150" s="151"/>
      <c r="AV150" s="151"/>
      <c r="AW150" s="151"/>
      <c r="AX150" s="151"/>
      <c r="AY150" s="151"/>
      <c r="AZ150" s="151"/>
      <c r="BA150" s="151"/>
      <c r="BB150" s="151"/>
      <c r="BC150" s="151"/>
      <c r="BD150" s="151"/>
      <c r="BE150" s="151"/>
      <c r="BF150" s="151"/>
      <c r="BG150" s="151"/>
      <c r="BH150" s="151"/>
      <c r="BI150" s="151"/>
      <c r="BJ150" s="151"/>
      <c r="BK150" s="151"/>
      <c r="BL150" s="151"/>
      <c r="BM150" s="151"/>
      <c r="BN150" s="151"/>
      <c r="BO150" s="151"/>
      <c r="BP150" s="151"/>
    </row>
    <row r="151" spans="3:68" x14ac:dyDescent="0.25">
      <c r="C151" t="s">
        <v>1095</v>
      </c>
      <c r="D151" t="s">
        <v>125</v>
      </c>
      <c r="E151" s="151"/>
      <c r="F151" s="151"/>
      <c r="G151" s="151">
        <f>-MIN(G25,SUM(G145:G150))</f>
        <v>-1105.2361111111111</v>
      </c>
      <c r="H151" s="151"/>
      <c r="I151" s="151"/>
      <c r="J151" s="151"/>
      <c r="K151" s="151"/>
      <c r="L151" s="151"/>
      <c r="M151" s="151"/>
      <c r="N151" s="151"/>
      <c r="O151" s="151"/>
      <c r="P151" s="151"/>
      <c r="Q151" s="151"/>
      <c r="R151" s="151"/>
      <c r="S151" s="151"/>
      <c r="T151" s="151"/>
      <c r="U151" s="151"/>
      <c r="V151" s="151"/>
      <c r="W151" s="151"/>
      <c r="X151" s="151"/>
      <c r="Y151" s="151"/>
      <c r="Z151" s="151"/>
      <c r="AA151" s="151"/>
      <c r="AB151" s="151"/>
      <c r="AC151" s="151"/>
      <c r="AD151" s="151"/>
      <c r="AE151" s="151"/>
      <c r="AF151" s="151"/>
      <c r="AG151" s="151"/>
      <c r="AH151" s="151"/>
      <c r="AI151" s="151"/>
      <c r="AJ151" s="151"/>
      <c r="AK151" s="151"/>
      <c r="AL151" s="151"/>
      <c r="AM151" s="151"/>
      <c r="AN151" s="151"/>
      <c r="AO151" s="151"/>
      <c r="AP151" s="151"/>
      <c r="AQ151" s="151"/>
      <c r="AR151" s="151"/>
      <c r="AS151" s="151"/>
      <c r="AT151" s="151"/>
      <c r="AU151" s="151"/>
      <c r="AV151" s="151"/>
      <c r="AW151" s="151"/>
      <c r="AX151" s="151"/>
      <c r="AY151" s="151"/>
      <c r="AZ151" s="151"/>
      <c r="BA151" s="151"/>
      <c r="BB151" s="151"/>
      <c r="BC151" s="151"/>
      <c r="BD151" s="151"/>
      <c r="BE151" s="151"/>
      <c r="BF151" s="151"/>
      <c r="BG151" s="151"/>
      <c r="BH151" s="151"/>
      <c r="BI151" s="151"/>
      <c r="BJ151" s="151"/>
      <c r="BK151" s="151"/>
      <c r="BL151" s="151"/>
      <c r="BM151" s="151"/>
      <c r="BN151" s="151"/>
      <c r="BO151" s="151"/>
      <c r="BP151" s="151"/>
    </row>
    <row r="152" spans="3:68" x14ac:dyDescent="0.25">
      <c r="C152" s="198" t="s">
        <v>1096</v>
      </c>
      <c r="D152" s="198" t="s">
        <v>125</v>
      </c>
      <c r="E152" s="244"/>
      <c r="F152" s="244"/>
      <c r="G152" s="151">
        <f>MAX(SUM(G145:G151),0)</f>
        <v>9640.9100559159106</v>
      </c>
      <c r="H152" s="244"/>
      <c r="I152" s="244"/>
      <c r="J152" s="244"/>
      <c r="K152" s="244"/>
      <c r="L152" s="244"/>
      <c r="M152" s="244"/>
      <c r="N152" s="244"/>
      <c r="O152" s="244"/>
      <c r="P152" s="244"/>
      <c r="Q152" s="244"/>
      <c r="R152" s="244"/>
      <c r="S152" s="244"/>
      <c r="T152" s="244"/>
      <c r="U152" s="244"/>
      <c r="V152" s="244"/>
      <c r="W152" s="244"/>
      <c r="X152" s="244"/>
      <c r="Y152" s="244"/>
      <c r="Z152" s="244"/>
      <c r="AA152" s="244"/>
      <c r="AB152" s="244"/>
      <c r="AC152" s="244"/>
      <c r="AD152" s="244"/>
      <c r="AE152" s="244"/>
      <c r="AF152" s="244"/>
      <c r="AG152" s="244"/>
      <c r="AH152" s="244"/>
      <c r="AI152" s="244"/>
      <c r="AJ152" s="244"/>
      <c r="AK152" s="244"/>
      <c r="AL152" s="244"/>
      <c r="AM152" s="244"/>
      <c r="AN152" s="244"/>
      <c r="AO152" s="244"/>
      <c r="AP152" s="244"/>
      <c r="AQ152" s="244"/>
      <c r="AR152" s="244"/>
      <c r="AS152" s="244"/>
      <c r="AT152" s="244"/>
      <c r="AU152" s="244"/>
      <c r="AV152" s="244"/>
      <c r="AW152" s="244"/>
      <c r="AX152" s="244"/>
      <c r="AY152" s="244"/>
      <c r="AZ152" s="244"/>
      <c r="BA152" s="244"/>
      <c r="BB152" s="244"/>
      <c r="BC152" s="244"/>
      <c r="BD152" s="244"/>
      <c r="BE152" s="244"/>
      <c r="BF152" s="244"/>
      <c r="BG152" s="244"/>
      <c r="BH152" s="244"/>
      <c r="BI152" s="244"/>
      <c r="BJ152" s="244"/>
      <c r="BK152" s="244"/>
      <c r="BL152" s="244"/>
      <c r="BM152" s="244"/>
      <c r="BN152" s="244"/>
      <c r="BO152" s="244"/>
      <c r="BP152" s="244"/>
    </row>
    <row r="153" spans="3:68" x14ac:dyDescent="0.25">
      <c r="C153" t="s">
        <v>1097</v>
      </c>
      <c r="D153" t="s">
        <v>125</v>
      </c>
      <c r="E153" s="134">
        <f>Inputs!$E$33</f>
        <v>0.7</v>
      </c>
      <c r="F153" s="151"/>
      <c r="G153" s="151">
        <f>G152*E153</f>
        <v>6748.6370391411374</v>
      </c>
      <c r="H153" s="151"/>
      <c r="I153" s="151"/>
      <c r="J153" s="151"/>
      <c r="K153" s="151"/>
      <c r="L153" s="151"/>
      <c r="M153" s="151"/>
      <c r="N153" s="151"/>
      <c r="O153" s="151"/>
      <c r="P153" s="151"/>
      <c r="Q153" s="151"/>
      <c r="R153" s="151"/>
      <c r="S153" s="151"/>
      <c r="T153" s="151"/>
      <c r="U153" s="151"/>
      <c r="V153" s="151"/>
      <c r="W153" s="151"/>
      <c r="X153" s="151"/>
      <c r="Y153" s="151"/>
      <c r="Z153" s="151"/>
      <c r="AA153" s="151"/>
      <c r="AB153" s="151"/>
      <c r="AC153" s="151"/>
      <c r="AD153" s="151"/>
      <c r="AE153" s="151"/>
      <c r="AF153" s="151"/>
      <c r="AG153" s="151"/>
      <c r="AH153" s="151"/>
      <c r="AI153" s="151"/>
      <c r="AJ153" s="151"/>
      <c r="AK153" s="151"/>
      <c r="AL153" s="151"/>
      <c r="AM153" s="151"/>
      <c r="AN153" s="151"/>
      <c r="AO153" s="151"/>
      <c r="AP153" s="151"/>
      <c r="AQ153" s="151"/>
      <c r="AR153" s="151"/>
      <c r="AS153" s="151"/>
      <c r="AT153" s="151"/>
      <c r="AU153" s="151"/>
      <c r="AV153" s="151"/>
      <c r="AW153" s="151"/>
      <c r="AX153" s="151"/>
      <c r="AY153" s="151"/>
      <c r="AZ153" s="151"/>
      <c r="BA153" s="151"/>
      <c r="BB153" s="151"/>
      <c r="BC153" s="151"/>
      <c r="BD153" s="151"/>
      <c r="BE153" s="151"/>
      <c r="BF153" s="151"/>
      <c r="BG153" s="151"/>
      <c r="BH153" s="151"/>
      <c r="BI153" s="151"/>
      <c r="BJ153" s="151"/>
      <c r="BK153" s="151"/>
      <c r="BL153" s="151"/>
      <c r="BM153" s="151"/>
      <c r="BN153" s="151"/>
      <c r="BO153" s="151"/>
      <c r="BP153" s="151"/>
    </row>
    <row r="154" spans="3:68" x14ac:dyDescent="0.25">
      <c r="C154" t="s">
        <v>1098</v>
      </c>
      <c r="D154" t="s">
        <v>125</v>
      </c>
      <c r="E154" s="134">
        <f>Inputs!$E$34</f>
        <v>0.30000000000000004</v>
      </c>
      <c r="F154" s="151"/>
      <c r="G154" s="151">
        <f>G152*E154</f>
        <v>2892.2730167747736</v>
      </c>
      <c r="H154" s="151"/>
      <c r="I154" s="151"/>
      <c r="J154" s="151"/>
      <c r="K154" s="151"/>
      <c r="L154" s="151"/>
      <c r="M154" s="151"/>
      <c r="N154" s="151"/>
      <c r="O154" s="151"/>
      <c r="P154" s="151"/>
      <c r="Q154" s="151"/>
      <c r="R154" s="151"/>
      <c r="S154" s="151"/>
      <c r="T154" s="151"/>
      <c r="U154" s="151"/>
      <c r="V154" s="151"/>
      <c r="W154" s="151"/>
      <c r="X154" s="151"/>
      <c r="Y154" s="151"/>
      <c r="Z154" s="151"/>
      <c r="AA154" s="151"/>
      <c r="AB154" s="151"/>
      <c r="AC154" s="151"/>
      <c r="AD154" s="151"/>
      <c r="AE154" s="151"/>
      <c r="AF154" s="151"/>
      <c r="AG154" s="151"/>
      <c r="AH154" s="151"/>
      <c r="AI154" s="151"/>
      <c r="AJ154" s="151"/>
      <c r="AK154" s="151"/>
      <c r="AL154" s="151"/>
      <c r="AM154" s="151"/>
      <c r="AN154" s="151"/>
      <c r="AO154" s="151"/>
      <c r="AP154" s="151"/>
      <c r="AQ154" s="151"/>
      <c r="AR154" s="151"/>
      <c r="AS154" s="151"/>
      <c r="AT154" s="151"/>
      <c r="AU154" s="151"/>
      <c r="AV154" s="151"/>
      <c r="AW154" s="151"/>
      <c r="AX154" s="151"/>
      <c r="AY154" s="151"/>
      <c r="AZ154" s="151"/>
      <c r="BA154" s="151"/>
      <c r="BB154" s="151"/>
      <c r="BC154" s="151"/>
      <c r="BD154" s="151"/>
      <c r="BE154" s="151"/>
      <c r="BF154" s="151"/>
      <c r="BG154" s="151"/>
      <c r="BH154" s="151"/>
      <c r="BI154" s="151"/>
      <c r="BJ154" s="151"/>
      <c r="BK154" s="151"/>
      <c r="BL154" s="151"/>
      <c r="BM154" s="151"/>
      <c r="BN154" s="151"/>
      <c r="BO154" s="151"/>
      <c r="BP154" s="151"/>
    </row>
    <row r="155" spans="3:68" x14ac:dyDescent="0.25">
      <c r="C155" t="s">
        <v>1099</v>
      </c>
      <c r="D155" t="s">
        <v>125</v>
      </c>
      <c r="E155" s="151"/>
      <c r="F155" s="151"/>
      <c r="G155" s="151">
        <f>(Inputs!$E$26+(G110+G117)+Deposits!$Y$23+IF(Inputs!$E$71=1,-(G127+G137),G20)+G131+Deposits!$Y$24+Deposits!$Y$22+G25)+SUM(G146:G151)</f>
        <v>0</v>
      </c>
      <c r="H155" s="151"/>
      <c r="I155" s="151"/>
      <c r="J155" s="151"/>
      <c r="K155" s="151"/>
      <c r="L155" s="151"/>
      <c r="M155" s="151"/>
      <c r="N155" s="151"/>
      <c r="O155" s="151"/>
      <c r="P155" s="151"/>
      <c r="Q155" s="151"/>
      <c r="R155" s="151"/>
      <c r="S155" s="151"/>
      <c r="T155" s="151"/>
      <c r="U155" s="151"/>
      <c r="V155" s="151"/>
      <c r="W155" s="151"/>
      <c r="X155" s="151"/>
      <c r="Y155" s="151"/>
      <c r="Z155" s="151"/>
      <c r="AA155" s="151"/>
      <c r="AB155" s="151"/>
      <c r="AC155" s="151"/>
      <c r="AD155" s="151"/>
      <c r="AE155" s="151"/>
      <c r="AF155" s="151"/>
      <c r="AG155" s="151"/>
      <c r="AH155" s="151"/>
      <c r="AI155" s="151"/>
      <c r="AJ155" s="151"/>
      <c r="AK155" s="151"/>
      <c r="AL155" s="151"/>
      <c r="AM155" s="151"/>
      <c r="AN155" s="151"/>
      <c r="AO155" s="151"/>
      <c r="AP155" s="151"/>
      <c r="AQ155" s="151"/>
      <c r="AR155" s="151"/>
      <c r="AS155" s="151"/>
      <c r="AT155" s="151"/>
      <c r="AU155" s="151"/>
      <c r="AV155" s="151"/>
      <c r="AW155" s="151"/>
      <c r="AX155" s="151"/>
      <c r="AY155" s="151"/>
      <c r="AZ155" s="151"/>
      <c r="BA155" s="151"/>
      <c r="BB155" s="151"/>
      <c r="BC155" s="151"/>
      <c r="BD155" s="151"/>
      <c r="BE155" s="151"/>
      <c r="BF155" s="151"/>
      <c r="BG155" s="151"/>
      <c r="BH155" s="151"/>
      <c r="BI155" s="151"/>
      <c r="BJ155" s="151"/>
      <c r="BK155" s="151"/>
      <c r="BL155" s="151"/>
      <c r="BM155" s="151"/>
      <c r="BN155" s="151"/>
      <c r="BO155" s="151"/>
      <c r="BP155" s="151"/>
    </row>
    <row r="156" spans="3:68" x14ac:dyDescent="0.25">
      <c r="E156" s="151"/>
      <c r="F156" s="151"/>
      <c r="G156" s="151"/>
      <c r="H156" s="151"/>
      <c r="I156" s="151"/>
      <c r="J156" s="151"/>
      <c r="K156" s="151"/>
      <c r="L156" s="151"/>
      <c r="M156" s="151"/>
      <c r="N156" s="151"/>
      <c r="O156" s="151"/>
      <c r="P156" s="151"/>
      <c r="Q156" s="151"/>
      <c r="R156" s="151"/>
      <c r="S156" s="151"/>
      <c r="T156" s="151"/>
      <c r="U156" s="151"/>
      <c r="V156" s="151"/>
      <c r="W156" s="151"/>
      <c r="X156" s="151"/>
      <c r="Y156" s="151"/>
      <c r="Z156" s="151"/>
      <c r="AA156" s="151"/>
      <c r="AB156" s="151"/>
      <c r="AC156" s="151"/>
      <c r="AD156" s="151"/>
      <c r="AE156" s="151"/>
      <c r="AF156" s="151"/>
      <c r="AG156" s="151"/>
      <c r="AH156" s="151"/>
      <c r="AI156" s="151"/>
      <c r="AJ156" s="151"/>
      <c r="AK156" s="151"/>
      <c r="AL156" s="151"/>
      <c r="AM156" s="151"/>
      <c r="AN156" s="151"/>
      <c r="AO156" s="151"/>
      <c r="AP156" s="151"/>
      <c r="AQ156" s="151"/>
      <c r="AR156" s="151"/>
      <c r="AS156" s="151"/>
      <c r="AT156" s="151"/>
      <c r="AU156" s="151"/>
      <c r="AV156" s="151"/>
      <c r="AW156" s="151"/>
      <c r="AX156" s="151"/>
      <c r="AY156" s="151"/>
      <c r="AZ156" s="151"/>
      <c r="BA156" s="151"/>
      <c r="BB156" s="151"/>
      <c r="BC156" s="151"/>
      <c r="BD156" s="151"/>
      <c r="BE156" s="151"/>
      <c r="BF156" s="151"/>
      <c r="BG156" s="151"/>
      <c r="BH156" s="151"/>
      <c r="BI156" s="151"/>
      <c r="BJ156" s="151"/>
      <c r="BK156" s="151"/>
      <c r="BL156" s="151"/>
      <c r="BM156" s="151"/>
      <c r="BN156" s="151"/>
      <c r="BO156" s="151"/>
      <c r="BP156" s="151"/>
    </row>
    <row r="157" spans="3:68" x14ac:dyDescent="0.25">
      <c r="C157" s="129" t="s">
        <v>1100</v>
      </c>
      <c r="D157" s="129"/>
      <c r="E157" s="252"/>
      <c r="F157" s="252"/>
      <c r="G157" s="252"/>
      <c r="H157" s="252"/>
      <c r="I157" s="252"/>
      <c r="J157" s="252"/>
      <c r="K157" s="252"/>
      <c r="L157" s="252"/>
      <c r="M157" s="252"/>
      <c r="N157" s="252"/>
      <c r="O157" s="252"/>
      <c r="P157" s="252"/>
      <c r="Q157" s="252"/>
      <c r="R157" s="252"/>
      <c r="S157" s="252"/>
      <c r="T157" s="252"/>
      <c r="U157" s="252"/>
      <c r="V157" s="252"/>
      <c r="W157" s="252"/>
      <c r="X157" s="252"/>
      <c r="Y157" s="252"/>
      <c r="Z157" s="252"/>
      <c r="AA157" s="252"/>
      <c r="AB157" s="252"/>
      <c r="AC157" s="252"/>
      <c r="AD157" s="252"/>
      <c r="AE157" s="252"/>
      <c r="AF157" s="252"/>
      <c r="AG157" s="252"/>
      <c r="AH157" s="252"/>
      <c r="AI157" s="252"/>
      <c r="AJ157" s="252"/>
      <c r="AK157" s="252"/>
      <c r="AL157" s="252"/>
      <c r="AM157" s="252"/>
      <c r="AN157" s="252"/>
      <c r="AO157" s="252"/>
      <c r="AP157" s="252"/>
      <c r="AQ157" s="252"/>
      <c r="AR157" s="252"/>
      <c r="AS157" s="252"/>
      <c r="AT157" s="252"/>
      <c r="AU157" s="252"/>
      <c r="AV157" s="252"/>
      <c r="AW157" s="252"/>
      <c r="AX157" s="252"/>
      <c r="AY157" s="252"/>
      <c r="AZ157" s="252"/>
      <c r="BA157" s="252"/>
      <c r="BB157" s="252"/>
      <c r="BC157" s="252"/>
      <c r="BD157" s="252"/>
      <c r="BE157" s="252"/>
      <c r="BF157" s="252"/>
      <c r="BG157" s="252"/>
      <c r="BH157" s="252"/>
      <c r="BI157" s="252"/>
      <c r="BJ157" s="252"/>
      <c r="BK157" s="252"/>
      <c r="BL157" s="252"/>
      <c r="BM157" s="252"/>
      <c r="BN157" s="252"/>
      <c r="BO157" s="252"/>
      <c r="BP157" s="252"/>
    </row>
    <row r="158" spans="3:68" x14ac:dyDescent="0.25">
      <c r="C158" t="s">
        <v>1101</v>
      </c>
      <c r="D158" t="s">
        <v>125</v>
      </c>
      <c r="E158" s="151"/>
      <c r="F158" s="151"/>
      <c r="G158" s="151">
        <f t="shared" ref="G158:G164" si="98">SUM(H158:BP158)</f>
        <v>-125</v>
      </c>
      <c r="H158" s="151">
        <f>-N(H$4=0)*Inputs!$E$24</f>
        <v>-125</v>
      </c>
      <c r="I158" s="151">
        <f>-N(I$4=0)*Inputs!$E$24</f>
        <v>0</v>
      </c>
      <c r="J158" s="151">
        <f>-N(J$4=0)*Inputs!$E$24</f>
        <v>0</v>
      </c>
      <c r="K158" s="151">
        <f>-N(K$4=0)*Inputs!$E$24</f>
        <v>0</v>
      </c>
      <c r="L158" s="151">
        <f>-N(L$4=0)*Inputs!$E$24</f>
        <v>0</v>
      </c>
      <c r="M158" s="151">
        <f>-N(M$4=0)*Inputs!$E$24</f>
        <v>0</v>
      </c>
      <c r="N158" s="151">
        <f>-N(N$4=0)*Inputs!$E$24</f>
        <v>0</v>
      </c>
      <c r="O158" s="151">
        <f>-N(O$4=0)*Inputs!$E$24</f>
        <v>0</v>
      </c>
      <c r="P158" s="151">
        <f>-N(P$4=0)*Inputs!$E$24</f>
        <v>0</v>
      </c>
      <c r="Q158" s="151">
        <f>-N(Q$4=0)*Inputs!$E$24</f>
        <v>0</v>
      </c>
      <c r="R158" s="151">
        <f>-N(R$4=0)*Inputs!$E$24</f>
        <v>0</v>
      </c>
      <c r="S158" s="151">
        <f>-N(S$4=0)*Inputs!$E$24</f>
        <v>0</v>
      </c>
      <c r="T158" s="151">
        <f>-N(T$4=0)*Inputs!$E$24</f>
        <v>0</v>
      </c>
      <c r="U158" s="151">
        <f>-N(U$4=0)*Inputs!$E$24</f>
        <v>0</v>
      </c>
      <c r="V158" s="151">
        <f>-N(V$4=0)*Inputs!$E$24</f>
        <v>0</v>
      </c>
      <c r="W158" s="151">
        <f>-N(W$4=0)*Inputs!$E$24</f>
        <v>0</v>
      </c>
      <c r="X158" s="151">
        <f>-N(X$4=0)*Inputs!$E$24</f>
        <v>0</v>
      </c>
      <c r="Y158" s="151">
        <f>-N(Y$4=0)*Inputs!$E$24</f>
        <v>0</v>
      </c>
      <c r="Z158" s="151">
        <f>-N(Z$4=0)*Inputs!$E$24</f>
        <v>0</v>
      </c>
      <c r="AA158" s="151">
        <f>-N(AA$4=0)*Inputs!$E$24</f>
        <v>0</v>
      </c>
      <c r="AB158" s="151">
        <f>-N(AB$4=0)*Inputs!$E$24</f>
        <v>0</v>
      </c>
      <c r="AC158" s="151">
        <f>-N(AC$4=0)*Inputs!$E$24</f>
        <v>0</v>
      </c>
      <c r="AD158" s="151">
        <f>-N(AD$4=0)*Inputs!$E$24</f>
        <v>0</v>
      </c>
      <c r="AE158" s="151">
        <f>-N(AE$4=0)*Inputs!$E$24</f>
        <v>0</v>
      </c>
      <c r="AF158" s="151">
        <f>-N(AF$4=0)*Inputs!$E$24</f>
        <v>0</v>
      </c>
      <c r="AG158" s="151">
        <f>-N(AG$4=0)*Inputs!$E$24</f>
        <v>0</v>
      </c>
      <c r="AH158" s="151">
        <f>-N(AH$4=0)*Inputs!$E$24</f>
        <v>0</v>
      </c>
      <c r="AI158" s="151">
        <f>-N(AI$4=0)*Inputs!$E$24</f>
        <v>0</v>
      </c>
      <c r="AJ158" s="151">
        <f>-N(AJ$4=0)*Inputs!$E$24</f>
        <v>0</v>
      </c>
      <c r="AK158" s="151">
        <f>-N(AK$4=0)*Inputs!$E$24</f>
        <v>0</v>
      </c>
      <c r="AL158" s="151">
        <f>-N(AL$4=0)*Inputs!$E$24</f>
        <v>0</v>
      </c>
      <c r="AM158" s="151">
        <f>-N(AM$4=0)*Inputs!$E$24</f>
        <v>0</v>
      </c>
      <c r="AN158" s="151">
        <f>-N(AN$4=0)*Inputs!$E$24</f>
        <v>0</v>
      </c>
      <c r="AO158" s="151">
        <f>-N(AO$4=0)*Inputs!$E$24</f>
        <v>0</v>
      </c>
      <c r="AP158" s="151">
        <f>-N(AP$4=0)*Inputs!$E$24</f>
        <v>0</v>
      </c>
      <c r="AQ158" s="151">
        <f>-N(AQ$4=0)*Inputs!$E$24</f>
        <v>0</v>
      </c>
      <c r="AR158" s="151">
        <f>-N(AR$4=0)*Inputs!$E$24</f>
        <v>0</v>
      </c>
      <c r="AS158" s="151">
        <f>-N(AS$4=0)*Inputs!$E$24</f>
        <v>0</v>
      </c>
      <c r="AT158" s="151">
        <f>-N(AT$4=0)*Inputs!$E$24</f>
        <v>0</v>
      </c>
      <c r="AU158" s="151">
        <f>-N(AU$4=0)*Inputs!$E$24</f>
        <v>0</v>
      </c>
      <c r="AV158" s="151">
        <f>-N(AV$4=0)*Inputs!$E$24</f>
        <v>0</v>
      </c>
      <c r="AW158" s="151">
        <f>-N(AW$4=0)*Inputs!$E$24</f>
        <v>0</v>
      </c>
      <c r="AX158" s="151">
        <f>-N(AX$4=0)*Inputs!$E$24</f>
        <v>0</v>
      </c>
      <c r="AY158" s="151">
        <f>-N(AY$4=0)*Inputs!$E$24</f>
        <v>0</v>
      </c>
      <c r="AZ158" s="151">
        <f>-N(AZ$4=0)*Inputs!$E$24</f>
        <v>0</v>
      </c>
      <c r="BA158" s="151">
        <f>-N(BA$4=0)*Inputs!$E$24</f>
        <v>0</v>
      </c>
      <c r="BB158" s="151">
        <f>-N(BB$4=0)*Inputs!$E$24</f>
        <v>0</v>
      </c>
      <c r="BC158" s="151">
        <f>-N(BC$4=0)*Inputs!$E$24</f>
        <v>0</v>
      </c>
      <c r="BD158" s="151">
        <f>-N(BD$4=0)*Inputs!$E$24</f>
        <v>0</v>
      </c>
      <c r="BE158" s="151">
        <f>-N(BE$4=0)*Inputs!$E$24</f>
        <v>0</v>
      </c>
      <c r="BF158" s="151">
        <f>-N(BF$4=0)*Inputs!$E$24</f>
        <v>0</v>
      </c>
      <c r="BG158" s="151">
        <f>-N(BG$4=0)*Inputs!$E$24</f>
        <v>0</v>
      </c>
      <c r="BH158" s="151">
        <f>-N(BH$4=0)*Inputs!$E$24</f>
        <v>0</v>
      </c>
      <c r="BI158" s="151">
        <f>-N(BI$4=0)*Inputs!$E$24</f>
        <v>0</v>
      </c>
      <c r="BJ158" s="151">
        <f>-N(BJ$4=0)*Inputs!$E$24</f>
        <v>0</v>
      </c>
      <c r="BK158" s="151">
        <f>-N(BK$4=0)*Inputs!$E$24</f>
        <v>0</v>
      </c>
      <c r="BL158" s="151">
        <f>-N(BL$4=0)*Inputs!$E$24</f>
        <v>0</v>
      </c>
      <c r="BM158" s="151">
        <f>-N(BM$4=0)*Inputs!$E$24</f>
        <v>0</v>
      </c>
      <c r="BN158" s="151">
        <f>-N(BN$4=0)*Inputs!$E$24</f>
        <v>0</v>
      </c>
      <c r="BO158" s="151">
        <f>-N(BO$4=0)*Inputs!$E$24</f>
        <v>0</v>
      </c>
      <c r="BP158" s="151">
        <f>-N(BP$4=0)*Inputs!$E$24</f>
        <v>0</v>
      </c>
    </row>
    <row r="159" spans="3:68" x14ac:dyDescent="0.25">
      <c r="C159" t="s">
        <v>1102</v>
      </c>
      <c r="D159" t="s">
        <v>125</v>
      </c>
      <c r="E159" s="151"/>
      <c r="F159" s="151"/>
      <c r="G159" s="151">
        <f t="shared" si="98"/>
        <v>-75</v>
      </c>
      <c r="H159" s="151">
        <f>-N(H$4=0)*Inputs!$E$25</f>
        <v>-75</v>
      </c>
      <c r="I159" s="151">
        <f>-N(I$4=0)*Inputs!$E$25</f>
        <v>0</v>
      </c>
      <c r="J159" s="151">
        <f>-N(J$4=0)*Inputs!$E$25</f>
        <v>0</v>
      </c>
      <c r="K159" s="151">
        <f>-N(K$4=0)*Inputs!$E$25</f>
        <v>0</v>
      </c>
      <c r="L159" s="151">
        <f>-N(L$4=0)*Inputs!$E$25</f>
        <v>0</v>
      </c>
      <c r="M159" s="151">
        <f>-N(M$4=0)*Inputs!$E$25</f>
        <v>0</v>
      </c>
      <c r="N159" s="151">
        <f>-N(N$4=0)*Inputs!$E$25</f>
        <v>0</v>
      </c>
      <c r="O159" s="151">
        <f>-N(O$4=0)*Inputs!$E$25</f>
        <v>0</v>
      </c>
      <c r="P159" s="151">
        <f>-N(P$4=0)*Inputs!$E$25</f>
        <v>0</v>
      </c>
      <c r="Q159" s="151">
        <f>-N(Q$4=0)*Inputs!$E$25</f>
        <v>0</v>
      </c>
      <c r="R159" s="151">
        <f>-N(R$4=0)*Inputs!$E$25</f>
        <v>0</v>
      </c>
      <c r="S159" s="151">
        <f>-N(S$4=0)*Inputs!$E$25</f>
        <v>0</v>
      </c>
      <c r="T159" s="151">
        <f>-N(T$4=0)*Inputs!$E$25</f>
        <v>0</v>
      </c>
      <c r="U159" s="151">
        <f>-N(U$4=0)*Inputs!$E$25</f>
        <v>0</v>
      </c>
      <c r="V159" s="151">
        <f>-N(V$4=0)*Inputs!$E$25</f>
        <v>0</v>
      </c>
      <c r="W159" s="151">
        <f>-N(W$4=0)*Inputs!$E$25</f>
        <v>0</v>
      </c>
      <c r="X159" s="151">
        <f>-N(X$4=0)*Inputs!$E$25</f>
        <v>0</v>
      </c>
      <c r="Y159" s="151">
        <f>-N(Y$4=0)*Inputs!$E$25</f>
        <v>0</v>
      </c>
      <c r="Z159" s="151">
        <f>-N(Z$4=0)*Inputs!$E$25</f>
        <v>0</v>
      </c>
      <c r="AA159" s="151">
        <f>-N(AA$4=0)*Inputs!$E$25</f>
        <v>0</v>
      </c>
      <c r="AB159" s="151">
        <f>-N(AB$4=0)*Inputs!$E$25</f>
        <v>0</v>
      </c>
      <c r="AC159" s="151">
        <f>-N(AC$4=0)*Inputs!$E$25</f>
        <v>0</v>
      </c>
      <c r="AD159" s="151">
        <f>-N(AD$4=0)*Inputs!$E$25</f>
        <v>0</v>
      </c>
      <c r="AE159" s="151">
        <f>-N(AE$4=0)*Inputs!$E$25</f>
        <v>0</v>
      </c>
      <c r="AF159" s="151">
        <f>-N(AF$4=0)*Inputs!$E$25</f>
        <v>0</v>
      </c>
      <c r="AG159" s="151">
        <f>-N(AG$4=0)*Inputs!$E$25</f>
        <v>0</v>
      </c>
      <c r="AH159" s="151">
        <f>-N(AH$4=0)*Inputs!$E$25</f>
        <v>0</v>
      </c>
      <c r="AI159" s="151">
        <f>-N(AI$4=0)*Inputs!$E$25</f>
        <v>0</v>
      </c>
      <c r="AJ159" s="151">
        <f>-N(AJ$4=0)*Inputs!$E$25</f>
        <v>0</v>
      </c>
      <c r="AK159" s="151">
        <f>-N(AK$4=0)*Inputs!$E$25</f>
        <v>0</v>
      </c>
      <c r="AL159" s="151">
        <f>-N(AL$4=0)*Inputs!$E$25</f>
        <v>0</v>
      </c>
      <c r="AM159" s="151">
        <f>-N(AM$4=0)*Inputs!$E$25</f>
        <v>0</v>
      </c>
      <c r="AN159" s="151">
        <f>-N(AN$4=0)*Inputs!$E$25</f>
        <v>0</v>
      </c>
      <c r="AO159" s="151">
        <f>-N(AO$4=0)*Inputs!$E$25</f>
        <v>0</v>
      </c>
      <c r="AP159" s="151">
        <f>-N(AP$4=0)*Inputs!$E$25</f>
        <v>0</v>
      </c>
      <c r="AQ159" s="151">
        <f>-N(AQ$4=0)*Inputs!$E$25</f>
        <v>0</v>
      </c>
      <c r="AR159" s="151">
        <f>-N(AR$4=0)*Inputs!$E$25</f>
        <v>0</v>
      </c>
      <c r="AS159" s="151">
        <f>-N(AS$4=0)*Inputs!$E$25</f>
        <v>0</v>
      </c>
      <c r="AT159" s="151">
        <f>-N(AT$4=0)*Inputs!$E$25</f>
        <v>0</v>
      </c>
      <c r="AU159" s="151">
        <f>-N(AU$4=0)*Inputs!$E$25</f>
        <v>0</v>
      </c>
      <c r="AV159" s="151">
        <f>-N(AV$4=0)*Inputs!$E$25</f>
        <v>0</v>
      </c>
      <c r="AW159" s="151">
        <f>-N(AW$4=0)*Inputs!$E$25</f>
        <v>0</v>
      </c>
      <c r="AX159" s="151">
        <f>-N(AX$4=0)*Inputs!$E$25</f>
        <v>0</v>
      </c>
      <c r="AY159" s="151">
        <f>-N(AY$4=0)*Inputs!$E$25</f>
        <v>0</v>
      </c>
      <c r="AZ159" s="151">
        <f>-N(AZ$4=0)*Inputs!$E$25</f>
        <v>0</v>
      </c>
      <c r="BA159" s="151">
        <f>-N(BA$4=0)*Inputs!$E$25</f>
        <v>0</v>
      </c>
      <c r="BB159" s="151">
        <f>-N(BB$4=0)*Inputs!$E$25</f>
        <v>0</v>
      </c>
      <c r="BC159" s="151">
        <f>-N(BC$4=0)*Inputs!$E$25</f>
        <v>0</v>
      </c>
      <c r="BD159" s="151">
        <f>-N(BD$4=0)*Inputs!$E$25</f>
        <v>0</v>
      </c>
      <c r="BE159" s="151">
        <f>-N(BE$4=0)*Inputs!$E$25</f>
        <v>0</v>
      </c>
      <c r="BF159" s="151">
        <f>-N(BF$4=0)*Inputs!$E$25</f>
        <v>0</v>
      </c>
      <c r="BG159" s="151">
        <f>-N(BG$4=0)*Inputs!$E$25</f>
        <v>0</v>
      </c>
      <c r="BH159" s="151">
        <f>-N(BH$4=0)*Inputs!$E$25</f>
        <v>0</v>
      </c>
      <c r="BI159" s="151">
        <f>-N(BI$4=0)*Inputs!$E$25</f>
        <v>0</v>
      </c>
      <c r="BJ159" s="151">
        <f>-N(BJ$4=0)*Inputs!$E$25</f>
        <v>0</v>
      </c>
      <c r="BK159" s="151">
        <f>-N(BK$4=0)*Inputs!$E$25</f>
        <v>0</v>
      </c>
      <c r="BL159" s="151">
        <f>-N(BL$4=0)*Inputs!$E$25</f>
        <v>0</v>
      </c>
      <c r="BM159" s="151">
        <f>-N(BM$4=0)*Inputs!$E$25</f>
        <v>0</v>
      </c>
      <c r="BN159" s="151">
        <f>-N(BN$4=0)*Inputs!$E$25</f>
        <v>0</v>
      </c>
      <c r="BO159" s="151">
        <f>-N(BO$4=0)*Inputs!$E$25</f>
        <v>0</v>
      </c>
      <c r="BP159" s="151">
        <f>-N(BP$4=0)*Inputs!$E$25</f>
        <v>0</v>
      </c>
    </row>
    <row r="160" spans="3:68" x14ac:dyDescent="0.25">
      <c r="C160" t="s">
        <v>1103</v>
      </c>
      <c r="D160" t="s">
        <v>125</v>
      </c>
      <c r="E160" s="151"/>
      <c r="F160" s="151"/>
      <c r="G160" s="151">
        <f t="shared" si="98"/>
        <v>-20715.900005479452</v>
      </c>
      <c r="H160" s="151">
        <f t="shared" ref="H160:AM160" si="99">-H110</f>
        <v>0</v>
      </c>
      <c r="I160" s="151">
        <f t="shared" si="99"/>
        <v>0</v>
      </c>
      <c r="J160" s="151">
        <f t="shared" si="99"/>
        <v>0</v>
      </c>
      <c r="K160" s="151">
        <f t="shared" si="99"/>
        <v>0</v>
      </c>
      <c r="L160" s="151">
        <f t="shared" si="99"/>
        <v>0</v>
      </c>
      <c r="M160" s="151">
        <f t="shared" si="99"/>
        <v>-1232.8767123287671</v>
      </c>
      <c r="N160" s="151">
        <f t="shared" si="99"/>
        <v>0</v>
      </c>
      <c r="O160" s="151">
        <f t="shared" si="99"/>
        <v>0</v>
      </c>
      <c r="P160" s="151">
        <f t="shared" si="99"/>
        <v>0</v>
      </c>
      <c r="Q160" s="151">
        <f t="shared" si="99"/>
        <v>0</v>
      </c>
      <c r="R160" s="151">
        <f t="shared" si="99"/>
        <v>0</v>
      </c>
      <c r="S160" s="151">
        <f t="shared" si="99"/>
        <v>0</v>
      </c>
      <c r="T160" s="151">
        <f t="shared" si="99"/>
        <v>0</v>
      </c>
      <c r="U160" s="151">
        <f t="shared" si="99"/>
        <v>0</v>
      </c>
      <c r="V160" s="151">
        <f t="shared" si="99"/>
        <v>0</v>
      </c>
      <c r="W160" s="151">
        <f t="shared" si="99"/>
        <v>0</v>
      </c>
      <c r="X160" s="151">
        <f t="shared" si="99"/>
        <v>0</v>
      </c>
      <c r="Y160" s="151">
        <f t="shared" si="99"/>
        <v>0</v>
      </c>
      <c r="Z160" s="151">
        <f t="shared" si="99"/>
        <v>0</v>
      </c>
      <c r="AA160" s="151">
        <f t="shared" si="99"/>
        <v>0</v>
      </c>
      <c r="AB160" s="151">
        <f t="shared" si="99"/>
        <v>0</v>
      </c>
      <c r="AC160" s="151">
        <f t="shared" si="99"/>
        <v>0</v>
      </c>
      <c r="AD160" s="151">
        <f t="shared" si="99"/>
        <v>0</v>
      </c>
      <c r="AE160" s="151">
        <f t="shared" si="99"/>
        <v>0</v>
      </c>
      <c r="AF160" s="151">
        <f t="shared" si="99"/>
        <v>0</v>
      </c>
      <c r="AG160" s="151">
        <f t="shared" si="99"/>
        <v>0</v>
      </c>
      <c r="AH160" s="151">
        <f t="shared" si="99"/>
        <v>0</v>
      </c>
      <c r="AI160" s="151">
        <f t="shared" si="99"/>
        <v>0</v>
      </c>
      <c r="AJ160" s="151">
        <f t="shared" si="99"/>
        <v>0</v>
      </c>
      <c r="AK160" s="151">
        <f t="shared" si="99"/>
        <v>0</v>
      </c>
      <c r="AL160" s="151">
        <f t="shared" si="99"/>
        <v>-19483.023293150687</v>
      </c>
      <c r="AM160" s="151">
        <f t="shared" si="99"/>
        <v>0</v>
      </c>
      <c r="AN160" s="151">
        <f t="shared" ref="AN160:BP160" si="100">-AN110</f>
        <v>0</v>
      </c>
      <c r="AO160" s="151">
        <f t="shared" si="100"/>
        <v>0</v>
      </c>
      <c r="AP160" s="151">
        <f t="shared" si="100"/>
        <v>0</v>
      </c>
      <c r="AQ160" s="151">
        <f t="shared" si="100"/>
        <v>0</v>
      </c>
      <c r="AR160" s="151">
        <f t="shared" si="100"/>
        <v>0</v>
      </c>
      <c r="AS160" s="151">
        <f t="shared" si="100"/>
        <v>0</v>
      </c>
      <c r="AT160" s="151">
        <f t="shared" si="100"/>
        <v>0</v>
      </c>
      <c r="AU160" s="151">
        <f t="shared" si="100"/>
        <v>0</v>
      </c>
      <c r="AV160" s="151">
        <f t="shared" si="100"/>
        <v>0</v>
      </c>
      <c r="AW160" s="151">
        <f t="shared" si="100"/>
        <v>0</v>
      </c>
      <c r="AX160" s="151">
        <f t="shared" si="100"/>
        <v>0</v>
      </c>
      <c r="AY160" s="151">
        <f t="shared" si="100"/>
        <v>0</v>
      </c>
      <c r="AZ160" s="151">
        <f t="shared" si="100"/>
        <v>0</v>
      </c>
      <c r="BA160" s="151">
        <f t="shared" si="100"/>
        <v>0</v>
      </c>
      <c r="BB160" s="151">
        <f t="shared" si="100"/>
        <v>0</v>
      </c>
      <c r="BC160" s="151">
        <f t="shared" si="100"/>
        <v>0</v>
      </c>
      <c r="BD160" s="151">
        <f t="shared" si="100"/>
        <v>0</v>
      </c>
      <c r="BE160" s="151">
        <f t="shared" si="100"/>
        <v>0</v>
      </c>
      <c r="BF160" s="151">
        <f t="shared" si="100"/>
        <v>0</v>
      </c>
      <c r="BG160" s="151">
        <f t="shared" si="100"/>
        <v>0</v>
      </c>
      <c r="BH160" s="151">
        <f t="shared" si="100"/>
        <v>0</v>
      </c>
      <c r="BI160" s="151">
        <f t="shared" si="100"/>
        <v>0</v>
      </c>
      <c r="BJ160" s="151">
        <f t="shared" si="100"/>
        <v>0</v>
      </c>
      <c r="BK160" s="151">
        <f t="shared" si="100"/>
        <v>0</v>
      </c>
      <c r="BL160" s="151">
        <f t="shared" si="100"/>
        <v>0</v>
      </c>
      <c r="BM160" s="151">
        <f t="shared" si="100"/>
        <v>0</v>
      </c>
      <c r="BN160" s="151">
        <f t="shared" si="100"/>
        <v>0</v>
      </c>
      <c r="BO160" s="151">
        <f t="shared" si="100"/>
        <v>0</v>
      </c>
      <c r="BP160" s="151">
        <f t="shared" si="100"/>
        <v>0</v>
      </c>
    </row>
    <row r="161" spans="3:68" x14ac:dyDescent="0.25">
      <c r="C161" t="s">
        <v>1104</v>
      </c>
      <c r="D161" t="s">
        <v>125</v>
      </c>
      <c r="E161" s="151"/>
      <c r="F161" s="151"/>
      <c r="G161" s="151">
        <f t="shared" si="98"/>
        <v>-8.2191780821917817</v>
      </c>
      <c r="H161" s="151">
        <f t="shared" ref="H161:AM161" si="101">-H124</f>
        <v>0</v>
      </c>
      <c r="I161" s="151">
        <f t="shared" si="101"/>
        <v>0</v>
      </c>
      <c r="J161" s="151">
        <f t="shared" si="101"/>
        <v>0</v>
      </c>
      <c r="K161" s="151">
        <f t="shared" si="101"/>
        <v>-8.2191780821917817</v>
      </c>
      <c r="L161" s="151">
        <f t="shared" si="101"/>
        <v>0</v>
      </c>
      <c r="M161" s="151">
        <f t="shared" si="101"/>
        <v>0</v>
      </c>
      <c r="N161" s="151">
        <f t="shared" si="101"/>
        <v>0</v>
      </c>
      <c r="O161" s="151">
        <f t="shared" si="101"/>
        <v>0</v>
      </c>
      <c r="P161" s="151">
        <f t="shared" si="101"/>
        <v>0</v>
      </c>
      <c r="Q161" s="151">
        <f t="shared" si="101"/>
        <v>0</v>
      </c>
      <c r="R161" s="151">
        <f t="shared" si="101"/>
        <v>0</v>
      </c>
      <c r="S161" s="151">
        <f t="shared" si="101"/>
        <v>0</v>
      </c>
      <c r="T161" s="151">
        <f t="shared" si="101"/>
        <v>0</v>
      </c>
      <c r="U161" s="151">
        <f t="shared" si="101"/>
        <v>0</v>
      </c>
      <c r="V161" s="151">
        <f t="shared" si="101"/>
        <v>0</v>
      </c>
      <c r="W161" s="151">
        <f t="shared" si="101"/>
        <v>0</v>
      </c>
      <c r="X161" s="151">
        <f t="shared" si="101"/>
        <v>0</v>
      </c>
      <c r="Y161" s="151">
        <f t="shared" si="101"/>
        <v>0</v>
      </c>
      <c r="Z161" s="151">
        <f t="shared" si="101"/>
        <v>0</v>
      </c>
      <c r="AA161" s="151">
        <f t="shared" si="101"/>
        <v>0</v>
      </c>
      <c r="AB161" s="151">
        <f t="shared" si="101"/>
        <v>0</v>
      </c>
      <c r="AC161" s="151">
        <f t="shared" si="101"/>
        <v>0</v>
      </c>
      <c r="AD161" s="151">
        <f t="shared" si="101"/>
        <v>0</v>
      </c>
      <c r="AE161" s="151">
        <f t="shared" si="101"/>
        <v>0</v>
      </c>
      <c r="AF161" s="151">
        <f t="shared" si="101"/>
        <v>0</v>
      </c>
      <c r="AG161" s="151">
        <f t="shared" si="101"/>
        <v>0</v>
      </c>
      <c r="AH161" s="151">
        <f t="shared" si="101"/>
        <v>0</v>
      </c>
      <c r="AI161" s="151">
        <f t="shared" si="101"/>
        <v>0</v>
      </c>
      <c r="AJ161" s="151">
        <f t="shared" si="101"/>
        <v>0</v>
      </c>
      <c r="AK161" s="151">
        <f t="shared" si="101"/>
        <v>0</v>
      </c>
      <c r="AL161" s="151">
        <f t="shared" si="101"/>
        <v>0</v>
      </c>
      <c r="AM161" s="151">
        <f t="shared" si="101"/>
        <v>0</v>
      </c>
      <c r="AN161" s="151">
        <f t="shared" ref="AN161:BP161" si="102">-AN124</f>
        <v>0</v>
      </c>
      <c r="AO161" s="151">
        <f t="shared" si="102"/>
        <v>0</v>
      </c>
      <c r="AP161" s="151">
        <f t="shared" si="102"/>
        <v>0</v>
      </c>
      <c r="AQ161" s="151">
        <f t="shared" si="102"/>
        <v>0</v>
      </c>
      <c r="AR161" s="151">
        <f t="shared" si="102"/>
        <v>0</v>
      </c>
      <c r="AS161" s="151">
        <f t="shared" si="102"/>
        <v>0</v>
      </c>
      <c r="AT161" s="151">
        <f t="shared" si="102"/>
        <v>0</v>
      </c>
      <c r="AU161" s="151">
        <f t="shared" si="102"/>
        <v>0</v>
      </c>
      <c r="AV161" s="151">
        <f t="shared" si="102"/>
        <v>0</v>
      </c>
      <c r="AW161" s="151">
        <f t="shared" si="102"/>
        <v>0</v>
      </c>
      <c r="AX161" s="151">
        <f t="shared" si="102"/>
        <v>0</v>
      </c>
      <c r="AY161" s="151">
        <f t="shared" si="102"/>
        <v>0</v>
      </c>
      <c r="AZ161" s="151">
        <f t="shared" si="102"/>
        <v>0</v>
      </c>
      <c r="BA161" s="151">
        <f t="shared" si="102"/>
        <v>0</v>
      </c>
      <c r="BB161" s="151">
        <f t="shared" si="102"/>
        <v>0</v>
      </c>
      <c r="BC161" s="151">
        <f t="shared" si="102"/>
        <v>0</v>
      </c>
      <c r="BD161" s="151">
        <f t="shared" si="102"/>
        <v>0</v>
      </c>
      <c r="BE161" s="151">
        <f t="shared" si="102"/>
        <v>0</v>
      </c>
      <c r="BF161" s="151">
        <f t="shared" si="102"/>
        <v>0</v>
      </c>
      <c r="BG161" s="151">
        <f t="shared" si="102"/>
        <v>0</v>
      </c>
      <c r="BH161" s="151">
        <f t="shared" si="102"/>
        <v>0</v>
      </c>
      <c r="BI161" s="151">
        <f t="shared" si="102"/>
        <v>0</v>
      </c>
      <c r="BJ161" s="151">
        <f t="shared" si="102"/>
        <v>0</v>
      </c>
      <c r="BK161" s="151">
        <f t="shared" si="102"/>
        <v>0</v>
      </c>
      <c r="BL161" s="151">
        <f t="shared" si="102"/>
        <v>0</v>
      </c>
      <c r="BM161" s="151">
        <f t="shared" si="102"/>
        <v>0</v>
      </c>
      <c r="BN161" s="151">
        <f t="shared" si="102"/>
        <v>0</v>
      </c>
      <c r="BO161" s="151">
        <f t="shared" si="102"/>
        <v>0</v>
      </c>
      <c r="BP161" s="151">
        <f t="shared" si="102"/>
        <v>0</v>
      </c>
    </row>
    <row r="162" spans="3:68" x14ac:dyDescent="0.25">
      <c r="C162" t="s">
        <v>1105</v>
      </c>
      <c r="D162" t="s">
        <v>125</v>
      </c>
      <c r="E162" s="151"/>
      <c r="F162" s="151"/>
      <c r="G162" s="151">
        <f t="shared" si="98"/>
        <v>-1543.9229608749595</v>
      </c>
      <c r="H162" s="151">
        <f t="shared" ref="H162:AM162" si="103">-H125</f>
        <v>0</v>
      </c>
      <c r="I162" s="151">
        <f t="shared" si="103"/>
        <v>0</v>
      </c>
      <c r="J162" s="151">
        <f t="shared" si="103"/>
        <v>0</v>
      </c>
      <c r="K162" s="151">
        <f t="shared" si="103"/>
        <v>-88.621621621621628</v>
      </c>
      <c r="L162" s="151">
        <f t="shared" si="103"/>
        <v>0</v>
      </c>
      <c r="M162" s="151">
        <f t="shared" si="103"/>
        <v>0</v>
      </c>
      <c r="N162" s="151">
        <f t="shared" si="103"/>
        <v>-4.8648648648648649</v>
      </c>
      <c r="O162" s="151">
        <f t="shared" si="103"/>
        <v>-89.446621621621617</v>
      </c>
      <c r="P162" s="151">
        <f t="shared" si="103"/>
        <v>-199</v>
      </c>
      <c r="Q162" s="151">
        <f t="shared" si="103"/>
        <v>0</v>
      </c>
      <c r="R162" s="151">
        <f t="shared" si="103"/>
        <v>0</v>
      </c>
      <c r="S162" s="151">
        <f t="shared" si="103"/>
        <v>-21.621621621621621</v>
      </c>
      <c r="T162" s="151">
        <f t="shared" si="103"/>
        <v>-21.621621621621621</v>
      </c>
      <c r="U162" s="151">
        <f t="shared" si="103"/>
        <v>0</v>
      </c>
      <c r="V162" s="151">
        <f t="shared" si="103"/>
        <v>0</v>
      </c>
      <c r="W162" s="151">
        <f t="shared" si="103"/>
        <v>0</v>
      </c>
      <c r="X162" s="151">
        <f t="shared" si="103"/>
        <v>-20.27027027027027</v>
      </c>
      <c r="Y162" s="151">
        <f t="shared" si="103"/>
        <v>-71.340540540540545</v>
      </c>
      <c r="Z162" s="151">
        <f t="shared" si="103"/>
        <v>-477.37196635410925</v>
      </c>
      <c r="AA162" s="151">
        <f t="shared" si="103"/>
        <v>-114.86486486486487</v>
      </c>
      <c r="AB162" s="151">
        <f t="shared" si="103"/>
        <v>-44.067567567567565</v>
      </c>
      <c r="AC162" s="151">
        <f t="shared" si="103"/>
        <v>-5.4054054054054057E-2</v>
      </c>
      <c r="AD162" s="151">
        <f t="shared" si="103"/>
        <v>0</v>
      </c>
      <c r="AE162" s="151">
        <f t="shared" si="103"/>
        <v>-2.25</v>
      </c>
      <c r="AF162" s="151">
        <f t="shared" si="103"/>
        <v>0</v>
      </c>
      <c r="AG162" s="151">
        <f t="shared" si="103"/>
        <v>-80.937028571428556</v>
      </c>
      <c r="AH162" s="151">
        <f t="shared" si="103"/>
        <v>0</v>
      </c>
      <c r="AI162" s="151">
        <f t="shared" si="103"/>
        <v>0</v>
      </c>
      <c r="AJ162" s="151">
        <f t="shared" si="103"/>
        <v>-16.216216216216218</v>
      </c>
      <c r="AK162" s="151">
        <f t="shared" si="103"/>
        <v>-141.10383081428651</v>
      </c>
      <c r="AL162" s="151">
        <f t="shared" si="103"/>
        <v>-27.027027027027028</v>
      </c>
      <c r="AM162" s="151">
        <f t="shared" si="103"/>
        <v>0</v>
      </c>
      <c r="AN162" s="151">
        <f t="shared" ref="AN162:BP162" si="104">-AN125</f>
        <v>-123.24324324324324</v>
      </c>
      <c r="AO162" s="151">
        <f t="shared" si="104"/>
        <v>0</v>
      </c>
      <c r="AP162" s="151">
        <f t="shared" si="104"/>
        <v>0</v>
      </c>
      <c r="AQ162" s="151">
        <f t="shared" si="104"/>
        <v>0</v>
      </c>
      <c r="AR162" s="151">
        <f t="shared" si="104"/>
        <v>0</v>
      </c>
      <c r="AS162" s="151">
        <f t="shared" si="104"/>
        <v>0</v>
      </c>
      <c r="AT162" s="151">
        <f t="shared" si="104"/>
        <v>0</v>
      </c>
      <c r="AU162" s="151">
        <f t="shared" si="104"/>
        <v>0</v>
      </c>
      <c r="AV162" s="151">
        <f t="shared" si="104"/>
        <v>0</v>
      </c>
      <c r="AW162" s="151">
        <f t="shared" si="104"/>
        <v>0</v>
      </c>
      <c r="AX162" s="151">
        <f t="shared" si="104"/>
        <v>0</v>
      </c>
      <c r="AY162" s="151">
        <f t="shared" si="104"/>
        <v>0</v>
      </c>
      <c r="AZ162" s="151">
        <f t="shared" si="104"/>
        <v>0</v>
      </c>
      <c r="BA162" s="151">
        <f t="shared" si="104"/>
        <v>0</v>
      </c>
      <c r="BB162" s="151">
        <f t="shared" si="104"/>
        <v>0</v>
      </c>
      <c r="BC162" s="151">
        <f t="shared" si="104"/>
        <v>0</v>
      </c>
      <c r="BD162" s="151">
        <f t="shared" si="104"/>
        <v>0</v>
      </c>
      <c r="BE162" s="151">
        <f t="shared" si="104"/>
        <v>0</v>
      </c>
      <c r="BF162" s="151">
        <f t="shared" si="104"/>
        <v>0</v>
      </c>
      <c r="BG162" s="151">
        <f t="shared" si="104"/>
        <v>0</v>
      </c>
      <c r="BH162" s="151">
        <f t="shared" si="104"/>
        <v>0</v>
      </c>
      <c r="BI162" s="151">
        <f t="shared" si="104"/>
        <v>0</v>
      </c>
      <c r="BJ162" s="151">
        <f t="shared" si="104"/>
        <v>0</v>
      </c>
      <c r="BK162" s="151">
        <f t="shared" si="104"/>
        <v>0</v>
      </c>
      <c r="BL162" s="151">
        <f t="shared" si="104"/>
        <v>0</v>
      </c>
      <c r="BM162" s="151">
        <f t="shared" si="104"/>
        <v>0</v>
      </c>
      <c r="BN162" s="151">
        <f t="shared" si="104"/>
        <v>0</v>
      </c>
      <c r="BO162" s="151">
        <f t="shared" si="104"/>
        <v>0</v>
      </c>
      <c r="BP162" s="151">
        <f t="shared" si="104"/>
        <v>0</v>
      </c>
    </row>
    <row r="163" spans="3:68" x14ac:dyDescent="0.25">
      <c r="C163" t="s">
        <v>1106</v>
      </c>
      <c r="D163" t="s">
        <v>125</v>
      </c>
      <c r="E163" s="151"/>
      <c r="F163" s="151"/>
      <c r="G163" s="151">
        <f t="shared" si="98"/>
        <v>-1004.974794520549</v>
      </c>
      <c r="H163" s="151">
        <f t="shared" ref="H163:AM163" si="105">-$E$106*H79</f>
        <v>0</v>
      </c>
      <c r="I163" s="151">
        <f t="shared" si="105"/>
        <v>0</v>
      </c>
      <c r="J163" s="151">
        <f t="shared" si="105"/>
        <v>0</v>
      </c>
      <c r="K163" s="151">
        <f t="shared" si="105"/>
        <v>-5.8428767123287679</v>
      </c>
      <c r="L163" s="151">
        <f t="shared" si="105"/>
        <v>-5.8428767123287679</v>
      </c>
      <c r="M163" s="151">
        <f t="shared" si="105"/>
        <v>-29.214383561643842</v>
      </c>
      <c r="N163" s="151">
        <f t="shared" si="105"/>
        <v>-29.214383561643842</v>
      </c>
      <c r="O163" s="151">
        <f t="shared" si="105"/>
        <v>-29.214383561643842</v>
      </c>
      <c r="P163" s="151">
        <f t="shared" si="105"/>
        <v>-29.214383561643842</v>
      </c>
      <c r="Q163" s="151">
        <f t="shared" si="105"/>
        <v>-29.214383561643842</v>
      </c>
      <c r="R163" s="151">
        <f t="shared" si="105"/>
        <v>-29.214383561643842</v>
      </c>
      <c r="S163" s="151">
        <f t="shared" si="105"/>
        <v>-29.214383561643842</v>
      </c>
      <c r="T163" s="151">
        <f t="shared" si="105"/>
        <v>-29.214383561643842</v>
      </c>
      <c r="U163" s="151">
        <f t="shared" si="105"/>
        <v>-29.214383561643842</v>
      </c>
      <c r="V163" s="151">
        <f t="shared" si="105"/>
        <v>-29.214383561643842</v>
      </c>
      <c r="W163" s="151">
        <f t="shared" si="105"/>
        <v>-29.214383561643842</v>
      </c>
      <c r="X163" s="151">
        <f t="shared" si="105"/>
        <v>-29.214383561643842</v>
      </c>
      <c r="Y163" s="151">
        <f t="shared" si="105"/>
        <v>-29.214383561643842</v>
      </c>
      <c r="Z163" s="151">
        <f t="shared" si="105"/>
        <v>-29.214383561643842</v>
      </c>
      <c r="AA163" s="151">
        <f t="shared" si="105"/>
        <v>-29.214383561643842</v>
      </c>
      <c r="AB163" s="151">
        <f t="shared" si="105"/>
        <v>-29.214383561643842</v>
      </c>
      <c r="AC163" s="151">
        <f t="shared" si="105"/>
        <v>-29.214383561643842</v>
      </c>
      <c r="AD163" s="151">
        <f t="shared" si="105"/>
        <v>-29.214383561643842</v>
      </c>
      <c r="AE163" s="151">
        <f t="shared" si="105"/>
        <v>-29.214383561643842</v>
      </c>
      <c r="AF163" s="151">
        <f t="shared" si="105"/>
        <v>-29.214383561643842</v>
      </c>
      <c r="AG163" s="151">
        <f t="shared" si="105"/>
        <v>-29.214383561643842</v>
      </c>
      <c r="AH163" s="151">
        <f t="shared" si="105"/>
        <v>-29.214383561643842</v>
      </c>
      <c r="AI163" s="151">
        <f t="shared" si="105"/>
        <v>-29.214383561643842</v>
      </c>
      <c r="AJ163" s="151">
        <f t="shared" si="105"/>
        <v>-29.214383561643842</v>
      </c>
      <c r="AK163" s="151">
        <f t="shared" si="105"/>
        <v>-29.214383561643842</v>
      </c>
      <c r="AL163" s="151">
        <f t="shared" si="105"/>
        <v>-29.214383561643842</v>
      </c>
      <c r="AM163" s="151">
        <f t="shared" si="105"/>
        <v>-29.214383561643842</v>
      </c>
      <c r="AN163" s="151">
        <f t="shared" ref="AN163:BP163" si="106">-$E$106*AN79</f>
        <v>-29.214383561643842</v>
      </c>
      <c r="AO163" s="151">
        <f t="shared" si="106"/>
        <v>-29.214383561643842</v>
      </c>
      <c r="AP163" s="151">
        <f t="shared" si="106"/>
        <v>-29.214383561643842</v>
      </c>
      <c r="AQ163" s="151">
        <f t="shared" si="106"/>
        <v>-29.214383561643842</v>
      </c>
      <c r="AR163" s="151">
        <f t="shared" si="106"/>
        <v>-29.214383561643842</v>
      </c>
      <c r="AS163" s="151">
        <f t="shared" si="106"/>
        <v>-29.214383561643842</v>
      </c>
      <c r="AT163" s="151">
        <f t="shared" si="106"/>
        <v>-29.214383561643842</v>
      </c>
      <c r="AU163" s="151">
        <f t="shared" si="106"/>
        <v>0</v>
      </c>
      <c r="AV163" s="151">
        <f t="shared" si="106"/>
        <v>0</v>
      </c>
      <c r="AW163" s="151">
        <f t="shared" si="106"/>
        <v>0</v>
      </c>
      <c r="AX163" s="151">
        <f t="shared" si="106"/>
        <v>0</v>
      </c>
      <c r="AY163" s="151">
        <f t="shared" si="106"/>
        <v>0</v>
      </c>
      <c r="AZ163" s="151">
        <f t="shared" si="106"/>
        <v>0</v>
      </c>
      <c r="BA163" s="151">
        <f t="shared" si="106"/>
        <v>0</v>
      </c>
      <c r="BB163" s="151">
        <f t="shared" si="106"/>
        <v>0</v>
      </c>
      <c r="BC163" s="151">
        <f t="shared" si="106"/>
        <v>0</v>
      </c>
      <c r="BD163" s="151">
        <f t="shared" si="106"/>
        <v>0</v>
      </c>
      <c r="BE163" s="151">
        <f t="shared" si="106"/>
        <v>0</v>
      </c>
      <c r="BF163" s="151">
        <f t="shared" si="106"/>
        <v>0</v>
      </c>
      <c r="BG163" s="151">
        <f t="shared" si="106"/>
        <v>0</v>
      </c>
      <c r="BH163" s="151">
        <f t="shared" si="106"/>
        <v>0</v>
      </c>
      <c r="BI163" s="151">
        <f t="shared" si="106"/>
        <v>0</v>
      </c>
      <c r="BJ163" s="151">
        <f t="shared" si="106"/>
        <v>0</v>
      </c>
      <c r="BK163" s="151">
        <f t="shared" si="106"/>
        <v>0</v>
      </c>
      <c r="BL163" s="151">
        <f t="shared" si="106"/>
        <v>0</v>
      </c>
      <c r="BM163" s="151">
        <f t="shared" si="106"/>
        <v>0</v>
      </c>
      <c r="BN163" s="151">
        <f t="shared" si="106"/>
        <v>0</v>
      </c>
      <c r="BO163" s="151">
        <f t="shared" si="106"/>
        <v>0</v>
      </c>
      <c r="BP163" s="151">
        <f t="shared" si="106"/>
        <v>0</v>
      </c>
    </row>
    <row r="164" spans="3:68" x14ac:dyDescent="0.25">
      <c r="C164" s="198" t="s">
        <v>1107</v>
      </c>
      <c r="D164" s="198" t="s">
        <v>125</v>
      </c>
      <c r="E164" s="244"/>
      <c r="F164" s="244"/>
      <c r="G164" s="244">
        <f t="shared" si="98"/>
        <v>-23473.01693895716</v>
      </c>
      <c r="H164" s="244">
        <f t="shared" ref="H164:AM164" si="107">SUM(H158:H163)</f>
        <v>-200</v>
      </c>
      <c r="I164" s="244">
        <f t="shared" si="107"/>
        <v>0</v>
      </c>
      <c r="J164" s="244">
        <f t="shared" si="107"/>
        <v>0</v>
      </c>
      <c r="K164" s="244">
        <f t="shared" si="107"/>
        <v>-102.68367641614219</v>
      </c>
      <c r="L164" s="244">
        <f t="shared" si="107"/>
        <v>-5.8428767123287679</v>
      </c>
      <c r="M164" s="244">
        <f t="shared" si="107"/>
        <v>-1262.091095890411</v>
      </c>
      <c r="N164" s="244">
        <f t="shared" si="107"/>
        <v>-34.079248426508705</v>
      </c>
      <c r="O164" s="244">
        <f t="shared" si="107"/>
        <v>-118.66100518326546</v>
      </c>
      <c r="P164" s="244">
        <f t="shared" si="107"/>
        <v>-228.21438356164384</v>
      </c>
      <c r="Q164" s="244">
        <f t="shared" si="107"/>
        <v>-29.214383561643842</v>
      </c>
      <c r="R164" s="244">
        <f t="shared" si="107"/>
        <v>-29.214383561643842</v>
      </c>
      <c r="S164" s="244">
        <f t="shared" si="107"/>
        <v>-50.836005183265463</v>
      </c>
      <c r="T164" s="244">
        <f t="shared" si="107"/>
        <v>-50.836005183265463</v>
      </c>
      <c r="U164" s="244">
        <f t="shared" si="107"/>
        <v>-29.214383561643842</v>
      </c>
      <c r="V164" s="244">
        <f t="shared" si="107"/>
        <v>-29.214383561643842</v>
      </c>
      <c r="W164" s="244">
        <f t="shared" si="107"/>
        <v>-29.214383561643842</v>
      </c>
      <c r="X164" s="244">
        <f t="shared" si="107"/>
        <v>-49.484653831914116</v>
      </c>
      <c r="Y164" s="244">
        <f t="shared" si="107"/>
        <v>-100.55492410218439</v>
      </c>
      <c r="Z164" s="244">
        <f t="shared" si="107"/>
        <v>-506.58634991575309</v>
      </c>
      <c r="AA164" s="244">
        <f t="shared" si="107"/>
        <v>-144.07924842650871</v>
      </c>
      <c r="AB164" s="244">
        <f t="shared" si="107"/>
        <v>-73.281951129211407</v>
      </c>
      <c r="AC164" s="244">
        <f t="shared" si="107"/>
        <v>-29.268437615697895</v>
      </c>
      <c r="AD164" s="244">
        <f t="shared" si="107"/>
        <v>-29.214383561643842</v>
      </c>
      <c r="AE164" s="244">
        <f t="shared" si="107"/>
        <v>-31.464383561643842</v>
      </c>
      <c r="AF164" s="244">
        <f t="shared" si="107"/>
        <v>-29.214383561643842</v>
      </c>
      <c r="AG164" s="244">
        <f t="shared" si="107"/>
        <v>-110.1514121330724</v>
      </c>
      <c r="AH164" s="244">
        <f t="shared" si="107"/>
        <v>-29.214383561643842</v>
      </c>
      <c r="AI164" s="244">
        <f t="shared" si="107"/>
        <v>-29.214383561643842</v>
      </c>
      <c r="AJ164" s="244">
        <f t="shared" si="107"/>
        <v>-45.43059977786006</v>
      </c>
      <c r="AK164" s="244">
        <f t="shared" si="107"/>
        <v>-170.31821437593035</v>
      </c>
      <c r="AL164" s="244">
        <f t="shared" si="107"/>
        <v>-19539.264703739358</v>
      </c>
      <c r="AM164" s="244">
        <f t="shared" si="107"/>
        <v>-29.214383561643842</v>
      </c>
      <c r="AN164" s="244">
        <f t="shared" ref="AN164:BP164" si="108">SUM(AN158:AN163)</f>
        <v>-152.45762680488707</v>
      </c>
      <c r="AO164" s="244">
        <f t="shared" si="108"/>
        <v>-29.214383561643842</v>
      </c>
      <c r="AP164" s="244">
        <f t="shared" si="108"/>
        <v>-29.214383561643842</v>
      </c>
      <c r="AQ164" s="244">
        <f t="shared" si="108"/>
        <v>-29.214383561643842</v>
      </c>
      <c r="AR164" s="244">
        <f t="shared" si="108"/>
        <v>-29.214383561643842</v>
      </c>
      <c r="AS164" s="244">
        <f t="shared" si="108"/>
        <v>-29.214383561643842</v>
      </c>
      <c r="AT164" s="244">
        <f t="shared" si="108"/>
        <v>-29.214383561643842</v>
      </c>
      <c r="AU164" s="244">
        <f t="shared" si="108"/>
        <v>0</v>
      </c>
      <c r="AV164" s="244">
        <f t="shared" si="108"/>
        <v>0</v>
      </c>
      <c r="AW164" s="244">
        <f t="shared" si="108"/>
        <v>0</v>
      </c>
      <c r="AX164" s="244">
        <f t="shared" si="108"/>
        <v>0</v>
      </c>
      <c r="AY164" s="244">
        <f t="shared" si="108"/>
        <v>0</v>
      </c>
      <c r="AZ164" s="244">
        <f t="shared" si="108"/>
        <v>0</v>
      </c>
      <c r="BA164" s="244">
        <f t="shared" si="108"/>
        <v>0</v>
      </c>
      <c r="BB164" s="244">
        <f t="shared" si="108"/>
        <v>0</v>
      </c>
      <c r="BC164" s="244">
        <f t="shared" si="108"/>
        <v>0</v>
      </c>
      <c r="BD164" s="244">
        <f t="shared" si="108"/>
        <v>0</v>
      </c>
      <c r="BE164" s="244">
        <f t="shared" si="108"/>
        <v>0</v>
      </c>
      <c r="BF164" s="244">
        <f t="shared" si="108"/>
        <v>0</v>
      </c>
      <c r="BG164" s="244">
        <f t="shared" si="108"/>
        <v>0</v>
      </c>
      <c r="BH164" s="244">
        <f t="shared" si="108"/>
        <v>0</v>
      </c>
      <c r="BI164" s="244">
        <f t="shared" si="108"/>
        <v>0</v>
      </c>
      <c r="BJ164" s="244">
        <f t="shared" si="108"/>
        <v>0</v>
      </c>
      <c r="BK164" s="244">
        <f t="shared" si="108"/>
        <v>0</v>
      </c>
      <c r="BL164" s="244">
        <f t="shared" si="108"/>
        <v>0</v>
      </c>
      <c r="BM164" s="244">
        <f t="shared" si="108"/>
        <v>0</v>
      </c>
      <c r="BN164" s="244">
        <f t="shared" si="108"/>
        <v>0</v>
      </c>
      <c r="BO164" s="244">
        <f t="shared" si="108"/>
        <v>0</v>
      </c>
      <c r="BP164" s="244">
        <f t="shared" si="108"/>
        <v>0</v>
      </c>
    </row>
    <row r="165" spans="3:68" x14ac:dyDescent="0.25">
      <c r="C165" t="s">
        <v>1108</v>
      </c>
      <c r="D165" t="s">
        <v>125</v>
      </c>
      <c r="E165" s="151"/>
      <c r="F165" s="151"/>
      <c r="G165" s="151">
        <f>MIN(H165:BP165)</f>
        <v>-23473.01693895716</v>
      </c>
      <c r="H165" s="151">
        <f>H164</f>
        <v>-200</v>
      </c>
      <c r="I165" s="151">
        <f t="shared" ref="I165:AN165" si="109">H165+I164</f>
        <v>-200</v>
      </c>
      <c r="J165" s="151">
        <f t="shared" si="109"/>
        <v>-200</v>
      </c>
      <c r="K165" s="151">
        <f t="shared" si="109"/>
        <v>-302.68367641614219</v>
      </c>
      <c r="L165" s="151">
        <f t="shared" si="109"/>
        <v>-308.52655312847094</v>
      </c>
      <c r="M165" s="151">
        <f t="shared" si="109"/>
        <v>-1570.6176490188818</v>
      </c>
      <c r="N165" s="151">
        <f t="shared" si="109"/>
        <v>-1604.6968974453905</v>
      </c>
      <c r="O165" s="151">
        <f t="shared" si="109"/>
        <v>-1723.3579026286559</v>
      </c>
      <c r="P165" s="151">
        <f t="shared" si="109"/>
        <v>-1951.5722861902998</v>
      </c>
      <c r="Q165" s="151">
        <f t="shared" si="109"/>
        <v>-1980.7866697519437</v>
      </c>
      <c r="R165" s="151">
        <f t="shared" si="109"/>
        <v>-2010.0010533135876</v>
      </c>
      <c r="S165" s="151">
        <f t="shared" si="109"/>
        <v>-2060.8370584968529</v>
      </c>
      <c r="T165" s="151">
        <f t="shared" si="109"/>
        <v>-2111.6730636801185</v>
      </c>
      <c r="U165" s="151">
        <f t="shared" si="109"/>
        <v>-2140.8874472417624</v>
      </c>
      <c r="V165" s="151">
        <f t="shared" si="109"/>
        <v>-2170.1018308034063</v>
      </c>
      <c r="W165" s="151">
        <f t="shared" si="109"/>
        <v>-2199.3162143650502</v>
      </c>
      <c r="X165" s="151">
        <f t="shared" si="109"/>
        <v>-2248.8008681969645</v>
      </c>
      <c r="Y165" s="151">
        <f t="shared" si="109"/>
        <v>-2349.355792299149</v>
      </c>
      <c r="Z165" s="151">
        <f t="shared" si="109"/>
        <v>-2855.9421422149021</v>
      </c>
      <c r="AA165" s="151">
        <f t="shared" si="109"/>
        <v>-3000.021390641411</v>
      </c>
      <c r="AB165" s="151">
        <f t="shared" si="109"/>
        <v>-3073.3033417706224</v>
      </c>
      <c r="AC165" s="151">
        <f t="shared" si="109"/>
        <v>-3102.5717793863205</v>
      </c>
      <c r="AD165" s="151">
        <f t="shared" si="109"/>
        <v>-3131.7861629479644</v>
      </c>
      <c r="AE165" s="151">
        <f t="shared" si="109"/>
        <v>-3163.2505465096083</v>
      </c>
      <c r="AF165" s="151">
        <f t="shared" si="109"/>
        <v>-3192.4649300712522</v>
      </c>
      <c r="AG165" s="151">
        <f t="shared" si="109"/>
        <v>-3302.6163422043246</v>
      </c>
      <c r="AH165" s="151">
        <f t="shared" si="109"/>
        <v>-3331.8307257659685</v>
      </c>
      <c r="AI165" s="151">
        <f t="shared" si="109"/>
        <v>-3361.0451093276124</v>
      </c>
      <c r="AJ165" s="151">
        <f t="shared" si="109"/>
        <v>-3406.4757091054726</v>
      </c>
      <c r="AK165" s="151">
        <f t="shared" si="109"/>
        <v>-3576.793923481403</v>
      </c>
      <c r="AL165" s="151">
        <f t="shared" si="109"/>
        <v>-23116.058627220762</v>
      </c>
      <c r="AM165" s="151">
        <f t="shared" si="109"/>
        <v>-23145.273010782406</v>
      </c>
      <c r="AN165" s="151">
        <f t="shared" si="109"/>
        <v>-23297.730637587294</v>
      </c>
      <c r="AO165" s="151">
        <f t="shared" ref="AO165:BP165" si="110">AN165+AO164</f>
        <v>-23326.945021148938</v>
      </c>
      <c r="AP165" s="151">
        <f t="shared" si="110"/>
        <v>-23356.159404710583</v>
      </c>
      <c r="AQ165" s="151">
        <f t="shared" si="110"/>
        <v>-23385.373788272227</v>
      </c>
      <c r="AR165" s="151">
        <f t="shared" si="110"/>
        <v>-23414.588171833871</v>
      </c>
      <c r="AS165" s="151">
        <f t="shared" si="110"/>
        <v>-23443.802555395516</v>
      </c>
      <c r="AT165" s="151">
        <f t="shared" si="110"/>
        <v>-23473.01693895716</v>
      </c>
      <c r="AU165" s="151">
        <f t="shared" si="110"/>
        <v>-23473.01693895716</v>
      </c>
      <c r="AV165" s="151">
        <f t="shared" si="110"/>
        <v>-23473.01693895716</v>
      </c>
      <c r="AW165" s="151">
        <f t="shared" si="110"/>
        <v>-23473.01693895716</v>
      </c>
      <c r="AX165" s="151">
        <f t="shared" si="110"/>
        <v>-23473.01693895716</v>
      </c>
      <c r="AY165" s="151">
        <f t="shared" si="110"/>
        <v>-23473.01693895716</v>
      </c>
      <c r="AZ165" s="151">
        <f t="shared" si="110"/>
        <v>-23473.01693895716</v>
      </c>
      <c r="BA165" s="151">
        <f t="shared" si="110"/>
        <v>-23473.01693895716</v>
      </c>
      <c r="BB165" s="151">
        <f t="shared" si="110"/>
        <v>-23473.01693895716</v>
      </c>
      <c r="BC165" s="151">
        <f t="shared" si="110"/>
        <v>-23473.01693895716</v>
      </c>
      <c r="BD165" s="151">
        <f t="shared" si="110"/>
        <v>-23473.01693895716</v>
      </c>
      <c r="BE165" s="151">
        <f t="shared" si="110"/>
        <v>-23473.01693895716</v>
      </c>
      <c r="BF165" s="151">
        <f t="shared" si="110"/>
        <v>-23473.01693895716</v>
      </c>
      <c r="BG165" s="151">
        <f t="shared" si="110"/>
        <v>-23473.01693895716</v>
      </c>
      <c r="BH165" s="151">
        <f t="shared" si="110"/>
        <v>-23473.01693895716</v>
      </c>
      <c r="BI165" s="151">
        <f t="shared" si="110"/>
        <v>-23473.01693895716</v>
      </c>
      <c r="BJ165" s="151">
        <f t="shared" si="110"/>
        <v>-23473.01693895716</v>
      </c>
      <c r="BK165" s="151">
        <f t="shared" si="110"/>
        <v>-23473.01693895716</v>
      </c>
      <c r="BL165" s="151">
        <f t="shared" si="110"/>
        <v>-23473.01693895716</v>
      </c>
      <c r="BM165" s="151">
        <f t="shared" si="110"/>
        <v>-23473.01693895716</v>
      </c>
      <c r="BN165" s="151">
        <f t="shared" si="110"/>
        <v>-23473.01693895716</v>
      </c>
      <c r="BO165" s="151">
        <f t="shared" si="110"/>
        <v>-23473.01693895716</v>
      </c>
      <c r="BP165" s="151">
        <f t="shared" si="110"/>
        <v>-23473.01693895716</v>
      </c>
    </row>
    <row r="166" spans="3:68" x14ac:dyDescent="0.25">
      <c r="C166" t="s">
        <v>1109</v>
      </c>
      <c r="D166" t="s">
        <v>125</v>
      </c>
      <c r="E166" s="151"/>
      <c r="F166" s="151"/>
      <c r="G166" s="151">
        <f t="shared" ref="G166:G172" si="111">SUM(H166:BP166)</f>
        <v>22239.607256294286</v>
      </c>
      <c r="H166" s="151">
        <f t="shared" ref="H166:AM166" si="112">-H$7*$G$147*$E$106</f>
        <v>0</v>
      </c>
      <c r="I166" s="151">
        <f t="shared" si="112"/>
        <v>0</v>
      </c>
      <c r="J166" s="151">
        <f t="shared" si="112"/>
        <v>0</v>
      </c>
      <c r="K166" s="151">
        <f t="shared" si="112"/>
        <v>0</v>
      </c>
      <c r="L166" s="151">
        <f t="shared" si="112"/>
        <v>0</v>
      </c>
      <c r="M166" s="151">
        <f t="shared" si="112"/>
        <v>0</v>
      </c>
      <c r="N166" s="151">
        <f t="shared" si="112"/>
        <v>0</v>
      </c>
      <c r="O166" s="151">
        <f t="shared" si="112"/>
        <v>0</v>
      </c>
      <c r="P166" s="151">
        <f t="shared" si="112"/>
        <v>0</v>
      </c>
      <c r="Q166" s="151">
        <f t="shared" si="112"/>
        <v>0</v>
      </c>
      <c r="R166" s="151">
        <f t="shared" si="112"/>
        <v>0</v>
      </c>
      <c r="S166" s="151">
        <f t="shared" si="112"/>
        <v>0</v>
      </c>
      <c r="T166" s="151">
        <f t="shared" si="112"/>
        <v>0</v>
      </c>
      <c r="U166" s="151">
        <f t="shared" si="112"/>
        <v>0</v>
      </c>
      <c r="V166" s="151">
        <f t="shared" si="112"/>
        <v>0</v>
      </c>
      <c r="W166" s="151">
        <f t="shared" si="112"/>
        <v>0</v>
      </c>
      <c r="X166" s="151">
        <f t="shared" si="112"/>
        <v>0</v>
      </c>
      <c r="Y166" s="151">
        <f t="shared" si="112"/>
        <v>0</v>
      </c>
      <c r="Z166" s="151">
        <f t="shared" si="112"/>
        <v>0</v>
      </c>
      <c r="AA166" s="151">
        <f t="shared" si="112"/>
        <v>0</v>
      </c>
      <c r="AB166" s="151">
        <f t="shared" si="112"/>
        <v>0</v>
      </c>
      <c r="AC166" s="151">
        <f t="shared" si="112"/>
        <v>0</v>
      </c>
      <c r="AD166" s="151">
        <f t="shared" si="112"/>
        <v>0</v>
      </c>
      <c r="AE166" s="151">
        <f t="shared" si="112"/>
        <v>0</v>
      </c>
      <c r="AF166" s="151">
        <f t="shared" si="112"/>
        <v>0</v>
      </c>
      <c r="AG166" s="151">
        <f t="shared" si="112"/>
        <v>0</v>
      </c>
      <c r="AH166" s="151">
        <f t="shared" si="112"/>
        <v>0</v>
      </c>
      <c r="AI166" s="151">
        <f t="shared" si="112"/>
        <v>0</v>
      </c>
      <c r="AJ166" s="151">
        <f t="shared" si="112"/>
        <v>0</v>
      </c>
      <c r="AK166" s="151">
        <f t="shared" si="112"/>
        <v>0</v>
      </c>
      <c r="AL166" s="151">
        <f t="shared" si="112"/>
        <v>0</v>
      </c>
      <c r="AM166" s="151">
        <f t="shared" si="112"/>
        <v>0</v>
      </c>
      <c r="AN166" s="151">
        <f t="shared" ref="AN166:BP166" si="113">-AN$7*$G$147*$E$106</f>
        <v>0</v>
      </c>
      <c r="AO166" s="151">
        <f t="shared" si="113"/>
        <v>0</v>
      </c>
      <c r="AP166" s="151">
        <f t="shared" si="113"/>
        <v>0</v>
      </c>
      <c r="AQ166" s="151">
        <f t="shared" si="113"/>
        <v>0</v>
      </c>
      <c r="AR166" s="151">
        <f t="shared" si="113"/>
        <v>0</v>
      </c>
      <c r="AS166" s="151">
        <f t="shared" si="113"/>
        <v>0</v>
      </c>
      <c r="AT166" s="151">
        <f t="shared" si="113"/>
        <v>22239.607256294286</v>
      </c>
      <c r="AU166" s="151">
        <f t="shared" si="113"/>
        <v>0</v>
      </c>
      <c r="AV166" s="151">
        <f t="shared" si="113"/>
        <v>0</v>
      </c>
      <c r="AW166" s="151">
        <f t="shared" si="113"/>
        <v>0</v>
      </c>
      <c r="AX166" s="151">
        <f t="shared" si="113"/>
        <v>0</v>
      </c>
      <c r="AY166" s="151">
        <f t="shared" si="113"/>
        <v>0</v>
      </c>
      <c r="AZ166" s="151">
        <f t="shared" si="113"/>
        <v>0</v>
      </c>
      <c r="BA166" s="151">
        <f t="shared" si="113"/>
        <v>0</v>
      </c>
      <c r="BB166" s="151">
        <f t="shared" si="113"/>
        <v>0</v>
      </c>
      <c r="BC166" s="151">
        <f t="shared" si="113"/>
        <v>0</v>
      </c>
      <c r="BD166" s="151">
        <f t="shared" si="113"/>
        <v>0</v>
      </c>
      <c r="BE166" s="151">
        <f t="shared" si="113"/>
        <v>0</v>
      </c>
      <c r="BF166" s="151">
        <f t="shared" si="113"/>
        <v>0</v>
      </c>
      <c r="BG166" s="151">
        <f t="shared" si="113"/>
        <v>0</v>
      </c>
      <c r="BH166" s="151">
        <f t="shared" si="113"/>
        <v>0</v>
      </c>
      <c r="BI166" s="151">
        <f t="shared" si="113"/>
        <v>0</v>
      </c>
      <c r="BJ166" s="151">
        <f t="shared" si="113"/>
        <v>0</v>
      </c>
      <c r="BK166" s="151">
        <f t="shared" si="113"/>
        <v>0</v>
      </c>
      <c r="BL166" s="151">
        <f t="shared" si="113"/>
        <v>0</v>
      </c>
      <c r="BM166" s="151">
        <f t="shared" si="113"/>
        <v>0</v>
      </c>
      <c r="BN166" s="151">
        <f t="shared" si="113"/>
        <v>0</v>
      </c>
      <c r="BO166" s="151">
        <f t="shared" si="113"/>
        <v>0</v>
      </c>
      <c r="BP166" s="151">
        <f t="shared" si="113"/>
        <v>0</v>
      </c>
    </row>
    <row r="167" spans="3:68" x14ac:dyDescent="0.25">
      <c r="C167" t="s">
        <v>1110</v>
      </c>
      <c r="D167" t="s">
        <v>125</v>
      </c>
      <c r="E167" s="151"/>
      <c r="F167" s="151"/>
      <c r="G167" s="151">
        <f t="shared" si="111"/>
        <v>212.68986486486486</v>
      </c>
      <c r="H167" s="151">
        <f t="shared" ref="H167:AM167" si="114">-H$7*$G$148*$E$106</f>
        <v>0</v>
      </c>
      <c r="I167" s="151">
        <f t="shared" si="114"/>
        <v>0</v>
      </c>
      <c r="J167" s="151">
        <f t="shared" si="114"/>
        <v>0</v>
      </c>
      <c r="K167" s="151">
        <f t="shared" si="114"/>
        <v>0</v>
      </c>
      <c r="L167" s="151">
        <f t="shared" si="114"/>
        <v>0</v>
      </c>
      <c r="M167" s="151">
        <f t="shared" si="114"/>
        <v>0</v>
      </c>
      <c r="N167" s="151">
        <f t="shared" si="114"/>
        <v>0</v>
      </c>
      <c r="O167" s="151">
        <f t="shared" si="114"/>
        <v>0</v>
      </c>
      <c r="P167" s="151">
        <f t="shared" si="114"/>
        <v>0</v>
      </c>
      <c r="Q167" s="151">
        <f t="shared" si="114"/>
        <v>0</v>
      </c>
      <c r="R167" s="151">
        <f t="shared" si="114"/>
        <v>0</v>
      </c>
      <c r="S167" s="151">
        <f t="shared" si="114"/>
        <v>0</v>
      </c>
      <c r="T167" s="151">
        <f t="shared" si="114"/>
        <v>0</v>
      </c>
      <c r="U167" s="151">
        <f t="shared" si="114"/>
        <v>0</v>
      </c>
      <c r="V167" s="151">
        <f t="shared" si="114"/>
        <v>0</v>
      </c>
      <c r="W167" s="151">
        <f t="shared" si="114"/>
        <v>0</v>
      </c>
      <c r="X167" s="151">
        <f t="shared" si="114"/>
        <v>0</v>
      </c>
      <c r="Y167" s="151">
        <f t="shared" si="114"/>
        <v>0</v>
      </c>
      <c r="Z167" s="151">
        <f t="shared" si="114"/>
        <v>0</v>
      </c>
      <c r="AA167" s="151">
        <f t="shared" si="114"/>
        <v>0</v>
      </c>
      <c r="AB167" s="151">
        <f t="shared" si="114"/>
        <v>0</v>
      </c>
      <c r="AC167" s="151">
        <f t="shared" si="114"/>
        <v>0</v>
      </c>
      <c r="AD167" s="151">
        <f t="shared" si="114"/>
        <v>0</v>
      </c>
      <c r="AE167" s="151">
        <f t="shared" si="114"/>
        <v>0</v>
      </c>
      <c r="AF167" s="151">
        <f t="shared" si="114"/>
        <v>0</v>
      </c>
      <c r="AG167" s="151">
        <f t="shared" si="114"/>
        <v>0</v>
      </c>
      <c r="AH167" s="151">
        <f t="shared" si="114"/>
        <v>0</v>
      </c>
      <c r="AI167" s="151">
        <f t="shared" si="114"/>
        <v>0</v>
      </c>
      <c r="AJ167" s="151">
        <f t="shared" si="114"/>
        <v>0</v>
      </c>
      <c r="AK167" s="151">
        <f t="shared" si="114"/>
        <v>0</v>
      </c>
      <c r="AL167" s="151">
        <f t="shared" si="114"/>
        <v>0</v>
      </c>
      <c r="AM167" s="151">
        <f t="shared" si="114"/>
        <v>0</v>
      </c>
      <c r="AN167" s="151">
        <f t="shared" ref="AN167:BP167" si="115">-AN$7*$G$148*$E$106</f>
        <v>0</v>
      </c>
      <c r="AO167" s="151">
        <f t="shared" si="115"/>
        <v>0</v>
      </c>
      <c r="AP167" s="151">
        <f t="shared" si="115"/>
        <v>0</v>
      </c>
      <c r="AQ167" s="151">
        <f t="shared" si="115"/>
        <v>0</v>
      </c>
      <c r="AR167" s="151">
        <f t="shared" si="115"/>
        <v>0</v>
      </c>
      <c r="AS167" s="151">
        <f t="shared" si="115"/>
        <v>0</v>
      </c>
      <c r="AT167" s="151">
        <f t="shared" si="115"/>
        <v>212.68986486486486</v>
      </c>
      <c r="AU167" s="151">
        <f t="shared" si="115"/>
        <v>0</v>
      </c>
      <c r="AV167" s="151">
        <f t="shared" si="115"/>
        <v>0</v>
      </c>
      <c r="AW167" s="151">
        <f t="shared" si="115"/>
        <v>0</v>
      </c>
      <c r="AX167" s="151">
        <f t="shared" si="115"/>
        <v>0</v>
      </c>
      <c r="AY167" s="151">
        <f t="shared" si="115"/>
        <v>0</v>
      </c>
      <c r="AZ167" s="151">
        <f t="shared" si="115"/>
        <v>0</v>
      </c>
      <c r="BA167" s="151">
        <f t="shared" si="115"/>
        <v>0</v>
      </c>
      <c r="BB167" s="151">
        <f t="shared" si="115"/>
        <v>0</v>
      </c>
      <c r="BC167" s="151">
        <f t="shared" si="115"/>
        <v>0</v>
      </c>
      <c r="BD167" s="151">
        <f t="shared" si="115"/>
        <v>0</v>
      </c>
      <c r="BE167" s="151">
        <f t="shared" si="115"/>
        <v>0</v>
      </c>
      <c r="BF167" s="151">
        <f t="shared" si="115"/>
        <v>0</v>
      </c>
      <c r="BG167" s="151">
        <f t="shared" si="115"/>
        <v>0</v>
      </c>
      <c r="BH167" s="151">
        <f t="shared" si="115"/>
        <v>0</v>
      </c>
      <c r="BI167" s="151">
        <f t="shared" si="115"/>
        <v>0</v>
      </c>
      <c r="BJ167" s="151">
        <f t="shared" si="115"/>
        <v>0</v>
      </c>
      <c r="BK167" s="151">
        <f t="shared" si="115"/>
        <v>0</v>
      </c>
      <c r="BL167" s="151">
        <f t="shared" si="115"/>
        <v>0</v>
      </c>
      <c r="BM167" s="151">
        <f t="shared" si="115"/>
        <v>0</v>
      </c>
      <c r="BN167" s="151">
        <f t="shared" si="115"/>
        <v>0</v>
      </c>
      <c r="BO167" s="151">
        <f t="shared" si="115"/>
        <v>0</v>
      </c>
      <c r="BP167" s="151">
        <f t="shared" si="115"/>
        <v>0</v>
      </c>
    </row>
    <row r="168" spans="3:68" x14ac:dyDescent="0.25">
      <c r="C168" t="s">
        <v>1111</v>
      </c>
      <c r="D168" t="s">
        <v>125</v>
      </c>
      <c r="E168" s="151"/>
      <c r="F168" s="151"/>
      <c r="G168" s="151">
        <f t="shared" si="111"/>
        <v>1546.8536980000156</v>
      </c>
      <c r="H168" s="151">
        <f t="shared" ref="H168:AM168" si="116">-H$7*$G$149*$E$106</f>
        <v>0</v>
      </c>
      <c r="I168" s="151">
        <f t="shared" si="116"/>
        <v>0</v>
      </c>
      <c r="J168" s="151">
        <f t="shared" si="116"/>
        <v>0</v>
      </c>
      <c r="K168" s="151">
        <f t="shared" si="116"/>
        <v>0</v>
      </c>
      <c r="L168" s="151">
        <f t="shared" si="116"/>
        <v>0</v>
      </c>
      <c r="M168" s="151">
        <f t="shared" si="116"/>
        <v>0</v>
      </c>
      <c r="N168" s="151">
        <f t="shared" si="116"/>
        <v>0</v>
      </c>
      <c r="O168" s="151">
        <f t="shared" si="116"/>
        <v>0</v>
      </c>
      <c r="P168" s="151">
        <f t="shared" si="116"/>
        <v>0</v>
      </c>
      <c r="Q168" s="151">
        <f t="shared" si="116"/>
        <v>0</v>
      </c>
      <c r="R168" s="151">
        <f t="shared" si="116"/>
        <v>0</v>
      </c>
      <c r="S168" s="151">
        <f t="shared" si="116"/>
        <v>0</v>
      </c>
      <c r="T168" s="151">
        <f t="shared" si="116"/>
        <v>0</v>
      </c>
      <c r="U168" s="151">
        <f t="shared" si="116"/>
        <v>0</v>
      </c>
      <c r="V168" s="151">
        <f t="shared" si="116"/>
        <v>0</v>
      </c>
      <c r="W168" s="151">
        <f t="shared" si="116"/>
        <v>0</v>
      </c>
      <c r="X168" s="151">
        <f t="shared" si="116"/>
        <v>0</v>
      </c>
      <c r="Y168" s="151">
        <f t="shared" si="116"/>
        <v>0</v>
      </c>
      <c r="Z168" s="151">
        <f t="shared" si="116"/>
        <v>0</v>
      </c>
      <c r="AA168" s="151">
        <f t="shared" si="116"/>
        <v>0</v>
      </c>
      <c r="AB168" s="151">
        <f t="shared" si="116"/>
        <v>0</v>
      </c>
      <c r="AC168" s="151">
        <f t="shared" si="116"/>
        <v>0</v>
      </c>
      <c r="AD168" s="151">
        <f t="shared" si="116"/>
        <v>0</v>
      </c>
      <c r="AE168" s="151">
        <f t="shared" si="116"/>
        <v>0</v>
      </c>
      <c r="AF168" s="151">
        <f t="shared" si="116"/>
        <v>0</v>
      </c>
      <c r="AG168" s="151">
        <f t="shared" si="116"/>
        <v>0</v>
      </c>
      <c r="AH168" s="151">
        <f t="shared" si="116"/>
        <v>0</v>
      </c>
      <c r="AI168" s="151">
        <f t="shared" si="116"/>
        <v>0</v>
      </c>
      <c r="AJ168" s="151">
        <f t="shared" si="116"/>
        <v>0</v>
      </c>
      <c r="AK168" s="151">
        <f t="shared" si="116"/>
        <v>0</v>
      </c>
      <c r="AL168" s="151">
        <f t="shared" si="116"/>
        <v>0</v>
      </c>
      <c r="AM168" s="151">
        <f t="shared" si="116"/>
        <v>0</v>
      </c>
      <c r="AN168" s="151">
        <f t="shared" ref="AN168:BP168" si="117">-AN$7*$G$149*$E$106</f>
        <v>0</v>
      </c>
      <c r="AO168" s="151">
        <f t="shared" si="117"/>
        <v>0</v>
      </c>
      <c r="AP168" s="151">
        <f t="shared" si="117"/>
        <v>0</v>
      </c>
      <c r="AQ168" s="151">
        <f t="shared" si="117"/>
        <v>0</v>
      </c>
      <c r="AR168" s="151">
        <f t="shared" si="117"/>
        <v>0</v>
      </c>
      <c r="AS168" s="151">
        <f t="shared" si="117"/>
        <v>0</v>
      </c>
      <c r="AT168" s="151">
        <f t="shared" si="117"/>
        <v>1546.8536980000156</v>
      </c>
      <c r="AU168" s="151">
        <f t="shared" si="117"/>
        <v>0</v>
      </c>
      <c r="AV168" s="151">
        <f t="shared" si="117"/>
        <v>0</v>
      </c>
      <c r="AW168" s="151">
        <f t="shared" si="117"/>
        <v>0</v>
      </c>
      <c r="AX168" s="151">
        <f t="shared" si="117"/>
        <v>0</v>
      </c>
      <c r="AY168" s="151">
        <f t="shared" si="117"/>
        <v>0</v>
      </c>
      <c r="AZ168" s="151">
        <f t="shared" si="117"/>
        <v>0</v>
      </c>
      <c r="BA168" s="151">
        <f t="shared" si="117"/>
        <v>0</v>
      </c>
      <c r="BB168" s="151">
        <f t="shared" si="117"/>
        <v>0</v>
      </c>
      <c r="BC168" s="151">
        <f t="shared" si="117"/>
        <v>0</v>
      </c>
      <c r="BD168" s="151">
        <f t="shared" si="117"/>
        <v>0</v>
      </c>
      <c r="BE168" s="151">
        <f t="shared" si="117"/>
        <v>0</v>
      </c>
      <c r="BF168" s="151">
        <f t="shared" si="117"/>
        <v>0</v>
      </c>
      <c r="BG168" s="151">
        <f t="shared" si="117"/>
        <v>0</v>
      </c>
      <c r="BH168" s="151">
        <f t="shared" si="117"/>
        <v>0</v>
      </c>
      <c r="BI168" s="151">
        <f t="shared" si="117"/>
        <v>0</v>
      </c>
      <c r="BJ168" s="151">
        <f t="shared" si="117"/>
        <v>0</v>
      </c>
      <c r="BK168" s="151">
        <f t="shared" si="117"/>
        <v>0</v>
      </c>
      <c r="BL168" s="151">
        <f t="shared" si="117"/>
        <v>0</v>
      </c>
      <c r="BM168" s="151">
        <f t="shared" si="117"/>
        <v>0</v>
      </c>
      <c r="BN168" s="151">
        <f t="shared" si="117"/>
        <v>0</v>
      </c>
      <c r="BO168" s="151">
        <f t="shared" si="117"/>
        <v>0</v>
      </c>
      <c r="BP168" s="151">
        <f t="shared" si="117"/>
        <v>0</v>
      </c>
    </row>
    <row r="169" spans="3:68" x14ac:dyDescent="0.25">
      <c r="C169" t="s">
        <v>1112</v>
      </c>
      <c r="D169" t="s">
        <v>125</v>
      </c>
      <c r="E169" s="151"/>
      <c r="F169" s="151"/>
      <c r="G169" s="151">
        <f t="shared" si="111"/>
        <v>933.29288415813448</v>
      </c>
      <c r="H169" s="151">
        <f t="shared" ref="H169:AM169" si="118">-H$7*$G$150*$E$106</f>
        <v>0</v>
      </c>
      <c r="I169" s="151">
        <f t="shared" si="118"/>
        <v>0</v>
      </c>
      <c r="J169" s="151">
        <f t="shared" si="118"/>
        <v>0</v>
      </c>
      <c r="K169" s="151">
        <f t="shared" si="118"/>
        <v>0</v>
      </c>
      <c r="L169" s="151">
        <f t="shared" si="118"/>
        <v>0</v>
      </c>
      <c r="M169" s="151">
        <f t="shared" si="118"/>
        <v>0</v>
      </c>
      <c r="N169" s="151">
        <f t="shared" si="118"/>
        <v>0</v>
      </c>
      <c r="O169" s="151">
        <f t="shared" si="118"/>
        <v>0</v>
      </c>
      <c r="P169" s="151">
        <f t="shared" si="118"/>
        <v>0</v>
      </c>
      <c r="Q169" s="151">
        <f t="shared" si="118"/>
        <v>0</v>
      </c>
      <c r="R169" s="151">
        <f t="shared" si="118"/>
        <v>0</v>
      </c>
      <c r="S169" s="151">
        <f t="shared" si="118"/>
        <v>0</v>
      </c>
      <c r="T169" s="151">
        <f t="shared" si="118"/>
        <v>0</v>
      </c>
      <c r="U169" s="151">
        <f t="shared" si="118"/>
        <v>0</v>
      </c>
      <c r="V169" s="151">
        <f t="shared" si="118"/>
        <v>0</v>
      </c>
      <c r="W169" s="151">
        <f t="shared" si="118"/>
        <v>0</v>
      </c>
      <c r="X169" s="151">
        <f t="shared" si="118"/>
        <v>0</v>
      </c>
      <c r="Y169" s="151">
        <f t="shared" si="118"/>
        <v>0</v>
      </c>
      <c r="Z169" s="151">
        <f t="shared" si="118"/>
        <v>0</v>
      </c>
      <c r="AA169" s="151">
        <f t="shared" si="118"/>
        <v>0</v>
      </c>
      <c r="AB169" s="151">
        <f t="shared" si="118"/>
        <v>0</v>
      </c>
      <c r="AC169" s="151">
        <f t="shared" si="118"/>
        <v>0</v>
      </c>
      <c r="AD169" s="151">
        <f t="shared" si="118"/>
        <v>0</v>
      </c>
      <c r="AE169" s="151">
        <f t="shared" si="118"/>
        <v>0</v>
      </c>
      <c r="AF169" s="151">
        <f t="shared" si="118"/>
        <v>0</v>
      </c>
      <c r="AG169" s="151">
        <f t="shared" si="118"/>
        <v>0</v>
      </c>
      <c r="AH169" s="151">
        <f t="shared" si="118"/>
        <v>0</v>
      </c>
      <c r="AI169" s="151">
        <f t="shared" si="118"/>
        <v>0</v>
      </c>
      <c r="AJ169" s="151">
        <f t="shared" si="118"/>
        <v>0</v>
      </c>
      <c r="AK169" s="151">
        <f t="shared" si="118"/>
        <v>0</v>
      </c>
      <c r="AL169" s="151">
        <f t="shared" si="118"/>
        <v>0</v>
      </c>
      <c r="AM169" s="151">
        <f t="shared" si="118"/>
        <v>0</v>
      </c>
      <c r="AN169" s="151">
        <f t="shared" ref="AN169:BP169" si="119">-AN$7*$G$150*$E$106</f>
        <v>0</v>
      </c>
      <c r="AO169" s="151">
        <f t="shared" si="119"/>
        <v>0</v>
      </c>
      <c r="AP169" s="151">
        <f t="shared" si="119"/>
        <v>0</v>
      </c>
      <c r="AQ169" s="151">
        <f t="shared" si="119"/>
        <v>0</v>
      </c>
      <c r="AR169" s="151">
        <f t="shared" si="119"/>
        <v>0</v>
      </c>
      <c r="AS169" s="151">
        <f t="shared" si="119"/>
        <v>0</v>
      </c>
      <c r="AT169" s="151">
        <f t="shared" si="119"/>
        <v>933.29288415813448</v>
      </c>
      <c r="AU169" s="151">
        <f t="shared" si="119"/>
        <v>0</v>
      </c>
      <c r="AV169" s="151">
        <f t="shared" si="119"/>
        <v>0</v>
      </c>
      <c r="AW169" s="151">
        <f t="shared" si="119"/>
        <v>0</v>
      </c>
      <c r="AX169" s="151">
        <f t="shared" si="119"/>
        <v>0</v>
      </c>
      <c r="AY169" s="151">
        <f t="shared" si="119"/>
        <v>0</v>
      </c>
      <c r="AZ169" s="151">
        <f t="shared" si="119"/>
        <v>0</v>
      </c>
      <c r="BA169" s="151">
        <f t="shared" si="119"/>
        <v>0</v>
      </c>
      <c r="BB169" s="151">
        <f t="shared" si="119"/>
        <v>0</v>
      </c>
      <c r="BC169" s="151">
        <f t="shared" si="119"/>
        <v>0</v>
      </c>
      <c r="BD169" s="151">
        <f t="shared" si="119"/>
        <v>0</v>
      </c>
      <c r="BE169" s="151">
        <f t="shared" si="119"/>
        <v>0</v>
      </c>
      <c r="BF169" s="151">
        <f t="shared" si="119"/>
        <v>0</v>
      </c>
      <c r="BG169" s="151">
        <f t="shared" si="119"/>
        <v>0</v>
      </c>
      <c r="BH169" s="151">
        <f t="shared" si="119"/>
        <v>0</v>
      </c>
      <c r="BI169" s="151">
        <f t="shared" si="119"/>
        <v>0</v>
      </c>
      <c r="BJ169" s="151">
        <f t="shared" si="119"/>
        <v>0</v>
      </c>
      <c r="BK169" s="151">
        <f t="shared" si="119"/>
        <v>0</v>
      </c>
      <c r="BL169" s="151">
        <f t="shared" si="119"/>
        <v>0</v>
      </c>
      <c r="BM169" s="151">
        <f t="shared" si="119"/>
        <v>0</v>
      </c>
      <c r="BN169" s="151">
        <f t="shared" si="119"/>
        <v>0</v>
      </c>
      <c r="BO169" s="151">
        <f t="shared" si="119"/>
        <v>0</v>
      </c>
      <c r="BP169" s="151">
        <f t="shared" si="119"/>
        <v>0</v>
      </c>
    </row>
    <row r="170" spans="3:68" x14ac:dyDescent="0.25">
      <c r="C170" t="s">
        <v>1113</v>
      </c>
      <c r="D170" t="s">
        <v>125</v>
      </c>
      <c r="E170" s="151"/>
      <c r="F170" s="151"/>
      <c r="G170" s="151">
        <f t="shared" si="111"/>
        <v>6748.6370391411374</v>
      </c>
      <c r="H170" s="151">
        <f t="shared" ref="H170:AM170" si="120">H$7*$G$153</f>
        <v>0</v>
      </c>
      <c r="I170" s="151">
        <f t="shared" si="120"/>
        <v>0</v>
      </c>
      <c r="J170" s="151">
        <f t="shared" si="120"/>
        <v>0</v>
      </c>
      <c r="K170" s="151">
        <f t="shared" si="120"/>
        <v>0</v>
      </c>
      <c r="L170" s="151">
        <f t="shared" si="120"/>
        <v>0</v>
      </c>
      <c r="M170" s="151">
        <f t="shared" si="120"/>
        <v>0</v>
      </c>
      <c r="N170" s="151">
        <f t="shared" si="120"/>
        <v>0</v>
      </c>
      <c r="O170" s="151">
        <f t="shared" si="120"/>
        <v>0</v>
      </c>
      <c r="P170" s="151">
        <f t="shared" si="120"/>
        <v>0</v>
      </c>
      <c r="Q170" s="151">
        <f t="shared" si="120"/>
        <v>0</v>
      </c>
      <c r="R170" s="151">
        <f t="shared" si="120"/>
        <v>0</v>
      </c>
      <c r="S170" s="151">
        <f t="shared" si="120"/>
        <v>0</v>
      </c>
      <c r="T170" s="151">
        <f t="shared" si="120"/>
        <v>0</v>
      </c>
      <c r="U170" s="151">
        <f t="shared" si="120"/>
        <v>0</v>
      </c>
      <c r="V170" s="151">
        <f t="shared" si="120"/>
        <v>0</v>
      </c>
      <c r="W170" s="151">
        <f t="shared" si="120"/>
        <v>0</v>
      </c>
      <c r="X170" s="151">
        <f t="shared" si="120"/>
        <v>0</v>
      </c>
      <c r="Y170" s="151">
        <f t="shared" si="120"/>
        <v>0</v>
      </c>
      <c r="Z170" s="151">
        <f t="shared" si="120"/>
        <v>0</v>
      </c>
      <c r="AA170" s="151">
        <f t="shared" si="120"/>
        <v>0</v>
      </c>
      <c r="AB170" s="151">
        <f t="shared" si="120"/>
        <v>0</v>
      </c>
      <c r="AC170" s="151">
        <f t="shared" si="120"/>
        <v>0</v>
      </c>
      <c r="AD170" s="151">
        <f t="shared" si="120"/>
        <v>0</v>
      </c>
      <c r="AE170" s="151">
        <f t="shared" si="120"/>
        <v>0</v>
      </c>
      <c r="AF170" s="151">
        <f t="shared" si="120"/>
        <v>0</v>
      </c>
      <c r="AG170" s="151">
        <f t="shared" si="120"/>
        <v>0</v>
      </c>
      <c r="AH170" s="151">
        <f t="shared" si="120"/>
        <v>0</v>
      </c>
      <c r="AI170" s="151">
        <f t="shared" si="120"/>
        <v>0</v>
      </c>
      <c r="AJ170" s="151">
        <f t="shared" si="120"/>
        <v>0</v>
      </c>
      <c r="AK170" s="151">
        <f t="shared" si="120"/>
        <v>0</v>
      </c>
      <c r="AL170" s="151">
        <f t="shared" si="120"/>
        <v>0</v>
      </c>
      <c r="AM170" s="151">
        <f t="shared" si="120"/>
        <v>0</v>
      </c>
      <c r="AN170" s="151">
        <f t="shared" ref="AN170:BP170" si="121">AN$7*$G$153</f>
        <v>0</v>
      </c>
      <c r="AO170" s="151">
        <f t="shared" si="121"/>
        <v>0</v>
      </c>
      <c r="AP170" s="151">
        <f t="shared" si="121"/>
        <v>0</v>
      </c>
      <c r="AQ170" s="151">
        <f t="shared" si="121"/>
        <v>0</v>
      </c>
      <c r="AR170" s="151">
        <f t="shared" si="121"/>
        <v>0</v>
      </c>
      <c r="AS170" s="151">
        <f t="shared" si="121"/>
        <v>0</v>
      </c>
      <c r="AT170" s="151">
        <f t="shared" si="121"/>
        <v>6748.6370391411374</v>
      </c>
      <c r="AU170" s="151">
        <f t="shared" si="121"/>
        <v>0</v>
      </c>
      <c r="AV170" s="151">
        <f t="shared" si="121"/>
        <v>0</v>
      </c>
      <c r="AW170" s="151">
        <f t="shared" si="121"/>
        <v>0</v>
      </c>
      <c r="AX170" s="151">
        <f t="shared" si="121"/>
        <v>0</v>
      </c>
      <c r="AY170" s="151">
        <f t="shared" si="121"/>
        <v>0</v>
      </c>
      <c r="AZ170" s="151">
        <f t="shared" si="121"/>
        <v>0</v>
      </c>
      <c r="BA170" s="151">
        <f t="shared" si="121"/>
        <v>0</v>
      </c>
      <c r="BB170" s="151">
        <f t="shared" si="121"/>
        <v>0</v>
      </c>
      <c r="BC170" s="151">
        <f t="shared" si="121"/>
        <v>0</v>
      </c>
      <c r="BD170" s="151">
        <f t="shared" si="121"/>
        <v>0</v>
      </c>
      <c r="BE170" s="151">
        <f t="shared" si="121"/>
        <v>0</v>
      </c>
      <c r="BF170" s="151">
        <f t="shared" si="121"/>
        <v>0</v>
      </c>
      <c r="BG170" s="151">
        <f t="shared" si="121"/>
        <v>0</v>
      </c>
      <c r="BH170" s="151">
        <f t="shared" si="121"/>
        <v>0</v>
      </c>
      <c r="BI170" s="151">
        <f t="shared" si="121"/>
        <v>0</v>
      </c>
      <c r="BJ170" s="151">
        <f t="shared" si="121"/>
        <v>0</v>
      </c>
      <c r="BK170" s="151">
        <f t="shared" si="121"/>
        <v>0</v>
      </c>
      <c r="BL170" s="151">
        <f t="shared" si="121"/>
        <v>0</v>
      </c>
      <c r="BM170" s="151">
        <f t="shared" si="121"/>
        <v>0</v>
      </c>
      <c r="BN170" s="151">
        <f t="shared" si="121"/>
        <v>0</v>
      </c>
      <c r="BO170" s="151">
        <f t="shared" si="121"/>
        <v>0</v>
      </c>
      <c r="BP170" s="151">
        <f t="shared" si="121"/>
        <v>0</v>
      </c>
    </row>
    <row r="171" spans="3:68" x14ac:dyDescent="0.25">
      <c r="C171" s="198" t="s">
        <v>1114</v>
      </c>
      <c r="D171" s="198" t="s">
        <v>125</v>
      </c>
      <c r="E171" s="244"/>
      <c r="F171" s="244"/>
      <c r="G171" s="244">
        <f t="shared" si="111"/>
        <v>31681.080742458438</v>
      </c>
      <c r="H171" s="244">
        <f t="shared" ref="H171:AM171" si="122">SUM(H166:H170)</f>
        <v>0</v>
      </c>
      <c r="I171" s="244">
        <f t="shared" si="122"/>
        <v>0</v>
      </c>
      <c r="J171" s="244">
        <f t="shared" si="122"/>
        <v>0</v>
      </c>
      <c r="K171" s="244">
        <f t="shared" si="122"/>
        <v>0</v>
      </c>
      <c r="L171" s="244">
        <f t="shared" si="122"/>
        <v>0</v>
      </c>
      <c r="M171" s="244">
        <f t="shared" si="122"/>
        <v>0</v>
      </c>
      <c r="N171" s="244">
        <f t="shared" si="122"/>
        <v>0</v>
      </c>
      <c r="O171" s="244">
        <f t="shared" si="122"/>
        <v>0</v>
      </c>
      <c r="P171" s="244">
        <f t="shared" si="122"/>
        <v>0</v>
      </c>
      <c r="Q171" s="244">
        <f t="shared" si="122"/>
        <v>0</v>
      </c>
      <c r="R171" s="244">
        <f t="shared" si="122"/>
        <v>0</v>
      </c>
      <c r="S171" s="244">
        <f t="shared" si="122"/>
        <v>0</v>
      </c>
      <c r="T171" s="244">
        <f t="shared" si="122"/>
        <v>0</v>
      </c>
      <c r="U171" s="244">
        <f t="shared" si="122"/>
        <v>0</v>
      </c>
      <c r="V171" s="244">
        <f t="shared" si="122"/>
        <v>0</v>
      </c>
      <c r="W171" s="244">
        <f t="shared" si="122"/>
        <v>0</v>
      </c>
      <c r="X171" s="244">
        <f t="shared" si="122"/>
        <v>0</v>
      </c>
      <c r="Y171" s="244">
        <f t="shared" si="122"/>
        <v>0</v>
      </c>
      <c r="Z171" s="244">
        <f t="shared" si="122"/>
        <v>0</v>
      </c>
      <c r="AA171" s="244">
        <f t="shared" si="122"/>
        <v>0</v>
      </c>
      <c r="AB171" s="244">
        <f t="shared" si="122"/>
        <v>0</v>
      </c>
      <c r="AC171" s="244">
        <f t="shared" si="122"/>
        <v>0</v>
      </c>
      <c r="AD171" s="244">
        <f t="shared" si="122"/>
        <v>0</v>
      </c>
      <c r="AE171" s="244">
        <f t="shared" si="122"/>
        <v>0</v>
      </c>
      <c r="AF171" s="244">
        <f t="shared" si="122"/>
        <v>0</v>
      </c>
      <c r="AG171" s="244">
        <f t="shared" si="122"/>
        <v>0</v>
      </c>
      <c r="AH171" s="244">
        <f t="shared" si="122"/>
        <v>0</v>
      </c>
      <c r="AI171" s="244">
        <f t="shared" si="122"/>
        <v>0</v>
      </c>
      <c r="AJ171" s="244">
        <f t="shared" si="122"/>
        <v>0</v>
      </c>
      <c r="AK171" s="244">
        <f t="shared" si="122"/>
        <v>0</v>
      </c>
      <c r="AL171" s="244">
        <f t="shared" si="122"/>
        <v>0</v>
      </c>
      <c r="AM171" s="244">
        <f t="shared" si="122"/>
        <v>0</v>
      </c>
      <c r="AN171" s="244">
        <f t="shared" ref="AN171:BP171" si="123">SUM(AN166:AN170)</f>
        <v>0</v>
      </c>
      <c r="AO171" s="244">
        <f t="shared" si="123"/>
        <v>0</v>
      </c>
      <c r="AP171" s="244">
        <f t="shared" si="123"/>
        <v>0</v>
      </c>
      <c r="AQ171" s="244">
        <f t="shared" si="123"/>
        <v>0</v>
      </c>
      <c r="AR171" s="244">
        <f t="shared" si="123"/>
        <v>0</v>
      </c>
      <c r="AS171" s="244">
        <f t="shared" si="123"/>
        <v>0</v>
      </c>
      <c r="AT171" s="244">
        <f t="shared" si="123"/>
        <v>31681.080742458438</v>
      </c>
      <c r="AU171" s="244">
        <f t="shared" si="123"/>
        <v>0</v>
      </c>
      <c r="AV171" s="244">
        <f t="shared" si="123"/>
        <v>0</v>
      </c>
      <c r="AW171" s="244">
        <f t="shared" si="123"/>
        <v>0</v>
      </c>
      <c r="AX171" s="244">
        <f t="shared" si="123"/>
        <v>0</v>
      </c>
      <c r="AY171" s="244">
        <f t="shared" si="123"/>
        <v>0</v>
      </c>
      <c r="AZ171" s="244">
        <f t="shared" si="123"/>
        <v>0</v>
      </c>
      <c r="BA171" s="244">
        <f t="shared" si="123"/>
        <v>0</v>
      </c>
      <c r="BB171" s="244">
        <f t="shared" si="123"/>
        <v>0</v>
      </c>
      <c r="BC171" s="244">
        <f t="shared" si="123"/>
        <v>0</v>
      </c>
      <c r="BD171" s="244">
        <f t="shared" si="123"/>
        <v>0</v>
      </c>
      <c r="BE171" s="244">
        <f t="shared" si="123"/>
        <v>0</v>
      </c>
      <c r="BF171" s="244">
        <f t="shared" si="123"/>
        <v>0</v>
      </c>
      <c r="BG171" s="244">
        <f t="shared" si="123"/>
        <v>0</v>
      </c>
      <c r="BH171" s="244">
        <f t="shared" si="123"/>
        <v>0</v>
      </c>
      <c r="BI171" s="244">
        <f t="shared" si="123"/>
        <v>0</v>
      </c>
      <c r="BJ171" s="244">
        <f t="shared" si="123"/>
        <v>0</v>
      </c>
      <c r="BK171" s="244">
        <f t="shared" si="123"/>
        <v>0</v>
      </c>
      <c r="BL171" s="244">
        <f t="shared" si="123"/>
        <v>0</v>
      </c>
      <c r="BM171" s="244">
        <f t="shared" si="123"/>
        <v>0</v>
      </c>
      <c r="BN171" s="244">
        <f t="shared" si="123"/>
        <v>0</v>
      </c>
      <c r="BO171" s="244">
        <f t="shared" si="123"/>
        <v>0</v>
      </c>
      <c r="BP171" s="244">
        <f t="shared" si="123"/>
        <v>0</v>
      </c>
    </row>
    <row r="172" spans="3:68" x14ac:dyDescent="0.25">
      <c r="C172" t="s">
        <v>1115</v>
      </c>
      <c r="D172" t="s">
        <v>125</v>
      </c>
      <c r="E172" s="151"/>
      <c r="F172" s="151"/>
      <c r="G172" s="151">
        <f t="shared" si="111"/>
        <v>8208.063803501278</v>
      </c>
      <c r="H172" s="151">
        <f t="shared" ref="H172:AM172" si="124">H164+H171</f>
        <v>-200</v>
      </c>
      <c r="I172" s="151">
        <f t="shared" si="124"/>
        <v>0</v>
      </c>
      <c r="J172" s="151">
        <f t="shared" si="124"/>
        <v>0</v>
      </c>
      <c r="K172" s="151">
        <f t="shared" si="124"/>
        <v>-102.68367641614219</v>
      </c>
      <c r="L172" s="151">
        <f t="shared" si="124"/>
        <v>-5.8428767123287679</v>
      </c>
      <c r="M172" s="151">
        <f t="shared" si="124"/>
        <v>-1262.091095890411</v>
      </c>
      <c r="N172" s="151">
        <f t="shared" si="124"/>
        <v>-34.079248426508705</v>
      </c>
      <c r="O172" s="151">
        <f t="shared" si="124"/>
        <v>-118.66100518326546</v>
      </c>
      <c r="P172" s="151">
        <f t="shared" si="124"/>
        <v>-228.21438356164384</v>
      </c>
      <c r="Q172" s="151">
        <f t="shared" si="124"/>
        <v>-29.214383561643842</v>
      </c>
      <c r="R172" s="151">
        <f t="shared" si="124"/>
        <v>-29.214383561643842</v>
      </c>
      <c r="S172" s="151">
        <f t="shared" si="124"/>
        <v>-50.836005183265463</v>
      </c>
      <c r="T172" s="151">
        <f t="shared" si="124"/>
        <v>-50.836005183265463</v>
      </c>
      <c r="U172" s="151">
        <f t="shared" si="124"/>
        <v>-29.214383561643842</v>
      </c>
      <c r="V172" s="151">
        <f t="shared" si="124"/>
        <v>-29.214383561643842</v>
      </c>
      <c r="W172" s="151">
        <f t="shared" si="124"/>
        <v>-29.214383561643842</v>
      </c>
      <c r="X172" s="151">
        <f t="shared" si="124"/>
        <v>-49.484653831914116</v>
      </c>
      <c r="Y172" s="151">
        <f t="shared" si="124"/>
        <v>-100.55492410218439</v>
      </c>
      <c r="Z172" s="151">
        <f t="shared" si="124"/>
        <v>-506.58634991575309</v>
      </c>
      <c r="AA172" s="151">
        <f t="shared" si="124"/>
        <v>-144.07924842650871</v>
      </c>
      <c r="AB172" s="151">
        <f t="shared" si="124"/>
        <v>-73.281951129211407</v>
      </c>
      <c r="AC172" s="151">
        <f t="shared" si="124"/>
        <v>-29.268437615697895</v>
      </c>
      <c r="AD172" s="151">
        <f t="shared" si="124"/>
        <v>-29.214383561643842</v>
      </c>
      <c r="AE172" s="151">
        <f t="shared" si="124"/>
        <v>-31.464383561643842</v>
      </c>
      <c r="AF172" s="151">
        <f t="shared" si="124"/>
        <v>-29.214383561643842</v>
      </c>
      <c r="AG172" s="151">
        <f t="shared" si="124"/>
        <v>-110.1514121330724</v>
      </c>
      <c r="AH172" s="151">
        <f t="shared" si="124"/>
        <v>-29.214383561643842</v>
      </c>
      <c r="AI172" s="151">
        <f t="shared" si="124"/>
        <v>-29.214383561643842</v>
      </c>
      <c r="AJ172" s="151">
        <f t="shared" si="124"/>
        <v>-45.43059977786006</v>
      </c>
      <c r="AK172" s="151">
        <f t="shared" si="124"/>
        <v>-170.31821437593035</v>
      </c>
      <c r="AL172" s="151">
        <f t="shared" si="124"/>
        <v>-19539.264703739358</v>
      </c>
      <c r="AM172" s="151">
        <f t="shared" si="124"/>
        <v>-29.214383561643842</v>
      </c>
      <c r="AN172" s="151">
        <f t="shared" ref="AN172:BP172" si="125">AN164+AN171</f>
        <v>-152.45762680488707</v>
      </c>
      <c r="AO172" s="151">
        <f t="shared" si="125"/>
        <v>-29.214383561643842</v>
      </c>
      <c r="AP172" s="151">
        <f t="shared" si="125"/>
        <v>-29.214383561643842</v>
      </c>
      <c r="AQ172" s="151">
        <f t="shared" si="125"/>
        <v>-29.214383561643842</v>
      </c>
      <c r="AR172" s="151">
        <f t="shared" si="125"/>
        <v>-29.214383561643842</v>
      </c>
      <c r="AS172" s="151">
        <f t="shared" si="125"/>
        <v>-29.214383561643842</v>
      </c>
      <c r="AT172" s="151">
        <f t="shared" si="125"/>
        <v>31651.866358896794</v>
      </c>
      <c r="AU172" s="151">
        <f t="shared" si="125"/>
        <v>0</v>
      </c>
      <c r="AV172" s="151">
        <f t="shared" si="125"/>
        <v>0</v>
      </c>
      <c r="AW172" s="151">
        <f t="shared" si="125"/>
        <v>0</v>
      </c>
      <c r="AX172" s="151">
        <f t="shared" si="125"/>
        <v>0</v>
      </c>
      <c r="AY172" s="151">
        <f t="shared" si="125"/>
        <v>0</v>
      </c>
      <c r="AZ172" s="151">
        <f t="shared" si="125"/>
        <v>0</v>
      </c>
      <c r="BA172" s="151">
        <f t="shared" si="125"/>
        <v>0</v>
      </c>
      <c r="BB172" s="151">
        <f t="shared" si="125"/>
        <v>0</v>
      </c>
      <c r="BC172" s="151">
        <f t="shared" si="125"/>
        <v>0</v>
      </c>
      <c r="BD172" s="151">
        <f t="shared" si="125"/>
        <v>0</v>
      </c>
      <c r="BE172" s="151">
        <f t="shared" si="125"/>
        <v>0</v>
      </c>
      <c r="BF172" s="151">
        <f t="shared" si="125"/>
        <v>0</v>
      </c>
      <c r="BG172" s="151">
        <f t="shared" si="125"/>
        <v>0</v>
      </c>
      <c r="BH172" s="151">
        <f t="shared" si="125"/>
        <v>0</v>
      </c>
      <c r="BI172" s="151">
        <f t="shared" si="125"/>
        <v>0</v>
      </c>
      <c r="BJ172" s="151">
        <f t="shared" si="125"/>
        <v>0</v>
      </c>
      <c r="BK172" s="151">
        <f t="shared" si="125"/>
        <v>0</v>
      </c>
      <c r="BL172" s="151">
        <f t="shared" si="125"/>
        <v>0</v>
      </c>
      <c r="BM172" s="151">
        <f t="shared" si="125"/>
        <v>0</v>
      </c>
      <c r="BN172" s="151">
        <f t="shared" si="125"/>
        <v>0</v>
      </c>
      <c r="BO172" s="151">
        <f t="shared" si="125"/>
        <v>0</v>
      </c>
      <c r="BP172" s="151">
        <f t="shared" si="125"/>
        <v>0</v>
      </c>
    </row>
    <row r="173" spans="3:68" x14ac:dyDescent="0.25">
      <c r="C173" t="s">
        <v>1116</v>
      </c>
      <c r="D173" t="s">
        <v>125</v>
      </c>
      <c r="E173" s="151"/>
      <c r="F173" s="151"/>
      <c r="G173" s="151"/>
      <c r="H173" s="151">
        <f>H172</f>
        <v>-200</v>
      </c>
      <c r="I173" s="151">
        <f t="shared" ref="I173:AN173" si="126">H173+I172</f>
        <v>-200</v>
      </c>
      <c r="J173" s="151">
        <f t="shared" si="126"/>
        <v>-200</v>
      </c>
      <c r="K173" s="151">
        <f t="shared" si="126"/>
        <v>-302.68367641614219</v>
      </c>
      <c r="L173" s="151">
        <f t="shared" si="126"/>
        <v>-308.52655312847094</v>
      </c>
      <c r="M173" s="151">
        <f t="shared" si="126"/>
        <v>-1570.6176490188818</v>
      </c>
      <c r="N173" s="151">
        <f t="shared" si="126"/>
        <v>-1604.6968974453905</v>
      </c>
      <c r="O173" s="151">
        <f t="shared" si="126"/>
        <v>-1723.3579026286559</v>
      </c>
      <c r="P173" s="151">
        <f t="shared" si="126"/>
        <v>-1951.5722861902998</v>
      </c>
      <c r="Q173" s="151">
        <f t="shared" si="126"/>
        <v>-1980.7866697519437</v>
      </c>
      <c r="R173" s="151">
        <f t="shared" si="126"/>
        <v>-2010.0010533135876</v>
      </c>
      <c r="S173" s="151">
        <f t="shared" si="126"/>
        <v>-2060.8370584968529</v>
      </c>
      <c r="T173" s="151">
        <f t="shared" si="126"/>
        <v>-2111.6730636801185</v>
      </c>
      <c r="U173" s="151">
        <f t="shared" si="126"/>
        <v>-2140.8874472417624</v>
      </c>
      <c r="V173" s="151">
        <f t="shared" si="126"/>
        <v>-2170.1018308034063</v>
      </c>
      <c r="W173" s="151">
        <f t="shared" si="126"/>
        <v>-2199.3162143650502</v>
      </c>
      <c r="X173" s="151">
        <f t="shared" si="126"/>
        <v>-2248.8008681969645</v>
      </c>
      <c r="Y173" s="151">
        <f t="shared" si="126"/>
        <v>-2349.355792299149</v>
      </c>
      <c r="Z173" s="151">
        <f t="shared" si="126"/>
        <v>-2855.9421422149021</v>
      </c>
      <c r="AA173" s="151">
        <f t="shared" si="126"/>
        <v>-3000.021390641411</v>
      </c>
      <c r="AB173" s="151">
        <f t="shared" si="126"/>
        <v>-3073.3033417706224</v>
      </c>
      <c r="AC173" s="151">
        <f t="shared" si="126"/>
        <v>-3102.5717793863205</v>
      </c>
      <c r="AD173" s="151">
        <f t="shared" si="126"/>
        <v>-3131.7861629479644</v>
      </c>
      <c r="AE173" s="151">
        <f t="shared" si="126"/>
        <v>-3163.2505465096083</v>
      </c>
      <c r="AF173" s="151">
        <f t="shared" si="126"/>
        <v>-3192.4649300712522</v>
      </c>
      <c r="AG173" s="151">
        <f t="shared" si="126"/>
        <v>-3302.6163422043246</v>
      </c>
      <c r="AH173" s="151">
        <f t="shared" si="126"/>
        <v>-3331.8307257659685</v>
      </c>
      <c r="AI173" s="151">
        <f t="shared" si="126"/>
        <v>-3361.0451093276124</v>
      </c>
      <c r="AJ173" s="151">
        <f t="shared" si="126"/>
        <v>-3406.4757091054726</v>
      </c>
      <c r="AK173" s="151">
        <f t="shared" si="126"/>
        <v>-3576.793923481403</v>
      </c>
      <c r="AL173" s="151">
        <f t="shared" si="126"/>
        <v>-23116.058627220762</v>
      </c>
      <c r="AM173" s="151">
        <f t="shared" si="126"/>
        <v>-23145.273010782406</v>
      </c>
      <c r="AN173" s="151">
        <f t="shared" si="126"/>
        <v>-23297.730637587294</v>
      </c>
      <c r="AO173" s="151">
        <f t="shared" ref="AO173:BP173" si="127">AN173+AO172</f>
        <v>-23326.945021148938</v>
      </c>
      <c r="AP173" s="151">
        <f t="shared" si="127"/>
        <v>-23356.159404710583</v>
      </c>
      <c r="AQ173" s="151">
        <f t="shared" si="127"/>
        <v>-23385.373788272227</v>
      </c>
      <c r="AR173" s="151">
        <f t="shared" si="127"/>
        <v>-23414.588171833871</v>
      </c>
      <c r="AS173" s="151">
        <f t="shared" si="127"/>
        <v>-23443.802555395516</v>
      </c>
      <c r="AT173" s="151">
        <f t="shared" si="127"/>
        <v>8208.063803501278</v>
      </c>
      <c r="AU173" s="151">
        <f t="shared" si="127"/>
        <v>8208.063803501278</v>
      </c>
      <c r="AV173" s="151">
        <f t="shared" si="127"/>
        <v>8208.063803501278</v>
      </c>
      <c r="AW173" s="151">
        <f t="shared" si="127"/>
        <v>8208.063803501278</v>
      </c>
      <c r="AX173" s="151">
        <f t="shared" si="127"/>
        <v>8208.063803501278</v>
      </c>
      <c r="AY173" s="151">
        <f t="shared" si="127"/>
        <v>8208.063803501278</v>
      </c>
      <c r="AZ173" s="151">
        <f t="shared" si="127"/>
        <v>8208.063803501278</v>
      </c>
      <c r="BA173" s="151">
        <f t="shared" si="127"/>
        <v>8208.063803501278</v>
      </c>
      <c r="BB173" s="151">
        <f t="shared" si="127"/>
        <v>8208.063803501278</v>
      </c>
      <c r="BC173" s="151">
        <f t="shared" si="127"/>
        <v>8208.063803501278</v>
      </c>
      <c r="BD173" s="151">
        <f t="shared" si="127"/>
        <v>8208.063803501278</v>
      </c>
      <c r="BE173" s="151">
        <f t="shared" si="127"/>
        <v>8208.063803501278</v>
      </c>
      <c r="BF173" s="151">
        <f t="shared" si="127"/>
        <v>8208.063803501278</v>
      </c>
      <c r="BG173" s="151">
        <f t="shared" si="127"/>
        <v>8208.063803501278</v>
      </c>
      <c r="BH173" s="151">
        <f t="shared" si="127"/>
        <v>8208.063803501278</v>
      </c>
      <c r="BI173" s="151">
        <f t="shared" si="127"/>
        <v>8208.063803501278</v>
      </c>
      <c r="BJ173" s="151">
        <f t="shared" si="127"/>
        <v>8208.063803501278</v>
      </c>
      <c r="BK173" s="151">
        <f t="shared" si="127"/>
        <v>8208.063803501278</v>
      </c>
      <c r="BL173" s="151">
        <f t="shared" si="127"/>
        <v>8208.063803501278</v>
      </c>
      <c r="BM173" s="151">
        <f t="shared" si="127"/>
        <v>8208.063803501278</v>
      </c>
      <c r="BN173" s="151">
        <f t="shared" si="127"/>
        <v>8208.063803501278</v>
      </c>
      <c r="BO173" s="151">
        <f t="shared" si="127"/>
        <v>8208.063803501278</v>
      </c>
      <c r="BP173" s="151">
        <f t="shared" si="127"/>
        <v>8208.063803501278</v>
      </c>
    </row>
    <row r="174" spans="3:68" x14ac:dyDescent="0.25">
      <c r="C174" t="s">
        <v>1117</v>
      </c>
      <c r="D174" t="s">
        <v>125</v>
      </c>
      <c r="E174" s="134">
        <f>Inputs!$E$12</f>
        <v>0.15</v>
      </c>
      <c r="F174" s="151"/>
      <c r="G174" s="151">
        <f>SUM(H174:BP174)</f>
        <v>-218.91401465402109</v>
      </c>
      <c r="H174" s="151">
        <f>-H$7*$E$174*MAX(H173-Inputs!$E$14*$G$170,0)</f>
        <v>0</v>
      </c>
      <c r="I174" s="151">
        <f>-I$7*$E$174*MAX(I173-Inputs!$E$14*$G$170,0)</f>
        <v>0</v>
      </c>
      <c r="J174" s="151">
        <f>-J$7*$E$174*MAX(J173-Inputs!$E$14*$G$170,0)</f>
        <v>0</v>
      </c>
      <c r="K174" s="151">
        <f>-K$7*$E$174*MAX(K173-Inputs!$E$14*$G$170,0)</f>
        <v>0</v>
      </c>
      <c r="L174" s="151">
        <f>-L$7*$E$174*MAX(L173-Inputs!$E$14*$G$170,0)</f>
        <v>0</v>
      </c>
      <c r="M174" s="151">
        <f>-M$7*$E$174*MAX(M173-Inputs!$E$14*$G$170,0)</f>
        <v>0</v>
      </c>
      <c r="N174" s="151">
        <f>-N$7*$E$174*MAX(N173-Inputs!$E$14*$G$170,0)</f>
        <v>0</v>
      </c>
      <c r="O174" s="151">
        <f>-O$7*$E$174*MAX(O173-Inputs!$E$14*$G$170,0)</f>
        <v>0</v>
      </c>
      <c r="P174" s="151">
        <f>-P$7*$E$174*MAX(P173-Inputs!$E$14*$G$170,0)</f>
        <v>0</v>
      </c>
      <c r="Q174" s="151">
        <f>-Q$7*$E$174*MAX(Q173-Inputs!$E$14*$G$170,0)</f>
        <v>0</v>
      </c>
      <c r="R174" s="151">
        <f>-R$7*$E$174*MAX(R173-Inputs!$E$14*$G$170,0)</f>
        <v>0</v>
      </c>
      <c r="S174" s="151">
        <f>-S$7*$E$174*MAX(S173-Inputs!$E$14*$G$170,0)</f>
        <v>0</v>
      </c>
      <c r="T174" s="151">
        <f>-T$7*$E$174*MAX(T173-Inputs!$E$14*$G$170,0)</f>
        <v>0</v>
      </c>
      <c r="U174" s="151">
        <f>-U$7*$E$174*MAX(U173-Inputs!$E$14*$G$170,0)</f>
        <v>0</v>
      </c>
      <c r="V174" s="151">
        <f>-V$7*$E$174*MAX(V173-Inputs!$E$14*$G$170,0)</f>
        <v>0</v>
      </c>
      <c r="W174" s="151">
        <f>-W$7*$E$174*MAX(W173-Inputs!$E$14*$G$170,0)</f>
        <v>0</v>
      </c>
      <c r="X174" s="151">
        <f>-X$7*$E$174*MAX(X173-Inputs!$E$14*$G$170,0)</f>
        <v>0</v>
      </c>
      <c r="Y174" s="151">
        <f>-Y$7*$E$174*MAX(Y173-Inputs!$E$14*$G$170,0)</f>
        <v>0</v>
      </c>
      <c r="Z174" s="151">
        <f>-Z$7*$E$174*MAX(Z173-Inputs!$E$14*$G$170,0)</f>
        <v>0</v>
      </c>
      <c r="AA174" s="151">
        <f>-AA$7*$E$174*MAX(AA173-Inputs!$E$14*$G$170,0)</f>
        <v>0</v>
      </c>
      <c r="AB174" s="151">
        <f>-AB$7*$E$174*MAX(AB173-Inputs!$E$14*$G$170,0)</f>
        <v>0</v>
      </c>
      <c r="AC174" s="151">
        <f>-AC$7*$E$174*MAX(AC173-Inputs!$E$14*$G$170,0)</f>
        <v>0</v>
      </c>
      <c r="AD174" s="151">
        <f>-AD$7*$E$174*MAX(AD173-Inputs!$E$14*$G$170,0)</f>
        <v>0</v>
      </c>
      <c r="AE174" s="151">
        <f>-AE$7*$E$174*MAX(AE173-Inputs!$E$14*$G$170,0)</f>
        <v>0</v>
      </c>
      <c r="AF174" s="151">
        <f>-AF$7*$E$174*MAX(AF173-Inputs!$E$14*$G$170,0)</f>
        <v>0</v>
      </c>
      <c r="AG174" s="151">
        <f>-AG$7*$E$174*MAX(AG173-Inputs!$E$14*$G$170,0)</f>
        <v>0</v>
      </c>
      <c r="AH174" s="151">
        <f>-AH$7*$E$174*MAX(AH173-Inputs!$E$14*$G$170,0)</f>
        <v>0</v>
      </c>
      <c r="AI174" s="151">
        <f>-AI$7*$E$174*MAX(AI173-Inputs!$E$14*$G$170,0)</f>
        <v>0</v>
      </c>
      <c r="AJ174" s="151">
        <f>-AJ$7*$E$174*MAX(AJ173-Inputs!$E$14*$G$170,0)</f>
        <v>0</v>
      </c>
      <c r="AK174" s="151">
        <f>-AK$7*$E$174*MAX(AK173-Inputs!$E$14*$G$170,0)</f>
        <v>0</v>
      </c>
      <c r="AL174" s="151">
        <f>-AL$7*$E$174*MAX(AL173-Inputs!$E$14*$G$170,0)</f>
        <v>0</v>
      </c>
      <c r="AM174" s="151">
        <f>-AM$7*$E$174*MAX(AM173-Inputs!$E$14*$G$170,0)</f>
        <v>0</v>
      </c>
      <c r="AN174" s="151">
        <f>-AN$7*$E$174*MAX(AN173-Inputs!$E$14*$G$170,0)</f>
        <v>0</v>
      </c>
      <c r="AO174" s="151">
        <f>-AO$7*$E$174*MAX(AO173-Inputs!$E$14*$G$170,0)</f>
        <v>0</v>
      </c>
      <c r="AP174" s="151">
        <f>-AP$7*$E$174*MAX(AP173-Inputs!$E$14*$G$170,0)</f>
        <v>0</v>
      </c>
      <c r="AQ174" s="151">
        <f>-AQ$7*$E$174*MAX(AQ173-Inputs!$E$14*$G$170,0)</f>
        <v>0</v>
      </c>
      <c r="AR174" s="151">
        <f>-AR$7*$E$174*MAX(AR173-Inputs!$E$14*$G$170,0)</f>
        <v>0</v>
      </c>
      <c r="AS174" s="151">
        <f>-AS$7*$E$174*MAX(AS173-Inputs!$E$14*$G$170,0)</f>
        <v>0</v>
      </c>
      <c r="AT174" s="151">
        <f>-AT$7*$E$174*MAX(AT173-Inputs!$E$14*$G$170,0)</f>
        <v>-218.91401465402109</v>
      </c>
      <c r="AU174" s="151">
        <f>-AU$7*$E$174*MAX(AU173-Inputs!$E$14*$G$170,0)</f>
        <v>0</v>
      </c>
      <c r="AV174" s="151">
        <f>-AV$7*$E$174*MAX(AV173-Inputs!$E$14*$G$170,0)</f>
        <v>0</v>
      </c>
      <c r="AW174" s="151">
        <f>-AW$7*$E$174*MAX(AW173-Inputs!$E$14*$G$170,0)</f>
        <v>0</v>
      </c>
      <c r="AX174" s="151">
        <f>-AX$7*$E$174*MAX(AX173-Inputs!$E$14*$G$170,0)</f>
        <v>0</v>
      </c>
      <c r="AY174" s="151">
        <f>-AY$7*$E$174*MAX(AY173-Inputs!$E$14*$G$170,0)</f>
        <v>0</v>
      </c>
      <c r="AZ174" s="151">
        <f>-AZ$7*$E$174*MAX(AZ173-Inputs!$E$14*$G$170,0)</f>
        <v>0</v>
      </c>
      <c r="BA174" s="151">
        <f>-BA$7*$E$174*MAX(BA173-Inputs!$E$14*$G$170,0)</f>
        <v>0</v>
      </c>
      <c r="BB174" s="151">
        <f>-BB$7*$E$174*MAX(BB173-Inputs!$E$14*$G$170,0)</f>
        <v>0</v>
      </c>
      <c r="BC174" s="151">
        <f>-BC$7*$E$174*MAX(BC173-Inputs!$E$14*$G$170,0)</f>
        <v>0</v>
      </c>
      <c r="BD174" s="151">
        <f>-BD$7*$E$174*MAX(BD173-Inputs!$E$14*$G$170,0)</f>
        <v>0</v>
      </c>
      <c r="BE174" s="151">
        <f>-BE$7*$E$174*MAX(BE173-Inputs!$E$14*$G$170,0)</f>
        <v>0</v>
      </c>
      <c r="BF174" s="151">
        <f>-BF$7*$E$174*MAX(BF173-Inputs!$E$14*$G$170,0)</f>
        <v>0</v>
      </c>
      <c r="BG174" s="151">
        <f>-BG$7*$E$174*MAX(BG173-Inputs!$E$14*$G$170,0)</f>
        <v>0</v>
      </c>
      <c r="BH174" s="151">
        <f>-BH$7*$E$174*MAX(BH173-Inputs!$E$14*$G$170,0)</f>
        <v>0</v>
      </c>
      <c r="BI174" s="151">
        <f>-BI$7*$E$174*MAX(BI173-Inputs!$E$14*$G$170,0)</f>
        <v>0</v>
      </c>
      <c r="BJ174" s="151">
        <f>-BJ$7*$E$174*MAX(BJ173-Inputs!$E$14*$G$170,0)</f>
        <v>0</v>
      </c>
      <c r="BK174" s="151">
        <f>-BK$7*$E$174*MAX(BK173-Inputs!$E$14*$G$170,0)</f>
        <v>0</v>
      </c>
      <c r="BL174" s="151">
        <f>-BL$7*$E$174*MAX(BL173-Inputs!$E$14*$G$170,0)</f>
        <v>0</v>
      </c>
      <c r="BM174" s="151">
        <f>-BM$7*$E$174*MAX(BM173-Inputs!$E$14*$G$170,0)</f>
        <v>0</v>
      </c>
      <c r="BN174" s="151">
        <f>-BN$7*$E$174*MAX(BN173-Inputs!$E$14*$G$170,0)</f>
        <v>0</v>
      </c>
      <c r="BO174" s="151">
        <f>-BO$7*$E$174*MAX(BO173-Inputs!$E$14*$G$170,0)</f>
        <v>0</v>
      </c>
      <c r="BP174" s="151">
        <f>-BP$7*$E$174*MAX(BP173-Inputs!$E$14*$G$170,0)</f>
        <v>0</v>
      </c>
    </row>
    <row r="175" spans="3:68" x14ac:dyDescent="0.25">
      <c r="C175" s="198" t="s">
        <v>1118</v>
      </c>
      <c r="D175" s="198" t="s">
        <v>125</v>
      </c>
      <c r="E175" s="244"/>
      <c r="F175" s="244"/>
      <c r="G175" s="244">
        <f>SUM(H175:BP175)</f>
        <v>7989.1497888472586</v>
      </c>
      <c r="H175" s="244">
        <f t="shared" ref="H175:AM175" si="128">H172+H174</f>
        <v>-200</v>
      </c>
      <c r="I175" s="244">
        <f t="shared" si="128"/>
        <v>0</v>
      </c>
      <c r="J175" s="244">
        <f t="shared" si="128"/>
        <v>0</v>
      </c>
      <c r="K175" s="244">
        <f t="shared" si="128"/>
        <v>-102.68367641614219</v>
      </c>
      <c r="L175" s="244">
        <f t="shared" si="128"/>
        <v>-5.8428767123287679</v>
      </c>
      <c r="M175" s="244">
        <f t="shared" si="128"/>
        <v>-1262.091095890411</v>
      </c>
      <c r="N175" s="244">
        <f t="shared" si="128"/>
        <v>-34.079248426508705</v>
      </c>
      <c r="O175" s="244">
        <f t="shared" si="128"/>
        <v>-118.66100518326546</v>
      </c>
      <c r="P175" s="244">
        <f t="shared" si="128"/>
        <v>-228.21438356164384</v>
      </c>
      <c r="Q175" s="244">
        <f t="shared" si="128"/>
        <v>-29.214383561643842</v>
      </c>
      <c r="R175" s="244">
        <f t="shared" si="128"/>
        <v>-29.214383561643842</v>
      </c>
      <c r="S175" s="244">
        <f t="shared" si="128"/>
        <v>-50.836005183265463</v>
      </c>
      <c r="T175" s="244">
        <f t="shared" si="128"/>
        <v>-50.836005183265463</v>
      </c>
      <c r="U175" s="244">
        <f t="shared" si="128"/>
        <v>-29.214383561643842</v>
      </c>
      <c r="V175" s="244">
        <f t="shared" si="128"/>
        <v>-29.214383561643842</v>
      </c>
      <c r="W175" s="244">
        <f t="shared" si="128"/>
        <v>-29.214383561643842</v>
      </c>
      <c r="X175" s="244">
        <f t="shared" si="128"/>
        <v>-49.484653831914116</v>
      </c>
      <c r="Y175" s="244">
        <f t="shared" si="128"/>
        <v>-100.55492410218439</v>
      </c>
      <c r="Z175" s="244">
        <f t="shared" si="128"/>
        <v>-506.58634991575309</v>
      </c>
      <c r="AA175" s="244">
        <f t="shared" si="128"/>
        <v>-144.07924842650871</v>
      </c>
      <c r="AB175" s="244">
        <f t="shared" si="128"/>
        <v>-73.281951129211407</v>
      </c>
      <c r="AC175" s="244">
        <f t="shared" si="128"/>
        <v>-29.268437615697895</v>
      </c>
      <c r="AD175" s="244">
        <f t="shared" si="128"/>
        <v>-29.214383561643842</v>
      </c>
      <c r="AE175" s="244">
        <f t="shared" si="128"/>
        <v>-31.464383561643842</v>
      </c>
      <c r="AF175" s="244">
        <f t="shared" si="128"/>
        <v>-29.214383561643842</v>
      </c>
      <c r="AG175" s="244">
        <f t="shared" si="128"/>
        <v>-110.1514121330724</v>
      </c>
      <c r="AH175" s="244">
        <f t="shared" si="128"/>
        <v>-29.214383561643842</v>
      </c>
      <c r="AI175" s="244">
        <f t="shared" si="128"/>
        <v>-29.214383561643842</v>
      </c>
      <c r="AJ175" s="244">
        <f t="shared" si="128"/>
        <v>-45.43059977786006</v>
      </c>
      <c r="AK175" s="244">
        <f t="shared" si="128"/>
        <v>-170.31821437593035</v>
      </c>
      <c r="AL175" s="244">
        <f t="shared" si="128"/>
        <v>-19539.264703739358</v>
      </c>
      <c r="AM175" s="244">
        <f t="shared" si="128"/>
        <v>-29.214383561643842</v>
      </c>
      <c r="AN175" s="244">
        <f t="shared" ref="AN175:BP175" si="129">AN172+AN174</f>
        <v>-152.45762680488707</v>
      </c>
      <c r="AO175" s="244">
        <f t="shared" si="129"/>
        <v>-29.214383561643842</v>
      </c>
      <c r="AP175" s="244">
        <f t="shared" si="129"/>
        <v>-29.214383561643842</v>
      </c>
      <c r="AQ175" s="244">
        <f t="shared" si="129"/>
        <v>-29.214383561643842</v>
      </c>
      <c r="AR175" s="244">
        <f t="shared" si="129"/>
        <v>-29.214383561643842</v>
      </c>
      <c r="AS175" s="244">
        <f t="shared" si="129"/>
        <v>-29.214383561643842</v>
      </c>
      <c r="AT175" s="244">
        <f t="shared" si="129"/>
        <v>31432.952344242774</v>
      </c>
      <c r="AU175" s="244">
        <f t="shared" si="129"/>
        <v>0</v>
      </c>
      <c r="AV175" s="244">
        <f t="shared" si="129"/>
        <v>0</v>
      </c>
      <c r="AW175" s="244">
        <f t="shared" si="129"/>
        <v>0</v>
      </c>
      <c r="AX175" s="244">
        <f t="shared" si="129"/>
        <v>0</v>
      </c>
      <c r="AY175" s="244">
        <f t="shared" si="129"/>
        <v>0</v>
      </c>
      <c r="AZ175" s="244">
        <f t="shared" si="129"/>
        <v>0</v>
      </c>
      <c r="BA175" s="244">
        <f t="shared" si="129"/>
        <v>0</v>
      </c>
      <c r="BB175" s="244">
        <f t="shared" si="129"/>
        <v>0</v>
      </c>
      <c r="BC175" s="244">
        <f t="shared" si="129"/>
        <v>0</v>
      </c>
      <c r="BD175" s="244">
        <f t="shared" si="129"/>
        <v>0</v>
      </c>
      <c r="BE175" s="244">
        <f t="shared" si="129"/>
        <v>0</v>
      </c>
      <c r="BF175" s="244">
        <f t="shared" si="129"/>
        <v>0</v>
      </c>
      <c r="BG175" s="244">
        <f t="shared" si="129"/>
        <v>0</v>
      </c>
      <c r="BH175" s="244">
        <f t="shared" si="129"/>
        <v>0</v>
      </c>
      <c r="BI175" s="244">
        <f t="shared" si="129"/>
        <v>0</v>
      </c>
      <c r="BJ175" s="244">
        <f t="shared" si="129"/>
        <v>0</v>
      </c>
      <c r="BK175" s="244">
        <f t="shared" si="129"/>
        <v>0</v>
      </c>
      <c r="BL175" s="244">
        <f t="shared" si="129"/>
        <v>0</v>
      </c>
      <c r="BM175" s="244">
        <f t="shared" si="129"/>
        <v>0</v>
      </c>
      <c r="BN175" s="244">
        <f t="shared" si="129"/>
        <v>0</v>
      </c>
      <c r="BO175" s="244">
        <f t="shared" si="129"/>
        <v>0</v>
      </c>
      <c r="BP175" s="244">
        <f t="shared" si="129"/>
        <v>0</v>
      </c>
    </row>
    <row r="176" spans="3:68" x14ac:dyDescent="0.25">
      <c r="C176" t="s">
        <v>1119</v>
      </c>
      <c r="D176" t="s">
        <v>125</v>
      </c>
      <c r="E176" s="151"/>
      <c r="F176" s="151"/>
      <c r="G176" s="151">
        <f>MIN(H176:BP176)</f>
        <v>-23443.802555395516</v>
      </c>
      <c r="H176" s="151">
        <f>H175</f>
        <v>-200</v>
      </c>
      <c r="I176" s="151">
        <f t="shared" ref="I176:AN176" si="130">H176+I175</f>
        <v>-200</v>
      </c>
      <c r="J176" s="151">
        <f t="shared" si="130"/>
        <v>-200</v>
      </c>
      <c r="K176" s="151">
        <f t="shared" si="130"/>
        <v>-302.68367641614219</v>
      </c>
      <c r="L176" s="151">
        <f t="shared" si="130"/>
        <v>-308.52655312847094</v>
      </c>
      <c r="M176" s="151">
        <f t="shared" si="130"/>
        <v>-1570.6176490188818</v>
      </c>
      <c r="N176" s="151">
        <f t="shared" si="130"/>
        <v>-1604.6968974453905</v>
      </c>
      <c r="O176" s="151">
        <f t="shared" si="130"/>
        <v>-1723.3579026286559</v>
      </c>
      <c r="P176" s="151">
        <f t="shared" si="130"/>
        <v>-1951.5722861902998</v>
      </c>
      <c r="Q176" s="151">
        <f t="shared" si="130"/>
        <v>-1980.7866697519437</v>
      </c>
      <c r="R176" s="151">
        <f t="shared" si="130"/>
        <v>-2010.0010533135876</v>
      </c>
      <c r="S176" s="151">
        <f t="shared" si="130"/>
        <v>-2060.8370584968529</v>
      </c>
      <c r="T176" s="151">
        <f t="shared" si="130"/>
        <v>-2111.6730636801185</v>
      </c>
      <c r="U176" s="151">
        <f t="shared" si="130"/>
        <v>-2140.8874472417624</v>
      </c>
      <c r="V176" s="151">
        <f t="shared" si="130"/>
        <v>-2170.1018308034063</v>
      </c>
      <c r="W176" s="151">
        <f t="shared" si="130"/>
        <v>-2199.3162143650502</v>
      </c>
      <c r="X176" s="151">
        <f t="shared" si="130"/>
        <v>-2248.8008681969645</v>
      </c>
      <c r="Y176" s="151">
        <f t="shared" si="130"/>
        <v>-2349.355792299149</v>
      </c>
      <c r="Z176" s="151">
        <f t="shared" si="130"/>
        <v>-2855.9421422149021</v>
      </c>
      <c r="AA176" s="151">
        <f t="shared" si="130"/>
        <v>-3000.021390641411</v>
      </c>
      <c r="AB176" s="151">
        <f t="shared" si="130"/>
        <v>-3073.3033417706224</v>
      </c>
      <c r="AC176" s="151">
        <f t="shared" si="130"/>
        <v>-3102.5717793863205</v>
      </c>
      <c r="AD176" s="151">
        <f t="shared" si="130"/>
        <v>-3131.7861629479644</v>
      </c>
      <c r="AE176" s="151">
        <f t="shared" si="130"/>
        <v>-3163.2505465096083</v>
      </c>
      <c r="AF176" s="151">
        <f t="shared" si="130"/>
        <v>-3192.4649300712522</v>
      </c>
      <c r="AG176" s="151">
        <f t="shared" si="130"/>
        <v>-3302.6163422043246</v>
      </c>
      <c r="AH176" s="151">
        <f t="shared" si="130"/>
        <v>-3331.8307257659685</v>
      </c>
      <c r="AI176" s="151">
        <f t="shared" si="130"/>
        <v>-3361.0451093276124</v>
      </c>
      <c r="AJ176" s="151">
        <f t="shared" si="130"/>
        <v>-3406.4757091054726</v>
      </c>
      <c r="AK176" s="151">
        <f t="shared" si="130"/>
        <v>-3576.793923481403</v>
      </c>
      <c r="AL176" s="151">
        <f t="shared" si="130"/>
        <v>-23116.058627220762</v>
      </c>
      <c r="AM176" s="151">
        <f t="shared" si="130"/>
        <v>-23145.273010782406</v>
      </c>
      <c r="AN176" s="151">
        <f t="shared" si="130"/>
        <v>-23297.730637587294</v>
      </c>
      <c r="AO176" s="151">
        <f t="shared" ref="AO176:BP176" si="131">AN176+AO175</f>
        <v>-23326.945021148938</v>
      </c>
      <c r="AP176" s="151">
        <f t="shared" si="131"/>
        <v>-23356.159404710583</v>
      </c>
      <c r="AQ176" s="151">
        <f t="shared" si="131"/>
        <v>-23385.373788272227</v>
      </c>
      <c r="AR176" s="151">
        <f t="shared" si="131"/>
        <v>-23414.588171833871</v>
      </c>
      <c r="AS176" s="151">
        <f t="shared" si="131"/>
        <v>-23443.802555395516</v>
      </c>
      <c r="AT176" s="151">
        <f t="shared" si="131"/>
        <v>7989.1497888472586</v>
      </c>
      <c r="AU176" s="151">
        <f t="shared" si="131"/>
        <v>7989.1497888472586</v>
      </c>
      <c r="AV176" s="151">
        <f t="shared" si="131"/>
        <v>7989.1497888472586</v>
      </c>
      <c r="AW176" s="151">
        <f t="shared" si="131"/>
        <v>7989.1497888472586</v>
      </c>
      <c r="AX176" s="151">
        <f t="shared" si="131"/>
        <v>7989.1497888472586</v>
      </c>
      <c r="AY176" s="151">
        <f t="shared" si="131"/>
        <v>7989.1497888472586</v>
      </c>
      <c r="AZ176" s="151">
        <f t="shared" si="131"/>
        <v>7989.1497888472586</v>
      </c>
      <c r="BA176" s="151">
        <f t="shared" si="131"/>
        <v>7989.1497888472586</v>
      </c>
      <c r="BB176" s="151">
        <f t="shared" si="131"/>
        <v>7989.1497888472586</v>
      </c>
      <c r="BC176" s="151">
        <f t="shared" si="131"/>
        <v>7989.1497888472586</v>
      </c>
      <c r="BD176" s="151">
        <f t="shared" si="131"/>
        <v>7989.1497888472586</v>
      </c>
      <c r="BE176" s="151">
        <f t="shared" si="131"/>
        <v>7989.1497888472586</v>
      </c>
      <c r="BF176" s="151">
        <f t="shared" si="131"/>
        <v>7989.1497888472586</v>
      </c>
      <c r="BG176" s="151">
        <f t="shared" si="131"/>
        <v>7989.1497888472586</v>
      </c>
      <c r="BH176" s="151">
        <f t="shared" si="131"/>
        <v>7989.1497888472586</v>
      </c>
      <c r="BI176" s="151">
        <f t="shared" si="131"/>
        <v>7989.1497888472586</v>
      </c>
      <c r="BJ176" s="151">
        <f t="shared" si="131"/>
        <v>7989.1497888472586</v>
      </c>
      <c r="BK176" s="151">
        <f t="shared" si="131"/>
        <v>7989.1497888472586</v>
      </c>
      <c r="BL176" s="151">
        <f t="shared" si="131"/>
        <v>7989.1497888472586</v>
      </c>
      <c r="BM176" s="151">
        <f t="shared" si="131"/>
        <v>7989.1497888472586</v>
      </c>
      <c r="BN176" s="151">
        <f t="shared" si="131"/>
        <v>7989.1497888472586</v>
      </c>
      <c r="BO176" s="151">
        <f t="shared" si="131"/>
        <v>7989.1497888472586</v>
      </c>
      <c r="BP176" s="151">
        <f t="shared" si="131"/>
        <v>7989.1497888472586</v>
      </c>
    </row>
    <row r="177" spans="3:68" x14ac:dyDescent="0.25">
      <c r="C177" t="s">
        <v>1120</v>
      </c>
      <c r="D177" t="s">
        <v>125</v>
      </c>
      <c r="E177" s="151"/>
      <c r="F177" s="151"/>
      <c r="G177" s="151"/>
      <c r="H177" s="131">
        <f>H176</f>
        <v>-200</v>
      </c>
      <c r="I177" s="131">
        <f t="shared" ref="I177:AN177" si="132">I176</f>
        <v>-200</v>
      </c>
      <c r="J177" s="131">
        <f t="shared" si="132"/>
        <v>-200</v>
      </c>
      <c r="K177" s="131">
        <f t="shared" si="132"/>
        <v>-302.68367641614219</v>
      </c>
      <c r="L177" s="131">
        <f t="shared" si="132"/>
        <v>-308.52655312847094</v>
      </c>
      <c r="M177" s="131">
        <f t="shared" si="132"/>
        <v>-1570.6176490188818</v>
      </c>
      <c r="N177" s="131">
        <f t="shared" si="132"/>
        <v>-1604.6968974453905</v>
      </c>
      <c r="O177" s="131">
        <f t="shared" si="132"/>
        <v>-1723.3579026286559</v>
      </c>
      <c r="P177" s="131">
        <f t="shared" si="132"/>
        <v>-1951.5722861902998</v>
      </c>
      <c r="Q177" s="131">
        <f t="shared" si="132"/>
        <v>-1980.7866697519437</v>
      </c>
      <c r="R177" s="131">
        <f t="shared" si="132"/>
        <v>-2010.0010533135876</v>
      </c>
      <c r="S177" s="131">
        <f t="shared" si="132"/>
        <v>-2060.8370584968529</v>
      </c>
      <c r="T177" s="131">
        <f t="shared" si="132"/>
        <v>-2111.6730636801185</v>
      </c>
      <c r="U177" s="131">
        <f t="shared" si="132"/>
        <v>-2140.8874472417624</v>
      </c>
      <c r="V177" s="131">
        <f t="shared" si="132"/>
        <v>-2170.1018308034063</v>
      </c>
      <c r="W177" s="131">
        <f t="shared" si="132"/>
        <v>-2199.3162143650502</v>
      </c>
      <c r="X177" s="131">
        <f t="shared" si="132"/>
        <v>-2248.8008681969645</v>
      </c>
      <c r="Y177" s="131">
        <f t="shared" si="132"/>
        <v>-2349.355792299149</v>
      </c>
      <c r="Z177" s="131">
        <f t="shared" si="132"/>
        <v>-2855.9421422149021</v>
      </c>
      <c r="AA177" s="131">
        <f t="shared" si="132"/>
        <v>-3000.021390641411</v>
      </c>
      <c r="AB177" s="131">
        <f t="shared" si="132"/>
        <v>-3073.3033417706224</v>
      </c>
      <c r="AC177" s="131">
        <f t="shared" si="132"/>
        <v>-3102.5717793863205</v>
      </c>
      <c r="AD177" s="131">
        <f t="shared" si="132"/>
        <v>-3131.7861629479644</v>
      </c>
      <c r="AE177" s="131">
        <f t="shared" si="132"/>
        <v>-3163.2505465096083</v>
      </c>
      <c r="AF177" s="131">
        <f t="shared" si="132"/>
        <v>-3192.4649300712522</v>
      </c>
      <c r="AG177" s="131">
        <f t="shared" si="132"/>
        <v>-3302.6163422043246</v>
      </c>
      <c r="AH177" s="131">
        <f t="shared" si="132"/>
        <v>-3331.8307257659685</v>
      </c>
      <c r="AI177" s="131">
        <f t="shared" si="132"/>
        <v>-3361.0451093276124</v>
      </c>
      <c r="AJ177" s="131">
        <f t="shared" si="132"/>
        <v>-3406.4757091054726</v>
      </c>
      <c r="AK177" s="131">
        <f t="shared" si="132"/>
        <v>-3576.793923481403</v>
      </c>
      <c r="AL177" s="131">
        <f t="shared" si="132"/>
        <v>-23116.058627220762</v>
      </c>
      <c r="AM177" s="131">
        <f t="shared" si="132"/>
        <v>-23145.273010782406</v>
      </c>
      <c r="AN177" s="131">
        <f t="shared" si="132"/>
        <v>-23297.730637587294</v>
      </c>
      <c r="AO177" s="131">
        <f t="shared" ref="AO177:BP177" si="133">AO176</f>
        <v>-23326.945021148938</v>
      </c>
      <c r="AP177" s="131">
        <f t="shared" si="133"/>
        <v>-23356.159404710583</v>
      </c>
      <c r="AQ177" s="131">
        <f t="shared" si="133"/>
        <v>-23385.373788272227</v>
      </c>
      <c r="AR177" s="131">
        <f t="shared" si="133"/>
        <v>-23414.588171833871</v>
      </c>
      <c r="AS177" s="131">
        <f t="shared" si="133"/>
        <v>-23443.802555395516</v>
      </c>
      <c r="AT177" s="131">
        <f t="shared" si="133"/>
        <v>7989.1497888472586</v>
      </c>
      <c r="AU177" s="131">
        <f t="shared" si="133"/>
        <v>7989.1497888472586</v>
      </c>
      <c r="AV177" s="131">
        <f t="shared" si="133"/>
        <v>7989.1497888472586</v>
      </c>
      <c r="AW177" s="131">
        <f t="shared" si="133"/>
        <v>7989.1497888472586</v>
      </c>
      <c r="AX177" s="131">
        <f t="shared" si="133"/>
        <v>7989.1497888472586</v>
      </c>
      <c r="AY177" s="131">
        <f t="shared" si="133"/>
        <v>7989.1497888472586</v>
      </c>
      <c r="AZ177" s="131">
        <f t="shared" si="133"/>
        <v>7989.1497888472586</v>
      </c>
      <c r="BA177" s="131">
        <f t="shared" si="133"/>
        <v>7989.1497888472586</v>
      </c>
      <c r="BB177" s="131">
        <f t="shared" si="133"/>
        <v>7989.1497888472586</v>
      </c>
      <c r="BC177" s="131">
        <f t="shared" si="133"/>
        <v>7989.1497888472586</v>
      </c>
      <c r="BD177" s="131">
        <f t="shared" si="133"/>
        <v>7989.1497888472586</v>
      </c>
      <c r="BE177" s="131">
        <f t="shared" si="133"/>
        <v>7989.1497888472586</v>
      </c>
      <c r="BF177" s="131">
        <f t="shared" si="133"/>
        <v>7989.1497888472586</v>
      </c>
      <c r="BG177" s="131">
        <f t="shared" si="133"/>
        <v>7989.1497888472586</v>
      </c>
      <c r="BH177" s="131">
        <f t="shared" si="133"/>
        <v>7989.1497888472586</v>
      </c>
      <c r="BI177" s="131">
        <f t="shared" si="133"/>
        <v>7989.1497888472586</v>
      </c>
      <c r="BJ177" s="131">
        <f t="shared" si="133"/>
        <v>7989.1497888472586</v>
      </c>
      <c r="BK177" s="131">
        <f t="shared" si="133"/>
        <v>7989.1497888472586</v>
      </c>
      <c r="BL177" s="131">
        <f t="shared" si="133"/>
        <v>7989.1497888472586</v>
      </c>
      <c r="BM177" s="131">
        <f t="shared" si="133"/>
        <v>7989.1497888472586</v>
      </c>
      <c r="BN177" s="131">
        <f t="shared" si="133"/>
        <v>7989.1497888472586</v>
      </c>
      <c r="BO177" s="131">
        <f t="shared" si="133"/>
        <v>7989.1497888472586</v>
      </c>
      <c r="BP177" s="131">
        <f t="shared" si="133"/>
        <v>7989.1497888472586</v>
      </c>
    </row>
    <row r="178" spans="3:68" x14ac:dyDescent="0.25">
      <c r="C178" t="s">
        <v>1121</v>
      </c>
      <c r="D178" t="s">
        <v>125</v>
      </c>
      <c r="E178" s="134">
        <f>Inputs!$E$13</f>
        <v>0.08</v>
      </c>
      <c r="F178" s="151"/>
      <c r="G178" s="151">
        <f>SUM(H178:BP178)</f>
        <v>-1623.4167727283182</v>
      </c>
      <c r="H178" s="151">
        <v>0</v>
      </c>
      <c r="I178" s="151">
        <f t="shared" ref="I178:AN178" si="134">MIN(H176,0)*((1+$E$178)^(1/12)-1)</f>
        <v>-1.2868060220006861</v>
      </c>
      <c r="J178" s="151">
        <f t="shared" si="134"/>
        <v>-1.2868060220006861</v>
      </c>
      <c r="K178" s="151">
        <f t="shared" si="134"/>
        <v>-1.2868060220006861</v>
      </c>
      <c r="L178" s="151">
        <f t="shared" si="134"/>
        <v>-1.9474758878679941</v>
      </c>
      <c r="M178" s="151">
        <f t="shared" si="134"/>
        <v>-1.985069132564155</v>
      </c>
      <c r="N178" s="151">
        <f t="shared" si="134"/>
        <v>-10.105401245090285</v>
      </c>
      <c r="O178" s="151">
        <f t="shared" si="134"/>
        <v>-10.324668155592729</v>
      </c>
      <c r="P178" s="151">
        <f t="shared" si="134"/>
        <v>-11.088136635825132</v>
      </c>
      <c r="Q178" s="151">
        <f t="shared" si="134"/>
        <v>-12.55647485119662</v>
      </c>
      <c r="R178" s="151">
        <f t="shared" si="134"/>
        <v>-12.744441074677427</v>
      </c>
      <c r="S178" s="151">
        <f t="shared" si="134"/>
        <v>-12.932407298158232</v>
      </c>
      <c r="T178" s="151">
        <f t="shared" si="134"/>
        <v>-13.259487686179652</v>
      </c>
      <c r="U178" s="151">
        <f t="shared" si="134"/>
        <v>-13.586568074201073</v>
      </c>
      <c r="V178" s="151">
        <f t="shared" si="134"/>
        <v>-13.77453429768188</v>
      </c>
      <c r="W178" s="151">
        <f t="shared" si="134"/>
        <v>-13.962500521162685</v>
      </c>
      <c r="X178" s="151">
        <f t="shared" si="134"/>
        <v>-14.150466744643492</v>
      </c>
      <c r="Y178" s="151">
        <f t="shared" si="134"/>
        <v>-14.468852497381125</v>
      </c>
      <c r="Z178" s="151">
        <f t="shared" si="134"/>
        <v>-15.115825906763689</v>
      </c>
      <c r="AA178" s="151">
        <f t="shared" si="134"/>
        <v>-18.37521773543838</v>
      </c>
      <c r="AB178" s="151">
        <f t="shared" si="134"/>
        <v>-19.3022279580412</v>
      </c>
      <c r="AC178" s="151">
        <f t="shared" si="134"/>
        <v>-19.773726238126347</v>
      </c>
      <c r="AD178" s="151">
        <f t="shared" si="134"/>
        <v>-19.962040247018507</v>
      </c>
      <c r="AE178" s="151">
        <f t="shared" si="134"/>
        <v>-20.150006470499314</v>
      </c>
      <c r="AF178" s="151">
        <f t="shared" si="134"/>
        <v>-20.352449261727624</v>
      </c>
      <c r="AG178" s="151">
        <f t="shared" si="134"/>
        <v>-20.540415485208431</v>
      </c>
      <c r="AH178" s="151">
        <f t="shared" si="134"/>
        <v>-21.249132987532018</v>
      </c>
      <c r="AI178" s="151">
        <f t="shared" si="134"/>
        <v>-21.437099211012825</v>
      </c>
      <c r="AJ178" s="151">
        <f t="shared" si="134"/>
        <v>-21.625065434493628</v>
      </c>
      <c r="AK178" s="151">
        <f t="shared" si="134"/>
        <v>-21.917367281379896</v>
      </c>
      <c r="AL178" s="151">
        <f t="shared" si="134"/>
        <v>-23.013199800956652</v>
      </c>
      <c r="AM178" s="151">
        <f t="shared" si="134"/>
        <v>-148.72941723214294</v>
      </c>
      <c r="AN178" s="151">
        <f t="shared" si="134"/>
        <v>-148.91738345562376</v>
      </c>
      <c r="AO178" s="151">
        <f t="shared" ref="AO178:BP178" si="135">MIN(AN176,0)*((1+$E$178)^(1/12)-1)</f>
        <v>-149.89830041698607</v>
      </c>
      <c r="AP178" s="151">
        <f t="shared" si="135"/>
        <v>-150.08626664046687</v>
      </c>
      <c r="AQ178" s="151">
        <f t="shared" si="135"/>
        <v>-150.27423286394767</v>
      </c>
      <c r="AR178" s="151">
        <f t="shared" si="135"/>
        <v>-150.4621990874285</v>
      </c>
      <c r="AS178" s="151">
        <f t="shared" si="135"/>
        <v>-150.6501653109093</v>
      </c>
      <c r="AT178" s="151">
        <f t="shared" si="135"/>
        <v>-150.8381315343901</v>
      </c>
      <c r="AU178" s="151">
        <f t="shared" si="135"/>
        <v>0</v>
      </c>
      <c r="AV178" s="151">
        <f t="shared" si="135"/>
        <v>0</v>
      </c>
      <c r="AW178" s="151">
        <f t="shared" si="135"/>
        <v>0</v>
      </c>
      <c r="AX178" s="151">
        <f t="shared" si="135"/>
        <v>0</v>
      </c>
      <c r="AY178" s="151">
        <f t="shared" si="135"/>
        <v>0</v>
      </c>
      <c r="AZ178" s="151">
        <f t="shared" si="135"/>
        <v>0</v>
      </c>
      <c r="BA178" s="151">
        <f t="shared" si="135"/>
        <v>0</v>
      </c>
      <c r="BB178" s="151">
        <f t="shared" si="135"/>
        <v>0</v>
      </c>
      <c r="BC178" s="151">
        <f t="shared" si="135"/>
        <v>0</v>
      </c>
      <c r="BD178" s="151">
        <f t="shared" si="135"/>
        <v>0</v>
      </c>
      <c r="BE178" s="151">
        <f t="shared" si="135"/>
        <v>0</v>
      </c>
      <c r="BF178" s="151">
        <f t="shared" si="135"/>
        <v>0</v>
      </c>
      <c r="BG178" s="151">
        <f t="shared" si="135"/>
        <v>0</v>
      </c>
      <c r="BH178" s="151">
        <f t="shared" si="135"/>
        <v>0</v>
      </c>
      <c r="BI178" s="151">
        <f t="shared" si="135"/>
        <v>0</v>
      </c>
      <c r="BJ178" s="151">
        <f t="shared" si="135"/>
        <v>0</v>
      </c>
      <c r="BK178" s="151">
        <f t="shared" si="135"/>
        <v>0</v>
      </c>
      <c r="BL178" s="151">
        <f t="shared" si="135"/>
        <v>0</v>
      </c>
      <c r="BM178" s="151">
        <f t="shared" si="135"/>
        <v>0</v>
      </c>
      <c r="BN178" s="151">
        <f t="shared" si="135"/>
        <v>0</v>
      </c>
      <c r="BO178" s="151">
        <f t="shared" si="135"/>
        <v>0</v>
      </c>
      <c r="BP178" s="151">
        <f t="shared" si="135"/>
        <v>0</v>
      </c>
    </row>
    <row r="179" spans="3:68" x14ac:dyDescent="0.25">
      <c r="C179" t="s">
        <v>1122</v>
      </c>
      <c r="D179" t="s">
        <v>125</v>
      </c>
      <c r="E179" s="151"/>
      <c r="F179" s="151"/>
      <c r="G179" s="151">
        <f>SUM(H179:BP179)</f>
        <v>6365.7330161189457</v>
      </c>
      <c r="H179" s="151">
        <f t="shared" ref="H179:AM179" si="136">H175+H178</f>
        <v>-200</v>
      </c>
      <c r="I179" s="151">
        <f t="shared" si="136"/>
        <v>-1.2868060220006861</v>
      </c>
      <c r="J179" s="151">
        <f t="shared" si="136"/>
        <v>-1.2868060220006861</v>
      </c>
      <c r="K179" s="151">
        <f t="shared" si="136"/>
        <v>-103.97048243814288</v>
      </c>
      <c r="L179" s="151">
        <f t="shared" si="136"/>
        <v>-7.790352600196762</v>
      </c>
      <c r="M179" s="151">
        <f t="shared" si="136"/>
        <v>-1264.0761650229751</v>
      </c>
      <c r="N179" s="151">
        <f t="shared" si="136"/>
        <v>-44.18464967159899</v>
      </c>
      <c r="O179" s="151">
        <f t="shared" si="136"/>
        <v>-128.98567333885819</v>
      </c>
      <c r="P179" s="151">
        <f t="shared" si="136"/>
        <v>-239.30252019746897</v>
      </c>
      <c r="Q179" s="151">
        <f t="shared" si="136"/>
        <v>-41.770858412840461</v>
      </c>
      <c r="R179" s="151">
        <f t="shared" si="136"/>
        <v>-41.958824636321268</v>
      </c>
      <c r="S179" s="151">
        <f t="shared" si="136"/>
        <v>-63.768412481423695</v>
      </c>
      <c r="T179" s="151">
        <f t="shared" si="136"/>
        <v>-64.09549286944511</v>
      </c>
      <c r="U179" s="151">
        <f t="shared" si="136"/>
        <v>-42.800951635844918</v>
      </c>
      <c r="V179" s="151">
        <f t="shared" si="136"/>
        <v>-42.988917859325724</v>
      </c>
      <c r="W179" s="151">
        <f t="shared" si="136"/>
        <v>-43.176884082806524</v>
      </c>
      <c r="X179" s="151">
        <f t="shared" si="136"/>
        <v>-63.635120576557611</v>
      </c>
      <c r="Y179" s="151">
        <f t="shared" si="136"/>
        <v>-115.02377659956551</v>
      </c>
      <c r="Z179" s="151">
        <f t="shared" si="136"/>
        <v>-521.70217582251678</v>
      </c>
      <c r="AA179" s="151">
        <f t="shared" si="136"/>
        <v>-162.4544661619471</v>
      </c>
      <c r="AB179" s="151">
        <f t="shared" si="136"/>
        <v>-92.584179087252608</v>
      </c>
      <c r="AC179" s="151">
        <f t="shared" si="136"/>
        <v>-49.042163853824242</v>
      </c>
      <c r="AD179" s="151">
        <f t="shared" si="136"/>
        <v>-49.176423808662349</v>
      </c>
      <c r="AE179" s="151">
        <f t="shared" si="136"/>
        <v>-51.614390032143156</v>
      </c>
      <c r="AF179" s="151">
        <f t="shared" si="136"/>
        <v>-49.56683282337147</v>
      </c>
      <c r="AG179" s="151">
        <f t="shared" si="136"/>
        <v>-130.69182761828083</v>
      </c>
      <c r="AH179" s="151">
        <f t="shared" si="136"/>
        <v>-50.463516549175864</v>
      </c>
      <c r="AI179" s="151">
        <f t="shared" si="136"/>
        <v>-50.651482772656664</v>
      </c>
      <c r="AJ179" s="151">
        <f t="shared" si="136"/>
        <v>-67.055665212353688</v>
      </c>
      <c r="AK179" s="151">
        <f t="shared" si="136"/>
        <v>-192.23558165731026</v>
      </c>
      <c r="AL179" s="151">
        <f t="shared" si="136"/>
        <v>-19562.277903540315</v>
      </c>
      <c r="AM179" s="151">
        <f t="shared" si="136"/>
        <v>-177.94380079378678</v>
      </c>
      <c r="AN179" s="151">
        <f t="shared" ref="AN179:BP179" si="137">AN175+AN178</f>
        <v>-301.37501026051086</v>
      </c>
      <c r="AO179" s="151">
        <f t="shared" si="137"/>
        <v>-179.11268397862992</v>
      </c>
      <c r="AP179" s="151">
        <f t="shared" si="137"/>
        <v>-179.30065020211072</v>
      </c>
      <c r="AQ179" s="151">
        <f t="shared" si="137"/>
        <v>-179.48861642559152</v>
      </c>
      <c r="AR179" s="151">
        <f t="shared" si="137"/>
        <v>-179.67658264907234</v>
      </c>
      <c r="AS179" s="151">
        <f t="shared" si="137"/>
        <v>-179.86454887255314</v>
      </c>
      <c r="AT179" s="151">
        <f t="shared" si="137"/>
        <v>31282.114212708384</v>
      </c>
      <c r="AU179" s="151">
        <f t="shared" si="137"/>
        <v>0</v>
      </c>
      <c r="AV179" s="151">
        <f t="shared" si="137"/>
        <v>0</v>
      </c>
      <c r="AW179" s="151">
        <f t="shared" si="137"/>
        <v>0</v>
      </c>
      <c r="AX179" s="151">
        <f t="shared" si="137"/>
        <v>0</v>
      </c>
      <c r="AY179" s="151">
        <f t="shared" si="137"/>
        <v>0</v>
      </c>
      <c r="AZ179" s="151">
        <f t="shared" si="137"/>
        <v>0</v>
      </c>
      <c r="BA179" s="151">
        <f t="shared" si="137"/>
        <v>0</v>
      </c>
      <c r="BB179" s="151">
        <f t="shared" si="137"/>
        <v>0</v>
      </c>
      <c r="BC179" s="151">
        <f t="shared" si="137"/>
        <v>0</v>
      </c>
      <c r="BD179" s="151">
        <f t="shared" si="137"/>
        <v>0</v>
      </c>
      <c r="BE179" s="151">
        <f t="shared" si="137"/>
        <v>0</v>
      </c>
      <c r="BF179" s="151">
        <f t="shared" si="137"/>
        <v>0</v>
      </c>
      <c r="BG179" s="151">
        <f t="shared" si="137"/>
        <v>0</v>
      </c>
      <c r="BH179" s="151">
        <f t="shared" si="137"/>
        <v>0</v>
      </c>
      <c r="BI179" s="151">
        <f t="shared" si="137"/>
        <v>0</v>
      </c>
      <c r="BJ179" s="151">
        <f t="shared" si="137"/>
        <v>0</v>
      </c>
      <c r="BK179" s="151">
        <f t="shared" si="137"/>
        <v>0</v>
      </c>
      <c r="BL179" s="151">
        <f t="shared" si="137"/>
        <v>0</v>
      </c>
      <c r="BM179" s="151">
        <f t="shared" si="137"/>
        <v>0</v>
      </c>
      <c r="BN179" s="151">
        <f t="shared" si="137"/>
        <v>0</v>
      </c>
      <c r="BO179" s="151">
        <f t="shared" si="137"/>
        <v>0</v>
      </c>
      <c r="BP179" s="151">
        <f t="shared" si="137"/>
        <v>0</v>
      </c>
    </row>
    <row r="180" spans="3:68" x14ac:dyDescent="0.25">
      <c r="E180" s="151"/>
      <c r="F180" s="151"/>
      <c r="G180" s="151"/>
    </row>
    <row r="181" spans="3:68" x14ac:dyDescent="0.25">
      <c r="C181" s="129" t="s">
        <v>1123</v>
      </c>
      <c r="D181" s="129"/>
      <c r="E181" s="252"/>
      <c r="F181" s="252"/>
      <c r="G181" s="151"/>
    </row>
    <row r="182" spans="3:68" x14ac:dyDescent="0.25">
      <c r="C182" s="198" t="s">
        <v>1124</v>
      </c>
      <c r="D182" s="198" t="s">
        <v>125</v>
      </c>
      <c r="E182" s="244"/>
      <c r="F182" s="244"/>
      <c r="G182" s="151">
        <f>G175</f>
        <v>7989.1497888472586</v>
      </c>
    </row>
    <row r="183" spans="3:68" x14ac:dyDescent="0.25">
      <c r="C183" t="s">
        <v>1124</v>
      </c>
      <c r="D183" t="s">
        <v>169</v>
      </c>
      <c r="E183" s="151"/>
      <c r="F183" s="151"/>
      <c r="G183" s="257">
        <f>G182*Inputs!$E$11/1000</f>
        <v>2916.0396729292493</v>
      </c>
      <c r="H183" s="151"/>
      <c r="I183" s="151"/>
      <c r="J183" s="151"/>
      <c r="K183" s="151"/>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51"/>
      <c r="AL183" s="151"/>
      <c r="AM183" s="151"/>
      <c r="AN183" s="151"/>
      <c r="AO183" s="151"/>
      <c r="AP183" s="151"/>
      <c r="AQ183" s="151"/>
      <c r="AR183" s="151"/>
      <c r="AS183" s="151"/>
      <c r="AT183" s="151"/>
      <c r="AU183" s="151"/>
      <c r="AV183" s="151"/>
      <c r="AW183" s="151"/>
      <c r="AX183" s="151"/>
      <c r="AY183" s="151"/>
      <c r="AZ183" s="151"/>
      <c r="BA183" s="151"/>
      <c r="BB183" s="151"/>
      <c r="BC183" s="151"/>
      <c r="BD183" s="151"/>
      <c r="BE183" s="151"/>
      <c r="BF183" s="151"/>
      <c r="BG183" s="151"/>
      <c r="BH183" s="151"/>
      <c r="BI183" s="151"/>
      <c r="BJ183" s="151"/>
      <c r="BK183" s="151"/>
      <c r="BL183" s="151"/>
      <c r="BM183" s="151"/>
      <c r="BN183" s="151"/>
      <c r="BO183" s="151"/>
      <c r="BP183" s="151"/>
    </row>
    <row r="184" spans="3:68" x14ac:dyDescent="0.25">
      <c r="C184" t="s">
        <v>1125</v>
      </c>
      <c r="D184" t="s">
        <v>125</v>
      </c>
      <c r="E184" s="151"/>
      <c r="F184" s="151"/>
      <c r="G184" s="258">
        <f>-G164</f>
        <v>23473.01693895716</v>
      </c>
      <c r="H184" s="151"/>
      <c r="I184" s="151"/>
      <c r="J184" s="151"/>
      <c r="K184" s="151"/>
      <c r="L184" s="151"/>
      <c r="M184" s="151"/>
      <c r="N184" s="151"/>
      <c r="O184" s="151"/>
      <c r="P184" s="151"/>
      <c r="Q184" s="151"/>
      <c r="R184" s="151"/>
      <c r="S184" s="151"/>
      <c r="T184" s="151"/>
      <c r="U184" s="151"/>
      <c r="V184" s="151"/>
      <c r="W184" s="151"/>
      <c r="X184" s="151"/>
      <c r="Y184" s="151"/>
      <c r="Z184" s="151"/>
      <c r="AA184" s="151"/>
      <c r="AB184" s="151"/>
      <c r="AC184" s="151"/>
      <c r="AD184" s="151"/>
      <c r="AE184" s="151"/>
      <c r="AF184" s="151"/>
      <c r="AG184" s="151"/>
      <c r="AH184" s="151"/>
      <c r="AI184" s="151"/>
      <c r="AJ184" s="151"/>
      <c r="AK184" s="151"/>
      <c r="AL184" s="151"/>
      <c r="AM184" s="151"/>
      <c r="AN184" s="151"/>
      <c r="AO184" s="151"/>
      <c r="AP184" s="151"/>
      <c r="AQ184" s="151"/>
      <c r="AR184" s="151"/>
      <c r="AS184" s="151"/>
      <c r="AT184" s="151"/>
      <c r="AU184" s="151"/>
      <c r="AV184" s="151"/>
      <c r="AW184" s="151"/>
      <c r="AX184" s="151"/>
      <c r="AY184" s="151"/>
      <c r="AZ184" s="151"/>
      <c r="BA184" s="151"/>
      <c r="BB184" s="151"/>
      <c r="BC184" s="151"/>
      <c r="BD184" s="151"/>
      <c r="BE184" s="151"/>
      <c r="BF184" s="151"/>
      <c r="BG184" s="151"/>
      <c r="BH184" s="151"/>
      <c r="BI184" s="151"/>
      <c r="BJ184" s="151"/>
      <c r="BK184" s="151"/>
      <c r="BL184" s="151"/>
      <c r="BM184" s="151"/>
      <c r="BN184" s="151"/>
      <c r="BO184" s="151"/>
      <c r="BP184" s="151"/>
    </row>
    <row r="185" spans="3:68" x14ac:dyDescent="0.25">
      <c r="C185" t="s">
        <v>1126</v>
      </c>
      <c r="D185" t="s">
        <v>125</v>
      </c>
      <c r="E185" s="151"/>
      <c r="F185" s="151"/>
      <c r="G185" s="258">
        <f>G171+G174</f>
        <v>31462.166727804419</v>
      </c>
      <c r="H185" s="151"/>
      <c r="I185" s="151"/>
      <c r="J185" s="151"/>
      <c r="K185" s="151"/>
      <c r="L185" s="151"/>
      <c r="M185" s="151"/>
      <c r="N185" s="151"/>
      <c r="O185" s="151"/>
      <c r="P185" s="151"/>
      <c r="Q185" s="151"/>
      <c r="R185" s="151"/>
      <c r="S185" s="151"/>
      <c r="T185" s="151"/>
      <c r="U185" s="151"/>
      <c r="V185" s="151"/>
      <c r="W185" s="151"/>
      <c r="X185" s="151"/>
      <c r="Y185" s="151"/>
      <c r="Z185" s="151"/>
      <c r="AA185" s="151"/>
      <c r="AB185" s="151"/>
      <c r="AC185" s="151"/>
      <c r="AD185" s="151"/>
      <c r="AE185" s="151"/>
      <c r="AF185" s="151"/>
      <c r="AG185" s="151"/>
      <c r="AH185" s="151"/>
      <c r="AI185" s="151"/>
      <c r="AJ185" s="151"/>
      <c r="AK185" s="151"/>
      <c r="AL185" s="151"/>
      <c r="AM185" s="151"/>
      <c r="AN185" s="151"/>
      <c r="AO185" s="151"/>
      <c r="AP185" s="151"/>
      <c r="AQ185" s="151"/>
      <c r="AR185" s="151"/>
      <c r="AS185" s="151"/>
      <c r="AT185" s="151"/>
      <c r="AU185" s="151"/>
      <c r="AV185" s="151"/>
      <c r="AW185" s="151"/>
      <c r="AX185" s="151"/>
      <c r="AY185" s="151"/>
      <c r="AZ185" s="151"/>
      <c r="BA185" s="151"/>
      <c r="BB185" s="151"/>
      <c r="BC185" s="151"/>
      <c r="BD185" s="151"/>
      <c r="BE185" s="151"/>
      <c r="BF185" s="151"/>
      <c r="BG185" s="151"/>
      <c r="BH185" s="151"/>
      <c r="BI185" s="151"/>
      <c r="BJ185" s="151"/>
      <c r="BK185" s="151"/>
      <c r="BL185" s="151"/>
      <c r="BM185" s="151"/>
      <c r="BN185" s="151"/>
      <c r="BO185" s="151"/>
      <c r="BP185" s="151"/>
    </row>
    <row r="186" spans="3:68" x14ac:dyDescent="0.25">
      <c r="C186" s="198" t="s">
        <v>1127</v>
      </c>
      <c r="D186" s="198" t="s">
        <v>7</v>
      </c>
      <c r="E186" s="244"/>
      <c r="F186" s="244"/>
      <c r="G186" s="259">
        <f>IF(G184=0,"n/a",G185/G184)</f>
        <v>1.3403546212071278</v>
      </c>
      <c r="H186" s="244"/>
      <c r="I186" s="244"/>
      <c r="J186" s="244"/>
      <c r="K186" s="244"/>
      <c r="L186" s="244"/>
      <c r="M186" s="244"/>
      <c r="N186" s="244"/>
      <c r="O186" s="244"/>
      <c r="P186" s="244"/>
      <c r="Q186" s="244"/>
      <c r="R186" s="244"/>
      <c r="S186" s="244"/>
      <c r="T186" s="244"/>
      <c r="U186" s="244"/>
      <c r="V186" s="244"/>
      <c r="W186" s="244"/>
      <c r="X186" s="244"/>
      <c r="Y186" s="244"/>
      <c r="Z186" s="244"/>
      <c r="AA186" s="244"/>
      <c r="AB186" s="244"/>
      <c r="AC186" s="244"/>
      <c r="AD186" s="244"/>
      <c r="AE186" s="244"/>
      <c r="AF186" s="244"/>
      <c r="AG186" s="244"/>
      <c r="AH186" s="244"/>
      <c r="AI186" s="244"/>
      <c r="AJ186" s="244"/>
      <c r="AK186" s="244"/>
      <c r="AL186" s="244"/>
      <c r="AM186" s="244"/>
      <c r="AN186" s="244"/>
      <c r="AO186" s="244"/>
      <c r="AP186" s="244"/>
      <c r="AQ186" s="244"/>
      <c r="AR186" s="244"/>
      <c r="AS186" s="244"/>
      <c r="AT186" s="244"/>
      <c r="AU186" s="244"/>
      <c r="AV186" s="244"/>
      <c r="AW186" s="244"/>
      <c r="AX186" s="244"/>
      <c r="AY186" s="244"/>
      <c r="AZ186" s="244"/>
      <c r="BA186" s="244"/>
      <c r="BB186" s="244"/>
      <c r="BC186" s="244"/>
      <c r="BD186" s="244"/>
      <c r="BE186" s="244"/>
      <c r="BF186" s="244"/>
      <c r="BG186" s="244"/>
      <c r="BH186" s="244"/>
      <c r="BI186" s="244"/>
      <c r="BJ186" s="244"/>
      <c r="BK186" s="244"/>
      <c r="BL186" s="244"/>
      <c r="BM186" s="244"/>
      <c r="BN186" s="244"/>
      <c r="BO186" s="244"/>
      <c r="BP186" s="244"/>
    </row>
    <row r="187" spans="3:68" x14ac:dyDescent="0.25">
      <c r="C187" s="198" t="s">
        <v>1128</v>
      </c>
      <c r="D187" s="198" t="s">
        <v>51</v>
      </c>
      <c r="E187" s="244"/>
      <c r="F187" s="244"/>
      <c r="G187" s="260">
        <f>IFERROR(XIRR(H175:BP175,H5:BP5),"n/a")</f>
        <v>0.35636172890663165</v>
      </c>
      <c r="H187" s="244"/>
      <c r="I187" s="244"/>
      <c r="J187" s="244"/>
      <c r="K187" s="244"/>
      <c r="L187" s="244"/>
      <c r="M187" s="244"/>
      <c r="N187" s="244"/>
      <c r="O187" s="244"/>
      <c r="P187" s="244"/>
      <c r="Q187" s="244"/>
      <c r="R187" s="244"/>
      <c r="S187" s="244"/>
      <c r="T187" s="244"/>
      <c r="U187" s="244"/>
      <c r="V187" s="244"/>
      <c r="W187" s="244"/>
      <c r="X187" s="244"/>
      <c r="Y187" s="244"/>
      <c r="Z187" s="244"/>
      <c r="AA187" s="244"/>
      <c r="AB187" s="244"/>
      <c r="AC187" s="244"/>
      <c r="AD187" s="244"/>
      <c r="AE187" s="244"/>
      <c r="AF187" s="244"/>
      <c r="AG187" s="244"/>
      <c r="AH187" s="244"/>
      <c r="AI187" s="244"/>
      <c r="AJ187" s="244"/>
      <c r="AK187" s="244"/>
      <c r="AL187" s="244"/>
      <c r="AM187" s="244"/>
      <c r="AN187" s="244"/>
      <c r="AO187" s="244"/>
      <c r="AP187" s="244"/>
      <c r="AQ187" s="244"/>
      <c r="AR187" s="244"/>
      <c r="AS187" s="244"/>
      <c r="AT187" s="244"/>
      <c r="AU187" s="244"/>
      <c r="AV187" s="244"/>
      <c r="AW187" s="244"/>
      <c r="AX187" s="244"/>
      <c r="AY187" s="244"/>
      <c r="AZ187" s="244"/>
      <c r="BA187" s="244"/>
      <c r="BB187" s="244"/>
      <c r="BC187" s="244"/>
      <c r="BD187" s="244"/>
      <c r="BE187" s="244"/>
      <c r="BF187" s="244"/>
      <c r="BG187" s="244"/>
      <c r="BH187" s="244"/>
      <c r="BI187" s="244"/>
      <c r="BJ187" s="244"/>
      <c r="BK187" s="244"/>
      <c r="BL187" s="244"/>
      <c r="BM187" s="244"/>
      <c r="BN187" s="244"/>
      <c r="BO187" s="244"/>
      <c r="BP187" s="244"/>
    </row>
    <row r="188" spans="3:68" x14ac:dyDescent="0.25">
      <c r="C188" t="s">
        <v>1129</v>
      </c>
      <c r="D188" t="s">
        <v>125</v>
      </c>
      <c r="E188" s="151"/>
      <c r="F188" s="151"/>
      <c r="G188" s="258">
        <f>-MIN(H176:BP176)</f>
        <v>23443.802555395516</v>
      </c>
      <c r="H188" s="151"/>
      <c r="I188" s="151"/>
      <c r="J188" s="151"/>
      <c r="K188" s="151"/>
      <c r="L188" s="151"/>
      <c r="M188" s="151"/>
      <c r="N188" s="151"/>
      <c r="O188" s="151"/>
      <c r="P188" s="151"/>
      <c r="Q188" s="151"/>
      <c r="R188" s="151"/>
      <c r="S188" s="151"/>
      <c r="T188" s="151"/>
      <c r="U188" s="151"/>
      <c r="V188" s="151"/>
      <c r="W188" s="151"/>
      <c r="X188" s="151"/>
      <c r="Y188" s="151"/>
      <c r="Z188" s="151"/>
      <c r="AA188" s="151"/>
      <c r="AB188" s="151"/>
      <c r="AC188" s="151"/>
      <c r="AD188" s="151"/>
      <c r="AE188" s="151"/>
      <c r="AF188" s="151"/>
      <c r="AG188" s="151"/>
      <c r="AH188" s="151"/>
      <c r="AI188" s="151"/>
      <c r="AJ188" s="151"/>
      <c r="AK188" s="151"/>
      <c r="AL188" s="151"/>
      <c r="AM188" s="151"/>
      <c r="AN188" s="151"/>
      <c r="AO188" s="151"/>
      <c r="AP188" s="151"/>
      <c r="AQ188" s="151"/>
      <c r="AR188" s="151"/>
      <c r="AS188" s="151"/>
      <c r="AT188" s="151"/>
      <c r="AU188" s="151"/>
      <c r="AV188" s="151"/>
      <c r="AW188" s="151"/>
      <c r="AX188" s="151"/>
      <c r="AY188" s="151"/>
      <c r="AZ188" s="151"/>
      <c r="BA188" s="151"/>
      <c r="BB188" s="151"/>
      <c r="BC188" s="151"/>
      <c r="BD188" s="151"/>
      <c r="BE188" s="151"/>
      <c r="BF188" s="151"/>
      <c r="BG188" s="151"/>
      <c r="BH188" s="151"/>
      <c r="BI188" s="151"/>
      <c r="BJ188" s="151"/>
      <c r="BK188" s="151"/>
      <c r="BL188" s="151"/>
      <c r="BM188" s="151"/>
      <c r="BN188" s="151"/>
      <c r="BO188" s="151"/>
      <c r="BP188" s="151"/>
    </row>
    <row r="189" spans="3:68" x14ac:dyDescent="0.25">
      <c r="C189" t="s">
        <v>1130</v>
      </c>
      <c r="D189" t="s">
        <v>169</v>
      </c>
      <c r="E189" s="151"/>
      <c r="F189" s="151"/>
      <c r="G189" s="257">
        <f>G188*Inputs!$E$11/1000</f>
        <v>8556.987932719363</v>
      </c>
      <c r="H189" s="151"/>
      <c r="I189" s="151"/>
      <c r="J189" s="151"/>
      <c r="K189" s="151"/>
      <c r="L189" s="151"/>
      <c r="M189" s="151"/>
      <c r="N189" s="151"/>
      <c r="O189" s="151"/>
      <c r="P189" s="151"/>
      <c r="Q189" s="151"/>
      <c r="R189" s="151"/>
      <c r="S189" s="151"/>
      <c r="T189" s="151"/>
      <c r="U189" s="151"/>
      <c r="V189" s="151"/>
      <c r="W189" s="151"/>
      <c r="X189" s="151"/>
      <c r="Y189" s="151"/>
      <c r="Z189" s="151"/>
      <c r="AA189" s="151"/>
      <c r="AB189" s="151"/>
      <c r="AC189" s="151"/>
      <c r="AD189" s="151"/>
      <c r="AE189" s="151"/>
      <c r="AF189" s="151"/>
      <c r="AG189" s="151"/>
      <c r="AH189" s="151"/>
      <c r="AI189" s="151"/>
      <c r="AJ189" s="151"/>
      <c r="AK189" s="151"/>
      <c r="AL189" s="151"/>
      <c r="AM189" s="151"/>
      <c r="AN189" s="151"/>
      <c r="AO189" s="151"/>
      <c r="AP189" s="151"/>
      <c r="AQ189" s="151"/>
      <c r="AR189" s="151"/>
      <c r="AS189" s="151"/>
      <c r="AT189" s="151"/>
      <c r="AU189" s="151"/>
      <c r="AV189" s="151"/>
      <c r="AW189" s="151"/>
      <c r="AX189" s="151"/>
      <c r="AY189" s="151"/>
      <c r="AZ189" s="151"/>
      <c r="BA189" s="151"/>
      <c r="BB189" s="151"/>
      <c r="BC189" s="151"/>
      <c r="BD189" s="151"/>
      <c r="BE189" s="151"/>
      <c r="BF189" s="151"/>
      <c r="BG189" s="151"/>
      <c r="BH189" s="151"/>
      <c r="BI189" s="151"/>
      <c r="BJ189" s="151"/>
      <c r="BK189" s="151"/>
      <c r="BL189" s="151"/>
      <c r="BM189" s="151"/>
      <c r="BN189" s="151"/>
      <c r="BO189" s="151"/>
      <c r="BP189" s="151"/>
    </row>
    <row r="190" spans="3:68" x14ac:dyDescent="0.25">
      <c r="C190" t="s">
        <v>1131</v>
      </c>
      <c r="D190" t="s">
        <v>125</v>
      </c>
      <c r="E190" s="151"/>
      <c r="F190" s="151"/>
      <c r="G190" s="258">
        <f>G179</f>
        <v>6365.7330161189457</v>
      </c>
      <c r="H190" s="151"/>
      <c r="I190" s="151"/>
      <c r="J190" s="151"/>
      <c r="K190" s="151"/>
      <c r="L190" s="151"/>
      <c r="M190" s="151"/>
      <c r="N190" s="151"/>
      <c r="O190" s="151"/>
      <c r="P190" s="151"/>
      <c r="Q190" s="151"/>
      <c r="R190" s="151"/>
      <c r="S190" s="151"/>
      <c r="T190" s="151"/>
      <c r="U190" s="151"/>
      <c r="V190" s="151"/>
      <c r="W190" s="151"/>
      <c r="X190" s="151"/>
      <c r="Y190" s="151"/>
      <c r="Z190" s="151"/>
      <c r="AA190" s="151"/>
      <c r="AB190" s="151"/>
      <c r="AC190" s="151"/>
      <c r="AD190" s="151"/>
      <c r="AE190" s="151"/>
      <c r="AF190" s="151"/>
      <c r="AG190" s="151"/>
      <c r="AH190" s="151"/>
      <c r="AI190" s="151"/>
      <c r="AJ190" s="151"/>
      <c r="AK190" s="151"/>
      <c r="AL190" s="151"/>
      <c r="AM190" s="151"/>
      <c r="AN190" s="151"/>
      <c r="AO190" s="151"/>
      <c r="AP190" s="151"/>
      <c r="AQ190" s="151"/>
      <c r="AR190" s="151"/>
      <c r="AS190" s="151"/>
      <c r="AT190" s="151"/>
      <c r="AU190" s="151"/>
      <c r="AV190" s="151"/>
      <c r="AW190" s="151"/>
      <c r="AX190" s="151"/>
      <c r="AY190" s="151"/>
      <c r="AZ190" s="151"/>
      <c r="BA190" s="151"/>
      <c r="BB190" s="151"/>
      <c r="BC190" s="151"/>
      <c r="BD190" s="151"/>
      <c r="BE190" s="151"/>
      <c r="BF190" s="151"/>
      <c r="BG190" s="151"/>
      <c r="BH190" s="151"/>
      <c r="BI190" s="151"/>
      <c r="BJ190" s="151"/>
      <c r="BK190" s="151"/>
      <c r="BL190" s="151"/>
      <c r="BM190" s="151"/>
      <c r="BN190" s="151"/>
      <c r="BO190" s="151"/>
      <c r="BP190" s="151"/>
    </row>
    <row r="191" spans="3:68" x14ac:dyDescent="0.25">
      <c r="C191" t="s">
        <v>1132</v>
      </c>
      <c r="D191" t="s">
        <v>441</v>
      </c>
      <c r="E191" s="151"/>
      <c r="F191" s="151"/>
      <c r="G191" s="261">
        <f>Inputs!$E$57</f>
        <v>38</v>
      </c>
      <c r="H191" s="151"/>
      <c r="I191" s="151"/>
      <c r="J191" s="151"/>
      <c r="K191" s="151"/>
      <c r="L191" s="151"/>
      <c r="M191" s="151"/>
      <c r="N191" s="151"/>
      <c r="O191" s="151"/>
      <c r="P191" s="151"/>
      <c r="Q191" s="151"/>
      <c r="R191" s="151"/>
      <c r="S191" s="151"/>
      <c r="T191" s="151"/>
      <c r="U191" s="151"/>
      <c r="V191" s="151"/>
      <c r="W191" s="151"/>
      <c r="X191" s="151"/>
      <c r="Y191" s="151"/>
      <c r="Z191" s="151"/>
      <c r="AA191" s="151"/>
      <c r="AB191" s="151"/>
      <c r="AC191" s="151"/>
      <c r="AD191" s="151"/>
      <c r="AE191" s="151"/>
      <c r="AF191" s="151"/>
      <c r="AG191" s="151"/>
      <c r="AH191" s="151"/>
      <c r="AI191" s="151"/>
      <c r="AJ191" s="151"/>
      <c r="AK191" s="151"/>
      <c r="AL191" s="151"/>
      <c r="AM191" s="151"/>
      <c r="AN191" s="151"/>
      <c r="AO191" s="151"/>
      <c r="AP191" s="151"/>
      <c r="AQ191" s="151"/>
      <c r="AR191" s="151"/>
      <c r="AS191" s="151"/>
      <c r="AT191" s="151"/>
      <c r="AU191" s="151"/>
      <c r="AV191" s="151"/>
      <c r="AW191" s="151"/>
      <c r="AX191" s="151"/>
      <c r="AY191" s="151"/>
      <c r="AZ191" s="151"/>
      <c r="BA191" s="151"/>
      <c r="BB191" s="151"/>
      <c r="BC191" s="151"/>
      <c r="BD191" s="151"/>
      <c r="BE191" s="151"/>
      <c r="BF191" s="151"/>
      <c r="BG191" s="151"/>
      <c r="BH191" s="151"/>
      <c r="BI191" s="151"/>
      <c r="BJ191" s="151"/>
      <c r="BK191" s="151"/>
      <c r="BL191" s="151"/>
      <c r="BM191" s="151"/>
      <c r="BN191" s="151"/>
      <c r="BO191" s="151"/>
      <c r="BP191" s="151"/>
    </row>
    <row r="192" spans="3:68" x14ac:dyDescent="0.25">
      <c r="C192" t="s">
        <v>1133</v>
      </c>
      <c r="D192" t="s">
        <v>125</v>
      </c>
      <c r="E192" s="151"/>
      <c r="F192" s="151"/>
      <c r="G192" s="258">
        <f t="array" ref="G192">SUMPRODUCT(H175:BP175/(1+Inputs!$E$255)^((H5:BP5-$H$5)/365))</f>
        <v>4928.1404476104872</v>
      </c>
      <c r="H192" s="151"/>
      <c r="I192" s="151"/>
      <c r="J192" s="151"/>
      <c r="K192" s="151"/>
      <c r="L192" s="151"/>
      <c r="M192" s="151"/>
      <c r="N192" s="151"/>
      <c r="O192" s="151"/>
      <c r="P192" s="151"/>
      <c r="Q192" s="151"/>
      <c r="R192" s="151"/>
      <c r="S192" s="151"/>
      <c r="T192" s="151"/>
      <c r="U192" s="151"/>
      <c r="V192" s="151"/>
      <c r="W192" s="151"/>
      <c r="X192" s="151"/>
      <c r="Y192" s="151"/>
      <c r="Z192" s="151"/>
      <c r="AA192" s="151"/>
      <c r="AB192" s="151"/>
      <c r="AC192" s="151"/>
      <c r="AD192" s="151"/>
      <c r="AE192" s="151"/>
      <c r="AF192" s="151"/>
      <c r="AG192" s="151"/>
      <c r="AH192" s="151"/>
      <c r="AI192" s="151"/>
      <c r="AJ192" s="151"/>
      <c r="AK192" s="151"/>
      <c r="AL192" s="151"/>
      <c r="AM192" s="151"/>
      <c r="AN192" s="151"/>
      <c r="AO192" s="151"/>
      <c r="AP192" s="151"/>
      <c r="AQ192" s="151"/>
      <c r="AR192" s="151"/>
      <c r="AS192" s="151"/>
      <c r="AT192" s="151"/>
      <c r="AU192" s="151"/>
      <c r="AV192" s="151"/>
      <c r="AW192" s="151"/>
      <c r="AX192" s="151"/>
      <c r="AY192" s="151"/>
      <c r="AZ192" s="151"/>
      <c r="BA192" s="151"/>
      <c r="BB192" s="151"/>
      <c r="BC192" s="151"/>
      <c r="BD192" s="151"/>
      <c r="BE192" s="151"/>
      <c r="BF192" s="151"/>
      <c r="BG192" s="151"/>
      <c r="BH192" s="151"/>
      <c r="BI192" s="151"/>
      <c r="BJ192" s="151"/>
      <c r="BK192" s="151"/>
      <c r="BL192" s="151"/>
      <c r="BM192" s="151"/>
      <c r="BN192" s="151"/>
      <c r="BO192" s="151"/>
      <c r="BP192" s="151"/>
    </row>
    <row r="193" spans="3:68" x14ac:dyDescent="0.25">
      <c r="C193" t="s">
        <v>1134</v>
      </c>
      <c r="D193" t="s">
        <v>125</v>
      </c>
      <c r="E193" s="151"/>
      <c r="F193" s="151"/>
      <c r="G193" s="258">
        <f t="array" ref="G193">-SUMPRODUCT((H175:BP175&lt;0)*H175:BP175/(1+Inputs!$E$255)^((H5:BP5-$H$5)/365))</f>
        <v>19700.273688301575</v>
      </c>
      <c r="H193" s="151"/>
      <c r="I193" s="151"/>
      <c r="J193" s="151"/>
      <c r="K193" s="151"/>
      <c r="L193" s="151"/>
      <c r="M193" s="151"/>
      <c r="N193" s="151"/>
      <c r="O193" s="151"/>
      <c r="P193" s="151"/>
      <c r="Q193" s="151"/>
      <c r="R193" s="151"/>
      <c r="S193" s="151"/>
      <c r="T193" s="151"/>
      <c r="U193" s="151"/>
      <c r="V193" s="151"/>
      <c r="W193" s="151"/>
      <c r="X193" s="151"/>
      <c r="Y193" s="151"/>
      <c r="Z193" s="151"/>
      <c r="AA193" s="151"/>
      <c r="AB193" s="151"/>
      <c r="AC193" s="151"/>
      <c r="AD193" s="151"/>
      <c r="AE193" s="151"/>
      <c r="AF193" s="151"/>
      <c r="AG193" s="151"/>
      <c r="AH193" s="151"/>
      <c r="AI193" s="151"/>
      <c r="AJ193" s="151"/>
      <c r="AK193" s="151"/>
      <c r="AL193" s="151"/>
      <c r="AM193" s="151"/>
      <c r="AN193" s="151"/>
      <c r="AO193" s="151"/>
      <c r="AP193" s="151"/>
      <c r="AQ193" s="151"/>
      <c r="AR193" s="151"/>
      <c r="AS193" s="151"/>
      <c r="AT193" s="151"/>
      <c r="AU193" s="151"/>
      <c r="AV193" s="151"/>
      <c r="AW193" s="151"/>
      <c r="AX193" s="151"/>
      <c r="AY193" s="151"/>
      <c r="AZ193" s="151"/>
      <c r="BA193" s="151"/>
      <c r="BB193" s="151"/>
      <c r="BC193" s="151"/>
      <c r="BD193" s="151"/>
      <c r="BE193" s="151"/>
      <c r="BF193" s="151"/>
      <c r="BG193" s="151"/>
      <c r="BH193" s="151"/>
      <c r="BI193" s="151"/>
      <c r="BJ193" s="151"/>
      <c r="BK193" s="151"/>
      <c r="BL193" s="151"/>
      <c r="BM193" s="151"/>
      <c r="BN193" s="151"/>
      <c r="BO193" s="151"/>
      <c r="BP193" s="151"/>
    </row>
    <row r="194" spans="3:68" x14ac:dyDescent="0.25">
      <c r="C194" s="198" t="s">
        <v>1135</v>
      </c>
      <c r="D194" s="198" t="s">
        <v>7</v>
      </c>
      <c r="E194" s="244"/>
      <c r="F194" s="244"/>
      <c r="G194" s="259">
        <f>IF(G193=0,"n/a",G192/G193)</f>
        <v>0.25015593821607246</v>
      </c>
      <c r="H194" s="244"/>
      <c r="I194" s="244"/>
      <c r="J194" s="244"/>
      <c r="K194" s="244"/>
      <c r="L194" s="244"/>
      <c r="M194" s="244"/>
      <c r="N194" s="244"/>
      <c r="O194" s="244"/>
      <c r="P194" s="244"/>
      <c r="Q194" s="244"/>
      <c r="R194" s="244"/>
      <c r="S194" s="244"/>
      <c r="T194" s="244"/>
      <c r="U194" s="244"/>
      <c r="V194" s="244"/>
      <c r="W194" s="244"/>
      <c r="X194" s="244"/>
      <c r="Y194" s="244"/>
      <c r="Z194" s="244"/>
      <c r="AA194" s="244"/>
      <c r="AB194" s="244"/>
      <c r="AC194" s="244"/>
      <c r="AD194" s="244"/>
      <c r="AE194" s="244"/>
      <c r="AF194" s="244"/>
      <c r="AG194" s="244"/>
      <c r="AH194" s="244"/>
      <c r="AI194" s="244"/>
      <c r="AJ194" s="244"/>
      <c r="AK194" s="244"/>
      <c r="AL194" s="244"/>
      <c r="AM194" s="244"/>
      <c r="AN194" s="244"/>
      <c r="AO194" s="244"/>
      <c r="AP194" s="244"/>
      <c r="AQ194" s="244"/>
      <c r="AR194" s="244"/>
      <c r="AS194" s="244"/>
      <c r="AT194" s="244"/>
      <c r="AU194" s="244"/>
      <c r="AV194" s="244"/>
      <c r="AW194" s="244"/>
      <c r="AX194" s="244"/>
      <c r="AY194" s="244"/>
      <c r="AZ194" s="244"/>
      <c r="BA194" s="244"/>
      <c r="BB194" s="244"/>
      <c r="BC194" s="244"/>
      <c r="BD194" s="244"/>
      <c r="BE194" s="244"/>
      <c r="BF194" s="244"/>
      <c r="BG194" s="244"/>
      <c r="BH194" s="244"/>
      <c r="BI194" s="244"/>
      <c r="BJ194" s="244"/>
      <c r="BK194" s="244"/>
      <c r="BL194" s="244"/>
      <c r="BM194" s="244"/>
      <c r="BN194" s="244"/>
      <c r="BO194" s="244"/>
      <c r="BP194" s="244"/>
    </row>
    <row r="195" spans="3:68" x14ac:dyDescent="0.25">
      <c r="C195" s="198" t="s">
        <v>1136</v>
      </c>
      <c r="D195" s="198" t="s">
        <v>7</v>
      </c>
      <c r="E195" s="244"/>
      <c r="F195" s="244"/>
      <c r="G195" s="259">
        <f>IF(SUMIF(H175:BP175,"&lt;0")=0,"n/a",G192/-SUMIF(H175:BP175,"&lt;0"))</f>
        <v>0.21021079818283539</v>
      </c>
      <c r="H195" s="244"/>
      <c r="I195" s="244"/>
      <c r="J195" s="244"/>
      <c r="K195" s="244"/>
      <c r="L195" s="244"/>
      <c r="M195" s="244"/>
      <c r="N195" s="244"/>
      <c r="O195" s="244"/>
      <c r="P195" s="244"/>
      <c r="Q195" s="244"/>
      <c r="R195" s="244"/>
      <c r="S195" s="244"/>
      <c r="T195" s="244"/>
      <c r="U195" s="244"/>
      <c r="V195" s="244"/>
      <c r="W195" s="244"/>
      <c r="X195" s="244"/>
      <c r="Y195" s="244"/>
      <c r="Z195" s="244"/>
      <c r="AA195" s="244"/>
      <c r="AB195" s="244"/>
      <c r="AC195" s="244"/>
      <c r="AD195" s="244"/>
      <c r="AE195" s="244"/>
      <c r="AF195" s="244"/>
      <c r="AG195" s="244"/>
      <c r="AH195" s="244"/>
      <c r="AI195" s="244"/>
      <c r="AJ195" s="244"/>
      <c r="AK195" s="244"/>
      <c r="AL195" s="244"/>
      <c r="AM195" s="244"/>
      <c r="AN195" s="244"/>
      <c r="AO195" s="244"/>
      <c r="AP195" s="244"/>
      <c r="AQ195" s="244"/>
      <c r="AR195" s="244"/>
      <c r="AS195" s="244"/>
      <c r="AT195" s="244"/>
      <c r="AU195" s="244"/>
      <c r="AV195" s="244"/>
      <c r="AW195" s="244"/>
      <c r="AX195" s="244"/>
      <c r="AY195" s="244"/>
      <c r="AZ195" s="244"/>
      <c r="BA195" s="244"/>
      <c r="BB195" s="244"/>
      <c r="BC195" s="244"/>
      <c r="BD195" s="244"/>
      <c r="BE195" s="244"/>
      <c r="BF195" s="244"/>
      <c r="BG195" s="244"/>
      <c r="BH195" s="244"/>
      <c r="BI195" s="244"/>
      <c r="BJ195" s="244"/>
      <c r="BK195" s="244"/>
      <c r="BL195" s="244"/>
      <c r="BM195" s="244"/>
      <c r="BN195" s="244"/>
      <c r="BO195" s="244"/>
      <c r="BP195" s="244"/>
    </row>
    <row r="196" spans="3:68" x14ac:dyDescent="0.25">
      <c r="C196" s="198"/>
      <c r="D196" s="198"/>
      <c r="E196" s="244"/>
      <c r="F196" s="244"/>
      <c r="G196" s="259"/>
      <c r="H196" s="244"/>
      <c r="I196" s="244"/>
      <c r="J196" s="244"/>
      <c r="K196" s="244"/>
      <c r="L196" s="244"/>
      <c r="M196" s="244"/>
      <c r="N196" s="244"/>
      <c r="O196" s="244"/>
      <c r="P196" s="244"/>
      <c r="Q196" s="244"/>
      <c r="R196" s="244"/>
      <c r="S196" s="244"/>
      <c r="T196" s="244"/>
      <c r="U196" s="244"/>
      <c r="V196" s="244"/>
      <c r="W196" s="244"/>
      <c r="X196" s="244"/>
      <c r="Y196" s="244"/>
      <c r="Z196" s="244"/>
      <c r="AA196" s="244"/>
      <c r="AB196" s="244"/>
      <c r="AC196" s="244"/>
      <c r="AD196" s="244"/>
      <c r="AE196" s="244"/>
      <c r="AF196" s="244"/>
      <c r="AG196" s="244"/>
      <c r="AH196" s="244"/>
      <c r="AI196" s="244"/>
      <c r="AJ196" s="244"/>
      <c r="AK196" s="244"/>
      <c r="AL196" s="244"/>
      <c r="AM196" s="244"/>
      <c r="AN196" s="244"/>
      <c r="AO196" s="244"/>
      <c r="AP196" s="244"/>
      <c r="AQ196" s="244"/>
      <c r="AR196" s="244"/>
      <c r="AS196" s="244"/>
      <c r="AT196" s="244"/>
      <c r="AU196" s="244"/>
      <c r="AV196" s="244"/>
      <c r="AW196" s="244"/>
      <c r="AX196" s="244"/>
      <c r="AY196" s="244"/>
      <c r="AZ196" s="244"/>
      <c r="BA196" s="244"/>
      <c r="BB196" s="244"/>
      <c r="BC196" s="244"/>
      <c r="BD196" s="244"/>
      <c r="BE196" s="244"/>
      <c r="BF196" s="244"/>
      <c r="BG196" s="244"/>
      <c r="BH196" s="244"/>
      <c r="BI196" s="244"/>
      <c r="BJ196" s="244"/>
      <c r="BK196" s="244"/>
      <c r="BL196" s="244"/>
      <c r="BM196" s="244"/>
      <c r="BN196" s="244"/>
      <c r="BO196" s="244"/>
      <c r="BP196" s="244"/>
    </row>
    <row r="197" spans="3:68" x14ac:dyDescent="0.25">
      <c r="C197" s="198" t="s">
        <v>1137</v>
      </c>
      <c r="D197" s="198"/>
      <c r="E197" s="244"/>
      <c r="F197" s="244"/>
      <c r="G197" s="259"/>
      <c r="H197" s="244"/>
      <c r="I197" s="244"/>
      <c r="J197" s="244"/>
      <c r="K197" s="244"/>
      <c r="L197" s="244"/>
      <c r="M197" s="244"/>
      <c r="N197" s="244"/>
      <c r="O197" s="244"/>
      <c r="P197" s="244"/>
      <c r="Q197" s="244"/>
      <c r="R197" s="244"/>
      <c r="S197" s="244"/>
      <c r="T197" s="244"/>
      <c r="U197" s="244"/>
      <c r="V197" s="244"/>
      <c r="W197" s="244"/>
      <c r="X197" s="244"/>
      <c r="Y197" s="244"/>
      <c r="Z197" s="244"/>
      <c r="AA197" s="244"/>
      <c r="AB197" s="244"/>
      <c r="AC197" s="244"/>
      <c r="AD197" s="244"/>
      <c r="AE197" s="244"/>
      <c r="AF197" s="244"/>
      <c r="AG197" s="244"/>
      <c r="AH197" s="244"/>
      <c r="AI197" s="244"/>
      <c r="AJ197" s="244"/>
      <c r="AK197" s="244"/>
      <c r="AL197" s="244"/>
      <c r="AM197" s="244"/>
      <c r="AN197" s="244"/>
      <c r="AO197" s="244"/>
      <c r="AP197" s="244"/>
      <c r="AQ197" s="244"/>
      <c r="AR197" s="244"/>
      <c r="AS197" s="244"/>
      <c r="AT197" s="244"/>
      <c r="AU197" s="244"/>
      <c r="AV197" s="244"/>
      <c r="AW197" s="244"/>
      <c r="AX197" s="244"/>
      <c r="AY197" s="244"/>
      <c r="AZ197" s="244"/>
      <c r="BA197" s="244"/>
      <c r="BB197" s="244"/>
      <c r="BC197" s="244"/>
      <c r="BD197" s="244"/>
      <c r="BE197" s="244"/>
      <c r="BF197" s="244"/>
      <c r="BG197" s="244"/>
      <c r="BH197" s="244"/>
      <c r="BI197" s="244"/>
      <c r="BJ197" s="244"/>
      <c r="BK197" s="244"/>
      <c r="BL197" s="244"/>
      <c r="BM197" s="244"/>
      <c r="BN197" s="244"/>
      <c r="BO197" s="244"/>
      <c r="BP197" s="244"/>
    </row>
    <row r="198" spans="3:68" x14ac:dyDescent="0.25">
      <c r="C198" s="198" t="s">
        <v>1138</v>
      </c>
      <c r="D198" s="198" t="s">
        <v>125</v>
      </c>
      <c r="E198" s="244"/>
      <c r="F198" s="244"/>
      <c r="G198" s="151"/>
      <c r="H198" s="151">
        <v>0</v>
      </c>
      <c r="I198" s="151">
        <f t="shared" ref="I198:AN198" si="138">H201</f>
        <v>0</v>
      </c>
      <c r="J198" s="151">
        <f t="shared" si="138"/>
        <v>0</v>
      </c>
      <c r="K198" s="151">
        <f t="shared" si="138"/>
        <v>0</v>
      </c>
      <c r="L198" s="151">
        <f t="shared" si="138"/>
        <v>97.463876324984568</v>
      </c>
      <c r="M198" s="151">
        <f t="shared" si="138"/>
        <v>98.090961839897176</v>
      </c>
      <c r="N198" s="151">
        <f t="shared" si="138"/>
        <v>1339.5311602597067</v>
      </c>
      <c r="O198" s="151">
        <f t="shared" si="138"/>
        <v>1353.0459096299919</v>
      </c>
      <c r="P198" s="151">
        <f t="shared" si="138"/>
        <v>1451.7735716311415</v>
      </c>
      <c r="Q198" s="151">
        <f t="shared" si="138"/>
        <v>1661.3946984958143</v>
      </c>
      <c r="R198" s="151">
        <f t="shared" si="138"/>
        <v>1672.0841620105364</v>
      </c>
      <c r="S198" s="151">
        <f t="shared" si="138"/>
        <v>1682.8424018553719</v>
      </c>
      <c r="T198" s="151">
        <f t="shared" si="138"/>
        <v>1715.4305963254621</v>
      </c>
      <c r="U198" s="151">
        <f t="shared" si="138"/>
        <v>1748.2284642200036</v>
      </c>
      <c r="V198" s="151">
        <f t="shared" si="138"/>
        <v>1759.4766187979601</v>
      </c>
      <c r="W198" s="151">
        <f t="shared" si="138"/>
        <v>1770.7971443411532</v>
      </c>
      <c r="X198" s="151">
        <f t="shared" si="138"/>
        <v>1782.1905064865523</v>
      </c>
      <c r="Y198" s="151">
        <f t="shared" si="138"/>
        <v>1814.0578636665762</v>
      </c>
      <c r="Z198" s="151">
        <f t="shared" si="138"/>
        <v>1897.5291143091379</v>
      </c>
      <c r="AA198" s="151">
        <f t="shared" si="138"/>
        <v>2390.1812657245141</v>
      </c>
      <c r="AB198" s="151">
        <f t="shared" si="138"/>
        <v>2521.163672820539</v>
      </c>
      <c r="AC198" s="151">
        <f t="shared" si="138"/>
        <v>2581.7360154278849</v>
      </c>
      <c r="AD198" s="151">
        <f t="shared" si="138"/>
        <v>2598.4013845266936</v>
      </c>
      <c r="AE198" s="151">
        <f t="shared" si="138"/>
        <v>2615.1195772726128</v>
      </c>
      <c r="AF198" s="151">
        <f t="shared" si="138"/>
        <v>2634.2098119417919</v>
      </c>
      <c r="AG198" s="151">
        <f t="shared" si="138"/>
        <v>2651.1583971878918</v>
      </c>
      <c r="AH198" s="151">
        <f t="shared" si="138"/>
        <v>2749.6738099920585</v>
      </c>
      <c r="AI198" s="151">
        <f t="shared" si="138"/>
        <v>2767.3652940782354</v>
      </c>
      <c r="AJ198" s="151">
        <f t="shared" si="138"/>
        <v>2785.1706057057131</v>
      </c>
      <c r="AK198" s="151">
        <f t="shared" si="138"/>
        <v>2819.4110290839417</v>
      </c>
      <c r="AL198" s="151">
        <f t="shared" si="138"/>
        <v>2979.5629016479261</v>
      </c>
      <c r="AM198" s="151">
        <f t="shared" si="138"/>
        <v>22634.312070457196</v>
      </c>
      <c r="AN198" s="151">
        <f t="shared" si="138"/>
        <v>22779.941915837731</v>
      </c>
      <c r="AO198" s="151">
        <f t="shared" ref="AO198:BP198" si="139">AN201</f>
        <v>23050.544942009485</v>
      </c>
      <c r="AP198" s="151">
        <f t="shared" si="139"/>
        <v>23198.852842218363</v>
      </c>
      <c r="AQ198" s="151">
        <f t="shared" si="139"/>
        <v>23348.114959922736</v>
      </c>
      <c r="AR198" s="151">
        <f t="shared" si="139"/>
        <v>23498.337434586701</v>
      </c>
      <c r="AS198" s="151">
        <f t="shared" si="139"/>
        <v>23649.526445175852</v>
      </c>
      <c r="AT198" s="151">
        <f t="shared" si="139"/>
        <v>23801.688210411437</v>
      </c>
      <c r="AU198" s="151">
        <f t="shared" si="139"/>
        <v>0</v>
      </c>
      <c r="AV198" s="151">
        <f t="shared" si="139"/>
        <v>0</v>
      </c>
      <c r="AW198" s="151">
        <f t="shared" si="139"/>
        <v>0</v>
      </c>
      <c r="AX198" s="151">
        <f t="shared" si="139"/>
        <v>0</v>
      </c>
      <c r="AY198" s="151">
        <f t="shared" si="139"/>
        <v>0</v>
      </c>
      <c r="AZ198" s="151">
        <f t="shared" si="139"/>
        <v>0</v>
      </c>
      <c r="BA198" s="151">
        <f t="shared" si="139"/>
        <v>0</v>
      </c>
      <c r="BB198" s="151">
        <f t="shared" si="139"/>
        <v>0</v>
      </c>
      <c r="BC198" s="151">
        <f t="shared" si="139"/>
        <v>0</v>
      </c>
      <c r="BD198" s="151">
        <f t="shared" si="139"/>
        <v>0</v>
      </c>
      <c r="BE198" s="151">
        <f t="shared" si="139"/>
        <v>0</v>
      </c>
      <c r="BF198" s="151">
        <f t="shared" si="139"/>
        <v>0</v>
      </c>
      <c r="BG198" s="151">
        <f t="shared" si="139"/>
        <v>0</v>
      </c>
      <c r="BH198" s="151">
        <f t="shared" si="139"/>
        <v>0</v>
      </c>
      <c r="BI198" s="151">
        <f t="shared" si="139"/>
        <v>0</v>
      </c>
      <c r="BJ198" s="151">
        <f t="shared" si="139"/>
        <v>0</v>
      </c>
      <c r="BK198" s="151">
        <f t="shared" si="139"/>
        <v>0</v>
      </c>
      <c r="BL198" s="151">
        <f t="shared" si="139"/>
        <v>0</v>
      </c>
      <c r="BM198" s="151">
        <f t="shared" si="139"/>
        <v>0</v>
      </c>
      <c r="BN198" s="151">
        <f t="shared" si="139"/>
        <v>0</v>
      </c>
      <c r="BO198" s="151">
        <f t="shared" si="139"/>
        <v>0</v>
      </c>
      <c r="BP198" s="151">
        <f t="shared" si="139"/>
        <v>0</v>
      </c>
    </row>
    <row r="199" spans="3:68" x14ac:dyDescent="0.25">
      <c r="C199" s="198" t="s">
        <v>1139</v>
      </c>
      <c r="D199" s="198" t="s">
        <v>125</v>
      </c>
      <c r="E199" s="244"/>
      <c r="F199" s="244"/>
      <c r="G199" s="151">
        <f>SUM(H199:BP199)</f>
        <v>22268.042144436604</v>
      </c>
      <c r="H199" s="151">
        <f t="shared" ref="H199:AM199" si="140">H110+H124+H125</f>
        <v>0</v>
      </c>
      <c r="I199" s="151">
        <f t="shared" si="140"/>
        <v>0</v>
      </c>
      <c r="J199" s="151">
        <f t="shared" si="140"/>
        <v>0</v>
      </c>
      <c r="K199" s="151">
        <f t="shared" si="140"/>
        <v>96.840799703813417</v>
      </c>
      <c r="L199" s="151">
        <f t="shared" si="140"/>
        <v>0</v>
      </c>
      <c r="M199" s="151">
        <f t="shared" si="140"/>
        <v>1232.8767123287671</v>
      </c>
      <c r="N199" s="151">
        <f t="shared" si="140"/>
        <v>4.8648648648648649</v>
      </c>
      <c r="O199" s="151">
        <f t="shared" si="140"/>
        <v>89.446621621621617</v>
      </c>
      <c r="P199" s="151">
        <f t="shared" si="140"/>
        <v>199</v>
      </c>
      <c r="Q199" s="151">
        <f t="shared" si="140"/>
        <v>0</v>
      </c>
      <c r="R199" s="151">
        <f t="shared" si="140"/>
        <v>0</v>
      </c>
      <c r="S199" s="151">
        <f t="shared" si="140"/>
        <v>21.621621621621621</v>
      </c>
      <c r="T199" s="151">
        <f t="shared" si="140"/>
        <v>21.621621621621621</v>
      </c>
      <c r="U199" s="151">
        <f t="shared" si="140"/>
        <v>0</v>
      </c>
      <c r="V199" s="151">
        <f t="shared" si="140"/>
        <v>0</v>
      </c>
      <c r="W199" s="151">
        <f t="shared" si="140"/>
        <v>0</v>
      </c>
      <c r="X199" s="151">
        <f t="shared" si="140"/>
        <v>20.27027027027027</v>
      </c>
      <c r="Y199" s="151">
        <f t="shared" si="140"/>
        <v>71.340540540540545</v>
      </c>
      <c r="Z199" s="151">
        <f t="shared" si="140"/>
        <v>477.37196635410925</v>
      </c>
      <c r="AA199" s="151">
        <f t="shared" si="140"/>
        <v>114.86486486486487</v>
      </c>
      <c r="AB199" s="151">
        <f t="shared" si="140"/>
        <v>44.067567567567565</v>
      </c>
      <c r="AC199" s="151">
        <f t="shared" si="140"/>
        <v>5.4054054054054057E-2</v>
      </c>
      <c r="AD199" s="151">
        <f t="shared" si="140"/>
        <v>0</v>
      </c>
      <c r="AE199" s="151">
        <f t="shared" si="140"/>
        <v>2.25</v>
      </c>
      <c r="AF199" s="151">
        <f t="shared" si="140"/>
        <v>0</v>
      </c>
      <c r="AG199" s="151">
        <f t="shared" si="140"/>
        <v>80.937028571428556</v>
      </c>
      <c r="AH199" s="151">
        <f t="shared" si="140"/>
        <v>0</v>
      </c>
      <c r="AI199" s="151">
        <f t="shared" si="140"/>
        <v>0</v>
      </c>
      <c r="AJ199" s="151">
        <f t="shared" si="140"/>
        <v>16.216216216216218</v>
      </c>
      <c r="AK199" s="151">
        <f t="shared" si="140"/>
        <v>141.10383081428651</v>
      </c>
      <c r="AL199" s="151">
        <f t="shared" si="140"/>
        <v>19510.050320177714</v>
      </c>
      <c r="AM199" s="151">
        <f t="shared" si="140"/>
        <v>0</v>
      </c>
      <c r="AN199" s="151">
        <f t="shared" ref="AN199:BP199" si="141">AN110+AN124+AN125</f>
        <v>123.24324324324324</v>
      </c>
      <c r="AO199" s="151">
        <f t="shared" si="141"/>
        <v>0</v>
      </c>
      <c r="AP199" s="151">
        <f t="shared" si="141"/>
        <v>0</v>
      </c>
      <c r="AQ199" s="151">
        <f t="shared" si="141"/>
        <v>0</v>
      </c>
      <c r="AR199" s="151">
        <f t="shared" si="141"/>
        <v>0</v>
      </c>
      <c r="AS199" s="151">
        <f t="shared" si="141"/>
        <v>0</v>
      </c>
      <c r="AT199" s="151">
        <f t="shared" si="141"/>
        <v>0</v>
      </c>
      <c r="AU199" s="151">
        <f t="shared" si="141"/>
        <v>0</v>
      </c>
      <c r="AV199" s="151">
        <f t="shared" si="141"/>
        <v>0</v>
      </c>
      <c r="AW199" s="151">
        <f t="shared" si="141"/>
        <v>0</v>
      </c>
      <c r="AX199" s="151">
        <f t="shared" si="141"/>
        <v>0</v>
      </c>
      <c r="AY199" s="151">
        <f t="shared" si="141"/>
        <v>0</v>
      </c>
      <c r="AZ199" s="151">
        <f t="shared" si="141"/>
        <v>0</v>
      </c>
      <c r="BA199" s="151">
        <f t="shared" si="141"/>
        <v>0</v>
      </c>
      <c r="BB199" s="151">
        <f t="shared" si="141"/>
        <v>0</v>
      </c>
      <c r="BC199" s="151">
        <f t="shared" si="141"/>
        <v>0</v>
      </c>
      <c r="BD199" s="151">
        <f t="shared" si="141"/>
        <v>0</v>
      </c>
      <c r="BE199" s="151">
        <f t="shared" si="141"/>
        <v>0</v>
      </c>
      <c r="BF199" s="151">
        <f t="shared" si="141"/>
        <v>0</v>
      </c>
      <c r="BG199" s="151">
        <f t="shared" si="141"/>
        <v>0</v>
      </c>
      <c r="BH199" s="151">
        <f t="shared" si="141"/>
        <v>0</v>
      </c>
      <c r="BI199" s="151">
        <f t="shared" si="141"/>
        <v>0</v>
      </c>
      <c r="BJ199" s="151">
        <f t="shared" si="141"/>
        <v>0</v>
      </c>
      <c r="BK199" s="151">
        <f t="shared" si="141"/>
        <v>0</v>
      </c>
      <c r="BL199" s="151">
        <f t="shared" si="141"/>
        <v>0</v>
      </c>
      <c r="BM199" s="151">
        <f t="shared" si="141"/>
        <v>0</v>
      </c>
      <c r="BN199" s="151">
        <f t="shared" si="141"/>
        <v>0</v>
      </c>
      <c r="BO199" s="151">
        <f t="shared" si="141"/>
        <v>0</v>
      </c>
      <c r="BP199" s="151">
        <f t="shared" si="141"/>
        <v>0</v>
      </c>
    </row>
    <row r="200" spans="3:68" x14ac:dyDescent="0.25">
      <c r="C200" s="198" t="s">
        <v>1140</v>
      </c>
      <c r="D200" s="198" t="s">
        <v>125</v>
      </c>
      <c r="E200" s="244"/>
      <c r="F200" s="244"/>
      <c r="G200" s="151">
        <f>SUM(H200:BP200)</f>
        <v>1686.7868445895301</v>
      </c>
      <c r="H200" s="151">
        <f>((1+Inputs!$E$72)^(1/12)-1)*(H198+H199)*H$9</f>
        <v>0</v>
      </c>
      <c r="I200" s="151">
        <f>((1+Inputs!$E$72)^(1/12)-1)*(I198+I199)*I$9</f>
        <v>0</v>
      </c>
      <c r="J200" s="151">
        <f>((1+Inputs!$E$72)^(1/12)-1)*(J198+J199)*J$9</f>
        <v>0</v>
      </c>
      <c r="K200" s="151">
        <f>((1+Inputs!$E$72)^(1/12)-1)*(K198+K199)*K$9</f>
        <v>0.62307662117114682</v>
      </c>
      <c r="L200" s="151">
        <f>((1+Inputs!$E$72)^(1/12)-1)*(L198+L199)*L$9</f>
        <v>0.62708551491260123</v>
      </c>
      <c r="M200" s="151">
        <f>((1+Inputs!$E$72)^(1/12)-1)*(M198+M199)*M$9</f>
        <v>8.5634860910424209</v>
      </c>
      <c r="N200" s="151">
        <f>((1+Inputs!$E$72)^(1/12)-1)*(N198+N199)*N$9</f>
        <v>8.6498845054204203</v>
      </c>
      <c r="O200" s="151">
        <f>((1+Inputs!$E$72)^(1/12)-1)*(O198+O199)*O$9</f>
        <v>9.2810403795279459</v>
      </c>
      <c r="P200" s="151">
        <f>((1+Inputs!$E$72)^(1/12)-1)*(P198+P199)*P$9</f>
        <v>10.62112686467267</v>
      </c>
      <c r="Q200" s="151">
        <f>((1+Inputs!$E$72)^(1/12)-1)*(Q198+Q199)*Q$9</f>
        <v>10.68946351472214</v>
      </c>
      <c r="R200" s="151">
        <f>((1+Inputs!$E$72)^(1/12)-1)*(R198+R199)*R$9</f>
        <v>10.758239844835645</v>
      </c>
      <c r="S200" s="151">
        <f>((1+Inputs!$E$72)^(1/12)-1)*(S198+S199)*S$9</f>
        <v>10.966572848468571</v>
      </c>
      <c r="T200" s="151">
        <f>((1+Inputs!$E$72)^(1/12)-1)*(T198+T199)*T$9</f>
        <v>11.176246272919778</v>
      </c>
      <c r="U200" s="151">
        <f>((1+Inputs!$E$72)^(1/12)-1)*(U198+U199)*U$9</f>
        <v>11.248154577956559</v>
      </c>
      <c r="V200" s="151">
        <f>((1+Inputs!$E$72)^(1/12)-1)*(V198+V199)*V$9</f>
        <v>11.320525543193103</v>
      </c>
      <c r="W200" s="151">
        <f>((1+Inputs!$E$72)^(1/12)-1)*(W198+W199)*W$9</f>
        <v>11.39336214539907</v>
      </c>
      <c r="X200" s="151">
        <f>((1+Inputs!$E$72)^(1/12)-1)*(X198+X199)*X$9</f>
        <v>11.597086909753568</v>
      </c>
      <c r="Y200" s="151">
        <f>((1+Inputs!$E$72)^(1/12)-1)*(Y198+Y199)*Y$9</f>
        <v>12.130710102021007</v>
      </c>
      <c r="Z200" s="151">
        <f>((1+Inputs!$E$72)^(1/12)-1)*(Z198+Z199)*Z$9</f>
        <v>15.280185061267018</v>
      </c>
      <c r="AA200" s="151">
        <f>((1+Inputs!$E$72)^(1/12)-1)*(AA198+AA199)*AA$9</f>
        <v>16.11754223115965</v>
      </c>
      <c r="AB200" s="151">
        <f>((1+Inputs!$E$72)^(1/12)-1)*(AB198+AB199)*AB$9</f>
        <v>16.504775039778526</v>
      </c>
      <c r="AC200" s="151">
        <f>((1+Inputs!$E$72)^(1/12)-1)*(AC198+AC199)*AC$9</f>
        <v>16.611315044754644</v>
      </c>
      <c r="AD200" s="151">
        <f>((1+Inputs!$E$72)^(1/12)-1)*(AD198+AD199)*AD$9</f>
        <v>16.71819274591935</v>
      </c>
      <c r="AE200" s="151">
        <f>((1+Inputs!$E$72)^(1/12)-1)*(AE198+AE199)*AE$9</f>
        <v>16.84023466917894</v>
      </c>
      <c r="AF200" s="151">
        <f>((1+Inputs!$E$72)^(1/12)-1)*(AF198+AF199)*AF$9</f>
        <v>16.948585246099963</v>
      </c>
      <c r="AG200" s="151">
        <f>((1+Inputs!$E$72)^(1/12)-1)*(AG198+AG199)*AG$9</f>
        <v>17.578384232738109</v>
      </c>
      <c r="AH200" s="151">
        <f>((1+Inputs!$E$72)^(1/12)-1)*(AH198+AH199)*AH$9</f>
        <v>17.691484086176757</v>
      </c>
      <c r="AI200" s="151">
        <f>((1+Inputs!$E$72)^(1/12)-1)*(AI198+AI199)*AI$9</f>
        <v>17.805311627477863</v>
      </c>
      <c r="AJ200" s="151">
        <f>((1+Inputs!$E$72)^(1/12)-1)*(AJ198+AJ199)*AJ$9</f>
        <v>18.024207162012512</v>
      </c>
      <c r="AK200" s="151">
        <f>((1+Inputs!$E$72)^(1/12)-1)*(AK198+AK199)*AK$9</f>
        <v>19.048041749697788</v>
      </c>
      <c r="AL200" s="151">
        <f>((1+Inputs!$E$72)^(1/12)-1)*(AL198+AL199)*AL$9</f>
        <v>144.69884863155741</v>
      </c>
      <c r="AM200" s="151">
        <f>((1+Inputs!$E$72)^(1/12)-1)*(AM198+AM199)*AM$9</f>
        <v>145.62984538053567</v>
      </c>
      <c r="AN200" s="151">
        <f>((1+Inputs!$E$72)^(1/12)-1)*(AN198+AN199)*AN$9</f>
        <v>147.3597829285107</v>
      </c>
      <c r="AO200" s="151">
        <f>((1+Inputs!$E$72)^(1/12)-1)*(AO198+AO199)*AO$9</f>
        <v>148.3079002088763</v>
      </c>
      <c r="AP200" s="151">
        <f>((1+Inputs!$E$72)^(1/12)-1)*(AP198+AP199)*AP$9</f>
        <v>149.2621177043716</v>
      </c>
      <c r="AQ200" s="151">
        <f>((1+Inputs!$E$72)^(1/12)-1)*(AQ198+AQ199)*AQ$9</f>
        <v>150.22247466396442</v>
      </c>
      <c r="AR200" s="151">
        <f>((1+Inputs!$E$72)^(1/12)-1)*(AR198+AR199)*AR$9</f>
        <v>151.18901058915159</v>
      </c>
      <c r="AS200" s="151">
        <f>((1+Inputs!$E$72)^(1/12)-1)*(AS198+AS199)*AS$9</f>
        <v>152.16176523558383</v>
      </c>
      <c r="AT200" s="151">
        <f>((1+Inputs!$E$72)^(1/12)-1)*(AT198+AT199)*AT$9</f>
        <v>153.14077861470085</v>
      </c>
      <c r="AU200" s="151">
        <f>((1+Inputs!$E$72)^(1/12)-1)*(AU198+AU199)*AU$9</f>
        <v>0</v>
      </c>
      <c r="AV200" s="151">
        <f>((1+Inputs!$E$72)^(1/12)-1)*(AV198+AV199)*AV$9</f>
        <v>0</v>
      </c>
      <c r="AW200" s="151">
        <f>((1+Inputs!$E$72)^(1/12)-1)*(AW198+AW199)*AW$9</f>
        <v>0</v>
      </c>
      <c r="AX200" s="151">
        <f>((1+Inputs!$E$72)^(1/12)-1)*(AX198+AX199)*AX$9</f>
        <v>0</v>
      </c>
      <c r="AY200" s="151">
        <f>((1+Inputs!$E$72)^(1/12)-1)*(AY198+AY199)*AY$9</f>
        <v>0</v>
      </c>
      <c r="AZ200" s="151">
        <f>((1+Inputs!$E$72)^(1/12)-1)*(AZ198+AZ199)*AZ$9</f>
        <v>0</v>
      </c>
      <c r="BA200" s="151">
        <f>((1+Inputs!$E$72)^(1/12)-1)*(BA198+BA199)*BA$9</f>
        <v>0</v>
      </c>
      <c r="BB200" s="151">
        <f>((1+Inputs!$E$72)^(1/12)-1)*(BB198+BB199)*BB$9</f>
        <v>0</v>
      </c>
      <c r="BC200" s="151">
        <f>((1+Inputs!$E$72)^(1/12)-1)*(BC198+BC199)*BC$9</f>
        <v>0</v>
      </c>
      <c r="BD200" s="151">
        <f>((1+Inputs!$E$72)^(1/12)-1)*(BD198+BD199)*BD$9</f>
        <v>0</v>
      </c>
      <c r="BE200" s="151">
        <f>((1+Inputs!$E$72)^(1/12)-1)*(BE198+BE199)*BE$9</f>
        <v>0</v>
      </c>
      <c r="BF200" s="151">
        <f>((1+Inputs!$E$72)^(1/12)-1)*(BF198+BF199)*BF$9</f>
        <v>0</v>
      </c>
      <c r="BG200" s="151">
        <f>((1+Inputs!$E$72)^(1/12)-1)*(BG198+BG199)*BG$9</f>
        <v>0</v>
      </c>
      <c r="BH200" s="151">
        <f>((1+Inputs!$E$72)^(1/12)-1)*(BH198+BH199)*BH$9</f>
        <v>0</v>
      </c>
      <c r="BI200" s="151">
        <f>((1+Inputs!$E$72)^(1/12)-1)*(BI198+BI199)*BI$9</f>
        <v>0</v>
      </c>
      <c r="BJ200" s="151">
        <f>((1+Inputs!$E$72)^(1/12)-1)*(BJ198+BJ199)*BJ$9</f>
        <v>0</v>
      </c>
      <c r="BK200" s="151">
        <f>((1+Inputs!$E$72)^(1/12)-1)*(BK198+BK199)*BK$9</f>
        <v>0</v>
      </c>
      <c r="BL200" s="151">
        <f>((1+Inputs!$E$72)^(1/12)-1)*(BL198+BL199)*BL$9</f>
        <v>0</v>
      </c>
      <c r="BM200" s="151">
        <f>((1+Inputs!$E$72)^(1/12)-1)*(BM198+BM199)*BM$9</f>
        <v>0</v>
      </c>
      <c r="BN200" s="151">
        <f>((1+Inputs!$E$72)^(1/12)-1)*(BN198+BN199)*BN$9</f>
        <v>0</v>
      </c>
      <c r="BO200" s="151">
        <f>((1+Inputs!$E$72)^(1/12)-1)*(BO198+BO199)*BO$9</f>
        <v>0</v>
      </c>
      <c r="BP200" s="151">
        <f>((1+Inputs!$E$72)^(1/12)-1)*(BP198+BP199)*BP$9</f>
        <v>0</v>
      </c>
    </row>
    <row r="201" spans="3:68" x14ac:dyDescent="0.25">
      <c r="C201" s="198" t="s">
        <v>1141</v>
      </c>
      <c r="D201" s="198" t="s">
        <v>125</v>
      </c>
      <c r="E201" s="244"/>
      <c r="F201" s="244"/>
      <c r="G201" s="151"/>
      <c r="H201" s="151">
        <f t="shared" ref="H201:AM201" si="142">(H198+H199+H200)*(1-H$7)</f>
        <v>0</v>
      </c>
      <c r="I201" s="151">
        <f t="shared" si="142"/>
        <v>0</v>
      </c>
      <c r="J201" s="151">
        <f t="shared" si="142"/>
        <v>0</v>
      </c>
      <c r="K201" s="151">
        <f t="shared" si="142"/>
        <v>97.463876324984568</v>
      </c>
      <c r="L201" s="151">
        <f t="shared" si="142"/>
        <v>98.090961839897176</v>
      </c>
      <c r="M201" s="151">
        <f t="shared" si="142"/>
        <v>1339.5311602597067</v>
      </c>
      <c r="N201" s="151">
        <f t="shared" si="142"/>
        <v>1353.0459096299919</v>
      </c>
      <c r="O201" s="151">
        <f t="shared" si="142"/>
        <v>1451.7735716311415</v>
      </c>
      <c r="P201" s="151">
        <f t="shared" si="142"/>
        <v>1661.3946984958143</v>
      </c>
      <c r="Q201" s="151">
        <f t="shared" si="142"/>
        <v>1672.0841620105364</v>
      </c>
      <c r="R201" s="151">
        <f t="shared" si="142"/>
        <v>1682.8424018553719</v>
      </c>
      <c r="S201" s="151">
        <f t="shared" si="142"/>
        <v>1715.4305963254621</v>
      </c>
      <c r="T201" s="151">
        <f t="shared" si="142"/>
        <v>1748.2284642200036</v>
      </c>
      <c r="U201" s="151">
        <f t="shared" si="142"/>
        <v>1759.4766187979601</v>
      </c>
      <c r="V201" s="151">
        <f t="shared" si="142"/>
        <v>1770.7971443411532</v>
      </c>
      <c r="W201" s="151">
        <f t="shared" si="142"/>
        <v>1782.1905064865523</v>
      </c>
      <c r="X201" s="151">
        <f t="shared" si="142"/>
        <v>1814.0578636665762</v>
      </c>
      <c r="Y201" s="151">
        <f t="shared" si="142"/>
        <v>1897.5291143091379</v>
      </c>
      <c r="Z201" s="151">
        <f t="shared" si="142"/>
        <v>2390.1812657245141</v>
      </c>
      <c r="AA201" s="151">
        <f t="shared" si="142"/>
        <v>2521.163672820539</v>
      </c>
      <c r="AB201" s="151">
        <f t="shared" si="142"/>
        <v>2581.7360154278849</v>
      </c>
      <c r="AC201" s="151">
        <f t="shared" si="142"/>
        <v>2598.4013845266936</v>
      </c>
      <c r="AD201" s="151">
        <f t="shared" si="142"/>
        <v>2615.1195772726128</v>
      </c>
      <c r="AE201" s="151">
        <f t="shared" si="142"/>
        <v>2634.2098119417919</v>
      </c>
      <c r="AF201" s="151">
        <f t="shared" si="142"/>
        <v>2651.1583971878918</v>
      </c>
      <c r="AG201" s="151">
        <f t="shared" si="142"/>
        <v>2749.6738099920585</v>
      </c>
      <c r="AH201" s="151">
        <f t="shared" si="142"/>
        <v>2767.3652940782354</v>
      </c>
      <c r="AI201" s="151">
        <f t="shared" si="142"/>
        <v>2785.1706057057131</v>
      </c>
      <c r="AJ201" s="151">
        <f t="shared" si="142"/>
        <v>2819.4110290839417</v>
      </c>
      <c r="AK201" s="151">
        <f t="shared" si="142"/>
        <v>2979.5629016479261</v>
      </c>
      <c r="AL201" s="151">
        <f t="shared" si="142"/>
        <v>22634.312070457196</v>
      </c>
      <c r="AM201" s="151">
        <f t="shared" si="142"/>
        <v>22779.941915837731</v>
      </c>
      <c r="AN201" s="151">
        <f t="shared" ref="AN201:BP201" si="143">(AN198+AN199+AN200)*(1-AN$7)</f>
        <v>23050.544942009485</v>
      </c>
      <c r="AO201" s="151">
        <f t="shared" si="143"/>
        <v>23198.852842218363</v>
      </c>
      <c r="AP201" s="151">
        <f t="shared" si="143"/>
        <v>23348.114959922736</v>
      </c>
      <c r="AQ201" s="151">
        <f t="shared" si="143"/>
        <v>23498.337434586701</v>
      </c>
      <c r="AR201" s="151">
        <f t="shared" si="143"/>
        <v>23649.526445175852</v>
      </c>
      <c r="AS201" s="151">
        <f t="shared" si="143"/>
        <v>23801.688210411437</v>
      </c>
      <c r="AT201" s="151">
        <f t="shared" si="143"/>
        <v>0</v>
      </c>
      <c r="AU201" s="151">
        <f t="shared" si="143"/>
        <v>0</v>
      </c>
      <c r="AV201" s="151">
        <f t="shared" si="143"/>
        <v>0</v>
      </c>
      <c r="AW201" s="151">
        <f t="shared" si="143"/>
        <v>0</v>
      </c>
      <c r="AX201" s="151">
        <f t="shared" si="143"/>
        <v>0</v>
      </c>
      <c r="AY201" s="151">
        <f t="shared" si="143"/>
        <v>0</v>
      </c>
      <c r="AZ201" s="151">
        <f t="shared" si="143"/>
        <v>0</v>
      </c>
      <c r="BA201" s="151">
        <f t="shared" si="143"/>
        <v>0</v>
      </c>
      <c r="BB201" s="151">
        <f t="shared" si="143"/>
        <v>0</v>
      </c>
      <c r="BC201" s="151">
        <f t="shared" si="143"/>
        <v>0</v>
      </c>
      <c r="BD201" s="151">
        <f t="shared" si="143"/>
        <v>0</v>
      </c>
      <c r="BE201" s="151">
        <f t="shared" si="143"/>
        <v>0</v>
      </c>
      <c r="BF201" s="151">
        <f t="shared" si="143"/>
        <v>0</v>
      </c>
      <c r="BG201" s="151">
        <f t="shared" si="143"/>
        <v>0</v>
      </c>
      <c r="BH201" s="151">
        <f t="shared" si="143"/>
        <v>0</v>
      </c>
      <c r="BI201" s="151">
        <f t="shared" si="143"/>
        <v>0</v>
      </c>
      <c r="BJ201" s="151">
        <f t="shared" si="143"/>
        <v>0</v>
      </c>
      <c r="BK201" s="151">
        <f t="shared" si="143"/>
        <v>0</v>
      </c>
      <c r="BL201" s="151">
        <f t="shared" si="143"/>
        <v>0</v>
      </c>
      <c r="BM201" s="151">
        <f t="shared" si="143"/>
        <v>0</v>
      </c>
      <c r="BN201" s="151">
        <f t="shared" si="143"/>
        <v>0</v>
      </c>
      <c r="BO201" s="151">
        <f t="shared" si="143"/>
        <v>0</v>
      </c>
      <c r="BP201" s="151">
        <f t="shared" si="143"/>
        <v>0</v>
      </c>
    </row>
    <row r="202" spans="3:68" x14ac:dyDescent="0.25">
      <c r="E202" s="151"/>
      <c r="F202" s="151"/>
      <c r="G202" s="151"/>
      <c r="H202" s="151"/>
      <c r="I202" s="151"/>
      <c r="J202" s="151"/>
      <c r="K202" s="151"/>
      <c r="L202" s="151"/>
      <c r="M202" s="151"/>
      <c r="N202" s="151"/>
      <c r="O202" s="151"/>
      <c r="P202" s="151"/>
      <c r="Q202" s="151"/>
      <c r="R202" s="151"/>
      <c r="S202" s="151"/>
      <c r="T202" s="151"/>
      <c r="U202" s="151"/>
      <c r="V202" s="151"/>
      <c r="W202" s="151"/>
      <c r="X202" s="151"/>
      <c r="Y202" s="151"/>
      <c r="Z202" s="151"/>
      <c r="AA202" s="151"/>
      <c r="AB202" s="151"/>
      <c r="AC202" s="151"/>
      <c r="AD202" s="151"/>
      <c r="AE202" s="151"/>
      <c r="AF202" s="151"/>
      <c r="AG202" s="151"/>
      <c r="AH202" s="151"/>
      <c r="AI202" s="151"/>
      <c r="AJ202" s="151"/>
      <c r="AK202" s="151"/>
      <c r="AL202" s="151"/>
      <c r="AM202" s="151"/>
      <c r="AN202" s="151"/>
      <c r="AO202" s="151"/>
      <c r="AP202" s="151"/>
      <c r="AQ202" s="151"/>
      <c r="AR202" s="151"/>
      <c r="AS202" s="151"/>
      <c r="AT202" s="151"/>
      <c r="AU202" s="151"/>
      <c r="AV202" s="151"/>
      <c r="AW202" s="151"/>
      <c r="AX202" s="151"/>
      <c r="AY202" s="151"/>
      <c r="AZ202" s="151"/>
      <c r="BA202" s="151"/>
      <c r="BB202" s="151"/>
      <c r="BC202" s="151"/>
      <c r="BD202" s="151"/>
      <c r="BE202" s="151"/>
      <c r="BF202" s="151"/>
      <c r="BG202" s="151"/>
      <c r="BH202" s="151"/>
      <c r="BI202" s="151"/>
      <c r="BJ202" s="151"/>
      <c r="BK202" s="151"/>
      <c r="BL202" s="151"/>
      <c r="BM202" s="151"/>
      <c r="BN202" s="151"/>
      <c r="BO202" s="151"/>
      <c r="BP202" s="151"/>
    </row>
    <row r="203" spans="3:68" x14ac:dyDescent="0.25">
      <c r="C203" s="129" t="s">
        <v>1142</v>
      </c>
      <c r="D203" s="129"/>
      <c r="E203" s="252"/>
      <c r="F203" s="252"/>
      <c r="G203" s="252"/>
      <c r="H203" s="252"/>
      <c r="I203" s="252"/>
      <c r="J203" s="252"/>
      <c r="K203" s="252"/>
      <c r="L203" s="252"/>
      <c r="M203" s="252"/>
      <c r="N203" s="252"/>
      <c r="O203" s="252"/>
      <c r="P203" s="252"/>
      <c r="Q203" s="252"/>
      <c r="R203" s="252"/>
      <c r="S203" s="252"/>
      <c r="T203" s="252"/>
      <c r="U203" s="252"/>
      <c r="V203" s="252"/>
      <c r="W203" s="252"/>
      <c r="X203" s="252"/>
      <c r="Y203" s="252"/>
      <c r="Z203" s="252"/>
      <c r="AA203" s="252"/>
      <c r="AB203" s="252"/>
      <c r="AC203" s="252"/>
      <c r="AD203" s="252"/>
      <c r="AE203" s="252"/>
      <c r="AF203" s="252"/>
      <c r="AG203" s="252"/>
      <c r="AH203" s="252"/>
      <c r="AI203" s="252"/>
      <c r="AJ203" s="252"/>
      <c r="AK203" s="252"/>
      <c r="AL203" s="252"/>
      <c r="AM203" s="252"/>
      <c r="AN203" s="252"/>
      <c r="AO203" s="252"/>
      <c r="AP203" s="252"/>
      <c r="AQ203" s="252"/>
      <c r="AR203" s="252"/>
      <c r="AS203" s="252"/>
      <c r="AT203" s="252"/>
      <c r="AU203" s="252"/>
      <c r="AV203" s="252"/>
      <c r="AW203" s="252"/>
      <c r="AX203" s="252"/>
      <c r="AY203" s="252"/>
      <c r="AZ203" s="252"/>
      <c r="BA203" s="252"/>
      <c r="BB203" s="252"/>
      <c r="BC203" s="252"/>
      <c r="BD203" s="252"/>
      <c r="BE203" s="252"/>
      <c r="BF203" s="252"/>
      <c r="BG203" s="252"/>
      <c r="BH203" s="252"/>
      <c r="BI203" s="252"/>
      <c r="BJ203" s="252"/>
      <c r="BK203" s="252"/>
      <c r="BL203" s="252"/>
      <c r="BM203" s="252"/>
      <c r="BN203" s="252"/>
      <c r="BO203" s="252"/>
      <c r="BP203" s="252"/>
    </row>
    <row r="204" spans="3:68" x14ac:dyDescent="0.25">
      <c r="C204" t="s">
        <v>1143</v>
      </c>
      <c r="D204" t="s">
        <v>125</v>
      </c>
      <c r="E204" s="151"/>
      <c r="F204" s="151"/>
      <c r="G204" s="151">
        <f t="shared" ref="G204:G215" si="144">SUM(H204:BP204)</f>
        <v>0</v>
      </c>
      <c r="H204" s="151">
        <f t="shared" ref="H204:AM204" si="145">-H117</f>
        <v>0</v>
      </c>
      <c r="I204" s="151">
        <f t="shared" si="145"/>
        <v>0</v>
      </c>
      <c r="J204" s="151">
        <f t="shared" si="145"/>
        <v>0</v>
      </c>
      <c r="K204" s="151">
        <f t="shared" si="145"/>
        <v>0</v>
      </c>
      <c r="L204" s="151">
        <f t="shared" si="145"/>
        <v>0</v>
      </c>
      <c r="M204" s="151">
        <f t="shared" si="145"/>
        <v>0</v>
      </c>
      <c r="N204" s="151">
        <f t="shared" si="145"/>
        <v>0</v>
      </c>
      <c r="O204" s="151">
        <f t="shared" si="145"/>
        <v>0</v>
      </c>
      <c r="P204" s="151">
        <f t="shared" si="145"/>
        <v>0</v>
      </c>
      <c r="Q204" s="151">
        <f t="shared" si="145"/>
        <v>0</v>
      </c>
      <c r="R204" s="151">
        <f t="shared" si="145"/>
        <v>0</v>
      </c>
      <c r="S204" s="151">
        <f t="shared" si="145"/>
        <v>0</v>
      </c>
      <c r="T204" s="151">
        <f t="shared" si="145"/>
        <v>0</v>
      </c>
      <c r="U204" s="151">
        <f t="shared" si="145"/>
        <v>0</v>
      </c>
      <c r="V204" s="151">
        <f t="shared" si="145"/>
        <v>0</v>
      </c>
      <c r="W204" s="151">
        <f t="shared" si="145"/>
        <v>0</v>
      </c>
      <c r="X204" s="151">
        <f t="shared" si="145"/>
        <v>0</v>
      </c>
      <c r="Y204" s="151">
        <f t="shared" si="145"/>
        <v>0</v>
      </c>
      <c r="Z204" s="151">
        <f t="shared" si="145"/>
        <v>0</v>
      </c>
      <c r="AA204" s="151">
        <f t="shared" si="145"/>
        <v>0</v>
      </c>
      <c r="AB204" s="151">
        <f t="shared" si="145"/>
        <v>0</v>
      </c>
      <c r="AC204" s="151">
        <f t="shared" si="145"/>
        <v>0</v>
      </c>
      <c r="AD204" s="151">
        <f t="shared" si="145"/>
        <v>0</v>
      </c>
      <c r="AE204" s="151">
        <f t="shared" si="145"/>
        <v>0</v>
      </c>
      <c r="AF204" s="151">
        <f t="shared" si="145"/>
        <v>0</v>
      </c>
      <c r="AG204" s="151">
        <f t="shared" si="145"/>
        <v>0</v>
      </c>
      <c r="AH204" s="151">
        <f t="shared" si="145"/>
        <v>0</v>
      </c>
      <c r="AI204" s="151">
        <f t="shared" si="145"/>
        <v>0</v>
      </c>
      <c r="AJ204" s="151">
        <f t="shared" si="145"/>
        <v>0</v>
      </c>
      <c r="AK204" s="151">
        <f t="shared" si="145"/>
        <v>0</v>
      </c>
      <c r="AL204" s="151">
        <f t="shared" si="145"/>
        <v>0</v>
      </c>
      <c r="AM204" s="151">
        <f t="shared" si="145"/>
        <v>0</v>
      </c>
      <c r="AN204" s="151">
        <f t="shared" ref="AN204:BP204" si="146">-AN117</f>
        <v>0</v>
      </c>
      <c r="AO204" s="151">
        <f t="shared" si="146"/>
        <v>0</v>
      </c>
      <c r="AP204" s="151">
        <f t="shared" si="146"/>
        <v>0</v>
      </c>
      <c r="AQ204" s="151">
        <f t="shared" si="146"/>
        <v>0</v>
      </c>
      <c r="AR204" s="151">
        <f t="shared" si="146"/>
        <v>0</v>
      </c>
      <c r="AS204" s="151">
        <f t="shared" si="146"/>
        <v>0</v>
      </c>
      <c r="AT204" s="151">
        <f t="shared" si="146"/>
        <v>0</v>
      </c>
      <c r="AU204" s="151">
        <f t="shared" si="146"/>
        <v>0</v>
      </c>
      <c r="AV204" s="151">
        <f t="shared" si="146"/>
        <v>0</v>
      </c>
      <c r="AW204" s="151">
        <f t="shared" si="146"/>
        <v>0</v>
      </c>
      <c r="AX204" s="151">
        <f t="shared" si="146"/>
        <v>0</v>
      </c>
      <c r="AY204" s="151">
        <f t="shared" si="146"/>
        <v>0</v>
      </c>
      <c r="AZ204" s="151">
        <f t="shared" si="146"/>
        <v>0</v>
      </c>
      <c r="BA204" s="151">
        <f t="shared" si="146"/>
        <v>0</v>
      </c>
      <c r="BB204" s="151">
        <f t="shared" si="146"/>
        <v>0</v>
      </c>
      <c r="BC204" s="151">
        <f t="shared" si="146"/>
        <v>0</v>
      </c>
      <c r="BD204" s="151">
        <f t="shared" si="146"/>
        <v>0</v>
      </c>
      <c r="BE204" s="151">
        <f t="shared" si="146"/>
        <v>0</v>
      </c>
      <c r="BF204" s="151">
        <f t="shared" si="146"/>
        <v>0</v>
      </c>
      <c r="BG204" s="151">
        <f t="shared" si="146"/>
        <v>0</v>
      </c>
      <c r="BH204" s="151">
        <f t="shared" si="146"/>
        <v>0</v>
      </c>
      <c r="BI204" s="151">
        <f t="shared" si="146"/>
        <v>0</v>
      </c>
      <c r="BJ204" s="151">
        <f t="shared" si="146"/>
        <v>0</v>
      </c>
      <c r="BK204" s="151">
        <f t="shared" si="146"/>
        <v>0</v>
      </c>
      <c r="BL204" s="151">
        <f t="shared" si="146"/>
        <v>0</v>
      </c>
      <c r="BM204" s="151">
        <f t="shared" si="146"/>
        <v>0</v>
      </c>
      <c r="BN204" s="151">
        <f t="shared" si="146"/>
        <v>0</v>
      </c>
      <c r="BO204" s="151">
        <f t="shared" si="146"/>
        <v>0</v>
      </c>
      <c r="BP204" s="151">
        <f t="shared" si="146"/>
        <v>0</v>
      </c>
    </row>
    <row r="205" spans="3:68" x14ac:dyDescent="0.25">
      <c r="C205" t="s">
        <v>1104</v>
      </c>
      <c r="D205" t="s">
        <v>125</v>
      </c>
      <c r="E205" s="151"/>
      <c r="F205" s="151"/>
      <c r="G205" s="151">
        <f t="shared" si="144"/>
        <v>0</v>
      </c>
      <c r="H205" s="151">
        <f t="shared" ref="H205:AM205" si="147">-H134</f>
        <v>0</v>
      </c>
      <c r="I205" s="151">
        <f t="shared" si="147"/>
        <v>0</v>
      </c>
      <c r="J205" s="151">
        <f t="shared" si="147"/>
        <v>0</v>
      </c>
      <c r="K205" s="151">
        <f t="shared" si="147"/>
        <v>0</v>
      </c>
      <c r="L205" s="151">
        <f t="shared" si="147"/>
        <v>0</v>
      </c>
      <c r="M205" s="151">
        <f t="shared" si="147"/>
        <v>0</v>
      </c>
      <c r="N205" s="151">
        <f t="shared" si="147"/>
        <v>0</v>
      </c>
      <c r="O205" s="151">
        <f t="shared" si="147"/>
        <v>0</v>
      </c>
      <c r="P205" s="151">
        <f t="shared" si="147"/>
        <v>0</v>
      </c>
      <c r="Q205" s="151">
        <f t="shared" si="147"/>
        <v>0</v>
      </c>
      <c r="R205" s="151">
        <f t="shared" si="147"/>
        <v>0</v>
      </c>
      <c r="S205" s="151">
        <f t="shared" si="147"/>
        <v>0</v>
      </c>
      <c r="T205" s="151">
        <f t="shared" si="147"/>
        <v>0</v>
      </c>
      <c r="U205" s="151">
        <f t="shared" si="147"/>
        <v>0</v>
      </c>
      <c r="V205" s="151">
        <f t="shared" si="147"/>
        <v>0</v>
      </c>
      <c r="W205" s="151">
        <f t="shared" si="147"/>
        <v>0</v>
      </c>
      <c r="X205" s="151">
        <f t="shared" si="147"/>
        <v>0</v>
      </c>
      <c r="Y205" s="151">
        <f t="shared" si="147"/>
        <v>0</v>
      </c>
      <c r="Z205" s="151">
        <f t="shared" si="147"/>
        <v>0</v>
      </c>
      <c r="AA205" s="151">
        <f t="shared" si="147"/>
        <v>0</v>
      </c>
      <c r="AB205" s="151">
        <f t="shared" si="147"/>
        <v>0</v>
      </c>
      <c r="AC205" s="151">
        <f t="shared" si="147"/>
        <v>0</v>
      </c>
      <c r="AD205" s="151">
        <f t="shared" si="147"/>
        <v>0</v>
      </c>
      <c r="AE205" s="151">
        <f t="shared" si="147"/>
        <v>0</v>
      </c>
      <c r="AF205" s="151">
        <f t="shared" si="147"/>
        <v>0</v>
      </c>
      <c r="AG205" s="151">
        <f t="shared" si="147"/>
        <v>0</v>
      </c>
      <c r="AH205" s="151">
        <f t="shared" si="147"/>
        <v>0</v>
      </c>
      <c r="AI205" s="151">
        <f t="shared" si="147"/>
        <v>0</v>
      </c>
      <c r="AJ205" s="151">
        <f t="shared" si="147"/>
        <v>0</v>
      </c>
      <c r="AK205" s="151">
        <f t="shared" si="147"/>
        <v>0</v>
      </c>
      <c r="AL205" s="151">
        <f t="shared" si="147"/>
        <v>0</v>
      </c>
      <c r="AM205" s="151">
        <f t="shared" si="147"/>
        <v>0</v>
      </c>
      <c r="AN205" s="151">
        <f t="shared" ref="AN205:BP205" si="148">-AN134</f>
        <v>0</v>
      </c>
      <c r="AO205" s="151">
        <f t="shared" si="148"/>
        <v>0</v>
      </c>
      <c r="AP205" s="151">
        <f t="shared" si="148"/>
        <v>0</v>
      </c>
      <c r="AQ205" s="151">
        <f t="shared" si="148"/>
        <v>0</v>
      </c>
      <c r="AR205" s="151">
        <f t="shared" si="148"/>
        <v>0</v>
      </c>
      <c r="AS205" s="151">
        <f t="shared" si="148"/>
        <v>0</v>
      </c>
      <c r="AT205" s="151">
        <f t="shared" si="148"/>
        <v>0</v>
      </c>
      <c r="AU205" s="151">
        <f t="shared" si="148"/>
        <v>0</v>
      </c>
      <c r="AV205" s="151">
        <f t="shared" si="148"/>
        <v>0</v>
      </c>
      <c r="AW205" s="151">
        <f t="shared" si="148"/>
        <v>0</v>
      </c>
      <c r="AX205" s="151">
        <f t="shared" si="148"/>
        <v>0</v>
      </c>
      <c r="AY205" s="151">
        <f t="shared" si="148"/>
        <v>0</v>
      </c>
      <c r="AZ205" s="151">
        <f t="shared" si="148"/>
        <v>0</v>
      </c>
      <c r="BA205" s="151">
        <f t="shared" si="148"/>
        <v>0</v>
      </c>
      <c r="BB205" s="151">
        <f t="shared" si="148"/>
        <v>0</v>
      </c>
      <c r="BC205" s="151">
        <f t="shared" si="148"/>
        <v>0</v>
      </c>
      <c r="BD205" s="151">
        <f t="shared" si="148"/>
        <v>0</v>
      </c>
      <c r="BE205" s="151">
        <f t="shared" si="148"/>
        <v>0</v>
      </c>
      <c r="BF205" s="151">
        <f t="shared" si="148"/>
        <v>0</v>
      </c>
      <c r="BG205" s="151">
        <f t="shared" si="148"/>
        <v>0</v>
      </c>
      <c r="BH205" s="151">
        <f t="shared" si="148"/>
        <v>0</v>
      </c>
      <c r="BI205" s="151">
        <f t="shared" si="148"/>
        <v>0</v>
      </c>
      <c r="BJ205" s="151">
        <f t="shared" si="148"/>
        <v>0</v>
      </c>
      <c r="BK205" s="151">
        <f t="shared" si="148"/>
        <v>0</v>
      </c>
      <c r="BL205" s="151">
        <f t="shared" si="148"/>
        <v>0</v>
      </c>
      <c r="BM205" s="151">
        <f t="shared" si="148"/>
        <v>0</v>
      </c>
      <c r="BN205" s="151">
        <f t="shared" si="148"/>
        <v>0</v>
      </c>
      <c r="BO205" s="151">
        <f t="shared" si="148"/>
        <v>0</v>
      </c>
      <c r="BP205" s="151">
        <f t="shared" si="148"/>
        <v>0</v>
      </c>
    </row>
    <row r="206" spans="3:68" x14ac:dyDescent="0.25">
      <c r="C206" t="s">
        <v>1105</v>
      </c>
      <c r="D206" t="s">
        <v>125</v>
      </c>
      <c r="E206" s="151"/>
      <c r="F206" s="151"/>
      <c r="G206" s="151">
        <f t="shared" si="144"/>
        <v>0</v>
      </c>
      <c r="H206" s="151">
        <f t="shared" ref="H206:AM206" si="149">-H135</f>
        <v>0</v>
      </c>
      <c r="I206" s="151">
        <f t="shared" si="149"/>
        <v>0</v>
      </c>
      <c r="J206" s="151">
        <f t="shared" si="149"/>
        <v>0</v>
      </c>
      <c r="K206" s="151">
        <f t="shared" si="149"/>
        <v>0</v>
      </c>
      <c r="L206" s="151">
        <f t="shared" si="149"/>
        <v>0</v>
      </c>
      <c r="M206" s="151">
        <f t="shared" si="149"/>
        <v>0</v>
      </c>
      <c r="N206" s="151">
        <f t="shared" si="149"/>
        <v>0</v>
      </c>
      <c r="O206" s="151">
        <f t="shared" si="149"/>
        <v>0</v>
      </c>
      <c r="P206" s="151">
        <f t="shared" si="149"/>
        <v>0</v>
      </c>
      <c r="Q206" s="151">
        <f t="shared" si="149"/>
        <v>0</v>
      </c>
      <c r="R206" s="151">
        <f t="shared" si="149"/>
        <v>0</v>
      </c>
      <c r="S206" s="151">
        <f t="shared" si="149"/>
        <v>0</v>
      </c>
      <c r="T206" s="151">
        <f t="shared" si="149"/>
        <v>0</v>
      </c>
      <c r="U206" s="151">
        <f t="shared" si="149"/>
        <v>0</v>
      </c>
      <c r="V206" s="151">
        <f t="shared" si="149"/>
        <v>0</v>
      </c>
      <c r="W206" s="151">
        <f t="shared" si="149"/>
        <v>0</v>
      </c>
      <c r="X206" s="151">
        <f t="shared" si="149"/>
        <v>0</v>
      </c>
      <c r="Y206" s="151">
        <f t="shared" si="149"/>
        <v>0</v>
      </c>
      <c r="Z206" s="151">
        <f t="shared" si="149"/>
        <v>0</v>
      </c>
      <c r="AA206" s="151">
        <f t="shared" si="149"/>
        <v>0</v>
      </c>
      <c r="AB206" s="151">
        <f t="shared" si="149"/>
        <v>0</v>
      </c>
      <c r="AC206" s="151">
        <f t="shared" si="149"/>
        <v>0</v>
      </c>
      <c r="AD206" s="151">
        <f t="shared" si="149"/>
        <v>0</v>
      </c>
      <c r="AE206" s="151">
        <f t="shared" si="149"/>
        <v>0</v>
      </c>
      <c r="AF206" s="151">
        <f t="shared" si="149"/>
        <v>0</v>
      </c>
      <c r="AG206" s="151">
        <f t="shared" si="149"/>
        <v>0</v>
      </c>
      <c r="AH206" s="151">
        <f t="shared" si="149"/>
        <v>0</v>
      </c>
      <c r="AI206" s="151">
        <f t="shared" si="149"/>
        <v>0</v>
      </c>
      <c r="AJ206" s="151">
        <f t="shared" si="149"/>
        <v>0</v>
      </c>
      <c r="AK206" s="151">
        <f t="shared" si="149"/>
        <v>0</v>
      </c>
      <c r="AL206" s="151">
        <f t="shared" si="149"/>
        <v>0</v>
      </c>
      <c r="AM206" s="151">
        <f t="shared" si="149"/>
        <v>0</v>
      </c>
      <c r="AN206" s="151">
        <f t="shared" ref="AN206:BP206" si="150">-AN135</f>
        <v>0</v>
      </c>
      <c r="AO206" s="151">
        <f t="shared" si="150"/>
        <v>0</v>
      </c>
      <c r="AP206" s="151">
        <f t="shared" si="150"/>
        <v>0</v>
      </c>
      <c r="AQ206" s="151">
        <f t="shared" si="150"/>
        <v>0</v>
      </c>
      <c r="AR206" s="151">
        <f t="shared" si="150"/>
        <v>0</v>
      </c>
      <c r="AS206" s="151">
        <f t="shared" si="150"/>
        <v>0</v>
      </c>
      <c r="AT206" s="151">
        <f t="shared" si="150"/>
        <v>0</v>
      </c>
      <c r="AU206" s="151">
        <f t="shared" si="150"/>
        <v>0</v>
      </c>
      <c r="AV206" s="151">
        <f t="shared" si="150"/>
        <v>0</v>
      </c>
      <c r="AW206" s="151">
        <f t="shared" si="150"/>
        <v>0</v>
      </c>
      <c r="AX206" s="151">
        <f t="shared" si="150"/>
        <v>0</v>
      </c>
      <c r="AY206" s="151">
        <f t="shared" si="150"/>
        <v>0</v>
      </c>
      <c r="AZ206" s="151">
        <f t="shared" si="150"/>
        <v>0</v>
      </c>
      <c r="BA206" s="151">
        <f t="shared" si="150"/>
        <v>0</v>
      </c>
      <c r="BB206" s="151">
        <f t="shared" si="150"/>
        <v>0</v>
      </c>
      <c r="BC206" s="151">
        <f t="shared" si="150"/>
        <v>0</v>
      </c>
      <c r="BD206" s="151">
        <f t="shared" si="150"/>
        <v>0</v>
      </c>
      <c r="BE206" s="151">
        <f t="shared" si="150"/>
        <v>0</v>
      </c>
      <c r="BF206" s="151">
        <f t="shared" si="150"/>
        <v>0</v>
      </c>
      <c r="BG206" s="151">
        <f t="shared" si="150"/>
        <v>0</v>
      </c>
      <c r="BH206" s="151">
        <f t="shared" si="150"/>
        <v>0</v>
      </c>
      <c r="BI206" s="151">
        <f t="shared" si="150"/>
        <v>0</v>
      </c>
      <c r="BJ206" s="151">
        <f t="shared" si="150"/>
        <v>0</v>
      </c>
      <c r="BK206" s="151">
        <f t="shared" si="150"/>
        <v>0</v>
      </c>
      <c r="BL206" s="151">
        <f t="shared" si="150"/>
        <v>0</v>
      </c>
      <c r="BM206" s="151">
        <f t="shared" si="150"/>
        <v>0</v>
      </c>
      <c r="BN206" s="151">
        <f t="shared" si="150"/>
        <v>0</v>
      </c>
      <c r="BO206" s="151">
        <f t="shared" si="150"/>
        <v>0</v>
      </c>
      <c r="BP206" s="151">
        <f t="shared" si="150"/>
        <v>0</v>
      </c>
    </row>
    <row r="207" spans="3:68" x14ac:dyDescent="0.25">
      <c r="C207" t="s">
        <v>1106</v>
      </c>
      <c r="D207" t="s">
        <v>125</v>
      </c>
      <c r="E207" s="151"/>
      <c r="F207" s="151"/>
      <c r="G207" s="151">
        <f t="shared" si="144"/>
        <v>0</v>
      </c>
      <c r="H207" s="151">
        <f t="shared" ref="H207:AM207" si="151">-$E$107*H79</f>
        <v>0</v>
      </c>
      <c r="I207" s="151">
        <f t="shared" si="151"/>
        <v>0</v>
      </c>
      <c r="J207" s="151">
        <f t="shared" si="151"/>
        <v>0</v>
      </c>
      <c r="K207" s="151">
        <f t="shared" si="151"/>
        <v>0</v>
      </c>
      <c r="L207" s="151">
        <f t="shared" si="151"/>
        <v>0</v>
      </c>
      <c r="M207" s="151">
        <f t="shared" si="151"/>
        <v>0</v>
      </c>
      <c r="N207" s="151">
        <f t="shared" si="151"/>
        <v>0</v>
      </c>
      <c r="O207" s="151">
        <f t="shared" si="151"/>
        <v>0</v>
      </c>
      <c r="P207" s="151">
        <f t="shared" si="151"/>
        <v>0</v>
      </c>
      <c r="Q207" s="151">
        <f t="shared" si="151"/>
        <v>0</v>
      </c>
      <c r="R207" s="151">
        <f t="shared" si="151"/>
        <v>0</v>
      </c>
      <c r="S207" s="151">
        <f t="shared" si="151"/>
        <v>0</v>
      </c>
      <c r="T207" s="151">
        <f t="shared" si="151"/>
        <v>0</v>
      </c>
      <c r="U207" s="151">
        <f t="shared" si="151"/>
        <v>0</v>
      </c>
      <c r="V207" s="151">
        <f t="shared" si="151"/>
        <v>0</v>
      </c>
      <c r="W207" s="151">
        <f t="shared" si="151"/>
        <v>0</v>
      </c>
      <c r="X207" s="151">
        <f t="shared" si="151"/>
        <v>0</v>
      </c>
      <c r="Y207" s="151">
        <f t="shared" si="151"/>
        <v>0</v>
      </c>
      <c r="Z207" s="151">
        <f t="shared" si="151"/>
        <v>0</v>
      </c>
      <c r="AA207" s="151">
        <f t="shared" si="151"/>
        <v>0</v>
      </c>
      <c r="AB207" s="151">
        <f t="shared" si="151"/>
        <v>0</v>
      </c>
      <c r="AC207" s="151">
        <f t="shared" si="151"/>
        <v>0</v>
      </c>
      <c r="AD207" s="151">
        <f t="shared" si="151"/>
        <v>0</v>
      </c>
      <c r="AE207" s="151">
        <f t="shared" si="151"/>
        <v>0</v>
      </c>
      <c r="AF207" s="151">
        <f t="shared" si="151"/>
        <v>0</v>
      </c>
      <c r="AG207" s="151">
        <f t="shared" si="151"/>
        <v>0</v>
      </c>
      <c r="AH207" s="151">
        <f t="shared" si="151"/>
        <v>0</v>
      </c>
      <c r="AI207" s="151">
        <f t="shared" si="151"/>
        <v>0</v>
      </c>
      <c r="AJ207" s="151">
        <f t="shared" si="151"/>
        <v>0</v>
      </c>
      <c r="AK207" s="151">
        <f t="shared" si="151"/>
        <v>0</v>
      </c>
      <c r="AL207" s="151">
        <f t="shared" si="151"/>
        <v>0</v>
      </c>
      <c r="AM207" s="151">
        <f t="shared" si="151"/>
        <v>0</v>
      </c>
      <c r="AN207" s="151">
        <f t="shared" ref="AN207:BP207" si="152">-$E$107*AN79</f>
        <v>0</v>
      </c>
      <c r="AO207" s="151">
        <f t="shared" si="152"/>
        <v>0</v>
      </c>
      <c r="AP207" s="151">
        <f t="shared" si="152"/>
        <v>0</v>
      </c>
      <c r="AQ207" s="151">
        <f t="shared" si="152"/>
        <v>0</v>
      </c>
      <c r="AR207" s="151">
        <f t="shared" si="152"/>
        <v>0</v>
      </c>
      <c r="AS207" s="151">
        <f t="shared" si="152"/>
        <v>0</v>
      </c>
      <c r="AT207" s="151">
        <f t="shared" si="152"/>
        <v>0</v>
      </c>
      <c r="AU207" s="151">
        <f t="shared" si="152"/>
        <v>0</v>
      </c>
      <c r="AV207" s="151">
        <f t="shared" si="152"/>
        <v>0</v>
      </c>
      <c r="AW207" s="151">
        <f t="shared" si="152"/>
        <v>0</v>
      </c>
      <c r="AX207" s="151">
        <f t="shared" si="152"/>
        <v>0</v>
      </c>
      <c r="AY207" s="151">
        <f t="shared" si="152"/>
        <v>0</v>
      </c>
      <c r="AZ207" s="151">
        <f t="shared" si="152"/>
        <v>0</v>
      </c>
      <c r="BA207" s="151">
        <f t="shared" si="152"/>
        <v>0</v>
      </c>
      <c r="BB207" s="151">
        <f t="shared" si="152"/>
        <v>0</v>
      </c>
      <c r="BC207" s="151">
        <f t="shared" si="152"/>
        <v>0</v>
      </c>
      <c r="BD207" s="151">
        <f t="shared" si="152"/>
        <v>0</v>
      </c>
      <c r="BE207" s="151">
        <f t="shared" si="152"/>
        <v>0</v>
      </c>
      <c r="BF207" s="151">
        <f t="shared" si="152"/>
        <v>0</v>
      </c>
      <c r="BG207" s="151">
        <f t="shared" si="152"/>
        <v>0</v>
      </c>
      <c r="BH207" s="151">
        <f t="shared" si="152"/>
        <v>0</v>
      </c>
      <c r="BI207" s="151">
        <f t="shared" si="152"/>
        <v>0</v>
      </c>
      <c r="BJ207" s="151">
        <f t="shared" si="152"/>
        <v>0</v>
      </c>
      <c r="BK207" s="151">
        <f t="shared" si="152"/>
        <v>0</v>
      </c>
      <c r="BL207" s="151">
        <f t="shared" si="152"/>
        <v>0</v>
      </c>
      <c r="BM207" s="151">
        <f t="shared" si="152"/>
        <v>0</v>
      </c>
      <c r="BN207" s="151">
        <f t="shared" si="152"/>
        <v>0</v>
      </c>
      <c r="BO207" s="151">
        <f t="shared" si="152"/>
        <v>0</v>
      </c>
      <c r="BP207" s="151">
        <f t="shared" si="152"/>
        <v>0</v>
      </c>
    </row>
    <row r="208" spans="3:68" x14ac:dyDescent="0.25">
      <c r="C208" s="198" t="s">
        <v>1107</v>
      </c>
      <c r="D208" s="198" t="s">
        <v>125</v>
      </c>
      <c r="E208" s="244"/>
      <c r="F208" s="244"/>
      <c r="G208" s="244">
        <f t="shared" si="144"/>
        <v>0</v>
      </c>
      <c r="H208" s="244">
        <f t="shared" ref="H208:AM208" si="153">SUM(H204:H207)</f>
        <v>0</v>
      </c>
      <c r="I208" s="244">
        <f t="shared" si="153"/>
        <v>0</v>
      </c>
      <c r="J208" s="244">
        <f t="shared" si="153"/>
        <v>0</v>
      </c>
      <c r="K208" s="244">
        <f t="shared" si="153"/>
        <v>0</v>
      </c>
      <c r="L208" s="244">
        <f t="shared" si="153"/>
        <v>0</v>
      </c>
      <c r="M208" s="244">
        <f t="shared" si="153"/>
        <v>0</v>
      </c>
      <c r="N208" s="244">
        <f t="shared" si="153"/>
        <v>0</v>
      </c>
      <c r="O208" s="244">
        <f t="shared" si="153"/>
        <v>0</v>
      </c>
      <c r="P208" s="244">
        <f t="shared" si="153"/>
        <v>0</v>
      </c>
      <c r="Q208" s="244">
        <f t="shared" si="153"/>
        <v>0</v>
      </c>
      <c r="R208" s="244">
        <f t="shared" si="153"/>
        <v>0</v>
      </c>
      <c r="S208" s="244">
        <f t="shared" si="153"/>
        <v>0</v>
      </c>
      <c r="T208" s="244">
        <f t="shared" si="153"/>
        <v>0</v>
      </c>
      <c r="U208" s="244">
        <f t="shared" si="153"/>
        <v>0</v>
      </c>
      <c r="V208" s="244">
        <f t="shared" si="153"/>
        <v>0</v>
      </c>
      <c r="W208" s="244">
        <f t="shared" si="153"/>
        <v>0</v>
      </c>
      <c r="X208" s="244">
        <f t="shared" si="153"/>
        <v>0</v>
      </c>
      <c r="Y208" s="244">
        <f t="shared" si="153"/>
        <v>0</v>
      </c>
      <c r="Z208" s="244">
        <f t="shared" si="153"/>
        <v>0</v>
      </c>
      <c r="AA208" s="244">
        <f t="shared" si="153"/>
        <v>0</v>
      </c>
      <c r="AB208" s="244">
        <f t="shared" si="153"/>
        <v>0</v>
      </c>
      <c r="AC208" s="244">
        <f t="shared" si="153"/>
        <v>0</v>
      </c>
      <c r="AD208" s="244">
        <f t="shared" si="153"/>
        <v>0</v>
      </c>
      <c r="AE208" s="244">
        <f t="shared" si="153"/>
        <v>0</v>
      </c>
      <c r="AF208" s="244">
        <f t="shared" si="153"/>
        <v>0</v>
      </c>
      <c r="AG208" s="244">
        <f t="shared" si="153"/>
        <v>0</v>
      </c>
      <c r="AH208" s="244">
        <f t="shared" si="153"/>
        <v>0</v>
      </c>
      <c r="AI208" s="244">
        <f t="shared" si="153"/>
        <v>0</v>
      </c>
      <c r="AJ208" s="244">
        <f t="shared" si="153"/>
        <v>0</v>
      </c>
      <c r="AK208" s="244">
        <f t="shared" si="153"/>
        <v>0</v>
      </c>
      <c r="AL208" s="244">
        <f t="shared" si="153"/>
        <v>0</v>
      </c>
      <c r="AM208" s="244">
        <f t="shared" si="153"/>
        <v>0</v>
      </c>
      <c r="AN208" s="244">
        <f t="shared" ref="AN208:BP208" si="154">SUM(AN204:AN207)</f>
        <v>0</v>
      </c>
      <c r="AO208" s="244">
        <f t="shared" si="154"/>
        <v>0</v>
      </c>
      <c r="AP208" s="244">
        <f t="shared" si="154"/>
        <v>0</v>
      </c>
      <c r="AQ208" s="244">
        <f t="shared" si="154"/>
        <v>0</v>
      </c>
      <c r="AR208" s="244">
        <f t="shared" si="154"/>
        <v>0</v>
      </c>
      <c r="AS208" s="244">
        <f t="shared" si="154"/>
        <v>0</v>
      </c>
      <c r="AT208" s="244">
        <f t="shared" si="154"/>
        <v>0</v>
      </c>
      <c r="AU208" s="244">
        <f t="shared" si="154"/>
        <v>0</v>
      </c>
      <c r="AV208" s="244">
        <f t="shared" si="154"/>
        <v>0</v>
      </c>
      <c r="AW208" s="244">
        <f t="shared" si="154"/>
        <v>0</v>
      </c>
      <c r="AX208" s="244">
        <f t="shared" si="154"/>
        <v>0</v>
      </c>
      <c r="AY208" s="244">
        <f t="shared" si="154"/>
        <v>0</v>
      </c>
      <c r="AZ208" s="244">
        <f t="shared" si="154"/>
        <v>0</v>
      </c>
      <c r="BA208" s="244">
        <f t="shared" si="154"/>
        <v>0</v>
      </c>
      <c r="BB208" s="244">
        <f t="shared" si="154"/>
        <v>0</v>
      </c>
      <c r="BC208" s="244">
        <f t="shared" si="154"/>
        <v>0</v>
      </c>
      <c r="BD208" s="244">
        <f t="shared" si="154"/>
        <v>0</v>
      </c>
      <c r="BE208" s="244">
        <f t="shared" si="154"/>
        <v>0</v>
      </c>
      <c r="BF208" s="244">
        <f t="shared" si="154"/>
        <v>0</v>
      </c>
      <c r="BG208" s="244">
        <f t="shared" si="154"/>
        <v>0</v>
      </c>
      <c r="BH208" s="244">
        <f t="shared" si="154"/>
        <v>0</v>
      </c>
      <c r="BI208" s="244">
        <f t="shared" si="154"/>
        <v>0</v>
      </c>
      <c r="BJ208" s="244">
        <f t="shared" si="154"/>
        <v>0</v>
      </c>
      <c r="BK208" s="244">
        <f t="shared" si="154"/>
        <v>0</v>
      </c>
      <c r="BL208" s="244">
        <f t="shared" si="154"/>
        <v>0</v>
      </c>
      <c r="BM208" s="244">
        <f t="shared" si="154"/>
        <v>0</v>
      </c>
      <c r="BN208" s="244">
        <f t="shared" si="154"/>
        <v>0</v>
      </c>
      <c r="BO208" s="244">
        <f t="shared" si="154"/>
        <v>0</v>
      </c>
      <c r="BP208" s="244">
        <f t="shared" si="154"/>
        <v>0</v>
      </c>
    </row>
    <row r="209" spans="3:68" x14ac:dyDescent="0.25">
      <c r="C209" t="s">
        <v>1109</v>
      </c>
      <c r="D209" t="s">
        <v>125</v>
      </c>
      <c r="E209" s="151"/>
      <c r="F209" s="151"/>
      <c r="G209" s="151">
        <f t="shared" si="144"/>
        <v>0</v>
      </c>
      <c r="H209" s="151">
        <f t="shared" ref="H209:AM209" si="155">-H$7*$G$147*$E$107</f>
        <v>0</v>
      </c>
      <c r="I209" s="151">
        <f t="shared" si="155"/>
        <v>0</v>
      </c>
      <c r="J209" s="151">
        <f t="shared" si="155"/>
        <v>0</v>
      </c>
      <c r="K209" s="151">
        <f t="shared" si="155"/>
        <v>0</v>
      </c>
      <c r="L209" s="151">
        <f t="shared" si="155"/>
        <v>0</v>
      </c>
      <c r="M209" s="151">
        <f t="shared" si="155"/>
        <v>0</v>
      </c>
      <c r="N209" s="151">
        <f t="shared" si="155"/>
        <v>0</v>
      </c>
      <c r="O209" s="151">
        <f t="shared" si="155"/>
        <v>0</v>
      </c>
      <c r="P209" s="151">
        <f t="shared" si="155"/>
        <v>0</v>
      </c>
      <c r="Q209" s="151">
        <f t="shared" si="155"/>
        <v>0</v>
      </c>
      <c r="R209" s="151">
        <f t="shared" si="155"/>
        <v>0</v>
      </c>
      <c r="S209" s="151">
        <f t="shared" si="155"/>
        <v>0</v>
      </c>
      <c r="T209" s="151">
        <f t="shared" si="155"/>
        <v>0</v>
      </c>
      <c r="U209" s="151">
        <f t="shared" si="155"/>
        <v>0</v>
      </c>
      <c r="V209" s="151">
        <f t="shared" si="155"/>
        <v>0</v>
      </c>
      <c r="W209" s="151">
        <f t="shared" si="155"/>
        <v>0</v>
      </c>
      <c r="X209" s="151">
        <f t="shared" si="155"/>
        <v>0</v>
      </c>
      <c r="Y209" s="151">
        <f t="shared" si="155"/>
        <v>0</v>
      </c>
      <c r="Z209" s="151">
        <f t="shared" si="155"/>
        <v>0</v>
      </c>
      <c r="AA209" s="151">
        <f t="shared" si="155"/>
        <v>0</v>
      </c>
      <c r="AB209" s="151">
        <f t="shared" si="155"/>
        <v>0</v>
      </c>
      <c r="AC209" s="151">
        <f t="shared" si="155"/>
        <v>0</v>
      </c>
      <c r="AD209" s="151">
        <f t="shared" si="155"/>
        <v>0</v>
      </c>
      <c r="AE209" s="151">
        <f t="shared" si="155"/>
        <v>0</v>
      </c>
      <c r="AF209" s="151">
        <f t="shared" si="155"/>
        <v>0</v>
      </c>
      <c r="AG209" s="151">
        <f t="shared" si="155"/>
        <v>0</v>
      </c>
      <c r="AH209" s="151">
        <f t="shared" si="155"/>
        <v>0</v>
      </c>
      <c r="AI209" s="151">
        <f t="shared" si="155"/>
        <v>0</v>
      </c>
      <c r="AJ209" s="151">
        <f t="shared" si="155"/>
        <v>0</v>
      </c>
      <c r="AK209" s="151">
        <f t="shared" si="155"/>
        <v>0</v>
      </c>
      <c r="AL209" s="151">
        <f t="shared" si="155"/>
        <v>0</v>
      </c>
      <c r="AM209" s="151">
        <f t="shared" si="155"/>
        <v>0</v>
      </c>
      <c r="AN209" s="151">
        <f t="shared" ref="AN209:BP209" si="156">-AN$7*$G$147*$E$107</f>
        <v>0</v>
      </c>
      <c r="AO209" s="151">
        <f t="shared" si="156"/>
        <v>0</v>
      </c>
      <c r="AP209" s="151">
        <f t="shared" si="156"/>
        <v>0</v>
      </c>
      <c r="AQ209" s="151">
        <f t="shared" si="156"/>
        <v>0</v>
      </c>
      <c r="AR209" s="151">
        <f t="shared" si="156"/>
        <v>0</v>
      </c>
      <c r="AS209" s="151">
        <f t="shared" si="156"/>
        <v>0</v>
      </c>
      <c r="AT209" s="151">
        <f t="shared" si="156"/>
        <v>0</v>
      </c>
      <c r="AU209" s="151">
        <f t="shared" si="156"/>
        <v>0</v>
      </c>
      <c r="AV209" s="151">
        <f t="shared" si="156"/>
        <v>0</v>
      </c>
      <c r="AW209" s="151">
        <f t="shared" si="156"/>
        <v>0</v>
      </c>
      <c r="AX209" s="151">
        <f t="shared" si="156"/>
        <v>0</v>
      </c>
      <c r="AY209" s="151">
        <f t="shared" si="156"/>
        <v>0</v>
      </c>
      <c r="AZ209" s="151">
        <f t="shared" si="156"/>
        <v>0</v>
      </c>
      <c r="BA209" s="151">
        <f t="shared" si="156"/>
        <v>0</v>
      </c>
      <c r="BB209" s="151">
        <f t="shared" si="156"/>
        <v>0</v>
      </c>
      <c r="BC209" s="151">
        <f t="shared" si="156"/>
        <v>0</v>
      </c>
      <c r="BD209" s="151">
        <f t="shared" si="156"/>
        <v>0</v>
      </c>
      <c r="BE209" s="151">
        <f t="shared" si="156"/>
        <v>0</v>
      </c>
      <c r="BF209" s="151">
        <f t="shared" si="156"/>
        <v>0</v>
      </c>
      <c r="BG209" s="151">
        <f t="shared" si="156"/>
        <v>0</v>
      </c>
      <c r="BH209" s="151">
        <f t="shared" si="156"/>
        <v>0</v>
      </c>
      <c r="BI209" s="151">
        <f t="shared" si="156"/>
        <v>0</v>
      </c>
      <c r="BJ209" s="151">
        <f t="shared" si="156"/>
        <v>0</v>
      </c>
      <c r="BK209" s="151">
        <f t="shared" si="156"/>
        <v>0</v>
      </c>
      <c r="BL209" s="151">
        <f t="shared" si="156"/>
        <v>0</v>
      </c>
      <c r="BM209" s="151">
        <f t="shared" si="156"/>
        <v>0</v>
      </c>
      <c r="BN209" s="151">
        <f t="shared" si="156"/>
        <v>0</v>
      </c>
      <c r="BO209" s="151">
        <f t="shared" si="156"/>
        <v>0</v>
      </c>
      <c r="BP209" s="151">
        <f t="shared" si="156"/>
        <v>0</v>
      </c>
    </row>
    <row r="210" spans="3:68" x14ac:dyDescent="0.25">
      <c r="C210" t="s">
        <v>1110</v>
      </c>
      <c r="D210" t="s">
        <v>125</v>
      </c>
      <c r="E210" s="151"/>
      <c r="F210" s="151"/>
      <c r="G210" s="151">
        <f t="shared" si="144"/>
        <v>0</v>
      </c>
      <c r="H210" s="151">
        <f t="shared" ref="H210:AM210" si="157">-H$7*$G$148*$E$107</f>
        <v>0</v>
      </c>
      <c r="I210" s="151">
        <f t="shared" si="157"/>
        <v>0</v>
      </c>
      <c r="J210" s="151">
        <f t="shared" si="157"/>
        <v>0</v>
      </c>
      <c r="K210" s="151">
        <f t="shared" si="157"/>
        <v>0</v>
      </c>
      <c r="L210" s="151">
        <f t="shared" si="157"/>
        <v>0</v>
      </c>
      <c r="M210" s="151">
        <f t="shared" si="157"/>
        <v>0</v>
      </c>
      <c r="N210" s="151">
        <f t="shared" si="157"/>
        <v>0</v>
      </c>
      <c r="O210" s="151">
        <f t="shared" si="157"/>
        <v>0</v>
      </c>
      <c r="P210" s="151">
        <f t="shared" si="157"/>
        <v>0</v>
      </c>
      <c r="Q210" s="151">
        <f t="shared" si="157"/>
        <v>0</v>
      </c>
      <c r="R210" s="151">
        <f t="shared" si="157"/>
        <v>0</v>
      </c>
      <c r="S210" s="151">
        <f t="shared" si="157"/>
        <v>0</v>
      </c>
      <c r="T210" s="151">
        <f t="shared" si="157"/>
        <v>0</v>
      </c>
      <c r="U210" s="151">
        <f t="shared" si="157"/>
        <v>0</v>
      </c>
      <c r="V210" s="151">
        <f t="shared" si="157"/>
        <v>0</v>
      </c>
      <c r="W210" s="151">
        <f t="shared" si="157"/>
        <v>0</v>
      </c>
      <c r="X210" s="151">
        <f t="shared" si="157"/>
        <v>0</v>
      </c>
      <c r="Y210" s="151">
        <f t="shared" si="157"/>
        <v>0</v>
      </c>
      <c r="Z210" s="151">
        <f t="shared" si="157"/>
        <v>0</v>
      </c>
      <c r="AA210" s="151">
        <f t="shared" si="157"/>
        <v>0</v>
      </c>
      <c r="AB210" s="151">
        <f t="shared" si="157"/>
        <v>0</v>
      </c>
      <c r="AC210" s="151">
        <f t="shared" si="157"/>
        <v>0</v>
      </c>
      <c r="AD210" s="151">
        <f t="shared" si="157"/>
        <v>0</v>
      </c>
      <c r="AE210" s="151">
        <f t="shared" si="157"/>
        <v>0</v>
      </c>
      <c r="AF210" s="151">
        <f t="shared" si="157"/>
        <v>0</v>
      </c>
      <c r="AG210" s="151">
        <f t="shared" si="157"/>
        <v>0</v>
      </c>
      <c r="AH210" s="151">
        <f t="shared" si="157"/>
        <v>0</v>
      </c>
      <c r="AI210" s="151">
        <f t="shared" si="157"/>
        <v>0</v>
      </c>
      <c r="AJ210" s="151">
        <f t="shared" si="157"/>
        <v>0</v>
      </c>
      <c r="AK210" s="151">
        <f t="shared" si="157"/>
        <v>0</v>
      </c>
      <c r="AL210" s="151">
        <f t="shared" si="157"/>
        <v>0</v>
      </c>
      <c r="AM210" s="151">
        <f t="shared" si="157"/>
        <v>0</v>
      </c>
      <c r="AN210" s="151">
        <f t="shared" ref="AN210:BP210" si="158">-AN$7*$G$148*$E$107</f>
        <v>0</v>
      </c>
      <c r="AO210" s="151">
        <f t="shared" si="158"/>
        <v>0</v>
      </c>
      <c r="AP210" s="151">
        <f t="shared" si="158"/>
        <v>0</v>
      </c>
      <c r="AQ210" s="151">
        <f t="shared" si="158"/>
        <v>0</v>
      </c>
      <c r="AR210" s="151">
        <f t="shared" si="158"/>
        <v>0</v>
      </c>
      <c r="AS210" s="151">
        <f t="shared" si="158"/>
        <v>0</v>
      </c>
      <c r="AT210" s="151">
        <f t="shared" si="158"/>
        <v>0</v>
      </c>
      <c r="AU210" s="151">
        <f t="shared" si="158"/>
        <v>0</v>
      </c>
      <c r="AV210" s="151">
        <f t="shared" si="158"/>
        <v>0</v>
      </c>
      <c r="AW210" s="151">
        <f t="shared" si="158"/>
        <v>0</v>
      </c>
      <c r="AX210" s="151">
        <f t="shared" si="158"/>
        <v>0</v>
      </c>
      <c r="AY210" s="151">
        <f t="shared" si="158"/>
        <v>0</v>
      </c>
      <c r="AZ210" s="151">
        <f t="shared" si="158"/>
        <v>0</v>
      </c>
      <c r="BA210" s="151">
        <f t="shared" si="158"/>
        <v>0</v>
      </c>
      <c r="BB210" s="151">
        <f t="shared" si="158"/>
        <v>0</v>
      </c>
      <c r="BC210" s="151">
        <f t="shared" si="158"/>
        <v>0</v>
      </c>
      <c r="BD210" s="151">
        <f t="shared" si="158"/>
        <v>0</v>
      </c>
      <c r="BE210" s="151">
        <f t="shared" si="158"/>
        <v>0</v>
      </c>
      <c r="BF210" s="151">
        <f t="shared" si="158"/>
        <v>0</v>
      </c>
      <c r="BG210" s="151">
        <f t="shared" si="158"/>
        <v>0</v>
      </c>
      <c r="BH210" s="151">
        <f t="shared" si="158"/>
        <v>0</v>
      </c>
      <c r="BI210" s="151">
        <f t="shared" si="158"/>
        <v>0</v>
      </c>
      <c r="BJ210" s="151">
        <f t="shared" si="158"/>
        <v>0</v>
      </c>
      <c r="BK210" s="151">
        <f t="shared" si="158"/>
        <v>0</v>
      </c>
      <c r="BL210" s="151">
        <f t="shared" si="158"/>
        <v>0</v>
      </c>
      <c r="BM210" s="151">
        <f t="shared" si="158"/>
        <v>0</v>
      </c>
      <c r="BN210" s="151">
        <f t="shared" si="158"/>
        <v>0</v>
      </c>
      <c r="BO210" s="151">
        <f t="shared" si="158"/>
        <v>0</v>
      </c>
      <c r="BP210" s="151">
        <f t="shared" si="158"/>
        <v>0</v>
      </c>
    </row>
    <row r="211" spans="3:68" x14ac:dyDescent="0.25">
      <c r="C211" t="s">
        <v>1111</v>
      </c>
      <c r="D211" t="s">
        <v>125</v>
      </c>
      <c r="E211" s="151"/>
      <c r="F211" s="151"/>
      <c r="G211" s="151">
        <f t="shared" si="144"/>
        <v>0</v>
      </c>
      <c r="H211" s="151">
        <f t="shared" ref="H211:AM211" si="159">-H$7*$G$149*$E$107</f>
        <v>0</v>
      </c>
      <c r="I211" s="151">
        <f t="shared" si="159"/>
        <v>0</v>
      </c>
      <c r="J211" s="151">
        <f t="shared" si="159"/>
        <v>0</v>
      </c>
      <c r="K211" s="151">
        <f t="shared" si="159"/>
        <v>0</v>
      </c>
      <c r="L211" s="151">
        <f t="shared" si="159"/>
        <v>0</v>
      </c>
      <c r="M211" s="151">
        <f t="shared" si="159"/>
        <v>0</v>
      </c>
      <c r="N211" s="151">
        <f t="shared" si="159"/>
        <v>0</v>
      </c>
      <c r="O211" s="151">
        <f t="shared" si="159"/>
        <v>0</v>
      </c>
      <c r="P211" s="151">
        <f t="shared" si="159"/>
        <v>0</v>
      </c>
      <c r="Q211" s="151">
        <f t="shared" si="159"/>
        <v>0</v>
      </c>
      <c r="R211" s="151">
        <f t="shared" si="159"/>
        <v>0</v>
      </c>
      <c r="S211" s="151">
        <f t="shared" si="159"/>
        <v>0</v>
      </c>
      <c r="T211" s="151">
        <f t="shared" si="159"/>
        <v>0</v>
      </c>
      <c r="U211" s="151">
        <f t="shared" si="159"/>
        <v>0</v>
      </c>
      <c r="V211" s="151">
        <f t="shared" si="159"/>
        <v>0</v>
      </c>
      <c r="W211" s="151">
        <f t="shared" si="159"/>
        <v>0</v>
      </c>
      <c r="X211" s="151">
        <f t="shared" si="159"/>
        <v>0</v>
      </c>
      <c r="Y211" s="151">
        <f t="shared" si="159"/>
        <v>0</v>
      </c>
      <c r="Z211" s="151">
        <f t="shared" si="159"/>
        <v>0</v>
      </c>
      <c r="AA211" s="151">
        <f t="shared" si="159"/>
        <v>0</v>
      </c>
      <c r="AB211" s="151">
        <f t="shared" si="159"/>
        <v>0</v>
      </c>
      <c r="AC211" s="151">
        <f t="shared" si="159"/>
        <v>0</v>
      </c>
      <c r="AD211" s="151">
        <f t="shared" si="159"/>
        <v>0</v>
      </c>
      <c r="AE211" s="151">
        <f t="shared" si="159"/>
        <v>0</v>
      </c>
      <c r="AF211" s="151">
        <f t="shared" si="159"/>
        <v>0</v>
      </c>
      <c r="AG211" s="151">
        <f t="shared" si="159"/>
        <v>0</v>
      </c>
      <c r="AH211" s="151">
        <f t="shared" si="159"/>
        <v>0</v>
      </c>
      <c r="AI211" s="151">
        <f t="shared" si="159"/>
        <v>0</v>
      </c>
      <c r="AJ211" s="151">
        <f t="shared" si="159"/>
        <v>0</v>
      </c>
      <c r="AK211" s="151">
        <f t="shared" si="159"/>
        <v>0</v>
      </c>
      <c r="AL211" s="151">
        <f t="shared" si="159"/>
        <v>0</v>
      </c>
      <c r="AM211" s="151">
        <f t="shared" si="159"/>
        <v>0</v>
      </c>
      <c r="AN211" s="151">
        <f t="shared" ref="AN211:BP211" si="160">-AN$7*$G$149*$E$107</f>
        <v>0</v>
      </c>
      <c r="AO211" s="151">
        <f t="shared" si="160"/>
        <v>0</v>
      </c>
      <c r="AP211" s="151">
        <f t="shared" si="160"/>
        <v>0</v>
      </c>
      <c r="AQ211" s="151">
        <f t="shared" si="160"/>
        <v>0</v>
      </c>
      <c r="AR211" s="151">
        <f t="shared" si="160"/>
        <v>0</v>
      </c>
      <c r="AS211" s="151">
        <f t="shared" si="160"/>
        <v>0</v>
      </c>
      <c r="AT211" s="151">
        <f t="shared" si="160"/>
        <v>0</v>
      </c>
      <c r="AU211" s="151">
        <f t="shared" si="160"/>
        <v>0</v>
      </c>
      <c r="AV211" s="151">
        <f t="shared" si="160"/>
        <v>0</v>
      </c>
      <c r="AW211" s="151">
        <f t="shared" si="160"/>
        <v>0</v>
      </c>
      <c r="AX211" s="151">
        <f t="shared" si="160"/>
        <v>0</v>
      </c>
      <c r="AY211" s="151">
        <f t="shared" si="160"/>
        <v>0</v>
      </c>
      <c r="AZ211" s="151">
        <f t="shared" si="160"/>
        <v>0</v>
      </c>
      <c r="BA211" s="151">
        <f t="shared" si="160"/>
        <v>0</v>
      </c>
      <c r="BB211" s="151">
        <f t="shared" si="160"/>
        <v>0</v>
      </c>
      <c r="BC211" s="151">
        <f t="shared" si="160"/>
        <v>0</v>
      </c>
      <c r="BD211" s="151">
        <f t="shared" si="160"/>
        <v>0</v>
      </c>
      <c r="BE211" s="151">
        <f t="shared" si="160"/>
        <v>0</v>
      </c>
      <c r="BF211" s="151">
        <f t="shared" si="160"/>
        <v>0</v>
      </c>
      <c r="BG211" s="151">
        <f t="shared" si="160"/>
        <v>0</v>
      </c>
      <c r="BH211" s="151">
        <f t="shared" si="160"/>
        <v>0</v>
      </c>
      <c r="BI211" s="151">
        <f t="shared" si="160"/>
        <v>0</v>
      </c>
      <c r="BJ211" s="151">
        <f t="shared" si="160"/>
        <v>0</v>
      </c>
      <c r="BK211" s="151">
        <f t="shared" si="160"/>
        <v>0</v>
      </c>
      <c r="BL211" s="151">
        <f t="shared" si="160"/>
        <v>0</v>
      </c>
      <c r="BM211" s="151">
        <f t="shared" si="160"/>
        <v>0</v>
      </c>
      <c r="BN211" s="151">
        <f t="shared" si="160"/>
        <v>0</v>
      </c>
      <c r="BO211" s="151">
        <f t="shared" si="160"/>
        <v>0</v>
      </c>
      <c r="BP211" s="151">
        <f t="shared" si="160"/>
        <v>0</v>
      </c>
    </row>
    <row r="212" spans="3:68" x14ac:dyDescent="0.25">
      <c r="C212" t="s">
        <v>1144</v>
      </c>
      <c r="D212" t="s">
        <v>125</v>
      </c>
      <c r="E212" s="151"/>
      <c r="F212" s="151"/>
      <c r="G212" s="151">
        <f t="shared" si="144"/>
        <v>1105.2361111111111</v>
      </c>
      <c r="H212" s="151">
        <f t="shared" ref="H212:AM212" si="161">-H$7*$G$151</f>
        <v>0</v>
      </c>
      <c r="I212" s="151">
        <f t="shared" si="161"/>
        <v>0</v>
      </c>
      <c r="J212" s="151">
        <f t="shared" si="161"/>
        <v>0</v>
      </c>
      <c r="K212" s="151">
        <f t="shared" si="161"/>
        <v>0</v>
      </c>
      <c r="L212" s="151">
        <f t="shared" si="161"/>
        <v>0</v>
      </c>
      <c r="M212" s="151">
        <f t="shared" si="161"/>
        <v>0</v>
      </c>
      <c r="N212" s="151">
        <f t="shared" si="161"/>
        <v>0</v>
      </c>
      <c r="O212" s="151">
        <f t="shared" si="161"/>
        <v>0</v>
      </c>
      <c r="P212" s="151">
        <f t="shared" si="161"/>
        <v>0</v>
      </c>
      <c r="Q212" s="151">
        <f t="shared" si="161"/>
        <v>0</v>
      </c>
      <c r="R212" s="151">
        <f t="shared" si="161"/>
        <v>0</v>
      </c>
      <c r="S212" s="151">
        <f t="shared" si="161"/>
        <v>0</v>
      </c>
      <c r="T212" s="151">
        <f t="shared" si="161"/>
        <v>0</v>
      </c>
      <c r="U212" s="151">
        <f t="shared" si="161"/>
        <v>0</v>
      </c>
      <c r="V212" s="151">
        <f t="shared" si="161"/>
        <v>0</v>
      </c>
      <c r="W212" s="151">
        <f t="shared" si="161"/>
        <v>0</v>
      </c>
      <c r="X212" s="151">
        <f t="shared" si="161"/>
        <v>0</v>
      </c>
      <c r="Y212" s="151">
        <f t="shared" si="161"/>
        <v>0</v>
      </c>
      <c r="Z212" s="151">
        <f t="shared" si="161"/>
        <v>0</v>
      </c>
      <c r="AA212" s="151">
        <f t="shared" si="161"/>
        <v>0</v>
      </c>
      <c r="AB212" s="151">
        <f t="shared" si="161"/>
        <v>0</v>
      </c>
      <c r="AC212" s="151">
        <f t="shared" si="161"/>
        <v>0</v>
      </c>
      <c r="AD212" s="151">
        <f t="shared" si="161"/>
        <v>0</v>
      </c>
      <c r="AE212" s="151">
        <f t="shared" si="161"/>
        <v>0</v>
      </c>
      <c r="AF212" s="151">
        <f t="shared" si="161"/>
        <v>0</v>
      </c>
      <c r="AG212" s="151">
        <f t="shared" si="161"/>
        <v>0</v>
      </c>
      <c r="AH212" s="151">
        <f t="shared" si="161"/>
        <v>0</v>
      </c>
      <c r="AI212" s="151">
        <f t="shared" si="161"/>
        <v>0</v>
      </c>
      <c r="AJ212" s="151">
        <f t="shared" si="161"/>
        <v>0</v>
      </c>
      <c r="AK212" s="151">
        <f t="shared" si="161"/>
        <v>0</v>
      </c>
      <c r="AL212" s="151">
        <f t="shared" si="161"/>
        <v>0</v>
      </c>
      <c r="AM212" s="151">
        <f t="shared" si="161"/>
        <v>0</v>
      </c>
      <c r="AN212" s="151">
        <f t="shared" ref="AN212:BP212" si="162">-AN$7*$G$151</f>
        <v>0</v>
      </c>
      <c r="AO212" s="151">
        <f t="shared" si="162"/>
        <v>0</v>
      </c>
      <c r="AP212" s="151">
        <f t="shared" si="162"/>
        <v>0</v>
      </c>
      <c r="AQ212" s="151">
        <f t="shared" si="162"/>
        <v>0</v>
      </c>
      <c r="AR212" s="151">
        <f t="shared" si="162"/>
        <v>0</v>
      </c>
      <c r="AS212" s="151">
        <f t="shared" si="162"/>
        <v>0</v>
      </c>
      <c r="AT212" s="151">
        <f t="shared" si="162"/>
        <v>1105.2361111111111</v>
      </c>
      <c r="AU212" s="151">
        <f t="shared" si="162"/>
        <v>0</v>
      </c>
      <c r="AV212" s="151">
        <f t="shared" si="162"/>
        <v>0</v>
      </c>
      <c r="AW212" s="151">
        <f t="shared" si="162"/>
        <v>0</v>
      </c>
      <c r="AX212" s="151">
        <f t="shared" si="162"/>
        <v>0</v>
      </c>
      <c r="AY212" s="151">
        <f t="shared" si="162"/>
        <v>0</v>
      </c>
      <c r="AZ212" s="151">
        <f t="shared" si="162"/>
        <v>0</v>
      </c>
      <c r="BA212" s="151">
        <f t="shared" si="162"/>
        <v>0</v>
      </c>
      <c r="BB212" s="151">
        <f t="shared" si="162"/>
        <v>0</v>
      </c>
      <c r="BC212" s="151">
        <f t="shared" si="162"/>
        <v>0</v>
      </c>
      <c r="BD212" s="151">
        <f t="shared" si="162"/>
        <v>0</v>
      </c>
      <c r="BE212" s="151">
        <f t="shared" si="162"/>
        <v>0</v>
      </c>
      <c r="BF212" s="151">
        <f t="shared" si="162"/>
        <v>0</v>
      </c>
      <c r="BG212" s="151">
        <f t="shared" si="162"/>
        <v>0</v>
      </c>
      <c r="BH212" s="151">
        <f t="shared" si="162"/>
        <v>0</v>
      </c>
      <c r="BI212" s="151">
        <f t="shared" si="162"/>
        <v>0</v>
      </c>
      <c r="BJ212" s="151">
        <f t="shared" si="162"/>
        <v>0</v>
      </c>
      <c r="BK212" s="151">
        <f t="shared" si="162"/>
        <v>0</v>
      </c>
      <c r="BL212" s="151">
        <f t="shared" si="162"/>
        <v>0</v>
      </c>
      <c r="BM212" s="151">
        <f t="shared" si="162"/>
        <v>0</v>
      </c>
      <c r="BN212" s="151">
        <f t="shared" si="162"/>
        <v>0</v>
      </c>
      <c r="BO212" s="151">
        <f t="shared" si="162"/>
        <v>0</v>
      </c>
      <c r="BP212" s="151">
        <f t="shared" si="162"/>
        <v>0</v>
      </c>
    </row>
    <row r="213" spans="3:68" x14ac:dyDescent="0.25">
      <c r="C213" t="s">
        <v>1113</v>
      </c>
      <c r="D213" t="s">
        <v>125</v>
      </c>
      <c r="E213" s="151"/>
      <c r="F213" s="151"/>
      <c r="G213" s="151">
        <f t="shared" si="144"/>
        <v>2892.2730167747736</v>
      </c>
      <c r="H213" s="151">
        <f t="shared" ref="H213:AM213" si="163">H$7*$G$154</f>
        <v>0</v>
      </c>
      <c r="I213" s="151">
        <f t="shared" si="163"/>
        <v>0</v>
      </c>
      <c r="J213" s="151">
        <f t="shared" si="163"/>
        <v>0</v>
      </c>
      <c r="K213" s="151">
        <f t="shared" si="163"/>
        <v>0</v>
      </c>
      <c r="L213" s="151">
        <f t="shared" si="163"/>
        <v>0</v>
      </c>
      <c r="M213" s="151">
        <f t="shared" si="163"/>
        <v>0</v>
      </c>
      <c r="N213" s="151">
        <f t="shared" si="163"/>
        <v>0</v>
      </c>
      <c r="O213" s="151">
        <f t="shared" si="163"/>
        <v>0</v>
      </c>
      <c r="P213" s="151">
        <f t="shared" si="163"/>
        <v>0</v>
      </c>
      <c r="Q213" s="151">
        <f t="shared" si="163"/>
        <v>0</v>
      </c>
      <c r="R213" s="151">
        <f t="shared" si="163"/>
        <v>0</v>
      </c>
      <c r="S213" s="151">
        <f t="shared" si="163"/>
        <v>0</v>
      </c>
      <c r="T213" s="151">
        <f t="shared" si="163"/>
        <v>0</v>
      </c>
      <c r="U213" s="151">
        <f t="shared" si="163"/>
        <v>0</v>
      </c>
      <c r="V213" s="151">
        <f t="shared" si="163"/>
        <v>0</v>
      </c>
      <c r="W213" s="151">
        <f t="shared" si="163"/>
        <v>0</v>
      </c>
      <c r="X213" s="151">
        <f t="shared" si="163"/>
        <v>0</v>
      </c>
      <c r="Y213" s="151">
        <f t="shared" si="163"/>
        <v>0</v>
      </c>
      <c r="Z213" s="151">
        <f t="shared" si="163"/>
        <v>0</v>
      </c>
      <c r="AA213" s="151">
        <f t="shared" si="163"/>
        <v>0</v>
      </c>
      <c r="AB213" s="151">
        <f t="shared" si="163"/>
        <v>0</v>
      </c>
      <c r="AC213" s="151">
        <f t="shared" si="163"/>
        <v>0</v>
      </c>
      <c r="AD213" s="151">
        <f t="shared" si="163"/>
        <v>0</v>
      </c>
      <c r="AE213" s="151">
        <f t="shared" si="163"/>
        <v>0</v>
      </c>
      <c r="AF213" s="151">
        <f t="shared" si="163"/>
        <v>0</v>
      </c>
      <c r="AG213" s="151">
        <f t="shared" si="163"/>
        <v>0</v>
      </c>
      <c r="AH213" s="151">
        <f t="shared" si="163"/>
        <v>0</v>
      </c>
      <c r="AI213" s="151">
        <f t="shared" si="163"/>
        <v>0</v>
      </c>
      <c r="AJ213" s="151">
        <f t="shared" si="163"/>
        <v>0</v>
      </c>
      <c r="AK213" s="151">
        <f t="shared" si="163"/>
        <v>0</v>
      </c>
      <c r="AL213" s="151">
        <f t="shared" si="163"/>
        <v>0</v>
      </c>
      <c r="AM213" s="151">
        <f t="shared" si="163"/>
        <v>0</v>
      </c>
      <c r="AN213" s="151">
        <f t="shared" ref="AN213:BP213" si="164">AN$7*$G$154</f>
        <v>0</v>
      </c>
      <c r="AO213" s="151">
        <f t="shared" si="164"/>
        <v>0</v>
      </c>
      <c r="AP213" s="151">
        <f t="shared" si="164"/>
        <v>0</v>
      </c>
      <c r="AQ213" s="151">
        <f t="shared" si="164"/>
        <v>0</v>
      </c>
      <c r="AR213" s="151">
        <f t="shared" si="164"/>
        <v>0</v>
      </c>
      <c r="AS213" s="151">
        <f t="shared" si="164"/>
        <v>0</v>
      </c>
      <c r="AT213" s="151">
        <f t="shared" si="164"/>
        <v>2892.2730167747736</v>
      </c>
      <c r="AU213" s="151">
        <f t="shared" si="164"/>
        <v>0</v>
      </c>
      <c r="AV213" s="151">
        <f t="shared" si="164"/>
        <v>0</v>
      </c>
      <c r="AW213" s="151">
        <f t="shared" si="164"/>
        <v>0</v>
      </c>
      <c r="AX213" s="151">
        <f t="shared" si="164"/>
        <v>0</v>
      </c>
      <c r="AY213" s="151">
        <f t="shared" si="164"/>
        <v>0</v>
      </c>
      <c r="AZ213" s="151">
        <f t="shared" si="164"/>
        <v>0</v>
      </c>
      <c r="BA213" s="151">
        <f t="shared" si="164"/>
        <v>0</v>
      </c>
      <c r="BB213" s="151">
        <f t="shared" si="164"/>
        <v>0</v>
      </c>
      <c r="BC213" s="151">
        <f t="shared" si="164"/>
        <v>0</v>
      </c>
      <c r="BD213" s="151">
        <f t="shared" si="164"/>
        <v>0</v>
      </c>
      <c r="BE213" s="151">
        <f t="shared" si="164"/>
        <v>0</v>
      </c>
      <c r="BF213" s="151">
        <f t="shared" si="164"/>
        <v>0</v>
      </c>
      <c r="BG213" s="151">
        <f t="shared" si="164"/>
        <v>0</v>
      </c>
      <c r="BH213" s="151">
        <f t="shared" si="164"/>
        <v>0</v>
      </c>
      <c r="BI213" s="151">
        <f t="shared" si="164"/>
        <v>0</v>
      </c>
      <c r="BJ213" s="151">
        <f t="shared" si="164"/>
        <v>0</v>
      </c>
      <c r="BK213" s="151">
        <f t="shared" si="164"/>
        <v>0</v>
      </c>
      <c r="BL213" s="151">
        <f t="shared" si="164"/>
        <v>0</v>
      </c>
      <c r="BM213" s="151">
        <f t="shared" si="164"/>
        <v>0</v>
      </c>
      <c r="BN213" s="151">
        <f t="shared" si="164"/>
        <v>0</v>
      </c>
      <c r="BO213" s="151">
        <f t="shared" si="164"/>
        <v>0</v>
      </c>
      <c r="BP213" s="151">
        <f t="shared" si="164"/>
        <v>0</v>
      </c>
    </row>
    <row r="214" spans="3:68" x14ac:dyDescent="0.25">
      <c r="C214" s="198" t="s">
        <v>1114</v>
      </c>
      <c r="D214" s="198" t="s">
        <v>125</v>
      </c>
      <c r="E214" s="244"/>
      <c r="F214" s="244"/>
      <c r="G214" s="244">
        <f t="shared" si="144"/>
        <v>3997.5091278858845</v>
      </c>
      <c r="H214" s="244">
        <f t="shared" ref="H214:AM214" si="165">SUM(H209:H213)</f>
        <v>0</v>
      </c>
      <c r="I214" s="244">
        <f t="shared" si="165"/>
        <v>0</v>
      </c>
      <c r="J214" s="244">
        <f t="shared" si="165"/>
        <v>0</v>
      </c>
      <c r="K214" s="244">
        <f t="shared" si="165"/>
        <v>0</v>
      </c>
      <c r="L214" s="244">
        <f t="shared" si="165"/>
        <v>0</v>
      </c>
      <c r="M214" s="244">
        <f t="shared" si="165"/>
        <v>0</v>
      </c>
      <c r="N214" s="244">
        <f t="shared" si="165"/>
        <v>0</v>
      </c>
      <c r="O214" s="244">
        <f t="shared" si="165"/>
        <v>0</v>
      </c>
      <c r="P214" s="244">
        <f t="shared" si="165"/>
        <v>0</v>
      </c>
      <c r="Q214" s="244">
        <f t="shared" si="165"/>
        <v>0</v>
      </c>
      <c r="R214" s="244">
        <f t="shared" si="165"/>
        <v>0</v>
      </c>
      <c r="S214" s="244">
        <f t="shared" si="165"/>
        <v>0</v>
      </c>
      <c r="T214" s="244">
        <f t="shared" si="165"/>
        <v>0</v>
      </c>
      <c r="U214" s="244">
        <f t="shared" si="165"/>
        <v>0</v>
      </c>
      <c r="V214" s="244">
        <f t="shared" si="165"/>
        <v>0</v>
      </c>
      <c r="W214" s="244">
        <f t="shared" si="165"/>
        <v>0</v>
      </c>
      <c r="X214" s="244">
        <f t="shared" si="165"/>
        <v>0</v>
      </c>
      <c r="Y214" s="244">
        <f t="shared" si="165"/>
        <v>0</v>
      </c>
      <c r="Z214" s="244">
        <f t="shared" si="165"/>
        <v>0</v>
      </c>
      <c r="AA214" s="244">
        <f t="shared" si="165"/>
        <v>0</v>
      </c>
      <c r="AB214" s="244">
        <f t="shared" si="165"/>
        <v>0</v>
      </c>
      <c r="AC214" s="244">
        <f t="shared" si="165"/>
        <v>0</v>
      </c>
      <c r="AD214" s="244">
        <f t="shared" si="165"/>
        <v>0</v>
      </c>
      <c r="AE214" s="244">
        <f t="shared" si="165"/>
        <v>0</v>
      </c>
      <c r="AF214" s="244">
        <f t="shared" si="165"/>
        <v>0</v>
      </c>
      <c r="AG214" s="244">
        <f t="shared" si="165"/>
        <v>0</v>
      </c>
      <c r="AH214" s="244">
        <f t="shared" si="165"/>
        <v>0</v>
      </c>
      <c r="AI214" s="244">
        <f t="shared" si="165"/>
        <v>0</v>
      </c>
      <c r="AJ214" s="244">
        <f t="shared" si="165"/>
        <v>0</v>
      </c>
      <c r="AK214" s="244">
        <f t="shared" si="165"/>
        <v>0</v>
      </c>
      <c r="AL214" s="244">
        <f t="shared" si="165"/>
        <v>0</v>
      </c>
      <c r="AM214" s="244">
        <f t="shared" si="165"/>
        <v>0</v>
      </c>
      <c r="AN214" s="244">
        <f t="shared" ref="AN214:BP214" si="166">SUM(AN209:AN213)</f>
        <v>0</v>
      </c>
      <c r="AO214" s="244">
        <f t="shared" si="166"/>
        <v>0</v>
      </c>
      <c r="AP214" s="244">
        <f t="shared" si="166"/>
        <v>0</v>
      </c>
      <c r="AQ214" s="244">
        <f t="shared" si="166"/>
        <v>0</v>
      </c>
      <c r="AR214" s="244">
        <f t="shared" si="166"/>
        <v>0</v>
      </c>
      <c r="AS214" s="244">
        <f t="shared" si="166"/>
        <v>0</v>
      </c>
      <c r="AT214" s="244">
        <f t="shared" si="166"/>
        <v>3997.5091278858845</v>
      </c>
      <c r="AU214" s="244">
        <f t="shared" si="166"/>
        <v>0</v>
      </c>
      <c r="AV214" s="244">
        <f t="shared" si="166"/>
        <v>0</v>
      </c>
      <c r="AW214" s="244">
        <f t="shared" si="166"/>
        <v>0</v>
      </c>
      <c r="AX214" s="244">
        <f t="shared" si="166"/>
        <v>0</v>
      </c>
      <c r="AY214" s="244">
        <f t="shared" si="166"/>
        <v>0</v>
      </c>
      <c r="AZ214" s="244">
        <f t="shared" si="166"/>
        <v>0</v>
      </c>
      <c r="BA214" s="244">
        <f t="shared" si="166"/>
        <v>0</v>
      </c>
      <c r="BB214" s="244">
        <f t="shared" si="166"/>
        <v>0</v>
      </c>
      <c r="BC214" s="244">
        <f t="shared" si="166"/>
        <v>0</v>
      </c>
      <c r="BD214" s="244">
        <f t="shared" si="166"/>
        <v>0</v>
      </c>
      <c r="BE214" s="244">
        <f t="shared" si="166"/>
        <v>0</v>
      </c>
      <c r="BF214" s="244">
        <f t="shared" si="166"/>
        <v>0</v>
      </c>
      <c r="BG214" s="244">
        <f t="shared" si="166"/>
        <v>0</v>
      </c>
      <c r="BH214" s="244">
        <f t="shared" si="166"/>
        <v>0</v>
      </c>
      <c r="BI214" s="244">
        <f t="shared" si="166"/>
        <v>0</v>
      </c>
      <c r="BJ214" s="244">
        <f t="shared" si="166"/>
        <v>0</v>
      </c>
      <c r="BK214" s="244">
        <f t="shared" si="166"/>
        <v>0</v>
      </c>
      <c r="BL214" s="244">
        <f t="shared" si="166"/>
        <v>0</v>
      </c>
      <c r="BM214" s="244">
        <f t="shared" si="166"/>
        <v>0</v>
      </c>
      <c r="BN214" s="244">
        <f t="shared" si="166"/>
        <v>0</v>
      </c>
      <c r="BO214" s="244">
        <f t="shared" si="166"/>
        <v>0</v>
      </c>
      <c r="BP214" s="244">
        <f t="shared" si="166"/>
        <v>0</v>
      </c>
    </row>
    <row r="215" spans="3:68" x14ac:dyDescent="0.25">
      <c r="C215" t="s">
        <v>1115</v>
      </c>
      <c r="D215" t="s">
        <v>125</v>
      </c>
      <c r="E215" s="151"/>
      <c r="F215" s="151"/>
      <c r="G215" s="151">
        <f t="shared" si="144"/>
        <v>3997.5091278858845</v>
      </c>
      <c r="H215" s="151">
        <f t="shared" ref="H215:AM215" si="167">H208+H214</f>
        <v>0</v>
      </c>
      <c r="I215" s="151">
        <f t="shared" si="167"/>
        <v>0</v>
      </c>
      <c r="J215" s="151">
        <f t="shared" si="167"/>
        <v>0</v>
      </c>
      <c r="K215" s="151">
        <f t="shared" si="167"/>
        <v>0</v>
      </c>
      <c r="L215" s="151">
        <f t="shared" si="167"/>
        <v>0</v>
      </c>
      <c r="M215" s="151">
        <f t="shared" si="167"/>
        <v>0</v>
      </c>
      <c r="N215" s="151">
        <f t="shared" si="167"/>
        <v>0</v>
      </c>
      <c r="O215" s="151">
        <f t="shared" si="167"/>
        <v>0</v>
      </c>
      <c r="P215" s="151">
        <f t="shared" si="167"/>
        <v>0</v>
      </c>
      <c r="Q215" s="151">
        <f t="shared" si="167"/>
        <v>0</v>
      </c>
      <c r="R215" s="151">
        <f t="shared" si="167"/>
        <v>0</v>
      </c>
      <c r="S215" s="151">
        <f t="shared" si="167"/>
        <v>0</v>
      </c>
      <c r="T215" s="151">
        <f t="shared" si="167"/>
        <v>0</v>
      </c>
      <c r="U215" s="151">
        <f t="shared" si="167"/>
        <v>0</v>
      </c>
      <c r="V215" s="151">
        <f t="shared" si="167"/>
        <v>0</v>
      </c>
      <c r="W215" s="151">
        <f t="shared" si="167"/>
        <v>0</v>
      </c>
      <c r="X215" s="151">
        <f t="shared" si="167"/>
        <v>0</v>
      </c>
      <c r="Y215" s="151">
        <f t="shared" si="167"/>
        <v>0</v>
      </c>
      <c r="Z215" s="151">
        <f t="shared" si="167"/>
        <v>0</v>
      </c>
      <c r="AA215" s="151">
        <f t="shared" si="167"/>
        <v>0</v>
      </c>
      <c r="AB215" s="151">
        <f t="shared" si="167"/>
        <v>0</v>
      </c>
      <c r="AC215" s="151">
        <f t="shared" si="167"/>
        <v>0</v>
      </c>
      <c r="AD215" s="151">
        <f t="shared" si="167"/>
        <v>0</v>
      </c>
      <c r="AE215" s="151">
        <f t="shared" si="167"/>
        <v>0</v>
      </c>
      <c r="AF215" s="151">
        <f t="shared" si="167"/>
        <v>0</v>
      </c>
      <c r="AG215" s="151">
        <f t="shared" si="167"/>
        <v>0</v>
      </c>
      <c r="AH215" s="151">
        <f t="shared" si="167"/>
        <v>0</v>
      </c>
      <c r="AI215" s="151">
        <f t="shared" si="167"/>
        <v>0</v>
      </c>
      <c r="AJ215" s="151">
        <f t="shared" si="167"/>
        <v>0</v>
      </c>
      <c r="AK215" s="151">
        <f t="shared" si="167"/>
        <v>0</v>
      </c>
      <c r="AL215" s="151">
        <f t="shared" si="167"/>
        <v>0</v>
      </c>
      <c r="AM215" s="151">
        <f t="shared" si="167"/>
        <v>0</v>
      </c>
      <c r="AN215" s="151">
        <f t="shared" ref="AN215:BP215" si="168">AN208+AN214</f>
        <v>0</v>
      </c>
      <c r="AO215" s="151">
        <f t="shared" si="168"/>
        <v>0</v>
      </c>
      <c r="AP215" s="151">
        <f t="shared" si="168"/>
        <v>0</v>
      </c>
      <c r="AQ215" s="151">
        <f t="shared" si="168"/>
        <v>0</v>
      </c>
      <c r="AR215" s="151">
        <f t="shared" si="168"/>
        <v>0</v>
      </c>
      <c r="AS215" s="151">
        <f t="shared" si="168"/>
        <v>0</v>
      </c>
      <c r="AT215" s="151">
        <f t="shared" si="168"/>
        <v>3997.5091278858845</v>
      </c>
      <c r="AU215" s="151">
        <f t="shared" si="168"/>
        <v>0</v>
      </c>
      <c r="AV215" s="151">
        <f t="shared" si="168"/>
        <v>0</v>
      </c>
      <c r="AW215" s="151">
        <f t="shared" si="168"/>
        <v>0</v>
      </c>
      <c r="AX215" s="151">
        <f t="shared" si="168"/>
        <v>0</v>
      </c>
      <c r="AY215" s="151">
        <f t="shared" si="168"/>
        <v>0</v>
      </c>
      <c r="AZ215" s="151">
        <f t="shared" si="168"/>
        <v>0</v>
      </c>
      <c r="BA215" s="151">
        <f t="shared" si="168"/>
        <v>0</v>
      </c>
      <c r="BB215" s="151">
        <f t="shared" si="168"/>
        <v>0</v>
      </c>
      <c r="BC215" s="151">
        <f t="shared" si="168"/>
        <v>0</v>
      </c>
      <c r="BD215" s="151">
        <f t="shared" si="168"/>
        <v>0</v>
      </c>
      <c r="BE215" s="151">
        <f t="shared" si="168"/>
        <v>0</v>
      </c>
      <c r="BF215" s="151">
        <f t="shared" si="168"/>
        <v>0</v>
      </c>
      <c r="BG215" s="151">
        <f t="shared" si="168"/>
        <v>0</v>
      </c>
      <c r="BH215" s="151">
        <f t="shared" si="168"/>
        <v>0</v>
      </c>
      <c r="BI215" s="151">
        <f t="shared" si="168"/>
        <v>0</v>
      </c>
      <c r="BJ215" s="151">
        <f t="shared" si="168"/>
        <v>0</v>
      </c>
      <c r="BK215" s="151">
        <f t="shared" si="168"/>
        <v>0</v>
      </c>
      <c r="BL215" s="151">
        <f t="shared" si="168"/>
        <v>0</v>
      </c>
      <c r="BM215" s="151">
        <f t="shared" si="168"/>
        <v>0</v>
      </c>
      <c r="BN215" s="151">
        <f t="shared" si="168"/>
        <v>0</v>
      </c>
      <c r="BO215" s="151">
        <f t="shared" si="168"/>
        <v>0</v>
      </c>
      <c r="BP215" s="151">
        <f t="shared" si="168"/>
        <v>0</v>
      </c>
    </row>
    <row r="216" spans="3:68" x14ac:dyDescent="0.25">
      <c r="C216" t="s">
        <v>1116</v>
      </c>
      <c r="D216" t="s">
        <v>125</v>
      </c>
      <c r="E216" s="151"/>
      <c r="F216" s="151"/>
      <c r="G216" s="151"/>
      <c r="H216" s="151">
        <f>H215</f>
        <v>0</v>
      </c>
      <c r="I216" s="151">
        <f t="shared" ref="I216:AN216" si="169">H216+I215</f>
        <v>0</v>
      </c>
      <c r="J216" s="151">
        <f t="shared" si="169"/>
        <v>0</v>
      </c>
      <c r="K216" s="151">
        <f t="shared" si="169"/>
        <v>0</v>
      </c>
      <c r="L216" s="151">
        <f t="shared" si="169"/>
        <v>0</v>
      </c>
      <c r="M216" s="151">
        <f t="shared" si="169"/>
        <v>0</v>
      </c>
      <c r="N216" s="151">
        <f t="shared" si="169"/>
        <v>0</v>
      </c>
      <c r="O216" s="151">
        <f t="shared" si="169"/>
        <v>0</v>
      </c>
      <c r="P216" s="151">
        <f t="shared" si="169"/>
        <v>0</v>
      </c>
      <c r="Q216" s="151">
        <f t="shared" si="169"/>
        <v>0</v>
      </c>
      <c r="R216" s="151">
        <f t="shared" si="169"/>
        <v>0</v>
      </c>
      <c r="S216" s="151">
        <f t="shared" si="169"/>
        <v>0</v>
      </c>
      <c r="T216" s="151">
        <f t="shared" si="169"/>
        <v>0</v>
      </c>
      <c r="U216" s="151">
        <f t="shared" si="169"/>
        <v>0</v>
      </c>
      <c r="V216" s="151">
        <f t="shared" si="169"/>
        <v>0</v>
      </c>
      <c r="W216" s="151">
        <f t="shared" si="169"/>
        <v>0</v>
      </c>
      <c r="X216" s="151">
        <f t="shared" si="169"/>
        <v>0</v>
      </c>
      <c r="Y216" s="151">
        <f t="shared" si="169"/>
        <v>0</v>
      </c>
      <c r="Z216" s="151">
        <f t="shared" si="169"/>
        <v>0</v>
      </c>
      <c r="AA216" s="151">
        <f t="shared" si="169"/>
        <v>0</v>
      </c>
      <c r="AB216" s="151">
        <f t="shared" si="169"/>
        <v>0</v>
      </c>
      <c r="AC216" s="151">
        <f t="shared" si="169"/>
        <v>0</v>
      </c>
      <c r="AD216" s="151">
        <f t="shared" si="169"/>
        <v>0</v>
      </c>
      <c r="AE216" s="151">
        <f t="shared" si="169"/>
        <v>0</v>
      </c>
      <c r="AF216" s="151">
        <f t="shared" si="169"/>
        <v>0</v>
      </c>
      <c r="AG216" s="151">
        <f t="shared" si="169"/>
        <v>0</v>
      </c>
      <c r="AH216" s="151">
        <f t="shared" si="169"/>
        <v>0</v>
      </c>
      <c r="AI216" s="151">
        <f t="shared" si="169"/>
        <v>0</v>
      </c>
      <c r="AJ216" s="151">
        <f t="shared" si="169"/>
        <v>0</v>
      </c>
      <c r="AK216" s="151">
        <f t="shared" si="169"/>
        <v>0</v>
      </c>
      <c r="AL216" s="151">
        <f t="shared" si="169"/>
        <v>0</v>
      </c>
      <c r="AM216" s="151">
        <f t="shared" si="169"/>
        <v>0</v>
      </c>
      <c r="AN216" s="151">
        <f t="shared" si="169"/>
        <v>0</v>
      </c>
      <c r="AO216" s="151">
        <f t="shared" ref="AO216:BP216" si="170">AN216+AO215</f>
        <v>0</v>
      </c>
      <c r="AP216" s="151">
        <f t="shared" si="170"/>
        <v>0</v>
      </c>
      <c r="AQ216" s="151">
        <f t="shared" si="170"/>
        <v>0</v>
      </c>
      <c r="AR216" s="151">
        <f t="shared" si="170"/>
        <v>0</v>
      </c>
      <c r="AS216" s="151">
        <f t="shared" si="170"/>
        <v>0</v>
      </c>
      <c r="AT216" s="151">
        <f t="shared" si="170"/>
        <v>3997.5091278858845</v>
      </c>
      <c r="AU216" s="151">
        <f t="shared" si="170"/>
        <v>3997.5091278858845</v>
      </c>
      <c r="AV216" s="151">
        <f t="shared" si="170"/>
        <v>3997.5091278858845</v>
      </c>
      <c r="AW216" s="151">
        <f t="shared" si="170"/>
        <v>3997.5091278858845</v>
      </c>
      <c r="AX216" s="151">
        <f t="shared" si="170"/>
        <v>3997.5091278858845</v>
      </c>
      <c r="AY216" s="151">
        <f t="shared" si="170"/>
        <v>3997.5091278858845</v>
      </c>
      <c r="AZ216" s="151">
        <f t="shared" si="170"/>
        <v>3997.5091278858845</v>
      </c>
      <c r="BA216" s="151">
        <f t="shared" si="170"/>
        <v>3997.5091278858845</v>
      </c>
      <c r="BB216" s="151">
        <f t="shared" si="170"/>
        <v>3997.5091278858845</v>
      </c>
      <c r="BC216" s="151">
        <f t="shared" si="170"/>
        <v>3997.5091278858845</v>
      </c>
      <c r="BD216" s="151">
        <f t="shared" si="170"/>
        <v>3997.5091278858845</v>
      </c>
      <c r="BE216" s="151">
        <f t="shared" si="170"/>
        <v>3997.5091278858845</v>
      </c>
      <c r="BF216" s="151">
        <f t="shared" si="170"/>
        <v>3997.5091278858845</v>
      </c>
      <c r="BG216" s="151">
        <f t="shared" si="170"/>
        <v>3997.5091278858845</v>
      </c>
      <c r="BH216" s="151">
        <f t="shared" si="170"/>
        <v>3997.5091278858845</v>
      </c>
      <c r="BI216" s="151">
        <f t="shared" si="170"/>
        <v>3997.5091278858845</v>
      </c>
      <c r="BJ216" s="151">
        <f t="shared" si="170"/>
        <v>3997.5091278858845</v>
      </c>
      <c r="BK216" s="151">
        <f t="shared" si="170"/>
        <v>3997.5091278858845</v>
      </c>
      <c r="BL216" s="151">
        <f t="shared" si="170"/>
        <v>3997.5091278858845</v>
      </c>
      <c r="BM216" s="151">
        <f t="shared" si="170"/>
        <v>3997.5091278858845</v>
      </c>
      <c r="BN216" s="151">
        <f t="shared" si="170"/>
        <v>3997.5091278858845</v>
      </c>
      <c r="BO216" s="151">
        <f t="shared" si="170"/>
        <v>3997.5091278858845</v>
      </c>
      <c r="BP216" s="151">
        <f t="shared" si="170"/>
        <v>3997.5091278858845</v>
      </c>
    </row>
    <row r="217" spans="3:68" x14ac:dyDescent="0.25">
      <c r="C217" t="s">
        <v>1117</v>
      </c>
      <c r="D217" t="s">
        <v>125</v>
      </c>
      <c r="E217" s="134">
        <f>Inputs!$E$12</f>
        <v>0.15</v>
      </c>
      <c r="F217" s="151"/>
      <c r="G217" s="151">
        <f>SUM(H217:BP217)</f>
        <v>-165.78541666666663</v>
      </c>
      <c r="H217" s="151">
        <f>-H$7*$E$217*MAX(H216-Inputs!$E$14*$G$213,0)</f>
        <v>0</v>
      </c>
      <c r="I217" s="151">
        <f>-I$7*$E$217*MAX(I216-Inputs!$E$14*$G$213,0)</f>
        <v>0</v>
      </c>
      <c r="J217" s="151">
        <f>-J$7*$E$217*MAX(J216-Inputs!$E$14*$G$213,0)</f>
        <v>0</v>
      </c>
      <c r="K217" s="151">
        <f>-K$7*$E$217*MAX(K216-Inputs!$E$14*$G$213,0)</f>
        <v>0</v>
      </c>
      <c r="L217" s="151">
        <f>-L$7*$E$217*MAX(L216-Inputs!$E$14*$G$213,0)</f>
        <v>0</v>
      </c>
      <c r="M217" s="151">
        <f>-M$7*$E$217*MAX(M216-Inputs!$E$14*$G$213,0)</f>
        <v>0</v>
      </c>
      <c r="N217" s="151">
        <f>-N$7*$E$217*MAX(N216-Inputs!$E$14*$G$213,0)</f>
        <v>0</v>
      </c>
      <c r="O217" s="151">
        <f>-O$7*$E$217*MAX(O216-Inputs!$E$14*$G$213,0)</f>
        <v>0</v>
      </c>
      <c r="P217" s="151">
        <f>-P$7*$E$217*MAX(P216-Inputs!$E$14*$G$213,0)</f>
        <v>0</v>
      </c>
      <c r="Q217" s="151">
        <f>-Q$7*$E$217*MAX(Q216-Inputs!$E$14*$G$213,0)</f>
        <v>0</v>
      </c>
      <c r="R217" s="151">
        <f>-R$7*$E$217*MAX(R216-Inputs!$E$14*$G$213,0)</f>
        <v>0</v>
      </c>
      <c r="S217" s="151">
        <f>-S$7*$E$217*MAX(S216-Inputs!$E$14*$G$213,0)</f>
        <v>0</v>
      </c>
      <c r="T217" s="151">
        <f>-T$7*$E$217*MAX(T216-Inputs!$E$14*$G$213,0)</f>
        <v>0</v>
      </c>
      <c r="U217" s="151">
        <f>-U$7*$E$217*MAX(U216-Inputs!$E$14*$G$213,0)</f>
        <v>0</v>
      </c>
      <c r="V217" s="151">
        <f>-V$7*$E$217*MAX(V216-Inputs!$E$14*$G$213,0)</f>
        <v>0</v>
      </c>
      <c r="W217" s="151">
        <f>-W$7*$E$217*MAX(W216-Inputs!$E$14*$G$213,0)</f>
        <v>0</v>
      </c>
      <c r="X217" s="151">
        <f>-X$7*$E$217*MAX(X216-Inputs!$E$14*$G$213,0)</f>
        <v>0</v>
      </c>
      <c r="Y217" s="151">
        <f>-Y$7*$E$217*MAX(Y216-Inputs!$E$14*$G$213,0)</f>
        <v>0</v>
      </c>
      <c r="Z217" s="151">
        <f>-Z$7*$E$217*MAX(Z216-Inputs!$E$14*$G$213,0)</f>
        <v>0</v>
      </c>
      <c r="AA217" s="151">
        <f>-AA$7*$E$217*MAX(AA216-Inputs!$E$14*$G$213,0)</f>
        <v>0</v>
      </c>
      <c r="AB217" s="151">
        <f>-AB$7*$E$217*MAX(AB216-Inputs!$E$14*$G$213,0)</f>
        <v>0</v>
      </c>
      <c r="AC217" s="151">
        <f>-AC$7*$E$217*MAX(AC216-Inputs!$E$14*$G$213,0)</f>
        <v>0</v>
      </c>
      <c r="AD217" s="151">
        <f>-AD$7*$E$217*MAX(AD216-Inputs!$E$14*$G$213,0)</f>
        <v>0</v>
      </c>
      <c r="AE217" s="151">
        <f>-AE$7*$E$217*MAX(AE216-Inputs!$E$14*$G$213,0)</f>
        <v>0</v>
      </c>
      <c r="AF217" s="151">
        <f>-AF$7*$E$217*MAX(AF216-Inputs!$E$14*$G$213,0)</f>
        <v>0</v>
      </c>
      <c r="AG217" s="151">
        <f>-AG$7*$E$217*MAX(AG216-Inputs!$E$14*$G$213,0)</f>
        <v>0</v>
      </c>
      <c r="AH217" s="151">
        <f>-AH$7*$E$217*MAX(AH216-Inputs!$E$14*$G$213,0)</f>
        <v>0</v>
      </c>
      <c r="AI217" s="151">
        <f>-AI$7*$E$217*MAX(AI216-Inputs!$E$14*$G$213,0)</f>
        <v>0</v>
      </c>
      <c r="AJ217" s="151">
        <f>-AJ$7*$E$217*MAX(AJ216-Inputs!$E$14*$G$213,0)</f>
        <v>0</v>
      </c>
      <c r="AK217" s="151">
        <f>-AK$7*$E$217*MAX(AK216-Inputs!$E$14*$G$213,0)</f>
        <v>0</v>
      </c>
      <c r="AL217" s="151">
        <f>-AL$7*$E$217*MAX(AL216-Inputs!$E$14*$G$213,0)</f>
        <v>0</v>
      </c>
      <c r="AM217" s="151">
        <f>-AM$7*$E$217*MAX(AM216-Inputs!$E$14*$G$213,0)</f>
        <v>0</v>
      </c>
      <c r="AN217" s="151">
        <f>-AN$7*$E$217*MAX(AN216-Inputs!$E$14*$G$213,0)</f>
        <v>0</v>
      </c>
      <c r="AO217" s="151">
        <f>-AO$7*$E$217*MAX(AO216-Inputs!$E$14*$G$213,0)</f>
        <v>0</v>
      </c>
      <c r="AP217" s="151">
        <f>-AP$7*$E$217*MAX(AP216-Inputs!$E$14*$G$213,0)</f>
        <v>0</v>
      </c>
      <c r="AQ217" s="151">
        <f>-AQ$7*$E$217*MAX(AQ216-Inputs!$E$14*$G$213,0)</f>
        <v>0</v>
      </c>
      <c r="AR217" s="151">
        <f>-AR$7*$E$217*MAX(AR216-Inputs!$E$14*$G$213,0)</f>
        <v>0</v>
      </c>
      <c r="AS217" s="151">
        <f>-AS$7*$E$217*MAX(AS216-Inputs!$E$14*$G$213,0)</f>
        <v>0</v>
      </c>
      <c r="AT217" s="151">
        <f>-AT$7*$E$217*MAX(AT216-Inputs!$E$14*$G$213,0)</f>
        <v>-165.78541666666663</v>
      </c>
      <c r="AU217" s="151">
        <f>-AU$7*$E$217*MAX(AU216-Inputs!$E$14*$G$213,0)</f>
        <v>0</v>
      </c>
      <c r="AV217" s="151">
        <f>-AV$7*$E$217*MAX(AV216-Inputs!$E$14*$G$213,0)</f>
        <v>0</v>
      </c>
      <c r="AW217" s="151">
        <f>-AW$7*$E$217*MAX(AW216-Inputs!$E$14*$G$213,0)</f>
        <v>0</v>
      </c>
      <c r="AX217" s="151">
        <f>-AX$7*$E$217*MAX(AX216-Inputs!$E$14*$G$213,0)</f>
        <v>0</v>
      </c>
      <c r="AY217" s="151">
        <f>-AY$7*$E$217*MAX(AY216-Inputs!$E$14*$G$213,0)</f>
        <v>0</v>
      </c>
      <c r="AZ217" s="151">
        <f>-AZ$7*$E$217*MAX(AZ216-Inputs!$E$14*$G$213,0)</f>
        <v>0</v>
      </c>
      <c r="BA217" s="151">
        <f>-BA$7*$E$217*MAX(BA216-Inputs!$E$14*$G$213,0)</f>
        <v>0</v>
      </c>
      <c r="BB217" s="151">
        <f>-BB$7*$E$217*MAX(BB216-Inputs!$E$14*$G$213,0)</f>
        <v>0</v>
      </c>
      <c r="BC217" s="151">
        <f>-BC$7*$E$217*MAX(BC216-Inputs!$E$14*$G$213,0)</f>
        <v>0</v>
      </c>
      <c r="BD217" s="151">
        <f>-BD$7*$E$217*MAX(BD216-Inputs!$E$14*$G$213,0)</f>
        <v>0</v>
      </c>
      <c r="BE217" s="151">
        <f>-BE$7*$E$217*MAX(BE216-Inputs!$E$14*$G$213,0)</f>
        <v>0</v>
      </c>
      <c r="BF217" s="151">
        <f>-BF$7*$E$217*MAX(BF216-Inputs!$E$14*$G$213,0)</f>
        <v>0</v>
      </c>
      <c r="BG217" s="151">
        <f>-BG$7*$E$217*MAX(BG216-Inputs!$E$14*$G$213,0)</f>
        <v>0</v>
      </c>
      <c r="BH217" s="151">
        <f>-BH$7*$E$217*MAX(BH216-Inputs!$E$14*$G$213,0)</f>
        <v>0</v>
      </c>
      <c r="BI217" s="151">
        <f>-BI$7*$E$217*MAX(BI216-Inputs!$E$14*$G$213,0)</f>
        <v>0</v>
      </c>
      <c r="BJ217" s="151">
        <f>-BJ$7*$E$217*MAX(BJ216-Inputs!$E$14*$G$213,0)</f>
        <v>0</v>
      </c>
      <c r="BK217" s="151">
        <f>-BK$7*$E$217*MAX(BK216-Inputs!$E$14*$G$213,0)</f>
        <v>0</v>
      </c>
      <c r="BL217" s="151">
        <f>-BL$7*$E$217*MAX(BL216-Inputs!$E$14*$G$213,0)</f>
        <v>0</v>
      </c>
      <c r="BM217" s="151">
        <f>-BM$7*$E$217*MAX(BM216-Inputs!$E$14*$G$213,0)</f>
        <v>0</v>
      </c>
      <c r="BN217" s="151">
        <f>-BN$7*$E$217*MAX(BN216-Inputs!$E$14*$G$213,0)</f>
        <v>0</v>
      </c>
      <c r="BO217" s="151">
        <f>-BO$7*$E$217*MAX(BO216-Inputs!$E$14*$G$213,0)</f>
        <v>0</v>
      </c>
      <c r="BP217" s="151">
        <f>-BP$7*$E$217*MAX(BP216-Inputs!$E$14*$G$213,0)</f>
        <v>0</v>
      </c>
    </row>
    <row r="218" spans="3:68" x14ac:dyDescent="0.25">
      <c r="C218" s="198" t="s">
        <v>1118</v>
      </c>
      <c r="D218" s="198" t="s">
        <v>125</v>
      </c>
      <c r="E218" s="244"/>
      <c r="F218" s="244"/>
      <c r="G218" s="244">
        <f>SUM(H218:BP218)</f>
        <v>3831.7237112192179</v>
      </c>
      <c r="H218" s="244">
        <f t="shared" ref="H218:AM218" si="171">H215+H217</f>
        <v>0</v>
      </c>
      <c r="I218" s="244">
        <f t="shared" si="171"/>
        <v>0</v>
      </c>
      <c r="J218" s="244">
        <f t="shared" si="171"/>
        <v>0</v>
      </c>
      <c r="K218" s="244">
        <f t="shared" si="171"/>
        <v>0</v>
      </c>
      <c r="L218" s="244">
        <f t="shared" si="171"/>
        <v>0</v>
      </c>
      <c r="M218" s="244">
        <f t="shared" si="171"/>
        <v>0</v>
      </c>
      <c r="N218" s="244">
        <f t="shared" si="171"/>
        <v>0</v>
      </c>
      <c r="O218" s="244">
        <f t="shared" si="171"/>
        <v>0</v>
      </c>
      <c r="P218" s="244">
        <f t="shared" si="171"/>
        <v>0</v>
      </c>
      <c r="Q218" s="244">
        <f t="shared" si="171"/>
        <v>0</v>
      </c>
      <c r="R218" s="244">
        <f t="shared" si="171"/>
        <v>0</v>
      </c>
      <c r="S218" s="244">
        <f t="shared" si="171"/>
        <v>0</v>
      </c>
      <c r="T218" s="244">
        <f t="shared" si="171"/>
        <v>0</v>
      </c>
      <c r="U218" s="244">
        <f t="shared" si="171"/>
        <v>0</v>
      </c>
      <c r="V218" s="244">
        <f t="shared" si="171"/>
        <v>0</v>
      </c>
      <c r="W218" s="244">
        <f t="shared" si="171"/>
        <v>0</v>
      </c>
      <c r="X218" s="244">
        <f t="shared" si="171"/>
        <v>0</v>
      </c>
      <c r="Y218" s="244">
        <f t="shared" si="171"/>
        <v>0</v>
      </c>
      <c r="Z218" s="244">
        <f t="shared" si="171"/>
        <v>0</v>
      </c>
      <c r="AA218" s="244">
        <f t="shared" si="171"/>
        <v>0</v>
      </c>
      <c r="AB218" s="244">
        <f t="shared" si="171"/>
        <v>0</v>
      </c>
      <c r="AC218" s="244">
        <f t="shared" si="171"/>
        <v>0</v>
      </c>
      <c r="AD218" s="244">
        <f t="shared" si="171"/>
        <v>0</v>
      </c>
      <c r="AE218" s="244">
        <f t="shared" si="171"/>
        <v>0</v>
      </c>
      <c r="AF218" s="244">
        <f t="shared" si="171"/>
        <v>0</v>
      </c>
      <c r="AG218" s="244">
        <f t="shared" si="171"/>
        <v>0</v>
      </c>
      <c r="AH218" s="244">
        <f t="shared" si="171"/>
        <v>0</v>
      </c>
      <c r="AI218" s="244">
        <f t="shared" si="171"/>
        <v>0</v>
      </c>
      <c r="AJ218" s="244">
        <f t="shared" si="171"/>
        <v>0</v>
      </c>
      <c r="AK218" s="244">
        <f t="shared" si="171"/>
        <v>0</v>
      </c>
      <c r="AL218" s="244">
        <f t="shared" si="171"/>
        <v>0</v>
      </c>
      <c r="AM218" s="244">
        <f t="shared" si="171"/>
        <v>0</v>
      </c>
      <c r="AN218" s="244">
        <f t="shared" ref="AN218:BP218" si="172">AN215+AN217</f>
        <v>0</v>
      </c>
      <c r="AO218" s="244">
        <f t="shared" si="172"/>
        <v>0</v>
      </c>
      <c r="AP218" s="244">
        <f t="shared" si="172"/>
        <v>0</v>
      </c>
      <c r="AQ218" s="244">
        <f t="shared" si="172"/>
        <v>0</v>
      </c>
      <c r="AR218" s="244">
        <f t="shared" si="172"/>
        <v>0</v>
      </c>
      <c r="AS218" s="244">
        <f t="shared" si="172"/>
        <v>0</v>
      </c>
      <c r="AT218" s="244">
        <f t="shared" si="172"/>
        <v>3831.7237112192179</v>
      </c>
      <c r="AU218" s="244">
        <f t="shared" si="172"/>
        <v>0</v>
      </c>
      <c r="AV218" s="244">
        <f t="shared" si="172"/>
        <v>0</v>
      </c>
      <c r="AW218" s="244">
        <f t="shared" si="172"/>
        <v>0</v>
      </c>
      <c r="AX218" s="244">
        <f t="shared" si="172"/>
        <v>0</v>
      </c>
      <c r="AY218" s="244">
        <f t="shared" si="172"/>
        <v>0</v>
      </c>
      <c r="AZ218" s="244">
        <f t="shared" si="172"/>
        <v>0</v>
      </c>
      <c r="BA218" s="244">
        <f t="shared" si="172"/>
        <v>0</v>
      </c>
      <c r="BB218" s="244">
        <f t="shared" si="172"/>
        <v>0</v>
      </c>
      <c r="BC218" s="244">
        <f t="shared" si="172"/>
        <v>0</v>
      </c>
      <c r="BD218" s="244">
        <f t="shared" si="172"/>
        <v>0</v>
      </c>
      <c r="BE218" s="244">
        <f t="shared" si="172"/>
        <v>0</v>
      </c>
      <c r="BF218" s="244">
        <f t="shared" si="172"/>
        <v>0</v>
      </c>
      <c r="BG218" s="244">
        <f t="shared" si="172"/>
        <v>0</v>
      </c>
      <c r="BH218" s="244">
        <f t="shared" si="172"/>
        <v>0</v>
      </c>
      <c r="BI218" s="244">
        <f t="shared" si="172"/>
        <v>0</v>
      </c>
      <c r="BJ218" s="244">
        <f t="shared" si="172"/>
        <v>0</v>
      </c>
      <c r="BK218" s="244">
        <f t="shared" si="172"/>
        <v>0</v>
      </c>
      <c r="BL218" s="244">
        <f t="shared" si="172"/>
        <v>0</v>
      </c>
      <c r="BM218" s="244">
        <f t="shared" si="172"/>
        <v>0</v>
      </c>
      <c r="BN218" s="244">
        <f t="shared" si="172"/>
        <v>0</v>
      </c>
      <c r="BO218" s="244">
        <f t="shared" si="172"/>
        <v>0</v>
      </c>
      <c r="BP218" s="244">
        <f t="shared" si="172"/>
        <v>0</v>
      </c>
    </row>
    <row r="219" spans="3:68" x14ac:dyDescent="0.25">
      <c r="C219" t="s">
        <v>1119</v>
      </c>
      <c r="D219" t="s">
        <v>125</v>
      </c>
      <c r="E219" s="151"/>
      <c r="F219" s="151"/>
      <c r="G219" s="151"/>
      <c r="H219" s="151">
        <f>H218</f>
        <v>0</v>
      </c>
      <c r="I219" s="151">
        <f t="shared" ref="I219:AN219" si="173">H219+I218</f>
        <v>0</v>
      </c>
      <c r="J219" s="151">
        <f t="shared" si="173"/>
        <v>0</v>
      </c>
      <c r="K219" s="151">
        <f t="shared" si="173"/>
        <v>0</v>
      </c>
      <c r="L219" s="151">
        <f t="shared" si="173"/>
        <v>0</v>
      </c>
      <c r="M219" s="151">
        <f t="shared" si="173"/>
        <v>0</v>
      </c>
      <c r="N219" s="151">
        <f t="shared" si="173"/>
        <v>0</v>
      </c>
      <c r="O219" s="151">
        <f t="shared" si="173"/>
        <v>0</v>
      </c>
      <c r="P219" s="151">
        <f t="shared" si="173"/>
        <v>0</v>
      </c>
      <c r="Q219" s="151">
        <f t="shared" si="173"/>
        <v>0</v>
      </c>
      <c r="R219" s="151">
        <f t="shared" si="173"/>
        <v>0</v>
      </c>
      <c r="S219" s="151">
        <f t="shared" si="173"/>
        <v>0</v>
      </c>
      <c r="T219" s="151">
        <f t="shared" si="173"/>
        <v>0</v>
      </c>
      <c r="U219" s="151">
        <f t="shared" si="173"/>
        <v>0</v>
      </c>
      <c r="V219" s="151">
        <f t="shared" si="173"/>
        <v>0</v>
      </c>
      <c r="W219" s="151">
        <f t="shared" si="173"/>
        <v>0</v>
      </c>
      <c r="X219" s="151">
        <f t="shared" si="173"/>
        <v>0</v>
      </c>
      <c r="Y219" s="151">
        <f t="shared" si="173"/>
        <v>0</v>
      </c>
      <c r="Z219" s="151">
        <f t="shared" si="173"/>
        <v>0</v>
      </c>
      <c r="AA219" s="151">
        <f t="shared" si="173"/>
        <v>0</v>
      </c>
      <c r="AB219" s="151">
        <f t="shared" si="173"/>
        <v>0</v>
      </c>
      <c r="AC219" s="151">
        <f t="shared" si="173"/>
        <v>0</v>
      </c>
      <c r="AD219" s="151">
        <f t="shared" si="173"/>
        <v>0</v>
      </c>
      <c r="AE219" s="151">
        <f t="shared" si="173"/>
        <v>0</v>
      </c>
      <c r="AF219" s="151">
        <f t="shared" si="173"/>
        <v>0</v>
      </c>
      <c r="AG219" s="151">
        <f t="shared" si="173"/>
        <v>0</v>
      </c>
      <c r="AH219" s="151">
        <f t="shared" si="173"/>
        <v>0</v>
      </c>
      <c r="AI219" s="151">
        <f t="shared" si="173"/>
        <v>0</v>
      </c>
      <c r="AJ219" s="151">
        <f t="shared" si="173"/>
        <v>0</v>
      </c>
      <c r="AK219" s="151">
        <f t="shared" si="173"/>
        <v>0</v>
      </c>
      <c r="AL219" s="151">
        <f t="shared" si="173"/>
        <v>0</v>
      </c>
      <c r="AM219" s="151">
        <f t="shared" si="173"/>
        <v>0</v>
      </c>
      <c r="AN219" s="151">
        <f t="shared" si="173"/>
        <v>0</v>
      </c>
      <c r="AO219" s="151">
        <f t="shared" ref="AO219:BP219" si="174">AN219+AO218</f>
        <v>0</v>
      </c>
      <c r="AP219" s="151">
        <f t="shared" si="174"/>
        <v>0</v>
      </c>
      <c r="AQ219" s="151">
        <f t="shared" si="174"/>
        <v>0</v>
      </c>
      <c r="AR219" s="151">
        <f t="shared" si="174"/>
        <v>0</v>
      </c>
      <c r="AS219" s="151">
        <f t="shared" si="174"/>
        <v>0</v>
      </c>
      <c r="AT219" s="151">
        <f t="shared" si="174"/>
        <v>3831.7237112192179</v>
      </c>
      <c r="AU219" s="151">
        <f t="shared" si="174"/>
        <v>3831.7237112192179</v>
      </c>
      <c r="AV219" s="151">
        <f t="shared" si="174"/>
        <v>3831.7237112192179</v>
      </c>
      <c r="AW219" s="151">
        <f t="shared" si="174"/>
        <v>3831.7237112192179</v>
      </c>
      <c r="AX219" s="151">
        <f t="shared" si="174"/>
        <v>3831.7237112192179</v>
      </c>
      <c r="AY219" s="151">
        <f t="shared" si="174"/>
        <v>3831.7237112192179</v>
      </c>
      <c r="AZ219" s="151">
        <f t="shared" si="174"/>
        <v>3831.7237112192179</v>
      </c>
      <c r="BA219" s="151">
        <f t="shared" si="174"/>
        <v>3831.7237112192179</v>
      </c>
      <c r="BB219" s="151">
        <f t="shared" si="174"/>
        <v>3831.7237112192179</v>
      </c>
      <c r="BC219" s="151">
        <f t="shared" si="174"/>
        <v>3831.7237112192179</v>
      </c>
      <c r="BD219" s="151">
        <f t="shared" si="174"/>
        <v>3831.7237112192179</v>
      </c>
      <c r="BE219" s="151">
        <f t="shared" si="174"/>
        <v>3831.7237112192179</v>
      </c>
      <c r="BF219" s="151">
        <f t="shared" si="174"/>
        <v>3831.7237112192179</v>
      </c>
      <c r="BG219" s="151">
        <f t="shared" si="174"/>
        <v>3831.7237112192179</v>
      </c>
      <c r="BH219" s="151">
        <f t="shared" si="174"/>
        <v>3831.7237112192179</v>
      </c>
      <c r="BI219" s="151">
        <f t="shared" si="174"/>
        <v>3831.7237112192179</v>
      </c>
      <c r="BJ219" s="151">
        <f t="shared" si="174"/>
        <v>3831.7237112192179</v>
      </c>
      <c r="BK219" s="151">
        <f t="shared" si="174"/>
        <v>3831.7237112192179</v>
      </c>
      <c r="BL219" s="151">
        <f t="shared" si="174"/>
        <v>3831.7237112192179</v>
      </c>
      <c r="BM219" s="151">
        <f t="shared" si="174"/>
        <v>3831.7237112192179</v>
      </c>
      <c r="BN219" s="151">
        <f t="shared" si="174"/>
        <v>3831.7237112192179</v>
      </c>
      <c r="BO219" s="151">
        <f t="shared" si="174"/>
        <v>3831.7237112192179</v>
      </c>
      <c r="BP219" s="151">
        <f t="shared" si="174"/>
        <v>3831.7237112192179</v>
      </c>
    </row>
    <row r="220" spans="3:68" x14ac:dyDescent="0.25">
      <c r="C220" t="s">
        <v>1145</v>
      </c>
      <c r="D220" t="s">
        <v>125</v>
      </c>
      <c r="E220" s="151"/>
      <c r="F220" s="151"/>
      <c r="G220" s="151">
        <f>G218</f>
        <v>3831.7237112192179</v>
      </c>
      <c r="H220" s="151"/>
      <c r="I220" s="151"/>
      <c r="J220" s="151"/>
      <c r="K220" s="151"/>
      <c r="L220" s="151"/>
      <c r="M220" s="151"/>
      <c r="N220" s="151"/>
      <c r="O220" s="151"/>
      <c r="P220" s="151"/>
      <c r="Q220" s="151"/>
      <c r="R220" s="151"/>
      <c r="S220" s="151"/>
      <c r="T220" s="151"/>
      <c r="U220" s="151"/>
      <c r="V220" s="151"/>
      <c r="W220" s="151"/>
      <c r="X220" s="151"/>
      <c r="Y220" s="151"/>
      <c r="Z220" s="151"/>
      <c r="AA220" s="151"/>
      <c r="AB220" s="151"/>
      <c r="AC220" s="151"/>
      <c r="AD220" s="151"/>
      <c r="AE220" s="151"/>
      <c r="AF220" s="151"/>
      <c r="AG220" s="151"/>
      <c r="AH220" s="151"/>
      <c r="AI220" s="151"/>
      <c r="AJ220" s="151"/>
      <c r="AK220" s="151"/>
      <c r="AL220" s="151"/>
      <c r="AM220" s="151"/>
      <c r="AN220" s="151"/>
      <c r="AO220" s="151"/>
      <c r="AP220" s="151"/>
      <c r="AQ220" s="151"/>
      <c r="AR220" s="151"/>
      <c r="AS220" s="151"/>
      <c r="AT220" s="151"/>
      <c r="AU220" s="151"/>
      <c r="AV220" s="151"/>
      <c r="AW220" s="151"/>
      <c r="AX220" s="151"/>
      <c r="AY220" s="151"/>
      <c r="AZ220" s="151"/>
      <c r="BA220" s="151"/>
      <c r="BB220" s="151"/>
      <c r="BC220" s="151"/>
      <c r="BD220" s="151"/>
      <c r="BE220" s="151"/>
      <c r="BF220" s="151"/>
      <c r="BG220" s="151"/>
      <c r="BH220" s="151"/>
      <c r="BI220" s="151"/>
      <c r="BJ220" s="151"/>
      <c r="BK220" s="151"/>
      <c r="BL220" s="151"/>
      <c r="BM220" s="151"/>
      <c r="BN220" s="151"/>
      <c r="BO220" s="151"/>
      <c r="BP220" s="151"/>
    </row>
    <row r="221" spans="3:68" x14ac:dyDescent="0.25">
      <c r="C221" t="s">
        <v>1146</v>
      </c>
      <c r="D221" t="s">
        <v>7</v>
      </c>
      <c r="E221" s="151"/>
      <c r="F221" s="151"/>
      <c r="G221" s="155" t="str">
        <f>IF(-G208&lt;=0,"n/a",(G214+G217)/-G208)</f>
        <v>n/a</v>
      </c>
      <c r="H221" s="151"/>
      <c r="I221" s="151"/>
      <c r="J221" s="151"/>
      <c r="K221" s="151"/>
      <c r="L221" s="151"/>
      <c r="M221" s="151"/>
      <c r="N221" s="151"/>
      <c r="O221" s="151"/>
      <c r="P221" s="151"/>
      <c r="Q221" s="151"/>
      <c r="R221" s="151"/>
      <c r="S221" s="151"/>
      <c r="T221" s="151"/>
      <c r="U221" s="151"/>
      <c r="V221" s="151"/>
      <c r="W221" s="151"/>
      <c r="X221" s="151"/>
      <c r="Y221" s="151"/>
      <c r="Z221" s="151"/>
      <c r="AA221" s="151"/>
      <c r="AB221" s="151"/>
      <c r="AC221" s="151"/>
      <c r="AD221" s="151"/>
      <c r="AE221" s="151"/>
      <c r="AF221" s="151"/>
      <c r="AG221" s="151"/>
      <c r="AH221" s="151"/>
      <c r="AI221" s="151"/>
      <c r="AJ221" s="151"/>
      <c r="AK221" s="151"/>
      <c r="AL221" s="151"/>
      <c r="AM221" s="151"/>
      <c r="AN221" s="151"/>
      <c r="AO221" s="151"/>
      <c r="AP221" s="151"/>
      <c r="AQ221" s="151"/>
      <c r="AR221" s="151"/>
      <c r="AS221" s="151"/>
      <c r="AT221" s="151"/>
      <c r="AU221" s="151"/>
      <c r="AV221" s="151"/>
      <c r="AW221" s="151"/>
      <c r="AX221" s="151"/>
      <c r="AY221" s="151"/>
      <c r="AZ221" s="151"/>
      <c r="BA221" s="151"/>
      <c r="BB221" s="151"/>
      <c r="BC221" s="151"/>
      <c r="BD221" s="151"/>
      <c r="BE221" s="151"/>
      <c r="BF221" s="151"/>
      <c r="BG221" s="151"/>
      <c r="BH221" s="151"/>
      <c r="BI221" s="151"/>
      <c r="BJ221" s="151"/>
      <c r="BK221" s="151"/>
      <c r="BL221" s="151"/>
      <c r="BM221" s="151"/>
      <c r="BN221" s="151"/>
      <c r="BO221" s="151"/>
      <c r="BP221" s="151"/>
    </row>
    <row r="222" spans="3:68" x14ac:dyDescent="0.25">
      <c r="C222" t="s">
        <v>1147</v>
      </c>
      <c r="D222" t="s">
        <v>51</v>
      </c>
      <c r="E222" s="151"/>
      <c r="F222" s="151"/>
      <c r="G222" s="134" t="str">
        <f>IF(-G208&lt;=0,"n/a",IFERROR(XIRR(H218:BP218,H5:BP5),"n/a"))</f>
        <v>n/a</v>
      </c>
      <c r="H222" s="151"/>
      <c r="I222" s="151"/>
      <c r="J222" s="151"/>
      <c r="K222" s="151"/>
      <c r="L222" s="151"/>
      <c r="M222" s="151"/>
      <c r="N222" s="151"/>
      <c r="O222" s="151"/>
      <c r="P222" s="151"/>
      <c r="Q222" s="151"/>
      <c r="R222" s="151"/>
      <c r="S222" s="151"/>
      <c r="T222" s="151"/>
      <c r="U222" s="151"/>
      <c r="V222" s="151"/>
      <c r="W222" s="151"/>
      <c r="X222" s="151"/>
      <c r="Y222" s="151"/>
      <c r="Z222" s="151"/>
      <c r="AA222" s="151"/>
      <c r="AB222" s="151"/>
      <c r="AC222" s="151"/>
      <c r="AD222" s="151"/>
      <c r="AE222" s="151"/>
      <c r="AF222" s="151"/>
      <c r="AG222" s="151"/>
      <c r="AH222" s="151"/>
      <c r="AI222" s="151"/>
      <c r="AJ222" s="151"/>
      <c r="AK222" s="151"/>
      <c r="AL222" s="151"/>
      <c r="AM222" s="151"/>
      <c r="AN222" s="151"/>
      <c r="AO222" s="151"/>
      <c r="AP222" s="151"/>
      <c r="AQ222" s="151"/>
      <c r="AR222" s="151"/>
      <c r="AS222" s="151"/>
      <c r="AT222" s="151"/>
      <c r="AU222" s="151"/>
      <c r="AV222" s="151"/>
      <c r="AW222" s="151"/>
      <c r="AX222" s="151"/>
      <c r="AY222" s="151"/>
      <c r="AZ222" s="151"/>
      <c r="BA222" s="151"/>
      <c r="BB222" s="151"/>
      <c r="BC222" s="151"/>
      <c r="BD222" s="151"/>
      <c r="BE222" s="151"/>
      <c r="BF222" s="151"/>
      <c r="BG222" s="151"/>
      <c r="BH222" s="151"/>
      <c r="BI222" s="151"/>
      <c r="BJ222" s="151"/>
      <c r="BK222" s="151"/>
      <c r="BL222" s="151"/>
      <c r="BM222" s="151"/>
      <c r="BN222" s="151"/>
      <c r="BO222" s="151"/>
      <c r="BP222" s="151"/>
    </row>
    <row r="223" spans="3:68" x14ac:dyDescent="0.25">
      <c r="E223" s="151"/>
      <c r="F223" s="151"/>
      <c r="G223" s="151"/>
      <c r="H223" s="151"/>
      <c r="I223" s="151"/>
      <c r="J223" s="151"/>
      <c r="K223" s="151"/>
      <c r="L223" s="151"/>
      <c r="M223" s="151"/>
      <c r="N223" s="151"/>
      <c r="O223" s="151"/>
      <c r="P223" s="151"/>
      <c r="Q223" s="151"/>
      <c r="R223" s="151"/>
      <c r="S223" s="151"/>
      <c r="T223" s="151"/>
      <c r="U223" s="151"/>
      <c r="V223" s="151"/>
      <c r="W223" s="151"/>
      <c r="X223" s="151"/>
      <c r="Y223" s="151"/>
      <c r="Z223" s="151"/>
      <c r="AA223" s="151"/>
      <c r="AB223" s="151"/>
      <c r="AC223" s="151"/>
      <c r="AD223" s="151"/>
      <c r="AE223" s="151"/>
      <c r="AF223" s="151"/>
      <c r="AG223" s="151"/>
      <c r="AH223" s="151"/>
      <c r="AI223" s="151"/>
      <c r="AJ223" s="151"/>
      <c r="AK223" s="151"/>
      <c r="AL223" s="151"/>
      <c r="AM223" s="151"/>
      <c r="AN223" s="151"/>
      <c r="AO223" s="151"/>
      <c r="AP223" s="151"/>
      <c r="AQ223" s="151"/>
      <c r="AR223" s="151"/>
      <c r="AS223" s="151"/>
      <c r="AT223" s="151"/>
      <c r="AU223" s="151"/>
      <c r="AV223" s="151"/>
      <c r="AW223" s="151"/>
      <c r="AX223" s="151"/>
      <c r="AY223" s="151"/>
      <c r="AZ223" s="151"/>
      <c r="BA223" s="151"/>
      <c r="BB223" s="151"/>
      <c r="BC223" s="151"/>
      <c r="BD223" s="151"/>
      <c r="BE223" s="151"/>
      <c r="BF223" s="151"/>
      <c r="BG223" s="151"/>
      <c r="BH223" s="151"/>
      <c r="BI223" s="151"/>
      <c r="BJ223" s="151"/>
      <c r="BK223" s="151"/>
      <c r="BL223" s="151"/>
      <c r="BM223" s="151"/>
      <c r="BN223" s="151"/>
      <c r="BO223" s="151"/>
      <c r="BP223" s="151"/>
    </row>
    <row r="224" spans="3:68" x14ac:dyDescent="0.25">
      <c r="C224" s="129" t="s">
        <v>1148</v>
      </c>
      <c r="D224" s="129"/>
      <c r="E224" s="252"/>
      <c r="F224" s="252"/>
      <c r="G224" s="252"/>
      <c r="H224" s="252"/>
      <c r="I224" s="252"/>
      <c r="J224" s="252"/>
      <c r="K224" s="252"/>
      <c r="L224" s="252"/>
      <c r="M224" s="252"/>
      <c r="N224" s="252"/>
      <c r="O224" s="252"/>
      <c r="P224" s="252"/>
      <c r="Q224" s="252"/>
      <c r="R224" s="252"/>
      <c r="S224" s="252"/>
      <c r="T224" s="252"/>
      <c r="U224" s="252"/>
      <c r="V224" s="252"/>
      <c r="W224" s="252"/>
      <c r="X224" s="252"/>
      <c r="Y224" s="252"/>
      <c r="Z224" s="252"/>
      <c r="AA224" s="252"/>
      <c r="AB224" s="252"/>
      <c r="AC224" s="252"/>
      <c r="AD224" s="252"/>
      <c r="AE224" s="252"/>
      <c r="AF224" s="252"/>
      <c r="AG224" s="252"/>
      <c r="AH224" s="252"/>
      <c r="AI224" s="252"/>
      <c r="AJ224" s="252"/>
      <c r="AK224" s="252"/>
      <c r="AL224" s="252"/>
      <c r="AM224" s="252"/>
      <c r="AN224" s="252"/>
      <c r="AO224" s="252"/>
      <c r="AP224" s="252"/>
      <c r="AQ224" s="252"/>
      <c r="AR224" s="252"/>
      <c r="AS224" s="252"/>
      <c r="AT224" s="252"/>
      <c r="AU224" s="252"/>
      <c r="AV224" s="252"/>
      <c r="AW224" s="252"/>
      <c r="AX224" s="252"/>
      <c r="AY224" s="252"/>
      <c r="AZ224" s="252"/>
      <c r="BA224" s="252"/>
      <c r="BB224" s="252"/>
      <c r="BC224" s="252"/>
      <c r="BD224" s="252"/>
      <c r="BE224" s="252"/>
      <c r="BF224" s="252"/>
      <c r="BG224" s="252"/>
      <c r="BH224" s="252"/>
      <c r="BI224" s="252"/>
      <c r="BJ224" s="252"/>
      <c r="BK224" s="252"/>
      <c r="BL224" s="252"/>
      <c r="BM224" s="252"/>
      <c r="BN224" s="252"/>
      <c r="BO224" s="252"/>
      <c r="BP224" s="252"/>
    </row>
    <row r="225" spans="3:68" x14ac:dyDescent="0.25">
      <c r="C225" t="s">
        <v>1149</v>
      </c>
      <c r="D225" t="s">
        <v>2</v>
      </c>
      <c r="E225" s="151"/>
      <c r="F225" s="151"/>
      <c r="G225" s="151"/>
      <c r="H225" s="262">
        <f>Dashboard!$E$155</f>
        <v>50</v>
      </c>
      <c r="I225" s="262">
        <f>Dashboard!$F$155</f>
        <v>75</v>
      </c>
      <c r="J225" s="262">
        <f>Dashboard!$G$155</f>
        <v>100</v>
      </c>
      <c r="K225" s="262">
        <f>Dashboard!$H$155</f>
        <v>125</v>
      </c>
      <c r="L225" s="262">
        <f>Dashboard!$I$155</f>
        <v>150</v>
      </c>
      <c r="M225" s="262">
        <f>Dashboard!$J$155</f>
        <v>175</v>
      </c>
      <c r="N225" s="262">
        <f>Dashboard!$K$155</f>
        <v>200</v>
      </c>
      <c r="O225" s="151"/>
      <c r="P225" s="151"/>
      <c r="Q225" s="151"/>
      <c r="R225" s="151"/>
      <c r="S225" s="151"/>
      <c r="T225" s="151"/>
      <c r="U225" s="151"/>
      <c r="V225" s="151"/>
      <c r="W225" s="151"/>
      <c r="X225" s="151"/>
      <c r="Y225" s="151"/>
      <c r="Z225" s="151"/>
      <c r="AA225" s="151"/>
      <c r="AB225" s="151"/>
      <c r="AC225" s="151"/>
      <c r="AD225" s="151"/>
      <c r="AE225" s="151"/>
      <c r="AF225" s="151"/>
      <c r="AG225" s="151"/>
      <c r="AH225" s="151"/>
      <c r="AI225" s="151"/>
      <c r="AJ225" s="151"/>
      <c r="AK225" s="151"/>
      <c r="AL225" s="151"/>
      <c r="AM225" s="151"/>
      <c r="AN225" s="151"/>
      <c r="AO225" s="151"/>
      <c r="AP225" s="151"/>
      <c r="AQ225" s="151"/>
      <c r="AR225" s="151"/>
      <c r="AS225" s="151"/>
      <c r="AT225" s="151"/>
      <c r="AU225" s="151"/>
      <c r="AV225" s="151"/>
      <c r="AW225" s="151"/>
      <c r="AX225" s="151"/>
      <c r="AY225" s="151"/>
      <c r="AZ225" s="151"/>
      <c r="BA225" s="151"/>
      <c r="BB225" s="151"/>
      <c r="BC225" s="151"/>
      <c r="BD225" s="151"/>
      <c r="BE225" s="151"/>
      <c r="BF225" s="151"/>
      <c r="BG225" s="151"/>
      <c r="BH225" s="151"/>
      <c r="BI225" s="151"/>
      <c r="BJ225" s="151"/>
      <c r="BK225" s="151"/>
      <c r="BL225" s="151"/>
      <c r="BM225" s="151"/>
      <c r="BN225" s="151"/>
      <c r="BO225" s="151"/>
      <c r="BP225" s="151"/>
    </row>
    <row r="226" spans="3:68" x14ac:dyDescent="0.25">
      <c r="C226" t="s">
        <v>1087</v>
      </c>
      <c r="D226" t="s">
        <v>125</v>
      </c>
      <c r="E226" s="151"/>
      <c r="F226" s="151"/>
      <c r="G226" s="151"/>
      <c r="H226" s="151">
        <f t="shared" ref="H226:N226" si="175">H225*Dash_MVA</f>
        <v>5000</v>
      </c>
      <c r="I226" s="151">
        <f t="shared" si="175"/>
        <v>7500</v>
      </c>
      <c r="J226" s="151">
        <f t="shared" si="175"/>
        <v>10000</v>
      </c>
      <c r="K226" s="151">
        <f t="shared" si="175"/>
        <v>12500</v>
      </c>
      <c r="L226" s="151">
        <f t="shared" si="175"/>
        <v>15000</v>
      </c>
      <c r="M226" s="151">
        <f t="shared" si="175"/>
        <v>17500</v>
      </c>
      <c r="N226" s="151">
        <f t="shared" si="175"/>
        <v>20000</v>
      </c>
      <c r="O226" s="151"/>
      <c r="P226" s="151"/>
      <c r="Q226" s="151"/>
      <c r="R226" s="151"/>
      <c r="S226" s="151"/>
      <c r="T226" s="151"/>
      <c r="U226" s="151"/>
      <c r="V226" s="151"/>
      <c r="W226" s="151"/>
      <c r="X226" s="151"/>
      <c r="Y226" s="151"/>
      <c r="Z226" s="151"/>
      <c r="AA226" s="151"/>
      <c r="AB226" s="151"/>
      <c r="AC226" s="151"/>
      <c r="AD226" s="151"/>
      <c r="AE226" s="151"/>
      <c r="AF226" s="151"/>
      <c r="AG226" s="151"/>
      <c r="AH226" s="151"/>
      <c r="AI226" s="151"/>
      <c r="AJ226" s="151"/>
      <c r="AK226" s="151"/>
      <c r="AL226" s="151"/>
      <c r="AM226" s="151"/>
      <c r="AN226" s="151"/>
      <c r="AO226" s="151"/>
      <c r="AP226" s="151"/>
      <c r="AQ226" s="151"/>
      <c r="AR226" s="151"/>
      <c r="AS226" s="151"/>
      <c r="AT226" s="151"/>
      <c r="AU226" s="151"/>
      <c r="AV226" s="151"/>
      <c r="AW226" s="151"/>
      <c r="AX226" s="151"/>
      <c r="AY226" s="151"/>
      <c r="AZ226" s="151"/>
      <c r="BA226" s="151"/>
      <c r="BB226" s="151"/>
      <c r="BC226" s="151"/>
      <c r="BD226" s="151"/>
      <c r="BE226" s="151"/>
      <c r="BF226" s="151"/>
      <c r="BG226" s="151"/>
      <c r="BH226" s="151"/>
      <c r="BI226" s="151"/>
      <c r="BJ226" s="151"/>
      <c r="BK226" s="151"/>
      <c r="BL226" s="151"/>
      <c r="BM226" s="151"/>
      <c r="BN226" s="151"/>
      <c r="BO226" s="151"/>
      <c r="BP226" s="151"/>
    </row>
    <row r="227" spans="3:68" x14ac:dyDescent="0.25">
      <c r="C227" t="s">
        <v>1150</v>
      </c>
      <c r="D227" t="s">
        <v>125</v>
      </c>
      <c r="E227" s="151"/>
      <c r="F227" s="151"/>
      <c r="G227" s="151"/>
      <c r="H227" s="151">
        <f t="shared" ref="H227:N227" si="176">$G$144</f>
        <v>20928.58987034432</v>
      </c>
      <c r="I227" s="151">
        <f t="shared" si="176"/>
        <v>20928.58987034432</v>
      </c>
      <c r="J227" s="151">
        <f t="shared" si="176"/>
        <v>20928.58987034432</v>
      </c>
      <c r="K227" s="151">
        <f t="shared" si="176"/>
        <v>20928.58987034432</v>
      </c>
      <c r="L227" s="151">
        <f t="shared" si="176"/>
        <v>20928.58987034432</v>
      </c>
      <c r="M227" s="151">
        <f t="shared" si="176"/>
        <v>20928.58987034432</v>
      </c>
      <c r="N227" s="151">
        <f t="shared" si="176"/>
        <v>20928.58987034432</v>
      </c>
      <c r="O227" s="151"/>
      <c r="P227" s="151"/>
      <c r="Q227" s="151"/>
      <c r="R227" s="151"/>
      <c r="S227" s="151"/>
      <c r="T227" s="151"/>
      <c r="U227" s="151"/>
      <c r="V227" s="151"/>
      <c r="W227" s="151"/>
      <c r="X227" s="151"/>
      <c r="Y227" s="151"/>
      <c r="Z227" s="151"/>
      <c r="AA227" s="151"/>
      <c r="AB227" s="151"/>
      <c r="AC227" s="151"/>
      <c r="AD227" s="151"/>
      <c r="AE227" s="151"/>
      <c r="AF227" s="151"/>
      <c r="AG227" s="151"/>
      <c r="AH227" s="151"/>
      <c r="AI227" s="151"/>
      <c r="AJ227" s="151"/>
      <c r="AK227" s="151"/>
      <c r="AL227" s="151"/>
      <c r="AM227" s="151"/>
      <c r="AN227" s="151"/>
      <c r="AO227" s="151"/>
      <c r="AP227" s="151"/>
      <c r="AQ227" s="151"/>
      <c r="AR227" s="151"/>
      <c r="AS227" s="151"/>
      <c r="AT227" s="151"/>
      <c r="AU227" s="151"/>
      <c r="AV227" s="151"/>
      <c r="AW227" s="151"/>
      <c r="AX227" s="151"/>
      <c r="AY227" s="151"/>
      <c r="AZ227" s="151"/>
      <c r="BA227" s="151"/>
      <c r="BB227" s="151"/>
      <c r="BC227" s="151"/>
      <c r="BD227" s="151"/>
      <c r="BE227" s="151"/>
      <c r="BF227" s="151"/>
      <c r="BG227" s="151"/>
      <c r="BH227" s="151"/>
      <c r="BI227" s="151"/>
      <c r="BJ227" s="151"/>
      <c r="BK227" s="151"/>
      <c r="BL227" s="151"/>
      <c r="BM227" s="151"/>
      <c r="BN227" s="151"/>
      <c r="BO227" s="151"/>
      <c r="BP227" s="151"/>
    </row>
    <row r="228" spans="3:68" x14ac:dyDescent="0.25">
      <c r="C228" t="s">
        <v>1089</v>
      </c>
      <c r="D228" t="s">
        <v>125</v>
      </c>
      <c r="E228" s="151"/>
      <c r="F228" s="151"/>
      <c r="G228" s="151"/>
      <c r="H228" s="151">
        <f t="shared" ref="H228:N228" si="177">H226+H227</f>
        <v>25928.58987034432</v>
      </c>
      <c r="I228" s="151">
        <f t="shared" si="177"/>
        <v>28428.58987034432</v>
      </c>
      <c r="J228" s="151">
        <f t="shared" si="177"/>
        <v>30928.58987034432</v>
      </c>
      <c r="K228" s="151">
        <f t="shared" si="177"/>
        <v>33428.589870344324</v>
      </c>
      <c r="L228" s="151">
        <f t="shared" si="177"/>
        <v>35928.589870344324</v>
      </c>
      <c r="M228" s="151">
        <f t="shared" si="177"/>
        <v>38428.589870344324</v>
      </c>
      <c r="N228" s="151">
        <f t="shared" si="177"/>
        <v>40928.589870344324</v>
      </c>
      <c r="O228" s="151"/>
      <c r="P228" s="151"/>
      <c r="Q228" s="151"/>
      <c r="R228" s="151"/>
      <c r="S228" s="151"/>
      <c r="T228" s="151"/>
      <c r="U228" s="151"/>
      <c r="V228" s="151"/>
      <c r="W228" s="151"/>
      <c r="X228" s="151"/>
      <c r="Y228" s="151"/>
      <c r="Z228" s="151"/>
      <c r="AA228" s="151"/>
      <c r="AB228" s="151"/>
      <c r="AC228" s="151"/>
      <c r="AD228" s="151"/>
      <c r="AE228" s="151"/>
      <c r="AF228" s="151"/>
      <c r="AG228" s="151"/>
      <c r="AH228" s="151"/>
      <c r="AI228" s="151"/>
      <c r="AJ228" s="151"/>
      <c r="AK228" s="151"/>
      <c r="AL228" s="151"/>
      <c r="AM228" s="151"/>
      <c r="AN228" s="151"/>
      <c r="AO228" s="151"/>
      <c r="AP228" s="151"/>
      <c r="AQ228" s="151"/>
      <c r="AR228" s="151"/>
      <c r="AS228" s="151"/>
      <c r="AT228" s="151"/>
      <c r="AU228" s="151"/>
      <c r="AV228" s="151"/>
      <c r="AW228" s="151"/>
      <c r="AX228" s="151"/>
      <c r="AY228" s="151"/>
      <c r="AZ228" s="151"/>
      <c r="BA228" s="151"/>
      <c r="BB228" s="151"/>
      <c r="BC228" s="151"/>
      <c r="BD228" s="151"/>
      <c r="BE228" s="151"/>
      <c r="BF228" s="151"/>
      <c r="BG228" s="151"/>
      <c r="BH228" s="151"/>
      <c r="BI228" s="151"/>
      <c r="BJ228" s="151"/>
      <c r="BK228" s="151"/>
      <c r="BL228" s="151"/>
      <c r="BM228" s="151"/>
      <c r="BN228" s="151"/>
      <c r="BO228" s="151"/>
      <c r="BP228" s="151"/>
    </row>
    <row r="229" spans="3:68" x14ac:dyDescent="0.25">
      <c r="C229" t="s">
        <v>1090</v>
      </c>
      <c r="D229" t="s">
        <v>125</v>
      </c>
      <c r="E229" s="151"/>
      <c r="F229" s="151"/>
      <c r="G229" s="151"/>
      <c r="H229" s="151">
        <f>-MIN(Inputs!$E$26,H228)</f>
        <v>-250</v>
      </c>
      <c r="I229" s="151">
        <f>-MIN(Inputs!$E$26,I228)</f>
        <v>-250</v>
      </c>
      <c r="J229" s="151">
        <f>-MIN(Inputs!$E$26,J228)</f>
        <v>-250</v>
      </c>
      <c r="K229" s="151">
        <f>-MIN(Inputs!$E$26,K228)</f>
        <v>-250</v>
      </c>
      <c r="L229" s="151">
        <f>-MIN(Inputs!$E$26,L228)</f>
        <v>-250</v>
      </c>
      <c r="M229" s="151">
        <f>-MIN(Inputs!$E$26,M228)</f>
        <v>-250</v>
      </c>
      <c r="N229" s="151">
        <f>-MIN(Inputs!$E$26,N228)</f>
        <v>-250</v>
      </c>
      <c r="O229" s="151"/>
      <c r="P229" s="151"/>
      <c r="Q229" s="151"/>
      <c r="R229" s="151"/>
      <c r="S229" s="151"/>
      <c r="T229" s="151"/>
      <c r="U229" s="151"/>
      <c r="V229" s="151"/>
      <c r="W229" s="151"/>
      <c r="X229" s="151"/>
      <c r="Y229" s="151"/>
      <c r="Z229" s="151"/>
      <c r="AA229" s="151"/>
      <c r="AB229" s="151"/>
      <c r="AC229" s="151"/>
      <c r="AD229" s="151"/>
      <c r="AE229" s="151"/>
      <c r="AF229" s="151"/>
      <c r="AG229" s="151"/>
      <c r="AH229" s="151"/>
      <c r="AI229" s="151"/>
      <c r="AJ229" s="151"/>
      <c r="AK229" s="151"/>
      <c r="AL229" s="151"/>
      <c r="AM229" s="151"/>
      <c r="AN229" s="151"/>
      <c r="AO229" s="151"/>
      <c r="AP229" s="151"/>
      <c r="AQ229" s="151"/>
      <c r="AR229" s="151"/>
      <c r="AS229" s="151"/>
      <c r="AT229" s="151"/>
      <c r="AU229" s="151"/>
      <c r="AV229" s="151"/>
      <c r="AW229" s="151"/>
      <c r="AX229" s="151"/>
      <c r="AY229" s="151"/>
      <c r="AZ229" s="151"/>
      <c r="BA229" s="151"/>
      <c r="BB229" s="151"/>
      <c r="BC229" s="151"/>
      <c r="BD229" s="151"/>
      <c r="BE229" s="151"/>
      <c r="BF229" s="151"/>
      <c r="BG229" s="151"/>
      <c r="BH229" s="151"/>
      <c r="BI229" s="151"/>
      <c r="BJ229" s="151"/>
      <c r="BK229" s="151"/>
      <c r="BL229" s="151"/>
      <c r="BM229" s="151"/>
      <c r="BN229" s="151"/>
      <c r="BO229" s="151"/>
      <c r="BP229" s="151"/>
    </row>
    <row r="230" spans="3:68" x14ac:dyDescent="0.25">
      <c r="C230" t="s">
        <v>1151</v>
      </c>
      <c r="D230" t="s">
        <v>125</v>
      </c>
      <c r="E230" s="151"/>
      <c r="F230" s="151"/>
      <c r="G230" s="151"/>
      <c r="H230" s="151">
        <f>-MIN(($G$110+$G$117)+Deposits!$Y$23,SUM(H228:H229))</f>
        <v>-22239.607256294286</v>
      </c>
      <c r="I230" s="151">
        <f>-MIN(($G$110+$G$117)+Deposits!$Y$23,SUM(I228:I229))</f>
        <v>-22239.607256294286</v>
      </c>
      <c r="J230" s="151">
        <f>-MIN(($G$110+$G$117)+Deposits!$Y$23,SUM(J228:J229))</f>
        <v>-22239.607256294286</v>
      </c>
      <c r="K230" s="151">
        <f>-MIN(($G$110+$G$117)+Deposits!$Y$23,SUM(K228:K229))</f>
        <v>-22239.607256294286</v>
      </c>
      <c r="L230" s="151">
        <f>-MIN(($G$110+$G$117)+Deposits!$Y$23,SUM(L228:L229))</f>
        <v>-22239.607256294286</v>
      </c>
      <c r="M230" s="151">
        <f>-MIN(($G$110+$G$117)+Deposits!$Y$23,SUM(M228:M229))</f>
        <v>-22239.607256294286</v>
      </c>
      <c r="N230" s="151">
        <f>-MIN(($G$110+$G$117)+Deposits!$Y$23,SUM(N228:N229))</f>
        <v>-22239.607256294286</v>
      </c>
      <c r="O230" s="151"/>
      <c r="P230" s="151"/>
      <c r="Q230" s="151"/>
      <c r="R230" s="151"/>
      <c r="S230" s="151"/>
      <c r="T230" s="151"/>
      <c r="U230" s="151"/>
      <c r="V230" s="151"/>
      <c r="W230" s="151"/>
      <c r="X230" s="151"/>
      <c r="Y230" s="151"/>
      <c r="Z230" s="151"/>
      <c r="AA230" s="151"/>
      <c r="AB230" s="151"/>
      <c r="AC230" s="151"/>
      <c r="AD230" s="151"/>
      <c r="AE230" s="151"/>
      <c r="AF230" s="151"/>
      <c r="AG230" s="151"/>
      <c r="AH230" s="151"/>
      <c r="AI230" s="151"/>
      <c r="AJ230" s="151"/>
      <c r="AK230" s="151"/>
      <c r="AL230" s="151"/>
      <c r="AM230" s="151"/>
      <c r="AN230" s="151"/>
      <c r="AO230" s="151"/>
      <c r="AP230" s="151"/>
      <c r="AQ230" s="151"/>
      <c r="AR230" s="151"/>
      <c r="AS230" s="151"/>
      <c r="AT230" s="151"/>
      <c r="AU230" s="151"/>
      <c r="AV230" s="151"/>
      <c r="AW230" s="151"/>
      <c r="AX230" s="151"/>
      <c r="AY230" s="151"/>
      <c r="AZ230" s="151"/>
      <c r="BA230" s="151"/>
      <c r="BB230" s="151"/>
      <c r="BC230" s="151"/>
      <c r="BD230" s="151"/>
      <c r="BE230" s="151"/>
      <c r="BF230" s="151"/>
      <c r="BG230" s="151"/>
      <c r="BH230" s="151"/>
      <c r="BI230" s="151"/>
      <c r="BJ230" s="151"/>
      <c r="BK230" s="151"/>
      <c r="BL230" s="151"/>
      <c r="BM230" s="151"/>
      <c r="BN230" s="151"/>
      <c r="BO230" s="151"/>
      <c r="BP230" s="151"/>
    </row>
    <row r="231" spans="3:68" x14ac:dyDescent="0.25">
      <c r="C231" t="s">
        <v>1152</v>
      </c>
      <c r="D231" t="s">
        <v>125</v>
      </c>
      <c r="E231" s="151"/>
      <c r="F231" s="151"/>
      <c r="G231" s="151"/>
      <c r="H231" s="151">
        <f>-MIN(IF(Inputs!$E$71=1,-($G$127+$G$137),$G$20),SUM(H228:H230))</f>
        <v>-212.68986486486486</v>
      </c>
      <c r="I231" s="151">
        <f>-MIN(IF(Inputs!$E$71=1,-($G$127+$G$137),$G$20),SUM(I228:I230))</f>
        <v>-212.68986486486486</v>
      </c>
      <c r="J231" s="151">
        <f>-MIN(IF(Inputs!$E$71=1,-($G$127+$G$137),$G$20),SUM(J228:J230))</f>
        <v>-212.68986486486486</v>
      </c>
      <c r="K231" s="151">
        <f>-MIN(IF(Inputs!$E$71=1,-($G$127+$G$137),$G$20),SUM(K228:K230))</f>
        <v>-212.68986486486486</v>
      </c>
      <c r="L231" s="151">
        <f>-MIN(IF(Inputs!$E$71=1,-($G$127+$G$137),$G$20),SUM(L228:L230))</f>
        <v>-212.68986486486486</v>
      </c>
      <c r="M231" s="151">
        <f>-MIN(IF(Inputs!$E$71=1,-($G$127+$G$137),$G$20),SUM(M228:M230))</f>
        <v>-212.68986486486486</v>
      </c>
      <c r="N231" s="151">
        <f>-MIN(IF(Inputs!$E$71=1,-($G$127+$G$137),$G$20),SUM(N228:N230))</f>
        <v>-212.68986486486486</v>
      </c>
      <c r="O231" s="151"/>
      <c r="P231" s="151"/>
      <c r="Q231" s="151"/>
      <c r="R231" s="151"/>
      <c r="S231" s="151"/>
      <c r="T231" s="151"/>
      <c r="U231" s="151"/>
      <c r="V231" s="151"/>
      <c r="W231" s="151"/>
      <c r="X231" s="151"/>
      <c r="Y231" s="151"/>
      <c r="Z231" s="151"/>
      <c r="AA231" s="151"/>
      <c r="AB231" s="151"/>
      <c r="AC231" s="151"/>
      <c r="AD231" s="151"/>
      <c r="AE231" s="151"/>
      <c r="AF231" s="151"/>
      <c r="AG231" s="151"/>
      <c r="AH231" s="151"/>
      <c r="AI231" s="151"/>
      <c r="AJ231" s="151"/>
      <c r="AK231" s="151"/>
      <c r="AL231" s="151"/>
      <c r="AM231" s="151"/>
      <c r="AN231" s="151"/>
      <c r="AO231" s="151"/>
      <c r="AP231" s="151"/>
      <c r="AQ231" s="151"/>
      <c r="AR231" s="151"/>
      <c r="AS231" s="151"/>
      <c r="AT231" s="151"/>
      <c r="AU231" s="151"/>
      <c r="AV231" s="151"/>
      <c r="AW231" s="151"/>
      <c r="AX231" s="151"/>
      <c r="AY231" s="151"/>
      <c r="AZ231" s="151"/>
      <c r="BA231" s="151"/>
      <c r="BB231" s="151"/>
      <c r="BC231" s="151"/>
      <c r="BD231" s="151"/>
      <c r="BE231" s="151"/>
      <c r="BF231" s="151"/>
      <c r="BG231" s="151"/>
      <c r="BH231" s="151"/>
      <c r="BI231" s="151"/>
      <c r="BJ231" s="151"/>
      <c r="BK231" s="151"/>
      <c r="BL231" s="151"/>
      <c r="BM231" s="151"/>
      <c r="BN231" s="151"/>
      <c r="BO231" s="151"/>
      <c r="BP231" s="151"/>
    </row>
    <row r="232" spans="3:68" x14ac:dyDescent="0.25">
      <c r="C232" t="s">
        <v>1153</v>
      </c>
      <c r="D232" t="s">
        <v>125</v>
      </c>
      <c r="E232" s="151"/>
      <c r="F232" s="151"/>
      <c r="G232" s="151"/>
      <c r="H232" s="151">
        <f>-MIN($G$131+Deposits!$Y$24+Deposits!$Y$22,SUM(H228:H231))</f>
        <v>-2480.1465821581501</v>
      </c>
      <c r="I232" s="151">
        <f>-MIN($G$131+Deposits!$Y$24+Deposits!$Y$22,SUM(I228:I231))</f>
        <v>-2480.1465821581501</v>
      </c>
      <c r="J232" s="151">
        <f>-MIN($G$131+Deposits!$Y$24+Deposits!$Y$22,SUM(J228:J231))</f>
        <v>-2480.1465821581501</v>
      </c>
      <c r="K232" s="151">
        <f>-MIN($G$131+Deposits!$Y$24+Deposits!$Y$22,SUM(K228:K231))</f>
        <v>-2480.1465821581501</v>
      </c>
      <c r="L232" s="151">
        <f>-MIN($G$131+Deposits!$Y$24+Deposits!$Y$22,SUM(L228:L231))</f>
        <v>-2480.1465821581501</v>
      </c>
      <c r="M232" s="151">
        <f>-MIN($G$131+Deposits!$Y$24+Deposits!$Y$22,SUM(M228:M231))</f>
        <v>-2480.1465821581501</v>
      </c>
      <c r="N232" s="151">
        <f>-MIN($G$131+Deposits!$Y$24+Deposits!$Y$22,SUM(N228:N231))</f>
        <v>-2480.1465821581501</v>
      </c>
      <c r="O232" s="151"/>
      <c r="P232" s="151"/>
      <c r="Q232" s="151"/>
      <c r="R232" s="151"/>
      <c r="S232" s="151"/>
      <c r="T232" s="151"/>
      <c r="U232" s="151"/>
      <c r="V232" s="151"/>
      <c r="W232" s="151"/>
      <c r="X232" s="151"/>
      <c r="Y232" s="151"/>
      <c r="Z232" s="151"/>
      <c r="AA232" s="151"/>
      <c r="AB232" s="151"/>
      <c r="AC232" s="151"/>
      <c r="AD232" s="151"/>
      <c r="AE232" s="151"/>
      <c r="AF232" s="151"/>
      <c r="AG232" s="151"/>
      <c r="AH232" s="151"/>
      <c r="AI232" s="151"/>
      <c r="AJ232" s="151"/>
      <c r="AK232" s="151"/>
      <c r="AL232" s="151"/>
      <c r="AM232" s="151"/>
      <c r="AN232" s="151"/>
      <c r="AO232" s="151"/>
      <c r="AP232" s="151"/>
      <c r="AQ232" s="151"/>
      <c r="AR232" s="151"/>
      <c r="AS232" s="151"/>
      <c r="AT232" s="151"/>
      <c r="AU232" s="151"/>
      <c r="AV232" s="151"/>
      <c r="AW232" s="151"/>
      <c r="AX232" s="151"/>
      <c r="AY232" s="151"/>
      <c r="AZ232" s="151"/>
      <c r="BA232" s="151"/>
      <c r="BB232" s="151"/>
      <c r="BC232" s="151"/>
      <c r="BD232" s="151"/>
      <c r="BE232" s="151"/>
      <c r="BF232" s="151"/>
      <c r="BG232" s="151"/>
      <c r="BH232" s="151"/>
      <c r="BI232" s="151"/>
      <c r="BJ232" s="151"/>
      <c r="BK232" s="151"/>
      <c r="BL232" s="151"/>
      <c r="BM232" s="151"/>
      <c r="BN232" s="151"/>
      <c r="BO232" s="151"/>
      <c r="BP232" s="151"/>
    </row>
    <row r="233" spans="3:68" x14ac:dyDescent="0.25">
      <c r="C233" t="s">
        <v>1095</v>
      </c>
      <c r="D233" t="s">
        <v>125</v>
      </c>
      <c r="E233" s="151"/>
      <c r="F233" s="151"/>
      <c r="G233" s="151"/>
      <c r="H233" s="151">
        <f t="shared" ref="H233:N233" si="178">-MIN($G$25,SUM(H228:H232))</f>
        <v>-746.14616702701869</v>
      </c>
      <c r="I233" s="151">
        <f t="shared" si="178"/>
        <v>-1105.2361111111111</v>
      </c>
      <c r="J233" s="151">
        <f t="shared" si="178"/>
        <v>-1105.2361111111111</v>
      </c>
      <c r="K233" s="151">
        <f t="shared" si="178"/>
        <v>-1105.2361111111111</v>
      </c>
      <c r="L233" s="151">
        <f t="shared" si="178"/>
        <v>-1105.2361111111111</v>
      </c>
      <c r="M233" s="151">
        <f t="shared" si="178"/>
        <v>-1105.2361111111111</v>
      </c>
      <c r="N233" s="151">
        <f t="shared" si="178"/>
        <v>-1105.2361111111111</v>
      </c>
      <c r="O233" s="151"/>
      <c r="P233" s="151"/>
      <c r="Q233" s="151"/>
      <c r="R233" s="151"/>
      <c r="S233" s="151"/>
      <c r="T233" s="151"/>
      <c r="U233" s="151"/>
      <c r="V233" s="151"/>
      <c r="W233" s="151"/>
      <c r="X233" s="151"/>
      <c r="Y233" s="151"/>
      <c r="Z233" s="151"/>
      <c r="AA233" s="151"/>
      <c r="AB233" s="151"/>
      <c r="AC233" s="151"/>
      <c r="AD233" s="151"/>
      <c r="AE233" s="151"/>
      <c r="AF233" s="151"/>
      <c r="AG233" s="151"/>
      <c r="AH233" s="151"/>
      <c r="AI233" s="151"/>
      <c r="AJ233" s="151"/>
      <c r="AK233" s="151"/>
      <c r="AL233" s="151"/>
      <c r="AM233" s="151"/>
      <c r="AN233" s="151"/>
      <c r="AO233" s="151"/>
      <c r="AP233" s="151"/>
      <c r="AQ233" s="151"/>
      <c r="AR233" s="151"/>
      <c r="AS233" s="151"/>
      <c r="AT233" s="151"/>
      <c r="AU233" s="151"/>
      <c r="AV233" s="151"/>
      <c r="AW233" s="151"/>
      <c r="AX233" s="151"/>
      <c r="AY233" s="151"/>
      <c r="AZ233" s="151"/>
      <c r="BA233" s="151"/>
      <c r="BB233" s="151"/>
      <c r="BC233" s="151"/>
      <c r="BD233" s="151"/>
      <c r="BE233" s="151"/>
      <c r="BF233" s="151"/>
      <c r="BG233" s="151"/>
      <c r="BH233" s="151"/>
      <c r="BI233" s="151"/>
      <c r="BJ233" s="151"/>
      <c r="BK233" s="151"/>
      <c r="BL233" s="151"/>
      <c r="BM233" s="151"/>
      <c r="BN233" s="151"/>
      <c r="BO233" s="151"/>
      <c r="BP233" s="151"/>
    </row>
    <row r="234" spans="3:68" x14ac:dyDescent="0.25">
      <c r="C234" t="s">
        <v>1096</v>
      </c>
      <c r="D234" t="s">
        <v>125</v>
      </c>
      <c r="E234" s="151"/>
      <c r="F234" s="151"/>
      <c r="G234" s="151"/>
      <c r="H234" s="151">
        <f t="shared" ref="H234:N234" si="179">MAX(SUM(H228:H233),0)</f>
        <v>0</v>
      </c>
      <c r="I234" s="151">
        <f t="shared" si="179"/>
        <v>2140.9100559159078</v>
      </c>
      <c r="J234" s="151">
        <f t="shared" si="179"/>
        <v>4640.9100559159069</v>
      </c>
      <c r="K234" s="151">
        <f t="shared" si="179"/>
        <v>7140.9100559159106</v>
      </c>
      <c r="L234" s="151">
        <f t="shared" si="179"/>
        <v>9640.9100559159106</v>
      </c>
      <c r="M234" s="151">
        <f t="shared" si="179"/>
        <v>12140.910055915911</v>
      </c>
      <c r="N234" s="151">
        <f t="shared" si="179"/>
        <v>14640.910055915912</v>
      </c>
      <c r="O234" s="151"/>
      <c r="P234" s="151"/>
      <c r="Q234" s="151"/>
      <c r="R234" s="151"/>
      <c r="S234" s="151"/>
      <c r="T234" s="151"/>
      <c r="U234" s="151"/>
      <c r="V234" s="151"/>
      <c r="W234" s="151"/>
      <c r="X234" s="151"/>
      <c r="Y234" s="151"/>
      <c r="Z234" s="151"/>
      <c r="AA234" s="151"/>
      <c r="AB234" s="151"/>
      <c r="AC234" s="151"/>
      <c r="AD234" s="151"/>
      <c r="AE234" s="151"/>
      <c r="AF234" s="151"/>
      <c r="AG234" s="151"/>
      <c r="AH234" s="151"/>
      <c r="AI234" s="151"/>
      <c r="AJ234" s="151"/>
      <c r="AK234" s="151"/>
      <c r="AL234" s="151"/>
      <c r="AM234" s="151"/>
      <c r="AN234" s="151"/>
      <c r="AO234" s="151"/>
      <c r="AP234" s="151"/>
      <c r="AQ234" s="151"/>
      <c r="AR234" s="151"/>
      <c r="AS234" s="151"/>
      <c r="AT234" s="151"/>
      <c r="AU234" s="151"/>
      <c r="AV234" s="151"/>
      <c r="AW234" s="151"/>
      <c r="AX234" s="151"/>
      <c r="AY234" s="151"/>
      <c r="AZ234" s="151"/>
      <c r="BA234" s="151"/>
      <c r="BB234" s="151"/>
      <c r="BC234" s="151"/>
      <c r="BD234" s="151"/>
      <c r="BE234" s="151"/>
      <c r="BF234" s="151"/>
      <c r="BG234" s="151"/>
      <c r="BH234" s="151"/>
      <c r="BI234" s="151"/>
      <c r="BJ234" s="151"/>
      <c r="BK234" s="151"/>
      <c r="BL234" s="151"/>
      <c r="BM234" s="151"/>
      <c r="BN234" s="151"/>
      <c r="BO234" s="151"/>
      <c r="BP234" s="151"/>
    </row>
    <row r="235" spans="3:68" x14ac:dyDescent="0.25">
      <c r="C235" t="s">
        <v>1154</v>
      </c>
      <c r="D235" t="s">
        <v>125</v>
      </c>
      <c r="E235" s="151"/>
      <c r="F235" s="151"/>
      <c r="G235" s="151"/>
      <c r="H235" s="151">
        <f>-SUM(H230:H232)*$E$106+H234*Inputs!$E$33</f>
        <v>24932.443703317302</v>
      </c>
      <c r="I235" s="151">
        <f>-SUM(I230:I232)*$E$106+I234*Inputs!$E$33</f>
        <v>26431.080742458438</v>
      </c>
      <c r="J235" s="151">
        <f>-SUM(J230:J232)*$E$106+J234*Inputs!$E$33</f>
        <v>28181.080742458435</v>
      </c>
      <c r="K235" s="151">
        <f>-SUM(K230:K232)*$E$106+K234*Inputs!$E$33</f>
        <v>29931.080742458438</v>
      </c>
      <c r="L235" s="151">
        <f>-SUM(L230:L232)*$E$106+L234*Inputs!$E$33</f>
        <v>31681.080742458438</v>
      </c>
      <c r="M235" s="151">
        <f>-SUM(M230:M232)*$E$106+M234*Inputs!$E$33</f>
        <v>33431.080742458435</v>
      </c>
      <c r="N235" s="151">
        <f>-SUM(N230:N232)*$E$106+N234*Inputs!$E$33</f>
        <v>35181.080742458442</v>
      </c>
      <c r="O235" s="151"/>
      <c r="P235" s="151"/>
      <c r="Q235" s="151"/>
      <c r="R235" s="151"/>
      <c r="S235" s="151"/>
      <c r="T235" s="151"/>
      <c r="U235" s="151"/>
      <c r="V235" s="151"/>
      <c r="W235" s="151"/>
      <c r="X235" s="151"/>
      <c r="Y235" s="151"/>
      <c r="Z235" s="151"/>
      <c r="AA235" s="151"/>
      <c r="AB235" s="151"/>
      <c r="AC235" s="151"/>
      <c r="AD235" s="151"/>
      <c r="AE235" s="151"/>
      <c r="AF235" s="151"/>
      <c r="AG235" s="151"/>
      <c r="AH235" s="151"/>
      <c r="AI235" s="151"/>
      <c r="AJ235" s="151"/>
      <c r="AK235" s="151"/>
      <c r="AL235" s="151"/>
      <c r="AM235" s="151"/>
      <c r="AN235" s="151"/>
      <c r="AO235" s="151"/>
      <c r="AP235" s="151"/>
      <c r="AQ235" s="151"/>
      <c r="AR235" s="151"/>
      <c r="AS235" s="151"/>
      <c r="AT235" s="151"/>
      <c r="AU235" s="151"/>
      <c r="AV235" s="151"/>
      <c r="AW235" s="151"/>
      <c r="AX235" s="151"/>
      <c r="AY235" s="151"/>
      <c r="AZ235" s="151"/>
      <c r="BA235" s="151"/>
      <c r="BB235" s="151"/>
      <c r="BC235" s="151"/>
      <c r="BD235" s="151"/>
      <c r="BE235" s="151"/>
      <c r="BF235" s="151"/>
      <c r="BG235" s="151"/>
      <c r="BH235" s="151"/>
      <c r="BI235" s="151"/>
      <c r="BJ235" s="151"/>
      <c r="BK235" s="151"/>
      <c r="BL235" s="151"/>
      <c r="BM235" s="151"/>
      <c r="BN235" s="151"/>
      <c r="BO235" s="151"/>
      <c r="BP235" s="151"/>
    </row>
    <row r="236" spans="3:68" x14ac:dyDescent="0.25">
      <c r="C236" t="s">
        <v>1155</v>
      </c>
      <c r="D236" t="s">
        <v>125</v>
      </c>
      <c r="E236" s="151"/>
      <c r="F236" s="151"/>
      <c r="G236" s="151"/>
      <c r="H236" s="151">
        <f t="shared" ref="H236:N236" si="180">$G$164+H235</f>
        <v>1459.4267643601415</v>
      </c>
      <c r="I236" s="151">
        <f t="shared" si="180"/>
        <v>2958.063803501278</v>
      </c>
      <c r="J236" s="151">
        <f t="shared" si="180"/>
        <v>4708.0638035012744</v>
      </c>
      <c r="K236" s="151">
        <f t="shared" si="180"/>
        <v>6458.063803501278</v>
      </c>
      <c r="L236" s="151">
        <f t="shared" si="180"/>
        <v>8208.063803501278</v>
      </c>
      <c r="M236" s="151">
        <f t="shared" si="180"/>
        <v>9958.0638035012744</v>
      </c>
      <c r="N236" s="151">
        <f t="shared" si="180"/>
        <v>11708.063803501282</v>
      </c>
      <c r="O236" s="151"/>
      <c r="P236" s="151"/>
      <c r="Q236" s="151"/>
      <c r="R236" s="151"/>
      <c r="S236" s="151"/>
      <c r="T236" s="151"/>
      <c r="U236" s="151"/>
      <c r="V236" s="151"/>
      <c r="W236" s="151"/>
      <c r="X236" s="151"/>
      <c r="Y236" s="151"/>
      <c r="Z236" s="151"/>
      <c r="AA236" s="151"/>
      <c r="AB236" s="151"/>
      <c r="AC236" s="151"/>
      <c r="AD236" s="151"/>
      <c r="AE236" s="151"/>
      <c r="AF236" s="151"/>
      <c r="AG236" s="151"/>
      <c r="AH236" s="151"/>
      <c r="AI236" s="151"/>
      <c r="AJ236" s="151"/>
      <c r="AK236" s="151"/>
      <c r="AL236" s="151"/>
      <c r="AM236" s="151"/>
      <c r="AN236" s="151"/>
      <c r="AO236" s="151"/>
      <c r="AP236" s="151"/>
      <c r="AQ236" s="151"/>
      <c r="AR236" s="151"/>
      <c r="AS236" s="151"/>
      <c r="AT236" s="151"/>
      <c r="AU236" s="151"/>
      <c r="AV236" s="151"/>
      <c r="AW236" s="151"/>
      <c r="AX236" s="151"/>
      <c r="AY236" s="151"/>
      <c r="AZ236" s="151"/>
      <c r="BA236" s="151"/>
      <c r="BB236" s="151"/>
      <c r="BC236" s="151"/>
      <c r="BD236" s="151"/>
      <c r="BE236" s="151"/>
      <c r="BF236" s="151"/>
      <c r="BG236" s="151"/>
      <c r="BH236" s="151"/>
      <c r="BI236" s="151"/>
      <c r="BJ236" s="151"/>
      <c r="BK236" s="151"/>
      <c r="BL236" s="151"/>
      <c r="BM236" s="151"/>
      <c r="BN236" s="151"/>
      <c r="BO236" s="151"/>
      <c r="BP236" s="151"/>
    </row>
    <row r="237" spans="3:68" x14ac:dyDescent="0.25">
      <c r="C237" t="s">
        <v>1156</v>
      </c>
      <c r="D237" t="s">
        <v>125</v>
      </c>
      <c r="E237" s="151"/>
      <c r="F237" s="151"/>
      <c r="G237" s="151"/>
      <c r="H237" s="151">
        <f>-Inputs!$E$12*MAX(H236-Inputs!$E$14*H234*Inputs!$E$33,0)</f>
        <v>-218.91401465402123</v>
      </c>
      <c r="I237" s="151">
        <f>-Inputs!$E$12*MAX(I236-Inputs!$E$14*I234*Inputs!$E$33,0)</f>
        <v>-218.9140146540214</v>
      </c>
      <c r="J237" s="151">
        <f>-Inputs!$E$12*MAX(J236-Inputs!$E$14*J234*Inputs!$E$33,0)</f>
        <v>-218.91401465402095</v>
      </c>
      <c r="K237" s="151">
        <f>-Inputs!$E$12*MAX(K236-Inputs!$E$14*K234*Inputs!$E$33,0)</f>
        <v>-218.91401465402109</v>
      </c>
      <c r="L237" s="151">
        <f>-Inputs!$E$12*MAX(L236-Inputs!$E$14*L234*Inputs!$E$33,0)</f>
        <v>-218.91401465402109</v>
      </c>
      <c r="M237" s="151">
        <f>-Inputs!$E$12*MAX(M236-Inputs!$E$14*M234*Inputs!$E$33,0)</f>
        <v>-218.91401465402069</v>
      </c>
      <c r="N237" s="151">
        <f>-Inputs!$E$12*MAX(N236-Inputs!$E$14*N234*Inputs!$E$33,0)</f>
        <v>-218.91401465402149</v>
      </c>
      <c r="O237" s="151"/>
      <c r="P237" s="151"/>
      <c r="Q237" s="151"/>
      <c r="R237" s="151"/>
      <c r="S237" s="151"/>
      <c r="T237" s="151"/>
      <c r="U237" s="151"/>
      <c r="V237" s="151"/>
      <c r="W237" s="151"/>
      <c r="X237" s="151"/>
      <c r="Y237" s="151"/>
      <c r="Z237" s="151"/>
      <c r="AA237" s="151"/>
      <c r="AB237" s="151"/>
      <c r="AC237" s="151"/>
      <c r="AD237" s="151"/>
      <c r="AE237" s="151"/>
      <c r="AF237" s="151"/>
      <c r="AG237" s="151"/>
      <c r="AH237" s="151"/>
      <c r="AI237" s="151"/>
      <c r="AJ237" s="151"/>
      <c r="AK237" s="151"/>
      <c r="AL237" s="151"/>
      <c r="AM237" s="151"/>
      <c r="AN237" s="151"/>
      <c r="AO237" s="151"/>
      <c r="AP237" s="151"/>
      <c r="AQ237" s="151"/>
      <c r="AR237" s="151"/>
      <c r="AS237" s="151"/>
      <c r="AT237" s="151"/>
      <c r="AU237" s="151"/>
      <c r="AV237" s="151"/>
      <c r="AW237" s="151"/>
      <c r="AX237" s="151"/>
      <c r="AY237" s="151"/>
      <c r="AZ237" s="151"/>
      <c r="BA237" s="151"/>
      <c r="BB237" s="151"/>
      <c r="BC237" s="151"/>
      <c r="BD237" s="151"/>
      <c r="BE237" s="151"/>
      <c r="BF237" s="151"/>
      <c r="BG237" s="151"/>
      <c r="BH237" s="151"/>
      <c r="BI237" s="151"/>
      <c r="BJ237" s="151"/>
      <c r="BK237" s="151"/>
      <c r="BL237" s="151"/>
      <c r="BM237" s="151"/>
      <c r="BN237" s="151"/>
      <c r="BO237" s="151"/>
      <c r="BP237" s="151"/>
    </row>
    <row r="238" spans="3:68" x14ac:dyDescent="0.25">
      <c r="C238" t="s">
        <v>1124</v>
      </c>
      <c r="D238" t="s">
        <v>125</v>
      </c>
      <c r="E238" s="151"/>
      <c r="F238" s="151"/>
      <c r="G238" s="151"/>
      <c r="H238" s="151">
        <f t="shared" ref="H238:N238" si="181">H236+H237</f>
        <v>1240.5127497061203</v>
      </c>
      <c r="I238" s="151">
        <f t="shared" si="181"/>
        <v>2739.1497888472568</v>
      </c>
      <c r="J238" s="151">
        <f t="shared" si="181"/>
        <v>4489.1497888472531</v>
      </c>
      <c r="K238" s="151">
        <f t="shared" si="181"/>
        <v>6239.1497888472568</v>
      </c>
      <c r="L238" s="151">
        <f t="shared" si="181"/>
        <v>7989.1497888472568</v>
      </c>
      <c r="M238" s="151">
        <f t="shared" si="181"/>
        <v>9739.1497888472531</v>
      </c>
      <c r="N238" s="151">
        <f t="shared" si="181"/>
        <v>11489.14978884726</v>
      </c>
      <c r="O238" s="151"/>
      <c r="P238" s="151"/>
      <c r="Q238" s="151"/>
      <c r="R238" s="151"/>
      <c r="S238" s="151"/>
      <c r="T238" s="151"/>
      <c r="U238" s="151"/>
      <c r="V238" s="151"/>
      <c r="W238" s="151"/>
      <c r="X238" s="151"/>
      <c r="Y238" s="151"/>
      <c r="Z238" s="151"/>
      <c r="AA238" s="151"/>
      <c r="AB238" s="151"/>
      <c r="AC238" s="151"/>
      <c r="AD238" s="151"/>
      <c r="AE238" s="151"/>
      <c r="AF238" s="151"/>
      <c r="AG238" s="151"/>
      <c r="AH238" s="151"/>
      <c r="AI238" s="151"/>
      <c r="AJ238" s="151"/>
      <c r="AK238" s="151"/>
      <c r="AL238" s="151"/>
      <c r="AM238" s="151"/>
      <c r="AN238" s="151"/>
      <c r="AO238" s="151"/>
      <c r="AP238" s="151"/>
      <c r="AQ238" s="151"/>
      <c r="AR238" s="151"/>
      <c r="AS238" s="151"/>
      <c r="AT238" s="151"/>
      <c r="AU238" s="151"/>
      <c r="AV238" s="151"/>
      <c r="AW238" s="151"/>
      <c r="AX238" s="151"/>
      <c r="AY238" s="151"/>
      <c r="AZ238" s="151"/>
      <c r="BA238" s="151"/>
      <c r="BB238" s="151"/>
      <c r="BC238" s="151"/>
      <c r="BD238" s="151"/>
      <c r="BE238" s="151"/>
      <c r="BF238" s="151"/>
      <c r="BG238" s="151"/>
      <c r="BH238" s="151"/>
      <c r="BI238" s="151"/>
      <c r="BJ238" s="151"/>
      <c r="BK238" s="151"/>
      <c r="BL238" s="151"/>
      <c r="BM238" s="151"/>
      <c r="BN238" s="151"/>
      <c r="BO238" s="151"/>
      <c r="BP238" s="151"/>
    </row>
    <row r="239" spans="3:68" x14ac:dyDescent="0.25">
      <c r="C239" t="s">
        <v>1124</v>
      </c>
      <c r="D239" t="s">
        <v>169</v>
      </c>
      <c r="E239" s="151"/>
      <c r="F239" s="151"/>
      <c r="G239" s="151"/>
      <c r="H239" s="139">
        <f>H238*Inputs!$E$11/1000</f>
        <v>452.78715364273393</v>
      </c>
      <c r="I239" s="139">
        <f>I238*Inputs!$E$11/1000</f>
        <v>999.78967292924881</v>
      </c>
      <c r="J239" s="139">
        <f>J238*Inputs!$E$11/1000</f>
        <v>1638.5396729292474</v>
      </c>
      <c r="K239" s="139">
        <f>K238*Inputs!$E$11/1000</f>
        <v>2277.2896729292488</v>
      </c>
      <c r="L239" s="139">
        <f>L238*Inputs!$E$11/1000</f>
        <v>2916.0396729292488</v>
      </c>
      <c r="M239" s="139">
        <f>M238*Inputs!$E$11/1000</f>
        <v>3554.7896729292474</v>
      </c>
      <c r="N239" s="139">
        <f>N238*Inputs!$E$11/1000</f>
        <v>4193.5396729292497</v>
      </c>
      <c r="O239" s="151"/>
      <c r="P239" s="151"/>
      <c r="Q239" s="151"/>
      <c r="R239" s="151"/>
      <c r="S239" s="151"/>
      <c r="T239" s="151"/>
      <c r="U239" s="151"/>
      <c r="V239" s="151"/>
      <c r="W239" s="151"/>
      <c r="X239" s="151"/>
      <c r="Y239" s="151"/>
      <c r="Z239" s="151"/>
      <c r="AA239" s="151"/>
      <c r="AB239" s="151"/>
      <c r="AC239" s="151"/>
      <c r="AD239" s="151"/>
      <c r="AE239" s="151"/>
      <c r="AF239" s="151"/>
      <c r="AG239" s="151"/>
      <c r="AH239" s="151"/>
      <c r="AI239" s="151"/>
      <c r="AJ239" s="151"/>
      <c r="AK239" s="151"/>
      <c r="AL239" s="151"/>
      <c r="AM239" s="151"/>
      <c r="AN239" s="151"/>
      <c r="AO239" s="151"/>
      <c r="AP239" s="151"/>
      <c r="AQ239" s="151"/>
      <c r="AR239" s="151"/>
      <c r="AS239" s="151"/>
      <c r="AT239" s="151"/>
      <c r="AU239" s="151"/>
      <c r="AV239" s="151"/>
      <c r="AW239" s="151"/>
      <c r="AX239" s="151"/>
      <c r="AY239" s="151"/>
      <c r="AZ239" s="151"/>
      <c r="BA239" s="151"/>
      <c r="BB239" s="151"/>
      <c r="BC239" s="151"/>
      <c r="BD239" s="151"/>
      <c r="BE239" s="151"/>
      <c r="BF239" s="151"/>
      <c r="BG239" s="151"/>
      <c r="BH239" s="151"/>
      <c r="BI239" s="151"/>
      <c r="BJ239" s="151"/>
      <c r="BK239" s="151"/>
      <c r="BL239" s="151"/>
      <c r="BM239" s="151"/>
      <c r="BN239" s="151"/>
      <c r="BO239" s="151"/>
      <c r="BP239" s="151"/>
    </row>
    <row r="240" spans="3:68" x14ac:dyDescent="0.25">
      <c r="C240" t="s">
        <v>1127</v>
      </c>
      <c r="D240" t="s">
        <v>7</v>
      </c>
      <c r="E240" s="151"/>
      <c r="F240" s="151"/>
      <c r="G240" s="151"/>
      <c r="H240" s="155">
        <f t="shared" ref="H240:N240" si="182">IF($G$164=0,"n/a",(H235+H237)/-$G$164)</f>
        <v>1.0528484579946471</v>
      </c>
      <c r="I240" s="155">
        <f t="shared" si="182"/>
        <v>1.1166935548153252</v>
      </c>
      <c r="J240" s="155">
        <f t="shared" si="182"/>
        <v>1.1912472436125927</v>
      </c>
      <c r="K240" s="155">
        <f t="shared" si="182"/>
        <v>1.2658009324098602</v>
      </c>
      <c r="L240" s="155">
        <f t="shared" si="182"/>
        <v>1.3403546212071278</v>
      </c>
      <c r="M240" s="155">
        <f t="shared" si="182"/>
        <v>1.4149083100043949</v>
      </c>
      <c r="N240" s="155">
        <f t="shared" si="182"/>
        <v>1.4894619988016626</v>
      </c>
      <c r="O240" s="151"/>
      <c r="P240" s="151"/>
      <c r="Q240" s="151"/>
      <c r="R240" s="151"/>
      <c r="S240" s="151"/>
      <c r="T240" s="151"/>
      <c r="U240" s="151"/>
      <c r="V240" s="151"/>
      <c r="W240" s="151"/>
      <c r="X240" s="151"/>
      <c r="Y240" s="151"/>
      <c r="Z240" s="151"/>
      <c r="AA240" s="151"/>
      <c r="AB240" s="151"/>
      <c r="AC240" s="151"/>
      <c r="AD240" s="151"/>
      <c r="AE240" s="151"/>
      <c r="AF240" s="151"/>
      <c r="AG240" s="151"/>
      <c r="AH240" s="151"/>
      <c r="AI240" s="151"/>
      <c r="AJ240" s="151"/>
      <c r="AK240" s="151"/>
      <c r="AL240" s="151"/>
      <c r="AM240" s="151"/>
      <c r="AN240" s="151"/>
      <c r="AO240" s="151"/>
      <c r="AP240" s="151"/>
      <c r="AQ240" s="151"/>
      <c r="AR240" s="151"/>
      <c r="AS240" s="151"/>
      <c r="AT240" s="151"/>
      <c r="AU240" s="151"/>
      <c r="AV240" s="151"/>
      <c r="AW240" s="151"/>
      <c r="AX240" s="151"/>
      <c r="AY240" s="151"/>
      <c r="AZ240" s="151"/>
      <c r="BA240" s="151"/>
      <c r="BB240" s="151"/>
      <c r="BC240" s="151"/>
      <c r="BD240" s="151"/>
      <c r="BE240" s="151"/>
      <c r="BF240" s="151"/>
      <c r="BG240" s="151"/>
      <c r="BH240" s="151"/>
      <c r="BI240" s="151"/>
      <c r="BJ240" s="151"/>
      <c r="BK240" s="151"/>
      <c r="BL240" s="151"/>
      <c r="BM240" s="151"/>
      <c r="BN240" s="151"/>
      <c r="BO240" s="151"/>
      <c r="BP240" s="151"/>
    </row>
    <row r="241" spans="3:68" x14ac:dyDescent="0.25">
      <c r="C241" t="s">
        <v>1157</v>
      </c>
      <c r="D241" t="s">
        <v>51</v>
      </c>
      <c r="E241" s="151"/>
      <c r="F241" s="151"/>
      <c r="G241" s="151"/>
      <c r="H241" s="134">
        <f>IFERROR(XIRR($H245:$BP245,$H$5:$BP$5),"n/a")</f>
        <v>5.8613315224647522E-2</v>
      </c>
      <c r="I241" s="134">
        <f>IFERROR(XIRR($H246:$BP246,$H$5:$BP$5),"n/a")</f>
        <v>0.12784755825996397</v>
      </c>
      <c r="J241" s="134">
        <f>IFERROR(XIRR($H247:$BP247,$H$5:$BP$5),"n/a")</f>
        <v>0.20644926428794866</v>
      </c>
      <c r="K241" s="134">
        <f>IFERROR(XIRR($H248:$BP248,$H$5:$BP$5),"n/a")</f>
        <v>0.28261219859123232</v>
      </c>
      <c r="L241" s="134">
        <f>IFERROR(XIRR($H249:$BP249,$H$5:$BP$5),"n/a")</f>
        <v>0.35636172890663165</v>
      </c>
      <c r="M241" s="134">
        <f>IFERROR(XIRR($H250:$BP250,$H$5:$BP$5),"n/a")</f>
        <v>0.42775611281394954</v>
      </c>
      <c r="N241" s="134">
        <f>IFERROR(XIRR($H251:$BP251,$H$5:$BP$5),"n/a")</f>
        <v>0.49687485098838802</v>
      </c>
      <c r="O241" s="151"/>
      <c r="P241" s="151"/>
      <c r="Q241" s="151"/>
      <c r="R241" s="151"/>
      <c r="S241" s="151"/>
      <c r="T241" s="151"/>
      <c r="U241" s="151"/>
      <c r="V241" s="151"/>
      <c r="W241" s="151"/>
      <c r="X241" s="151"/>
      <c r="Y241" s="151"/>
      <c r="Z241" s="151"/>
      <c r="AA241" s="151"/>
      <c r="AB241" s="151"/>
      <c r="AC241" s="151"/>
      <c r="AD241" s="151"/>
      <c r="AE241" s="151"/>
      <c r="AF241" s="151"/>
      <c r="AG241" s="151"/>
      <c r="AH241" s="151"/>
      <c r="AI241" s="151"/>
      <c r="AJ241" s="151"/>
      <c r="AK241" s="151"/>
      <c r="AL241" s="151"/>
      <c r="AM241" s="151"/>
      <c r="AN241" s="151"/>
      <c r="AO241" s="151"/>
      <c r="AP241" s="151"/>
      <c r="AQ241" s="151"/>
      <c r="AR241" s="151"/>
      <c r="AS241" s="151"/>
      <c r="AT241" s="151"/>
      <c r="AU241" s="151"/>
      <c r="AV241" s="151"/>
      <c r="AW241" s="151"/>
      <c r="AX241" s="151"/>
      <c r="AY241" s="151"/>
      <c r="AZ241" s="151"/>
      <c r="BA241" s="151"/>
      <c r="BB241" s="151"/>
      <c r="BC241" s="151"/>
      <c r="BD241" s="151"/>
      <c r="BE241" s="151"/>
      <c r="BF241" s="151"/>
      <c r="BG241" s="151"/>
      <c r="BH241" s="151"/>
      <c r="BI241" s="151"/>
      <c r="BJ241" s="151"/>
      <c r="BK241" s="151"/>
      <c r="BL241" s="151"/>
      <c r="BM241" s="151"/>
      <c r="BN241" s="151"/>
      <c r="BO241" s="151"/>
      <c r="BP241" s="151"/>
    </row>
    <row r="242" spans="3:68" x14ac:dyDescent="0.25">
      <c r="C242" t="s">
        <v>1158</v>
      </c>
      <c r="D242" t="s">
        <v>125</v>
      </c>
      <c r="E242" s="151"/>
      <c r="F242" s="151"/>
      <c r="G242" s="151"/>
      <c r="H242" s="151">
        <f t="array" ref="H242">SUMPRODUCT($H245:$BP245/(1+Inputs!$E$255)^(($H$5:$BP$5-$H$5)/365))</f>
        <v>-359.56609782210944</v>
      </c>
      <c r="I242" s="151">
        <f t="array" ref="I242">SUMPRODUCT($H246:$BP246/(1+Inputs!$E$255)^(($H$5:$BP$5-$H$5)/365))</f>
        <v>814.64920448770499</v>
      </c>
      <c r="J242" s="151">
        <f t="array" ref="J242">SUMPRODUCT($H247:$BP247/(1+Inputs!$E$255)^(($H$5:$BP$5-$H$5)/365))</f>
        <v>2185.8129521952978</v>
      </c>
      <c r="K242" s="151">
        <f t="array" ref="K242">SUMPRODUCT($H248:$BP248/(1+Inputs!$E$255)^(($H$5:$BP$5-$H$5)/365))</f>
        <v>3556.9766999028943</v>
      </c>
      <c r="L242" s="151">
        <f t="array" ref="L242">SUMPRODUCT($H249:$BP249/(1+Inputs!$E$255)^(($H$5:$BP$5-$H$5)/365))</f>
        <v>4928.1404476104872</v>
      </c>
      <c r="M242" s="151">
        <f t="array" ref="M242">SUMPRODUCT($H250:$BP250/(1+Inputs!$E$255)^(($H$5:$BP$5-$H$5)/365))</f>
        <v>6299.3041953180764</v>
      </c>
      <c r="N242" s="151">
        <f t="array" ref="N242">SUMPRODUCT($H251:$BP251/(1+Inputs!$E$255)^(($H$5:$BP$5-$H$5)/365))</f>
        <v>7670.4679430256729</v>
      </c>
      <c r="O242" s="151"/>
      <c r="P242" s="151"/>
      <c r="Q242" s="151"/>
      <c r="R242" s="151"/>
      <c r="S242" s="151"/>
      <c r="T242" s="151"/>
      <c r="U242" s="151"/>
      <c r="V242" s="151"/>
      <c r="W242" s="151"/>
      <c r="X242" s="151"/>
      <c r="Y242" s="151"/>
      <c r="Z242" s="151"/>
      <c r="AA242" s="151"/>
      <c r="AB242" s="151"/>
      <c r="AC242" s="151"/>
      <c r="AD242" s="151"/>
      <c r="AE242" s="151"/>
      <c r="AF242" s="151"/>
      <c r="AG242" s="151"/>
      <c r="AH242" s="151"/>
      <c r="AI242" s="151"/>
      <c r="AJ242" s="151"/>
      <c r="AK242" s="151"/>
      <c r="AL242" s="151"/>
      <c r="AM242" s="151"/>
      <c r="AN242" s="151"/>
      <c r="AO242" s="151"/>
      <c r="AP242" s="151"/>
      <c r="AQ242" s="151"/>
      <c r="AR242" s="151"/>
      <c r="AS242" s="151"/>
      <c r="AT242" s="151"/>
      <c r="AU242" s="151"/>
      <c r="AV242" s="151"/>
      <c r="AW242" s="151"/>
      <c r="AX242" s="151"/>
      <c r="AY242" s="151"/>
      <c r="AZ242" s="151"/>
      <c r="BA242" s="151"/>
      <c r="BB242" s="151"/>
      <c r="BC242" s="151"/>
      <c r="BD242" s="151"/>
      <c r="BE242" s="151"/>
      <c r="BF242" s="151"/>
      <c r="BG242" s="151"/>
      <c r="BH242" s="151"/>
      <c r="BI242" s="151"/>
      <c r="BJ242" s="151"/>
      <c r="BK242" s="151"/>
      <c r="BL242" s="151"/>
      <c r="BM242" s="151"/>
      <c r="BN242" s="151"/>
      <c r="BO242" s="151"/>
      <c r="BP242" s="151"/>
    </row>
    <row r="243" spans="3:68" x14ac:dyDescent="0.25">
      <c r="C243" t="s">
        <v>1135</v>
      </c>
      <c r="D243" t="s">
        <v>7</v>
      </c>
      <c r="E243" s="151"/>
      <c r="F243" s="151"/>
      <c r="G243" s="151"/>
      <c r="H243" s="155">
        <f t="array" ref="H243">IFERROR(H242/-SUMPRODUCT(($H245:$BP245&lt;0)*$H245:$BP245/(1+Inputs!$E$255)^(($H$5:$BP$5-$H$5)/365)),"n/a")</f>
        <v>-1.8251832614672107E-2</v>
      </c>
      <c r="I243" s="155">
        <f t="array" ref="I243">IFERROR(I242/-SUMPRODUCT(($H246:$BP246&lt;0)*$H246:$BP246/(1+Inputs!$E$255)^(($H$5:$BP$5-$H$5)/365)),"n/a")</f>
        <v>4.1352176999016027E-2</v>
      </c>
      <c r="J243" s="155">
        <f t="array" ref="J243">IFERROR(J242/-SUMPRODUCT(($H247:$BP247&lt;0)*$H247:$BP247/(1+Inputs!$E$255)^(($H$5:$BP$5-$H$5)/365)),"n/a")</f>
        <v>0.11095343073803478</v>
      </c>
      <c r="K243" s="155">
        <f t="array" ref="K243">IFERROR(K242/-SUMPRODUCT(($H248:$BP248&lt;0)*$H248:$BP248/(1+Inputs!$E$255)^(($H$5:$BP$5-$H$5)/365)),"n/a")</f>
        <v>0.18055468447705372</v>
      </c>
      <c r="L243" s="155">
        <f t="array" ref="L243">IFERROR(L242/-SUMPRODUCT(($H249:$BP249&lt;0)*$H249:$BP249/(1+Inputs!$E$255)^(($H$5:$BP$5-$H$5)/365)),"n/a")</f>
        <v>0.25015593821607246</v>
      </c>
      <c r="M243" s="155">
        <f t="array" ref="M243">IFERROR(M242/-SUMPRODUCT(($H250:$BP250&lt;0)*$H250:$BP250/(1+Inputs!$E$255)^(($H$5:$BP$5-$H$5)/365)),"n/a")</f>
        <v>0.31975719195509106</v>
      </c>
      <c r="N243" s="155">
        <f t="array" ref="N243">IFERROR(N242/-SUMPRODUCT(($H251:$BP251&lt;0)*$H251:$BP251/(1+Inputs!$E$255)^(($H$5:$BP$5-$H$5)/365)),"n/a")</f>
        <v>0.38935844569410999</v>
      </c>
      <c r="O243" s="151"/>
      <c r="P243" s="151"/>
      <c r="Q243" s="151"/>
      <c r="R243" s="151"/>
      <c r="S243" s="151"/>
      <c r="T243" s="151"/>
      <c r="U243" s="151"/>
      <c r="V243" s="151"/>
      <c r="W243" s="151"/>
      <c r="X243" s="151"/>
      <c r="Y243" s="151"/>
      <c r="Z243" s="151"/>
      <c r="AA243" s="151"/>
      <c r="AB243" s="151"/>
      <c r="AC243" s="151"/>
      <c r="AD243" s="151"/>
      <c r="AE243" s="151"/>
      <c r="AF243" s="151"/>
      <c r="AG243" s="151"/>
      <c r="AH243" s="151"/>
      <c r="AI243" s="151"/>
      <c r="AJ243" s="151"/>
      <c r="AK243" s="151"/>
      <c r="AL243" s="151"/>
      <c r="AM243" s="151"/>
      <c r="AN243" s="151"/>
      <c r="AO243" s="151"/>
      <c r="AP243" s="151"/>
      <c r="AQ243" s="151"/>
      <c r="AR243" s="151"/>
      <c r="AS243" s="151"/>
      <c r="AT243" s="151"/>
      <c r="AU243" s="151"/>
      <c r="AV243" s="151"/>
      <c r="AW243" s="151"/>
      <c r="AX243" s="151"/>
      <c r="AY243" s="151"/>
      <c r="AZ243" s="151"/>
      <c r="BA243" s="151"/>
      <c r="BB243" s="151"/>
      <c r="BC243" s="151"/>
      <c r="BD243" s="151"/>
      <c r="BE243" s="151"/>
      <c r="BF243" s="151"/>
      <c r="BG243" s="151"/>
      <c r="BH243" s="151"/>
      <c r="BI243" s="151"/>
      <c r="BJ243" s="151"/>
      <c r="BK243" s="151"/>
      <c r="BL243" s="151"/>
      <c r="BM243" s="151"/>
      <c r="BN243" s="151"/>
      <c r="BO243" s="151"/>
      <c r="BP243" s="151"/>
    </row>
    <row r="244" spans="3:68" x14ac:dyDescent="0.25">
      <c r="C244" t="s">
        <v>1159</v>
      </c>
      <c r="E244" s="151"/>
      <c r="F244" s="151"/>
      <c r="G244" s="151"/>
      <c r="H244" s="151"/>
      <c r="I244" s="151"/>
      <c r="J244" s="151"/>
      <c r="K244" s="151"/>
      <c r="L244" s="151"/>
      <c r="M244" s="151"/>
      <c r="N244" s="151"/>
      <c r="O244" s="151"/>
      <c r="P244" s="151"/>
      <c r="Q244" s="151"/>
      <c r="R244" s="151"/>
      <c r="S244" s="151"/>
      <c r="T244" s="151"/>
      <c r="U244" s="151"/>
      <c r="V244" s="151"/>
      <c r="W244" s="151"/>
      <c r="X244" s="151"/>
      <c r="Y244" s="151"/>
      <c r="Z244" s="151"/>
      <c r="AA244" s="151"/>
      <c r="AB244" s="151"/>
      <c r="AC244" s="151"/>
      <c r="AD244" s="151"/>
      <c r="AE244" s="151"/>
      <c r="AF244" s="151"/>
      <c r="AG244" s="151"/>
      <c r="AH244" s="151"/>
      <c r="AI244" s="151"/>
      <c r="AJ244" s="151"/>
      <c r="AK244" s="151"/>
      <c r="AL244" s="151"/>
      <c r="AM244" s="151"/>
      <c r="AN244" s="151"/>
      <c r="AO244" s="151"/>
      <c r="AP244" s="151"/>
      <c r="AQ244" s="151"/>
      <c r="AR244" s="151"/>
      <c r="AS244" s="151"/>
      <c r="AT244" s="151"/>
      <c r="AU244" s="151"/>
      <c r="AV244" s="151"/>
      <c r="AW244" s="151"/>
      <c r="AX244" s="151"/>
      <c r="AY244" s="151"/>
      <c r="AZ244" s="151"/>
      <c r="BA244" s="151"/>
      <c r="BB244" s="151"/>
      <c r="BC244" s="151"/>
      <c r="BD244" s="151"/>
      <c r="BE244" s="151"/>
      <c r="BF244" s="151"/>
      <c r="BG244" s="151"/>
      <c r="BH244" s="151"/>
      <c r="BI244" s="151"/>
      <c r="BJ244" s="151"/>
      <c r="BK244" s="151"/>
      <c r="BL244" s="151"/>
      <c r="BM244" s="151"/>
      <c r="BN244" s="151"/>
      <c r="BO244" s="151"/>
      <c r="BP244" s="151"/>
    </row>
    <row r="245" spans="3:68" x14ac:dyDescent="0.25">
      <c r="C245" t="s">
        <v>1160</v>
      </c>
      <c r="D245" t="s">
        <v>125</v>
      </c>
      <c r="E245" s="151"/>
      <c r="F245" s="151"/>
      <c r="G245" s="151">
        <f t="shared" ref="G245:G251" si="183">SUM(H245:BP245)</f>
        <v>1240.5127497061185</v>
      </c>
      <c r="H245" s="151">
        <f t="shared" ref="H245:AM245" si="184">H$164+H$7*(INDEX($H$235:$N$235,1)+INDEX($H$237:$N$237,1))</f>
        <v>-200</v>
      </c>
      <c r="I245" s="151">
        <f t="shared" si="184"/>
        <v>0</v>
      </c>
      <c r="J245" s="151">
        <f t="shared" si="184"/>
        <v>0</v>
      </c>
      <c r="K245" s="151">
        <f t="shared" si="184"/>
        <v>-102.68367641614219</v>
      </c>
      <c r="L245" s="151">
        <f t="shared" si="184"/>
        <v>-5.8428767123287679</v>
      </c>
      <c r="M245" s="151">
        <f t="shared" si="184"/>
        <v>-1262.091095890411</v>
      </c>
      <c r="N245" s="151">
        <f t="shared" si="184"/>
        <v>-34.079248426508705</v>
      </c>
      <c r="O245" s="151">
        <f t="shared" si="184"/>
        <v>-118.66100518326546</v>
      </c>
      <c r="P245" s="151">
        <f t="shared" si="184"/>
        <v>-228.21438356164384</v>
      </c>
      <c r="Q245" s="151">
        <f t="shared" si="184"/>
        <v>-29.214383561643842</v>
      </c>
      <c r="R245" s="151">
        <f t="shared" si="184"/>
        <v>-29.214383561643842</v>
      </c>
      <c r="S245" s="151">
        <f t="shared" si="184"/>
        <v>-50.836005183265463</v>
      </c>
      <c r="T245" s="151">
        <f t="shared" si="184"/>
        <v>-50.836005183265463</v>
      </c>
      <c r="U245" s="151">
        <f t="shared" si="184"/>
        <v>-29.214383561643842</v>
      </c>
      <c r="V245" s="151">
        <f t="shared" si="184"/>
        <v>-29.214383561643842</v>
      </c>
      <c r="W245" s="151">
        <f t="shared" si="184"/>
        <v>-29.214383561643842</v>
      </c>
      <c r="X245" s="151">
        <f t="shared" si="184"/>
        <v>-49.484653831914116</v>
      </c>
      <c r="Y245" s="151">
        <f t="shared" si="184"/>
        <v>-100.55492410218439</v>
      </c>
      <c r="Z245" s="151">
        <f t="shared" si="184"/>
        <v>-506.58634991575309</v>
      </c>
      <c r="AA245" s="151">
        <f t="shared" si="184"/>
        <v>-144.07924842650871</v>
      </c>
      <c r="AB245" s="151">
        <f t="shared" si="184"/>
        <v>-73.281951129211407</v>
      </c>
      <c r="AC245" s="151">
        <f t="shared" si="184"/>
        <v>-29.268437615697895</v>
      </c>
      <c r="AD245" s="151">
        <f t="shared" si="184"/>
        <v>-29.214383561643842</v>
      </c>
      <c r="AE245" s="151">
        <f t="shared" si="184"/>
        <v>-31.464383561643842</v>
      </c>
      <c r="AF245" s="151">
        <f t="shared" si="184"/>
        <v>-29.214383561643842</v>
      </c>
      <c r="AG245" s="151">
        <f t="shared" si="184"/>
        <v>-110.1514121330724</v>
      </c>
      <c r="AH245" s="151">
        <f t="shared" si="184"/>
        <v>-29.214383561643842</v>
      </c>
      <c r="AI245" s="151">
        <f t="shared" si="184"/>
        <v>-29.214383561643842</v>
      </c>
      <c r="AJ245" s="151">
        <f t="shared" si="184"/>
        <v>-45.43059977786006</v>
      </c>
      <c r="AK245" s="151">
        <f t="shared" si="184"/>
        <v>-170.31821437593035</v>
      </c>
      <c r="AL245" s="151">
        <f t="shared" si="184"/>
        <v>-19539.264703739358</v>
      </c>
      <c r="AM245" s="151">
        <f t="shared" si="184"/>
        <v>-29.214383561643842</v>
      </c>
      <c r="AN245" s="151">
        <f t="shared" ref="AN245:BP245" si="185">AN$164+AN$7*(INDEX($H$235:$N$235,1)+INDEX($H$237:$N$237,1))</f>
        <v>-152.45762680488707</v>
      </c>
      <c r="AO245" s="151">
        <f t="shared" si="185"/>
        <v>-29.214383561643842</v>
      </c>
      <c r="AP245" s="151">
        <f t="shared" si="185"/>
        <v>-29.214383561643842</v>
      </c>
      <c r="AQ245" s="151">
        <f t="shared" si="185"/>
        <v>-29.214383561643842</v>
      </c>
      <c r="AR245" s="151">
        <f t="shared" si="185"/>
        <v>-29.214383561643842</v>
      </c>
      <c r="AS245" s="151">
        <f t="shared" si="185"/>
        <v>-29.214383561643842</v>
      </c>
      <c r="AT245" s="151">
        <f t="shared" si="185"/>
        <v>24684.315305101634</v>
      </c>
      <c r="AU245" s="151">
        <f t="shared" si="185"/>
        <v>0</v>
      </c>
      <c r="AV245" s="151">
        <f t="shared" si="185"/>
        <v>0</v>
      </c>
      <c r="AW245" s="151">
        <f t="shared" si="185"/>
        <v>0</v>
      </c>
      <c r="AX245" s="151">
        <f t="shared" si="185"/>
        <v>0</v>
      </c>
      <c r="AY245" s="151">
        <f t="shared" si="185"/>
        <v>0</v>
      </c>
      <c r="AZ245" s="151">
        <f t="shared" si="185"/>
        <v>0</v>
      </c>
      <c r="BA245" s="151">
        <f t="shared" si="185"/>
        <v>0</v>
      </c>
      <c r="BB245" s="151">
        <f t="shared" si="185"/>
        <v>0</v>
      </c>
      <c r="BC245" s="151">
        <f t="shared" si="185"/>
        <v>0</v>
      </c>
      <c r="BD245" s="151">
        <f t="shared" si="185"/>
        <v>0</v>
      </c>
      <c r="BE245" s="151">
        <f t="shared" si="185"/>
        <v>0</v>
      </c>
      <c r="BF245" s="151">
        <f t="shared" si="185"/>
        <v>0</v>
      </c>
      <c r="BG245" s="151">
        <f t="shared" si="185"/>
        <v>0</v>
      </c>
      <c r="BH245" s="151">
        <f t="shared" si="185"/>
        <v>0</v>
      </c>
      <c r="BI245" s="151">
        <f t="shared" si="185"/>
        <v>0</v>
      </c>
      <c r="BJ245" s="151">
        <f t="shared" si="185"/>
        <v>0</v>
      </c>
      <c r="BK245" s="151">
        <f t="shared" si="185"/>
        <v>0</v>
      </c>
      <c r="BL245" s="151">
        <f t="shared" si="185"/>
        <v>0</v>
      </c>
      <c r="BM245" s="151">
        <f t="shared" si="185"/>
        <v>0</v>
      </c>
      <c r="BN245" s="151">
        <f t="shared" si="185"/>
        <v>0</v>
      </c>
      <c r="BO245" s="151">
        <f t="shared" si="185"/>
        <v>0</v>
      </c>
      <c r="BP245" s="151">
        <f t="shared" si="185"/>
        <v>0</v>
      </c>
    </row>
    <row r="246" spans="3:68" x14ac:dyDescent="0.25">
      <c r="C246" t="s">
        <v>1161</v>
      </c>
      <c r="D246" t="s">
        <v>125</v>
      </c>
      <c r="E246" s="151"/>
      <c r="F246" s="151"/>
      <c r="G246" s="151">
        <f t="shared" si="183"/>
        <v>2739.149788847255</v>
      </c>
      <c r="H246" s="151">
        <f t="shared" ref="H246:AM246" si="186">H$164+H$7*(INDEX($H$235:$N$235,2)+INDEX($H$237:$N$237,2))</f>
        <v>-200</v>
      </c>
      <c r="I246" s="151">
        <f t="shared" si="186"/>
        <v>0</v>
      </c>
      <c r="J246" s="151">
        <f t="shared" si="186"/>
        <v>0</v>
      </c>
      <c r="K246" s="151">
        <f t="shared" si="186"/>
        <v>-102.68367641614219</v>
      </c>
      <c r="L246" s="151">
        <f t="shared" si="186"/>
        <v>-5.8428767123287679</v>
      </c>
      <c r="M246" s="151">
        <f t="shared" si="186"/>
        <v>-1262.091095890411</v>
      </c>
      <c r="N246" s="151">
        <f t="shared" si="186"/>
        <v>-34.079248426508705</v>
      </c>
      <c r="O246" s="151">
        <f t="shared" si="186"/>
        <v>-118.66100518326546</v>
      </c>
      <c r="P246" s="151">
        <f t="shared" si="186"/>
        <v>-228.21438356164384</v>
      </c>
      <c r="Q246" s="151">
        <f t="shared" si="186"/>
        <v>-29.214383561643842</v>
      </c>
      <c r="R246" s="151">
        <f t="shared" si="186"/>
        <v>-29.214383561643842</v>
      </c>
      <c r="S246" s="151">
        <f t="shared" si="186"/>
        <v>-50.836005183265463</v>
      </c>
      <c r="T246" s="151">
        <f t="shared" si="186"/>
        <v>-50.836005183265463</v>
      </c>
      <c r="U246" s="151">
        <f t="shared" si="186"/>
        <v>-29.214383561643842</v>
      </c>
      <c r="V246" s="151">
        <f t="shared" si="186"/>
        <v>-29.214383561643842</v>
      </c>
      <c r="W246" s="151">
        <f t="shared" si="186"/>
        <v>-29.214383561643842</v>
      </c>
      <c r="X246" s="151">
        <f t="shared" si="186"/>
        <v>-49.484653831914116</v>
      </c>
      <c r="Y246" s="151">
        <f t="shared" si="186"/>
        <v>-100.55492410218439</v>
      </c>
      <c r="Z246" s="151">
        <f t="shared" si="186"/>
        <v>-506.58634991575309</v>
      </c>
      <c r="AA246" s="151">
        <f t="shared" si="186"/>
        <v>-144.07924842650871</v>
      </c>
      <c r="AB246" s="151">
        <f t="shared" si="186"/>
        <v>-73.281951129211407</v>
      </c>
      <c r="AC246" s="151">
        <f t="shared" si="186"/>
        <v>-29.268437615697895</v>
      </c>
      <c r="AD246" s="151">
        <f t="shared" si="186"/>
        <v>-29.214383561643842</v>
      </c>
      <c r="AE246" s="151">
        <f t="shared" si="186"/>
        <v>-31.464383561643842</v>
      </c>
      <c r="AF246" s="151">
        <f t="shared" si="186"/>
        <v>-29.214383561643842</v>
      </c>
      <c r="AG246" s="151">
        <f t="shared" si="186"/>
        <v>-110.1514121330724</v>
      </c>
      <c r="AH246" s="151">
        <f t="shared" si="186"/>
        <v>-29.214383561643842</v>
      </c>
      <c r="AI246" s="151">
        <f t="shared" si="186"/>
        <v>-29.214383561643842</v>
      </c>
      <c r="AJ246" s="151">
        <f t="shared" si="186"/>
        <v>-45.43059977786006</v>
      </c>
      <c r="AK246" s="151">
        <f t="shared" si="186"/>
        <v>-170.31821437593035</v>
      </c>
      <c r="AL246" s="151">
        <f t="shared" si="186"/>
        <v>-19539.264703739358</v>
      </c>
      <c r="AM246" s="151">
        <f t="shared" si="186"/>
        <v>-29.214383561643842</v>
      </c>
      <c r="AN246" s="151">
        <f t="shared" ref="AN246:BP246" si="187">AN$164+AN$7*(INDEX($H$235:$N$235,2)+INDEX($H$237:$N$237,2))</f>
        <v>-152.45762680488707</v>
      </c>
      <c r="AO246" s="151">
        <f t="shared" si="187"/>
        <v>-29.214383561643842</v>
      </c>
      <c r="AP246" s="151">
        <f t="shared" si="187"/>
        <v>-29.214383561643842</v>
      </c>
      <c r="AQ246" s="151">
        <f t="shared" si="187"/>
        <v>-29.214383561643842</v>
      </c>
      <c r="AR246" s="151">
        <f t="shared" si="187"/>
        <v>-29.214383561643842</v>
      </c>
      <c r="AS246" s="151">
        <f t="shared" si="187"/>
        <v>-29.214383561643842</v>
      </c>
      <c r="AT246" s="151">
        <f t="shared" si="187"/>
        <v>26182.952344242771</v>
      </c>
      <c r="AU246" s="151">
        <f t="shared" si="187"/>
        <v>0</v>
      </c>
      <c r="AV246" s="151">
        <f t="shared" si="187"/>
        <v>0</v>
      </c>
      <c r="AW246" s="151">
        <f t="shared" si="187"/>
        <v>0</v>
      </c>
      <c r="AX246" s="151">
        <f t="shared" si="187"/>
        <v>0</v>
      </c>
      <c r="AY246" s="151">
        <f t="shared" si="187"/>
        <v>0</v>
      </c>
      <c r="AZ246" s="151">
        <f t="shared" si="187"/>
        <v>0</v>
      </c>
      <c r="BA246" s="151">
        <f t="shared" si="187"/>
        <v>0</v>
      </c>
      <c r="BB246" s="151">
        <f t="shared" si="187"/>
        <v>0</v>
      </c>
      <c r="BC246" s="151">
        <f t="shared" si="187"/>
        <v>0</v>
      </c>
      <c r="BD246" s="151">
        <f t="shared" si="187"/>
        <v>0</v>
      </c>
      <c r="BE246" s="151">
        <f t="shared" si="187"/>
        <v>0</v>
      </c>
      <c r="BF246" s="151">
        <f t="shared" si="187"/>
        <v>0</v>
      </c>
      <c r="BG246" s="151">
        <f t="shared" si="187"/>
        <v>0</v>
      </c>
      <c r="BH246" s="151">
        <f t="shared" si="187"/>
        <v>0</v>
      </c>
      <c r="BI246" s="151">
        <f t="shared" si="187"/>
        <v>0</v>
      </c>
      <c r="BJ246" s="151">
        <f t="shared" si="187"/>
        <v>0</v>
      </c>
      <c r="BK246" s="151">
        <f t="shared" si="187"/>
        <v>0</v>
      </c>
      <c r="BL246" s="151">
        <f t="shared" si="187"/>
        <v>0</v>
      </c>
      <c r="BM246" s="151">
        <f t="shared" si="187"/>
        <v>0</v>
      </c>
      <c r="BN246" s="151">
        <f t="shared" si="187"/>
        <v>0</v>
      </c>
      <c r="BO246" s="151">
        <f t="shared" si="187"/>
        <v>0</v>
      </c>
      <c r="BP246" s="151">
        <f t="shared" si="187"/>
        <v>0</v>
      </c>
    </row>
    <row r="247" spans="3:68" x14ac:dyDescent="0.25">
      <c r="C247" t="s">
        <v>1162</v>
      </c>
      <c r="D247" t="s">
        <v>125</v>
      </c>
      <c r="E247" s="151"/>
      <c r="F247" s="151"/>
      <c r="G247" s="151">
        <f t="shared" si="183"/>
        <v>4489.149788847255</v>
      </c>
      <c r="H247" s="151">
        <f t="shared" ref="H247:AM247" si="188">H$164+H$7*(INDEX($H$235:$N$235,3)+INDEX($H$237:$N$237,3))</f>
        <v>-200</v>
      </c>
      <c r="I247" s="151">
        <f t="shared" si="188"/>
        <v>0</v>
      </c>
      <c r="J247" s="151">
        <f t="shared" si="188"/>
        <v>0</v>
      </c>
      <c r="K247" s="151">
        <f t="shared" si="188"/>
        <v>-102.68367641614219</v>
      </c>
      <c r="L247" s="151">
        <f t="shared" si="188"/>
        <v>-5.8428767123287679</v>
      </c>
      <c r="M247" s="151">
        <f t="shared" si="188"/>
        <v>-1262.091095890411</v>
      </c>
      <c r="N247" s="151">
        <f t="shared" si="188"/>
        <v>-34.079248426508705</v>
      </c>
      <c r="O247" s="151">
        <f t="shared" si="188"/>
        <v>-118.66100518326546</v>
      </c>
      <c r="P247" s="151">
        <f t="shared" si="188"/>
        <v>-228.21438356164384</v>
      </c>
      <c r="Q247" s="151">
        <f t="shared" si="188"/>
        <v>-29.214383561643842</v>
      </c>
      <c r="R247" s="151">
        <f t="shared" si="188"/>
        <v>-29.214383561643842</v>
      </c>
      <c r="S247" s="151">
        <f t="shared" si="188"/>
        <v>-50.836005183265463</v>
      </c>
      <c r="T247" s="151">
        <f t="shared" si="188"/>
        <v>-50.836005183265463</v>
      </c>
      <c r="U247" s="151">
        <f t="shared" si="188"/>
        <v>-29.214383561643842</v>
      </c>
      <c r="V247" s="151">
        <f t="shared" si="188"/>
        <v>-29.214383561643842</v>
      </c>
      <c r="W247" s="151">
        <f t="shared" si="188"/>
        <v>-29.214383561643842</v>
      </c>
      <c r="X247" s="151">
        <f t="shared" si="188"/>
        <v>-49.484653831914116</v>
      </c>
      <c r="Y247" s="151">
        <f t="shared" si="188"/>
        <v>-100.55492410218439</v>
      </c>
      <c r="Z247" s="151">
        <f t="shared" si="188"/>
        <v>-506.58634991575309</v>
      </c>
      <c r="AA247" s="151">
        <f t="shared" si="188"/>
        <v>-144.07924842650871</v>
      </c>
      <c r="AB247" s="151">
        <f t="shared" si="188"/>
        <v>-73.281951129211407</v>
      </c>
      <c r="AC247" s="151">
        <f t="shared" si="188"/>
        <v>-29.268437615697895</v>
      </c>
      <c r="AD247" s="151">
        <f t="shared" si="188"/>
        <v>-29.214383561643842</v>
      </c>
      <c r="AE247" s="151">
        <f t="shared" si="188"/>
        <v>-31.464383561643842</v>
      </c>
      <c r="AF247" s="151">
        <f t="shared" si="188"/>
        <v>-29.214383561643842</v>
      </c>
      <c r="AG247" s="151">
        <f t="shared" si="188"/>
        <v>-110.1514121330724</v>
      </c>
      <c r="AH247" s="151">
        <f t="shared" si="188"/>
        <v>-29.214383561643842</v>
      </c>
      <c r="AI247" s="151">
        <f t="shared" si="188"/>
        <v>-29.214383561643842</v>
      </c>
      <c r="AJ247" s="151">
        <f t="shared" si="188"/>
        <v>-45.43059977786006</v>
      </c>
      <c r="AK247" s="151">
        <f t="shared" si="188"/>
        <v>-170.31821437593035</v>
      </c>
      <c r="AL247" s="151">
        <f t="shared" si="188"/>
        <v>-19539.264703739358</v>
      </c>
      <c r="AM247" s="151">
        <f t="shared" si="188"/>
        <v>-29.214383561643842</v>
      </c>
      <c r="AN247" s="151">
        <f t="shared" ref="AN247:BP247" si="189">AN$164+AN$7*(INDEX($H$235:$N$235,3)+INDEX($H$237:$N$237,3))</f>
        <v>-152.45762680488707</v>
      </c>
      <c r="AO247" s="151">
        <f t="shared" si="189"/>
        <v>-29.214383561643842</v>
      </c>
      <c r="AP247" s="151">
        <f t="shared" si="189"/>
        <v>-29.214383561643842</v>
      </c>
      <c r="AQ247" s="151">
        <f t="shared" si="189"/>
        <v>-29.214383561643842</v>
      </c>
      <c r="AR247" s="151">
        <f t="shared" si="189"/>
        <v>-29.214383561643842</v>
      </c>
      <c r="AS247" s="151">
        <f t="shared" si="189"/>
        <v>-29.214383561643842</v>
      </c>
      <c r="AT247" s="151">
        <f t="shared" si="189"/>
        <v>27932.952344242771</v>
      </c>
      <c r="AU247" s="151">
        <f t="shared" si="189"/>
        <v>0</v>
      </c>
      <c r="AV247" s="151">
        <f t="shared" si="189"/>
        <v>0</v>
      </c>
      <c r="AW247" s="151">
        <f t="shared" si="189"/>
        <v>0</v>
      </c>
      <c r="AX247" s="151">
        <f t="shared" si="189"/>
        <v>0</v>
      </c>
      <c r="AY247" s="151">
        <f t="shared" si="189"/>
        <v>0</v>
      </c>
      <c r="AZ247" s="151">
        <f t="shared" si="189"/>
        <v>0</v>
      </c>
      <c r="BA247" s="151">
        <f t="shared" si="189"/>
        <v>0</v>
      </c>
      <c r="BB247" s="151">
        <f t="shared" si="189"/>
        <v>0</v>
      </c>
      <c r="BC247" s="151">
        <f t="shared" si="189"/>
        <v>0</v>
      </c>
      <c r="BD247" s="151">
        <f t="shared" si="189"/>
        <v>0</v>
      </c>
      <c r="BE247" s="151">
        <f t="shared" si="189"/>
        <v>0</v>
      </c>
      <c r="BF247" s="151">
        <f t="shared" si="189"/>
        <v>0</v>
      </c>
      <c r="BG247" s="151">
        <f t="shared" si="189"/>
        <v>0</v>
      </c>
      <c r="BH247" s="151">
        <f t="shared" si="189"/>
        <v>0</v>
      </c>
      <c r="BI247" s="151">
        <f t="shared" si="189"/>
        <v>0</v>
      </c>
      <c r="BJ247" s="151">
        <f t="shared" si="189"/>
        <v>0</v>
      </c>
      <c r="BK247" s="151">
        <f t="shared" si="189"/>
        <v>0</v>
      </c>
      <c r="BL247" s="151">
        <f t="shared" si="189"/>
        <v>0</v>
      </c>
      <c r="BM247" s="151">
        <f t="shared" si="189"/>
        <v>0</v>
      </c>
      <c r="BN247" s="151">
        <f t="shared" si="189"/>
        <v>0</v>
      </c>
      <c r="BO247" s="151">
        <f t="shared" si="189"/>
        <v>0</v>
      </c>
      <c r="BP247" s="151">
        <f t="shared" si="189"/>
        <v>0</v>
      </c>
    </row>
    <row r="248" spans="3:68" x14ac:dyDescent="0.25">
      <c r="C248" t="s">
        <v>1163</v>
      </c>
      <c r="D248" t="s">
        <v>125</v>
      </c>
      <c r="E248" s="151"/>
      <c r="F248" s="151"/>
      <c r="G248" s="151">
        <f t="shared" si="183"/>
        <v>6239.1497888472586</v>
      </c>
      <c r="H248" s="151">
        <f t="shared" ref="H248:AM248" si="190">H$164+H$7*(INDEX($H$235:$N$235,4)+INDEX($H$237:$N$237,4))</f>
        <v>-200</v>
      </c>
      <c r="I248" s="151">
        <f t="shared" si="190"/>
        <v>0</v>
      </c>
      <c r="J248" s="151">
        <f t="shared" si="190"/>
        <v>0</v>
      </c>
      <c r="K248" s="151">
        <f t="shared" si="190"/>
        <v>-102.68367641614219</v>
      </c>
      <c r="L248" s="151">
        <f t="shared" si="190"/>
        <v>-5.8428767123287679</v>
      </c>
      <c r="M248" s="151">
        <f t="shared" si="190"/>
        <v>-1262.091095890411</v>
      </c>
      <c r="N248" s="151">
        <f t="shared" si="190"/>
        <v>-34.079248426508705</v>
      </c>
      <c r="O248" s="151">
        <f t="shared" si="190"/>
        <v>-118.66100518326546</v>
      </c>
      <c r="P248" s="151">
        <f t="shared" si="190"/>
        <v>-228.21438356164384</v>
      </c>
      <c r="Q248" s="151">
        <f t="shared" si="190"/>
        <v>-29.214383561643842</v>
      </c>
      <c r="R248" s="151">
        <f t="shared" si="190"/>
        <v>-29.214383561643842</v>
      </c>
      <c r="S248" s="151">
        <f t="shared" si="190"/>
        <v>-50.836005183265463</v>
      </c>
      <c r="T248" s="151">
        <f t="shared" si="190"/>
        <v>-50.836005183265463</v>
      </c>
      <c r="U248" s="151">
        <f t="shared" si="190"/>
        <v>-29.214383561643842</v>
      </c>
      <c r="V248" s="151">
        <f t="shared" si="190"/>
        <v>-29.214383561643842</v>
      </c>
      <c r="W248" s="151">
        <f t="shared" si="190"/>
        <v>-29.214383561643842</v>
      </c>
      <c r="X248" s="151">
        <f t="shared" si="190"/>
        <v>-49.484653831914116</v>
      </c>
      <c r="Y248" s="151">
        <f t="shared" si="190"/>
        <v>-100.55492410218439</v>
      </c>
      <c r="Z248" s="151">
        <f t="shared" si="190"/>
        <v>-506.58634991575309</v>
      </c>
      <c r="AA248" s="151">
        <f t="shared" si="190"/>
        <v>-144.07924842650871</v>
      </c>
      <c r="AB248" s="151">
        <f t="shared" si="190"/>
        <v>-73.281951129211407</v>
      </c>
      <c r="AC248" s="151">
        <f t="shared" si="190"/>
        <v>-29.268437615697895</v>
      </c>
      <c r="AD248" s="151">
        <f t="shared" si="190"/>
        <v>-29.214383561643842</v>
      </c>
      <c r="AE248" s="151">
        <f t="shared" si="190"/>
        <v>-31.464383561643842</v>
      </c>
      <c r="AF248" s="151">
        <f t="shared" si="190"/>
        <v>-29.214383561643842</v>
      </c>
      <c r="AG248" s="151">
        <f t="shared" si="190"/>
        <v>-110.1514121330724</v>
      </c>
      <c r="AH248" s="151">
        <f t="shared" si="190"/>
        <v>-29.214383561643842</v>
      </c>
      <c r="AI248" s="151">
        <f t="shared" si="190"/>
        <v>-29.214383561643842</v>
      </c>
      <c r="AJ248" s="151">
        <f t="shared" si="190"/>
        <v>-45.43059977786006</v>
      </c>
      <c r="AK248" s="151">
        <f t="shared" si="190"/>
        <v>-170.31821437593035</v>
      </c>
      <c r="AL248" s="151">
        <f t="shared" si="190"/>
        <v>-19539.264703739358</v>
      </c>
      <c r="AM248" s="151">
        <f t="shared" si="190"/>
        <v>-29.214383561643842</v>
      </c>
      <c r="AN248" s="151">
        <f t="shared" ref="AN248:BP248" si="191">AN$164+AN$7*(INDEX($H$235:$N$235,4)+INDEX($H$237:$N$237,4))</f>
        <v>-152.45762680488707</v>
      </c>
      <c r="AO248" s="151">
        <f t="shared" si="191"/>
        <v>-29.214383561643842</v>
      </c>
      <c r="AP248" s="151">
        <f t="shared" si="191"/>
        <v>-29.214383561643842</v>
      </c>
      <c r="AQ248" s="151">
        <f t="shared" si="191"/>
        <v>-29.214383561643842</v>
      </c>
      <c r="AR248" s="151">
        <f t="shared" si="191"/>
        <v>-29.214383561643842</v>
      </c>
      <c r="AS248" s="151">
        <f t="shared" si="191"/>
        <v>-29.214383561643842</v>
      </c>
      <c r="AT248" s="151">
        <f t="shared" si="191"/>
        <v>29682.952344242774</v>
      </c>
      <c r="AU248" s="151">
        <f t="shared" si="191"/>
        <v>0</v>
      </c>
      <c r="AV248" s="151">
        <f t="shared" si="191"/>
        <v>0</v>
      </c>
      <c r="AW248" s="151">
        <f t="shared" si="191"/>
        <v>0</v>
      </c>
      <c r="AX248" s="151">
        <f t="shared" si="191"/>
        <v>0</v>
      </c>
      <c r="AY248" s="151">
        <f t="shared" si="191"/>
        <v>0</v>
      </c>
      <c r="AZ248" s="151">
        <f t="shared" si="191"/>
        <v>0</v>
      </c>
      <c r="BA248" s="151">
        <f t="shared" si="191"/>
        <v>0</v>
      </c>
      <c r="BB248" s="151">
        <f t="shared" si="191"/>
        <v>0</v>
      </c>
      <c r="BC248" s="151">
        <f t="shared" si="191"/>
        <v>0</v>
      </c>
      <c r="BD248" s="151">
        <f t="shared" si="191"/>
        <v>0</v>
      </c>
      <c r="BE248" s="151">
        <f t="shared" si="191"/>
        <v>0</v>
      </c>
      <c r="BF248" s="151">
        <f t="shared" si="191"/>
        <v>0</v>
      </c>
      <c r="BG248" s="151">
        <f t="shared" si="191"/>
        <v>0</v>
      </c>
      <c r="BH248" s="151">
        <f t="shared" si="191"/>
        <v>0</v>
      </c>
      <c r="BI248" s="151">
        <f t="shared" si="191"/>
        <v>0</v>
      </c>
      <c r="BJ248" s="151">
        <f t="shared" si="191"/>
        <v>0</v>
      </c>
      <c r="BK248" s="151">
        <f t="shared" si="191"/>
        <v>0</v>
      </c>
      <c r="BL248" s="151">
        <f t="shared" si="191"/>
        <v>0</v>
      </c>
      <c r="BM248" s="151">
        <f t="shared" si="191"/>
        <v>0</v>
      </c>
      <c r="BN248" s="151">
        <f t="shared" si="191"/>
        <v>0</v>
      </c>
      <c r="BO248" s="151">
        <f t="shared" si="191"/>
        <v>0</v>
      </c>
      <c r="BP248" s="151">
        <f t="shared" si="191"/>
        <v>0</v>
      </c>
    </row>
    <row r="249" spans="3:68" x14ac:dyDescent="0.25">
      <c r="C249" t="s">
        <v>1164</v>
      </c>
      <c r="D249" t="s">
        <v>125</v>
      </c>
      <c r="E249" s="151"/>
      <c r="F249" s="151"/>
      <c r="G249" s="151">
        <f t="shared" si="183"/>
        <v>7989.1497888472586</v>
      </c>
      <c r="H249" s="151">
        <f t="shared" ref="H249:AM249" si="192">H$164+H$7*(INDEX($H$235:$N$235,5)+INDEX($H$237:$N$237,5))</f>
        <v>-200</v>
      </c>
      <c r="I249" s="151">
        <f t="shared" si="192"/>
        <v>0</v>
      </c>
      <c r="J249" s="151">
        <f t="shared" si="192"/>
        <v>0</v>
      </c>
      <c r="K249" s="151">
        <f t="shared" si="192"/>
        <v>-102.68367641614219</v>
      </c>
      <c r="L249" s="151">
        <f t="shared" si="192"/>
        <v>-5.8428767123287679</v>
      </c>
      <c r="M249" s="151">
        <f t="shared" si="192"/>
        <v>-1262.091095890411</v>
      </c>
      <c r="N249" s="151">
        <f t="shared" si="192"/>
        <v>-34.079248426508705</v>
      </c>
      <c r="O249" s="151">
        <f t="shared" si="192"/>
        <v>-118.66100518326546</v>
      </c>
      <c r="P249" s="151">
        <f t="shared" si="192"/>
        <v>-228.21438356164384</v>
      </c>
      <c r="Q249" s="151">
        <f t="shared" si="192"/>
        <v>-29.214383561643842</v>
      </c>
      <c r="R249" s="151">
        <f t="shared" si="192"/>
        <v>-29.214383561643842</v>
      </c>
      <c r="S249" s="151">
        <f t="shared" si="192"/>
        <v>-50.836005183265463</v>
      </c>
      <c r="T249" s="151">
        <f t="shared" si="192"/>
        <v>-50.836005183265463</v>
      </c>
      <c r="U249" s="151">
        <f t="shared" si="192"/>
        <v>-29.214383561643842</v>
      </c>
      <c r="V249" s="151">
        <f t="shared" si="192"/>
        <v>-29.214383561643842</v>
      </c>
      <c r="W249" s="151">
        <f t="shared" si="192"/>
        <v>-29.214383561643842</v>
      </c>
      <c r="X249" s="151">
        <f t="shared" si="192"/>
        <v>-49.484653831914116</v>
      </c>
      <c r="Y249" s="151">
        <f t="shared" si="192"/>
        <v>-100.55492410218439</v>
      </c>
      <c r="Z249" s="151">
        <f t="shared" si="192"/>
        <v>-506.58634991575309</v>
      </c>
      <c r="AA249" s="151">
        <f t="shared" si="192"/>
        <v>-144.07924842650871</v>
      </c>
      <c r="AB249" s="151">
        <f t="shared" si="192"/>
        <v>-73.281951129211407</v>
      </c>
      <c r="AC249" s="151">
        <f t="shared" si="192"/>
        <v>-29.268437615697895</v>
      </c>
      <c r="AD249" s="151">
        <f t="shared" si="192"/>
        <v>-29.214383561643842</v>
      </c>
      <c r="AE249" s="151">
        <f t="shared" si="192"/>
        <v>-31.464383561643842</v>
      </c>
      <c r="AF249" s="151">
        <f t="shared" si="192"/>
        <v>-29.214383561643842</v>
      </c>
      <c r="AG249" s="151">
        <f t="shared" si="192"/>
        <v>-110.1514121330724</v>
      </c>
      <c r="AH249" s="151">
        <f t="shared" si="192"/>
        <v>-29.214383561643842</v>
      </c>
      <c r="AI249" s="151">
        <f t="shared" si="192"/>
        <v>-29.214383561643842</v>
      </c>
      <c r="AJ249" s="151">
        <f t="shared" si="192"/>
        <v>-45.43059977786006</v>
      </c>
      <c r="AK249" s="151">
        <f t="shared" si="192"/>
        <v>-170.31821437593035</v>
      </c>
      <c r="AL249" s="151">
        <f t="shared" si="192"/>
        <v>-19539.264703739358</v>
      </c>
      <c r="AM249" s="151">
        <f t="shared" si="192"/>
        <v>-29.214383561643842</v>
      </c>
      <c r="AN249" s="151">
        <f t="shared" ref="AN249:BP249" si="193">AN$164+AN$7*(INDEX($H$235:$N$235,5)+INDEX($H$237:$N$237,5))</f>
        <v>-152.45762680488707</v>
      </c>
      <c r="AO249" s="151">
        <f t="shared" si="193"/>
        <v>-29.214383561643842</v>
      </c>
      <c r="AP249" s="151">
        <f t="shared" si="193"/>
        <v>-29.214383561643842</v>
      </c>
      <c r="AQ249" s="151">
        <f t="shared" si="193"/>
        <v>-29.214383561643842</v>
      </c>
      <c r="AR249" s="151">
        <f t="shared" si="193"/>
        <v>-29.214383561643842</v>
      </c>
      <c r="AS249" s="151">
        <f t="shared" si="193"/>
        <v>-29.214383561643842</v>
      </c>
      <c r="AT249" s="151">
        <f t="shared" si="193"/>
        <v>31432.952344242774</v>
      </c>
      <c r="AU249" s="151">
        <f t="shared" si="193"/>
        <v>0</v>
      </c>
      <c r="AV249" s="151">
        <f t="shared" si="193"/>
        <v>0</v>
      </c>
      <c r="AW249" s="151">
        <f t="shared" si="193"/>
        <v>0</v>
      </c>
      <c r="AX249" s="151">
        <f t="shared" si="193"/>
        <v>0</v>
      </c>
      <c r="AY249" s="151">
        <f t="shared" si="193"/>
        <v>0</v>
      </c>
      <c r="AZ249" s="151">
        <f t="shared" si="193"/>
        <v>0</v>
      </c>
      <c r="BA249" s="151">
        <f t="shared" si="193"/>
        <v>0</v>
      </c>
      <c r="BB249" s="151">
        <f t="shared" si="193"/>
        <v>0</v>
      </c>
      <c r="BC249" s="151">
        <f t="shared" si="193"/>
        <v>0</v>
      </c>
      <c r="BD249" s="151">
        <f t="shared" si="193"/>
        <v>0</v>
      </c>
      <c r="BE249" s="151">
        <f t="shared" si="193"/>
        <v>0</v>
      </c>
      <c r="BF249" s="151">
        <f t="shared" si="193"/>
        <v>0</v>
      </c>
      <c r="BG249" s="151">
        <f t="shared" si="193"/>
        <v>0</v>
      </c>
      <c r="BH249" s="151">
        <f t="shared" si="193"/>
        <v>0</v>
      </c>
      <c r="BI249" s="151">
        <f t="shared" si="193"/>
        <v>0</v>
      </c>
      <c r="BJ249" s="151">
        <f t="shared" si="193"/>
        <v>0</v>
      </c>
      <c r="BK249" s="151">
        <f t="shared" si="193"/>
        <v>0</v>
      </c>
      <c r="BL249" s="151">
        <f t="shared" si="193"/>
        <v>0</v>
      </c>
      <c r="BM249" s="151">
        <f t="shared" si="193"/>
        <v>0</v>
      </c>
      <c r="BN249" s="151">
        <f t="shared" si="193"/>
        <v>0</v>
      </c>
      <c r="BO249" s="151">
        <f t="shared" si="193"/>
        <v>0</v>
      </c>
      <c r="BP249" s="151">
        <f t="shared" si="193"/>
        <v>0</v>
      </c>
    </row>
    <row r="250" spans="3:68" x14ac:dyDescent="0.25">
      <c r="C250" t="s">
        <v>1165</v>
      </c>
      <c r="D250" t="s">
        <v>125</v>
      </c>
      <c r="E250" s="151"/>
      <c r="F250" s="151"/>
      <c r="G250" s="151">
        <f t="shared" si="183"/>
        <v>9739.1497888472513</v>
      </c>
      <c r="H250" s="151">
        <f t="shared" ref="H250:AM250" si="194">H$164+H$7*(INDEX($H$235:$N$235,6)+INDEX($H$237:$N$237,6))</f>
        <v>-200</v>
      </c>
      <c r="I250" s="151">
        <f t="shared" si="194"/>
        <v>0</v>
      </c>
      <c r="J250" s="151">
        <f t="shared" si="194"/>
        <v>0</v>
      </c>
      <c r="K250" s="151">
        <f t="shared" si="194"/>
        <v>-102.68367641614219</v>
      </c>
      <c r="L250" s="151">
        <f t="shared" si="194"/>
        <v>-5.8428767123287679</v>
      </c>
      <c r="M250" s="151">
        <f t="shared" si="194"/>
        <v>-1262.091095890411</v>
      </c>
      <c r="N250" s="151">
        <f t="shared" si="194"/>
        <v>-34.079248426508705</v>
      </c>
      <c r="O250" s="151">
        <f t="shared" si="194"/>
        <v>-118.66100518326546</v>
      </c>
      <c r="P250" s="151">
        <f t="shared" si="194"/>
        <v>-228.21438356164384</v>
      </c>
      <c r="Q250" s="151">
        <f t="shared" si="194"/>
        <v>-29.214383561643842</v>
      </c>
      <c r="R250" s="151">
        <f t="shared" si="194"/>
        <v>-29.214383561643842</v>
      </c>
      <c r="S250" s="151">
        <f t="shared" si="194"/>
        <v>-50.836005183265463</v>
      </c>
      <c r="T250" s="151">
        <f t="shared" si="194"/>
        <v>-50.836005183265463</v>
      </c>
      <c r="U250" s="151">
        <f t="shared" si="194"/>
        <v>-29.214383561643842</v>
      </c>
      <c r="V250" s="151">
        <f t="shared" si="194"/>
        <v>-29.214383561643842</v>
      </c>
      <c r="W250" s="151">
        <f t="shared" si="194"/>
        <v>-29.214383561643842</v>
      </c>
      <c r="X250" s="151">
        <f t="shared" si="194"/>
        <v>-49.484653831914116</v>
      </c>
      <c r="Y250" s="151">
        <f t="shared" si="194"/>
        <v>-100.55492410218439</v>
      </c>
      <c r="Z250" s="151">
        <f t="shared" si="194"/>
        <v>-506.58634991575309</v>
      </c>
      <c r="AA250" s="151">
        <f t="shared" si="194"/>
        <v>-144.07924842650871</v>
      </c>
      <c r="AB250" s="151">
        <f t="shared" si="194"/>
        <v>-73.281951129211407</v>
      </c>
      <c r="AC250" s="151">
        <f t="shared" si="194"/>
        <v>-29.268437615697895</v>
      </c>
      <c r="AD250" s="151">
        <f t="shared" si="194"/>
        <v>-29.214383561643842</v>
      </c>
      <c r="AE250" s="151">
        <f t="shared" si="194"/>
        <v>-31.464383561643842</v>
      </c>
      <c r="AF250" s="151">
        <f t="shared" si="194"/>
        <v>-29.214383561643842</v>
      </c>
      <c r="AG250" s="151">
        <f t="shared" si="194"/>
        <v>-110.1514121330724</v>
      </c>
      <c r="AH250" s="151">
        <f t="shared" si="194"/>
        <v>-29.214383561643842</v>
      </c>
      <c r="AI250" s="151">
        <f t="shared" si="194"/>
        <v>-29.214383561643842</v>
      </c>
      <c r="AJ250" s="151">
        <f t="shared" si="194"/>
        <v>-45.43059977786006</v>
      </c>
      <c r="AK250" s="151">
        <f t="shared" si="194"/>
        <v>-170.31821437593035</v>
      </c>
      <c r="AL250" s="151">
        <f t="shared" si="194"/>
        <v>-19539.264703739358</v>
      </c>
      <c r="AM250" s="151">
        <f t="shared" si="194"/>
        <v>-29.214383561643842</v>
      </c>
      <c r="AN250" s="151">
        <f t="shared" ref="AN250:BP250" si="195">AN$164+AN$7*(INDEX($H$235:$N$235,6)+INDEX($H$237:$N$237,6))</f>
        <v>-152.45762680488707</v>
      </c>
      <c r="AO250" s="151">
        <f t="shared" si="195"/>
        <v>-29.214383561643842</v>
      </c>
      <c r="AP250" s="151">
        <f t="shared" si="195"/>
        <v>-29.214383561643842</v>
      </c>
      <c r="AQ250" s="151">
        <f t="shared" si="195"/>
        <v>-29.214383561643842</v>
      </c>
      <c r="AR250" s="151">
        <f t="shared" si="195"/>
        <v>-29.214383561643842</v>
      </c>
      <c r="AS250" s="151">
        <f t="shared" si="195"/>
        <v>-29.214383561643842</v>
      </c>
      <c r="AT250" s="151">
        <f t="shared" si="195"/>
        <v>33182.952344242767</v>
      </c>
      <c r="AU250" s="151">
        <f t="shared" si="195"/>
        <v>0</v>
      </c>
      <c r="AV250" s="151">
        <f t="shared" si="195"/>
        <v>0</v>
      </c>
      <c r="AW250" s="151">
        <f t="shared" si="195"/>
        <v>0</v>
      </c>
      <c r="AX250" s="151">
        <f t="shared" si="195"/>
        <v>0</v>
      </c>
      <c r="AY250" s="151">
        <f t="shared" si="195"/>
        <v>0</v>
      </c>
      <c r="AZ250" s="151">
        <f t="shared" si="195"/>
        <v>0</v>
      </c>
      <c r="BA250" s="151">
        <f t="shared" si="195"/>
        <v>0</v>
      </c>
      <c r="BB250" s="151">
        <f t="shared" si="195"/>
        <v>0</v>
      </c>
      <c r="BC250" s="151">
        <f t="shared" si="195"/>
        <v>0</v>
      </c>
      <c r="BD250" s="151">
        <f t="shared" si="195"/>
        <v>0</v>
      </c>
      <c r="BE250" s="151">
        <f t="shared" si="195"/>
        <v>0</v>
      </c>
      <c r="BF250" s="151">
        <f t="shared" si="195"/>
        <v>0</v>
      </c>
      <c r="BG250" s="151">
        <f t="shared" si="195"/>
        <v>0</v>
      </c>
      <c r="BH250" s="151">
        <f t="shared" si="195"/>
        <v>0</v>
      </c>
      <c r="BI250" s="151">
        <f t="shared" si="195"/>
        <v>0</v>
      </c>
      <c r="BJ250" s="151">
        <f t="shared" si="195"/>
        <v>0</v>
      </c>
      <c r="BK250" s="151">
        <f t="shared" si="195"/>
        <v>0</v>
      </c>
      <c r="BL250" s="151">
        <f t="shared" si="195"/>
        <v>0</v>
      </c>
      <c r="BM250" s="151">
        <f t="shared" si="195"/>
        <v>0</v>
      </c>
      <c r="BN250" s="151">
        <f t="shared" si="195"/>
        <v>0</v>
      </c>
      <c r="BO250" s="151">
        <f t="shared" si="195"/>
        <v>0</v>
      </c>
      <c r="BP250" s="151">
        <f t="shared" si="195"/>
        <v>0</v>
      </c>
    </row>
    <row r="251" spans="3:68" x14ac:dyDescent="0.25">
      <c r="C251" t="s">
        <v>1166</v>
      </c>
      <c r="D251" t="s">
        <v>125</v>
      </c>
      <c r="E251" s="151"/>
      <c r="F251" s="151"/>
      <c r="G251" s="151">
        <f t="shared" si="183"/>
        <v>11489.149788847259</v>
      </c>
      <c r="H251" s="151">
        <f t="shared" ref="H251:AM251" si="196">H$164+H$7*(INDEX($H$235:$N$235,7)+INDEX($H$237:$N$237,7))</f>
        <v>-200</v>
      </c>
      <c r="I251" s="151">
        <f t="shared" si="196"/>
        <v>0</v>
      </c>
      <c r="J251" s="151">
        <f t="shared" si="196"/>
        <v>0</v>
      </c>
      <c r="K251" s="151">
        <f t="shared" si="196"/>
        <v>-102.68367641614219</v>
      </c>
      <c r="L251" s="151">
        <f t="shared" si="196"/>
        <v>-5.8428767123287679</v>
      </c>
      <c r="M251" s="151">
        <f t="shared" si="196"/>
        <v>-1262.091095890411</v>
      </c>
      <c r="N251" s="151">
        <f t="shared" si="196"/>
        <v>-34.079248426508705</v>
      </c>
      <c r="O251" s="151">
        <f t="shared" si="196"/>
        <v>-118.66100518326546</v>
      </c>
      <c r="P251" s="151">
        <f t="shared" si="196"/>
        <v>-228.21438356164384</v>
      </c>
      <c r="Q251" s="151">
        <f t="shared" si="196"/>
        <v>-29.214383561643842</v>
      </c>
      <c r="R251" s="151">
        <f t="shared" si="196"/>
        <v>-29.214383561643842</v>
      </c>
      <c r="S251" s="151">
        <f t="shared" si="196"/>
        <v>-50.836005183265463</v>
      </c>
      <c r="T251" s="151">
        <f t="shared" si="196"/>
        <v>-50.836005183265463</v>
      </c>
      <c r="U251" s="151">
        <f t="shared" si="196"/>
        <v>-29.214383561643842</v>
      </c>
      <c r="V251" s="151">
        <f t="shared" si="196"/>
        <v>-29.214383561643842</v>
      </c>
      <c r="W251" s="151">
        <f t="shared" si="196"/>
        <v>-29.214383561643842</v>
      </c>
      <c r="X251" s="151">
        <f t="shared" si="196"/>
        <v>-49.484653831914116</v>
      </c>
      <c r="Y251" s="151">
        <f t="shared" si="196"/>
        <v>-100.55492410218439</v>
      </c>
      <c r="Z251" s="151">
        <f t="shared" si="196"/>
        <v>-506.58634991575309</v>
      </c>
      <c r="AA251" s="151">
        <f t="shared" si="196"/>
        <v>-144.07924842650871</v>
      </c>
      <c r="AB251" s="151">
        <f t="shared" si="196"/>
        <v>-73.281951129211407</v>
      </c>
      <c r="AC251" s="151">
        <f t="shared" si="196"/>
        <v>-29.268437615697895</v>
      </c>
      <c r="AD251" s="151">
        <f t="shared" si="196"/>
        <v>-29.214383561643842</v>
      </c>
      <c r="AE251" s="151">
        <f t="shared" si="196"/>
        <v>-31.464383561643842</v>
      </c>
      <c r="AF251" s="151">
        <f t="shared" si="196"/>
        <v>-29.214383561643842</v>
      </c>
      <c r="AG251" s="151">
        <f t="shared" si="196"/>
        <v>-110.1514121330724</v>
      </c>
      <c r="AH251" s="151">
        <f t="shared" si="196"/>
        <v>-29.214383561643842</v>
      </c>
      <c r="AI251" s="151">
        <f t="shared" si="196"/>
        <v>-29.214383561643842</v>
      </c>
      <c r="AJ251" s="151">
        <f t="shared" si="196"/>
        <v>-45.43059977786006</v>
      </c>
      <c r="AK251" s="151">
        <f t="shared" si="196"/>
        <v>-170.31821437593035</v>
      </c>
      <c r="AL251" s="151">
        <f t="shared" si="196"/>
        <v>-19539.264703739358</v>
      </c>
      <c r="AM251" s="151">
        <f t="shared" si="196"/>
        <v>-29.214383561643842</v>
      </c>
      <c r="AN251" s="151">
        <f t="shared" ref="AN251:BP251" si="197">AN$164+AN$7*(INDEX($H$235:$N$235,7)+INDEX($H$237:$N$237,7))</f>
        <v>-152.45762680488707</v>
      </c>
      <c r="AO251" s="151">
        <f t="shared" si="197"/>
        <v>-29.214383561643842</v>
      </c>
      <c r="AP251" s="151">
        <f t="shared" si="197"/>
        <v>-29.214383561643842</v>
      </c>
      <c r="AQ251" s="151">
        <f t="shared" si="197"/>
        <v>-29.214383561643842</v>
      </c>
      <c r="AR251" s="151">
        <f t="shared" si="197"/>
        <v>-29.214383561643842</v>
      </c>
      <c r="AS251" s="151">
        <f t="shared" si="197"/>
        <v>-29.214383561643842</v>
      </c>
      <c r="AT251" s="151">
        <f t="shared" si="197"/>
        <v>34932.952344242774</v>
      </c>
      <c r="AU251" s="151">
        <f t="shared" si="197"/>
        <v>0</v>
      </c>
      <c r="AV251" s="151">
        <f t="shared" si="197"/>
        <v>0</v>
      </c>
      <c r="AW251" s="151">
        <f t="shared" si="197"/>
        <v>0</v>
      </c>
      <c r="AX251" s="151">
        <f t="shared" si="197"/>
        <v>0</v>
      </c>
      <c r="AY251" s="151">
        <f t="shared" si="197"/>
        <v>0</v>
      </c>
      <c r="AZ251" s="151">
        <f t="shared" si="197"/>
        <v>0</v>
      </c>
      <c r="BA251" s="151">
        <f t="shared" si="197"/>
        <v>0</v>
      </c>
      <c r="BB251" s="151">
        <f t="shared" si="197"/>
        <v>0</v>
      </c>
      <c r="BC251" s="151">
        <f t="shared" si="197"/>
        <v>0</v>
      </c>
      <c r="BD251" s="151">
        <f t="shared" si="197"/>
        <v>0</v>
      </c>
      <c r="BE251" s="151">
        <f t="shared" si="197"/>
        <v>0</v>
      </c>
      <c r="BF251" s="151">
        <f t="shared" si="197"/>
        <v>0</v>
      </c>
      <c r="BG251" s="151">
        <f t="shared" si="197"/>
        <v>0</v>
      </c>
      <c r="BH251" s="151">
        <f t="shared" si="197"/>
        <v>0</v>
      </c>
      <c r="BI251" s="151">
        <f t="shared" si="197"/>
        <v>0</v>
      </c>
      <c r="BJ251" s="151">
        <f t="shared" si="197"/>
        <v>0</v>
      </c>
      <c r="BK251" s="151">
        <f t="shared" si="197"/>
        <v>0</v>
      </c>
      <c r="BL251" s="151">
        <f t="shared" si="197"/>
        <v>0</v>
      </c>
      <c r="BM251" s="151">
        <f t="shared" si="197"/>
        <v>0</v>
      </c>
      <c r="BN251" s="151">
        <f t="shared" si="197"/>
        <v>0</v>
      </c>
      <c r="BO251" s="151">
        <f t="shared" si="197"/>
        <v>0</v>
      </c>
      <c r="BP251" s="151">
        <f t="shared" si="197"/>
        <v>0</v>
      </c>
    </row>
    <row r="253" spans="3:68" x14ac:dyDescent="0.25">
      <c r="C253" s="129" t="s">
        <v>1167</v>
      </c>
      <c r="D253" s="129"/>
      <c r="E253" s="129"/>
      <c r="F253" s="129"/>
      <c r="G253" s="129"/>
      <c r="H253" s="129"/>
      <c r="I253" s="129"/>
      <c r="J253" s="129"/>
      <c r="K253" s="129"/>
      <c r="L253" s="129"/>
      <c r="M253" s="129"/>
      <c r="N253" s="129"/>
      <c r="O253" s="129"/>
      <c r="P253" s="129"/>
      <c r="Q253" s="129"/>
      <c r="R253" s="129"/>
      <c r="S253" s="129"/>
      <c r="T253" s="129"/>
      <c r="U253" s="129"/>
      <c r="V253" s="129"/>
      <c r="W253" s="129"/>
      <c r="X253" s="129"/>
      <c r="Y253" s="129"/>
      <c r="Z253" s="129"/>
      <c r="AA253" s="129"/>
      <c r="AB253" s="129"/>
      <c r="AC253" s="129"/>
      <c r="AD253" s="129"/>
      <c r="AE253" s="129"/>
      <c r="AF253" s="129"/>
      <c r="AG253" s="129"/>
      <c r="AH253" s="129"/>
      <c r="AI253" s="129"/>
      <c r="AJ253" s="129"/>
      <c r="AK253" s="129"/>
      <c r="AL253" s="129"/>
      <c r="AM253" s="129"/>
      <c r="AN253" s="129"/>
      <c r="AO253" s="129"/>
      <c r="AP253" s="129"/>
      <c r="AQ253" s="129"/>
      <c r="AR253" s="129"/>
      <c r="AS253" s="129"/>
      <c r="AT253" s="129"/>
      <c r="AU253" s="129"/>
      <c r="AV253" s="129"/>
      <c r="AW253" s="129"/>
      <c r="AX253" s="129"/>
      <c r="AY253" s="129"/>
      <c r="AZ253" s="129"/>
      <c r="BA253" s="129"/>
      <c r="BB253" s="129"/>
      <c r="BC253" s="129"/>
      <c r="BD253" s="129"/>
      <c r="BE253" s="129"/>
      <c r="BF253" s="129"/>
      <c r="BG253" s="129"/>
      <c r="BH253" s="129"/>
      <c r="BI253" s="129"/>
      <c r="BJ253" s="129"/>
      <c r="BK253" s="129"/>
      <c r="BL253" s="129"/>
      <c r="BM253" s="129"/>
      <c r="BN253" s="129"/>
      <c r="BO253" s="129"/>
      <c r="BP253" s="129"/>
    </row>
    <row r="254" spans="3:68" x14ac:dyDescent="0.25">
      <c r="C254" t="s">
        <v>1168</v>
      </c>
      <c r="D254" t="s">
        <v>1169</v>
      </c>
      <c r="G254" s="198" t="str">
        <f>Deposits!E34</f>
        <v>OK</v>
      </c>
    </row>
    <row r="255" spans="3:68" x14ac:dyDescent="0.25">
      <c r="C255" t="s">
        <v>1170</v>
      </c>
      <c r="D255" t="s">
        <v>1169</v>
      </c>
      <c r="G255" s="198" t="str">
        <f>IF(ABS(BP113)&lt;0.01,"OK","FAIL")</f>
        <v>OK</v>
      </c>
    </row>
    <row r="256" spans="3:68" x14ac:dyDescent="0.25">
      <c r="C256" t="s">
        <v>1171</v>
      </c>
      <c r="D256" t="s">
        <v>1169</v>
      </c>
      <c r="G256" s="198" t="str">
        <f>IF(ABS(BP128)&lt;0.01,"OK","FAIL")</f>
        <v>OK</v>
      </c>
    </row>
    <row r="257" spans="3:68" x14ac:dyDescent="0.25">
      <c r="C257" t="s">
        <v>1172</v>
      </c>
      <c r="D257" t="s">
        <v>1169</v>
      </c>
      <c r="G257" s="198" t="str">
        <f>IF(AND(ABS(BP120)&lt;0.01,ABS(BP138)&lt;0.01),"OK","FAIL")</f>
        <v>OK</v>
      </c>
    </row>
    <row r="258" spans="3:68" x14ac:dyDescent="0.25">
      <c r="C258" t="s">
        <v>1173</v>
      </c>
      <c r="D258" t="s">
        <v>1169</v>
      </c>
      <c r="G258" s="198" t="str">
        <f>IF(ABS(BP76)&lt;0.01,"OK","FAIL")</f>
        <v>OK</v>
      </c>
    </row>
    <row r="259" spans="3:68" x14ac:dyDescent="0.25">
      <c r="C259" t="s">
        <v>1174</v>
      </c>
      <c r="D259" t="s">
        <v>1169</v>
      </c>
      <c r="G259" s="198" t="str">
        <f>IF(ABS(SUM(G145:G151)-G152)&lt;0.01,"OK","FAIL")</f>
        <v>OK</v>
      </c>
    </row>
    <row r="260" spans="3:68" x14ac:dyDescent="0.25">
      <c r="C260" t="s">
        <v>1175</v>
      </c>
      <c r="D260" t="s">
        <v>1169</v>
      </c>
      <c r="G260" s="198" t="str">
        <f>IF(ABS(G153+G154-G152)&lt;0.01,"OK","FAIL")</f>
        <v>OK</v>
      </c>
    </row>
    <row r="261" spans="3:68" x14ac:dyDescent="0.25">
      <c r="C261" t="s">
        <v>1176</v>
      </c>
      <c r="D261" t="s">
        <v>1169</v>
      </c>
      <c r="G261" s="198" t="str">
        <f>IF(ABS(G18-Devex_FEP!$H$39)&lt;0.01,"OK","FAIL")</f>
        <v>OK</v>
      </c>
    </row>
    <row r="262" spans="3:68" x14ac:dyDescent="0.25">
      <c r="C262" t="s">
        <v>1177</v>
      </c>
      <c r="D262" t="s">
        <v>1169</v>
      </c>
      <c r="G262" s="198" t="str">
        <f>IF(G25&lt;=Inputs!$E$37*Inputs!$E$18+0.01,"OK","FAIL")</f>
        <v>OK</v>
      </c>
    </row>
    <row r="263" spans="3:68" x14ac:dyDescent="0.25">
      <c r="C263" t="s">
        <v>1178</v>
      </c>
      <c r="D263" t="s">
        <v>1169</v>
      </c>
      <c r="G263" s="198" t="str">
        <f>IF(Inputs!$E$57&lt;=BP4,"OK","FAIL")</f>
        <v>OK</v>
      </c>
    </row>
    <row r="264" spans="3:68" x14ac:dyDescent="0.25">
      <c r="C264" t="s">
        <v>1179</v>
      </c>
      <c r="D264" t="s">
        <v>1169</v>
      </c>
      <c r="G264" s="198" t="str">
        <f>IF(MAX(Deposits!L7:L18)&lt;=BP4,"OK","FAIL")</f>
        <v>OK</v>
      </c>
    </row>
    <row r="265" spans="3:68" x14ac:dyDescent="0.25">
      <c r="C265" t="s">
        <v>1180</v>
      </c>
      <c r="D265" t="s">
        <v>1169</v>
      </c>
      <c r="G265" s="198" t="str">
        <f>IF(AND(ISNUMBER(G186),ISNUMBER(G187),ISNUMBER(G182)),"OK","FAIL")</f>
        <v>OK</v>
      </c>
    </row>
    <row r="266" spans="3:68" x14ac:dyDescent="0.25">
      <c r="C266" t="s">
        <v>1181</v>
      </c>
      <c r="D266" t="s">
        <v>1169</v>
      </c>
      <c r="G266" s="198" t="str">
        <f>IFERROR(IF(ABS(INDEX(H238:N238,MATCH(Inputs!$E$141,H225:N225,0))-G182)&lt;0.01,"OK","FAIL"),"n/a – live premium not in sensitivity set")</f>
        <v>OK</v>
      </c>
    </row>
    <row r="267" spans="3:68" x14ac:dyDescent="0.25">
      <c r="C267" t="s">
        <v>1182</v>
      </c>
      <c r="D267" t="s">
        <v>1169</v>
      </c>
      <c r="G267" s="198" t="str">
        <f>IF(AND(Inputs!$E$6&gt;=1,Inputs!$E$6&lt;=10),"OK","FAIL")</f>
        <v>OK</v>
      </c>
    </row>
    <row r="268" spans="3:68" x14ac:dyDescent="0.25">
      <c r="C268" t="s">
        <v>1183</v>
      </c>
      <c r="D268" t="s">
        <v>1169</v>
      </c>
      <c r="G268" s="198" t="str">
        <f>IF(ABS(G172-(G164+G171))&lt;0.01,"OK","FAIL")</f>
        <v>OK</v>
      </c>
    </row>
    <row r="269" spans="3:68" x14ac:dyDescent="0.25">
      <c r="C269" t="s">
        <v>1184</v>
      </c>
      <c r="D269" t="s">
        <v>1169</v>
      </c>
      <c r="G269" s="198" t="str">
        <f>IF(ABS(G155)&lt;0.01,"OK","WARNING – proceeds do not cover all claims")</f>
        <v>OK</v>
      </c>
    </row>
    <row r="270" spans="3:68" x14ac:dyDescent="0.25">
      <c r="C270" s="198" t="s">
        <v>1185</v>
      </c>
      <c r="D270" s="198"/>
      <c r="E270" s="198"/>
      <c r="F270" s="198"/>
      <c r="G270" s="198" t="str">
        <f>IF(COUNTIF(G254:G269,"FAIL")&gt;0,"CHECK FAILURES: "&amp;COUNTIF(G254:G269,"FAIL"),IF(COUNTIF(G254:G269,"WARNING*")&gt;0,"OK – WARNINGS: "&amp;COUNTIF(G254:G269,"WARNING*"),"ALL OK"))</f>
        <v>ALL OK</v>
      </c>
      <c r="H270" s="198"/>
      <c r="I270" s="198"/>
      <c r="J270" s="198"/>
      <c r="K270" s="198"/>
      <c r="L270" s="198"/>
      <c r="M270" s="198"/>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198"/>
      <c r="AK270" s="198"/>
      <c r="AL270" s="198"/>
      <c r="AM270" s="198"/>
      <c r="AN270" s="198"/>
      <c r="AO270" s="198"/>
      <c r="AP270" s="198"/>
      <c r="AQ270" s="198"/>
      <c r="AR270" s="198"/>
      <c r="AS270" s="198"/>
      <c r="AT270" s="198"/>
      <c r="AU270" s="198"/>
      <c r="AV270" s="198"/>
      <c r="AW270" s="198"/>
      <c r="AX270" s="198"/>
      <c r="AY270" s="198"/>
      <c r="AZ270" s="198"/>
      <c r="BA270" s="198"/>
      <c r="BB270" s="198"/>
      <c r="BC270" s="198"/>
      <c r="BD270" s="198"/>
      <c r="BE270" s="198"/>
      <c r="BF270" s="198"/>
      <c r="BG270" s="198"/>
      <c r="BH270" s="198"/>
      <c r="BI270" s="198"/>
      <c r="BJ270" s="198"/>
      <c r="BK270" s="198"/>
      <c r="BL270" s="198"/>
      <c r="BM270" s="198"/>
      <c r="BN270" s="198"/>
      <c r="BO270" s="198"/>
      <c r="BP270" s="198"/>
    </row>
  </sheetData>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00"/>
  </sheetPr>
  <dimension ref="A1:AQ375"/>
  <sheetViews>
    <sheetView showGridLines="0" topLeftCell="B1" zoomScaleNormal="100" workbookViewId="0">
      <pane ySplit="5" topLeftCell="A24" activePane="bottomLeft" state="frozen"/>
      <selection activeCell="B1" sqref="B1"/>
      <selection pane="bottomLeft" activeCell="C43" sqref="C43"/>
    </sheetView>
  </sheetViews>
  <sheetFormatPr defaultColWidth="8.5703125" defaultRowHeight="15" x14ac:dyDescent="0.25"/>
  <cols>
    <col min="1" max="2" width="2.5703125" customWidth="1"/>
    <col min="3" max="3" width="62.85546875" customWidth="1"/>
    <col min="4" max="4" width="11.42578125" customWidth="1"/>
    <col min="5" max="5" width="13.42578125" customWidth="1"/>
    <col min="6" max="7" width="17.140625" customWidth="1"/>
    <col min="8" max="43" width="11.85546875" customWidth="1"/>
  </cols>
  <sheetData>
    <row r="1" spans="1:43" ht="18.75" customHeight="1" x14ac:dyDescent="0.3">
      <c r="A1" s="123" t="str">
        <f>Inputs!A1</f>
        <v>HUN Onshore Wind – MOIC model v5</v>
      </c>
    </row>
    <row r="2" spans="1:43" x14ac:dyDescent="0.25">
      <c r="A2" s="124" t="s">
        <v>1186</v>
      </c>
    </row>
    <row r="3" spans="1:43" x14ac:dyDescent="0.25">
      <c r="A3" s="124" t="s">
        <v>1187</v>
      </c>
    </row>
    <row r="4" spans="1:43" x14ac:dyDescent="0.25">
      <c r="C4" s="129" t="s">
        <v>1188</v>
      </c>
      <c r="D4" s="129"/>
      <c r="E4" s="129"/>
      <c r="F4" s="129"/>
      <c r="G4" s="129"/>
      <c r="H4" s="263">
        <f>H5-YEAR(Inputs!$E$27)</f>
        <v>0</v>
      </c>
      <c r="I4" s="263">
        <f>I5-YEAR(Inputs!$E$27)</f>
        <v>1</v>
      </c>
      <c r="J4" s="263">
        <f>J5-YEAR(Inputs!$E$27)</f>
        <v>2</v>
      </c>
      <c r="K4" s="263">
        <f>K5-YEAR(Inputs!$E$27)</f>
        <v>3</v>
      </c>
      <c r="L4" s="263">
        <f>L5-YEAR(Inputs!$E$27)</f>
        <v>4</v>
      </c>
      <c r="M4" s="263">
        <f>M5-YEAR(Inputs!$E$27)</f>
        <v>5</v>
      </c>
      <c r="N4" s="263">
        <f>N5-YEAR(Inputs!$E$27)</f>
        <v>6</v>
      </c>
      <c r="O4" s="263">
        <f>O5-YEAR(Inputs!$E$27)</f>
        <v>7</v>
      </c>
      <c r="P4" s="263">
        <f>P5-YEAR(Inputs!$E$27)</f>
        <v>8</v>
      </c>
      <c r="Q4" s="263">
        <f>Q5-YEAR(Inputs!$E$27)</f>
        <v>9</v>
      </c>
      <c r="R4" s="263">
        <f>R5-YEAR(Inputs!$E$27)</f>
        <v>10</v>
      </c>
      <c r="S4" s="263">
        <f>S5-YEAR(Inputs!$E$27)</f>
        <v>11</v>
      </c>
      <c r="T4" s="263">
        <f>T5-YEAR(Inputs!$E$27)</f>
        <v>12</v>
      </c>
      <c r="U4" s="263">
        <f>U5-YEAR(Inputs!$E$27)</f>
        <v>13</v>
      </c>
      <c r="V4" s="263">
        <f>V5-YEAR(Inputs!$E$27)</f>
        <v>14</v>
      </c>
      <c r="W4" s="263">
        <f>W5-YEAR(Inputs!$E$27)</f>
        <v>15</v>
      </c>
      <c r="X4" s="263">
        <f>X5-YEAR(Inputs!$E$27)</f>
        <v>16</v>
      </c>
      <c r="Y4" s="263">
        <f>Y5-YEAR(Inputs!$E$27)</f>
        <v>17</v>
      </c>
      <c r="Z4" s="263">
        <f>Z5-YEAR(Inputs!$E$27)</f>
        <v>18</v>
      </c>
      <c r="AA4" s="263">
        <f>AA5-YEAR(Inputs!$E$27)</f>
        <v>19</v>
      </c>
      <c r="AB4" s="263">
        <f>AB5-YEAR(Inputs!$E$27)</f>
        <v>20</v>
      </c>
      <c r="AC4" s="263">
        <f>AC5-YEAR(Inputs!$E$27)</f>
        <v>21</v>
      </c>
      <c r="AD4" s="263">
        <f>AD5-YEAR(Inputs!$E$27)</f>
        <v>22</v>
      </c>
      <c r="AE4" s="263">
        <f>AE5-YEAR(Inputs!$E$27)</f>
        <v>23</v>
      </c>
      <c r="AF4" s="263">
        <f>AF5-YEAR(Inputs!$E$27)</f>
        <v>24</v>
      </c>
      <c r="AG4" s="263">
        <f>AG5-YEAR(Inputs!$E$27)</f>
        <v>25</v>
      </c>
      <c r="AH4" s="263">
        <f>AH5-YEAR(Inputs!$E$27)</f>
        <v>26</v>
      </c>
      <c r="AI4" s="263">
        <f>AI5-YEAR(Inputs!$E$27)</f>
        <v>27</v>
      </c>
      <c r="AJ4" s="263">
        <f>AJ5-YEAR(Inputs!$E$27)</f>
        <v>28</v>
      </c>
      <c r="AK4" s="263">
        <f>AK5-YEAR(Inputs!$E$27)</f>
        <v>29</v>
      </c>
      <c r="AL4" s="263">
        <f>AL5-YEAR(Inputs!$E$27)</f>
        <v>30</v>
      </c>
      <c r="AM4" s="263">
        <f>AM5-YEAR(Inputs!$E$27)</f>
        <v>31</v>
      </c>
      <c r="AN4" s="263">
        <f>AN5-YEAR(Inputs!$E$27)</f>
        <v>32</v>
      </c>
      <c r="AO4" s="263">
        <f>AO5-YEAR(Inputs!$E$27)</f>
        <v>33</v>
      </c>
      <c r="AP4" s="263">
        <f>AP5-YEAR(Inputs!$E$27)</f>
        <v>34</v>
      </c>
      <c r="AQ4" s="263">
        <f>AQ5-YEAR(Inputs!$E$27)</f>
        <v>35</v>
      </c>
    </row>
    <row r="5" spans="1:43" x14ac:dyDescent="0.25">
      <c r="C5" s="246" t="s">
        <v>5</v>
      </c>
      <c r="D5" s="246" t="s">
        <v>5</v>
      </c>
      <c r="E5" s="246"/>
      <c r="F5" s="246"/>
      <c r="G5" s="246"/>
      <c r="H5" s="247">
        <f>YEAR(Inputs!$E$27)</f>
        <v>2026</v>
      </c>
      <c r="I5" s="247">
        <f t="shared" ref="I5:AQ5" si="0">H5+1</f>
        <v>2027</v>
      </c>
      <c r="J5" s="247">
        <f t="shared" si="0"/>
        <v>2028</v>
      </c>
      <c r="K5" s="247">
        <f t="shared" si="0"/>
        <v>2029</v>
      </c>
      <c r="L5" s="247">
        <f t="shared" si="0"/>
        <v>2030</v>
      </c>
      <c r="M5" s="247">
        <f t="shared" si="0"/>
        <v>2031</v>
      </c>
      <c r="N5" s="247">
        <f t="shared" si="0"/>
        <v>2032</v>
      </c>
      <c r="O5" s="247">
        <f t="shared" si="0"/>
        <v>2033</v>
      </c>
      <c r="P5" s="247">
        <f t="shared" si="0"/>
        <v>2034</v>
      </c>
      <c r="Q5" s="247">
        <f t="shared" si="0"/>
        <v>2035</v>
      </c>
      <c r="R5" s="247">
        <f t="shared" si="0"/>
        <v>2036</v>
      </c>
      <c r="S5" s="247">
        <f t="shared" si="0"/>
        <v>2037</v>
      </c>
      <c r="T5" s="247">
        <f t="shared" si="0"/>
        <v>2038</v>
      </c>
      <c r="U5" s="247">
        <f t="shared" si="0"/>
        <v>2039</v>
      </c>
      <c r="V5" s="247">
        <f t="shared" si="0"/>
        <v>2040</v>
      </c>
      <c r="W5" s="247">
        <f t="shared" si="0"/>
        <v>2041</v>
      </c>
      <c r="X5" s="247">
        <f t="shared" si="0"/>
        <v>2042</v>
      </c>
      <c r="Y5" s="247">
        <f t="shared" si="0"/>
        <v>2043</v>
      </c>
      <c r="Z5" s="247">
        <f t="shared" si="0"/>
        <v>2044</v>
      </c>
      <c r="AA5" s="247">
        <f t="shared" si="0"/>
        <v>2045</v>
      </c>
      <c r="AB5" s="247">
        <f t="shared" si="0"/>
        <v>2046</v>
      </c>
      <c r="AC5" s="247">
        <f t="shared" si="0"/>
        <v>2047</v>
      </c>
      <c r="AD5" s="247">
        <f t="shared" si="0"/>
        <v>2048</v>
      </c>
      <c r="AE5" s="247">
        <f t="shared" si="0"/>
        <v>2049</v>
      </c>
      <c r="AF5" s="247">
        <f t="shared" si="0"/>
        <v>2050</v>
      </c>
      <c r="AG5" s="247">
        <f t="shared" si="0"/>
        <v>2051</v>
      </c>
      <c r="AH5" s="247">
        <f t="shared" si="0"/>
        <v>2052</v>
      </c>
      <c r="AI5" s="247">
        <f t="shared" si="0"/>
        <v>2053</v>
      </c>
      <c r="AJ5" s="247">
        <f t="shared" si="0"/>
        <v>2054</v>
      </c>
      <c r="AK5" s="247">
        <f t="shared" si="0"/>
        <v>2055</v>
      </c>
      <c r="AL5" s="247">
        <f t="shared" si="0"/>
        <v>2056</v>
      </c>
      <c r="AM5" s="247">
        <f t="shared" si="0"/>
        <v>2057</v>
      </c>
      <c r="AN5" s="247">
        <f t="shared" si="0"/>
        <v>2058</v>
      </c>
      <c r="AO5" s="247">
        <f t="shared" si="0"/>
        <v>2059</v>
      </c>
      <c r="AP5" s="247">
        <f t="shared" si="0"/>
        <v>2060</v>
      </c>
      <c r="AQ5" s="247">
        <f t="shared" si="0"/>
        <v>2061</v>
      </c>
    </row>
    <row r="6" spans="1:43" x14ac:dyDescent="0.25">
      <c r="C6" s="250" t="s">
        <v>1189</v>
      </c>
      <c r="D6" s="250" t="s">
        <v>984</v>
      </c>
      <c r="E6" s="250"/>
      <c r="F6" s="250"/>
      <c r="G6" s="250"/>
      <c r="H6" s="251">
        <f>IF(AND(H5&gt;=YEAR(Inputs!$E$27),H5&lt;=YEAR(Inputs!$E$154)),1,0)</f>
        <v>1</v>
      </c>
      <c r="I6" s="251">
        <f>IF(AND(I5&gt;=YEAR(Inputs!$E$27),I5&lt;=YEAR(Inputs!$E$154)),1,0)</f>
        <v>1</v>
      </c>
      <c r="J6" s="251">
        <f>IF(AND(J5&gt;=YEAR(Inputs!$E$27),J5&lt;=YEAR(Inputs!$E$154)),1,0)</f>
        <v>1</v>
      </c>
      <c r="K6" s="251">
        <f>IF(AND(K5&gt;=YEAR(Inputs!$E$27),K5&lt;=YEAR(Inputs!$E$154)),1,0)</f>
        <v>1</v>
      </c>
      <c r="L6" s="251">
        <f>IF(AND(L5&gt;=YEAR(Inputs!$E$27),L5&lt;=YEAR(Inputs!$E$154)),1,0)</f>
        <v>0</v>
      </c>
      <c r="M6" s="251">
        <f>IF(AND(M5&gt;=YEAR(Inputs!$E$27),M5&lt;=YEAR(Inputs!$E$154)),1,0)</f>
        <v>0</v>
      </c>
      <c r="N6" s="251">
        <f>IF(AND(N5&gt;=YEAR(Inputs!$E$27),N5&lt;=YEAR(Inputs!$E$154)),1,0)</f>
        <v>0</v>
      </c>
      <c r="O6" s="251">
        <f>IF(AND(O5&gt;=YEAR(Inputs!$E$27),O5&lt;=YEAR(Inputs!$E$154)),1,0)</f>
        <v>0</v>
      </c>
      <c r="P6" s="251">
        <f>IF(AND(P5&gt;=YEAR(Inputs!$E$27),P5&lt;=YEAR(Inputs!$E$154)),1,0)</f>
        <v>0</v>
      </c>
      <c r="Q6" s="251">
        <f>IF(AND(Q5&gt;=YEAR(Inputs!$E$27),Q5&lt;=YEAR(Inputs!$E$154)),1,0)</f>
        <v>0</v>
      </c>
      <c r="R6" s="251">
        <f>IF(AND(R5&gt;=YEAR(Inputs!$E$27),R5&lt;=YEAR(Inputs!$E$154)),1,0)</f>
        <v>0</v>
      </c>
      <c r="S6" s="251">
        <f>IF(AND(S5&gt;=YEAR(Inputs!$E$27),S5&lt;=YEAR(Inputs!$E$154)),1,0)</f>
        <v>0</v>
      </c>
      <c r="T6" s="251">
        <f>IF(AND(T5&gt;=YEAR(Inputs!$E$27),T5&lt;=YEAR(Inputs!$E$154)),1,0)</f>
        <v>0</v>
      </c>
      <c r="U6" s="251">
        <f>IF(AND(U5&gt;=YEAR(Inputs!$E$27),U5&lt;=YEAR(Inputs!$E$154)),1,0)</f>
        <v>0</v>
      </c>
      <c r="V6" s="251">
        <f>IF(AND(V5&gt;=YEAR(Inputs!$E$27),V5&lt;=YEAR(Inputs!$E$154)),1,0)</f>
        <v>0</v>
      </c>
      <c r="W6" s="251">
        <f>IF(AND(W5&gt;=YEAR(Inputs!$E$27),W5&lt;=YEAR(Inputs!$E$154)),1,0)</f>
        <v>0</v>
      </c>
      <c r="X6" s="251">
        <f>IF(AND(X5&gt;=YEAR(Inputs!$E$27),X5&lt;=YEAR(Inputs!$E$154)),1,0)</f>
        <v>0</v>
      </c>
      <c r="Y6" s="251">
        <f>IF(AND(Y5&gt;=YEAR(Inputs!$E$27),Y5&lt;=YEAR(Inputs!$E$154)),1,0)</f>
        <v>0</v>
      </c>
      <c r="Z6" s="251">
        <f>IF(AND(Z5&gt;=YEAR(Inputs!$E$27),Z5&lt;=YEAR(Inputs!$E$154)),1,0)</f>
        <v>0</v>
      </c>
      <c r="AA6" s="251">
        <f>IF(AND(AA5&gt;=YEAR(Inputs!$E$27),AA5&lt;=YEAR(Inputs!$E$154)),1,0)</f>
        <v>0</v>
      </c>
      <c r="AB6" s="251">
        <f>IF(AND(AB5&gt;=YEAR(Inputs!$E$27),AB5&lt;=YEAR(Inputs!$E$154)),1,0)</f>
        <v>0</v>
      </c>
      <c r="AC6" s="251">
        <f>IF(AND(AC5&gt;=YEAR(Inputs!$E$27),AC5&lt;=YEAR(Inputs!$E$154)),1,0)</f>
        <v>0</v>
      </c>
      <c r="AD6" s="251">
        <f>IF(AND(AD5&gt;=YEAR(Inputs!$E$27),AD5&lt;=YEAR(Inputs!$E$154)),1,0)</f>
        <v>0</v>
      </c>
      <c r="AE6" s="251">
        <f>IF(AND(AE5&gt;=YEAR(Inputs!$E$27),AE5&lt;=YEAR(Inputs!$E$154)),1,0)</f>
        <v>0</v>
      </c>
      <c r="AF6" s="251">
        <f>IF(AND(AF5&gt;=YEAR(Inputs!$E$27),AF5&lt;=YEAR(Inputs!$E$154)),1,0)</f>
        <v>0</v>
      </c>
      <c r="AG6" s="251">
        <f>IF(AND(AG5&gt;=YEAR(Inputs!$E$27),AG5&lt;=YEAR(Inputs!$E$154)),1,0)</f>
        <v>0</v>
      </c>
      <c r="AH6" s="251">
        <f>IF(AND(AH5&gt;=YEAR(Inputs!$E$27),AH5&lt;=YEAR(Inputs!$E$154)),1,0)</f>
        <v>0</v>
      </c>
      <c r="AI6" s="251">
        <f>IF(AND(AI5&gt;=YEAR(Inputs!$E$27),AI5&lt;=YEAR(Inputs!$E$154)),1,0)</f>
        <v>0</v>
      </c>
      <c r="AJ6" s="251">
        <f>IF(AND(AJ5&gt;=YEAR(Inputs!$E$27),AJ5&lt;=YEAR(Inputs!$E$154)),1,0)</f>
        <v>0</v>
      </c>
      <c r="AK6" s="251">
        <f>IF(AND(AK5&gt;=YEAR(Inputs!$E$27),AK5&lt;=YEAR(Inputs!$E$154)),1,0)</f>
        <v>0</v>
      </c>
      <c r="AL6" s="251">
        <f>IF(AND(AL5&gt;=YEAR(Inputs!$E$27),AL5&lt;=YEAR(Inputs!$E$154)),1,0)</f>
        <v>0</v>
      </c>
      <c r="AM6" s="251">
        <f>IF(AND(AM5&gt;=YEAR(Inputs!$E$27),AM5&lt;=YEAR(Inputs!$E$154)),1,0)</f>
        <v>0</v>
      </c>
      <c r="AN6" s="251">
        <f>IF(AND(AN5&gt;=YEAR(Inputs!$E$27),AN5&lt;=YEAR(Inputs!$E$154)),1,0)</f>
        <v>0</v>
      </c>
      <c r="AO6" s="251">
        <f>IF(AND(AO5&gt;=YEAR(Inputs!$E$27),AO5&lt;=YEAR(Inputs!$E$154)),1,0)</f>
        <v>0</v>
      </c>
      <c r="AP6" s="251">
        <f>IF(AND(AP5&gt;=YEAR(Inputs!$E$27),AP5&lt;=YEAR(Inputs!$E$154)),1,0)</f>
        <v>0</v>
      </c>
      <c r="AQ6" s="251">
        <f>IF(AND(AQ5&gt;=YEAR(Inputs!$E$27),AQ5&lt;=YEAR(Inputs!$E$154)),1,0)</f>
        <v>0</v>
      </c>
    </row>
    <row r="7" spans="1:43" x14ac:dyDescent="0.25">
      <c r="C7" s="250" t="s">
        <v>1190</v>
      </c>
      <c r="D7" s="250" t="s">
        <v>51</v>
      </c>
      <c r="E7" s="250"/>
      <c r="F7" s="250"/>
      <c r="G7" s="250">
        <f>SUM(H7:AQ7)</f>
        <v>1</v>
      </c>
      <c r="H7" s="264">
        <f>MAX(0,MIN(DATE(H5,12,31),Inputs!$E$155)-MAX(DATE(H5,1,1)-1,Inputs!$E$154))/(Inputs!$E$155-Inputs!$E$154)</f>
        <v>0</v>
      </c>
      <c r="I7" s="264">
        <f>MAX(0,MIN(DATE(I5,12,31),Inputs!$E$155)-MAX(DATE(I5,1,1)-1,Inputs!$E$154))/(Inputs!$E$155-Inputs!$E$154)</f>
        <v>0</v>
      </c>
      <c r="J7" s="264">
        <f>MAX(0,MIN(DATE(J5,12,31),Inputs!$E$155)-MAX(DATE(J5,1,1)-1,Inputs!$E$154))/(Inputs!$E$155-Inputs!$E$154)</f>
        <v>0</v>
      </c>
      <c r="K7" s="264">
        <f>MAX(0,MIN(DATE(K5,12,31),Inputs!$E$155)-MAX(DATE(K5,1,1)-1,Inputs!$E$154))/(Inputs!$E$155-Inputs!$E$154)</f>
        <v>0.25205479452054796</v>
      </c>
      <c r="L7" s="264">
        <f>MAX(0,MIN(DATE(L5,12,31),Inputs!$E$155)-MAX(DATE(L5,1,1)-1,Inputs!$E$154))/(Inputs!$E$155-Inputs!$E$154)</f>
        <v>0.5</v>
      </c>
      <c r="M7" s="264">
        <f>MAX(0,MIN(DATE(M5,12,31),Inputs!$E$155)-MAX(DATE(M5,1,1)-1,Inputs!$E$154))/(Inputs!$E$155-Inputs!$E$154)</f>
        <v>0.24794520547945206</v>
      </c>
      <c r="N7" s="264">
        <f>MAX(0,MIN(DATE(N5,12,31),Inputs!$E$155)-MAX(DATE(N5,1,1)-1,Inputs!$E$154))/(Inputs!$E$155-Inputs!$E$154)</f>
        <v>0</v>
      </c>
      <c r="O7" s="264">
        <f>MAX(0,MIN(DATE(O5,12,31),Inputs!$E$155)-MAX(DATE(O5,1,1)-1,Inputs!$E$154))/(Inputs!$E$155-Inputs!$E$154)</f>
        <v>0</v>
      </c>
      <c r="P7" s="264">
        <f>MAX(0,MIN(DATE(P5,12,31),Inputs!$E$155)-MAX(DATE(P5,1,1)-1,Inputs!$E$154))/(Inputs!$E$155-Inputs!$E$154)</f>
        <v>0</v>
      </c>
      <c r="Q7" s="264">
        <f>MAX(0,MIN(DATE(Q5,12,31),Inputs!$E$155)-MAX(DATE(Q5,1,1)-1,Inputs!$E$154))/(Inputs!$E$155-Inputs!$E$154)</f>
        <v>0</v>
      </c>
      <c r="R7" s="264">
        <f>MAX(0,MIN(DATE(R5,12,31),Inputs!$E$155)-MAX(DATE(R5,1,1)-1,Inputs!$E$154))/(Inputs!$E$155-Inputs!$E$154)</f>
        <v>0</v>
      </c>
      <c r="S7" s="264">
        <f>MAX(0,MIN(DATE(S5,12,31),Inputs!$E$155)-MAX(DATE(S5,1,1)-1,Inputs!$E$154))/(Inputs!$E$155-Inputs!$E$154)</f>
        <v>0</v>
      </c>
      <c r="T7" s="264">
        <f>MAX(0,MIN(DATE(T5,12,31),Inputs!$E$155)-MAX(DATE(T5,1,1)-1,Inputs!$E$154))/(Inputs!$E$155-Inputs!$E$154)</f>
        <v>0</v>
      </c>
      <c r="U7" s="264">
        <f>MAX(0,MIN(DATE(U5,12,31),Inputs!$E$155)-MAX(DATE(U5,1,1)-1,Inputs!$E$154))/(Inputs!$E$155-Inputs!$E$154)</f>
        <v>0</v>
      </c>
      <c r="V7" s="264">
        <f>MAX(0,MIN(DATE(V5,12,31),Inputs!$E$155)-MAX(DATE(V5,1,1)-1,Inputs!$E$154))/(Inputs!$E$155-Inputs!$E$154)</f>
        <v>0</v>
      </c>
      <c r="W7" s="264">
        <f>MAX(0,MIN(DATE(W5,12,31),Inputs!$E$155)-MAX(DATE(W5,1,1)-1,Inputs!$E$154))/(Inputs!$E$155-Inputs!$E$154)</f>
        <v>0</v>
      </c>
      <c r="X7" s="264">
        <f>MAX(0,MIN(DATE(X5,12,31),Inputs!$E$155)-MAX(DATE(X5,1,1)-1,Inputs!$E$154))/(Inputs!$E$155-Inputs!$E$154)</f>
        <v>0</v>
      </c>
      <c r="Y7" s="264">
        <f>MAX(0,MIN(DATE(Y5,12,31),Inputs!$E$155)-MAX(DATE(Y5,1,1)-1,Inputs!$E$154))/(Inputs!$E$155-Inputs!$E$154)</f>
        <v>0</v>
      </c>
      <c r="Z7" s="264">
        <f>MAX(0,MIN(DATE(Z5,12,31),Inputs!$E$155)-MAX(DATE(Z5,1,1)-1,Inputs!$E$154))/(Inputs!$E$155-Inputs!$E$154)</f>
        <v>0</v>
      </c>
      <c r="AA7" s="264">
        <f>MAX(0,MIN(DATE(AA5,12,31),Inputs!$E$155)-MAX(DATE(AA5,1,1)-1,Inputs!$E$154))/(Inputs!$E$155-Inputs!$E$154)</f>
        <v>0</v>
      </c>
      <c r="AB7" s="264">
        <f>MAX(0,MIN(DATE(AB5,12,31),Inputs!$E$155)-MAX(DATE(AB5,1,1)-1,Inputs!$E$154))/(Inputs!$E$155-Inputs!$E$154)</f>
        <v>0</v>
      </c>
      <c r="AC7" s="264">
        <f>MAX(0,MIN(DATE(AC5,12,31),Inputs!$E$155)-MAX(DATE(AC5,1,1)-1,Inputs!$E$154))/(Inputs!$E$155-Inputs!$E$154)</f>
        <v>0</v>
      </c>
      <c r="AD7" s="264">
        <f>MAX(0,MIN(DATE(AD5,12,31),Inputs!$E$155)-MAX(DATE(AD5,1,1)-1,Inputs!$E$154))/(Inputs!$E$155-Inputs!$E$154)</f>
        <v>0</v>
      </c>
      <c r="AE7" s="264">
        <f>MAX(0,MIN(DATE(AE5,12,31),Inputs!$E$155)-MAX(DATE(AE5,1,1)-1,Inputs!$E$154))/(Inputs!$E$155-Inputs!$E$154)</f>
        <v>0</v>
      </c>
      <c r="AF7" s="264">
        <f>MAX(0,MIN(DATE(AF5,12,31),Inputs!$E$155)-MAX(DATE(AF5,1,1)-1,Inputs!$E$154))/(Inputs!$E$155-Inputs!$E$154)</f>
        <v>0</v>
      </c>
      <c r="AG7" s="264">
        <f>MAX(0,MIN(DATE(AG5,12,31),Inputs!$E$155)-MAX(DATE(AG5,1,1)-1,Inputs!$E$154))/(Inputs!$E$155-Inputs!$E$154)</f>
        <v>0</v>
      </c>
      <c r="AH7" s="264">
        <f>MAX(0,MIN(DATE(AH5,12,31),Inputs!$E$155)-MAX(DATE(AH5,1,1)-1,Inputs!$E$154))/(Inputs!$E$155-Inputs!$E$154)</f>
        <v>0</v>
      </c>
      <c r="AI7" s="264">
        <f>MAX(0,MIN(DATE(AI5,12,31),Inputs!$E$155)-MAX(DATE(AI5,1,1)-1,Inputs!$E$154))/(Inputs!$E$155-Inputs!$E$154)</f>
        <v>0</v>
      </c>
      <c r="AJ7" s="264">
        <f>MAX(0,MIN(DATE(AJ5,12,31),Inputs!$E$155)-MAX(DATE(AJ5,1,1)-1,Inputs!$E$154))/(Inputs!$E$155-Inputs!$E$154)</f>
        <v>0</v>
      </c>
      <c r="AK7" s="264">
        <f>MAX(0,MIN(DATE(AK5,12,31),Inputs!$E$155)-MAX(DATE(AK5,1,1)-1,Inputs!$E$154))/(Inputs!$E$155-Inputs!$E$154)</f>
        <v>0</v>
      </c>
      <c r="AL7" s="264">
        <f>MAX(0,MIN(DATE(AL5,12,31),Inputs!$E$155)-MAX(DATE(AL5,1,1)-1,Inputs!$E$154))/(Inputs!$E$155-Inputs!$E$154)</f>
        <v>0</v>
      </c>
      <c r="AM7" s="264">
        <f>MAX(0,MIN(DATE(AM5,12,31),Inputs!$E$155)-MAX(DATE(AM5,1,1)-1,Inputs!$E$154))/(Inputs!$E$155-Inputs!$E$154)</f>
        <v>0</v>
      </c>
      <c r="AN7" s="264">
        <f>MAX(0,MIN(DATE(AN5,12,31),Inputs!$E$155)-MAX(DATE(AN5,1,1)-1,Inputs!$E$154))/(Inputs!$E$155-Inputs!$E$154)</f>
        <v>0</v>
      </c>
      <c r="AO7" s="264">
        <f>MAX(0,MIN(DATE(AO5,12,31),Inputs!$E$155)-MAX(DATE(AO5,1,1)-1,Inputs!$E$154))/(Inputs!$E$155-Inputs!$E$154)</f>
        <v>0</v>
      </c>
      <c r="AP7" s="264">
        <f>MAX(0,MIN(DATE(AP5,12,31),Inputs!$E$155)-MAX(DATE(AP5,1,1)-1,Inputs!$E$154))/(Inputs!$E$155-Inputs!$E$154)</f>
        <v>0</v>
      </c>
      <c r="AQ7" s="264">
        <f>MAX(0,MIN(DATE(AQ5,12,31),Inputs!$E$155)-MAX(DATE(AQ5,1,1)-1,Inputs!$E$154))/(Inputs!$E$155-Inputs!$E$154)</f>
        <v>0</v>
      </c>
    </row>
    <row r="8" spans="1:43" x14ac:dyDescent="0.25">
      <c r="C8" s="250" t="s">
        <v>1191</v>
      </c>
      <c r="D8" s="250" t="s">
        <v>984</v>
      </c>
      <c r="E8" s="250"/>
      <c r="F8" s="250"/>
      <c r="G8" s="250">
        <f>SUM(H8:AQ8)</f>
        <v>29</v>
      </c>
      <c r="H8" s="251">
        <f t="shared" ref="H8:AQ8" si="1">IF(H10&gt;=1,1,0)</f>
        <v>0</v>
      </c>
      <c r="I8" s="251">
        <f t="shared" si="1"/>
        <v>0</v>
      </c>
      <c r="J8" s="251">
        <f t="shared" si="1"/>
        <v>0</v>
      </c>
      <c r="K8" s="251">
        <f t="shared" si="1"/>
        <v>0</v>
      </c>
      <c r="L8" s="251">
        <f t="shared" si="1"/>
        <v>0</v>
      </c>
      <c r="M8" s="251">
        <f t="shared" si="1"/>
        <v>0</v>
      </c>
      <c r="N8" s="251">
        <f t="shared" si="1"/>
        <v>1</v>
      </c>
      <c r="O8" s="251">
        <f t="shared" si="1"/>
        <v>1</v>
      </c>
      <c r="P8" s="251">
        <f t="shared" si="1"/>
        <v>1</v>
      </c>
      <c r="Q8" s="251">
        <f t="shared" si="1"/>
        <v>1</v>
      </c>
      <c r="R8" s="251">
        <f t="shared" si="1"/>
        <v>1</v>
      </c>
      <c r="S8" s="251">
        <f t="shared" si="1"/>
        <v>1</v>
      </c>
      <c r="T8" s="251">
        <f t="shared" si="1"/>
        <v>1</v>
      </c>
      <c r="U8" s="251">
        <f t="shared" si="1"/>
        <v>1</v>
      </c>
      <c r="V8" s="251">
        <f t="shared" si="1"/>
        <v>1</v>
      </c>
      <c r="W8" s="251">
        <f t="shared" si="1"/>
        <v>1</v>
      </c>
      <c r="X8" s="251">
        <f t="shared" si="1"/>
        <v>1</v>
      </c>
      <c r="Y8" s="251">
        <f t="shared" si="1"/>
        <v>1</v>
      </c>
      <c r="Z8" s="251">
        <f t="shared" si="1"/>
        <v>1</v>
      </c>
      <c r="AA8" s="251">
        <f t="shared" si="1"/>
        <v>1</v>
      </c>
      <c r="AB8" s="251">
        <f t="shared" si="1"/>
        <v>1</v>
      </c>
      <c r="AC8" s="251">
        <f t="shared" si="1"/>
        <v>1</v>
      </c>
      <c r="AD8" s="251">
        <f t="shared" si="1"/>
        <v>1</v>
      </c>
      <c r="AE8" s="251">
        <f t="shared" si="1"/>
        <v>1</v>
      </c>
      <c r="AF8" s="251">
        <f t="shared" si="1"/>
        <v>1</v>
      </c>
      <c r="AG8" s="251">
        <f t="shared" si="1"/>
        <v>1</v>
      </c>
      <c r="AH8" s="251">
        <f t="shared" si="1"/>
        <v>1</v>
      </c>
      <c r="AI8" s="251">
        <f t="shared" si="1"/>
        <v>1</v>
      </c>
      <c r="AJ8" s="251">
        <f t="shared" si="1"/>
        <v>1</v>
      </c>
      <c r="AK8" s="251">
        <f t="shared" si="1"/>
        <v>1</v>
      </c>
      <c r="AL8" s="251">
        <f t="shared" si="1"/>
        <v>1</v>
      </c>
      <c r="AM8" s="251">
        <f t="shared" si="1"/>
        <v>1</v>
      </c>
      <c r="AN8" s="251">
        <f t="shared" si="1"/>
        <v>1</v>
      </c>
      <c r="AO8" s="251">
        <f t="shared" si="1"/>
        <v>1</v>
      </c>
      <c r="AP8" s="251">
        <f t="shared" si="1"/>
        <v>1</v>
      </c>
      <c r="AQ8" s="251">
        <f t="shared" si="1"/>
        <v>0</v>
      </c>
    </row>
    <row r="9" spans="1:43" x14ac:dyDescent="0.25">
      <c r="C9" s="250" t="s">
        <v>1192</v>
      </c>
      <c r="D9" s="250" t="s">
        <v>29</v>
      </c>
      <c r="E9" s="250"/>
      <c r="F9" s="250"/>
      <c r="G9" s="250"/>
      <c r="H9" s="251">
        <f>IF(AND(H10&gt;0,H$5&gt;=Inputs!$E$156),H$5-Inputs!$E$156+1,0)</f>
        <v>0</v>
      </c>
      <c r="I9" s="251">
        <f>IF(AND(I10&gt;0,I$5&gt;=Inputs!$E$156),I$5-Inputs!$E$156+1,0)</f>
        <v>0</v>
      </c>
      <c r="J9" s="251">
        <f>IF(AND(J10&gt;0,J$5&gt;=Inputs!$E$156),J$5-Inputs!$E$156+1,0)</f>
        <v>0</v>
      </c>
      <c r="K9" s="251">
        <f>IF(AND(K10&gt;0,K$5&gt;=Inputs!$E$156),K$5-Inputs!$E$156+1,0)</f>
        <v>0</v>
      </c>
      <c r="L9" s="251">
        <f>IF(AND(L10&gt;0,L$5&gt;=Inputs!$E$156),L$5-Inputs!$E$156+1,0)</f>
        <v>0</v>
      </c>
      <c r="M9" s="251">
        <f>IF(AND(M10&gt;0,M$5&gt;=Inputs!$E$156),M$5-Inputs!$E$156+1,0)</f>
        <v>0</v>
      </c>
      <c r="N9" s="251">
        <f>IF(AND(N10&gt;0,N$5&gt;=Inputs!$E$156),N$5-Inputs!$E$156+1,0)</f>
        <v>1</v>
      </c>
      <c r="O9" s="251">
        <f>IF(AND(O10&gt;0,O$5&gt;=Inputs!$E$156),O$5-Inputs!$E$156+1,0)</f>
        <v>2</v>
      </c>
      <c r="P9" s="251">
        <f>IF(AND(P10&gt;0,P$5&gt;=Inputs!$E$156),P$5-Inputs!$E$156+1,0)</f>
        <v>3</v>
      </c>
      <c r="Q9" s="251">
        <f>IF(AND(Q10&gt;0,Q$5&gt;=Inputs!$E$156),Q$5-Inputs!$E$156+1,0)</f>
        <v>4</v>
      </c>
      <c r="R9" s="251">
        <f>IF(AND(R10&gt;0,R$5&gt;=Inputs!$E$156),R$5-Inputs!$E$156+1,0)</f>
        <v>5</v>
      </c>
      <c r="S9" s="251">
        <f>IF(AND(S10&gt;0,S$5&gt;=Inputs!$E$156),S$5-Inputs!$E$156+1,0)</f>
        <v>6</v>
      </c>
      <c r="T9" s="251">
        <f>IF(AND(T10&gt;0,T$5&gt;=Inputs!$E$156),T$5-Inputs!$E$156+1,0)</f>
        <v>7</v>
      </c>
      <c r="U9" s="251">
        <f>IF(AND(U10&gt;0,U$5&gt;=Inputs!$E$156),U$5-Inputs!$E$156+1,0)</f>
        <v>8</v>
      </c>
      <c r="V9" s="251">
        <f>IF(AND(V10&gt;0,V$5&gt;=Inputs!$E$156),V$5-Inputs!$E$156+1,0)</f>
        <v>9</v>
      </c>
      <c r="W9" s="251">
        <f>IF(AND(W10&gt;0,W$5&gt;=Inputs!$E$156),W$5-Inputs!$E$156+1,0)</f>
        <v>10</v>
      </c>
      <c r="X9" s="251">
        <f>IF(AND(X10&gt;0,X$5&gt;=Inputs!$E$156),X$5-Inputs!$E$156+1,0)</f>
        <v>11</v>
      </c>
      <c r="Y9" s="251">
        <f>IF(AND(Y10&gt;0,Y$5&gt;=Inputs!$E$156),Y$5-Inputs!$E$156+1,0)</f>
        <v>12</v>
      </c>
      <c r="Z9" s="251">
        <f>IF(AND(Z10&gt;0,Z$5&gt;=Inputs!$E$156),Z$5-Inputs!$E$156+1,0)</f>
        <v>13</v>
      </c>
      <c r="AA9" s="251">
        <f>IF(AND(AA10&gt;0,AA$5&gt;=Inputs!$E$156),AA$5-Inputs!$E$156+1,0)</f>
        <v>14</v>
      </c>
      <c r="AB9" s="251">
        <f>IF(AND(AB10&gt;0,AB$5&gt;=Inputs!$E$156),AB$5-Inputs!$E$156+1,0)</f>
        <v>15</v>
      </c>
      <c r="AC9" s="251">
        <f>IF(AND(AC10&gt;0,AC$5&gt;=Inputs!$E$156),AC$5-Inputs!$E$156+1,0)</f>
        <v>16</v>
      </c>
      <c r="AD9" s="251">
        <f>IF(AND(AD10&gt;0,AD$5&gt;=Inputs!$E$156),AD$5-Inputs!$E$156+1,0)</f>
        <v>17</v>
      </c>
      <c r="AE9" s="251">
        <f>IF(AND(AE10&gt;0,AE$5&gt;=Inputs!$E$156),AE$5-Inputs!$E$156+1,0)</f>
        <v>18</v>
      </c>
      <c r="AF9" s="251">
        <f>IF(AND(AF10&gt;0,AF$5&gt;=Inputs!$E$156),AF$5-Inputs!$E$156+1,0)</f>
        <v>19</v>
      </c>
      <c r="AG9" s="251">
        <f>IF(AND(AG10&gt;0,AG$5&gt;=Inputs!$E$156),AG$5-Inputs!$E$156+1,0)</f>
        <v>20</v>
      </c>
      <c r="AH9" s="251">
        <f>IF(AND(AH10&gt;0,AH$5&gt;=Inputs!$E$156),AH$5-Inputs!$E$156+1,0)</f>
        <v>21</v>
      </c>
      <c r="AI9" s="251">
        <f>IF(AND(AI10&gt;0,AI$5&gt;=Inputs!$E$156),AI$5-Inputs!$E$156+1,0)</f>
        <v>22</v>
      </c>
      <c r="AJ9" s="251">
        <f>IF(AND(AJ10&gt;0,AJ$5&gt;=Inputs!$E$156),AJ$5-Inputs!$E$156+1,0)</f>
        <v>23</v>
      </c>
      <c r="AK9" s="251">
        <f>IF(AND(AK10&gt;0,AK$5&gt;=Inputs!$E$156),AK$5-Inputs!$E$156+1,0)</f>
        <v>24</v>
      </c>
      <c r="AL9" s="251">
        <f>IF(AND(AL10&gt;0,AL$5&gt;=Inputs!$E$156),AL$5-Inputs!$E$156+1,0)</f>
        <v>25</v>
      </c>
      <c r="AM9" s="251">
        <f>IF(AND(AM10&gt;0,AM$5&gt;=Inputs!$E$156),AM$5-Inputs!$E$156+1,0)</f>
        <v>26</v>
      </c>
      <c r="AN9" s="251">
        <f>IF(AND(AN10&gt;0,AN$5&gt;=Inputs!$E$156),AN$5-Inputs!$E$156+1,0)</f>
        <v>27</v>
      </c>
      <c r="AO9" s="251">
        <f>IF(AND(AO10&gt;0,AO$5&gt;=Inputs!$E$156),AO$5-Inputs!$E$156+1,0)</f>
        <v>28</v>
      </c>
      <c r="AP9" s="251">
        <f>IF(AND(AP10&gt;0,AP$5&gt;=Inputs!$E$156),AP$5-Inputs!$E$156+1,0)</f>
        <v>29</v>
      </c>
      <c r="AQ9" s="251">
        <f>IF(AND(AQ10&gt;0,AQ$5&gt;=Inputs!$E$156),AQ$5-Inputs!$E$156+1,0)</f>
        <v>30</v>
      </c>
    </row>
    <row r="10" spans="1:43" x14ac:dyDescent="0.25">
      <c r="C10" s="250" t="s">
        <v>1193</v>
      </c>
      <c r="D10" s="250" t="s">
        <v>51</v>
      </c>
      <c r="E10" s="250"/>
      <c r="F10" s="250"/>
      <c r="G10" s="250">
        <f>SUM(H10:AQ10)</f>
        <v>30</v>
      </c>
      <c r="H10" s="264">
        <f>IF(H$5=YEAR(Inputs!$E$155),(12-MONTH(Inputs!$E$155))/12,0)+IF(AND(H$5&gt;=Inputs!$E$156,H$5&lt;Inputs!$E$158),1,0)+IF(H$5=Inputs!$E$158,MONTH(Inputs!$E$155)/12,0)</f>
        <v>0</v>
      </c>
      <c r="I10" s="264">
        <f>IF(I$5=YEAR(Inputs!$E$155),(12-MONTH(Inputs!$E$155))/12,0)+IF(AND(I$5&gt;=Inputs!$E$156,I$5&lt;Inputs!$E$158),1,0)+IF(I$5=Inputs!$E$158,MONTH(Inputs!$E$155)/12,0)</f>
        <v>0</v>
      </c>
      <c r="J10" s="264">
        <f>IF(J$5=YEAR(Inputs!$E$155),(12-MONTH(Inputs!$E$155))/12,0)+IF(AND(J$5&gt;=Inputs!$E$156,J$5&lt;Inputs!$E$158),1,0)+IF(J$5=Inputs!$E$158,MONTH(Inputs!$E$155)/12,0)</f>
        <v>0</v>
      </c>
      <c r="K10" s="264">
        <f>IF(K$5=YEAR(Inputs!$E$155),(12-MONTH(Inputs!$E$155))/12,0)+IF(AND(K$5&gt;=Inputs!$E$156,K$5&lt;Inputs!$E$158),1,0)+IF(K$5=Inputs!$E$158,MONTH(Inputs!$E$155)/12,0)</f>
        <v>0</v>
      </c>
      <c r="L10" s="264">
        <f>IF(L$5=YEAR(Inputs!$E$155),(12-MONTH(Inputs!$E$155))/12,0)+IF(AND(L$5&gt;=Inputs!$E$156,L$5&lt;Inputs!$E$158),1,0)+IF(L$5=Inputs!$E$158,MONTH(Inputs!$E$155)/12,0)</f>
        <v>0</v>
      </c>
      <c r="M10" s="264">
        <f>IF(M$5=YEAR(Inputs!$E$155),(12-MONTH(Inputs!$E$155))/12,0)+IF(AND(M$5&gt;=Inputs!$E$156,M$5&lt;Inputs!$E$158),1,0)+IF(M$5=Inputs!$E$158,MONTH(Inputs!$E$155)/12,0)</f>
        <v>0.5</v>
      </c>
      <c r="N10" s="264">
        <f>IF(N$5=YEAR(Inputs!$E$155),(12-MONTH(Inputs!$E$155))/12,0)+IF(AND(N$5&gt;=Inputs!$E$156,N$5&lt;Inputs!$E$158),1,0)+IF(N$5=Inputs!$E$158,MONTH(Inputs!$E$155)/12,0)</f>
        <v>1</v>
      </c>
      <c r="O10" s="264">
        <f>IF(O$5=YEAR(Inputs!$E$155),(12-MONTH(Inputs!$E$155))/12,0)+IF(AND(O$5&gt;=Inputs!$E$156,O$5&lt;Inputs!$E$158),1,0)+IF(O$5=Inputs!$E$158,MONTH(Inputs!$E$155)/12,0)</f>
        <v>1</v>
      </c>
      <c r="P10" s="264">
        <f>IF(P$5=YEAR(Inputs!$E$155),(12-MONTH(Inputs!$E$155))/12,0)+IF(AND(P$5&gt;=Inputs!$E$156,P$5&lt;Inputs!$E$158),1,0)+IF(P$5=Inputs!$E$158,MONTH(Inputs!$E$155)/12,0)</f>
        <v>1</v>
      </c>
      <c r="Q10" s="264">
        <f>IF(Q$5=YEAR(Inputs!$E$155),(12-MONTH(Inputs!$E$155))/12,0)+IF(AND(Q$5&gt;=Inputs!$E$156,Q$5&lt;Inputs!$E$158),1,0)+IF(Q$5=Inputs!$E$158,MONTH(Inputs!$E$155)/12,0)</f>
        <v>1</v>
      </c>
      <c r="R10" s="264">
        <f>IF(R$5=YEAR(Inputs!$E$155),(12-MONTH(Inputs!$E$155))/12,0)+IF(AND(R$5&gt;=Inputs!$E$156,R$5&lt;Inputs!$E$158),1,0)+IF(R$5=Inputs!$E$158,MONTH(Inputs!$E$155)/12,0)</f>
        <v>1</v>
      </c>
      <c r="S10" s="264">
        <f>IF(S$5=YEAR(Inputs!$E$155),(12-MONTH(Inputs!$E$155))/12,0)+IF(AND(S$5&gt;=Inputs!$E$156,S$5&lt;Inputs!$E$158),1,0)+IF(S$5=Inputs!$E$158,MONTH(Inputs!$E$155)/12,0)</f>
        <v>1</v>
      </c>
      <c r="T10" s="264">
        <f>IF(T$5=YEAR(Inputs!$E$155),(12-MONTH(Inputs!$E$155))/12,0)+IF(AND(T$5&gt;=Inputs!$E$156,T$5&lt;Inputs!$E$158),1,0)+IF(T$5=Inputs!$E$158,MONTH(Inputs!$E$155)/12,0)</f>
        <v>1</v>
      </c>
      <c r="U10" s="264">
        <f>IF(U$5=YEAR(Inputs!$E$155),(12-MONTH(Inputs!$E$155))/12,0)+IF(AND(U$5&gt;=Inputs!$E$156,U$5&lt;Inputs!$E$158),1,0)+IF(U$5=Inputs!$E$158,MONTH(Inputs!$E$155)/12,0)</f>
        <v>1</v>
      </c>
      <c r="V10" s="264">
        <f>IF(V$5=YEAR(Inputs!$E$155),(12-MONTH(Inputs!$E$155))/12,0)+IF(AND(V$5&gt;=Inputs!$E$156,V$5&lt;Inputs!$E$158),1,0)+IF(V$5=Inputs!$E$158,MONTH(Inputs!$E$155)/12,0)</f>
        <v>1</v>
      </c>
      <c r="W10" s="264">
        <f>IF(W$5=YEAR(Inputs!$E$155),(12-MONTH(Inputs!$E$155))/12,0)+IF(AND(W$5&gt;=Inputs!$E$156,W$5&lt;Inputs!$E$158),1,0)+IF(W$5=Inputs!$E$158,MONTH(Inputs!$E$155)/12,0)</f>
        <v>1</v>
      </c>
      <c r="X10" s="264">
        <f>IF(X$5=YEAR(Inputs!$E$155),(12-MONTH(Inputs!$E$155))/12,0)+IF(AND(X$5&gt;=Inputs!$E$156,X$5&lt;Inputs!$E$158),1,0)+IF(X$5=Inputs!$E$158,MONTH(Inputs!$E$155)/12,0)</f>
        <v>1</v>
      </c>
      <c r="Y10" s="264">
        <f>IF(Y$5=YEAR(Inputs!$E$155),(12-MONTH(Inputs!$E$155))/12,0)+IF(AND(Y$5&gt;=Inputs!$E$156,Y$5&lt;Inputs!$E$158),1,0)+IF(Y$5=Inputs!$E$158,MONTH(Inputs!$E$155)/12,0)</f>
        <v>1</v>
      </c>
      <c r="Z10" s="264">
        <f>IF(Z$5=YEAR(Inputs!$E$155),(12-MONTH(Inputs!$E$155))/12,0)+IF(AND(Z$5&gt;=Inputs!$E$156,Z$5&lt;Inputs!$E$158),1,0)+IF(Z$5=Inputs!$E$158,MONTH(Inputs!$E$155)/12,0)</f>
        <v>1</v>
      </c>
      <c r="AA10" s="264">
        <f>IF(AA$5=YEAR(Inputs!$E$155),(12-MONTH(Inputs!$E$155))/12,0)+IF(AND(AA$5&gt;=Inputs!$E$156,AA$5&lt;Inputs!$E$158),1,0)+IF(AA$5=Inputs!$E$158,MONTH(Inputs!$E$155)/12,0)</f>
        <v>1</v>
      </c>
      <c r="AB10" s="264">
        <f>IF(AB$5=YEAR(Inputs!$E$155),(12-MONTH(Inputs!$E$155))/12,0)+IF(AND(AB$5&gt;=Inputs!$E$156,AB$5&lt;Inputs!$E$158),1,0)+IF(AB$5=Inputs!$E$158,MONTH(Inputs!$E$155)/12,0)</f>
        <v>1</v>
      </c>
      <c r="AC10" s="264">
        <f>IF(AC$5=YEAR(Inputs!$E$155),(12-MONTH(Inputs!$E$155))/12,0)+IF(AND(AC$5&gt;=Inputs!$E$156,AC$5&lt;Inputs!$E$158),1,0)+IF(AC$5=Inputs!$E$158,MONTH(Inputs!$E$155)/12,0)</f>
        <v>1</v>
      </c>
      <c r="AD10" s="264">
        <f>IF(AD$5=YEAR(Inputs!$E$155),(12-MONTH(Inputs!$E$155))/12,0)+IF(AND(AD$5&gt;=Inputs!$E$156,AD$5&lt;Inputs!$E$158),1,0)+IF(AD$5=Inputs!$E$158,MONTH(Inputs!$E$155)/12,0)</f>
        <v>1</v>
      </c>
      <c r="AE10" s="264">
        <f>IF(AE$5=YEAR(Inputs!$E$155),(12-MONTH(Inputs!$E$155))/12,0)+IF(AND(AE$5&gt;=Inputs!$E$156,AE$5&lt;Inputs!$E$158),1,0)+IF(AE$5=Inputs!$E$158,MONTH(Inputs!$E$155)/12,0)</f>
        <v>1</v>
      </c>
      <c r="AF10" s="264">
        <f>IF(AF$5=YEAR(Inputs!$E$155),(12-MONTH(Inputs!$E$155))/12,0)+IF(AND(AF$5&gt;=Inputs!$E$156,AF$5&lt;Inputs!$E$158),1,0)+IF(AF$5=Inputs!$E$158,MONTH(Inputs!$E$155)/12,0)</f>
        <v>1</v>
      </c>
      <c r="AG10" s="264">
        <f>IF(AG$5=YEAR(Inputs!$E$155),(12-MONTH(Inputs!$E$155))/12,0)+IF(AND(AG$5&gt;=Inputs!$E$156,AG$5&lt;Inputs!$E$158),1,0)+IF(AG$5=Inputs!$E$158,MONTH(Inputs!$E$155)/12,0)</f>
        <v>1</v>
      </c>
      <c r="AH10" s="264">
        <f>IF(AH$5=YEAR(Inputs!$E$155),(12-MONTH(Inputs!$E$155))/12,0)+IF(AND(AH$5&gt;=Inputs!$E$156,AH$5&lt;Inputs!$E$158),1,0)+IF(AH$5=Inputs!$E$158,MONTH(Inputs!$E$155)/12,0)</f>
        <v>1</v>
      </c>
      <c r="AI10" s="264">
        <f>IF(AI$5=YEAR(Inputs!$E$155),(12-MONTH(Inputs!$E$155))/12,0)+IF(AND(AI$5&gt;=Inputs!$E$156,AI$5&lt;Inputs!$E$158),1,0)+IF(AI$5=Inputs!$E$158,MONTH(Inputs!$E$155)/12,0)</f>
        <v>1</v>
      </c>
      <c r="AJ10" s="264">
        <f>IF(AJ$5=YEAR(Inputs!$E$155),(12-MONTH(Inputs!$E$155))/12,0)+IF(AND(AJ$5&gt;=Inputs!$E$156,AJ$5&lt;Inputs!$E$158),1,0)+IF(AJ$5=Inputs!$E$158,MONTH(Inputs!$E$155)/12,0)</f>
        <v>1</v>
      </c>
      <c r="AK10" s="264">
        <f>IF(AK$5=YEAR(Inputs!$E$155),(12-MONTH(Inputs!$E$155))/12,0)+IF(AND(AK$5&gt;=Inputs!$E$156,AK$5&lt;Inputs!$E$158),1,0)+IF(AK$5=Inputs!$E$158,MONTH(Inputs!$E$155)/12,0)</f>
        <v>1</v>
      </c>
      <c r="AL10" s="264">
        <f>IF(AL$5=YEAR(Inputs!$E$155),(12-MONTH(Inputs!$E$155))/12,0)+IF(AND(AL$5&gt;=Inputs!$E$156,AL$5&lt;Inputs!$E$158),1,0)+IF(AL$5=Inputs!$E$158,MONTH(Inputs!$E$155)/12,0)</f>
        <v>1</v>
      </c>
      <c r="AM10" s="264">
        <f>IF(AM$5=YEAR(Inputs!$E$155),(12-MONTH(Inputs!$E$155))/12,0)+IF(AND(AM$5&gt;=Inputs!$E$156,AM$5&lt;Inputs!$E$158),1,0)+IF(AM$5=Inputs!$E$158,MONTH(Inputs!$E$155)/12,0)</f>
        <v>1</v>
      </c>
      <c r="AN10" s="264">
        <f>IF(AN$5=YEAR(Inputs!$E$155),(12-MONTH(Inputs!$E$155))/12,0)+IF(AND(AN$5&gt;=Inputs!$E$156,AN$5&lt;Inputs!$E$158),1,0)+IF(AN$5=Inputs!$E$158,MONTH(Inputs!$E$155)/12,0)</f>
        <v>1</v>
      </c>
      <c r="AO10" s="264">
        <f>IF(AO$5=YEAR(Inputs!$E$155),(12-MONTH(Inputs!$E$155))/12,0)+IF(AND(AO$5&gt;=Inputs!$E$156,AO$5&lt;Inputs!$E$158),1,0)+IF(AO$5=Inputs!$E$158,MONTH(Inputs!$E$155)/12,0)</f>
        <v>1</v>
      </c>
      <c r="AP10" s="264">
        <f>IF(AP$5=YEAR(Inputs!$E$155),(12-MONTH(Inputs!$E$155))/12,0)+IF(AND(AP$5&gt;=Inputs!$E$156,AP$5&lt;Inputs!$E$158),1,0)+IF(AP$5=Inputs!$E$158,MONTH(Inputs!$E$155)/12,0)</f>
        <v>1</v>
      </c>
      <c r="AQ10" s="264">
        <f>IF(AQ$5=YEAR(Inputs!$E$155),(12-MONTH(Inputs!$E$155))/12,0)+IF(AND(AQ$5&gt;=Inputs!$E$156,AQ$5&lt;Inputs!$E$158),1,0)+IF(AQ$5=Inputs!$E$158,MONTH(Inputs!$E$155)/12,0)</f>
        <v>0.5</v>
      </c>
    </row>
    <row r="11" spans="1:43" x14ac:dyDescent="0.25">
      <c r="C11" s="250" t="s">
        <v>1194</v>
      </c>
      <c r="D11" s="250" t="s">
        <v>984</v>
      </c>
      <c r="E11" s="250"/>
      <c r="F11" s="250"/>
      <c r="G11" s="250"/>
      <c r="H11" s="251">
        <f>IF(H5=Inputs!$E$158,1,0)</f>
        <v>0</v>
      </c>
      <c r="I11" s="251">
        <f>IF(I5=Inputs!$E$158,1,0)</f>
        <v>0</v>
      </c>
      <c r="J11" s="251">
        <f>IF(J5=Inputs!$E$158,1,0)</f>
        <v>0</v>
      </c>
      <c r="K11" s="251">
        <f>IF(K5=Inputs!$E$158,1,0)</f>
        <v>0</v>
      </c>
      <c r="L11" s="251">
        <f>IF(L5=Inputs!$E$158,1,0)</f>
        <v>0</v>
      </c>
      <c r="M11" s="251">
        <f>IF(M5=Inputs!$E$158,1,0)</f>
        <v>0</v>
      </c>
      <c r="N11" s="251">
        <f>IF(N5=Inputs!$E$158,1,0)</f>
        <v>0</v>
      </c>
      <c r="O11" s="251">
        <f>IF(O5=Inputs!$E$158,1,0)</f>
        <v>0</v>
      </c>
      <c r="P11" s="251">
        <f>IF(P5=Inputs!$E$158,1,0)</f>
        <v>0</v>
      </c>
      <c r="Q11" s="251">
        <f>IF(Q5=Inputs!$E$158,1,0)</f>
        <v>0</v>
      </c>
      <c r="R11" s="251">
        <f>IF(R5=Inputs!$E$158,1,0)</f>
        <v>0</v>
      </c>
      <c r="S11" s="251">
        <f>IF(S5=Inputs!$E$158,1,0)</f>
        <v>0</v>
      </c>
      <c r="T11" s="251">
        <f>IF(T5=Inputs!$E$158,1,0)</f>
        <v>0</v>
      </c>
      <c r="U11" s="251">
        <f>IF(U5=Inputs!$E$158,1,0)</f>
        <v>0</v>
      </c>
      <c r="V11" s="251">
        <f>IF(V5=Inputs!$E$158,1,0)</f>
        <v>0</v>
      </c>
      <c r="W11" s="251">
        <f>IF(W5=Inputs!$E$158,1,0)</f>
        <v>0</v>
      </c>
      <c r="X11" s="251">
        <f>IF(X5=Inputs!$E$158,1,0)</f>
        <v>0</v>
      </c>
      <c r="Y11" s="251">
        <f>IF(Y5=Inputs!$E$158,1,0)</f>
        <v>0</v>
      </c>
      <c r="Z11" s="251">
        <f>IF(Z5=Inputs!$E$158,1,0)</f>
        <v>0</v>
      </c>
      <c r="AA11" s="251">
        <f>IF(AA5=Inputs!$E$158,1,0)</f>
        <v>0</v>
      </c>
      <c r="AB11" s="251">
        <f>IF(AB5=Inputs!$E$158,1,0)</f>
        <v>0</v>
      </c>
      <c r="AC11" s="251">
        <f>IF(AC5=Inputs!$E$158,1,0)</f>
        <v>0</v>
      </c>
      <c r="AD11" s="251">
        <f>IF(AD5=Inputs!$E$158,1,0)</f>
        <v>0</v>
      </c>
      <c r="AE11" s="251">
        <f>IF(AE5=Inputs!$E$158,1,0)</f>
        <v>0</v>
      </c>
      <c r="AF11" s="251">
        <f>IF(AF5=Inputs!$E$158,1,0)</f>
        <v>0</v>
      </c>
      <c r="AG11" s="251">
        <f>IF(AG5=Inputs!$E$158,1,0)</f>
        <v>0</v>
      </c>
      <c r="AH11" s="251">
        <f>IF(AH5=Inputs!$E$158,1,0)</f>
        <v>0</v>
      </c>
      <c r="AI11" s="251">
        <f>IF(AI5=Inputs!$E$158,1,0)</f>
        <v>0</v>
      </c>
      <c r="AJ11" s="251">
        <f>IF(AJ5=Inputs!$E$158,1,0)</f>
        <v>0</v>
      </c>
      <c r="AK11" s="251">
        <f>IF(AK5=Inputs!$E$158,1,0)</f>
        <v>0</v>
      </c>
      <c r="AL11" s="251">
        <f>IF(AL5=Inputs!$E$158,1,0)</f>
        <v>0</v>
      </c>
      <c r="AM11" s="251">
        <f>IF(AM5=Inputs!$E$158,1,0)</f>
        <v>0</v>
      </c>
      <c r="AN11" s="251">
        <f>IF(AN5=Inputs!$E$158,1,0)</f>
        <v>0</v>
      </c>
      <c r="AO11" s="251">
        <f>IF(AO5=Inputs!$E$158,1,0)</f>
        <v>0</v>
      </c>
      <c r="AP11" s="251">
        <f>IF(AP5=Inputs!$E$158,1,0)</f>
        <v>0</v>
      </c>
      <c r="AQ11" s="251">
        <f>IF(AQ5=Inputs!$E$158,1,0)</f>
        <v>1</v>
      </c>
    </row>
    <row r="12" spans="1:43" x14ac:dyDescent="0.25">
      <c r="C12" s="250" t="s">
        <v>1195</v>
      </c>
      <c r="D12" s="250" t="s">
        <v>7</v>
      </c>
      <c r="E12" s="265">
        <f>Inputs!$E$226</f>
        <v>0.08</v>
      </c>
      <c r="F12" s="250"/>
      <c r="G12" s="250"/>
      <c r="H12" s="266">
        <f t="shared" ref="H12:AQ12" si="2">1/(1+$E$12)^H4</f>
        <v>1</v>
      </c>
      <c r="I12" s="266">
        <f t="shared" si="2"/>
        <v>0.92592592592592582</v>
      </c>
      <c r="J12" s="266">
        <f t="shared" si="2"/>
        <v>0.85733882030178321</v>
      </c>
      <c r="K12" s="266">
        <f t="shared" si="2"/>
        <v>0.79383224102016958</v>
      </c>
      <c r="L12" s="266">
        <f t="shared" si="2"/>
        <v>0.73502985279645328</v>
      </c>
      <c r="M12" s="266">
        <f t="shared" si="2"/>
        <v>0.68058319703375303</v>
      </c>
      <c r="N12" s="266">
        <f t="shared" si="2"/>
        <v>0.63016962688310452</v>
      </c>
      <c r="O12" s="266">
        <f t="shared" si="2"/>
        <v>0.58349039526213387</v>
      </c>
      <c r="P12" s="266">
        <f t="shared" si="2"/>
        <v>0.54026888450197574</v>
      </c>
      <c r="Q12" s="266">
        <f t="shared" si="2"/>
        <v>0.50024896713145905</v>
      </c>
      <c r="R12" s="266">
        <f t="shared" si="2"/>
        <v>0.46319348808468425</v>
      </c>
      <c r="S12" s="266">
        <f t="shared" si="2"/>
        <v>0.42888285933767062</v>
      </c>
      <c r="T12" s="266">
        <f t="shared" si="2"/>
        <v>0.39711375864599124</v>
      </c>
      <c r="U12" s="266">
        <f t="shared" si="2"/>
        <v>0.36769792467221413</v>
      </c>
      <c r="V12" s="266">
        <f t="shared" si="2"/>
        <v>0.34046104136316119</v>
      </c>
      <c r="W12" s="266">
        <f t="shared" si="2"/>
        <v>0.31524170496588994</v>
      </c>
      <c r="X12" s="266">
        <f t="shared" si="2"/>
        <v>0.29189046756100923</v>
      </c>
      <c r="Y12" s="266">
        <f t="shared" si="2"/>
        <v>0.27026895144537894</v>
      </c>
      <c r="Z12" s="266">
        <f t="shared" si="2"/>
        <v>0.25024902911609154</v>
      </c>
      <c r="AA12" s="266">
        <f t="shared" si="2"/>
        <v>0.23171206399638106</v>
      </c>
      <c r="AB12" s="266">
        <f t="shared" si="2"/>
        <v>0.21454820740405653</v>
      </c>
      <c r="AC12" s="266">
        <f t="shared" si="2"/>
        <v>0.19865574759634863</v>
      </c>
      <c r="AD12" s="266">
        <f t="shared" si="2"/>
        <v>0.18394050703365611</v>
      </c>
      <c r="AE12" s="266">
        <f t="shared" si="2"/>
        <v>0.17031528429042234</v>
      </c>
      <c r="AF12" s="266">
        <f t="shared" si="2"/>
        <v>0.1576993373059466</v>
      </c>
      <c r="AG12" s="266">
        <f t="shared" si="2"/>
        <v>0.1460179049129135</v>
      </c>
      <c r="AH12" s="266">
        <f t="shared" si="2"/>
        <v>0.13520176380825324</v>
      </c>
      <c r="AI12" s="266">
        <f t="shared" si="2"/>
        <v>0.12518681834097523</v>
      </c>
      <c r="AJ12" s="266">
        <f t="shared" si="2"/>
        <v>0.11591372068608817</v>
      </c>
      <c r="AK12" s="266">
        <f t="shared" si="2"/>
        <v>0.10732751915378534</v>
      </c>
      <c r="AL12" s="266">
        <f t="shared" si="2"/>
        <v>9.9377332549801231E-2</v>
      </c>
      <c r="AM12" s="266">
        <f t="shared" si="2"/>
        <v>9.2016048657223348E-2</v>
      </c>
      <c r="AN12" s="266">
        <f t="shared" si="2"/>
        <v>8.5200045052984577E-2</v>
      </c>
      <c r="AO12" s="266">
        <f t="shared" si="2"/>
        <v>7.8888930604615354E-2</v>
      </c>
      <c r="AP12" s="266">
        <f t="shared" si="2"/>
        <v>7.3045306115384581E-2</v>
      </c>
      <c r="AQ12" s="266">
        <f t="shared" si="2"/>
        <v>6.7634542699430159E-2</v>
      </c>
    </row>
    <row r="13" spans="1:43" x14ac:dyDescent="0.25">
      <c r="C13" s="250" t="s">
        <v>1196</v>
      </c>
      <c r="D13" s="250" t="s">
        <v>7</v>
      </c>
      <c r="E13" s="265">
        <f>Inputs!$E$227</f>
        <v>0.08</v>
      </c>
      <c r="F13" s="250"/>
      <c r="G13" s="250"/>
      <c r="H13" s="266">
        <f t="shared" ref="H13:AQ13" si="3">1/(1+$E$13)^H4</f>
        <v>1</v>
      </c>
      <c r="I13" s="266">
        <f t="shared" si="3"/>
        <v>0.92592592592592582</v>
      </c>
      <c r="J13" s="266">
        <f t="shared" si="3"/>
        <v>0.85733882030178321</v>
      </c>
      <c r="K13" s="266">
        <f t="shared" si="3"/>
        <v>0.79383224102016958</v>
      </c>
      <c r="L13" s="266">
        <f t="shared" si="3"/>
        <v>0.73502985279645328</v>
      </c>
      <c r="M13" s="266">
        <f t="shared" si="3"/>
        <v>0.68058319703375303</v>
      </c>
      <c r="N13" s="266">
        <f t="shared" si="3"/>
        <v>0.63016962688310452</v>
      </c>
      <c r="O13" s="266">
        <f t="shared" si="3"/>
        <v>0.58349039526213387</v>
      </c>
      <c r="P13" s="266">
        <f t="shared" si="3"/>
        <v>0.54026888450197574</v>
      </c>
      <c r="Q13" s="266">
        <f t="shared" si="3"/>
        <v>0.50024896713145905</v>
      </c>
      <c r="R13" s="266">
        <f t="shared" si="3"/>
        <v>0.46319348808468425</v>
      </c>
      <c r="S13" s="266">
        <f t="shared" si="3"/>
        <v>0.42888285933767062</v>
      </c>
      <c r="T13" s="266">
        <f t="shared" si="3"/>
        <v>0.39711375864599124</v>
      </c>
      <c r="U13" s="266">
        <f t="shared" si="3"/>
        <v>0.36769792467221413</v>
      </c>
      <c r="V13" s="266">
        <f t="shared" si="3"/>
        <v>0.34046104136316119</v>
      </c>
      <c r="W13" s="266">
        <f t="shared" si="3"/>
        <v>0.31524170496588994</v>
      </c>
      <c r="X13" s="266">
        <f t="shared" si="3"/>
        <v>0.29189046756100923</v>
      </c>
      <c r="Y13" s="266">
        <f t="shared" si="3"/>
        <v>0.27026895144537894</v>
      </c>
      <c r="Z13" s="266">
        <f t="shared" si="3"/>
        <v>0.25024902911609154</v>
      </c>
      <c r="AA13" s="266">
        <f t="shared" si="3"/>
        <v>0.23171206399638106</v>
      </c>
      <c r="AB13" s="266">
        <f t="shared" si="3"/>
        <v>0.21454820740405653</v>
      </c>
      <c r="AC13" s="266">
        <f t="shared" si="3"/>
        <v>0.19865574759634863</v>
      </c>
      <c r="AD13" s="266">
        <f t="shared" si="3"/>
        <v>0.18394050703365611</v>
      </c>
      <c r="AE13" s="266">
        <f t="shared" si="3"/>
        <v>0.17031528429042234</v>
      </c>
      <c r="AF13" s="266">
        <f t="shared" si="3"/>
        <v>0.1576993373059466</v>
      </c>
      <c r="AG13" s="266">
        <f t="shared" si="3"/>
        <v>0.1460179049129135</v>
      </c>
      <c r="AH13" s="266">
        <f t="shared" si="3"/>
        <v>0.13520176380825324</v>
      </c>
      <c r="AI13" s="266">
        <f t="shared" si="3"/>
        <v>0.12518681834097523</v>
      </c>
      <c r="AJ13" s="266">
        <f t="shared" si="3"/>
        <v>0.11591372068608817</v>
      </c>
      <c r="AK13" s="266">
        <f t="shared" si="3"/>
        <v>0.10732751915378534</v>
      </c>
      <c r="AL13" s="266">
        <f t="shared" si="3"/>
        <v>9.9377332549801231E-2</v>
      </c>
      <c r="AM13" s="266">
        <f t="shared" si="3"/>
        <v>9.2016048657223348E-2</v>
      </c>
      <c r="AN13" s="266">
        <f t="shared" si="3"/>
        <v>8.5200045052984577E-2</v>
      </c>
      <c r="AO13" s="266">
        <f t="shared" si="3"/>
        <v>7.8888930604615354E-2</v>
      </c>
      <c r="AP13" s="266">
        <f t="shared" si="3"/>
        <v>7.3045306115384581E-2</v>
      </c>
      <c r="AQ13" s="266">
        <f t="shared" si="3"/>
        <v>6.7634542699430159E-2</v>
      </c>
    </row>
    <row r="14" spans="1:43" x14ac:dyDescent="0.25">
      <c r="C14" s="250" t="s">
        <v>1197</v>
      </c>
      <c r="D14" s="250" t="s">
        <v>51</v>
      </c>
      <c r="E14" s="250"/>
      <c r="F14" s="250"/>
      <c r="G14" s="250">
        <f>SUM(H14:AQ14)</f>
        <v>2</v>
      </c>
      <c r="H14" s="264">
        <f>MAX(0,MIN(DATE(H$5,12,31),Inputs!$E$155)-MAX(DATE(H$5,1,1)-1,Inputs!$E$154))/(DATE(H$5,12,31)-DATE(H$5,1,1)+1)</f>
        <v>0</v>
      </c>
      <c r="I14" s="264">
        <f>MAX(0,MIN(DATE(I$5,12,31),Inputs!$E$155)-MAX(DATE(I$5,1,1)-1,Inputs!$E$154))/(DATE(I$5,12,31)-DATE(I$5,1,1)+1)</f>
        <v>0</v>
      </c>
      <c r="J14" s="264">
        <f>MAX(0,MIN(DATE(J$5,12,31),Inputs!$E$155)-MAX(DATE(J$5,1,1)-1,Inputs!$E$154))/(DATE(J$5,12,31)-DATE(J$5,1,1)+1)</f>
        <v>0</v>
      </c>
      <c r="K14" s="264">
        <f>MAX(0,MIN(DATE(K$5,12,31),Inputs!$E$155)-MAX(DATE(K$5,1,1)-1,Inputs!$E$154))/(DATE(K$5,12,31)-DATE(K$5,1,1)+1)</f>
        <v>0.50410958904109593</v>
      </c>
      <c r="L14" s="264">
        <f>MAX(0,MIN(DATE(L$5,12,31),Inputs!$E$155)-MAX(DATE(L$5,1,1)-1,Inputs!$E$154))/(DATE(L$5,12,31)-DATE(L$5,1,1)+1)</f>
        <v>1</v>
      </c>
      <c r="M14" s="264">
        <f>MAX(0,MIN(DATE(M$5,12,31),Inputs!$E$155)-MAX(DATE(M$5,1,1)-1,Inputs!$E$154))/(DATE(M$5,12,31)-DATE(M$5,1,1)+1)</f>
        <v>0.49589041095890413</v>
      </c>
      <c r="N14" s="264">
        <f>MAX(0,MIN(DATE(N$5,12,31),Inputs!$E$155)-MAX(DATE(N$5,1,1)-1,Inputs!$E$154))/(DATE(N$5,12,31)-DATE(N$5,1,1)+1)</f>
        <v>0</v>
      </c>
      <c r="O14" s="264">
        <f>MAX(0,MIN(DATE(O$5,12,31),Inputs!$E$155)-MAX(DATE(O$5,1,1)-1,Inputs!$E$154))/(DATE(O$5,12,31)-DATE(O$5,1,1)+1)</f>
        <v>0</v>
      </c>
      <c r="P14" s="264">
        <f>MAX(0,MIN(DATE(P$5,12,31),Inputs!$E$155)-MAX(DATE(P$5,1,1)-1,Inputs!$E$154))/(DATE(P$5,12,31)-DATE(P$5,1,1)+1)</f>
        <v>0</v>
      </c>
      <c r="Q14" s="264">
        <f>MAX(0,MIN(DATE(Q$5,12,31),Inputs!$E$155)-MAX(DATE(Q$5,1,1)-1,Inputs!$E$154))/(DATE(Q$5,12,31)-DATE(Q$5,1,1)+1)</f>
        <v>0</v>
      </c>
      <c r="R14" s="264">
        <f>MAX(0,MIN(DATE(R$5,12,31),Inputs!$E$155)-MAX(DATE(R$5,1,1)-1,Inputs!$E$154))/(DATE(R$5,12,31)-DATE(R$5,1,1)+1)</f>
        <v>0</v>
      </c>
      <c r="S14" s="264">
        <f>MAX(0,MIN(DATE(S$5,12,31),Inputs!$E$155)-MAX(DATE(S$5,1,1)-1,Inputs!$E$154))/(DATE(S$5,12,31)-DATE(S$5,1,1)+1)</f>
        <v>0</v>
      </c>
      <c r="T14" s="264">
        <f>MAX(0,MIN(DATE(T$5,12,31),Inputs!$E$155)-MAX(DATE(T$5,1,1)-1,Inputs!$E$154))/(DATE(T$5,12,31)-DATE(T$5,1,1)+1)</f>
        <v>0</v>
      </c>
      <c r="U14" s="264">
        <f>MAX(0,MIN(DATE(U$5,12,31),Inputs!$E$155)-MAX(DATE(U$5,1,1)-1,Inputs!$E$154))/(DATE(U$5,12,31)-DATE(U$5,1,1)+1)</f>
        <v>0</v>
      </c>
      <c r="V14" s="264">
        <f>MAX(0,MIN(DATE(V$5,12,31),Inputs!$E$155)-MAX(DATE(V$5,1,1)-1,Inputs!$E$154))/(DATE(V$5,12,31)-DATE(V$5,1,1)+1)</f>
        <v>0</v>
      </c>
      <c r="W14" s="264">
        <f>MAX(0,MIN(DATE(W$5,12,31),Inputs!$E$155)-MAX(DATE(W$5,1,1)-1,Inputs!$E$154))/(DATE(W$5,12,31)-DATE(W$5,1,1)+1)</f>
        <v>0</v>
      </c>
      <c r="X14" s="264">
        <f>MAX(0,MIN(DATE(X$5,12,31),Inputs!$E$155)-MAX(DATE(X$5,1,1)-1,Inputs!$E$154))/(DATE(X$5,12,31)-DATE(X$5,1,1)+1)</f>
        <v>0</v>
      </c>
      <c r="Y14" s="264">
        <f>MAX(0,MIN(DATE(Y$5,12,31),Inputs!$E$155)-MAX(DATE(Y$5,1,1)-1,Inputs!$E$154))/(DATE(Y$5,12,31)-DATE(Y$5,1,1)+1)</f>
        <v>0</v>
      </c>
      <c r="Z14" s="264">
        <f>MAX(0,MIN(DATE(Z$5,12,31),Inputs!$E$155)-MAX(DATE(Z$5,1,1)-1,Inputs!$E$154))/(DATE(Z$5,12,31)-DATE(Z$5,1,1)+1)</f>
        <v>0</v>
      </c>
      <c r="AA14" s="264">
        <f>MAX(0,MIN(DATE(AA$5,12,31),Inputs!$E$155)-MAX(DATE(AA$5,1,1)-1,Inputs!$E$154))/(DATE(AA$5,12,31)-DATE(AA$5,1,1)+1)</f>
        <v>0</v>
      </c>
      <c r="AB14" s="264">
        <f>MAX(0,MIN(DATE(AB$5,12,31),Inputs!$E$155)-MAX(DATE(AB$5,1,1)-1,Inputs!$E$154))/(DATE(AB$5,12,31)-DATE(AB$5,1,1)+1)</f>
        <v>0</v>
      </c>
      <c r="AC14" s="264">
        <f>MAX(0,MIN(DATE(AC$5,12,31),Inputs!$E$155)-MAX(DATE(AC$5,1,1)-1,Inputs!$E$154))/(DATE(AC$5,12,31)-DATE(AC$5,1,1)+1)</f>
        <v>0</v>
      </c>
      <c r="AD14" s="264">
        <f>MAX(0,MIN(DATE(AD$5,12,31),Inputs!$E$155)-MAX(DATE(AD$5,1,1)-1,Inputs!$E$154))/(DATE(AD$5,12,31)-DATE(AD$5,1,1)+1)</f>
        <v>0</v>
      </c>
      <c r="AE14" s="264">
        <f>MAX(0,MIN(DATE(AE$5,12,31),Inputs!$E$155)-MAX(DATE(AE$5,1,1)-1,Inputs!$E$154))/(DATE(AE$5,12,31)-DATE(AE$5,1,1)+1)</f>
        <v>0</v>
      </c>
      <c r="AF14" s="264">
        <f>MAX(0,MIN(DATE(AF$5,12,31),Inputs!$E$155)-MAX(DATE(AF$5,1,1)-1,Inputs!$E$154))/(DATE(AF$5,12,31)-DATE(AF$5,1,1)+1)</f>
        <v>0</v>
      </c>
      <c r="AG14" s="264">
        <f>MAX(0,MIN(DATE(AG$5,12,31),Inputs!$E$155)-MAX(DATE(AG$5,1,1)-1,Inputs!$E$154))/(DATE(AG$5,12,31)-DATE(AG$5,1,1)+1)</f>
        <v>0</v>
      </c>
      <c r="AH14" s="264">
        <f>MAX(0,MIN(DATE(AH$5,12,31),Inputs!$E$155)-MAX(DATE(AH$5,1,1)-1,Inputs!$E$154))/(DATE(AH$5,12,31)-DATE(AH$5,1,1)+1)</f>
        <v>0</v>
      </c>
      <c r="AI14" s="264">
        <f>MAX(0,MIN(DATE(AI$5,12,31),Inputs!$E$155)-MAX(DATE(AI$5,1,1)-1,Inputs!$E$154))/(DATE(AI$5,12,31)-DATE(AI$5,1,1)+1)</f>
        <v>0</v>
      </c>
      <c r="AJ14" s="264">
        <f>MAX(0,MIN(DATE(AJ$5,12,31),Inputs!$E$155)-MAX(DATE(AJ$5,1,1)-1,Inputs!$E$154))/(DATE(AJ$5,12,31)-DATE(AJ$5,1,1)+1)</f>
        <v>0</v>
      </c>
      <c r="AK14" s="264">
        <f>MAX(0,MIN(DATE(AK$5,12,31),Inputs!$E$155)-MAX(DATE(AK$5,1,1)-1,Inputs!$E$154))/(DATE(AK$5,12,31)-DATE(AK$5,1,1)+1)</f>
        <v>0</v>
      </c>
      <c r="AL14" s="264">
        <f>MAX(0,MIN(DATE(AL$5,12,31),Inputs!$E$155)-MAX(DATE(AL$5,1,1)-1,Inputs!$E$154))/(DATE(AL$5,12,31)-DATE(AL$5,1,1)+1)</f>
        <v>0</v>
      </c>
      <c r="AM14" s="264">
        <f>MAX(0,MIN(DATE(AM$5,12,31),Inputs!$E$155)-MAX(DATE(AM$5,1,1)-1,Inputs!$E$154))/(DATE(AM$5,12,31)-DATE(AM$5,1,1)+1)</f>
        <v>0</v>
      </c>
      <c r="AN14" s="264">
        <f>MAX(0,MIN(DATE(AN$5,12,31),Inputs!$E$155)-MAX(DATE(AN$5,1,1)-1,Inputs!$E$154))/(DATE(AN$5,12,31)-DATE(AN$5,1,1)+1)</f>
        <v>0</v>
      </c>
      <c r="AO14" s="264">
        <f>MAX(0,MIN(DATE(AO$5,12,31),Inputs!$E$155)-MAX(DATE(AO$5,1,1)-1,Inputs!$E$154))/(DATE(AO$5,12,31)-DATE(AO$5,1,1)+1)</f>
        <v>0</v>
      </c>
      <c r="AP14" s="264">
        <f>MAX(0,MIN(DATE(AP$5,12,31),Inputs!$E$155)-MAX(DATE(AP$5,1,1)-1,Inputs!$E$154))/(DATE(AP$5,12,31)-DATE(AP$5,1,1)+1)</f>
        <v>0</v>
      </c>
      <c r="AQ14" s="264">
        <f>MAX(0,MIN(DATE(AQ$5,12,31),Inputs!$E$155)-MAX(DATE(AQ$5,1,1)-1,Inputs!$E$154))/(DATE(AQ$5,12,31)-DATE(AQ$5,1,1)+1)</f>
        <v>0</v>
      </c>
    </row>
    <row r="15" spans="1:43" x14ac:dyDescent="0.25">
      <c r="C15" s="129" t="s">
        <v>1198</v>
      </c>
      <c r="D15" s="129"/>
      <c r="E15" s="263">
        <f>Inputs!$E$228</f>
        <v>1</v>
      </c>
      <c r="F15" s="267" t="s">
        <v>1199</v>
      </c>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129"/>
      <c r="AO15" s="129"/>
      <c r="AP15" s="129"/>
      <c r="AQ15" s="129"/>
    </row>
    <row r="16" spans="1:43" x14ac:dyDescent="0.25">
      <c r="C16" t="s">
        <v>1200</v>
      </c>
      <c r="D16" t="s">
        <v>125</v>
      </c>
      <c r="E16" s="139"/>
      <c r="F16" s="139"/>
      <c r="G16" s="139">
        <f t="shared" ref="G16:G24" si="4">SUM(H16:AQ16)</f>
        <v>-1543.9229608749595</v>
      </c>
      <c r="H16" s="268">
        <f t="array" ref="H16">-SUMPRODUCT((YEAR(MOIC!$H$5:$BP$5)=H$5)*(MOIC!$H$18:$BP$18+MOIC!$H$20:$BP$20))*$E$15</f>
        <v>-88.621621621621628</v>
      </c>
      <c r="I16" s="268">
        <f t="array" ref="I16">-SUMPRODUCT((YEAR(MOIC!$H$5:$BP$5)=I$5)*(MOIC!$H$18:$BP$18+MOIC!$H$20:$BP$20))*$E$15</f>
        <v>-428.16554054054052</v>
      </c>
      <c r="J16" s="268">
        <f t="array" ref="J16">-SUMPRODUCT((YEAR(MOIC!$H$5:$BP$5)=J$5)*(MOIC!$H$18:$BP$18+MOIC!$H$20:$BP$20))*$E$15</f>
        <v>-876.86552844252708</v>
      </c>
      <c r="K16" s="268">
        <f t="array" ref="K16">-SUMPRODUCT((YEAR(MOIC!$H$5:$BP$5)=K$5)*(MOIC!$H$18:$BP$18+MOIC!$H$20:$BP$20))*$E$15</f>
        <v>-150.27027027027026</v>
      </c>
      <c r="L16" s="268">
        <f t="array" ref="L16">-SUMPRODUCT((YEAR(MOIC!$H$5:$BP$5)=L$5)*(MOIC!$H$18:$BP$18+MOIC!$H$20:$BP$20))*$E$15</f>
        <v>0</v>
      </c>
      <c r="M16" s="268">
        <f t="array" ref="M16">-SUMPRODUCT((YEAR(MOIC!$H$5:$BP$5)=M$5)*(MOIC!$H$18:$BP$18+MOIC!$H$20:$BP$20))*$E$15</f>
        <v>0</v>
      </c>
      <c r="N16" s="268">
        <f t="array" ref="N16">-SUMPRODUCT((YEAR(MOIC!$H$5:$BP$5)=N$5)*(MOIC!$H$18:$BP$18+MOIC!$H$20:$BP$20))*$E$15</f>
        <v>0</v>
      </c>
      <c r="O16" s="268">
        <f t="array" ref="O16">-SUMPRODUCT((YEAR(MOIC!$H$5:$BP$5)=O$5)*(MOIC!$H$18:$BP$18+MOIC!$H$20:$BP$20))*$E$15</f>
        <v>0</v>
      </c>
      <c r="P16" s="268">
        <f t="array" ref="P16">-SUMPRODUCT((YEAR(MOIC!$H$5:$BP$5)=P$5)*(MOIC!$H$18:$BP$18+MOIC!$H$20:$BP$20))*$E$15</f>
        <v>0</v>
      </c>
      <c r="Q16" s="268">
        <f t="array" ref="Q16">-SUMPRODUCT((YEAR(MOIC!$H$5:$BP$5)=Q$5)*(MOIC!$H$18:$BP$18+MOIC!$H$20:$BP$20))*$E$15</f>
        <v>0</v>
      </c>
      <c r="R16" s="268">
        <f t="array" ref="R16">-SUMPRODUCT((YEAR(MOIC!$H$5:$BP$5)=R$5)*(MOIC!$H$18:$BP$18+MOIC!$H$20:$BP$20))*$E$15</f>
        <v>0</v>
      </c>
      <c r="S16" s="268">
        <f t="array" ref="S16">-SUMPRODUCT((YEAR(MOIC!$H$5:$BP$5)=S$5)*(MOIC!$H$18:$BP$18+MOIC!$H$20:$BP$20))*$E$15</f>
        <v>0</v>
      </c>
      <c r="T16" s="268">
        <f t="array" ref="T16">-SUMPRODUCT((YEAR(MOIC!$H$5:$BP$5)=T$5)*(MOIC!$H$18:$BP$18+MOIC!$H$20:$BP$20))*$E$15</f>
        <v>0</v>
      </c>
      <c r="U16" s="268">
        <f t="array" ref="U16">-SUMPRODUCT((YEAR(MOIC!$H$5:$BP$5)=U$5)*(MOIC!$H$18:$BP$18+MOIC!$H$20:$BP$20))*$E$15</f>
        <v>0</v>
      </c>
      <c r="V16" s="268">
        <f t="array" ref="V16">-SUMPRODUCT((YEAR(MOIC!$H$5:$BP$5)=V$5)*(MOIC!$H$18:$BP$18+MOIC!$H$20:$BP$20))*$E$15</f>
        <v>0</v>
      </c>
      <c r="W16" s="268">
        <f t="array" ref="W16">-SUMPRODUCT((YEAR(MOIC!$H$5:$BP$5)=W$5)*(MOIC!$H$18:$BP$18+MOIC!$H$20:$BP$20))*$E$15</f>
        <v>0</v>
      </c>
      <c r="X16" s="268">
        <f t="array" ref="X16">-SUMPRODUCT((YEAR(MOIC!$H$5:$BP$5)=X$5)*(MOIC!$H$18:$BP$18+MOIC!$H$20:$BP$20))*$E$15</f>
        <v>0</v>
      </c>
      <c r="Y16" s="268">
        <f t="array" ref="Y16">-SUMPRODUCT((YEAR(MOIC!$H$5:$BP$5)=Y$5)*(MOIC!$H$18:$BP$18+MOIC!$H$20:$BP$20))*$E$15</f>
        <v>0</v>
      </c>
      <c r="Z16" s="268">
        <f t="array" ref="Z16">-SUMPRODUCT((YEAR(MOIC!$H$5:$BP$5)=Z$5)*(MOIC!$H$18:$BP$18+MOIC!$H$20:$BP$20))*$E$15</f>
        <v>0</v>
      </c>
      <c r="AA16" s="268">
        <f t="array" ref="AA16">-SUMPRODUCT((YEAR(MOIC!$H$5:$BP$5)=AA$5)*(MOIC!$H$18:$BP$18+MOIC!$H$20:$BP$20))*$E$15</f>
        <v>0</v>
      </c>
      <c r="AB16" s="268">
        <f t="array" ref="AB16">-SUMPRODUCT((YEAR(MOIC!$H$5:$BP$5)=AB$5)*(MOIC!$H$18:$BP$18+MOIC!$H$20:$BP$20))*$E$15</f>
        <v>0</v>
      </c>
      <c r="AC16" s="268">
        <f t="array" ref="AC16">-SUMPRODUCT((YEAR(MOIC!$H$5:$BP$5)=AC$5)*(MOIC!$H$18:$BP$18+MOIC!$H$20:$BP$20))*$E$15</f>
        <v>0</v>
      </c>
      <c r="AD16" s="268">
        <f t="array" ref="AD16">-SUMPRODUCT((YEAR(MOIC!$H$5:$BP$5)=AD$5)*(MOIC!$H$18:$BP$18+MOIC!$H$20:$BP$20))*$E$15</f>
        <v>0</v>
      </c>
      <c r="AE16" s="268">
        <f t="array" ref="AE16">-SUMPRODUCT((YEAR(MOIC!$H$5:$BP$5)=AE$5)*(MOIC!$H$18:$BP$18+MOIC!$H$20:$BP$20))*$E$15</f>
        <v>0</v>
      </c>
      <c r="AF16" s="268">
        <f t="array" ref="AF16">-SUMPRODUCT((YEAR(MOIC!$H$5:$BP$5)=AF$5)*(MOIC!$H$18:$BP$18+MOIC!$H$20:$BP$20))*$E$15</f>
        <v>0</v>
      </c>
      <c r="AG16" s="268">
        <f t="array" ref="AG16">-SUMPRODUCT((YEAR(MOIC!$H$5:$BP$5)=AG$5)*(MOIC!$H$18:$BP$18+MOIC!$H$20:$BP$20))*$E$15</f>
        <v>0</v>
      </c>
      <c r="AH16" s="268">
        <f t="array" ref="AH16">-SUMPRODUCT((YEAR(MOIC!$H$5:$BP$5)=AH$5)*(MOIC!$H$18:$BP$18+MOIC!$H$20:$BP$20))*$E$15</f>
        <v>0</v>
      </c>
      <c r="AI16" s="268">
        <f t="array" ref="AI16">-SUMPRODUCT((YEAR(MOIC!$H$5:$BP$5)=AI$5)*(MOIC!$H$18:$BP$18+MOIC!$H$20:$BP$20))*$E$15</f>
        <v>0</v>
      </c>
      <c r="AJ16" s="268">
        <f t="array" ref="AJ16">-SUMPRODUCT((YEAR(MOIC!$H$5:$BP$5)=AJ$5)*(MOIC!$H$18:$BP$18+MOIC!$H$20:$BP$20))*$E$15</f>
        <v>0</v>
      </c>
      <c r="AK16" s="268">
        <f t="array" ref="AK16">-SUMPRODUCT((YEAR(MOIC!$H$5:$BP$5)=AK$5)*(MOIC!$H$18:$BP$18+MOIC!$H$20:$BP$20))*$E$15</f>
        <v>0</v>
      </c>
      <c r="AL16" s="268">
        <f t="array" ref="AL16">-SUMPRODUCT((YEAR(MOIC!$H$5:$BP$5)=AL$5)*(MOIC!$H$18:$BP$18+MOIC!$H$20:$BP$20))*$E$15</f>
        <v>0</v>
      </c>
      <c r="AM16" s="268">
        <f t="array" ref="AM16">-SUMPRODUCT((YEAR(MOIC!$H$5:$BP$5)=AM$5)*(MOIC!$H$18:$BP$18+MOIC!$H$20:$BP$20))*$E$15</f>
        <v>0</v>
      </c>
      <c r="AN16" s="268">
        <f t="array" ref="AN16">-SUMPRODUCT((YEAR(MOIC!$H$5:$BP$5)=AN$5)*(MOIC!$H$18:$BP$18+MOIC!$H$20:$BP$20))*$E$15</f>
        <v>0</v>
      </c>
      <c r="AO16" s="268">
        <f t="array" ref="AO16">-SUMPRODUCT((YEAR(MOIC!$H$5:$BP$5)=AO$5)*(MOIC!$H$18:$BP$18+MOIC!$H$20:$BP$20))*$E$15</f>
        <v>0</v>
      </c>
      <c r="AP16" s="268">
        <f t="array" ref="AP16">-SUMPRODUCT((YEAR(MOIC!$H$5:$BP$5)=AP$5)*(MOIC!$H$18:$BP$18+MOIC!$H$20:$BP$20))*$E$15</f>
        <v>0</v>
      </c>
      <c r="AQ16" s="268">
        <f t="array" ref="AQ16">-SUMPRODUCT((YEAR(MOIC!$H$5:$BP$5)=AQ$5)*(MOIC!$H$18:$BP$18+MOIC!$H$20:$BP$20))*$E$15</f>
        <v>0</v>
      </c>
    </row>
    <row r="17" spans="3:43" x14ac:dyDescent="0.25">
      <c r="C17" t="s">
        <v>1201</v>
      </c>
      <c r="D17" t="s">
        <v>125</v>
      </c>
      <c r="E17" s="139"/>
      <c r="F17" s="139"/>
      <c r="G17" s="139">
        <f t="shared" si="4"/>
        <v>-200</v>
      </c>
      <c r="H17" s="268">
        <f>-IF(H5=YEAR(Inputs!$E$27),Inputs!$E$24+Inputs!$E$25,0)*$E$15</f>
        <v>-200</v>
      </c>
      <c r="I17" s="268">
        <f>-IF(I5=YEAR(Inputs!$E$27),Inputs!$E$24+Inputs!$E$25,0)*$E$15</f>
        <v>0</v>
      </c>
      <c r="J17" s="268">
        <f>-IF(J5=YEAR(Inputs!$E$27),Inputs!$E$24+Inputs!$E$25,0)*$E$15</f>
        <v>0</v>
      </c>
      <c r="K17" s="268">
        <f>-IF(K5=YEAR(Inputs!$E$27),Inputs!$E$24+Inputs!$E$25,0)*$E$15</f>
        <v>0</v>
      </c>
      <c r="L17" s="268">
        <f>-IF(L5=YEAR(Inputs!$E$27),Inputs!$E$24+Inputs!$E$25,0)*$E$15</f>
        <v>0</v>
      </c>
      <c r="M17" s="268">
        <f>-IF(M5=YEAR(Inputs!$E$27),Inputs!$E$24+Inputs!$E$25,0)*$E$15</f>
        <v>0</v>
      </c>
      <c r="N17" s="268">
        <f>-IF(N5=YEAR(Inputs!$E$27),Inputs!$E$24+Inputs!$E$25,0)*$E$15</f>
        <v>0</v>
      </c>
      <c r="O17" s="268">
        <f>-IF(O5=YEAR(Inputs!$E$27),Inputs!$E$24+Inputs!$E$25,0)*$E$15</f>
        <v>0</v>
      </c>
      <c r="P17" s="268">
        <f>-IF(P5=YEAR(Inputs!$E$27),Inputs!$E$24+Inputs!$E$25,0)*$E$15</f>
        <v>0</v>
      </c>
      <c r="Q17" s="268">
        <f>-IF(Q5=YEAR(Inputs!$E$27),Inputs!$E$24+Inputs!$E$25,0)*$E$15</f>
        <v>0</v>
      </c>
      <c r="R17" s="268">
        <f>-IF(R5=YEAR(Inputs!$E$27),Inputs!$E$24+Inputs!$E$25,0)*$E$15</f>
        <v>0</v>
      </c>
      <c r="S17" s="268">
        <f>-IF(S5=YEAR(Inputs!$E$27),Inputs!$E$24+Inputs!$E$25,0)*$E$15</f>
        <v>0</v>
      </c>
      <c r="T17" s="268">
        <f>-IF(T5=YEAR(Inputs!$E$27),Inputs!$E$24+Inputs!$E$25,0)*$E$15</f>
        <v>0</v>
      </c>
      <c r="U17" s="268">
        <f>-IF(U5=YEAR(Inputs!$E$27),Inputs!$E$24+Inputs!$E$25,0)*$E$15</f>
        <v>0</v>
      </c>
      <c r="V17" s="268">
        <f>-IF(V5=YEAR(Inputs!$E$27),Inputs!$E$24+Inputs!$E$25,0)*$E$15</f>
        <v>0</v>
      </c>
      <c r="W17" s="268">
        <f>-IF(W5=YEAR(Inputs!$E$27),Inputs!$E$24+Inputs!$E$25,0)*$E$15</f>
        <v>0</v>
      </c>
      <c r="X17" s="268">
        <f>-IF(X5=YEAR(Inputs!$E$27),Inputs!$E$24+Inputs!$E$25,0)*$E$15</f>
        <v>0</v>
      </c>
      <c r="Y17" s="268">
        <f>-IF(Y5=YEAR(Inputs!$E$27),Inputs!$E$24+Inputs!$E$25,0)*$E$15</f>
        <v>0</v>
      </c>
      <c r="Z17" s="268">
        <f>-IF(Z5=YEAR(Inputs!$E$27),Inputs!$E$24+Inputs!$E$25,0)*$E$15</f>
        <v>0</v>
      </c>
      <c r="AA17" s="268">
        <f>-IF(AA5=YEAR(Inputs!$E$27),Inputs!$E$24+Inputs!$E$25,0)*$E$15</f>
        <v>0</v>
      </c>
      <c r="AB17" s="268">
        <f>-IF(AB5=YEAR(Inputs!$E$27),Inputs!$E$24+Inputs!$E$25,0)*$E$15</f>
        <v>0</v>
      </c>
      <c r="AC17" s="268">
        <f>-IF(AC5=YEAR(Inputs!$E$27),Inputs!$E$24+Inputs!$E$25,0)*$E$15</f>
        <v>0</v>
      </c>
      <c r="AD17" s="268">
        <f>-IF(AD5=YEAR(Inputs!$E$27),Inputs!$E$24+Inputs!$E$25,0)*$E$15</f>
        <v>0</v>
      </c>
      <c r="AE17" s="268">
        <f>-IF(AE5=YEAR(Inputs!$E$27),Inputs!$E$24+Inputs!$E$25,0)*$E$15</f>
        <v>0</v>
      </c>
      <c r="AF17" s="268">
        <f>-IF(AF5=YEAR(Inputs!$E$27),Inputs!$E$24+Inputs!$E$25,0)*$E$15</f>
        <v>0</v>
      </c>
      <c r="AG17" s="268">
        <f>-IF(AG5=YEAR(Inputs!$E$27),Inputs!$E$24+Inputs!$E$25,0)*$E$15</f>
        <v>0</v>
      </c>
      <c r="AH17" s="268">
        <f>-IF(AH5=YEAR(Inputs!$E$27),Inputs!$E$24+Inputs!$E$25,0)*$E$15</f>
        <v>0</v>
      </c>
      <c r="AI17" s="268">
        <f>-IF(AI5=YEAR(Inputs!$E$27),Inputs!$E$24+Inputs!$E$25,0)*$E$15</f>
        <v>0</v>
      </c>
      <c r="AJ17" s="268">
        <f>-IF(AJ5=YEAR(Inputs!$E$27),Inputs!$E$24+Inputs!$E$25,0)*$E$15</f>
        <v>0</v>
      </c>
      <c r="AK17" s="268">
        <f>-IF(AK5=YEAR(Inputs!$E$27),Inputs!$E$24+Inputs!$E$25,0)*$E$15</f>
        <v>0</v>
      </c>
      <c r="AL17" s="268">
        <f>-IF(AL5=YEAR(Inputs!$E$27),Inputs!$E$24+Inputs!$E$25,0)*$E$15</f>
        <v>0</v>
      </c>
      <c r="AM17" s="268">
        <f>-IF(AM5=YEAR(Inputs!$E$27),Inputs!$E$24+Inputs!$E$25,0)*$E$15</f>
        <v>0</v>
      </c>
      <c r="AN17" s="268">
        <f>-IF(AN5=YEAR(Inputs!$E$27),Inputs!$E$24+Inputs!$E$25,0)*$E$15</f>
        <v>0</v>
      </c>
      <c r="AO17" s="268">
        <f>-IF(AO5=YEAR(Inputs!$E$27),Inputs!$E$24+Inputs!$E$25,0)*$E$15</f>
        <v>0</v>
      </c>
      <c r="AP17" s="268">
        <f>-IF(AP5=YEAR(Inputs!$E$27),Inputs!$E$24+Inputs!$E$25,0)*$E$15</f>
        <v>0</v>
      </c>
      <c r="AQ17" s="268">
        <f>-IF(AQ5=YEAR(Inputs!$E$27),Inputs!$E$24+Inputs!$E$25,0)*$E$15</f>
        <v>0</v>
      </c>
    </row>
    <row r="18" spans="3:43" x14ac:dyDescent="0.25">
      <c r="C18" t="s">
        <v>1202</v>
      </c>
      <c r="D18" t="s">
        <v>125</v>
      </c>
      <c r="E18" s="139"/>
      <c r="F18" s="139"/>
      <c r="G18" s="139">
        <f t="shared" si="4"/>
        <v>-1241.0958904109589</v>
      </c>
      <c r="H18" s="268">
        <f t="array" ref="H18">-SUMPRODUCT((YEAR(Deposits!$K$7:$K$18)=H$5)*(Deposits!$R$7:$R$18&lt;&gt;"Connection fee")*Deposits!$P$7:$P$18*Deposits!$M$7:$M$18)*$E$15</f>
        <v>-1241.0958904109589</v>
      </c>
      <c r="I18" s="268">
        <f t="array" ref="I18">-SUMPRODUCT((YEAR(Deposits!$K$7:$K$18)=I$5)*(Deposits!$R$7:$R$18&lt;&gt;"Connection fee")*Deposits!$P$7:$P$18*Deposits!$M$7:$M$18)*$E$15</f>
        <v>0</v>
      </c>
      <c r="J18" s="268">
        <f t="array" ref="J18">-SUMPRODUCT((YEAR(Deposits!$K$7:$K$18)=J$5)*(Deposits!$R$7:$R$18&lt;&gt;"Connection fee")*Deposits!$P$7:$P$18*Deposits!$M$7:$M$18)*$E$15</f>
        <v>0</v>
      </c>
      <c r="K18" s="268">
        <f t="array" ref="K18">-SUMPRODUCT((YEAR(Deposits!$K$7:$K$18)=K$5)*(Deposits!$R$7:$R$18&lt;&gt;"Connection fee")*Deposits!$P$7:$P$18*Deposits!$M$7:$M$18)*$E$15</f>
        <v>0</v>
      </c>
      <c r="L18" s="268">
        <f t="array" ref="L18">-SUMPRODUCT((YEAR(Deposits!$K$7:$K$18)=L$5)*(Deposits!$R$7:$R$18&lt;&gt;"Connection fee")*Deposits!$P$7:$P$18*Deposits!$M$7:$M$18)*$E$15</f>
        <v>0</v>
      </c>
      <c r="M18" s="268">
        <f t="array" ref="M18">-SUMPRODUCT((YEAR(Deposits!$K$7:$K$18)=M$5)*(Deposits!$R$7:$R$18&lt;&gt;"Connection fee")*Deposits!$P$7:$P$18*Deposits!$M$7:$M$18)*$E$15</f>
        <v>0</v>
      </c>
      <c r="N18" s="268">
        <f t="array" ref="N18">-SUMPRODUCT((YEAR(Deposits!$K$7:$K$18)=N$5)*(Deposits!$R$7:$R$18&lt;&gt;"Connection fee")*Deposits!$P$7:$P$18*Deposits!$M$7:$M$18)*$E$15</f>
        <v>0</v>
      </c>
      <c r="O18" s="268">
        <f t="array" ref="O18">-SUMPRODUCT((YEAR(Deposits!$K$7:$K$18)=O$5)*(Deposits!$R$7:$R$18&lt;&gt;"Connection fee")*Deposits!$P$7:$P$18*Deposits!$M$7:$M$18)*$E$15</f>
        <v>0</v>
      </c>
      <c r="P18" s="268">
        <f t="array" ref="P18">-SUMPRODUCT((YEAR(Deposits!$K$7:$K$18)=P$5)*(Deposits!$R$7:$R$18&lt;&gt;"Connection fee")*Deposits!$P$7:$P$18*Deposits!$M$7:$M$18)*$E$15</f>
        <v>0</v>
      </c>
      <c r="Q18" s="268">
        <f t="array" ref="Q18">-SUMPRODUCT((YEAR(Deposits!$K$7:$K$18)=Q$5)*(Deposits!$R$7:$R$18&lt;&gt;"Connection fee")*Deposits!$P$7:$P$18*Deposits!$M$7:$M$18)*$E$15</f>
        <v>0</v>
      </c>
      <c r="R18" s="268">
        <f t="array" ref="R18">-SUMPRODUCT((YEAR(Deposits!$K$7:$K$18)=R$5)*(Deposits!$R$7:$R$18&lt;&gt;"Connection fee")*Deposits!$P$7:$P$18*Deposits!$M$7:$M$18)*$E$15</f>
        <v>0</v>
      </c>
      <c r="S18" s="268">
        <f t="array" ref="S18">-SUMPRODUCT((YEAR(Deposits!$K$7:$K$18)=S$5)*(Deposits!$R$7:$R$18&lt;&gt;"Connection fee")*Deposits!$P$7:$P$18*Deposits!$M$7:$M$18)*$E$15</f>
        <v>0</v>
      </c>
      <c r="T18" s="268">
        <f t="array" ref="T18">-SUMPRODUCT((YEAR(Deposits!$K$7:$K$18)=T$5)*(Deposits!$R$7:$R$18&lt;&gt;"Connection fee")*Deposits!$P$7:$P$18*Deposits!$M$7:$M$18)*$E$15</f>
        <v>0</v>
      </c>
      <c r="U18" s="268">
        <f t="array" ref="U18">-SUMPRODUCT((YEAR(Deposits!$K$7:$K$18)=U$5)*(Deposits!$R$7:$R$18&lt;&gt;"Connection fee")*Deposits!$P$7:$P$18*Deposits!$M$7:$M$18)*$E$15</f>
        <v>0</v>
      </c>
      <c r="V18" s="268">
        <f t="array" ref="V18">-SUMPRODUCT((YEAR(Deposits!$K$7:$K$18)=V$5)*(Deposits!$R$7:$R$18&lt;&gt;"Connection fee")*Deposits!$P$7:$P$18*Deposits!$M$7:$M$18)*$E$15</f>
        <v>0</v>
      </c>
      <c r="W18" s="268">
        <f t="array" ref="W18">-SUMPRODUCT((YEAR(Deposits!$K$7:$K$18)=W$5)*(Deposits!$R$7:$R$18&lt;&gt;"Connection fee")*Deposits!$P$7:$P$18*Deposits!$M$7:$M$18)*$E$15</f>
        <v>0</v>
      </c>
      <c r="X18" s="268">
        <f t="array" ref="X18">-SUMPRODUCT((YEAR(Deposits!$K$7:$K$18)=X$5)*(Deposits!$R$7:$R$18&lt;&gt;"Connection fee")*Deposits!$P$7:$P$18*Deposits!$M$7:$M$18)*$E$15</f>
        <v>0</v>
      </c>
      <c r="Y18" s="268">
        <f t="array" ref="Y18">-SUMPRODUCT((YEAR(Deposits!$K$7:$K$18)=Y$5)*(Deposits!$R$7:$R$18&lt;&gt;"Connection fee")*Deposits!$P$7:$P$18*Deposits!$M$7:$M$18)*$E$15</f>
        <v>0</v>
      </c>
      <c r="Z18" s="268">
        <f t="array" ref="Z18">-SUMPRODUCT((YEAR(Deposits!$K$7:$K$18)=Z$5)*(Deposits!$R$7:$R$18&lt;&gt;"Connection fee")*Deposits!$P$7:$P$18*Deposits!$M$7:$M$18)*$E$15</f>
        <v>0</v>
      </c>
      <c r="AA18" s="268">
        <f t="array" ref="AA18">-SUMPRODUCT((YEAR(Deposits!$K$7:$K$18)=AA$5)*(Deposits!$R$7:$R$18&lt;&gt;"Connection fee")*Deposits!$P$7:$P$18*Deposits!$M$7:$M$18)*$E$15</f>
        <v>0</v>
      </c>
      <c r="AB18" s="268">
        <f t="array" ref="AB18">-SUMPRODUCT((YEAR(Deposits!$K$7:$K$18)=AB$5)*(Deposits!$R$7:$R$18&lt;&gt;"Connection fee")*Deposits!$P$7:$P$18*Deposits!$M$7:$M$18)*$E$15</f>
        <v>0</v>
      </c>
      <c r="AC18" s="268">
        <f t="array" ref="AC18">-SUMPRODUCT((YEAR(Deposits!$K$7:$K$18)=AC$5)*(Deposits!$R$7:$R$18&lt;&gt;"Connection fee")*Deposits!$P$7:$P$18*Deposits!$M$7:$M$18)*$E$15</f>
        <v>0</v>
      </c>
      <c r="AD18" s="268">
        <f t="array" ref="AD18">-SUMPRODUCT((YEAR(Deposits!$K$7:$K$18)=AD$5)*(Deposits!$R$7:$R$18&lt;&gt;"Connection fee")*Deposits!$P$7:$P$18*Deposits!$M$7:$M$18)*$E$15</f>
        <v>0</v>
      </c>
      <c r="AE18" s="268">
        <f t="array" ref="AE18">-SUMPRODUCT((YEAR(Deposits!$K$7:$K$18)=AE$5)*(Deposits!$R$7:$R$18&lt;&gt;"Connection fee")*Deposits!$P$7:$P$18*Deposits!$M$7:$M$18)*$E$15</f>
        <v>0</v>
      </c>
      <c r="AF18" s="268">
        <f t="array" ref="AF18">-SUMPRODUCT((YEAR(Deposits!$K$7:$K$18)=AF$5)*(Deposits!$R$7:$R$18&lt;&gt;"Connection fee")*Deposits!$P$7:$P$18*Deposits!$M$7:$M$18)*$E$15</f>
        <v>0</v>
      </c>
      <c r="AG18" s="268">
        <f t="array" ref="AG18">-SUMPRODUCT((YEAR(Deposits!$K$7:$K$18)=AG$5)*(Deposits!$R$7:$R$18&lt;&gt;"Connection fee")*Deposits!$P$7:$P$18*Deposits!$M$7:$M$18)*$E$15</f>
        <v>0</v>
      </c>
      <c r="AH18" s="268">
        <f t="array" ref="AH18">-SUMPRODUCT((YEAR(Deposits!$K$7:$K$18)=AH$5)*(Deposits!$R$7:$R$18&lt;&gt;"Connection fee")*Deposits!$P$7:$P$18*Deposits!$M$7:$M$18)*$E$15</f>
        <v>0</v>
      </c>
      <c r="AI18" s="268">
        <f t="array" ref="AI18">-SUMPRODUCT((YEAR(Deposits!$K$7:$K$18)=AI$5)*(Deposits!$R$7:$R$18&lt;&gt;"Connection fee")*Deposits!$P$7:$P$18*Deposits!$M$7:$M$18)*$E$15</f>
        <v>0</v>
      </c>
      <c r="AJ18" s="268">
        <f t="array" ref="AJ18">-SUMPRODUCT((YEAR(Deposits!$K$7:$K$18)=AJ$5)*(Deposits!$R$7:$R$18&lt;&gt;"Connection fee")*Deposits!$P$7:$P$18*Deposits!$M$7:$M$18)*$E$15</f>
        <v>0</v>
      </c>
      <c r="AK18" s="268">
        <f t="array" ref="AK18">-SUMPRODUCT((YEAR(Deposits!$K$7:$K$18)=AK$5)*(Deposits!$R$7:$R$18&lt;&gt;"Connection fee")*Deposits!$P$7:$P$18*Deposits!$M$7:$M$18)*$E$15</f>
        <v>0</v>
      </c>
      <c r="AL18" s="268">
        <f t="array" ref="AL18">-SUMPRODUCT((YEAR(Deposits!$K$7:$K$18)=AL$5)*(Deposits!$R$7:$R$18&lt;&gt;"Connection fee")*Deposits!$P$7:$P$18*Deposits!$M$7:$M$18)*$E$15</f>
        <v>0</v>
      </c>
      <c r="AM18" s="268">
        <f t="array" ref="AM18">-SUMPRODUCT((YEAR(Deposits!$K$7:$K$18)=AM$5)*(Deposits!$R$7:$R$18&lt;&gt;"Connection fee")*Deposits!$P$7:$P$18*Deposits!$M$7:$M$18)*$E$15</f>
        <v>0</v>
      </c>
      <c r="AN18" s="268">
        <f t="array" ref="AN18">-SUMPRODUCT((YEAR(Deposits!$K$7:$K$18)=AN$5)*(Deposits!$R$7:$R$18&lt;&gt;"Connection fee")*Deposits!$P$7:$P$18*Deposits!$M$7:$M$18)*$E$15</f>
        <v>0</v>
      </c>
      <c r="AO18" s="268">
        <f t="array" ref="AO18">-SUMPRODUCT((YEAR(Deposits!$K$7:$K$18)=AO$5)*(Deposits!$R$7:$R$18&lt;&gt;"Connection fee")*Deposits!$P$7:$P$18*Deposits!$M$7:$M$18)*$E$15</f>
        <v>0</v>
      </c>
      <c r="AP18" s="268">
        <f t="array" ref="AP18">-SUMPRODUCT((YEAR(Deposits!$K$7:$K$18)=AP$5)*(Deposits!$R$7:$R$18&lt;&gt;"Connection fee")*Deposits!$P$7:$P$18*Deposits!$M$7:$M$18)*$E$15</f>
        <v>0</v>
      </c>
      <c r="AQ18" s="268">
        <f t="array" ref="AQ18">-SUMPRODUCT((YEAR(Deposits!$K$7:$K$18)=AQ$5)*(Deposits!$R$7:$R$18&lt;&gt;"Connection fee")*Deposits!$P$7:$P$18*Deposits!$M$7:$M$18)*$E$15</f>
        <v>0</v>
      </c>
    </row>
    <row r="19" spans="3:43" x14ac:dyDescent="0.25">
      <c r="C19" t="s">
        <v>1203</v>
      </c>
      <c r="D19" t="s">
        <v>125</v>
      </c>
      <c r="E19" s="139"/>
      <c r="F19" s="139"/>
      <c r="G19" s="139">
        <f t="shared" si="4"/>
        <v>0</v>
      </c>
      <c r="H19" s="268">
        <f t="array" ref="H19">IF(H5=YEAR(Inputs!$E$155),SUMPRODUCT(((Deposits!$R$7:$R$18="Security")+(Deposits!$R$7:$R$18="Refund"))*Deposits!$P$7:$P$18*Deposits!$M$7:$M$18)-Deposits!$P$11*Deposits!$M$11,0)*$E$15</f>
        <v>0</v>
      </c>
      <c r="I19" s="268">
        <f t="array" ref="I19">IF(I5=YEAR(Inputs!$E$155),SUMPRODUCT(((Deposits!$R$7:$R$18="Security")+(Deposits!$R$7:$R$18="Refund"))*Deposits!$P$7:$P$18*Deposits!$M$7:$M$18)-Deposits!$P$11*Deposits!$M$11,0)*$E$15</f>
        <v>0</v>
      </c>
      <c r="J19" s="268">
        <f t="array" ref="J19">IF(J5=YEAR(Inputs!$E$155),SUMPRODUCT(((Deposits!$R$7:$R$18="Security")+(Deposits!$R$7:$R$18="Refund"))*Deposits!$P$7:$P$18*Deposits!$M$7:$M$18)-Deposits!$P$11*Deposits!$M$11,0)*$E$15</f>
        <v>0</v>
      </c>
      <c r="K19" s="268">
        <f t="array" ref="K19">IF(K5=YEAR(Inputs!$E$155),SUMPRODUCT(((Deposits!$R$7:$R$18="Security")+(Deposits!$R$7:$R$18="Refund"))*Deposits!$P$7:$P$18*Deposits!$M$7:$M$18)-Deposits!$P$11*Deposits!$M$11,0)*$E$15</f>
        <v>0</v>
      </c>
      <c r="L19" s="268">
        <f t="array" ref="L19">IF(L5=YEAR(Inputs!$E$155),SUMPRODUCT(((Deposits!$R$7:$R$18="Security")+(Deposits!$R$7:$R$18="Refund"))*Deposits!$P$7:$P$18*Deposits!$M$7:$M$18)-Deposits!$P$11*Deposits!$M$11,0)*$E$15</f>
        <v>0</v>
      </c>
      <c r="M19" s="268">
        <f t="array" ref="M19">IF(M5=YEAR(Inputs!$E$155),SUMPRODUCT(((Deposits!$R$7:$R$18="Security")+(Deposits!$R$7:$R$18="Refund"))*Deposits!$P$7:$P$18*Deposits!$M$7:$M$18)-Deposits!$P$11*Deposits!$M$11,0)*$E$15</f>
        <v>0</v>
      </c>
      <c r="N19" s="268">
        <f t="array" ref="N19">IF(N5=YEAR(Inputs!$E$155),SUMPRODUCT(((Deposits!$R$7:$R$18="Security")+(Deposits!$R$7:$R$18="Refund"))*Deposits!$P$7:$P$18*Deposits!$M$7:$M$18)-Deposits!$P$11*Deposits!$M$11,0)*$E$15</f>
        <v>0</v>
      </c>
      <c r="O19" s="268">
        <f t="array" ref="O19">IF(O5=YEAR(Inputs!$E$155),SUMPRODUCT(((Deposits!$R$7:$R$18="Security")+(Deposits!$R$7:$R$18="Refund"))*Deposits!$P$7:$P$18*Deposits!$M$7:$M$18)-Deposits!$P$11*Deposits!$M$11,0)*$E$15</f>
        <v>0</v>
      </c>
      <c r="P19" s="268">
        <f t="array" ref="P19">IF(P5=YEAR(Inputs!$E$155),SUMPRODUCT(((Deposits!$R$7:$R$18="Security")+(Deposits!$R$7:$R$18="Refund"))*Deposits!$P$7:$P$18*Deposits!$M$7:$M$18)-Deposits!$P$11*Deposits!$M$11,0)*$E$15</f>
        <v>0</v>
      </c>
      <c r="Q19" s="268">
        <f t="array" ref="Q19">IF(Q5=YEAR(Inputs!$E$155),SUMPRODUCT(((Deposits!$R$7:$R$18="Security")+(Deposits!$R$7:$R$18="Refund"))*Deposits!$P$7:$P$18*Deposits!$M$7:$M$18)-Deposits!$P$11*Deposits!$M$11,0)*$E$15</f>
        <v>0</v>
      </c>
      <c r="R19" s="268">
        <f t="array" ref="R19">IF(R5=YEAR(Inputs!$E$155),SUMPRODUCT(((Deposits!$R$7:$R$18="Security")+(Deposits!$R$7:$R$18="Refund"))*Deposits!$P$7:$P$18*Deposits!$M$7:$M$18)-Deposits!$P$11*Deposits!$M$11,0)*$E$15</f>
        <v>0</v>
      </c>
      <c r="S19" s="268">
        <f t="array" ref="S19">IF(S5=YEAR(Inputs!$E$155),SUMPRODUCT(((Deposits!$R$7:$R$18="Security")+(Deposits!$R$7:$R$18="Refund"))*Deposits!$P$7:$P$18*Deposits!$M$7:$M$18)-Deposits!$P$11*Deposits!$M$11,0)*$E$15</f>
        <v>0</v>
      </c>
      <c r="T19" s="268">
        <f t="array" ref="T19">IF(T5=YEAR(Inputs!$E$155),SUMPRODUCT(((Deposits!$R$7:$R$18="Security")+(Deposits!$R$7:$R$18="Refund"))*Deposits!$P$7:$P$18*Deposits!$M$7:$M$18)-Deposits!$P$11*Deposits!$M$11,0)*$E$15</f>
        <v>0</v>
      </c>
      <c r="U19" s="268">
        <f t="array" ref="U19">IF(U5=YEAR(Inputs!$E$155),SUMPRODUCT(((Deposits!$R$7:$R$18="Security")+(Deposits!$R$7:$R$18="Refund"))*Deposits!$P$7:$P$18*Deposits!$M$7:$M$18)-Deposits!$P$11*Deposits!$M$11,0)*$E$15</f>
        <v>0</v>
      </c>
      <c r="V19" s="268">
        <f t="array" ref="V19">IF(V5=YEAR(Inputs!$E$155),SUMPRODUCT(((Deposits!$R$7:$R$18="Security")+(Deposits!$R$7:$R$18="Refund"))*Deposits!$P$7:$P$18*Deposits!$M$7:$M$18)-Deposits!$P$11*Deposits!$M$11,0)*$E$15</f>
        <v>0</v>
      </c>
      <c r="W19" s="268">
        <f t="array" ref="W19">IF(W5=YEAR(Inputs!$E$155),SUMPRODUCT(((Deposits!$R$7:$R$18="Security")+(Deposits!$R$7:$R$18="Refund"))*Deposits!$P$7:$P$18*Deposits!$M$7:$M$18)-Deposits!$P$11*Deposits!$M$11,0)*$E$15</f>
        <v>0</v>
      </c>
      <c r="X19" s="268">
        <f t="array" ref="X19">IF(X5=YEAR(Inputs!$E$155),SUMPRODUCT(((Deposits!$R$7:$R$18="Security")+(Deposits!$R$7:$R$18="Refund"))*Deposits!$P$7:$P$18*Deposits!$M$7:$M$18)-Deposits!$P$11*Deposits!$M$11,0)*$E$15</f>
        <v>0</v>
      </c>
      <c r="Y19" s="268">
        <f t="array" ref="Y19">IF(Y5=YEAR(Inputs!$E$155),SUMPRODUCT(((Deposits!$R$7:$R$18="Security")+(Deposits!$R$7:$R$18="Refund"))*Deposits!$P$7:$P$18*Deposits!$M$7:$M$18)-Deposits!$P$11*Deposits!$M$11,0)*$E$15</f>
        <v>0</v>
      </c>
      <c r="Z19" s="268">
        <f t="array" ref="Z19">IF(Z5=YEAR(Inputs!$E$155),SUMPRODUCT(((Deposits!$R$7:$R$18="Security")+(Deposits!$R$7:$R$18="Refund"))*Deposits!$P$7:$P$18*Deposits!$M$7:$M$18)-Deposits!$P$11*Deposits!$M$11,0)*$E$15</f>
        <v>0</v>
      </c>
      <c r="AA19" s="268">
        <f t="array" ref="AA19">IF(AA5=YEAR(Inputs!$E$155),SUMPRODUCT(((Deposits!$R$7:$R$18="Security")+(Deposits!$R$7:$R$18="Refund"))*Deposits!$P$7:$P$18*Deposits!$M$7:$M$18)-Deposits!$P$11*Deposits!$M$11,0)*$E$15</f>
        <v>0</v>
      </c>
      <c r="AB19" s="268">
        <f t="array" ref="AB19">IF(AB5=YEAR(Inputs!$E$155),SUMPRODUCT(((Deposits!$R$7:$R$18="Security")+(Deposits!$R$7:$R$18="Refund"))*Deposits!$P$7:$P$18*Deposits!$M$7:$M$18)-Deposits!$P$11*Deposits!$M$11,0)*$E$15</f>
        <v>0</v>
      </c>
      <c r="AC19" s="268">
        <f t="array" ref="AC19">IF(AC5=YEAR(Inputs!$E$155),SUMPRODUCT(((Deposits!$R$7:$R$18="Security")+(Deposits!$R$7:$R$18="Refund"))*Deposits!$P$7:$P$18*Deposits!$M$7:$M$18)-Deposits!$P$11*Deposits!$M$11,0)*$E$15</f>
        <v>0</v>
      </c>
      <c r="AD19" s="268">
        <f t="array" ref="AD19">IF(AD5=YEAR(Inputs!$E$155),SUMPRODUCT(((Deposits!$R$7:$R$18="Security")+(Deposits!$R$7:$R$18="Refund"))*Deposits!$P$7:$P$18*Deposits!$M$7:$M$18)-Deposits!$P$11*Deposits!$M$11,0)*$E$15</f>
        <v>0</v>
      </c>
      <c r="AE19" s="268">
        <f t="array" ref="AE19">IF(AE5=YEAR(Inputs!$E$155),SUMPRODUCT(((Deposits!$R$7:$R$18="Security")+(Deposits!$R$7:$R$18="Refund"))*Deposits!$P$7:$P$18*Deposits!$M$7:$M$18)-Deposits!$P$11*Deposits!$M$11,0)*$E$15</f>
        <v>0</v>
      </c>
      <c r="AF19" s="268">
        <f t="array" ref="AF19">IF(AF5=YEAR(Inputs!$E$155),SUMPRODUCT(((Deposits!$R$7:$R$18="Security")+(Deposits!$R$7:$R$18="Refund"))*Deposits!$P$7:$P$18*Deposits!$M$7:$M$18)-Deposits!$P$11*Deposits!$M$11,0)*$E$15</f>
        <v>0</v>
      </c>
      <c r="AG19" s="268">
        <f t="array" ref="AG19">IF(AG5=YEAR(Inputs!$E$155),SUMPRODUCT(((Deposits!$R$7:$R$18="Security")+(Deposits!$R$7:$R$18="Refund"))*Deposits!$P$7:$P$18*Deposits!$M$7:$M$18)-Deposits!$P$11*Deposits!$M$11,0)*$E$15</f>
        <v>0</v>
      </c>
      <c r="AH19" s="268">
        <f t="array" ref="AH19">IF(AH5=YEAR(Inputs!$E$155),SUMPRODUCT(((Deposits!$R$7:$R$18="Security")+(Deposits!$R$7:$R$18="Refund"))*Deposits!$P$7:$P$18*Deposits!$M$7:$M$18)-Deposits!$P$11*Deposits!$M$11,0)*$E$15</f>
        <v>0</v>
      </c>
      <c r="AI19" s="268">
        <f t="array" ref="AI19">IF(AI5=YEAR(Inputs!$E$155),SUMPRODUCT(((Deposits!$R$7:$R$18="Security")+(Deposits!$R$7:$R$18="Refund"))*Deposits!$P$7:$P$18*Deposits!$M$7:$M$18)-Deposits!$P$11*Deposits!$M$11,0)*$E$15</f>
        <v>0</v>
      </c>
      <c r="AJ19" s="268">
        <f t="array" ref="AJ19">IF(AJ5=YEAR(Inputs!$E$155),SUMPRODUCT(((Deposits!$R$7:$R$18="Security")+(Deposits!$R$7:$R$18="Refund"))*Deposits!$P$7:$P$18*Deposits!$M$7:$M$18)-Deposits!$P$11*Deposits!$M$11,0)*$E$15</f>
        <v>0</v>
      </c>
      <c r="AK19" s="268">
        <f t="array" ref="AK19">IF(AK5=YEAR(Inputs!$E$155),SUMPRODUCT(((Deposits!$R$7:$R$18="Security")+(Deposits!$R$7:$R$18="Refund"))*Deposits!$P$7:$P$18*Deposits!$M$7:$M$18)-Deposits!$P$11*Deposits!$M$11,0)*$E$15</f>
        <v>0</v>
      </c>
      <c r="AL19" s="268">
        <f t="array" ref="AL19">IF(AL5=YEAR(Inputs!$E$155),SUMPRODUCT(((Deposits!$R$7:$R$18="Security")+(Deposits!$R$7:$R$18="Refund"))*Deposits!$P$7:$P$18*Deposits!$M$7:$M$18)-Deposits!$P$11*Deposits!$M$11,0)*$E$15</f>
        <v>0</v>
      </c>
      <c r="AM19" s="268">
        <f t="array" ref="AM19">IF(AM5=YEAR(Inputs!$E$155),SUMPRODUCT(((Deposits!$R$7:$R$18="Security")+(Deposits!$R$7:$R$18="Refund"))*Deposits!$P$7:$P$18*Deposits!$M$7:$M$18)-Deposits!$P$11*Deposits!$M$11,0)*$E$15</f>
        <v>0</v>
      </c>
      <c r="AN19" s="268">
        <f t="array" ref="AN19">IF(AN5=YEAR(Inputs!$E$155),SUMPRODUCT(((Deposits!$R$7:$R$18="Security")+(Deposits!$R$7:$R$18="Refund"))*Deposits!$P$7:$P$18*Deposits!$M$7:$M$18)-Deposits!$P$11*Deposits!$M$11,0)*$E$15</f>
        <v>0</v>
      </c>
      <c r="AO19" s="268">
        <f t="array" ref="AO19">IF(AO5=YEAR(Inputs!$E$155),SUMPRODUCT(((Deposits!$R$7:$R$18="Security")+(Deposits!$R$7:$R$18="Refund"))*Deposits!$P$7:$P$18*Deposits!$M$7:$M$18)-Deposits!$P$11*Deposits!$M$11,0)*$E$15</f>
        <v>0</v>
      </c>
      <c r="AP19" s="268">
        <f t="array" ref="AP19">IF(AP5=YEAR(Inputs!$E$155),SUMPRODUCT(((Deposits!$R$7:$R$18="Security")+(Deposits!$R$7:$R$18="Refund"))*Deposits!$P$7:$P$18*Deposits!$M$7:$M$18)-Deposits!$P$11*Deposits!$M$11,0)*$E$15</f>
        <v>0</v>
      </c>
      <c r="AQ19" s="268">
        <f t="array" ref="AQ19">IF(AQ5=YEAR(Inputs!$E$155),SUMPRODUCT(((Deposits!$R$7:$R$18="Security")+(Deposits!$R$7:$R$18="Refund"))*Deposits!$P$7:$P$18*Deposits!$M$7:$M$18)-Deposits!$P$11*Deposits!$M$11,0)*$E$15</f>
        <v>0</v>
      </c>
    </row>
    <row r="20" spans="3:43" x14ac:dyDescent="0.25">
      <c r="C20" t="s">
        <v>1204</v>
      </c>
      <c r="D20" t="s">
        <v>125</v>
      </c>
      <c r="E20" s="146">
        <f>Inputs!$E$229</f>
        <v>0</v>
      </c>
      <c r="F20" s="139"/>
      <c r="G20" s="139">
        <f t="shared" si="4"/>
        <v>0</v>
      </c>
      <c r="H20" s="268">
        <f>-IF(H5=YEAR(Inputs!$E$155),MOIC!$G$25*$E$20,0)</f>
        <v>0</v>
      </c>
      <c r="I20" s="268">
        <f>-IF(I5=YEAR(Inputs!$E$155),MOIC!$G$25*$E$20,0)</f>
        <v>0</v>
      </c>
      <c r="J20" s="268">
        <f>-IF(J5=YEAR(Inputs!$E$155),MOIC!$G$25*$E$20,0)</f>
        <v>0</v>
      </c>
      <c r="K20" s="268">
        <f>-IF(K5=YEAR(Inputs!$E$155),MOIC!$G$25*$E$20,0)</f>
        <v>0</v>
      </c>
      <c r="L20" s="268">
        <f>-IF(L5=YEAR(Inputs!$E$155),MOIC!$G$25*$E$20,0)</f>
        <v>0</v>
      </c>
      <c r="M20" s="268">
        <f>-IF(M5=YEAR(Inputs!$E$155),MOIC!$G$25*$E$20,0)</f>
        <v>0</v>
      </c>
      <c r="N20" s="268">
        <f>-IF(N5=YEAR(Inputs!$E$155),MOIC!$G$25*$E$20,0)</f>
        <v>0</v>
      </c>
      <c r="O20" s="268">
        <f>-IF(O5=YEAR(Inputs!$E$155),MOIC!$G$25*$E$20,0)</f>
        <v>0</v>
      </c>
      <c r="P20" s="268">
        <f>-IF(P5=YEAR(Inputs!$E$155),MOIC!$G$25*$E$20,0)</f>
        <v>0</v>
      </c>
      <c r="Q20" s="268">
        <f>-IF(Q5=YEAR(Inputs!$E$155),MOIC!$G$25*$E$20,0)</f>
        <v>0</v>
      </c>
      <c r="R20" s="268">
        <f>-IF(R5=YEAR(Inputs!$E$155),MOIC!$G$25*$E$20,0)</f>
        <v>0</v>
      </c>
      <c r="S20" s="268">
        <f>-IF(S5=YEAR(Inputs!$E$155),MOIC!$G$25*$E$20,0)</f>
        <v>0</v>
      </c>
      <c r="T20" s="268">
        <f>-IF(T5=YEAR(Inputs!$E$155),MOIC!$G$25*$E$20,0)</f>
        <v>0</v>
      </c>
      <c r="U20" s="268">
        <f>-IF(U5=YEAR(Inputs!$E$155),MOIC!$G$25*$E$20,0)</f>
        <v>0</v>
      </c>
      <c r="V20" s="268">
        <f>-IF(V5=YEAR(Inputs!$E$155),MOIC!$G$25*$E$20,0)</f>
        <v>0</v>
      </c>
      <c r="W20" s="268">
        <f>-IF(W5=YEAR(Inputs!$E$155),MOIC!$G$25*$E$20,0)</f>
        <v>0</v>
      </c>
      <c r="X20" s="268">
        <f>-IF(X5=YEAR(Inputs!$E$155),MOIC!$G$25*$E$20,0)</f>
        <v>0</v>
      </c>
      <c r="Y20" s="268">
        <f>-IF(Y5=YEAR(Inputs!$E$155),MOIC!$G$25*$E$20,0)</f>
        <v>0</v>
      </c>
      <c r="Z20" s="268">
        <f>-IF(Z5=YEAR(Inputs!$E$155),MOIC!$G$25*$E$20,0)</f>
        <v>0</v>
      </c>
      <c r="AA20" s="268">
        <f>-IF(AA5=YEAR(Inputs!$E$155),MOIC!$G$25*$E$20,0)</f>
        <v>0</v>
      </c>
      <c r="AB20" s="268">
        <f>-IF(AB5=YEAR(Inputs!$E$155),MOIC!$G$25*$E$20,0)</f>
        <v>0</v>
      </c>
      <c r="AC20" s="268">
        <f>-IF(AC5=YEAR(Inputs!$E$155),MOIC!$G$25*$E$20,0)</f>
        <v>0</v>
      </c>
      <c r="AD20" s="268">
        <f>-IF(AD5=YEAR(Inputs!$E$155),MOIC!$G$25*$E$20,0)</f>
        <v>0</v>
      </c>
      <c r="AE20" s="268">
        <f>-IF(AE5=YEAR(Inputs!$E$155),MOIC!$G$25*$E$20,0)</f>
        <v>0</v>
      </c>
      <c r="AF20" s="268">
        <f>-IF(AF5=YEAR(Inputs!$E$155),MOIC!$G$25*$E$20,0)</f>
        <v>0</v>
      </c>
      <c r="AG20" s="268">
        <f>-IF(AG5=YEAR(Inputs!$E$155),MOIC!$G$25*$E$20,0)</f>
        <v>0</v>
      </c>
      <c r="AH20" s="268">
        <f>-IF(AH5=YEAR(Inputs!$E$155),MOIC!$G$25*$E$20,0)</f>
        <v>0</v>
      </c>
      <c r="AI20" s="268">
        <f>-IF(AI5=YEAR(Inputs!$E$155),MOIC!$G$25*$E$20,0)</f>
        <v>0</v>
      </c>
      <c r="AJ20" s="268">
        <f>-IF(AJ5=YEAR(Inputs!$E$155),MOIC!$G$25*$E$20,0)</f>
        <v>0</v>
      </c>
      <c r="AK20" s="268">
        <f>-IF(AK5=YEAR(Inputs!$E$155),MOIC!$G$25*$E$20,0)</f>
        <v>0</v>
      </c>
      <c r="AL20" s="268">
        <f>-IF(AL5=YEAR(Inputs!$E$155),MOIC!$G$25*$E$20,0)</f>
        <v>0</v>
      </c>
      <c r="AM20" s="268">
        <f>-IF(AM5=YEAR(Inputs!$E$155),MOIC!$G$25*$E$20,0)</f>
        <v>0</v>
      </c>
      <c r="AN20" s="268">
        <f>-IF(AN5=YEAR(Inputs!$E$155),MOIC!$G$25*$E$20,0)</f>
        <v>0</v>
      </c>
      <c r="AO20" s="268">
        <f>-IF(AO5=YEAR(Inputs!$E$155),MOIC!$G$25*$E$20,0)</f>
        <v>0</v>
      </c>
      <c r="AP20" s="268">
        <f>-IF(AP5=YEAR(Inputs!$E$155),MOIC!$G$25*$E$20,0)</f>
        <v>0</v>
      </c>
      <c r="AQ20" s="268">
        <f>-IF(AQ5=YEAR(Inputs!$E$155),MOIC!$G$25*$E$20,0)</f>
        <v>0</v>
      </c>
    </row>
    <row r="21" spans="3:43" x14ac:dyDescent="0.25">
      <c r="C21" t="s">
        <v>1205</v>
      </c>
      <c r="D21" t="s">
        <v>125</v>
      </c>
      <c r="E21" s="146">
        <f>In_Exit_Profit_Charge*Inputs!$E$230</f>
        <v>0</v>
      </c>
      <c r="F21" s="139" t="s">
        <v>1206</v>
      </c>
      <c r="G21" s="139">
        <f t="shared" si="4"/>
        <v>0</v>
      </c>
      <c r="H21" s="268">
        <f>-IF(H$5=YEAR(Inputs!$E$58),$E$21*MOIC!$G$182,0)</f>
        <v>0</v>
      </c>
      <c r="I21" s="268">
        <f>-IF(I$5=YEAR(Inputs!$E$58),$E$21*MOIC!$G$182,0)</f>
        <v>0</v>
      </c>
      <c r="J21" s="268">
        <f>-IF(J$5=YEAR(Inputs!$E$58),$E$21*MOIC!$G$182,0)</f>
        <v>0</v>
      </c>
      <c r="K21" s="268">
        <f>-IF(K$5=YEAR(Inputs!$E$58),$E$21*MOIC!$G$182,0)</f>
        <v>0</v>
      </c>
      <c r="L21" s="268">
        <f>-IF(L$5=YEAR(Inputs!$E$58),$E$21*MOIC!$G$182,0)</f>
        <v>0</v>
      </c>
      <c r="M21" s="268">
        <f>-IF(M$5=YEAR(Inputs!$E$58),$E$21*MOIC!$G$182,0)</f>
        <v>0</v>
      </c>
      <c r="N21" s="268">
        <f>-IF(N$5=YEAR(Inputs!$E$58),$E$21*MOIC!$G$182,0)</f>
        <v>0</v>
      </c>
      <c r="O21" s="268">
        <f>-IF(O$5=YEAR(Inputs!$E$58),$E$21*MOIC!$G$182,0)</f>
        <v>0</v>
      </c>
      <c r="P21" s="268">
        <f>-IF(P$5=YEAR(Inputs!$E$58),$E$21*MOIC!$G$182,0)</f>
        <v>0</v>
      </c>
      <c r="Q21" s="268">
        <f>-IF(Q$5=YEAR(Inputs!$E$58),$E$21*MOIC!$G$182,0)</f>
        <v>0</v>
      </c>
      <c r="R21" s="268">
        <f>-IF(R$5=YEAR(Inputs!$E$58),$E$21*MOIC!$G$182,0)</f>
        <v>0</v>
      </c>
      <c r="S21" s="268">
        <f>-IF(S$5=YEAR(Inputs!$E$58),$E$21*MOIC!$G$182,0)</f>
        <v>0</v>
      </c>
      <c r="T21" s="268">
        <f>-IF(T$5=YEAR(Inputs!$E$58),$E$21*MOIC!$G$182,0)</f>
        <v>0</v>
      </c>
      <c r="U21" s="268">
        <f>-IF(U$5=YEAR(Inputs!$E$58),$E$21*MOIC!$G$182,0)</f>
        <v>0</v>
      </c>
      <c r="V21" s="268">
        <f>-IF(V$5=YEAR(Inputs!$E$58),$E$21*MOIC!$G$182,0)</f>
        <v>0</v>
      </c>
      <c r="W21" s="268">
        <f>-IF(W$5=YEAR(Inputs!$E$58),$E$21*MOIC!$G$182,0)</f>
        <v>0</v>
      </c>
      <c r="X21" s="268">
        <f>-IF(X$5=YEAR(Inputs!$E$58),$E$21*MOIC!$G$182,0)</f>
        <v>0</v>
      </c>
      <c r="Y21" s="268">
        <f>-IF(Y$5=YEAR(Inputs!$E$58),$E$21*MOIC!$G$182,0)</f>
        <v>0</v>
      </c>
      <c r="Z21" s="268">
        <f>-IF(Z$5=YEAR(Inputs!$E$58),$E$21*MOIC!$G$182,0)</f>
        <v>0</v>
      </c>
      <c r="AA21" s="268">
        <f>-IF(AA$5=YEAR(Inputs!$E$58),$E$21*MOIC!$G$182,0)</f>
        <v>0</v>
      </c>
      <c r="AB21" s="268">
        <f>-IF(AB$5=YEAR(Inputs!$E$58),$E$21*MOIC!$G$182,0)</f>
        <v>0</v>
      </c>
      <c r="AC21" s="268">
        <f>-IF(AC$5=YEAR(Inputs!$E$58),$E$21*MOIC!$G$182,0)</f>
        <v>0</v>
      </c>
      <c r="AD21" s="268">
        <f>-IF(AD$5=YEAR(Inputs!$E$58),$E$21*MOIC!$G$182,0)</f>
        <v>0</v>
      </c>
      <c r="AE21" s="268">
        <f>-IF(AE$5=YEAR(Inputs!$E$58),$E$21*MOIC!$G$182,0)</f>
        <v>0</v>
      </c>
      <c r="AF21" s="268">
        <f>-IF(AF$5=YEAR(Inputs!$E$58),$E$21*MOIC!$G$182,0)</f>
        <v>0</v>
      </c>
      <c r="AG21" s="268">
        <f>-IF(AG$5=YEAR(Inputs!$E$58),$E$21*MOIC!$G$182,0)</f>
        <v>0</v>
      </c>
      <c r="AH21" s="268">
        <f>-IF(AH$5=YEAR(Inputs!$E$58),$E$21*MOIC!$G$182,0)</f>
        <v>0</v>
      </c>
      <c r="AI21" s="268">
        <f>-IF(AI$5=YEAR(Inputs!$E$58),$E$21*MOIC!$G$182,0)</f>
        <v>0</v>
      </c>
      <c r="AJ21" s="268">
        <f>-IF(AJ$5=YEAR(Inputs!$E$58),$E$21*MOIC!$G$182,0)</f>
        <v>0</v>
      </c>
      <c r="AK21" s="268">
        <f>-IF(AK$5=YEAR(Inputs!$E$58),$E$21*MOIC!$G$182,0)</f>
        <v>0</v>
      </c>
      <c r="AL21" s="268">
        <f>-IF(AL$5=YEAR(Inputs!$E$58),$E$21*MOIC!$G$182,0)</f>
        <v>0</v>
      </c>
      <c r="AM21" s="268">
        <f>-IF(AM$5=YEAR(Inputs!$E$58),$E$21*MOIC!$G$182,0)</f>
        <v>0</v>
      </c>
      <c r="AN21" s="268">
        <f>-IF(AN$5=YEAR(Inputs!$E$58),$E$21*MOIC!$G$182,0)</f>
        <v>0</v>
      </c>
      <c r="AO21" s="268">
        <f>-IF(AO$5=YEAR(Inputs!$E$58),$E$21*MOIC!$G$182,0)</f>
        <v>0</v>
      </c>
      <c r="AP21" s="268">
        <f>-IF(AP$5=YEAR(Inputs!$E$58),$E$21*MOIC!$G$182,0)</f>
        <v>0</v>
      </c>
      <c r="AQ21" s="268">
        <f>-IF(AQ$5=YEAR(Inputs!$E$58),$E$21*MOIC!$G$182,0)</f>
        <v>0</v>
      </c>
    </row>
    <row r="22" spans="3:43" x14ac:dyDescent="0.25">
      <c r="C22" t="s">
        <v>1207</v>
      </c>
      <c r="D22" t="s">
        <v>125</v>
      </c>
      <c r="E22" s="146">
        <f>Inputs!$E$230</f>
        <v>1</v>
      </c>
      <c r="F22" s="139" t="s">
        <v>1206</v>
      </c>
      <c r="G22" s="139">
        <f t="shared" si="4"/>
        <v>-3997.5091278858845</v>
      </c>
      <c r="H22" s="268">
        <f>-IF(H$5=YEAR(Inputs!$E$58),$E$22*(MOIC!$G$154-MOIC!$G$151),0)</f>
        <v>0</v>
      </c>
      <c r="I22" s="268">
        <f>-IF(I$5=YEAR(Inputs!$E$58),$E$22*(MOIC!$G$154-MOIC!$G$151),0)</f>
        <v>0</v>
      </c>
      <c r="J22" s="268">
        <f>-IF(J$5=YEAR(Inputs!$E$58),$E$22*(MOIC!$G$154-MOIC!$G$151),0)</f>
        <v>0</v>
      </c>
      <c r="K22" s="268">
        <f>-IF(K$5=YEAR(Inputs!$E$58),$E$22*(MOIC!$G$154-MOIC!$G$151),0)</f>
        <v>-3997.5091278858845</v>
      </c>
      <c r="L22" s="268">
        <f>-IF(L$5=YEAR(Inputs!$E$58),$E$22*(MOIC!$G$154-MOIC!$G$151),0)</f>
        <v>0</v>
      </c>
      <c r="M22" s="268">
        <f>-IF(M$5=YEAR(Inputs!$E$58),$E$22*(MOIC!$G$154-MOIC!$G$151),0)</f>
        <v>0</v>
      </c>
      <c r="N22" s="268">
        <f>-IF(N$5=YEAR(Inputs!$E$58),$E$22*(MOIC!$G$154-MOIC!$G$151),0)</f>
        <v>0</v>
      </c>
      <c r="O22" s="268">
        <f>-IF(O$5=YEAR(Inputs!$E$58),$E$22*(MOIC!$G$154-MOIC!$G$151),0)</f>
        <v>0</v>
      </c>
      <c r="P22" s="268">
        <f>-IF(P$5=YEAR(Inputs!$E$58),$E$22*(MOIC!$G$154-MOIC!$G$151),0)</f>
        <v>0</v>
      </c>
      <c r="Q22" s="268">
        <f>-IF(Q$5=YEAR(Inputs!$E$58),$E$22*(MOIC!$G$154-MOIC!$G$151),0)</f>
        <v>0</v>
      </c>
      <c r="R22" s="268">
        <f>-IF(R$5=YEAR(Inputs!$E$58),$E$22*(MOIC!$G$154-MOIC!$G$151),0)</f>
        <v>0</v>
      </c>
      <c r="S22" s="268">
        <f>-IF(S$5=YEAR(Inputs!$E$58),$E$22*(MOIC!$G$154-MOIC!$G$151),0)</f>
        <v>0</v>
      </c>
      <c r="T22" s="268">
        <f>-IF(T$5=YEAR(Inputs!$E$58),$E$22*(MOIC!$G$154-MOIC!$G$151),0)</f>
        <v>0</v>
      </c>
      <c r="U22" s="268">
        <f>-IF(U$5=YEAR(Inputs!$E$58),$E$22*(MOIC!$G$154-MOIC!$G$151),0)</f>
        <v>0</v>
      </c>
      <c r="V22" s="268">
        <f>-IF(V$5=YEAR(Inputs!$E$58),$E$22*(MOIC!$G$154-MOIC!$G$151),0)</f>
        <v>0</v>
      </c>
      <c r="W22" s="268">
        <f>-IF(W$5=YEAR(Inputs!$E$58),$E$22*(MOIC!$G$154-MOIC!$G$151),0)</f>
        <v>0</v>
      </c>
      <c r="X22" s="268">
        <f>-IF(X$5=YEAR(Inputs!$E$58),$E$22*(MOIC!$G$154-MOIC!$G$151),0)</f>
        <v>0</v>
      </c>
      <c r="Y22" s="268">
        <f>-IF(Y$5=YEAR(Inputs!$E$58),$E$22*(MOIC!$G$154-MOIC!$G$151),0)</f>
        <v>0</v>
      </c>
      <c r="Z22" s="268">
        <f>-IF(Z$5=YEAR(Inputs!$E$58),$E$22*(MOIC!$G$154-MOIC!$G$151),0)</f>
        <v>0</v>
      </c>
      <c r="AA22" s="268">
        <f>-IF(AA$5=YEAR(Inputs!$E$58),$E$22*(MOIC!$G$154-MOIC!$G$151),0)</f>
        <v>0</v>
      </c>
      <c r="AB22" s="268">
        <f>-IF(AB$5=YEAR(Inputs!$E$58),$E$22*(MOIC!$G$154-MOIC!$G$151),0)</f>
        <v>0</v>
      </c>
      <c r="AC22" s="268">
        <f>-IF(AC$5=YEAR(Inputs!$E$58),$E$22*(MOIC!$G$154-MOIC!$G$151),0)</f>
        <v>0</v>
      </c>
      <c r="AD22" s="268">
        <f>-IF(AD$5=YEAR(Inputs!$E$58),$E$22*(MOIC!$G$154-MOIC!$G$151),0)</f>
        <v>0</v>
      </c>
      <c r="AE22" s="268">
        <f>-IF(AE$5=YEAR(Inputs!$E$58),$E$22*(MOIC!$G$154-MOIC!$G$151),0)</f>
        <v>0</v>
      </c>
      <c r="AF22" s="268">
        <f>-IF(AF$5=YEAR(Inputs!$E$58),$E$22*(MOIC!$G$154-MOIC!$G$151),0)</f>
        <v>0</v>
      </c>
      <c r="AG22" s="268">
        <f>-IF(AG$5=YEAR(Inputs!$E$58),$E$22*(MOIC!$G$154-MOIC!$G$151),0)</f>
        <v>0</v>
      </c>
      <c r="AH22" s="268">
        <f>-IF(AH$5=YEAR(Inputs!$E$58),$E$22*(MOIC!$G$154-MOIC!$G$151),0)</f>
        <v>0</v>
      </c>
      <c r="AI22" s="268">
        <f>-IF(AI$5=YEAR(Inputs!$E$58),$E$22*(MOIC!$G$154-MOIC!$G$151),0)</f>
        <v>0</v>
      </c>
      <c r="AJ22" s="268">
        <f>-IF(AJ$5=YEAR(Inputs!$E$58),$E$22*(MOIC!$G$154-MOIC!$G$151),0)</f>
        <v>0</v>
      </c>
      <c r="AK22" s="268">
        <f>-IF(AK$5=YEAR(Inputs!$E$58),$E$22*(MOIC!$G$154-MOIC!$G$151),0)</f>
        <v>0</v>
      </c>
      <c r="AL22" s="268">
        <f>-IF(AL$5=YEAR(Inputs!$E$58),$E$22*(MOIC!$G$154-MOIC!$G$151),0)</f>
        <v>0</v>
      </c>
      <c r="AM22" s="268">
        <f>-IF(AM$5=YEAR(Inputs!$E$58),$E$22*(MOIC!$G$154-MOIC!$G$151),0)</f>
        <v>0</v>
      </c>
      <c r="AN22" s="268">
        <f>-IF(AN$5=YEAR(Inputs!$E$58),$E$22*(MOIC!$G$154-MOIC!$G$151),0)</f>
        <v>0</v>
      </c>
      <c r="AO22" s="268">
        <f>-IF(AO$5=YEAR(Inputs!$E$58),$E$22*(MOIC!$G$154-MOIC!$G$151),0)</f>
        <v>0</v>
      </c>
      <c r="AP22" s="268">
        <f>-IF(AP$5=YEAR(Inputs!$E$58),$E$22*(MOIC!$G$154-MOIC!$G$151),0)</f>
        <v>0</v>
      </c>
      <c r="AQ22" s="268">
        <f>-IF(AQ$5=YEAR(Inputs!$E$58),$E$22*(MOIC!$G$154-MOIC!$G$151),0)</f>
        <v>0</v>
      </c>
    </row>
    <row r="23" spans="3:43" x14ac:dyDescent="0.25">
      <c r="C23" t="s">
        <v>1208</v>
      </c>
      <c r="D23" t="s">
        <v>125</v>
      </c>
      <c r="E23" s="139">
        <f>SUMPRODUCT(MOIC!$H$7:$BP$7,MOIC!$H$78:$BP$78)</f>
        <v>0.06</v>
      </c>
      <c r="F23" s="139"/>
      <c r="G23" s="139">
        <f t="shared" si="4"/>
        <v>-1617.7564946519051</v>
      </c>
      <c r="H23" s="268">
        <f t="array" ref="H23">-(SUMPRODUCT((YEAR(MOIC!$H$5:$BP$5)=H$5)*MOIC!$H$79:$BP$79)+$E$23*(-MOIC!$G$75*MAX(0,MIN(DATE(H$5,12,31),Inputs!$E$155)-MAX(DATE(H$5,1,1)-1,Inputs!$E$58))/365+Deposits!$M$17*(1-Deposits!$P$17)*MAX(0,MIN(DATE(H$5,12,31),Inputs!$E$155)-MAX(DATE(H$5,1,1)-1,Deposits!$K$17))/365))*$E$15</f>
        <v>-40.900136986301376</v>
      </c>
      <c r="I23" s="268">
        <f t="array" ref="I23">-(SUMPRODUCT((YEAR(MOIC!$H$5:$BP$5)=I$5)*MOIC!$H$79:$BP$79)+$E$23*(-MOIC!$G$75*MAX(0,MIN(DATE(I$5,12,31),Inputs!$E$155)-MAX(DATE(I$5,1,1)-1,Inputs!$E$58))/365+Deposits!$M$17*(1-Deposits!$P$17)*MAX(0,MIN(DATE(I$5,12,31),Inputs!$E$155)-MAX(DATE(I$5,1,1)-1,Deposits!$K$17))/365))*$E$15</f>
        <v>-350.57260273972611</v>
      </c>
      <c r="J23" s="268">
        <f t="array" ref="J23">-(SUMPRODUCT((YEAR(MOIC!$H$5:$BP$5)=J$5)*MOIC!$H$79:$BP$79)+$E$23*(-MOIC!$G$75*MAX(0,MIN(DATE(J$5,12,31),Inputs!$E$155)-MAX(DATE(J$5,1,1)-1,Inputs!$E$58))/365+Deposits!$M$17*(1-Deposits!$P$17)*MAX(0,MIN(DATE(J$5,12,31),Inputs!$E$155)-MAX(DATE(J$5,1,1)-1,Deposits!$K$17))/365))*$E$15</f>
        <v>-350.57260273972611</v>
      </c>
      <c r="K23" s="268">
        <f t="array" ref="K23">-(SUMPRODUCT((YEAR(MOIC!$H$5:$BP$5)=K$5)*MOIC!$H$79:$BP$79)+$E$23*(-MOIC!$G$75*MAX(0,MIN(DATE(K$5,12,31),Inputs!$E$155)-MAX(DATE(K$5,1,1)-1,Inputs!$E$58))/365+Deposits!$M$17*(1-Deposits!$P$17)*MAX(0,MIN(DATE(K$5,12,31),Inputs!$E$155)-MAX(DATE(K$5,1,1)-1,Deposits!$K$17))/365))*$E$15</f>
        <v>-351.29295740288995</v>
      </c>
      <c r="L23" s="268">
        <f t="array" ref="L23">-(SUMPRODUCT((YEAR(MOIC!$H$5:$BP$5)=L$5)*MOIC!$H$79:$BP$79)+$E$23*(-MOIC!$G$75*MAX(0,MIN(DATE(L$5,12,31),Inputs!$E$155)-MAX(DATE(L$5,1,1)-1,Inputs!$E$58))/365+Deposits!$M$17*(1-Deposits!$P$17)*MAX(0,MIN(DATE(L$5,12,31),Inputs!$E$155)-MAX(DATE(L$5,1,1)-1,Deposits!$K$17))/365))*$E$15</f>
        <v>-350.57260273972605</v>
      </c>
      <c r="M23" s="268">
        <f t="array" ref="M23">-(SUMPRODUCT((YEAR(MOIC!$H$5:$BP$5)=M$5)*MOIC!$H$79:$BP$79)+$E$23*(-MOIC!$G$75*MAX(0,MIN(DATE(M$5,12,31),Inputs!$E$155)-MAX(DATE(M$5,1,1)-1,Inputs!$E$58))/365+Deposits!$M$17*(1-Deposits!$P$17)*MAX(0,MIN(DATE(M$5,12,31),Inputs!$E$155)-MAX(DATE(M$5,1,1)-1,Deposits!$K$17))/365))*$E$15</f>
        <v>-173.84559204353542</v>
      </c>
      <c r="N23" s="268">
        <f t="array" ref="N23">-(SUMPRODUCT((YEAR(MOIC!$H$5:$BP$5)=N$5)*MOIC!$H$79:$BP$79)+$E$23*(-MOIC!$G$75*MAX(0,MIN(DATE(N$5,12,31),Inputs!$E$155)-MAX(DATE(N$5,1,1)-1,Inputs!$E$58))/365+Deposits!$M$17*(1-Deposits!$P$17)*MAX(0,MIN(DATE(N$5,12,31),Inputs!$E$155)-MAX(DATE(N$5,1,1)-1,Deposits!$K$17))/365))*$E$15</f>
        <v>0</v>
      </c>
      <c r="O23" s="268">
        <f t="array" ref="O23">-(SUMPRODUCT((YEAR(MOIC!$H$5:$BP$5)=O$5)*MOIC!$H$79:$BP$79)+$E$23*(-MOIC!$G$75*MAX(0,MIN(DATE(O$5,12,31),Inputs!$E$155)-MAX(DATE(O$5,1,1)-1,Inputs!$E$58))/365+Deposits!$M$17*(1-Deposits!$P$17)*MAX(0,MIN(DATE(O$5,12,31),Inputs!$E$155)-MAX(DATE(O$5,1,1)-1,Deposits!$K$17))/365))*$E$15</f>
        <v>0</v>
      </c>
      <c r="P23" s="268">
        <f t="array" ref="P23">-(SUMPRODUCT((YEAR(MOIC!$H$5:$BP$5)=P$5)*MOIC!$H$79:$BP$79)+$E$23*(-MOIC!$G$75*MAX(0,MIN(DATE(P$5,12,31),Inputs!$E$155)-MAX(DATE(P$5,1,1)-1,Inputs!$E$58))/365+Deposits!$M$17*(1-Deposits!$P$17)*MAX(0,MIN(DATE(P$5,12,31),Inputs!$E$155)-MAX(DATE(P$5,1,1)-1,Deposits!$K$17))/365))*$E$15</f>
        <v>0</v>
      </c>
      <c r="Q23" s="268">
        <f t="array" ref="Q23">-(SUMPRODUCT((YEAR(MOIC!$H$5:$BP$5)=Q$5)*MOIC!$H$79:$BP$79)+$E$23*(-MOIC!$G$75*MAX(0,MIN(DATE(Q$5,12,31),Inputs!$E$155)-MAX(DATE(Q$5,1,1)-1,Inputs!$E$58))/365+Deposits!$M$17*(1-Deposits!$P$17)*MAX(0,MIN(DATE(Q$5,12,31),Inputs!$E$155)-MAX(DATE(Q$5,1,1)-1,Deposits!$K$17))/365))*$E$15</f>
        <v>0</v>
      </c>
      <c r="R23" s="268">
        <f t="array" ref="R23">-(SUMPRODUCT((YEAR(MOIC!$H$5:$BP$5)=R$5)*MOIC!$H$79:$BP$79)+$E$23*(-MOIC!$G$75*MAX(0,MIN(DATE(R$5,12,31),Inputs!$E$155)-MAX(DATE(R$5,1,1)-1,Inputs!$E$58))/365+Deposits!$M$17*(1-Deposits!$P$17)*MAX(0,MIN(DATE(R$5,12,31),Inputs!$E$155)-MAX(DATE(R$5,1,1)-1,Deposits!$K$17))/365))*$E$15</f>
        <v>0</v>
      </c>
      <c r="S23" s="268">
        <f t="array" ref="S23">-(SUMPRODUCT((YEAR(MOIC!$H$5:$BP$5)=S$5)*MOIC!$H$79:$BP$79)+$E$23*(-MOIC!$G$75*MAX(0,MIN(DATE(S$5,12,31),Inputs!$E$155)-MAX(DATE(S$5,1,1)-1,Inputs!$E$58))/365+Deposits!$M$17*(1-Deposits!$P$17)*MAX(0,MIN(DATE(S$5,12,31),Inputs!$E$155)-MAX(DATE(S$5,1,1)-1,Deposits!$K$17))/365))*$E$15</f>
        <v>0</v>
      </c>
      <c r="T23" s="268">
        <f t="array" ref="T23">-(SUMPRODUCT((YEAR(MOIC!$H$5:$BP$5)=T$5)*MOIC!$H$79:$BP$79)+$E$23*(-MOIC!$G$75*MAX(0,MIN(DATE(T$5,12,31),Inputs!$E$155)-MAX(DATE(T$5,1,1)-1,Inputs!$E$58))/365+Deposits!$M$17*(1-Deposits!$P$17)*MAX(0,MIN(DATE(T$5,12,31),Inputs!$E$155)-MAX(DATE(T$5,1,1)-1,Deposits!$K$17))/365))*$E$15</f>
        <v>0</v>
      </c>
      <c r="U23" s="268">
        <f t="array" ref="U23">-(SUMPRODUCT((YEAR(MOIC!$H$5:$BP$5)=U$5)*MOIC!$H$79:$BP$79)+$E$23*(-MOIC!$G$75*MAX(0,MIN(DATE(U$5,12,31),Inputs!$E$155)-MAX(DATE(U$5,1,1)-1,Inputs!$E$58))/365+Deposits!$M$17*(1-Deposits!$P$17)*MAX(0,MIN(DATE(U$5,12,31),Inputs!$E$155)-MAX(DATE(U$5,1,1)-1,Deposits!$K$17))/365))*$E$15</f>
        <v>0</v>
      </c>
      <c r="V23" s="268">
        <f t="array" ref="V23">-(SUMPRODUCT((YEAR(MOIC!$H$5:$BP$5)=V$5)*MOIC!$H$79:$BP$79)+$E$23*(-MOIC!$G$75*MAX(0,MIN(DATE(V$5,12,31),Inputs!$E$155)-MAX(DATE(V$5,1,1)-1,Inputs!$E$58))/365+Deposits!$M$17*(1-Deposits!$P$17)*MAX(0,MIN(DATE(V$5,12,31),Inputs!$E$155)-MAX(DATE(V$5,1,1)-1,Deposits!$K$17))/365))*$E$15</f>
        <v>0</v>
      </c>
      <c r="W23" s="268">
        <f t="array" ref="W23">-(SUMPRODUCT((YEAR(MOIC!$H$5:$BP$5)=W$5)*MOIC!$H$79:$BP$79)+$E$23*(-MOIC!$G$75*MAX(0,MIN(DATE(W$5,12,31),Inputs!$E$155)-MAX(DATE(W$5,1,1)-1,Inputs!$E$58))/365+Deposits!$M$17*(1-Deposits!$P$17)*MAX(0,MIN(DATE(W$5,12,31),Inputs!$E$155)-MAX(DATE(W$5,1,1)-1,Deposits!$K$17))/365))*$E$15</f>
        <v>0</v>
      </c>
      <c r="X23" s="268">
        <f t="array" ref="X23">-(SUMPRODUCT((YEAR(MOIC!$H$5:$BP$5)=X$5)*MOIC!$H$79:$BP$79)+$E$23*(-MOIC!$G$75*MAX(0,MIN(DATE(X$5,12,31),Inputs!$E$155)-MAX(DATE(X$5,1,1)-1,Inputs!$E$58))/365+Deposits!$M$17*(1-Deposits!$P$17)*MAX(0,MIN(DATE(X$5,12,31),Inputs!$E$155)-MAX(DATE(X$5,1,1)-1,Deposits!$K$17))/365))*$E$15</f>
        <v>0</v>
      </c>
      <c r="Y23" s="268">
        <f t="array" ref="Y23">-(SUMPRODUCT((YEAR(MOIC!$H$5:$BP$5)=Y$5)*MOIC!$H$79:$BP$79)+$E$23*(-MOIC!$G$75*MAX(0,MIN(DATE(Y$5,12,31),Inputs!$E$155)-MAX(DATE(Y$5,1,1)-1,Inputs!$E$58))/365+Deposits!$M$17*(1-Deposits!$P$17)*MAX(0,MIN(DATE(Y$5,12,31),Inputs!$E$155)-MAX(DATE(Y$5,1,1)-1,Deposits!$K$17))/365))*$E$15</f>
        <v>0</v>
      </c>
      <c r="Z23" s="268">
        <f t="array" ref="Z23">-(SUMPRODUCT((YEAR(MOIC!$H$5:$BP$5)=Z$5)*MOIC!$H$79:$BP$79)+$E$23*(-MOIC!$G$75*MAX(0,MIN(DATE(Z$5,12,31),Inputs!$E$155)-MAX(DATE(Z$5,1,1)-1,Inputs!$E$58))/365+Deposits!$M$17*(1-Deposits!$P$17)*MAX(0,MIN(DATE(Z$5,12,31),Inputs!$E$155)-MAX(DATE(Z$5,1,1)-1,Deposits!$K$17))/365))*$E$15</f>
        <v>0</v>
      </c>
      <c r="AA23" s="268">
        <f t="array" ref="AA23">-(SUMPRODUCT((YEAR(MOIC!$H$5:$BP$5)=AA$5)*MOIC!$H$79:$BP$79)+$E$23*(-MOIC!$G$75*MAX(0,MIN(DATE(AA$5,12,31),Inputs!$E$155)-MAX(DATE(AA$5,1,1)-1,Inputs!$E$58))/365+Deposits!$M$17*(1-Deposits!$P$17)*MAX(0,MIN(DATE(AA$5,12,31),Inputs!$E$155)-MAX(DATE(AA$5,1,1)-1,Deposits!$K$17))/365))*$E$15</f>
        <v>0</v>
      </c>
      <c r="AB23" s="268">
        <f t="array" ref="AB23">-(SUMPRODUCT((YEAR(MOIC!$H$5:$BP$5)=AB$5)*MOIC!$H$79:$BP$79)+$E$23*(-MOIC!$G$75*MAX(0,MIN(DATE(AB$5,12,31),Inputs!$E$155)-MAX(DATE(AB$5,1,1)-1,Inputs!$E$58))/365+Deposits!$M$17*(1-Deposits!$P$17)*MAX(0,MIN(DATE(AB$5,12,31),Inputs!$E$155)-MAX(DATE(AB$5,1,1)-1,Deposits!$K$17))/365))*$E$15</f>
        <v>0</v>
      </c>
      <c r="AC23" s="268">
        <f t="array" ref="AC23">-(SUMPRODUCT((YEAR(MOIC!$H$5:$BP$5)=AC$5)*MOIC!$H$79:$BP$79)+$E$23*(-MOIC!$G$75*MAX(0,MIN(DATE(AC$5,12,31),Inputs!$E$155)-MAX(DATE(AC$5,1,1)-1,Inputs!$E$58))/365+Deposits!$M$17*(1-Deposits!$P$17)*MAX(0,MIN(DATE(AC$5,12,31),Inputs!$E$155)-MAX(DATE(AC$5,1,1)-1,Deposits!$K$17))/365))*$E$15</f>
        <v>0</v>
      </c>
      <c r="AD23" s="268">
        <f t="array" ref="AD23">-(SUMPRODUCT((YEAR(MOIC!$H$5:$BP$5)=AD$5)*MOIC!$H$79:$BP$79)+$E$23*(-MOIC!$G$75*MAX(0,MIN(DATE(AD$5,12,31),Inputs!$E$155)-MAX(DATE(AD$5,1,1)-1,Inputs!$E$58))/365+Deposits!$M$17*(1-Deposits!$P$17)*MAX(0,MIN(DATE(AD$5,12,31),Inputs!$E$155)-MAX(DATE(AD$5,1,1)-1,Deposits!$K$17))/365))*$E$15</f>
        <v>0</v>
      </c>
      <c r="AE23" s="268">
        <f t="array" ref="AE23">-(SUMPRODUCT((YEAR(MOIC!$H$5:$BP$5)=AE$5)*MOIC!$H$79:$BP$79)+$E$23*(-MOIC!$G$75*MAX(0,MIN(DATE(AE$5,12,31),Inputs!$E$155)-MAX(DATE(AE$5,1,1)-1,Inputs!$E$58))/365+Deposits!$M$17*(1-Deposits!$P$17)*MAX(0,MIN(DATE(AE$5,12,31),Inputs!$E$155)-MAX(DATE(AE$5,1,1)-1,Deposits!$K$17))/365))*$E$15</f>
        <v>0</v>
      </c>
      <c r="AF23" s="268">
        <f t="array" ref="AF23">-(SUMPRODUCT((YEAR(MOIC!$H$5:$BP$5)=AF$5)*MOIC!$H$79:$BP$79)+$E$23*(-MOIC!$G$75*MAX(0,MIN(DATE(AF$5,12,31),Inputs!$E$155)-MAX(DATE(AF$5,1,1)-1,Inputs!$E$58))/365+Deposits!$M$17*(1-Deposits!$P$17)*MAX(0,MIN(DATE(AF$5,12,31),Inputs!$E$155)-MAX(DATE(AF$5,1,1)-1,Deposits!$K$17))/365))*$E$15</f>
        <v>0</v>
      </c>
      <c r="AG23" s="268">
        <f t="array" ref="AG23">-(SUMPRODUCT((YEAR(MOIC!$H$5:$BP$5)=AG$5)*MOIC!$H$79:$BP$79)+$E$23*(-MOIC!$G$75*MAX(0,MIN(DATE(AG$5,12,31),Inputs!$E$155)-MAX(DATE(AG$5,1,1)-1,Inputs!$E$58))/365+Deposits!$M$17*(1-Deposits!$P$17)*MAX(0,MIN(DATE(AG$5,12,31),Inputs!$E$155)-MAX(DATE(AG$5,1,1)-1,Deposits!$K$17))/365))*$E$15</f>
        <v>0</v>
      </c>
      <c r="AH23" s="268">
        <f t="array" ref="AH23">-(SUMPRODUCT((YEAR(MOIC!$H$5:$BP$5)=AH$5)*MOIC!$H$79:$BP$79)+$E$23*(-MOIC!$G$75*MAX(0,MIN(DATE(AH$5,12,31),Inputs!$E$155)-MAX(DATE(AH$5,1,1)-1,Inputs!$E$58))/365+Deposits!$M$17*(1-Deposits!$P$17)*MAX(0,MIN(DATE(AH$5,12,31),Inputs!$E$155)-MAX(DATE(AH$5,1,1)-1,Deposits!$K$17))/365))*$E$15</f>
        <v>0</v>
      </c>
      <c r="AI23" s="268">
        <f t="array" ref="AI23">-(SUMPRODUCT((YEAR(MOIC!$H$5:$BP$5)=AI$5)*MOIC!$H$79:$BP$79)+$E$23*(-MOIC!$G$75*MAX(0,MIN(DATE(AI$5,12,31),Inputs!$E$155)-MAX(DATE(AI$5,1,1)-1,Inputs!$E$58))/365+Deposits!$M$17*(1-Deposits!$P$17)*MAX(0,MIN(DATE(AI$5,12,31),Inputs!$E$155)-MAX(DATE(AI$5,1,1)-1,Deposits!$K$17))/365))*$E$15</f>
        <v>0</v>
      </c>
      <c r="AJ23" s="268">
        <f t="array" ref="AJ23">-(SUMPRODUCT((YEAR(MOIC!$H$5:$BP$5)=AJ$5)*MOIC!$H$79:$BP$79)+$E$23*(-MOIC!$G$75*MAX(0,MIN(DATE(AJ$5,12,31),Inputs!$E$155)-MAX(DATE(AJ$5,1,1)-1,Inputs!$E$58))/365+Deposits!$M$17*(1-Deposits!$P$17)*MAX(0,MIN(DATE(AJ$5,12,31),Inputs!$E$155)-MAX(DATE(AJ$5,1,1)-1,Deposits!$K$17))/365))*$E$15</f>
        <v>0</v>
      </c>
      <c r="AK23" s="268">
        <f t="array" ref="AK23">-(SUMPRODUCT((YEAR(MOIC!$H$5:$BP$5)=AK$5)*MOIC!$H$79:$BP$79)+$E$23*(-MOIC!$G$75*MAX(0,MIN(DATE(AK$5,12,31),Inputs!$E$155)-MAX(DATE(AK$5,1,1)-1,Inputs!$E$58))/365+Deposits!$M$17*(1-Deposits!$P$17)*MAX(0,MIN(DATE(AK$5,12,31),Inputs!$E$155)-MAX(DATE(AK$5,1,1)-1,Deposits!$K$17))/365))*$E$15</f>
        <v>0</v>
      </c>
      <c r="AL23" s="268">
        <f t="array" ref="AL23">-(SUMPRODUCT((YEAR(MOIC!$H$5:$BP$5)=AL$5)*MOIC!$H$79:$BP$79)+$E$23*(-MOIC!$G$75*MAX(0,MIN(DATE(AL$5,12,31),Inputs!$E$155)-MAX(DATE(AL$5,1,1)-1,Inputs!$E$58))/365+Deposits!$M$17*(1-Deposits!$P$17)*MAX(0,MIN(DATE(AL$5,12,31),Inputs!$E$155)-MAX(DATE(AL$5,1,1)-1,Deposits!$K$17))/365))*$E$15</f>
        <v>0</v>
      </c>
      <c r="AM23" s="268">
        <f t="array" ref="AM23">-(SUMPRODUCT((YEAR(MOIC!$H$5:$BP$5)=AM$5)*MOIC!$H$79:$BP$79)+$E$23*(-MOIC!$G$75*MAX(0,MIN(DATE(AM$5,12,31),Inputs!$E$155)-MAX(DATE(AM$5,1,1)-1,Inputs!$E$58))/365+Deposits!$M$17*(1-Deposits!$P$17)*MAX(0,MIN(DATE(AM$5,12,31),Inputs!$E$155)-MAX(DATE(AM$5,1,1)-1,Deposits!$K$17))/365))*$E$15</f>
        <v>0</v>
      </c>
      <c r="AN23" s="268">
        <f t="array" ref="AN23">-(SUMPRODUCT((YEAR(MOIC!$H$5:$BP$5)=AN$5)*MOIC!$H$79:$BP$79)+$E$23*(-MOIC!$G$75*MAX(0,MIN(DATE(AN$5,12,31),Inputs!$E$155)-MAX(DATE(AN$5,1,1)-1,Inputs!$E$58))/365+Deposits!$M$17*(1-Deposits!$P$17)*MAX(0,MIN(DATE(AN$5,12,31),Inputs!$E$155)-MAX(DATE(AN$5,1,1)-1,Deposits!$K$17))/365))*$E$15</f>
        <v>0</v>
      </c>
      <c r="AO23" s="268">
        <f t="array" ref="AO23">-(SUMPRODUCT((YEAR(MOIC!$H$5:$BP$5)=AO$5)*MOIC!$H$79:$BP$79)+$E$23*(-MOIC!$G$75*MAX(0,MIN(DATE(AO$5,12,31),Inputs!$E$155)-MAX(DATE(AO$5,1,1)-1,Inputs!$E$58))/365+Deposits!$M$17*(1-Deposits!$P$17)*MAX(0,MIN(DATE(AO$5,12,31),Inputs!$E$155)-MAX(DATE(AO$5,1,1)-1,Deposits!$K$17))/365))*$E$15</f>
        <v>0</v>
      </c>
      <c r="AP23" s="268">
        <f t="array" ref="AP23">-(SUMPRODUCT((YEAR(MOIC!$H$5:$BP$5)=AP$5)*MOIC!$H$79:$BP$79)+$E$23*(-MOIC!$G$75*MAX(0,MIN(DATE(AP$5,12,31),Inputs!$E$155)-MAX(DATE(AP$5,1,1)-1,Inputs!$E$58))/365+Deposits!$M$17*(1-Deposits!$P$17)*MAX(0,MIN(DATE(AP$5,12,31),Inputs!$E$155)-MAX(DATE(AP$5,1,1)-1,Deposits!$K$17))/365))*$E$15</f>
        <v>0</v>
      </c>
      <c r="AQ23" s="268">
        <f t="array" ref="AQ23">-(SUMPRODUCT((YEAR(MOIC!$H$5:$BP$5)=AQ$5)*MOIC!$H$79:$BP$79)+$E$23*(-MOIC!$G$75*MAX(0,MIN(DATE(AQ$5,12,31),Inputs!$E$155)-MAX(DATE(AQ$5,1,1)-1,Inputs!$E$58))/365+Deposits!$M$17*(1-Deposits!$P$17)*MAX(0,MIN(DATE(AQ$5,12,31),Inputs!$E$155)-MAX(DATE(AQ$5,1,1)-1,Deposits!$K$17))/365))*$E$15</f>
        <v>0</v>
      </c>
    </row>
    <row r="24" spans="3:43" x14ac:dyDescent="0.25">
      <c r="C24" s="198" t="s">
        <v>1209</v>
      </c>
      <c r="D24" s="198" t="s">
        <v>125</v>
      </c>
      <c r="E24" s="269"/>
      <c r="F24" s="269"/>
      <c r="G24" s="269">
        <f t="shared" si="4"/>
        <v>-8600.284473823709</v>
      </c>
      <c r="H24" s="269">
        <f t="shared" ref="H24:AQ24" si="5">SUM(H16:H23)</f>
        <v>-1570.6176490188818</v>
      </c>
      <c r="I24" s="269">
        <f t="shared" si="5"/>
        <v>-778.73814328026663</v>
      </c>
      <c r="J24" s="269">
        <f t="shared" si="5"/>
        <v>-1227.4381311822531</v>
      </c>
      <c r="K24" s="269">
        <f t="shared" si="5"/>
        <v>-4499.0723555590448</v>
      </c>
      <c r="L24" s="269">
        <f t="shared" si="5"/>
        <v>-350.57260273972605</v>
      </c>
      <c r="M24" s="269">
        <f t="shared" si="5"/>
        <v>-173.84559204353542</v>
      </c>
      <c r="N24" s="269">
        <f t="shared" si="5"/>
        <v>0</v>
      </c>
      <c r="O24" s="269">
        <f t="shared" si="5"/>
        <v>0</v>
      </c>
      <c r="P24" s="269">
        <f t="shared" si="5"/>
        <v>0</v>
      </c>
      <c r="Q24" s="269">
        <f t="shared" si="5"/>
        <v>0</v>
      </c>
      <c r="R24" s="269">
        <f t="shared" si="5"/>
        <v>0</v>
      </c>
      <c r="S24" s="269">
        <f t="shared" si="5"/>
        <v>0</v>
      </c>
      <c r="T24" s="269">
        <f t="shared" si="5"/>
        <v>0</v>
      </c>
      <c r="U24" s="269">
        <f t="shared" si="5"/>
        <v>0</v>
      </c>
      <c r="V24" s="269">
        <f t="shared" si="5"/>
        <v>0</v>
      </c>
      <c r="W24" s="269">
        <f t="shared" si="5"/>
        <v>0</v>
      </c>
      <c r="X24" s="269">
        <f t="shared" si="5"/>
        <v>0</v>
      </c>
      <c r="Y24" s="269">
        <f t="shared" si="5"/>
        <v>0</v>
      </c>
      <c r="Z24" s="269">
        <f t="shared" si="5"/>
        <v>0</v>
      </c>
      <c r="AA24" s="269">
        <f t="shared" si="5"/>
        <v>0</v>
      </c>
      <c r="AB24" s="269">
        <f t="shared" si="5"/>
        <v>0</v>
      </c>
      <c r="AC24" s="269">
        <f t="shared" si="5"/>
        <v>0</v>
      </c>
      <c r="AD24" s="269">
        <f t="shared" si="5"/>
        <v>0</v>
      </c>
      <c r="AE24" s="269">
        <f t="shared" si="5"/>
        <v>0</v>
      </c>
      <c r="AF24" s="269">
        <f t="shared" si="5"/>
        <v>0</v>
      </c>
      <c r="AG24" s="269">
        <f t="shared" si="5"/>
        <v>0</v>
      </c>
      <c r="AH24" s="269">
        <f t="shared" si="5"/>
        <v>0</v>
      </c>
      <c r="AI24" s="269">
        <f t="shared" si="5"/>
        <v>0</v>
      </c>
      <c r="AJ24" s="269">
        <f t="shared" si="5"/>
        <v>0</v>
      </c>
      <c r="AK24" s="269">
        <f t="shared" si="5"/>
        <v>0</v>
      </c>
      <c r="AL24" s="269">
        <f t="shared" si="5"/>
        <v>0</v>
      </c>
      <c r="AM24" s="269">
        <f t="shared" si="5"/>
        <v>0</v>
      </c>
      <c r="AN24" s="269">
        <f t="shared" si="5"/>
        <v>0</v>
      </c>
      <c r="AO24" s="269">
        <f t="shared" si="5"/>
        <v>0</v>
      </c>
      <c r="AP24" s="269">
        <f t="shared" si="5"/>
        <v>0</v>
      </c>
      <c r="AQ24" s="269">
        <f t="shared" si="5"/>
        <v>0</v>
      </c>
    </row>
    <row r="25" spans="3:43" x14ac:dyDescent="0.25">
      <c r="E25" s="139"/>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row>
    <row r="26" spans="3:43" x14ac:dyDescent="0.25">
      <c r="C26" s="129" t="s">
        <v>1210</v>
      </c>
      <c r="D26" s="129"/>
      <c r="E26" s="270"/>
      <c r="F26" s="270"/>
      <c r="G26" s="270"/>
      <c r="H26" s="270"/>
      <c r="I26" s="270"/>
      <c r="J26" s="270"/>
      <c r="K26" s="270"/>
      <c r="L26" s="270"/>
      <c r="M26" s="270"/>
      <c r="N26" s="270"/>
      <c r="O26" s="270"/>
      <c r="P26" s="270"/>
      <c r="Q26" s="270"/>
      <c r="R26" s="270"/>
      <c r="S26" s="270"/>
      <c r="T26" s="270"/>
      <c r="U26" s="270"/>
      <c r="V26" s="270"/>
      <c r="W26" s="270"/>
      <c r="X26" s="270"/>
      <c r="Y26" s="270"/>
      <c r="Z26" s="270"/>
      <c r="AA26" s="270"/>
      <c r="AB26" s="270"/>
      <c r="AC26" s="270"/>
      <c r="AD26" s="270"/>
      <c r="AE26" s="270"/>
      <c r="AF26" s="270"/>
      <c r="AG26" s="270"/>
      <c r="AH26" s="270"/>
      <c r="AI26" s="270"/>
      <c r="AJ26" s="270"/>
      <c r="AK26" s="270"/>
      <c r="AL26" s="270"/>
      <c r="AM26" s="270"/>
      <c r="AN26" s="270"/>
      <c r="AO26" s="270"/>
      <c r="AP26" s="270"/>
      <c r="AQ26" s="270"/>
    </row>
    <row r="27" spans="3:43" x14ac:dyDescent="0.25">
      <c r="C27" t="s">
        <v>1211</v>
      </c>
      <c r="D27" t="s">
        <v>125</v>
      </c>
      <c r="E27" s="139">
        <f>Inputs!$E$175*In_Wind_Built</f>
        <v>140304.22500000003</v>
      </c>
      <c r="F27" s="139"/>
      <c r="G27" s="139">
        <f>SUM(H27:AQ27)</f>
        <v>-140304.22500000003</v>
      </c>
      <c r="H27" s="139">
        <f t="shared" ref="H27:AQ27" si="6">-$E$27*H7</f>
        <v>0</v>
      </c>
      <c r="I27" s="139">
        <f t="shared" si="6"/>
        <v>0</v>
      </c>
      <c r="J27" s="139">
        <f t="shared" si="6"/>
        <v>0</v>
      </c>
      <c r="K27" s="139">
        <f t="shared" si="6"/>
        <v>-35364.352602739738</v>
      </c>
      <c r="L27" s="139">
        <f t="shared" si="6"/>
        <v>-70152.112500000017</v>
      </c>
      <c r="M27" s="139">
        <f t="shared" si="6"/>
        <v>-34787.759897260286</v>
      </c>
      <c r="N27" s="139">
        <f t="shared" si="6"/>
        <v>0</v>
      </c>
      <c r="O27" s="139">
        <f t="shared" si="6"/>
        <v>0</v>
      </c>
      <c r="P27" s="139">
        <f t="shared" si="6"/>
        <v>0</v>
      </c>
      <c r="Q27" s="139">
        <f t="shared" si="6"/>
        <v>0</v>
      </c>
      <c r="R27" s="139">
        <f t="shared" si="6"/>
        <v>0</v>
      </c>
      <c r="S27" s="139">
        <f t="shared" si="6"/>
        <v>0</v>
      </c>
      <c r="T27" s="139">
        <f t="shared" si="6"/>
        <v>0</v>
      </c>
      <c r="U27" s="139">
        <f t="shared" si="6"/>
        <v>0</v>
      </c>
      <c r="V27" s="139">
        <f t="shared" si="6"/>
        <v>0</v>
      </c>
      <c r="W27" s="139">
        <f t="shared" si="6"/>
        <v>0</v>
      </c>
      <c r="X27" s="139">
        <f t="shared" si="6"/>
        <v>0</v>
      </c>
      <c r="Y27" s="139">
        <f t="shared" si="6"/>
        <v>0</v>
      </c>
      <c r="Z27" s="139">
        <f t="shared" si="6"/>
        <v>0</v>
      </c>
      <c r="AA27" s="139">
        <f t="shared" si="6"/>
        <v>0</v>
      </c>
      <c r="AB27" s="139">
        <f t="shared" si="6"/>
        <v>0</v>
      </c>
      <c r="AC27" s="139">
        <f t="shared" si="6"/>
        <v>0</v>
      </c>
      <c r="AD27" s="139">
        <f t="shared" si="6"/>
        <v>0</v>
      </c>
      <c r="AE27" s="139">
        <f t="shared" si="6"/>
        <v>0</v>
      </c>
      <c r="AF27" s="139">
        <f t="shared" si="6"/>
        <v>0</v>
      </c>
      <c r="AG27" s="139">
        <f t="shared" si="6"/>
        <v>0</v>
      </c>
      <c r="AH27" s="139">
        <f t="shared" si="6"/>
        <v>0</v>
      </c>
      <c r="AI27" s="139">
        <f t="shared" si="6"/>
        <v>0</v>
      </c>
      <c r="AJ27" s="139">
        <f t="shared" si="6"/>
        <v>0</v>
      </c>
      <c r="AK27" s="139">
        <f t="shared" si="6"/>
        <v>0</v>
      </c>
      <c r="AL27" s="139">
        <f t="shared" si="6"/>
        <v>0</v>
      </c>
      <c r="AM27" s="139">
        <f t="shared" si="6"/>
        <v>0</v>
      </c>
      <c r="AN27" s="139">
        <f t="shared" si="6"/>
        <v>0</v>
      </c>
      <c r="AO27" s="139">
        <f t="shared" si="6"/>
        <v>0</v>
      </c>
      <c r="AP27" s="139">
        <f t="shared" si="6"/>
        <v>0</v>
      </c>
      <c r="AQ27" s="139">
        <f t="shared" si="6"/>
        <v>0</v>
      </c>
    </row>
    <row r="28" spans="3:43" x14ac:dyDescent="0.25">
      <c r="C28" t="s">
        <v>1212</v>
      </c>
      <c r="D28" t="s">
        <v>125</v>
      </c>
      <c r="E28" s="139"/>
      <c r="F28" s="139"/>
      <c r="G28" s="139">
        <f>SUM(H28:AQ28)</f>
        <v>-19483.023293150687</v>
      </c>
      <c r="H28" s="268">
        <f t="array" ref="H28">-SUMPRODUCT((YEAR(Deposits!$K$7:$K$18)=H$5)*(Deposits!$R$7:$R$18="Connection fee")*Deposits!$M$7:$M$18)</f>
        <v>0</v>
      </c>
      <c r="I28" s="268">
        <f t="array" ref="I28">-SUMPRODUCT((YEAR(Deposits!$K$7:$K$18)=I$5)*(Deposits!$R$7:$R$18="Connection fee")*Deposits!$M$7:$M$18)</f>
        <v>0</v>
      </c>
      <c r="J28" s="268">
        <f t="array" ref="J28">-SUMPRODUCT((YEAR(Deposits!$K$7:$K$18)=J$5)*(Deposits!$R$7:$R$18="Connection fee")*Deposits!$M$7:$M$18)</f>
        <v>0</v>
      </c>
      <c r="K28" s="268">
        <f t="array" ref="K28">-SUMPRODUCT((YEAR(Deposits!$K$7:$K$18)=K$5)*(Deposits!$R$7:$R$18="Connection fee")*Deposits!$M$7:$M$18)</f>
        <v>-19483.023293150687</v>
      </c>
      <c r="L28" s="268">
        <f t="array" ref="L28">-SUMPRODUCT((YEAR(Deposits!$K$7:$K$18)=L$5)*(Deposits!$R$7:$R$18="Connection fee")*Deposits!$M$7:$M$18)</f>
        <v>0</v>
      </c>
      <c r="M28" s="268">
        <f t="array" ref="M28">-SUMPRODUCT((YEAR(Deposits!$K$7:$K$18)=M$5)*(Deposits!$R$7:$R$18="Connection fee")*Deposits!$M$7:$M$18)</f>
        <v>0</v>
      </c>
      <c r="N28" s="268">
        <f t="array" ref="N28">-SUMPRODUCT((YEAR(Deposits!$K$7:$K$18)=N$5)*(Deposits!$R$7:$R$18="Connection fee")*Deposits!$M$7:$M$18)</f>
        <v>0</v>
      </c>
      <c r="O28" s="268">
        <f t="array" ref="O28">-SUMPRODUCT((YEAR(Deposits!$K$7:$K$18)=O$5)*(Deposits!$R$7:$R$18="Connection fee")*Deposits!$M$7:$M$18)</f>
        <v>0</v>
      </c>
      <c r="P28" s="268">
        <f t="array" ref="P28">-SUMPRODUCT((YEAR(Deposits!$K$7:$K$18)=P$5)*(Deposits!$R$7:$R$18="Connection fee")*Deposits!$M$7:$M$18)</f>
        <v>0</v>
      </c>
      <c r="Q28" s="268">
        <f t="array" ref="Q28">-SUMPRODUCT((YEAR(Deposits!$K$7:$K$18)=Q$5)*(Deposits!$R$7:$R$18="Connection fee")*Deposits!$M$7:$M$18)</f>
        <v>0</v>
      </c>
      <c r="R28" s="268">
        <f t="array" ref="R28">-SUMPRODUCT((YEAR(Deposits!$K$7:$K$18)=R$5)*(Deposits!$R$7:$R$18="Connection fee")*Deposits!$M$7:$M$18)</f>
        <v>0</v>
      </c>
      <c r="S28" s="268">
        <f t="array" ref="S28">-SUMPRODUCT((YEAR(Deposits!$K$7:$K$18)=S$5)*(Deposits!$R$7:$R$18="Connection fee")*Deposits!$M$7:$M$18)</f>
        <v>0</v>
      </c>
      <c r="T28" s="268">
        <f t="array" ref="T28">-SUMPRODUCT((YEAR(Deposits!$K$7:$K$18)=T$5)*(Deposits!$R$7:$R$18="Connection fee")*Deposits!$M$7:$M$18)</f>
        <v>0</v>
      </c>
      <c r="U28" s="268">
        <f t="array" ref="U28">-SUMPRODUCT((YEAR(Deposits!$K$7:$K$18)=U$5)*(Deposits!$R$7:$R$18="Connection fee")*Deposits!$M$7:$M$18)</f>
        <v>0</v>
      </c>
      <c r="V28" s="268">
        <f t="array" ref="V28">-SUMPRODUCT((YEAR(Deposits!$K$7:$K$18)=V$5)*(Deposits!$R$7:$R$18="Connection fee")*Deposits!$M$7:$M$18)</f>
        <v>0</v>
      </c>
      <c r="W28" s="268">
        <f t="array" ref="W28">-SUMPRODUCT((YEAR(Deposits!$K$7:$K$18)=W$5)*(Deposits!$R$7:$R$18="Connection fee")*Deposits!$M$7:$M$18)</f>
        <v>0</v>
      </c>
      <c r="X28" s="268">
        <f t="array" ref="X28">-SUMPRODUCT((YEAR(Deposits!$K$7:$K$18)=X$5)*(Deposits!$R$7:$R$18="Connection fee")*Deposits!$M$7:$M$18)</f>
        <v>0</v>
      </c>
      <c r="Y28" s="268">
        <f t="array" ref="Y28">-SUMPRODUCT((YEAR(Deposits!$K$7:$K$18)=Y$5)*(Deposits!$R$7:$R$18="Connection fee")*Deposits!$M$7:$M$18)</f>
        <v>0</v>
      </c>
      <c r="Z28" s="268">
        <f t="array" ref="Z28">-SUMPRODUCT((YEAR(Deposits!$K$7:$K$18)=Z$5)*(Deposits!$R$7:$R$18="Connection fee")*Deposits!$M$7:$M$18)</f>
        <v>0</v>
      </c>
      <c r="AA28" s="268">
        <f t="array" ref="AA28">-SUMPRODUCT((YEAR(Deposits!$K$7:$K$18)=AA$5)*(Deposits!$R$7:$R$18="Connection fee")*Deposits!$M$7:$M$18)</f>
        <v>0</v>
      </c>
      <c r="AB28" s="268">
        <f t="array" ref="AB28">-SUMPRODUCT((YEAR(Deposits!$K$7:$K$18)=AB$5)*(Deposits!$R$7:$R$18="Connection fee")*Deposits!$M$7:$M$18)</f>
        <v>0</v>
      </c>
      <c r="AC28" s="268">
        <f t="array" ref="AC28">-SUMPRODUCT((YEAR(Deposits!$K$7:$K$18)=AC$5)*(Deposits!$R$7:$R$18="Connection fee")*Deposits!$M$7:$M$18)</f>
        <v>0</v>
      </c>
      <c r="AD28" s="268">
        <f t="array" ref="AD28">-SUMPRODUCT((YEAR(Deposits!$K$7:$K$18)=AD$5)*(Deposits!$R$7:$R$18="Connection fee")*Deposits!$M$7:$M$18)</f>
        <v>0</v>
      </c>
      <c r="AE28" s="268">
        <f t="array" ref="AE28">-SUMPRODUCT((YEAR(Deposits!$K$7:$K$18)=AE$5)*(Deposits!$R$7:$R$18="Connection fee")*Deposits!$M$7:$M$18)</f>
        <v>0</v>
      </c>
      <c r="AF28" s="268">
        <f t="array" ref="AF28">-SUMPRODUCT((YEAR(Deposits!$K$7:$K$18)=AF$5)*(Deposits!$R$7:$R$18="Connection fee")*Deposits!$M$7:$M$18)</f>
        <v>0</v>
      </c>
      <c r="AG28" s="268">
        <f t="array" ref="AG28">-SUMPRODUCT((YEAR(Deposits!$K$7:$K$18)=AG$5)*(Deposits!$R$7:$R$18="Connection fee")*Deposits!$M$7:$M$18)</f>
        <v>0</v>
      </c>
      <c r="AH28" s="268">
        <f t="array" ref="AH28">-SUMPRODUCT((YEAR(Deposits!$K$7:$K$18)=AH$5)*(Deposits!$R$7:$R$18="Connection fee")*Deposits!$M$7:$M$18)</f>
        <v>0</v>
      </c>
      <c r="AI28" s="268">
        <f t="array" ref="AI28">-SUMPRODUCT((YEAR(Deposits!$K$7:$K$18)=AI$5)*(Deposits!$R$7:$R$18="Connection fee")*Deposits!$M$7:$M$18)</f>
        <v>0</v>
      </c>
      <c r="AJ28" s="268">
        <f t="array" ref="AJ28">-SUMPRODUCT((YEAR(Deposits!$K$7:$K$18)=AJ$5)*(Deposits!$R$7:$R$18="Connection fee")*Deposits!$M$7:$M$18)</f>
        <v>0</v>
      </c>
      <c r="AK28" s="268">
        <f t="array" ref="AK28">-SUMPRODUCT((YEAR(Deposits!$K$7:$K$18)=AK$5)*(Deposits!$R$7:$R$18="Connection fee")*Deposits!$M$7:$M$18)</f>
        <v>0</v>
      </c>
      <c r="AL28" s="268">
        <f t="array" ref="AL28">-SUMPRODUCT((YEAR(Deposits!$K$7:$K$18)=AL$5)*(Deposits!$R$7:$R$18="Connection fee")*Deposits!$M$7:$M$18)</f>
        <v>0</v>
      </c>
      <c r="AM28" s="268">
        <f t="array" ref="AM28">-SUMPRODUCT((YEAR(Deposits!$K$7:$K$18)=AM$5)*(Deposits!$R$7:$R$18="Connection fee")*Deposits!$M$7:$M$18)</f>
        <v>0</v>
      </c>
      <c r="AN28" s="268">
        <f t="array" ref="AN28">-SUMPRODUCT((YEAR(Deposits!$K$7:$K$18)=AN$5)*(Deposits!$R$7:$R$18="Connection fee")*Deposits!$M$7:$M$18)</f>
        <v>0</v>
      </c>
      <c r="AO28" s="268">
        <f t="array" ref="AO28">-SUMPRODUCT((YEAR(Deposits!$K$7:$K$18)=AO$5)*(Deposits!$R$7:$R$18="Connection fee")*Deposits!$M$7:$M$18)</f>
        <v>0</v>
      </c>
      <c r="AP28" s="268">
        <f t="array" ref="AP28">-SUMPRODUCT((YEAR(Deposits!$K$7:$K$18)=AP$5)*(Deposits!$R$7:$R$18="Connection fee")*Deposits!$M$7:$M$18)</f>
        <v>0</v>
      </c>
      <c r="AQ28" s="268">
        <f t="array" ref="AQ28">-SUMPRODUCT((YEAR(Deposits!$K$7:$K$18)=AQ$5)*(Deposits!$R$7:$R$18="Connection fee")*Deposits!$M$7:$M$18)</f>
        <v>0</v>
      </c>
    </row>
    <row r="29" spans="3:43" x14ac:dyDescent="0.25">
      <c r="C29" t="s">
        <v>1213</v>
      </c>
      <c r="D29" t="s">
        <v>125</v>
      </c>
      <c r="E29" s="139"/>
      <c r="F29" s="139"/>
      <c r="G29" s="139">
        <f>SUM(H29:AQ29)</f>
        <v>-5000</v>
      </c>
      <c r="H29" s="268">
        <f>-IF(H5=YEAR(Inputs!$E$155),Inputs!$E$235*Dash_MVA,0)</f>
        <v>0</v>
      </c>
      <c r="I29" s="268">
        <f>-IF(I5=YEAR(Inputs!$E$155),Inputs!$E$235*Dash_MVA,0)</f>
        <v>0</v>
      </c>
      <c r="J29" s="268">
        <f>-IF(J5=YEAR(Inputs!$E$155),Inputs!$E$235*Dash_MVA,0)</f>
        <v>0</v>
      </c>
      <c r="K29" s="268">
        <f>-IF(K5=YEAR(Inputs!$E$155),Inputs!$E$235*Dash_MVA,0)</f>
        <v>0</v>
      </c>
      <c r="L29" s="268">
        <f>-IF(L5=YEAR(Inputs!$E$155),Inputs!$E$235*Dash_MVA,0)</f>
        <v>0</v>
      </c>
      <c r="M29" s="268">
        <f>-IF(M5=YEAR(Inputs!$E$155),Inputs!$E$235*Dash_MVA,0)</f>
        <v>-5000</v>
      </c>
      <c r="N29" s="268">
        <f>-IF(N5=YEAR(Inputs!$E$155),Inputs!$E$235*Dash_MVA,0)</f>
        <v>0</v>
      </c>
      <c r="O29" s="268">
        <f>-IF(O5=YEAR(Inputs!$E$155),Inputs!$E$235*Dash_MVA,0)</f>
        <v>0</v>
      </c>
      <c r="P29" s="268">
        <f>-IF(P5=YEAR(Inputs!$E$155),Inputs!$E$235*Dash_MVA,0)</f>
        <v>0</v>
      </c>
      <c r="Q29" s="268">
        <f>-IF(Q5=YEAR(Inputs!$E$155),Inputs!$E$235*Dash_MVA,0)</f>
        <v>0</v>
      </c>
      <c r="R29" s="268">
        <f>-IF(R5=YEAR(Inputs!$E$155),Inputs!$E$235*Dash_MVA,0)</f>
        <v>0</v>
      </c>
      <c r="S29" s="268">
        <f>-IF(S5=YEAR(Inputs!$E$155),Inputs!$E$235*Dash_MVA,0)</f>
        <v>0</v>
      </c>
      <c r="T29" s="268">
        <f>-IF(T5=YEAR(Inputs!$E$155),Inputs!$E$235*Dash_MVA,0)</f>
        <v>0</v>
      </c>
      <c r="U29" s="268">
        <f>-IF(U5=YEAR(Inputs!$E$155),Inputs!$E$235*Dash_MVA,0)</f>
        <v>0</v>
      </c>
      <c r="V29" s="268">
        <f>-IF(V5=YEAR(Inputs!$E$155),Inputs!$E$235*Dash_MVA,0)</f>
        <v>0</v>
      </c>
      <c r="W29" s="268">
        <f>-IF(W5=YEAR(Inputs!$E$155),Inputs!$E$235*Dash_MVA,0)</f>
        <v>0</v>
      </c>
      <c r="X29" s="268">
        <f>-IF(X5=YEAR(Inputs!$E$155),Inputs!$E$235*Dash_MVA,0)</f>
        <v>0</v>
      </c>
      <c r="Y29" s="268">
        <f>-IF(Y5=YEAR(Inputs!$E$155),Inputs!$E$235*Dash_MVA,0)</f>
        <v>0</v>
      </c>
      <c r="Z29" s="268">
        <f>-IF(Z5=YEAR(Inputs!$E$155),Inputs!$E$235*Dash_MVA,0)</f>
        <v>0</v>
      </c>
      <c r="AA29" s="268">
        <f>-IF(AA5=YEAR(Inputs!$E$155),Inputs!$E$235*Dash_MVA,0)</f>
        <v>0</v>
      </c>
      <c r="AB29" s="268">
        <f>-IF(AB5=YEAR(Inputs!$E$155),Inputs!$E$235*Dash_MVA,0)</f>
        <v>0</v>
      </c>
      <c r="AC29" s="268">
        <f>-IF(AC5=YEAR(Inputs!$E$155),Inputs!$E$235*Dash_MVA,0)</f>
        <v>0</v>
      </c>
      <c r="AD29" s="268">
        <f>-IF(AD5=YEAR(Inputs!$E$155),Inputs!$E$235*Dash_MVA,0)</f>
        <v>0</v>
      </c>
      <c r="AE29" s="268">
        <f>-IF(AE5=YEAR(Inputs!$E$155),Inputs!$E$235*Dash_MVA,0)</f>
        <v>0</v>
      </c>
      <c r="AF29" s="268">
        <f>-IF(AF5=YEAR(Inputs!$E$155),Inputs!$E$235*Dash_MVA,0)</f>
        <v>0</v>
      </c>
      <c r="AG29" s="268">
        <f>-IF(AG5=YEAR(Inputs!$E$155),Inputs!$E$235*Dash_MVA,0)</f>
        <v>0</v>
      </c>
      <c r="AH29" s="268">
        <f>-IF(AH5=YEAR(Inputs!$E$155),Inputs!$E$235*Dash_MVA,0)</f>
        <v>0</v>
      </c>
      <c r="AI29" s="268">
        <f>-IF(AI5=YEAR(Inputs!$E$155),Inputs!$E$235*Dash_MVA,0)</f>
        <v>0</v>
      </c>
      <c r="AJ29" s="268">
        <f>-IF(AJ5=YEAR(Inputs!$E$155),Inputs!$E$235*Dash_MVA,0)</f>
        <v>0</v>
      </c>
      <c r="AK29" s="268">
        <f>-IF(AK5=YEAR(Inputs!$E$155),Inputs!$E$235*Dash_MVA,0)</f>
        <v>0</v>
      </c>
      <c r="AL29" s="268">
        <f>-IF(AL5=YEAR(Inputs!$E$155),Inputs!$E$235*Dash_MVA,0)</f>
        <v>0</v>
      </c>
      <c r="AM29" s="268">
        <f>-IF(AM5=YEAR(Inputs!$E$155),Inputs!$E$235*Dash_MVA,0)</f>
        <v>0</v>
      </c>
      <c r="AN29" s="268">
        <f>-IF(AN5=YEAR(Inputs!$E$155),Inputs!$E$235*Dash_MVA,0)</f>
        <v>0</v>
      </c>
      <c r="AO29" s="268">
        <f>-IF(AO5=YEAR(Inputs!$E$155),Inputs!$E$235*Dash_MVA,0)</f>
        <v>0</v>
      </c>
      <c r="AP29" s="268">
        <f>-IF(AP5=YEAR(Inputs!$E$155),Inputs!$E$235*Dash_MVA,0)</f>
        <v>0</v>
      </c>
      <c r="AQ29" s="268">
        <f>-IF(AQ5=YEAR(Inputs!$E$155),Inputs!$E$235*Dash_MVA,0)</f>
        <v>0</v>
      </c>
    </row>
    <row r="30" spans="3:43" x14ac:dyDescent="0.25">
      <c r="C30" s="198" t="s">
        <v>1214</v>
      </c>
      <c r="D30" s="198" t="s">
        <v>125</v>
      </c>
      <c r="E30" s="269"/>
      <c r="F30" s="269"/>
      <c r="G30" s="269">
        <f>SUM(H30:AQ30)</f>
        <v>-164787.24829315074</v>
      </c>
      <c r="H30" s="269">
        <f t="shared" ref="H30:AQ30" si="7">H27+H28+H29</f>
        <v>0</v>
      </c>
      <c r="I30" s="269">
        <f t="shared" si="7"/>
        <v>0</v>
      </c>
      <c r="J30" s="269">
        <f t="shared" si="7"/>
        <v>0</v>
      </c>
      <c r="K30" s="269">
        <f t="shared" si="7"/>
        <v>-54847.375895890422</v>
      </c>
      <c r="L30" s="269">
        <f t="shared" si="7"/>
        <v>-70152.112500000017</v>
      </c>
      <c r="M30" s="269">
        <f t="shared" si="7"/>
        <v>-39787.759897260286</v>
      </c>
      <c r="N30" s="269">
        <f t="shared" si="7"/>
        <v>0</v>
      </c>
      <c r="O30" s="269">
        <f t="shared" si="7"/>
        <v>0</v>
      </c>
      <c r="P30" s="269">
        <f t="shared" si="7"/>
        <v>0</v>
      </c>
      <c r="Q30" s="269">
        <f t="shared" si="7"/>
        <v>0</v>
      </c>
      <c r="R30" s="269">
        <f t="shared" si="7"/>
        <v>0</v>
      </c>
      <c r="S30" s="269">
        <f t="shared" si="7"/>
        <v>0</v>
      </c>
      <c r="T30" s="269">
        <f t="shared" si="7"/>
        <v>0</v>
      </c>
      <c r="U30" s="269">
        <f t="shared" si="7"/>
        <v>0</v>
      </c>
      <c r="V30" s="269">
        <f t="shared" si="7"/>
        <v>0</v>
      </c>
      <c r="W30" s="269">
        <f t="shared" si="7"/>
        <v>0</v>
      </c>
      <c r="X30" s="269">
        <f t="shared" si="7"/>
        <v>0</v>
      </c>
      <c r="Y30" s="269">
        <f t="shared" si="7"/>
        <v>0</v>
      </c>
      <c r="Z30" s="269">
        <f t="shared" si="7"/>
        <v>0</v>
      </c>
      <c r="AA30" s="269">
        <f t="shared" si="7"/>
        <v>0</v>
      </c>
      <c r="AB30" s="269">
        <f t="shared" si="7"/>
        <v>0</v>
      </c>
      <c r="AC30" s="269">
        <f t="shared" si="7"/>
        <v>0</v>
      </c>
      <c r="AD30" s="269">
        <f t="shared" si="7"/>
        <v>0</v>
      </c>
      <c r="AE30" s="269">
        <f t="shared" si="7"/>
        <v>0</v>
      </c>
      <c r="AF30" s="269">
        <f t="shared" si="7"/>
        <v>0</v>
      </c>
      <c r="AG30" s="269">
        <f t="shared" si="7"/>
        <v>0</v>
      </c>
      <c r="AH30" s="269">
        <f t="shared" si="7"/>
        <v>0</v>
      </c>
      <c r="AI30" s="269">
        <f t="shared" si="7"/>
        <v>0</v>
      </c>
      <c r="AJ30" s="269">
        <f t="shared" si="7"/>
        <v>0</v>
      </c>
      <c r="AK30" s="269">
        <f t="shared" si="7"/>
        <v>0</v>
      </c>
      <c r="AL30" s="269">
        <f t="shared" si="7"/>
        <v>0</v>
      </c>
      <c r="AM30" s="269">
        <f t="shared" si="7"/>
        <v>0</v>
      </c>
      <c r="AN30" s="269">
        <f t="shared" si="7"/>
        <v>0</v>
      </c>
      <c r="AO30" s="269">
        <f t="shared" si="7"/>
        <v>0</v>
      </c>
      <c r="AP30" s="269">
        <f t="shared" si="7"/>
        <v>0</v>
      </c>
      <c r="AQ30" s="269">
        <f t="shared" si="7"/>
        <v>0</v>
      </c>
    </row>
    <row r="31" spans="3:43" x14ac:dyDescent="0.25">
      <c r="C31" t="s">
        <v>1215</v>
      </c>
      <c r="D31" t="s">
        <v>125</v>
      </c>
      <c r="E31" s="139"/>
      <c r="F31" s="139"/>
      <c r="G31" s="139">
        <v>0</v>
      </c>
      <c r="H31" s="139">
        <f t="shared" ref="H31:AQ31" si="8">G31+H30</f>
        <v>0</v>
      </c>
      <c r="I31" s="139">
        <f t="shared" si="8"/>
        <v>0</v>
      </c>
      <c r="J31" s="139">
        <f t="shared" si="8"/>
        <v>0</v>
      </c>
      <c r="K31" s="139">
        <f t="shared" si="8"/>
        <v>-54847.375895890422</v>
      </c>
      <c r="L31" s="139">
        <f t="shared" si="8"/>
        <v>-124999.48839589044</v>
      </c>
      <c r="M31" s="139">
        <f t="shared" si="8"/>
        <v>-164787.24829315074</v>
      </c>
      <c r="N31" s="139">
        <f t="shared" si="8"/>
        <v>-164787.24829315074</v>
      </c>
      <c r="O31" s="139">
        <f t="shared" si="8"/>
        <v>-164787.24829315074</v>
      </c>
      <c r="P31" s="139">
        <f t="shared" si="8"/>
        <v>-164787.24829315074</v>
      </c>
      <c r="Q31" s="139">
        <f t="shared" si="8"/>
        <v>-164787.24829315074</v>
      </c>
      <c r="R31" s="139">
        <f t="shared" si="8"/>
        <v>-164787.24829315074</v>
      </c>
      <c r="S31" s="139">
        <f t="shared" si="8"/>
        <v>-164787.24829315074</v>
      </c>
      <c r="T31" s="139">
        <f t="shared" si="8"/>
        <v>-164787.24829315074</v>
      </c>
      <c r="U31" s="139">
        <f t="shared" si="8"/>
        <v>-164787.24829315074</v>
      </c>
      <c r="V31" s="139">
        <f t="shared" si="8"/>
        <v>-164787.24829315074</v>
      </c>
      <c r="W31" s="139">
        <f t="shared" si="8"/>
        <v>-164787.24829315074</v>
      </c>
      <c r="X31" s="139">
        <f t="shared" si="8"/>
        <v>-164787.24829315074</v>
      </c>
      <c r="Y31" s="139">
        <f t="shared" si="8"/>
        <v>-164787.24829315074</v>
      </c>
      <c r="Z31" s="139">
        <f t="shared" si="8"/>
        <v>-164787.24829315074</v>
      </c>
      <c r="AA31" s="139">
        <f t="shared" si="8"/>
        <v>-164787.24829315074</v>
      </c>
      <c r="AB31" s="139">
        <f t="shared" si="8"/>
        <v>-164787.24829315074</v>
      </c>
      <c r="AC31" s="139">
        <f t="shared" si="8"/>
        <v>-164787.24829315074</v>
      </c>
      <c r="AD31" s="139">
        <f t="shared" si="8"/>
        <v>-164787.24829315074</v>
      </c>
      <c r="AE31" s="139">
        <f t="shared" si="8"/>
        <v>-164787.24829315074</v>
      </c>
      <c r="AF31" s="139">
        <f t="shared" si="8"/>
        <v>-164787.24829315074</v>
      </c>
      <c r="AG31" s="139">
        <f t="shared" si="8"/>
        <v>-164787.24829315074</v>
      </c>
      <c r="AH31" s="139">
        <f t="shared" si="8"/>
        <v>-164787.24829315074</v>
      </c>
      <c r="AI31" s="139">
        <f t="shared" si="8"/>
        <v>-164787.24829315074</v>
      </c>
      <c r="AJ31" s="139">
        <f t="shared" si="8"/>
        <v>-164787.24829315074</v>
      </c>
      <c r="AK31" s="139">
        <f t="shared" si="8"/>
        <v>-164787.24829315074</v>
      </c>
      <c r="AL31" s="139">
        <f t="shared" si="8"/>
        <v>-164787.24829315074</v>
      </c>
      <c r="AM31" s="139">
        <f t="shared" si="8"/>
        <v>-164787.24829315074</v>
      </c>
      <c r="AN31" s="139">
        <f t="shared" si="8"/>
        <v>-164787.24829315074</v>
      </c>
      <c r="AO31" s="139">
        <f t="shared" si="8"/>
        <v>-164787.24829315074</v>
      </c>
      <c r="AP31" s="139">
        <f t="shared" si="8"/>
        <v>-164787.24829315074</v>
      </c>
      <c r="AQ31" s="139">
        <f t="shared" si="8"/>
        <v>-164787.24829315074</v>
      </c>
    </row>
    <row r="32" spans="3:43" x14ac:dyDescent="0.25">
      <c r="C32" t="s">
        <v>1216</v>
      </c>
      <c r="D32" t="s">
        <v>11</v>
      </c>
      <c r="E32" s="139"/>
      <c r="F32" s="139"/>
      <c r="G32" s="139">
        <f>-G30/In_Wind_Built</f>
        <v>1212.562533430101</v>
      </c>
      <c r="H32" s="139"/>
      <c r="I32" s="139"/>
      <c r="J32" s="139"/>
      <c r="K32" s="139"/>
      <c r="L32" s="139"/>
      <c r="M32" s="139"/>
      <c r="N32" s="139"/>
      <c r="O32" s="139"/>
      <c r="P32" s="139"/>
      <c r="Q32" s="139"/>
      <c r="R32" s="139"/>
      <c r="S32" s="139"/>
      <c r="T32" s="139"/>
      <c r="U32" s="139"/>
      <c r="V32" s="139"/>
      <c r="W32" s="139"/>
      <c r="X32" s="139"/>
      <c r="Y32" s="139"/>
      <c r="Z32" s="139"/>
      <c r="AA32" s="139"/>
      <c r="AB32" s="139"/>
      <c r="AC32" s="139"/>
      <c r="AD32" s="139"/>
      <c r="AE32" s="139"/>
      <c r="AF32" s="139"/>
      <c r="AG32" s="139"/>
      <c r="AH32" s="139"/>
      <c r="AI32" s="139"/>
      <c r="AJ32" s="139"/>
      <c r="AK32" s="139"/>
      <c r="AL32" s="139"/>
      <c r="AM32" s="139"/>
      <c r="AN32" s="139"/>
      <c r="AO32" s="139"/>
      <c r="AP32" s="139"/>
      <c r="AQ32" s="139"/>
    </row>
    <row r="33" spans="3:43" x14ac:dyDescent="0.25">
      <c r="E33" s="139"/>
      <c r="F33" s="139"/>
      <c r="G33" s="139"/>
      <c r="H33" s="139"/>
      <c r="I33" s="139"/>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row>
    <row r="34" spans="3:43" x14ac:dyDescent="0.25">
      <c r="C34" s="129" t="s">
        <v>1217</v>
      </c>
      <c r="D34" s="129"/>
      <c r="E34" s="270"/>
      <c r="F34" s="270"/>
      <c r="G34" s="270"/>
      <c r="H34" s="270"/>
      <c r="I34" s="270"/>
      <c r="J34" s="270"/>
      <c r="K34" s="270"/>
      <c r="L34" s="270"/>
      <c r="M34" s="270"/>
      <c r="N34" s="270"/>
      <c r="O34" s="270"/>
      <c r="P34" s="270"/>
      <c r="Q34" s="270"/>
      <c r="R34" s="270"/>
      <c r="S34" s="270"/>
      <c r="T34" s="270"/>
      <c r="U34" s="270"/>
      <c r="V34" s="270"/>
      <c r="W34" s="270"/>
      <c r="X34" s="270"/>
      <c r="Y34" s="270"/>
      <c r="Z34" s="270"/>
      <c r="AA34" s="270"/>
      <c r="AB34" s="270"/>
      <c r="AC34" s="270"/>
      <c r="AD34" s="270"/>
      <c r="AE34" s="270"/>
      <c r="AF34" s="270"/>
      <c r="AG34" s="270"/>
      <c r="AH34" s="270"/>
      <c r="AI34" s="270"/>
      <c r="AJ34" s="270"/>
      <c r="AK34" s="270"/>
      <c r="AL34" s="270"/>
      <c r="AM34" s="270"/>
      <c r="AN34" s="270"/>
      <c r="AO34" s="270"/>
      <c r="AP34" s="270"/>
      <c r="AQ34" s="270"/>
    </row>
    <row r="35" spans="3:43" x14ac:dyDescent="0.25">
      <c r="C35" t="s">
        <v>1218</v>
      </c>
      <c r="D35" t="s">
        <v>84</v>
      </c>
      <c r="E35" s="146">
        <f>In_Wind_Built</f>
        <v>135.9</v>
      </c>
      <c r="F35" s="139"/>
      <c r="G35" s="139"/>
      <c r="H35" s="139">
        <f t="shared" ref="H35:AQ35" si="9">$E$35*IF(H10&gt;0,1,0)</f>
        <v>0</v>
      </c>
      <c r="I35" s="139">
        <f t="shared" si="9"/>
        <v>0</v>
      </c>
      <c r="J35" s="139">
        <f t="shared" si="9"/>
        <v>0</v>
      </c>
      <c r="K35" s="139">
        <f t="shared" si="9"/>
        <v>0</v>
      </c>
      <c r="L35" s="139">
        <f t="shared" si="9"/>
        <v>0</v>
      </c>
      <c r="M35" s="139">
        <f t="shared" si="9"/>
        <v>135.9</v>
      </c>
      <c r="N35" s="139">
        <f t="shared" si="9"/>
        <v>135.9</v>
      </c>
      <c r="O35" s="139">
        <f t="shared" si="9"/>
        <v>135.9</v>
      </c>
      <c r="P35" s="139">
        <f t="shared" si="9"/>
        <v>135.9</v>
      </c>
      <c r="Q35" s="139">
        <f t="shared" si="9"/>
        <v>135.9</v>
      </c>
      <c r="R35" s="139">
        <f t="shared" si="9"/>
        <v>135.9</v>
      </c>
      <c r="S35" s="139">
        <f t="shared" si="9"/>
        <v>135.9</v>
      </c>
      <c r="T35" s="139">
        <f t="shared" si="9"/>
        <v>135.9</v>
      </c>
      <c r="U35" s="139">
        <f t="shared" si="9"/>
        <v>135.9</v>
      </c>
      <c r="V35" s="139">
        <f t="shared" si="9"/>
        <v>135.9</v>
      </c>
      <c r="W35" s="139">
        <f t="shared" si="9"/>
        <v>135.9</v>
      </c>
      <c r="X35" s="139">
        <f t="shared" si="9"/>
        <v>135.9</v>
      </c>
      <c r="Y35" s="139">
        <f t="shared" si="9"/>
        <v>135.9</v>
      </c>
      <c r="Z35" s="139">
        <f t="shared" si="9"/>
        <v>135.9</v>
      </c>
      <c r="AA35" s="139">
        <f t="shared" si="9"/>
        <v>135.9</v>
      </c>
      <c r="AB35" s="139">
        <f t="shared" si="9"/>
        <v>135.9</v>
      </c>
      <c r="AC35" s="139">
        <f t="shared" si="9"/>
        <v>135.9</v>
      </c>
      <c r="AD35" s="139">
        <f t="shared" si="9"/>
        <v>135.9</v>
      </c>
      <c r="AE35" s="139">
        <f t="shared" si="9"/>
        <v>135.9</v>
      </c>
      <c r="AF35" s="139">
        <f t="shared" si="9"/>
        <v>135.9</v>
      </c>
      <c r="AG35" s="139">
        <f t="shared" si="9"/>
        <v>135.9</v>
      </c>
      <c r="AH35" s="139">
        <f t="shared" si="9"/>
        <v>135.9</v>
      </c>
      <c r="AI35" s="139">
        <f t="shared" si="9"/>
        <v>135.9</v>
      </c>
      <c r="AJ35" s="139">
        <f t="shared" si="9"/>
        <v>135.9</v>
      </c>
      <c r="AK35" s="139">
        <f t="shared" si="9"/>
        <v>135.9</v>
      </c>
      <c r="AL35" s="139">
        <f t="shared" si="9"/>
        <v>135.9</v>
      </c>
      <c r="AM35" s="139">
        <f t="shared" si="9"/>
        <v>135.9</v>
      </c>
      <c r="AN35" s="139">
        <f t="shared" si="9"/>
        <v>135.9</v>
      </c>
      <c r="AO35" s="139">
        <f t="shared" si="9"/>
        <v>135.9</v>
      </c>
      <c r="AP35" s="139">
        <f t="shared" si="9"/>
        <v>135.9</v>
      </c>
      <c r="AQ35" s="139">
        <f t="shared" si="9"/>
        <v>135.9</v>
      </c>
    </row>
    <row r="36" spans="3:43" x14ac:dyDescent="0.25">
      <c r="C36" t="s">
        <v>1219</v>
      </c>
      <c r="D36" t="s">
        <v>647</v>
      </c>
      <c r="E36" s="131">
        <f>Inputs!$E$181*(1-Inputs!$E$182)*(1-Inputs!$E$183)*Inputs!$E$185*In_Bottleneck_Factor</f>
        <v>2352</v>
      </c>
      <c r="F36" s="63"/>
      <c r="G36" s="151"/>
      <c r="H36" s="151">
        <f t="shared" ref="H36:AQ36" si="10">$E$36</f>
        <v>2352</v>
      </c>
      <c r="I36" s="151">
        <f t="shared" si="10"/>
        <v>2352</v>
      </c>
      <c r="J36" s="151">
        <f t="shared" si="10"/>
        <v>2352</v>
      </c>
      <c r="K36" s="151">
        <f t="shared" si="10"/>
        <v>2352</v>
      </c>
      <c r="L36" s="151">
        <f t="shared" si="10"/>
        <v>2352</v>
      </c>
      <c r="M36" s="151">
        <f t="shared" si="10"/>
        <v>2352</v>
      </c>
      <c r="N36" s="151">
        <f t="shared" si="10"/>
        <v>2352</v>
      </c>
      <c r="O36" s="151">
        <f t="shared" si="10"/>
        <v>2352</v>
      </c>
      <c r="P36" s="151">
        <f t="shared" si="10"/>
        <v>2352</v>
      </c>
      <c r="Q36" s="151">
        <f t="shared" si="10"/>
        <v>2352</v>
      </c>
      <c r="R36" s="151">
        <f t="shared" si="10"/>
        <v>2352</v>
      </c>
      <c r="S36" s="151">
        <f t="shared" si="10"/>
        <v>2352</v>
      </c>
      <c r="T36" s="151">
        <f t="shared" si="10"/>
        <v>2352</v>
      </c>
      <c r="U36" s="151">
        <f t="shared" si="10"/>
        <v>2352</v>
      </c>
      <c r="V36" s="151">
        <f t="shared" si="10"/>
        <v>2352</v>
      </c>
      <c r="W36" s="151">
        <f t="shared" si="10"/>
        <v>2352</v>
      </c>
      <c r="X36" s="151">
        <f t="shared" si="10"/>
        <v>2352</v>
      </c>
      <c r="Y36" s="151">
        <f t="shared" si="10"/>
        <v>2352</v>
      </c>
      <c r="Z36" s="151">
        <f t="shared" si="10"/>
        <v>2352</v>
      </c>
      <c r="AA36" s="151">
        <f t="shared" si="10"/>
        <v>2352</v>
      </c>
      <c r="AB36" s="151">
        <f t="shared" si="10"/>
        <v>2352</v>
      </c>
      <c r="AC36" s="151">
        <f t="shared" si="10"/>
        <v>2352</v>
      </c>
      <c r="AD36" s="151">
        <f t="shared" si="10"/>
        <v>2352</v>
      </c>
      <c r="AE36" s="151">
        <f t="shared" si="10"/>
        <v>2352</v>
      </c>
      <c r="AF36" s="151">
        <f t="shared" si="10"/>
        <v>2352</v>
      </c>
      <c r="AG36" s="151">
        <f t="shared" si="10"/>
        <v>2352</v>
      </c>
      <c r="AH36" s="151">
        <f t="shared" si="10"/>
        <v>2352</v>
      </c>
      <c r="AI36" s="151">
        <f t="shared" si="10"/>
        <v>2352</v>
      </c>
      <c r="AJ36" s="151">
        <f t="shared" si="10"/>
        <v>2352</v>
      </c>
      <c r="AK36" s="151">
        <f t="shared" si="10"/>
        <v>2352</v>
      </c>
      <c r="AL36" s="151">
        <f t="shared" si="10"/>
        <v>2352</v>
      </c>
      <c r="AM36" s="151">
        <f t="shared" si="10"/>
        <v>2352</v>
      </c>
      <c r="AN36" s="151">
        <f t="shared" si="10"/>
        <v>2352</v>
      </c>
      <c r="AO36" s="151">
        <f t="shared" si="10"/>
        <v>2352</v>
      </c>
      <c r="AP36" s="151">
        <f t="shared" si="10"/>
        <v>2352</v>
      </c>
      <c r="AQ36" s="151">
        <f t="shared" si="10"/>
        <v>2352</v>
      </c>
    </row>
    <row r="37" spans="3:43" x14ac:dyDescent="0.25">
      <c r="C37" t="s">
        <v>1220</v>
      </c>
      <c r="D37" t="s">
        <v>7</v>
      </c>
      <c r="E37" s="42">
        <f>Inputs!$E$184</f>
        <v>3.0000000000000001E-3</v>
      </c>
      <c r="F37" s="139"/>
      <c r="G37" s="151"/>
      <c r="H37" s="151">
        <f t="shared" ref="H37:AQ37" si="11">IF(H10&gt;0,(1-$E$37)^MAX(H9-1,0),0)</f>
        <v>0</v>
      </c>
      <c r="I37" s="151">
        <f t="shared" si="11"/>
        <v>0</v>
      </c>
      <c r="J37" s="151">
        <f t="shared" si="11"/>
        <v>0</v>
      </c>
      <c r="K37" s="151">
        <f t="shared" si="11"/>
        <v>0</v>
      </c>
      <c r="L37" s="151">
        <f t="shared" si="11"/>
        <v>0</v>
      </c>
      <c r="M37" s="151">
        <f t="shared" si="11"/>
        <v>1</v>
      </c>
      <c r="N37" s="151">
        <f t="shared" si="11"/>
        <v>1</v>
      </c>
      <c r="O37" s="151">
        <f t="shared" si="11"/>
        <v>0.997</v>
      </c>
      <c r="P37" s="151">
        <f t="shared" si="11"/>
        <v>0.99400900000000003</v>
      </c>
      <c r="Q37" s="151">
        <f t="shared" si="11"/>
        <v>0.99102697299999998</v>
      </c>
      <c r="R37" s="151">
        <f t="shared" si="11"/>
        <v>0.98805389208100003</v>
      </c>
      <c r="S37" s="151">
        <f t="shared" si="11"/>
        <v>0.985089730404757</v>
      </c>
      <c r="T37" s="151">
        <f t="shared" si="11"/>
        <v>0.98213446121354275</v>
      </c>
      <c r="U37" s="151">
        <f t="shared" si="11"/>
        <v>0.97918805782990215</v>
      </c>
      <c r="V37" s="151">
        <f t="shared" si="11"/>
        <v>0.97625049365641248</v>
      </c>
      <c r="W37" s="151">
        <f t="shared" si="11"/>
        <v>0.97332174217544321</v>
      </c>
      <c r="X37" s="151">
        <f t="shared" si="11"/>
        <v>0.97040177694891694</v>
      </c>
      <c r="Y37" s="151">
        <f t="shared" si="11"/>
        <v>0.96749057161807017</v>
      </c>
      <c r="Z37" s="151">
        <f t="shared" si="11"/>
        <v>0.96458809990321592</v>
      </c>
      <c r="AA37" s="151">
        <f t="shared" si="11"/>
        <v>0.96169433560350626</v>
      </c>
      <c r="AB37" s="151">
        <f t="shared" si="11"/>
        <v>0.9588092525966958</v>
      </c>
      <c r="AC37" s="151">
        <f t="shared" si="11"/>
        <v>0.95593282483890574</v>
      </c>
      <c r="AD37" s="151">
        <f t="shared" si="11"/>
        <v>0.95306502636438906</v>
      </c>
      <c r="AE37" s="151">
        <f t="shared" si="11"/>
        <v>0.9502058312852959</v>
      </c>
      <c r="AF37" s="151">
        <f t="shared" si="11"/>
        <v>0.94735521379144005</v>
      </c>
      <c r="AG37" s="151">
        <f t="shared" si="11"/>
        <v>0.94451314815006571</v>
      </c>
      <c r="AH37" s="151">
        <f t="shared" si="11"/>
        <v>0.94167960870561551</v>
      </c>
      <c r="AI37" s="151">
        <f t="shared" si="11"/>
        <v>0.93885456987949867</v>
      </c>
      <c r="AJ37" s="151">
        <f t="shared" si="11"/>
        <v>0.93603800616986021</v>
      </c>
      <c r="AK37" s="151">
        <f t="shared" si="11"/>
        <v>0.93322989215135066</v>
      </c>
      <c r="AL37" s="151">
        <f t="shared" si="11"/>
        <v>0.93043020247489661</v>
      </c>
      <c r="AM37" s="151">
        <f t="shared" si="11"/>
        <v>0.92763891186747183</v>
      </c>
      <c r="AN37" s="151">
        <f t="shared" si="11"/>
        <v>0.92485599513186956</v>
      </c>
      <c r="AO37" s="151">
        <f t="shared" si="11"/>
        <v>0.9220814271464739</v>
      </c>
      <c r="AP37" s="151">
        <f t="shared" si="11"/>
        <v>0.91931518286503444</v>
      </c>
      <c r="AQ37" s="151">
        <f t="shared" si="11"/>
        <v>0.91655723731643934</v>
      </c>
    </row>
    <row r="38" spans="3:43" x14ac:dyDescent="0.25">
      <c r="C38" s="198" t="s">
        <v>1221</v>
      </c>
      <c r="D38" s="198" t="s">
        <v>116</v>
      </c>
      <c r="E38" s="269"/>
      <c r="F38" s="269"/>
      <c r="G38" s="262">
        <f>SUM(H38:AQ38)</f>
        <v>9196.7603269539395</v>
      </c>
      <c r="H38" s="244">
        <f t="shared" ref="H38:AQ38" si="12">H35*H36*H37*H10/1000</f>
        <v>0</v>
      </c>
      <c r="I38" s="244">
        <f t="shared" si="12"/>
        <v>0</v>
      </c>
      <c r="J38" s="244">
        <f t="shared" si="12"/>
        <v>0</v>
      </c>
      <c r="K38" s="244">
        <f t="shared" si="12"/>
        <v>0</v>
      </c>
      <c r="L38" s="244">
        <f t="shared" si="12"/>
        <v>0</v>
      </c>
      <c r="M38" s="244">
        <f t="shared" si="12"/>
        <v>159.8184</v>
      </c>
      <c r="N38" s="244">
        <f t="shared" si="12"/>
        <v>319.63679999999999</v>
      </c>
      <c r="O38" s="244">
        <f t="shared" si="12"/>
        <v>318.67788960000001</v>
      </c>
      <c r="P38" s="244">
        <f t="shared" si="12"/>
        <v>317.72185593119997</v>
      </c>
      <c r="Q38" s="244">
        <f t="shared" si="12"/>
        <v>316.76869036340639</v>
      </c>
      <c r="R38" s="244">
        <f t="shared" si="12"/>
        <v>315.81838429231618</v>
      </c>
      <c r="S38" s="244">
        <f t="shared" si="12"/>
        <v>314.87092913943923</v>
      </c>
      <c r="T38" s="244">
        <f t="shared" si="12"/>
        <v>313.92631635202088</v>
      </c>
      <c r="U38" s="244">
        <f t="shared" si="12"/>
        <v>312.98453740296486</v>
      </c>
      <c r="V38" s="244">
        <f t="shared" si="12"/>
        <v>312.04558379075593</v>
      </c>
      <c r="W38" s="244">
        <f t="shared" si="12"/>
        <v>311.10944703938372</v>
      </c>
      <c r="X38" s="244">
        <f t="shared" si="12"/>
        <v>310.17611869826555</v>
      </c>
      <c r="Y38" s="244">
        <f t="shared" si="12"/>
        <v>309.24559034217071</v>
      </c>
      <c r="Z38" s="244">
        <f t="shared" si="12"/>
        <v>308.31785357114421</v>
      </c>
      <c r="AA38" s="244">
        <f t="shared" si="12"/>
        <v>307.39290001043076</v>
      </c>
      <c r="AB38" s="244">
        <f t="shared" si="12"/>
        <v>306.47072131039954</v>
      </c>
      <c r="AC38" s="244">
        <f t="shared" si="12"/>
        <v>305.55130914646833</v>
      </c>
      <c r="AD38" s="244">
        <f t="shared" si="12"/>
        <v>304.63465521902896</v>
      </c>
      <c r="AE38" s="244">
        <f t="shared" si="12"/>
        <v>303.72075125337187</v>
      </c>
      <c r="AF38" s="244">
        <f t="shared" si="12"/>
        <v>302.80958899961172</v>
      </c>
      <c r="AG38" s="244">
        <f t="shared" si="12"/>
        <v>301.90116023261294</v>
      </c>
      <c r="AH38" s="244">
        <f t="shared" si="12"/>
        <v>300.99545675191507</v>
      </c>
      <c r="AI38" s="244">
        <f t="shared" si="12"/>
        <v>300.09247038165933</v>
      </c>
      <c r="AJ38" s="244">
        <f t="shared" si="12"/>
        <v>299.19219297051438</v>
      </c>
      <c r="AK38" s="244">
        <f t="shared" si="12"/>
        <v>298.29461639160286</v>
      </c>
      <c r="AL38" s="244">
        <f t="shared" si="12"/>
        <v>297.39973254242801</v>
      </c>
      <c r="AM38" s="244">
        <f t="shared" si="12"/>
        <v>296.50753334480072</v>
      </c>
      <c r="AN38" s="244">
        <f t="shared" si="12"/>
        <v>295.61801074476631</v>
      </c>
      <c r="AO38" s="244">
        <f t="shared" si="12"/>
        <v>294.73115671253203</v>
      </c>
      <c r="AP38" s="244">
        <f t="shared" si="12"/>
        <v>293.84696324239445</v>
      </c>
      <c r="AQ38" s="244">
        <f t="shared" si="12"/>
        <v>146.48271117633362</v>
      </c>
    </row>
    <row r="39" spans="3:43" x14ac:dyDescent="0.25">
      <c r="C39" t="s">
        <v>1222</v>
      </c>
      <c r="D39" t="s">
        <v>51</v>
      </c>
      <c r="E39" s="139"/>
      <c r="F39" s="139"/>
      <c r="G39" s="134"/>
      <c r="H39" s="134" t="str">
        <f t="shared" ref="H39:AQ39" si="13">IF(H8=1,H38*1000/(H35*8760),"")</f>
        <v/>
      </c>
      <c r="I39" s="134" t="str">
        <f t="shared" si="13"/>
        <v/>
      </c>
      <c r="J39" s="134" t="str">
        <f t="shared" si="13"/>
        <v/>
      </c>
      <c r="K39" s="134" t="str">
        <f t="shared" si="13"/>
        <v/>
      </c>
      <c r="L39" s="134" t="str">
        <f t="shared" si="13"/>
        <v/>
      </c>
      <c r="M39" s="134" t="str">
        <f t="shared" si="13"/>
        <v/>
      </c>
      <c r="N39" s="134">
        <f t="shared" si="13"/>
        <v>0.26849315068493151</v>
      </c>
      <c r="O39" s="134">
        <f t="shared" si="13"/>
        <v>0.26768767123287673</v>
      </c>
      <c r="P39" s="134">
        <f t="shared" si="13"/>
        <v>0.26688460821917803</v>
      </c>
      <c r="Q39" s="134">
        <f t="shared" si="13"/>
        <v>0.26608395439452054</v>
      </c>
      <c r="R39" s="134">
        <f t="shared" si="13"/>
        <v>0.26528570253133699</v>
      </c>
      <c r="S39" s="134">
        <f t="shared" si="13"/>
        <v>0.26448984542374299</v>
      </c>
      <c r="T39" s="134">
        <f t="shared" si="13"/>
        <v>0.26369637588747175</v>
      </c>
      <c r="U39" s="134">
        <f t="shared" si="13"/>
        <v>0.26290528675980934</v>
      </c>
      <c r="V39" s="134">
        <f t="shared" si="13"/>
        <v>0.26211657089952989</v>
      </c>
      <c r="W39" s="134">
        <f t="shared" si="13"/>
        <v>0.2613302211868313</v>
      </c>
      <c r="X39" s="134">
        <f t="shared" si="13"/>
        <v>0.26054623052327086</v>
      </c>
      <c r="Y39" s="134">
        <f t="shared" si="13"/>
        <v>0.25976459183170097</v>
      </c>
      <c r="Z39" s="134">
        <f t="shared" si="13"/>
        <v>0.2589852980562059</v>
      </c>
      <c r="AA39" s="134">
        <f t="shared" si="13"/>
        <v>0.25820834216203725</v>
      </c>
      <c r="AB39" s="134">
        <f t="shared" si="13"/>
        <v>0.25743371713555119</v>
      </c>
      <c r="AC39" s="134">
        <f t="shared" si="13"/>
        <v>0.25666141598414455</v>
      </c>
      <c r="AD39" s="134">
        <f t="shared" si="13"/>
        <v>0.25589143173619211</v>
      </c>
      <c r="AE39" s="134">
        <f t="shared" si="13"/>
        <v>0.25512375744098359</v>
      </c>
      <c r="AF39" s="134">
        <f t="shared" si="13"/>
        <v>0.25435838616866058</v>
      </c>
      <c r="AG39" s="134">
        <f t="shared" si="13"/>
        <v>0.25359531101015464</v>
      </c>
      <c r="AH39" s="134">
        <f t="shared" si="13"/>
        <v>0.25283452507712412</v>
      </c>
      <c r="AI39" s="134">
        <f t="shared" si="13"/>
        <v>0.25207602150189279</v>
      </c>
      <c r="AJ39" s="134">
        <f t="shared" si="13"/>
        <v>0.25131979343738708</v>
      </c>
      <c r="AK39" s="134">
        <f t="shared" si="13"/>
        <v>0.250565834057075</v>
      </c>
      <c r="AL39" s="134">
        <f t="shared" si="13"/>
        <v>0.24981413655490373</v>
      </c>
      <c r="AM39" s="134">
        <f t="shared" si="13"/>
        <v>0.24906469414523899</v>
      </c>
      <c r="AN39" s="134">
        <f t="shared" si="13"/>
        <v>0.24831750006280331</v>
      </c>
      <c r="AO39" s="134">
        <f t="shared" si="13"/>
        <v>0.2475725475626149</v>
      </c>
      <c r="AP39" s="134">
        <f t="shared" si="13"/>
        <v>0.24682982991992705</v>
      </c>
      <c r="AQ39" s="134" t="str">
        <f t="shared" si="13"/>
        <v/>
      </c>
    </row>
    <row r="40" spans="3:43" x14ac:dyDescent="0.25">
      <c r="E40" s="139"/>
      <c r="F40" s="139"/>
      <c r="G40" s="139"/>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row>
    <row r="41" spans="3:43" x14ac:dyDescent="0.25">
      <c r="C41" s="129" t="s">
        <v>1223</v>
      </c>
      <c r="D41" s="129"/>
      <c r="E41" s="263">
        <f>Inputs!$E$188</f>
        <v>1</v>
      </c>
      <c r="F41" s="271" t="s">
        <v>1224</v>
      </c>
      <c r="G41" s="270"/>
      <c r="H41" s="270"/>
      <c r="I41" s="270"/>
      <c r="J41" s="270"/>
      <c r="K41" s="270"/>
      <c r="L41" s="270"/>
      <c r="M41" s="270"/>
      <c r="N41" s="270"/>
      <c r="O41" s="270"/>
      <c r="P41" s="270"/>
      <c r="Q41" s="270"/>
      <c r="R41" s="270"/>
      <c r="S41" s="270"/>
      <c r="T41" s="270"/>
      <c r="U41" s="270"/>
      <c r="V41" s="270"/>
      <c r="W41" s="270"/>
      <c r="X41" s="270"/>
      <c r="Y41" s="270"/>
      <c r="Z41" s="270"/>
      <c r="AA41" s="270"/>
      <c r="AB41" s="270"/>
      <c r="AC41" s="270"/>
      <c r="AD41" s="270"/>
      <c r="AE41" s="270"/>
      <c r="AF41" s="270"/>
      <c r="AG41" s="270"/>
      <c r="AH41" s="270"/>
      <c r="AI41" s="270"/>
      <c r="AJ41" s="270"/>
      <c r="AK41" s="270"/>
      <c r="AL41" s="270"/>
      <c r="AM41" s="270"/>
      <c r="AN41" s="270"/>
      <c r="AO41" s="270"/>
      <c r="AP41" s="270"/>
      <c r="AQ41" s="270"/>
    </row>
    <row r="42" spans="3:43" x14ac:dyDescent="0.25">
      <c r="C42" t="s">
        <v>1225</v>
      </c>
      <c r="D42" t="s">
        <v>250</v>
      </c>
      <c r="E42" s="139"/>
      <c r="F42" s="139"/>
      <c r="G42" s="151"/>
      <c r="H42" s="254" t="str">
        <f>IFERROR(INDEX(Curves!$K$22:$K$66,MATCH(H$5,Curves!$C$22:$C$66,0))*Inputs!$E$186,IFERROR(IF(H$5&gt;LOOKUP(9.99E+307,Curves!$K$22:$K$66,Curves!$C$22:$C$66),LOOKUP(9.99E+307,Curves!$K$22:$K$66)*(1+Curves!$E$19)^(H$5-LOOKUP(9.99E+307,Curves!$K$22:$K$66,Curves!$C$22:$C$66))*Inputs!$E$186,""),""))</f>
        <v/>
      </c>
      <c r="I42" s="254">
        <f>IFERROR(INDEX(Curves!$K$22:$K$66,MATCH(I$5,Curves!$C$22:$C$66,0))*Inputs!$E$186,IFERROR(IF(I$5&gt;LOOKUP(9.99E+307,Curves!$K$22:$K$66,Curves!$C$22:$C$66),LOOKUP(9.99E+307,Curves!$K$22:$K$66)*(1+Curves!$E$19)^(I$5-LOOKUP(9.99E+307,Curves!$K$22:$K$66,Curves!$C$22:$C$66))*Inputs!$E$186,""),""))</f>
        <v>129.40495199999998</v>
      </c>
      <c r="J42" s="254">
        <f>IFERROR(INDEX(Curves!$K$22:$K$66,MATCH(J$5,Curves!$C$22:$C$66,0))*Inputs!$E$186,IFERROR(IF(J$5&gt;LOOKUP(9.99E+307,Curves!$K$22:$K$66,Curves!$C$22:$C$66),LOOKUP(9.99E+307,Curves!$K$22:$K$66)*(1+Curves!$E$19)^(J$5-LOOKUP(9.99E+307,Curves!$K$22:$K$66,Curves!$C$22:$C$66))*Inputs!$E$186,""),""))</f>
        <v>121.22178984</v>
      </c>
      <c r="K42" s="254">
        <f>IFERROR(INDEX(Curves!$K$22:$K$66,MATCH(K$5,Curves!$C$22:$C$66,0))*Inputs!$E$186,IFERROR(IF(K$5&gt;LOOKUP(9.99E+307,Curves!$K$22:$K$66,Curves!$C$22:$C$66),LOOKUP(9.99E+307,Curves!$K$22:$K$66)*(1+Curves!$E$19)^(K$5-LOOKUP(9.99E+307,Curves!$K$22:$K$66,Curves!$C$22:$C$66))*Inputs!$E$186,""),""))</f>
        <v>114.36978202559999</v>
      </c>
      <c r="L42" s="254">
        <f>IFERROR(INDEX(Curves!$K$22:$K$66,MATCH(L$5,Curves!$C$22:$C$66,0))*Inputs!$E$186,IFERROR(IF(L$5&gt;LOOKUP(9.99E+307,Curves!$K$22:$K$66,Curves!$C$22:$C$66),LOOKUP(9.99E+307,Curves!$K$22:$K$66)*(1+Curves!$E$19)^(L$5-LOOKUP(9.99E+307,Curves!$K$22:$K$66,Curves!$C$22:$C$66))*Inputs!$E$186,""),""))</f>
        <v>107.890776088704</v>
      </c>
      <c r="M42" s="254">
        <f>IFERROR(INDEX(Curves!$K$22:$K$66,MATCH(M$5,Curves!$C$22:$C$66,0))*Inputs!$E$186,IFERROR(IF(M$5&gt;LOOKUP(9.99E+307,Curves!$K$22:$K$66,Curves!$C$22:$C$66),LOOKUP(9.99E+307,Curves!$K$22:$K$66)*(1+Curves!$E$19)^(M$5-LOOKUP(9.99E+307,Curves!$K$22:$K$66,Curves!$C$22:$C$66))*Inputs!$E$186,""),""))</f>
        <v>115.73571182776128</v>
      </c>
      <c r="N42" s="254">
        <f>IFERROR(INDEX(Curves!$K$22:$K$66,MATCH(N$5,Curves!$C$22:$C$66,0))*Inputs!$E$186,IFERROR(IF(N$5&gt;LOOKUP(9.99E+307,Curves!$K$22:$K$66,Curves!$C$22:$C$66),LOOKUP(9.99E+307,Curves!$K$22:$K$66)*(1+Curves!$E$19)^(N$5-LOOKUP(9.99E+307,Curves!$K$22:$K$66,Curves!$C$22:$C$66))*Inputs!$E$186,""),""))</f>
        <v>114.45503992457424</v>
      </c>
      <c r="O42" s="254">
        <f>IFERROR(INDEX(Curves!$K$22:$K$66,MATCH(O$5,Curves!$C$22:$C$66,0))*Inputs!$E$186,IFERROR(IF(O$5&gt;LOOKUP(9.99E+307,Curves!$K$22:$K$66,Curves!$C$22:$C$66),LOOKUP(9.99E+307,Curves!$K$22:$K$66)*(1+Curves!$E$19)^(O$5-LOOKUP(9.99E+307,Curves!$K$22:$K$66,Curves!$C$22:$C$66))*Inputs!$E$186,""),""))</f>
        <v>117.27138744451676</v>
      </c>
      <c r="P42" s="254">
        <f>IFERROR(INDEX(Curves!$K$22:$K$66,MATCH(P$5,Curves!$C$22:$C$66,0))*Inputs!$E$186,IFERROR(IF(P$5&gt;LOOKUP(9.99E+307,Curves!$K$22:$K$66,Curves!$C$22:$C$66),LOOKUP(9.99E+307,Curves!$K$22:$K$66)*(1+Curves!$E$19)^(P$5-LOOKUP(9.99E+307,Curves!$K$22:$K$66,Curves!$C$22:$C$66))*Inputs!$E$186,""),""))</f>
        <v>115.08741435832853</v>
      </c>
      <c r="Q42" s="254">
        <f>IFERROR(INDEX(Curves!$K$22:$K$66,MATCH(Q$5,Curves!$C$22:$C$66,0))*Inputs!$E$186,IFERROR(IF(Q$5&gt;LOOKUP(9.99E+307,Curves!$K$22:$K$66,Curves!$C$22:$C$66),LOOKUP(9.99E+307,Curves!$K$22:$K$66)*(1+Curves!$E$19)^(Q$5-LOOKUP(9.99E+307,Curves!$K$22:$K$66,Curves!$C$22:$C$66))*Inputs!$E$186,""),""))</f>
        <v>117.12098387309626</v>
      </c>
      <c r="R42" s="254">
        <f>IFERROR(INDEX(Curves!$K$22:$K$66,MATCH(R$5,Curves!$C$22:$C$66,0))*Inputs!$E$186,IFERROR(IF(R$5&gt;LOOKUP(9.99E+307,Curves!$K$22:$K$66,Curves!$C$22:$C$66),LOOKUP(9.99E+307,Curves!$K$22:$K$66)*(1+Curves!$E$19)^(R$5-LOOKUP(9.99E+307,Curves!$K$22:$K$66,Curves!$C$22:$C$66))*Inputs!$E$186,""),""))</f>
        <v>119.60017472448158</v>
      </c>
      <c r="S42" s="254">
        <f>IFERROR(INDEX(Curves!$K$22:$K$66,MATCH(S$5,Curves!$C$22:$C$66,0))*Inputs!$E$186,IFERROR(IF(S$5&gt;LOOKUP(9.99E+307,Curves!$K$22:$K$66,Curves!$C$22:$C$66),LOOKUP(9.99E+307,Curves!$K$22:$K$66)*(1+Curves!$E$19)^(S$5-LOOKUP(9.99E+307,Curves!$K$22:$K$66,Curves!$C$22:$C$66))*Inputs!$E$186,""),""))</f>
        <v>126.2154233948645</v>
      </c>
      <c r="T42" s="254">
        <f>IFERROR(INDEX(Curves!$K$22:$K$66,MATCH(T$5,Curves!$C$22:$C$66,0))*Inputs!$E$186,IFERROR(IF(T$5&gt;LOOKUP(9.99E+307,Curves!$K$22:$K$66,Curves!$C$22:$C$66),LOOKUP(9.99E+307,Curves!$K$22:$K$66)*(1+Curves!$E$19)^(T$5-LOOKUP(9.99E+307,Curves!$K$22:$K$66,Curves!$C$22:$C$66))*Inputs!$E$186,""),""))</f>
        <v>127.01923504425824</v>
      </c>
      <c r="U42" s="254">
        <f>IFERROR(INDEX(Curves!$K$22:$K$66,MATCH(U$5,Curves!$C$22:$C$66,0))*Inputs!$E$186,IFERROR(IF(U$5&gt;LOOKUP(9.99E+307,Curves!$K$22:$K$66,Curves!$C$22:$C$66),LOOKUP(9.99E+307,Curves!$K$22:$K$66)*(1+Curves!$E$19)^(U$5-LOOKUP(9.99E+307,Curves!$K$22:$K$66,Curves!$C$22:$C$66))*Inputs!$E$186,""),""))</f>
        <v>128.88668557598137</v>
      </c>
      <c r="V42" s="254">
        <f>IFERROR(INDEX(Curves!$K$22:$K$66,MATCH(V$5,Curves!$C$22:$C$66,0))*Inputs!$E$186,IFERROR(IF(V$5&gt;LOOKUP(9.99E+307,Curves!$K$22:$K$66,Curves!$C$22:$C$66),LOOKUP(9.99E+307,Curves!$K$22:$K$66)*(1+Curves!$E$19)^(V$5-LOOKUP(9.99E+307,Curves!$K$22:$K$66,Curves!$C$22:$C$66))*Inputs!$E$186,""),""))</f>
        <v>129.93012938181144</v>
      </c>
      <c r="W42" s="254">
        <f>IFERROR(INDEX(Curves!$K$22:$K$66,MATCH(W$5,Curves!$C$22:$C$66,0))*Inputs!$E$186,IFERROR(IF(W$5&gt;LOOKUP(9.99E+307,Curves!$K$22:$K$66,Curves!$C$22:$C$66),LOOKUP(9.99E+307,Curves!$K$22:$K$66)*(1+Curves!$E$19)^(W$5-LOOKUP(9.99E+307,Curves!$K$22:$K$66,Curves!$C$22:$C$66))*Inputs!$E$186,""),""))</f>
        <v>130.89511698038984</v>
      </c>
      <c r="X42" s="254">
        <f>IFERROR(INDEX(Curves!$K$22:$K$66,MATCH(X$5,Curves!$C$22:$C$66,0))*Inputs!$E$186,IFERROR(IF(X$5&gt;LOOKUP(9.99E+307,Curves!$K$22:$K$66,Curves!$C$22:$C$66),LOOKUP(9.99E+307,Curves!$K$22:$K$66)*(1+Curves!$E$19)^(X$5-LOOKUP(9.99E+307,Curves!$K$22:$K$66,Curves!$C$22:$C$66))*Inputs!$E$186,""),""))</f>
        <v>134.63321245535161</v>
      </c>
      <c r="Y42" s="254">
        <f>IFERROR(INDEX(Curves!$K$22:$K$66,MATCH(Y$5,Curves!$C$22:$C$66,0))*Inputs!$E$186,IFERROR(IF(Y$5&gt;LOOKUP(9.99E+307,Curves!$K$22:$K$66,Curves!$C$22:$C$66),LOOKUP(9.99E+307,Curves!$K$22:$K$66)*(1+Curves!$E$19)^(Y$5-LOOKUP(9.99E+307,Curves!$K$22:$K$66,Curves!$C$22:$C$66))*Inputs!$E$186,""),""))</f>
        <v>137.61152595397388</v>
      </c>
      <c r="Z42" s="254">
        <f>IFERROR(INDEX(Curves!$K$22:$K$66,MATCH(Z$5,Curves!$C$22:$C$66,0))*Inputs!$E$186,IFERROR(IF(Z$5&gt;LOOKUP(9.99E+307,Curves!$K$22:$K$66,Curves!$C$22:$C$66),LOOKUP(9.99E+307,Curves!$K$22:$K$66)*(1+Curves!$E$19)^(Z$5-LOOKUP(9.99E+307,Curves!$K$22:$K$66,Curves!$C$22:$C$66))*Inputs!$E$186,""),""))</f>
        <v>139.2711480936575</v>
      </c>
      <c r="AA42" s="254">
        <f>IFERROR(INDEX(Curves!$K$22:$K$66,MATCH(AA$5,Curves!$C$22:$C$66,0))*Inputs!$E$186,IFERROR(IF(AA$5&gt;LOOKUP(9.99E+307,Curves!$K$22:$K$66,Curves!$C$22:$C$66),LOOKUP(9.99E+307,Curves!$K$22:$K$66)*(1+Curves!$E$19)^(AA$5-LOOKUP(9.99E+307,Curves!$K$22:$K$66,Curves!$C$22:$C$66))*Inputs!$E$186,""),""))</f>
        <v>144.40436794117647</v>
      </c>
      <c r="AB42" s="254">
        <f>IFERROR(INDEX(Curves!$K$22:$K$66,MATCH(AB$5,Curves!$C$22:$C$66,0))*Inputs!$E$186,IFERROR(IF(AB$5&gt;LOOKUP(9.99E+307,Curves!$K$22:$K$66,Curves!$C$22:$C$66),LOOKUP(9.99E+307,Curves!$K$22:$K$66)*(1+Curves!$E$19)^(AB$5-LOOKUP(9.99E+307,Curves!$K$22:$K$66,Curves!$C$22:$C$66))*Inputs!$E$186,""),""))</f>
        <v>147.53496191502364</v>
      </c>
      <c r="AC42" s="254">
        <f>IFERROR(INDEX(Curves!$K$22:$K$66,MATCH(AC$5,Curves!$C$22:$C$66,0))*Inputs!$E$186,IFERROR(IF(AC$5&gt;LOOKUP(9.99E+307,Curves!$K$22:$K$66,Curves!$C$22:$C$66),LOOKUP(9.99E+307,Curves!$K$22:$K$66)*(1+Curves!$E$19)^(AC$5-LOOKUP(9.99E+307,Curves!$K$22:$K$66,Curves!$C$22:$C$66))*Inputs!$E$186,""),""))</f>
        <v>150.14554562575344</v>
      </c>
      <c r="AD42" s="254">
        <f>IFERROR(INDEX(Curves!$K$22:$K$66,MATCH(AD$5,Curves!$C$22:$C$66,0))*Inputs!$E$186,IFERROR(IF(AD$5&gt;LOOKUP(9.99E+307,Curves!$K$22:$K$66,Curves!$C$22:$C$66),LOOKUP(9.99E+307,Curves!$K$22:$K$66)*(1+Curves!$E$19)^(AD$5-LOOKUP(9.99E+307,Curves!$K$22:$K$66,Curves!$C$22:$C$66))*Inputs!$E$186,""),""))</f>
        <v>150.37311383329163</v>
      </c>
      <c r="AE42" s="254">
        <f>IFERROR(INDEX(Curves!$K$22:$K$66,MATCH(AE$5,Curves!$C$22:$C$66,0))*Inputs!$E$186,IFERROR(IF(AE$5&gt;LOOKUP(9.99E+307,Curves!$K$22:$K$66,Curves!$C$22:$C$66),LOOKUP(9.99E+307,Curves!$K$22:$K$66)*(1+Curves!$E$19)^(AE$5-LOOKUP(9.99E+307,Curves!$K$22:$K$66,Curves!$C$22:$C$66))*Inputs!$E$186,""),""))</f>
        <v>153.52533546241023</v>
      </c>
      <c r="AF42" s="254">
        <f>IFERROR(INDEX(Curves!$K$22:$K$66,MATCH(AF$5,Curves!$C$22:$C$66,0))*Inputs!$E$186,IFERROR(IF(AF$5&gt;LOOKUP(9.99E+307,Curves!$K$22:$K$66,Curves!$C$22:$C$66),LOOKUP(9.99E+307,Curves!$K$22:$K$66)*(1+Curves!$E$19)^(AF$5-LOOKUP(9.99E+307,Curves!$K$22:$K$66,Curves!$C$22:$C$66))*Inputs!$E$186,""),""))</f>
        <v>154.6107089183561</v>
      </c>
      <c r="AG42" s="254">
        <f>IFERROR(INDEX(Curves!$K$22:$K$66,MATCH(AG$5,Curves!$C$22:$C$66,0))*Inputs!$E$186,IFERROR(IF(AG$5&gt;LOOKUP(9.99E+307,Curves!$K$22:$K$66,Curves!$C$22:$C$66),LOOKUP(9.99E+307,Curves!$K$22:$K$66)*(1+Curves!$E$19)^(AG$5-LOOKUP(9.99E+307,Curves!$K$22:$K$66,Curves!$C$22:$C$66))*Inputs!$E$186,""),""))</f>
        <v>156.02950498236922</v>
      </c>
      <c r="AH42" s="254">
        <f>IFERROR(INDEX(Curves!$K$22:$K$66,MATCH(AH$5,Curves!$C$22:$C$66,0))*Inputs!$E$186,IFERROR(IF(AH$5&gt;LOOKUP(9.99E+307,Curves!$K$22:$K$66,Curves!$C$22:$C$66),LOOKUP(9.99E+307,Curves!$K$22:$K$66)*(1+Curves!$E$19)^(AH$5-LOOKUP(9.99E+307,Curves!$K$22:$K$66,Curves!$C$22:$C$66))*Inputs!$E$186,""),""))</f>
        <v>156.4020078546244</v>
      </c>
      <c r="AI42" s="254">
        <f>IFERROR(INDEX(Curves!$K$22:$K$66,MATCH(AI$5,Curves!$C$22:$C$66,0))*Inputs!$E$186,IFERROR(IF(AI$5&gt;LOOKUP(9.99E+307,Curves!$K$22:$K$66,Curves!$C$22:$C$66),LOOKUP(9.99E+307,Curves!$K$22:$K$66)*(1+Curves!$E$19)^(AI$5-LOOKUP(9.99E+307,Curves!$K$22:$K$66,Curves!$C$22:$C$66))*Inputs!$E$186,""),""))</f>
        <v>160.99250834490303</v>
      </c>
      <c r="AJ42" s="254">
        <f>IFERROR(INDEX(Curves!$K$22:$K$66,MATCH(AJ$5,Curves!$C$22:$C$66,0))*Inputs!$E$186,IFERROR(IF(AJ$5&gt;LOOKUP(9.99E+307,Curves!$K$22:$K$66,Curves!$C$22:$C$66),LOOKUP(9.99E+307,Curves!$K$22:$K$66)*(1+Curves!$E$19)^(AJ$5-LOOKUP(9.99E+307,Curves!$K$22:$K$66,Curves!$C$22:$C$66))*Inputs!$E$186,""),""))</f>
        <v>163.37771150736128</v>
      </c>
      <c r="AK42" s="254">
        <f>IFERROR(INDEX(Curves!$K$22:$K$66,MATCH(AK$5,Curves!$C$22:$C$66,0))*Inputs!$E$186,IFERROR(IF(AK$5&gt;LOOKUP(9.99E+307,Curves!$K$22:$K$66,Curves!$C$22:$C$66),LOOKUP(9.99E+307,Curves!$K$22:$K$66)*(1+Curves!$E$19)^(AK$5-LOOKUP(9.99E+307,Curves!$K$22:$K$66,Curves!$C$22:$C$66))*Inputs!$E$186,""),""))</f>
        <v>165.86638025634406</v>
      </c>
      <c r="AL42" s="254">
        <f>IFERROR(INDEX(Curves!$K$22:$K$66,MATCH(AL$5,Curves!$C$22:$C$66,0))*Inputs!$E$186,IFERROR(IF(AL$5&gt;LOOKUP(9.99E+307,Curves!$K$22:$K$66,Curves!$C$22:$C$66),LOOKUP(9.99E+307,Curves!$K$22:$K$66)*(1+Curves!$E$19)^(AL$5-LOOKUP(9.99E+307,Curves!$K$22:$K$66,Curves!$C$22:$C$66))*Inputs!$E$186,""),""))</f>
        <v>167.05898072331769</v>
      </c>
      <c r="AM42" s="254">
        <f>IFERROR(INDEX(Curves!$K$22:$K$66,MATCH(AM$5,Curves!$C$22:$C$66,0))*Inputs!$E$186,IFERROR(IF(AM$5&gt;LOOKUP(9.99E+307,Curves!$K$22:$K$66,Curves!$C$22:$C$66),LOOKUP(9.99E+307,Curves!$K$22:$K$66)*(1+Curves!$E$19)^(AM$5-LOOKUP(9.99E+307,Curves!$K$22:$K$66,Curves!$C$22:$C$66))*Inputs!$E$186,""),""))</f>
        <v>171.70049334633384</v>
      </c>
      <c r="AN42" s="254">
        <f>IFERROR(INDEX(Curves!$K$22:$K$66,MATCH(AN$5,Curves!$C$22:$C$66,0))*Inputs!$E$186,IFERROR(IF(AN$5&gt;LOOKUP(9.99E+307,Curves!$K$22:$K$66,Curves!$C$22:$C$66),LOOKUP(9.99E+307,Curves!$K$22:$K$66)*(1+Curves!$E$19)^(AN$5-LOOKUP(9.99E+307,Curves!$K$22:$K$66,Curves!$C$22:$C$66))*Inputs!$E$186,""),""))</f>
        <v>178.55607511227936</v>
      </c>
      <c r="AO42" s="254">
        <f>IFERROR(INDEX(Curves!$K$22:$K$66,MATCH(AO$5,Curves!$C$22:$C$66,0))*Inputs!$E$186,IFERROR(IF(AO$5&gt;LOOKUP(9.99E+307,Curves!$K$22:$K$66,Curves!$C$22:$C$66),LOOKUP(9.99E+307,Curves!$K$22:$K$66)*(1+Curves!$E$19)^(AO$5-LOOKUP(9.99E+307,Curves!$K$22:$K$66,Curves!$C$22:$C$66))*Inputs!$E$186,""),""))</f>
        <v>184.87214305935575</v>
      </c>
      <c r="AP42" s="254">
        <f>IFERROR(INDEX(Curves!$K$22:$K$66,MATCH(AP$5,Curves!$C$22:$C$66,0))*Inputs!$E$186,IFERROR(IF(AP$5&gt;LOOKUP(9.99E+307,Curves!$K$22:$K$66,Curves!$C$22:$C$66),LOOKUP(9.99E+307,Curves!$K$22:$K$66)*(1+Curves!$E$19)^(AP$5-LOOKUP(9.99E+307,Curves!$K$22:$K$66,Curves!$C$22:$C$66))*Inputs!$E$186,""),""))</f>
        <v>186.70968863656677</v>
      </c>
      <c r="AQ42" s="254">
        <f>IFERROR(INDEX(Curves!$K$22:$K$66,MATCH(AQ$5,Curves!$C$22:$C$66,0))*Inputs!$E$186,IFERROR(IF(AQ$5&gt;LOOKUP(9.99E+307,Curves!$K$22:$K$66,Curves!$C$22:$C$66),LOOKUP(9.99E+307,Curves!$K$22:$K$66)*(1+Curves!$E$19)^(AQ$5-LOOKUP(9.99E+307,Curves!$K$22:$K$66,Curves!$C$22:$C$66))*Inputs!$E$186,""),""))</f>
        <v>190.44388240929811</v>
      </c>
    </row>
    <row r="43" spans="3:43" x14ac:dyDescent="0.25">
      <c r="C43" t="s">
        <v>1226</v>
      </c>
      <c r="D43" t="s">
        <v>250</v>
      </c>
      <c r="E43" s="139">
        <f>Inputs!$E$189</f>
        <v>100</v>
      </c>
      <c r="F43" s="139"/>
      <c r="G43" s="151"/>
      <c r="H43" s="151">
        <f>$E$43*(1+Inputs!$E$190)^(H$5-YEAR(Inputs!$E$155))</f>
        <v>90.573080982991598</v>
      </c>
      <c r="I43" s="151">
        <f>$E$43*(1+Inputs!$E$190)^(I$5-YEAR(Inputs!$E$155))</f>
        <v>92.384542602651422</v>
      </c>
      <c r="J43" s="151">
        <f>$E$43*(1+Inputs!$E$190)^(J$5-YEAR(Inputs!$E$155))</f>
        <v>94.232233454704456</v>
      </c>
      <c r="K43" s="151">
        <f>$E$43*(1+Inputs!$E$190)^(K$5-YEAR(Inputs!$E$155))</f>
        <v>96.116878123798543</v>
      </c>
      <c r="L43" s="151">
        <f>$E$43*(1+Inputs!$E$190)^(L$5-YEAR(Inputs!$E$155))</f>
        <v>98.039215686274503</v>
      </c>
      <c r="M43" s="151">
        <f>$E$43*(1+Inputs!$E$190)^(M$5-YEAR(Inputs!$E$155))</f>
        <v>100</v>
      </c>
      <c r="N43" s="151">
        <f>$E$43*(1+Inputs!$E$190)^(N$5-YEAR(Inputs!$E$155))</f>
        <v>102</v>
      </c>
      <c r="O43" s="151">
        <f>$E$43*(1+Inputs!$E$190)^(O$5-YEAR(Inputs!$E$155))</f>
        <v>104.03999999999999</v>
      </c>
      <c r="P43" s="151">
        <f>$E$43*(1+Inputs!$E$190)^(P$5-YEAR(Inputs!$E$155))</f>
        <v>106.12079999999999</v>
      </c>
      <c r="Q43" s="151">
        <f>$E$43*(1+Inputs!$E$190)^(Q$5-YEAR(Inputs!$E$155))</f>
        <v>108.243216</v>
      </c>
      <c r="R43" s="151">
        <f>$E$43*(1+Inputs!$E$190)^(R$5-YEAR(Inputs!$E$155))</f>
        <v>110.40808032</v>
      </c>
      <c r="S43" s="151">
        <f>$E$43*(1+Inputs!$E$190)^(S$5-YEAR(Inputs!$E$155))</f>
        <v>112.61624192640001</v>
      </c>
      <c r="T43" s="151">
        <f>$E$43*(1+Inputs!$E$190)^(T$5-YEAR(Inputs!$E$155))</f>
        <v>114.86856676492798</v>
      </c>
      <c r="U43" s="151">
        <f>$E$43*(1+Inputs!$E$190)^(U$5-YEAR(Inputs!$E$155))</f>
        <v>117.16593810022655</v>
      </c>
      <c r="V43" s="151">
        <f>$E$43*(1+Inputs!$E$190)^(V$5-YEAR(Inputs!$E$155))</f>
        <v>119.50925686223108</v>
      </c>
      <c r="W43" s="151">
        <f>$E$43*(1+Inputs!$E$190)^(W$5-YEAR(Inputs!$E$155))</f>
        <v>121.89944199947571</v>
      </c>
      <c r="X43" s="151">
        <f>$E$43*(1+Inputs!$E$190)^(X$5-YEAR(Inputs!$E$155))</f>
        <v>124.3374308394652</v>
      </c>
      <c r="Y43" s="151">
        <f>$E$43*(1+Inputs!$E$190)^(Y$5-YEAR(Inputs!$E$155))</f>
        <v>126.82417945625453</v>
      </c>
      <c r="Z43" s="151">
        <f>$E$43*(1+Inputs!$E$190)^(Z$5-YEAR(Inputs!$E$155))</f>
        <v>129.3606630453796</v>
      </c>
      <c r="AA43" s="151">
        <f>$E$43*(1+Inputs!$E$190)^(AA$5-YEAR(Inputs!$E$155))</f>
        <v>131.94787630628721</v>
      </c>
      <c r="AB43" s="151">
        <f>$E$43*(1+Inputs!$E$190)^(AB$5-YEAR(Inputs!$E$155))</f>
        <v>134.58683383241294</v>
      </c>
      <c r="AC43" s="151">
        <f>$E$43*(1+Inputs!$E$190)^(AC$5-YEAR(Inputs!$E$155))</f>
        <v>137.27857050906121</v>
      </c>
      <c r="AD43" s="151">
        <f>$E$43*(1+Inputs!$E$190)^(AD$5-YEAR(Inputs!$E$155))</f>
        <v>140.02414191924245</v>
      </c>
      <c r="AE43" s="151">
        <f>$E$43*(1+Inputs!$E$190)^(AE$5-YEAR(Inputs!$E$155))</f>
        <v>142.82462475762728</v>
      </c>
      <c r="AF43" s="151">
        <f>$E$43*(1+Inputs!$E$190)^(AF$5-YEAR(Inputs!$E$155))</f>
        <v>145.68111725277981</v>
      </c>
      <c r="AG43" s="151">
        <f>$E$43*(1+Inputs!$E$190)^(AG$5-YEAR(Inputs!$E$155))</f>
        <v>148.59473959783543</v>
      </c>
      <c r="AH43" s="151">
        <f>$E$43*(1+Inputs!$E$190)^(AH$5-YEAR(Inputs!$E$155))</f>
        <v>151.56663438979211</v>
      </c>
      <c r="AI43" s="151">
        <f>$E$43*(1+Inputs!$E$190)^(AI$5-YEAR(Inputs!$E$155))</f>
        <v>154.59796707758798</v>
      </c>
      <c r="AJ43" s="151">
        <f>$E$43*(1+Inputs!$E$190)^(AJ$5-YEAR(Inputs!$E$155))</f>
        <v>157.68992641913971</v>
      </c>
      <c r="AK43" s="151">
        <f>$E$43*(1+Inputs!$E$190)^(AK$5-YEAR(Inputs!$E$155))</f>
        <v>160.8437249475225</v>
      </c>
      <c r="AL43" s="151">
        <f>$E$43*(1+Inputs!$E$190)^(AL$5-YEAR(Inputs!$E$155))</f>
        <v>164.06059944647296</v>
      </c>
      <c r="AM43" s="151">
        <f>$E$43*(1+Inputs!$E$190)^(AM$5-YEAR(Inputs!$E$155))</f>
        <v>167.34181143540243</v>
      </c>
      <c r="AN43" s="151">
        <f>$E$43*(1+Inputs!$E$190)^(AN$5-YEAR(Inputs!$E$155))</f>
        <v>170.68864766411045</v>
      </c>
      <c r="AO43" s="151">
        <f>$E$43*(1+Inputs!$E$190)^(AO$5-YEAR(Inputs!$E$155))</f>
        <v>174.10242061739268</v>
      </c>
      <c r="AP43" s="151">
        <f>$E$43*(1+Inputs!$E$190)^(AP$5-YEAR(Inputs!$E$155))</f>
        <v>177.58446902974052</v>
      </c>
      <c r="AQ43" s="151">
        <f>$E$43*(1+Inputs!$E$190)^(AQ$5-YEAR(Inputs!$E$155))</f>
        <v>181.13615841033536</v>
      </c>
    </row>
    <row r="44" spans="3:43" x14ac:dyDescent="0.25">
      <c r="C44" t="s">
        <v>1227</v>
      </c>
      <c r="D44" t="s">
        <v>250</v>
      </c>
      <c r="E44" s="134">
        <f>Inputs!$E$191</f>
        <v>0.85</v>
      </c>
      <c r="F44" s="139"/>
      <c r="G44" s="151"/>
      <c r="H44" s="151">
        <f t="shared" ref="H44:AQ44" si="14">H43*$E$44</f>
        <v>76.987118835542859</v>
      </c>
      <c r="I44" s="151">
        <f t="shared" si="14"/>
        <v>78.526861212253706</v>
      </c>
      <c r="J44" s="151">
        <f t="shared" si="14"/>
        <v>80.097398436498793</v>
      </c>
      <c r="K44" s="151">
        <f t="shared" si="14"/>
        <v>81.699346405228766</v>
      </c>
      <c r="L44" s="151">
        <f t="shared" si="14"/>
        <v>83.333333333333329</v>
      </c>
      <c r="M44" s="151">
        <f t="shared" si="14"/>
        <v>85</v>
      </c>
      <c r="N44" s="151">
        <f t="shared" si="14"/>
        <v>86.7</v>
      </c>
      <c r="O44" s="151">
        <f t="shared" si="14"/>
        <v>88.433999999999997</v>
      </c>
      <c r="P44" s="151">
        <f t="shared" si="14"/>
        <v>90.202679999999987</v>
      </c>
      <c r="Q44" s="151">
        <f t="shared" si="14"/>
        <v>92.006733600000004</v>
      </c>
      <c r="R44" s="151">
        <f t="shared" si="14"/>
        <v>93.846868271999995</v>
      </c>
      <c r="S44" s="151">
        <f t="shared" si="14"/>
        <v>95.723805637440009</v>
      </c>
      <c r="T44" s="151">
        <f t="shared" si="14"/>
        <v>97.638281750188781</v>
      </c>
      <c r="U44" s="151">
        <f t="shared" si="14"/>
        <v>99.591047385192567</v>
      </c>
      <c r="V44" s="151">
        <f t="shared" si="14"/>
        <v>101.58286833289642</v>
      </c>
      <c r="W44" s="151">
        <f t="shared" si="14"/>
        <v>103.61452569955435</v>
      </c>
      <c r="X44" s="151">
        <f t="shared" si="14"/>
        <v>105.68681621354541</v>
      </c>
      <c r="Y44" s="151">
        <f t="shared" si="14"/>
        <v>107.80055253781634</v>
      </c>
      <c r="Z44" s="151">
        <f t="shared" si="14"/>
        <v>109.95656358857265</v>
      </c>
      <c r="AA44" s="151">
        <f t="shared" si="14"/>
        <v>112.15569486034413</v>
      </c>
      <c r="AB44" s="151">
        <f t="shared" si="14"/>
        <v>114.398808757551</v>
      </c>
      <c r="AC44" s="151">
        <f t="shared" si="14"/>
        <v>116.68678493270203</v>
      </c>
      <c r="AD44" s="151">
        <f t="shared" si="14"/>
        <v>119.02052063135608</v>
      </c>
      <c r="AE44" s="151">
        <f t="shared" si="14"/>
        <v>121.40093104398318</v>
      </c>
      <c r="AF44" s="151">
        <f t="shared" si="14"/>
        <v>123.82894966486283</v>
      </c>
      <c r="AG44" s="151">
        <f t="shared" si="14"/>
        <v>126.30552865816011</v>
      </c>
      <c r="AH44" s="151">
        <f t="shared" si="14"/>
        <v>128.83163923132329</v>
      </c>
      <c r="AI44" s="151">
        <f t="shared" si="14"/>
        <v>131.40827201594979</v>
      </c>
      <c r="AJ44" s="151">
        <f t="shared" si="14"/>
        <v>134.03643745626874</v>
      </c>
      <c r="AK44" s="151">
        <f t="shared" si="14"/>
        <v>136.71716620539414</v>
      </c>
      <c r="AL44" s="151">
        <f t="shared" si="14"/>
        <v>139.451509529502</v>
      </c>
      <c r="AM44" s="151">
        <f t="shared" si="14"/>
        <v>142.24053972009207</v>
      </c>
      <c r="AN44" s="151">
        <f t="shared" si="14"/>
        <v>145.08535051449388</v>
      </c>
      <c r="AO44" s="151">
        <f t="shared" si="14"/>
        <v>147.98705752478378</v>
      </c>
      <c r="AP44" s="151">
        <f t="shared" si="14"/>
        <v>150.94679867527944</v>
      </c>
      <c r="AQ44" s="151">
        <f t="shared" si="14"/>
        <v>153.96573464878506</v>
      </c>
    </row>
    <row r="45" spans="3:43" x14ac:dyDescent="0.25">
      <c r="C45" t="s">
        <v>1228</v>
      </c>
      <c r="D45" t="s">
        <v>250</v>
      </c>
      <c r="E45" s="139"/>
      <c r="F45" s="139"/>
      <c r="G45" s="151"/>
      <c r="H45" s="151">
        <f t="shared" ref="H45:AQ45" si="15">IF(AND($E$41=1,ISNUMBER(H42)),H42,H44)</f>
        <v>76.987118835542859</v>
      </c>
      <c r="I45" s="151">
        <f t="shared" si="15"/>
        <v>129.40495199999998</v>
      </c>
      <c r="J45" s="151">
        <f t="shared" si="15"/>
        <v>121.22178984</v>
      </c>
      <c r="K45" s="151">
        <f t="shared" si="15"/>
        <v>114.36978202559999</v>
      </c>
      <c r="L45" s="151">
        <f t="shared" si="15"/>
        <v>107.890776088704</v>
      </c>
      <c r="M45" s="151">
        <f t="shared" si="15"/>
        <v>115.73571182776128</v>
      </c>
      <c r="N45" s="151">
        <f t="shared" si="15"/>
        <v>114.45503992457424</v>
      </c>
      <c r="O45" s="151">
        <f t="shared" si="15"/>
        <v>117.27138744451676</v>
      </c>
      <c r="P45" s="151">
        <f t="shared" si="15"/>
        <v>115.08741435832853</v>
      </c>
      <c r="Q45" s="151">
        <f t="shared" si="15"/>
        <v>117.12098387309626</v>
      </c>
      <c r="R45" s="151">
        <f t="shared" si="15"/>
        <v>119.60017472448158</v>
      </c>
      <c r="S45" s="151">
        <f t="shared" si="15"/>
        <v>126.2154233948645</v>
      </c>
      <c r="T45" s="151">
        <f t="shared" si="15"/>
        <v>127.01923504425824</v>
      </c>
      <c r="U45" s="151">
        <f t="shared" si="15"/>
        <v>128.88668557598137</v>
      </c>
      <c r="V45" s="151">
        <f t="shared" si="15"/>
        <v>129.93012938181144</v>
      </c>
      <c r="W45" s="151">
        <f t="shared" si="15"/>
        <v>130.89511698038984</v>
      </c>
      <c r="X45" s="151">
        <f t="shared" si="15"/>
        <v>134.63321245535161</v>
      </c>
      <c r="Y45" s="151">
        <f t="shared" si="15"/>
        <v>137.61152595397388</v>
      </c>
      <c r="Z45" s="151">
        <f t="shared" si="15"/>
        <v>139.2711480936575</v>
      </c>
      <c r="AA45" s="151">
        <f t="shared" si="15"/>
        <v>144.40436794117647</v>
      </c>
      <c r="AB45" s="151">
        <f t="shared" si="15"/>
        <v>147.53496191502364</v>
      </c>
      <c r="AC45" s="151">
        <f t="shared" si="15"/>
        <v>150.14554562575344</v>
      </c>
      <c r="AD45" s="151">
        <f t="shared" si="15"/>
        <v>150.37311383329163</v>
      </c>
      <c r="AE45" s="151">
        <f t="shared" si="15"/>
        <v>153.52533546241023</v>
      </c>
      <c r="AF45" s="151">
        <f t="shared" si="15"/>
        <v>154.6107089183561</v>
      </c>
      <c r="AG45" s="151">
        <f t="shared" si="15"/>
        <v>156.02950498236922</v>
      </c>
      <c r="AH45" s="151">
        <f t="shared" si="15"/>
        <v>156.4020078546244</v>
      </c>
      <c r="AI45" s="151">
        <f t="shared" si="15"/>
        <v>160.99250834490303</v>
      </c>
      <c r="AJ45" s="151">
        <f t="shared" si="15"/>
        <v>163.37771150736128</v>
      </c>
      <c r="AK45" s="151">
        <f t="shared" si="15"/>
        <v>165.86638025634406</v>
      </c>
      <c r="AL45" s="151">
        <f t="shared" si="15"/>
        <v>167.05898072331769</v>
      </c>
      <c r="AM45" s="151">
        <f t="shared" si="15"/>
        <v>171.70049334633384</v>
      </c>
      <c r="AN45" s="151">
        <f t="shared" si="15"/>
        <v>178.55607511227936</v>
      </c>
      <c r="AO45" s="151">
        <f t="shared" si="15"/>
        <v>184.87214305935575</v>
      </c>
      <c r="AP45" s="151">
        <f t="shared" si="15"/>
        <v>186.70968863656677</v>
      </c>
      <c r="AQ45" s="151">
        <f t="shared" si="15"/>
        <v>190.44388240929811</v>
      </c>
    </row>
    <row r="46" spans="3:43" x14ac:dyDescent="0.25">
      <c r="C46" t="s">
        <v>1229</v>
      </c>
      <c r="D46" t="s">
        <v>984</v>
      </c>
      <c r="E46" s="139"/>
      <c r="F46" s="139"/>
      <c r="G46" s="139">
        <f>SUM(H46:AQ46)</f>
        <v>0</v>
      </c>
      <c r="H46" s="139">
        <f t="shared" ref="H46:AQ46" si="16">IF(AND($E$41=1,H10&gt;0,NOT(ISNUMBER(H42))),1,0)</f>
        <v>0</v>
      </c>
      <c r="I46" s="139">
        <f t="shared" si="16"/>
        <v>0</v>
      </c>
      <c r="J46" s="139">
        <f t="shared" si="16"/>
        <v>0</v>
      </c>
      <c r="K46" s="139">
        <f t="shared" si="16"/>
        <v>0</v>
      </c>
      <c r="L46" s="139">
        <f t="shared" si="16"/>
        <v>0</v>
      </c>
      <c r="M46" s="139">
        <f t="shared" si="16"/>
        <v>0</v>
      </c>
      <c r="N46" s="139">
        <f t="shared" si="16"/>
        <v>0</v>
      </c>
      <c r="O46" s="139">
        <f t="shared" si="16"/>
        <v>0</v>
      </c>
      <c r="P46" s="139">
        <f t="shared" si="16"/>
        <v>0</v>
      </c>
      <c r="Q46" s="139">
        <f t="shared" si="16"/>
        <v>0</v>
      </c>
      <c r="R46" s="139">
        <f t="shared" si="16"/>
        <v>0</v>
      </c>
      <c r="S46" s="139">
        <f t="shared" si="16"/>
        <v>0</v>
      </c>
      <c r="T46" s="139">
        <f t="shared" si="16"/>
        <v>0</v>
      </c>
      <c r="U46" s="139">
        <f t="shared" si="16"/>
        <v>0</v>
      </c>
      <c r="V46" s="139">
        <f t="shared" si="16"/>
        <v>0</v>
      </c>
      <c r="W46" s="139">
        <f t="shared" si="16"/>
        <v>0</v>
      </c>
      <c r="X46" s="139">
        <f t="shared" si="16"/>
        <v>0</v>
      </c>
      <c r="Y46" s="139">
        <f t="shared" si="16"/>
        <v>0</v>
      </c>
      <c r="Z46" s="139">
        <f t="shared" si="16"/>
        <v>0</v>
      </c>
      <c r="AA46" s="139">
        <f t="shared" si="16"/>
        <v>0</v>
      </c>
      <c r="AB46" s="139">
        <f t="shared" si="16"/>
        <v>0</v>
      </c>
      <c r="AC46" s="139">
        <f t="shared" si="16"/>
        <v>0</v>
      </c>
      <c r="AD46" s="139">
        <f t="shared" si="16"/>
        <v>0</v>
      </c>
      <c r="AE46" s="139">
        <f t="shared" si="16"/>
        <v>0</v>
      </c>
      <c r="AF46" s="139">
        <f t="shared" si="16"/>
        <v>0</v>
      </c>
      <c r="AG46" s="139">
        <f t="shared" si="16"/>
        <v>0</v>
      </c>
      <c r="AH46" s="139">
        <f t="shared" si="16"/>
        <v>0</v>
      </c>
      <c r="AI46" s="139">
        <f t="shared" si="16"/>
        <v>0</v>
      </c>
      <c r="AJ46" s="139">
        <f t="shared" si="16"/>
        <v>0</v>
      </c>
      <c r="AK46" s="139">
        <f t="shared" si="16"/>
        <v>0</v>
      </c>
      <c r="AL46" s="139">
        <f t="shared" si="16"/>
        <v>0</v>
      </c>
      <c r="AM46" s="139">
        <f t="shared" si="16"/>
        <v>0</v>
      </c>
      <c r="AN46" s="139">
        <f t="shared" si="16"/>
        <v>0</v>
      </c>
      <c r="AO46" s="139">
        <f t="shared" si="16"/>
        <v>0</v>
      </c>
      <c r="AP46" s="139">
        <f t="shared" si="16"/>
        <v>0</v>
      </c>
      <c r="AQ46" s="139">
        <f t="shared" si="16"/>
        <v>0</v>
      </c>
    </row>
    <row r="47" spans="3:43" x14ac:dyDescent="0.25">
      <c r="C47" t="s">
        <v>1230</v>
      </c>
      <c r="D47" t="s">
        <v>250</v>
      </c>
      <c r="E47" s="139">
        <f>Inputs!$E$193</f>
        <v>90</v>
      </c>
      <c r="F47" s="139"/>
      <c r="G47" s="151"/>
      <c r="H47" s="151">
        <f>$E$47*(1+Inputs!$E$194)^(H$5-YEAR(Inputs!$E$155))</f>
        <v>85.631911884607405</v>
      </c>
      <c r="I47" s="151">
        <f>$E$47*(1+Inputs!$E$194)^(I$5-YEAR(Inputs!$E$155))</f>
        <v>86.488231003453464</v>
      </c>
      <c r="J47" s="151">
        <f>$E$47*(1+Inputs!$E$194)^(J$5-YEAR(Inputs!$E$155))</f>
        <v>87.353113313488009</v>
      </c>
      <c r="K47" s="151">
        <f>$E$47*(1+Inputs!$E$194)^(K$5-YEAR(Inputs!$E$155))</f>
        <v>88.226644446622871</v>
      </c>
      <c r="L47" s="151">
        <f>$E$47*(1+Inputs!$E$194)^(L$5-YEAR(Inputs!$E$155))</f>
        <v>89.10891089108911</v>
      </c>
      <c r="M47" s="151">
        <f>$E$47*(1+Inputs!$E$194)^(M$5-YEAR(Inputs!$E$155))</f>
        <v>90</v>
      </c>
      <c r="N47" s="151">
        <f>$E$47*(1+Inputs!$E$194)^(N$5-YEAR(Inputs!$E$155))</f>
        <v>90.9</v>
      </c>
      <c r="O47" s="151">
        <f>$E$47*(1+Inputs!$E$194)^(O$5-YEAR(Inputs!$E$155))</f>
        <v>91.808999999999997</v>
      </c>
      <c r="P47" s="151">
        <f>$E$47*(1+Inputs!$E$194)^(P$5-YEAR(Inputs!$E$155))</f>
        <v>92.72708999999999</v>
      </c>
      <c r="Q47" s="151">
        <f>$E$47*(1+Inputs!$E$194)^(Q$5-YEAR(Inputs!$E$155))</f>
        <v>93.6543609</v>
      </c>
      <c r="R47" s="151">
        <f>$E$47*(1+Inputs!$E$194)^(R$5-YEAR(Inputs!$E$155))</f>
        <v>94.590904508999998</v>
      </c>
      <c r="S47" s="151">
        <f>$E$47*(1+Inputs!$E$194)^(S$5-YEAR(Inputs!$E$155))</f>
        <v>95.536813554090017</v>
      </c>
      <c r="T47" s="151">
        <f>$E$47*(1+Inputs!$E$194)^(T$5-YEAR(Inputs!$E$155))</f>
        <v>96.492181689630883</v>
      </c>
      <c r="U47" s="151">
        <f>$E$47*(1+Inputs!$E$194)^(U$5-YEAR(Inputs!$E$155))</f>
        <v>97.457103506527218</v>
      </c>
      <c r="V47" s="151">
        <f>$E$47*(1+Inputs!$E$194)^(V$5-YEAR(Inputs!$E$155))</f>
        <v>98.4316745415925</v>
      </c>
      <c r="W47" s="151">
        <f>$E$47*(1+Inputs!$E$194)^(W$5-YEAR(Inputs!$E$155))</f>
        <v>99.415991287008424</v>
      </c>
      <c r="X47" s="151">
        <f>$E$47*(1+Inputs!$E$194)^(X$5-YEAR(Inputs!$E$155))</f>
        <v>100.41015119987848</v>
      </c>
      <c r="Y47" s="151">
        <f>$E$47*(1+Inputs!$E$194)^(Y$5-YEAR(Inputs!$E$155))</f>
        <v>101.41425271187728</v>
      </c>
      <c r="Z47" s="151">
        <f>$E$47*(1+Inputs!$E$194)^(Z$5-YEAR(Inputs!$E$155))</f>
        <v>102.42839523899606</v>
      </c>
      <c r="AA47" s="151">
        <f>$E$47*(1+Inputs!$E$194)^(AA$5-YEAR(Inputs!$E$155))</f>
        <v>103.45267919138603</v>
      </c>
      <c r="AB47" s="151">
        <f>$E$47*(1+Inputs!$E$194)^(AB$5-YEAR(Inputs!$E$155))</f>
        <v>104.48720598329986</v>
      </c>
      <c r="AC47" s="151">
        <f>$E$47*(1+Inputs!$E$194)^(AC$5-YEAR(Inputs!$E$155))</f>
        <v>105.53207804313288</v>
      </c>
      <c r="AD47" s="151">
        <f>$E$47*(1+Inputs!$E$194)^(AD$5-YEAR(Inputs!$E$155))</f>
        <v>106.58739882356423</v>
      </c>
      <c r="AE47" s="151">
        <f>$E$47*(1+Inputs!$E$194)^(AE$5-YEAR(Inputs!$E$155))</f>
        <v>107.65327281179987</v>
      </c>
      <c r="AF47" s="151">
        <f>$E$47*(1+Inputs!$E$194)^(AF$5-YEAR(Inputs!$E$155))</f>
        <v>108.72980553991785</v>
      </c>
      <c r="AG47" s="151">
        <f>$E$47*(1+Inputs!$E$194)^(AG$5-YEAR(Inputs!$E$155))</f>
        <v>109.81710359531704</v>
      </c>
      <c r="AH47" s="151">
        <f>$E$47*(1+Inputs!$E$194)^(AH$5-YEAR(Inputs!$E$155))</f>
        <v>110.91527463127019</v>
      </c>
      <c r="AI47" s="151">
        <f>$E$47*(1+Inputs!$E$194)^(AI$5-YEAR(Inputs!$E$155))</f>
        <v>112.02442737758292</v>
      </c>
      <c r="AJ47" s="151">
        <f>$E$47*(1+Inputs!$E$194)^(AJ$5-YEAR(Inputs!$E$155))</f>
        <v>113.14467165135873</v>
      </c>
      <c r="AK47" s="151">
        <f>$E$47*(1+Inputs!$E$194)^(AK$5-YEAR(Inputs!$E$155))</f>
        <v>114.27611836787234</v>
      </c>
      <c r="AL47" s="151">
        <f>$E$47*(1+Inputs!$E$194)^(AL$5-YEAR(Inputs!$E$155))</f>
        <v>115.41887955155109</v>
      </c>
      <c r="AM47" s="151">
        <f>$E$47*(1+Inputs!$E$194)^(AM$5-YEAR(Inputs!$E$155))</f>
        <v>116.5730683470666</v>
      </c>
      <c r="AN47" s="151">
        <f>$E$47*(1+Inputs!$E$194)^(AN$5-YEAR(Inputs!$E$155))</f>
        <v>117.73879903053722</v>
      </c>
      <c r="AO47" s="151">
        <f>$E$47*(1+Inputs!$E$194)^(AO$5-YEAR(Inputs!$E$155))</f>
        <v>118.9161870208426</v>
      </c>
      <c r="AP47" s="151">
        <f>$E$47*(1+Inputs!$E$194)^(AP$5-YEAR(Inputs!$E$155))</f>
        <v>120.10534889105104</v>
      </c>
      <c r="AQ47" s="151">
        <f>$E$47*(1+Inputs!$E$194)^(AQ$5-YEAR(Inputs!$E$155))</f>
        <v>121.30640237996157</v>
      </c>
    </row>
    <row r="48" spans="3:43" x14ac:dyDescent="0.25">
      <c r="C48" t="s">
        <v>1231</v>
      </c>
      <c r="D48" t="s">
        <v>51</v>
      </c>
      <c r="E48" s="134">
        <f>1-Inputs!$E$192</f>
        <v>1</v>
      </c>
      <c r="F48" s="139"/>
      <c r="G48" s="134"/>
      <c r="H48" s="134">
        <f>IF(AND(H9&gt;=1,H9&lt;=Inputs!$E$195),$E$48,0)</f>
        <v>0</v>
      </c>
      <c r="I48" s="134">
        <f>IF(AND(I9&gt;=1,I9&lt;=Inputs!$E$195),$E$48,0)</f>
        <v>0</v>
      </c>
      <c r="J48" s="134">
        <f>IF(AND(J9&gt;=1,J9&lt;=Inputs!$E$195),$E$48,0)</f>
        <v>0</v>
      </c>
      <c r="K48" s="134">
        <f>IF(AND(K9&gt;=1,K9&lt;=Inputs!$E$195),$E$48,0)</f>
        <v>0</v>
      </c>
      <c r="L48" s="134">
        <f>IF(AND(L9&gt;=1,L9&lt;=Inputs!$E$195),$E$48,0)</f>
        <v>0</v>
      </c>
      <c r="M48" s="134">
        <f>IF(AND(M9&gt;=1,M9&lt;=Inputs!$E$195),$E$48,0)</f>
        <v>0</v>
      </c>
      <c r="N48" s="134">
        <f>IF(AND(N9&gt;=1,N9&lt;=Inputs!$E$195),$E$48,0)</f>
        <v>1</v>
      </c>
      <c r="O48" s="134">
        <f>IF(AND(O9&gt;=1,O9&lt;=Inputs!$E$195),$E$48,0)</f>
        <v>1</v>
      </c>
      <c r="P48" s="134">
        <f>IF(AND(P9&gt;=1,P9&lt;=Inputs!$E$195),$E$48,0)</f>
        <v>1</v>
      </c>
      <c r="Q48" s="134">
        <f>IF(AND(Q9&gt;=1,Q9&lt;=Inputs!$E$195),$E$48,0)</f>
        <v>1</v>
      </c>
      <c r="R48" s="134">
        <f>IF(AND(R9&gt;=1,R9&lt;=Inputs!$E$195),$E$48,0)</f>
        <v>1</v>
      </c>
      <c r="S48" s="134">
        <f>IF(AND(S9&gt;=1,S9&lt;=Inputs!$E$195),$E$48,0)</f>
        <v>1</v>
      </c>
      <c r="T48" s="134">
        <f>IF(AND(T9&gt;=1,T9&lt;=Inputs!$E$195),$E$48,0)</f>
        <v>1</v>
      </c>
      <c r="U48" s="134">
        <f>IF(AND(U9&gt;=1,U9&lt;=Inputs!$E$195),$E$48,0)</f>
        <v>1</v>
      </c>
      <c r="V48" s="134">
        <f>IF(AND(V9&gt;=1,V9&lt;=Inputs!$E$195),$E$48,0)</f>
        <v>1</v>
      </c>
      <c r="W48" s="134">
        <f>IF(AND(W9&gt;=1,W9&lt;=Inputs!$E$195),$E$48,0)</f>
        <v>1</v>
      </c>
      <c r="X48" s="134">
        <f>IF(AND(X9&gt;=1,X9&lt;=Inputs!$E$195),$E$48,0)</f>
        <v>1</v>
      </c>
      <c r="Y48" s="134">
        <f>IF(AND(Y9&gt;=1,Y9&lt;=Inputs!$E$195),$E$48,0)</f>
        <v>1</v>
      </c>
      <c r="Z48" s="134">
        <f>IF(AND(Z9&gt;=1,Z9&lt;=Inputs!$E$195),$E$48,0)</f>
        <v>1</v>
      </c>
      <c r="AA48" s="134">
        <f>IF(AND(AA9&gt;=1,AA9&lt;=Inputs!$E$195),$E$48,0)</f>
        <v>1</v>
      </c>
      <c r="AB48" s="134">
        <f>IF(AND(AB9&gt;=1,AB9&lt;=Inputs!$E$195),$E$48,0)</f>
        <v>1</v>
      </c>
      <c r="AC48" s="134">
        <f>IF(AND(AC9&gt;=1,AC9&lt;=Inputs!$E$195),$E$48,0)</f>
        <v>1</v>
      </c>
      <c r="AD48" s="134">
        <f>IF(AND(AD9&gt;=1,AD9&lt;=Inputs!$E$195),$E$48,0)</f>
        <v>1</v>
      </c>
      <c r="AE48" s="134">
        <f>IF(AND(AE9&gt;=1,AE9&lt;=Inputs!$E$195),$E$48,0)</f>
        <v>1</v>
      </c>
      <c r="AF48" s="134">
        <f>IF(AND(AF9&gt;=1,AF9&lt;=Inputs!$E$195),$E$48,0)</f>
        <v>1</v>
      </c>
      <c r="AG48" s="134">
        <f>IF(AND(AG9&gt;=1,AG9&lt;=Inputs!$E$195),$E$48,0)</f>
        <v>1</v>
      </c>
      <c r="AH48" s="134">
        <f>IF(AND(AH9&gt;=1,AH9&lt;=Inputs!$E$195),$E$48,0)</f>
        <v>1</v>
      </c>
      <c r="AI48" s="134">
        <f>IF(AND(AI9&gt;=1,AI9&lt;=Inputs!$E$195),$E$48,0)</f>
        <v>1</v>
      </c>
      <c r="AJ48" s="134">
        <f>IF(AND(AJ9&gt;=1,AJ9&lt;=Inputs!$E$195),$E$48,0)</f>
        <v>1</v>
      </c>
      <c r="AK48" s="134">
        <f>IF(AND(AK9&gt;=1,AK9&lt;=Inputs!$E$195),$E$48,0)</f>
        <v>1</v>
      </c>
      <c r="AL48" s="134">
        <f>IF(AND(AL9&gt;=1,AL9&lt;=Inputs!$E$195),$E$48,0)</f>
        <v>1</v>
      </c>
      <c r="AM48" s="134">
        <f>IF(AND(AM9&gt;=1,AM9&lt;=Inputs!$E$195),$E$48,0)</f>
        <v>1</v>
      </c>
      <c r="AN48" s="134">
        <f>IF(AND(AN9&gt;=1,AN9&lt;=Inputs!$E$195),$E$48,0)</f>
        <v>1</v>
      </c>
      <c r="AO48" s="134">
        <f>IF(AND(AO9&gt;=1,AO9&lt;=Inputs!$E$195),$E$48,0)</f>
        <v>1</v>
      </c>
      <c r="AP48" s="134">
        <f>IF(AND(AP9&gt;=1,AP9&lt;=Inputs!$E$195),$E$48,0)</f>
        <v>1</v>
      </c>
      <c r="AQ48" s="134">
        <f>IF(AND(AQ9&gt;=1,AQ9&lt;=Inputs!$E$195),$E$48,0)</f>
        <v>1</v>
      </c>
    </row>
    <row r="49" spans="3:43" x14ac:dyDescent="0.25">
      <c r="C49" s="198" t="s">
        <v>1232</v>
      </c>
      <c r="D49" s="198" t="s">
        <v>250</v>
      </c>
      <c r="E49" s="269"/>
      <c r="F49" s="269"/>
      <c r="G49" s="244">
        <f>IF(G38=0,"",G54/G38)</f>
        <v>105.08925186711041</v>
      </c>
      <c r="H49" s="244" t="str">
        <f t="shared" ref="H49:AQ49" si="17">IF(H38=0,"",H45*(1-H48)+H47*H48)</f>
        <v/>
      </c>
      <c r="I49" s="244" t="str">
        <f t="shared" si="17"/>
        <v/>
      </c>
      <c r="J49" s="244" t="str">
        <f t="shared" si="17"/>
        <v/>
      </c>
      <c r="K49" s="244" t="str">
        <f t="shared" si="17"/>
        <v/>
      </c>
      <c r="L49" s="244" t="str">
        <f t="shared" si="17"/>
        <v/>
      </c>
      <c r="M49" s="244">
        <f t="shared" si="17"/>
        <v>115.73571182776128</v>
      </c>
      <c r="N49" s="244">
        <f t="shared" si="17"/>
        <v>90.9</v>
      </c>
      <c r="O49" s="244">
        <f t="shared" si="17"/>
        <v>91.808999999999997</v>
      </c>
      <c r="P49" s="244">
        <f t="shared" si="17"/>
        <v>92.72708999999999</v>
      </c>
      <c r="Q49" s="244">
        <f t="shared" si="17"/>
        <v>93.6543609</v>
      </c>
      <c r="R49" s="244">
        <f t="shared" si="17"/>
        <v>94.590904508999998</v>
      </c>
      <c r="S49" s="244">
        <f t="shared" si="17"/>
        <v>95.536813554090017</v>
      </c>
      <c r="T49" s="244">
        <f t="shared" si="17"/>
        <v>96.492181689630883</v>
      </c>
      <c r="U49" s="244">
        <f t="shared" si="17"/>
        <v>97.457103506527218</v>
      </c>
      <c r="V49" s="244">
        <f t="shared" si="17"/>
        <v>98.4316745415925</v>
      </c>
      <c r="W49" s="244">
        <f t="shared" si="17"/>
        <v>99.415991287008424</v>
      </c>
      <c r="X49" s="244">
        <f t="shared" si="17"/>
        <v>100.41015119987848</v>
      </c>
      <c r="Y49" s="244">
        <f t="shared" si="17"/>
        <v>101.41425271187728</v>
      </c>
      <c r="Z49" s="244">
        <f t="shared" si="17"/>
        <v>102.42839523899606</v>
      </c>
      <c r="AA49" s="244">
        <f t="shared" si="17"/>
        <v>103.45267919138603</v>
      </c>
      <c r="AB49" s="244">
        <f t="shared" si="17"/>
        <v>104.48720598329986</v>
      </c>
      <c r="AC49" s="244">
        <f t="shared" si="17"/>
        <v>105.53207804313288</v>
      </c>
      <c r="AD49" s="244">
        <f t="shared" si="17"/>
        <v>106.58739882356423</v>
      </c>
      <c r="AE49" s="244">
        <f t="shared" si="17"/>
        <v>107.65327281179987</v>
      </c>
      <c r="AF49" s="244">
        <f t="shared" si="17"/>
        <v>108.72980553991785</v>
      </c>
      <c r="AG49" s="244">
        <f t="shared" si="17"/>
        <v>109.81710359531704</v>
      </c>
      <c r="AH49" s="244">
        <f t="shared" si="17"/>
        <v>110.91527463127019</v>
      </c>
      <c r="AI49" s="244">
        <f t="shared" si="17"/>
        <v>112.02442737758292</v>
      </c>
      <c r="AJ49" s="244">
        <f t="shared" si="17"/>
        <v>113.14467165135873</v>
      </c>
      <c r="AK49" s="244">
        <f t="shared" si="17"/>
        <v>114.27611836787234</v>
      </c>
      <c r="AL49" s="244">
        <f t="shared" si="17"/>
        <v>115.41887955155109</v>
      </c>
      <c r="AM49" s="244">
        <f t="shared" si="17"/>
        <v>116.5730683470666</v>
      </c>
      <c r="AN49" s="244">
        <f t="shared" si="17"/>
        <v>117.73879903053722</v>
      </c>
      <c r="AO49" s="244">
        <f t="shared" si="17"/>
        <v>118.9161870208426</v>
      </c>
      <c r="AP49" s="244">
        <f t="shared" si="17"/>
        <v>120.10534889105104</v>
      </c>
      <c r="AQ49" s="244">
        <f t="shared" si="17"/>
        <v>121.30640237996157</v>
      </c>
    </row>
    <row r="50" spans="3:43" x14ac:dyDescent="0.25">
      <c r="E50" s="139"/>
      <c r="F50" s="139"/>
      <c r="G50" s="139"/>
      <c r="H50" s="139"/>
      <c r="I50" s="139"/>
      <c r="J50" s="139"/>
      <c r="K50" s="139"/>
      <c r="L50" s="139"/>
      <c r="M50" s="139"/>
      <c r="N50" s="139"/>
      <c r="O50" s="139"/>
      <c r="P50" s="139"/>
      <c r="Q50" s="139"/>
      <c r="R50" s="139"/>
      <c r="S50" s="139"/>
      <c r="T50" s="139"/>
      <c r="U50" s="139"/>
      <c r="V50" s="139"/>
      <c r="W50" s="139"/>
      <c r="X50" s="139"/>
      <c r="Y50" s="139"/>
      <c r="Z50" s="139"/>
      <c r="AA50" s="139"/>
      <c r="AB50" s="139"/>
      <c r="AC50" s="139"/>
      <c r="AD50" s="139"/>
      <c r="AE50" s="139"/>
      <c r="AF50" s="139"/>
      <c r="AG50" s="139"/>
      <c r="AH50" s="139"/>
      <c r="AI50" s="139"/>
      <c r="AJ50" s="139"/>
      <c r="AK50" s="139"/>
      <c r="AL50" s="139"/>
      <c r="AM50" s="139"/>
      <c r="AN50" s="139"/>
      <c r="AO50" s="139"/>
      <c r="AP50" s="139"/>
      <c r="AQ50" s="139"/>
    </row>
    <row r="51" spans="3:43" x14ac:dyDescent="0.25">
      <c r="C51" s="129" t="s">
        <v>1233</v>
      </c>
      <c r="D51" s="129"/>
      <c r="E51" s="272">
        <f>Inputs!$E$211</f>
        <v>2.5000000000000001E-2</v>
      </c>
      <c r="F51" s="271" t="s">
        <v>1234</v>
      </c>
      <c r="G51" s="270"/>
      <c r="H51" s="270"/>
      <c r="I51" s="270"/>
      <c r="J51" s="270"/>
      <c r="K51" s="270"/>
      <c r="L51" s="270"/>
      <c r="M51" s="270"/>
      <c r="N51" s="270"/>
      <c r="O51" s="270"/>
      <c r="P51" s="270"/>
      <c r="Q51" s="270"/>
      <c r="R51" s="270"/>
      <c r="S51" s="270"/>
      <c r="T51" s="270"/>
      <c r="U51" s="270"/>
      <c r="V51" s="270"/>
      <c r="W51" s="270"/>
      <c r="X51" s="270"/>
      <c r="Y51" s="270"/>
      <c r="Z51" s="270"/>
      <c r="AA51" s="270"/>
      <c r="AB51" s="270"/>
      <c r="AC51" s="270"/>
      <c r="AD51" s="270"/>
      <c r="AE51" s="270"/>
      <c r="AF51" s="270"/>
      <c r="AG51" s="270"/>
      <c r="AH51" s="270"/>
      <c r="AI51" s="270"/>
      <c r="AJ51" s="270"/>
      <c r="AK51" s="270"/>
      <c r="AL51" s="270"/>
      <c r="AM51" s="270"/>
      <c r="AN51" s="270"/>
      <c r="AO51" s="270"/>
      <c r="AP51" s="270"/>
      <c r="AQ51" s="270"/>
    </row>
    <row r="52" spans="3:43" x14ac:dyDescent="0.25">
      <c r="C52" t="s">
        <v>1235</v>
      </c>
      <c r="D52" t="s">
        <v>125</v>
      </c>
      <c r="E52" s="139"/>
      <c r="F52" s="139"/>
      <c r="G52" s="139">
        <f>SUM(H52:AQ52)</f>
        <v>18496.696287173883</v>
      </c>
      <c r="H52" s="139">
        <f t="shared" ref="H52:AQ52" si="18">H38*H45*(1-H48)</f>
        <v>0</v>
      </c>
      <c r="I52" s="139">
        <f t="shared" si="18"/>
        <v>0</v>
      </c>
      <c r="J52" s="139">
        <f t="shared" si="18"/>
        <v>0</v>
      </c>
      <c r="K52" s="139">
        <f t="shared" si="18"/>
        <v>0</v>
      </c>
      <c r="L52" s="139">
        <f t="shared" si="18"/>
        <v>0</v>
      </c>
      <c r="M52" s="139">
        <f t="shared" si="18"/>
        <v>18496.696287173883</v>
      </c>
      <c r="N52" s="139">
        <f t="shared" si="18"/>
        <v>0</v>
      </c>
      <c r="O52" s="139">
        <f t="shared" si="18"/>
        <v>0</v>
      </c>
      <c r="P52" s="139">
        <f t="shared" si="18"/>
        <v>0</v>
      </c>
      <c r="Q52" s="139">
        <f t="shared" si="18"/>
        <v>0</v>
      </c>
      <c r="R52" s="139">
        <f t="shared" si="18"/>
        <v>0</v>
      </c>
      <c r="S52" s="139">
        <f t="shared" si="18"/>
        <v>0</v>
      </c>
      <c r="T52" s="139">
        <f t="shared" si="18"/>
        <v>0</v>
      </c>
      <c r="U52" s="139">
        <f t="shared" si="18"/>
        <v>0</v>
      </c>
      <c r="V52" s="139">
        <f t="shared" si="18"/>
        <v>0</v>
      </c>
      <c r="W52" s="139">
        <f t="shared" si="18"/>
        <v>0</v>
      </c>
      <c r="X52" s="139">
        <f t="shared" si="18"/>
        <v>0</v>
      </c>
      <c r="Y52" s="139">
        <f t="shared" si="18"/>
        <v>0</v>
      </c>
      <c r="Z52" s="139">
        <f t="shared" si="18"/>
        <v>0</v>
      </c>
      <c r="AA52" s="139">
        <f t="shared" si="18"/>
        <v>0</v>
      </c>
      <c r="AB52" s="139">
        <f t="shared" si="18"/>
        <v>0</v>
      </c>
      <c r="AC52" s="139">
        <f t="shared" si="18"/>
        <v>0</v>
      </c>
      <c r="AD52" s="139">
        <f t="shared" si="18"/>
        <v>0</v>
      </c>
      <c r="AE52" s="139">
        <f t="shared" si="18"/>
        <v>0</v>
      </c>
      <c r="AF52" s="139">
        <f t="shared" si="18"/>
        <v>0</v>
      </c>
      <c r="AG52" s="139">
        <f t="shared" si="18"/>
        <v>0</v>
      </c>
      <c r="AH52" s="139">
        <f t="shared" si="18"/>
        <v>0</v>
      </c>
      <c r="AI52" s="139">
        <f t="shared" si="18"/>
        <v>0</v>
      </c>
      <c r="AJ52" s="139">
        <f t="shared" si="18"/>
        <v>0</v>
      </c>
      <c r="AK52" s="139">
        <f t="shared" si="18"/>
        <v>0</v>
      </c>
      <c r="AL52" s="139">
        <f t="shared" si="18"/>
        <v>0</v>
      </c>
      <c r="AM52" s="139">
        <f t="shared" si="18"/>
        <v>0</v>
      </c>
      <c r="AN52" s="139">
        <f t="shared" si="18"/>
        <v>0</v>
      </c>
      <c r="AO52" s="139">
        <f t="shared" si="18"/>
        <v>0</v>
      </c>
      <c r="AP52" s="139">
        <f t="shared" si="18"/>
        <v>0</v>
      </c>
      <c r="AQ52" s="139">
        <f t="shared" si="18"/>
        <v>0</v>
      </c>
    </row>
    <row r="53" spans="3:43" x14ac:dyDescent="0.25">
      <c r="C53" t="s">
        <v>1236</v>
      </c>
      <c r="D53" t="s">
        <v>125</v>
      </c>
      <c r="E53" s="139"/>
      <c r="F53" s="139"/>
      <c r="G53" s="139">
        <f>SUM(H53:AQ53)</f>
        <v>947983.96607353736</v>
      </c>
      <c r="H53" s="139">
        <f t="shared" ref="H53:AQ53" si="19">H38*H47*H48</f>
        <v>0</v>
      </c>
      <c r="I53" s="139">
        <f t="shared" si="19"/>
        <v>0</v>
      </c>
      <c r="J53" s="139">
        <f t="shared" si="19"/>
        <v>0</v>
      </c>
      <c r="K53" s="139">
        <f t="shared" si="19"/>
        <v>0</v>
      </c>
      <c r="L53" s="139">
        <f t="shared" si="19"/>
        <v>0</v>
      </c>
      <c r="M53" s="139">
        <f t="shared" si="19"/>
        <v>0</v>
      </c>
      <c r="N53" s="139">
        <f t="shared" si="19"/>
        <v>29054.985120000001</v>
      </c>
      <c r="O53" s="139">
        <f t="shared" si="19"/>
        <v>29257.4983662864</v>
      </c>
      <c r="P53" s="139">
        <f t="shared" si="19"/>
        <v>29461.423129899409</v>
      </c>
      <c r="Q53" s="139">
        <f t="shared" si="19"/>
        <v>29666.769249114815</v>
      </c>
      <c r="R53" s="139">
        <f t="shared" si="19"/>
        <v>29873.546630781144</v>
      </c>
      <c r="S53" s="139">
        <f t="shared" si="19"/>
        <v>30081.765250797696</v>
      </c>
      <c r="T53" s="139">
        <f t="shared" si="19"/>
        <v>30291.43515459574</v>
      </c>
      <c r="U53" s="139">
        <f t="shared" si="19"/>
        <v>30502.566457623285</v>
      </c>
      <c r="V53" s="139">
        <f t="shared" si="19"/>
        <v>30715.169345832921</v>
      </c>
      <c r="W53" s="139">
        <f t="shared" si="19"/>
        <v>30929.25407617338</v>
      </c>
      <c r="X53" s="139">
        <f t="shared" si="19"/>
        <v>31144.830977084301</v>
      </c>
      <c r="Y53" s="139">
        <f t="shared" si="19"/>
        <v>31361.910448994578</v>
      </c>
      <c r="Z53" s="139">
        <f t="shared" si="19"/>
        <v>31580.502964824071</v>
      </c>
      <c r="AA53" s="139">
        <f t="shared" si="19"/>
        <v>31800.619070488894</v>
      </c>
      <c r="AB53" s="139">
        <f t="shared" si="19"/>
        <v>32022.269385410204</v>
      </c>
      <c r="AC53" s="139">
        <f t="shared" si="19"/>
        <v>32245.464603026518</v>
      </c>
      <c r="AD53" s="139">
        <f t="shared" si="19"/>
        <v>32470.21549130962</v>
      </c>
      <c r="AE53" s="139">
        <f t="shared" si="19"/>
        <v>32696.532893284049</v>
      </c>
      <c r="AF53" s="139">
        <f t="shared" si="19"/>
        <v>32924.427727550232</v>
      </c>
      <c r="AG53" s="139">
        <f t="shared" si="19"/>
        <v>33153.910988811265</v>
      </c>
      <c r="AH53" s="139">
        <f t="shared" si="19"/>
        <v>33384.993748403271</v>
      </c>
      <c r="AI53" s="139">
        <f t="shared" si="19"/>
        <v>33617.687154829648</v>
      </c>
      <c r="AJ53" s="139">
        <f t="shared" si="19"/>
        <v>33852.002434298811</v>
      </c>
      <c r="AK53" s="139">
        <f t="shared" si="19"/>
        <v>34087.950891265878</v>
      </c>
      <c r="AL53" s="139">
        <f t="shared" si="19"/>
        <v>34325.543908978005</v>
      </c>
      <c r="AM53" s="139">
        <f t="shared" si="19"/>
        <v>34564.792950023584</v>
      </c>
      <c r="AN53" s="139">
        <f t="shared" si="19"/>
        <v>34805.709556885231</v>
      </c>
      <c r="AO53" s="139">
        <f t="shared" si="19"/>
        <v>35048.305352496725</v>
      </c>
      <c r="AP53" s="139">
        <f t="shared" si="19"/>
        <v>35292.592040803633</v>
      </c>
      <c r="AQ53" s="139">
        <f t="shared" si="19"/>
        <v>17769.290703664021</v>
      </c>
    </row>
    <row r="54" spans="3:43" x14ac:dyDescent="0.25">
      <c r="C54" s="198" t="s">
        <v>1237</v>
      </c>
      <c r="D54" s="198" t="s">
        <v>125</v>
      </c>
      <c r="E54" s="269"/>
      <c r="F54" s="269"/>
      <c r="G54" s="269">
        <f>SUM(H54:AQ54)</f>
        <v>966480.66236071114</v>
      </c>
      <c r="H54" s="269">
        <f t="shared" ref="H54:AQ54" si="20">H52+H53</f>
        <v>0</v>
      </c>
      <c r="I54" s="269">
        <f t="shared" si="20"/>
        <v>0</v>
      </c>
      <c r="J54" s="269">
        <f t="shared" si="20"/>
        <v>0</v>
      </c>
      <c r="K54" s="269">
        <f t="shared" si="20"/>
        <v>0</v>
      </c>
      <c r="L54" s="269">
        <f t="shared" si="20"/>
        <v>0</v>
      </c>
      <c r="M54" s="269">
        <f t="shared" si="20"/>
        <v>18496.696287173883</v>
      </c>
      <c r="N54" s="269">
        <f t="shared" si="20"/>
        <v>29054.985120000001</v>
      </c>
      <c r="O54" s="269">
        <f t="shared" si="20"/>
        <v>29257.4983662864</v>
      </c>
      <c r="P54" s="269">
        <f t="shared" si="20"/>
        <v>29461.423129899409</v>
      </c>
      <c r="Q54" s="269">
        <f t="shared" si="20"/>
        <v>29666.769249114815</v>
      </c>
      <c r="R54" s="269">
        <f t="shared" si="20"/>
        <v>29873.546630781144</v>
      </c>
      <c r="S54" s="269">
        <f t="shared" si="20"/>
        <v>30081.765250797696</v>
      </c>
      <c r="T54" s="269">
        <f t="shared" si="20"/>
        <v>30291.43515459574</v>
      </c>
      <c r="U54" s="269">
        <f t="shared" si="20"/>
        <v>30502.566457623285</v>
      </c>
      <c r="V54" s="269">
        <f t="shared" si="20"/>
        <v>30715.169345832921</v>
      </c>
      <c r="W54" s="269">
        <f t="shared" si="20"/>
        <v>30929.25407617338</v>
      </c>
      <c r="X54" s="269">
        <f t="shared" si="20"/>
        <v>31144.830977084301</v>
      </c>
      <c r="Y54" s="269">
        <f t="shared" si="20"/>
        <v>31361.910448994578</v>
      </c>
      <c r="Z54" s="269">
        <f t="shared" si="20"/>
        <v>31580.502964824071</v>
      </c>
      <c r="AA54" s="269">
        <f t="shared" si="20"/>
        <v>31800.619070488894</v>
      </c>
      <c r="AB54" s="269">
        <f t="shared" si="20"/>
        <v>32022.269385410204</v>
      </c>
      <c r="AC54" s="269">
        <f t="shared" si="20"/>
        <v>32245.464603026518</v>
      </c>
      <c r="AD54" s="269">
        <f t="shared" si="20"/>
        <v>32470.21549130962</v>
      </c>
      <c r="AE54" s="269">
        <f t="shared" si="20"/>
        <v>32696.532893284049</v>
      </c>
      <c r="AF54" s="269">
        <f t="shared" si="20"/>
        <v>32924.427727550232</v>
      </c>
      <c r="AG54" s="269">
        <f t="shared" si="20"/>
        <v>33153.910988811265</v>
      </c>
      <c r="AH54" s="269">
        <f t="shared" si="20"/>
        <v>33384.993748403271</v>
      </c>
      <c r="AI54" s="269">
        <f t="shared" si="20"/>
        <v>33617.687154829648</v>
      </c>
      <c r="AJ54" s="269">
        <f t="shared" si="20"/>
        <v>33852.002434298811</v>
      </c>
      <c r="AK54" s="269">
        <f t="shared" si="20"/>
        <v>34087.950891265878</v>
      </c>
      <c r="AL54" s="269">
        <f t="shared" si="20"/>
        <v>34325.543908978005</v>
      </c>
      <c r="AM54" s="269">
        <f t="shared" si="20"/>
        <v>34564.792950023584</v>
      </c>
      <c r="AN54" s="269">
        <f t="shared" si="20"/>
        <v>34805.709556885231</v>
      </c>
      <c r="AO54" s="269">
        <f t="shared" si="20"/>
        <v>35048.305352496725</v>
      </c>
      <c r="AP54" s="269">
        <f t="shared" si="20"/>
        <v>35292.592040803633</v>
      </c>
      <c r="AQ54" s="269">
        <f t="shared" si="20"/>
        <v>17769.290703664021</v>
      </c>
    </row>
    <row r="55" spans="3:43" x14ac:dyDescent="0.25">
      <c r="C55" t="s">
        <v>1238</v>
      </c>
      <c r="D55" t="s">
        <v>7</v>
      </c>
      <c r="E55" s="139"/>
      <c r="F55" s="139"/>
      <c r="G55" s="151"/>
      <c r="H55" s="151">
        <f>IF(H10&gt;0,(1+$E$51)^(H$5-YEAR(Inputs!$E$155)),0)</f>
        <v>0</v>
      </c>
      <c r="I55" s="151">
        <f>IF(I10&gt;0,(1+$E$51)^(I$5-YEAR(Inputs!$E$155)),0)</f>
        <v>0</v>
      </c>
      <c r="J55" s="151">
        <f>IF(J10&gt;0,(1+$E$51)^(J$5-YEAR(Inputs!$E$155)),0)</f>
        <v>0</v>
      </c>
      <c r="K55" s="151">
        <f>IF(K10&gt;0,(1+$E$51)^(K$5-YEAR(Inputs!$E$155)),0)</f>
        <v>0</v>
      </c>
      <c r="L55" s="151">
        <f>IF(L10&gt;0,(1+$E$51)^(L$5-YEAR(Inputs!$E$155)),0)</f>
        <v>0</v>
      </c>
      <c r="M55" s="151">
        <f>IF(M10&gt;0,(1+$E$51)^(M$5-YEAR(Inputs!$E$155)),0)</f>
        <v>1</v>
      </c>
      <c r="N55" s="151">
        <f>IF(N10&gt;0,(1+$E$51)^(N$5-YEAR(Inputs!$E$155)),0)</f>
        <v>1.0249999999999999</v>
      </c>
      <c r="O55" s="151">
        <f>IF(O10&gt;0,(1+$E$51)^(O$5-YEAR(Inputs!$E$155)),0)</f>
        <v>1.0506249999999999</v>
      </c>
      <c r="P55" s="151">
        <f>IF(P10&gt;0,(1+$E$51)^(P$5-YEAR(Inputs!$E$155)),0)</f>
        <v>1.0768906249999999</v>
      </c>
      <c r="Q55" s="151">
        <f>IF(Q10&gt;0,(1+$E$51)^(Q$5-YEAR(Inputs!$E$155)),0)</f>
        <v>1.1038128906249998</v>
      </c>
      <c r="R55" s="151">
        <f>IF(R10&gt;0,(1+$E$51)^(R$5-YEAR(Inputs!$E$155)),0)</f>
        <v>1.1314082128906247</v>
      </c>
      <c r="S55" s="151">
        <f>IF(S10&gt;0,(1+$E$51)^(S$5-YEAR(Inputs!$E$155)),0)</f>
        <v>1.1596934182128902</v>
      </c>
      <c r="T55" s="151">
        <f>IF(T10&gt;0,(1+$E$51)^(T$5-YEAR(Inputs!$E$155)),0)</f>
        <v>1.1886857536682125</v>
      </c>
      <c r="U55" s="151">
        <f>IF(U10&gt;0,(1+$E$51)^(U$5-YEAR(Inputs!$E$155)),0)</f>
        <v>1.2184028975099177</v>
      </c>
      <c r="V55" s="151">
        <f>IF(V10&gt;0,(1+$E$51)^(V$5-YEAR(Inputs!$E$155)),0)</f>
        <v>1.2488629699476654</v>
      </c>
      <c r="W55" s="151">
        <f>IF(W10&gt;0,(1+$E$51)^(W$5-YEAR(Inputs!$E$155)),0)</f>
        <v>1.2800845441963571</v>
      </c>
      <c r="X55" s="151">
        <f>IF(X10&gt;0,(1+$E$51)^(X$5-YEAR(Inputs!$E$155)),0)</f>
        <v>1.312086657801266</v>
      </c>
      <c r="Y55" s="151">
        <f>IF(Y10&gt;0,(1+$E$51)^(Y$5-YEAR(Inputs!$E$155)),0)</f>
        <v>1.3448888242462975</v>
      </c>
      <c r="Z55" s="151">
        <f>IF(Z10&gt;0,(1+$E$51)^(Z$5-YEAR(Inputs!$E$155)),0)</f>
        <v>1.3785110448524549</v>
      </c>
      <c r="AA55" s="151">
        <f>IF(AA10&gt;0,(1+$E$51)^(AA$5-YEAR(Inputs!$E$155)),0)</f>
        <v>1.4129738209737661</v>
      </c>
      <c r="AB55" s="151">
        <f>IF(AB10&gt;0,(1+$E$51)^(AB$5-YEAR(Inputs!$E$155)),0)</f>
        <v>1.4482981664981105</v>
      </c>
      <c r="AC55" s="151">
        <f>IF(AC10&gt;0,(1+$E$51)^(AC$5-YEAR(Inputs!$E$155)),0)</f>
        <v>1.4845056206605631</v>
      </c>
      <c r="AD55" s="151">
        <f>IF(AD10&gt;0,(1+$E$51)^(AD$5-YEAR(Inputs!$E$155)),0)</f>
        <v>1.521618261177077</v>
      </c>
      <c r="AE55" s="151">
        <f>IF(AE10&gt;0,(1+$E$51)^(AE$5-YEAR(Inputs!$E$155)),0)</f>
        <v>1.559658717706504</v>
      </c>
      <c r="AF55" s="151">
        <f>IF(AF10&gt;0,(1+$E$51)^(AF$5-YEAR(Inputs!$E$155)),0)</f>
        <v>1.5986501856491666</v>
      </c>
      <c r="AG55" s="151">
        <f>IF(AG10&gt;0,(1+$E$51)^(AG$5-YEAR(Inputs!$E$155)),0)</f>
        <v>1.6386164402903955</v>
      </c>
      <c r="AH55" s="151">
        <f>IF(AH10&gt;0,(1+$E$51)^(AH$5-YEAR(Inputs!$E$155)),0)</f>
        <v>1.6795818512976552</v>
      </c>
      <c r="AI55" s="151">
        <f>IF(AI10&gt;0,(1+$E$51)^(AI$5-YEAR(Inputs!$E$155)),0)</f>
        <v>1.7215713975800966</v>
      </c>
      <c r="AJ55" s="151">
        <f>IF(AJ10&gt;0,(1+$E$51)^(AJ$5-YEAR(Inputs!$E$155)),0)</f>
        <v>1.7646106825195991</v>
      </c>
      <c r="AK55" s="151">
        <f>IF(AK10&gt;0,(1+$E$51)^(AK$5-YEAR(Inputs!$E$155)),0)</f>
        <v>1.8087259495825889</v>
      </c>
      <c r="AL55" s="151">
        <f>IF(AL10&gt;0,(1+$E$51)^(AL$5-YEAR(Inputs!$E$155)),0)</f>
        <v>1.8539440983221533</v>
      </c>
      <c r="AM55" s="151">
        <f>IF(AM10&gt;0,(1+$E$51)^(AM$5-YEAR(Inputs!$E$155)),0)</f>
        <v>1.9002927007802071</v>
      </c>
      <c r="AN55" s="151">
        <f>IF(AN10&gt;0,(1+$E$51)^(AN$5-YEAR(Inputs!$E$155)),0)</f>
        <v>1.9478000182997122</v>
      </c>
      <c r="AO55" s="151">
        <f>IF(AO10&gt;0,(1+$E$51)^(AO$5-YEAR(Inputs!$E$155)),0)</f>
        <v>1.9964950187572048</v>
      </c>
      <c r="AP55" s="151">
        <f>IF(AP10&gt;0,(1+$E$51)^(AP$5-YEAR(Inputs!$E$155)),0)</f>
        <v>2.0464073942261352</v>
      </c>
      <c r="AQ55" s="151">
        <f>IF(AQ10&gt;0,(1+$E$51)^(AQ$5-YEAR(Inputs!$E$155)),0)</f>
        <v>2.097567579081788</v>
      </c>
    </row>
    <row r="56" spans="3:43" x14ac:dyDescent="0.25">
      <c r="C56" t="s">
        <v>672</v>
      </c>
      <c r="D56" t="s">
        <v>125</v>
      </c>
      <c r="E56" s="139"/>
      <c r="F56" s="139"/>
      <c r="G56" s="139">
        <f t="shared" ref="G56:G70" si="21">SUM(H56:AQ56)</f>
        <v>-54208.016113829428</v>
      </c>
      <c r="H56" s="139">
        <f>-H38*Inputs!$E$196*H55</f>
        <v>0</v>
      </c>
      <c r="I56" s="139">
        <f>-I38*Inputs!$E$196*I55</f>
        <v>0</v>
      </c>
      <c r="J56" s="139">
        <f>-J38*Inputs!$E$196*J55</f>
        <v>0</v>
      </c>
      <c r="K56" s="139">
        <f>-K38*Inputs!$E$196*K55</f>
        <v>0</v>
      </c>
      <c r="L56" s="139">
        <f>-L38*Inputs!$E$196*L55</f>
        <v>0</v>
      </c>
      <c r="M56" s="139">
        <f>-M38*Inputs!$E$196*M55</f>
        <v>-639.27359999999999</v>
      </c>
      <c r="N56" s="139">
        <f>-N38*Inputs!$E$196*N55</f>
        <v>-1310.5108799999998</v>
      </c>
      <c r="O56" s="139">
        <f>-O38*Inputs!$E$196*O55</f>
        <v>-1339.243831044</v>
      </c>
      <c r="P56" s="139">
        <f>-P38*Inputs!$E$196*P55</f>
        <v>-1368.6067520396393</v>
      </c>
      <c r="Q56" s="139">
        <f>-Q38*Inputs!$E$196*Q55</f>
        <v>-1398.6134550781085</v>
      </c>
      <c r="R56" s="139">
        <f>-R38*Inputs!$E$196*R55</f>
        <v>-1429.2780550806958</v>
      </c>
      <c r="S56" s="139">
        <f>-S38*Inputs!$E$196*S55</f>
        <v>-1460.6149764383399</v>
      </c>
      <c r="T56" s="139">
        <f>-T38*Inputs!$E$196*T55</f>
        <v>-1492.6389597967504</v>
      </c>
      <c r="U56" s="139">
        <f>-U38*Inputs!$E$196*U55</f>
        <v>-1525.3650689902945</v>
      </c>
      <c r="V56" s="139">
        <f>-V38*Inputs!$E$196*V55</f>
        <v>-1558.8086981279062</v>
      </c>
      <c r="W56" s="139">
        <f>-W38*Inputs!$E$196*W55</f>
        <v>-1592.9855788343609</v>
      </c>
      <c r="X56" s="139">
        <f>-X38*Inputs!$E$196*X55</f>
        <v>-1627.9117876503042</v>
      </c>
      <c r="Y56" s="139">
        <f>-Y38*Inputs!$E$196*Y55</f>
        <v>-1663.6037535945366</v>
      </c>
      <c r="Z56" s="139">
        <f>-Z38*Inputs!$E$196*Z55</f>
        <v>-1700.0782658920969</v>
      </c>
      <c r="AA56" s="139">
        <f>-AA38*Inputs!$E$196*AA55</f>
        <v>-1737.3524818717808</v>
      </c>
      <c r="AB56" s="139">
        <f>-AB38*Inputs!$E$196*AB55</f>
        <v>-1775.4439350368202</v>
      </c>
      <c r="AC56" s="139">
        <f>-AC38*Inputs!$E$196*AC55</f>
        <v>-1814.3705433125022</v>
      </c>
      <c r="AD56" s="139">
        <f>-AD38*Inputs!$E$196*AD55</f>
        <v>-1854.1506174746289</v>
      </c>
      <c r="AE56" s="139">
        <f>-AE38*Inputs!$E$196*AE55</f>
        <v>-1894.8028697627601</v>
      </c>
      <c r="AF56" s="139">
        <f>-AF38*Inputs!$E$196*AF55</f>
        <v>-1936.3464226823085</v>
      </c>
      <c r="AG56" s="139">
        <f>-AG38*Inputs!$E$196*AG55</f>
        <v>-1978.8008179996182</v>
      </c>
      <c r="AH56" s="139">
        <f>-AH38*Inputs!$E$196*AH55</f>
        <v>-2022.1860259342593</v>
      </c>
      <c r="AI56" s="139">
        <f>-AI38*Inputs!$E$196*AI55</f>
        <v>-2066.5224545528681</v>
      </c>
      <c r="AJ56" s="139">
        <f>-AJ38*Inputs!$E$196*AJ55</f>
        <v>-2111.8309593689401</v>
      </c>
      <c r="AK56" s="139">
        <f>-AK38*Inputs!$E$196*AK55</f>
        <v>-2158.132853153104</v>
      </c>
      <c r="AL56" s="139">
        <f>-AL38*Inputs!$E$196*AL55</f>
        <v>-2205.4499159584852</v>
      </c>
      <c r="AM56" s="139">
        <f>-AM38*Inputs!$E$196*AM55</f>
        <v>-2253.8044053658746</v>
      </c>
      <c r="AN56" s="139">
        <f>-AN38*Inputs!$E$196*AN55</f>
        <v>-2303.2190669535212</v>
      </c>
      <c r="AO56" s="139">
        <f>-AO38*Inputs!$E$196*AO55</f>
        <v>-2353.7171449964771</v>
      </c>
      <c r="AP56" s="139">
        <f>-AP38*Inputs!$E$196*AP55</f>
        <v>-2405.3223934005255</v>
      </c>
      <c r="AQ56" s="139">
        <f>-AQ38*Inputs!$E$196*AQ55</f>
        <v>-1229.0295434379157</v>
      </c>
    </row>
    <row r="57" spans="3:43" x14ac:dyDescent="0.25">
      <c r="C57" t="s">
        <v>1239</v>
      </c>
      <c r="D57" t="s">
        <v>125</v>
      </c>
      <c r="E57" s="139"/>
      <c r="F57" s="139"/>
      <c r="G57" s="139">
        <f t="shared" si="21"/>
        <v>-13552.004028457357</v>
      </c>
      <c r="H57" s="139">
        <f>-H38*Inputs!$E$197*H55</f>
        <v>0</v>
      </c>
      <c r="I57" s="139">
        <f>-I38*Inputs!$E$197*I55</f>
        <v>0</v>
      </c>
      <c r="J57" s="139">
        <f>-J38*Inputs!$E$197*J55</f>
        <v>0</v>
      </c>
      <c r="K57" s="139">
        <f>-K38*Inputs!$E$197*K55</f>
        <v>0</v>
      </c>
      <c r="L57" s="139">
        <f>-L38*Inputs!$E$197*L55</f>
        <v>0</v>
      </c>
      <c r="M57" s="139">
        <f>-M38*Inputs!$E$197*M55</f>
        <v>-159.8184</v>
      </c>
      <c r="N57" s="139">
        <f>-N38*Inputs!$E$197*N55</f>
        <v>-327.62771999999995</v>
      </c>
      <c r="O57" s="139">
        <f>-O38*Inputs!$E$197*O55</f>
        <v>-334.810957761</v>
      </c>
      <c r="P57" s="139">
        <f>-P38*Inputs!$E$197*P55</f>
        <v>-342.15168800990983</v>
      </c>
      <c r="Q57" s="139">
        <f>-Q38*Inputs!$E$197*Q55</f>
        <v>-349.65336376952712</v>
      </c>
      <c r="R57" s="139">
        <f>-R38*Inputs!$E$197*R55</f>
        <v>-357.31951377017396</v>
      </c>
      <c r="S57" s="139">
        <f>-S38*Inputs!$E$197*S55</f>
        <v>-365.15374410958498</v>
      </c>
      <c r="T57" s="139">
        <f>-T38*Inputs!$E$197*T55</f>
        <v>-373.15973994918761</v>
      </c>
      <c r="U57" s="139">
        <f>-U38*Inputs!$E$197*U55</f>
        <v>-381.34126724757363</v>
      </c>
      <c r="V57" s="139">
        <f>-V38*Inputs!$E$197*V55</f>
        <v>-389.70217453197654</v>
      </c>
      <c r="W57" s="139">
        <f>-W38*Inputs!$E$197*W55</f>
        <v>-398.24639470859023</v>
      </c>
      <c r="X57" s="139">
        <f>-X38*Inputs!$E$197*X55</f>
        <v>-406.97794691257604</v>
      </c>
      <c r="Y57" s="139">
        <f>-Y38*Inputs!$E$197*Y55</f>
        <v>-415.90093839863414</v>
      </c>
      <c r="Z57" s="139">
        <f>-Z38*Inputs!$E$197*Z55</f>
        <v>-425.01956647302421</v>
      </c>
      <c r="AA57" s="139">
        <f>-AA38*Inputs!$E$197*AA55</f>
        <v>-434.3381204679452</v>
      </c>
      <c r="AB57" s="139">
        <f>-AB38*Inputs!$E$197*AB55</f>
        <v>-443.86098375920506</v>
      </c>
      <c r="AC57" s="139">
        <f>-AC38*Inputs!$E$197*AC55</f>
        <v>-453.59263582812554</v>
      </c>
      <c r="AD57" s="139">
        <f>-AD38*Inputs!$E$197*AD55</f>
        <v>-463.53765436865723</v>
      </c>
      <c r="AE57" s="139">
        <f>-AE38*Inputs!$E$197*AE55</f>
        <v>-473.70071744069003</v>
      </c>
      <c r="AF57" s="139">
        <f>-AF38*Inputs!$E$197*AF55</f>
        <v>-484.08660567057711</v>
      </c>
      <c r="AG57" s="139">
        <f>-AG38*Inputs!$E$197*AG55</f>
        <v>-494.70020449990454</v>
      </c>
      <c r="AH57" s="139">
        <f>-AH38*Inputs!$E$197*AH55</f>
        <v>-505.54650648356483</v>
      </c>
      <c r="AI57" s="139">
        <f>-AI38*Inputs!$E$197*AI55</f>
        <v>-516.63061363821703</v>
      </c>
      <c r="AJ57" s="139">
        <f>-AJ38*Inputs!$E$197*AJ55</f>
        <v>-527.95773984223501</v>
      </c>
      <c r="AK57" s="139">
        <f>-AK38*Inputs!$E$197*AK55</f>
        <v>-539.53321328827599</v>
      </c>
      <c r="AL57" s="139">
        <f>-AL38*Inputs!$E$197*AL55</f>
        <v>-551.36247898962131</v>
      </c>
      <c r="AM57" s="139">
        <f>-AM38*Inputs!$E$197*AM55</f>
        <v>-563.45110134146864</v>
      </c>
      <c r="AN57" s="139">
        <f>-AN38*Inputs!$E$197*AN55</f>
        <v>-575.80476673838029</v>
      </c>
      <c r="AO57" s="139">
        <f>-AO38*Inputs!$E$197*AO55</f>
        <v>-588.42928624911929</v>
      </c>
      <c r="AP57" s="139">
        <f>-AP38*Inputs!$E$197*AP55</f>
        <v>-601.33059835013137</v>
      </c>
      <c r="AQ57" s="139">
        <f>-AQ38*Inputs!$E$197*AQ55</f>
        <v>-307.25738585947892</v>
      </c>
    </row>
    <row r="58" spans="3:43" x14ac:dyDescent="0.25">
      <c r="C58" t="s">
        <v>675</v>
      </c>
      <c r="D58" t="s">
        <v>125</v>
      </c>
      <c r="E58" s="139"/>
      <c r="F58" s="139"/>
      <c r="G58" s="139">
        <f t="shared" si="21"/>
        <v>-966.48066236071134</v>
      </c>
      <c r="H58" s="139">
        <f>-H54*Inputs!$E$198</f>
        <v>0</v>
      </c>
      <c r="I58" s="139">
        <f>-I54*Inputs!$E$198</f>
        <v>0</v>
      </c>
      <c r="J58" s="139">
        <f>-J54*Inputs!$E$198</f>
        <v>0</v>
      </c>
      <c r="K58" s="139">
        <f>-K54*Inputs!$E$198</f>
        <v>0</v>
      </c>
      <c r="L58" s="139">
        <f>-L54*Inputs!$E$198</f>
        <v>0</v>
      </c>
      <c r="M58" s="139">
        <f>-M54*Inputs!$E$198</f>
        <v>-18.496696287173883</v>
      </c>
      <c r="N58" s="139">
        <f>-N54*Inputs!$E$198</f>
        <v>-29.054985120000001</v>
      </c>
      <c r="O58" s="139">
        <f>-O54*Inputs!$E$198</f>
        <v>-29.257498366286399</v>
      </c>
      <c r="P58" s="139">
        <f>-P54*Inputs!$E$198</f>
        <v>-29.461423129899408</v>
      </c>
      <c r="Q58" s="139">
        <f>-Q54*Inputs!$E$198</f>
        <v>-29.666769249114814</v>
      </c>
      <c r="R58" s="139">
        <f>-R54*Inputs!$E$198</f>
        <v>-29.873546630781146</v>
      </c>
      <c r="S58" s="139">
        <f>-S54*Inputs!$E$198</f>
        <v>-30.081765250797698</v>
      </c>
      <c r="T58" s="139">
        <f>-T54*Inputs!$E$198</f>
        <v>-30.291435154595739</v>
      </c>
      <c r="U58" s="139">
        <f>-U54*Inputs!$E$198</f>
        <v>-30.502566457623285</v>
      </c>
      <c r="V58" s="139">
        <f>-V54*Inputs!$E$198</f>
        <v>-30.715169345832923</v>
      </c>
      <c r="W58" s="139">
        <f>-W54*Inputs!$E$198</f>
        <v>-30.929254076173379</v>
      </c>
      <c r="X58" s="139">
        <f>-X54*Inputs!$E$198</f>
        <v>-31.1448309770843</v>
      </c>
      <c r="Y58" s="139">
        <f>-Y54*Inputs!$E$198</f>
        <v>-31.361910448994578</v>
      </c>
      <c r="Z58" s="139">
        <f>-Z54*Inputs!$E$198</f>
        <v>-31.58050296482407</v>
      </c>
      <c r="AA58" s="139">
        <f>-AA54*Inputs!$E$198</f>
        <v>-31.800619070488896</v>
      </c>
      <c r="AB58" s="139">
        <f>-AB54*Inputs!$E$198</f>
        <v>-32.022269385410205</v>
      </c>
      <c r="AC58" s="139">
        <f>-AC54*Inputs!$E$198</f>
        <v>-32.24546460302652</v>
      </c>
      <c r="AD58" s="139">
        <f>-AD54*Inputs!$E$198</f>
        <v>-32.470215491309624</v>
      </c>
      <c r="AE58" s="139">
        <f>-AE54*Inputs!$E$198</f>
        <v>-32.696532893284051</v>
      </c>
      <c r="AF58" s="139">
        <f>-AF54*Inputs!$E$198</f>
        <v>-32.924427727550231</v>
      </c>
      <c r="AG58" s="139">
        <f>-AG54*Inputs!$E$198</f>
        <v>-33.153910988811269</v>
      </c>
      <c r="AH58" s="139">
        <f>-AH54*Inputs!$E$198</f>
        <v>-33.384993748403268</v>
      </c>
      <c r="AI58" s="139">
        <f>-AI54*Inputs!$E$198</f>
        <v>-33.617687154829646</v>
      </c>
      <c r="AJ58" s="139">
        <f>-AJ54*Inputs!$E$198</f>
        <v>-33.852002434298811</v>
      </c>
      <c r="AK58" s="139">
        <f>-AK54*Inputs!$E$198</f>
        <v>-34.087950891265876</v>
      </c>
      <c r="AL58" s="139">
        <f>-AL54*Inputs!$E$198</f>
        <v>-34.325543908978005</v>
      </c>
      <c r="AM58" s="139">
        <f>-AM54*Inputs!$E$198</f>
        <v>-34.564792950023588</v>
      </c>
      <c r="AN58" s="139">
        <f>-AN54*Inputs!$E$198</f>
        <v>-34.805709556885233</v>
      </c>
      <c r="AO58" s="139">
        <f>-AO54*Inputs!$E$198</f>
        <v>-35.048305352496726</v>
      </c>
      <c r="AP58" s="139">
        <f>-AP54*Inputs!$E$198</f>
        <v>-35.292592040803633</v>
      </c>
      <c r="AQ58" s="139">
        <f>-AQ54*Inputs!$E$198</f>
        <v>-17.769290703664023</v>
      </c>
    </row>
    <row r="59" spans="3:43" x14ac:dyDescent="0.25">
      <c r="C59" t="s">
        <v>1240</v>
      </c>
      <c r="D59" t="s">
        <v>125</v>
      </c>
      <c r="E59" s="139"/>
      <c r="F59" s="139"/>
      <c r="G59" s="139">
        <f t="shared" si="21"/>
        <v>-27590.280980861815</v>
      </c>
      <c r="H59" s="139">
        <f>-H38*Inputs!$E$236</f>
        <v>0</v>
      </c>
      <c r="I59" s="139">
        <f>-I38*Inputs!$E$236</f>
        <v>0</v>
      </c>
      <c r="J59" s="139">
        <f>-J38*Inputs!$E$236</f>
        <v>0</v>
      </c>
      <c r="K59" s="139">
        <f>-K38*Inputs!$E$236</f>
        <v>0</v>
      </c>
      <c r="L59" s="139">
        <f>-L38*Inputs!$E$236</f>
        <v>0</v>
      </c>
      <c r="M59" s="139">
        <f>-M38*Inputs!$E$236</f>
        <v>-479.45519999999999</v>
      </c>
      <c r="N59" s="139">
        <f>-N38*Inputs!$E$236</f>
        <v>-958.91039999999998</v>
      </c>
      <c r="O59" s="139">
        <f>-O38*Inputs!$E$236</f>
        <v>-956.03366879999999</v>
      </c>
      <c r="P59" s="139">
        <f>-P38*Inputs!$E$236</f>
        <v>-953.16556779359985</v>
      </c>
      <c r="Q59" s="139">
        <f>-Q38*Inputs!$E$236</f>
        <v>-950.30607109021912</v>
      </c>
      <c r="R59" s="139">
        <f>-R38*Inputs!$E$236</f>
        <v>-947.45515287694855</v>
      </c>
      <c r="S59" s="139">
        <f>-S38*Inputs!$E$236</f>
        <v>-944.61278741831768</v>
      </c>
      <c r="T59" s="139">
        <f>-T38*Inputs!$E$236</f>
        <v>-941.77894905606263</v>
      </c>
      <c r="U59" s="139">
        <f>-U38*Inputs!$E$236</f>
        <v>-938.95361220889458</v>
      </c>
      <c r="V59" s="139">
        <f>-V38*Inputs!$E$236</f>
        <v>-936.13675137226778</v>
      </c>
      <c r="W59" s="139">
        <f>-W38*Inputs!$E$236</f>
        <v>-933.32834111815123</v>
      </c>
      <c r="X59" s="139">
        <f>-X38*Inputs!$E$236</f>
        <v>-930.52835609479666</v>
      </c>
      <c r="Y59" s="139">
        <f>-Y38*Inputs!$E$236</f>
        <v>-927.73677102651209</v>
      </c>
      <c r="Z59" s="139">
        <f>-Z38*Inputs!$E$236</f>
        <v>-924.95356071343258</v>
      </c>
      <c r="AA59" s="139">
        <f>-AA38*Inputs!$E$236</f>
        <v>-922.17870003129224</v>
      </c>
      <c r="AB59" s="139">
        <f>-AB38*Inputs!$E$236</f>
        <v>-919.41216393119862</v>
      </c>
      <c r="AC59" s="139">
        <f>-AC38*Inputs!$E$236</f>
        <v>-916.65392743940492</v>
      </c>
      <c r="AD59" s="139">
        <f>-AD38*Inputs!$E$236</f>
        <v>-913.90396565708693</v>
      </c>
      <c r="AE59" s="139">
        <f>-AE38*Inputs!$E$236</f>
        <v>-911.16225376011562</v>
      </c>
      <c r="AF59" s="139">
        <f>-AF38*Inputs!$E$236</f>
        <v>-908.42876699883516</v>
      </c>
      <c r="AG59" s="139">
        <f>-AG38*Inputs!$E$236</f>
        <v>-905.70348069783881</v>
      </c>
      <c r="AH59" s="139">
        <f>-AH38*Inputs!$E$236</f>
        <v>-902.98637025574521</v>
      </c>
      <c r="AI59" s="139">
        <f>-AI38*Inputs!$E$236</f>
        <v>-900.27741114497803</v>
      </c>
      <c r="AJ59" s="139">
        <f>-AJ38*Inputs!$E$236</f>
        <v>-897.57657891154315</v>
      </c>
      <c r="AK59" s="139">
        <f>-AK38*Inputs!$E$236</f>
        <v>-894.88384917480857</v>
      </c>
      <c r="AL59" s="139">
        <f>-AL38*Inputs!$E$236</f>
        <v>-892.19919762728409</v>
      </c>
      <c r="AM59" s="139">
        <f>-AM38*Inputs!$E$236</f>
        <v>-889.5226000344021</v>
      </c>
      <c r="AN59" s="139">
        <f>-AN38*Inputs!$E$236</f>
        <v>-886.85403223429898</v>
      </c>
      <c r="AO59" s="139">
        <f>-AO38*Inputs!$E$236</f>
        <v>-884.19347013759602</v>
      </c>
      <c r="AP59" s="139">
        <f>-AP38*Inputs!$E$236</f>
        <v>-881.54088972718341</v>
      </c>
      <c r="AQ59" s="139">
        <f>-AQ38*Inputs!$E$236</f>
        <v>-439.44813352900087</v>
      </c>
    </row>
    <row r="60" spans="3:43" x14ac:dyDescent="0.25">
      <c r="C60" t="s">
        <v>43</v>
      </c>
      <c r="D60" t="s">
        <v>125</v>
      </c>
      <c r="E60" s="139"/>
      <c r="F60" s="139"/>
      <c r="G60" s="139">
        <f t="shared" si="21"/>
        <v>-72491.484922646661</v>
      </c>
      <c r="H60" s="139">
        <f>-Inputs!$E$203*$E$35*H55*H10</f>
        <v>0</v>
      </c>
      <c r="I60" s="139">
        <f>-Inputs!$E$203*$E$35*I55*I10</f>
        <v>0</v>
      </c>
      <c r="J60" s="139">
        <f>-Inputs!$E$203*$E$35*J55*J10</f>
        <v>0</v>
      </c>
      <c r="K60" s="139">
        <f>-Inputs!$E$203*$E$35*K55*K10</f>
        <v>0</v>
      </c>
      <c r="L60" s="139">
        <f>-Inputs!$E$203*$E$35*L55*L10</f>
        <v>0</v>
      </c>
      <c r="M60" s="139">
        <f>-Inputs!$E$203*$E$35*M55*M10</f>
        <v>-815.40000000000009</v>
      </c>
      <c r="N60" s="139">
        <f>-Inputs!$E$203*$E$35*N55*N10</f>
        <v>-1671.57</v>
      </c>
      <c r="O60" s="139">
        <f>-Inputs!$E$203*$E$35*O55*O10</f>
        <v>-1713.35925</v>
      </c>
      <c r="P60" s="139">
        <f>-Inputs!$E$203*$E$35*P55*P10</f>
        <v>-1756.1932312500001</v>
      </c>
      <c r="Q60" s="139">
        <f>-Inputs!$E$203*$E$35*Q55*Q10</f>
        <v>-1800.0980620312498</v>
      </c>
      <c r="R60" s="139">
        <f>-Inputs!$E$203*$E$35*R55*R10</f>
        <v>-1845.100513582031</v>
      </c>
      <c r="S60" s="139">
        <f>-Inputs!$E$203*$E$35*S55*S10</f>
        <v>-1891.2280264215815</v>
      </c>
      <c r="T60" s="139">
        <f>-Inputs!$E$203*$E$35*T55*T10</f>
        <v>-1938.5087270821211</v>
      </c>
      <c r="U60" s="139">
        <f>-Inputs!$E$203*$E$35*U55*U10</f>
        <v>-1986.9714452591741</v>
      </c>
      <c r="V60" s="139">
        <f>-Inputs!$E$203*$E$35*V55*V10</f>
        <v>-2036.6457313906531</v>
      </c>
      <c r="W60" s="139">
        <f>-Inputs!$E$203*$E$35*W55*W10</f>
        <v>-2087.5618746754194</v>
      </c>
      <c r="X60" s="139">
        <f>-Inputs!$E$203*$E$35*X55*X10</f>
        <v>-2139.7509215423047</v>
      </c>
      <c r="Y60" s="139">
        <f>-Inputs!$E$203*$E$35*Y55*Y10</f>
        <v>-2193.2446945808624</v>
      </c>
      <c r="Z60" s="139">
        <f>-Inputs!$E$203*$E$35*Z55*Z10</f>
        <v>-2248.0758119453835</v>
      </c>
      <c r="AA60" s="139">
        <f>-Inputs!$E$203*$E$35*AA55*AA10</f>
        <v>-2304.2777072440181</v>
      </c>
      <c r="AB60" s="139">
        <f>-Inputs!$E$203*$E$35*AB55*AB10</f>
        <v>-2361.884649925119</v>
      </c>
      <c r="AC60" s="139">
        <f>-Inputs!$E$203*$E$35*AC55*AC10</f>
        <v>-2420.9317661732466</v>
      </c>
      <c r="AD60" s="139">
        <f>-Inputs!$E$203*$E$35*AD55*AD10</f>
        <v>-2481.4550603275775</v>
      </c>
      <c r="AE60" s="139">
        <f>-Inputs!$E$203*$E$35*AE55*AE10</f>
        <v>-2543.4914368357672</v>
      </c>
      <c r="AF60" s="139">
        <f>-Inputs!$E$203*$E$35*AF55*AF10</f>
        <v>-2607.0787227566611</v>
      </c>
      <c r="AG60" s="139">
        <f>-Inputs!$E$203*$E$35*AG55*AG10</f>
        <v>-2672.2556908255774</v>
      </c>
      <c r="AH60" s="139">
        <f>-Inputs!$E$203*$E$35*AH55*AH10</f>
        <v>-2739.0620830962166</v>
      </c>
      <c r="AI60" s="139">
        <f>-Inputs!$E$203*$E$35*AI55*AI10</f>
        <v>-2807.538635173622</v>
      </c>
      <c r="AJ60" s="139">
        <f>-Inputs!$E$203*$E$35*AJ55*AJ10</f>
        <v>-2877.7271010529626</v>
      </c>
      <c r="AK60" s="139">
        <f>-Inputs!$E$203*$E$35*AK55*AK10</f>
        <v>-2949.6702785792863</v>
      </c>
      <c r="AL60" s="139">
        <f>-Inputs!$E$203*$E$35*AL55*AL10</f>
        <v>-3023.4120355437681</v>
      </c>
      <c r="AM60" s="139">
        <f>-Inputs!$E$203*$E$35*AM55*AM10</f>
        <v>-3098.9973364323619</v>
      </c>
      <c r="AN60" s="139">
        <f>-Inputs!$E$203*$E$35*AN55*AN10</f>
        <v>-3176.472269843171</v>
      </c>
      <c r="AO60" s="139">
        <f>-Inputs!$E$203*$E$35*AO55*AO10</f>
        <v>-3255.8840765892501</v>
      </c>
      <c r="AP60" s="139">
        <f>-Inputs!$E$203*$E$35*AP55*AP10</f>
        <v>-3337.2811785039817</v>
      </c>
      <c r="AQ60" s="139">
        <f>-Inputs!$E$203*$E$35*AQ55*AQ10</f>
        <v>-1710.3566039832901</v>
      </c>
    </row>
    <row r="61" spans="3:43" x14ac:dyDescent="0.25">
      <c r="C61" t="s">
        <v>685</v>
      </c>
      <c r="D61" t="s">
        <v>125</v>
      </c>
      <c r="E61" s="139"/>
      <c r="F61" s="139"/>
      <c r="G61" s="139">
        <f t="shared" si="21"/>
        <v>-18122.871230661665</v>
      </c>
      <c r="H61" s="139">
        <f>-Inputs!$E$204*$E$35*H55*H10</f>
        <v>0</v>
      </c>
      <c r="I61" s="139">
        <f>-Inputs!$E$204*$E$35*I55*I10</f>
        <v>0</v>
      </c>
      <c r="J61" s="139">
        <f>-Inputs!$E$204*$E$35*J55*J10</f>
        <v>0</v>
      </c>
      <c r="K61" s="139">
        <f>-Inputs!$E$204*$E$35*K55*K10</f>
        <v>0</v>
      </c>
      <c r="L61" s="139">
        <f>-Inputs!$E$204*$E$35*L55*L10</f>
        <v>0</v>
      </c>
      <c r="M61" s="139">
        <f>-Inputs!$E$204*$E$35*M55*M10</f>
        <v>-203.85000000000002</v>
      </c>
      <c r="N61" s="139">
        <f>-Inputs!$E$204*$E$35*N55*N10</f>
        <v>-417.89249999999998</v>
      </c>
      <c r="O61" s="139">
        <f>-Inputs!$E$204*$E$35*O55*O10</f>
        <v>-428.33981249999999</v>
      </c>
      <c r="P61" s="139">
        <f>-Inputs!$E$204*$E$35*P55*P10</f>
        <v>-439.04830781250001</v>
      </c>
      <c r="Q61" s="139">
        <f>-Inputs!$E$204*$E$35*Q55*Q10</f>
        <v>-450.02451550781245</v>
      </c>
      <c r="R61" s="139">
        <f>-Inputs!$E$204*$E$35*R55*R10</f>
        <v>-461.27512839550775</v>
      </c>
      <c r="S61" s="139">
        <f>-Inputs!$E$204*$E$35*S55*S10</f>
        <v>-472.80700660539537</v>
      </c>
      <c r="T61" s="139">
        <f>-Inputs!$E$204*$E$35*T55*T10</f>
        <v>-484.62718177053029</v>
      </c>
      <c r="U61" s="139">
        <f>-Inputs!$E$204*$E$35*U55*U10</f>
        <v>-496.74286131479352</v>
      </c>
      <c r="V61" s="139">
        <f>-Inputs!$E$204*$E$35*V55*V10</f>
        <v>-509.16143284766326</v>
      </c>
      <c r="W61" s="139">
        <f>-Inputs!$E$204*$E$35*W55*W10</f>
        <v>-521.89046866885485</v>
      </c>
      <c r="X61" s="139">
        <f>-Inputs!$E$204*$E$35*X55*X10</f>
        <v>-534.93773038557617</v>
      </c>
      <c r="Y61" s="139">
        <f>-Inputs!$E$204*$E$35*Y55*Y10</f>
        <v>-548.3111736452156</v>
      </c>
      <c r="Z61" s="139">
        <f>-Inputs!$E$204*$E$35*Z55*Z10</f>
        <v>-562.01895298634588</v>
      </c>
      <c r="AA61" s="139">
        <f>-Inputs!$E$204*$E$35*AA55*AA10</f>
        <v>-576.06942681100452</v>
      </c>
      <c r="AB61" s="139">
        <f>-Inputs!$E$204*$E$35*AB55*AB10</f>
        <v>-590.47116248127975</v>
      </c>
      <c r="AC61" s="139">
        <f>-Inputs!$E$204*$E$35*AC55*AC10</f>
        <v>-605.23294154331165</v>
      </c>
      <c r="AD61" s="139">
        <f>-Inputs!$E$204*$E$35*AD55*AD10</f>
        <v>-620.36376508189437</v>
      </c>
      <c r="AE61" s="139">
        <f>-Inputs!$E$204*$E$35*AE55*AE10</f>
        <v>-635.8728592089418</v>
      </c>
      <c r="AF61" s="139">
        <f>-Inputs!$E$204*$E$35*AF55*AF10</f>
        <v>-651.76968068916528</v>
      </c>
      <c r="AG61" s="139">
        <f>-Inputs!$E$204*$E$35*AG55*AG10</f>
        <v>-668.06392270639435</v>
      </c>
      <c r="AH61" s="139">
        <f>-Inputs!$E$204*$E$35*AH55*AH10</f>
        <v>-684.76552077405415</v>
      </c>
      <c r="AI61" s="139">
        <f>-Inputs!$E$204*$E$35*AI55*AI10</f>
        <v>-701.88465879340549</v>
      </c>
      <c r="AJ61" s="139">
        <f>-Inputs!$E$204*$E$35*AJ55*AJ10</f>
        <v>-719.43177526324064</v>
      </c>
      <c r="AK61" s="139">
        <f>-Inputs!$E$204*$E$35*AK55*AK10</f>
        <v>-737.41756964482158</v>
      </c>
      <c r="AL61" s="139">
        <f>-Inputs!$E$204*$E$35*AL55*AL10</f>
        <v>-755.85300888594202</v>
      </c>
      <c r="AM61" s="139">
        <f>-Inputs!$E$204*$E$35*AM55*AM10</f>
        <v>-774.74933410809047</v>
      </c>
      <c r="AN61" s="139">
        <f>-Inputs!$E$204*$E$35*AN55*AN10</f>
        <v>-794.11806746079276</v>
      </c>
      <c r="AO61" s="139">
        <f>-Inputs!$E$204*$E$35*AO55*AO10</f>
        <v>-813.97101914731252</v>
      </c>
      <c r="AP61" s="139">
        <f>-Inputs!$E$204*$E$35*AP55*AP10</f>
        <v>-834.32029462599542</v>
      </c>
      <c r="AQ61" s="139">
        <f>-Inputs!$E$204*$E$35*AQ55*AQ10</f>
        <v>-427.58915099582254</v>
      </c>
    </row>
    <row r="62" spans="3:43" x14ac:dyDescent="0.25">
      <c r="C62" t="s">
        <v>1241</v>
      </c>
      <c r="D62" t="s">
        <v>125</v>
      </c>
      <c r="E62" s="139"/>
      <c r="F62" s="139"/>
      <c r="G62" s="139">
        <f t="shared" si="21"/>
        <v>-18918.423958897467</v>
      </c>
      <c r="H62" s="139">
        <f>-Inputs!$E$205*$E$35*(1+$E$51)^(H$5-YEAR(Inputs!$E$155))*(H10+H14)</f>
        <v>0</v>
      </c>
      <c r="I62" s="139">
        <f>-Inputs!$E$205*$E$35*(1+$E$51)^(I$5-YEAR(Inputs!$E$155))*(I10+I14)</f>
        <v>0</v>
      </c>
      <c r="J62" s="139">
        <f>-Inputs!$E$205*$E$35*(1+$E$51)^(J$5-YEAR(Inputs!$E$155))*(J10+J14)</f>
        <v>0</v>
      </c>
      <c r="K62" s="139">
        <f>-Inputs!$E$205*$E$35*(1+$E$51)^(K$5-YEAR(Inputs!$E$155))*(K10+K14)</f>
        <v>-195.62211012688147</v>
      </c>
      <c r="L62" s="139">
        <f>-Inputs!$E$205*$E$35*(1+$E$51)^(L$5-YEAR(Inputs!$E$155))*(L10+L14)</f>
        <v>-397.75609756097572</v>
      </c>
      <c r="M62" s="139">
        <f>-Inputs!$E$205*$E$35*(1+$E$51)^(M$5-YEAR(Inputs!$E$155))*(M10+M14)</f>
        <v>-406.02452054794526</v>
      </c>
      <c r="N62" s="139">
        <f>-Inputs!$E$205*$E$35*(1+$E$51)^(N$5-YEAR(Inputs!$E$155))*(N10+N14)</f>
        <v>-417.89249999999998</v>
      </c>
      <c r="O62" s="139">
        <f>-Inputs!$E$205*$E$35*(1+$E$51)^(O$5-YEAR(Inputs!$E$155))*(O10+O14)</f>
        <v>-428.33981249999999</v>
      </c>
      <c r="P62" s="139">
        <f>-Inputs!$E$205*$E$35*(1+$E$51)^(P$5-YEAR(Inputs!$E$155))*(P10+P14)</f>
        <v>-439.04830781250001</v>
      </c>
      <c r="Q62" s="139">
        <f>-Inputs!$E$205*$E$35*(1+$E$51)^(Q$5-YEAR(Inputs!$E$155))*(Q10+Q14)</f>
        <v>-450.02451550781245</v>
      </c>
      <c r="R62" s="139">
        <f>-Inputs!$E$205*$E$35*(1+$E$51)^(R$5-YEAR(Inputs!$E$155))*(R10+R14)</f>
        <v>-461.27512839550775</v>
      </c>
      <c r="S62" s="139">
        <f>-Inputs!$E$205*$E$35*(1+$E$51)^(S$5-YEAR(Inputs!$E$155))*(S10+S14)</f>
        <v>-472.80700660539537</v>
      </c>
      <c r="T62" s="139">
        <f>-Inputs!$E$205*$E$35*(1+$E$51)^(T$5-YEAR(Inputs!$E$155))*(T10+T14)</f>
        <v>-484.62718177053029</v>
      </c>
      <c r="U62" s="139">
        <f>-Inputs!$E$205*$E$35*(1+$E$51)^(U$5-YEAR(Inputs!$E$155))*(U10+U14)</f>
        <v>-496.74286131479352</v>
      </c>
      <c r="V62" s="139">
        <f>-Inputs!$E$205*$E$35*(1+$E$51)^(V$5-YEAR(Inputs!$E$155))*(V10+V14)</f>
        <v>-509.16143284766326</v>
      </c>
      <c r="W62" s="139">
        <f>-Inputs!$E$205*$E$35*(1+$E$51)^(W$5-YEAR(Inputs!$E$155))*(W10+W14)</f>
        <v>-521.89046866885485</v>
      </c>
      <c r="X62" s="139">
        <f>-Inputs!$E$205*$E$35*(1+$E$51)^(X$5-YEAR(Inputs!$E$155))*(X10+X14)</f>
        <v>-534.93773038557617</v>
      </c>
      <c r="Y62" s="139">
        <f>-Inputs!$E$205*$E$35*(1+$E$51)^(Y$5-YEAR(Inputs!$E$155))*(Y10+Y14)</f>
        <v>-548.3111736452156</v>
      </c>
      <c r="Z62" s="139">
        <f>-Inputs!$E$205*$E$35*(1+$E$51)^(Z$5-YEAR(Inputs!$E$155))*(Z10+Z14)</f>
        <v>-562.01895298634588</v>
      </c>
      <c r="AA62" s="139">
        <f>-Inputs!$E$205*$E$35*(1+$E$51)^(AA$5-YEAR(Inputs!$E$155))*(AA10+AA14)</f>
        <v>-576.06942681100452</v>
      </c>
      <c r="AB62" s="139">
        <f>-Inputs!$E$205*$E$35*(1+$E$51)^(AB$5-YEAR(Inputs!$E$155))*(AB10+AB14)</f>
        <v>-590.47116248127975</v>
      </c>
      <c r="AC62" s="139">
        <f>-Inputs!$E$205*$E$35*(1+$E$51)^(AC$5-YEAR(Inputs!$E$155))*(AC10+AC14)</f>
        <v>-605.23294154331165</v>
      </c>
      <c r="AD62" s="139">
        <f>-Inputs!$E$205*$E$35*(1+$E$51)^(AD$5-YEAR(Inputs!$E$155))*(AD10+AD14)</f>
        <v>-620.36376508189437</v>
      </c>
      <c r="AE62" s="139">
        <f>-Inputs!$E$205*$E$35*(1+$E$51)^(AE$5-YEAR(Inputs!$E$155))*(AE10+AE14)</f>
        <v>-635.8728592089418</v>
      </c>
      <c r="AF62" s="139">
        <f>-Inputs!$E$205*$E$35*(1+$E$51)^(AF$5-YEAR(Inputs!$E$155))*(AF10+AF14)</f>
        <v>-651.76968068916528</v>
      </c>
      <c r="AG62" s="139">
        <f>-Inputs!$E$205*$E$35*(1+$E$51)^(AG$5-YEAR(Inputs!$E$155))*(AG10+AG14)</f>
        <v>-668.06392270639435</v>
      </c>
      <c r="AH62" s="139">
        <f>-Inputs!$E$205*$E$35*(1+$E$51)^(AH$5-YEAR(Inputs!$E$155))*(AH10+AH14)</f>
        <v>-684.76552077405415</v>
      </c>
      <c r="AI62" s="139">
        <f>-Inputs!$E$205*$E$35*(1+$E$51)^(AI$5-YEAR(Inputs!$E$155))*(AI10+AI14)</f>
        <v>-701.88465879340549</v>
      </c>
      <c r="AJ62" s="139">
        <f>-Inputs!$E$205*$E$35*(1+$E$51)^(AJ$5-YEAR(Inputs!$E$155))*(AJ10+AJ14)</f>
        <v>-719.43177526324064</v>
      </c>
      <c r="AK62" s="139">
        <f>-Inputs!$E$205*$E$35*(1+$E$51)^(AK$5-YEAR(Inputs!$E$155))*(AK10+AK14)</f>
        <v>-737.41756964482158</v>
      </c>
      <c r="AL62" s="139">
        <f>-Inputs!$E$205*$E$35*(1+$E$51)^(AL$5-YEAR(Inputs!$E$155))*(AL10+AL14)</f>
        <v>-755.85300888594202</v>
      </c>
      <c r="AM62" s="139">
        <f>-Inputs!$E$205*$E$35*(1+$E$51)^(AM$5-YEAR(Inputs!$E$155))*(AM10+AM14)</f>
        <v>-774.74933410809047</v>
      </c>
      <c r="AN62" s="139">
        <f>-Inputs!$E$205*$E$35*(1+$E$51)^(AN$5-YEAR(Inputs!$E$155))*(AN10+AN14)</f>
        <v>-794.11806746079276</v>
      </c>
      <c r="AO62" s="139">
        <f>-Inputs!$E$205*$E$35*(1+$E$51)^(AO$5-YEAR(Inputs!$E$155))*(AO10+AO14)</f>
        <v>-813.97101914731252</v>
      </c>
      <c r="AP62" s="139">
        <f>-Inputs!$E$205*$E$35*(1+$E$51)^(AP$5-YEAR(Inputs!$E$155))*(AP10+AP14)</f>
        <v>-834.32029462599542</v>
      </c>
      <c r="AQ62" s="139">
        <f>-Inputs!$E$205*$E$35*(1+$E$51)^(AQ$5-YEAR(Inputs!$E$155))*(AQ10+AQ14)</f>
        <v>-427.58915099582254</v>
      </c>
    </row>
    <row r="63" spans="3:43" x14ac:dyDescent="0.25">
      <c r="C63" t="s">
        <v>688</v>
      </c>
      <c r="D63" t="s">
        <v>125</v>
      </c>
      <c r="E63" s="139"/>
      <c r="F63" s="139"/>
      <c r="G63" s="139">
        <f t="shared" si="21"/>
        <v>-15102.392692218053</v>
      </c>
      <c r="H63" s="139">
        <f>-Inputs!$E$206*$E$35*H55*H10</f>
        <v>0</v>
      </c>
      <c r="I63" s="139">
        <f>-Inputs!$E$206*$E$35*I55*I10</f>
        <v>0</v>
      </c>
      <c r="J63" s="139">
        <f>-Inputs!$E$206*$E$35*J55*J10</f>
        <v>0</v>
      </c>
      <c r="K63" s="139">
        <f>-Inputs!$E$206*$E$35*K55*K10</f>
        <v>0</v>
      </c>
      <c r="L63" s="139">
        <f>-Inputs!$E$206*$E$35*L55*L10</f>
        <v>0</v>
      </c>
      <c r="M63" s="139">
        <f>-Inputs!$E$206*$E$35*M55*M10</f>
        <v>-169.875</v>
      </c>
      <c r="N63" s="139">
        <f>-Inputs!$E$206*$E$35*N55*N10</f>
        <v>-348.24374999999998</v>
      </c>
      <c r="O63" s="139">
        <f>-Inputs!$E$206*$E$35*O55*O10</f>
        <v>-356.94984374999996</v>
      </c>
      <c r="P63" s="139">
        <f>-Inputs!$E$206*$E$35*P55*P10</f>
        <v>-365.87358984374998</v>
      </c>
      <c r="Q63" s="139">
        <f>-Inputs!$E$206*$E$35*Q55*Q10</f>
        <v>-375.02042958984367</v>
      </c>
      <c r="R63" s="139">
        <f>-Inputs!$E$206*$E$35*R55*R10</f>
        <v>-384.39594032958973</v>
      </c>
      <c r="S63" s="139">
        <f>-Inputs!$E$206*$E$35*S55*S10</f>
        <v>-394.00583883782946</v>
      </c>
      <c r="T63" s="139">
        <f>-Inputs!$E$206*$E$35*T55*T10</f>
        <v>-403.85598480877519</v>
      </c>
      <c r="U63" s="139">
        <f>-Inputs!$E$206*$E$35*U55*U10</f>
        <v>-413.95238442899455</v>
      </c>
      <c r="V63" s="139">
        <f>-Inputs!$E$206*$E$35*V55*V10</f>
        <v>-424.30119403971935</v>
      </c>
      <c r="W63" s="139">
        <f>-Inputs!$E$206*$E$35*W55*W10</f>
        <v>-434.90872389071234</v>
      </c>
      <c r="X63" s="139">
        <f>-Inputs!$E$206*$E$35*X55*X10</f>
        <v>-445.78144198798014</v>
      </c>
      <c r="Y63" s="139">
        <f>-Inputs!$E$206*$E$35*Y55*Y10</f>
        <v>-456.92597803767956</v>
      </c>
      <c r="Z63" s="139">
        <f>-Inputs!$E$206*$E$35*Z55*Z10</f>
        <v>-468.34912748862155</v>
      </c>
      <c r="AA63" s="139">
        <f>-Inputs!$E$206*$E$35*AA55*AA10</f>
        <v>-480.05785567583706</v>
      </c>
      <c r="AB63" s="139">
        <f>-Inputs!$E$206*$E$35*AB55*AB10</f>
        <v>-492.05930206773303</v>
      </c>
      <c r="AC63" s="139">
        <f>-Inputs!$E$206*$E$35*AC55*AC10</f>
        <v>-504.36078461942634</v>
      </c>
      <c r="AD63" s="139">
        <f>-Inputs!$E$206*$E$35*AD55*AD10</f>
        <v>-516.96980423491186</v>
      </c>
      <c r="AE63" s="139">
        <f>-Inputs!$E$206*$E$35*AE55*AE10</f>
        <v>-529.8940493407847</v>
      </c>
      <c r="AF63" s="139">
        <f>-Inputs!$E$206*$E$35*AF55*AF10</f>
        <v>-543.14140057430438</v>
      </c>
      <c r="AG63" s="139">
        <f>-Inputs!$E$206*$E$35*AG55*AG10</f>
        <v>-556.71993558866188</v>
      </c>
      <c r="AH63" s="139">
        <f>-Inputs!$E$206*$E$35*AH55*AH10</f>
        <v>-570.63793397837833</v>
      </c>
      <c r="AI63" s="139">
        <f>-Inputs!$E$206*$E$35*AI55*AI10</f>
        <v>-584.90388232783778</v>
      </c>
      <c r="AJ63" s="139">
        <f>-Inputs!$E$206*$E$35*AJ55*AJ10</f>
        <v>-599.52647938603377</v>
      </c>
      <c r="AK63" s="139">
        <f>-Inputs!$E$206*$E$35*AK55*AK10</f>
        <v>-614.51464137068456</v>
      </c>
      <c r="AL63" s="139">
        <f>-Inputs!$E$206*$E$35*AL55*AL10</f>
        <v>-629.87750740495164</v>
      </c>
      <c r="AM63" s="139">
        <f>-Inputs!$E$206*$E$35*AM55*AM10</f>
        <v>-645.62444509007537</v>
      </c>
      <c r="AN63" s="139">
        <f>-Inputs!$E$206*$E$35*AN55*AN10</f>
        <v>-661.76505621732724</v>
      </c>
      <c r="AO63" s="139">
        <f>-Inputs!$E$206*$E$35*AO55*AO10</f>
        <v>-678.30918262276032</v>
      </c>
      <c r="AP63" s="139">
        <f>-Inputs!$E$206*$E$35*AP55*AP10</f>
        <v>-695.26691218832946</v>
      </c>
      <c r="AQ63" s="139">
        <f>-Inputs!$E$206*$E$35*AQ55*AQ10</f>
        <v>-356.32429249651875</v>
      </c>
    </row>
    <row r="64" spans="3:43" x14ac:dyDescent="0.25">
      <c r="C64" t="s">
        <v>689</v>
      </c>
      <c r="D64" t="s">
        <v>125</v>
      </c>
      <c r="E64" s="139"/>
      <c r="F64" s="139"/>
      <c r="G64" s="139">
        <f t="shared" si="21"/>
        <v>-9061.4356153308327</v>
      </c>
      <c r="H64" s="139">
        <f>-Inputs!$E$207*$E$35*H55*H10</f>
        <v>0</v>
      </c>
      <c r="I64" s="139">
        <f>-Inputs!$E$207*$E$35*I55*I10</f>
        <v>0</v>
      </c>
      <c r="J64" s="139">
        <f>-Inputs!$E$207*$E$35*J55*J10</f>
        <v>0</v>
      </c>
      <c r="K64" s="139">
        <f>-Inputs!$E$207*$E$35*K55*K10</f>
        <v>0</v>
      </c>
      <c r="L64" s="139">
        <f>-Inputs!$E$207*$E$35*L55*L10</f>
        <v>0</v>
      </c>
      <c r="M64" s="139">
        <f>-Inputs!$E$207*$E$35*M55*M10</f>
        <v>-101.92500000000001</v>
      </c>
      <c r="N64" s="139">
        <f>-Inputs!$E$207*$E$35*N55*N10</f>
        <v>-208.94624999999999</v>
      </c>
      <c r="O64" s="139">
        <f>-Inputs!$E$207*$E$35*O55*O10</f>
        <v>-214.16990625</v>
      </c>
      <c r="P64" s="139">
        <f>-Inputs!$E$207*$E$35*P55*P10</f>
        <v>-219.52415390625001</v>
      </c>
      <c r="Q64" s="139">
        <f>-Inputs!$E$207*$E$35*Q55*Q10</f>
        <v>-225.01225775390623</v>
      </c>
      <c r="R64" s="139">
        <f>-Inputs!$E$207*$E$35*R55*R10</f>
        <v>-230.63756419775387</v>
      </c>
      <c r="S64" s="139">
        <f>-Inputs!$E$207*$E$35*S55*S10</f>
        <v>-236.40350330269769</v>
      </c>
      <c r="T64" s="139">
        <f>-Inputs!$E$207*$E$35*T55*T10</f>
        <v>-242.31359088526514</v>
      </c>
      <c r="U64" s="139">
        <f>-Inputs!$E$207*$E$35*U55*U10</f>
        <v>-248.37143065739676</v>
      </c>
      <c r="V64" s="139">
        <f>-Inputs!$E$207*$E$35*V55*V10</f>
        <v>-254.58071642383163</v>
      </c>
      <c r="W64" s="139">
        <f>-Inputs!$E$207*$E$35*W55*W10</f>
        <v>-260.94523433442743</v>
      </c>
      <c r="X64" s="139">
        <f>-Inputs!$E$207*$E$35*X55*X10</f>
        <v>-267.46886519278809</v>
      </c>
      <c r="Y64" s="139">
        <f>-Inputs!$E$207*$E$35*Y55*Y10</f>
        <v>-274.1555868226078</v>
      </c>
      <c r="Z64" s="139">
        <f>-Inputs!$E$207*$E$35*Z55*Z10</f>
        <v>-281.00947649317294</v>
      </c>
      <c r="AA64" s="139">
        <f>-Inputs!$E$207*$E$35*AA55*AA10</f>
        <v>-288.03471340550226</v>
      </c>
      <c r="AB64" s="139">
        <f>-Inputs!$E$207*$E$35*AB55*AB10</f>
        <v>-295.23558124063987</v>
      </c>
      <c r="AC64" s="139">
        <f>-Inputs!$E$207*$E$35*AC55*AC10</f>
        <v>-302.61647077165583</v>
      </c>
      <c r="AD64" s="139">
        <f>-Inputs!$E$207*$E$35*AD55*AD10</f>
        <v>-310.18188254094719</v>
      </c>
      <c r="AE64" s="139">
        <f>-Inputs!$E$207*$E$35*AE55*AE10</f>
        <v>-317.9364296044709</v>
      </c>
      <c r="AF64" s="139">
        <f>-Inputs!$E$207*$E$35*AF55*AF10</f>
        <v>-325.88484034458264</v>
      </c>
      <c r="AG64" s="139">
        <f>-Inputs!$E$207*$E$35*AG55*AG10</f>
        <v>-334.03196135319718</v>
      </c>
      <c r="AH64" s="139">
        <f>-Inputs!$E$207*$E$35*AH55*AH10</f>
        <v>-342.38276038702708</v>
      </c>
      <c r="AI64" s="139">
        <f>-Inputs!$E$207*$E$35*AI55*AI10</f>
        <v>-350.94232939670275</v>
      </c>
      <c r="AJ64" s="139">
        <f>-Inputs!$E$207*$E$35*AJ55*AJ10</f>
        <v>-359.71588763162032</v>
      </c>
      <c r="AK64" s="139">
        <f>-Inputs!$E$207*$E$35*AK55*AK10</f>
        <v>-368.70878482241079</v>
      </c>
      <c r="AL64" s="139">
        <f>-Inputs!$E$207*$E$35*AL55*AL10</f>
        <v>-377.92650444297101</v>
      </c>
      <c r="AM64" s="139">
        <f>-Inputs!$E$207*$E$35*AM55*AM10</f>
        <v>-387.37466705404523</v>
      </c>
      <c r="AN64" s="139">
        <f>-Inputs!$E$207*$E$35*AN55*AN10</f>
        <v>-397.05903373039638</v>
      </c>
      <c r="AO64" s="139">
        <f>-Inputs!$E$207*$E$35*AO55*AO10</f>
        <v>-406.98550957365626</v>
      </c>
      <c r="AP64" s="139">
        <f>-Inputs!$E$207*$E$35*AP55*AP10</f>
        <v>-417.16014731299771</v>
      </c>
      <c r="AQ64" s="139">
        <f>-Inputs!$E$207*$E$35*AQ55*AQ10</f>
        <v>-213.79457549791127</v>
      </c>
    </row>
    <row r="65" spans="3:43" x14ac:dyDescent="0.25">
      <c r="C65" t="s">
        <v>1242</v>
      </c>
      <c r="D65" t="s">
        <v>125</v>
      </c>
      <c r="E65" s="139"/>
      <c r="F65" s="139"/>
      <c r="G65" s="139">
        <f t="shared" si="21"/>
        <v>-18122.871230661665</v>
      </c>
      <c r="H65" s="139">
        <f>-Inputs!$E$208*$E$35*H55*H10</f>
        <v>0</v>
      </c>
      <c r="I65" s="139">
        <f>-Inputs!$E$208*$E$35*I55*I10</f>
        <v>0</v>
      </c>
      <c r="J65" s="139">
        <f>-Inputs!$E$208*$E$35*J55*J10</f>
        <v>0</v>
      </c>
      <c r="K65" s="139">
        <f>-Inputs!$E$208*$E$35*K55*K10</f>
        <v>0</v>
      </c>
      <c r="L65" s="139">
        <f>-Inputs!$E$208*$E$35*L55*L10</f>
        <v>0</v>
      </c>
      <c r="M65" s="139">
        <f>-Inputs!$E$208*$E$35*M55*M10</f>
        <v>-203.85000000000002</v>
      </c>
      <c r="N65" s="139">
        <f>-Inputs!$E$208*$E$35*N55*N10</f>
        <v>-417.89249999999998</v>
      </c>
      <c r="O65" s="139">
        <f>-Inputs!$E$208*$E$35*O55*O10</f>
        <v>-428.33981249999999</v>
      </c>
      <c r="P65" s="139">
        <f>-Inputs!$E$208*$E$35*P55*P10</f>
        <v>-439.04830781250001</v>
      </c>
      <c r="Q65" s="139">
        <f>-Inputs!$E$208*$E$35*Q55*Q10</f>
        <v>-450.02451550781245</v>
      </c>
      <c r="R65" s="139">
        <f>-Inputs!$E$208*$E$35*R55*R10</f>
        <v>-461.27512839550775</v>
      </c>
      <c r="S65" s="139">
        <f>-Inputs!$E$208*$E$35*S55*S10</f>
        <v>-472.80700660539537</v>
      </c>
      <c r="T65" s="139">
        <f>-Inputs!$E$208*$E$35*T55*T10</f>
        <v>-484.62718177053029</v>
      </c>
      <c r="U65" s="139">
        <f>-Inputs!$E$208*$E$35*U55*U10</f>
        <v>-496.74286131479352</v>
      </c>
      <c r="V65" s="139">
        <f>-Inputs!$E$208*$E$35*V55*V10</f>
        <v>-509.16143284766326</v>
      </c>
      <c r="W65" s="139">
        <f>-Inputs!$E$208*$E$35*W55*W10</f>
        <v>-521.89046866885485</v>
      </c>
      <c r="X65" s="139">
        <f>-Inputs!$E$208*$E$35*X55*X10</f>
        <v>-534.93773038557617</v>
      </c>
      <c r="Y65" s="139">
        <f>-Inputs!$E$208*$E$35*Y55*Y10</f>
        <v>-548.3111736452156</v>
      </c>
      <c r="Z65" s="139">
        <f>-Inputs!$E$208*$E$35*Z55*Z10</f>
        <v>-562.01895298634588</v>
      </c>
      <c r="AA65" s="139">
        <f>-Inputs!$E$208*$E$35*AA55*AA10</f>
        <v>-576.06942681100452</v>
      </c>
      <c r="AB65" s="139">
        <f>-Inputs!$E$208*$E$35*AB55*AB10</f>
        <v>-590.47116248127975</v>
      </c>
      <c r="AC65" s="139">
        <f>-Inputs!$E$208*$E$35*AC55*AC10</f>
        <v>-605.23294154331165</v>
      </c>
      <c r="AD65" s="139">
        <f>-Inputs!$E$208*$E$35*AD55*AD10</f>
        <v>-620.36376508189437</v>
      </c>
      <c r="AE65" s="139">
        <f>-Inputs!$E$208*$E$35*AE55*AE10</f>
        <v>-635.8728592089418</v>
      </c>
      <c r="AF65" s="139">
        <f>-Inputs!$E$208*$E$35*AF55*AF10</f>
        <v>-651.76968068916528</v>
      </c>
      <c r="AG65" s="139">
        <f>-Inputs!$E$208*$E$35*AG55*AG10</f>
        <v>-668.06392270639435</v>
      </c>
      <c r="AH65" s="139">
        <f>-Inputs!$E$208*$E$35*AH55*AH10</f>
        <v>-684.76552077405415</v>
      </c>
      <c r="AI65" s="139">
        <f>-Inputs!$E$208*$E$35*AI55*AI10</f>
        <v>-701.88465879340549</v>
      </c>
      <c r="AJ65" s="139">
        <f>-Inputs!$E$208*$E$35*AJ55*AJ10</f>
        <v>-719.43177526324064</v>
      </c>
      <c r="AK65" s="139">
        <f>-Inputs!$E$208*$E$35*AK55*AK10</f>
        <v>-737.41756964482158</v>
      </c>
      <c r="AL65" s="139">
        <f>-Inputs!$E$208*$E$35*AL55*AL10</f>
        <v>-755.85300888594202</v>
      </c>
      <c r="AM65" s="139">
        <f>-Inputs!$E$208*$E$35*AM55*AM10</f>
        <v>-774.74933410809047</v>
      </c>
      <c r="AN65" s="139">
        <f>-Inputs!$E$208*$E$35*AN55*AN10</f>
        <v>-794.11806746079276</v>
      </c>
      <c r="AO65" s="139">
        <f>-Inputs!$E$208*$E$35*AO55*AO10</f>
        <v>-813.97101914731252</v>
      </c>
      <c r="AP65" s="139">
        <f>-Inputs!$E$208*$E$35*AP55*AP10</f>
        <v>-834.32029462599542</v>
      </c>
      <c r="AQ65" s="139">
        <f>-Inputs!$E$208*$E$35*AQ55*AQ10</f>
        <v>-427.58915099582254</v>
      </c>
    </row>
    <row r="66" spans="3:43" x14ac:dyDescent="0.25">
      <c r="C66" t="s">
        <v>1243</v>
      </c>
      <c r="D66" t="s">
        <v>125</v>
      </c>
      <c r="E66" s="139"/>
      <c r="F66" s="139"/>
      <c r="G66" s="139">
        <f t="shared" si="21"/>
        <v>-3333.861521460939</v>
      </c>
      <c r="H66" s="139">
        <f>-Inputs!$E$209*H55*H10</f>
        <v>0</v>
      </c>
      <c r="I66" s="139">
        <f>-Inputs!$E$209*I55*I10</f>
        <v>0</v>
      </c>
      <c r="J66" s="139">
        <f>-Inputs!$E$209*J55*J10</f>
        <v>0</v>
      </c>
      <c r="K66" s="139">
        <f>-Inputs!$E$209*K55*K10</f>
        <v>0</v>
      </c>
      <c r="L66" s="139">
        <f>-Inputs!$E$209*L55*L10</f>
        <v>0</v>
      </c>
      <c r="M66" s="139">
        <f>-Inputs!$E$209*M55*M10</f>
        <v>-37.5</v>
      </c>
      <c r="N66" s="139">
        <f>-Inputs!$E$209*N55*N10</f>
        <v>-76.875</v>
      </c>
      <c r="O66" s="139">
        <f>-Inputs!$E$209*O55*O10</f>
        <v>-78.796875</v>
      </c>
      <c r="P66" s="139">
        <f>-Inputs!$E$209*P55*P10</f>
        <v>-80.766796874999997</v>
      </c>
      <c r="Q66" s="139">
        <f>-Inputs!$E$209*Q55*Q10</f>
        <v>-82.785966796874987</v>
      </c>
      <c r="R66" s="139">
        <f>-Inputs!$E$209*R55*R10</f>
        <v>-84.855615966796847</v>
      </c>
      <c r="S66" s="139">
        <f>-Inputs!$E$209*S55*S10</f>
        <v>-86.977006365966758</v>
      </c>
      <c r="T66" s="139">
        <f>-Inputs!$E$209*T55*T10</f>
        <v>-89.151431525115939</v>
      </c>
      <c r="U66" s="139">
        <f>-Inputs!$E$209*U55*U10</f>
        <v>-91.380217313243833</v>
      </c>
      <c r="V66" s="139">
        <f>-Inputs!$E$209*V55*V10</f>
        <v>-93.664722746074901</v>
      </c>
      <c r="W66" s="139">
        <f>-Inputs!$E$209*W55*W10</f>
        <v>-96.006340814726784</v>
      </c>
      <c r="X66" s="139">
        <f>-Inputs!$E$209*X55*X10</f>
        <v>-98.406499335094949</v>
      </c>
      <c r="Y66" s="139">
        <f>-Inputs!$E$209*Y55*Y10</f>
        <v>-100.86666181847231</v>
      </c>
      <c r="Z66" s="139">
        <f>-Inputs!$E$209*Z55*Z10</f>
        <v>-103.38832836393412</v>
      </c>
      <c r="AA66" s="139">
        <f>-Inputs!$E$209*AA55*AA10</f>
        <v>-105.97303657303246</v>
      </c>
      <c r="AB66" s="139">
        <f>-Inputs!$E$209*AB55*AB10</f>
        <v>-108.62236248735829</v>
      </c>
      <c r="AC66" s="139">
        <f>-Inputs!$E$209*AC55*AC10</f>
        <v>-111.33792154954223</v>
      </c>
      <c r="AD66" s="139">
        <f>-Inputs!$E$209*AD55*AD10</f>
        <v>-114.12136958828077</v>
      </c>
      <c r="AE66" s="139">
        <f>-Inputs!$E$209*AE55*AE10</f>
        <v>-116.9744038279878</v>
      </c>
      <c r="AF66" s="139">
        <f>-Inputs!$E$209*AF55*AF10</f>
        <v>-119.8987639236875</v>
      </c>
      <c r="AG66" s="139">
        <f>-Inputs!$E$209*AG55*AG10</f>
        <v>-122.89623302177966</v>
      </c>
      <c r="AH66" s="139">
        <f>-Inputs!$E$209*AH55*AH10</f>
        <v>-125.96863884732414</v>
      </c>
      <c r="AI66" s="139">
        <f>-Inputs!$E$209*AI55*AI10</f>
        <v>-129.11785481850725</v>
      </c>
      <c r="AJ66" s="139">
        <f>-Inputs!$E$209*AJ55*AJ10</f>
        <v>-132.34580118896994</v>
      </c>
      <c r="AK66" s="139">
        <f>-Inputs!$E$209*AK55*AK10</f>
        <v>-135.65444621869418</v>
      </c>
      <c r="AL66" s="139">
        <f>-Inputs!$E$209*AL55*AL10</f>
        <v>-139.04580737416151</v>
      </c>
      <c r="AM66" s="139">
        <f>-Inputs!$E$209*AM55*AM10</f>
        <v>-142.52195255851552</v>
      </c>
      <c r="AN66" s="139">
        <f>-Inputs!$E$209*AN55*AN10</f>
        <v>-146.08500137247842</v>
      </c>
      <c r="AO66" s="139">
        <f>-Inputs!$E$209*AO55*AO10</f>
        <v>-149.73712640679037</v>
      </c>
      <c r="AP66" s="139">
        <f>-Inputs!$E$209*AP55*AP10</f>
        <v>-153.48055456696014</v>
      </c>
      <c r="AQ66" s="139">
        <f>-Inputs!$E$209*AQ55*AQ10</f>
        <v>-78.658784215567053</v>
      </c>
    </row>
    <row r="67" spans="3:43" x14ac:dyDescent="0.25">
      <c r="C67" t="s">
        <v>694</v>
      </c>
      <c r="D67" t="s">
        <v>125</v>
      </c>
      <c r="E67" s="134">
        <f>Inputs!$E$210</f>
        <v>0.05</v>
      </c>
      <c r="F67" s="139"/>
      <c r="G67" s="139">
        <f t="shared" si="21"/>
        <v>-11193.992098826238</v>
      </c>
      <c r="H67" s="139">
        <f t="shared" ref="H67:AQ67" si="22">(SUM(H56:H58)+SUM(H60:H66))*$E$67</f>
        <v>0</v>
      </c>
      <c r="I67" s="139">
        <f t="shared" si="22"/>
        <v>0</v>
      </c>
      <c r="J67" s="139">
        <f t="shared" si="22"/>
        <v>0</v>
      </c>
      <c r="K67" s="139">
        <f t="shared" si="22"/>
        <v>-9.7811055063440744</v>
      </c>
      <c r="L67" s="139">
        <f t="shared" si="22"/>
        <v>-19.887804878048787</v>
      </c>
      <c r="M67" s="139">
        <f t="shared" si="22"/>
        <v>-137.80066084175596</v>
      </c>
      <c r="N67" s="139">
        <f t="shared" si="22"/>
        <v>-261.32530425599998</v>
      </c>
      <c r="O67" s="139">
        <f t="shared" si="22"/>
        <v>-267.58037998356434</v>
      </c>
      <c r="P67" s="139">
        <f t="shared" si="22"/>
        <v>-273.98612792459744</v>
      </c>
      <c r="Q67" s="139">
        <f t="shared" si="22"/>
        <v>-280.54619253960317</v>
      </c>
      <c r="R67" s="139">
        <f t="shared" si="22"/>
        <v>-287.26430673721728</v>
      </c>
      <c r="S67" s="139">
        <f t="shared" si="22"/>
        <v>-294.14429402714916</v>
      </c>
      <c r="T67" s="139">
        <f t="shared" si="22"/>
        <v>-301.19007072567007</v>
      </c>
      <c r="U67" s="139">
        <f t="shared" si="22"/>
        <v>-308.40564821493399</v>
      </c>
      <c r="V67" s="139">
        <f t="shared" si="22"/>
        <v>-315.79513525744926</v>
      </c>
      <c r="W67" s="139">
        <f t="shared" si="22"/>
        <v>-323.36274036704879</v>
      </c>
      <c r="X67" s="139">
        <f t="shared" si="22"/>
        <v>-331.11277423774311</v>
      </c>
      <c r="Y67" s="139">
        <f t="shared" si="22"/>
        <v>-339.04965223187173</v>
      </c>
      <c r="Z67" s="139">
        <f t="shared" si="22"/>
        <v>-347.17789692900476</v>
      </c>
      <c r="AA67" s="139">
        <f t="shared" si="22"/>
        <v>-355.50214073708094</v>
      </c>
      <c r="AB67" s="139">
        <f t="shared" si="22"/>
        <v>-364.02712856730625</v>
      </c>
      <c r="AC67" s="139">
        <f t="shared" si="22"/>
        <v>-372.75772057437302</v>
      </c>
      <c r="AD67" s="139">
        <f t="shared" si="22"/>
        <v>-381.69889496359986</v>
      </c>
      <c r="AE67" s="139">
        <f t="shared" si="22"/>
        <v>-390.85575086662857</v>
      </c>
      <c r="AF67" s="139">
        <f t="shared" si="22"/>
        <v>-400.2335112873584</v>
      </c>
      <c r="AG67" s="139">
        <f t="shared" si="22"/>
        <v>-409.83752611983675</v>
      </c>
      <c r="AH67" s="139">
        <f t="shared" si="22"/>
        <v>-419.67327523986683</v>
      </c>
      <c r="AI67" s="139">
        <f t="shared" si="22"/>
        <v>-429.74637167214007</v>
      </c>
      <c r="AJ67" s="139">
        <f t="shared" si="22"/>
        <v>-440.06256483473919</v>
      </c>
      <c r="AK67" s="139">
        <f t="shared" si="22"/>
        <v>-450.62774386290931</v>
      </c>
      <c r="AL67" s="139">
        <f t="shared" si="22"/>
        <v>-461.44794101403818</v>
      </c>
      <c r="AM67" s="139">
        <f t="shared" si="22"/>
        <v>-472.52933515583186</v>
      </c>
      <c r="AN67" s="139">
        <f t="shared" si="22"/>
        <v>-483.87825533972705</v>
      </c>
      <c r="AO67" s="139">
        <f t="shared" si="22"/>
        <v>-495.50118446162435</v>
      </c>
      <c r="AP67" s="139">
        <f t="shared" si="22"/>
        <v>-507.40476301208582</v>
      </c>
      <c r="AQ67" s="139">
        <f t="shared" si="22"/>
        <v>-259.79789645909068</v>
      </c>
    </row>
    <row r="68" spans="3:43" x14ac:dyDescent="0.25">
      <c r="C68" t="s">
        <v>697</v>
      </c>
      <c r="D68" t="s">
        <v>125</v>
      </c>
      <c r="E68" s="42">
        <f>Inputs!$E$212</f>
        <v>0.02</v>
      </c>
      <c r="F68" s="139"/>
      <c r="G68" s="139">
        <f t="shared" si="21"/>
        <v>-19329.613247214227</v>
      </c>
      <c r="H68" s="139">
        <f t="shared" ref="H68:AQ68" si="23">-H54*$E$68</f>
        <v>0</v>
      </c>
      <c r="I68" s="139">
        <f t="shared" si="23"/>
        <v>0</v>
      </c>
      <c r="J68" s="139">
        <f t="shared" si="23"/>
        <v>0</v>
      </c>
      <c r="K68" s="139">
        <f t="shared" si="23"/>
        <v>0</v>
      </c>
      <c r="L68" s="139">
        <f t="shared" si="23"/>
        <v>0</v>
      </c>
      <c r="M68" s="139">
        <f t="shared" si="23"/>
        <v>-369.93392574347769</v>
      </c>
      <c r="N68" s="139">
        <f t="shared" si="23"/>
        <v>-581.09970240000007</v>
      </c>
      <c r="O68" s="139">
        <f t="shared" si="23"/>
        <v>-585.14996732572797</v>
      </c>
      <c r="P68" s="139">
        <f t="shared" si="23"/>
        <v>-589.22846259798814</v>
      </c>
      <c r="Q68" s="139">
        <f t="shared" si="23"/>
        <v>-593.33538498229632</v>
      </c>
      <c r="R68" s="139">
        <f t="shared" si="23"/>
        <v>-597.47093261562293</v>
      </c>
      <c r="S68" s="139">
        <f t="shared" si="23"/>
        <v>-601.63530501595392</v>
      </c>
      <c r="T68" s="139">
        <f t="shared" si="23"/>
        <v>-605.8287030919148</v>
      </c>
      <c r="U68" s="139">
        <f t="shared" si="23"/>
        <v>-610.05132915246566</v>
      </c>
      <c r="V68" s="139">
        <f t="shared" si="23"/>
        <v>-614.30338691665838</v>
      </c>
      <c r="W68" s="139">
        <f t="shared" si="23"/>
        <v>-618.58508152346758</v>
      </c>
      <c r="X68" s="139">
        <f t="shared" si="23"/>
        <v>-622.89661954168605</v>
      </c>
      <c r="Y68" s="139">
        <f t="shared" si="23"/>
        <v>-627.23820897989162</v>
      </c>
      <c r="Z68" s="139">
        <f t="shared" si="23"/>
        <v>-631.61005929648138</v>
      </c>
      <c r="AA68" s="139">
        <f t="shared" si="23"/>
        <v>-636.01238140977784</v>
      </c>
      <c r="AB68" s="139">
        <f t="shared" si="23"/>
        <v>-640.44538770820407</v>
      </c>
      <c r="AC68" s="139">
        <f t="shared" si="23"/>
        <v>-644.90929206053033</v>
      </c>
      <c r="AD68" s="139">
        <f t="shared" si="23"/>
        <v>-649.40430982619239</v>
      </c>
      <c r="AE68" s="139">
        <f t="shared" si="23"/>
        <v>-653.93065786568104</v>
      </c>
      <c r="AF68" s="139">
        <f t="shared" si="23"/>
        <v>-658.48855455100465</v>
      </c>
      <c r="AG68" s="139">
        <f t="shared" si="23"/>
        <v>-663.0782197762253</v>
      </c>
      <c r="AH68" s="139">
        <f t="shared" si="23"/>
        <v>-667.69987496806539</v>
      </c>
      <c r="AI68" s="139">
        <f t="shared" si="23"/>
        <v>-672.35374309659301</v>
      </c>
      <c r="AJ68" s="139">
        <f t="shared" si="23"/>
        <v>-677.04004868597622</v>
      </c>
      <c r="AK68" s="139">
        <f t="shared" si="23"/>
        <v>-681.75901782531753</v>
      </c>
      <c r="AL68" s="139">
        <f t="shared" si="23"/>
        <v>-686.51087817956011</v>
      </c>
      <c r="AM68" s="139">
        <f t="shared" si="23"/>
        <v>-691.29585900047175</v>
      </c>
      <c r="AN68" s="139">
        <f t="shared" si="23"/>
        <v>-696.11419113770467</v>
      </c>
      <c r="AO68" s="139">
        <f t="shared" si="23"/>
        <v>-700.96610704993452</v>
      </c>
      <c r="AP68" s="139">
        <f t="shared" si="23"/>
        <v>-705.85184081607269</v>
      </c>
      <c r="AQ68" s="139">
        <f t="shared" si="23"/>
        <v>-355.38581407328041</v>
      </c>
    </row>
    <row r="69" spans="3:43" x14ac:dyDescent="0.25">
      <c r="C69" s="198" t="s">
        <v>1244</v>
      </c>
      <c r="D69" s="198" t="s">
        <v>125</v>
      </c>
      <c r="E69" s="269"/>
      <c r="F69" s="269"/>
      <c r="G69" s="269">
        <f t="shared" si="21"/>
        <v>-281993.72830342705</v>
      </c>
      <c r="H69" s="269">
        <f t="shared" ref="H69:AQ69" si="24">SUM(H56:H68)</f>
        <v>0</v>
      </c>
      <c r="I69" s="269">
        <f t="shared" si="24"/>
        <v>0</v>
      </c>
      <c r="J69" s="269">
        <f t="shared" si="24"/>
        <v>0</v>
      </c>
      <c r="K69" s="269">
        <f t="shared" si="24"/>
        <v>-205.40321563322553</v>
      </c>
      <c r="L69" s="269">
        <f t="shared" si="24"/>
        <v>-417.64390243902449</v>
      </c>
      <c r="M69" s="269">
        <f t="shared" si="24"/>
        <v>-3743.2030034203526</v>
      </c>
      <c r="N69" s="269">
        <f t="shared" si="24"/>
        <v>-7027.8414917759992</v>
      </c>
      <c r="O69" s="269">
        <f t="shared" si="24"/>
        <v>-7160.3716157805784</v>
      </c>
      <c r="P69" s="269">
        <f t="shared" si="24"/>
        <v>-7296.1027168081346</v>
      </c>
      <c r="Q69" s="269">
        <f t="shared" si="24"/>
        <v>-7435.1114994041809</v>
      </c>
      <c r="R69" s="269">
        <f t="shared" si="24"/>
        <v>-7577.4765269741338</v>
      </c>
      <c r="S69" s="269">
        <f t="shared" si="24"/>
        <v>-7723.2782670044044</v>
      </c>
      <c r="T69" s="269">
        <f t="shared" si="24"/>
        <v>-7872.5991373870493</v>
      </c>
      <c r="U69" s="269">
        <f t="shared" si="24"/>
        <v>-8025.523553874973</v>
      </c>
      <c r="V69" s="269">
        <f t="shared" si="24"/>
        <v>-8182.1379786953603</v>
      </c>
      <c r="W69" s="269">
        <f t="shared" si="24"/>
        <v>-8342.5309703496423</v>
      </c>
      <c r="X69" s="269">
        <f t="shared" si="24"/>
        <v>-8506.7932346290872</v>
      </c>
      <c r="Y69" s="269">
        <f t="shared" si="24"/>
        <v>-8675.0176768757101</v>
      </c>
      <c r="Z69" s="269">
        <f t="shared" si="24"/>
        <v>-8847.2994555190126</v>
      </c>
      <c r="AA69" s="269">
        <f t="shared" si="24"/>
        <v>-9023.7360369197704</v>
      </c>
      <c r="AB69" s="269">
        <f t="shared" si="24"/>
        <v>-9204.4272515528337</v>
      </c>
      <c r="AC69" s="269">
        <f t="shared" si="24"/>
        <v>-9389.4753515617685</v>
      </c>
      <c r="AD69" s="269">
        <f t="shared" si="24"/>
        <v>-9578.9850697188758</v>
      </c>
      <c r="AE69" s="269">
        <f t="shared" si="24"/>
        <v>-9773.0636798249961</v>
      </c>
      <c r="AF69" s="269">
        <f t="shared" si="24"/>
        <v>-9971.8210585843663</v>
      </c>
      <c r="AG69" s="269">
        <f t="shared" si="24"/>
        <v>-10175.369748990635</v>
      </c>
      <c r="AH69" s="269">
        <f t="shared" si="24"/>
        <v>-10383.825025261014</v>
      </c>
      <c r="AI69" s="269">
        <f t="shared" si="24"/>
        <v>-10597.304959356512</v>
      </c>
      <c r="AJ69" s="269">
        <f t="shared" si="24"/>
        <v>-10815.930489127042</v>
      </c>
      <c r="AK69" s="269">
        <f t="shared" si="24"/>
        <v>-11039.825488121223</v>
      </c>
      <c r="AL69" s="269">
        <f t="shared" si="24"/>
        <v>-11269.116837101645</v>
      </c>
      <c r="AM69" s="269">
        <f t="shared" si="24"/>
        <v>-11503.934497307344</v>
      </c>
      <c r="AN69" s="269">
        <f t="shared" si="24"/>
        <v>-11744.41158550627</v>
      </c>
      <c r="AO69" s="269">
        <f t="shared" si="24"/>
        <v>-11990.684450881643</v>
      </c>
      <c r="AP69" s="269">
        <f t="shared" si="24"/>
        <v>-12242.892753797058</v>
      </c>
      <c r="AQ69" s="269">
        <f t="shared" si="24"/>
        <v>-6250.5897732431849</v>
      </c>
    </row>
    <row r="70" spans="3:43" x14ac:dyDescent="0.25">
      <c r="C70" s="198" t="s">
        <v>13</v>
      </c>
      <c r="D70" s="198" t="s">
        <v>125</v>
      </c>
      <c r="E70" s="269"/>
      <c r="F70" s="269"/>
      <c r="G70" s="269">
        <f t="shared" si="21"/>
        <v>684486.93405728426</v>
      </c>
      <c r="H70" s="269">
        <f t="shared" ref="H70:AQ70" si="25">H54+H69</f>
        <v>0</v>
      </c>
      <c r="I70" s="269">
        <f t="shared" si="25"/>
        <v>0</v>
      </c>
      <c r="J70" s="269">
        <f t="shared" si="25"/>
        <v>0</v>
      </c>
      <c r="K70" s="269">
        <f t="shared" si="25"/>
        <v>-205.40321563322553</v>
      </c>
      <c r="L70" s="269">
        <f t="shared" si="25"/>
        <v>-417.64390243902449</v>
      </c>
      <c r="M70" s="269">
        <f t="shared" si="25"/>
        <v>14753.493283753531</v>
      </c>
      <c r="N70" s="269">
        <f t="shared" si="25"/>
        <v>22027.143628224003</v>
      </c>
      <c r="O70" s="269">
        <f t="shared" si="25"/>
        <v>22097.12675050582</v>
      </c>
      <c r="P70" s="269">
        <f t="shared" si="25"/>
        <v>22165.320413091275</v>
      </c>
      <c r="Q70" s="269">
        <f t="shared" si="25"/>
        <v>22231.657749710634</v>
      </c>
      <c r="R70" s="269">
        <f t="shared" si="25"/>
        <v>22296.070103807011</v>
      </c>
      <c r="S70" s="269">
        <f t="shared" si="25"/>
        <v>22358.486983793293</v>
      </c>
      <c r="T70" s="269">
        <f t="shared" si="25"/>
        <v>22418.83601720869</v>
      </c>
      <c r="U70" s="269">
        <f t="shared" si="25"/>
        <v>22477.042903748312</v>
      </c>
      <c r="V70" s="269">
        <f t="shared" si="25"/>
        <v>22533.031367137562</v>
      </c>
      <c r="W70" s="269">
        <f t="shared" si="25"/>
        <v>22586.723105823738</v>
      </c>
      <c r="X70" s="269">
        <f t="shared" si="25"/>
        <v>22638.037742455213</v>
      </c>
      <c r="Y70" s="269">
        <f t="shared" si="25"/>
        <v>22686.892772118867</v>
      </c>
      <c r="Z70" s="269">
        <f t="shared" si="25"/>
        <v>22733.203509305058</v>
      </c>
      <c r="AA70" s="269">
        <f t="shared" si="25"/>
        <v>22776.883033569124</v>
      </c>
      <c r="AB70" s="269">
        <f t="shared" si="25"/>
        <v>22817.842133857368</v>
      </c>
      <c r="AC70" s="269">
        <f t="shared" si="25"/>
        <v>22855.989251464751</v>
      </c>
      <c r="AD70" s="269">
        <f t="shared" si="25"/>
        <v>22891.230421590742</v>
      </c>
      <c r="AE70" s="269">
        <f t="shared" si="25"/>
        <v>22923.469213459051</v>
      </c>
      <c r="AF70" s="269">
        <f t="shared" si="25"/>
        <v>22952.606668965866</v>
      </c>
      <c r="AG70" s="269">
        <f t="shared" si="25"/>
        <v>22978.541239820632</v>
      </c>
      <c r="AH70" s="269">
        <f t="shared" si="25"/>
        <v>23001.168723142255</v>
      </c>
      <c r="AI70" s="269">
        <f t="shared" si="25"/>
        <v>23020.382195473136</v>
      </c>
      <c r="AJ70" s="269">
        <f t="shared" si="25"/>
        <v>23036.071945171767</v>
      </c>
      <c r="AK70" s="269">
        <f t="shared" si="25"/>
        <v>23048.125403144655</v>
      </c>
      <c r="AL70" s="269">
        <f t="shared" si="25"/>
        <v>23056.427071876358</v>
      </c>
      <c r="AM70" s="269">
        <f t="shared" si="25"/>
        <v>23060.858452716238</v>
      </c>
      <c r="AN70" s="269">
        <f t="shared" si="25"/>
        <v>23061.297971378961</v>
      </c>
      <c r="AO70" s="269">
        <f t="shared" si="25"/>
        <v>23057.620901615082</v>
      </c>
      <c r="AP70" s="269">
        <f t="shared" si="25"/>
        <v>23049.699287006573</v>
      </c>
      <c r="AQ70" s="269">
        <f t="shared" si="25"/>
        <v>11518.700930420837</v>
      </c>
    </row>
    <row r="71" spans="3:43" x14ac:dyDescent="0.25">
      <c r="C71" t="s">
        <v>1245</v>
      </c>
      <c r="D71" t="s">
        <v>51</v>
      </c>
      <c r="E71" s="139"/>
      <c r="F71" s="139"/>
      <c r="G71" s="134">
        <f t="shared" ref="G71:AQ71" si="26">IF(G54=0,"",G70/G54)</f>
        <v>0.70822620742909304</v>
      </c>
      <c r="H71" s="134" t="str">
        <f t="shared" si="26"/>
        <v/>
      </c>
      <c r="I71" s="134" t="str">
        <f t="shared" si="26"/>
        <v/>
      </c>
      <c r="J71" s="134" t="str">
        <f t="shared" si="26"/>
        <v/>
      </c>
      <c r="K71" s="134" t="str">
        <f t="shared" si="26"/>
        <v/>
      </c>
      <c r="L71" s="134" t="str">
        <f t="shared" si="26"/>
        <v/>
      </c>
      <c r="M71" s="134">
        <f t="shared" si="26"/>
        <v>0.79762856321450271</v>
      </c>
      <c r="N71" s="134">
        <f t="shared" si="26"/>
        <v>0.75811925345167763</v>
      </c>
      <c r="O71" s="134">
        <f t="shared" si="26"/>
        <v>0.75526370962626388</v>
      </c>
      <c r="P71" s="134">
        <f t="shared" si="26"/>
        <v>0.75235063545170144</v>
      </c>
      <c r="Q71" s="134">
        <f t="shared" si="26"/>
        <v>0.74937913067072415</v>
      </c>
      <c r="R71" s="134">
        <f t="shared" si="26"/>
        <v>0.74634827860825725</v>
      </c>
      <c r="S71" s="134">
        <f t="shared" si="26"/>
        <v>0.74325714589506675</v>
      </c>
      <c r="T71" s="134">
        <f t="shared" si="26"/>
        <v>0.740104782186504</v>
      </c>
      <c r="U71" s="134">
        <f t="shared" si="26"/>
        <v>0.7368902198762618</v>
      </c>
      <c r="V71" s="134">
        <f t="shared" si="26"/>
        <v>0.73361247380505112</v>
      </c>
      <c r="W71" s="134">
        <f t="shared" si="26"/>
        <v>0.73027054096411648</v>
      </c>
      <c r="X71" s="134">
        <f t="shared" si="26"/>
        <v>0.72686340019349593</v>
      </c>
      <c r="Y71" s="134">
        <f t="shared" si="26"/>
        <v>0.72339001187493601</v>
      </c>
      <c r="Z71" s="134">
        <f t="shared" si="26"/>
        <v>0.71984931761936877</v>
      </c>
      <c r="AA71" s="134">
        <f t="shared" si="26"/>
        <v>0.71624023994885577</v>
      </c>
      <c r="AB71" s="134">
        <f t="shared" si="26"/>
        <v>0.71256168197290537</v>
      </c>
      <c r="AC71" s="134">
        <f t="shared" si="26"/>
        <v>0.70881252705906173</v>
      </c>
      <c r="AD71" s="134">
        <f t="shared" si="26"/>
        <v>0.70499163849766833</v>
      </c>
      <c r="AE71" s="134">
        <f t="shared" si="26"/>
        <v>0.70109785916070599</v>
      </c>
      <c r="AF71" s="134">
        <f t="shared" si="26"/>
        <v>0.69713001115459849</v>
      </c>
      <c r="AG71" s="134">
        <f t="shared" si="26"/>
        <v>0.69308689546688462</v>
      </c>
      <c r="AH71" s="134">
        <f t="shared" si="26"/>
        <v>0.68896729160664738</v>
      </c>
      <c r="AI71" s="134">
        <f t="shared" si="26"/>
        <v>0.68476995723859424</v>
      </c>
      <c r="AJ71" s="134">
        <f t="shared" si="26"/>
        <v>0.68049362781067402</v>
      </c>
      <c r="AK71" s="134">
        <f t="shared" si="26"/>
        <v>0.67613701617512356</v>
      </c>
      <c r="AL71" s="134">
        <f t="shared" si="26"/>
        <v>0.67169881220282257</v>
      </c>
      <c r="AM71" s="134">
        <f t="shared" si="26"/>
        <v>0.66717768239084752</v>
      </c>
      <c r="AN71" s="134">
        <f t="shared" si="26"/>
        <v>0.66257226946310011</v>
      </c>
      <c r="AO71" s="134">
        <f t="shared" si="26"/>
        <v>0.65788119196389427</v>
      </c>
      <c r="AP71" s="134">
        <f t="shared" si="26"/>
        <v>0.65310304384437379</v>
      </c>
      <c r="AQ71" s="134">
        <f t="shared" si="26"/>
        <v>0.64823639404164202</v>
      </c>
    </row>
    <row r="72" spans="3:43" x14ac:dyDescent="0.25">
      <c r="C72" t="s">
        <v>1246</v>
      </c>
      <c r="D72" t="s">
        <v>44</v>
      </c>
      <c r="E72" s="139"/>
      <c r="F72" s="139"/>
      <c r="G72" s="151"/>
      <c r="H72" s="151" t="str">
        <f t="shared" ref="H72:AQ72" si="27">IF(H8=1,-H69/H35,"")</f>
        <v/>
      </c>
      <c r="I72" s="151" t="str">
        <f t="shared" si="27"/>
        <v/>
      </c>
      <c r="J72" s="151" t="str">
        <f t="shared" si="27"/>
        <v/>
      </c>
      <c r="K72" s="151" t="str">
        <f t="shared" si="27"/>
        <v/>
      </c>
      <c r="L72" s="151" t="str">
        <f t="shared" si="27"/>
        <v/>
      </c>
      <c r="M72" s="151" t="str">
        <f t="shared" si="27"/>
        <v/>
      </c>
      <c r="N72" s="151">
        <f t="shared" si="27"/>
        <v>51.713329593642378</v>
      </c>
      <c r="O72" s="151">
        <f t="shared" si="27"/>
        <v>52.688532860784242</v>
      </c>
      <c r="P72" s="151">
        <f t="shared" si="27"/>
        <v>53.687290042738297</v>
      </c>
      <c r="Q72" s="151">
        <f t="shared" si="27"/>
        <v>54.71016555852966</v>
      </c>
      <c r="R72" s="151">
        <f t="shared" si="27"/>
        <v>55.757737505328429</v>
      </c>
      <c r="S72" s="151">
        <f t="shared" si="27"/>
        <v>56.830597991202382</v>
      </c>
      <c r="T72" s="151">
        <f t="shared" si="27"/>
        <v>57.929353475990055</v>
      </c>
      <c r="U72" s="151">
        <f t="shared" si="27"/>
        <v>59.054625120492808</v>
      </c>
      <c r="V72" s="151">
        <f t="shared" si="27"/>
        <v>60.207049144189554</v>
      </c>
      <c r="W72" s="151">
        <f t="shared" si="27"/>
        <v>61.387277191682429</v>
      </c>
      <c r="X72" s="151">
        <f t="shared" si="27"/>
        <v>62.59597670808747</v>
      </c>
      <c r="Y72" s="151">
        <f t="shared" si="27"/>
        <v>63.83383132358874</v>
      </c>
      <c r="Z72" s="151">
        <f t="shared" si="27"/>
        <v>65.10154124738051</v>
      </c>
      <c r="AA72" s="151">
        <f t="shared" si="27"/>
        <v>66.399823671227153</v>
      </c>
      <c r="AB72" s="151">
        <f t="shared" si="27"/>
        <v>67.729413182875888</v>
      </c>
      <c r="AC72" s="151">
        <f t="shared" si="27"/>
        <v>69.091062189564155</v>
      </c>
      <c r="AD72" s="151">
        <f t="shared" si="27"/>
        <v>70.485541351868108</v>
      </c>
      <c r="AE72" s="151">
        <f t="shared" si="27"/>
        <v>71.913640028145664</v>
      </c>
      <c r="AF72" s="151">
        <f t="shared" si="27"/>
        <v>73.376166729833443</v>
      </c>
      <c r="AG72" s="151">
        <f t="shared" si="27"/>
        <v>74.873949587863393</v>
      </c>
      <c r="AH72" s="151">
        <f t="shared" si="27"/>
        <v>76.407836830471041</v>
      </c>
      <c r="AI72" s="151">
        <f t="shared" si="27"/>
        <v>77.97869727267485</v>
      </c>
      <c r="AJ72" s="151">
        <f t="shared" si="27"/>
        <v>79.587420817711859</v>
      </c>
      <c r="AK72" s="151">
        <f t="shared" si="27"/>
        <v>81.234918970722759</v>
      </c>
      <c r="AL72" s="151">
        <f t="shared" si="27"/>
        <v>82.922125364986343</v>
      </c>
      <c r="AM72" s="151">
        <f t="shared" si="27"/>
        <v>84.649996301010617</v>
      </c>
      <c r="AN72" s="151">
        <f t="shared" si="27"/>
        <v>86.419511298795214</v>
      </c>
      <c r="AO72" s="151">
        <f t="shared" si="27"/>
        <v>88.231673663588239</v>
      </c>
      <c r="AP72" s="151">
        <f t="shared" si="27"/>
        <v>90.08751106546768</v>
      </c>
      <c r="AQ72" s="151" t="str">
        <f t="shared" si="27"/>
        <v/>
      </c>
    </row>
    <row r="73" spans="3:43" x14ac:dyDescent="0.25">
      <c r="E73" s="139"/>
      <c r="F73" s="139"/>
      <c r="G73" s="139"/>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row>
    <row r="74" spans="3:43" x14ac:dyDescent="0.25">
      <c r="C74" s="129" t="s">
        <v>1247</v>
      </c>
      <c r="D74" s="129"/>
      <c r="E74" s="273">
        <f>Inputs!$E$220</f>
        <v>0.05</v>
      </c>
      <c r="F74" s="271" t="s">
        <v>1248</v>
      </c>
      <c r="G74" s="270"/>
      <c r="H74" s="270"/>
      <c r="I74" s="270"/>
      <c r="J74" s="270"/>
      <c r="K74" s="270"/>
      <c r="L74" s="270"/>
      <c r="M74" s="270"/>
      <c r="N74" s="270"/>
      <c r="O74" s="270"/>
      <c r="P74" s="270"/>
      <c r="Q74" s="270"/>
      <c r="R74" s="270"/>
      <c r="S74" s="270"/>
      <c r="T74" s="270"/>
      <c r="U74" s="270"/>
      <c r="V74" s="270"/>
      <c r="W74" s="270"/>
      <c r="X74" s="270"/>
      <c r="Y74" s="270"/>
      <c r="Z74" s="270"/>
      <c r="AA74" s="270"/>
      <c r="AB74" s="270"/>
      <c r="AC74" s="270"/>
      <c r="AD74" s="270"/>
      <c r="AE74" s="270"/>
      <c r="AF74" s="270"/>
      <c r="AG74" s="270"/>
      <c r="AH74" s="270"/>
      <c r="AI74" s="270"/>
      <c r="AJ74" s="270"/>
      <c r="AK74" s="270"/>
      <c r="AL74" s="270"/>
      <c r="AM74" s="270"/>
      <c r="AN74" s="270"/>
      <c r="AO74" s="270"/>
      <c r="AP74" s="270"/>
      <c r="AQ74" s="270"/>
    </row>
    <row r="75" spans="3:43" x14ac:dyDescent="0.25">
      <c r="C75" t="s">
        <v>1249</v>
      </c>
      <c r="D75" t="s">
        <v>125</v>
      </c>
      <c r="E75" s="139">
        <f>Inputs!$E$219*-G30</f>
        <v>82393.62414657537</v>
      </c>
      <c r="F75" s="139"/>
      <c r="G75" s="139"/>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row>
    <row r="76" spans="3:43" x14ac:dyDescent="0.25">
      <c r="C76" t="s">
        <v>1042</v>
      </c>
      <c r="D76" t="s">
        <v>125</v>
      </c>
      <c r="E76" s="139"/>
      <c r="F76" s="139"/>
      <c r="G76" s="139"/>
      <c r="H76" s="139">
        <f t="shared" ref="H76:AQ76" si="28">G84</f>
        <v>0</v>
      </c>
      <c r="I76" s="139">
        <f t="shared" si="28"/>
        <v>0</v>
      </c>
      <c r="J76" s="139">
        <f t="shared" si="28"/>
        <v>0</v>
      </c>
      <c r="K76" s="139">
        <f t="shared" si="28"/>
        <v>0</v>
      </c>
      <c r="L76" s="139">
        <f t="shared" si="28"/>
        <v>21286.900704170021</v>
      </c>
      <c r="M76" s="139">
        <f t="shared" si="28"/>
        <v>64577.978114498401</v>
      </c>
      <c r="N76" s="139">
        <f t="shared" si="28"/>
        <v>86869.179564321428</v>
      </c>
      <c r="O76" s="139">
        <f t="shared" si="28"/>
        <v>82843.463060572554</v>
      </c>
      <c r="P76" s="139">
        <f t="shared" si="28"/>
        <v>78616.460731636238</v>
      </c>
      <c r="Q76" s="139">
        <f t="shared" si="28"/>
        <v>74178.108286253104</v>
      </c>
      <c r="R76" s="139">
        <f t="shared" si="28"/>
        <v>69517.838218600809</v>
      </c>
      <c r="S76" s="139">
        <f t="shared" si="28"/>
        <v>64624.554647565899</v>
      </c>
      <c r="T76" s="139">
        <f t="shared" si="28"/>
        <v>59486.606897979247</v>
      </c>
      <c r="U76" s="139">
        <f t="shared" si="28"/>
        <v>54091.761760913258</v>
      </c>
      <c r="V76" s="139">
        <f t="shared" si="28"/>
        <v>48427.174366993975</v>
      </c>
      <c r="W76" s="139">
        <f t="shared" si="28"/>
        <v>42479.357603378725</v>
      </c>
      <c r="X76" s="139">
        <f t="shared" si="28"/>
        <v>36234.150001582711</v>
      </c>
      <c r="Y76" s="139">
        <f t="shared" si="28"/>
        <v>29676.682019696898</v>
      </c>
      <c r="Z76" s="139">
        <f t="shared" si="28"/>
        <v>22791.340638716792</v>
      </c>
      <c r="AA76" s="139">
        <f t="shared" si="28"/>
        <v>15561.732188687683</v>
      </c>
      <c r="AB76" s="139">
        <f t="shared" si="28"/>
        <v>7970.6433161571185</v>
      </c>
      <c r="AC76" s="139">
        <f t="shared" si="28"/>
        <v>2.5465851649641991E-11</v>
      </c>
      <c r="AD76" s="139">
        <f t="shared" si="28"/>
        <v>2.5465851649641991E-11</v>
      </c>
      <c r="AE76" s="139">
        <f t="shared" si="28"/>
        <v>2.5465851649641991E-11</v>
      </c>
      <c r="AF76" s="139">
        <f t="shared" si="28"/>
        <v>2.5465851649641991E-11</v>
      </c>
      <c r="AG76" s="139">
        <f t="shared" si="28"/>
        <v>2.5465851649641991E-11</v>
      </c>
      <c r="AH76" s="139">
        <f t="shared" si="28"/>
        <v>2.5465851649641991E-11</v>
      </c>
      <c r="AI76" s="139">
        <f t="shared" si="28"/>
        <v>2.5465851649641991E-11</v>
      </c>
      <c r="AJ76" s="139">
        <f t="shared" si="28"/>
        <v>2.5465851649641991E-11</v>
      </c>
      <c r="AK76" s="139">
        <f t="shared" si="28"/>
        <v>2.5465851649641991E-11</v>
      </c>
      <c r="AL76" s="139">
        <f t="shared" si="28"/>
        <v>2.5465851649641991E-11</v>
      </c>
      <c r="AM76" s="139">
        <f t="shared" si="28"/>
        <v>2.5465851649641991E-11</v>
      </c>
      <c r="AN76" s="139">
        <f t="shared" si="28"/>
        <v>2.5465851649641991E-11</v>
      </c>
      <c r="AO76" s="139">
        <f t="shared" si="28"/>
        <v>2.5465851649641991E-11</v>
      </c>
      <c r="AP76" s="139">
        <f t="shared" si="28"/>
        <v>2.5465851649641991E-11</v>
      </c>
      <c r="AQ76" s="139">
        <f t="shared" si="28"/>
        <v>2.5465851649641991E-11</v>
      </c>
    </row>
    <row r="77" spans="3:43" x14ac:dyDescent="0.25">
      <c r="C77" t="s">
        <v>1250</v>
      </c>
      <c r="D77" t="s">
        <v>125</v>
      </c>
      <c r="E77" s="139"/>
      <c r="F77" s="139"/>
      <c r="G77" s="139">
        <f>SUM(H77:AQ77)</f>
        <v>82393.62414657537</v>
      </c>
      <c r="H77" s="139">
        <f t="shared" ref="H77:AQ77" si="29">$E$75*H7+H369</f>
        <v>0</v>
      </c>
      <c r="I77" s="139">
        <f t="shared" si="29"/>
        <v>0</v>
      </c>
      <c r="J77" s="139">
        <f t="shared" si="29"/>
        <v>0</v>
      </c>
      <c r="K77" s="139">
        <f t="shared" si="29"/>
        <v>20767.708004068314</v>
      </c>
      <c r="L77" s="139">
        <f t="shared" si="29"/>
        <v>41196.812073287685</v>
      </c>
      <c r="M77" s="139">
        <f t="shared" si="29"/>
        <v>20429.104069219375</v>
      </c>
      <c r="N77" s="139">
        <f t="shared" si="29"/>
        <v>0</v>
      </c>
      <c r="O77" s="139">
        <f t="shared" si="29"/>
        <v>0</v>
      </c>
      <c r="P77" s="139">
        <f t="shared" si="29"/>
        <v>0</v>
      </c>
      <c r="Q77" s="139">
        <f t="shared" si="29"/>
        <v>0</v>
      </c>
      <c r="R77" s="139">
        <f t="shared" si="29"/>
        <v>0</v>
      </c>
      <c r="S77" s="139">
        <f t="shared" si="29"/>
        <v>0</v>
      </c>
      <c r="T77" s="139">
        <f t="shared" si="29"/>
        <v>0</v>
      </c>
      <c r="U77" s="139">
        <f t="shared" si="29"/>
        <v>0</v>
      </c>
      <c r="V77" s="139">
        <f t="shared" si="29"/>
        <v>0</v>
      </c>
      <c r="W77" s="139">
        <f t="shared" si="29"/>
        <v>0</v>
      </c>
      <c r="X77" s="139">
        <f t="shared" si="29"/>
        <v>0</v>
      </c>
      <c r="Y77" s="139">
        <f t="shared" si="29"/>
        <v>0</v>
      </c>
      <c r="Z77" s="139">
        <f t="shared" si="29"/>
        <v>0</v>
      </c>
      <c r="AA77" s="139">
        <f t="shared" si="29"/>
        <v>0</v>
      </c>
      <c r="AB77" s="139">
        <f t="shared" si="29"/>
        <v>0</v>
      </c>
      <c r="AC77" s="139">
        <f t="shared" si="29"/>
        <v>0</v>
      </c>
      <c r="AD77" s="139">
        <f t="shared" si="29"/>
        <v>0</v>
      </c>
      <c r="AE77" s="139">
        <f t="shared" si="29"/>
        <v>0</v>
      </c>
      <c r="AF77" s="139">
        <f t="shared" si="29"/>
        <v>0</v>
      </c>
      <c r="AG77" s="139">
        <f t="shared" si="29"/>
        <v>0</v>
      </c>
      <c r="AH77" s="139">
        <f t="shared" si="29"/>
        <v>0</v>
      </c>
      <c r="AI77" s="139">
        <f t="shared" si="29"/>
        <v>0</v>
      </c>
      <c r="AJ77" s="139">
        <f t="shared" si="29"/>
        <v>0</v>
      </c>
      <c r="AK77" s="139">
        <f t="shared" si="29"/>
        <v>0</v>
      </c>
      <c r="AL77" s="139">
        <f t="shared" si="29"/>
        <v>0</v>
      </c>
      <c r="AM77" s="139">
        <f t="shared" si="29"/>
        <v>0</v>
      </c>
      <c r="AN77" s="139">
        <f t="shared" si="29"/>
        <v>0</v>
      </c>
      <c r="AO77" s="139">
        <f t="shared" si="29"/>
        <v>0</v>
      </c>
      <c r="AP77" s="139">
        <f t="shared" si="29"/>
        <v>0</v>
      </c>
      <c r="AQ77" s="139">
        <f t="shared" si="29"/>
        <v>0</v>
      </c>
    </row>
    <row r="78" spans="3:43" x14ac:dyDescent="0.25">
      <c r="C78" t="s">
        <v>1251</v>
      </c>
      <c r="D78" t="s">
        <v>125</v>
      </c>
      <c r="E78" s="139"/>
      <c r="F78" s="139"/>
      <c r="G78" s="139">
        <f>SUM(H78:AQ78)</f>
        <v>4475.5554177460544</v>
      </c>
      <c r="H78" s="139">
        <f t="shared" ref="H78:AQ78" si="30">IF(H7&gt;0,(H76+H77/2)*$E$74*IF(H10&gt;0,H14/(H14+H10),1),0)</f>
        <v>0</v>
      </c>
      <c r="I78" s="139">
        <f t="shared" si="30"/>
        <v>0</v>
      </c>
      <c r="J78" s="139">
        <f t="shared" si="30"/>
        <v>0</v>
      </c>
      <c r="K78" s="139">
        <f t="shared" si="30"/>
        <v>519.19270010170783</v>
      </c>
      <c r="L78" s="139">
        <f t="shared" si="30"/>
        <v>2094.2653370406929</v>
      </c>
      <c r="M78" s="139">
        <f t="shared" si="30"/>
        <v>1862.0973806036541</v>
      </c>
      <c r="N78" s="139">
        <f t="shared" si="30"/>
        <v>0</v>
      </c>
      <c r="O78" s="139">
        <f t="shared" si="30"/>
        <v>0</v>
      </c>
      <c r="P78" s="139">
        <f t="shared" si="30"/>
        <v>0</v>
      </c>
      <c r="Q78" s="139">
        <f t="shared" si="30"/>
        <v>0</v>
      </c>
      <c r="R78" s="139">
        <f t="shared" si="30"/>
        <v>0</v>
      </c>
      <c r="S78" s="139">
        <f t="shared" si="30"/>
        <v>0</v>
      </c>
      <c r="T78" s="139">
        <f t="shared" si="30"/>
        <v>0</v>
      </c>
      <c r="U78" s="139">
        <f t="shared" si="30"/>
        <v>0</v>
      </c>
      <c r="V78" s="139">
        <f t="shared" si="30"/>
        <v>0</v>
      </c>
      <c r="W78" s="139">
        <f t="shared" si="30"/>
        <v>0</v>
      </c>
      <c r="X78" s="139">
        <f t="shared" si="30"/>
        <v>0</v>
      </c>
      <c r="Y78" s="139">
        <f t="shared" si="30"/>
        <v>0</v>
      </c>
      <c r="Z78" s="139">
        <f t="shared" si="30"/>
        <v>0</v>
      </c>
      <c r="AA78" s="139">
        <f t="shared" si="30"/>
        <v>0</v>
      </c>
      <c r="AB78" s="139">
        <f t="shared" si="30"/>
        <v>0</v>
      </c>
      <c r="AC78" s="139">
        <f t="shared" si="30"/>
        <v>0</v>
      </c>
      <c r="AD78" s="139">
        <f t="shared" si="30"/>
        <v>0</v>
      </c>
      <c r="AE78" s="139">
        <f t="shared" si="30"/>
        <v>0</v>
      </c>
      <c r="AF78" s="139">
        <f t="shared" si="30"/>
        <v>0</v>
      </c>
      <c r="AG78" s="139">
        <f t="shared" si="30"/>
        <v>0</v>
      </c>
      <c r="AH78" s="139">
        <f t="shared" si="30"/>
        <v>0</v>
      </c>
      <c r="AI78" s="139">
        <f t="shared" si="30"/>
        <v>0</v>
      </c>
      <c r="AJ78" s="139">
        <f t="shared" si="30"/>
        <v>0</v>
      </c>
      <c r="AK78" s="139">
        <f t="shared" si="30"/>
        <v>0</v>
      </c>
      <c r="AL78" s="139">
        <f t="shared" si="30"/>
        <v>0</v>
      </c>
      <c r="AM78" s="139">
        <f t="shared" si="30"/>
        <v>0</v>
      </c>
      <c r="AN78" s="139">
        <f t="shared" si="30"/>
        <v>0</v>
      </c>
      <c r="AO78" s="139">
        <f t="shared" si="30"/>
        <v>0</v>
      </c>
      <c r="AP78" s="139">
        <f t="shared" si="30"/>
        <v>0</v>
      </c>
      <c r="AQ78" s="139">
        <f t="shared" si="30"/>
        <v>0</v>
      </c>
    </row>
    <row r="79" spans="3:43" x14ac:dyDescent="0.25">
      <c r="C79" t="s">
        <v>1252</v>
      </c>
      <c r="D79" t="s">
        <v>125</v>
      </c>
      <c r="E79" s="146">
        <f>Inputs!$E$223</f>
        <v>1</v>
      </c>
      <c r="F79" s="139"/>
      <c r="G79" s="139">
        <f>SUM(H79:AQ79)</f>
        <v>4475.5554177460544</v>
      </c>
      <c r="H79" s="139">
        <f t="shared" ref="H79:AQ79" si="31">H78*$E$79</f>
        <v>0</v>
      </c>
      <c r="I79" s="139">
        <f t="shared" si="31"/>
        <v>0</v>
      </c>
      <c r="J79" s="139">
        <f t="shared" si="31"/>
        <v>0</v>
      </c>
      <c r="K79" s="139">
        <f t="shared" si="31"/>
        <v>519.19270010170783</v>
      </c>
      <c r="L79" s="139">
        <f t="shared" si="31"/>
        <v>2094.2653370406929</v>
      </c>
      <c r="M79" s="139">
        <f t="shared" si="31"/>
        <v>1862.0973806036541</v>
      </c>
      <c r="N79" s="139">
        <f t="shared" si="31"/>
        <v>0</v>
      </c>
      <c r="O79" s="139">
        <f t="shared" si="31"/>
        <v>0</v>
      </c>
      <c r="P79" s="139">
        <f t="shared" si="31"/>
        <v>0</v>
      </c>
      <c r="Q79" s="139">
        <f t="shared" si="31"/>
        <v>0</v>
      </c>
      <c r="R79" s="139">
        <f t="shared" si="31"/>
        <v>0</v>
      </c>
      <c r="S79" s="139">
        <f t="shared" si="31"/>
        <v>0</v>
      </c>
      <c r="T79" s="139">
        <f t="shared" si="31"/>
        <v>0</v>
      </c>
      <c r="U79" s="139">
        <f t="shared" si="31"/>
        <v>0</v>
      </c>
      <c r="V79" s="139">
        <f t="shared" si="31"/>
        <v>0</v>
      </c>
      <c r="W79" s="139">
        <f t="shared" si="31"/>
        <v>0</v>
      </c>
      <c r="X79" s="139">
        <f t="shared" si="31"/>
        <v>0</v>
      </c>
      <c r="Y79" s="139">
        <f t="shared" si="31"/>
        <v>0</v>
      </c>
      <c r="Z79" s="139">
        <f t="shared" si="31"/>
        <v>0</v>
      </c>
      <c r="AA79" s="139">
        <f t="shared" si="31"/>
        <v>0</v>
      </c>
      <c r="AB79" s="139">
        <f t="shared" si="31"/>
        <v>0</v>
      </c>
      <c r="AC79" s="139">
        <f t="shared" si="31"/>
        <v>0</v>
      </c>
      <c r="AD79" s="139">
        <f t="shared" si="31"/>
        <v>0</v>
      </c>
      <c r="AE79" s="139">
        <f t="shared" si="31"/>
        <v>0</v>
      </c>
      <c r="AF79" s="139">
        <f t="shared" si="31"/>
        <v>0</v>
      </c>
      <c r="AG79" s="139">
        <f t="shared" si="31"/>
        <v>0</v>
      </c>
      <c r="AH79" s="139">
        <f t="shared" si="31"/>
        <v>0</v>
      </c>
      <c r="AI79" s="139">
        <f t="shared" si="31"/>
        <v>0</v>
      </c>
      <c r="AJ79" s="139">
        <f t="shared" si="31"/>
        <v>0</v>
      </c>
      <c r="AK79" s="139">
        <f t="shared" si="31"/>
        <v>0</v>
      </c>
      <c r="AL79" s="139">
        <f t="shared" si="31"/>
        <v>0</v>
      </c>
      <c r="AM79" s="139">
        <f t="shared" si="31"/>
        <v>0</v>
      </c>
      <c r="AN79" s="139">
        <f t="shared" si="31"/>
        <v>0</v>
      </c>
      <c r="AO79" s="139">
        <f t="shared" si="31"/>
        <v>0</v>
      </c>
      <c r="AP79" s="139">
        <f t="shared" si="31"/>
        <v>0</v>
      </c>
      <c r="AQ79" s="139">
        <f t="shared" si="31"/>
        <v>0</v>
      </c>
    </row>
    <row r="80" spans="3:43" x14ac:dyDescent="0.25">
      <c r="C80" t="s">
        <v>1253</v>
      </c>
      <c r="D80" t="s">
        <v>125</v>
      </c>
      <c r="E80" s="139"/>
      <c r="F80" s="139"/>
      <c r="G80" s="139">
        <f>SUM(H80:AQ80)</f>
        <v>0</v>
      </c>
      <c r="H80" s="139">
        <f t="shared" ref="H80:AQ80" si="32">H78*(1-$E$79)</f>
        <v>0</v>
      </c>
      <c r="I80" s="139">
        <f t="shared" si="32"/>
        <v>0</v>
      </c>
      <c r="J80" s="139">
        <f t="shared" si="32"/>
        <v>0</v>
      </c>
      <c r="K80" s="139">
        <f t="shared" si="32"/>
        <v>0</v>
      </c>
      <c r="L80" s="139">
        <f t="shared" si="32"/>
        <v>0</v>
      </c>
      <c r="M80" s="139">
        <f t="shared" si="32"/>
        <v>0</v>
      </c>
      <c r="N80" s="139">
        <f t="shared" si="32"/>
        <v>0</v>
      </c>
      <c r="O80" s="139">
        <f t="shared" si="32"/>
        <v>0</v>
      </c>
      <c r="P80" s="139">
        <f t="shared" si="32"/>
        <v>0</v>
      </c>
      <c r="Q80" s="139">
        <f t="shared" si="32"/>
        <v>0</v>
      </c>
      <c r="R80" s="139">
        <f t="shared" si="32"/>
        <v>0</v>
      </c>
      <c r="S80" s="139">
        <f t="shared" si="32"/>
        <v>0</v>
      </c>
      <c r="T80" s="139">
        <f t="shared" si="32"/>
        <v>0</v>
      </c>
      <c r="U80" s="139">
        <f t="shared" si="32"/>
        <v>0</v>
      </c>
      <c r="V80" s="139">
        <f t="shared" si="32"/>
        <v>0</v>
      </c>
      <c r="W80" s="139">
        <f t="shared" si="32"/>
        <v>0</v>
      </c>
      <c r="X80" s="139">
        <f t="shared" si="32"/>
        <v>0</v>
      </c>
      <c r="Y80" s="139">
        <f t="shared" si="32"/>
        <v>0</v>
      </c>
      <c r="Z80" s="139">
        <f t="shared" si="32"/>
        <v>0</v>
      </c>
      <c r="AA80" s="139">
        <f t="shared" si="32"/>
        <v>0</v>
      </c>
      <c r="AB80" s="139">
        <f t="shared" si="32"/>
        <v>0</v>
      </c>
      <c r="AC80" s="139">
        <f t="shared" si="32"/>
        <v>0</v>
      </c>
      <c r="AD80" s="139">
        <f t="shared" si="32"/>
        <v>0</v>
      </c>
      <c r="AE80" s="139">
        <f t="shared" si="32"/>
        <v>0</v>
      </c>
      <c r="AF80" s="139">
        <f t="shared" si="32"/>
        <v>0</v>
      </c>
      <c r="AG80" s="139">
        <f t="shared" si="32"/>
        <v>0</v>
      </c>
      <c r="AH80" s="139">
        <f t="shared" si="32"/>
        <v>0</v>
      </c>
      <c r="AI80" s="139">
        <f t="shared" si="32"/>
        <v>0</v>
      </c>
      <c r="AJ80" s="139">
        <f t="shared" si="32"/>
        <v>0</v>
      </c>
      <c r="AK80" s="139">
        <f t="shared" si="32"/>
        <v>0</v>
      </c>
      <c r="AL80" s="139">
        <f t="shared" si="32"/>
        <v>0</v>
      </c>
      <c r="AM80" s="139">
        <f t="shared" si="32"/>
        <v>0</v>
      </c>
      <c r="AN80" s="139">
        <f t="shared" si="32"/>
        <v>0</v>
      </c>
      <c r="AO80" s="139">
        <f t="shared" si="32"/>
        <v>0</v>
      </c>
      <c r="AP80" s="139">
        <f t="shared" si="32"/>
        <v>0</v>
      </c>
      <c r="AQ80" s="139">
        <f t="shared" si="32"/>
        <v>0</v>
      </c>
    </row>
    <row r="81" spans="3:43" x14ac:dyDescent="0.25">
      <c r="C81" t="s">
        <v>1254</v>
      </c>
      <c r="D81" t="s">
        <v>125</v>
      </c>
      <c r="E81" s="139"/>
      <c r="F81" s="139"/>
      <c r="G81" s="139">
        <f>SUM(H81:AQ81)</f>
        <v>40840.18215426086</v>
      </c>
      <c r="H81" s="139">
        <f t="shared" ref="H81:AQ81" si="33">IF(H10&gt;0,IF(H9=0,(H76+H77+H79)*H363*H10,H76*H363),0)</f>
        <v>0</v>
      </c>
      <c r="I81" s="139">
        <f t="shared" si="33"/>
        <v>0</v>
      </c>
      <c r="J81" s="139">
        <f t="shared" si="33"/>
        <v>0</v>
      </c>
      <c r="K81" s="139">
        <f t="shared" si="33"/>
        <v>0</v>
      </c>
      <c r="L81" s="139">
        <f t="shared" si="33"/>
        <v>0</v>
      </c>
      <c r="M81" s="139">
        <f t="shared" si="33"/>
        <v>2171.729489108036</v>
      </c>
      <c r="N81" s="139">
        <f t="shared" si="33"/>
        <v>4343.458978216072</v>
      </c>
      <c r="O81" s="139">
        <f t="shared" si="33"/>
        <v>4142.1731530286279</v>
      </c>
      <c r="P81" s="139">
        <f t="shared" si="33"/>
        <v>3930.8230365818122</v>
      </c>
      <c r="Q81" s="139">
        <f t="shared" si="33"/>
        <v>3708.9054143126555</v>
      </c>
      <c r="R81" s="139">
        <f t="shared" si="33"/>
        <v>3475.8919109300405</v>
      </c>
      <c r="S81" s="139">
        <f t="shared" si="33"/>
        <v>3231.2277323782951</v>
      </c>
      <c r="T81" s="139">
        <f t="shared" si="33"/>
        <v>2974.3303448989627</v>
      </c>
      <c r="U81" s="139">
        <f t="shared" si="33"/>
        <v>2704.588088045663</v>
      </c>
      <c r="V81" s="139">
        <f t="shared" si="33"/>
        <v>2421.3587183496988</v>
      </c>
      <c r="W81" s="139">
        <f t="shared" si="33"/>
        <v>2123.9678801689365</v>
      </c>
      <c r="X81" s="139">
        <f t="shared" si="33"/>
        <v>1811.7075000791356</v>
      </c>
      <c r="Y81" s="139">
        <f t="shared" si="33"/>
        <v>1483.834100984845</v>
      </c>
      <c r="Z81" s="139">
        <f t="shared" si="33"/>
        <v>1139.5670319358396</v>
      </c>
      <c r="AA81" s="139">
        <f t="shared" si="33"/>
        <v>778.08660943438417</v>
      </c>
      <c r="AB81" s="139">
        <f t="shared" si="33"/>
        <v>398.53216580785596</v>
      </c>
      <c r="AC81" s="139">
        <f t="shared" si="33"/>
        <v>1.2732925824820997E-12</v>
      </c>
      <c r="AD81" s="139">
        <f t="shared" si="33"/>
        <v>1.2732925824820997E-12</v>
      </c>
      <c r="AE81" s="139">
        <f t="shared" si="33"/>
        <v>1.2732925824820997E-12</v>
      </c>
      <c r="AF81" s="139">
        <f t="shared" si="33"/>
        <v>1.2732925824820997E-12</v>
      </c>
      <c r="AG81" s="139">
        <f t="shared" si="33"/>
        <v>1.2732925824820997E-12</v>
      </c>
      <c r="AH81" s="139">
        <f t="shared" si="33"/>
        <v>1.2732925824820997E-12</v>
      </c>
      <c r="AI81" s="139">
        <f t="shared" si="33"/>
        <v>1.2732925824820997E-12</v>
      </c>
      <c r="AJ81" s="139">
        <f t="shared" si="33"/>
        <v>1.2732925824820997E-12</v>
      </c>
      <c r="AK81" s="139">
        <f t="shared" si="33"/>
        <v>1.2732925824820997E-12</v>
      </c>
      <c r="AL81" s="139">
        <f t="shared" si="33"/>
        <v>1.2732925824820997E-12</v>
      </c>
      <c r="AM81" s="139">
        <f t="shared" si="33"/>
        <v>1.2732925824820997E-12</v>
      </c>
      <c r="AN81" s="139">
        <f t="shared" si="33"/>
        <v>1.2732925824820997E-12</v>
      </c>
      <c r="AO81" s="139">
        <f t="shared" si="33"/>
        <v>1.2732925824820997E-12</v>
      </c>
      <c r="AP81" s="139">
        <f t="shared" si="33"/>
        <v>1.2732925824820997E-12</v>
      </c>
      <c r="AQ81" s="139">
        <f t="shared" si="33"/>
        <v>1.2732925824820997E-12</v>
      </c>
    </row>
    <row r="82" spans="3:43" x14ac:dyDescent="0.25">
      <c r="C82" t="s">
        <v>1255</v>
      </c>
      <c r="D82" t="s">
        <v>125</v>
      </c>
      <c r="E82" s="139">
        <f>IF(G77+G79=0,0,PMT($E$74,Inputs!$E$222,-(G77+G79-$G$369)))</f>
        <v>8369.1754819649486</v>
      </c>
      <c r="F82" s="139"/>
      <c r="G82" s="139"/>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row>
    <row r="83" spans="3:43" x14ac:dyDescent="0.25">
      <c r="C83" t="s">
        <v>1256</v>
      </c>
      <c r="D83" t="s">
        <v>125</v>
      </c>
      <c r="E83" s="139"/>
      <c r="F83" s="139"/>
      <c r="G83" s="139">
        <f>SUM(H83:AQ83)</f>
        <v>86869.179564321399</v>
      </c>
      <c r="H83" s="139">
        <f t="shared" ref="H83:AQ83" si="34">H364+H365</f>
        <v>0</v>
      </c>
      <c r="I83" s="139">
        <f t="shared" si="34"/>
        <v>0</v>
      </c>
      <c r="J83" s="139">
        <f t="shared" si="34"/>
        <v>0</v>
      </c>
      <c r="K83" s="139">
        <f t="shared" si="34"/>
        <v>0</v>
      </c>
      <c r="L83" s="139">
        <f t="shared" si="34"/>
        <v>0</v>
      </c>
      <c r="M83" s="139">
        <f t="shared" si="34"/>
        <v>0</v>
      </c>
      <c r="N83" s="139">
        <f t="shared" si="34"/>
        <v>4025.7165037488767</v>
      </c>
      <c r="O83" s="139">
        <f t="shared" si="34"/>
        <v>4227.0023289363207</v>
      </c>
      <c r="P83" s="139">
        <f t="shared" si="34"/>
        <v>4438.352445383136</v>
      </c>
      <c r="Q83" s="139">
        <f t="shared" si="34"/>
        <v>4660.2700676522927</v>
      </c>
      <c r="R83" s="139">
        <f t="shared" si="34"/>
        <v>4893.2835710349082</v>
      </c>
      <c r="S83" s="139">
        <f t="shared" si="34"/>
        <v>5137.947749586654</v>
      </c>
      <c r="T83" s="139">
        <f t="shared" si="34"/>
        <v>5394.8451370659859</v>
      </c>
      <c r="U83" s="139">
        <f t="shared" si="34"/>
        <v>5664.5873939192861</v>
      </c>
      <c r="V83" s="139">
        <f t="shared" si="34"/>
        <v>5947.8167636152502</v>
      </c>
      <c r="W83" s="139">
        <f t="shared" si="34"/>
        <v>6245.2076017960117</v>
      </c>
      <c r="X83" s="139">
        <f t="shared" si="34"/>
        <v>6557.4679818858131</v>
      </c>
      <c r="Y83" s="139">
        <f t="shared" si="34"/>
        <v>6885.3413809801041</v>
      </c>
      <c r="Z83" s="139">
        <f t="shared" si="34"/>
        <v>7229.608450029109</v>
      </c>
      <c r="AA83" s="139">
        <f t="shared" si="34"/>
        <v>7591.0888725305649</v>
      </c>
      <c r="AB83" s="139">
        <f t="shared" si="34"/>
        <v>7970.6433161570931</v>
      </c>
      <c r="AC83" s="139">
        <f t="shared" si="34"/>
        <v>0</v>
      </c>
      <c r="AD83" s="139">
        <f t="shared" si="34"/>
        <v>0</v>
      </c>
      <c r="AE83" s="139">
        <f t="shared" si="34"/>
        <v>0</v>
      </c>
      <c r="AF83" s="139">
        <f t="shared" si="34"/>
        <v>0</v>
      </c>
      <c r="AG83" s="139">
        <f t="shared" si="34"/>
        <v>0</v>
      </c>
      <c r="AH83" s="139">
        <f t="shared" si="34"/>
        <v>0</v>
      </c>
      <c r="AI83" s="139">
        <f t="shared" si="34"/>
        <v>0</v>
      </c>
      <c r="AJ83" s="139">
        <f t="shared" si="34"/>
        <v>0</v>
      </c>
      <c r="AK83" s="139">
        <f t="shared" si="34"/>
        <v>0</v>
      </c>
      <c r="AL83" s="139">
        <f t="shared" si="34"/>
        <v>0</v>
      </c>
      <c r="AM83" s="139">
        <f t="shared" si="34"/>
        <v>0</v>
      </c>
      <c r="AN83" s="139">
        <f t="shared" si="34"/>
        <v>0</v>
      </c>
      <c r="AO83" s="139">
        <f t="shared" si="34"/>
        <v>0</v>
      </c>
      <c r="AP83" s="139">
        <f t="shared" si="34"/>
        <v>0</v>
      </c>
      <c r="AQ83" s="139">
        <f t="shared" si="34"/>
        <v>0</v>
      </c>
    </row>
    <row r="84" spans="3:43" x14ac:dyDescent="0.25">
      <c r="C84" s="198" t="s">
        <v>1044</v>
      </c>
      <c r="D84" s="198" t="s">
        <v>125</v>
      </c>
      <c r="E84" s="269"/>
      <c r="F84" s="269"/>
      <c r="G84" s="269">
        <v>0</v>
      </c>
      <c r="H84" s="269">
        <f t="shared" ref="H84:AQ84" si="35">H76+H77+H79-H83-H87</f>
        <v>0</v>
      </c>
      <c r="I84" s="269">
        <f t="shared" si="35"/>
        <v>0</v>
      </c>
      <c r="J84" s="269">
        <f t="shared" si="35"/>
        <v>0</v>
      </c>
      <c r="K84" s="269">
        <f t="shared" si="35"/>
        <v>21286.900704170021</v>
      </c>
      <c r="L84" s="269">
        <f t="shared" si="35"/>
        <v>64577.978114498401</v>
      </c>
      <c r="M84" s="269">
        <f t="shared" si="35"/>
        <v>86869.179564321428</v>
      </c>
      <c r="N84" s="269">
        <f t="shared" si="35"/>
        <v>82843.463060572554</v>
      </c>
      <c r="O84" s="269">
        <f t="shared" si="35"/>
        <v>78616.460731636238</v>
      </c>
      <c r="P84" s="269">
        <f t="shared" si="35"/>
        <v>74178.108286253104</v>
      </c>
      <c r="Q84" s="269">
        <f t="shared" si="35"/>
        <v>69517.838218600809</v>
      </c>
      <c r="R84" s="269">
        <f t="shared" si="35"/>
        <v>64624.554647565899</v>
      </c>
      <c r="S84" s="269">
        <f t="shared" si="35"/>
        <v>59486.606897979247</v>
      </c>
      <c r="T84" s="269">
        <f t="shared" si="35"/>
        <v>54091.761760913258</v>
      </c>
      <c r="U84" s="269">
        <f t="shared" si="35"/>
        <v>48427.174366993975</v>
      </c>
      <c r="V84" s="269">
        <f t="shared" si="35"/>
        <v>42479.357603378725</v>
      </c>
      <c r="W84" s="269">
        <f t="shared" si="35"/>
        <v>36234.150001582711</v>
      </c>
      <c r="X84" s="269">
        <f t="shared" si="35"/>
        <v>29676.682019696898</v>
      </c>
      <c r="Y84" s="269">
        <f t="shared" si="35"/>
        <v>22791.340638716792</v>
      </c>
      <c r="Z84" s="269">
        <f t="shared" si="35"/>
        <v>15561.732188687683</v>
      </c>
      <c r="AA84" s="269">
        <f t="shared" si="35"/>
        <v>7970.6433161571185</v>
      </c>
      <c r="AB84" s="269">
        <f t="shared" si="35"/>
        <v>2.5465851649641991E-11</v>
      </c>
      <c r="AC84" s="269">
        <f t="shared" si="35"/>
        <v>2.5465851649641991E-11</v>
      </c>
      <c r="AD84" s="269">
        <f t="shared" si="35"/>
        <v>2.5465851649641991E-11</v>
      </c>
      <c r="AE84" s="269">
        <f t="shared" si="35"/>
        <v>2.5465851649641991E-11</v>
      </c>
      <c r="AF84" s="269">
        <f t="shared" si="35"/>
        <v>2.5465851649641991E-11</v>
      </c>
      <c r="AG84" s="269">
        <f t="shared" si="35"/>
        <v>2.5465851649641991E-11</v>
      </c>
      <c r="AH84" s="269">
        <f t="shared" si="35"/>
        <v>2.5465851649641991E-11</v>
      </c>
      <c r="AI84" s="269">
        <f t="shared" si="35"/>
        <v>2.5465851649641991E-11</v>
      </c>
      <c r="AJ84" s="269">
        <f t="shared" si="35"/>
        <v>2.5465851649641991E-11</v>
      </c>
      <c r="AK84" s="269">
        <f t="shared" si="35"/>
        <v>2.5465851649641991E-11</v>
      </c>
      <c r="AL84" s="269">
        <f t="shared" si="35"/>
        <v>2.5465851649641991E-11</v>
      </c>
      <c r="AM84" s="269">
        <f t="shared" si="35"/>
        <v>2.5465851649641991E-11</v>
      </c>
      <c r="AN84" s="269">
        <f t="shared" si="35"/>
        <v>2.5465851649641991E-11</v>
      </c>
      <c r="AO84" s="269">
        <f t="shared" si="35"/>
        <v>2.5465851649641991E-11</v>
      </c>
      <c r="AP84" s="269">
        <f t="shared" si="35"/>
        <v>2.5465851649641991E-11</v>
      </c>
      <c r="AQ84" s="269">
        <f t="shared" si="35"/>
        <v>2.5465851649641991E-11</v>
      </c>
    </row>
    <row r="85" spans="3:43" x14ac:dyDescent="0.25">
      <c r="C85" t="s">
        <v>1257</v>
      </c>
      <c r="D85" t="s">
        <v>125</v>
      </c>
      <c r="E85" s="134">
        <f>Inputs!$E$221</f>
        <v>1.7500000000000002E-2</v>
      </c>
      <c r="F85" s="139"/>
      <c r="G85" s="139">
        <f>SUM(H85:AQ85)</f>
        <v>-2167.0944065627705</v>
      </c>
      <c r="H85" s="139">
        <f>-IF(AND(H77&gt;0,H76=0),$E$75*$E$85,0)-MAX(0,$E$75-H76-H77/2)*Inputs!$E$224*H14+H368</f>
        <v>0</v>
      </c>
      <c r="I85" s="139">
        <f>-IF(AND(I77&gt;0,I76=0),$E$75*$E$85,0)-MAX(0,$E$75-I76-I77/2)*Inputs!$E$224*I14+I368</f>
        <v>0</v>
      </c>
      <c r="J85" s="139">
        <f>-IF(AND(J77&gt;0,J76=0),$E$75*$E$85,0)-MAX(0,$E$75-J76-J77/2)*Inputs!$E$224*J14+J368</f>
        <v>0</v>
      </c>
      <c r="K85" s="139">
        <f>-IF(AND(K77&gt;0,K76=0),$E$75*$E$85,0)-MAX(0,$E$75-K76-K77/2)*Inputs!$E$224*K14+K368</f>
        <v>-1768.5957632756451</v>
      </c>
      <c r="L85" s="139">
        <f>-IF(AND(L77&gt;0,L76=0),$E$75*$E$85,0)-MAX(0,$E$75-L76-L77/2)*Inputs!$E$224*L14+L368</f>
        <v>-364.57485665185351</v>
      </c>
      <c r="M85" s="139">
        <f>-IF(AND(M77&gt;0,M76=0),$E$75*$E$85,0)-MAX(0,$E$75-M76-M77/2)*Inputs!$E$224*M14+M368</f>
        <v>-33.923786635271789</v>
      </c>
      <c r="N85" s="139">
        <f>-IF(AND(N77&gt;0,N76=0),$E$75*$E$85,0)-MAX(0,$E$75-N76-N77/2)*Inputs!$E$224*N14+N368</f>
        <v>0</v>
      </c>
      <c r="O85" s="139">
        <f>-IF(AND(O77&gt;0,O76=0),$E$75*$E$85,0)-MAX(0,$E$75-O76-O77/2)*Inputs!$E$224*O14+O368</f>
        <v>0</v>
      </c>
      <c r="P85" s="139">
        <f>-IF(AND(P77&gt;0,P76=0),$E$75*$E$85,0)-MAX(0,$E$75-P76-P77/2)*Inputs!$E$224*P14+P368</f>
        <v>0</v>
      </c>
      <c r="Q85" s="139">
        <f>-IF(AND(Q77&gt;0,Q76=0),$E$75*$E$85,0)-MAX(0,$E$75-Q76-Q77/2)*Inputs!$E$224*Q14+Q368</f>
        <v>0</v>
      </c>
      <c r="R85" s="139">
        <f>-IF(AND(R77&gt;0,R76=0),$E$75*$E$85,0)-MAX(0,$E$75-R76-R77/2)*Inputs!$E$224*R14+R368</f>
        <v>0</v>
      </c>
      <c r="S85" s="139">
        <f>-IF(AND(S77&gt;0,S76=0),$E$75*$E$85,0)-MAX(0,$E$75-S76-S77/2)*Inputs!$E$224*S14+S368</f>
        <v>0</v>
      </c>
      <c r="T85" s="139">
        <f>-IF(AND(T77&gt;0,T76=0),$E$75*$E$85,0)-MAX(0,$E$75-T76-T77/2)*Inputs!$E$224*T14+T368</f>
        <v>0</v>
      </c>
      <c r="U85" s="139">
        <f>-IF(AND(U77&gt;0,U76=0),$E$75*$E$85,0)-MAX(0,$E$75-U76-U77/2)*Inputs!$E$224*U14+U368</f>
        <v>0</v>
      </c>
      <c r="V85" s="139">
        <f>-IF(AND(V77&gt;0,V76=0),$E$75*$E$85,0)-MAX(0,$E$75-V76-V77/2)*Inputs!$E$224*V14+V368</f>
        <v>0</v>
      </c>
      <c r="W85" s="139">
        <f>-IF(AND(W77&gt;0,W76=0),$E$75*$E$85,0)-MAX(0,$E$75-W76-W77/2)*Inputs!$E$224*W14+W368</f>
        <v>0</v>
      </c>
      <c r="X85" s="139">
        <f>-IF(AND(X77&gt;0,X76=0),$E$75*$E$85,0)-MAX(0,$E$75-X76-X77/2)*Inputs!$E$224*X14+X368</f>
        <v>0</v>
      </c>
      <c r="Y85" s="139">
        <f>-IF(AND(Y77&gt;0,Y76=0),$E$75*$E$85,0)-MAX(0,$E$75-Y76-Y77/2)*Inputs!$E$224*Y14+Y368</f>
        <v>0</v>
      </c>
      <c r="Z85" s="139">
        <f>-IF(AND(Z77&gt;0,Z76=0),$E$75*$E$85,0)-MAX(0,$E$75-Z76-Z77/2)*Inputs!$E$224*Z14+Z368</f>
        <v>0</v>
      </c>
      <c r="AA85" s="139">
        <f>-IF(AND(AA77&gt;0,AA76=0),$E$75*$E$85,0)-MAX(0,$E$75-AA76-AA77/2)*Inputs!$E$224*AA14+AA368</f>
        <v>0</v>
      </c>
      <c r="AB85" s="139">
        <f>-IF(AND(AB77&gt;0,AB76=0),$E$75*$E$85,0)-MAX(0,$E$75-AB76-AB77/2)*Inputs!$E$224*AB14+AB368</f>
        <v>0</v>
      </c>
      <c r="AC85" s="139">
        <f>-IF(AND(AC77&gt;0,AC76=0),$E$75*$E$85,0)-MAX(0,$E$75-AC76-AC77/2)*Inputs!$E$224*AC14+AC368</f>
        <v>0</v>
      </c>
      <c r="AD85" s="139">
        <f>-IF(AND(AD77&gt;0,AD76=0),$E$75*$E$85,0)-MAX(0,$E$75-AD76-AD77/2)*Inputs!$E$224*AD14+AD368</f>
        <v>0</v>
      </c>
      <c r="AE85" s="139">
        <f>-IF(AND(AE77&gt;0,AE76=0),$E$75*$E$85,0)-MAX(0,$E$75-AE76-AE77/2)*Inputs!$E$224*AE14+AE368</f>
        <v>0</v>
      </c>
      <c r="AF85" s="139">
        <f>-IF(AND(AF77&gt;0,AF76=0),$E$75*$E$85,0)-MAX(0,$E$75-AF76-AF77/2)*Inputs!$E$224*AF14+AF368</f>
        <v>0</v>
      </c>
      <c r="AG85" s="139">
        <f>-IF(AND(AG77&gt;0,AG76=0),$E$75*$E$85,0)-MAX(0,$E$75-AG76-AG77/2)*Inputs!$E$224*AG14+AG368</f>
        <v>0</v>
      </c>
      <c r="AH85" s="139">
        <f>-IF(AND(AH77&gt;0,AH76=0),$E$75*$E$85,0)-MAX(0,$E$75-AH76-AH77/2)*Inputs!$E$224*AH14+AH368</f>
        <v>0</v>
      </c>
      <c r="AI85" s="139">
        <f>-IF(AND(AI77&gt;0,AI76=0),$E$75*$E$85,0)-MAX(0,$E$75-AI76-AI77/2)*Inputs!$E$224*AI14+AI368</f>
        <v>0</v>
      </c>
      <c r="AJ85" s="139">
        <f>-IF(AND(AJ77&gt;0,AJ76=0),$E$75*$E$85,0)-MAX(0,$E$75-AJ76-AJ77/2)*Inputs!$E$224*AJ14+AJ368</f>
        <v>0</v>
      </c>
      <c r="AK85" s="139">
        <f>-IF(AND(AK77&gt;0,AK76=0),$E$75*$E$85,0)-MAX(0,$E$75-AK76-AK77/2)*Inputs!$E$224*AK14+AK368</f>
        <v>0</v>
      </c>
      <c r="AL85" s="139">
        <f>-IF(AND(AL77&gt;0,AL76=0),$E$75*$E$85,0)-MAX(0,$E$75-AL76-AL77/2)*Inputs!$E$224*AL14+AL368</f>
        <v>0</v>
      </c>
      <c r="AM85" s="139">
        <f>-IF(AND(AM77&gt;0,AM76=0),$E$75*$E$85,0)-MAX(0,$E$75-AM76-AM77/2)*Inputs!$E$224*AM14+AM368</f>
        <v>0</v>
      </c>
      <c r="AN85" s="139">
        <f>-IF(AND(AN77&gt;0,AN76=0),$E$75*$E$85,0)-MAX(0,$E$75-AN76-AN77/2)*Inputs!$E$224*AN14+AN368</f>
        <v>0</v>
      </c>
      <c r="AO85" s="139">
        <f>-IF(AND(AO77&gt;0,AO76=0),$E$75*$E$85,0)-MAX(0,$E$75-AO76-AO77/2)*Inputs!$E$224*AO14+AO368</f>
        <v>0</v>
      </c>
      <c r="AP85" s="139">
        <f>-IF(AND(AP77&gt;0,AP76=0),$E$75*$E$85,0)-MAX(0,$E$75-AP76-AP77/2)*Inputs!$E$224*AP14+AP368</f>
        <v>0</v>
      </c>
      <c r="AQ85" s="139">
        <f>-IF(AND(AQ77&gt;0,AQ76=0),$E$75*$E$85,0)-MAX(0,$E$75-AQ76-AQ77/2)*Inputs!$E$224*AQ14+AQ368</f>
        <v>0</v>
      </c>
    </row>
    <row r="86" spans="3:43" x14ac:dyDescent="0.25">
      <c r="C86" s="198" t="s">
        <v>1258</v>
      </c>
      <c r="D86" s="198" t="s">
        <v>125</v>
      </c>
      <c r="E86" s="269"/>
      <c r="F86" s="269"/>
      <c r="G86" s="269">
        <f>SUM(H86:AQ86)</f>
        <v>-127709.36171858228</v>
      </c>
      <c r="H86" s="269">
        <f t="shared" ref="H86:AQ86" si="36">-(H81+H83)</f>
        <v>0</v>
      </c>
      <c r="I86" s="269">
        <f t="shared" si="36"/>
        <v>0</v>
      </c>
      <c r="J86" s="269">
        <f t="shared" si="36"/>
        <v>0</v>
      </c>
      <c r="K86" s="269">
        <f t="shared" si="36"/>
        <v>0</v>
      </c>
      <c r="L86" s="269">
        <f t="shared" si="36"/>
        <v>0</v>
      </c>
      <c r="M86" s="269">
        <f t="shared" si="36"/>
        <v>-2171.729489108036</v>
      </c>
      <c r="N86" s="269">
        <f t="shared" si="36"/>
        <v>-8369.1754819649486</v>
      </c>
      <c r="O86" s="269">
        <f t="shared" si="36"/>
        <v>-8369.1754819649486</v>
      </c>
      <c r="P86" s="269">
        <f t="shared" si="36"/>
        <v>-8369.1754819649486</v>
      </c>
      <c r="Q86" s="269">
        <f t="shared" si="36"/>
        <v>-8369.1754819649486</v>
      </c>
      <c r="R86" s="269">
        <f t="shared" si="36"/>
        <v>-8369.1754819649486</v>
      </c>
      <c r="S86" s="269">
        <f t="shared" si="36"/>
        <v>-8369.1754819649486</v>
      </c>
      <c r="T86" s="269">
        <f t="shared" si="36"/>
        <v>-8369.1754819649486</v>
      </c>
      <c r="U86" s="269">
        <f t="shared" si="36"/>
        <v>-8369.1754819649486</v>
      </c>
      <c r="V86" s="269">
        <f t="shared" si="36"/>
        <v>-8369.1754819649486</v>
      </c>
      <c r="W86" s="269">
        <f t="shared" si="36"/>
        <v>-8369.1754819649486</v>
      </c>
      <c r="X86" s="269">
        <f t="shared" si="36"/>
        <v>-8369.1754819649486</v>
      </c>
      <c r="Y86" s="269">
        <f t="shared" si="36"/>
        <v>-8369.1754819649486</v>
      </c>
      <c r="Z86" s="269">
        <f t="shared" si="36"/>
        <v>-8369.1754819649486</v>
      </c>
      <c r="AA86" s="269">
        <f t="shared" si="36"/>
        <v>-8369.1754819649486</v>
      </c>
      <c r="AB86" s="269">
        <f t="shared" si="36"/>
        <v>-8369.1754819649486</v>
      </c>
      <c r="AC86" s="269">
        <f t="shared" si="36"/>
        <v>-1.2732925824820997E-12</v>
      </c>
      <c r="AD86" s="269">
        <f t="shared" si="36"/>
        <v>-1.2732925824820997E-12</v>
      </c>
      <c r="AE86" s="269">
        <f t="shared" si="36"/>
        <v>-1.2732925824820997E-12</v>
      </c>
      <c r="AF86" s="269">
        <f t="shared" si="36"/>
        <v>-1.2732925824820997E-12</v>
      </c>
      <c r="AG86" s="269">
        <f t="shared" si="36"/>
        <v>-1.2732925824820997E-12</v>
      </c>
      <c r="AH86" s="269">
        <f t="shared" si="36"/>
        <v>-1.2732925824820997E-12</v>
      </c>
      <c r="AI86" s="269">
        <f t="shared" si="36"/>
        <v>-1.2732925824820997E-12</v>
      </c>
      <c r="AJ86" s="269">
        <f t="shared" si="36"/>
        <v>-1.2732925824820997E-12</v>
      </c>
      <c r="AK86" s="269">
        <f t="shared" si="36"/>
        <v>-1.2732925824820997E-12</v>
      </c>
      <c r="AL86" s="269">
        <f t="shared" si="36"/>
        <v>-1.2732925824820997E-12</v>
      </c>
      <c r="AM86" s="269">
        <f t="shared" si="36"/>
        <v>-1.2732925824820997E-12</v>
      </c>
      <c r="AN86" s="269">
        <f t="shared" si="36"/>
        <v>-1.2732925824820997E-12</v>
      </c>
      <c r="AO86" s="269">
        <f t="shared" si="36"/>
        <v>-1.2732925824820997E-12</v>
      </c>
      <c r="AP86" s="269">
        <f t="shared" si="36"/>
        <v>-1.2732925824820997E-12</v>
      </c>
      <c r="AQ86" s="269">
        <f t="shared" si="36"/>
        <v>-1.2732925824820997E-12</v>
      </c>
    </row>
    <row r="87" spans="3:43" x14ac:dyDescent="0.25">
      <c r="C87" t="s">
        <v>1259</v>
      </c>
      <c r="D87" t="s">
        <v>125</v>
      </c>
      <c r="E87" s="139"/>
      <c r="F87" s="139"/>
      <c r="G87" s="139">
        <f>SUM(H87:AQ87)</f>
        <v>0</v>
      </c>
      <c r="H87" s="139">
        <f t="shared" ref="H87:AQ87" si="37">H366+H367</f>
        <v>0</v>
      </c>
      <c r="I87" s="139">
        <f t="shared" si="37"/>
        <v>0</v>
      </c>
      <c r="J87" s="139">
        <f t="shared" si="37"/>
        <v>0</v>
      </c>
      <c r="K87" s="139">
        <f t="shared" si="37"/>
        <v>0</v>
      </c>
      <c r="L87" s="139">
        <f t="shared" si="37"/>
        <v>0</v>
      </c>
      <c r="M87" s="139">
        <f t="shared" si="37"/>
        <v>0</v>
      </c>
      <c r="N87" s="139">
        <f t="shared" si="37"/>
        <v>0</v>
      </c>
      <c r="O87" s="139">
        <f t="shared" si="37"/>
        <v>0</v>
      </c>
      <c r="P87" s="139">
        <f t="shared" si="37"/>
        <v>0</v>
      </c>
      <c r="Q87" s="139">
        <f t="shared" si="37"/>
        <v>0</v>
      </c>
      <c r="R87" s="139">
        <f t="shared" si="37"/>
        <v>0</v>
      </c>
      <c r="S87" s="139">
        <f t="shared" si="37"/>
        <v>0</v>
      </c>
      <c r="T87" s="139">
        <f t="shared" si="37"/>
        <v>0</v>
      </c>
      <c r="U87" s="139">
        <f t="shared" si="37"/>
        <v>0</v>
      </c>
      <c r="V87" s="139">
        <f t="shared" si="37"/>
        <v>0</v>
      </c>
      <c r="W87" s="139">
        <f t="shared" si="37"/>
        <v>0</v>
      </c>
      <c r="X87" s="139">
        <f t="shared" si="37"/>
        <v>0</v>
      </c>
      <c r="Y87" s="139">
        <f t="shared" si="37"/>
        <v>0</v>
      </c>
      <c r="Z87" s="139">
        <f t="shared" si="37"/>
        <v>0</v>
      </c>
      <c r="AA87" s="139">
        <f t="shared" si="37"/>
        <v>0</v>
      </c>
      <c r="AB87" s="139">
        <f t="shared" si="37"/>
        <v>0</v>
      </c>
      <c r="AC87" s="139">
        <f t="shared" si="37"/>
        <v>0</v>
      </c>
      <c r="AD87" s="139">
        <f t="shared" si="37"/>
        <v>0</v>
      </c>
      <c r="AE87" s="139">
        <f t="shared" si="37"/>
        <v>0</v>
      </c>
      <c r="AF87" s="139">
        <f t="shared" si="37"/>
        <v>0</v>
      </c>
      <c r="AG87" s="139">
        <f t="shared" si="37"/>
        <v>0</v>
      </c>
      <c r="AH87" s="139">
        <f t="shared" si="37"/>
        <v>0</v>
      </c>
      <c r="AI87" s="139">
        <f t="shared" si="37"/>
        <v>0</v>
      </c>
      <c r="AJ87" s="139">
        <f t="shared" si="37"/>
        <v>0</v>
      </c>
      <c r="AK87" s="139">
        <f t="shared" si="37"/>
        <v>0</v>
      </c>
      <c r="AL87" s="139">
        <f t="shared" si="37"/>
        <v>0</v>
      </c>
      <c r="AM87" s="139">
        <f t="shared" si="37"/>
        <v>0</v>
      </c>
      <c r="AN87" s="139">
        <f t="shared" si="37"/>
        <v>0</v>
      </c>
      <c r="AO87" s="139">
        <f t="shared" si="37"/>
        <v>0</v>
      </c>
      <c r="AP87" s="139">
        <f t="shared" si="37"/>
        <v>0</v>
      </c>
      <c r="AQ87" s="139">
        <f t="shared" si="37"/>
        <v>0</v>
      </c>
    </row>
    <row r="88" spans="3:43" x14ac:dyDescent="0.25">
      <c r="C88" t="s">
        <v>1260</v>
      </c>
      <c r="D88" t="s">
        <v>125</v>
      </c>
      <c r="E88" s="139"/>
      <c r="F88" s="139"/>
      <c r="G88" s="139"/>
      <c r="H88" s="139">
        <f>IF(AND(H$10&gt;0,H$9+1&lt;=Inputs!$E$222),Inputs!$E$270/12*MIN($E$82,(H76+H77+H79-H83)*(1+$E$74)),0)</f>
        <v>0</v>
      </c>
      <c r="I88" s="139">
        <f>IF(AND(I$10&gt;0,I$9+1&lt;=Inputs!$E$222),Inputs!$E$270/12*MIN($E$82,(I76+I77+I79-I83)*(1+$E$74)),0)</f>
        <v>0</v>
      </c>
      <c r="J88" s="139">
        <f>IF(AND(J$10&gt;0,J$9+1&lt;=Inputs!$E$222),Inputs!$E$270/12*MIN($E$82,(J76+J77+J79-J83)*(1+$E$74)),0)</f>
        <v>0</v>
      </c>
      <c r="K88" s="139">
        <f>IF(AND(K$10&gt;0,K$9+1&lt;=Inputs!$E$222),Inputs!$E$270/12*MIN($E$82,(K76+K77+K79-K83)*(1+$E$74)),0)</f>
        <v>0</v>
      </c>
      <c r="L88" s="139">
        <f>IF(AND(L$10&gt;0,L$9+1&lt;=Inputs!$E$222),Inputs!$E$270/12*MIN($E$82,(L76+L77+L79-L83)*(1+$E$74)),0)</f>
        <v>0</v>
      </c>
      <c r="M88" s="139">
        <f>IF(AND(M$10&gt;0,M$9+1&lt;=Inputs!$E$222),Inputs!$E$270/12*MIN($E$82,(M76+M77+M79-M83)*(1+$E$74)),0)</f>
        <v>0</v>
      </c>
      <c r="N88" s="139">
        <f>IF(AND(N$10&gt;0,N$9+1&lt;=Inputs!$E$222),Inputs!$E$270/12*MIN($E$82,(N76+N77+N79-N83)*(1+$E$74)),0)</f>
        <v>0</v>
      </c>
      <c r="O88" s="139">
        <f>IF(AND(O$10&gt;0,O$9+1&lt;=Inputs!$E$222),Inputs!$E$270/12*MIN($E$82,(O76+O77+O79-O83)*(1+$E$74)),0)</f>
        <v>0</v>
      </c>
      <c r="P88" s="139">
        <f>IF(AND(P$10&gt;0,P$9+1&lt;=Inputs!$E$222),Inputs!$E$270/12*MIN($E$82,(P76+P77+P79-P83)*(1+$E$74)),0)</f>
        <v>0</v>
      </c>
      <c r="Q88" s="139">
        <f>IF(AND(Q$10&gt;0,Q$9+1&lt;=Inputs!$E$222),Inputs!$E$270/12*MIN($E$82,(Q76+Q77+Q79-Q83)*(1+$E$74)),0)</f>
        <v>0</v>
      </c>
      <c r="R88" s="139">
        <f>IF(AND(R$10&gt;0,R$9+1&lt;=Inputs!$E$222),Inputs!$E$270/12*MIN($E$82,(R76+R77+R79-R83)*(1+$E$74)),0)</f>
        <v>0</v>
      </c>
      <c r="S88" s="139">
        <f>IF(AND(S$10&gt;0,S$9+1&lt;=Inputs!$E$222),Inputs!$E$270/12*MIN($E$82,(S76+S77+S79-S83)*(1+$E$74)),0)</f>
        <v>0</v>
      </c>
      <c r="T88" s="139">
        <f>IF(AND(T$10&gt;0,T$9+1&lt;=Inputs!$E$222),Inputs!$E$270/12*MIN($E$82,(T76+T77+T79-T83)*(1+$E$74)),0)</f>
        <v>0</v>
      </c>
      <c r="U88" s="139">
        <f>IF(AND(U$10&gt;0,U$9+1&lt;=Inputs!$E$222),Inputs!$E$270/12*MIN($E$82,(U76+U77+U79-U83)*(1+$E$74)),0)</f>
        <v>0</v>
      </c>
      <c r="V88" s="139">
        <f>IF(AND(V$10&gt;0,V$9+1&lt;=Inputs!$E$222),Inputs!$E$270/12*MIN($E$82,(V76+V77+V79-V83)*(1+$E$74)),0)</f>
        <v>0</v>
      </c>
      <c r="W88" s="139">
        <f>IF(AND(W$10&gt;0,W$9+1&lt;=Inputs!$E$222),Inputs!$E$270/12*MIN($E$82,(W76+W77+W79-W83)*(1+$E$74)),0)</f>
        <v>0</v>
      </c>
      <c r="X88" s="139">
        <f>IF(AND(X$10&gt;0,X$9+1&lt;=Inputs!$E$222),Inputs!$E$270/12*MIN($E$82,(X76+X77+X79-X83)*(1+$E$74)),0)</f>
        <v>0</v>
      </c>
      <c r="Y88" s="139">
        <f>IF(AND(Y$10&gt;0,Y$9+1&lt;=Inputs!$E$222),Inputs!$E$270/12*MIN($E$82,(Y76+Y77+Y79-Y83)*(1+$E$74)),0)</f>
        <v>0</v>
      </c>
      <c r="Z88" s="139">
        <f>IF(AND(Z$10&gt;0,Z$9+1&lt;=Inputs!$E$222),Inputs!$E$270/12*MIN($E$82,(Z76+Z77+Z79-Z83)*(1+$E$74)),0)</f>
        <v>0</v>
      </c>
      <c r="AA88" s="139">
        <f>IF(AND(AA$10&gt;0,AA$9+1&lt;=Inputs!$E$222),Inputs!$E$270/12*MIN($E$82,(AA76+AA77+AA79-AA83)*(1+$E$74)),0)</f>
        <v>0</v>
      </c>
      <c r="AB88" s="139">
        <f>IF(AND(AB$10&gt;0,AB$9+1&lt;=Inputs!$E$222),Inputs!$E$270/12*MIN($E$82,(AB76+AB77+AB79-AB83)*(1+$E$74)),0)</f>
        <v>0</v>
      </c>
      <c r="AC88" s="139">
        <f>IF(AND(AC$10&gt;0,AC$9+1&lt;=Inputs!$E$222),Inputs!$E$270/12*MIN($E$82,(AC76+AC77+AC79-AC83)*(1+$E$74)),0)</f>
        <v>0</v>
      </c>
      <c r="AD88" s="139">
        <f>IF(AND(AD$10&gt;0,AD$9+1&lt;=Inputs!$E$222),Inputs!$E$270/12*MIN($E$82,(AD76+AD77+AD79-AD83)*(1+$E$74)),0)</f>
        <v>0</v>
      </c>
      <c r="AE88" s="139">
        <f>IF(AND(AE$10&gt;0,AE$9+1&lt;=Inputs!$E$222),Inputs!$E$270/12*MIN($E$82,(AE76+AE77+AE79-AE83)*(1+$E$74)),0)</f>
        <v>0</v>
      </c>
      <c r="AF88" s="139">
        <f>IF(AND(AF$10&gt;0,AF$9+1&lt;=Inputs!$E$222),Inputs!$E$270/12*MIN($E$82,(AF76+AF77+AF79-AF83)*(1+$E$74)),0)</f>
        <v>0</v>
      </c>
      <c r="AG88" s="139">
        <f>IF(AND(AG$10&gt;0,AG$9+1&lt;=Inputs!$E$222),Inputs!$E$270/12*MIN($E$82,(AG76+AG77+AG79-AG83)*(1+$E$74)),0)</f>
        <v>0</v>
      </c>
      <c r="AH88" s="139">
        <f>IF(AND(AH$10&gt;0,AH$9+1&lt;=Inputs!$E$222),Inputs!$E$270/12*MIN($E$82,(AH76+AH77+AH79-AH83)*(1+$E$74)),0)</f>
        <v>0</v>
      </c>
      <c r="AI88" s="139">
        <f>IF(AND(AI$10&gt;0,AI$9+1&lt;=Inputs!$E$222),Inputs!$E$270/12*MIN($E$82,(AI76+AI77+AI79-AI83)*(1+$E$74)),0)</f>
        <v>0</v>
      </c>
      <c r="AJ88" s="139">
        <f>IF(AND(AJ$10&gt;0,AJ$9+1&lt;=Inputs!$E$222),Inputs!$E$270/12*MIN($E$82,(AJ76+AJ77+AJ79-AJ83)*(1+$E$74)),0)</f>
        <v>0</v>
      </c>
      <c r="AK88" s="139">
        <f>IF(AND(AK$10&gt;0,AK$9+1&lt;=Inputs!$E$222),Inputs!$E$270/12*MIN($E$82,(AK76+AK77+AK79-AK83)*(1+$E$74)),0)</f>
        <v>0</v>
      </c>
      <c r="AL88" s="139">
        <f>IF(AND(AL$10&gt;0,AL$9+1&lt;=Inputs!$E$222),Inputs!$E$270/12*MIN($E$82,(AL76+AL77+AL79-AL83)*(1+$E$74)),0)</f>
        <v>0</v>
      </c>
      <c r="AM88" s="139">
        <f>IF(AND(AM$10&gt;0,AM$9+1&lt;=Inputs!$E$222),Inputs!$E$270/12*MIN($E$82,(AM76+AM77+AM79-AM83)*(1+$E$74)),0)</f>
        <v>0</v>
      </c>
      <c r="AN88" s="139">
        <f>IF(AND(AN$10&gt;0,AN$9+1&lt;=Inputs!$E$222),Inputs!$E$270/12*MIN($E$82,(AN76+AN77+AN79-AN83)*(1+$E$74)),0)</f>
        <v>0</v>
      </c>
      <c r="AO88" s="139">
        <f>IF(AND(AO$10&gt;0,AO$9+1&lt;=Inputs!$E$222),Inputs!$E$270/12*MIN($E$82,(AO76+AO77+AO79-AO83)*(1+$E$74)),0)</f>
        <v>0</v>
      </c>
      <c r="AP88" s="139">
        <f>IF(AND(AP$10&gt;0,AP$9+1&lt;=Inputs!$E$222),Inputs!$E$270/12*MIN($E$82,(AP76+AP77+AP79-AP83)*(1+$E$74)),0)</f>
        <v>0</v>
      </c>
      <c r="AQ88" s="139">
        <f>IF(AND(AQ$10&gt;0,AQ$9+1&lt;=Inputs!$E$222),Inputs!$E$270/12*MIN($E$82,(AQ76+AQ77+AQ79-AQ83)*(1+$E$74)),0)</f>
        <v>0</v>
      </c>
    </row>
    <row r="89" spans="3:43" x14ac:dyDescent="0.25">
      <c r="C89" t="s">
        <v>1261</v>
      </c>
      <c r="D89" t="s">
        <v>125</v>
      </c>
      <c r="E89" s="139"/>
      <c r="F89" s="139"/>
      <c r="G89" s="139">
        <f>SUM(H89:AQ89)</f>
        <v>0</v>
      </c>
      <c r="H89" s="139">
        <f>-H88</f>
        <v>0</v>
      </c>
      <c r="I89" s="139">
        <f t="shared" ref="I89:AQ89" si="38">-(I88-H88)</f>
        <v>0</v>
      </c>
      <c r="J89" s="139">
        <f t="shared" si="38"/>
        <v>0</v>
      </c>
      <c r="K89" s="139">
        <f t="shared" si="38"/>
        <v>0</v>
      </c>
      <c r="L89" s="139">
        <f t="shared" si="38"/>
        <v>0</v>
      </c>
      <c r="M89" s="139">
        <f t="shared" si="38"/>
        <v>0</v>
      </c>
      <c r="N89" s="139">
        <f t="shared" si="38"/>
        <v>0</v>
      </c>
      <c r="O89" s="139">
        <f t="shared" si="38"/>
        <v>0</v>
      </c>
      <c r="P89" s="139">
        <f t="shared" si="38"/>
        <v>0</v>
      </c>
      <c r="Q89" s="139">
        <f t="shared" si="38"/>
        <v>0</v>
      </c>
      <c r="R89" s="139">
        <f t="shared" si="38"/>
        <v>0</v>
      </c>
      <c r="S89" s="139">
        <f t="shared" si="38"/>
        <v>0</v>
      </c>
      <c r="T89" s="139">
        <f t="shared" si="38"/>
        <v>0</v>
      </c>
      <c r="U89" s="139">
        <f t="shared" si="38"/>
        <v>0</v>
      </c>
      <c r="V89" s="139">
        <f t="shared" si="38"/>
        <v>0</v>
      </c>
      <c r="W89" s="139">
        <f t="shared" si="38"/>
        <v>0</v>
      </c>
      <c r="X89" s="139">
        <f t="shared" si="38"/>
        <v>0</v>
      </c>
      <c r="Y89" s="139">
        <f t="shared" si="38"/>
        <v>0</v>
      </c>
      <c r="Z89" s="139">
        <f t="shared" si="38"/>
        <v>0</v>
      </c>
      <c r="AA89" s="139">
        <f t="shared" si="38"/>
        <v>0</v>
      </c>
      <c r="AB89" s="139">
        <f t="shared" si="38"/>
        <v>0</v>
      </c>
      <c r="AC89" s="139">
        <f t="shared" si="38"/>
        <v>0</v>
      </c>
      <c r="AD89" s="139">
        <f t="shared" si="38"/>
        <v>0</v>
      </c>
      <c r="AE89" s="139">
        <f t="shared" si="38"/>
        <v>0</v>
      </c>
      <c r="AF89" s="139">
        <f t="shared" si="38"/>
        <v>0</v>
      </c>
      <c r="AG89" s="139">
        <f t="shared" si="38"/>
        <v>0</v>
      </c>
      <c r="AH89" s="139">
        <f t="shared" si="38"/>
        <v>0</v>
      </c>
      <c r="AI89" s="139">
        <f t="shared" si="38"/>
        <v>0</v>
      </c>
      <c r="AJ89" s="139">
        <f t="shared" si="38"/>
        <v>0</v>
      </c>
      <c r="AK89" s="139">
        <f t="shared" si="38"/>
        <v>0</v>
      </c>
      <c r="AL89" s="139">
        <f t="shared" si="38"/>
        <v>0</v>
      </c>
      <c r="AM89" s="139">
        <f t="shared" si="38"/>
        <v>0</v>
      </c>
      <c r="AN89" s="139">
        <f t="shared" si="38"/>
        <v>0</v>
      </c>
      <c r="AO89" s="139">
        <f t="shared" si="38"/>
        <v>0</v>
      </c>
      <c r="AP89" s="139">
        <f t="shared" si="38"/>
        <v>0</v>
      </c>
      <c r="AQ89" s="139">
        <f t="shared" si="38"/>
        <v>0</v>
      </c>
    </row>
    <row r="90" spans="3:43" x14ac:dyDescent="0.25">
      <c r="C90" t="s">
        <v>1262</v>
      </c>
      <c r="D90" t="s">
        <v>51</v>
      </c>
      <c r="E90" s="139"/>
      <c r="F90" s="139"/>
      <c r="G90" s="139">
        <f>SUM(H90:AQ90)</f>
        <v>20</v>
      </c>
      <c r="H90" s="139">
        <f t="shared" ref="H90:AQ90" si="39">IF(H10=0,0,IF(H9=0,H10,IF(H9&lt;$E$92,1,IF(H9=$E$92,1-SUMIFS($H$10:$AQ$10,$H$9:$AQ$9,0),0))))</f>
        <v>0</v>
      </c>
      <c r="I90" s="139">
        <f t="shared" si="39"/>
        <v>0</v>
      </c>
      <c r="J90" s="139">
        <f t="shared" si="39"/>
        <v>0</v>
      </c>
      <c r="K90" s="139">
        <f t="shared" si="39"/>
        <v>0</v>
      </c>
      <c r="L90" s="139">
        <f t="shared" si="39"/>
        <v>0</v>
      </c>
      <c r="M90" s="139">
        <f t="shared" si="39"/>
        <v>0.5</v>
      </c>
      <c r="N90" s="139">
        <f t="shared" si="39"/>
        <v>1</v>
      </c>
      <c r="O90" s="139">
        <f t="shared" si="39"/>
        <v>1</v>
      </c>
      <c r="P90" s="139">
        <f t="shared" si="39"/>
        <v>1</v>
      </c>
      <c r="Q90" s="139">
        <f t="shared" si="39"/>
        <v>1</v>
      </c>
      <c r="R90" s="139">
        <f t="shared" si="39"/>
        <v>1</v>
      </c>
      <c r="S90" s="139">
        <f t="shared" si="39"/>
        <v>1</v>
      </c>
      <c r="T90" s="139">
        <f t="shared" si="39"/>
        <v>1</v>
      </c>
      <c r="U90" s="139">
        <f t="shared" si="39"/>
        <v>1</v>
      </c>
      <c r="V90" s="139">
        <f t="shared" si="39"/>
        <v>1</v>
      </c>
      <c r="W90" s="139">
        <f t="shared" si="39"/>
        <v>1</v>
      </c>
      <c r="X90" s="139">
        <f t="shared" si="39"/>
        <v>1</v>
      </c>
      <c r="Y90" s="139">
        <f t="shared" si="39"/>
        <v>1</v>
      </c>
      <c r="Z90" s="139">
        <f t="shared" si="39"/>
        <v>1</v>
      </c>
      <c r="AA90" s="139">
        <f t="shared" si="39"/>
        <v>1</v>
      </c>
      <c r="AB90" s="139">
        <f t="shared" si="39"/>
        <v>1</v>
      </c>
      <c r="AC90" s="139">
        <f t="shared" si="39"/>
        <v>1</v>
      </c>
      <c r="AD90" s="139">
        <f t="shared" si="39"/>
        <v>1</v>
      </c>
      <c r="AE90" s="139">
        <f t="shared" si="39"/>
        <v>1</v>
      </c>
      <c r="AF90" s="139">
        <f t="shared" si="39"/>
        <v>1</v>
      </c>
      <c r="AG90" s="139">
        <f t="shared" si="39"/>
        <v>0.5</v>
      </c>
      <c r="AH90" s="139">
        <f t="shared" si="39"/>
        <v>0</v>
      </c>
      <c r="AI90" s="139">
        <f t="shared" si="39"/>
        <v>0</v>
      </c>
      <c r="AJ90" s="139">
        <f t="shared" si="39"/>
        <v>0</v>
      </c>
      <c r="AK90" s="139">
        <f t="shared" si="39"/>
        <v>0</v>
      </c>
      <c r="AL90" s="139">
        <f t="shared" si="39"/>
        <v>0</v>
      </c>
      <c r="AM90" s="139">
        <f t="shared" si="39"/>
        <v>0</v>
      </c>
      <c r="AN90" s="139">
        <f t="shared" si="39"/>
        <v>0</v>
      </c>
      <c r="AO90" s="139">
        <f t="shared" si="39"/>
        <v>0</v>
      </c>
      <c r="AP90" s="139">
        <f t="shared" si="39"/>
        <v>0</v>
      </c>
      <c r="AQ90" s="139">
        <f t="shared" si="39"/>
        <v>0</v>
      </c>
    </row>
    <row r="91" spans="3:43" x14ac:dyDescent="0.25">
      <c r="C91" s="129" t="s">
        <v>1263</v>
      </c>
      <c r="D91" s="129"/>
      <c r="E91" s="272">
        <f>Inputs!$E$12</f>
        <v>0.15</v>
      </c>
      <c r="F91" s="271" t="s">
        <v>1264</v>
      </c>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row>
    <row r="92" spans="3:43" x14ac:dyDescent="0.25">
      <c r="C92" t="s">
        <v>1265</v>
      </c>
      <c r="D92" t="s">
        <v>125</v>
      </c>
      <c r="E92" s="146">
        <f>Inputs!$E$215</f>
        <v>20</v>
      </c>
      <c r="F92" s="139"/>
      <c r="G92" s="139">
        <f>SUM(H92:AQ92)</f>
        <v>170495.68042322548</v>
      </c>
      <c r="H92" s="139">
        <f>(-$G$30+$G$79+Deposits!$P$11*Deposits!$M$11*$E$15)/$E$92*H90</f>
        <v>0</v>
      </c>
      <c r="I92" s="139">
        <f>(-$G$30+$G$79+Deposits!$P$11*Deposits!$M$11*$E$15)/$E$92*I90</f>
        <v>0</v>
      </c>
      <c r="J92" s="139">
        <f>(-$G$30+$G$79+Deposits!$P$11*Deposits!$M$11*$E$15)/$E$92*J90</f>
        <v>0</v>
      </c>
      <c r="K92" s="139">
        <f>(-$G$30+$G$79+Deposits!$P$11*Deposits!$M$11*$E$15)/$E$92*K90</f>
        <v>0</v>
      </c>
      <c r="L92" s="139">
        <f>(-$G$30+$G$79+Deposits!$P$11*Deposits!$M$11*$E$15)/$E$92*L90</f>
        <v>0</v>
      </c>
      <c r="M92" s="139">
        <f>(-$G$30+$G$79+Deposits!$P$11*Deposits!$M$11*$E$15)/$E$92*M90</f>
        <v>4262.3920105806383</v>
      </c>
      <c r="N92" s="139">
        <f>(-$G$30+$G$79+Deposits!$P$11*Deposits!$M$11*$E$15)/$E$92*N90</f>
        <v>8524.7840211612765</v>
      </c>
      <c r="O92" s="139">
        <f>(-$G$30+$G$79+Deposits!$P$11*Deposits!$M$11*$E$15)/$E$92*O90</f>
        <v>8524.7840211612765</v>
      </c>
      <c r="P92" s="139">
        <f>(-$G$30+$G$79+Deposits!$P$11*Deposits!$M$11*$E$15)/$E$92*P90</f>
        <v>8524.7840211612765</v>
      </c>
      <c r="Q92" s="139">
        <f>(-$G$30+$G$79+Deposits!$P$11*Deposits!$M$11*$E$15)/$E$92*Q90</f>
        <v>8524.7840211612765</v>
      </c>
      <c r="R92" s="139">
        <f>(-$G$30+$G$79+Deposits!$P$11*Deposits!$M$11*$E$15)/$E$92*R90</f>
        <v>8524.7840211612765</v>
      </c>
      <c r="S92" s="139">
        <f>(-$G$30+$G$79+Deposits!$P$11*Deposits!$M$11*$E$15)/$E$92*S90</f>
        <v>8524.7840211612765</v>
      </c>
      <c r="T92" s="139">
        <f>(-$G$30+$G$79+Deposits!$P$11*Deposits!$M$11*$E$15)/$E$92*T90</f>
        <v>8524.7840211612765</v>
      </c>
      <c r="U92" s="139">
        <f>(-$G$30+$G$79+Deposits!$P$11*Deposits!$M$11*$E$15)/$E$92*U90</f>
        <v>8524.7840211612765</v>
      </c>
      <c r="V92" s="139">
        <f>(-$G$30+$G$79+Deposits!$P$11*Deposits!$M$11*$E$15)/$E$92*V90</f>
        <v>8524.7840211612765</v>
      </c>
      <c r="W92" s="139">
        <f>(-$G$30+$G$79+Deposits!$P$11*Deposits!$M$11*$E$15)/$E$92*W90</f>
        <v>8524.7840211612765</v>
      </c>
      <c r="X92" s="139">
        <f>(-$G$30+$G$79+Deposits!$P$11*Deposits!$M$11*$E$15)/$E$92*X90</f>
        <v>8524.7840211612765</v>
      </c>
      <c r="Y92" s="139">
        <f>(-$G$30+$G$79+Deposits!$P$11*Deposits!$M$11*$E$15)/$E$92*Y90</f>
        <v>8524.7840211612765</v>
      </c>
      <c r="Z92" s="139">
        <f>(-$G$30+$G$79+Deposits!$P$11*Deposits!$M$11*$E$15)/$E$92*Z90</f>
        <v>8524.7840211612765</v>
      </c>
      <c r="AA92" s="139">
        <f>(-$G$30+$G$79+Deposits!$P$11*Deposits!$M$11*$E$15)/$E$92*AA90</f>
        <v>8524.7840211612765</v>
      </c>
      <c r="AB92" s="139">
        <f>(-$G$30+$G$79+Deposits!$P$11*Deposits!$M$11*$E$15)/$E$92*AB90</f>
        <v>8524.7840211612765</v>
      </c>
      <c r="AC92" s="139">
        <f>(-$G$30+$G$79+Deposits!$P$11*Deposits!$M$11*$E$15)/$E$92*AC90</f>
        <v>8524.7840211612765</v>
      </c>
      <c r="AD92" s="139">
        <f>(-$G$30+$G$79+Deposits!$P$11*Deposits!$M$11*$E$15)/$E$92*AD90</f>
        <v>8524.7840211612765</v>
      </c>
      <c r="AE92" s="139">
        <f>(-$G$30+$G$79+Deposits!$P$11*Deposits!$M$11*$E$15)/$E$92*AE90</f>
        <v>8524.7840211612765</v>
      </c>
      <c r="AF92" s="139">
        <f>(-$G$30+$G$79+Deposits!$P$11*Deposits!$M$11*$E$15)/$E$92*AF90</f>
        <v>8524.7840211612765</v>
      </c>
      <c r="AG92" s="139">
        <f>(-$G$30+$G$79+Deposits!$P$11*Deposits!$M$11*$E$15)/$E$92*AG90</f>
        <v>4262.3920105806383</v>
      </c>
      <c r="AH92" s="139">
        <f>(-$G$30+$G$79+Deposits!$P$11*Deposits!$M$11*$E$15)/$E$92*AH90</f>
        <v>0</v>
      </c>
      <c r="AI92" s="139">
        <f>(-$G$30+$G$79+Deposits!$P$11*Deposits!$M$11*$E$15)/$E$92*AI90</f>
        <v>0</v>
      </c>
      <c r="AJ92" s="139">
        <f>(-$G$30+$G$79+Deposits!$P$11*Deposits!$M$11*$E$15)/$E$92*AJ90</f>
        <v>0</v>
      </c>
      <c r="AK92" s="139">
        <f>(-$G$30+$G$79+Deposits!$P$11*Deposits!$M$11*$E$15)/$E$92*AK90</f>
        <v>0</v>
      </c>
      <c r="AL92" s="139">
        <f>(-$G$30+$G$79+Deposits!$P$11*Deposits!$M$11*$E$15)/$E$92*AL90</f>
        <v>0</v>
      </c>
      <c r="AM92" s="139">
        <f>(-$G$30+$G$79+Deposits!$P$11*Deposits!$M$11*$E$15)/$E$92*AM90</f>
        <v>0</v>
      </c>
      <c r="AN92" s="139">
        <f>(-$G$30+$G$79+Deposits!$P$11*Deposits!$M$11*$E$15)/$E$92*AN90</f>
        <v>0</v>
      </c>
      <c r="AO92" s="139">
        <f>(-$G$30+$G$79+Deposits!$P$11*Deposits!$M$11*$E$15)/$E$92*AO90</f>
        <v>0</v>
      </c>
      <c r="AP92" s="139">
        <f>(-$G$30+$G$79+Deposits!$P$11*Deposits!$M$11*$E$15)/$E$92*AP90</f>
        <v>0</v>
      </c>
      <c r="AQ92" s="139">
        <f>(-$G$30+$G$79+Deposits!$P$11*Deposits!$M$11*$E$15)/$E$92*AQ90</f>
        <v>0</v>
      </c>
    </row>
    <row r="93" spans="3:43" x14ac:dyDescent="0.25">
      <c r="C93" t="s">
        <v>1266</v>
      </c>
      <c r="D93" t="s">
        <v>125</v>
      </c>
      <c r="E93" s="139"/>
      <c r="F93" s="139"/>
      <c r="G93" s="139">
        <f>SUM(H93:AQ93)</f>
        <v>469440.05411235994</v>
      </c>
      <c r="H93" s="139">
        <f t="shared" ref="H93:AQ93" si="40">H70-H92-H81+H85+H16</f>
        <v>-88.621621621621628</v>
      </c>
      <c r="I93" s="139">
        <f t="shared" si="40"/>
        <v>-428.16554054054052</v>
      </c>
      <c r="J93" s="139">
        <f t="shared" si="40"/>
        <v>-876.86552844252708</v>
      </c>
      <c r="K93" s="139">
        <f t="shared" si="40"/>
        <v>-2124.2692491791408</v>
      </c>
      <c r="L93" s="139">
        <f t="shared" si="40"/>
        <v>-782.21875909087794</v>
      </c>
      <c r="M93" s="139">
        <f t="shared" si="40"/>
        <v>8285.4479974295828</v>
      </c>
      <c r="N93" s="139">
        <f t="shared" si="40"/>
        <v>9158.9006288466553</v>
      </c>
      <c r="O93" s="139">
        <f t="shared" si="40"/>
        <v>9430.169576315915</v>
      </c>
      <c r="P93" s="139">
        <f t="shared" si="40"/>
        <v>9709.7133553481854</v>
      </c>
      <c r="Q93" s="139">
        <f t="shared" si="40"/>
        <v>9997.9683142367012</v>
      </c>
      <c r="R93" s="139">
        <f t="shared" si="40"/>
        <v>10295.394171715694</v>
      </c>
      <c r="S93" s="139">
        <f t="shared" si="40"/>
        <v>10602.475230253722</v>
      </c>
      <c r="T93" s="139">
        <f t="shared" si="40"/>
        <v>10919.721651148451</v>
      </c>
      <c r="U93" s="139">
        <f t="shared" si="40"/>
        <v>11247.670794541373</v>
      </c>
      <c r="V93" s="139">
        <f t="shared" si="40"/>
        <v>11586.888627626588</v>
      </c>
      <c r="W93" s="139">
        <f t="shared" si="40"/>
        <v>11937.971204493524</v>
      </c>
      <c r="X93" s="139">
        <f t="shared" si="40"/>
        <v>12301.546221214801</v>
      </c>
      <c r="Y93" s="139">
        <f t="shared" si="40"/>
        <v>12678.274649972745</v>
      </c>
      <c r="Z93" s="139">
        <f t="shared" si="40"/>
        <v>13068.852456207942</v>
      </c>
      <c r="AA93" s="139">
        <f t="shared" si="40"/>
        <v>13474.012402973463</v>
      </c>
      <c r="AB93" s="139">
        <f t="shared" si="40"/>
        <v>13894.525946888236</v>
      </c>
      <c r="AC93" s="139">
        <f t="shared" si="40"/>
        <v>14331.205230303472</v>
      </c>
      <c r="AD93" s="139">
        <f t="shared" si="40"/>
        <v>14366.446400429464</v>
      </c>
      <c r="AE93" s="139">
        <f t="shared" si="40"/>
        <v>14398.685192297773</v>
      </c>
      <c r="AF93" s="139">
        <f t="shared" si="40"/>
        <v>14427.822647804587</v>
      </c>
      <c r="AG93" s="139">
        <f t="shared" si="40"/>
        <v>18716.149229239993</v>
      </c>
      <c r="AH93" s="139">
        <f t="shared" si="40"/>
        <v>23001.168723142255</v>
      </c>
      <c r="AI93" s="139">
        <f t="shared" si="40"/>
        <v>23020.382195473136</v>
      </c>
      <c r="AJ93" s="139">
        <f t="shared" si="40"/>
        <v>23036.071945171767</v>
      </c>
      <c r="AK93" s="139">
        <f t="shared" si="40"/>
        <v>23048.125403144655</v>
      </c>
      <c r="AL93" s="139">
        <f t="shared" si="40"/>
        <v>23056.427071876358</v>
      </c>
      <c r="AM93" s="139">
        <f t="shared" si="40"/>
        <v>23060.858452716238</v>
      </c>
      <c r="AN93" s="139">
        <f t="shared" si="40"/>
        <v>23061.297971378961</v>
      </c>
      <c r="AO93" s="139">
        <f t="shared" si="40"/>
        <v>23057.620901615082</v>
      </c>
      <c r="AP93" s="139">
        <f t="shared" si="40"/>
        <v>23049.699287006573</v>
      </c>
      <c r="AQ93" s="139">
        <f t="shared" si="40"/>
        <v>11518.700930420835</v>
      </c>
    </row>
    <row r="94" spans="3:43" x14ac:dyDescent="0.25">
      <c r="C94" t="s">
        <v>1267</v>
      </c>
      <c r="D94" t="s">
        <v>125</v>
      </c>
      <c r="E94" s="139"/>
      <c r="F94" s="139"/>
      <c r="G94" s="139"/>
      <c r="H94" s="139">
        <f t="shared" ref="H94:AQ94" si="41">G96</f>
        <v>0</v>
      </c>
      <c r="I94" s="139">
        <f t="shared" si="41"/>
        <v>88.621621621621628</v>
      </c>
      <c r="J94" s="139">
        <f t="shared" si="41"/>
        <v>516.78716216216219</v>
      </c>
      <c r="K94" s="139">
        <f t="shared" si="41"/>
        <v>1393.6526906046893</v>
      </c>
      <c r="L94" s="139">
        <f t="shared" si="41"/>
        <v>3517.9219397838301</v>
      </c>
      <c r="M94" s="139">
        <f t="shared" si="41"/>
        <v>4300.1406988747076</v>
      </c>
      <c r="N94" s="139">
        <f t="shared" si="41"/>
        <v>157.41670015991622</v>
      </c>
      <c r="O94" s="139">
        <f t="shared" si="41"/>
        <v>0</v>
      </c>
      <c r="P94" s="139">
        <f t="shared" si="41"/>
        <v>0</v>
      </c>
      <c r="Q94" s="139">
        <f t="shared" si="41"/>
        <v>0</v>
      </c>
      <c r="R94" s="139">
        <f t="shared" si="41"/>
        <v>0</v>
      </c>
      <c r="S94" s="139">
        <f t="shared" si="41"/>
        <v>0</v>
      </c>
      <c r="T94" s="139">
        <f t="shared" si="41"/>
        <v>0</v>
      </c>
      <c r="U94" s="139">
        <f t="shared" si="41"/>
        <v>0</v>
      </c>
      <c r="V94" s="139">
        <f t="shared" si="41"/>
        <v>0</v>
      </c>
      <c r="W94" s="139">
        <f t="shared" si="41"/>
        <v>0</v>
      </c>
      <c r="X94" s="139">
        <f t="shared" si="41"/>
        <v>0</v>
      </c>
      <c r="Y94" s="139">
        <f t="shared" si="41"/>
        <v>0</v>
      </c>
      <c r="Z94" s="139">
        <f t="shared" si="41"/>
        <v>0</v>
      </c>
      <c r="AA94" s="139">
        <f t="shared" si="41"/>
        <v>0</v>
      </c>
      <c r="AB94" s="139">
        <f t="shared" si="41"/>
        <v>0</v>
      </c>
      <c r="AC94" s="139">
        <f t="shared" si="41"/>
        <v>0</v>
      </c>
      <c r="AD94" s="139">
        <f t="shared" si="41"/>
        <v>0</v>
      </c>
      <c r="AE94" s="139">
        <f t="shared" si="41"/>
        <v>0</v>
      </c>
      <c r="AF94" s="139">
        <f t="shared" si="41"/>
        <v>0</v>
      </c>
      <c r="AG94" s="139">
        <f t="shared" si="41"/>
        <v>0</v>
      </c>
      <c r="AH94" s="139">
        <f t="shared" si="41"/>
        <v>0</v>
      </c>
      <c r="AI94" s="139">
        <f t="shared" si="41"/>
        <v>0</v>
      </c>
      <c r="AJ94" s="139">
        <f t="shared" si="41"/>
        <v>0</v>
      </c>
      <c r="AK94" s="139">
        <f t="shared" si="41"/>
        <v>0</v>
      </c>
      <c r="AL94" s="139">
        <f t="shared" si="41"/>
        <v>0</v>
      </c>
      <c r="AM94" s="139">
        <f t="shared" si="41"/>
        <v>0</v>
      </c>
      <c r="AN94" s="139">
        <f t="shared" si="41"/>
        <v>0</v>
      </c>
      <c r="AO94" s="139">
        <f t="shared" si="41"/>
        <v>0</v>
      </c>
      <c r="AP94" s="139">
        <f t="shared" si="41"/>
        <v>0</v>
      </c>
      <c r="AQ94" s="139">
        <f t="shared" si="41"/>
        <v>0</v>
      </c>
    </row>
    <row r="95" spans="3:43" x14ac:dyDescent="0.25">
      <c r="C95" t="s">
        <v>1268</v>
      </c>
      <c r="D95" t="s">
        <v>125</v>
      </c>
      <c r="E95" s="63">
        <f>Inputs!$E$216</f>
        <v>0.5</v>
      </c>
      <c r="F95" s="139"/>
      <c r="G95" s="139">
        <f>SUM(H95:AQ95)</f>
        <v>4300.1406988747076</v>
      </c>
      <c r="H95" s="139">
        <f t="shared" ref="H95:AQ95" si="42">MIN(H94,MAX(H93,0)*$E$95)</f>
        <v>0</v>
      </c>
      <c r="I95" s="139">
        <f t="shared" si="42"/>
        <v>0</v>
      </c>
      <c r="J95" s="139">
        <f t="shared" si="42"/>
        <v>0</v>
      </c>
      <c r="K95" s="139">
        <f t="shared" si="42"/>
        <v>0</v>
      </c>
      <c r="L95" s="139">
        <f t="shared" si="42"/>
        <v>0</v>
      </c>
      <c r="M95" s="139">
        <f t="shared" si="42"/>
        <v>4142.7239987147914</v>
      </c>
      <c r="N95" s="139">
        <f t="shared" si="42"/>
        <v>157.41670015991622</v>
      </c>
      <c r="O95" s="139">
        <f t="shared" si="42"/>
        <v>0</v>
      </c>
      <c r="P95" s="139">
        <f t="shared" si="42"/>
        <v>0</v>
      </c>
      <c r="Q95" s="139">
        <f t="shared" si="42"/>
        <v>0</v>
      </c>
      <c r="R95" s="139">
        <f t="shared" si="42"/>
        <v>0</v>
      </c>
      <c r="S95" s="139">
        <f t="shared" si="42"/>
        <v>0</v>
      </c>
      <c r="T95" s="139">
        <f t="shared" si="42"/>
        <v>0</v>
      </c>
      <c r="U95" s="139">
        <f t="shared" si="42"/>
        <v>0</v>
      </c>
      <c r="V95" s="139">
        <f t="shared" si="42"/>
        <v>0</v>
      </c>
      <c r="W95" s="139">
        <f t="shared" si="42"/>
        <v>0</v>
      </c>
      <c r="X95" s="139">
        <f t="shared" si="42"/>
        <v>0</v>
      </c>
      <c r="Y95" s="139">
        <f t="shared" si="42"/>
        <v>0</v>
      </c>
      <c r="Z95" s="139">
        <f t="shared" si="42"/>
        <v>0</v>
      </c>
      <c r="AA95" s="139">
        <f t="shared" si="42"/>
        <v>0</v>
      </c>
      <c r="AB95" s="139">
        <f t="shared" si="42"/>
        <v>0</v>
      </c>
      <c r="AC95" s="139">
        <f t="shared" si="42"/>
        <v>0</v>
      </c>
      <c r="AD95" s="139">
        <f t="shared" si="42"/>
        <v>0</v>
      </c>
      <c r="AE95" s="139">
        <f t="shared" si="42"/>
        <v>0</v>
      </c>
      <c r="AF95" s="139">
        <f t="shared" si="42"/>
        <v>0</v>
      </c>
      <c r="AG95" s="139">
        <f t="shared" si="42"/>
        <v>0</v>
      </c>
      <c r="AH95" s="139">
        <f t="shared" si="42"/>
        <v>0</v>
      </c>
      <c r="AI95" s="139">
        <f t="shared" si="42"/>
        <v>0</v>
      </c>
      <c r="AJ95" s="139">
        <f t="shared" si="42"/>
        <v>0</v>
      </c>
      <c r="AK95" s="139">
        <f t="shared" si="42"/>
        <v>0</v>
      </c>
      <c r="AL95" s="139">
        <f t="shared" si="42"/>
        <v>0</v>
      </c>
      <c r="AM95" s="139">
        <f t="shared" si="42"/>
        <v>0</v>
      </c>
      <c r="AN95" s="139">
        <f t="shared" si="42"/>
        <v>0</v>
      </c>
      <c r="AO95" s="139">
        <f t="shared" si="42"/>
        <v>0</v>
      </c>
      <c r="AP95" s="139">
        <f t="shared" si="42"/>
        <v>0</v>
      </c>
      <c r="AQ95" s="139">
        <f t="shared" si="42"/>
        <v>0</v>
      </c>
    </row>
    <row r="96" spans="3:43" x14ac:dyDescent="0.25">
      <c r="C96" t="s">
        <v>1269</v>
      </c>
      <c r="D96" t="s">
        <v>125</v>
      </c>
      <c r="E96" s="139"/>
      <c r="F96" s="139"/>
      <c r="G96" s="139">
        <v>0</v>
      </c>
      <c r="H96" s="139">
        <f t="shared" ref="H96:AQ96" si="43">H94+MAX(-H93,0)-H95</f>
        <v>88.621621621621628</v>
      </c>
      <c r="I96" s="139">
        <f t="shared" si="43"/>
        <v>516.78716216216219</v>
      </c>
      <c r="J96" s="139">
        <f t="shared" si="43"/>
        <v>1393.6526906046893</v>
      </c>
      <c r="K96" s="139">
        <f t="shared" si="43"/>
        <v>3517.9219397838301</v>
      </c>
      <c r="L96" s="139">
        <f t="shared" si="43"/>
        <v>4300.1406988747076</v>
      </c>
      <c r="M96" s="139">
        <f t="shared" si="43"/>
        <v>157.41670015991622</v>
      </c>
      <c r="N96" s="139">
        <f t="shared" si="43"/>
        <v>0</v>
      </c>
      <c r="O96" s="139">
        <f t="shared" si="43"/>
        <v>0</v>
      </c>
      <c r="P96" s="139">
        <f t="shared" si="43"/>
        <v>0</v>
      </c>
      <c r="Q96" s="139">
        <f t="shared" si="43"/>
        <v>0</v>
      </c>
      <c r="R96" s="139">
        <f t="shared" si="43"/>
        <v>0</v>
      </c>
      <c r="S96" s="139">
        <f t="shared" si="43"/>
        <v>0</v>
      </c>
      <c r="T96" s="139">
        <f t="shared" si="43"/>
        <v>0</v>
      </c>
      <c r="U96" s="139">
        <f t="shared" si="43"/>
        <v>0</v>
      </c>
      <c r="V96" s="139">
        <f t="shared" si="43"/>
        <v>0</v>
      </c>
      <c r="W96" s="139">
        <f t="shared" si="43"/>
        <v>0</v>
      </c>
      <c r="X96" s="139">
        <f t="shared" si="43"/>
        <v>0</v>
      </c>
      <c r="Y96" s="139">
        <f t="shared" si="43"/>
        <v>0</v>
      </c>
      <c r="Z96" s="139">
        <f t="shared" si="43"/>
        <v>0</v>
      </c>
      <c r="AA96" s="139">
        <f t="shared" si="43"/>
        <v>0</v>
      </c>
      <c r="AB96" s="139">
        <f t="shared" si="43"/>
        <v>0</v>
      </c>
      <c r="AC96" s="139">
        <f t="shared" si="43"/>
        <v>0</v>
      </c>
      <c r="AD96" s="139">
        <f t="shared" si="43"/>
        <v>0</v>
      </c>
      <c r="AE96" s="139">
        <f t="shared" si="43"/>
        <v>0</v>
      </c>
      <c r="AF96" s="139">
        <f t="shared" si="43"/>
        <v>0</v>
      </c>
      <c r="AG96" s="139">
        <f t="shared" si="43"/>
        <v>0</v>
      </c>
      <c r="AH96" s="139">
        <f t="shared" si="43"/>
        <v>0</v>
      </c>
      <c r="AI96" s="139">
        <f t="shared" si="43"/>
        <v>0</v>
      </c>
      <c r="AJ96" s="139">
        <f t="shared" si="43"/>
        <v>0</v>
      </c>
      <c r="AK96" s="139">
        <f t="shared" si="43"/>
        <v>0</v>
      </c>
      <c r="AL96" s="139">
        <f t="shared" si="43"/>
        <v>0</v>
      </c>
      <c r="AM96" s="139">
        <f t="shared" si="43"/>
        <v>0</v>
      </c>
      <c r="AN96" s="139">
        <f t="shared" si="43"/>
        <v>0</v>
      </c>
      <c r="AO96" s="139">
        <f t="shared" si="43"/>
        <v>0</v>
      </c>
      <c r="AP96" s="139">
        <f t="shared" si="43"/>
        <v>0</v>
      </c>
      <c r="AQ96" s="139">
        <f t="shared" si="43"/>
        <v>0</v>
      </c>
    </row>
    <row r="97" spans="3:43" x14ac:dyDescent="0.25">
      <c r="C97" t="s">
        <v>1270</v>
      </c>
      <c r="D97" t="s">
        <v>125</v>
      </c>
      <c r="E97" s="139"/>
      <c r="F97" s="139"/>
      <c r="G97" s="139">
        <f>SUM(H97:AQ97)</f>
        <v>469440.05411235994</v>
      </c>
      <c r="H97" s="139">
        <f t="shared" ref="H97:AQ97" si="44">MAX(H93,0)-H95</f>
        <v>0</v>
      </c>
      <c r="I97" s="139">
        <f t="shared" si="44"/>
        <v>0</v>
      </c>
      <c r="J97" s="139">
        <f t="shared" si="44"/>
        <v>0</v>
      </c>
      <c r="K97" s="139">
        <f t="shared" si="44"/>
        <v>0</v>
      </c>
      <c r="L97" s="139">
        <f t="shared" si="44"/>
        <v>0</v>
      </c>
      <c r="M97" s="139">
        <f t="shared" si="44"/>
        <v>4142.7239987147914</v>
      </c>
      <c r="N97" s="139">
        <f t="shared" si="44"/>
        <v>9001.4839286867391</v>
      </c>
      <c r="O97" s="139">
        <f t="shared" si="44"/>
        <v>9430.169576315915</v>
      </c>
      <c r="P97" s="139">
        <f t="shared" si="44"/>
        <v>9709.7133553481854</v>
      </c>
      <c r="Q97" s="139">
        <f t="shared" si="44"/>
        <v>9997.9683142367012</v>
      </c>
      <c r="R97" s="139">
        <f t="shared" si="44"/>
        <v>10295.394171715694</v>
      </c>
      <c r="S97" s="139">
        <f t="shared" si="44"/>
        <v>10602.475230253722</v>
      </c>
      <c r="T97" s="139">
        <f t="shared" si="44"/>
        <v>10919.721651148451</v>
      </c>
      <c r="U97" s="139">
        <f t="shared" si="44"/>
        <v>11247.670794541373</v>
      </c>
      <c r="V97" s="139">
        <f t="shared" si="44"/>
        <v>11586.888627626588</v>
      </c>
      <c r="W97" s="139">
        <f t="shared" si="44"/>
        <v>11937.971204493524</v>
      </c>
      <c r="X97" s="139">
        <f t="shared" si="44"/>
        <v>12301.546221214801</v>
      </c>
      <c r="Y97" s="139">
        <f t="shared" si="44"/>
        <v>12678.274649972745</v>
      </c>
      <c r="Z97" s="139">
        <f t="shared" si="44"/>
        <v>13068.852456207942</v>
      </c>
      <c r="AA97" s="139">
        <f t="shared" si="44"/>
        <v>13474.012402973463</v>
      </c>
      <c r="AB97" s="139">
        <f t="shared" si="44"/>
        <v>13894.525946888236</v>
      </c>
      <c r="AC97" s="139">
        <f t="shared" si="44"/>
        <v>14331.205230303472</v>
      </c>
      <c r="AD97" s="139">
        <f t="shared" si="44"/>
        <v>14366.446400429464</v>
      </c>
      <c r="AE97" s="139">
        <f t="shared" si="44"/>
        <v>14398.685192297773</v>
      </c>
      <c r="AF97" s="139">
        <f t="shared" si="44"/>
        <v>14427.822647804587</v>
      </c>
      <c r="AG97" s="139">
        <f t="shared" si="44"/>
        <v>18716.149229239993</v>
      </c>
      <c r="AH97" s="139">
        <f t="shared" si="44"/>
        <v>23001.168723142255</v>
      </c>
      <c r="AI97" s="139">
        <f t="shared" si="44"/>
        <v>23020.382195473136</v>
      </c>
      <c r="AJ97" s="139">
        <f t="shared" si="44"/>
        <v>23036.071945171767</v>
      </c>
      <c r="AK97" s="139">
        <f t="shared" si="44"/>
        <v>23048.125403144655</v>
      </c>
      <c r="AL97" s="139">
        <f t="shared" si="44"/>
        <v>23056.427071876358</v>
      </c>
      <c r="AM97" s="139">
        <f t="shared" si="44"/>
        <v>23060.858452716238</v>
      </c>
      <c r="AN97" s="139">
        <f t="shared" si="44"/>
        <v>23061.297971378961</v>
      </c>
      <c r="AO97" s="139">
        <f t="shared" si="44"/>
        <v>23057.620901615082</v>
      </c>
      <c r="AP97" s="139">
        <f t="shared" si="44"/>
        <v>23049.699287006573</v>
      </c>
      <c r="AQ97" s="139">
        <f t="shared" si="44"/>
        <v>11518.700930420835</v>
      </c>
    </row>
    <row r="98" spans="3:43" x14ac:dyDescent="0.25">
      <c r="C98" t="s">
        <v>1271</v>
      </c>
      <c r="D98" t="s">
        <v>125</v>
      </c>
      <c r="E98" s="139"/>
      <c r="F98" s="139"/>
      <c r="G98" s="139">
        <f>SUM(H98:AQ98)</f>
        <v>-70416.008116853991</v>
      </c>
      <c r="H98" s="139">
        <f t="shared" ref="H98:AQ98" si="45">-H97*$E$91</f>
        <v>0</v>
      </c>
      <c r="I98" s="139">
        <f t="shared" si="45"/>
        <v>0</v>
      </c>
      <c r="J98" s="139">
        <f t="shared" si="45"/>
        <v>0</v>
      </c>
      <c r="K98" s="139">
        <f t="shared" si="45"/>
        <v>0</v>
      </c>
      <c r="L98" s="139">
        <f t="shared" si="45"/>
        <v>0</v>
      </c>
      <c r="M98" s="139">
        <f t="shared" si="45"/>
        <v>-621.40859980721871</v>
      </c>
      <c r="N98" s="139">
        <f t="shared" si="45"/>
        <v>-1350.2225893030109</v>
      </c>
      <c r="O98" s="139">
        <f t="shared" si="45"/>
        <v>-1414.5254364473872</v>
      </c>
      <c r="P98" s="139">
        <f t="shared" si="45"/>
        <v>-1456.4570033022278</v>
      </c>
      <c r="Q98" s="139">
        <f t="shared" si="45"/>
        <v>-1499.695247135505</v>
      </c>
      <c r="R98" s="139">
        <f t="shared" si="45"/>
        <v>-1544.309125757354</v>
      </c>
      <c r="S98" s="139">
        <f t="shared" si="45"/>
        <v>-1590.3712845380583</v>
      </c>
      <c r="T98" s="139">
        <f t="shared" si="45"/>
        <v>-1637.9582476722676</v>
      </c>
      <c r="U98" s="139">
        <f t="shared" si="45"/>
        <v>-1687.1506191812059</v>
      </c>
      <c r="V98" s="139">
        <f t="shared" si="45"/>
        <v>-1738.0332941439881</v>
      </c>
      <c r="W98" s="139">
        <f t="shared" si="45"/>
        <v>-1790.6956806740286</v>
      </c>
      <c r="X98" s="139">
        <f t="shared" si="45"/>
        <v>-1845.23193318222</v>
      </c>
      <c r="Y98" s="139">
        <f t="shared" si="45"/>
        <v>-1901.7411974959118</v>
      </c>
      <c r="Z98" s="139">
        <f t="shared" si="45"/>
        <v>-1960.3278684311913</v>
      </c>
      <c r="AA98" s="139">
        <f t="shared" si="45"/>
        <v>-2021.1018604460194</v>
      </c>
      <c r="AB98" s="139">
        <f t="shared" si="45"/>
        <v>-2084.1788920332351</v>
      </c>
      <c r="AC98" s="139">
        <f t="shared" si="45"/>
        <v>-2149.680784545521</v>
      </c>
      <c r="AD98" s="139">
        <f t="shared" si="45"/>
        <v>-2154.9669600644197</v>
      </c>
      <c r="AE98" s="139">
        <f t="shared" si="45"/>
        <v>-2159.8027788446657</v>
      </c>
      <c r="AF98" s="139">
        <f t="shared" si="45"/>
        <v>-2164.1733971706881</v>
      </c>
      <c r="AG98" s="139">
        <f t="shared" si="45"/>
        <v>-2807.4223843859986</v>
      </c>
      <c r="AH98" s="139">
        <f t="shared" si="45"/>
        <v>-3450.1753084713382</v>
      </c>
      <c r="AI98" s="139">
        <f t="shared" si="45"/>
        <v>-3453.0573293209704</v>
      </c>
      <c r="AJ98" s="139">
        <f t="shared" si="45"/>
        <v>-3455.4107917757651</v>
      </c>
      <c r="AK98" s="139">
        <f t="shared" si="45"/>
        <v>-3457.2188104716984</v>
      </c>
      <c r="AL98" s="139">
        <f t="shared" si="45"/>
        <v>-3458.4640607814536</v>
      </c>
      <c r="AM98" s="139">
        <f t="shared" si="45"/>
        <v>-3459.1287679074358</v>
      </c>
      <c r="AN98" s="139">
        <f t="shared" si="45"/>
        <v>-3459.194695706844</v>
      </c>
      <c r="AO98" s="139">
        <f t="shared" si="45"/>
        <v>-3458.6431352422624</v>
      </c>
      <c r="AP98" s="139">
        <f t="shared" si="45"/>
        <v>-3457.4548930509859</v>
      </c>
      <c r="AQ98" s="139">
        <f t="shared" si="45"/>
        <v>-1727.8051395631253</v>
      </c>
    </row>
    <row r="99" spans="3:43" x14ac:dyDescent="0.25">
      <c r="C99" t="s">
        <v>1272</v>
      </c>
      <c r="D99" t="s">
        <v>125</v>
      </c>
      <c r="E99" s="134">
        <f>Inputs!$E$199*Inputs!$E$200</f>
        <v>0</v>
      </c>
      <c r="F99" s="139"/>
      <c r="G99" s="139">
        <f>SUM(H99:AQ99)</f>
        <v>0</v>
      </c>
      <c r="H99" s="139">
        <f t="shared" ref="H99:AQ99" si="46">-MAX(H93,0)*$E$99</f>
        <v>0</v>
      </c>
      <c r="I99" s="139">
        <f t="shared" si="46"/>
        <v>0</v>
      </c>
      <c r="J99" s="139">
        <f t="shared" si="46"/>
        <v>0</v>
      </c>
      <c r="K99" s="139">
        <f t="shared" si="46"/>
        <v>0</v>
      </c>
      <c r="L99" s="139">
        <f t="shared" si="46"/>
        <v>0</v>
      </c>
      <c r="M99" s="139">
        <f t="shared" si="46"/>
        <v>0</v>
      </c>
      <c r="N99" s="139">
        <f t="shared" si="46"/>
        <v>0</v>
      </c>
      <c r="O99" s="139">
        <f t="shared" si="46"/>
        <v>0</v>
      </c>
      <c r="P99" s="139">
        <f t="shared" si="46"/>
        <v>0</v>
      </c>
      <c r="Q99" s="139">
        <f t="shared" si="46"/>
        <v>0</v>
      </c>
      <c r="R99" s="139">
        <f t="shared" si="46"/>
        <v>0</v>
      </c>
      <c r="S99" s="139">
        <f t="shared" si="46"/>
        <v>0</v>
      </c>
      <c r="T99" s="139">
        <f t="shared" si="46"/>
        <v>0</v>
      </c>
      <c r="U99" s="139">
        <f t="shared" si="46"/>
        <v>0</v>
      </c>
      <c r="V99" s="139">
        <f t="shared" si="46"/>
        <v>0</v>
      </c>
      <c r="W99" s="139">
        <f t="shared" si="46"/>
        <v>0</v>
      </c>
      <c r="X99" s="139">
        <f t="shared" si="46"/>
        <v>0</v>
      </c>
      <c r="Y99" s="139">
        <f t="shared" si="46"/>
        <v>0</v>
      </c>
      <c r="Z99" s="139">
        <f t="shared" si="46"/>
        <v>0</v>
      </c>
      <c r="AA99" s="139">
        <f t="shared" si="46"/>
        <v>0</v>
      </c>
      <c r="AB99" s="139">
        <f t="shared" si="46"/>
        <v>0</v>
      </c>
      <c r="AC99" s="139">
        <f t="shared" si="46"/>
        <v>0</v>
      </c>
      <c r="AD99" s="139">
        <f t="shared" si="46"/>
        <v>0</v>
      </c>
      <c r="AE99" s="139">
        <f t="shared" si="46"/>
        <v>0</v>
      </c>
      <c r="AF99" s="139">
        <f t="shared" si="46"/>
        <v>0</v>
      </c>
      <c r="AG99" s="139">
        <f t="shared" si="46"/>
        <v>0</v>
      </c>
      <c r="AH99" s="139">
        <f t="shared" si="46"/>
        <v>0</v>
      </c>
      <c r="AI99" s="139">
        <f t="shared" si="46"/>
        <v>0</v>
      </c>
      <c r="AJ99" s="139">
        <f t="shared" si="46"/>
        <v>0</v>
      </c>
      <c r="AK99" s="139">
        <f t="shared" si="46"/>
        <v>0</v>
      </c>
      <c r="AL99" s="139">
        <f t="shared" si="46"/>
        <v>0</v>
      </c>
      <c r="AM99" s="139">
        <f t="shared" si="46"/>
        <v>0</v>
      </c>
      <c r="AN99" s="139">
        <f t="shared" si="46"/>
        <v>0</v>
      </c>
      <c r="AO99" s="139">
        <f t="shared" si="46"/>
        <v>0</v>
      </c>
      <c r="AP99" s="139">
        <f t="shared" si="46"/>
        <v>0</v>
      </c>
      <c r="AQ99" s="139">
        <f t="shared" si="46"/>
        <v>0</v>
      </c>
    </row>
    <row r="100" spans="3:43" x14ac:dyDescent="0.25">
      <c r="C100" s="198" t="s">
        <v>1273</v>
      </c>
      <c r="D100" s="198" t="s">
        <v>125</v>
      </c>
      <c r="E100" s="269"/>
      <c r="F100" s="269"/>
      <c r="G100" s="269">
        <f>SUM(H100:AQ100)</f>
        <v>-70416.008116853991</v>
      </c>
      <c r="H100" s="269">
        <f t="shared" ref="H100:AQ100" si="47">H98+H99</f>
        <v>0</v>
      </c>
      <c r="I100" s="269">
        <f t="shared" si="47"/>
        <v>0</v>
      </c>
      <c r="J100" s="269">
        <f t="shared" si="47"/>
        <v>0</v>
      </c>
      <c r="K100" s="269">
        <f t="shared" si="47"/>
        <v>0</v>
      </c>
      <c r="L100" s="269">
        <f t="shared" si="47"/>
        <v>0</v>
      </c>
      <c r="M100" s="269">
        <f t="shared" si="47"/>
        <v>-621.40859980721871</v>
      </c>
      <c r="N100" s="269">
        <f t="shared" si="47"/>
        <v>-1350.2225893030109</v>
      </c>
      <c r="O100" s="269">
        <f t="shared" si="47"/>
        <v>-1414.5254364473872</v>
      </c>
      <c r="P100" s="269">
        <f t="shared" si="47"/>
        <v>-1456.4570033022278</v>
      </c>
      <c r="Q100" s="269">
        <f t="shared" si="47"/>
        <v>-1499.695247135505</v>
      </c>
      <c r="R100" s="269">
        <f t="shared" si="47"/>
        <v>-1544.309125757354</v>
      </c>
      <c r="S100" s="269">
        <f t="shared" si="47"/>
        <v>-1590.3712845380583</v>
      </c>
      <c r="T100" s="269">
        <f t="shared" si="47"/>
        <v>-1637.9582476722676</v>
      </c>
      <c r="U100" s="269">
        <f t="shared" si="47"/>
        <v>-1687.1506191812059</v>
      </c>
      <c r="V100" s="269">
        <f t="shared" si="47"/>
        <v>-1738.0332941439881</v>
      </c>
      <c r="W100" s="269">
        <f t="shared" si="47"/>
        <v>-1790.6956806740286</v>
      </c>
      <c r="X100" s="269">
        <f t="shared" si="47"/>
        <v>-1845.23193318222</v>
      </c>
      <c r="Y100" s="269">
        <f t="shared" si="47"/>
        <v>-1901.7411974959118</v>
      </c>
      <c r="Z100" s="269">
        <f t="shared" si="47"/>
        <v>-1960.3278684311913</v>
      </c>
      <c r="AA100" s="269">
        <f t="shared" si="47"/>
        <v>-2021.1018604460194</v>
      </c>
      <c r="AB100" s="269">
        <f t="shared" si="47"/>
        <v>-2084.1788920332351</v>
      </c>
      <c r="AC100" s="269">
        <f t="shared" si="47"/>
        <v>-2149.680784545521</v>
      </c>
      <c r="AD100" s="269">
        <f t="shared" si="47"/>
        <v>-2154.9669600644197</v>
      </c>
      <c r="AE100" s="269">
        <f t="shared" si="47"/>
        <v>-2159.8027788446657</v>
      </c>
      <c r="AF100" s="269">
        <f t="shared" si="47"/>
        <v>-2164.1733971706881</v>
      </c>
      <c r="AG100" s="269">
        <f t="shared" si="47"/>
        <v>-2807.4223843859986</v>
      </c>
      <c r="AH100" s="269">
        <f t="shared" si="47"/>
        <v>-3450.1753084713382</v>
      </c>
      <c r="AI100" s="269">
        <f t="shared" si="47"/>
        <v>-3453.0573293209704</v>
      </c>
      <c r="AJ100" s="269">
        <f t="shared" si="47"/>
        <v>-3455.4107917757651</v>
      </c>
      <c r="AK100" s="269">
        <f t="shared" si="47"/>
        <v>-3457.2188104716984</v>
      </c>
      <c r="AL100" s="269">
        <f t="shared" si="47"/>
        <v>-3458.4640607814536</v>
      </c>
      <c r="AM100" s="269">
        <f t="shared" si="47"/>
        <v>-3459.1287679074358</v>
      </c>
      <c r="AN100" s="269">
        <f t="shared" si="47"/>
        <v>-3459.194695706844</v>
      </c>
      <c r="AO100" s="269">
        <f t="shared" si="47"/>
        <v>-3458.6431352422624</v>
      </c>
      <c r="AP100" s="269">
        <f t="shared" si="47"/>
        <v>-3457.4548930509859</v>
      </c>
      <c r="AQ100" s="269">
        <f t="shared" si="47"/>
        <v>-1727.8051395631253</v>
      </c>
    </row>
    <row r="101" spans="3:43" x14ac:dyDescent="0.25">
      <c r="C101" t="s">
        <v>1274</v>
      </c>
      <c r="D101" t="s">
        <v>125</v>
      </c>
      <c r="E101" s="139"/>
      <c r="F101" s="139"/>
      <c r="G101" s="139">
        <f>SUM(H101:AQ101)</f>
        <v>-77192.145112819635</v>
      </c>
      <c r="H101" s="139">
        <f t="shared" ref="H101:AQ101" si="48">-MAX(H70-H92,0)*($E$91+$E$99)</f>
        <v>0</v>
      </c>
      <c r="I101" s="139">
        <f t="shared" si="48"/>
        <v>0</v>
      </c>
      <c r="J101" s="139">
        <f t="shared" si="48"/>
        <v>0</v>
      </c>
      <c r="K101" s="139">
        <f t="shared" si="48"/>
        <v>0</v>
      </c>
      <c r="L101" s="139">
        <f t="shared" si="48"/>
        <v>0</v>
      </c>
      <c r="M101" s="139">
        <f t="shared" si="48"/>
        <v>-1573.6651909759337</v>
      </c>
      <c r="N101" s="139">
        <f t="shared" si="48"/>
        <v>-2025.353941059409</v>
      </c>
      <c r="O101" s="139">
        <f t="shared" si="48"/>
        <v>-2035.8514094016814</v>
      </c>
      <c r="P101" s="139">
        <f t="shared" si="48"/>
        <v>-2046.0804587894995</v>
      </c>
      <c r="Q101" s="139">
        <f t="shared" si="48"/>
        <v>-2056.0310592824035</v>
      </c>
      <c r="R101" s="139">
        <f t="shared" si="48"/>
        <v>-2065.6929123968603</v>
      </c>
      <c r="S101" s="139">
        <f t="shared" si="48"/>
        <v>-2075.0554443948022</v>
      </c>
      <c r="T101" s="139">
        <f t="shared" si="48"/>
        <v>-2084.107799407112</v>
      </c>
      <c r="U101" s="139">
        <f t="shared" si="48"/>
        <v>-2092.8388323880554</v>
      </c>
      <c r="V101" s="139">
        <f t="shared" si="48"/>
        <v>-2101.2371018964427</v>
      </c>
      <c r="W101" s="139">
        <f t="shared" si="48"/>
        <v>-2109.290862699369</v>
      </c>
      <c r="X101" s="139">
        <f t="shared" si="48"/>
        <v>-2116.9880581940906</v>
      </c>
      <c r="Y101" s="139">
        <f t="shared" si="48"/>
        <v>-2124.3163126436384</v>
      </c>
      <c r="Z101" s="139">
        <f t="shared" si="48"/>
        <v>-2131.2629232215672</v>
      </c>
      <c r="AA101" s="139">
        <f t="shared" si="48"/>
        <v>-2137.814851861177</v>
      </c>
      <c r="AB101" s="139">
        <f t="shared" si="48"/>
        <v>-2143.9587169044134</v>
      </c>
      <c r="AC101" s="139">
        <f t="shared" si="48"/>
        <v>-2149.680784545521</v>
      </c>
      <c r="AD101" s="139">
        <f t="shared" si="48"/>
        <v>-2154.9669600644197</v>
      </c>
      <c r="AE101" s="139">
        <f t="shared" si="48"/>
        <v>-2159.8027788446661</v>
      </c>
      <c r="AF101" s="139">
        <f t="shared" si="48"/>
        <v>-2164.1733971706881</v>
      </c>
      <c r="AG101" s="139">
        <f t="shared" si="48"/>
        <v>-2807.4223843859986</v>
      </c>
      <c r="AH101" s="139">
        <f t="shared" si="48"/>
        <v>-3450.1753084713382</v>
      </c>
      <c r="AI101" s="139">
        <f t="shared" si="48"/>
        <v>-3453.0573293209704</v>
      </c>
      <c r="AJ101" s="139">
        <f t="shared" si="48"/>
        <v>-3455.4107917757651</v>
      </c>
      <c r="AK101" s="139">
        <f t="shared" si="48"/>
        <v>-3457.2188104716984</v>
      </c>
      <c r="AL101" s="139">
        <f t="shared" si="48"/>
        <v>-3458.4640607814536</v>
      </c>
      <c r="AM101" s="139">
        <f t="shared" si="48"/>
        <v>-3459.1287679074358</v>
      </c>
      <c r="AN101" s="139">
        <f t="shared" si="48"/>
        <v>-3459.194695706844</v>
      </c>
      <c r="AO101" s="139">
        <f t="shared" si="48"/>
        <v>-3458.6431352422624</v>
      </c>
      <c r="AP101" s="139">
        <f t="shared" si="48"/>
        <v>-3457.4548930509859</v>
      </c>
      <c r="AQ101" s="139">
        <f t="shared" si="48"/>
        <v>-1727.8051395631255</v>
      </c>
    </row>
    <row r="102" spans="3:43" x14ac:dyDescent="0.25">
      <c r="E102" s="139"/>
      <c r="F102" s="139"/>
      <c r="G102" s="139"/>
      <c r="H102" s="139"/>
      <c r="I102" s="139"/>
      <c r="J102" s="139"/>
      <c r="K102" s="139"/>
      <c r="L102" s="139"/>
      <c r="M102" s="139"/>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row>
    <row r="103" spans="3:43" x14ac:dyDescent="0.25">
      <c r="C103" s="129" t="s">
        <v>1275</v>
      </c>
      <c r="D103" s="129"/>
      <c r="E103" s="270"/>
      <c r="F103" s="270"/>
      <c r="G103" s="270"/>
      <c r="H103" s="270"/>
      <c r="I103" s="270"/>
      <c r="J103" s="270"/>
      <c r="K103" s="270"/>
      <c r="L103" s="270"/>
      <c r="M103" s="270"/>
      <c r="N103" s="270"/>
      <c r="O103" s="270"/>
      <c r="P103" s="270"/>
      <c r="Q103" s="270"/>
      <c r="R103" s="270"/>
      <c r="S103" s="270"/>
      <c r="T103" s="270"/>
      <c r="U103" s="270"/>
      <c r="V103" s="270"/>
      <c r="W103" s="270"/>
      <c r="X103" s="270"/>
      <c r="Y103" s="270"/>
      <c r="Z103" s="270"/>
      <c r="AA103" s="270"/>
      <c r="AB103" s="270"/>
      <c r="AC103" s="270"/>
      <c r="AD103" s="270"/>
      <c r="AE103" s="270"/>
      <c r="AF103" s="270"/>
      <c r="AG103" s="270"/>
      <c r="AH103" s="270"/>
      <c r="AI103" s="270"/>
      <c r="AJ103" s="270"/>
      <c r="AK103" s="270"/>
      <c r="AL103" s="270"/>
      <c r="AM103" s="270"/>
      <c r="AN103" s="270"/>
      <c r="AO103" s="270"/>
      <c r="AP103" s="270"/>
      <c r="AQ103" s="270"/>
    </row>
    <row r="104" spans="3:43" x14ac:dyDescent="0.25">
      <c r="C104" t="s">
        <v>1276</v>
      </c>
      <c r="D104" t="s">
        <v>125</v>
      </c>
      <c r="E104" s="139"/>
      <c r="F104" s="139"/>
      <c r="G104" s="139">
        <f t="shared" ref="G104:G110" si="49">SUM(H104:AQ104)</f>
        <v>-8600.284473823709</v>
      </c>
      <c r="H104" s="139">
        <f t="shared" ref="H104:AQ104" si="50">H24</f>
        <v>-1570.6176490188818</v>
      </c>
      <c r="I104" s="139">
        <f t="shared" si="50"/>
        <v>-778.73814328026663</v>
      </c>
      <c r="J104" s="139">
        <f t="shared" si="50"/>
        <v>-1227.4381311822531</v>
      </c>
      <c r="K104" s="139">
        <f t="shared" si="50"/>
        <v>-4499.0723555590448</v>
      </c>
      <c r="L104" s="139">
        <f t="shared" si="50"/>
        <v>-350.57260273972605</v>
      </c>
      <c r="M104" s="139">
        <f t="shared" si="50"/>
        <v>-173.84559204353542</v>
      </c>
      <c r="N104" s="139">
        <f t="shared" si="50"/>
        <v>0</v>
      </c>
      <c r="O104" s="139">
        <f t="shared" si="50"/>
        <v>0</v>
      </c>
      <c r="P104" s="139">
        <f t="shared" si="50"/>
        <v>0</v>
      </c>
      <c r="Q104" s="139">
        <f t="shared" si="50"/>
        <v>0</v>
      </c>
      <c r="R104" s="139">
        <f t="shared" si="50"/>
        <v>0</v>
      </c>
      <c r="S104" s="139">
        <f t="shared" si="50"/>
        <v>0</v>
      </c>
      <c r="T104" s="139">
        <f t="shared" si="50"/>
        <v>0</v>
      </c>
      <c r="U104" s="139">
        <f t="shared" si="50"/>
        <v>0</v>
      </c>
      <c r="V104" s="139">
        <f t="shared" si="50"/>
        <v>0</v>
      </c>
      <c r="W104" s="139">
        <f t="shared" si="50"/>
        <v>0</v>
      </c>
      <c r="X104" s="139">
        <f t="shared" si="50"/>
        <v>0</v>
      </c>
      <c r="Y104" s="139">
        <f t="shared" si="50"/>
        <v>0</v>
      </c>
      <c r="Z104" s="139">
        <f t="shared" si="50"/>
        <v>0</v>
      </c>
      <c r="AA104" s="139">
        <f t="shared" si="50"/>
        <v>0</v>
      </c>
      <c r="AB104" s="139">
        <f t="shared" si="50"/>
        <v>0</v>
      </c>
      <c r="AC104" s="139">
        <f t="shared" si="50"/>
        <v>0</v>
      </c>
      <c r="AD104" s="139">
        <f t="shared" si="50"/>
        <v>0</v>
      </c>
      <c r="AE104" s="139">
        <f t="shared" si="50"/>
        <v>0</v>
      </c>
      <c r="AF104" s="139">
        <f t="shared" si="50"/>
        <v>0</v>
      </c>
      <c r="AG104" s="139">
        <f t="shared" si="50"/>
        <v>0</v>
      </c>
      <c r="AH104" s="139">
        <f t="shared" si="50"/>
        <v>0</v>
      </c>
      <c r="AI104" s="139">
        <f t="shared" si="50"/>
        <v>0</v>
      </c>
      <c r="AJ104" s="139">
        <f t="shared" si="50"/>
        <v>0</v>
      </c>
      <c r="AK104" s="139">
        <f t="shared" si="50"/>
        <v>0</v>
      </c>
      <c r="AL104" s="139">
        <f t="shared" si="50"/>
        <v>0</v>
      </c>
      <c r="AM104" s="139">
        <f t="shared" si="50"/>
        <v>0</v>
      </c>
      <c r="AN104" s="139">
        <f t="shared" si="50"/>
        <v>0</v>
      </c>
      <c r="AO104" s="139">
        <f t="shared" si="50"/>
        <v>0</v>
      </c>
      <c r="AP104" s="139">
        <f t="shared" si="50"/>
        <v>0</v>
      </c>
      <c r="AQ104" s="139">
        <f t="shared" si="50"/>
        <v>0</v>
      </c>
    </row>
    <row r="105" spans="3:43" x14ac:dyDescent="0.25">
      <c r="C105" t="s">
        <v>1277</v>
      </c>
      <c r="D105" t="s">
        <v>125</v>
      </c>
      <c r="E105" s="139"/>
      <c r="F105" s="139"/>
      <c r="G105" s="139">
        <f t="shared" si="49"/>
        <v>-164787.24829315074</v>
      </c>
      <c r="H105" s="139">
        <f t="shared" ref="H105:AQ105" si="51">H30</f>
        <v>0</v>
      </c>
      <c r="I105" s="139">
        <f t="shared" si="51"/>
        <v>0</v>
      </c>
      <c r="J105" s="139">
        <f t="shared" si="51"/>
        <v>0</v>
      </c>
      <c r="K105" s="139">
        <f t="shared" si="51"/>
        <v>-54847.375895890422</v>
      </c>
      <c r="L105" s="139">
        <f t="shared" si="51"/>
        <v>-70152.112500000017</v>
      </c>
      <c r="M105" s="139">
        <f t="shared" si="51"/>
        <v>-39787.759897260286</v>
      </c>
      <c r="N105" s="139">
        <f t="shared" si="51"/>
        <v>0</v>
      </c>
      <c r="O105" s="139">
        <f t="shared" si="51"/>
        <v>0</v>
      </c>
      <c r="P105" s="139">
        <f t="shared" si="51"/>
        <v>0</v>
      </c>
      <c r="Q105" s="139">
        <f t="shared" si="51"/>
        <v>0</v>
      </c>
      <c r="R105" s="139">
        <f t="shared" si="51"/>
        <v>0</v>
      </c>
      <c r="S105" s="139">
        <f t="shared" si="51"/>
        <v>0</v>
      </c>
      <c r="T105" s="139">
        <f t="shared" si="51"/>
        <v>0</v>
      </c>
      <c r="U105" s="139">
        <f t="shared" si="51"/>
        <v>0</v>
      </c>
      <c r="V105" s="139">
        <f t="shared" si="51"/>
        <v>0</v>
      </c>
      <c r="W105" s="139">
        <f t="shared" si="51"/>
        <v>0</v>
      </c>
      <c r="X105" s="139">
        <f t="shared" si="51"/>
        <v>0</v>
      </c>
      <c r="Y105" s="139">
        <f t="shared" si="51"/>
        <v>0</v>
      </c>
      <c r="Z105" s="139">
        <f t="shared" si="51"/>
        <v>0</v>
      </c>
      <c r="AA105" s="139">
        <f t="shared" si="51"/>
        <v>0</v>
      </c>
      <c r="AB105" s="139">
        <f t="shared" si="51"/>
        <v>0</v>
      </c>
      <c r="AC105" s="139">
        <f t="shared" si="51"/>
        <v>0</v>
      </c>
      <c r="AD105" s="139">
        <f t="shared" si="51"/>
        <v>0</v>
      </c>
      <c r="AE105" s="139">
        <f t="shared" si="51"/>
        <v>0</v>
      </c>
      <c r="AF105" s="139">
        <f t="shared" si="51"/>
        <v>0</v>
      </c>
      <c r="AG105" s="139">
        <f t="shared" si="51"/>
        <v>0</v>
      </c>
      <c r="AH105" s="139">
        <f t="shared" si="51"/>
        <v>0</v>
      </c>
      <c r="AI105" s="139">
        <f t="shared" si="51"/>
        <v>0</v>
      </c>
      <c r="AJ105" s="139">
        <f t="shared" si="51"/>
        <v>0</v>
      </c>
      <c r="AK105" s="139">
        <f t="shared" si="51"/>
        <v>0</v>
      </c>
      <c r="AL105" s="139">
        <f t="shared" si="51"/>
        <v>0</v>
      </c>
      <c r="AM105" s="139">
        <f t="shared" si="51"/>
        <v>0</v>
      </c>
      <c r="AN105" s="139">
        <f t="shared" si="51"/>
        <v>0</v>
      </c>
      <c r="AO105" s="139">
        <f t="shared" si="51"/>
        <v>0</v>
      </c>
      <c r="AP105" s="139">
        <f t="shared" si="51"/>
        <v>0</v>
      </c>
      <c r="AQ105" s="139">
        <f t="shared" si="51"/>
        <v>0</v>
      </c>
    </row>
    <row r="106" spans="3:43" x14ac:dyDescent="0.25">
      <c r="C106" t="s">
        <v>13</v>
      </c>
      <c r="D106" t="s">
        <v>125</v>
      </c>
      <c r="E106" s="139"/>
      <c r="F106" s="139"/>
      <c r="G106" s="139">
        <f t="shared" si="49"/>
        <v>684486.93405728426</v>
      </c>
      <c r="H106" s="139">
        <f t="shared" ref="H106:AQ106" si="52">H70</f>
        <v>0</v>
      </c>
      <c r="I106" s="139">
        <f t="shared" si="52"/>
        <v>0</v>
      </c>
      <c r="J106" s="139">
        <f t="shared" si="52"/>
        <v>0</v>
      </c>
      <c r="K106" s="139">
        <f t="shared" si="52"/>
        <v>-205.40321563322553</v>
      </c>
      <c r="L106" s="139">
        <f t="shared" si="52"/>
        <v>-417.64390243902449</v>
      </c>
      <c r="M106" s="139">
        <f t="shared" si="52"/>
        <v>14753.493283753531</v>
      </c>
      <c r="N106" s="139">
        <f t="shared" si="52"/>
        <v>22027.143628224003</v>
      </c>
      <c r="O106" s="139">
        <f t="shared" si="52"/>
        <v>22097.12675050582</v>
      </c>
      <c r="P106" s="139">
        <f t="shared" si="52"/>
        <v>22165.320413091275</v>
      </c>
      <c r="Q106" s="139">
        <f t="shared" si="52"/>
        <v>22231.657749710634</v>
      </c>
      <c r="R106" s="139">
        <f t="shared" si="52"/>
        <v>22296.070103807011</v>
      </c>
      <c r="S106" s="139">
        <f t="shared" si="52"/>
        <v>22358.486983793293</v>
      </c>
      <c r="T106" s="139">
        <f t="shared" si="52"/>
        <v>22418.83601720869</v>
      </c>
      <c r="U106" s="139">
        <f t="shared" si="52"/>
        <v>22477.042903748312</v>
      </c>
      <c r="V106" s="139">
        <f t="shared" si="52"/>
        <v>22533.031367137562</v>
      </c>
      <c r="W106" s="139">
        <f t="shared" si="52"/>
        <v>22586.723105823738</v>
      </c>
      <c r="X106" s="139">
        <f t="shared" si="52"/>
        <v>22638.037742455213</v>
      </c>
      <c r="Y106" s="139">
        <f t="shared" si="52"/>
        <v>22686.892772118867</v>
      </c>
      <c r="Z106" s="139">
        <f t="shared" si="52"/>
        <v>22733.203509305058</v>
      </c>
      <c r="AA106" s="139">
        <f t="shared" si="52"/>
        <v>22776.883033569124</v>
      </c>
      <c r="AB106" s="139">
        <f t="shared" si="52"/>
        <v>22817.842133857368</v>
      </c>
      <c r="AC106" s="139">
        <f t="shared" si="52"/>
        <v>22855.989251464751</v>
      </c>
      <c r="AD106" s="139">
        <f t="shared" si="52"/>
        <v>22891.230421590742</v>
      </c>
      <c r="AE106" s="139">
        <f t="shared" si="52"/>
        <v>22923.469213459051</v>
      </c>
      <c r="AF106" s="139">
        <f t="shared" si="52"/>
        <v>22952.606668965866</v>
      </c>
      <c r="AG106" s="139">
        <f t="shared" si="52"/>
        <v>22978.541239820632</v>
      </c>
      <c r="AH106" s="139">
        <f t="shared" si="52"/>
        <v>23001.168723142255</v>
      </c>
      <c r="AI106" s="139">
        <f t="shared" si="52"/>
        <v>23020.382195473136</v>
      </c>
      <c r="AJ106" s="139">
        <f t="shared" si="52"/>
        <v>23036.071945171767</v>
      </c>
      <c r="AK106" s="139">
        <f t="shared" si="52"/>
        <v>23048.125403144655</v>
      </c>
      <c r="AL106" s="139">
        <f t="shared" si="52"/>
        <v>23056.427071876358</v>
      </c>
      <c r="AM106" s="139">
        <f t="shared" si="52"/>
        <v>23060.858452716238</v>
      </c>
      <c r="AN106" s="139">
        <f t="shared" si="52"/>
        <v>23061.297971378961</v>
      </c>
      <c r="AO106" s="139">
        <f t="shared" si="52"/>
        <v>23057.620901615082</v>
      </c>
      <c r="AP106" s="139">
        <f t="shared" si="52"/>
        <v>23049.699287006573</v>
      </c>
      <c r="AQ106" s="139">
        <f t="shared" si="52"/>
        <v>11518.700930420837</v>
      </c>
    </row>
    <row r="107" spans="3:43" x14ac:dyDescent="0.25">
      <c r="C107" t="s">
        <v>1278</v>
      </c>
      <c r="D107" t="s">
        <v>125</v>
      </c>
      <c r="E107" s="139">
        <f>Inputs!$E$177</f>
        <v>30</v>
      </c>
      <c r="F107" s="139"/>
      <c r="G107" s="139">
        <f t="shared" si="49"/>
        <v>-4077</v>
      </c>
      <c r="H107" s="139">
        <f t="shared" ref="H107:AQ107" si="53">-$E$107*$E$35*H11</f>
        <v>0</v>
      </c>
      <c r="I107" s="139">
        <f t="shared" si="53"/>
        <v>0</v>
      </c>
      <c r="J107" s="139">
        <f t="shared" si="53"/>
        <v>0</v>
      </c>
      <c r="K107" s="139">
        <f t="shared" si="53"/>
        <v>0</v>
      </c>
      <c r="L107" s="139">
        <f t="shared" si="53"/>
        <v>0</v>
      </c>
      <c r="M107" s="139">
        <f t="shared" si="53"/>
        <v>0</v>
      </c>
      <c r="N107" s="139">
        <f t="shared" si="53"/>
        <v>0</v>
      </c>
      <c r="O107" s="139">
        <f t="shared" si="53"/>
        <v>0</v>
      </c>
      <c r="P107" s="139">
        <f t="shared" si="53"/>
        <v>0</v>
      </c>
      <c r="Q107" s="139">
        <f t="shared" si="53"/>
        <v>0</v>
      </c>
      <c r="R107" s="139">
        <f t="shared" si="53"/>
        <v>0</v>
      </c>
      <c r="S107" s="139">
        <f t="shared" si="53"/>
        <v>0</v>
      </c>
      <c r="T107" s="139">
        <f t="shared" si="53"/>
        <v>0</v>
      </c>
      <c r="U107" s="139">
        <f t="shared" si="53"/>
        <v>0</v>
      </c>
      <c r="V107" s="139">
        <f t="shared" si="53"/>
        <v>0</v>
      </c>
      <c r="W107" s="139">
        <f t="shared" si="53"/>
        <v>0</v>
      </c>
      <c r="X107" s="139">
        <f t="shared" si="53"/>
        <v>0</v>
      </c>
      <c r="Y107" s="139">
        <f t="shared" si="53"/>
        <v>0</v>
      </c>
      <c r="Z107" s="139">
        <f t="shared" si="53"/>
        <v>0</v>
      </c>
      <c r="AA107" s="139">
        <f t="shared" si="53"/>
        <v>0</v>
      </c>
      <c r="AB107" s="139">
        <f t="shared" si="53"/>
        <v>0</v>
      </c>
      <c r="AC107" s="139">
        <f t="shared" si="53"/>
        <v>0</v>
      </c>
      <c r="AD107" s="139">
        <f t="shared" si="53"/>
        <v>0</v>
      </c>
      <c r="AE107" s="139">
        <f t="shared" si="53"/>
        <v>0</v>
      </c>
      <c r="AF107" s="139">
        <f t="shared" si="53"/>
        <v>0</v>
      </c>
      <c r="AG107" s="139">
        <f t="shared" si="53"/>
        <v>0</v>
      </c>
      <c r="AH107" s="139">
        <f t="shared" si="53"/>
        <v>0</v>
      </c>
      <c r="AI107" s="139">
        <f t="shared" si="53"/>
        <v>0</v>
      </c>
      <c r="AJ107" s="139">
        <f t="shared" si="53"/>
        <v>0</v>
      </c>
      <c r="AK107" s="139">
        <f t="shared" si="53"/>
        <v>0</v>
      </c>
      <c r="AL107" s="139">
        <f t="shared" si="53"/>
        <v>0</v>
      </c>
      <c r="AM107" s="139">
        <f t="shared" si="53"/>
        <v>0</v>
      </c>
      <c r="AN107" s="139">
        <f t="shared" si="53"/>
        <v>0</v>
      </c>
      <c r="AO107" s="139">
        <f t="shared" si="53"/>
        <v>0</v>
      </c>
      <c r="AP107" s="139">
        <f t="shared" si="53"/>
        <v>0</v>
      </c>
      <c r="AQ107" s="139">
        <f t="shared" si="53"/>
        <v>-4077</v>
      </c>
    </row>
    <row r="108" spans="3:43" x14ac:dyDescent="0.25">
      <c r="C108" t="s">
        <v>1279</v>
      </c>
      <c r="D108" t="s">
        <v>125</v>
      </c>
      <c r="E108" s="139">
        <f>Inputs!$E$178</f>
        <v>0</v>
      </c>
      <c r="F108" s="139"/>
      <c r="G108" s="139">
        <f t="shared" si="49"/>
        <v>0</v>
      </c>
      <c r="H108" s="139">
        <f t="shared" ref="H108:AQ108" si="54">$E$108*$E$35*H11</f>
        <v>0</v>
      </c>
      <c r="I108" s="139">
        <f t="shared" si="54"/>
        <v>0</v>
      </c>
      <c r="J108" s="139">
        <f t="shared" si="54"/>
        <v>0</v>
      </c>
      <c r="K108" s="139">
        <f t="shared" si="54"/>
        <v>0</v>
      </c>
      <c r="L108" s="139">
        <f t="shared" si="54"/>
        <v>0</v>
      </c>
      <c r="M108" s="139">
        <f t="shared" si="54"/>
        <v>0</v>
      </c>
      <c r="N108" s="139">
        <f t="shared" si="54"/>
        <v>0</v>
      </c>
      <c r="O108" s="139">
        <f t="shared" si="54"/>
        <v>0</v>
      </c>
      <c r="P108" s="139">
        <f t="shared" si="54"/>
        <v>0</v>
      </c>
      <c r="Q108" s="139">
        <f t="shared" si="54"/>
        <v>0</v>
      </c>
      <c r="R108" s="139">
        <f t="shared" si="54"/>
        <v>0</v>
      </c>
      <c r="S108" s="139">
        <f t="shared" si="54"/>
        <v>0</v>
      </c>
      <c r="T108" s="139">
        <f t="shared" si="54"/>
        <v>0</v>
      </c>
      <c r="U108" s="139">
        <f t="shared" si="54"/>
        <v>0</v>
      </c>
      <c r="V108" s="139">
        <f t="shared" si="54"/>
        <v>0</v>
      </c>
      <c r="W108" s="139">
        <f t="shared" si="54"/>
        <v>0</v>
      </c>
      <c r="X108" s="139">
        <f t="shared" si="54"/>
        <v>0</v>
      </c>
      <c r="Y108" s="139">
        <f t="shared" si="54"/>
        <v>0</v>
      </c>
      <c r="Z108" s="139">
        <f t="shared" si="54"/>
        <v>0</v>
      </c>
      <c r="AA108" s="139">
        <f t="shared" si="54"/>
        <v>0</v>
      </c>
      <c r="AB108" s="139">
        <f t="shared" si="54"/>
        <v>0</v>
      </c>
      <c r="AC108" s="139">
        <f t="shared" si="54"/>
        <v>0</v>
      </c>
      <c r="AD108" s="139">
        <f t="shared" si="54"/>
        <v>0</v>
      </c>
      <c r="AE108" s="139">
        <f t="shared" si="54"/>
        <v>0</v>
      </c>
      <c r="AF108" s="139">
        <f t="shared" si="54"/>
        <v>0</v>
      </c>
      <c r="AG108" s="139">
        <f t="shared" si="54"/>
        <v>0</v>
      </c>
      <c r="AH108" s="139">
        <f t="shared" si="54"/>
        <v>0</v>
      </c>
      <c r="AI108" s="139">
        <f t="shared" si="54"/>
        <v>0</v>
      </c>
      <c r="AJ108" s="139">
        <f t="shared" si="54"/>
        <v>0</v>
      </c>
      <c r="AK108" s="139">
        <f t="shared" si="54"/>
        <v>0</v>
      </c>
      <c r="AL108" s="139">
        <f t="shared" si="54"/>
        <v>0</v>
      </c>
      <c r="AM108" s="139">
        <f t="shared" si="54"/>
        <v>0</v>
      </c>
      <c r="AN108" s="139">
        <f t="shared" si="54"/>
        <v>0</v>
      </c>
      <c r="AO108" s="139">
        <f t="shared" si="54"/>
        <v>0</v>
      </c>
      <c r="AP108" s="139">
        <f t="shared" si="54"/>
        <v>0</v>
      </c>
      <c r="AQ108" s="139">
        <f t="shared" si="54"/>
        <v>0</v>
      </c>
    </row>
    <row r="109" spans="3:43" x14ac:dyDescent="0.25">
      <c r="C109" s="198" t="s">
        <v>1280</v>
      </c>
      <c r="D109" s="198" t="s">
        <v>125</v>
      </c>
      <c r="E109" s="269"/>
      <c r="F109" s="269"/>
      <c r="G109" s="269">
        <f t="shared" si="49"/>
        <v>507022.40129030967</v>
      </c>
      <c r="H109" s="269">
        <f t="shared" ref="H109:AQ109" si="55">SUM(H104:H108)</f>
        <v>-1570.6176490188818</v>
      </c>
      <c r="I109" s="269">
        <f t="shared" si="55"/>
        <v>-778.73814328026663</v>
      </c>
      <c r="J109" s="269">
        <f t="shared" si="55"/>
        <v>-1227.4381311822531</v>
      </c>
      <c r="K109" s="269">
        <f t="shared" si="55"/>
        <v>-59551.851467082692</v>
      </c>
      <c r="L109" s="269">
        <f t="shared" si="55"/>
        <v>-70920.329005178777</v>
      </c>
      <c r="M109" s="269">
        <f t="shared" si="55"/>
        <v>-25208.112205550293</v>
      </c>
      <c r="N109" s="269">
        <f t="shared" si="55"/>
        <v>22027.143628224003</v>
      </c>
      <c r="O109" s="269">
        <f t="shared" si="55"/>
        <v>22097.12675050582</v>
      </c>
      <c r="P109" s="269">
        <f t="shared" si="55"/>
        <v>22165.320413091275</v>
      </c>
      <c r="Q109" s="269">
        <f t="shared" si="55"/>
        <v>22231.657749710634</v>
      </c>
      <c r="R109" s="269">
        <f t="shared" si="55"/>
        <v>22296.070103807011</v>
      </c>
      <c r="S109" s="269">
        <f t="shared" si="55"/>
        <v>22358.486983793293</v>
      </c>
      <c r="T109" s="269">
        <f t="shared" si="55"/>
        <v>22418.83601720869</v>
      </c>
      <c r="U109" s="269">
        <f t="shared" si="55"/>
        <v>22477.042903748312</v>
      </c>
      <c r="V109" s="269">
        <f t="shared" si="55"/>
        <v>22533.031367137562</v>
      </c>
      <c r="W109" s="269">
        <f t="shared" si="55"/>
        <v>22586.723105823738</v>
      </c>
      <c r="X109" s="269">
        <f t="shared" si="55"/>
        <v>22638.037742455213</v>
      </c>
      <c r="Y109" s="269">
        <f t="shared" si="55"/>
        <v>22686.892772118867</v>
      </c>
      <c r="Z109" s="269">
        <f t="shared" si="55"/>
        <v>22733.203509305058</v>
      </c>
      <c r="AA109" s="269">
        <f t="shared" si="55"/>
        <v>22776.883033569124</v>
      </c>
      <c r="AB109" s="269">
        <f t="shared" si="55"/>
        <v>22817.842133857368</v>
      </c>
      <c r="AC109" s="269">
        <f t="shared" si="55"/>
        <v>22855.989251464751</v>
      </c>
      <c r="AD109" s="269">
        <f t="shared" si="55"/>
        <v>22891.230421590742</v>
      </c>
      <c r="AE109" s="269">
        <f t="shared" si="55"/>
        <v>22923.469213459051</v>
      </c>
      <c r="AF109" s="269">
        <f t="shared" si="55"/>
        <v>22952.606668965866</v>
      </c>
      <c r="AG109" s="269">
        <f t="shared" si="55"/>
        <v>22978.541239820632</v>
      </c>
      <c r="AH109" s="269">
        <f t="shared" si="55"/>
        <v>23001.168723142255</v>
      </c>
      <c r="AI109" s="269">
        <f t="shared" si="55"/>
        <v>23020.382195473136</v>
      </c>
      <c r="AJ109" s="269">
        <f t="shared" si="55"/>
        <v>23036.071945171767</v>
      </c>
      <c r="AK109" s="269">
        <f t="shared" si="55"/>
        <v>23048.125403144655</v>
      </c>
      <c r="AL109" s="269">
        <f t="shared" si="55"/>
        <v>23056.427071876358</v>
      </c>
      <c r="AM109" s="269">
        <f t="shared" si="55"/>
        <v>23060.858452716238</v>
      </c>
      <c r="AN109" s="269">
        <f t="shared" si="55"/>
        <v>23061.297971378961</v>
      </c>
      <c r="AO109" s="269">
        <f t="shared" si="55"/>
        <v>23057.620901615082</v>
      </c>
      <c r="AP109" s="269">
        <f t="shared" si="55"/>
        <v>23049.699287006573</v>
      </c>
      <c r="AQ109" s="269">
        <f t="shared" si="55"/>
        <v>7441.7009304208368</v>
      </c>
    </row>
    <row r="110" spans="3:43" x14ac:dyDescent="0.25">
      <c r="C110" s="198" t="s">
        <v>1281</v>
      </c>
      <c r="D110" s="198" t="s">
        <v>125</v>
      </c>
      <c r="E110" s="269"/>
      <c r="F110" s="269"/>
      <c r="G110" s="269">
        <f t="shared" si="49"/>
        <v>429830.25617749011</v>
      </c>
      <c r="H110" s="269">
        <f t="shared" ref="H110:AQ110" si="56">H109+H101</f>
        <v>-1570.6176490188818</v>
      </c>
      <c r="I110" s="269">
        <f t="shared" si="56"/>
        <v>-778.73814328026663</v>
      </c>
      <c r="J110" s="269">
        <f t="shared" si="56"/>
        <v>-1227.4381311822531</v>
      </c>
      <c r="K110" s="269">
        <f t="shared" si="56"/>
        <v>-59551.851467082692</v>
      </c>
      <c r="L110" s="269">
        <f t="shared" si="56"/>
        <v>-70920.329005178777</v>
      </c>
      <c r="M110" s="269">
        <f t="shared" si="56"/>
        <v>-26781.777396526228</v>
      </c>
      <c r="N110" s="269">
        <f t="shared" si="56"/>
        <v>20001.789687164593</v>
      </c>
      <c r="O110" s="269">
        <f t="shared" si="56"/>
        <v>20061.275341104138</v>
      </c>
      <c r="P110" s="269">
        <f t="shared" si="56"/>
        <v>20119.239954301775</v>
      </c>
      <c r="Q110" s="269">
        <f t="shared" si="56"/>
        <v>20175.626690428231</v>
      </c>
      <c r="R110" s="269">
        <f t="shared" si="56"/>
        <v>20230.377191410153</v>
      </c>
      <c r="S110" s="269">
        <f t="shared" si="56"/>
        <v>20283.431539398491</v>
      </c>
      <c r="T110" s="269">
        <f t="shared" si="56"/>
        <v>20334.728217801578</v>
      </c>
      <c r="U110" s="269">
        <f t="shared" si="56"/>
        <v>20384.204071360255</v>
      </c>
      <c r="V110" s="269">
        <f t="shared" si="56"/>
        <v>20431.794265241118</v>
      </c>
      <c r="W110" s="269">
        <f t="shared" si="56"/>
        <v>20477.432243124367</v>
      </c>
      <c r="X110" s="269">
        <f t="shared" si="56"/>
        <v>20521.049684261125</v>
      </c>
      <c r="Y110" s="269">
        <f t="shared" si="56"/>
        <v>20562.576459475229</v>
      </c>
      <c r="Z110" s="269">
        <f t="shared" si="56"/>
        <v>20601.940586083492</v>
      </c>
      <c r="AA110" s="269">
        <f t="shared" si="56"/>
        <v>20639.068181707946</v>
      </c>
      <c r="AB110" s="269">
        <f t="shared" si="56"/>
        <v>20673.883416952955</v>
      </c>
      <c r="AC110" s="269">
        <f t="shared" si="56"/>
        <v>20706.308466919229</v>
      </c>
      <c r="AD110" s="269">
        <f t="shared" si="56"/>
        <v>20736.263461526323</v>
      </c>
      <c r="AE110" s="269">
        <f t="shared" si="56"/>
        <v>20763.666434614384</v>
      </c>
      <c r="AF110" s="269">
        <f t="shared" si="56"/>
        <v>20788.433271795177</v>
      </c>
      <c r="AG110" s="269">
        <f t="shared" si="56"/>
        <v>20171.118855434634</v>
      </c>
      <c r="AH110" s="269">
        <f t="shared" si="56"/>
        <v>19550.993414670917</v>
      </c>
      <c r="AI110" s="269">
        <f t="shared" si="56"/>
        <v>19567.324866152165</v>
      </c>
      <c r="AJ110" s="269">
        <f t="shared" si="56"/>
        <v>19580.661153396002</v>
      </c>
      <c r="AK110" s="269">
        <f t="shared" si="56"/>
        <v>19590.906592672956</v>
      </c>
      <c r="AL110" s="269">
        <f t="shared" si="56"/>
        <v>19597.963011094904</v>
      </c>
      <c r="AM110" s="269">
        <f t="shared" si="56"/>
        <v>19601.729684808801</v>
      </c>
      <c r="AN110" s="269">
        <f t="shared" si="56"/>
        <v>19602.103275672118</v>
      </c>
      <c r="AO110" s="269">
        <f t="shared" si="56"/>
        <v>19598.97776637282</v>
      </c>
      <c r="AP110" s="269">
        <f t="shared" si="56"/>
        <v>19592.244393955589</v>
      </c>
      <c r="AQ110" s="269">
        <f t="shared" si="56"/>
        <v>5713.8957908577113</v>
      </c>
    </row>
    <row r="111" spans="3:43" x14ac:dyDescent="0.25">
      <c r="C111" t="s">
        <v>1282</v>
      </c>
      <c r="D111" t="s">
        <v>125</v>
      </c>
      <c r="E111" s="139"/>
      <c r="F111" s="139"/>
      <c r="G111" s="139">
        <v>0</v>
      </c>
      <c r="H111" s="139">
        <f t="shared" ref="H111:AQ111" si="57">G111+H110</f>
        <v>-1570.6176490188818</v>
      </c>
      <c r="I111" s="139">
        <f t="shared" si="57"/>
        <v>-2349.3557922991486</v>
      </c>
      <c r="J111" s="139">
        <f t="shared" si="57"/>
        <v>-3576.7939234814016</v>
      </c>
      <c r="K111" s="139">
        <f t="shared" si="57"/>
        <v>-63128.645390564096</v>
      </c>
      <c r="L111" s="139">
        <f t="shared" si="57"/>
        <v>-134048.97439574287</v>
      </c>
      <c r="M111" s="139">
        <f t="shared" si="57"/>
        <v>-160830.75179226909</v>
      </c>
      <c r="N111" s="139">
        <f t="shared" si="57"/>
        <v>-140828.9621051045</v>
      </c>
      <c r="O111" s="139">
        <f t="shared" si="57"/>
        <v>-120767.68676400036</v>
      </c>
      <c r="P111" s="139">
        <f t="shared" si="57"/>
        <v>-100648.44680969859</v>
      </c>
      <c r="Q111" s="139">
        <f t="shared" si="57"/>
        <v>-80472.820119270356</v>
      </c>
      <c r="R111" s="139">
        <f t="shared" si="57"/>
        <v>-60242.442927860204</v>
      </c>
      <c r="S111" s="139">
        <f t="shared" si="57"/>
        <v>-39959.011388461717</v>
      </c>
      <c r="T111" s="139">
        <f t="shared" si="57"/>
        <v>-19624.283170660139</v>
      </c>
      <c r="U111" s="139">
        <f t="shared" si="57"/>
        <v>759.92090070011545</v>
      </c>
      <c r="V111" s="139">
        <f t="shared" si="57"/>
        <v>21191.715165941234</v>
      </c>
      <c r="W111" s="139">
        <f t="shared" si="57"/>
        <v>41669.147409065597</v>
      </c>
      <c r="X111" s="139">
        <f t="shared" si="57"/>
        <v>62190.197093326722</v>
      </c>
      <c r="Y111" s="139">
        <f t="shared" si="57"/>
        <v>82752.773552801955</v>
      </c>
      <c r="Z111" s="139">
        <f t="shared" si="57"/>
        <v>103354.71413888545</v>
      </c>
      <c r="AA111" s="139">
        <f t="shared" si="57"/>
        <v>123993.7823205934</v>
      </c>
      <c r="AB111" s="139">
        <f t="shared" si="57"/>
        <v>144667.66573754634</v>
      </c>
      <c r="AC111" s="139">
        <f t="shared" si="57"/>
        <v>165373.97420446557</v>
      </c>
      <c r="AD111" s="139">
        <f t="shared" si="57"/>
        <v>186110.23766599188</v>
      </c>
      <c r="AE111" s="139">
        <f t="shared" si="57"/>
        <v>206873.90410060628</v>
      </c>
      <c r="AF111" s="139">
        <f t="shared" si="57"/>
        <v>227662.33737240144</v>
      </c>
      <c r="AG111" s="139">
        <f t="shared" si="57"/>
        <v>247833.45622783608</v>
      </c>
      <c r="AH111" s="139">
        <f t="shared" si="57"/>
        <v>267384.44964250701</v>
      </c>
      <c r="AI111" s="139">
        <f t="shared" si="57"/>
        <v>286951.77450865915</v>
      </c>
      <c r="AJ111" s="139">
        <f t="shared" si="57"/>
        <v>306532.43566205516</v>
      </c>
      <c r="AK111" s="139">
        <f t="shared" si="57"/>
        <v>326123.34225472814</v>
      </c>
      <c r="AL111" s="139">
        <f t="shared" si="57"/>
        <v>345721.30526582303</v>
      </c>
      <c r="AM111" s="139">
        <f t="shared" si="57"/>
        <v>365323.03495063185</v>
      </c>
      <c r="AN111" s="139">
        <f t="shared" si="57"/>
        <v>384925.13822630397</v>
      </c>
      <c r="AO111" s="139">
        <f t="shared" si="57"/>
        <v>404524.11599267682</v>
      </c>
      <c r="AP111" s="139">
        <f t="shared" si="57"/>
        <v>424116.36038663238</v>
      </c>
      <c r="AQ111" s="139">
        <f t="shared" si="57"/>
        <v>429830.25617749011</v>
      </c>
    </row>
    <row r="112" spans="3:43" x14ac:dyDescent="0.25">
      <c r="E112" s="139"/>
      <c r="F112" s="139"/>
      <c r="G112" s="139"/>
      <c r="H112" s="139"/>
      <c r="I112" s="139"/>
      <c r="J112" s="139"/>
      <c r="K112" s="139"/>
      <c r="L112" s="139"/>
      <c r="M112" s="139"/>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row>
    <row r="113" spans="3:43" x14ac:dyDescent="0.25">
      <c r="C113" s="129" t="s">
        <v>1283</v>
      </c>
      <c r="D113" s="129"/>
      <c r="E113" s="270"/>
      <c r="F113" s="270"/>
      <c r="G113" s="270"/>
      <c r="H113" s="270"/>
      <c r="I113" s="270"/>
      <c r="J113" s="270"/>
      <c r="K113" s="270"/>
      <c r="L113" s="270"/>
      <c r="M113" s="270"/>
      <c r="N113" s="270"/>
      <c r="O113" s="270"/>
      <c r="P113" s="270"/>
      <c r="Q113" s="270"/>
      <c r="R113" s="270"/>
      <c r="S113" s="270"/>
      <c r="T113" s="270"/>
      <c r="U113" s="270"/>
      <c r="V113" s="270"/>
      <c r="W113" s="270"/>
      <c r="X113" s="270"/>
      <c r="Y113" s="270"/>
      <c r="Z113" s="270"/>
      <c r="AA113" s="270"/>
      <c r="AB113" s="270"/>
      <c r="AC113" s="270"/>
      <c r="AD113" s="270"/>
      <c r="AE113" s="270"/>
      <c r="AF113" s="270"/>
      <c r="AG113" s="270"/>
      <c r="AH113" s="270"/>
      <c r="AI113" s="270"/>
      <c r="AJ113" s="270"/>
      <c r="AK113" s="270"/>
      <c r="AL113" s="270"/>
      <c r="AM113" s="270"/>
      <c r="AN113" s="270"/>
      <c r="AO113" s="270"/>
      <c r="AP113" s="270"/>
      <c r="AQ113" s="270"/>
    </row>
    <row r="114" spans="3:43" x14ac:dyDescent="0.25">
      <c r="C114" t="s">
        <v>1276</v>
      </c>
      <c r="D114" t="s">
        <v>125</v>
      </c>
      <c r="E114" s="139"/>
      <c r="F114" s="139"/>
      <c r="G114" s="139">
        <f t="shared" ref="G114:G123" si="58">SUM(H114:AQ114)</f>
        <v>-8600.284473823709</v>
      </c>
      <c r="H114" s="139">
        <f t="shared" ref="H114:AQ114" si="59">H24</f>
        <v>-1570.6176490188818</v>
      </c>
      <c r="I114" s="139">
        <f t="shared" si="59"/>
        <v>-778.73814328026663</v>
      </c>
      <c r="J114" s="139">
        <f t="shared" si="59"/>
        <v>-1227.4381311822531</v>
      </c>
      <c r="K114" s="139">
        <f t="shared" si="59"/>
        <v>-4499.0723555590448</v>
      </c>
      <c r="L114" s="139">
        <f t="shared" si="59"/>
        <v>-350.57260273972605</v>
      </c>
      <c r="M114" s="139">
        <f t="shared" si="59"/>
        <v>-173.84559204353542</v>
      </c>
      <c r="N114" s="139">
        <f t="shared" si="59"/>
        <v>0</v>
      </c>
      <c r="O114" s="139">
        <f t="shared" si="59"/>
        <v>0</v>
      </c>
      <c r="P114" s="139">
        <f t="shared" si="59"/>
        <v>0</v>
      </c>
      <c r="Q114" s="139">
        <f t="shared" si="59"/>
        <v>0</v>
      </c>
      <c r="R114" s="139">
        <f t="shared" si="59"/>
        <v>0</v>
      </c>
      <c r="S114" s="139">
        <f t="shared" si="59"/>
        <v>0</v>
      </c>
      <c r="T114" s="139">
        <f t="shared" si="59"/>
        <v>0</v>
      </c>
      <c r="U114" s="139">
        <f t="shared" si="59"/>
        <v>0</v>
      </c>
      <c r="V114" s="139">
        <f t="shared" si="59"/>
        <v>0</v>
      </c>
      <c r="W114" s="139">
        <f t="shared" si="59"/>
        <v>0</v>
      </c>
      <c r="X114" s="139">
        <f t="shared" si="59"/>
        <v>0</v>
      </c>
      <c r="Y114" s="139">
        <f t="shared" si="59"/>
        <v>0</v>
      </c>
      <c r="Z114" s="139">
        <f t="shared" si="59"/>
        <v>0</v>
      </c>
      <c r="AA114" s="139">
        <f t="shared" si="59"/>
        <v>0</v>
      </c>
      <c r="AB114" s="139">
        <f t="shared" si="59"/>
        <v>0</v>
      </c>
      <c r="AC114" s="139">
        <f t="shared" si="59"/>
        <v>0</v>
      </c>
      <c r="AD114" s="139">
        <f t="shared" si="59"/>
        <v>0</v>
      </c>
      <c r="AE114" s="139">
        <f t="shared" si="59"/>
        <v>0</v>
      </c>
      <c r="AF114" s="139">
        <f t="shared" si="59"/>
        <v>0</v>
      </c>
      <c r="AG114" s="139">
        <f t="shared" si="59"/>
        <v>0</v>
      </c>
      <c r="AH114" s="139">
        <f t="shared" si="59"/>
        <v>0</v>
      </c>
      <c r="AI114" s="139">
        <f t="shared" si="59"/>
        <v>0</v>
      </c>
      <c r="AJ114" s="139">
        <f t="shared" si="59"/>
        <v>0</v>
      </c>
      <c r="AK114" s="139">
        <f t="shared" si="59"/>
        <v>0</v>
      </c>
      <c r="AL114" s="139">
        <f t="shared" si="59"/>
        <v>0</v>
      </c>
      <c r="AM114" s="139">
        <f t="shared" si="59"/>
        <v>0</v>
      </c>
      <c r="AN114" s="139">
        <f t="shared" si="59"/>
        <v>0</v>
      </c>
      <c r="AO114" s="139">
        <f t="shared" si="59"/>
        <v>0</v>
      </c>
      <c r="AP114" s="139">
        <f t="shared" si="59"/>
        <v>0</v>
      </c>
      <c r="AQ114" s="139">
        <f t="shared" si="59"/>
        <v>0</v>
      </c>
    </row>
    <row r="115" spans="3:43" x14ac:dyDescent="0.25">
      <c r="C115" t="s">
        <v>1277</v>
      </c>
      <c r="D115" t="s">
        <v>125</v>
      </c>
      <c r="E115" s="139"/>
      <c r="F115" s="139"/>
      <c r="G115" s="139">
        <f t="shared" si="58"/>
        <v>-164787.24829315074</v>
      </c>
      <c r="H115" s="139">
        <f t="shared" ref="H115:AQ115" si="60">H30</f>
        <v>0</v>
      </c>
      <c r="I115" s="139">
        <f t="shared" si="60"/>
        <v>0</v>
      </c>
      <c r="J115" s="139">
        <f t="shared" si="60"/>
        <v>0</v>
      </c>
      <c r="K115" s="139">
        <f t="shared" si="60"/>
        <v>-54847.375895890422</v>
      </c>
      <c r="L115" s="139">
        <f t="shared" si="60"/>
        <v>-70152.112500000017</v>
      </c>
      <c r="M115" s="139">
        <f t="shared" si="60"/>
        <v>-39787.759897260286</v>
      </c>
      <c r="N115" s="139">
        <f t="shared" si="60"/>
        <v>0</v>
      </c>
      <c r="O115" s="139">
        <f t="shared" si="60"/>
        <v>0</v>
      </c>
      <c r="P115" s="139">
        <f t="shared" si="60"/>
        <v>0</v>
      </c>
      <c r="Q115" s="139">
        <f t="shared" si="60"/>
        <v>0</v>
      </c>
      <c r="R115" s="139">
        <f t="shared" si="60"/>
        <v>0</v>
      </c>
      <c r="S115" s="139">
        <f t="shared" si="60"/>
        <v>0</v>
      </c>
      <c r="T115" s="139">
        <f t="shared" si="60"/>
        <v>0</v>
      </c>
      <c r="U115" s="139">
        <f t="shared" si="60"/>
        <v>0</v>
      </c>
      <c r="V115" s="139">
        <f t="shared" si="60"/>
        <v>0</v>
      </c>
      <c r="W115" s="139">
        <f t="shared" si="60"/>
        <v>0</v>
      </c>
      <c r="X115" s="139">
        <f t="shared" si="60"/>
        <v>0</v>
      </c>
      <c r="Y115" s="139">
        <f t="shared" si="60"/>
        <v>0</v>
      </c>
      <c r="Z115" s="139">
        <f t="shared" si="60"/>
        <v>0</v>
      </c>
      <c r="AA115" s="139">
        <f t="shared" si="60"/>
        <v>0</v>
      </c>
      <c r="AB115" s="139">
        <f t="shared" si="60"/>
        <v>0</v>
      </c>
      <c r="AC115" s="139">
        <f t="shared" si="60"/>
        <v>0</v>
      </c>
      <c r="AD115" s="139">
        <f t="shared" si="60"/>
        <v>0</v>
      </c>
      <c r="AE115" s="139">
        <f t="shared" si="60"/>
        <v>0</v>
      </c>
      <c r="AF115" s="139">
        <f t="shared" si="60"/>
        <v>0</v>
      </c>
      <c r="AG115" s="139">
        <f t="shared" si="60"/>
        <v>0</v>
      </c>
      <c r="AH115" s="139">
        <f t="shared" si="60"/>
        <v>0</v>
      </c>
      <c r="AI115" s="139">
        <f t="shared" si="60"/>
        <v>0</v>
      </c>
      <c r="AJ115" s="139">
        <f t="shared" si="60"/>
        <v>0</v>
      </c>
      <c r="AK115" s="139">
        <f t="shared" si="60"/>
        <v>0</v>
      </c>
      <c r="AL115" s="139">
        <f t="shared" si="60"/>
        <v>0</v>
      </c>
      <c r="AM115" s="139">
        <f t="shared" si="60"/>
        <v>0</v>
      </c>
      <c r="AN115" s="139">
        <f t="shared" si="60"/>
        <v>0</v>
      </c>
      <c r="AO115" s="139">
        <f t="shared" si="60"/>
        <v>0</v>
      </c>
      <c r="AP115" s="139">
        <f t="shared" si="60"/>
        <v>0</v>
      </c>
      <c r="AQ115" s="139">
        <f t="shared" si="60"/>
        <v>0</v>
      </c>
    </row>
    <row r="116" spans="3:43" x14ac:dyDescent="0.25">
      <c r="C116" t="s">
        <v>24</v>
      </c>
      <c r="D116" t="s">
        <v>125</v>
      </c>
      <c r="E116" s="139"/>
      <c r="F116" s="63"/>
      <c r="G116" s="139">
        <f t="shared" si="58"/>
        <v>82393.62414657537</v>
      </c>
      <c r="H116" s="139">
        <f t="shared" ref="H116:AQ116" si="61">H77</f>
        <v>0</v>
      </c>
      <c r="I116" s="139">
        <f t="shared" si="61"/>
        <v>0</v>
      </c>
      <c r="J116" s="139">
        <f t="shared" si="61"/>
        <v>0</v>
      </c>
      <c r="K116" s="139">
        <f t="shared" si="61"/>
        <v>20767.708004068314</v>
      </c>
      <c r="L116" s="139">
        <f t="shared" si="61"/>
        <v>41196.812073287685</v>
      </c>
      <c r="M116" s="139">
        <f t="shared" si="61"/>
        <v>20429.104069219375</v>
      </c>
      <c r="N116" s="139">
        <f t="shared" si="61"/>
        <v>0</v>
      </c>
      <c r="O116" s="139">
        <f t="shared" si="61"/>
        <v>0</v>
      </c>
      <c r="P116" s="139">
        <f t="shared" si="61"/>
        <v>0</v>
      </c>
      <c r="Q116" s="139">
        <f t="shared" si="61"/>
        <v>0</v>
      </c>
      <c r="R116" s="139">
        <f t="shared" si="61"/>
        <v>0</v>
      </c>
      <c r="S116" s="139">
        <f t="shared" si="61"/>
        <v>0</v>
      </c>
      <c r="T116" s="139">
        <f t="shared" si="61"/>
        <v>0</v>
      </c>
      <c r="U116" s="139">
        <f t="shared" si="61"/>
        <v>0</v>
      </c>
      <c r="V116" s="139">
        <f t="shared" si="61"/>
        <v>0</v>
      </c>
      <c r="W116" s="139">
        <f t="shared" si="61"/>
        <v>0</v>
      </c>
      <c r="X116" s="139">
        <f t="shared" si="61"/>
        <v>0</v>
      </c>
      <c r="Y116" s="139">
        <f t="shared" si="61"/>
        <v>0</v>
      </c>
      <c r="Z116" s="139">
        <f t="shared" si="61"/>
        <v>0</v>
      </c>
      <c r="AA116" s="139">
        <f t="shared" si="61"/>
        <v>0</v>
      </c>
      <c r="AB116" s="139">
        <f t="shared" si="61"/>
        <v>0</v>
      </c>
      <c r="AC116" s="139">
        <f t="shared" si="61"/>
        <v>0</v>
      </c>
      <c r="AD116" s="139">
        <f t="shared" si="61"/>
        <v>0</v>
      </c>
      <c r="AE116" s="139">
        <f t="shared" si="61"/>
        <v>0</v>
      </c>
      <c r="AF116" s="139">
        <f t="shared" si="61"/>
        <v>0</v>
      </c>
      <c r="AG116" s="139">
        <f t="shared" si="61"/>
        <v>0</v>
      </c>
      <c r="AH116" s="139">
        <f t="shared" si="61"/>
        <v>0</v>
      </c>
      <c r="AI116" s="139">
        <f t="shared" si="61"/>
        <v>0</v>
      </c>
      <c r="AJ116" s="139">
        <f t="shared" si="61"/>
        <v>0</v>
      </c>
      <c r="AK116" s="139">
        <f t="shared" si="61"/>
        <v>0</v>
      </c>
      <c r="AL116" s="139">
        <f t="shared" si="61"/>
        <v>0</v>
      </c>
      <c r="AM116" s="139">
        <f t="shared" si="61"/>
        <v>0</v>
      </c>
      <c r="AN116" s="139">
        <f t="shared" si="61"/>
        <v>0</v>
      </c>
      <c r="AO116" s="139">
        <f t="shared" si="61"/>
        <v>0</v>
      </c>
      <c r="AP116" s="139">
        <f t="shared" si="61"/>
        <v>0</v>
      </c>
      <c r="AQ116" s="139">
        <f t="shared" si="61"/>
        <v>0</v>
      </c>
    </row>
    <row r="117" spans="3:43" x14ac:dyDescent="0.25">
      <c r="C117" t="s">
        <v>1284</v>
      </c>
      <c r="D117" t="s">
        <v>125</v>
      </c>
      <c r="E117" s="139"/>
      <c r="F117" s="139"/>
      <c r="G117" s="139">
        <f t="shared" si="58"/>
        <v>-2167.0944065627705</v>
      </c>
      <c r="H117" s="139">
        <f t="shared" ref="H117:AQ117" si="62">H85-H80</f>
        <v>0</v>
      </c>
      <c r="I117" s="139">
        <f t="shared" si="62"/>
        <v>0</v>
      </c>
      <c r="J117" s="139">
        <f t="shared" si="62"/>
        <v>0</v>
      </c>
      <c r="K117" s="139">
        <f t="shared" si="62"/>
        <v>-1768.5957632756451</v>
      </c>
      <c r="L117" s="139">
        <f t="shared" si="62"/>
        <v>-364.57485665185351</v>
      </c>
      <c r="M117" s="139">
        <f t="shared" si="62"/>
        <v>-33.923786635271789</v>
      </c>
      <c r="N117" s="139">
        <f t="shared" si="62"/>
        <v>0</v>
      </c>
      <c r="O117" s="139">
        <f t="shared" si="62"/>
        <v>0</v>
      </c>
      <c r="P117" s="139">
        <f t="shared" si="62"/>
        <v>0</v>
      </c>
      <c r="Q117" s="139">
        <f t="shared" si="62"/>
        <v>0</v>
      </c>
      <c r="R117" s="139">
        <f t="shared" si="62"/>
        <v>0</v>
      </c>
      <c r="S117" s="139">
        <f t="shared" si="62"/>
        <v>0</v>
      </c>
      <c r="T117" s="139">
        <f t="shared" si="62"/>
        <v>0</v>
      </c>
      <c r="U117" s="139">
        <f t="shared" si="62"/>
        <v>0</v>
      </c>
      <c r="V117" s="139">
        <f t="shared" si="62"/>
        <v>0</v>
      </c>
      <c r="W117" s="139">
        <f t="shared" si="62"/>
        <v>0</v>
      </c>
      <c r="X117" s="139">
        <f t="shared" si="62"/>
        <v>0</v>
      </c>
      <c r="Y117" s="139">
        <f t="shared" si="62"/>
        <v>0</v>
      </c>
      <c r="Z117" s="139">
        <f t="shared" si="62"/>
        <v>0</v>
      </c>
      <c r="AA117" s="139">
        <f t="shared" si="62"/>
        <v>0</v>
      </c>
      <c r="AB117" s="139">
        <f t="shared" si="62"/>
        <v>0</v>
      </c>
      <c r="AC117" s="139">
        <f t="shared" si="62"/>
        <v>0</v>
      </c>
      <c r="AD117" s="139">
        <f t="shared" si="62"/>
        <v>0</v>
      </c>
      <c r="AE117" s="139">
        <f t="shared" si="62"/>
        <v>0</v>
      </c>
      <c r="AF117" s="139">
        <f t="shared" si="62"/>
        <v>0</v>
      </c>
      <c r="AG117" s="139">
        <f t="shared" si="62"/>
        <v>0</v>
      </c>
      <c r="AH117" s="139">
        <f t="shared" si="62"/>
        <v>0</v>
      </c>
      <c r="AI117" s="139">
        <f t="shared" si="62"/>
        <v>0</v>
      </c>
      <c r="AJ117" s="139">
        <f t="shared" si="62"/>
        <v>0</v>
      </c>
      <c r="AK117" s="139">
        <f t="shared" si="62"/>
        <v>0</v>
      </c>
      <c r="AL117" s="139">
        <f t="shared" si="62"/>
        <v>0</v>
      </c>
      <c r="AM117" s="139">
        <f t="shared" si="62"/>
        <v>0</v>
      </c>
      <c r="AN117" s="139">
        <f t="shared" si="62"/>
        <v>0</v>
      </c>
      <c r="AO117" s="139">
        <f t="shared" si="62"/>
        <v>0</v>
      </c>
      <c r="AP117" s="139">
        <f t="shared" si="62"/>
        <v>0</v>
      </c>
      <c r="AQ117" s="139">
        <f t="shared" si="62"/>
        <v>0</v>
      </c>
    </row>
    <row r="118" spans="3:43" x14ac:dyDescent="0.25">
      <c r="C118" t="s">
        <v>13</v>
      </c>
      <c r="D118" t="s">
        <v>125</v>
      </c>
      <c r="E118" s="139"/>
      <c r="F118" s="139"/>
      <c r="G118" s="139">
        <f t="shared" si="58"/>
        <v>684486.93405728426</v>
      </c>
      <c r="H118" s="139">
        <f t="shared" ref="H118:AQ118" si="63">H70</f>
        <v>0</v>
      </c>
      <c r="I118" s="139">
        <f t="shared" si="63"/>
        <v>0</v>
      </c>
      <c r="J118" s="139">
        <f t="shared" si="63"/>
        <v>0</v>
      </c>
      <c r="K118" s="139">
        <f t="shared" si="63"/>
        <v>-205.40321563322553</v>
      </c>
      <c r="L118" s="139">
        <f t="shared" si="63"/>
        <v>-417.64390243902449</v>
      </c>
      <c r="M118" s="139">
        <f t="shared" si="63"/>
        <v>14753.493283753531</v>
      </c>
      <c r="N118" s="139">
        <f t="shared" si="63"/>
        <v>22027.143628224003</v>
      </c>
      <c r="O118" s="139">
        <f t="shared" si="63"/>
        <v>22097.12675050582</v>
      </c>
      <c r="P118" s="139">
        <f t="shared" si="63"/>
        <v>22165.320413091275</v>
      </c>
      <c r="Q118" s="139">
        <f t="shared" si="63"/>
        <v>22231.657749710634</v>
      </c>
      <c r="R118" s="139">
        <f t="shared" si="63"/>
        <v>22296.070103807011</v>
      </c>
      <c r="S118" s="139">
        <f t="shared" si="63"/>
        <v>22358.486983793293</v>
      </c>
      <c r="T118" s="139">
        <f t="shared" si="63"/>
        <v>22418.83601720869</v>
      </c>
      <c r="U118" s="139">
        <f t="shared" si="63"/>
        <v>22477.042903748312</v>
      </c>
      <c r="V118" s="139">
        <f t="shared" si="63"/>
        <v>22533.031367137562</v>
      </c>
      <c r="W118" s="139">
        <f t="shared" si="63"/>
        <v>22586.723105823738</v>
      </c>
      <c r="X118" s="139">
        <f t="shared" si="63"/>
        <v>22638.037742455213</v>
      </c>
      <c r="Y118" s="139">
        <f t="shared" si="63"/>
        <v>22686.892772118867</v>
      </c>
      <c r="Z118" s="139">
        <f t="shared" si="63"/>
        <v>22733.203509305058</v>
      </c>
      <c r="AA118" s="139">
        <f t="shared" si="63"/>
        <v>22776.883033569124</v>
      </c>
      <c r="AB118" s="139">
        <f t="shared" si="63"/>
        <v>22817.842133857368</v>
      </c>
      <c r="AC118" s="139">
        <f t="shared" si="63"/>
        <v>22855.989251464751</v>
      </c>
      <c r="AD118" s="139">
        <f t="shared" si="63"/>
        <v>22891.230421590742</v>
      </c>
      <c r="AE118" s="139">
        <f t="shared" si="63"/>
        <v>22923.469213459051</v>
      </c>
      <c r="AF118" s="139">
        <f t="shared" si="63"/>
        <v>22952.606668965866</v>
      </c>
      <c r="AG118" s="139">
        <f t="shared" si="63"/>
        <v>22978.541239820632</v>
      </c>
      <c r="AH118" s="139">
        <f t="shared" si="63"/>
        <v>23001.168723142255</v>
      </c>
      <c r="AI118" s="139">
        <f t="shared" si="63"/>
        <v>23020.382195473136</v>
      </c>
      <c r="AJ118" s="139">
        <f t="shared" si="63"/>
        <v>23036.071945171767</v>
      </c>
      <c r="AK118" s="139">
        <f t="shared" si="63"/>
        <v>23048.125403144655</v>
      </c>
      <c r="AL118" s="139">
        <f t="shared" si="63"/>
        <v>23056.427071876358</v>
      </c>
      <c r="AM118" s="139">
        <f t="shared" si="63"/>
        <v>23060.858452716238</v>
      </c>
      <c r="AN118" s="139">
        <f t="shared" si="63"/>
        <v>23061.297971378961</v>
      </c>
      <c r="AO118" s="139">
        <f t="shared" si="63"/>
        <v>23057.620901615082</v>
      </c>
      <c r="AP118" s="139">
        <f t="shared" si="63"/>
        <v>23049.699287006573</v>
      </c>
      <c r="AQ118" s="139">
        <f t="shared" si="63"/>
        <v>11518.700930420837</v>
      </c>
    </row>
    <row r="119" spans="3:43" x14ac:dyDescent="0.25">
      <c r="C119" t="s">
        <v>1285</v>
      </c>
      <c r="D119" t="s">
        <v>125</v>
      </c>
      <c r="E119" s="139"/>
      <c r="F119" s="139"/>
      <c r="G119" s="139">
        <f t="shared" si="58"/>
        <v>-127709.36171858228</v>
      </c>
      <c r="H119" s="139">
        <f t="shared" ref="H119:AQ119" si="64">H86-H87</f>
        <v>0</v>
      </c>
      <c r="I119" s="139">
        <f t="shared" si="64"/>
        <v>0</v>
      </c>
      <c r="J119" s="139">
        <f t="shared" si="64"/>
        <v>0</v>
      </c>
      <c r="K119" s="139">
        <f t="shared" si="64"/>
        <v>0</v>
      </c>
      <c r="L119" s="139">
        <f t="shared" si="64"/>
        <v>0</v>
      </c>
      <c r="M119" s="139">
        <f t="shared" si="64"/>
        <v>-2171.729489108036</v>
      </c>
      <c r="N119" s="139">
        <f t="shared" si="64"/>
        <v>-8369.1754819649486</v>
      </c>
      <c r="O119" s="139">
        <f t="shared" si="64"/>
        <v>-8369.1754819649486</v>
      </c>
      <c r="P119" s="139">
        <f t="shared" si="64"/>
        <v>-8369.1754819649486</v>
      </c>
      <c r="Q119" s="139">
        <f t="shared" si="64"/>
        <v>-8369.1754819649486</v>
      </c>
      <c r="R119" s="139">
        <f t="shared" si="64"/>
        <v>-8369.1754819649486</v>
      </c>
      <c r="S119" s="139">
        <f t="shared" si="64"/>
        <v>-8369.1754819649486</v>
      </c>
      <c r="T119" s="139">
        <f t="shared" si="64"/>
        <v>-8369.1754819649486</v>
      </c>
      <c r="U119" s="139">
        <f t="shared" si="64"/>
        <v>-8369.1754819649486</v>
      </c>
      <c r="V119" s="139">
        <f t="shared" si="64"/>
        <v>-8369.1754819649486</v>
      </c>
      <c r="W119" s="139">
        <f t="shared" si="64"/>
        <v>-8369.1754819649486</v>
      </c>
      <c r="X119" s="139">
        <f t="shared" si="64"/>
        <v>-8369.1754819649486</v>
      </c>
      <c r="Y119" s="139">
        <f t="shared" si="64"/>
        <v>-8369.1754819649486</v>
      </c>
      <c r="Z119" s="139">
        <f t="shared" si="64"/>
        <v>-8369.1754819649486</v>
      </c>
      <c r="AA119" s="139">
        <f t="shared" si="64"/>
        <v>-8369.1754819649486</v>
      </c>
      <c r="AB119" s="139">
        <f t="shared" si="64"/>
        <v>-8369.1754819649486</v>
      </c>
      <c r="AC119" s="139">
        <f t="shared" si="64"/>
        <v>-1.2732925824820997E-12</v>
      </c>
      <c r="AD119" s="139">
        <f t="shared" si="64"/>
        <v>-1.2732925824820997E-12</v>
      </c>
      <c r="AE119" s="139">
        <f t="shared" si="64"/>
        <v>-1.2732925824820997E-12</v>
      </c>
      <c r="AF119" s="139">
        <f t="shared" si="64"/>
        <v>-1.2732925824820997E-12</v>
      </c>
      <c r="AG119" s="139">
        <f t="shared" si="64"/>
        <v>-1.2732925824820997E-12</v>
      </c>
      <c r="AH119" s="139">
        <f t="shared" si="64"/>
        <v>-1.2732925824820997E-12</v>
      </c>
      <c r="AI119" s="139">
        <f t="shared" si="64"/>
        <v>-1.2732925824820997E-12</v>
      </c>
      <c r="AJ119" s="139">
        <f t="shared" si="64"/>
        <v>-1.2732925824820997E-12</v>
      </c>
      <c r="AK119" s="139">
        <f t="shared" si="64"/>
        <v>-1.2732925824820997E-12</v>
      </c>
      <c r="AL119" s="139">
        <f t="shared" si="64"/>
        <v>-1.2732925824820997E-12</v>
      </c>
      <c r="AM119" s="139">
        <f t="shared" si="64"/>
        <v>-1.2732925824820997E-12</v>
      </c>
      <c r="AN119" s="139">
        <f t="shared" si="64"/>
        <v>-1.2732925824820997E-12</v>
      </c>
      <c r="AO119" s="139">
        <f t="shared" si="64"/>
        <v>-1.2732925824820997E-12</v>
      </c>
      <c r="AP119" s="139">
        <f t="shared" si="64"/>
        <v>-1.2732925824820997E-12</v>
      </c>
      <c r="AQ119" s="139">
        <f t="shared" si="64"/>
        <v>-1.2732925824820997E-12</v>
      </c>
    </row>
    <row r="120" spans="3:43" x14ac:dyDescent="0.25">
      <c r="C120" t="s">
        <v>1261</v>
      </c>
      <c r="D120" t="s">
        <v>125</v>
      </c>
      <c r="E120" s="139"/>
      <c r="F120" s="139"/>
      <c r="G120" s="139">
        <f t="shared" si="58"/>
        <v>0</v>
      </c>
      <c r="H120" s="139">
        <f t="shared" ref="H120:AQ120" si="65">H89</f>
        <v>0</v>
      </c>
      <c r="I120" s="139">
        <f t="shared" si="65"/>
        <v>0</v>
      </c>
      <c r="J120" s="139">
        <f t="shared" si="65"/>
        <v>0</v>
      </c>
      <c r="K120" s="139">
        <f t="shared" si="65"/>
        <v>0</v>
      </c>
      <c r="L120" s="139">
        <f t="shared" si="65"/>
        <v>0</v>
      </c>
      <c r="M120" s="139">
        <f t="shared" si="65"/>
        <v>0</v>
      </c>
      <c r="N120" s="139">
        <f t="shared" si="65"/>
        <v>0</v>
      </c>
      <c r="O120" s="139">
        <f t="shared" si="65"/>
        <v>0</v>
      </c>
      <c r="P120" s="139">
        <f t="shared" si="65"/>
        <v>0</v>
      </c>
      <c r="Q120" s="139">
        <f t="shared" si="65"/>
        <v>0</v>
      </c>
      <c r="R120" s="139">
        <f t="shared" si="65"/>
        <v>0</v>
      </c>
      <c r="S120" s="139">
        <f t="shared" si="65"/>
        <v>0</v>
      </c>
      <c r="T120" s="139">
        <f t="shared" si="65"/>
        <v>0</v>
      </c>
      <c r="U120" s="139">
        <f t="shared" si="65"/>
        <v>0</v>
      </c>
      <c r="V120" s="139">
        <f t="shared" si="65"/>
        <v>0</v>
      </c>
      <c r="W120" s="139">
        <f t="shared" si="65"/>
        <v>0</v>
      </c>
      <c r="X120" s="139">
        <f t="shared" si="65"/>
        <v>0</v>
      </c>
      <c r="Y120" s="139">
        <f t="shared" si="65"/>
        <v>0</v>
      </c>
      <c r="Z120" s="139">
        <f t="shared" si="65"/>
        <v>0</v>
      </c>
      <c r="AA120" s="139">
        <f t="shared" si="65"/>
        <v>0</v>
      </c>
      <c r="AB120" s="139">
        <f t="shared" si="65"/>
        <v>0</v>
      </c>
      <c r="AC120" s="139">
        <f t="shared" si="65"/>
        <v>0</v>
      </c>
      <c r="AD120" s="139">
        <f t="shared" si="65"/>
        <v>0</v>
      </c>
      <c r="AE120" s="139">
        <f t="shared" si="65"/>
        <v>0</v>
      </c>
      <c r="AF120" s="139">
        <f t="shared" si="65"/>
        <v>0</v>
      </c>
      <c r="AG120" s="139">
        <f t="shared" si="65"/>
        <v>0</v>
      </c>
      <c r="AH120" s="139">
        <f t="shared" si="65"/>
        <v>0</v>
      </c>
      <c r="AI120" s="139">
        <f t="shared" si="65"/>
        <v>0</v>
      </c>
      <c r="AJ120" s="139">
        <f t="shared" si="65"/>
        <v>0</v>
      </c>
      <c r="AK120" s="139">
        <f t="shared" si="65"/>
        <v>0</v>
      </c>
      <c r="AL120" s="139">
        <f t="shared" si="65"/>
        <v>0</v>
      </c>
      <c r="AM120" s="139">
        <f t="shared" si="65"/>
        <v>0</v>
      </c>
      <c r="AN120" s="139">
        <f t="shared" si="65"/>
        <v>0</v>
      </c>
      <c r="AO120" s="139">
        <f t="shared" si="65"/>
        <v>0</v>
      </c>
      <c r="AP120" s="139">
        <f t="shared" si="65"/>
        <v>0</v>
      </c>
      <c r="AQ120" s="139">
        <f t="shared" si="65"/>
        <v>0</v>
      </c>
    </row>
    <row r="121" spans="3:43" x14ac:dyDescent="0.25">
      <c r="C121" t="s">
        <v>1286</v>
      </c>
      <c r="D121" t="s">
        <v>125</v>
      </c>
      <c r="E121" s="139"/>
      <c r="F121" s="139"/>
      <c r="G121" s="139">
        <f t="shared" si="58"/>
        <v>-70416.008116853991</v>
      </c>
      <c r="H121" s="139">
        <f t="shared" ref="H121:AQ121" si="66">H100</f>
        <v>0</v>
      </c>
      <c r="I121" s="139">
        <f t="shared" si="66"/>
        <v>0</v>
      </c>
      <c r="J121" s="139">
        <f t="shared" si="66"/>
        <v>0</v>
      </c>
      <c r="K121" s="139">
        <f t="shared" si="66"/>
        <v>0</v>
      </c>
      <c r="L121" s="139">
        <f t="shared" si="66"/>
        <v>0</v>
      </c>
      <c r="M121" s="139">
        <f t="shared" si="66"/>
        <v>-621.40859980721871</v>
      </c>
      <c r="N121" s="139">
        <f t="shared" si="66"/>
        <v>-1350.2225893030109</v>
      </c>
      <c r="O121" s="139">
        <f t="shared" si="66"/>
        <v>-1414.5254364473872</v>
      </c>
      <c r="P121" s="139">
        <f t="shared" si="66"/>
        <v>-1456.4570033022278</v>
      </c>
      <c r="Q121" s="139">
        <f t="shared" si="66"/>
        <v>-1499.695247135505</v>
      </c>
      <c r="R121" s="139">
        <f t="shared" si="66"/>
        <v>-1544.309125757354</v>
      </c>
      <c r="S121" s="139">
        <f t="shared" si="66"/>
        <v>-1590.3712845380583</v>
      </c>
      <c r="T121" s="139">
        <f t="shared" si="66"/>
        <v>-1637.9582476722676</v>
      </c>
      <c r="U121" s="139">
        <f t="shared" si="66"/>
        <v>-1687.1506191812059</v>
      </c>
      <c r="V121" s="139">
        <f t="shared" si="66"/>
        <v>-1738.0332941439881</v>
      </c>
      <c r="W121" s="139">
        <f t="shared" si="66"/>
        <v>-1790.6956806740286</v>
      </c>
      <c r="X121" s="139">
        <f t="shared" si="66"/>
        <v>-1845.23193318222</v>
      </c>
      <c r="Y121" s="139">
        <f t="shared" si="66"/>
        <v>-1901.7411974959118</v>
      </c>
      <c r="Z121" s="139">
        <f t="shared" si="66"/>
        <v>-1960.3278684311913</v>
      </c>
      <c r="AA121" s="139">
        <f t="shared" si="66"/>
        <v>-2021.1018604460194</v>
      </c>
      <c r="AB121" s="139">
        <f t="shared" si="66"/>
        <v>-2084.1788920332351</v>
      </c>
      <c r="AC121" s="139">
        <f t="shared" si="66"/>
        <v>-2149.680784545521</v>
      </c>
      <c r="AD121" s="139">
        <f t="shared" si="66"/>
        <v>-2154.9669600644197</v>
      </c>
      <c r="AE121" s="139">
        <f t="shared" si="66"/>
        <v>-2159.8027788446657</v>
      </c>
      <c r="AF121" s="139">
        <f t="shared" si="66"/>
        <v>-2164.1733971706881</v>
      </c>
      <c r="AG121" s="139">
        <f t="shared" si="66"/>
        <v>-2807.4223843859986</v>
      </c>
      <c r="AH121" s="139">
        <f t="shared" si="66"/>
        <v>-3450.1753084713382</v>
      </c>
      <c r="AI121" s="139">
        <f t="shared" si="66"/>
        <v>-3453.0573293209704</v>
      </c>
      <c r="AJ121" s="139">
        <f t="shared" si="66"/>
        <v>-3455.4107917757651</v>
      </c>
      <c r="AK121" s="139">
        <f t="shared" si="66"/>
        <v>-3457.2188104716984</v>
      </c>
      <c r="AL121" s="139">
        <f t="shared" si="66"/>
        <v>-3458.4640607814536</v>
      </c>
      <c r="AM121" s="139">
        <f t="shared" si="66"/>
        <v>-3459.1287679074358</v>
      </c>
      <c r="AN121" s="139">
        <f t="shared" si="66"/>
        <v>-3459.194695706844</v>
      </c>
      <c r="AO121" s="139">
        <f t="shared" si="66"/>
        <v>-3458.6431352422624</v>
      </c>
      <c r="AP121" s="139">
        <f t="shared" si="66"/>
        <v>-3457.4548930509859</v>
      </c>
      <c r="AQ121" s="139">
        <f t="shared" si="66"/>
        <v>-1727.8051395631253</v>
      </c>
    </row>
    <row r="122" spans="3:43" x14ac:dyDescent="0.25">
      <c r="C122" t="s">
        <v>26</v>
      </c>
      <c r="D122" t="s">
        <v>125</v>
      </c>
      <c r="E122" s="139"/>
      <c r="F122" s="139"/>
      <c r="G122" s="139">
        <f t="shared" si="58"/>
        <v>-4077</v>
      </c>
      <c r="H122" s="139">
        <f t="shared" ref="H122:AQ122" si="67">H107+H108</f>
        <v>0</v>
      </c>
      <c r="I122" s="139">
        <f t="shared" si="67"/>
        <v>0</v>
      </c>
      <c r="J122" s="139">
        <f t="shared" si="67"/>
        <v>0</v>
      </c>
      <c r="K122" s="139">
        <f t="shared" si="67"/>
        <v>0</v>
      </c>
      <c r="L122" s="139">
        <f t="shared" si="67"/>
        <v>0</v>
      </c>
      <c r="M122" s="139">
        <f t="shared" si="67"/>
        <v>0</v>
      </c>
      <c r="N122" s="139">
        <f t="shared" si="67"/>
        <v>0</v>
      </c>
      <c r="O122" s="139">
        <f t="shared" si="67"/>
        <v>0</v>
      </c>
      <c r="P122" s="139">
        <f t="shared" si="67"/>
        <v>0</v>
      </c>
      <c r="Q122" s="139">
        <f t="shared" si="67"/>
        <v>0</v>
      </c>
      <c r="R122" s="139">
        <f t="shared" si="67"/>
        <v>0</v>
      </c>
      <c r="S122" s="139">
        <f t="shared" si="67"/>
        <v>0</v>
      </c>
      <c r="T122" s="139">
        <f t="shared" si="67"/>
        <v>0</v>
      </c>
      <c r="U122" s="139">
        <f t="shared" si="67"/>
        <v>0</v>
      </c>
      <c r="V122" s="139">
        <f t="shared" si="67"/>
        <v>0</v>
      </c>
      <c r="W122" s="139">
        <f t="shared" si="67"/>
        <v>0</v>
      </c>
      <c r="X122" s="139">
        <f t="shared" si="67"/>
        <v>0</v>
      </c>
      <c r="Y122" s="139">
        <f t="shared" si="67"/>
        <v>0</v>
      </c>
      <c r="Z122" s="139">
        <f t="shared" si="67"/>
        <v>0</v>
      </c>
      <c r="AA122" s="139">
        <f t="shared" si="67"/>
        <v>0</v>
      </c>
      <c r="AB122" s="139">
        <f t="shared" si="67"/>
        <v>0</v>
      </c>
      <c r="AC122" s="139">
        <f t="shared" si="67"/>
        <v>0</v>
      </c>
      <c r="AD122" s="139">
        <f t="shared" si="67"/>
        <v>0</v>
      </c>
      <c r="AE122" s="139">
        <f t="shared" si="67"/>
        <v>0</v>
      </c>
      <c r="AF122" s="139">
        <f t="shared" si="67"/>
        <v>0</v>
      </c>
      <c r="AG122" s="139">
        <f t="shared" si="67"/>
        <v>0</v>
      </c>
      <c r="AH122" s="139">
        <f t="shared" si="67"/>
        <v>0</v>
      </c>
      <c r="AI122" s="139">
        <f t="shared" si="67"/>
        <v>0</v>
      </c>
      <c r="AJ122" s="139">
        <f t="shared" si="67"/>
        <v>0</v>
      </c>
      <c r="AK122" s="139">
        <f t="shared" si="67"/>
        <v>0</v>
      </c>
      <c r="AL122" s="139">
        <f t="shared" si="67"/>
        <v>0</v>
      </c>
      <c r="AM122" s="139">
        <f t="shared" si="67"/>
        <v>0</v>
      </c>
      <c r="AN122" s="139">
        <f t="shared" si="67"/>
        <v>0</v>
      </c>
      <c r="AO122" s="139">
        <f t="shared" si="67"/>
        <v>0</v>
      </c>
      <c r="AP122" s="139">
        <f t="shared" si="67"/>
        <v>0</v>
      </c>
      <c r="AQ122" s="139">
        <f t="shared" si="67"/>
        <v>-4077</v>
      </c>
    </row>
    <row r="123" spans="3:43" x14ac:dyDescent="0.25">
      <c r="C123" s="198" t="s">
        <v>14</v>
      </c>
      <c r="D123" s="198" t="s">
        <v>125</v>
      </c>
      <c r="E123" s="269"/>
      <c r="F123" s="269"/>
      <c r="G123" s="269">
        <f t="shared" si="58"/>
        <v>389123.5611948861</v>
      </c>
      <c r="H123" s="269">
        <f t="shared" ref="H123:AQ123" si="68">SUM(H114:H122)</f>
        <v>-1570.6176490188818</v>
      </c>
      <c r="I123" s="269">
        <f t="shared" si="68"/>
        <v>-778.73814328026663</v>
      </c>
      <c r="J123" s="269">
        <f t="shared" si="68"/>
        <v>-1227.4381311822531</v>
      </c>
      <c r="K123" s="269">
        <f t="shared" si="68"/>
        <v>-40552.739226290025</v>
      </c>
      <c r="L123" s="269">
        <f t="shared" si="68"/>
        <v>-30088.091788542941</v>
      </c>
      <c r="M123" s="269">
        <f t="shared" si="68"/>
        <v>-7606.0700118814439</v>
      </c>
      <c r="N123" s="269">
        <f t="shared" si="68"/>
        <v>12307.745556956044</v>
      </c>
      <c r="O123" s="269">
        <f t="shared" si="68"/>
        <v>12313.425832093484</v>
      </c>
      <c r="P123" s="269">
        <f t="shared" si="68"/>
        <v>12339.687927824098</v>
      </c>
      <c r="Q123" s="269">
        <f t="shared" si="68"/>
        <v>12362.78702061018</v>
      </c>
      <c r="R123" s="269">
        <f t="shared" si="68"/>
        <v>12382.585496084708</v>
      </c>
      <c r="S123" s="269">
        <f t="shared" si="68"/>
        <v>12398.940217290286</v>
      </c>
      <c r="T123" s="269">
        <f t="shared" si="68"/>
        <v>12411.702287571474</v>
      </c>
      <c r="U123" s="269">
        <f t="shared" si="68"/>
        <v>12420.716802602157</v>
      </c>
      <c r="V123" s="269">
        <f t="shared" si="68"/>
        <v>12425.822591028626</v>
      </c>
      <c r="W123" s="269">
        <f t="shared" si="68"/>
        <v>12426.85194318476</v>
      </c>
      <c r="X123" s="269">
        <f t="shared" si="68"/>
        <v>12423.630327308045</v>
      </c>
      <c r="Y123" s="269">
        <f t="shared" si="68"/>
        <v>12415.976092658006</v>
      </c>
      <c r="Z123" s="269">
        <f t="shared" si="68"/>
        <v>12403.700158908918</v>
      </c>
      <c r="AA123" s="269">
        <f t="shared" si="68"/>
        <v>12386.605691158156</v>
      </c>
      <c r="AB123" s="269">
        <f t="shared" si="68"/>
        <v>12364.487759859185</v>
      </c>
      <c r="AC123" s="269">
        <f t="shared" si="68"/>
        <v>20706.308466919229</v>
      </c>
      <c r="AD123" s="269">
        <f t="shared" si="68"/>
        <v>20736.263461526323</v>
      </c>
      <c r="AE123" s="269">
        <f t="shared" si="68"/>
        <v>20763.666434614384</v>
      </c>
      <c r="AF123" s="269">
        <f t="shared" si="68"/>
        <v>20788.433271795177</v>
      </c>
      <c r="AG123" s="269">
        <f t="shared" si="68"/>
        <v>20171.118855434634</v>
      </c>
      <c r="AH123" s="269">
        <f t="shared" si="68"/>
        <v>19550.993414670917</v>
      </c>
      <c r="AI123" s="269">
        <f t="shared" si="68"/>
        <v>19567.324866152165</v>
      </c>
      <c r="AJ123" s="269">
        <f t="shared" si="68"/>
        <v>19580.661153396002</v>
      </c>
      <c r="AK123" s="269">
        <f t="shared" si="68"/>
        <v>19590.906592672956</v>
      </c>
      <c r="AL123" s="269">
        <f t="shared" si="68"/>
        <v>19597.963011094904</v>
      </c>
      <c r="AM123" s="269">
        <f t="shared" si="68"/>
        <v>19601.729684808801</v>
      </c>
      <c r="AN123" s="269">
        <f t="shared" si="68"/>
        <v>19602.103275672118</v>
      </c>
      <c r="AO123" s="269">
        <f t="shared" si="68"/>
        <v>19598.97776637282</v>
      </c>
      <c r="AP123" s="269">
        <f t="shared" si="68"/>
        <v>19592.244393955589</v>
      </c>
      <c r="AQ123" s="269">
        <f t="shared" si="68"/>
        <v>5713.8957908577104</v>
      </c>
    </row>
    <row r="124" spans="3:43" x14ac:dyDescent="0.25">
      <c r="C124" t="s">
        <v>27</v>
      </c>
      <c r="D124" t="s">
        <v>125</v>
      </c>
      <c r="E124" s="139"/>
      <c r="F124" s="139"/>
      <c r="G124" s="139">
        <v>0</v>
      </c>
      <c r="H124" s="139">
        <f t="shared" ref="H124:AQ124" si="69">G124+H123</f>
        <v>-1570.6176490188818</v>
      </c>
      <c r="I124" s="139">
        <f t="shared" si="69"/>
        <v>-2349.3557922991486</v>
      </c>
      <c r="J124" s="139">
        <f t="shared" si="69"/>
        <v>-3576.7939234814016</v>
      </c>
      <c r="K124" s="139">
        <f t="shared" si="69"/>
        <v>-44129.533149771429</v>
      </c>
      <c r="L124" s="139">
        <f t="shared" si="69"/>
        <v>-74217.624938314373</v>
      </c>
      <c r="M124" s="139">
        <f t="shared" si="69"/>
        <v>-81823.694950195815</v>
      </c>
      <c r="N124" s="139">
        <f t="shared" si="69"/>
        <v>-69515.949393239775</v>
      </c>
      <c r="O124" s="139">
        <f t="shared" si="69"/>
        <v>-57202.523561146292</v>
      </c>
      <c r="P124" s="139">
        <f t="shared" si="69"/>
        <v>-44862.835633322196</v>
      </c>
      <c r="Q124" s="139">
        <f t="shared" si="69"/>
        <v>-32500.048612712017</v>
      </c>
      <c r="R124" s="139">
        <f t="shared" si="69"/>
        <v>-20117.46311662731</v>
      </c>
      <c r="S124" s="139">
        <f t="shared" si="69"/>
        <v>-7718.5228993370238</v>
      </c>
      <c r="T124" s="139">
        <f t="shared" si="69"/>
        <v>4693.17938823445</v>
      </c>
      <c r="U124" s="139">
        <f t="shared" si="69"/>
        <v>17113.896190836607</v>
      </c>
      <c r="V124" s="139">
        <f t="shared" si="69"/>
        <v>29539.718781865231</v>
      </c>
      <c r="W124" s="139">
        <f t="shared" si="69"/>
        <v>41966.570725049991</v>
      </c>
      <c r="X124" s="139">
        <f t="shared" si="69"/>
        <v>54390.201052358039</v>
      </c>
      <c r="Y124" s="139">
        <f t="shared" si="69"/>
        <v>66806.177145016045</v>
      </c>
      <c r="Z124" s="139">
        <f t="shared" si="69"/>
        <v>79209.877303924965</v>
      </c>
      <c r="AA124" s="139">
        <f t="shared" si="69"/>
        <v>91596.482995083119</v>
      </c>
      <c r="AB124" s="139">
        <f t="shared" si="69"/>
        <v>103960.9707549423</v>
      </c>
      <c r="AC124" s="139">
        <f t="shared" si="69"/>
        <v>124667.27922186154</v>
      </c>
      <c r="AD124" s="139">
        <f t="shared" si="69"/>
        <v>145403.54268338787</v>
      </c>
      <c r="AE124" s="139">
        <f t="shared" si="69"/>
        <v>166167.20911800227</v>
      </c>
      <c r="AF124" s="139">
        <f t="shared" si="69"/>
        <v>186955.64238979743</v>
      </c>
      <c r="AG124" s="139">
        <f t="shared" si="69"/>
        <v>207126.76124523208</v>
      </c>
      <c r="AH124" s="139">
        <f t="shared" si="69"/>
        <v>226677.754659903</v>
      </c>
      <c r="AI124" s="139">
        <f t="shared" si="69"/>
        <v>246245.07952605517</v>
      </c>
      <c r="AJ124" s="139">
        <f t="shared" si="69"/>
        <v>265825.74067945115</v>
      </c>
      <c r="AK124" s="139">
        <f t="shared" si="69"/>
        <v>285416.64727212413</v>
      </c>
      <c r="AL124" s="139">
        <f t="shared" si="69"/>
        <v>305014.61028321902</v>
      </c>
      <c r="AM124" s="139">
        <f t="shared" si="69"/>
        <v>324616.33996802784</v>
      </c>
      <c r="AN124" s="139">
        <f t="shared" si="69"/>
        <v>344218.44324369996</v>
      </c>
      <c r="AO124" s="139">
        <f t="shared" si="69"/>
        <v>363817.42101007281</v>
      </c>
      <c r="AP124" s="139">
        <f t="shared" si="69"/>
        <v>383409.66540402838</v>
      </c>
      <c r="AQ124" s="139">
        <f t="shared" si="69"/>
        <v>389123.5611948861</v>
      </c>
    </row>
    <row r="125" spans="3:43" x14ac:dyDescent="0.25">
      <c r="C125" t="s">
        <v>1287</v>
      </c>
      <c r="D125" t="s">
        <v>125</v>
      </c>
      <c r="E125" s="139"/>
      <c r="F125" s="139"/>
      <c r="G125" s="139">
        <f>SUM(H125:AQ125)</f>
        <v>614070.92594043002</v>
      </c>
      <c r="H125" s="139">
        <f t="shared" ref="H125:AQ125" si="70">H70+H100</f>
        <v>0</v>
      </c>
      <c r="I125" s="139">
        <f t="shared" si="70"/>
        <v>0</v>
      </c>
      <c r="J125" s="139">
        <f t="shared" si="70"/>
        <v>0</v>
      </c>
      <c r="K125" s="139">
        <f t="shared" si="70"/>
        <v>-205.40321563322553</v>
      </c>
      <c r="L125" s="139">
        <f t="shared" si="70"/>
        <v>-417.64390243902449</v>
      </c>
      <c r="M125" s="139">
        <f t="shared" si="70"/>
        <v>14132.084683946312</v>
      </c>
      <c r="N125" s="139">
        <f t="shared" si="70"/>
        <v>20676.921038920991</v>
      </c>
      <c r="O125" s="139">
        <f t="shared" si="70"/>
        <v>20682.601314058433</v>
      </c>
      <c r="P125" s="139">
        <f t="shared" si="70"/>
        <v>20708.863409789046</v>
      </c>
      <c r="Q125" s="139">
        <f t="shared" si="70"/>
        <v>20731.96250257513</v>
      </c>
      <c r="R125" s="139">
        <f t="shared" si="70"/>
        <v>20751.760978049657</v>
      </c>
      <c r="S125" s="139">
        <f t="shared" si="70"/>
        <v>20768.115699255235</v>
      </c>
      <c r="T125" s="139">
        <f t="shared" si="70"/>
        <v>20780.877769536422</v>
      </c>
      <c r="U125" s="139">
        <f t="shared" si="70"/>
        <v>20789.892284567104</v>
      </c>
      <c r="V125" s="139">
        <f t="shared" si="70"/>
        <v>20794.998072993574</v>
      </c>
      <c r="W125" s="139">
        <f t="shared" si="70"/>
        <v>20796.02742514971</v>
      </c>
      <c r="X125" s="139">
        <f t="shared" si="70"/>
        <v>20792.805809272992</v>
      </c>
      <c r="Y125" s="139">
        <f t="shared" si="70"/>
        <v>20785.151574622956</v>
      </c>
      <c r="Z125" s="139">
        <f t="shared" si="70"/>
        <v>20772.875640873866</v>
      </c>
      <c r="AA125" s="139">
        <f t="shared" si="70"/>
        <v>20755.781173123105</v>
      </c>
      <c r="AB125" s="139">
        <f t="shared" si="70"/>
        <v>20733.663241824132</v>
      </c>
      <c r="AC125" s="139">
        <f t="shared" si="70"/>
        <v>20706.308466919229</v>
      </c>
      <c r="AD125" s="139">
        <f t="shared" si="70"/>
        <v>20736.263461526323</v>
      </c>
      <c r="AE125" s="139">
        <f t="shared" si="70"/>
        <v>20763.666434614384</v>
      </c>
      <c r="AF125" s="139">
        <f t="shared" si="70"/>
        <v>20788.433271795177</v>
      </c>
      <c r="AG125" s="139">
        <f t="shared" si="70"/>
        <v>20171.118855434634</v>
      </c>
      <c r="AH125" s="139">
        <f t="shared" si="70"/>
        <v>19550.993414670917</v>
      </c>
      <c r="AI125" s="139">
        <f t="shared" si="70"/>
        <v>19567.324866152165</v>
      </c>
      <c r="AJ125" s="139">
        <f t="shared" si="70"/>
        <v>19580.661153396002</v>
      </c>
      <c r="AK125" s="139">
        <f t="shared" si="70"/>
        <v>19590.906592672956</v>
      </c>
      <c r="AL125" s="139">
        <f t="shared" si="70"/>
        <v>19597.963011094904</v>
      </c>
      <c r="AM125" s="139">
        <f t="shared" si="70"/>
        <v>19601.729684808801</v>
      </c>
      <c r="AN125" s="139">
        <f t="shared" si="70"/>
        <v>19602.103275672118</v>
      </c>
      <c r="AO125" s="139">
        <f t="shared" si="70"/>
        <v>19598.97776637282</v>
      </c>
      <c r="AP125" s="139">
        <f t="shared" si="70"/>
        <v>19592.244393955589</v>
      </c>
      <c r="AQ125" s="139">
        <f t="shared" si="70"/>
        <v>9790.8957908577122</v>
      </c>
    </row>
    <row r="126" spans="3:43" x14ac:dyDescent="0.25">
      <c r="C126" t="s">
        <v>1288</v>
      </c>
      <c r="D126" t="s">
        <v>7</v>
      </c>
      <c r="E126" s="139"/>
      <c r="F126" s="139"/>
      <c r="G126" s="155">
        <f>IF(COUNT(H126:AQ126)=0,"",MIN(H126:AQ126))</f>
        <v>2.4706043126325246</v>
      </c>
      <c r="H126" s="155" t="str">
        <f t="shared" ref="H126:AQ126" si="71">IF(AND(H9&gt;=1,H86&lt;-0.01),H125/-H86,"")</f>
        <v/>
      </c>
      <c r="I126" s="155" t="str">
        <f t="shared" si="71"/>
        <v/>
      </c>
      <c r="J126" s="155" t="str">
        <f t="shared" si="71"/>
        <v/>
      </c>
      <c r="K126" s="155" t="str">
        <f t="shared" si="71"/>
        <v/>
      </c>
      <c r="L126" s="155" t="str">
        <f t="shared" si="71"/>
        <v/>
      </c>
      <c r="M126" s="155" t="str">
        <f t="shared" si="71"/>
        <v/>
      </c>
      <c r="N126" s="155">
        <f t="shared" si="71"/>
        <v>2.4706043126325246</v>
      </c>
      <c r="O126" s="155">
        <f t="shared" si="71"/>
        <v>2.471283026461585</v>
      </c>
      <c r="P126" s="155">
        <f t="shared" si="71"/>
        <v>2.4744209814234814</v>
      </c>
      <c r="Q126" s="155">
        <f t="shared" si="71"/>
        <v>2.4771810015516125</v>
      </c>
      <c r="R126" s="155">
        <f t="shared" si="71"/>
        <v>2.4795466438442362</v>
      </c>
      <c r="S126" s="155">
        <f t="shared" si="71"/>
        <v>2.4815008054269181</v>
      </c>
      <c r="T126" s="155">
        <f t="shared" si="71"/>
        <v>2.4830256952214609</v>
      </c>
      <c r="U126" s="155">
        <f t="shared" si="71"/>
        <v>2.4841028043166289</v>
      </c>
      <c r="V126" s="155">
        <f t="shared" si="71"/>
        <v>2.4847128749786043</v>
      </c>
      <c r="W126" s="155">
        <f t="shared" si="71"/>
        <v>2.4848358682362264</v>
      </c>
      <c r="X126" s="155">
        <f t="shared" si="71"/>
        <v>2.4844509299727542</v>
      </c>
      <c r="Y126" s="155">
        <f t="shared" si="71"/>
        <v>2.4835363554526562</v>
      </c>
      <c r="Z126" s="155">
        <f t="shared" si="71"/>
        <v>2.4820695522083529</v>
      </c>
      <c r="AA126" s="155">
        <f t="shared" si="71"/>
        <v>2.4800270012082457</v>
      </c>
      <c r="AB126" s="155">
        <f t="shared" si="71"/>
        <v>2.4773842162234359</v>
      </c>
      <c r="AC126" s="155" t="str">
        <f t="shared" si="71"/>
        <v/>
      </c>
      <c r="AD126" s="155" t="str">
        <f t="shared" si="71"/>
        <v/>
      </c>
      <c r="AE126" s="155" t="str">
        <f t="shared" si="71"/>
        <v/>
      </c>
      <c r="AF126" s="155" t="str">
        <f t="shared" si="71"/>
        <v/>
      </c>
      <c r="AG126" s="155" t="str">
        <f t="shared" si="71"/>
        <v/>
      </c>
      <c r="AH126" s="155" t="str">
        <f t="shared" si="71"/>
        <v/>
      </c>
      <c r="AI126" s="155" t="str">
        <f t="shared" si="71"/>
        <v/>
      </c>
      <c r="AJ126" s="155" t="str">
        <f t="shared" si="71"/>
        <v/>
      </c>
      <c r="AK126" s="155" t="str">
        <f t="shared" si="71"/>
        <v/>
      </c>
      <c r="AL126" s="155" t="str">
        <f t="shared" si="71"/>
        <v/>
      </c>
      <c r="AM126" s="155" t="str">
        <f t="shared" si="71"/>
        <v/>
      </c>
      <c r="AN126" s="155" t="str">
        <f t="shared" si="71"/>
        <v/>
      </c>
      <c r="AO126" s="155" t="str">
        <f t="shared" si="71"/>
        <v/>
      </c>
      <c r="AP126" s="155" t="str">
        <f t="shared" si="71"/>
        <v/>
      </c>
      <c r="AQ126" s="155" t="str">
        <f t="shared" si="71"/>
        <v/>
      </c>
    </row>
    <row r="127" spans="3:43" x14ac:dyDescent="0.25">
      <c r="E127" s="139"/>
      <c r="F127" s="139"/>
      <c r="G127" s="139"/>
      <c r="H127" s="139"/>
      <c r="I127" s="139"/>
      <c r="J127" s="139"/>
      <c r="K127" s="139"/>
      <c r="L127" s="139"/>
      <c r="M127" s="139"/>
      <c r="N127" s="139"/>
      <c r="O127" s="139"/>
      <c r="P127" s="139"/>
      <c r="Q127" s="139"/>
      <c r="R127" s="139"/>
      <c r="S127" s="139"/>
      <c r="T127" s="139"/>
      <c r="U127" s="139"/>
      <c r="V127" s="139"/>
      <c r="W127" s="139"/>
      <c r="X127" s="139"/>
      <c r="Y127" s="139"/>
      <c r="Z127" s="139"/>
      <c r="AA127" s="139"/>
      <c r="AB127" s="139"/>
      <c r="AC127" s="139"/>
      <c r="AD127" s="139"/>
      <c r="AE127" s="139"/>
      <c r="AF127" s="139"/>
      <c r="AG127" s="139"/>
      <c r="AH127" s="139"/>
      <c r="AI127" s="139"/>
      <c r="AJ127" s="139"/>
      <c r="AK127" s="139"/>
      <c r="AL127" s="139"/>
      <c r="AM127" s="139"/>
      <c r="AN127" s="139"/>
      <c r="AO127" s="139"/>
      <c r="AP127" s="139"/>
      <c r="AQ127" s="139"/>
    </row>
    <row r="128" spans="3:43" x14ac:dyDescent="0.25">
      <c r="C128" s="129" t="s">
        <v>1289</v>
      </c>
      <c r="D128" s="129"/>
      <c r="E128" s="272">
        <f>IF(Inputs!$E$230=1,1,Inputs!$E$33)</f>
        <v>1</v>
      </c>
      <c r="F128" s="271" t="s">
        <v>1290</v>
      </c>
      <c r="G128" s="270"/>
      <c r="H128" s="270"/>
      <c r="I128" s="270"/>
      <c r="J128" s="270"/>
      <c r="K128" s="270"/>
      <c r="L128" s="270"/>
      <c r="M128" s="270"/>
      <c r="N128" s="270"/>
      <c r="O128" s="270"/>
      <c r="P128" s="270"/>
      <c r="Q128" s="270"/>
      <c r="R128" s="270"/>
      <c r="S128" s="270"/>
      <c r="T128" s="270"/>
      <c r="U128" s="270"/>
      <c r="V128" s="270"/>
      <c r="W128" s="270"/>
      <c r="X128" s="270"/>
      <c r="Y128" s="270"/>
      <c r="Z128" s="270"/>
      <c r="AA128" s="270"/>
      <c r="AB128" s="270"/>
      <c r="AC128" s="270"/>
      <c r="AD128" s="270"/>
      <c r="AE128" s="270"/>
      <c r="AF128" s="270"/>
      <c r="AG128" s="270"/>
      <c r="AH128" s="270"/>
      <c r="AI128" s="270"/>
      <c r="AJ128" s="270"/>
      <c r="AK128" s="270"/>
      <c r="AL128" s="270"/>
      <c r="AM128" s="270"/>
      <c r="AN128" s="270"/>
      <c r="AO128" s="270"/>
      <c r="AP128" s="270"/>
      <c r="AQ128" s="270"/>
    </row>
    <row r="129" spans="3:43" x14ac:dyDescent="0.25">
      <c r="C129" s="198" t="s">
        <v>1291</v>
      </c>
      <c r="D129" s="198" t="s">
        <v>125</v>
      </c>
      <c r="E129" s="269"/>
      <c r="F129" s="269"/>
      <c r="G129" s="269">
        <f>SUM(H129:AQ129)</f>
        <v>389123.5611948861</v>
      </c>
      <c r="H129" s="269">
        <f t="shared" ref="H129:AQ129" si="72">H123*$E$128</f>
        <v>-1570.6176490188818</v>
      </c>
      <c r="I129" s="269">
        <f t="shared" si="72"/>
        <v>-778.73814328026663</v>
      </c>
      <c r="J129" s="269">
        <f t="shared" si="72"/>
        <v>-1227.4381311822531</v>
      </c>
      <c r="K129" s="269">
        <f t="shared" si="72"/>
        <v>-40552.739226290025</v>
      </c>
      <c r="L129" s="269">
        <f t="shared" si="72"/>
        <v>-30088.091788542941</v>
      </c>
      <c r="M129" s="269">
        <f t="shared" si="72"/>
        <v>-7606.0700118814439</v>
      </c>
      <c r="N129" s="269">
        <f t="shared" si="72"/>
        <v>12307.745556956044</v>
      </c>
      <c r="O129" s="269">
        <f t="shared" si="72"/>
        <v>12313.425832093484</v>
      </c>
      <c r="P129" s="269">
        <f t="shared" si="72"/>
        <v>12339.687927824098</v>
      </c>
      <c r="Q129" s="269">
        <f t="shared" si="72"/>
        <v>12362.78702061018</v>
      </c>
      <c r="R129" s="269">
        <f t="shared" si="72"/>
        <v>12382.585496084708</v>
      </c>
      <c r="S129" s="269">
        <f t="shared" si="72"/>
        <v>12398.940217290286</v>
      </c>
      <c r="T129" s="269">
        <f t="shared" si="72"/>
        <v>12411.702287571474</v>
      </c>
      <c r="U129" s="269">
        <f t="shared" si="72"/>
        <v>12420.716802602157</v>
      </c>
      <c r="V129" s="269">
        <f t="shared" si="72"/>
        <v>12425.822591028626</v>
      </c>
      <c r="W129" s="269">
        <f t="shared" si="72"/>
        <v>12426.85194318476</v>
      </c>
      <c r="X129" s="269">
        <f t="shared" si="72"/>
        <v>12423.630327308045</v>
      </c>
      <c r="Y129" s="269">
        <f t="shared" si="72"/>
        <v>12415.976092658006</v>
      </c>
      <c r="Z129" s="269">
        <f t="shared" si="72"/>
        <v>12403.700158908918</v>
      </c>
      <c r="AA129" s="269">
        <f t="shared" si="72"/>
        <v>12386.605691158156</v>
      </c>
      <c r="AB129" s="269">
        <f t="shared" si="72"/>
        <v>12364.487759859185</v>
      </c>
      <c r="AC129" s="269">
        <f t="shared" si="72"/>
        <v>20706.308466919229</v>
      </c>
      <c r="AD129" s="269">
        <f t="shared" si="72"/>
        <v>20736.263461526323</v>
      </c>
      <c r="AE129" s="269">
        <f t="shared" si="72"/>
        <v>20763.666434614384</v>
      </c>
      <c r="AF129" s="269">
        <f t="shared" si="72"/>
        <v>20788.433271795177</v>
      </c>
      <c r="AG129" s="269">
        <f t="shared" si="72"/>
        <v>20171.118855434634</v>
      </c>
      <c r="AH129" s="269">
        <f t="shared" si="72"/>
        <v>19550.993414670917</v>
      </c>
      <c r="AI129" s="269">
        <f t="shared" si="72"/>
        <v>19567.324866152165</v>
      </c>
      <c r="AJ129" s="269">
        <f t="shared" si="72"/>
        <v>19580.661153396002</v>
      </c>
      <c r="AK129" s="269">
        <f t="shared" si="72"/>
        <v>19590.906592672956</v>
      </c>
      <c r="AL129" s="269">
        <f t="shared" si="72"/>
        <v>19597.963011094904</v>
      </c>
      <c r="AM129" s="269">
        <f t="shared" si="72"/>
        <v>19601.729684808801</v>
      </c>
      <c r="AN129" s="269">
        <f t="shared" si="72"/>
        <v>19602.103275672118</v>
      </c>
      <c r="AO129" s="269">
        <f t="shared" si="72"/>
        <v>19598.97776637282</v>
      </c>
      <c r="AP129" s="269">
        <f t="shared" si="72"/>
        <v>19592.244393955589</v>
      </c>
      <c r="AQ129" s="269">
        <f t="shared" si="72"/>
        <v>5713.8957908577104</v>
      </c>
    </row>
    <row r="130" spans="3:43" x14ac:dyDescent="0.25">
      <c r="C130" t="s">
        <v>1292</v>
      </c>
      <c r="D130" t="s">
        <v>125</v>
      </c>
      <c r="E130" s="139"/>
      <c r="F130" s="139"/>
      <c r="G130" s="139">
        <v>0</v>
      </c>
      <c r="H130" s="139">
        <f t="shared" ref="H130:AQ130" si="73">G130+H129</f>
        <v>-1570.6176490188818</v>
      </c>
      <c r="I130" s="139">
        <f t="shared" si="73"/>
        <v>-2349.3557922991486</v>
      </c>
      <c r="J130" s="139">
        <f t="shared" si="73"/>
        <v>-3576.7939234814016</v>
      </c>
      <c r="K130" s="139">
        <f t="shared" si="73"/>
        <v>-44129.533149771429</v>
      </c>
      <c r="L130" s="139">
        <f t="shared" si="73"/>
        <v>-74217.624938314373</v>
      </c>
      <c r="M130" s="139">
        <f t="shared" si="73"/>
        <v>-81823.694950195815</v>
      </c>
      <c r="N130" s="139">
        <f t="shared" si="73"/>
        <v>-69515.949393239775</v>
      </c>
      <c r="O130" s="139">
        <f t="shared" si="73"/>
        <v>-57202.523561146292</v>
      </c>
      <c r="P130" s="139">
        <f t="shared" si="73"/>
        <v>-44862.835633322196</v>
      </c>
      <c r="Q130" s="139">
        <f t="shared" si="73"/>
        <v>-32500.048612712017</v>
      </c>
      <c r="R130" s="139">
        <f t="shared" si="73"/>
        <v>-20117.46311662731</v>
      </c>
      <c r="S130" s="139">
        <f t="shared" si="73"/>
        <v>-7718.5228993370238</v>
      </c>
      <c r="T130" s="139">
        <f t="shared" si="73"/>
        <v>4693.17938823445</v>
      </c>
      <c r="U130" s="139">
        <f t="shared" si="73"/>
        <v>17113.896190836607</v>
      </c>
      <c r="V130" s="139">
        <f t="shared" si="73"/>
        <v>29539.718781865231</v>
      </c>
      <c r="W130" s="139">
        <f t="shared" si="73"/>
        <v>41966.570725049991</v>
      </c>
      <c r="X130" s="139">
        <f t="shared" si="73"/>
        <v>54390.201052358039</v>
      </c>
      <c r="Y130" s="139">
        <f t="shared" si="73"/>
        <v>66806.177145016045</v>
      </c>
      <c r="Z130" s="139">
        <f t="shared" si="73"/>
        <v>79209.877303924965</v>
      </c>
      <c r="AA130" s="139">
        <f t="shared" si="73"/>
        <v>91596.482995083119</v>
      </c>
      <c r="AB130" s="139">
        <f t="shared" si="73"/>
        <v>103960.9707549423</v>
      </c>
      <c r="AC130" s="139">
        <f t="shared" si="73"/>
        <v>124667.27922186154</v>
      </c>
      <c r="AD130" s="139">
        <f t="shared" si="73"/>
        <v>145403.54268338787</v>
      </c>
      <c r="AE130" s="139">
        <f t="shared" si="73"/>
        <v>166167.20911800227</v>
      </c>
      <c r="AF130" s="139">
        <f t="shared" si="73"/>
        <v>186955.64238979743</v>
      </c>
      <c r="AG130" s="139">
        <f t="shared" si="73"/>
        <v>207126.76124523208</v>
      </c>
      <c r="AH130" s="139">
        <f t="shared" si="73"/>
        <v>226677.754659903</v>
      </c>
      <c r="AI130" s="139">
        <f t="shared" si="73"/>
        <v>246245.07952605517</v>
      </c>
      <c r="AJ130" s="139">
        <f t="shared" si="73"/>
        <v>265825.74067945115</v>
      </c>
      <c r="AK130" s="139">
        <f t="shared" si="73"/>
        <v>285416.64727212413</v>
      </c>
      <c r="AL130" s="139">
        <f t="shared" si="73"/>
        <v>305014.61028321902</v>
      </c>
      <c r="AM130" s="139">
        <f t="shared" si="73"/>
        <v>324616.33996802784</v>
      </c>
      <c r="AN130" s="139">
        <f t="shared" si="73"/>
        <v>344218.44324369996</v>
      </c>
      <c r="AO130" s="139">
        <f t="shared" si="73"/>
        <v>363817.42101007281</v>
      </c>
      <c r="AP130" s="139">
        <f t="shared" si="73"/>
        <v>383409.66540402838</v>
      </c>
      <c r="AQ130" s="139">
        <f t="shared" si="73"/>
        <v>389123.5611948861</v>
      </c>
    </row>
    <row r="131" spans="3:43" x14ac:dyDescent="0.25">
      <c r="C131" t="s">
        <v>1292</v>
      </c>
      <c r="D131" t="s">
        <v>169</v>
      </c>
      <c r="E131" s="139"/>
      <c r="F131" s="139"/>
      <c r="G131" s="139"/>
      <c r="H131" s="139">
        <f>H130*Inputs!$E$11/1000</f>
        <v>-573.27544189189189</v>
      </c>
      <c r="I131" s="139">
        <f>I130*Inputs!$E$11/1000</f>
        <v>-857.51486418918932</v>
      </c>
      <c r="J131" s="139">
        <f>J130*Inputs!$E$11/1000</f>
        <v>-1305.5297820707115</v>
      </c>
      <c r="K131" s="139">
        <f>K130*Inputs!$E$11/1000</f>
        <v>-16107.279599666572</v>
      </c>
      <c r="L131" s="139">
        <f>L130*Inputs!$E$11/1000</f>
        <v>-27089.433102484749</v>
      </c>
      <c r="M131" s="139">
        <f>M130*Inputs!$E$11/1000</f>
        <v>-29865.648656821471</v>
      </c>
      <c r="N131" s="139">
        <f>N130*Inputs!$E$11/1000</f>
        <v>-25373.321528532517</v>
      </c>
      <c r="O131" s="139">
        <f>O130*Inputs!$E$11/1000</f>
        <v>-20878.921099818399</v>
      </c>
      <c r="P131" s="139">
        <f>P130*Inputs!$E$11/1000</f>
        <v>-16374.935006162603</v>
      </c>
      <c r="Q131" s="139">
        <f>Q130*Inputs!$E$11/1000</f>
        <v>-11862.517743639886</v>
      </c>
      <c r="R131" s="139">
        <f>R130*Inputs!$E$11/1000</f>
        <v>-7342.8740375689677</v>
      </c>
      <c r="S131" s="139">
        <f>S130*Inputs!$E$11/1000</f>
        <v>-2817.2608582580137</v>
      </c>
      <c r="T131" s="139">
        <f>T130*Inputs!$E$11/1000</f>
        <v>1713.0104767055741</v>
      </c>
      <c r="U131" s="139">
        <f>U130*Inputs!$E$11/1000</f>
        <v>6246.5721096553616</v>
      </c>
      <c r="V131" s="139">
        <f>V130*Inputs!$E$11/1000</f>
        <v>10781.997355380809</v>
      </c>
      <c r="W131" s="139">
        <f>W130*Inputs!$E$11/1000</f>
        <v>15317.798314643247</v>
      </c>
      <c r="X131" s="139">
        <f>X130*Inputs!$E$11/1000</f>
        <v>19852.423384110687</v>
      </c>
      <c r="Y131" s="139">
        <f>Y130*Inputs!$E$11/1000</f>
        <v>24384.254657930855</v>
      </c>
      <c r="Z131" s="139">
        <f>Z130*Inputs!$E$11/1000</f>
        <v>28911.60521593261</v>
      </c>
      <c r="AA131" s="139">
        <f>AA130*Inputs!$E$11/1000</f>
        <v>33432.71629320534</v>
      </c>
      <c r="AB131" s="139">
        <f>AB130*Inputs!$E$11/1000</f>
        <v>37945.754325553942</v>
      </c>
      <c r="AC131" s="139">
        <f>AC130*Inputs!$E$11/1000</f>
        <v>45503.556915979461</v>
      </c>
      <c r="AD131" s="139">
        <f>AD130*Inputs!$E$11/1000</f>
        <v>53072.293079436567</v>
      </c>
      <c r="AE131" s="139">
        <f>AE130*Inputs!$E$11/1000</f>
        <v>60651.031328070829</v>
      </c>
      <c r="AF131" s="139">
        <f>AF130*Inputs!$E$11/1000</f>
        <v>68238.809472276058</v>
      </c>
      <c r="AG131" s="139">
        <f>AG130*Inputs!$E$11/1000</f>
        <v>75601.267854509715</v>
      </c>
      <c r="AH131" s="139">
        <f>AH130*Inputs!$E$11/1000</f>
        <v>82737.380450864599</v>
      </c>
      <c r="AI131" s="139">
        <f>AI130*Inputs!$E$11/1000</f>
        <v>89879.454027010142</v>
      </c>
      <c r="AJ131" s="139">
        <f>AJ130*Inputs!$E$11/1000</f>
        <v>97026.395347999656</v>
      </c>
      <c r="AK131" s="139">
        <f>AK130*Inputs!$E$11/1000</f>
        <v>104177.07625432531</v>
      </c>
      <c r="AL131" s="139">
        <f>AL130*Inputs!$E$11/1000</f>
        <v>111330.33275337495</v>
      </c>
      <c r="AM131" s="139">
        <f>AM130*Inputs!$E$11/1000</f>
        <v>118484.96408833016</v>
      </c>
      <c r="AN131" s="139">
        <f>AN130*Inputs!$E$11/1000</f>
        <v>125639.7317839505</v>
      </c>
      <c r="AO131" s="139">
        <f>AO130*Inputs!$E$11/1000</f>
        <v>132793.35866867658</v>
      </c>
      <c r="AP131" s="139">
        <f>AP130*Inputs!$E$11/1000</f>
        <v>139944.52787247035</v>
      </c>
      <c r="AQ131" s="139">
        <f>AQ130*Inputs!$E$11/1000</f>
        <v>142030.09983613342</v>
      </c>
    </row>
    <row r="133" spans="3:43" x14ac:dyDescent="0.25">
      <c r="C133" s="129" t="s">
        <v>1293</v>
      </c>
      <c r="D133" s="129"/>
      <c r="E133" s="129"/>
      <c r="F133" s="129"/>
      <c r="G133" s="129"/>
      <c r="H133" s="129"/>
      <c r="I133" s="129"/>
      <c r="J133" s="129"/>
      <c r="K133" s="129"/>
      <c r="L133" s="129"/>
      <c r="M133" s="129"/>
      <c r="N133" s="129"/>
      <c r="O133" s="129"/>
      <c r="P133" s="129"/>
      <c r="Q133" s="129"/>
      <c r="R133" s="129"/>
      <c r="S133" s="129"/>
      <c r="T133" s="129"/>
      <c r="U133" s="129"/>
      <c r="V133" s="129"/>
      <c r="W133" s="129"/>
      <c r="X133" s="129"/>
      <c r="Y133" s="129"/>
      <c r="Z133" s="129"/>
      <c r="AA133" s="129"/>
      <c r="AB133" s="129"/>
      <c r="AC133" s="129"/>
      <c r="AD133" s="129"/>
      <c r="AE133" s="129"/>
      <c r="AF133" s="129"/>
      <c r="AG133" s="129"/>
      <c r="AH133" s="129"/>
      <c r="AI133" s="129"/>
      <c r="AJ133" s="129"/>
      <c r="AK133" s="129"/>
      <c r="AL133" s="129"/>
      <c r="AM133" s="129"/>
      <c r="AN133" s="129"/>
      <c r="AO133" s="129"/>
      <c r="AP133" s="129"/>
      <c r="AQ133" s="129"/>
    </row>
    <row r="134" spans="3:43" x14ac:dyDescent="0.25">
      <c r="C134" t="s">
        <v>1294</v>
      </c>
      <c r="D134" t="s">
        <v>51</v>
      </c>
      <c r="G134" s="260">
        <f>IFERROR(IRR(H109:AQ109),"n/a")</f>
        <v>0.11696131948899646</v>
      </c>
    </row>
    <row r="135" spans="3:43" x14ac:dyDescent="0.25">
      <c r="C135" t="s">
        <v>1295</v>
      </c>
      <c r="D135" t="s">
        <v>51</v>
      </c>
      <c r="G135" s="260">
        <f>IFERROR(IRR(H110:AQ110),"n/a")</f>
        <v>0.10455898446605061</v>
      </c>
    </row>
    <row r="136" spans="3:43" x14ac:dyDescent="0.25">
      <c r="C136" t="s">
        <v>1296</v>
      </c>
      <c r="D136" t="s">
        <v>125</v>
      </c>
      <c r="G136" s="274">
        <f>SUMPRODUCT(H110:AQ110,H12:AQ12)</f>
        <v>33209.351780041667</v>
      </c>
    </row>
    <row r="137" spans="3:43" x14ac:dyDescent="0.25">
      <c r="C137" t="s">
        <v>1297</v>
      </c>
      <c r="D137" t="s">
        <v>51</v>
      </c>
      <c r="G137" s="260">
        <f>IFERROR(IRR(H123:AQ123),"n/a")</f>
        <v>0.13119284646604612</v>
      </c>
    </row>
    <row r="138" spans="3:43" x14ac:dyDescent="0.25">
      <c r="C138" t="s">
        <v>1298</v>
      </c>
      <c r="D138" t="s">
        <v>125</v>
      </c>
      <c r="G138" s="274">
        <f>SUMPRODUCT(H123:AQ123,H13:AQ13)</f>
        <v>45207.708532048571</v>
      </c>
    </row>
    <row r="139" spans="3:43" x14ac:dyDescent="0.25">
      <c r="C139" t="s">
        <v>184</v>
      </c>
      <c r="D139" t="s">
        <v>51</v>
      </c>
      <c r="G139" s="260">
        <f>IFERROR(IRR(H129:AQ129),"n/a")</f>
        <v>0.13119284646604612</v>
      </c>
    </row>
    <row r="140" spans="3:43" x14ac:dyDescent="0.25">
      <c r="C140" t="s">
        <v>1299</v>
      </c>
      <c r="D140" t="s">
        <v>125</v>
      </c>
      <c r="G140" s="274">
        <f t="array" ref="G140">SUMPRODUCT(H129:AQ129/(1+Inputs!$E$255)^H4:AQ4)</f>
        <v>45207.708532048571</v>
      </c>
    </row>
    <row r="141" spans="3:43" x14ac:dyDescent="0.25">
      <c r="C141" t="s">
        <v>1300</v>
      </c>
      <c r="D141" t="s">
        <v>125</v>
      </c>
      <c r="G141" s="274">
        <f t="array" ref="G141">-SUMPRODUCT((H129:AQ129&lt;0)*H129:AQ129/(1+Inputs!$E$255)^H4:AQ4)</f>
        <v>62828.282828090785</v>
      </c>
    </row>
    <row r="142" spans="3:43" x14ac:dyDescent="0.25">
      <c r="C142" t="s">
        <v>1135</v>
      </c>
      <c r="D142" t="s">
        <v>7</v>
      </c>
      <c r="G142" s="259">
        <f>IF(G141=0,"n/a",G140/G141)</f>
        <v>0.71954391393673456</v>
      </c>
    </row>
    <row r="143" spans="3:43" x14ac:dyDescent="0.25">
      <c r="C143" t="s">
        <v>1136</v>
      </c>
      <c r="D143" t="s">
        <v>7</v>
      </c>
      <c r="G143" s="259">
        <f>IF(SUMIF(H129:AQ129,"&lt;0")=0,"n/a",G140/-SUMIF(H129:AQ129,"&lt;0"))</f>
        <v>0.55250143078438896</v>
      </c>
    </row>
    <row r="144" spans="3:43" x14ac:dyDescent="0.25">
      <c r="C144" t="s">
        <v>1301</v>
      </c>
      <c r="D144" t="s">
        <v>125</v>
      </c>
      <c r="G144" s="274">
        <f>G129</f>
        <v>389123.5611948861</v>
      </c>
    </row>
    <row r="145" spans="3:7" x14ac:dyDescent="0.25">
      <c r="C145" t="s">
        <v>1302</v>
      </c>
      <c r="D145" t="s">
        <v>169</v>
      </c>
      <c r="G145" s="274">
        <f>G144*Inputs!$E$11/1000</f>
        <v>142030.09983613342</v>
      </c>
    </row>
    <row r="146" spans="3:7" x14ac:dyDescent="0.25">
      <c r="C146" t="s">
        <v>1303</v>
      </c>
      <c r="D146" t="s">
        <v>125</v>
      </c>
      <c r="G146" s="274">
        <f>-MIN(H130:AQ130)</f>
        <v>81823.694950195815</v>
      </c>
    </row>
    <row r="147" spans="3:7" x14ac:dyDescent="0.25">
      <c r="C147" t="s">
        <v>1304</v>
      </c>
      <c r="D147" t="s">
        <v>7</v>
      </c>
      <c r="G147" s="259">
        <f>IFERROR(SUMIF(H129:AQ129,"&gt;0")/-SUMIF(H129:AQ129,"&lt;0"),"n/a")</f>
        <v>5.7556341892374405</v>
      </c>
    </row>
    <row r="148" spans="3:7" x14ac:dyDescent="0.25">
      <c r="C148" t="s">
        <v>1305</v>
      </c>
      <c r="D148" t="s">
        <v>5</v>
      </c>
      <c r="G148" s="275">
        <f t="array" ref="G148">IFERROR(INDEX(H5:AQ5,MATCH(TRUE(),INDEX(H124:AQ124&gt;0,0),0)),"n/a")</f>
        <v>2038</v>
      </c>
    </row>
    <row r="149" spans="3:7" x14ac:dyDescent="0.25">
      <c r="C149" t="s">
        <v>640</v>
      </c>
      <c r="D149" t="s">
        <v>125</v>
      </c>
      <c r="G149" s="274">
        <f>-G30</f>
        <v>164787.24829315074</v>
      </c>
    </row>
    <row r="150" spans="3:7" x14ac:dyDescent="0.25">
      <c r="C150" t="s">
        <v>1216</v>
      </c>
      <c r="D150" t="s">
        <v>11</v>
      </c>
      <c r="G150" s="276">
        <f>G32</f>
        <v>1212.562533430101</v>
      </c>
    </row>
    <row r="151" spans="3:7" x14ac:dyDescent="0.25">
      <c r="C151" t="s">
        <v>127</v>
      </c>
      <c r="D151" t="s">
        <v>116</v>
      </c>
      <c r="G151" s="276">
        <f>G38</f>
        <v>9196.7603269539395</v>
      </c>
    </row>
    <row r="152" spans="3:7" x14ac:dyDescent="0.25">
      <c r="C152" t="s">
        <v>1306</v>
      </c>
      <c r="D152" t="s">
        <v>125</v>
      </c>
      <c r="G152" s="274">
        <f>G54</f>
        <v>966480.66236071114</v>
      </c>
    </row>
    <row r="153" spans="3:7" x14ac:dyDescent="0.25">
      <c r="C153" t="s">
        <v>1307</v>
      </c>
      <c r="D153" t="s">
        <v>250</v>
      </c>
      <c r="G153" s="277">
        <f>G49</f>
        <v>105.08925186711041</v>
      </c>
    </row>
    <row r="154" spans="3:7" x14ac:dyDescent="0.25">
      <c r="C154" t="s">
        <v>1308</v>
      </c>
      <c r="D154" t="s">
        <v>51</v>
      </c>
      <c r="G154" s="260">
        <f>G71</f>
        <v>0.70822620742909304</v>
      </c>
    </row>
    <row r="155" spans="3:7" x14ac:dyDescent="0.25">
      <c r="C155" t="s">
        <v>186</v>
      </c>
      <c r="D155" t="s">
        <v>7</v>
      </c>
      <c r="G155" s="259">
        <f>G126</f>
        <v>2.4706043126325246</v>
      </c>
    </row>
    <row r="156" spans="3:7" x14ac:dyDescent="0.25">
      <c r="C156" t="s">
        <v>1309</v>
      </c>
      <c r="D156" t="s">
        <v>250</v>
      </c>
      <c r="G156" s="277">
        <f>IFERROR(-(SUMPRODUCT(H104:AQ104,H12:AQ12)+SUMPRODUCT(H105:AQ105,H12:AQ12)+SUMPRODUCT(H69:AQ69,H12:AQ12)+SUMPRODUCT(H107:AQ107,H12:AQ12))/SUMPRODUCT(H38:AQ38,H12:AQ12),"n/a")</f>
        <v>79.546514385963206</v>
      </c>
    </row>
    <row r="157" spans="3:7" x14ac:dyDescent="0.25">
      <c r="C157" t="s">
        <v>1310</v>
      </c>
      <c r="D157" t="s">
        <v>125</v>
      </c>
      <c r="G157" s="274">
        <f>G77+G79-$G$369</f>
        <v>86869.179564321428</v>
      </c>
    </row>
    <row r="158" spans="3:7" x14ac:dyDescent="0.25">
      <c r="C158" t="s">
        <v>1311</v>
      </c>
      <c r="D158" t="s">
        <v>194</v>
      </c>
      <c r="G158" s="278" t="str">
        <f>IF(ABS($G$371)&lt;0.01,"OK","CHECK")</f>
        <v>OK</v>
      </c>
    </row>
    <row r="159" spans="3:7" x14ac:dyDescent="0.25">
      <c r="C159" t="s">
        <v>1312</v>
      </c>
      <c r="D159" t="s">
        <v>125</v>
      </c>
      <c r="G159" s="274">
        <f>-G22</f>
        <v>3997.5091278858845</v>
      </c>
    </row>
    <row r="160" spans="3:7" x14ac:dyDescent="0.25">
      <c r="C160" t="s">
        <v>1313</v>
      </c>
      <c r="D160" t="s">
        <v>125</v>
      </c>
      <c r="G160" s="274">
        <f>Inputs!$E$231*MOIC!$G$143</f>
        <v>3319.7624999999998</v>
      </c>
    </row>
    <row r="162" spans="3:43" x14ac:dyDescent="0.25">
      <c r="C162" s="129" t="s">
        <v>1314</v>
      </c>
      <c r="D162" s="129"/>
      <c r="E162" s="129"/>
      <c r="F162" s="129"/>
      <c r="G162" s="129"/>
      <c r="H162" s="129"/>
      <c r="I162" s="129"/>
      <c r="J162" s="129"/>
      <c r="K162" s="129"/>
      <c r="L162" s="129"/>
      <c r="M162" s="129"/>
      <c r="N162" s="129"/>
      <c r="O162" s="129"/>
      <c r="P162" s="129"/>
      <c r="Q162" s="129"/>
      <c r="R162" s="129"/>
      <c r="S162" s="129"/>
      <c r="T162" s="129"/>
      <c r="U162" s="129"/>
      <c r="V162" s="129"/>
      <c r="W162" s="129"/>
      <c r="X162" s="129"/>
      <c r="Y162" s="129"/>
      <c r="Z162" s="129"/>
      <c r="AA162" s="129"/>
      <c r="AB162" s="129"/>
      <c r="AC162" s="129"/>
      <c r="AD162" s="129"/>
      <c r="AE162" s="129"/>
      <c r="AF162" s="129"/>
      <c r="AG162" s="129"/>
      <c r="AH162" s="129"/>
      <c r="AI162" s="129"/>
      <c r="AJ162" s="129"/>
      <c r="AK162" s="129"/>
      <c r="AL162" s="129"/>
      <c r="AM162" s="129"/>
      <c r="AN162" s="129"/>
      <c r="AO162" s="129"/>
      <c r="AP162" s="129"/>
      <c r="AQ162" s="129"/>
    </row>
    <row r="163" spans="3:43" x14ac:dyDescent="0.25">
      <c r="C163" t="s">
        <v>1315</v>
      </c>
      <c r="D163" t="s">
        <v>194</v>
      </c>
      <c r="G163" s="198" t="str">
        <f>IF(AND(Inputs!$E$242="OK",Inputs!$E$243="OK"),IF(Inputs!$E$155&lt;=Inputs!$E$101,"OK","OK – "&amp;ROUND((Inputs!$E$155-Inputs!$E$101)/30.44,0)&amp;" months after target COD"),"CHECK – outside tender window")</f>
        <v>OK – 6 months after target COD</v>
      </c>
    </row>
    <row r="164" spans="3:43" x14ac:dyDescent="0.25">
      <c r="C164" t="s">
        <v>1316</v>
      </c>
      <c r="D164" t="s">
        <v>194</v>
      </c>
      <c r="G164" s="198" t="str">
        <f>Inputs!$E$159</f>
        <v>OK</v>
      </c>
    </row>
    <row r="165" spans="3:43" x14ac:dyDescent="0.25">
      <c r="C165" t="s">
        <v>1317</v>
      </c>
      <c r="D165" t="s">
        <v>194</v>
      </c>
      <c r="G165" s="198" t="str">
        <f>IF(ABS(G7-1)&lt;0.0001,"OK","FAIL")</f>
        <v>OK</v>
      </c>
    </row>
    <row r="166" spans="3:43" x14ac:dyDescent="0.25">
      <c r="C166" t="s">
        <v>1318</v>
      </c>
      <c r="D166" t="s">
        <v>194</v>
      </c>
      <c r="G166" s="198" t="str">
        <f>IF(ABS(-G27-E27)&lt;0.01,"OK","FAIL")</f>
        <v>OK</v>
      </c>
    </row>
    <row r="167" spans="3:43" x14ac:dyDescent="0.25">
      <c r="C167" t="s">
        <v>1319</v>
      </c>
      <c r="D167" t="s">
        <v>194</v>
      </c>
      <c r="G167" s="198" t="str">
        <f>G158</f>
        <v>OK</v>
      </c>
    </row>
    <row r="168" spans="3:43" x14ac:dyDescent="0.25">
      <c r="C168" t="s">
        <v>1320</v>
      </c>
      <c r="D168" t="s">
        <v>194</v>
      </c>
      <c r="G168" s="198" t="str">
        <f>IF(MIN(H96:AQ96)&gt;=-0.01,"OK","FAIL")</f>
        <v>OK</v>
      </c>
    </row>
    <row r="169" spans="3:43" x14ac:dyDescent="0.25">
      <c r="C169" t="s">
        <v>1321</v>
      </c>
      <c r="D169" t="s">
        <v>194</v>
      </c>
      <c r="G169" s="198" t="str">
        <f>IF(G46=0,"OK","FALLBACK USED – "&amp;G46&amp;" years")</f>
        <v>OK</v>
      </c>
    </row>
    <row r="170" spans="3:43" x14ac:dyDescent="0.25">
      <c r="C170" t="s">
        <v>1322</v>
      </c>
      <c r="D170" t="s">
        <v>194</v>
      </c>
      <c r="G170" s="198" t="str">
        <f>IF(AND(ABS(-(G16+G17+G18+G28)-(MOIC!$G$18+MOIC!$G$20+Inputs!$E$24+Inputs!$E$25+SUMPRODUCT(Deposits!$M$7:$M$18,Deposits!$P$7:$P$18)))&lt;0.01,-G23&gt;=MOIC!$G$79-0.01),"OK",IF(Inputs!$E$228=0,"n/a – dev costs excluded","FAIL"))</f>
        <v>OK</v>
      </c>
    </row>
    <row r="171" spans="3:43" x14ac:dyDescent="0.25">
      <c r="C171" t="s">
        <v>1323</v>
      </c>
      <c r="D171" t="s">
        <v>194</v>
      </c>
      <c r="G171" s="198" t="str">
        <f>IF(ABS(G123-(G109+G77+G85-G80+G86-G87+G89+G100))&lt;0.01,"OK","FAIL")</f>
        <v>OK</v>
      </c>
    </row>
    <row r="172" spans="3:43" x14ac:dyDescent="0.25">
      <c r="C172" t="s">
        <v>1324</v>
      </c>
      <c r="D172" t="s">
        <v>194</v>
      </c>
      <c r="G172" s="198" t="str">
        <f>IF(COUNTIF(G163:G171,"OK*")+COUNTIF(G163:G171,"n/a*")=9,"ALL OK","REVIEW")</f>
        <v>ALL OK</v>
      </c>
    </row>
    <row r="175" spans="3:43" x14ac:dyDescent="0.25">
      <c r="C175" s="129" t="s">
        <v>1325</v>
      </c>
      <c r="D175" s="129"/>
      <c r="E175" s="129"/>
      <c r="F175" s="129"/>
      <c r="G175" s="129"/>
      <c r="H175" s="129"/>
      <c r="I175" s="129"/>
      <c r="J175" s="129"/>
      <c r="K175" s="129"/>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row>
    <row r="176" spans="3:43" x14ac:dyDescent="0.25">
      <c r="C176" s="198" t="s">
        <v>1326</v>
      </c>
      <c r="D176" t="s">
        <v>7</v>
      </c>
    </row>
    <row r="177" spans="3:43" x14ac:dyDescent="0.25">
      <c r="C177" s="246" t="s">
        <v>1327</v>
      </c>
      <c r="D177" s="246" t="s">
        <v>1328</v>
      </c>
      <c r="E177" s="246" t="s">
        <v>1329</v>
      </c>
      <c r="F177" s="246" t="s">
        <v>1330</v>
      </c>
      <c r="G177" s="246" t="s">
        <v>1331</v>
      </c>
      <c r="H177" s="250"/>
      <c r="I177" s="250"/>
      <c r="J177" s="250"/>
      <c r="K177" s="250"/>
      <c r="L177" s="250"/>
      <c r="M177" s="250"/>
      <c r="N177" s="250"/>
      <c r="O177" s="250"/>
      <c r="P177" s="250"/>
      <c r="Q177" s="250"/>
      <c r="R177" s="250"/>
      <c r="S177" s="250"/>
      <c r="T177" s="250"/>
      <c r="U177" s="250"/>
      <c r="V177" s="250"/>
      <c r="W177" s="250"/>
      <c r="X177" s="250"/>
      <c r="Y177" s="250"/>
      <c r="Z177" s="250"/>
      <c r="AA177" s="250"/>
      <c r="AB177" s="250"/>
      <c r="AC177" s="250"/>
      <c r="AD177" s="250"/>
      <c r="AE177" s="250"/>
      <c r="AF177" s="250"/>
      <c r="AG177" s="250"/>
      <c r="AH177" s="250"/>
      <c r="AI177" s="250"/>
      <c r="AJ177" s="250"/>
      <c r="AK177" s="250"/>
      <c r="AL177" s="250"/>
      <c r="AM177" s="250"/>
      <c r="AN177" s="250"/>
      <c r="AO177" s="250"/>
      <c r="AP177" s="250"/>
      <c r="AQ177" s="250"/>
    </row>
    <row r="178" spans="3:43" x14ac:dyDescent="0.25">
      <c r="C178" t="s">
        <v>1332</v>
      </c>
      <c r="D178" s="29">
        <f>Dashboard!$E$141</f>
        <v>0.7</v>
      </c>
      <c r="E178" s="173">
        <f t="shared" ref="E178:E184" si="74">$G$153*D178</f>
        <v>73.562476306977274</v>
      </c>
      <c r="F178" s="134">
        <f t="shared" ref="F178:F184" si="75">IFERROR(IRR(H178:AQ178),"n/a")</f>
        <v>6.2489203499883628E-2</v>
      </c>
      <c r="G178" s="139">
        <f t="shared" ref="G178:G184" si="76">SUMPRODUCT(H178:AQ178,$H$12:$AQ$12)</f>
        <v>-21540.162029697374</v>
      </c>
      <c r="H178" s="139">
        <f>H$109+H$54*($D178-1)*(1-Inputs!$E$198-Inputs!$E$212)</f>
        <v>-1570.6176490188818</v>
      </c>
      <c r="I178" s="139">
        <f>I$109+I$54*($D178-1)*(1-Inputs!$E$198-Inputs!$E$212)</f>
        <v>-778.73814328026663</v>
      </c>
      <c r="J178" s="139">
        <f>J$109+J$54*($D178-1)*(1-Inputs!$E$198-Inputs!$E$212)</f>
        <v>-1227.4381311822531</v>
      </c>
      <c r="K178" s="139">
        <f>K$109+K$54*($D178-1)*(1-Inputs!$E$198-Inputs!$E$212)</f>
        <v>-59551.851467082692</v>
      </c>
      <c r="L178" s="139">
        <f>L$109+L$54*($D178-1)*(1-Inputs!$E$198-Inputs!$E$212)</f>
        <v>-70920.329005178777</v>
      </c>
      <c r="M178" s="139">
        <f>M$109+M$54*($D178-1)*(1-Inputs!$E$198-Inputs!$E$212)</f>
        <v>-30640.591905093264</v>
      </c>
      <c r="N178" s="139">
        <f>N$109+N$54*($D178-1)*(1-Inputs!$E$198-Inputs!$E$212)</f>
        <v>13493.694498480001</v>
      </c>
      <c r="O178" s="139">
        <f>O$109+O$54*($D178-1)*(1-Inputs!$E$198-Inputs!$E$212)</f>
        <v>13504.199480327503</v>
      </c>
      <c r="P178" s="139">
        <f>P$109+P$54*($D178-1)*(1-Inputs!$E$198-Inputs!$E$212)</f>
        <v>13512.500439839818</v>
      </c>
      <c r="Q178" s="139">
        <f>Q$109+Q$54*($D178-1)*(1-Inputs!$E$198-Inputs!$E$212)</f>
        <v>13518.52762124561</v>
      </c>
      <c r="R178" s="139">
        <f>R$109+R$54*($D178-1)*(1-Inputs!$E$198-Inputs!$E$212)</f>
        <v>13522.209458346588</v>
      </c>
      <c r="S178" s="139">
        <f>S$109+S$54*($D178-1)*(1-Inputs!$E$198-Inputs!$E$212)</f>
        <v>13523.472529634008</v>
      </c>
      <c r="T178" s="139">
        <f>T$109+T$54*($D178-1)*(1-Inputs!$E$198-Inputs!$E$212)</f>
        <v>13522.241512303919</v>
      </c>
      <c r="U178" s="139">
        <f>U$109+U$54*($D178-1)*(1-Inputs!$E$198-Inputs!$E$212)</f>
        <v>13518.439135144352</v>
      </c>
      <c r="V178" s="139">
        <f>V$109+V$54*($D178-1)*(1-Inputs!$E$198-Inputs!$E$212)</f>
        <v>13511.986130266432</v>
      </c>
      <c r="W178" s="139">
        <f>W$109+W$54*($D178-1)*(1-Inputs!$E$198-Inputs!$E$212)</f>
        <v>13502.801183651614</v>
      </c>
      <c r="X178" s="139">
        <f>X$109+X$54*($D178-1)*(1-Inputs!$E$198-Inputs!$E$212)</f>
        <v>13490.800884485554</v>
      </c>
      <c r="Y178" s="139">
        <f>Y$109+Y$54*($D178-1)*(1-Inputs!$E$198-Inputs!$E$212)</f>
        <v>13475.899673249158</v>
      </c>
      <c r="Z178" s="139">
        <f>Z$109+Z$54*($D178-1)*(1-Inputs!$E$198-Inputs!$E$212)</f>
        <v>13458.009788536227</v>
      </c>
      <c r="AA178" s="139">
        <f>AA$109+AA$54*($D178-1)*(1-Inputs!$E$198-Inputs!$E$212)</f>
        <v>13437.041212566533</v>
      </c>
      <c r="AB178" s="139">
        <f>AB$109+AB$54*($D178-1)*(1-Inputs!$E$198-Inputs!$E$212)</f>
        <v>13412.901615362391</v>
      </c>
      <c r="AC178" s="139">
        <f>AC$109+AC$54*($D178-1)*(1-Inputs!$E$198-Inputs!$E$212)</f>
        <v>13385.496297555861</v>
      </c>
      <c r="AD178" s="139">
        <f>AD$109+AD$54*($D178-1)*(1-Inputs!$E$198-Inputs!$E$212)</f>
        <v>13354.728131793105</v>
      </c>
      <c r="AE178" s="139">
        <f>AE$109+AE$54*($D178-1)*(1-Inputs!$E$198-Inputs!$E$212)</f>
        <v>13320.497502701524</v>
      </c>
      <c r="AF178" s="139">
        <f>AF$109+AF$54*($D178-1)*(1-Inputs!$E$198-Inputs!$E$212)</f>
        <v>13282.702245384362</v>
      </c>
      <c r="AG178" s="139">
        <f>AG$109+AG$54*($D178-1)*(1-Inputs!$E$198-Inputs!$E$212)</f>
        <v>13241.237582406762</v>
      </c>
      <c r="AH178" s="139">
        <f>AH$109+AH$54*($D178-1)*(1-Inputs!$E$198-Inputs!$E$212)</f>
        <v>13195.996059236213</v>
      </c>
      <c r="AI178" s="139">
        <f>AI$109+AI$54*($D178-1)*(1-Inputs!$E$198-Inputs!$E$212)</f>
        <v>13146.867478099666</v>
      </c>
      <c r="AJ178" s="139">
        <f>AJ$109+AJ$54*($D178-1)*(1-Inputs!$E$198-Inputs!$E$212)</f>
        <v>13093.738830218204</v>
      </c>
      <c r="AK178" s="139">
        <f>AK$109+AK$54*($D178-1)*(1-Inputs!$E$198-Inputs!$E$212)</f>
        <v>13036.494226379866</v>
      </c>
      <c r="AL178" s="139">
        <f>AL$109+AL$54*($D178-1)*(1-Inputs!$E$198-Inputs!$E$212)</f>
        <v>12975.014825809518</v>
      </c>
      <c r="AM178" s="139">
        <f>AM$109+AM$54*($D178-1)*(1-Inputs!$E$198-Inputs!$E$212)</f>
        <v>12909.178763294311</v>
      </c>
      <c r="AN178" s="139">
        <f>AN$109+AN$54*($D178-1)*(1-Inputs!$E$198-Inputs!$E$212)</f>
        <v>12838.861074521767</v>
      </c>
      <c r="AO178" s="139">
        <f>AO$109+AO$54*($D178-1)*(1-Inputs!$E$198-Inputs!$E$212)</f>
        <v>12763.933619586793</v>
      </c>
      <c r="AP178" s="139">
        <f>AP$109+AP$54*($D178-1)*(1-Inputs!$E$198-Inputs!$E$212)</f>
        <v>12684.265004622546</v>
      </c>
      <c r="AQ178" s="139">
        <f>AQ$109+AQ$54*($D178-1)*(1-Inputs!$E$198-Inputs!$E$212)</f>
        <v>2222.8602507547139</v>
      </c>
    </row>
    <row r="179" spans="3:43" x14ac:dyDescent="0.25">
      <c r="C179" t="s">
        <v>1333</v>
      </c>
      <c r="D179" s="29">
        <f>Dashboard!$F$141</f>
        <v>0.8</v>
      </c>
      <c r="E179" s="173">
        <f t="shared" si="74"/>
        <v>84.071401493688327</v>
      </c>
      <c r="F179" s="134">
        <f t="shared" si="75"/>
        <v>8.2190888604007473E-2</v>
      </c>
      <c r="G179" s="139">
        <f t="shared" si="76"/>
        <v>2838.3428472863416</v>
      </c>
      <c r="H179" s="139">
        <f>H$109+H$54*($D179-1)*(1-Inputs!$E$198-Inputs!$E$212)</f>
        <v>-1570.6176490188818</v>
      </c>
      <c r="I179" s="139">
        <f>I$109+I$54*($D179-1)*(1-Inputs!$E$198-Inputs!$E$212)</f>
        <v>-778.73814328026663</v>
      </c>
      <c r="J179" s="139">
        <f>J$109+J$54*($D179-1)*(1-Inputs!$E$198-Inputs!$E$212)</f>
        <v>-1227.4381311822531</v>
      </c>
      <c r="K179" s="139">
        <f>K$109+K$54*($D179-1)*(1-Inputs!$E$198-Inputs!$E$212)</f>
        <v>-59551.851467082692</v>
      </c>
      <c r="L179" s="139">
        <f>L$109+L$54*($D179-1)*(1-Inputs!$E$198-Inputs!$E$212)</f>
        <v>-70920.329005178777</v>
      </c>
      <c r="M179" s="139">
        <f>M$109+M$54*($D179-1)*(1-Inputs!$E$198-Inputs!$E$212)</f>
        <v>-28829.765338578938</v>
      </c>
      <c r="N179" s="139">
        <f>N$109+N$54*($D179-1)*(1-Inputs!$E$198-Inputs!$E$212)</f>
        <v>16338.177541728004</v>
      </c>
      <c r="O179" s="139">
        <f>O$109+O$54*($D179-1)*(1-Inputs!$E$198-Inputs!$E$212)</f>
        <v>16368.508570386944</v>
      </c>
      <c r="P179" s="139">
        <f>P$109+P$54*($D179-1)*(1-Inputs!$E$198-Inputs!$E$212)</f>
        <v>16396.77376425697</v>
      </c>
      <c r="Q179" s="139">
        <f>Q$109+Q$54*($D179-1)*(1-Inputs!$E$198-Inputs!$E$212)</f>
        <v>16422.904330733953</v>
      </c>
      <c r="R179" s="139">
        <f>R$109+R$54*($D179-1)*(1-Inputs!$E$198-Inputs!$E$212)</f>
        <v>16446.829673500062</v>
      </c>
      <c r="S179" s="139">
        <f>S$109+S$54*($D179-1)*(1-Inputs!$E$198-Inputs!$E$212)</f>
        <v>16468.477347687105</v>
      </c>
      <c r="T179" s="139">
        <f>T$109+T$54*($D179-1)*(1-Inputs!$E$198-Inputs!$E$212)</f>
        <v>16487.773013938844</v>
      </c>
      <c r="U179" s="139">
        <f>U$109+U$54*($D179-1)*(1-Inputs!$E$198-Inputs!$E$212)</f>
        <v>16504.640391345674</v>
      </c>
      <c r="V179" s="139">
        <f>V$109+V$54*($D179-1)*(1-Inputs!$E$198-Inputs!$E$212)</f>
        <v>16519.001209223479</v>
      </c>
      <c r="W179" s="139">
        <f>W$109+W$54*($D179-1)*(1-Inputs!$E$198-Inputs!$E$212)</f>
        <v>16530.775157708991</v>
      </c>
      <c r="X179" s="139">
        <f>X$109+X$54*($D179-1)*(1-Inputs!$E$198-Inputs!$E$212)</f>
        <v>16539.879837142107</v>
      </c>
      <c r="Y179" s="139">
        <f>Y$109+Y$54*($D179-1)*(1-Inputs!$E$198-Inputs!$E$212)</f>
        <v>16546.23070620573</v>
      </c>
      <c r="Z179" s="139">
        <f>Z$109+Z$54*($D179-1)*(1-Inputs!$E$198-Inputs!$E$212)</f>
        <v>16549.741028792509</v>
      </c>
      <c r="AA179" s="139">
        <f>AA$109+AA$54*($D179-1)*(1-Inputs!$E$198-Inputs!$E$212)</f>
        <v>16550.321819567398</v>
      </c>
      <c r="AB179" s="139">
        <f>AB$109+AB$54*($D179-1)*(1-Inputs!$E$198-Inputs!$E$212)</f>
        <v>16547.881788194052</v>
      </c>
      <c r="AC179" s="139">
        <f>AC$109+AC$54*($D179-1)*(1-Inputs!$E$198-Inputs!$E$212)</f>
        <v>16542.32728219216</v>
      </c>
      <c r="AD179" s="139">
        <f>AD$109+AD$54*($D179-1)*(1-Inputs!$E$198-Inputs!$E$212)</f>
        <v>16533.562228392322</v>
      </c>
      <c r="AE179" s="139">
        <f>AE$109+AE$54*($D179-1)*(1-Inputs!$E$198-Inputs!$E$212)</f>
        <v>16521.488072954035</v>
      </c>
      <c r="AF179" s="139">
        <f>AF$109+AF$54*($D179-1)*(1-Inputs!$E$198-Inputs!$E$212)</f>
        <v>16506.003719911532</v>
      </c>
      <c r="AG179" s="139">
        <f>AG$109+AG$54*($D179-1)*(1-Inputs!$E$198-Inputs!$E$212)</f>
        <v>16487.005468211388</v>
      </c>
      <c r="AH179" s="139">
        <f>AH$109+AH$54*($D179-1)*(1-Inputs!$E$198-Inputs!$E$212)</f>
        <v>16464.386947204897</v>
      </c>
      <c r="AI179" s="139">
        <f>AI$109+AI$54*($D179-1)*(1-Inputs!$E$198-Inputs!$E$212)</f>
        <v>16438.039050557491</v>
      </c>
      <c r="AJ179" s="139">
        <f>AJ$109+AJ$54*($D179-1)*(1-Inputs!$E$198-Inputs!$E$212)</f>
        <v>16407.849868536061</v>
      </c>
      <c r="AK179" s="139">
        <f>AK$109+AK$54*($D179-1)*(1-Inputs!$E$198-Inputs!$E$212)</f>
        <v>16373.704618634798</v>
      </c>
      <c r="AL179" s="139">
        <f>AL$109+AL$54*($D179-1)*(1-Inputs!$E$198-Inputs!$E$212)</f>
        <v>16335.485574498467</v>
      </c>
      <c r="AM179" s="139">
        <f>AM$109+AM$54*($D179-1)*(1-Inputs!$E$198-Inputs!$E$212)</f>
        <v>16293.071993101623</v>
      </c>
      <c r="AN179" s="139">
        <f>AN$109+AN$54*($D179-1)*(1-Inputs!$E$198-Inputs!$E$212)</f>
        <v>16246.340040140834</v>
      </c>
      <c r="AO179" s="139">
        <f>AO$109+AO$54*($D179-1)*(1-Inputs!$E$198-Inputs!$E$212)</f>
        <v>16195.162713596226</v>
      </c>
      <c r="AP179" s="139">
        <f>AP$109+AP$54*($D179-1)*(1-Inputs!$E$198-Inputs!$E$212)</f>
        <v>16139.409765417224</v>
      </c>
      <c r="AQ179" s="139">
        <f>AQ$109+AQ$54*($D179-1)*(1-Inputs!$E$198-Inputs!$E$212)</f>
        <v>3962.4738106434224</v>
      </c>
    </row>
    <row r="180" spans="3:43" x14ac:dyDescent="0.25">
      <c r="C180" t="s">
        <v>1334</v>
      </c>
      <c r="D180" s="29">
        <f>Dashboard!$G$141</f>
        <v>0.9</v>
      </c>
      <c r="E180" s="173">
        <f t="shared" si="74"/>
        <v>94.580326680399367</v>
      </c>
      <c r="F180" s="134">
        <f t="shared" si="75"/>
        <v>0.10016417378554476</v>
      </c>
      <c r="G180" s="139">
        <f t="shared" si="76"/>
        <v>27216.847724270014</v>
      </c>
      <c r="H180" s="139">
        <f>H$109+H$54*($D180-1)*(1-Inputs!$E$198-Inputs!$E$212)</f>
        <v>-1570.6176490188818</v>
      </c>
      <c r="I180" s="139">
        <f>I$109+I$54*($D180-1)*(1-Inputs!$E$198-Inputs!$E$212)</f>
        <v>-778.73814328026663</v>
      </c>
      <c r="J180" s="139">
        <f>J$109+J$54*($D180-1)*(1-Inputs!$E$198-Inputs!$E$212)</f>
        <v>-1227.4381311822531</v>
      </c>
      <c r="K180" s="139">
        <f>K$109+K$54*($D180-1)*(1-Inputs!$E$198-Inputs!$E$212)</f>
        <v>-59551.851467082692</v>
      </c>
      <c r="L180" s="139">
        <f>L$109+L$54*($D180-1)*(1-Inputs!$E$198-Inputs!$E$212)</f>
        <v>-70920.329005178777</v>
      </c>
      <c r="M180" s="139">
        <f>M$109+M$54*($D180-1)*(1-Inputs!$E$198-Inputs!$E$212)</f>
        <v>-27018.938772064615</v>
      </c>
      <c r="N180" s="139">
        <f>N$109+N$54*($D180-1)*(1-Inputs!$E$198-Inputs!$E$212)</f>
        <v>19182.660584976002</v>
      </c>
      <c r="O180" s="139">
        <f>O$109+O$54*($D180-1)*(1-Inputs!$E$198-Inputs!$E$212)</f>
        <v>19232.817660446381</v>
      </c>
      <c r="P180" s="139">
        <f>P$109+P$54*($D180-1)*(1-Inputs!$E$198-Inputs!$E$212)</f>
        <v>19281.047088674124</v>
      </c>
      <c r="Q180" s="139">
        <f>Q$109+Q$54*($D180-1)*(1-Inputs!$E$198-Inputs!$E$212)</f>
        <v>19327.281040222293</v>
      </c>
      <c r="R180" s="139">
        <f>R$109+R$54*($D180-1)*(1-Inputs!$E$198-Inputs!$E$212)</f>
        <v>19371.449888653537</v>
      </c>
      <c r="S180" s="139">
        <f>S$109+S$54*($D180-1)*(1-Inputs!$E$198-Inputs!$E$212)</f>
        <v>19413.482165740199</v>
      </c>
      <c r="T180" s="139">
        <f>T$109+T$54*($D180-1)*(1-Inputs!$E$198-Inputs!$E$212)</f>
        <v>19453.304515573767</v>
      </c>
      <c r="U180" s="139">
        <f>U$109+U$54*($D180-1)*(1-Inputs!$E$198-Inputs!$E$212)</f>
        <v>19490.841647546993</v>
      </c>
      <c r="V180" s="139">
        <f>V$109+V$54*($D180-1)*(1-Inputs!$E$198-Inputs!$E$212)</f>
        <v>19526.016288180519</v>
      </c>
      <c r="W180" s="139">
        <f>W$109+W$54*($D180-1)*(1-Inputs!$E$198-Inputs!$E$212)</f>
        <v>19558.749131766366</v>
      </c>
      <c r="X180" s="139">
        <f>X$109+X$54*($D180-1)*(1-Inputs!$E$198-Inputs!$E$212)</f>
        <v>19588.95878979866</v>
      </c>
      <c r="Y180" s="139">
        <f>Y$109+Y$54*($D180-1)*(1-Inputs!$E$198-Inputs!$E$212)</f>
        <v>19616.561739162298</v>
      </c>
      <c r="Z180" s="139">
        <f>Z$109+Z$54*($D180-1)*(1-Inputs!$E$198-Inputs!$E$212)</f>
        <v>19641.472269048783</v>
      </c>
      <c r="AA180" s="139">
        <f>AA$109+AA$54*($D180-1)*(1-Inputs!$E$198-Inputs!$E$212)</f>
        <v>19663.602426568261</v>
      </c>
      <c r="AB180" s="139">
        <f>AB$109+AB$54*($D180-1)*(1-Inputs!$E$198-Inputs!$E$212)</f>
        <v>19682.861961025708</v>
      </c>
      <c r="AC180" s="139">
        <f>AC$109+AC$54*($D180-1)*(1-Inputs!$E$198-Inputs!$E$212)</f>
        <v>19699.158266828454</v>
      </c>
      <c r="AD180" s="139">
        <f>AD$109+AD$54*($D180-1)*(1-Inputs!$E$198-Inputs!$E$212)</f>
        <v>19712.396324991532</v>
      </c>
      <c r="AE180" s="139">
        <f>AE$109+AE$54*($D180-1)*(1-Inputs!$E$198-Inputs!$E$212)</f>
        <v>19722.478643206545</v>
      </c>
      <c r="AF180" s="139">
        <f>AF$109+AF$54*($D180-1)*(1-Inputs!$E$198-Inputs!$E$212)</f>
        <v>19729.305194438697</v>
      </c>
      <c r="AG180" s="139">
        <f>AG$109+AG$54*($D180-1)*(1-Inputs!$E$198-Inputs!$E$212)</f>
        <v>19732.773354016012</v>
      </c>
      <c r="AH180" s="139">
        <f>AH$109+AH$54*($D180-1)*(1-Inputs!$E$198-Inputs!$E$212)</f>
        <v>19732.777835173576</v>
      </c>
      <c r="AI180" s="139">
        <f>AI$109+AI$54*($D180-1)*(1-Inputs!$E$198-Inputs!$E$212)</f>
        <v>19729.210623015315</v>
      </c>
      <c r="AJ180" s="139">
        <f>AJ$109+AJ$54*($D180-1)*(1-Inputs!$E$198-Inputs!$E$212)</f>
        <v>19721.960906853914</v>
      </c>
      <c r="AK180" s="139">
        <f>AK$109+AK$54*($D180-1)*(1-Inputs!$E$198-Inputs!$E$212)</f>
        <v>19710.915010889727</v>
      </c>
      <c r="AL180" s="139">
        <f>AL$109+AL$54*($D180-1)*(1-Inputs!$E$198-Inputs!$E$212)</f>
        <v>19695.956323187413</v>
      </c>
      <c r="AM180" s="139">
        <f>AM$109+AM$54*($D180-1)*(1-Inputs!$E$198-Inputs!$E$212)</f>
        <v>19676.96522290893</v>
      </c>
      <c r="AN180" s="139">
        <f>AN$109+AN$54*($D180-1)*(1-Inputs!$E$198-Inputs!$E$212)</f>
        <v>19653.819005759899</v>
      </c>
      <c r="AO180" s="139">
        <f>AO$109+AO$54*($D180-1)*(1-Inputs!$E$198-Inputs!$E$212)</f>
        <v>19626.391807605654</v>
      </c>
      <c r="AP180" s="139">
        <f>AP$109+AP$54*($D180-1)*(1-Inputs!$E$198-Inputs!$E$212)</f>
        <v>19594.554526211898</v>
      </c>
      <c r="AQ180" s="139">
        <f>AQ$109+AQ$54*($D180-1)*(1-Inputs!$E$198-Inputs!$E$212)</f>
        <v>5702.0873705321301</v>
      </c>
    </row>
    <row r="181" spans="3:43" x14ac:dyDescent="0.25">
      <c r="C181" s="279" t="s">
        <v>1335</v>
      </c>
      <c r="D181" s="190">
        <f>Dashboard!$H$141</f>
        <v>1</v>
      </c>
      <c r="E181" s="188">
        <f t="shared" si="74"/>
        <v>105.08925186711041</v>
      </c>
      <c r="F181" s="170">
        <f t="shared" si="75"/>
        <v>0.11696131948899646</v>
      </c>
      <c r="G181" s="280">
        <f t="shared" si="76"/>
        <v>51595.352601253711</v>
      </c>
      <c r="H181" s="139">
        <f>H$109+H$54*($D181-1)*(1-Inputs!$E$198-Inputs!$E$212)</f>
        <v>-1570.6176490188818</v>
      </c>
      <c r="I181" s="139">
        <f>I$109+I$54*($D181-1)*(1-Inputs!$E$198-Inputs!$E$212)</f>
        <v>-778.73814328026663</v>
      </c>
      <c r="J181" s="139">
        <f>J$109+J$54*($D181-1)*(1-Inputs!$E$198-Inputs!$E$212)</f>
        <v>-1227.4381311822531</v>
      </c>
      <c r="K181" s="139">
        <f>K$109+K$54*($D181-1)*(1-Inputs!$E$198-Inputs!$E$212)</f>
        <v>-59551.851467082692</v>
      </c>
      <c r="L181" s="139">
        <f>L$109+L$54*($D181-1)*(1-Inputs!$E$198-Inputs!$E$212)</f>
        <v>-70920.329005178777</v>
      </c>
      <c r="M181" s="139">
        <f>M$109+M$54*($D181-1)*(1-Inputs!$E$198-Inputs!$E$212)</f>
        <v>-25208.112205550293</v>
      </c>
      <c r="N181" s="139">
        <f>N$109+N$54*($D181-1)*(1-Inputs!$E$198-Inputs!$E$212)</f>
        <v>22027.143628224003</v>
      </c>
      <c r="O181" s="139">
        <f>O$109+O$54*($D181-1)*(1-Inputs!$E$198-Inputs!$E$212)</f>
        <v>22097.12675050582</v>
      </c>
      <c r="P181" s="139">
        <f>P$109+P$54*($D181-1)*(1-Inputs!$E$198-Inputs!$E$212)</f>
        <v>22165.320413091275</v>
      </c>
      <c r="Q181" s="139">
        <f>Q$109+Q$54*($D181-1)*(1-Inputs!$E$198-Inputs!$E$212)</f>
        <v>22231.657749710634</v>
      </c>
      <c r="R181" s="139">
        <f>R$109+R$54*($D181-1)*(1-Inputs!$E$198-Inputs!$E$212)</f>
        <v>22296.070103807011</v>
      </c>
      <c r="S181" s="139">
        <f>S$109+S$54*($D181-1)*(1-Inputs!$E$198-Inputs!$E$212)</f>
        <v>22358.486983793293</v>
      </c>
      <c r="T181" s="139">
        <f>T$109+T$54*($D181-1)*(1-Inputs!$E$198-Inputs!$E$212)</f>
        <v>22418.83601720869</v>
      </c>
      <c r="U181" s="139">
        <f>U$109+U$54*($D181-1)*(1-Inputs!$E$198-Inputs!$E$212)</f>
        <v>22477.042903748312</v>
      </c>
      <c r="V181" s="139">
        <f>V$109+V$54*($D181-1)*(1-Inputs!$E$198-Inputs!$E$212)</f>
        <v>22533.031367137562</v>
      </c>
      <c r="W181" s="139">
        <f>W$109+W$54*($D181-1)*(1-Inputs!$E$198-Inputs!$E$212)</f>
        <v>22586.723105823738</v>
      </c>
      <c r="X181" s="139">
        <f>X$109+X$54*($D181-1)*(1-Inputs!$E$198-Inputs!$E$212)</f>
        <v>22638.037742455213</v>
      </c>
      <c r="Y181" s="139">
        <f>Y$109+Y$54*($D181-1)*(1-Inputs!$E$198-Inputs!$E$212)</f>
        <v>22686.892772118867</v>
      </c>
      <c r="Z181" s="139">
        <f>Z$109+Z$54*($D181-1)*(1-Inputs!$E$198-Inputs!$E$212)</f>
        <v>22733.203509305058</v>
      </c>
      <c r="AA181" s="139">
        <f>AA$109+AA$54*($D181-1)*(1-Inputs!$E$198-Inputs!$E$212)</f>
        <v>22776.883033569124</v>
      </c>
      <c r="AB181" s="139">
        <f>AB$109+AB$54*($D181-1)*(1-Inputs!$E$198-Inputs!$E$212)</f>
        <v>22817.842133857368</v>
      </c>
      <c r="AC181" s="139">
        <f>AC$109+AC$54*($D181-1)*(1-Inputs!$E$198-Inputs!$E$212)</f>
        <v>22855.989251464751</v>
      </c>
      <c r="AD181" s="139">
        <f>AD$109+AD$54*($D181-1)*(1-Inputs!$E$198-Inputs!$E$212)</f>
        <v>22891.230421590742</v>
      </c>
      <c r="AE181" s="139">
        <f>AE$109+AE$54*($D181-1)*(1-Inputs!$E$198-Inputs!$E$212)</f>
        <v>22923.469213459051</v>
      </c>
      <c r="AF181" s="139">
        <f>AF$109+AF$54*($D181-1)*(1-Inputs!$E$198-Inputs!$E$212)</f>
        <v>22952.606668965866</v>
      </c>
      <c r="AG181" s="139">
        <f>AG$109+AG$54*($D181-1)*(1-Inputs!$E$198-Inputs!$E$212)</f>
        <v>22978.541239820632</v>
      </c>
      <c r="AH181" s="139">
        <f>AH$109+AH$54*($D181-1)*(1-Inputs!$E$198-Inputs!$E$212)</f>
        <v>23001.168723142255</v>
      </c>
      <c r="AI181" s="139">
        <f>AI$109+AI$54*($D181-1)*(1-Inputs!$E$198-Inputs!$E$212)</f>
        <v>23020.382195473136</v>
      </c>
      <c r="AJ181" s="139">
        <f>AJ$109+AJ$54*($D181-1)*(1-Inputs!$E$198-Inputs!$E$212)</f>
        <v>23036.071945171767</v>
      </c>
      <c r="AK181" s="139">
        <f>AK$109+AK$54*($D181-1)*(1-Inputs!$E$198-Inputs!$E$212)</f>
        <v>23048.125403144655</v>
      </c>
      <c r="AL181" s="139">
        <f>AL$109+AL$54*($D181-1)*(1-Inputs!$E$198-Inputs!$E$212)</f>
        <v>23056.427071876358</v>
      </c>
      <c r="AM181" s="139">
        <f>AM$109+AM$54*($D181-1)*(1-Inputs!$E$198-Inputs!$E$212)</f>
        <v>23060.858452716238</v>
      </c>
      <c r="AN181" s="139">
        <f>AN$109+AN$54*($D181-1)*(1-Inputs!$E$198-Inputs!$E$212)</f>
        <v>23061.297971378961</v>
      </c>
      <c r="AO181" s="139">
        <f>AO$109+AO$54*($D181-1)*(1-Inputs!$E$198-Inputs!$E$212)</f>
        <v>23057.620901615082</v>
      </c>
      <c r="AP181" s="139">
        <f>AP$109+AP$54*($D181-1)*(1-Inputs!$E$198-Inputs!$E$212)</f>
        <v>23049.699287006573</v>
      </c>
      <c r="AQ181" s="139">
        <f>AQ$109+AQ$54*($D181-1)*(1-Inputs!$E$198-Inputs!$E$212)</f>
        <v>7441.7009304208368</v>
      </c>
    </row>
    <row r="182" spans="3:43" x14ac:dyDescent="0.25">
      <c r="C182" t="s">
        <v>1336</v>
      </c>
      <c r="D182" s="29">
        <f>Dashboard!$I$141</f>
        <v>1.1000000000000001</v>
      </c>
      <c r="E182" s="173">
        <f t="shared" si="74"/>
        <v>115.59817705382146</v>
      </c>
      <c r="F182" s="134">
        <f t="shared" si="75"/>
        <v>0.13290628795957105</v>
      </c>
      <c r="G182" s="139">
        <f t="shared" si="76"/>
        <v>75973.857478237391</v>
      </c>
      <c r="H182" s="139">
        <f>H$109+H$54*($D182-1)*(1-Inputs!$E$198-Inputs!$E$212)</f>
        <v>-1570.6176490188818</v>
      </c>
      <c r="I182" s="139">
        <f>I$109+I$54*($D182-1)*(1-Inputs!$E$198-Inputs!$E$212)</f>
        <v>-778.73814328026663</v>
      </c>
      <c r="J182" s="139">
        <f>J$109+J$54*($D182-1)*(1-Inputs!$E$198-Inputs!$E$212)</f>
        <v>-1227.4381311822531</v>
      </c>
      <c r="K182" s="139">
        <f>K$109+K$54*($D182-1)*(1-Inputs!$E$198-Inputs!$E$212)</f>
        <v>-59551.851467082692</v>
      </c>
      <c r="L182" s="139">
        <f>L$109+L$54*($D182-1)*(1-Inputs!$E$198-Inputs!$E$212)</f>
        <v>-70920.329005178777</v>
      </c>
      <c r="M182" s="139">
        <f>M$109+M$54*($D182-1)*(1-Inputs!$E$198-Inputs!$E$212)</f>
        <v>-23397.285639035967</v>
      </c>
      <c r="N182" s="139">
        <f>N$109+N$54*($D182-1)*(1-Inputs!$E$198-Inputs!$E$212)</f>
        <v>24871.626671472004</v>
      </c>
      <c r="O182" s="139">
        <f>O$109+O$54*($D182-1)*(1-Inputs!$E$198-Inputs!$E$212)</f>
        <v>24961.43584056526</v>
      </c>
      <c r="P182" s="139">
        <f>P$109+P$54*($D182-1)*(1-Inputs!$E$198-Inputs!$E$212)</f>
        <v>25049.593737508429</v>
      </c>
      <c r="Q182" s="139">
        <f>Q$109+Q$54*($D182-1)*(1-Inputs!$E$198-Inputs!$E$212)</f>
        <v>25136.034459198978</v>
      </c>
      <c r="R182" s="139">
        <f>R$109+R$54*($D182-1)*(1-Inputs!$E$198-Inputs!$E$212)</f>
        <v>25220.690318960489</v>
      </c>
      <c r="S182" s="139">
        <f>S$109+S$54*($D182-1)*(1-Inputs!$E$198-Inputs!$E$212)</f>
        <v>25303.49180184639</v>
      </c>
      <c r="T182" s="139">
        <f>T$109+T$54*($D182-1)*(1-Inputs!$E$198-Inputs!$E$212)</f>
        <v>25384.367518843617</v>
      </c>
      <c r="U182" s="139">
        <f>U$109+U$54*($D182-1)*(1-Inputs!$E$198-Inputs!$E$212)</f>
        <v>25463.244159949634</v>
      </c>
      <c r="V182" s="139">
        <f>V$109+V$54*($D182-1)*(1-Inputs!$E$198-Inputs!$E$212)</f>
        <v>25540.04644609461</v>
      </c>
      <c r="W182" s="139">
        <f>W$109+W$54*($D182-1)*(1-Inputs!$E$198-Inputs!$E$212)</f>
        <v>25614.697079881113</v>
      </c>
      <c r="X182" s="139">
        <f>X$109+X$54*($D182-1)*(1-Inputs!$E$198-Inputs!$E$212)</f>
        <v>25687.11669511177</v>
      </c>
      <c r="Y182" s="139">
        <f>Y$109+Y$54*($D182-1)*(1-Inputs!$E$198-Inputs!$E$212)</f>
        <v>25757.223805075439</v>
      </c>
      <c r="Z182" s="139">
        <f>Z$109+Z$54*($D182-1)*(1-Inputs!$E$198-Inputs!$E$212)</f>
        <v>25824.934749561337</v>
      </c>
      <c r="AA182" s="139">
        <f>AA$109+AA$54*($D182-1)*(1-Inputs!$E$198-Inputs!$E$212)</f>
        <v>25890.16364056999</v>
      </c>
      <c r="AB182" s="139">
        <f>AB$109+AB$54*($D182-1)*(1-Inputs!$E$198-Inputs!$E$212)</f>
        <v>25952.822306689028</v>
      </c>
      <c r="AC182" s="139">
        <f>AC$109+AC$54*($D182-1)*(1-Inputs!$E$198-Inputs!$E$212)</f>
        <v>26012.820236101048</v>
      </c>
      <c r="AD182" s="139">
        <f>AD$109+AD$54*($D182-1)*(1-Inputs!$E$198-Inputs!$E$212)</f>
        <v>26070.064518189956</v>
      </c>
      <c r="AE182" s="139">
        <f>AE$109+AE$54*($D182-1)*(1-Inputs!$E$198-Inputs!$E$212)</f>
        <v>26124.459783711562</v>
      </c>
      <c r="AF182" s="139">
        <f>AF$109+AF$54*($D182-1)*(1-Inputs!$E$198-Inputs!$E$212)</f>
        <v>26175.908143493034</v>
      </c>
      <c r="AG182" s="139">
        <f>AG$109+AG$54*($D182-1)*(1-Inputs!$E$198-Inputs!$E$212)</f>
        <v>26224.309125625259</v>
      </c>
      <c r="AH182" s="139">
        <f>AH$109+AH$54*($D182-1)*(1-Inputs!$E$198-Inputs!$E$212)</f>
        <v>26269.559611110937</v>
      </c>
      <c r="AI182" s="139">
        <f>AI$109+AI$54*($D182-1)*(1-Inputs!$E$198-Inputs!$E$212)</f>
        <v>26311.55376793096</v>
      </c>
      <c r="AJ182" s="139">
        <f>AJ$109+AJ$54*($D182-1)*(1-Inputs!$E$198-Inputs!$E$212)</f>
        <v>26350.182983489623</v>
      </c>
      <c r="AK182" s="139">
        <f>AK$109+AK$54*($D182-1)*(1-Inputs!$E$198-Inputs!$E$212)</f>
        <v>26385.335795399587</v>
      </c>
      <c r="AL182" s="139">
        <f>AL$109+AL$54*($D182-1)*(1-Inputs!$E$198-Inputs!$E$212)</f>
        <v>26416.897820565307</v>
      </c>
      <c r="AM182" s="139">
        <f>AM$109+AM$54*($D182-1)*(1-Inputs!$E$198-Inputs!$E$212)</f>
        <v>26444.751682523551</v>
      </c>
      <c r="AN182" s="139">
        <f>AN$109+AN$54*($D182-1)*(1-Inputs!$E$198-Inputs!$E$212)</f>
        <v>26468.776936998027</v>
      </c>
      <c r="AO182" s="139">
        <f>AO$109+AO$54*($D182-1)*(1-Inputs!$E$198-Inputs!$E$212)</f>
        <v>26488.849995624514</v>
      </c>
      <c r="AP182" s="139">
        <f>AP$109+AP$54*($D182-1)*(1-Inputs!$E$198-Inputs!$E$212)</f>
        <v>26504.844047801253</v>
      </c>
      <c r="AQ182" s="139">
        <f>AQ$109+AQ$54*($D182-1)*(1-Inputs!$E$198-Inputs!$E$212)</f>
        <v>9181.3144903095454</v>
      </c>
    </row>
    <row r="183" spans="3:43" x14ac:dyDescent="0.25">
      <c r="C183" t="s">
        <v>1337</v>
      </c>
      <c r="D183" s="29">
        <f>Dashboard!$J$141</f>
        <v>1.2</v>
      </c>
      <c r="E183" s="173">
        <f t="shared" si="74"/>
        <v>126.10710224053248</v>
      </c>
      <c r="F183" s="134">
        <f t="shared" si="75"/>
        <v>0.14820337151390528</v>
      </c>
      <c r="G183" s="139">
        <f t="shared" si="76"/>
        <v>100352.36235522105</v>
      </c>
      <c r="H183" s="139">
        <f>H$109+H$54*($D183-1)*(1-Inputs!$E$198-Inputs!$E$212)</f>
        <v>-1570.6176490188818</v>
      </c>
      <c r="I183" s="139">
        <f>I$109+I$54*($D183-1)*(1-Inputs!$E$198-Inputs!$E$212)</f>
        <v>-778.73814328026663</v>
      </c>
      <c r="J183" s="139">
        <f>J$109+J$54*($D183-1)*(1-Inputs!$E$198-Inputs!$E$212)</f>
        <v>-1227.4381311822531</v>
      </c>
      <c r="K183" s="139">
        <f>K$109+K$54*($D183-1)*(1-Inputs!$E$198-Inputs!$E$212)</f>
        <v>-59551.851467082692</v>
      </c>
      <c r="L183" s="139">
        <f>L$109+L$54*($D183-1)*(1-Inputs!$E$198-Inputs!$E$212)</f>
        <v>-70920.329005178777</v>
      </c>
      <c r="M183" s="139">
        <f>M$109+M$54*($D183-1)*(1-Inputs!$E$198-Inputs!$E$212)</f>
        <v>-21586.459072521648</v>
      </c>
      <c r="N183" s="139">
        <f>N$109+N$54*($D183-1)*(1-Inputs!$E$198-Inputs!$E$212)</f>
        <v>27716.109714720002</v>
      </c>
      <c r="O183" s="139">
        <f>O$109+O$54*($D183-1)*(1-Inputs!$E$198-Inputs!$E$212)</f>
        <v>27825.744930624696</v>
      </c>
      <c r="P183" s="139">
        <f>P$109+P$54*($D183-1)*(1-Inputs!$E$198-Inputs!$E$212)</f>
        <v>27933.867061925579</v>
      </c>
      <c r="Q183" s="139">
        <f>Q$109+Q$54*($D183-1)*(1-Inputs!$E$198-Inputs!$E$212)</f>
        <v>28040.411168687315</v>
      </c>
      <c r="R183" s="139">
        <f>R$109+R$54*($D183-1)*(1-Inputs!$E$198-Inputs!$E$212)</f>
        <v>28145.31053411396</v>
      </c>
      <c r="S183" s="139">
        <f>S$109+S$54*($D183-1)*(1-Inputs!$E$198-Inputs!$E$212)</f>
        <v>28248.496619899481</v>
      </c>
      <c r="T183" s="139">
        <f>T$109+T$54*($D183-1)*(1-Inputs!$E$198-Inputs!$E$212)</f>
        <v>28349.899020478537</v>
      </c>
      <c r="U183" s="139">
        <f>U$109+U$54*($D183-1)*(1-Inputs!$E$198-Inputs!$E$212)</f>
        <v>28449.445416150949</v>
      </c>
      <c r="V183" s="139">
        <f>V$109+V$54*($D183-1)*(1-Inputs!$E$198-Inputs!$E$212)</f>
        <v>28547.061525051646</v>
      </c>
      <c r="W183" s="139">
        <f>W$109+W$54*($D183-1)*(1-Inputs!$E$198-Inputs!$E$212)</f>
        <v>28642.671053938484</v>
      </c>
      <c r="X183" s="139">
        <f>X$109+X$54*($D183-1)*(1-Inputs!$E$198-Inputs!$E$212)</f>
        <v>28736.19564776832</v>
      </c>
      <c r="Y183" s="139">
        <f>Y$109+Y$54*($D183-1)*(1-Inputs!$E$198-Inputs!$E$212)</f>
        <v>28827.554838032003</v>
      </c>
      <c r="Z183" s="139">
        <f>Z$109+Z$54*($D183-1)*(1-Inputs!$E$198-Inputs!$E$212)</f>
        <v>28916.665989817608</v>
      </c>
      <c r="AA183" s="139">
        <f>AA$109+AA$54*($D183-1)*(1-Inputs!$E$198-Inputs!$E$212)</f>
        <v>29003.444247570849</v>
      </c>
      <c r="AB183" s="139">
        <f>AB$109+AB$54*($D183-1)*(1-Inputs!$E$198-Inputs!$E$212)</f>
        <v>29087.802479520684</v>
      </c>
      <c r="AC183" s="139">
        <f>AC$109+AC$54*($D183-1)*(1-Inputs!$E$198-Inputs!$E$212)</f>
        <v>29169.651220737342</v>
      </c>
      <c r="AD183" s="139">
        <f>AD$109+AD$54*($D183-1)*(1-Inputs!$E$198-Inputs!$E$212)</f>
        <v>29248.898614789163</v>
      </c>
      <c r="AE183" s="139">
        <f>AE$109+AE$54*($D183-1)*(1-Inputs!$E$198-Inputs!$E$212)</f>
        <v>29325.450353964068</v>
      </c>
      <c r="AF183" s="139">
        <f>AF$109+AF$54*($D183-1)*(1-Inputs!$E$198-Inputs!$E$212)</f>
        <v>29399.209618020199</v>
      </c>
      <c r="AG183" s="139">
        <f>AG$109+AG$54*($D183-1)*(1-Inputs!$E$198-Inputs!$E$212)</f>
        <v>29470.077011429876</v>
      </c>
      <c r="AH183" s="139">
        <f>AH$109+AH$54*($D183-1)*(1-Inputs!$E$198-Inputs!$E$212)</f>
        <v>29537.950499079612</v>
      </c>
      <c r="AI183" s="139">
        <f>AI$109+AI$54*($D183-1)*(1-Inputs!$E$198-Inputs!$E$212)</f>
        <v>29602.725340388781</v>
      </c>
      <c r="AJ183" s="139">
        <f>AJ$109+AJ$54*($D183-1)*(1-Inputs!$E$198-Inputs!$E$212)</f>
        <v>29664.294021807473</v>
      </c>
      <c r="AK183" s="139">
        <f>AK$109+AK$54*($D183-1)*(1-Inputs!$E$198-Inputs!$E$212)</f>
        <v>29722.546187654512</v>
      </c>
      <c r="AL183" s="139">
        <f>AL$109+AL$54*($D183-1)*(1-Inputs!$E$198-Inputs!$E$212)</f>
        <v>29777.368569254249</v>
      </c>
      <c r="AM183" s="139">
        <f>AM$109+AM$54*($D183-1)*(1-Inputs!$E$198-Inputs!$E$212)</f>
        <v>29828.644912330856</v>
      </c>
      <c r="AN183" s="139">
        <f>AN$109+AN$54*($D183-1)*(1-Inputs!$E$198-Inputs!$E$212)</f>
        <v>29876.255902617086</v>
      </c>
      <c r="AO183" s="139">
        <f>AO$109+AO$54*($D183-1)*(1-Inputs!$E$198-Inputs!$E$212)</f>
        <v>29920.079089633939</v>
      </c>
      <c r="AP183" s="139">
        <f>AP$109+AP$54*($D183-1)*(1-Inputs!$E$198-Inputs!$E$212)</f>
        <v>29959.988808595925</v>
      </c>
      <c r="AQ183" s="139">
        <f>AQ$109+AQ$54*($D183-1)*(1-Inputs!$E$198-Inputs!$E$212)</f>
        <v>10920.92805019825</v>
      </c>
    </row>
    <row r="184" spans="3:43" x14ac:dyDescent="0.25">
      <c r="C184" t="s">
        <v>1338</v>
      </c>
      <c r="D184" s="29">
        <f>Dashboard!$K$141</f>
        <v>1.3</v>
      </c>
      <c r="E184" s="173">
        <f t="shared" si="74"/>
        <v>136.61602742724352</v>
      </c>
      <c r="F184" s="134">
        <f t="shared" si="75"/>
        <v>0.1629880953960996</v>
      </c>
      <c r="G184" s="139">
        <f t="shared" si="76"/>
        <v>124730.86723220478</v>
      </c>
      <c r="H184" s="139">
        <f>H$109+H$54*($D184-1)*(1-Inputs!$E$198-Inputs!$E$212)</f>
        <v>-1570.6176490188818</v>
      </c>
      <c r="I184" s="139">
        <f>I$109+I$54*($D184-1)*(1-Inputs!$E$198-Inputs!$E$212)</f>
        <v>-778.73814328026663</v>
      </c>
      <c r="J184" s="139">
        <f>J$109+J$54*($D184-1)*(1-Inputs!$E$198-Inputs!$E$212)</f>
        <v>-1227.4381311822531</v>
      </c>
      <c r="K184" s="139">
        <f>K$109+K$54*($D184-1)*(1-Inputs!$E$198-Inputs!$E$212)</f>
        <v>-59551.851467082692</v>
      </c>
      <c r="L184" s="139">
        <f>L$109+L$54*($D184-1)*(1-Inputs!$E$198-Inputs!$E$212)</f>
        <v>-70920.329005178777</v>
      </c>
      <c r="M184" s="139">
        <f>M$109+M$54*($D184-1)*(1-Inputs!$E$198-Inputs!$E$212)</f>
        <v>-19775.632506007321</v>
      </c>
      <c r="N184" s="139">
        <f>N$109+N$54*($D184-1)*(1-Inputs!$E$198-Inputs!$E$212)</f>
        <v>30560.592757968006</v>
      </c>
      <c r="O184" s="139">
        <f>O$109+O$54*($D184-1)*(1-Inputs!$E$198-Inputs!$E$212)</f>
        <v>30690.05402068414</v>
      </c>
      <c r="P184" s="139">
        <f>P$109+P$54*($D184-1)*(1-Inputs!$E$198-Inputs!$E$212)</f>
        <v>30818.140386342733</v>
      </c>
      <c r="Q184" s="139">
        <f>Q$109+Q$54*($D184-1)*(1-Inputs!$E$198-Inputs!$E$212)</f>
        <v>30944.787878175659</v>
      </c>
      <c r="R184" s="139">
        <f>R$109+R$54*($D184-1)*(1-Inputs!$E$198-Inputs!$E$212)</f>
        <v>31069.930749267434</v>
      </c>
      <c r="S184" s="139">
        <f>S$109+S$54*($D184-1)*(1-Inputs!$E$198-Inputs!$E$212)</f>
        <v>31193.501437952578</v>
      </c>
      <c r="T184" s="139">
        <f>T$109+T$54*($D184-1)*(1-Inputs!$E$198-Inputs!$E$212)</f>
        <v>31315.430522113464</v>
      </c>
      <c r="U184" s="139">
        <f>U$109+U$54*($D184-1)*(1-Inputs!$E$198-Inputs!$E$212)</f>
        <v>31435.646672352272</v>
      </c>
      <c r="V184" s="139">
        <f>V$109+V$54*($D184-1)*(1-Inputs!$E$198-Inputs!$E$212)</f>
        <v>31554.076604008693</v>
      </c>
      <c r="W184" s="139">
        <f>W$109+W$54*($D184-1)*(1-Inputs!$E$198-Inputs!$E$212)</f>
        <v>31670.645027995859</v>
      </c>
      <c r="X184" s="139">
        <f>X$109+X$54*($D184-1)*(1-Inputs!$E$198-Inputs!$E$212)</f>
        <v>31785.274600424873</v>
      </c>
      <c r="Y184" s="139">
        <f>Y$109+Y$54*($D184-1)*(1-Inputs!$E$198-Inputs!$E$212)</f>
        <v>31897.885870988575</v>
      </c>
      <c r="Z184" s="139">
        <f>Z$109+Z$54*($D184-1)*(1-Inputs!$E$198-Inputs!$E$212)</f>
        <v>32008.39723007389</v>
      </c>
      <c r="AA184" s="139">
        <f>AA$109+AA$54*($D184-1)*(1-Inputs!$E$198-Inputs!$E$212)</f>
        <v>32116.724854571716</v>
      </c>
      <c r="AB184" s="139">
        <f>AB$109+AB$54*($D184-1)*(1-Inputs!$E$198-Inputs!$E$212)</f>
        <v>32222.782652352347</v>
      </c>
      <c r="AC184" s="139">
        <f>AC$109+AC$54*($D184-1)*(1-Inputs!$E$198-Inputs!$E$212)</f>
        <v>32326.482205373643</v>
      </c>
      <c r="AD184" s="139">
        <f>AD$109+AD$54*($D184-1)*(1-Inputs!$E$198-Inputs!$E$212)</f>
        <v>32427.73271138838</v>
      </c>
      <c r="AE184" s="139">
        <f>AE$109+AE$54*($D184-1)*(1-Inputs!$E$198-Inputs!$E$212)</f>
        <v>32526.440924216578</v>
      </c>
      <c r="AF184" s="139">
        <f>AF$109+AF$54*($D184-1)*(1-Inputs!$E$198-Inputs!$E$212)</f>
        <v>32622.511092547371</v>
      </c>
      <c r="AG184" s="139">
        <f>AG$109+AG$54*($D184-1)*(1-Inputs!$E$198-Inputs!$E$212)</f>
        <v>32715.8448972345</v>
      </c>
      <c r="AH184" s="139">
        <f>AH$109+AH$54*($D184-1)*(1-Inputs!$E$198-Inputs!$E$212)</f>
        <v>32806.341387048298</v>
      </c>
      <c r="AI184" s="139">
        <f>AI$109+AI$54*($D184-1)*(1-Inputs!$E$198-Inputs!$E$212)</f>
        <v>32893.896912846605</v>
      </c>
      <c r="AJ184" s="139">
        <f>AJ$109+AJ$54*($D184-1)*(1-Inputs!$E$198-Inputs!$E$212)</f>
        <v>32978.405060125326</v>
      </c>
      <c r="AK184" s="139">
        <f>AK$109+AK$54*($D184-1)*(1-Inputs!$E$198-Inputs!$E$212)</f>
        <v>33059.756579909445</v>
      </c>
      <c r="AL184" s="139">
        <f>AL$109+AL$54*($D184-1)*(1-Inputs!$E$198-Inputs!$E$212)</f>
        <v>33137.839317943202</v>
      </c>
      <c r="AM184" s="139">
        <f>AM$109+AM$54*($D184-1)*(1-Inputs!$E$198-Inputs!$E$212)</f>
        <v>33212.538142138168</v>
      </c>
      <c r="AN184" s="139">
        <f>AN$109+AN$54*($D184-1)*(1-Inputs!$E$198-Inputs!$E$212)</f>
        <v>33283.734868236155</v>
      </c>
      <c r="AO184" s="139">
        <f>AO$109+AO$54*($D184-1)*(1-Inputs!$E$198-Inputs!$E$212)</f>
        <v>33351.30818364337</v>
      </c>
      <c r="AP184" s="139">
        <f>AP$109+AP$54*($D184-1)*(1-Inputs!$E$198-Inputs!$E$212)</f>
        <v>33415.1335693906</v>
      </c>
      <c r="AQ184" s="139">
        <f>AQ$109+AQ$54*($D184-1)*(1-Inputs!$E$198-Inputs!$E$212)</f>
        <v>12660.541610086959</v>
      </c>
    </row>
    <row r="185" spans="3:43" x14ac:dyDescent="0.25">
      <c r="H185" s="139"/>
      <c r="I185" s="139"/>
      <c r="J185" s="139"/>
      <c r="K185" s="139"/>
      <c r="L185" s="139"/>
      <c r="M185" s="139"/>
      <c r="N185" s="139"/>
      <c r="O185" s="139"/>
      <c r="P185" s="139"/>
      <c r="Q185" s="139"/>
      <c r="R185" s="139"/>
      <c r="S185" s="139"/>
      <c r="T185" s="139"/>
      <c r="U185" s="139"/>
      <c r="V185" s="139"/>
      <c r="W185" s="139"/>
      <c r="X185" s="139"/>
      <c r="Y185" s="139"/>
      <c r="Z185" s="139"/>
      <c r="AA185" s="139"/>
      <c r="AB185" s="139"/>
      <c r="AC185" s="139"/>
      <c r="AD185" s="139"/>
      <c r="AE185" s="139"/>
      <c r="AF185" s="139"/>
      <c r="AG185" s="139"/>
      <c r="AH185" s="139"/>
      <c r="AI185" s="139"/>
      <c r="AJ185" s="139"/>
      <c r="AK185" s="139"/>
      <c r="AL185" s="139"/>
      <c r="AM185" s="139"/>
      <c r="AN185" s="139"/>
      <c r="AO185" s="139"/>
      <c r="AP185" s="139"/>
      <c r="AQ185" s="139"/>
    </row>
    <row r="186" spans="3:43" x14ac:dyDescent="0.25">
      <c r="C186" s="198" t="s">
        <v>1339</v>
      </c>
      <c r="D186" t="s">
        <v>7</v>
      </c>
      <c r="H186" s="139"/>
      <c r="I186" s="139"/>
      <c r="J186" s="139"/>
      <c r="K186" s="139"/>
      <c r="L186" s="139"/>
      <c r="M186" s="139"/>
      <c r="N186" s="139"/>
      <c r="O186" s="139"/>
      <c r="P186" s="139"/>
      <c r="Q186" s="139"/>
      <c r="R186" s="139"/>
      <c r="S186" s="139"/>
      <c r="T186" s="139"/>
      <c r="U186" s="139"/>
      <c r="V186" s="139"/>
      <c r="W186" s="139"/>
      <c r="X186" s="139"/>
      <c r="Y186" s="139"/>
      <c r="Z186" s="139"/>
      <c r="AA186" s="139"/>
      <c r="AB186" s="139"/>
      <c r="AC186" s="139"/>
      <c r="AD186" s="139"/>
      <c r="AE186" s="139"/>
      <c r="AF186" s="139"/>
      <c r="AG186" s="139"/>
      <c r="AH186" s="139"/>
      <c r="AI186" s="139"/>
      <c r="AJ186" s="139"/>
      <c r="AK186" s="139"/>
      <c r="AL186" s="139"/>
      <c r="AM186" s="139"/>
      <c r="AN186" s="139"/>
      <c r="AO186" s="139"/>
      <c r="AP186" s="139"/>
      <c r="AQ186" s="139"/>
    </row>
    <row r="187" spans="3:43" x14ac:dyDescent="0.25">
      <c r="C187" s="246" t="s">
        <v>1327</v>
      </c>
      <c r="D187" s="246" t="s">
        <v>1340</v>
      </c>
      <c r="E187" s="246" t="s">
        <v>1341</v>
      </c>
      <c r="F187" s="246" t="s">
        <v>1330</v>
      </c>
      <c r="G187" s="246" t="s">
        <v>1331</v>
      </c>
      <c r="H187" s="281"/>
      <c r="I187" s="281"/>
      <c r="J187" s="281"/>
      <c r="K187" s="281"/>
      <c r="L187" s="281"/>
      <c r="M187" s="281"/>
      <c r="N187" s="281"/>
      <c r="O187" s="281"/>
      <c r="P187" s="281"/>
      <c r="Q187" s="281"/>
      <c r="R187" s="281"/>
      <c r="S187" s="281"/>
      <c r="T187" s="281"/>
      <c r="U187" s="281"/>
      <c r="V187" s="281"/>
      <c r="W187" s="281"/>
      <c r="X187" s="281"/>
      <c r="Y187" s="281"/>
      <c r="Z187" s="281"/>
      <c r="AA187" s="281"/>
      <c r="AB187" s="281"/>
      <c r="AC187" s="281"/>
      <c r="AD187" s="281"/>
      <c r="AE187" s="281"/>
      <c r="AF187" s="281"/>
      <c r="AG187" s="281"/>
      <c r="AH187" s="281"/>
      <c r="AI187" s="281"/>
      <c r="AJ187" s="281"/>
      <c r="AK187" s="281"/>
      <c r="AL187" s="281"/>
      <c r="AM187" s="281"/>
      <c r="AN187" s="281"/>
      <c r="AO187" s="281"/>
      <c r="AP187" s="281"/>
      <c r="AQ187" s="281"/>
    </row>
    <row r="188" spans="3:43" x14ac:dyDescent="0.25">
      <c r="C188" t="s">
        <v>1342</v>
      </c>
      <c r="D188" s="29">
        <f>Dashboard!$E$145</f>
        <v>0.8</v>
      </c>
      <c r="E188" s="131">
        <f>$G$150*D188</f>
        <v>970.05002674408081</v>
      </c>
      <c r="F188" s="134">
        <f>IFERROR(IRR(H188:AQ188),"n/a")</f>
        <v>0.14428929766151555</v>
      </c>
      <c r="G188" s="139">
        <f>SUMPRODUCT(H188:AQ188,$H$12:$AQ$12)</f>
        <v>76031.831217140571</v>
      </c>
      <c r="H188" s="139">
        <f t="shared" ref="H188:Q192" si="77">H$109+H$30*($D188-1)</f>
        <v>-1570.6176490188818</v>
      </c>
      <c r="I188" s="139">
        <f t="shared" si="77"/>
        <v>-778.73814328026663</v>
      </c>
      <c r="J188" s="139">
        <f t="shared" si="77"/>
        <v>-1227.4381311822531</v>
      </c>
      <c r="K188" s="139">
        <f t="shared" si="77"/>
        <v>-48582.376287904612</v>
      </c>
      <c r="L188" s="139">
        <f t="shared" si="77"/>
        <v>-56889.906505178777</v>
      </c>
      <c r="M188" s="139">
        <f t="shared" si="77"/>
        <v>-17250.560226098238</v>
      </c>
      <c r="N188" s="139">
        <f t="shared" si="77"/>
        <v>22027.143628224003</v>
      </c>
      <c r="O188" s="139">
        <f t="shared" si="77"/>
        <v>22097.12675050582</v>
      </c>
      <c r="P188" s="139">
        <f t="shared" si="77"/>
        <v>22165.320413091275</v>
      </c>
      <c r="Q188" s="139">
        <f t="shared" si="77"/>
        <v>22231.657749710634</v>
      </c>
      <c r="R188" s="139">
        <f t="shared" ref="R188:AA192" si="78">R$109+R$30*($D188-1)</f>
        <v>22296.070103807011</v>
      </c>
      <c r="S188" s="139">
        <f t="shared" si="78"/>
        <v>22358.486983793293</v>
      </c>
      <c r="T188" s="139">
        <f t="shared" si="78"/>
        <v>22418.83601720869</v>
      </c>
      <c r="U188" s="139">
        <f t="shared" si="78"/>
        <v>22477.042903748312</v>
      </c>
      <c r="V188" s="139">
        <f t="shared" si="78"/>
        <v>22533.031367137562</v>
      </c>
      <c r="W188" s="139">
        <f t="shared" si="78"/>
        <v>22586.723105823738</v>
      </c>
      <c r="X188" s="139">
        <f t="shared" si="78"/>
        <v>22638.037742455213</v>
      </c>
      <c r="Y188" s="139">
        <f t="shared" si="78"/>
        <v>22686.892772118867</v>
      </c>
      <c r="Z188" s="139">
        <f t="shared" si="78"/>
        <v>22733.203509305058</v>
      </c>
      <c r="AA188" s="139">
        <f t="shared" si="78"/>
        <v>22776.883033569124</v>
      </c>
      <c r="AB188" s="139">
        <f t="shared" ref="AB188:AK192" si="79">AB$109+AB$30*($D188-1)</f>
        <v>22817.842133857368</v>
      </c>
      <c r="AC188" s="139">
        <f t="shared" si="79"/>
        <v>22855.989251464751</v>
      </c>
      <c r="AD188" s="139">
        <f t="shared" si="79"/>
        <v>22891.230421590742</v>
      </c>
      <c r="AE188" s="139">
        <f t="shared" si="79"/>
        <v>22923.469213459051</v>
      </c>
      <c r="AF188" s="139">
        <f t="shared" si="79"/>
        <v>22952.606668965866</v>
      </c>
      <c r="AG188" s="139">
        <f t="shared" si="79"/>
        <v>22978.541239820632</v>
      </c>
      <c r="AH188" s="139">
        <f t="shared" si="79"/>
        <v>23001.168723142255</v>
      </c>
      <c r="AI188" s="139">
        <f t="shared" si="79"/>
        <v>23020.382195473136</v>
      </c>
      <c r="AJ188" s="139">
        <f t="shared" si="79"/>
        <v>23036.071945171767</v>
      </c>
      <c r="AK188" s="139">
        <f t="shared" si="79"/>
        <v>23048.125403144655</v>
      </c>
      <c r="AL188" s="139">
        <f t="shared" ref="AL188:AQ192" si="80">AL$109+AL$30*($D188-1)</f>
        <v>23056.427071876358</v>
      </c>
      <c r="AM188" s="139">
        <f t="shared" si="80"/>
        <v>23060.858452716238</v>
      </c>
      <c r="AN188" s="139">
        <f t="shared" si="80"/>
        <v>23061.297971378961</v>
      </c>
      <c r="AO188" s="139">
        <f t="shared" si="80"/>
        <v>23057.620901615082</v>
      </c>
      <c r="AP188" s="139">
        <f t="shared" si="80"/>
        <v>23049.699287006573</v>
      </c>
      <c r="AQ188" s="139">
        <f t="shared" si="80"/>
        <v>7441.7009304208368</v>
      </c>
    </row>
    <row r="189" spans="3:43" x14ac:dyDescent="0.25">
      <c r="C189" t="s">
        <v>1343</v>
      </c>
      <c r="D189" s="29">
        <f>Dashboard!$F$145</f>
        <v>0.9</v>
      </c>
      <c r="E189" s="131">
        <f>$G$150*D189</f>
        <v>1091.306280087091</v>
      </c>
      <c r="F189" s="134">
        <f>IFERROR(IRR(H189:AQ189),"n/a")</f>
        <v>0.12945044480910628</v>
      </c>
      <c r="G189" s="139">
        <f>SUMPRODUCT(H189:AQ189,$H$12:$AQ$12)</f>
        <v>63813.591909197145</v>
      </c>
      <c r="H189" s="139">
        <f t="shared" si="77"/>
        <v>-1570.6176490188818</v>
      </c>
      <c r="I189" s="139">
        <f t="shared" si="77"/>
        <v>-778.73814328026663</v>
      </c>
      <c r="J189" s="139">
        <f t="shared" si="77"/>
        <v>-1227.4381311822531</v>
      </c>
      <c r="K189" s="139">
        <f t="shared" si="77"/>
        <v>-54067.113877493648</v>
      </c>
      <c r="L189" s="139">
        <f t="shared" si="77"/>
        <v>-63905.117755178777</v>
      </c>
      <c r="M189" s="139">
        <f t="shared" si="77"/>
        <v>-21229.336215824267</v>
      </c>
      <c r="N189" s="139">
        <f t="shared" si="77"/>
        <v>22027.143628224003</v>
      </c>
      <c r="O189" s="139">
        <f t="shared" si="77"/>
        <v>22097.12675050582</v>
      </c>
      <c r="P189" s="139">
        <f t="shared" si="77"/>
        <v>22165.320413091275</v>
      </c>
      <c r="Q189" s="139">
        <f t="shared" si="77"/>
        <v>22231.657749710634</v>
      </c>
      <c r="R189" s="139">
        <f t="shared" si="78"/>
        <v>22296.070103807011</v>
      </c>
      <c r="S189" s="139">
        <f t="shared" si="78"/>
        <v>22358.486983793293</v>
      </c>
      <c r="T189" s="139">
        <f t="shared" si="78"/>
        <v>22418.83601720869</v>
      </c>
      <c r="U189" s="139">
        <f t="shared" si="78"/>
        <v>22477.042903748312</v>
      </c>
      <c r="V189" s="139">
        <f t="shared" si="78"/>
        <v>22533.031367137562</v>
      </c>
      <c r="W189" s="139">
        <f t="shared" si="78"/>
        <v>22586.723105823738</v>
      </c>
      <c r="X189" s="139">
        <f t="shared" si="78"/>
        <v>22638.037742455213</v>
      </c>
      <c r="Y189" s="139">
        <f t="shared" si="78"/>
        <v>22686.892772118867</v>
      </c>
      <c r="Z189" s="139">
        <f t="shared" si="78"/>
        <v>22733.203509305058</v>
      </c>
      <c r="AA189" s="139">
        <f t="shared" si="78"/>
        <v>22776.883033569124</v>
      </c>
      <c r="AB189" s="139">
        <f t="shared" si="79"/>
        <v>22817.842133857368</v>
      </c>
      <c r="AC189" s="139">
        <f t="shared" si="79"/>
        <v>22855.989251464751</v>
      </c>
      <c r="AD189" s="139">
        <f t="shared" si="79"/>
        <v>22891.230421590742</v>
      </c>
      <c r="AE189" s="139">
        <f t="shared" si="79"/>
        <v>22923.469213459051</v>
      </c>
      <c r="AF189" s="139">
        <f t="shared" si="79"/>
        <v>22952.606668965866</v>
      </c>
      <c r="AG189" s="139">
        <f t="shared" si="79"/>
        <v>22978.541239820632</v>
      </c>
      <c r="AH189" s="139">
        <f t="shared" si="79"/>
        <v>23001.168723142255</v>
      </c>
      <c r="AI189" s="139">
        <f t="shared" si="79"/>
        <v>23020.382195473136</v>
      </c>
      <c r="AJ189" s="139">
        <f t="shared" si="79"/>
        <v>23036.071945171767</v>
      </c>
      <c r="AK189" s="139">
        <f t="shared" si="79"/>
        <v>23048.125403144655</v>
      </c>
      <c r="AL189" s="139">
        <f t="shared" si="80"/>
        <v>23056.427071876358</v>
      </c>
      <c r="AM189" s="139">
        <f t="shared" si="80"/>
        <v>23060.858452716238</v>
      </c>
      <c r="AN189" s="139">
        <f t="shared" si="80"/>
        <v>23061.297971378961</v>
      </c>
      <c r="AO189" s="139">
        <f t="shared" si="80"/>
        <v>23057.620901615082</v>
      </c>
      <c r="AP189" s="139">
        <f t="shared" si="80"/>
        <v>23049.699287006573</v>
      </c>
      <c r="AQ189" s="139">
        <f t="shared" si="80"/>
        <v>7441.7009304208368</v>
      </c>
    </row>
    <row r="190" spans="3:43" x14ac:dyDescent="0.25">
      <c r="C190" s="279" t="s">
        <v>1344</v>
      </c>
      <c r="D190" s="190">
        <f>Dashboard!$G$145</f>
        <v>1</v>
      </c>
      <c r="E190" s="282">
        <f>$G$150*D190</f>
        <v>1212.562533430101</v>
      </c>
      <c r="F190" s="170">
        <f>IFERROR(IRR(H190:AQ190),"n/a")</f>
        <v>0.11696131948899646</v>
      </c>
      <c r="G190" s="280">
        <f>SUMPRODUCT(H190:AQ190,$H$12:$AQ$12)</f>
        <v>51595.352601253711</v>
      </c>
      <c r="H190" s="139">
        <f t="shared" si="77"/>
        <v>-1570.6176490188818</v>
      </c>
      <c r="I190" s="139">
        <f t="shared" si="77"/>
        <v>-778.73814328026663</v>
      </c>
      <c r="J190" s="139">
        <f t="shared" si="77"/>
        <v>-1227.4381311822531</v>
      </c>
      <c r="K190" s="139">
        <f t="shared" si="77"/>
        <v>-59551.851467082692</v>
      </c>
      <c r="L190" s="139">
        <f t="shared" si="77"/>
        <v>-70920.329005178777</v>
      </c>
      <c r="M190" s="139">
        <f t="shared" si="77"/>
        <v>-25208.112205550293</v>
      </c>
      <c r="N190" s="139">
        <f t="shared" si="77"/>
        <v>22027.143628224003</v>
      </c>
      <c r="O190" s="139">
        <f t="shared" si="77"/>
        <v>22097.12675050582</v>
      </c>
      <c r="P190" s="139">
        <f t="shared" si="77"/>
        <v>22165.320413091275</v>
      </c>
      <c r="Q190" s="139">
        <f t="shared" si="77"/>
        <v>22231.657749710634</v>
      </c>
      <c r="R190" s="139">
        <f t="shared" si="78"/>
        <v>22296.070103807011</v>
      </c>
      <c r="S190" s="139">
        <f t="shared" si="78"/>
        <v>22358.486983793293</v>
      </c>
      <c r="T190" s="139">
        <f t="shared" si="78"/>
        <v>22418.83601720869</v>
      </c>
      <c r="U190" s="139">
        <f t="shared" si="78"/>
        <v>22477.042903748312</v>
      </c>
      <c r="V190" s="139">
        <f t="shared" si="78"/>
        <v>22533.031367137562</v>
      </c>
      <c r="W190" s="139">
        <f t="shared" si="78"/>
        <v>22586.723105823738</v>
      </c>
      <c r="X190" s="139">
        <f t="shared" si="78"/>
        <v>22638.037742455213</v>
      </c>
      <c r="Y190" s="139">
        <f t="shared" si="78"/>
        <v>22686.892772118867</v>
      </c>
      <c r="Z190" s="139">
        <f t="shared" si="78"/>
        <v>22733.203509305058</v>
      </c>
      <c r="AA190" s="139">
        <f t="shared" si="78"/>
        <v>22776.883033569124</v>
      </c>
      <c r="AB190" s="139">
        <f t="shared" si="79"/>
        <v>22817.842133857368</v>
      </c>
      <c r="AC190" s="139">
        <f t="shared" si="79"/>
        <v>22855.989251464751</v>
      </c>
      <c r="AD190" s="139">
        <f t="shared" si="79"/>
        <v>22891.230421590742</v>
      </c>
      <c r="AE190" s="139">
        <f t="shared" si="79"/>
        <v>22923.469213459051</v>
      </c>
      <c r="AF190" s="139">
        <f t="shared" si="79"/>
        <v>22952.606668965866</v>
      </c>
      <c r="AG190" s="139">
        <f t="shared" si="79"/>
        <v>22978.541239820632</v>
      </c>
      <c r="AH190" s="139">
        <f t="shared" si="79"/>
        <v>23001.168723142255</v>
      </c>
      <c r="AI190" s="139">
        <f t="shared" si="79"/>
        <v>23020.382195473136</v>
      </c>
      <c r="AJ190" s="139">
        <f t="shared" si="79"/>
        <v>23036.071945171767</v>
      </c>
      <c r="AK190" s="139">
        <f t="shared" si="79"/>
        <v>23048.125403144655</v>
      </c>
      <c r="AL190" s="139">
        <f t="shared" si="80"/>
        <v>23056.427071876358</v>
      </c>
      <c r="AM190" s="139">
        <f t="shared" si="80"/>
        <v>23060.858452716238</v>
      </c>
      <c r="AN190" s="139">
        <f t="shared" si="80"/>
        <v>23061.297971378961</v>
      </c>
      <c r="AO190" s="139">
        <f t="shared" si="80"/>
        <v>23057.620901615082</v>
      </c>
      <c r="AP190" s="139">
        <f t="shared" si="80"/>
        <v>23049.699287006573</v>
      </c>
      <c r="AQ190" s="139">
        <f t="shared" si="80"/>
        <v>7441.7009304208368</v>
      </c>
    </row>
    <row r="191" spans="3:43" x14ac:dyDescent="0.25">
      <c r="C191" t="s">
        <v>1345</v>
      </c>
      <c r="D191" s="29">
        <f>Dashboard!$H$145</f>
        <v>1.1000000000000001</v>
      </c>
      <c r="E191" s="131">
        <f>$G$150*D191</f>
        <v>1333.8187867731112</v>
      </c>
      <c r="F191" s="134">
        <f>IFERROR(IRR(H191:AQ191),"n/a")</f>
        <v>0.10626485169437294</v>
      </c>
      <c r="G191" s="139">
        <f>SUMPRODUCT(H191:AQ191,$H$12:$AQ$12)</f>
        <v>39377.113293310249</v>
      </c>
      <c r="H191" s="139">
        <f t="shared" si="77"/>
        <v>-1570.6176490188818</v>
      </c>
      <c r="I191" s="139">
        <f t="shared" si="77"/>
        <v>-778.73814328026663</v>
      </c>
      <c r="J191" s="139">
        <f t="shared" si="77"/>
        <v>-1227.4381311822531</v>
      </c>
      <c r="K191" s="139">
        <f t="shared" si="77"/>
        <v>-65036.589056671743</v>
      </c>
      <c r="L191" s="139">
        <f t="shared" si="77"/>
        <v>-77935.540255178785</v>
      </c>
      <c r="M191" s="139">
        <f t="shared" si="77"/>
        <v>-29186.888195276326</v>
      </c>
      <c r="N191" s="139">
        <f t="shared" si="77"/>
        <v>22027.143628224003</v>
      </c>
      <c r="O191" s="139">
        <f t="shared" si="77"/>
        <v>22097.12675050582</v>
      </c>
      <c r="P191" s="139">
        <f t="shared" si="77"/>
        <v>22165.320413091275</v>
      </c>
      <c r="Q191" s="139">
        <f t="shared" si="77"/>
        <v>22231.657749710634</v>
      </c>
      <c r="R191" s="139">
        <f t="shared" si="78"/>
        <v>22296.070103807011</v>
      </c>
      <c r="S191" s="139">
        <f t="shared" si="78"/>
        <v>22358.486983793293</v>
      </c>
      <c r="T191" s="139">
        <f t="shared" si="78"/>
        <v>22418.83601720869</v>
      </c>
      <c r="U191" s="139">
        <f t="shared" si="78"/>
        <v>22477.042903748312</v>
      </c>
      <c r="V191" s="139">
        <f t="shared" si="78"/>
        <v>22533.031367137562</v>
      </c>
      <c r="W191" s="139">
        <f t="shared" si="78"/>
        <v>22586.723105823738</v>
      </c>
      <c r="X191" s="139">
        <f t="shared" si="78"/>
        <v>22638.037742455213</v>
      </c>
      <c r="Y191" s="139">
        <f t="shared" si="78"/>
        <v>22686.892772118867</v>
      </c>
      <c r="Z191" s="139">
        <f t="shared" si="78"/>
        <v>22733.203509305058</v>
      </c>
      <c r="AA191" s="139">
        <f t="shared" si="78"/>
        <v>22776.883033569124</v>
      </c>
      <c r="AB191" s="139">
        <f t="shared" si="79"/>
        <v>22817.842133857368</v>
      </c>
      <c r="AC191" s="139">
        <f t="shared" si="79"/>
        <v>22855.989251464751</v>
      </c>
      <c r="AD191" s="139">
        <f t="shared" si="79"/>
        <v>22891.230421590742</v>
      </c>
      <c r="AE191" s="139">
        <f t="shared" si="79"/>
        <v>22923.469213459051</v>
      </c>
      <c r="AF191" s="139">
        <f t="shared" si="79"/>
        <v>22952.606668965866</v>
      </c>
      <c r="AG191" s="139">
        <f t="shared" si="79"/>
        <v>22978.541239820632</v>
      </c>
      <c r="AH191" s="139">
        <f t="shared" si="79"/>
        <v>23001.168723142255</v>
      </c>
      <c r="AI191" s="139">
        <f t="shared" si="79"/>
        <v>23020.382195473136</v>
      </c>
      <c r="AJ191" s="139">
        <f t="shared" si="79"/>
        <v>23036.071945171767</v>
      </c>
      <c r="AK191" s="139">
        <f t="shared" si="79"/>
        <v>23048.125403144655</v>
      </c>
      <c r="AL191" s="139">
        <f t="shared" si="80"/>
        <v>23056.427071876358</v>
      </c>
      <c r="AM191" s="139">
        <f t="shared" si="80"/>
        <v>23060.858452716238</v>
      </c>
      <c r="AN191" s="139">
        <f t="shared" si="80"/>
        <v>23061.297971378961</v>
      </c>
      <c r="AO191" s="139">
        <f t="shared" si="80"/>
        <v>23057.620901615082</v>
      </c>
      <c r="AP191" s="139">
        <f t="shared" si="80"/>
        <v>23049.699287006573</v>
      </c>
      <c r="AQ191" s="139">
        <f t="shared" si="80"/>
        <v>7441.7009304208368</v>
      </c>
    </row>
    <row r="192" spans="3:43" x14ac:dyDescent="0.25">
      <c r="C192" t="s">
        <v>1346</v>
      </c>
      <c r="D192" s="29">
        <f>Dashboard!$I$145</f>
        <v>1.2</v>
      </c>
      <c r="E192" s="131">
        <f>$G$150*D192</f>
        <v>1455.075040116121</v>
      </c>
      <c r="F192" s="134">
        <f>IFERROR(IRR(H192:AQ192),"n/a")</f>
        <v>9.696866307262253E-2</v>
      </c>
      <c r="G192" s="139">
        <f>SUMPRODUCT(H192:AQ192,$H$12:$AQ$12)</f>
        <v>27158.873985366838</v>
      </c>
      <c r="H192" s="139">
        <f t="shared" si="77"/>
        <v>-1570.6176490188818</v>
      </c>
      <c r="I192" s="139">
        <f t="shared" si="77"/>
        <v>-778.73814328026663</v>
      </c>
      <c r="J192" s="139">
        <f t="shared" si="77"/>
        <v>-1227.4381311822531</v>
      </c>
      <c r="K192" s="139">
        <f t="shared" si="77"/>
        <v>-70521.326646260772</v>
      </c>
      <c r="L192" s="139">
        <f t="shared" si="77"/>
        <v>-84950.751505178778</v>
      </c>
      <c r="M192" s="139">
        <f t="shared" si="77"/>
        <v>-33165.664185002344</v>
      </c>
      <c r="N192" s="139">
        <f t="shared" si="77"/>
        <v>22027.143628224003</v>
      </c>
      <c r="O192" s="139">
        <f t="shared" si="77"/>
        <v>22097.12675050582</v>
      </c>
      <c r="P192" s="139">
        <f t="shared" si="77"/>
        <v>22165.320413091275</v>
      </c>
      <c r="Q192" s="139">
        <f t="shared" si="77"/>
        <v>22231.657749710634</v>
      </c>
      <c r="R192" s="139">
        <f t="shared" si="78"/>
        <v>22296.070103807011</v>
      </c>
      <c r="S192" s="139">
        <f t="shared" si="78"/>
        <v>22358.486983793293</v>
      </c>
      <c r="T192" s="139">
        <f t="shared" si="78"/>
        <v>22418.83601720869</v>
      </c>
      <c r="U192" s="139">
        <f t="shared" si="78"/>
        <v>22477.042903748312</v>
      </c>
      <c r="V192" s="139">
        <f t="shared" si="78"/>
        <v>22533.031367137562</v>
      </c>
      <c r="W192" s="139">
        <f t="shared" si="78"/>
        <v>22586.723105823738</v>
      </c>
      <c r="X192" s="139">
        <f t="shared" si="78"/>
        <v>22638.037742455213</v>
      </c>
      <c r="Y192" s="139">
        <f t="shared" si="78"/>
        <v>22686.892772118867</v>
      </c>
      <c r="Z192" s="139">
        <f t="shared" si="78"/>
        <v>22733.203509305058</v>
      </c>
      <c r="AA192" s="139">
        <f t="shared" si="78"/>
        <v>22776.883033569124</v>
      </c>
      <c r="AB192" s="139">
        <f t="shared" si="79"/>
        <v>22817.842133857368</v>
      </c>
      <c r="AC192" s="139">
        <f t="shared" si="79"/>
        <v>22855.989251464751</v>
      </c>
      <c r="AD192" s="139">
        <f t="shared" si="79"/>
        <v>22891.230421590742</v>
      </c>
      <c r="AE192" s="139">
        <f t="shared" si="79"/>
        <v>22923.469213459051</v>
      </c>
      <c r="AF192" s="139">
        <f t="shared" si="79"/>
        <v>22952.606668965866</v>
      </c>
      <c r="AG192" s="139">
        <f t="shared" si="79"/>
        <v>22978.541239820632</v>
      </c>
      <c r="AH192" s="139">
        <f t="shared" si="79"/>
        <v>23001.168723142255</v>
      </c>
      <c r="AI192" s="139">
        <f t="shared" si="79"/>
        <v>23020.382195473136</v>
      </c>
      <c r="AJ192" s="139">
        <f t="shared" si="79"/>
        <v>23036.071945171767</v>
      </c>
      <c r="AK192" s="139">
        <f t="shared" si="79"/>
        <v>23048.125403144655</v>
      </c>
      <c r="AL192" s="139">
        <f t="shared" si="80"/>
        <v>23056.427071876358</v>
      </c>
      <c r="AM192" s="139">
        <f t="shared" si="80"/>
        <v>23060.858452716238</v>
      </c>
      <c r="AN192" s="139">
        <f t="shared" si="80"/>
        <v>23061.297971378961</v>
      </c>
      <c r="AO192" s="139">
        <f t="shared" si="80"/>
        <v>23057.620901615082</v>
      </c>
      <c r="AP192" s="139">
        <f t="shared" si="80"/>
        <v>23049.699287006573</v>
      </c>
      <c r="AQ192" s="139">
        <f t="shared" si="80"/>
        <v>7441.7009304208368</v>
      </c>
    </row>
    <row r="194" spans="3:43" x14ac:dyDescent="0.25">
      <c r="C194" s="198" t="s">
        <v>1347</v>
      </c>
    </row>
    <row r="195" spans="3:43" x14ac:dyDescent="0.25">
      <c r="C195" t="s">
        <v>1348</v>
      </c>
      <c r="D195" t="s">
        <v>125</v>
      </c>
      <c r="G195" s="139">
        <f>SUMPRODUCT($H$54:$AQ$54,$H$12:$AQ$12)*(1-Inputs!$E$198-Inputs!$E$212)</f>
        <v>243785.04876983693</v>
      </c>
    </row>
    <row r="196" spans="3:43" x14ac:dyDescent="0.25">
      <c r="C196" t="s">
        <v>1349</v>
      </c>
      <c r="D196" t="s">
        <v>125</v>
      </c>
      <c r="G196" s="139">
        <f>G181</f>
        <v>51595.352601253711</v>
      </c>
    </row>
    <row r="197" spans="3:43" x14ac:dyDescent="0.25">
      <c r="C197" t="s">
        <v>1350</v>
      </c>
      <c r="D197" t="s">
        <v>7</v>
      </c>
      <c r="G197" s="134">
        <f>1-G196/G195</f>
        <v>0.78835719064147336</v>
      </c>
    </row>
    <row r="198" spans="3:43" x14ac:dyDescent="0.25">
      <c r="C198" t="s">
        <v>1351</v>
      </c>
      <c r="D198" t="s">
        <v>40</v>
      </c>
      <c r="G198" s="173">
        <f>$G$153*G197</f>
        <v>82.847867368569368</v>
      </c>
    </row>
    <row r="201" spans="3:43" x14ac:dyDescent="0.25">
      <c r="C201" s="129" t="s">
        <v>1352</v>
      </c>
      <c r="D201" s="129"/>
      <c r="E201" s="270"/>
      <c r="F201" s="270"/>
      <c r="G201" s="270"/>
      <c r="H201" s="270"/>
      <c r="I201" s="270"/>
      <c r="J201" s="270"/>
      <c r="K201" s="270"/>
      <c r="L201" s="270"/>
      <c r="M201" s="270"/>
      <c r="N201" s="270"/>
      <c r="O201" s="270"/>
      <c r="P201" s="270"/>
      <c r="Q201" s="270"/>
      <c r="R201" s="270"/>
      <c r="S201" s="270"/>
      <c r="T201" s="270"/>
      <c r="U201" s="270"/>
      <c r="V201" s="270"/>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row>
    <row r="202" spans="3:43" x14ac:dyDescent="0.25">
      <c r="C202" t="s">
        <v>1353</v>
      </c>
      <c r="D202" t="s">
        <v>125</v>
      </c>
      <c r="E202" s="139">
        <f>MOIC!$G$145</f>
        <v>35928.589870344324</v>
      </c>
      <c r="F202" s="139"/>
      <c r="G202" s="139">
        <f t="shared" ref="G202:G213" si="81">SUM(H202:AQ202)</f>
        <v>-35928.589870344324</v>
      </c>
      <c r="H202" s="139">
        <f>-IF(H$5=YEAR(Inputs!$E$58),$E$202,0)</f>
        <v>0</v>
      </c>
      <c r="I202" s="139">
        <f>-IF(I$5=YEAR(Inputs!$E$58),$E$202,0)</f>
        <v>0</v>
      </c>
      <c r="J202" s="139">
        <f>-IF(J$5=YEAR(Inputs!$E$58),$E$202,0)</f>
        <v>0</v>
      </c>
      <c r="K202" s="139">
        <f>-IF(K$5=YEAR(Inputs!$E$58),$E$202,0)</f>
        <v>-35928.589870344324</v>
      </c>
      <c r="L202" s="139">
        <f>-IF(L$5=YEAR(Inputs!$E$58),$E$202,0)</f>
        <v>0</v>
      </c>
      <c r="M202" s="139">
        <f>-IF(M$5=YEAR(Inputs!$E$58),$E$202,0)</f>
        <v>0</v>
      </c>
      <c r="N202" s="139">
        <f>-IF(N$5=YEAR(Inputs!$E$58),$E$202,0)</f>
        <v>0</v>
      </c>
      <c r="O202" s="139">
        <f>-IF(O$5=YEAR(Inputs!$E$58),$E$202,0)</f>
        <v>0</v>
      </c>
      <c r="P202" s="139">
        <f>-IF(P$5=YEAR(Inputs!$E$58),$E$202,0)</f>
        <v>0</v>
      </c>
      <c r="Q202" s="139">
        <f>-IF(Q$5=YEAR(Inputs!$E$58),$E$202,0)</f>
        <v>0</v>
      </c>
      <c r="R202" s="139">
        <f>-IF(R$5=YEAR(Inputs!$E$58),$E$202,0)</f>
        <v>0</v>
      </c>
      <c r="S202" s="139">
        <f>-IF(S$5=YEAR(Inputs!$E$58),$E$202,0)</f>
        <v>0</v>
      </c>
      <c r="T202" s="139">
        <f>-IF(T$5=YEAR(Inputs!$E$58),$E$202,0)</f>
        <v>0</v>
      </c>
      <c r="U202" s="139">
        <f>-IF(U$5=YEAR(Inputs!$E$58),$E$202,0)</f>
        <v>0</v>
      </c>
      <c r="V202" s="139">
        <f>-IF(V$5=YEAR(Inputs!$E$58),$E$202,0)</f>
        <v>0</v>
      </c>
      <c r="W202" s="139">
        <f>-IF(W$5=YEAR(Inputs!$E$58),$E$202,0)</f>
        <v>0</v>
      </c>
      <c r="X202" s="139">
        <f>-IF(X$5=YEAR(Inputs!$E$58),$E$202,0)</f>
        <v>0</v>
      </c>
      <c r="Y202" s="139">
        <f>-IF(Y$5=YEAR(Inputs!$E$58),$E$202,0)</f>
        <v>0</v>
      </c>
      <c r="Z202" s="139">
        <f>-IF(Z$5=YEAR(Inputs!$E$58),$E$202,0)</f>
        <v>0</v>
      </c>
      <c r="AA202" s="139">
        <f>-IF(AA$5=YEAR(Inputs!$E$58),$E$202,0)</f>
        <v>0</v>
      </c>
      <c r="AB202" s="139">
        <f>-IF(AB$5=YEAR(Inputs!$E$58),$E$202,0)</f>
        <v>0</v>
      </c>
      <c r="AC202" s="139">
        <f>-IF(AC$5=YEAR(Inputs!$E$58),$E$202,0)</f>
        <v>0</v>
      </c>
      <c r="AD202" s="139">
        <f>-IF(AD$5=YEAR(Inputs!$E$58),$E$202,0)</f>
        <v>0</v>
      </c>
      <c r="AE202" s="139">
        <f>-IF(AE$5=YEAR(Inputs!$E$58),$E$202,0)</f>
        <v>0</v>
      </c>
      <c r="AF202" s="139">
        <f>-IF(AF$5=YEAR(Inputs!$E$58),$E$202,0)</f>
        <v>0</v>
      </c>
      <c r="AG202" s="139">
        <f>-IF(AG$5=YEAR(Inputs!$E$58),$E$202,0)</f>
        <v>0</v>
      </c>
      <c r="AH202" s="139">
        <f>-IF(AH$5=YEAR(Inputs!$E$58),$E$202,0)</f>
        <v>0</v>
      </c>
      <c r="AI202" s="139">
        <f>-IF(AI$5=YEAR(Inputs!$E$58),$E$202,0)</f>
        <v>0</v>
      </c>
      <c r="AJ202" s="139">
        <f>-IF(AJ$5=YEAR(Inputs!$E$58),$E$202,0)</f>
        <v>0</v>
      </c>
      <c r="AK202" s="139">
        <f>-IF(AK$5=YEAR(Inputs!$E$58),$E$202,0)</f>
        <v>0</v>
      </c>
      <c r="AL202" s="139">
        <f>-IF(AL$5=YEAR(Inputs!$E$58),$E$202,0)</f>
        <v>0</v>
      </c>
      <c r="AM202" s="139">
        <f>-IF(AM$5=YEAR(Inputs!$E$58),$E$202,0)</f>
        <v>0</v>
      </c>
      <c r="AN202" s="139">
        <f>-IF(AN$5=YEAR(Inputs!$E$58),$E$202,0)</f>
        <v>0</v>
      </c>
      <c r="AO202" s="139">
        <f>-IF(AO$5=YEAR(Inputs!$E$58),$E$202,0)</f>
        <v>0</v>
      </c>
      <c r="AP202" s="139">
        <f>-IF(AP$5=YEAR(Inputs!$E$58),$E$202,0)</f>
        <v>0</v>
      </c>
      <c r="AQ202" s="139">
        <f>-IF(AQ$5=YEAR(Inputs!$E$58),$E$202,0)</f>
        <v>0</v>
      </c>
    </row>
    <row r="203" spans="3:43" x14ac:dyDescent="0.25">
      <c r="C203" t="s">
        <v>1354</v>
      </c>
      <c r="D203" t="s">
        <v>125</v>
      </c>
      <c r="E203" s="139"/>
      <c r="F203" s="139"/>
      <c r="G203" s="139">
        <f t="shared" si="81"/>
        <v>0</v>
      </c>
      <c r="H203" s="139">
        <f t="array" ref="H203">-SUMPRODUCT((YEAR(Deposits!$K$7:$K$18)=H$5)*(Deposits!$N$7:$N$18=1)*((Deposits!$R$7:$R$18&lt;&gt;"Connection fee")*Deposits!$P$7:$P$18+(Deposits!$R$7:$R$18="Connection fee"))*Deposits!$M$7:$M$18)</f>
        <v>0</v>
      </c>
      <c r="I203" s="139">
        <f t="array" ref="I203">-SUMPRODUCT((YEAR(Deposits!$K$7:$K$18)=I$5)*(Deposits!$N$7:$N$18=1)*((Deposits!$R$7:$R$18&lt;&gt;"Connection fee")*Deposits!$P$7:$P$18+(Deposits!$R$7:$R$18="Connection fee"))*Deposits!$M$7:$M$18)</f>
        <v>0</v>
      </c>
      <c r="J203" s="139">
        <f t="array" ref="J203">-SUMPRODUCT((YEAR(Deposits!$K$7:$K$18)=J$5)*(Deposits!$N$7:$N$18=1)*((Deposits!$R$7:$R$18&lt;&gt;"Connection fee")*Deposits!$P$7:$P$18+(Deposits!$R$7:$R$18="Connection fee"))*Deposits!$M$7:$M$18)</f>
        <v>0</v>
      </c>
      <c r="K203" s="139">
        <f t="array" ref="K203">-SUMPRODUCT((YEAR(Deposits!$K$7:$K$18)=K$5)*(Deposits!$N$7:$N$18=1)*((Deposits!$R$7:$R$18&lt;&gt;"Connection fee")*Deposits!$P$7:$P$18+(Deposits!$R$7:$R$18="Connection fee"))*Deposits!$M$7:$M$18)</f>
        <v>0</v>
      </c>
      <c r="L203" s="139">
        <f t="array" ref="L203">-SUMPRODUCT((YEAR(Deposits!$K$7:$K$18)=L$5)*(Deposits!$N$7:$N$18=1)*((Deposits!$R$7:$R$18&lt;&gt;"Connection fee")*Deposits!$P$7:$P$18+(Deposits!$R$7:$R$18="Connection fee"))*Deposits!$M$7:$M$18)</f>
        <v>0</v>
      </c>
      <c r="M203" s="139">
        <f t="array" ref="M203">-SUMPRODUCT((YEAR(Deposits!$K$7:$K$18)=M$5)*(Deposits!$N$7:$N$18=1)*((Deposits!$R$7:$R$18&lt;&gt;"Connection fee")*Deposits!$P$7:$P$18+(Deposits!$R$7:$R$18="Connection fee"))*Deposits!$M$7:$M$18)</f>
        <v>0</v>
      </c>
      <c r="N203" s="139">
        <f t="array" ref="N203">-SUMPRODUCT((YEAR(Deposits!$K$7:$K$18)=N$5)*(Deposits!$N$7:$N$18=1)*((Deposits!$R$7:$R$18&lt;&gt;"Connection fee")*Deposits!$P$7:$P$18+(Deposits!$R$7:$R$18="Connection fee"))*Deposits!$M$7:$M$18)</f>
        <v>0</v>
      </c>
      <c r="O203" s="139">
        <f t="array" ref="O203">-SUMPRODUCT((YEAR(Deposits!$K$7:$K$18)=O$5)*(Deposits!$N$7:$N$18=1)*((Deposits!$R$7:$R$18&lt;&gt;"Connection fee")*Deposits!$P$7:$P$18+(Deposits!$R$7:$R$18="Connection fee"))*Deposits!$M$7:$M$18)</f>
        <v>0</v>
      </c>
      <c r="P203" s="139">
        <f t="array" ref="P203">-SUMPRODUCT((YEAR(Deposits!$K$7:$K$18)=P$5)*(Deposits!$N$7:$N$18=1)*((Deposits!$R$7:$R$18&lt;&gt;"Connection fee")*Deposits!$P$7:$P$18+(Deposits!$R$7:$R$18="Connection fee"))*Deposits!$M$7:$M$18)</f>
        <v>0</v>
      </c>
      <c r="Q203" s="139">
        <f t="array" ref="Q203">-SUMPRODUCT((YEAR(Deposits!$K$7:$K$18)=Q$5)*(Deposits!$N$7:$N$18=1)*((Deposits!$R$7:$R$18&lt;&gt;"Connection fee")*Deposits!$P$7:$P$18+(Deposits!$R$7:$R$18="Connection fee"))*Deposits!$M$7:$M$18)</f>
        <v>0</v>
      </c>
      <c r="R203" s="139">
        <f t="array" ref="R203">-SUMPRODUCT((YEAR(Deposits!$K$7:$K$18)=R$5)*(Deposits!$N$7:$N$18=1)*((Deposits!$R$7:$R$18&lt;&gt;"Connection fee")*Deposits!$P$7:$P$18+(Deposits!$R$7:$R$18="Connection fee"))*Deposits!$M$7:$M$18)</f>
        <v>0</v>
      </c>
      <c r="S203" s="139">
        <f t="array" ref="S203">-SUMPRODUCT((YEAR(Deposits!$K$7:$K$18)=S$5)*(Deposits!$N$7:$N$18=1)*((Deposits!$R$7:$R$18&lt;&gt;"Connection fee")*Deposits!$P$7:$P$18+(Deposits!$R$7:$R$18="Connection fee"))*Deposits!$M$7:$M$18)</f>
        <v>0</v>
      </c>
      <c r="T203" s="139">
        <f t="array" ref="T203">-SUMPRODUCT((YEAR(Deposits!$K$7:$K$18)=T$5)*(Deposits!$N$7:$N$18=1)*((Deposits!$R$7:$R$18&lt;&gt;"Connection fee")*Deposits!$P$7:$P$18+(Deposits!$R$7:$R$18="Connection fee"))*Deposits!$M$7:$M$18)</f>
        <v>0</v>
      </c>
      <c r="U203" s="139">
        <f t="array" ref="U203">-SUMPRODUCT((YEAR(Deposits!$K$7:$K$18)=U$5)*(Deposits!$N$7:$N$18=1)*((Deposits!$R$7:$R$18&lt;&gt;"Connection fee")*Deposits!$P$7:$P$18+(Deposits!$R$7:$R$18="Connection fee"))*Deposits!$M$7:$M$18)</f>
        <v>0</v>
      </c>
      <c r="V203" s="139">
        <f t="array" ref="V203">-SUMPRODUCT((YEAR(Deposits!$K$7:$K$18)=V$5)*(Deposits!$N$7:$N$18=1)*((Deposits!$R$7:$R$18&lt;&gt;"Connection fee")*Deposits!$P$7:$P$18+(Deposits!$R$7:$R$18="Connection fee"))*Deposits!$M$7:$M$18)</f>
        <v>0</v>
      </c>
      <c r="W203" s="139">
        <f t="array" ref="W203">-SUMPRODUCT((YEAR(Deposits!$K$7:$K$18)=W$5)*(Deposits!$N$7:$N$18=1)*((Deposits!$R$7:$R$18&lt;&gt;"Connection fee")*Deposits!$P$7:$P$18+(Deposits!$R$7:$R$18="Connection fee"))*Deposits!$M$7:$M$18)</f>
        <v>0</v>
      </c>
      <c r="X203" s="139">
        <f t="array" ref="X203">-SUMPRODUCT((YEAR(Deposits!$K$7:$K$18)=X$5)*(Deposits!$N$7:$N$18=1)*((Deposits!$R$7:$R$18&lt;&gt;"Connection fee")*Deposits!$P$7:$P$18+(Deposits!$R$7:$R$18="Connection fee"))*Deposits!$M$7:$M$18)</f>
        <v>0</v>
      </c>
      <c r="Y203" s="139">
        <f t="array" ref="Y203">-SUMPRODUCT((YEAR(Deposits!$K$7:$K$18)=Y$5)*(Deposits!$N$7:$N$18=1)*((Deposits!$R$7:$R$18&lt;&gt;"Connection fee")*Deposits!$P$7:$P$18+(Deposits!$R$7:$R$18="Connection fee"))*Deposits!$M$7:$M$18)</f>
        <v>0</v>
      </c>
      <c r="Z203" s="139">
        <f t="array" ref="Z203">-SUMPRODUCT((YEAR(Deposits!$K$7:$K$18)=Z$5)*(Deposits!$N$7:$N$18=1)*((Deposits!$R$7:$R$18&lt;&gt;"Connection fee")*Deposits!$P$7:$P$18+(Deposits!$R$7:$R$18="Connection fee"))*Deposits!$M$7:$M$18)</f>
        <v>0</v>
      </c>
      <c r="AA203" s="139">
        <f t="array" ref="AA203">-SUMPRODUCT((YEAR(Deposits!$K$7:$K$18)=AA$5)*(Deposits!$N$7:$N$18=1)*((Deposits!$R$7:$R$18&lt;&gt;"Connection fee")*Deposits!$P$7:$P$18+(Deposits!$R$7:$R$18="Connection fee"))*Deposits!$M$7:$M$18)</f>
        <v>0</v>
      </c>
      <c r="AB203" s="139">
        <f t="array" ref="AB203">-SUMPRODUCT((YEAR(Deposits!$K$7:$K$18)=AB$5)*(Deposits!$N$7:$N$18=1)*((Deposits!$R$7:$R$18&lt;&gt;"Connection fee")*Deposits!$P$7:$P$18+(Deposits!$R$7:$R$18="Connection fee"))*Deposits!$M$7:$M$18)</f>
        <v>0</v>
      </c>
      <c r="AC203" s="139">
        <f t="array" ref="AC203">-SUMPRODUCT((YEAR(Deposits!$K$7:$K$18)=AC$5)*(Deposits!$N$7:$N$18=1)*((Deposits!$R$7:$R$18&lt;&gt;"Connection fee")*Deposits!$P$7:$P$18+(Deposits!$R$7:$R$18="Connection fee"))*Deposits!$M$7:$M$18)</f>
        <v>0</v>
      </c>
      <c r="AD203" s="139">
        <f t="array" ref="AD203">-SUMPRODUCT((YEAR(Deposits!$K$7:$K$18)=AD$5)*(Deposits!$N$7:$N$18=1)*((Deposits!$R$7:$R$18&lt;&gt;"Connection fee")*Deposits!$P$7:$P$18+(Deposits!$R$7:$R$18="Connection fee"))*Deposits!$M$7:$M$18)</f>
        <v>0</v>
      </c>
      <c r="AE203" s="139">
        <f t="array" ref="AE203">-SUMPRODUCT((YEAR(Deposits!$K$7:$K$18)=AE$5)*(Deposits!$N$7:$N$18=1)*((Deposits!$R$7:$R$18&lt;&gt;"Connection fee")*Deposits!$P$7:$P$18+(Deposits!$R$7:$R$18="Connection fee"))*Deposits!$M$7:$M$18)</f>
        <v>0</v>
      </c>
      <c r="AF203" s="139">
        <f t="array" ref="AF203">-SUMPRODUCT((YEAR(Deposits!$K$7:$K$18)=AF$5)*(Deposits!$N$7:$N$18=1)*((Deposits!$R$7:$R$18&lt;&gt;"Connection fee")*Deposits!$P$7:$P$18+(Deposits!$R$7:$R$18="Connection fee"))*Deposits!$M$7:$M$18)</f>
        <v>0</v>
      </c>
      <c r="AG203" s="139">
        <f t="array" ref="AG203">-SUMPRODUCT((YEAR(Deposits!$K$7:$K$18)=AG$5)*(Deposits!$N$7:$N$18=1)*((Deposits!$R$7:$R$18&lt;&gt;"Connection fee")*Deposits!$P$7:$P$18+(Deposits!$R$7:$R$18="Connection fee"))*Deposits!$M$7:$M$18)</f>
        <v>0</v>
      </c>
      <c r="AH203" s="139">
        <f t="array" ref="AH203">-SUMPRODUCT((YEAR(Deposits!$K$7:$K$18)=AH$5)*(Deposits!$N$7:$N$18=1)*((Deposits!$R$7:$R$18&lt;&gt;"Connection fee")*Deposits!$P$7:$P$18+(Deposits!$R$7:$R$18="Connection fee"))*Deposits!$M$7:$M$18)</f>
        <v>0</v>
      </c>
      <c r="AI203" s="139">
        <f t="array" ref="AI203">-SUMPRODUCT((YEAR(Deposits!$K$7:$K$18)=AI$5)*(Deposits!$N$7:$N$18=1)*((Deposits!$R$7:$R$18&lt;&gt;"Connection fee")*Deposits!$P$7:$P$18+(Deposits!$R$7:$R$18="Connection fee"))*Deposits!$M$7:$M$18)</f>
        <v>0</v>
      </c>
      <c r="AJ203" s="139">
        <f t="array" ref="AJ203">-SUMPRODUCT((YEAR(Deposits!$K$7:$K$18)=AJ$5)*(Deposits!$N$7:$N$18=1)*((Deposits!$R$7:$R$18&lt;&gt;"Connection fee")*Deposits!$P$7:$P$18+(Deposits!$R$7:$R$18="Connection fee"))*Deposits!$M$7:$M$18)</f>
        <v>0</v>
      </c>
      <c r="AK203" s="139">
        <f t="array" ref="AK203">-SUMPRODUCT((YEAR(Deposits!$K$7:$K$18)=AK$5)*(Deposits!$N$7:$N$18=1)*((Deposits!$R$7:$R$18&lt;&gt;"Connection fee")*Deposits!$P$7:$P$18+(Deposits!$R$7:$R$18="Connection fee"))*Deposits!$M$7:$M$18)</f>
        <v>0</v>
      </c>
      <c r="AL203" s="139">
        <f t="array" ref="AL203">-SUMPRODUCT((YEAR(Deposits!$K$7:$K$18)=AL$5)*(Deposits!$N$7:$N$18=1)*((Deposits!$R$7:$R$18&lt;&gt;"Connection fee")*Deposits!$P$7:$P$18+(Deposits!$R$7:$R$18="Connection fee"))*Deposits!$M$7:$M$18)</f>
        <v>0</v>
      </c>
      <c r="AM203" s="139">
        <f t="array" ref="AM203">-SUMPRODUCT((YEAR(Deposits!$K$7:$K$18)=AM$5)*(Deposits!$N$7:$N$18=1)*((Deposits!$R$7:$R$18&lt;&gt;"Connection fee")*Deposits!$P$7:$P$18+(Deposits!$R$7:$R$18="Connection fee"))*Deposits!$M$7:$M$18)</f>
        <v>0</v>
      </c>
      <c r="AN203" s="139">
        <f t="array" ref="AN203">-SUMPRODUCT((YEAR(Deposits!$K$7:$K$18)=AN$5)*(Deposits!$N$7:$N$18=1)*((Deposits!$R$7:$R$18&lt;&gt;"Connection fee")*Deposits!$P$7:$P$18+(Deposits!$R$7:$R$18="Connection fee"))*Deposits!$M$7:$M$18)</f>
        <v>0</v>
      </c>
      <c r="AO203" s="139">
        <f t="array" ref="AO203">-SUMPRODUCT((YEAR(Deposits!$K$7:$K$18)=AO$5)*(Deposits!$N$7:$N$18=1)*((Deposits!$R$7:$R$18&lt;&gt;"Connection fee")*Deposits!$P$7:$P$18+(Deposits!$R$7:$R$18="Connection fee"))*Deposits!$M$7:$M$18)</f>
        <v>0</v>
      </c>
      <c r="AP203" s="139">
        <f t="array" ref="AP203">-SUMPRODUCT((YEAR(Deposits!$K$7:$K$18)=AP$5)*(Deposits!$N$7:$N$18=1)*((Deposits!$R$7:$R$18&lt;&gt;"Connection fee")*Deposits!$P$7:$P$18+(Deposits!$R$7:$R$18="Connection fee"))*Deposits!$M$7:$M$18)</f>
        <v>0</v>
      </c>
      <c r="AQ203" s="139">
        <f t="array" ref="AQ203">-SUMPRODUCT((YEAR(Deposits!$K$7:$K$18)=AQ$5)*(Deposits!$N$7:$N$18=1)*((Deposits!$R$7:$R$18&lt;&gt;"Connection fee")*Deposits!$P$7:$P$18+(Deposits!$R$7:$R$18="Connection fee"))*Deposits!$M$7:$M$18)</f>
        <v>0</v>
      </c>
    </row>
    <row r="204" spans="3:43" x14ac:dyDescent="0.25">
      <c r="C204" t="s">
        <v>1203</v>
      </c>
      <c r="D204" t="s">
        <v>125</v>
      </c>
      <c r="E204" s="139"/>
      <c r="F204" s="139"/>
      <c r="G204" s="139">
        <f t="shared" si="81"/>
        <v>0</v>
      </c>
      <c r="H204" s="139">
        <f t="array" ref="H204">IF(H$5=YEAR(Inputs!$E$155),SUMPRODUCT(((Deposits!$R$7:$R$18="Security")+(Deposits!$R$7:$R$18="Refund"))*Deposits!$P$7:$P$18*Deposits!$M$7:$M$18)-Deposits!$P$11*Deposits!$M$11,0)</f>
        <v>0</v>
      </c>
      <c r="I204" s="139">
        <f t="array" ref="I204">IF(I$5=YEAR(Inputs!$E$155),SUMPRODUCT(((Deposits!$R$7:$R$18="Security")+(Deposits!$R$7:$R$18="Refund"))*Deposits!$P$7:$P$18*Deposits!$M$7:$M$18)-Deposits!$P$11*Deposits!$M$11,0)</f>
        <v>0</v>
      </c>
      <c r="J204" s="139">
        <f t="array" ref="J204">IF(J$5=YEAR(Inputs!$E$155),SUMPRODUCT(((Deposits!$R$7:$R$18="Security")+(Deposits!$R$7:$R$18="Refund"))*Deposits!$P$7:$P$18*Deposits!$M$7:$M$18)-Deposits!$P$11*Deposits!$M$11,0)</f>
        <v>0</v>
      </c>
      <c r="K204" s="139">
        <f t="array" ref="K204">IF(K$5=YEAR(Inputs!$E$155),SUMPRODUCT(((Deposits!$R$7:$R$18="Security")+(Deposits!$R$7:$R$18="Refund"))*Deposits!$P$7:$P$18*Deposits!$M$7:$M$18)-Deposits!$P$11*Deposits!$M$11,0)</f>
        <v>0</v>
      </c>
      <c r="L204" s="139">
        <f t="array" ref="L204">IF(L$5=YEAR(Inputs!$E$155),SUMPRODUCT(((Deposits!$R$7:$R$18="Security")+(Deposits!$R$7:$R$18="Refund"))*Deposits!$P$7:$P$18*Deposits!$M$7:$M$18)-Deposits!$P$11*Deposits!$M$11,0)</f>
        <v>0</v>
      </c>
      <c r="M204" s="139">
        <f t="array" ref="M204">IF(M$5=YEAR(Inputs!$E$155),SUMPRODUCT(((Deposits!$R$7:$R$18="Security")+(Deposits!$R$7:$R$18="Refund"))*Deposits!$P$7:$P$18*Deposits!$M$7:$M$18)-Deposits!$P$11*Deposits!$M$11,0)</f>
        <v>0</v>
      </c>
      <c r="N204" s="139">
        <f t="array" ref="N204">IF(N$5=YEAR(Inputs!$E$155),SUMPRODUCT(((Deposits!$R$7:$R$18="Security")+(Deposits!$R$7:$R$18="Refund"))*Deposits!$P$7:$P$18*Deposits!$M$7:$M$18)-Deposits!$P$11*Deposits!$M$11,0)</f>
        <v>0</v>
      </c>
      <c r="O204" s="139">
        <f t="array" ref="O204">IF(O$5=YEAR(Inputs!$E$155),SUMPRODUCT(((Deposits!$R$7:$R$18="Security")+(Deposits!$R$7:$R$18="Refund"))*Deposits!$P$7:$P$18*Deposits!$M$7:$M$18)-Deposits!$P$11*Deposits!$M$11,0)</f>
        <v>0</v>
      </c>
      <c r="P204" s="139">
        <f t="array" ref="P204">IF(P$5=YEAR(Inputs!$E$155),SUMPRODUCT(((Deposits!$R$7:$R$18="Security")+(Deposits!$R$7:$R$18="Refund"))*Deposits!$P$7:$P$18*Deposits!$M$7:$M$18)-Deposits!$P$11*Deposits!$M$11,0)</f>
        <v>0</v>
      </c>
      <c r="Q204" s="139">
        <f t="array" ref="Q204">IF(Q$5=YEAR(Inputs!$E$155),SUMPRODUCT(((Deposits!$R$7:$R$18="Security")+(Deposits!$R$7:$R$18="Refund"))*Deposits!$P$7:$P$18*Deposits!$M$7:$M$18)-Deposits!$P$11*Deposits!$M$11,0)</f>
        <v>0</v>
      </c>
      <c r="R204" s="139">
        <f t="array" ref="R204">IF(R$5=YEAR(Inputs!$E$155),SUMPRODUCT(((Deposits!$R$7:$R$18="Security")+(Deposits!$R$7:$R$18="Refund"))*Deposits!$P$7:$P$18*Deposits!$M$7:$M$18)-Deposits!$P$11*Deposits!$M$11,0)</f>
        <v>0</v>
      </c>
      <c r="S204" s="139">
        <f t="array" ref="S204">IF(S$5=YEAR(Inputs!$E$155),SUMPRODUCT(((Deposits!$R$7:$R$18="Security")+(Deposits!$R$7:$R$18="Refund"))*Deposits!$P$7:$P$18*Deposits!$M$7:$M$18)-Deposits!$P$11*Deposits!$M$11,0)</f>
        <v>0</v>
      </c>
      <c r="T204" s="139">
        <f t="array" ref="T204">IF(T$5=YEAR(Inputs!$E$155),SUMPRODUCT(((Deposits!$R$7:$R$18="Security")+(Deposits!$R$7:$R$18="Refund"))*Deposits!$P$7:$P$18*Deposits!$M$7:$M$18)-Deposits!$P$11*Deposits!$M$11,0)</f>
        <v>0</v>
      </c>
      <c r="U204" s="139">
        <f t="array" ref="U204">IF(U$5=YEAR(Inputs!$E$155),SUMPRODUCT(((Deposits!$R$7:$R$18="Security")+(Deposits!$R$7:$R$18="Refund"))*Deposits!$P$7:$P$18*Deposits!$M$7:$M$18)-Deposits!$P$11*Deposits!$M$11,0)</f>
        <v>0</v>
      </c>
      <c r="V204" s="139">
        <f t="array" ref="V204">IF(V$5=YEAR(Inputs!$E$155),SUMPRODUCT(((Deposits!$R$7:$R$18="Security")+(Deposits!$R$7:$R$18="Refund"))*Deposits!$P$7:$P$18*Deposits!$M$7:$M$18)-Deposits!$P$11*Deposits!$M$11,0)</f>
        <v>0</v>
      </c>
      <c r="W204" s="139">
        <f t="array" ref="W204">IF(W$5=YEAR(Inputs!$E$155),SUMPRODUCT(((Deposits!$R$7:$R$18="Security")+(Deposits!$R$7:$R$18="Refund"))*Deposits!$P$7:$P$18*Deposits!$M$7:$M$18)-Deposits!$P$11*Deposits!$M$11,0)</f>
        <v>0</v>
      </c>
      <c r="X204" s="139">
        <f t="array" ref="X204">IF(X$5=YEAR(Inputs!$E$155),SUMPRODUCT(((Deposits!$R$7:$R$18="Security")+(Deposits!$R$7:$R$18="Refund"))*Deposits!$P$7:$P$18*Deposits!$M$7:$M$18)-Deposits!$P$11*Deposits!$M$11,0)</f>
        <v>0</v>
      </c>
      <c r="Y204" s="139">
        <f t="array" ref="Y204">IF(Y$5=YEAR(Inputs!$E$155),SUMPRODUCT(((Deposits!$R$7:$R$18="Security")+(Deposits!$R$7:$R$18="Refund"))*Deposits!$P$7:$P$18*Deposits!$M$7:$M$18)-Deposits!$P$11*Deposits!$M$11,0)</f>
        <v>0</v>
      </c>
      <c r="Z204" s="139">
        <f t="array" ref="Z204">IF(Z$5=YEAR(Inputs!$E$155),SUMPRODUCT(((Deposits!$R$7:$R$18="Security")+(Deposits!$R$7:$R$18="Refund"))*Deposits!$P$7:$P$18*Deposits!$M$7:$M$18)-Deposits!$P$11*Deposits!$M$11,0)</f>
        <v>0</v>
      </c>
      <c r="AA204" s="139">
        <f t="array" ref="AA204">IF(AA$5=YEAR(Inputs!$E$155),SUMPRODUCT(((Deposits!$R$7:$R$18="Security")+(Deposits!$R$7:$R$18="Refund"))*Deposits!$P$7:$P$18*Deposits!$M$7:$M$18)-Deposits!$P$11*Deposits!$M$11,0)</f>
        <v>0</v>
      </c>
      <c r="AB204" s="139">
        <f t="array" ref="AB204">IF(AB$5=YEAR(Inputs!$E$155),SUMPRODUCT(((Deposits!$R$7:$R$18="Security")+(Deposits!$R$7:$R$18="Refund"))*Deposits!$P$7:$P$18*Deposits!$M$7:$M$18)-Deposits!$P$11*Deposits!$M$11,0)</f>
        <v>0</v>
      </c>
      <c r="AC204" s="139">
        <f t="array" ref="AC204">IF(AC$5=YEAR(Inputs!$E$155),SUMPRODUCT(((Deposits!$R$7:$R$18="Security")+(Deposits!$R$7:$R$18="Refund"))*Deposits!$P$7:$P$18*Deposits!$M$7:$M$18)-Deposits!$P$11*Deposits!$M$11,0)</f>
        <v>0</v>
      </c>
      <c r="AD204" s="139">
        <f t="array" ref="AD204">IF(AD$5=YEAR(Inputs!$E$155),SUMPRODUCT(((Deposits!$R$7:$R$18="Security")+(Deposits!$R$7:$R$18="Refund"))*Deposits!$P$7:$P$18*Deposits!$M$7:$M$18)-Deposits!$P$11*Deposits!$M$11,0)</f>
        <v>0</v>
      </c>
      <c r="AE204" s="139">
        <f t="array" ref="AE204">IF(AE$5=YEAR(Inputs!$E$155),SUMPRODUCT(((Deposits!$R$7:$R$18="Security")+(Deposits!$R$7:$R$18="Refund"))*Deposits!$P$7:$P$18*Deposits!$M$7:$M$18)-Deposits!$P$11*Deposits!$M$11,0)</f>
        <v>0</v>
      </c>
      <c r="AF204" s="139">
        <f t="array" ref="AF204">IF(AF$5=YEAR(Inputs!$E$155),SUMPRODUCT(((Deposits!$R$7:$R$18="Security")+(Deposits!$R$7:$R$18="Refund"))*Deposits!$P$7:$P$18*Deposits!$M$7:$M$18)-Deposits!$P$11*Deposits!$M$11,0)</f>
        <v>0</v>
      </c>
      <c r="AG204" s="139">
        <f t="array" ref="AG204">IF(AG$5=YEAR(Inputs!$E$155),SUMPRODUCT(((Deposits!$R$7:$R$18="Security")+(Deposits!$R$7:$R$18="Refund"))*Deposits!$P$7:$P$18*Deposits!$M$7:$M$18)-Deposits!$P$11*Deposits!$M$11,0)</f>
        <v>0</v>
      </c>
      <c r="AH204" s="139">
        <f t="array" ref="AH204">IF(AH$5=YEAR(Inputs!$E$155),SUMPRODUCT(((Deposits!$R$7:$R$18="Security")+(Deposits!$R$7:$R$18="Refund"))*Deposits!$P$7:$P$18*Deposits!$M$7:$M$18)-Deposits!$P$11*Deposits!$M$11,0)</f>
        <v>0</v>
      </c>
      <c r="AI204" s="139">
        <f t="array" ref="AI204">IF(AI$5=YEAR(Inputs!$E$155),SUMPRODUCT(((Deposits!$R$7:$R$18="Security")+(Deposits!$R$7:$R$18="Refund"))*Deposits!$P$7:$P$18*Deposits!$M$7:$M$18)-Deposits!$P$11*Deposits!$M$11,0)</f>
        <v>0</v>
      </c>
      <c r="AJ204" s="139">
        <f t="array" ref="AJ204">IF(AJ$5=YEAR(Inputs!$E$155),SUMPRODUCT(((Deposits!$R$7:$R$18="Security")+(Deposits!$R$7:$R$18="Refund"))*Deposits!$P$7:$P$18*Deposits!$M$7:$M$18)-Deposits!$P$11*Deposits!$M$11,0)</f>
        <v>0</v>
      </c>
      <c r="AK204" s="139">
        <f t="array" ref="AK204">IF(AK$5=YEAR(Inputs!$E$155),SUMPRODUCT(((Deposits!$R$7:$R$18="Security")+(Deposits!$R$7:$R$18="Refund"))*Deposits!$P$7:$P$18*Deposits!$M$7:$M$18)-Deposits!$P$11*Deposits!$M$11,0)</f>
        <v>0</v>
      </c>
      <c r="AL204" s="139">
        <f t="array" ref="AL204">IF(AL$5=YEAR(Inputs!$E$155),SUMPRODUCT(((Deposits!$R$7:$R$18="Security")+(Deposits!$R$7:$R$18="Refund"))*Deposits!$P$7:$P$18*Deposits!$M$7:$M$18)-Deposits!$P$11*Deposits!$M$11,0)</f>
        <v>0</v>
      </c>
      <c r="AM204" s="139">
        <f t="array" ref="AM204">IF(AM$5=YEAR(Inputs!$E$155),SUMPRODUCT(((Deposits!$R$7:$R$18="Security")+(Deposits!$R$7:$R$18="Refund"))*Deposits!$P$7:$P$18*Deposits!$M$7:$M$18)-Deposits!$P$11*Deposits!$M$11,0)</f>
        <v>0</v>
      </c>
      <c r="AN204" s="139">
        <f t="array" ref="AN204">IF(AN$5=YEAR(Inputs!$E$155),SUMPRODUCT(((Deposits!$R$7:$R$18="Security")+(Deposits!$R$7:$R$18="Refund"))*Deposits!$P$7:$P$18*Deposits!$M$7:$M$18)-Deposits!$P$11*Deposits!$M$11,0)</f>
        <v>0</v>
      </c>
      <c r="AO204" s="139">
        <f t="array" ref="AO204">IF(AO$5=YEAR(Inputs!$E$155),SUMPRODUCT(((Deposits!$R$7:$R$18="Security")+(Deposits!$R$7:$R$18="Refund"))*Deposits!$P$7:$P$18*Deposits!$M$7:$M$18)-Deposits!$P$11*Deposits!$M$11,0)</f>
        <v>0</v>
      </c>
      <c r="AP204" s="139">
        <f t="array" ref="AP204">IF(AP$5=YEAR(Inputs!$E$155),SUMPRODUCT(((Deposits!$R$7:$R$18="Security")+(Deposits!$R$7:$R$18="Refund"))*Deposits!$P$7:$P$18*Deposits!$M$7:$M$18)-Deposits!$P$11*Deposits!$M$11,0)</f>
        <v>0</v>
      </c>
      <c r="AQ204" s="139">
        <f t="array" ref="AQ204">IF(AQ$5=YEAR(Inputs!$E$155),SUMPRODUCT(((Deposits!$R$7:$R$18="Security")+(Deposits!$R$7:$R$18="Refund"))*Deposits!$P$7:$P$18*Deposits!$M$7:$M$18)-Deposits!$P$11*Deposits!$M$11,0)</f>
        <v>0</v>
      </c>
    </row>
    <row r="205" spans="3:43" x14ac:dyDescent="0.25">
      <c r="C205" t="s">
        <v>1355</v>
      </c>
      <c r="D205" t="s">
        <v>125</v>
      </c>
      <c r="E205" s="139"/>
      <c r="F205" s="139"/>
      <c r="G205" s="139">
        <f t="shared" si="81"/>
        <v>-145304.22500000003</v>
      </c>
      <c r="H205" s="139">
        <f t="shared" ref="H205:AQ205" si="82">H27+H29</f>
        <v>0</v>
      </c>
      <c r="I205" s="139">
        <f t="shared" si="82"/>
        <v>0</v>
      </c>
      <c r="J205" s="139">
        <f t="shared" si="82"/>
        <v>0</v>
      </c>
      <c r="K205" s="139">
        <f t="shared" si="82"/>
        <v>-35364.352602739738</v>
      </c>
      <c r="L205" s="139">
        <f t="shared" si="82"/>
        <v>-70152.112500000017</v>
      </c>
      <c r="M205" s="139">
        <f t="shared" si="82"/>
        <v>-39787.759897260286</v>
      </c>
      <c r="N205" s="139">
        <f t="shared" si="82"/>
        <v>0</v>
      </c>
      <c r="O205" s="139">
        <f t="shared" si="82"/>
        <v>0</v>
      </c>
      <c r="P205" s="139">
        <f t="shared" si="82"/>
        <v>0</v>
      </c>
      <c r="Q205" s="139">
        <f t="shared" si="82"/>
        <v>0</v>
      </c>
      <c r="R205" s="139">
        <f t="shared" si="82"/>
        <v>0</v>
      </c>
      <c r="S205" s="139">
        <f t="shared" si="82"/>
        <v>0</v>
      </c>
      <c r="T205" s="139">
        <f t="shared" si="82"/>
        <v>0</v>
      </c>
      <c r="U205" s="139">
        <f t="shared" si="82"/>
        <v>0</v>
      </c>
      <c r="V205" s="139">
        <f t="shared" si="82"/>
        <v>0</v>
      </c>
      <c r="W205" s="139">
        <f t="shared" si="82"/>
        <v>0</v>
      </c>
      <c r="X205" s="139">
        <f t="shared" si="82"/>
        <v>0</v>
      </c>
      <c r="Y205" s="139">
        <f t="shared" si="82"/>
        <v>0</v>
      </c>
      <c r="Z205" s="139">
        <f t="shared" si="82"/>
        <v>0</v>
      </c>
      <c r="AA205" s="139">
        <f t="shared" si="82"/>
        <v>0</v>
      </c>
      <c r="AB205" s="139">
        <f t="shared" si="82"/>
        <v>0</v>
      </c>
      <c r="AC205" s="139">
        <f t="shared" si="82"/>
        <v>0</v>
      </c>
      <c r="AD205" s="139">
        <f t="shared" si="82"/>
        <v>0</v>
      </c>
      <c r="AE205" s="139">
        <f t="shared" si="82"/>
        <v>0</v>
      </c>
      <c r="AF205" s="139">
        <f t="shared" si="82"/>
        <v>0</v>
      </c>
      <c r="AG205" s="139">
        <f t="shared" si="82"/>
        <v>0</v>
      </c>
      <c r="AH205" s="139">
        <f t="shared" si="82"/>
        <v>0</v>
      </c>
      <c r="AI205" s="139">
        <f t="shared" si="82"/>
        <v>0</v>
      </c>
      <c r="AJ205" s="139">
        <f t="shared" si="82"/>
        <v>0</v>
      </c>
      <c r="AK205" s="139">
        <f t="shared" si="82"/>
        <v>0</v>
      </c>
      <c r="AL205" s="139">
        <f t="shared" si="82"/>
        <v>0</v>
      </c>
      <c r="AM205" s="139">
        <f t="shared" si="82"/>
        <v>0</v>
      </c>
      <c r="AN205" s="139">
        <f t="shared" si="82"/>
        <v>0</v>
      </c>
      <c r="AO205" s="139">
        <f t="shared" si="82"/>
        <v>0</v>
      </c>
      <c r="AP205" s="139">
        <f t="shared" si="82"/>
        <v>0</v>
      </c>
      <c r="AQ205" s="139">
        <f t="shared" si="82"/>
        <v>0</v>
      </c>
    </row>
    <row r="206" spans="3:43" x14ac:dyDescent="0.25">
      <c r="C206" t="s">
        <v>24</v>
      </c>
      <c r="D206" t="s">
        <v>125</v>
      </c>
      <c r="E206" s="139"/>
      <c r="F206" s="139"/>
      <c r="G206" s="139">
        <f t="shared" si="81"/>
        <v>82393.62414657537</v>
      </c>
      <c r="H206" s="139">
        <f t="shared" ref="H206:AQ206" si="83">H77</f>
        <v>0</v>
      </c>
      <c r="I206" s="139">
        <f t="shared" si="83"/>
        <v>0</v>
      </c>
      <c r="J206" s="139">
        <f t="shared" si="83"/>
        <v>0</v>
      </c>
      <c r="K206" s="139">
        <f t="shared" si="83"/>
        <v>20767.708004068314</v>
      </c>
      <c r="L206" s="139">
        <f t="shared" si="83"/>
        <v>41196.812073287685</v>
      </c>
      <c r="M206" s="139">
        <f t="shared" si="83"/>
        <v>20429.104069219375</v>
      </c>
      <c r="N206" s="139">
        <f t="shared" si="83"/>
        <v>0</v>
      </c>
      <c r="O206" s="139">
        <f t="shared" si="83"/>
        <v>0</v>
      </c>
      <c r="P206" s="139">
        <f t="shared" si="83"/>
        <v>0</v>
      </c>
      <c r="Q206" s="139">
        <f t="shared" si="83"/>
        <v>0</v>
      </c>
      <c r="R206" s="139">
        <f t="shared" si="83"/>
        <v>0</v>
      </c>
      <c r="S206" s="139">
        <f t="shared" si="83"/>
        <v>0</v>
      </c>
      <c r="T206" s="139">
        <f t="shared" si="83"/>
        <v>0</v>
      </c>
      <c r="U206" s="139">
        <f t="shared" si="83"/>
        <v>0</v>
      </c>
      <c r="V206" s="139">
        <f t="shared" si="83"/>
        <v>0</v>
      </c>
      <c r="W206" s="139">
        <f t="shared" si="83"/>
        <v>0</v>
      </c>
      <c r="X206" s="139">
        <f t="shared" si="83"/>
        <v>0</v>
      </c>
      <c r="Y206" s="139">
        <f t="shared" si="83"/>
        <v>0</v>
      </c>
      <c r="Z206" s="139">
        <f t="shared" si="83"/>
        <v>0</v>
      </c>
      <c r="AA206" s="139">
        <f t="shared" si="83"/>
        <v>0</v>
      </c>
      <c r="AB206" s="139">
        <f t="shared" si="83"/>
        <v>0</v>
      </c>
      <c r="AC206" s="139">
        <f t="shared" si="83"/>
        <v>0</v>
      </c>
      <c r="AD206" s="139">
        <f t="shared" si="83"/>
        <v>0</v>
      </c>
      <c r="AE206" s="139">
        <f t="shared" si="83"/>
        <v>0</v>
      </c>
      <c r="AF206" s="139">
        <f t="shared" si="83"/>
        <v>0</v>
      </c>
      <c r="AG206" s="139">
        <f t="shared" si="83"/>
        <v>0</v>
      </c>
      <c r="AH206" s="139">
        <f t="shared" si="83"/>
        <v>0</v>
      </c>
      <c r="AI206" s="139">
        <f t="shared" si="83"/>
        <v>0</v>
      </c>
      <c r="AJ206" s="139">
        <f t="shared" si="83"/>
        <v>0</v>
      </c>
      <c r="AK206" s="139">
        <f t="shared" si="83"/>
        <v>0</v>
      </c>
      <c r="AL206" s="139">
        <f t="shared" si="83"/>
        <v>0</v>
      </c>
      <c r="AM206" s="139">
        <f t="shared" si="83"/>
        <v>0</v>
      </c>
      <c r="AN206" s="139">
        <f t="shared" si="83"/>
        <v>0</v>
      </c>
      <c r="AO206" s="139">
        <f t="shared" si="83"/>
        <v>0</v>
      </c>
      <c r="AP206" s="139">
        <f t="shared" si="83"/>
        <v>0</v>
      </c>
      <c r="AQ206" s="139">
        <f t="shared" si="83"/>
        <v>0</v>
      </c>
    </row>
    <row r="207" spans="3:43" x14ac:dyDescent="0.25">
      <c r="C207" t="s">
        <v>1284</v>
      </c>
      <c r="D207" t="s">
        <v>125</v>
      </c>
      <c r="E207" s="139"/>
      <c r="F207" s="139"/>
      <c r="G207" s="139">
        <f t="shared" si="81"/>
        <v>-2167.0944065627705</v>
      </c>
      <c r="H207" s="139">
        <f t="shared" ref="H207:AQ207" si="84">H117</f>
        <v>0</v>
      </c>
      <c r="I207" s="139">
        <f t="shared" si="84"/>
        <v>0</v>
      </c>
      <c r="J207" s="139">
        <f t="shared" si="84"/>
        <v>0</v>
      </c>
      <c r="K207" s="139">
        <f t="shared" si="84"/>
        <v>-1768.5957632756451</v>
      </c>
      <c r="L207" s="139">
        <f t="shared" si="84"/>
        <v>-364.57485665185351</v>
      </c>
      <c r="M207" s="139">
        <f t="shared" si="84"/>
        <v>-33.923786635271789</v>
      </c>
      <c r="N207" s="139">
        <f t="shared" si="84"/>
        <v>0</v>
      </c>
      <c r="O207" s="139">
        <f t="shared" si="84"/>
        <v>0</v>
      </c>
      <c r="P207" s="139">
        <f t="shared" si="84"/>
        <v>0</v>
      </c>
      <c r="Q207" s="139">
        <f t="shared" si="84"/>
        <v>0</v>
      </c>
      <c r="R207" s="139">
        <f t="shared" si="84"/>
        <v>0</v>
      </c>
      <c r="S207" s="139">
        <f t="shared" si="84"/>
        <v>0</v>
      </c>
      <c r="T207" s="139">
        <f t="shared" si="84"/>
        <v>0</v>
      </c>
      <c r="U207" s="139">
        <f t="shared" si="84"/>
        <v>0</v>
      </c>
      <c r="V207" s="139">
        <f t="shared" si="84"/>
        <v>0</v>
      </c>
      <c r="W207" s="139">
        <f t="shared" si="84"/>
        <v>0</v>
      </c>
      <c r="X207" s="139">
        <f t="shared" si="84"/>
        <v>0</v>
      </c>
      <c r="Y207" s="139">
        <f t="shared" si="84"/>
        <v>0</v>
      </c>
      <c r="Z207" s="139">
        <f t="shared" si="84"/>
        <v>0</v>
      </c>
      <c r="AA207" s="139">
        <f t="shared" si="84"/>
        <v>0</v>
      </c>
      <c r="AB207" s="139">
        <f t="shared" si="84"/>
        <v>0</v>
      </c>
      <c r="AC207" s="139">
        <f t="shared" si="84"/>
        <v>0</v>
      </c>
      <c r="AD207" s="139">
        <f t="shared" si="84"/>
        <v>0</v>
      </c>
      <c r="AE207" s="139">
        <f t="shared" si="84"/>
        <v>0</v>
      </c>
      <c r="AF207" s="139">
        <f t="shared" si="84"/>
        <v>0</v>
      </c>
      <c r="AG207" s="139">
        <f t="shared" si="84"/>
        <v>0</v>
      </c>
      <c r="AH207" s="139">
        <f t="shared" si="84"/>
        <v>0</v>
      </c>
      <c r="AI207" s="139">
        <f t="shared" si="84"/>
        <v>0</v>
      </c>
      <c r="AJ207" s="139">
        <f t="shared" si="84"/>
        <v>0</v>
      </c>
      <c r="AK207" s="139">
        <f t="shared" si="84"/>
        <v>0</v>
      </c>
      <c r="AL207" s="139">
        <f t="shared" si="84"/>
        <v>0</v>
      </c>
      <c r="AM207" s="139">
        <f t="shared" si="84"/>
        <v>0</v>
      </c>
      <c r="AN207" s="139">
        <f t="shared" si="84"/>
        <v>0</v>
      </c>
      <c r="AO207" s="139">
        <f t="shared" si="84"/>
        <v>0</v>
      </c>
      <c r="AP207" s="139">
        <f t="shared" si="84"/>
        <v>0</v>
      </c>
      <c r="AQ207" s="139">
        <f t="shared" si="84"/>
        <v>0</v>
      </c>
    </row>
    <row r="208" spans="3:43" x14ac:dyDescent="0.25">
      <c r="C208" t="s">
        <v>1356</v>
      </c>
      <c r="D208" t="s">
        <v>125</v>
      </c>
      <c r="E208" s="139"/>
      <c r="F208" s="139"/>
      <c r="G208" s="139">
        <f t="shared" si="81"/>
        <v>684486.93405728426</v>
      </c>
      <c r="H208" s="139">
        <f t="shared" ref="H208:AQ208" si="85">H70</f>
        <v>0</v>
      </c>
      <c r="I208" s="139">
        <f t="shared" si="85"/>
        <v>0</v>
      </c>
      <c r="J208" s="139">
        <f t="shared" si="85"/>
        <v>0</v>
      </c>
      <c r="K208" s="139">
        <f t="shared" si="85"/>
        <v>-205.40321563322553</v>
      </c>
      <c r="L208" s="139">
        <f t="shared" si="85"/>
        <v>-417.64390243902449</v>
      </c>
      <c r="M208" s="139">
        <f t="shared" si="85"/>
        <v>14753.493283753531</v>
      </c>
      <c r="N208" s="139">
        <f t="shared" si="85"/>
        <v>22027.143628224003</v>
      </c>
      <c r="O208" s="139">
        <f t="shared" si="85"/>
        <v>22097.12675050582</v>
      </c>
      <c r="P208" s="139">
        <f t="shared" si="85"/>
        <v>22165.320413091275</v>
      </c>
      <c r="Q208" s="139">
        <f t="shared" si="85"/>
        <v>22231.657749710634</v>
      </c>
      <c r="R208" s="139">
        <f t="shared" si="85"/>
        <v>22296.070103807011</v>
      </c>
      <c r="S208" s="139">
        <f t="shared" si="85"/>
        <v>22358.486983793293</v>
      </c>
      <c r="T208" s="139">
        <f t="shared" si="85"/>
        <v>22418.83601720869</v>
      </c>
      <c r="U208" s="139">
        <f t="shared" si="85"/>
        <v>22477.042903748312</v>
      </c>
      <c r="V208" s="139">
        <f t="shared" si="85"/>
        <v>22533.031367137562</v>
      </c>
      <c r="W208" s="139">
        <f t="shared" si="85"/>
        <v>22586.723105823738</v>
      </c>
      <c r="X208" s="139">
        <f t="shared" si="85"/>
        <v>22638.037742455213</v>
      </c>
      <c r="Y208" s="139">
        <f t="shared" si="85"/>
        <v>22686.892772118867</v>
      </c>
      <c r="Z208" s="139">
        <f t="shared" si="85"/>
        <v>22733.203509305058</v>
      </c>
      <c r="AA208" s="139">
        <f t="shared" si="85"/>
        <v>22776.883033569124</v>
      </c>
      <c r="AB208" s="139">
        <f t="shared" si="85"/>
        <v>22817.842133857368</v>
      </c>
      <c r="AC208" s="139">
        <f t="shared" si="85"/>
        <v>22855.989251464751</v>
      </c>
      <c r="AD208" s="139">
        <f t="shared" si="85"/>
        <v>22891.230421590742</v>
      </c>
      <c r="AE208" s="139">
        <f t="shared" si="85"/>
        <v>22923.469213459051</v>
      </c>
      <c r="AF208" s="139">
        <f t="shared" si="85"/>
        <v>22952.606668965866</v>
      </c>
      <c r="AG208" s="139">
        <f t="shared" si="85"/>
        <v>22978.541239820632</v>
      </c>
      <c r="AH208" s="139">
        <f t="shared" si="85"/>
        <v>23001.168723142255</v>
      </c>
      <c r="AI208" s="139">
        <f t="shared" si="85"/>
        <v>23020.382195473136</v>
      </c>
      <c r="AJ208" s="139">
        <f t="shared" si="85"/>
        <v>23036.071945171767</v>
      </c>
      <c r="AK208" s="139">
        <f t="shared" si="85"/>
        <v>23048.125403144655</v>
      </c>
      <c r="AL208" s="139">
        <f t="shared" si="85"/>
        <v>23056.427071876358</v>
      </c>
      <c r="AM208" s="139">
        <f t="shared" si="85"/>
        <v>23060.858452716238</v>
      </c>
      <c r="AN208" s="139">
        <f t="shared" si="85"/>
        <v>23061.297971378961</v>
      </c>
      <c r="AO208" s="139">
        <f t="shared" si="85"/>
        <v>23057.620901615082</v>
      </c>
      <c r="AP208" s="139">
        <f t="shared" si="85"/>
        <v>23049.699287006573</v>
      </c>
      <c r="AQ208" s="139">
        <f t="shared" si="85"/>
        <v>11518.700930420837</v>
      </c>
    </row>
    <row r="209" spans="3:43" x14ac:dyDescent="0.25">
      <c r="C209" t="s">
        <v>1357</v>
      </c>
      <c r="D209" t="s">
        <v>125</v>
      </c>
      <c r="E209" s="139"/>
      <c r="F209" s="139"/>
      <c r="G209" s="139">
        <f t="shared" si="81"/>
        <v>-127709.36171858228</v>
      </c>
      <c r="H209" s="139">
        <f t="shared" ref="H209:AQ209" si="86">H119+H120</f>
        <v>0</v>
      </c>
      <c r="I209" s="139">
        <f t="shared" si="86"/>
        <v>0</v>
      </c>
      <c r="J209" s="139">
        <f t="shared" si="86"/>
        <v>0</v>
      </c>
      <c r="K209" s="139">
        <f t="shared" si="86"/>
        <v>0</v>
      </c>
      <c r="L209" s="139">
        <f t="shared" si="86"/>
        <v>0</v>
      </c>
      <c r="M209" s="139">
        <f t="shared" si="86"/>
        <v>-2171.729489108036</v>
      </c>
      <c r="N209" s="139">
        <f t="shared" si="86"/>
        <v>-8369.1754819649486</v>
      </c>
      <c r="O209" s="139">
        <f t="shared" si="86"/>
        <v>-8369.1754819649486</v>
      </c>
      <c r="P209" s="139">
        <f t="shared" si="86"/>
        <v>-8369.1754819649486</v>
      </c>
      <c r="Q209" s="139">
        <f t="shared" si="86"/>
        <v>-8369.1754819649486</v>
      </c>
      <c r="R209" s="139">
        <f t="shared" si="86"/>
        <v>-8369.1754819649486</v>
      </c>
      <c r="S209" s="139">
        <f t="shared" si="86"/>
        <v>-8369.1754819649486</v>
      </c>
      <c r="T209" s="139">
        <f t="shared" si="86"/>
        <v>-8369.1754819649486</v>
      </c>
      <c r="U209" s="139">
        <f t="shared" si="86"/>
        <v>-8369.1754819649486</v>
      </c>
      <c r="V209" s="139">
        <f t="shared" si="86"/>
        <v>-8369.1754819649486</v>
      </c>
      <c r="W209" s="139">
        <f t="shared" si="86"/>
        <v>-8369.1754819649486</v>
      </c>
      <c r="X209" s="139">
        <f t="shared" si="86"/>
        <v>-8369.1754819649486</v>
      </c>
      <c r="Y209" s="139">
        <f t="shared" si="86"/>
        <v>-8369.1754819649486</v>
      </c>
      <c r="Z209" s="139">
        <f t="shared" si="86"/>
        <v>-8369.1754819649486</v>
      </c>
      <c r="AA209" s="139">
        <f t="shared" si="86"/>
        <v>-8369.1754819649486</v>
      </c>
      <c r="AB209" s="139">
        <f t="shared" si="86"/>
        <v>-8369.1754819649486</v>
      </c>
      <c r="AC209" s="139">
        <f t="shared" si="86"/>
        <v>-1.2732925824820997E-12</v>
      </c>
      <c r="AD209" s="139">
        <f t="shared" si="86"/>
        <v>-1.2732925824820997E-12</v>
      </c>
      <c r="AE209" s="139">
        <f t="shared" si="86"/>
        <v>-1.2732925824820997E-12</v>
      </c>
      <c r="AF209" s="139">
        <f t="shared" si="86"/>
        <v>-1.2732925824820997E-12</v>
      </c>
      <c r="AG209" s="139">
        <f t="shared" si="86"/>
        <v>-1.2732925824820997E-12</v>
      </c>
      <c r="AH209" s="139">
        <f t="shared" si="86"/>
        <v>-1.2732925824820997E-12</v>
      </c>
      <c r="AI209" s="139">
        <f t="shared" si="86"/>
        <v>-1.2732925824820997E-12</v>
      </c>
      <c r="AJ209" s="139">
        <f t="shared" si="86"/>
        <v>-1.2732925824820997E-12</v>
      </c>
      <c r="AK209" s="139">
        <f t="shared" si="86"/>
        <v>-1.2732925824820997E-12</v>
      </c>
      <c r="AL209" s="139">
        <f t="shared" si="86"/>
        <v>-1.2732925824820997E-12</v>
      </c>
      <c r="AM209" s="139">
        <f t="shared" si="86"/>
        <v>-1.2732925824820997E-12</v>
      </c>
      <c r="AN209" s="139">
        <f t="shared" si="86"/>
        <v>-1.2732925824820997E-12</v>
      </c>
      <c r="AO209" s="139">
        <f t="shared" si="86"/>
        <v>-1.2732925824820997E-12</v>
      </c>
      <c r="AP209" s="139">
        <f t="shared" si="86"/>
        <v>-1.2732925824820997E-12</v>
      </c>
      <c r="AQ209" s="139">
        <f t="shared" si="86"/>
        <v>-1.2732925824820997E-12</v>
      </c>
    </row>
    <row r="210" spans="3:43" x14ac:dyDescent="0.25">
      <c r="C210" t="s">
        <v>1358</v>
      </c>
      <c r="D210" t="s">
        <v>125</v>
      </c>
      <c r="E210" s="139"/>
      <c r="F210" s="139"/>
      <c r="G210" s="139">
        <f t="shared" si="81"/>
        <v>-70416.008116853991</v>
      </c>
      <c r="H210" s="139">
        <f t="shared" ref="H210:AQ210" si="87">H100</f>
        <v>0</v>
      </c>
      <c r="I210" s="139">
        <f t="shared" si="87"/>
        <v>0</v>
      </c>
      <c r="J210" s="139">
        <f t="shared" si="87"/>
        <v>0</v>
      </c>
      <c r="K210" s="139">
        <f t="shared" si="87"/>
        <v>0</v>
      </c>
      <c r="L210" s="139">
        <f t="shared" si="87"/>
        <v>0</v>
      </c>
      <c r="M210" s="139">
        <f t="shared" si="87"/>
        <v>-621.40859980721871</v>
      </c>
      <c r="N210" s="139">
        <f t="shared" si="87"/>
        <v>-1350.2225893030109</v>
      </c>
      <c r="O210" s="139">
        <f t="shared" si="87"/>
        <v>-1414.5254364473872</v>
      </c>
      <c r="P210" s="139">
        <f t="shared" si="87"/>
        <v>-1456.4570033022278</v>
      </c>
      <c r="Q210" s="139">
        <f t="shared" si="87"/>
        <v>-1499.695247135505</v>
      </c>
      <c r="R210" s="139">
        <f t="shared" si="87"/>
        <v>-1544.309125757354</v>
      </c>
      <c r="S210" s="139">
        <f t="shared" si="87"/>
        <v>-1590.3712845380583</v>
      </c>
      <c r="T210" s="139">
        <f t="shared" si="87"/>
        <v>-1637.9582476722676</v>
      </c>
      <c r="U210" s="139">
        <f t="shared" si="87"/>
        <v>-1687.1506191812059</v>
      </c>
      <c r="V210" s="139">
        <f t="shared" si="87"/>
        <v>-1738.0332941439881</v>
      </c>
      <c r="W210" s="139">
        <f t="shared" si="87"/>
        <v>-1790.6956806740286</v>
      </c>
      <c r="X210" s="139">
        <f t="shared" si="87"/>
        <v>-1845.23193318222</v>
      </c>
      <c r="Y210" s="139">
        <f t="shared" si="87"/>
        <v>-1901.7411974959118</v>
      </c>
      <c r="Z210" s="139">
        <f t="shared" si="87"/>
        <v>-1960.3278684311913</v>
      </c>
      <c r="AA210" s="139">
        <f t="shared" si="87"/>
        <v>-2021.1018604460194</v>
      </c>
      <c r="AB210" s="139">
        <f t="shared" si="87"/>
        <v>-2084.1788920332351</v>
      </c>
      <c r="AC210" s="139">
        <f t="shared" si="87"/>
        <v>-2149.680784545521</v>
      </c>
      <c r="AD210" s="139">
        <f t="shared" si="87"/>
        <v>-2154.9669600644197</v>
      </c>
      <c r="AE210" s="139">
        <f t="shared" si="87"/>
        <v>-2159.8027788446657</v>
      </c>
      <c r="AF210" s="139">
        <f t="shared" si="87"/>
        <v>-2164.1733971706881</v>
      </c>
      <c r="AG210" s="139">
        <f t="shared" si="87"/>
        <v>-2807.4223843859986</v>
      </c>
      <c r="AH210" s="139">
        <f t="shared" si="87"/>
        <v>-3450.1753084713382</v>
      </c>
      <c r="AI210" s="139">
        <f t="shared" si="87"/>
        <v>-3453.0573293209704</v>
      </c>
      <c r="AJ210" s="139">
        <f t="shared" si="87"/>
        <v>-3455.4107917757651</v>
      </c>
      <c r="AK210" s="139">
        <f t="shared" si="87"/>
        <v>-3457.2188104716984</v>
      </c>
      <c r="AL210" s="139">
        <f t="shared" si="87"/>
        <v>-3458.4640607814536</v>
      </c>
      <c r="AM210" s="139">
        <f t="shared" si="87"/>
        <v>-3459.1287679074358</v>
      </c>
      <c r="AN210" s="139">
        <f t="shared" si="87"/>
        <v>-3459.194695706844</v>
      </c>
      <c r="AO210" s="139">
        <f t="shared" si="87"/>
        <v>-3458.6431352422624</v>
      </c>
      <c r="AP210" s="139">
        <f t="shared" si="87"/>
        <v>-3457.4548930509859</v>
      </c>
      <c r="AQ210" s="139">
        <f t="shared" si="87"/>
        <v>-1727.8051395631253</v>
      </c>
    </row>
    <row r="211" spans="3:43" x14ac:dyDescent="0.25">
      <c r="C211" t="s">
        <v>26</v>
      </c>
      <c r="D211" t="s">
        <v>125</v>
      </c>
      <c r="E211" s="139"/>
      <c r="F211" s="139"/>
      <c r="G211" s="139">
        <f t="shared" si="81"/>
        <v>-4077</v>
      </c>
      <c r="H211" s="139">
        <f t="shared" ref="H211:AQ211" si="88">H122</f>
        <v>0</v>
      </c>
      <c r="I211" s="139">
        <f t="shared" si="88"/>
        <v>0</v>
      </c>
      <c r="J211" s="139">
        <f t="shared" si="88"/>
        <v>0</v>
      </c>
      <c r="K211" s="139">
        <f t="shared" si="88"/>
        <v>0</v>
      </c>
      <c r="L211" s="139">
        <f t="shared" si="88"/>
        <v>0</v>
      </c>
      <c r="M211" s="139">
        <f t="shared" si="88"/>
        <v>0</v>
      </c>
      <c r="N211" s="139">
        <f t="shared" si="88"/>
        <v>0</v>
      </c>
      <c r="O211" s="139">
        <f t="shared" si="88"/>
        <v>0</v>
      </c>
      <c r="P211" s="139">
        <f t="shared" si="88"/>
        <v>0</v>
      </c>
      <c r="Q211" s="139">
        <f t="shared" si="88"/>
        <v>0</v>
      </c>
      <c r="R211" s="139">
        <f t="shared" si="88"/>
        <v>0</v>
      </c>
      <c r="S211" s="139">
        <f t="shared" si="88"/>
        <v>0</v>
      </c>
      <c r="T211" s="139">
        <f t="shared" si="88"/>
        <v>0</v>
      </c>
      <c r="U211" s="139">
        <f t="shared" si="88"/>
        <v>0</v>
      </c>
      <c r="V211" s="139">
        <f t="shared" si="88"/>
        <v>0</v>
      </c>
      <c r="W211" s="139">
        <f t="shared" si="88"/>
        <v>0</v>
      </c>
      <c r="X211" s="139">
        <f t="shared" si="88"/>
        <v>0</v>
      </c>
      <c r="Y211" s="139">
        <f t="shared" si="88"/>
        <v>0</v>
      </c>
      <c r="Z211" s="139">
        <f t="shared" si="88"/>
        <v>0</v>
      </c>
      <c r="AA211" s="139">
        <f t="shared" si="88"/>
        <v>0</v>
      </c>
      <c r="AB211" s="139">
        <f t="shared" si="88"/>
        <v>0</v>
      </c>
      <c r="AC211" s="139">
        <f t="shared" si="88"/>
        <v>0</v>
      </c>
      <c r="AD211" s="139">
        <f t="shared" si="88"/>
        <v>0</v>
      </c>
      <c r="AE211" s="139">
        <f t="shared" si="88"/>
        <v>0</v>
      </c>
      <c r="AF211" s="139">
        <f t="shared" si="88"/>
        <v>0</v>
      </c>
      <c r="AG211" s="139">
        <f t="shared" si="88"/>
        <v>0</v>
      </c>
      <c r="AH211" s="139">
        <f t="shared" si="88"/>
        <v>0</v>
      </c>
      <c r="AI211" s="139">
        <f t="shared" si="88"/>
        <v>0</v>
      </c>
      <c r="AJ211" s="139">
        <f t="shared" si="88"/>
        <v>0</v>
      </c>
      <c r="AK211" s="139">
        <f t="shared" si="88"/>
        <v>0</v>
      </c>
      <c r="AL211" s="139">
        <f t="shared" si="88"/>
        <v>0</v>
      </c>
      <c r="AM211" s="139">
        <f t="shared" si="88"/>
        <v>0</v>
      </c>
      <c r="AN211" s="139">
        <f t="shared" si="88"/>
        <v>0</v>
      </c>
      <c r="AO211" s="139">
        <f t="shared" si="88"/>
        <v>0</v>
      </c>
      <c r="AP211" s="139">
        <f t="shared" si="88"/>
        <v>0</v>
      </c>
      <c r="AQ211" s="139">
        <f t="shared" si="88"/>
        <v>-4077</v>
      </c>
    </row>
    <row r="212" spans="3:43" x14ac:dyDescent="0.25">
      <c r="C212" s="198" t="s">
        <v>1359</v>
      </c>
      <c r="D212" s="198" t="s">
        <v>125</v>
      </c>
      <c r="E212" s="269"/>
      <c r="F212" s="269"/>
      <c r="G212" s="269">
        <f t="shared" si="81"/>
        <v>381278.27909151616</v>
      </c>
      <c r="H212" s="269">
        <f t="shared" ref="H212:AQ212" si="89">SUM(H202:H211)</f>
        <v>0</v>
      </c>
      <c r="I212" s="269">
        <f t="shared" si="89"/>
        <v>0</v>
      </c>
      <c r="J212" s="269">
        <f t="shared" si="89"/>
        <v>0</v>
      </c>
      <c r="K212" s="269">
        <f t="shared" si="89"/>
        <v>-52499.233447924613</v>
      </c>
      <c r="L212" s="269">
        <f t="shared" si="89"/>
        <v>-29737.519185803209</v>
      </c>
      <c r="M212" s="269">
        <f t="shared" si="89"/>
        <v>-7432.2244198379067</v>
      </c>
      <c r="N212" s="269">
        <f t="shared" si="89"/>
        <v>12307.745556956044</v>
      </c>
      <c r="O212" s="269">
        <f t="shared" si="89"/>
        <v>12313.425832093484</v>
      </c>
      <c r="P212" s="269">
        <f t="shared" si="89"/>
        <v>12339.687927824098</v>
      </c>
      <c r="Q212" s="269">
        <f t="shared" si="89"/>
        <v>12362.78702061018</v>
      </c>
      <c r="R212" s="269">
        <f t="shared" si="89"/>
        <v>12382.585496084708</v>
      </c>
      <c r="S212" s="269">
        <f t="shared" si="89"/>
        <v>12398.940217290286</v>
      </c>
      <c r="T212" s="269">
        <f t="shared" si="89"/>
        <v>12411.702287571474</v>
      </c>
      <c r="U212" s="269">
        <f t="shared" si="89"/>
        <v>12420.716802602157</v>
      </c>
      <c r="V212" s="269">
        <f t="shared" si="89"/>
        <v>12425.822591028626</v>
      </c>
      <c r="W212" s="269">
        <f t="shared" si="89"/>
        <v>12426.85194318476</v>
      </c>
      <c r="X212" s="269">
        <f t="shared" si="89"/>
        <v>12423.630327308045</v>
      </c>
      <c r="Y212" s="269">
        <f t="shared" si="89"/>
        <v>12415.976092658006</v>
      </c>
      <c r="Z212" s="269">
        <f t="shared" si="89"/>
        <v>12403.700158908918</v>
      </c>
      <c r="AA212" s="269">
        <f t="shared" si="89"/>
        <v>12386.605691158156</v>
      </c>
      <c r="AB212" s="269">
        <f t="shared" si="89"/>
        <v>12364.487759859185</v>
      </c>
      <c r="AC212" s="269">
        <f t="shared" si="89"/>
        <v>20706.308466919229</v>
      </c>
      <c r="AD212" s="269">
        <f t="shared" si="89"/>
        <v>20736.263461526323</v>
      </c>
      <c r="AE212" s="269">
        <f t="shared" si="89"/>
        <v>20763.666434614384</v>
      </c>
      <c r="AF212" s="269">
        <f t="shared" si="89"/>
        <v>20788.433271795177</v>
      </c>
      <c r="AG212" s="269">
        <f t="shared" si="89"/>
        <v>20171.118855434634</v>
      </c>
      <c r="AH212" s="269">
        <f t="shared" si="89"/>
        <v>19550.993414670917</v>
      </c>
      <c r="AI212" s="269">
        <f t="shared" si="89"/>
        <v>19567.324866152165</v>
      </c>
      <c r="AJ212" s="269">
        <f t="shared" si="89"/>
        <v>19580.661153396002</v>
      </c>
      <c r="AK212" s="269">
        <f t="shared" si="89"/>
        <v>19590.906592672956</v>
      </c>
      <c r="AL212" s="269">
        <f t="shared" si="89"/>
        <v>19597.963011094904</v>
      </c>
      <c r="AM212" s="269">
        <f t="shared" si="89"/>
        <v>19601.729684808801</v>
      </c>
      <c r="AN212" s="269">
        <f t="shared" si="89"/>
        <v>19602.103275672118</v>
      </c>
      <c r="AO212" s="269">
        <f t="shared" si="89"/>
        <v>19598.97776637282</v>
      </c>
      <c r="AP212" s="269">
        <f t="shared" si="89"/>
        <v>19592.244393955589</v>
      </c>
      <c r="AQ212" s="269">
        <f t="shared" si="89"/>
        <v>5713.8957908577104</v>
      </c>
    </row>
    <row r="213" spans="3:43" x14ac:dyDescent="0.25">
      <c r="C213" s="198" t="s">
        <v>1360</v>
      </c>
      <c r="D213" s="198" t="s">
        <v>125</v>
      </c>
      <c r="E213" s="269"/>
      <c r="F213" s="269"/>
      <c r="G213" s="269">
        <f t="shared" si="81"/>
        <v>421984.97407412028</v>
      </c>
      <c r="H213" s="269">
        <f t="shared" ref="H213:AQ213" si="90">H202+H203+H204+H205+H208+H101+H211</f>
        <v>0</v>
      </c>
      <c r="I213" s="269">
        <f t="shared" si="90"/>
        <v>0</v>
      </c>
      <c r="J213" s="269">
        <f t="shared" si="90"/>
        <v>0</v>
      </c>
      <c r="K213" s="269">
        <f t="shared" si="90"/>
        <v>-71498.34568871728</v>
      </c>
      <c r="L213" s="269">
        <f t="shared" si="90"/>
        <v>-70569.756402439045</v>
      </c>
      <c r="M213" s="269">
        <f t="shared" si="90"/>
        <v>-26607.93180448269</v>
      </c>
      <c r="N213" s="269">
        <f t="shared" si="90"/>
        <v>20001.789687164593</v>
      </c>
      <c r="O213" s="269">
        <f t="shared" si="90"/>
        <v>20061.275341104138</v>
      </c>
      <c r="P213" s="269">
        <f t="shared" si="90"/>
        <v>20119.239954301775</v>
      </c>
      <c r="Q213" s="269">
        <f t="shared" si="90"/>
        <v>20175.626690428231</v>
      </c>
      <c r="R213" s="269">
        <f t="shared" si="90"/>
        <v>20230.377191410153</v>
      </c>
      <c r="S213" s="269">
        <f t="shared" si="90"/>
        <v>20283.431539398491</v>
      </c>
      <c r="T213" s="269">
        <f t="shared" si="90"/>
        <v>20334.728217801578</v>
      </c>
      <c r="U213" s="269">
        <f t="shared" si="90"/>
        <v>20384.204071360255</v>
      </c>
      <c r="V213" s="269">
        <f t="shared" si="90"/>
        <v>20431.794265241118</v>
      </c>
      <c r="W213" s="269">
        <f t="shared" si="90"/>
        <v>20477.432243124367</v>
      </c>
      <c r="X213" s="269">
        <f t="shared" si="90"/>
        <v>20521.049684261125</v>
      </c>
      <c r="Y213" s="269">
        <f t="shared" si="90"/>
        <v>20562.576459475229</v>
      </c>
      <c r="Z213" s="269">
        <f t="shared" si="90"/>
        <v>20601.940586083492</v>
      </c>
      <c r="AA213" s="269">
        <f t="shared" si="90"/>
        <v>20639.068181707946</v>
      </c>
      <c r="AB213" s="269">
        <f t="shared" si="90"/>
        <v>20673.883416952955</v>
      </c>
      <c r="AC213" s="269">
        <f t="shared" si="90"/>
        <v>20706.308466919229</v>
      </c>
      <c r="AD213" s="269">
        <f t="shared" si="90"/>
        <v>20736.263461526323</v>
      </c>
      <c r="AE213" s="269">
        <f t="shared" si="90"/>
        <v>20763.666434614384</v>
      </c>
      <c r="AF213" s="269">
        <f t="shared" si="90"/>
        <v>20788.433271795177</v>
      </c>
      <c r="AG213" s="269">
        <f t="shared" si="90"/>
        <v>20171.118855434634</v>
      </c>
      <c r="AH213" s="269">
        <f t="shared" si="90"/>
        <v>19550.993414670917</v>
      </c>
      <c r="AI213" s="269">
        <f t="shared" si="90"/>
        <v>19567.324866152165</v>
      </c>
      <c r="AJ213" s="269">
        <f t="shared" si="90"/>
        <v>19580.661153396002</v>
      </c>
      <c r="AK213" s="269">
        <f t="shared" si="90"/>
        <v>19590.906592672956</v>
      </c>
      <c r="AL213" s="269">
        <f t="shared" si="90"/>
        <v>19597.963011094904</v>
      </c>
      <c r="AM213" s="269">
        <f t="shared" si="90"/>
        <v>19601.729684808801</v>
      </c>
      <c r="AN213" s="269">
        <f t="shared" si="90"/>
        <v>19602.103275672118</v>
      </c>
      <c r="AO213" s="269">
        <f t="shared" si="90"/>
        <v>19598.97776637282</v>
      </c>
      <c r="AP213" s="269">
        <f t="shared" si="90"/>
        <v>19592.244393955589</v>
      </c>
      <c r="AQ213" s="269">
        <f t="shared" si="90"/>
        <v>5713.8957908577104</v>
      </c>
    </row>
    <row r="215" spans="3:43" x14ac:dyDescent="0.25">
      <c r="C215" t="s">
        <v>1361</v>
      </c>
      <c r="D215" t="s">
        <v>51</v>
      </c>
      <c r="G215" s="260">
        <f>IFERROR(IRR(H213:AQ213),"n/a")</f>
        <v>9.9642210707889811E-2</v>
      </c>
    </row>
    <row r="216" spans="3:43" x14ac:dyDescent="0.25">
      <c r="C216" t="s">
        <v>1362</v>
      </c>
      <c r="D216" t="s">
        <v>51</v>
      </c>
      <c r="G216" s="260">
        <f>IFERROR(IRR(H212:AQ212),"n/a")</f>
        <v>0.12219117735406337</v>
      </c>
    </row>
    <row r="217" spans="3:43" x14ac:dyDescent="0.25">
      <c r="C217" t="s">
        <v>1363</v>
      </c>
      <c r="D217" t="s">
        <v>125</v>
      </c>
      <c r="G217" s="274">
        <f>SUMPRODUCT(H212:AQ212,H13:AQ13)/INDEX($H$13:$AQ$13,MATCH(YEAR(Inputs!$E$58),$H$5:$AQ$5,0))</f>
        <v>49688.326797162503</v>
      </c>
    </row>
    <row r="218" spans="3:43" x14ac:dyDescent="0.25">
      <c r="C218" t="s">
        <v>1364</v>
      </c>
      <c r="D218" t="s">
        <v>7</v>
      </c>
      <c r="G218" s="259">
        <f t="array" ref="G218">IFERROR(SUMPRODUCT(H212:AQ212/(1+Inputs!$E$255)^H4:AQ4)/-SUMPRODUCT((H212:AQ212&lt;0)*H212:AQ212/(1+Inputs!$E$255)^H4:AQ4),"n/a")</f>
        <v>0.57505705310430866</v>
      </c>
    </row>
    <row r="219" spans="3:43" x14ac:dyDescent="0.25">
      <c r="C219" t="s">
        <v>1365</v>
      </c>
      <c r="D219" t="s">
        <v>125</v>
      </c>
      <c r="G219" s="274">
        <f>SUMPRODUCT(H213:AQ213,H12:AQ12)/INDEX($H$12:$AQ$12,MATCH(YEAR(Inputs!$E$58),$H$5:$AQ$5,0))</f>
        <v>34573.85281637837</v>
      </c>
    </row>
    <row r="220" spans="3:43" x14ac:dyDescent="0.25">
      <c r="C220" t="s">
        <v>1366</v>
      </c>
      <c r="D220" t="s">
        <v>2</v>
      </c>
      <c r="G220" s="277">
        <f>Inputs!$E$141</f>
        <v>150</v>
      </c>
    </row>
    <row r="221" spans="3:43" x14ac:dyDescent="0.25">
      <c r="C221" t="s">
        <v>1367</v>
      </c>
      <c r="D221" t="s">
        <v>2</v>
      </c>
      <c r="G221" s="277">
        <f>G220+G219/Dash_MVA</f>
        <v>495.73852816378371</v>
      </c>
    </row>
    <row r="222" spans="3:43" x14ac:dyDescent="0.25">
      <c r="C222" t="s">
        <v>1368</v>
      </c>
      <c r="D222" t="s">
        <v>2</v>
      </c>
      <c r="G222" s="277">
        <f>G220+G217/Dash_MVA</f>
        <v>646.88326797162495</v>
      </c>
    </row>
    <row r="223" spans="3:43" x14ac:dyDescent="0.25">
      <c r="C223" t="s">
        <v>1369</v>
      </c>
      <c r="D223" t="s">
        <v>11</v>
      </c>
      <c r="G223" s="277">
        <f>E202/Inputs!$E$18</f>
        <v>237.93768126055843</v>
      </c>
    </row>
    <row r="225" spans="3:43" x14ac:dyDescent="0.25">
      <c r="C225" s="198" t="s">
        <v>1370</v>
      </c>
    </row>
    <row r="226" spans="3:43" x14ac:dyDescent="0.25">
      <c r="C226" s="246" t="s">
        <v>1327</v>
      </c>
      <c r="D226" s="246" t="s">
        <v>1371</v>
      </c>
      <c r="E226" s="246" t="s">
        <v>1372</v>
      </c>
      <c r="F226" s="246" t="s">
        <v>1373</v>
      </c>
      <c r="G226" s="246" t="s">
        <v>1374</v>
      </c>
      <c r="H226" s="250"/>
      <c r="I226" s="250"/>
      <c r="J226" s="250"/>
      <c r="K226" s="250"/>
      <c r="L226" s="250"/>
      <c r="M226" s="250"/>
      <c r="N226" s="250"/>
      <c r="O226" s="250"/>
      <c r="P226" s="250"/>
      <c r="Q226" s="250"/>
      <c r="R226" s="250"/>
      <c r="S226" s="250"/>
      <c r="T226" s="250"/>
      <c r="U226" s="250"/>
      <c r="V226" s="250"/>
      <c r="W226" s="250"/>
      <c r="X226" s="250"/>
      <c r="Y226" s="250"/>
      <c r="Z226" s="250"/>
      <c r="AA226" s="250"/>
      <c r="AB226" s="250"/>
      <c r="AC226" s="250"/>
      <c r="AD226" s="250"/>
      <c r="AE226" s="250"/>
      <c r="AF226" s="250"/>
      <c r="AG226" s="250"/>
      <c r="AH226" s="250"/>
      <c r="AI226" s="250"/>
      <c r="AJ226" s="250"/>
      <c r="AK226" s="250"/>
      <c r="AL226" s="250"/>
      <c r="AM226" s="250"/>
      <c r="AN226" s="250"/>
      <c r="AO226" s="250"/>
      <c r="AP226" s="250"/>
      <c r="AQ226" s="250"/>
    </row>
    <row r="227" spans="3:43" x14ac:dyDescent="0.25">
      <c r="C227" t="s">
        <v>1375</v>
      </c>
      <c r="D227" s="283">
        <f>Dashboard!$E$155</f>
        <v>50</v>
      </c>
      <c r="E227" s="131">
        <f>D227*Dash_MVA+MOIC!$G$144</f>
        <v>25928.58987034432</v>
      </c>
      <c r="F227" s="134">
        <f t="shared" ref="F227:F233" si="91">IFERROR(IRR(H227:AQ227),"n/a")</f>
        <v>0.10671963603661205</v>
      </c>
      <c r="G227" s="139">
        <f>SUMPRODUCT(H227:AQ227,$H$12:$AQ$12)/INDEX($H$12:$AQ$12,MATCH(YEAR(Inputs!$E$58),$H$5:$AQ$5,0))</f>
        <v>44573.852816378399</v>
      </c>
      <c r="H227" s="139">
        <f>H$213+(H$5=YEAR(Inputs!$E$58))*($E$202-$E227)</f>
        <v>0</v>
      </c>
      <c r="I227" s="139">
        <f>I$213+(I$5=YEAR(Inputs!$E$58))*($E$202-$E227)</f>
        <v>0</v>
      </c>
      <c r="J227" s="139">
        <f>J$213+(J$5=YEAR(Inputs!$E$58))*($E$202-$E227)</f>
        <v>0</v>
      </c>
      <c r="K227" s="139">
        <f>K$213+(K$5=YEAR(Inputs!$E$58))*($E$202-$E227)</f>
        <v>-61498.34568871728</v>
      </c>
      <c r="L227" s="139">
        <f>L$213+(L$5=YEAR(Inputs!$E$58))*($E$202-$E227)</f>
        <v>-70569.756402439045</v>
      </c>
      <c r="M227" s="139">
        <f>M$213+(M$5=YEAR(Inputs!$E$58))*($E$202-$E227)</f>
        <v>-26607.93180448269</v>
      </c>
      <c r="N227" s="139">
        <f>N$213+(N$5=YEAR(Inputs!$E$58))*($E$202-$E227)</f>
        <v>20001.789687164593</v>
      </c>
      <c r="O227" s="139">
        <f>O$213+(O$5=YEAR(Inputs!$E$58))*($E$202-$E227)</f>
        <v>20061.275341104138</v>
      </c>
      <c r="P227" s="139">
        <f>P$213+(P$5=YEAR(Inputs!$E$58))*($E$202-$E227)</f>
        <v>20119.239954301775</v>
      </c>
      <c r="Q227" s="139">
        <f>Q$213+(Q$5=YEAR(Inputs!$E$58))*($E$202-$E227)</f>
        <v>20175.626690428231</v>
      </c>
      <c r="R227" s="139">
        <f>R$213+(R$5=YEAR(Inputs!$E$58))*($E$202-$E227)</f>
        <v>20230.377191410153</v>
      </c>
      <c r="S227" s="139">
        <f>S$213+(S$5=YEAR(Inputs!$E$58))*($E$202-$E227)</f>
        <v>20283.431539398491</v>
      </c>
      <c r="T227" s="139">
        <f>T$213+(T$5=YEAR(Inputs!$E$58))*($E$202-$E227)</f>
        <v>20334.728217801578</v>
      </c>
      <c r="U227" s="139">
        <f>U$213+(U$5=YEAR(Inputs!$E$58))*($E$202-$E227)</f>
        <v>20384.204071360255</v>
      </c>
      <c r="V227" s="139">
        <f>V$213+(V$5=YEAR(Inputs!$E$58))*($E$202-$E227)</f>
        <v>20431.794265241118</v>
      </c>
      <c r="W227" s="139">
        <f>W$213+(W$5=YEAR(Inputs!$E$58))*($E$202-$E227)</f>
        <v>20477.432243124367</v>
      </c>
      <c r="X227" s="139">
        <f>X$213+(X$5=YEAR(Inputs!$E$58))*($E$202-$E227)</f>
        <v>20521.049684261125</v>
      </c>
      <c r="Y227" s="139">
        <f>Y$213+(Y$5=YEAR(Inputs!$E$58))*($E$202-$E227)</f>
        <v>20562.576459475229</v>
      </c>
      <c r="Z227" s="139">
        <f>Z$213+(Z$5=YEAR(Inputs!$E$58))*($E$202-$E227)</f>
        <v>20601.940586083492</v>
      </c>
      <c r="AA227" s="139">
        <f>AA$213+(AA$5=YEAR(Inputs!$E$58))*($E$202-$E227)</f>
        <v>20639.068181707946</v>
      </c>
      <c r="AB227" s="139">
        <f>AB$213+(AB$5=YEAR(Inputs!$E$58))*($E$202-$E227)</f>
        <v>20673.883416952955</v>
      </c>
      <c r="AC227" s="139">
        <f>AC$213+(AC$5=YEAR(Inputs!$E$58))*($E$202-$E227)</f>
        <v>20706.308466919229</v>
      </c>
      <c r="AD227" s="139">
        <f>AD$213+(AD$5=YEAR(Inputs!$E$58))*($E$202-$E227)</f>
        <v>20736.263461526323</v>
      </c>
      <c r="AE227" s="139">
        <f>AE$213+(AE$5=YEAR(Inputs!$E$58))*($E$202-$E227)</f>
        <v>20763.666434614384</v>
      </c>
      <c r="AF227" s="139">
        <f>AF$213+(AF$5=YEAR(Inputs!$E$58))*($E$202-$E227)</f>
        <v>20788.433271795177</v>
      </c>
      <c r="AG227" s="139">
        <f>AG$213+(AG$5=YEAR(Inputs!$E$58))*($E$202-$E227)</f>
        <v>20171.118855434634</v>
      </c>
      <c r="AH227" s="139">
        <f>AH$213+(AH$5=YEAR(Inputs!$E$58))*($E$202-$E227)</f>
        <v>19550.993414670917</v>
      </c>
      <c r="AI227" s="139">
        <f>AI$213+(AI$5=YEAR(Inputs!$E$58))*($E$202-$E227)</f>
        <v>19567.324866152165</v>
      </c>
      <c r="AJ227" s="139">
        <f>AJ$213+(AJ$5=YEAR(Inputs!$E$58))*($E$202-$E227)</f>
        <v>19580.661153396002</v>
      </c>
      <c r="AK227" s="139">
        <f>AK$213+(AK$5=YEAR(Inputs!$E$58))*($E$202-$E227)</f>
        <v>19590.906592672956</v>
      </c>
      <c r="AL227" s="139">
        <f>AL$213+(AL$5=YEAR(Inputs!$E$58))*($E$202-$E227)</f>
        <v>19597.963011094904</v>
      </c>
      <c r="AM227" s="139">
        <f>AM$213+(AM$5=YEAR(Inputs!$E$58))*($E$202-$E227)</f>
        <v>19601.729684808801</v>
      </c>
      <c r="AN227" s="139">
        <f>AN$213+(AN$5=YEAR(Inputs!$E$58))*($E$202-$E227)</f>
        <v>19602.103275672118</v>
      </c>
      <c r="AO227" s="139">
        <f>AO$213+(AO$5=YEAR(Inputs!$E$58))*($E$202-$E227)</f>
        <v>19598.97776637282</v>
      </c>
      <c r="AP227" s="139">
        <f>AP$213+(AP$5=YEAR(Inputs!$E$58))*($E$202-$E227)</f>
        <v>19592.244393955589</v>
      </c>
      <c r="AQ227" s="139">
        <f>AQ$213+(AQ$5=YEAR(Inputs!$E$58))*($E$202-$E227)</f>
        <v>5713.8957908577104</v>
      </c>
    </row>
    <row r="228" spans="3:43" x14ac:dyDescent="0.25">
      <c r="C228" t="s">
        <v>1376</v>
      </c>
      <c r="D228" s="283">
        <f>Dashboard!$F$155</f>
        <v>75</v>
      </c>
      <c r="E228" s="131">
        <f>D228*Dash_MVA+MOIC!$G$144</f>
        <v>28428.58987034432</v>
      </c>
      <c r="F228" s="134">
        <f t="shared" si="91"/>
        <v>0.10487518065330947</v>
      </c>
      <c r="G228" s="139">
        <f>SUMPRODUCT(H228:AQ228,$H$12:$AQ$12)/INDEX($H$12:$AQ$12,MATCH(YEAR(Inputs!$E$58),$H$5:$AQ$5,0))</f>
        <v>42073.852816378385</v>
      </c>
      <c r="H228" s="139">
        <f>H$213+(H$5=YEAR(Inputs!$E$58))*($E$202-$E228)</f>
        <v>0</v>
      </c>
      <c r="I228" s="139">
        <f>I$213+(I$5=YEAR(Inputs!$E$58))*($E$202-$E228)</f>
        <v>0</v>
      </c>
      <c r="J228" s="139">
        <f>J$213+(J$5=YEAR(Inputs!$E$58))*($E$202-$E228)</f>
        <v>0</v>
      </c>
      <c r="K228" s="139">
        <f>K$213+(K$5=YEAR(Inputs!$E$58))*($E$202-$E228)</f>
        <v>-63998.34568871728</v>
      </c>
      <c r="L228" s="139">
        <f>L$213+(L$5=YEAR(Inputs!$E$58))*($E$202-$E228)</f>
        <v>-70569.756402439045</v>
      </c>
      <c r="M228" s="139">
        <f>M$213+(M$5=YEAR(Inputs!$E$58))*($E$202-$E228)</f>
        <v>-26607.93180448269</v>
      </c>
      <c r="N228" s="139">
        <f>N$213+(N$5=YEAR(Inputs!$E$58))*($E$202-$E228)</f>
        <v>20001.789687164593</v>
      </c>
      <c r="O228" s="139">
        <f>O$213+(O$5=YEAR(Inputs!$E$58))*($E$202-$E228)</f>
        <v>20061.275341104138</v>
      </c>
      <c r="P228" s="139">
        <f>P$213+(P$5=YEAR(Inputs!$E$58))*($E$202-$E228)</f>
        <v>20119.239954301775</v>
      </c>
      <c r="Q228" s="139">
        <f>Q$213+(Q$5=YEAR(Inputs!$E$58))*($E$202-$E228)</f>
        <v>20175.626690428231</v>
      </c>
      <c r="R228" s="139">
        <f>R$213+(R$5=YEAR(Inputs!$E$58))*($E$202-$E228)</f>
        <v>20230.377191410153</v>
      </c>
      <c r="S228" s="139">
        <f>S$213+(S$5=YEAR(Inputs!$E$58))*($E$202-$E228)</f>
        <v>20283.431539398491</v>
      </c>
      <c r="T228" s="139">
        <f>T$213+(T$5=YEAR(Inputs!$E$58))*($E$202-$E228)</f>
        <v>20334.728217801578</v>
      </c>
      <c r="U228" s="139">
        <f>U$213+(U$5=YEAR(Inputs!$E$58))*($E$202-$E228)</f>
        <v>20384.204071360255</v>
      </c>
      <c r="V228" s="139">
        <f>V$213+(V$5=YEAR(Inputs!$E$58))*($E$202-$E228)</f>
        <v>20431.794265241118</v>
      </c>
      <c r="W228" s="139">
        <f>W$213+(W$5=YEAR(Inputs!$E$58))*($E$202-$E228)</f>
        <v>20477.432243124367</v>
      </c>
      <c r="X228" s="139">
        <f>X$213+(X$5=YEAR(Inputs!$E$58))*($E$202-$E228)</f>
        <v>20521.049684261125</v>
      </c>
      <c r="Y228" s="139">
        <f>Y$213+(Y$5=YEAR(Inputs!$E$58))*($E$202-$E228)</f>
        <v>20562.576459475229</v>
      </c>
      <c r="Z228" s="139">
        <f>Z$213+(Z$5=YEAR(Inputs!$E$58))*($E$202-$E228)</f>
        <v>20601.940586083492</v>
      </c>
      <c r="AA228" s="139">
        <f>AA$213+(AA$5=YEAR(Inputs!$E$58))*($E$202-$E228)</f>
        <v>20639.068181707946</v>
      </c>
      <c r="AB228" s="139">
        <f>AB$213+(AB$5=YEAR(Inputs!$E$58))*($E$202-$E228)</f>
        <v>20673.883416952955</v>
      </c>
      <c r="AC228" s="139">
        <f>AC$213+(AC$5=YEAR(Inputs!$E$58))*($E$202-$E228)</f>
        <v>20706.308466919229</v>
      </c>
      <c r="AD228" s="139">
        <f>AD$213+(AD$5=YEAR(Inputs!$E$58))*($E$202-$E228)</f>
        <v>20736.263461526323</v>
      </c>
      <c r="AE228" s="139">
        <f>AE$213+(AE$5=YEAR(Inputs!$E$58))*($E$202-$E228)</f>
        <v>20763.666434614384</v>
      </c>
      <c r="AF228" s="139">
        <f>AF$213+(AF$5=YEAR(Inputs!$E$58))*($E$202-$E228)</f>
        <v>20788.433271795177</v>
      </c>
      <c r="AG228" s="139">
        <f>AG$213+(AG$5=YEAR(Inputs!$E$58))*($E$202-$E228)</f>
        <v>20171.118855434634</v>
      </c>
      <c r="AH228" s="139">
        <f>AH$213+(AH$5=YEAR(Inputs!$E$58))*($E$202-$E228)</f>
        <v>19550.993414670917</v>
      </c>
      <c r="AI228" s="139">
        <f>AI$213+(AI$5=YEAR(Inputs!$E$58))*($E$202-$E228)</f>
        <v>19567.324866152165</v>
      </c>
      <c r="AJ228" s="139">
        <f>AJ$213+(AJ$5=YEAR(Inputs!$E$58))*($E$202-$E228)</f>
        <v>19580.661153396002</v>
      </c>
      <c r="AK228" s="139">
        <f>AK$213+(AK$5=YEAR(Inputs!$E$58))*($E$202-$E228)</f>
        <v>19590.906592672956</v>
      </c>
      <c r="AL228" s="139">
        <f>AL$213+(AL$5=YEAR(Inputs!$E$58))*($E$202-$E228)</f>
        <v>19597.963011094904</v>
      </c>
      <c r="AM228" s="139">
        <f>AM$213+(AM$5=YEAR(Inputs!$E$58))*($E$202-$E228)</f>
        <v>19601.729684808801</v>
      </c>
      <c r="AN228" s="139">
        <f>AN$213+(AN$5=YEAR(Inputs!$E$58))*($E$202-$E228)</f>
        <v>19602.103275672118</v>
      </c>
      <c r="AO228" s="139">
        <f>AO$213+(AO$5=YEAR(Inputs!$E$58))*($E$202-$E228)</f>
        <v>19598.97776637282</v>
      </c>
      <c r="AP228" s="139">
        <f>AP$213+(AP$5=YEAR(Inputs!$E$58))*($E$202-$E228)</f>
        <v>19592.244393955589</v>
      </c>
      <c r="AQ228" s="139">
        <f>AQ$213+(AQ$5=YEAR(Inputs!$E$58))*($E$202-$E228)</f>
        <v>5713.8957908577104</v>
      </c>
    </row>
    <row r="229" spans="3:43" x14ac:dyDescent="0.25">
      <c r="C229" t="s">
        <v>1377</v>
      </c>
      <c r="D229" s="283">
        <f>Dashboard!$G$155</f>
        <v>100</v>
      </c>
      <c r="E229" s="131">
        <f>D229*Dash_MVA+MOIC!$G$144</f>
        <v>30928.58987034432</v>
      </c>
      <c r="F229" s="134">
        <f t="shared" si="91"/>
        <v>0.10308244935376409</v>
      </c>
      <c r="G229" s="139">
        <f>SUMPRODUCT(H229:AQ229,$H$12:$AQ$12)/INDEX($H$12:$AQ$12,MATCH(YEAR(Inputs!$E$58),$H$5:$AQ$5,0))</f>
        <v>39573.852816378392</v>
      </c>
      <c r="H229" s="139">
        <f>H$213+(H$5=YEAR(Inputs!$E$58))*($E$202-$E229)</f>
        <v>0</v>
      </c>
      <c r="I229" s="139">
        <f>I$213+(I$5=YEAR(Inputs!$E$58))*($E$202-$E229)</f>
        <v>0</v>
      </c>
      <c r="J229" s="139">
        <f>J$213+(J$5=YEAR(Inputs!$E$58))*($E$202-$E229)</f>
        <v>0</v>
      </c>
      <c r="K229" s="139">
        <f>K$213+(K$5=YEAR(Inputs!$E$58))*($E$202-$E229)</f>
        <v>-66498.34568871728</v>
      </c>
      <c r="L229" s="139">
        <f>L$213+(L$5=YEAR(Inputs!$E$58))*($E$202-$E229)</f>
        <v>-70569.756402439045</v>
      </c>
      <c r="M229" s="139">
        <f>M$213+(M$5=YEAR(Inputs!$E$58))*($E$202-$E229)</f>
        <v>-26607.93180448269</v>
      </c>
      <c r="N229" s="139">
        <f>N$213+(N$5=YEAR(Inputs!$E$58))*($E$202-$E229)</f>
        <v>20001.789687164593</v>
      </c>
      <c r="O229" s="139">
        <f>O$213+(O$5=YEAR(Inputs!$E$58))*($E$202-$E229)</f>
        <v>20061.275341104138</v>
      </c>
      <c r="P229" s="139">
        <f>P$213+(P$5=YEAR(Inputs!$E$58))*($E$202-$E229)</f>
        <v>20119.239954301775</v>
      </c>
      <c r="Q229" s="139">
        <f>Q$213+(Q$5=YEAR(Inputs!$E$58))*($E$202-$E229)</f>
        <v>20175.626690428231</v>
      </c>
      <c r="R229" s="139">
        <f>R$213+(R$5=YEAR(Inputs!$E$58))*($E$202-$E229)</f>
        <v>20230.377191410153</v>
      </c>
      <c r="S229" s="139">
        <f>S$213+(S$5=YEAR(Inputs!$E$58))*($E$202-$E229)</f>
        <v>20283.431539398491</v>
      </c>
      <c r="T229" s="139">
        <f>T$213+(T$5=YEAR(Inputs!$E$58))*($E$202-$E229)</f>
        <v>20334.728217801578</v>
      </c>
      <c r="U229" s="139">
        <f>U$213+(U$5=YEAR(Inputs!$E$58))*($E$202-$E229)</f>
        <v>20384.204071360255</v>
      </c>
      <c r="V229" s="139">
        <f>V$213+(V$5=YEAR(Inputs!$E$58))*($E$202-$E229)</f>
        <v>20431.794265241118</v>
      </c>
      <c r="W229" s="139">
        <f>W$213+(W$5=YEAR(Inputs!$E$58))*($E$202-$E229)</f>
        <v>20477.432243124367</v>
      </c>
      <c r="X229" s="139">
        <f>X$213+(X$5=YEAR(Inputs!$E$58))*($E$202-$E229)</f>
        <v>20521.049684261125</v>
      </c>
      <c r="Y229" s="139">
        <f>Y$213+(Y$5=YEAR(Inputs!$E$58))*($E$202-$E229)</f>
        <v>20562.576459475229</v>
      </c>
      <c r="Z229" s="139">
        <f>Z$213+(Z$5=YEAR(Inputs!$E$58))*($E$202-$E229)</f>
        <v>20601.940586083492</v>
      </c>
      <c r="AA229" s="139">
        <f>AA$213+(AA$5=YEAR(Inputs!$E$58))*($E$202-$E229)</f>
        <v>20639.068181707946</v>
      </c>
      <c r="AB229" s="139">
        <f>AB$213+(AB$5=YEAR(Inputs!$E$58))*($E$202-$E229)</f>
        <v>20673.883416952955</v>
      </c>
      <c r="AC229" s="139">
        <f>AC$213+(AC$5=YEAR(Inputs!$E$58))*($E$202-$E229)</f>
        <v>20706.308466919229</v>
      </c>
      <c r="AD229" s="139">
        <f>AD$213+(AD$5=YEAR(Inputs!$E$58))*($E$202-$E229)</f>
        <v>20736.263461526323</v>
      </c>
      <c r="AE229" s="139">
        <f>AE$213+(AE$5=YEAR(Inputs!$E$58))*($E$202-$E229)</f>
        <v>20763.666434614384</v>
      </c>
      <c r="AF229" s="139">
        <f>AF$213+(AF$5=YEAR(Inputs!$E$58))*($E$202-$E229)</f>
        <v>20788.433271795177</v>
      </c>
      <c r="AG229" s="139">
        <f>AG$213+(AG$5=YEAR(Inputs!$E$58))*($E$202-$E229)</f>
        <v>20171.118855434634</v>
      </c>
      <c r="AH229" s="139">
        <f>AH$213+(AH$5=YEAR(Inputs!$E$58))*($E$202-$E229)</f>
        <v>19550.993414670917</v>
      </c>
      <c r="AI229" s="139">
        <f>AI$213+(AI$5=YEAR(Inputs!$E$58))*($E$202-$E229)</f>
        <v>19567.324866152165</v>
      </c>
      <c r="AJ229" s="139">
        <f>AJ$213+(AJ$5=YEAR(Inputs!$E$58))*($E$202-$E229)</f>
        <v>19580.661153396002</v>
      </c>
      <c r="AK229" s="139">
        <f>AK$213+(AK$5=YEAR(Inputs!$E$58))*($E$202-$E229)</f>
        <v>19590.906592672956</v>
      </c>
      <c r="AL229" s="139">
        <f>AL$213+(AL$5=YEAR(Inputs!$E$58))*($E$202-$E229)</f>
        <v>19597.963011094904</v>
      </c>
      <c r="AM229" s="139">
        <f>AM$213+(AM$5=YEAR(Inputs!$E$58))*($E$202-$E229)</f>
        <v>19601.729684808801</v>
      </c>
      <c r="AN229" s="139">
        <f>AN$213+(AN$5=YEAR(Inputs!$E$58))*($E$202-$E229)</f>
        <v>19602.103275672118</v>
      </c>
      <c r="AO229" s="139">
        <f>AO$213+(AO$5=YEAR(Inputs!$E$58))*($E$202-$E229)</f>
        <v>19598.97776637282</v>
      </c>
      <c r="AP229" s="139">
        <f>AP$213+(AP$5=YEAR(Inputs!$E$58))*($E$202-$E229)</f>
        <v>19592.244393955589</v>
      </c>
      <c r="AQ229" s="139">
        <f>AQ$213+(AQ$5=YEAR(Inputs!$E$58))*($E$202-$E229)</f>
        <v>5713.8957908577104</v>
      </c>
    </row>
    <row r="230" spans="3:43" x14ac:dyDescent="0.25">
      <c r="C230" s="279" t="s">
        <v>1378</v>
      </c>
      <c r="D230" s="177">
        <f>Dashboard!$H$155</f>
        <v>125</v>
      </c>
      <c r="E230" s="282">
        <f>D230*Dash_MVA+MOIC!$G$144</f>
        <v>33428.589870344324</v>
      </c>
      <c r="F230" s="170">
        <f t="shared" si="91"/>
        <v>0.10133891166670206</v>
      </c>
      <c r="G230" s="280">
        <f>SUMPRODUCT(H230:AQ230,$H$12:$AQ$12)/INDEX($H$12:$AQ$12,MATCH(YEAR(Inputs!$E$58),$H$5:$AQ$5,0))</f>
        <v>37073.852816378407</v>
      </c>
      <c r="H230" s="139">
        <f>H$213+(H$5=YEAR(Inputs!$E$58))*($E$202-$E230)</f>
        <v>0</v>
      </c>
      <c r="I230" s="139">
        <f>I$213+(I$5=YEAR(Inputs!$E$58))*($E$202-$E230)</f>
        <v>0</v>
      </c>
      <c r="J230" s="139">
        <f>J$213+(J$5=YEAR(Inputs!$E$58))*($E$202-$E230)</f>
        <v>0</v>
      </c>
      <c r="K230" s="139">
        <f>K$213+(K$5=YEAR(Inputs!$E$58))*($E$202-$E230)</f>
        <v>-68998.34568871728</v>
      </c>
      <c r="L230" s="139">
        <f>L$213+(L$5=YEAR(Inputs!$E$58))*($E$202-$E230)</f>
        <v>-70569.756402439045</v>
      </c>
      <c r="M230" s="139">
        <f>M$213+(M$5=YEAR(Inputs!$E$58))*($E$202-$E230)</f>
        <v>-26607.93180448269</v>
      </c>
      <c r="N230" s="139">
        <f>N$213+(N$5=YEAR(Inputs!$E$58))*($E$202-$E230)</f>
        <v>20001.789687164593</v>
      </c>
      <c r="O230" s="139">
        <f>O$213+(O$5=YEAR(Inputs!$E$58))*($E$202-$E230)</f>
        <v>20061.275341104138</v>
      </c>
      <c r="P230" s="139">
        <f>P$213+(P$5=YEAR(Inputs!$E$58))*($E$202-$E230)</f>
        <v>20119.239954301775</v>
      </c>
      <c r="Q230" s="139">
        <f>Q$213+(Q$5=YEAR(Inputs!$E$58))*($E$202-$E230)</f>
        <v>20175.626690428231</v>
      </c>
      <c r="R230" s="139">
        <f>R$213+(R$5=YEAR(Inputs!$E$58))*($E$202-$E230)</f>
        <v>20230.377191410153</v>
      </c>
      <c r="S230" s="139">
        <f>S$213+(S$5=YEAR(Inputs!$E$58))*($E$202-$E230)</f>
        <v>20283.431539398491</v>
      </c>
      <c r="T230" s="139">
        <f>T$213+(T$5=YEAR(Inputs!$E$58))*($E$202-$E230)</f>
        <v>20334.728217801578</v>
      </c>
      <c r="U230" s="139">
        <f>U$213+(U$5=YEAR(Inputs!$E$58))*($E$202-$E230)</f>
        <v>20384.204071360255</v>
      </c>
      <c r="V230" s="139">
        <f>V$213+(V$5=YEAR(Inputs!$E$58))*($E$202-$E230)</f>
        <v>20431.794265241118</v>
      </c>
      <c r="W230" s="139">
        <f>W$213+(W$5=YEAR(Inputs!$E$58))*($E$202-$E230)</f>
        <v>20477.432243124367</v>
      </c>
      <c r="X230" s="139">
        <f>X$213+(X$5=YEAR(Inputs!$E$58))*($E$202-$E230)</f>
        <v>20521.049684261125</v>
      </c>
      <c r="Y230" s="139">
        <f>Y$213+(Y$5=YEAR(Inputs!$E$58))*($E$202-$E230)</f>
        <v>20562.576459475229</v>
      </c>
      <c r="Z230" s="139">
        <f>Z$213+(Z$5=YEAR(Inputs!$E$58))*($E$202-$E230)</f>
        <v>20601.940586083492</v>
      </c>
      <c r="AA230" s="139">
        <f>AA$213+(AA$5=YEAR(Inputs!$E$58))*($E$202-$E230)</f>
        <v>20639.068181707946</v>
      </c>
      <c r="AB230" s="139">
        <f>AB$213+(AB$5=YEAR(Inputs!$E$58))*($E$202-$E230)</f>
        <v>20673.883416952955</v>
      </c>
      <c r="AC230" s="139">
        <f>AC$213+(AC$5=YEAR(Inputs!$E$58))*($E$202-$E230)</f>
        <v>20706.308466919229</v>
      </c>
      <c r="AD230" s="139">
        <f>AD$213+(AD$5=YEAR(Inputs!$E$58))*($E$202-$E230)</f>
        <v>20736.263461526323</v>
      </c>
      <c r="AE230" s="139">
        <f>AE$213+(AE$5=YEAR(Inputs!$E$58))*($E$202-$E230)</f>
        <v>20763.666434614384</v>
      </c>
      <c r="AF230" s="139">
        <f>AF$213+(AF$5=YEAR(Inputs!$E$58))*($E$202-$E230)</f>
        <v>20788.433271795177</v>
      </c>
      <c r="AG230" s="139">
        <f>AG$213+(AG$5=YEAR(Inputs!$E$58))*($E$202-$E230)</f>
        <v>20171.118855434634</v>
      </c>
      <c r="AH230" s="139">
        <f>AH$213+(AH$5=YEAR(Inputs!$E$58))*($E$202-$E230)</f>
        <v>19550.993414670917</v>
      </c>
      <c r="AI230" s="139">
        <f>AI$213+(AI$5=YEAR(Inputs!$E$58))*($E$202-$E230)</f>
        <v>19567.324866152165</v>
      </c>
      <c r="AJ230" s="139">
        <f>AJ$213+(AJ$5=YEAR(Inputs!$E$58))*($E$202-$E230)</f>
        <v>19580.661153396002</v>
      </c>
      <c r="AK230" s="139">
        <f>AK$213+(AK$5=YEAR(Inputs!$E$58))*($E$202-$E230)</f>
        <v>19590.906592672956</v>
      </c>
      <c r="AL230" s="139">
        <f>AL$213+(AL$5=YEAR(Inputs!$E$58))*($E$202-$E230)</f>
        <v>19597.963011094904</v>
      </c>
      <c r="AM230" s="139">
        <f>AM$213+(AM$5=YEAR(Inputs!$E$58))*($E$202-$E230)</f>
        <v>19601.729684808801</v>
      </c>
      <c r="AN230" s="139">
        <f>AN$213+(AN$5=YEAR(Inputs!$E$58))*($E$202-$E230)</f>
        <v>19602.103275672118</v>
      </c>
      <c r="AO230" s="139">
        <f>AO$213+(AO$5=YEAR(Inputs!$E$58))*($E$202-$E230)</f>
        <v>19598.97776637282</v>
      </c>
      <c r="AP230" s="139">
        <f>AP$213+(AP$5=YEAR(Inputs!$E$58))*($E$202-$E230)</f>
        <v>19592.244393955589</v>
      </c>
      <c r="AQ230" s="139">
        <f>AQ$213+(AQ$5=YEAR(Inputs!$E$58))*($E$202-$E230)</f>
        <v>5713.8957908577104</v>
      </c>
    </row>
    <row r="231" spans="3:43" x14ac:dyDescent="0.25">
      <c r="C231" t="s">
        <v>1379</v>
      </c>
      <c r="D231" s="283">
        <f>Dashboard!$I$155</f>
        <v>150</v>
      </c>
      <c r="E231" s="131">
        <f>D231*Dash_MVA+MOIC!$G$144</f>
        <v>35928.589870344324</v>
      </c>
      <c r="F231" s="134">
        <f t="shared" si="91"/>
        <v>9.9642210707889811E-2</v>
      </c>
      <c r="G231" s="139">
        <f>SUMPRODUCT(H231:AQ231,$H$12:$AQ$12)/INDEX($H$12:$AQ$12,MATCH(YEAR(Inputs!$E$58),$H$5:$AQ$5,0))</f>
        <v>34573.85281637837</v>
      </c>
      <c r="H231" s="139">
        <f>H$213+(H$5=YEAR(Inputs!$E$58))*($E$202-$E231)</f>
        <v>0</v>
      </c>
      <c r="I231" s="139">
        <f>I$213+(I$5=YEAR(Inputs!$E$58))*($E$202-$E231)</f>
        <v>0</v>
      </c>
      <c r="J231" s="139">
        <f>J$213+(J$5=YEAR(Inputs!$E$58))*($E$202-$E231)</f>
        <v>0</v>
      </c>
      <c r="K231" s="139">
        <f>K$213+(K$5=YEAR(Inputs!$E$58))*($E$202-$E231)</f>
        <v>-71498.34568871728</v>
      </c>
      <c r="L231" s="139">
        <f>L$213+(L$5=YEAR(Inputs!$E$58))*($E$202-$E231)</f>
        <v>-70569.756402439045</v>
      </c>
      <c r="M231" s="139">
        <f>M$213+(M$5=YEAR(Inputs!$E$58))*($E$202-$E231)</f>
        <v>-26607.93180448269</v>
      </c>
      <c r="N231" s="139">
        <f>N$213+(N$5=YEAR(Inputs!$E$58))*($E$202-$E231)</f>
        <v>20001.789687164593</v>
      </c>
      <c r="O231" s="139">
        <f>O$213+(O$5=YEAR(Inputs!$E$58))*($E$202-$E231)</f>
        <v>20061.275341104138</v>
      </c>
      <c r="P231" s="139">
        <f>P$213+(P$5=YEAR(Inputs!$E$58))*($E$202-$E231)</f>
        <v>20119.239954301775</v>
      </c>
      <c r="Q231" s="139">
        <f>Q$213+(Q$5=YEAR(Inputs!$E$58))*($E$202-$E231)</f>
        <v>20175.626690428231</v>
      </c>
      <c r="R231" s="139">
        <f>R$213+(R$5=YEAR(Inputs!$E$58))*($E$202-$E231)</f>
        <v>20230.377191410153</v>
      </c>
      <c r="S231" s="139">
        <f>S$213+(S$5=YEAR(Inputs!$E$58))*($E$202-$E231)</f>
        <v>20283.431539398491</v>
      </c>
      <c r="T231" s="139">
        <f>T$213+(T$5=YEAR(Inputs!$E$58))*($E$202-$E231)</f>
        <v>20334.728217801578</v>
      </c>
      <c r="U231" s="139">
        <f>U$213+(U$5=YEAR(Inputs!$E$58))*($E$202-$E231)</f>
        <v>20384.204071360255</v>
      </c>
      <c r="V231" s="139">
        <f>V$213+(V$5=YEAR(Inputs!$E$58))*($E$202-$E231)</f>
        <v>20431.794265241118</v>
      </c>
      <c r="W231" s="139">
        <f>W$213+(W$5=YEAR(Inputs!$E$58))*($E$202-$E231)</f>
        <v>20477.432243124367</v>
      </c>
      <c r="X231" s="139">
        <f>X$213+(X$5=YEAR(Inputs!$E$58))*($E$202-$E231)</f>
        <v>20521.049684261125</v>
      </c>
      <c r="Y231" s="139">
        <f>Y$213+(Y$5=YEAR(Inputs!$E$58))*($E$202-$E231)</f>
        <v>20562.576459475229</v>
      </c>
      <c r="Z231" s="139">
        <f>Z$213+(Z$5=YEAR(Inputs!$E$58))*($E$202-$E231)</f>
        <v>20601.940586083492</v>
      </c>
      <c r="AA231" s="139">
        <f>AA$213+(AA$5=YEAR(Inputs!$E$58))*($E$202-$E231)</f>
        <v>20639.068181707946</v>
      </c>
      <c r="AB231" s="139">
        <f>AB$213+(AB$5=YEAR(Inputs!$E$58))*($E$202-$E231)</f>
        <v>20673.883416952955</v>
      </c>
      <c r="AC231" s="139">
        <f>AC$213+(AC$5=YEAR(Inputs!$E$58))*($E$202-$E231)</f>
        <v>20706.308466919229</v>
      </c>
      <c r="AD231" s="139">
        <f>AD$213+(AD$5=YEAR(Inputs!$E$58))*($E$202-$E231)</f>
        <v>20736.263461526323</v>
      </c>
      <c r="AE231" s="139">
        <f>AE$213+(AE$5=YEAR(Inputs!$E$58))*($E$202-$E231)</f>
        <v>20763.666434614384</v>
      </c>
      <c r="AF231" s="139">
        <f>AF$213+(AF$5=YEAR(Inputs!$E$58))*($E$202-$E231)</f>
        <v>20788.433271795177</v>
      </c>
      <c r="AG231" s="139">
        <f>AG$213+(AG$5=YEAR(Inputs!$E$58))*($E$202-$E231)</f>
        <v>20171.118855434634</v>
      </c>
      <c r="AH231" s="139">
        <f>AH$213+(AH$5=YEAR(Inputs!$E$58))*($E$202-$E231)</f>
        <v>19550.993414670917</v>
      </c>
      <c r="AI231" s="139">
        <f>AI$213+(AI$5=YEAR(Inputs!$E$58))*($E$202-$E231)</f>
        <v>19567.324866152165</v>
      </c>
      <c r="AJ231" s="139">
        <f>AJ$213+(AJ$5=YEAR(Inputs!$E$58))*($E$202-$E231)</f>
        <v>19580.661153396002</v>
      </c>
      <c r="AK231" s="139">
        <f>AK$213+(AK$5=YEAR(Inputs!$E$58))*($E$202-$E231)</f>
        <v>19590.906592672956</v>
      </c>
      <c r="AL231" s="139">
        <f>AL$213+(AL$5=YEAR(Inputs!$E$58))*($E$202-$E231)</f>
        <v>19597.963011094904</v>
      </c>
      <c r="AM231" s="139">
        <f>AM$213+(AM$5=YEAR(Inputs!$E$58))*($E$202-$E231)</f>
        <v>19601.729684808801</v>
      </c>
      <c r="AN231" s="139">
        <f>AN$213+(AN$5=YEAR(Inputs!$E$58))*($E$202-$E231)</f>
        <v>19602.103275672118</v>
      </c>
      <c r="AO231" s="139">
        <f>AO$213+(AO$5=YEAR(Inputs!$E$58))*($E$202-$E231)</f>
        <v>19598.97776637282</v>
      </c>
      <c r="AP231" s="139">
        <f>AP$213+(AP$5=YEAR(Inputs!$E$58))*($E$202-$E231)</f>
        <v>19592.244393955589</v>
      </c>
      <c r="AQ231" s="139">
        <f>AQ$213+(AQ$5=YEAR(Inputs!$E$58))*($E$202-$E231)</f>
        <v>5713.8957908577104</v>
      </c>
    </row>
    <row r="232" spans="3:43" x14ac:dyDescent="0.25">
      <c r="C232" t="s">
        <v>1380</v>
      </c>
      <c r="D232" s="283">
        <f>Dashboard!$J$155</f>
        <v>175</v>
      </c>
      <c r="E232" s="131">
        <f>D232*Dash_MVA+MOIC!$G$144</f>
        <v>38428.589870344324</v>
      </c>
      <c r="F232" s="134">
        <f t="shared" si="91"/>
        <v>9.7990147983752385E-2</v>
      </c>
      <c r="G232" s="139">
        <f>SUMPRODUCT(H232:AQ232,$H$12:$AQ$12)/INDEX($H$12:$AQ$12,MATCH(YEAR(Inputs!$E$58),$H$5:$AQ$5,0))</f>
        <v>32073.852816378385</v>
      </c>
      <c r="H232" s="139">
        <f>H$213+(H$5=YEAR(Inputs!$E$58))*($E$202-$E232)</f>
        <v>0</v>
      </c>
      <c r="I232" s="139">
        <f>I$213+(I$5=YEAR(Inputs!$E$58))*($E$202-$E232)</f>
        <v>0</v>
      </c>
      <c r="J232" s="139">
        <f>J$213+(J$5=YEAR(Inputs!$E$58))*($E$202-$E232)</f>
        <v>0</v>
      </c>
      <c r="K232" s="139">
        <f>K$213+(K$5=YEAR(Inputs!$E$58))*($E$202-$E232)</f>
        <v>-73998.34568871728</v>
      </c>
      <c r="L232" s="139">
        <f>L$213+(L$5=YEAR(Inputs!$E$58))*($E$202-$E232)</f>
        <v>-70569.756402439045</v>
      </c>
      <c r="M232" s="139">
        <f>M$213+(M$5=YEAR(Inputs!$E$58))*($E$202-$E232)</f>
        <v>-26607.93180448269</v>
      </c>
      <c r="N232" s="139">
        <f>N$213+(N$5=YEAR(Inputs!$E$58))*($E$202-$E232)</f>
        <v>20001.789687164593</v>
      </c>
      <c r="O232" s="139">
        <f>O$213+(O$5=YEAR(Inputs!$E$58))*($E$202-$E232)</f>
        <v>20061.275341104138</v>
      </c>
      <c r="P232" s="139">
        <f>P$213+(P$5=YEAR(Inputs!$E$58))*($E$202-$E232)</f>
        <v>20119.239954301775</v>
      </c>
      <c r="Q232" s="139">
        <f>Q$213+(Q$5=YEAR(Inputs!$E$58))*($E$202-$E232)</f>
        <v>20175.626690428231</v>
      </c>
      <c r="R232" s="139">
        <f>R$213+(R$5=YEAR(Inputs!$E$58))*($E$202-$E232)</f>
        <v>20230.377191410153</v>
      </c>
      <c r="S232" s="139">
        <f>S$213+(S$5=YEAR(Inputs!$E$58))*($E$202-$E232)</f>
        <v>20283.431539398491</v>
      </c>
      <c r="T232" s="139">
        <f>T$213+(T$5=YEAR(Inputs!$E$58))*($E$202-$E232)</f>
        <v>20334.728217801578</v>
      </c>
      <c r="U232" s="139">
        <f>U$213+(U$5=YEAR(Inputs!$E$58))*($E$202-$E232)</f>
        <v>20384.204071360255</v>
      </c>
      <c r="V232" s="139">
        <f>V$213+(V$5=YEAR(Inputs!$E$58))*($E$202-$E232)</f>
        <v>20431.794265241118</v>
      </c>
      <c r="W232" s="139">
        <f>W$213+(W$5=YEAR(Inputs!$E$58))*($E$202-$E232)</f>
        <v>20477.432243124367</v>
      </c>
      <c r="X232" s="139">
        <f>X$213+(X$5=YEAR(Inputs!$E$58))*($E$202-$E232)</f>
        <v>20521.049684261125</v>
      </c>
      <c r="Y232" s="139">
        <f>Y$213+(Y$5=YEAR(Inputs!$E$58))*($E$202-$E232)</f>
        <v>20562.576459475229</v>
      </c>
      <c r="Z232" s="139">
        <f>Z$213+(Z$5=YEAR(Inputs!$E$58))*($E$202-$E232)</f>
        <v>20601.940586083492</v>
      </c>
      <c r="AA232" s="139">
        <f>AA$213+(AA$5=YEAR(Inputs!$E$58))*($E$202-$E232)</f>
        <v>20639.068181707946</v>
      </c>
      <c r="AB232" s="139">
        <f>AB$213+(AB$5=YEAR(Inputs!$E$58))*($E$202-$E232)</f>
        <v>20673.883416952955</v>
      </c>
      <c r="AC232" s="139">
        <f>AC$213+(AC$5=YEAR(Inputs!$E$58))*($E$202-$E232)</f>
        <v>20706.308466919229</v>
      </c>
      <c r="AD232" s="139">
        <f>AD$213+(AD$5=YEAR(Inputs!$E$58))*($E$202-$E232)</f>
        <v>20736.263461526323</v>
      </c>
      <c r="AE232" s="139">
        <f>AE$213+(AE$5=YEAR(Inputs!$E$58))*($E$202-$E232)</f>
        <v>20763.666434614384</v>
      </c>
      <c r="AF232" s="139">
        <f>AF$213+(AF$5=YEAR(Inputs!$E$58))*($E$202-$E232)</f>
        <v>20788.433271795177</v>
      </c>
      <c r="AG232" s="139">
        <f>AG$213+(AG$5=YEAR(Inputs!$E$58))*($E$202-$E232)</f>
        <v>20171.118855434634</v>
      </c>
      <c r="AH232" s="139">
        <f>AH$213+(AH$5=YEAR(Inputs!$E$58))*($E$202-$E232)</f>
        <v>19550.993414670917</v>
      </c>
      <c r="AI232" s="139">
        <f>AI$213+(AI$5=YEAR(Inputs!$E$58))*($E$202-$E232)</f>
        <v>19567.324866152165</v>
      </c>
      <c r="AJ232" s="139">
        <f>AJ$213+(AJ$5=YEAR(Inputs!$E$58))*($E$202-$E232)</f>
        <v>19580.661153396002</v>
      </c>
      <c r="AK232" s="139">
        <f>AK$213+(AK$5=YEAR(Inputs!$E$58))*($E$202-$E232)</f>
        <v>19590.906592672956</v>
      </c>
      <c r="AL232" s="139">
        <f>AL$213+(AL$5=YEAR(Inputs!$E$58))*($E$202-$E232)</f>
        <v>19597.963011094904</v>
      </c>
      <c r="AM232" s="139">
        <f>AM$213+(AM$5=YEAR(Inputs!$E$58))*($E$202-$E232)</f>
        <v>19601.729684808801</v>
      </c>
      <c r="AN232" s="139">
        <f>AN$213+(AN$5=YEAR(Inputs!$E$58))*($E$202-$E232)</f>
        <v>19602.103275672118</v>
      </c>
      <c r="AO232" s="139">
        <f>AO$213+(AO$5=YEAR(Inputs!$E$58))*($E$202-$E232)</f>
        <v>19598.97776637282</v>
      </c>
      <c r="AP232" s="139">
        <f>AP$213+(AP$5=YEAR(Inputs!$E$58))*($E$202-$E232)</f>
        <v>19592.244393955589</v>
      </c>
      <c r="AQ232" s="139">
        <f>AQ$213+(AQ$5=YEAR(Inputs!$E$58))*($E$202-$E232)</f>
        <v>5713.8957908577104</v>
      </c>
    </row>
    <row r="233" spans="3:43" x14ac:dyDescent="0.25">
      <c r="C233" t="s">
        <v>1381</v>
      </c>
      <c r="D233" s="283">
        <f>Dashboard!$K$155</f>
        <v>200</v>
      </c>
      <c r="E233" s="131">
        <f>D233*Dash_MVA+MOIC!$G$144</f>
        <v>40928.589870344324</v>
      </c>
      <c r="F233" s="134">
        <f t="shared" si="91"/>
        <v>9.6380669803848296E-2</v>
      </c>
      <c r="G233" s="139">
        <f>SUMPRODUCT(H233:AQ233,$H$12:$AQ$12)/INDEX($H$12:$AQ$12,MATCH(YEAR(Inputs!$E$58),$H$5:$AQ$5,0))</f>
        <v>29573.852816378363</v>
      </c>
      <c r="H233" s="139">
        <f>H$213+(H$5=YEAR(Inputs!$E$58))*($E$202-$E233)</f>
        <v>0</v>
      </c>
      <c r="I233" s="139">
        <f>I$213+(I$5=YEAR(Inputs!$E$58))*($E$202-$E233)</f>
        <v>0</v>
      </c>
      <c r="J233" s="139">
        <f>J$213+(J$5=YEAR(Inputs!$E$58))*($E$202-$E233)</f>
        <v>0</v>
      </c>
      <c r="K233" s="139">
        <f>K$213+(K$5=YEAR(Inputs!$E$58))*($E$202-$E233)</f>
        <v>-76498.34568871728</v>
      </c>
      <c r="L233" s="139">
        <f>L$213+(L$5=YEAR(Inputs!$E$58))*($E$202-$E233)</f>
        <v>-70569.756402439045</v>
      </c>
      <c r="M233" s="139">
        <f>M$213+(M$5=YEAR(Inputs!$E$58))*($E$202-$E233)</f>
        <v>-26607.93180448269</v>
      </c>
      <c r="N233" s="139">
        <f>N$213+(N$5=YEAR(Inputs!$E$58))*($E$202-$E233)</f>
        <v>20001.789687164593</v>
      </c>
      <c r="O233" s="139">
        <f>O$213+(O$5=YEAR(Inputs!$E$58))*($E$202-$E233)</f>
        <v>20061.275341104138</v>
      </c>
      <c r="P233" s="139">
        <f>P$213+(P$5=YEAR(Inputs!$E$58))*($E$202-$E233)</f>
        <v>20119.239954301775</v>
      </c>
      <c r="Q233" s="139">
        <f>Q$213+(Q$5=YEAR(Inputs!$E$58))*($E$202-$E233)</f>
        <v>20175.626690428231</v>
      </c>
      <c r="R233" s="139">
        <f>R$213+(R$5=YEAR(Inputs!$E$58))*($E$202-$E233)</f>
        <v>20230.377191410153</v>
      </c>
      <c r="S233" s="139">
        <f>S$213+(S$5=YEAR(Inputs!$E$58))*($E$202-$E233)</f>
        <v>20283.431539398491</v>
      </c>
      <c r="T233" s="139">
        <f>T$213+(T$5=YEAR(Inputs!$E$58))*($E$202-$E233)</f>
        <v>20334.728217801578</v>
      </c>
      <c r="U233" s="139">
        <f>U$213+(U$5=YEAR(Inputs!$E$58))*($E$202-$E233)</f>
        <v>20384.204071360255</v>
      </c>
      <c r="V233" s="139">
        <f>V$213+(V$5=YEAR(Inputs!$E$58))*($E$202-$E233)</f>
        <v>20431.794265241118</v>
      </c>
      <c r="W233" s="139">
        <f>W$213+(W$5=YEAR(Inputs!$E$58))*($E$202-$E233)</f>
        <v>20477.432243124367</v>
      </c>
      <c r="X233" s="139">
        <f>X$213+(X$5=YEAR(Inputs!$E$58))*($E$202-$E233)</f>
        <v>20521.049684261125</v>
      </c>
      <c r="Y233" s="139">
        <f>Y$213+(Y$5=YEAR(Inputs!$E$58))*($E$202-$E233)</f>
        <v>20562.576459475229</v>
      </c>
      <c r="Z233" s="139">
        <f>Z$213+(Z$5=YEAR(Inputs!$E$58))*($E$202-$E233)</f>
        <v>20601.940586083492</v>
      </c>
      <c r="AA233" s="139">
        <f>AA$213+(AA$5=YEAR(Inputs!$E$58))*($E$202-$E233)</f>
        <v>20639.068181707946</v>
      </c>
      <c r="AB233" s="139">
        <f>AB$213+(AB$5=YEAR(Inputs!$E$58))*($E$202-$E233)</f>
        <v>20673.883416952955</v>
      </c>
      <c r="AC233" s="139">
        <f>AC$213+(AC$5=YEAR(Inputs!$E$58))*($E$202-$E233)</f>
        <v>20706.308466919229</v>
      </c>
      <c r="AD233" s="139">
        <f>AD$213+(AD$5=YEAR(Inputs!$E$58))*($E$202-$E233)</f>
        <v>20736.263461526323</v>
      </c>
      <c r="AE233" s="139">
        <f>AE$213+(AE$5=YEAR(Inputs!$E$58))*($E$202-$E233)</f>
        <v>20763.666434614384</v>
      </c>
      <c r="AF233" s="139">
        <f>AF$213+(AF$5=YEAR(Inputs!$E$58))*($E$202-$E233)</f>
        <v>20788.433271795177</v>
      </c>
      <c r="AG233" s="139">
        <f>AG$213+(AG$5=YEAR(Inputs!$E$58))*($E$202-$E233)</f>
        <v>20171.118855434634</v>
      </c>
      <c r="AH233" s="139">
        <f>AH$213+(AH$5=YEAR(Inputs!$E$58))*($E$202-$E233)</f>
        <v>19550.993414670917</v>
      </c>
      <c r="AI233" s="139">
        <f>AI$213+(AI$5=YEAR(Inputs!$E$58))*($E$202-$E233)</f>
        <v>19567.324866152165</v>
      </c>
      <c r="AJ233" s="139">
        <f>AJ$213+(AJ$5=YEAR(Inputs!$E$58))*($E$202-$E233)</f>
        <v>19580.661153396002</v>
      </c>
      <c r="AK233" s="139">
        <f>AK$213+(AK$5=YEAR(Inputs!$E$58))*($E$202-$E233)</f>
        <v>19590.906592672956</v>
      </c>
      <c r="AL233" s="139">
        <f>AL$213+(AL$5=YEAR(Inputs!$E$58))*($E$202-$E233)</f>
        <v>19597.963011094904</v>
      </c>
      <c r="AM233" s="139">
        <f>AM$213+(AM$5=YEAR(Inputs!$E$58))*($E$202-$E233)</f>
        <v>19601.729684808801</v>
      </c>
      <c r="AN233" s="139">
        <f>AN$213+(AN$5=YEAR(Inputs!$E$58))*($E$202-$E233)</f>
        <v>19602.103275672118</v>
      </c>
      <c r="AO233" s="139">
        <f>AO$213+(AO$5=YEAR(Inputs!$E$58))*($E$202-$E233)</f>
        <v>19598.97776637282</v>
      </c>
      <c r="AP233" s="139">
        <f>AP$213+(AP$5=YEAR(Inputs!$E$58))*($E$202-$E233)</f>
        <v>19592.244393955589</v>
      </c>
      <c r="AQ233" s="139">
        <f>AQ$213+(AQ$5=YEAR(Inputs!$E$58))*($E$202-$E233)</f>
        <v>5713.8957908577104</v>
      </c>
    </row>
    <row r="235" spans="3:43" x14ac:dyDescent="0.25">
      <c r="C235" s="198" t="s">
        <v>1382</v>
      </c>
    </row>
    <row r="236" spans="3:43" x14ac:dyDescent="0.25">
      <c r="C236" s="246" t="s">
        <v>1327</v>
      </c>
      <c r="D236" s="246" t="s">
        <v>1371</v>
      </c>
      <c r="E236" s="246" t="s">
        <v>1372</v>
      </c>
      <c r="F236" s="246" t="s">
        <v>1383</v>
      </c>
      <c r="G236" s="246" t="s">
        <v>1384</v>
      </c>
      <c r="H236" s="250"/>
      <c r="I236" s="250"/>
      <c r="J236" s="250"/>
      <c r="K236" s="250"/>
      <c r="L236" s="250"/>
      <c r="M236" s="250"/>
      <c r="N236" s="250"/>
      <c r="O236" s="250"/>
      <c r="P236" s="250"/>
      <c r="Q236" s="250"/>
      <c r="R236" s="250"/>
      <c r="S236" s="250"/>
      <c r="T236" s="250"/>
      <c r="U236" s="250"/>
      <c r="V236" s="250"/>
      <c r="W236" s="250"/>
      <c r="X236" s="250"/>
      <c r="Y236" s="250"/>
      <c r="Z236" s="250"/>
      <c r="AA236" s="250"/>
      <c r="AB236" s="250"/>
      <c r="AC236" s="250"/>
      <c r="AD236" s="250"/>
      <c r="AE236" s="250"/>
      <c r="AF236" s="250"/>
      <c r="AG236" s="250"/>
      <c r="AH236" s="250"/>
      <c r="AI236" s="250"/>
      <c r="AJ236" s="250"/>
      <c r="AK236" s="250"/>
      <c r="AL236" s="250"/>
      <c r="AM236" s="250"/>
      <c r="AN236" s="250"/>
      <c r="AO236" s="250"/>
      <c r="AP236" s="250"/>
      <c r="AQ236" s="250"/>
    </row>
    <row r="237" spans="3:43" x14ac:dyDescent="0.25">
      <c r="C237" t="s">
        <v>1375</v>
      </c>
      <c r="D237" s="283">
        <f>Dashboard!$E$155</f>
        <v>50</v>
      </c>
      <c r="E237" s="131">
        <f>D237*Dash_MVA+MOIC!$G$144</f>
        <v>25928.58987034432</v>
      </c>
      <c r="F237" s="134">
        <f t="shared" ref="F237:F243" si="92">IFERROR(IRR(H237:AQ237),"n/a")</f>
        <v>0.13580378735244492</v>
      </c>
      <c r="G237" s="155">
        <f t="array" ref="G237">IFERROR(SUMPRODUCT(H237:AQ237/(1+Inputs!$E$255)^$H$4:$AQ$4)/-SUMPRODUCT((H237:AQ237&lt;0)*H237:AQ237/(1+Inputs!$E$255)^$H$4:$AQ$4),"n/a")</f>
        <v>0.78120041234719939</v>
      </c>
      <c r="H237" s="139">
        <f>H$212+(H$5=YEAR(Inputs!$E$58))*($E$202-$E237)</f>
        <v>0</v>
      </c>
      <c r="I237" s="139">
        <f>I$212+(I$5=YEAR(Inputs!$E$58))*($E$202-$E237)</f>
        <v>0</v>
      </c>
      <c r="J237" s="139">
        <f>J$212+(J$5=YEAR(Inputs!$E$58))*($E$202-$E237)</f>
        <v>0</v>
      </c>
      <c r="K237" s="139">
        <f>K$212+(K$5=YEAR(Inputs!$E$58))*($E$202-$E237)</f>
        <v>-42499.233447924606</v>
      </c>
      <c r="L237" s="139">
        <f>L$212+(L$5=YEAR(Inputs!$E$58))*($E$202-$E237)</f>
        <v>-29737.519185803209</v>
      </c>
      <c r="M237" s="139">
        <f>M$212+(M$5=YEAR(Inputs!$E$58))*($E$202-$E237)</f>
        <v>-7432.2244198379067</v>
      </c>
      <c r="N237" s="139">
        <f>N$212+(N$5=YEAR(Inputs!$E$58))*($E$202-$E237)</f>
        <v>12307.745556956044</v>
      </c>
      <c r="O237" s="139">
        <f>O$212+(O$5=YEAR(Inputs!$E$58))*($E$202-$E237)</f>
        <v>12313.425832093484</v>
      </c>
      <c r="P237" s="139">
        <f>P$212+(P$5=YEAR(Inputs!$E$58))*($E$202-$E237)</f>
        <v>12339.687927824098</v>
      </c>
      <c r="Q237" s="139">
        <f>Q$212+(Q$5=YEAR(Inputs!$E$58))*($E$202-$E237)</f>
        <v>12362.78702061018</v>
      </c>
      <c r="R237" s="139">
        <f>R$212+(R$5=YEAR(Inputs!$E$58))*($E$202-$E237)</f>
        <v>12382.585496084708</v>
      </c>
      <c r="S237" s="139">
        <f>S$212+(S$5=YEAR(Inputs!$E$58))*($E$202-$E237)</f>
        <v>12398.940217290286</v>
      </c>
      <c r="T237" s="139">
        <f>T$212+(T$5=YEAR(Inputs!$E$58))*($E$202-$E237)</f>
        <v>12411.702287571474</v>
      </c>
      <c r="U237" s="139">
        <f>U$212+(U$5=YEAR(Inputs!$E$58))*($E$202-$E237)</f>
        <v>12420.716802602157</v>
      </c>
      <c r="V237" s="139">
        <f>V$212+(V$5=YEAR(Inputs!$E$58))*($E$202-$E237)</f>
        <v>12425.822591028626</v>
      </c>
      <c r="W237" s="139">
        <f>W$212+(W$5=YEAR(Inputs!$E$58))*($E$202-$E237)</f>
        <v>12426.85194318476</v>
      </c>
      <c r="X237" s="139">
        <f>X$212+(X$5=YEAR(Inputs!$E$58))*($E$202-$E237)</f>
        <v>12423.630327308045</v>
      </c>
      <c r="Y237" s="139">
        <f>Y$212+(Y$5=YEAR(Inputs!$E$58))*($E$202-$E237)</f>
        <v>12415.976092658006</v>
      </c>
      <c r="Z237" s="139">
        <f>Z$212+(Z$5=YEAR(Inputs!$E$58))*($E$202-$E237)</f>
        <v>12403.700158908918</v>
      </c>
      <c r="AA237" s="139">
        <f>AA$212+(AA$5=YEAR(Inputs!$E$58))*($E$202-$E237)</f>
        <v>12386.605691158156</v>
      </c>
      <c r="AB237" s="139">
        <f>AB$212+(AB$5=YEAR(Inputs!$E$58))*($E$202-$E237)</f>
        <v>12364.487759859185</v>
      </c>
      <c r="AC237" s="139">
        <f>AC$212+(AC$5=YEAR(Inputs!$E$58))*($E$202-$E237)</f>
        <v>20706.308466919229</v>
      </c>
      <c r="AD237" s="139">
        <f>AD$212+(AD$5=YEAR(Inputs!$E$58))*($E$202-$E237)</f>
        <v>20736.263461526323</v>
      </c>
      <c r="AE237" s="139">
        <f>AE$212+(AE$5=YEAR(Inputs!$E$58))*($E$202-$E237)</f>
        <v>20763.666434614384</v>
      </c>
      <c r="AF237" s="139">
        <f>AF$212+(AF$5=YEAR(Inputs!$E$58))*($E$202-$E237)</f>
        <v>20788.433271795177</v>
      </c>
      <c r="AG237" s="139">
        <f>AG$212+(AG$5=YEAR(Inputs!$E$58))*($E$202-$E237)</f>
        <v>20171.118855434634</v>
      </c>
      <c r="AH237" s="139">
        <f>AH$212+(AH$5=YEAR(Inputs!$E$58))*($E$202-$E237)</f>
        <v>19550.993414670917</v>
      </c>
      <c r="AI237" s="139">
        <f>AI$212+(AI$5=YEAR(Inputs!$E$58))*($E$202-$E237)</f>
        <v>19567.324866152165</v>
      </c>
      <c r="AJ237" s="139">
        <f>AJ$212+(AJ$5=YEAR(Inputs!$E$58))*($E$202-$E237)</f>
        <v>19580.661153396002</v>
      </c>
      <c r="AK237" s="139">
        <f>AK$212+(AK$5=YEAR(Inputs!$E$58))*($E$202-$E237)</f>
        <v>19590.906592672956</v>
      </c>
      <c r="AL237" s="139">
        <f>AL$212+(AL$5=YEAR(Inputs!$E$58))*($E$202-$E237)</f>
        <v>19597.963011094904</v>
      </c>
      <c r="AM237" s="139">
        <f>AM$212+(AM$5=YEAR(Inputs!$E$58))*($E$202-$E237)</f>
        <v>19601.729684808801</v>
      </c>
      <c r="AN237" s="139">
        <f>AN$212+(AN$5=YEAR(Inputs!$E$58))*($E$202-$E237)</f>
        <v>19602.103275672118</v>
      </c>
      <c r="AO237" s="139">
        <f>AO$212+(AO$5=YEAR(Inputs!$E$58))*($E$202-$E237)</f>
        <v>19598.97776637282</v>
      </c>
      <c r="AP237" s="139">
        <f>AP$212+(AP$5=YEAR(Inputs!$E$58))*($E$202-$E237)</f>
        <v>19592.244393955589</v>
      </c>
      <c r="AQ237" s="139">
        <f>AQ$212+(AQ$5=YEAR(Inputs!$E$58))*($E$202-$E237)</f>
        <v>5713.8957908577104</v>
      </c>
    </row>
    <row r="238" spans="3:43" x14ac:dyDescent="0.25">
      <c r="C238" t="s">
        <v>1376</v>
      </c>
      <c r="D238" s="283">
        <f>Dashboard!$F$155</f>
        <v>75</v>
      </c>
      <c r="E238" s="131">
        <f>D238*Dash_MVA+MOIC!$G$144</f>
        <v>28428.58987034432</v>
      </c>
      <c r="F238" s="134">
        <f t="shared" si="92"/>
        <v>0.13212712906697388</v>
      </c>
      <c r="G238" s="155">
        <f t="array" ref="G238">IFERROR(SUMPRODUCT(H238:AQ238/(1+Inputs!$E$255)^$H$4:$AQ$4)/-SUMPRODUCT((H238:AQ238&lt;0)*H238:AQ238/(1+Inputs!$E$255)^$H$4:$AQ$4),"n/a")</f>
        <v>0.72476609524096225</v>
      </c>
      <c r="H238" s="139">
        <f>H$212+(H$5=YEAR(Inputs!$E$58))*($E$202-$E238)</f>
        <v>0</v>
      </c>
      <c r="I238" s="139">
        <f>I$212+(I$5=YEAR(Inputs!$E$58))*($E$202-$E238)</f>
        <v>0</v>
      </c>
      <c r="J238" s="139">
        <f>J$212+(J$5=YEAR(Inputs!$E$58))*($E$202-$E238)</f>
        <v>0</v>
      </c>
      <c r="K238" s="139">
        <f>K$212+(K$5=YEAR(Inputs!$E$58))*($E$202-$E238)</f>
        <v>-44999.233447924606</v>
      </c>
      <c r="L238" s="139">
        <f>L$212+(L$5=YEAR(Inputs!$E$58))*($E$202-$E238)</f>
        <v>-29737.519185803209</v>
      </c>
      <c r="M238" s="139">
        <f>M$212+(M$5=YEAR(Inputs!$E$58))*($E$202-$E238)</f>
        <v>-7432.2244198379067</v>
      </c>
      <c r="N238" s="139">
        <f>N$212+(N$5=YEAR(Inputs!$E$58))*($E$202-$E238)</f>
        <v>12307.745556956044</v>
      </c>
      <c r="O238" s="139">
        <f>O$212+(O$5=YEAR(Inputs!$E$58))*($E$202-$E238)</f>
        <v>12313.425832093484</v>
      </c>
      <c r="P238" s="139">
        <f>P$212+(P$5=YEAR(Inputs!$E$58))*($E$202-$E238)</f>
        <v>12339.687927824098</v>
      </c>
      <c r="Q238" s="139">
        <f>Q$212+(Q$5=YEAR(Inputs!$E$58))*($E$202-$E238)</f>
        <v>12362.78702061018</v>
      </c>
      <c r="R238" s="139">
        <f>R$212+(R$5=YEAR(Inputs!$E$58))*($E$202-$E238)</f>
        <v>12382.585496084708</v>
      </c>
      <c r="S238" s="139">
        <f>S$212+(S$5=YEAR(Inputs!$E$58))*($E$202-$E238)</f>
        <v>12398.940217290286</v>
      </c>
      <c r="T238" s="139">
        <f>T$212+(T$5=YEAR(Inputs!$E$58))*($E$202-$E238)</f>
        <v>12411.702287571474</v>
      </c>
      <c r="U238" s="139">
        <f>U$212+(U$5=YEAR(Inputs!$E$58))*($E$202-$E238)</f>
        <v>12420.716802602157</v>
      </c>
      <c r="V238" s="139">
        <f>V$212+(V$5=YEAR(Inputs!$E$58))*($E$202-$E238)</f>
        <v>12425.822591028626</v>
      </c>
      <c r="W238" s="139">
        <f>W$212+(W$5=YEAR(Inputs!$E$58))*($E$202-$E238)</f>
        <v>12426.85194318476</v>
      </c>
      <c r="X238" s="139">
        <f>X$212+(X$5=YEAR(Inputs!$E$58))*($E$202-$E238)</f>
        <v>12423.630327308045</v>
      </c>
      <c r="Y238" s="139">
        <f>Y$212+(Y$5=YEAR(Inputs!$E$58))*($E$202-$E238)</f>
        <v>12415.976092658006</v>
      </c>
      <c r="Z238" s="139">
        <f>Z$212+(Z$5=YEAR(Inputs!$E$58))*($E$202-$E238)</f>
        <v>12403.700158908918</v>
      </c>
      <c r="AA238" s="139">
        <f>AA$212+(AA$5=YEAR(Inputs!$E$58))*($E$202-$E238)</f>
        <v>12386.605691158156</v>
      </c>
      <c r="AB238" s="139">
        <f>AB$212+(AB$5=YEAR(Inputs!$E$58))*($E$202-$E238)</f>
        <v>12364.487759859185</v>
      </c>
      <c r="AC238" s="139">
        <f>AC$212+(AC$5=YEAR(Inputs!$E$58))*($E$202-$E238)</f>
        <v>20706.308466919229</v>
      </c>
      <c r="AD238" s="139">
        <f>AD$212+(AD$5=YEAR(Inputs!$E$58))*($E$202-$E238)</f>
        <v>20736.263461526323</v>
      </c>
      <c r="AE238" s="139">
        <f>AE$212+(AE$5=YEAR(Inputs!$E$58))*($E$202-$E238)</f>
        <v>20763.666434614384</v>
      </c>
      <c r="AF238" s="139">
        <f>AF$212+(AF$5=YEAR(Inputs!$E$58))*($E$202-$E238)</f>
        <v>20788.433271795177</v>
      </c>
      <c r="AG238" s="139">
        <f>AG$212+(AG$5=YEAR(Inputs!$E$58))*($E$202-$E238)</f>
        <v>20171.118855434634</v>
      </c>
      <c r="AH238" s="139">
        <f>AH$212+(AH$5=YEAR(Inputs!$E$58))*($E$202-$E238)</f>
        <v>19550.993414670917</v>
      </c>
      <c r="AI238" s="139">
        <f>AI$212+(AI$5=YEAR(Inputs!$E$58))*($E$202-$E238)</f>
        <v>19567.324866152165</v>
      </c>
      <c r="AJ238" s="139">
        <f>AJ$212+(AJ$5=YEAR(Inputs!$E$58))*($E$202-$E238)</f>
        <v>19580.661153396002</v>
      </c>
      <c r="AK238" s="139">
        <f>AK$212+(AK$5=YEAR(Inputs!$E$58))*($E$202-$E238)</f>
        <v>19590.906592672956</v>
      </c>
      <c r="AL238" s="139">
        <f>AL$212+(AL$5=YEAR(Inputs!$E$58))*($E$202-$E238)</f>
        <v>19597.963011094904</v>
      </c>
      <c r="AM238" s="139">
        <f>AM$212+(AM$5=YEAR(Inputs!$E$58))*($E$202-$E238)</f>
        <v>19601.729684808801</v>
      </c>
      <c r="AN238" s="139">
        <f>AN$212+(AN$5=YEAR(Inputs!$E$58))*($E$202-$E238)</f>
        <v>19602.103275672118</v>
      </c>
      <c r="AO238" s="139">
        <f>AO$212+(AO$5=YEAR(Inputs!$E$58))*($E$202-$E238)</f>
        <v>19598.97776637282</v>
      </c>
      <c r="AP238" s="139">
        <f>AP$212+(AP$5=YEAR(Inputs!$E$58))*($E$202-$E238)</f>
        <v>19592.244393955589</v>
      </c>
      <c r="AQ238" s="139">
        <f>AQ$212+(AQ$5=YEAR(Inputs!$E$58))*($E$202-$E238)</f>
        <v>5713.8957908577104</v>
      </c>
    </row>
    <row r="239" spans="3:43" x14ac:dyDescent="0.25">
      <c r="C239" t="s">
        <v>1377</v>
      </c>
      <c r="D239" s="283">
        <f>Dashboard!$G$155</f>
        <v>100</v>
      </c>
      <c r="E239" s="131">
        <f>D239*Dash_MVA+MOIC!$G$144</f>
        <v>30928.58987034432</v>
      </c>
      <c r="F239" s="134">
        <f t="shared" si="92"/>
        <v>0.12864396472679496</v>
      </c>
      <c r="G239" s="155">
        <f t="array" ref="G239">IFERROR(SUMPRODUCT(H239:AQ239/(1+Inputs!$E$255)^$H$4:$AQ$4)/-SUMPRODUCT((H239:AQ239&lt;0)*H239:AQ239/(1+Inputs!$E$255)^$H$4:$AQ$4),"n/a")</f>
        <v>0.67179800795309019</v>
      </c>
      <c r="H239" s="139">
        <f>H$212+(H$5=YEAR(Inputs!$E$58))*($E$202-$E239)</f>
        <v>0</v>
      </c>
      <c r="I239" s="139">
        <f>I$212+(I$5=YEAR(Inputs!$E$58))*($E$202-$E239)</f>
        <v>0</v>
      </c>
      <c r="J239" s="139">
        <f>J$212+(J$5=YEAR(Inputs!$E$58))*($E$202-$E239)</f>
        <v>0</v>
      </c>
      <c r="K239" s="139">
        <f>K$212+(K$5=YEAR(Inputs!$E$58))*($E$202-$E239)</f>
        <v>-47499.233447924606</v>
      </c>
      <c r="L239" s="139">
        <f>L$212+(L$5=YEAR(Inputs!$E$58))*($E$202-$E239)</f>
        <v>-29737.519185803209</v>
      </c>
      <c r="M239" s="139">
        <f>M$212+(M$5=YEAR(Inputs!$E$58))*($E$202-$E239)</f>
        <v>-7432.2244198379067</v>
      </c>
      <c r="N239" s="139">
        <f>N$212+(N$5=YEAR(Inputs!$E$58))*($E$202-$E239)</f>
        <v>12307.745556956044</v>
      </c>
      <c r="O239" s="139">
        <f>O$212+(O$5=YEAR(Inputs!$E$58))*($E$202-$E239)</f>
        <v>12313.425832093484</v>
      </c>
      <c r="P239" s="139">
        <f>P$212+(P$5=YEAR(Inputs!$E$58))*($E$202-$E239)</f>
        <v>12339.687927824098</v>
      </c>
      <c r="Q239" s="139">
        <f>Q$212+(Q$5=YEAR(Inputs!$E$58))*($E$202-$E239)</f>
        <v>12362.78702061018</v>
      </c>
      <c r="R239" s="139">
        <f>R$212+(R$5=YEAR(Inputs!$E$58))*($E$202-$E239)</f>
        <v>12382.585496084708</v>
      </c>
      <c r="S239" s="139">
        <f>S$212+(S$5=YEAR(Inputs!$E$58))*($E$202-$E239)</f>
        <v>12398.940217290286</v>
      </c>
      <c r="T239" s="139">
        <f>T$212+(T$5=YEAR(Inputs!$E$58))*($E$202-$E239)</f>
        <v>12411.702287571474</v>
      </c>
      <c r="U239" s="139">
        <f>U$212+(U$5=YEAR(Inputs!$E$58))*($E$202-$E239)</f>
        <v>12420.716802602157</v>
      </c>
      <c r="V239" s="139">
        <f>V$212+(V$5=YEAR(Inputs!$E$58))*($E$202-$E239)</f>
        <v>12425.822591028626</v>
      </c>
      <c r="W239" s="139">
        <f>W$212+(W$5=YEAR(Inputs!$E$58))*($E$202-$E239)</f>
        <v>12426.85194318476</v>
      </c>
      <c r="X239" s="139">
        <f>X$212+(X$5=YEAR(Inputs!$E$58))*($E$202-$E239)</f>
        <v>12423.630327308045</v>
      </c>
      <c r="Y239" s="139">
        <f>Y$212+(Y$5=YEAR(Inputs!$E$58))*($E$202-$E239)</f>
        <v>12415.976092658006</v>
      </c>
      <c r="Z239" s="139">
        <f>Z$212+(Z$5=YEAR(Inputs!$E$58))*($E$202-$E239)</f>
        <v>12403.700158908918</v>
      </c>
      <c r="AA239" s="139">
        <f>AA$212+(AA$5=YEAR(Inputs!$E$58))*($E$202-$E239)</f>
        <v>12386.605691158156</v>
      </c>
      <c r="AB239" s="139">
        <f>AB$212+(AB$5=YEAR(Inputs!$E$58))*($E$202-$E239)</f>
        <v>12364.487759859185</v>
      </c>
      <c r="AC239" s="139">
        <f>AC$212+(AC$5=YEAR(Inputs!$E$58))*($E$202-$E239)</f>
        <v>20706.308466919229</v>
      </c>
      <c r="AD239" s="139">
        <f>AD$212+(AD$5=YEAR(Inputs!$E$58))*($E$202-$E239)</f>
        <v>20736.263461526323</v>
      </c>
      <c r="AE239" s="139">
        <f>AE$212+(AE$5=YEAR(Inputs!$E$58))*($E$202-$E239)</f>
        <v>20763.666434614384</v>
      </c>
      <c r="AF239" s="139">
        <f>AF$212+(AF$5=YEAR(Inputs!$E$58))*($E$202-$E239)</f>
        <v>20788.433271795177</v>
      </c>
      <c r="AG239" s="139">
        <f>AG$212+(AG$5=YEAR(Inputs!$E$58))*($E$202-$E239)</f>
        <v>20171.118855434634</v>
      </c>
      <c r="AH239" s="139">
        <f>AH$212+(AH$5=YEAR(Inputs!$E$58))*($E$202-$E239)</f>
        <v>19550.993414670917</v>
      </c>
      <c r="AI239" s="139">
        <f>AI$212+(AI$5=YEAR(Inputs!$E$58))*($E$202-$E239)</f>
        <v>19567.324866152165</v>
      </c>
      <c r="AJ239" s="139">
        <f>AJ$212+(AJ$5=YEAR(Inputs!$E$58))*($E$202-$E239)</f>
        <v>19580.661153396002</v>
      </c>
      <c r="AK239" s="139">
        <f>AK$212+(AK$5=YEAR(Inputs!$E$58))*($E$202-$E239)</f>
        <v>19590.906592672956</v>
      </c>
      <c r="AL239" s="139">
        <f>AL$212+(AL$5=YEAR(Inputs!$E$58))*($E$202-$E239)</f>
        <v>19597.963011094904</v>
      </c>
      <c r="AM239" s="139">
        <f>AM$212+(AM$5=YEAR(Inputs!$E$58))*($E$202-$E239)</f>
        <v>19601.729684808801</v>
      </c>
      <c r="AN239" s="139">
        <f>AN$212+(AN$5=YEAR(Inputs!$E$58))*($E$202-$E239)</f>
        <v>19602.103275672118</v>
      </c>
      <c r="AO239" s="139">
        <f>AO$212+(AO$5=YEAR(Inputs!$E$58))*($E$202-$E239)</f>
        <v>19598.97776637282</v>
      </c>
      <c r="AP239" s="139">
        <f>AP$212+(AP$5=YEAR(Inputs!$E$58))*($E$202-$E239)</f>
        <v>19592.244393955589</v>
      </c>
      <c r="AQ239" s="139">
        <f>AQ$212+(AQ$5=YEAR(Inputs!$E$58))*($E$202-$E239)</f>
        <v>5713.8957908577104</v>
      </c>
    </row>
    <row r="240" spans="3:43" x14ac:dyDescent="0.25">
      <c r="C240" s="279" t="s">
        <v>1378</v>
      </c>
      <c r="D240" s="177">
        <f>Dashboard!$H$155</f>
        <v>125</v>
      </c>
      <c r="E240" s="282">
        <f>D240*Dash_MVA+MOIC!$G$144</f>
        <v>33428.589870344324</v>
      </c>
      <c r="F240" s="170">
        <f t="shared" si="92"/>
        <v>0.12533703320873468</v>
      </c>
      <c r="G240" s="284">
        <f t="array" ref="G240">IFERROR(SUMPRODUCT(H240:AQ240/(1+Inputs!$E$255)^$H$4:$AQ$4)/-SUMPRODUCT((H240:AQ240&lt;0)*H240:AQ240/(1+Inputs!$E$255)^$H$4:$AQ$4),"n/a")</f>
        <v>0.62198631862224529</v>
      </c>
      <c r="H240" s="139">
        <f>H$212+(H$5=YEAR(Inputs!$E$58))*($E$202-$E240)</f>
        <v>0</v>
      </c>
      <c r="I240" s="139">
        <f>I$212+(I$5=YEAR(Inputs!$E$58))*($E$202-$E240)</f>
        <v>0</v>
      </c>
      <c r="J240" s="139">
        <f>J$212+(J$5=YEAR(Inputs!$E$58))*($E$202-$E240)</f>
        <v>0</v>
      </c>
      <c r="K240" s="139">
        <f>K$212+(K$5=YEAR(Inputs!$E$58))*($E$202-$E240)</f>
        <v>-49999.233447924613</v>
      </c>
      <c r="L240" s="139">
        <f>L$212+(L$5=YEAR(Inputs!$E$58))*($E$202-$E240)</f>
        <v>-29737.519185803209</v>
      </c>
      <c r="M240" s="139">
        <f>M$212+(M$5=YEAR(Inputs!$E$58))*($E$202-$E240)</f>
        <v>-7432.2244198379067</v>
      </c>
      <c r="N240" s="139">
        <f>N$212+(N$5=YEAR(Inputs!$E$58))*($E$202-$E240)</f>
        <v>12307.745556956044</v>
      </c>
      <c r="O240" s="139">
        <f>O$212+(O$5=YEAR(Inputs!$E$58))*($E$202-$E240)</f>
        <v>12313.425832093484</v>
      </c>
      <c r="P240" s="139">
        <f>P$212+(P$5=YEAR(Inputs!$E$58))*($E$202-$E240)</f>
        <v>12339.687927824098</v>
      </c>
      <c r="Q240" s="139">
        <f>Q$212+(Q$5=YEAR(Inputs!$E$58))*($E$202-$E240)</f>
        <v>12362.78702061018</v>
      </c>
      <c r="R240" s="139">
        <f>R$212+(R$5=YEAR(Inputs!$E$58))*($E$202-$E240)</f>
        <v>12382.585496084708</v>
      </c>
      <c r="S240" s="139">
        <f>S$212+(S$5=YEAR(Inputs!$E$58))*($E$202-$E240)</f>
        <v>12398.940217290286</v>
      </c>
      <c r="T240" s="139">
        <f>T$212+(T$5=YEAR(Inputs!$E$58))*($E$202-$E240)</f>
        <v>12411.702287571474</v>
      </c>
      <c r="U240" s="139">
        <f>U$212+(U$5=YEAR(Inputs!$E$58))*($E$202-$E240)</f>
        <v>12420.716802602157</v>
      </c>
      <c r="V240" s="139">
        <f>V$212+(V$5=YEAR(Inputs!$E$58))*($E$202-$E240)</f>
        <v>12425.822591028626</v>
      </c>
      <c r="W240" s="139">
        <f>W$212+(W$5=YEAR(Inputs!$E$58))*($E$202-$E240)</f>
        <v>12426.85194318476</v>
      </c>
      <c r="X240" s="139">
        <f>X$212+(X$5=YEAR(Inputs!$E$58))*($E$202-$E240)</f>
        <v>12423.630327308045</v>
      </c>
      <c r="Y240" s="139">
        <f>Y$212+(Y$5=YEAR(Inputs!$E$58))*($E$202-$E240)</f>
        <v>12415.976092658006</v>
      </c>
      <c r="Z240" s="139">
        <f>Z$212+(Z$5=YEAR(Inputs!$E$58))*($E$202-$E240)</f>
        <v>12403.700158908918</v>
      </c>
      <c r="AA240" s="139">
        <f>AA$212+(AA$5=YEAR(Inputs!$E$58))*($E$202-$E240)</f>
        <v>12386.605691158156</v>
      </c>
      <c r="AB240" s="139">
        <f>AB$212+(AB$5=YEAR(Inputs!$E$58))*($E$202-$E240)</f>
        <v>12364.487759859185</v>
      </c>
      <c r="AC240" s="139">
        <f>AC$212+(AC$5=YEAR(Inputs!$E$58))*($E$202-$E240)</f>
        <v>20706.308466919229</v>
      </c>
      <c r="AD240" s="139">
        <f>AD$212+(AD$5=YEAR(Inputs!$E$58))*($E$202-$E240)</f>
        <v>20736.263461526323</v>
      </c>
      <c r="AE240" s="139">
        <f>AE$212+(AE$5=YEAR(Inputs!$E$58))*($E$202-$E240)</f>
        <v>20763.666434614384</v>
      </c>
      <c r="AF240" s="139">
        <f>AF$212+(AF$5=YEAR(Inputs!$E$58))*($E$202-$E240)</f>
        <v>20788.433271795177</v>
      </c>
      <c r="AG240" s="139">
        <f>AG$212+(AG$5=YEAR(Inputs!$E$58))*($E$202-$E240)</f>
        <v>20171.118855434634</v>
      </c>
      <c r="AH240" s="139">
        <f>AH$212+(AH$5=YEAR(Inputs!$E$58))*($E$202-$E240)</f>
        <v>19550.993414670917</v>
      </c>
      <c r="AI240" s="139">
        <f>AI$212+(AI$5=YEAR(Inputs!$E$58))*($E$202-$E240)</f>
        <v>19567.324866152165</v>
      </c>
      <c r="AJ240" s="139">
        <f>AJ$212+(AJ$5=YEAR(Inputs!$E$58))*($E$202-$E240)</f>
        <v>19580.661153396002</v>
      </c>
      <c r="AK240" s="139">
        <f>AK$212+(AK$5=YEAR(Inputs!$E$58))*($E$202-$E240)</f>
        <v>19590.906592672956</v>
      </c>
      <c r="AL240" s="139">
        <f>AL$212+(AL$5=YEAR(Inputs!$E$58))*($E$202-$E240)</f>
        <v>19597.963011094904</v>
      </c>
      <c r="AM240" s="139">
        <f>AM$212+(AM$5=YEAR(Inputs!$E$58))*($E$202-$E240)</f>
        <v>19601.729684808801</v>
      </c>
      <c r="AN240" s="139">
        <f>AN$212+(AN$5=YEAR(Inputs!$E$58))*($E$202-$E240)</f>
        <v>19602.103275672118</v>
      </c>
      <c r="AO240" s="139">
        <f>AO$212+(AO$5=YEAR(Inputs!$E$58))*($E$202-$E240)</f>
        <v>19598.97776637282</v>
      </c>
      <c r="AP240" s="139">
        <f>AP$212+(AP$5=YEAR(Inputs!$E$58))*($E$202-$E240)</f>
        <v>19592.244393955589</v>
      </c>
      <c r="AQ240" s="139">
        <f>AQ$212+(AQ$5=YEAR(Inputs!$E$58))*($E$202-$E240)</f>
        <v>5713.8957908577104</v>
      </c>
    </row>
    <row r="241" spans="3:43" x14ac:dyDescent="0.25">
      <c r="C241" t="s">
        <v>1379</v>
      </c>
      <c r="D241" s="283">
        <f>Dashboard!$I$155</f>
        <v>150</v>
      </c>
      <c r="E241" s="131">
        <f>D241*Dash_MVA+MOIC!$G$144</f>
        <v>35928.589870344324</v>
      </c>
      <c r="F241" s="134">
        <f t="shared" si="92"/>
        <v>0.12219117735406337</v>
      </c>
      <c r="G241" s="155">
        <f t="array" ref="G241">IFERROR(SUMPRODUCT(H241:AQ241/(1+Inputs!$E$255)^$H$4:$AQ$4)/-SUMPRODUCT((H241:AQ241&lt;0)*H241:AQ241/(1+Inputs!$E$255)^$H$4:$AQ$4),"n/a")</f>
        <v>0.57505705310430866</v>
      </c>
      <c r="H241" s="139">
        <f>H$212+(H$5=YEAR(Inputs!$E$58))*($E$202-$E241)</f>
        <v>0</v>
      </c>
      <c r="I241" s="139">
        <f>I$212+(I$5=YEAR(Inputs!$E$58))*($E$202-$E241)</f>
        <v>0</v>
      </c>
      <c r="J241" s="139">
        <f>J$212+(J$5=YEAR(Inputs!$E$58))*($E$202-$E241)</f>
        <v>0</v>
      </c>
      <c r="K241" s="139">
        <f>K$212+(K$5=YEAR(Inputs!$E$58))*($E$202-$E241)</f>
        <v>-52499.233447924613</v>
      </c>
      <c r="L241" s="139">
        <f>L$212+(L$5=YEAR(Inputs!$E$58))*($E$202-$E241)</f>
        <v>-29737.519185803209</v>
      </c>
      <c r="M241" s="139">
        <f>M$212+(M$5=YEAR(Inputs!$E$58))*($E$202-$E241)</f>
        <v>-7432.2244198379067</v>
      </c>
      <c r="N241" s="139">
        <f>N$212+(N$5=YEAR(Inputs!$E$58))*($E$202-$E241)</f>
        <v>12307.745556956044</v>
      </c>
      <c r="O241" s="139">
        <f>O$212+(O$5=YEAR(Inputs!$E$58))*($E$202-$E241)</f>
        <v>12313.425832093484</v>
      </c>
      <c r="P241" s="139">
        <f>P$212+(P$5=YEAR(Inputs!$E$58))*($E$202-$E241)</f>
        <v>12339.687927824098</v>
      </c>
      <c r="Q241" s="139">
        <f>Q$212+(Q$5=YEAR(Inputs!$E$58))*($E$202-$E241)</f>
        <v>12362.78702061018</v>
      </c>
      <c r="R241" s="139">
        <f>R$212+(R$5=YEAR(Inputs!$E$58))*($E$202-$E241)</f>
        <v>12382.585496084708</v>
      </c>
      <c r="S241" s="139">
        <f>S$212+(S$5=YEAR(Inputs!$E$58))*($E$202-$E241)</f>
        <v>12398.940217290286</v>
      </c>
      <c r="T241" s="139">
        <f>T$212+(T$5=YEAR(Inputs!$E$58))*($E$202-$E241)</f>
        <v>12411.702287571474</v>
      </c>
      <c r="U241" s="139">
        <f>U$212+(U$5=YEAR(Inputs!$E$58))*($E$202-$E241)</f>
        <v>12420.716802602157</v>
      </c>
      <c r="V241" s="139">
        <f>V$212+(V$5=YEAR(Inputs!$E$58))*($E$202-$E241)</f>
        <v>12425.822591028626</v>
      </c>
      <c r="W241" s="139">
        <f>W$212+(W$5=YEAR(Inputs!$E$58))*($E$202-$E241)</f>
        <v>12426.85194318476</v>
      </c>
      <c r="X241" s="139">
        <f>X$212+(X$5=YEAR(Inputs!$E$58))*($E$202-$E241)</f>
        <v>12423.630327308045</v>
      </c>
      <c r="Y241" s="139">
        <f>Y$212+(Y$5=YEAR(Inputs!$E$58))*($E$202-$E241)</f>
        <v>12415.976092658006</v>
      </c>
      <c r="Z241" s="139">
        <f>Z$212+(Z$5=YEAR(Inputs!$E$58))*($E$202-$E241)</f>
        <v>12403.700158908918</v>
      </c>
      <c r="AA241" s="139">
        <f>AA$212+(AA$5=YEAR(Inputs!$E$58))*($E$202-$E241)</f>
        <v>12386.605691158156</v>
      </c>
      <c r="AB241" s="139">
        <f>AB$212+(AB$5=YEAR(Inputs!$E$58))*($E$202-$E241)</f>
        <v>12364.487759859185</v>
      </c>
      <c r="AC241" s="139">
        <f>AC$212+(AC$5=YEAR(Inputs!$E$58))*($E$202-$E241)</f>
        <v>20706.308466919229</v>
      </c>
      <c r="AD241" s="139">
        <f>AD$212+(AD$5=YEAR(Inputs!$E$58))*($E$202-$E241)</f>
        <v>20736.263461526323</v>
      </c>
      <c r="AE241" s="139">
        <f>AE$212+(AE$5=YEAR(Inputs!$E$58))*($E$202-$E241)</f>
        <v>20763.666434614384</v>
      </c>
      <c r="AF241" s="139">
        <f>AF$212+(AF$5=YEAR(Inputs!$E$58))*($E$202-$E241)</f>
        <v>20788.433271795177</v>
      </c>
      <c r="AG241" s="139">
        <f>AG$212+(AG$5=YEAR(Inputs!$E$58))*($E$202-$E241)</f>
        <v>20171.118855434634</v>
      </c>
      <c r="AH241" s="139">
        <f>AH$212+(AH$5=YEAR(Inputs!$E$58))*($E$202-$E241)</f>
        <v>19550.993414670917</v>
      </c>
      <c r="AI241" s="139">
        <f>AI$212+(AI$5=YEAR(Inputs!$E$58))*($E$202-$E241)</f>
        <v>19567.324866152165</v>
      </c>
      <c r="AJ241" s="139">
        <f>AJ$212+(AJ$5=YEAR(Inputs!$E$58))*($E$202-$E241)</f>
        <v>19580.661153396002</v>
      </c>
      <c r="AK241" s="139">
        <f>AK$212+(AK$5=YEAR(Inputs!$E$58))*($E$202-$E241)</f>
        <v>19590.906592672956</v>
      </c>
      <c r="AL241" s="139">
        <f>AL$212+(AL$5=YEAR(Inputs!$E$58))*($E$202-$E241)</f>
        <v>19597.963011094904</v>
      </c>
      <c r="AM241" s="139">
        <f>AM$212+(AM$5=YEAR(Inputs!$E$58))*($E$202-$E241)</f>
        <v>19601.729684808801</v>
      </c>
      <c r="AN241" s="139">
        <f>AN$212+(AN$5=YEAR(Inputs!$E$58))*($E$202-$E241)</f>
        <v>19602.103275672118</v>
      </c>
      <c r="AO241" s="139">
        <f>AO$212+(AO$5=YEAR(Inputs!$E$58))*($E$202-$E241)</f>
        <v>19598.97776637282</v>
      </c>
      <c r="AP241" s="139">
        <f>AP$212+(AP$5=YEAR(Inputs!$E$58))*($E$202-$E241)</f>
        <v>19592.244393955589</v>
      </c>
      <c r="AQ241" s="139">
        <f>AQ$212+(AQ$5=YEAR(Inputs!$E$58))*($E$202-$E241)</f>
        <v>5713.8957908577104</v>
      </c>
    </row>
    <row r="242" spans="3:43" x14ac:dyDescent="0.25">
      <c r="C242" t="s">
        <v>1380</v>
      </c>
      <c r="D242" s="283">
        <f>Dashboard!$J$155</f>
        <v>175</v>
      </c>
      <c r="E242" s="131">
        <f>D242*Dash_MVA+MOIC!$G$144</f>
        <v>38428.589870344324</v>
      </c>
      <c r="F242" s="134">
        <f t="shared" si="92"/>
        <v>0.11919302417799216</v>
      </c>
      <c r="G242" s="155">
        <f t="array" ref="G242">IFERROR(SUMPRODUCT(H242:AQ242/(1+Inputs!$E$255)^$H$4:$AQ$4)/-SUMPRODUCT((H242:AQ242&lt;0)*H242:AQ242/(1+Inputs!$E$255)^$H$4:$AQ$4),"n/a")</f>
        <v>0.53076705344617037</v>
      </c>
      <c r="H242" s="139">
        <f>H$212+(H$5=YEAR(Inputs!$E$58))*($E$202-$E242)</f>
        <v>0</v>
      </c>
      <c r="I242" s="139">
        <f>I$212+(I$5=YEAR(Inputs!$E$58))*($E$202-$E242)</f>
        <v>0</v>
      </c>
      <c r="J242" s="139">
        <f>J$212+(J$5=YEAR(Inputs!$E$58))*($E$202-$E242)</f>
        <v>0</v>
      </c>
      <c r="K242" s="139">
        <f>K$212+(K$5=YEAR(Inputs!$E$58))*($E$202-$E242)</f>
        <v>-54999.233447924613</v>
      </c>
      <c r="L242" s="139">
        <f>L$212+(L$5=YEAR(Inputs!$E$58))*($E$202-$E242)</f>
        <v>-29737.519185803209</v>
      </c>
      <c r="M242" s="139">
        <f>M$212+(M$5=YEAR(Inputs!$E$58))*($E$202-$E242)</f>
        <v>-7432.2244198379067</v>
      </c>
      <c r="N242" s="139">
        <f>N$212+(N$5=YEAR(Inputs!$E$58))*($E$202-$E242)</f>
        <v>12307.745556956044</v>
      </c>
      <c r="O242" s="139">
        <f>O$212+(O$5=YEAR(Inputs!$E$58))*($E$202-$E242)</f>
        <v>12313.425832093484</v>
      </c>
      <c r="P242" s="139">
        <f>P$212+(P$5=YEAR(Inputs!$E$58))*($E$202-$E242)</f>
        <v>12339.687927824098</v>
      </c>
      <c r="Q242" s="139">
        <f>Q$212+(Q$5=YEAR(Inputs!$E$58))*($E$202-$E242)</f>
        <v>12362.78702061018</v>
      </c>
      <c r="R242" s="139">
        <f>R$212+(R$5=YEAR(Inputs!$E$58))*($E$202-$E242)</f>
        <v>12382.585496084708</v>
      </c>
      <c r="S242" s="139">
        <f>S$212+(S$5=YEAR(Inputs!$E$58))*($E$202-$E242)</f>
        <v>12398.940217290286</v>
      </c>
      <c r="T242" s="139">
        <f>T$212+(T$5=YEAR(Inputs!$E$58))*($E$202-$E242)</f>
        <v>12411.702287571474</v>
      </c>
      <c r="U242" s="139">
        <f>U$212+(U$5=YEAR(Inputs!$E$58))*($E$202-$E242)</f>
        <v>12420.716802602157</v>
      </c>
      <c r="V242" s="139">
        <f>V$212+(V$5=YEAR(Inputs!$E$58))*($E$202-$E242)</f>
        <v>12425.822591028626</v>
      </c>
      <c r="W242" s="139">
        <f>W$212+(W$5=YEAR(Inputs!$E$58))*($E$202-$E242)</f>
        <v>12426.85194318476</v>
      </c>
      <c r="X242" s="139">
        <f>X$212+(X$5=YEAR(Inputs!$E$58))*($E$202-$E242)</f>
        <v>12423.630327308045</v>
      </c>
      <c r="Y242" s="139">
        <f>Y$212+(Y$5=YEAR(Inputs!$E$58))*($E$202-$E242)</f>
        <v>12415.976092658006</v>
      </c>
      <c r="Z242" s="139">
        <f>Z$212+(Z$5=YEAR(Inputs!$E$58))*($E$202-$E242)</f>
        <v>12403.700158908918</v>
      </c>
      <c r="AA242" s="139">
        <f>AA$212+(AA$5=YEAR(Inputs!$E$58))*($E$202-$E242)</f>
        <v>12386.605691158156</v>
      </c>
      <c r="AB242" s="139">
        <f>AB$212+(AB$5=YEAR(Inputs!$E$58))*($E$202-$E242)</f>
        <v>12364.487759859185</v>
      </c>
      <c r="AC242" s="139">
        <f>AC$212+(AC$5=YEAR(Inputs!$E$58))*($E$202-$E242)</f>
        <v>20706.308466919229</v>
      </c>
      <c r="AD242" s="139">
        <f>AD$212+(AD$5=YEAR(Inputs!$E$58))*($E$202-$E242)</f>
        <v>20736.263461526323</v>
      </c>
      <c r="AE242" s="139">
        <f>AE$212+(AE$5=YEAR(Inputs!$E$58))*($E$202-$E242)</f>
        <v>20763.666434614384</v>
      </c>
      <c r="AF242" s="139">
        <f>AF$212+(AF$5=YEAR(Inputs!$E$58))*($E$202-$E242)</f>
        <v>20788.433271795177</v>
      </c>
      <c r="AG242" s="139">
        <f>AG$212+(AG$5=YEAR(Inputs!$E$58))*($E$202-$E242)</f>
        <v>20171.118855434634</v>
      </c>
      <c r="AH242" s="139">
        <f>AH$212+(AH$5=YEAR(Inputs!$E$58))*($E$202-$E242)</f>
        <v>19550.993414670917</v>
      </c>
      <c r="AI242" s="139">
        <f>AI$212+(AI$5=YEAR(Inputs!$E$58))*($E$202-$E242)</f>
        <v>19567.324866152165</v>
      </c>
      <c r="AJ242" s="139">
        <f>AJ$212+(AJ$5=YEAR(Inputs!$E$58))*($E$202-$E242)</f>
        <v>19580.661153396002</v>
      </c>
      <c r="AK242" s="139">
        <f>AK$212+(AK$5=YEAR(Inputs!$E$58))*($E$202-$E242)</f>
        <v>19590.906592672956</v>
      </c>
      <c r="AL242" s="139">
        <f>AL$212+(AL$5=YEAR(Inputs!$E$58))*($E$202-$E242)</f>
        <v>19597.963011094904</v>
      </c>
      <c r="AM242" s="139">
        <f>AM$212+(AM$5=YEAR(Inputs!$E$58))*($E$202-$E242)</f>
        <v>19601.729684808801</v>
      </c>
      <c r="AN242" s="139">
        <f>AN$212+(AN$5=YEAR(Inputs!$E$58))*($E$202-$E242)</f>
        <v>19602.103275672118</v>
      </c>
      <c r="AO242" s="139">
        <f>AO$212+(AO$5=YEAR(Inputs!$E$58))*($E$202-$E242)</f>
        <v>19598.97776637282</v>
      </c>
      <c r="AP242" s="139">
        <f>AP$212+(AP$5=YEAR(Inputs!$E$58))*($E$202-$E242)</f>
        <v>19592.244393955589</v>
      </c>
      <c r="AQ242" s="139">
        <f>AQ$212+(AQ$5=YEAR(Inputs!$E$58))*($E$202-$E242)</f>
        <v>5713.8957908577104</v>
      </c>
    </row>
    <row r="243" spans="3:43" x14ac:dyDescent="0.25">
      <c r="C243" t="s">
        <v>1381</v>
      </c>
      <c r="D243" s="283">
        <f>Dashboard!$K$155</f>
        <v>200</v>
      </c>
      <c r="E243" s="131">
        <f>D243*Dash_MVA+MOIC!$G$144</f>
        <v>40928.589870344324</v>
      </c>
      <c r="F243" s="134">
        <f t="shared" si="92"/>
        <v>0.11633072266894429</v>
      </c>
      <c r="G243" s="155">
        <f t="array" ref="G243">IFERROR(SUMPRODUCT(H243:AQ243/(1+Inputs!$E$255)^$H$4:$AQ$4)/-SUMPRODUCT((H243:AQ243&lt;0)*H243:AQ243/(1+Inputs!$E$255)^$H$4:$AQ$4),"n/a")</f>
        <v>0.48889976368999077</v>
      </c>
      <c r="H243" s="139">
        <f>H$212+(H$5=YEAR(Inputs!$E$58))*($E$202-$E243)</f>
        <v>0</v>
      </c>
      <c r="I243" s="139">
        <f>I$212+(I$5=YEAR(Inputs!$E$58))*($E$202-$E243)</f>
        <v>0</v>
      </c>
      <c r="J243" s="139">
        <f>J$212+(J$5=YEAR(Inputs!$E$58))*($E$202-$E243)</f>
        <v>0</v>
      </c>
      <c r="K243" s="139">
        <f>K$212+(K$5=YEAR(Inputs!$E$58))*($E$202-$E243)</f>
        <v>-57499.233447924613</v>
      </c>
      <c r="L243" s="139">
        <f>L$212+(L$5=YEAR(Inputs!$E$58))*($E$202-$E243)</f>
        <v>-29737.519185803209</v>
      </c>
      <c r="M243" s="139">
        <f>M$212+(M$5=YEAR(Inputs!$E$58))*($E$202-$E243)</f>
        <v>-7432.2244198379067</v>
      </c>
      <c r="N243" s="139">
        <f>N$212+(N$5=YEAR(Inputs!$E$58))*($E$202-$E243)</f>
        <v>12307.745556956044</v>
      </c>
      <c r="O243" s="139">
        <f>O$212+(O$5=YEAR(Inputs!$E$58))*($E$202-$E243)</f>
        <v>12313.425832093484</v>
      </c>
      <c r="P243" s="139">
        <f>P$212+(P$5=YEAR(Inputs!$E$58))*($E$202-$E243)</f>
        <v>12339.687927824098</v>
      </c>
      <c r="Q243" s="139">
        <f>Q$212+(Q$5=YEAR(Inputs!$E$58))*($E$202-$E243)</f>
        <v>12362.78702061018</v>
      </c>
      <c r="R243" s="139">
        <f>R$212+(R$5=YEAR(Inputs!$E$58))*($E$202-$E243)</f>
        <v>12382.585496084708</v>
      </c>
      <c r="S243" s="139">
        <f>S$212+(S$5=YEAR(Inputs!$E$58))*($E$202-$E243)</f>
        <v>12398.940217290286</v>
      </c>
      <c r="T243" s="139">
        <f>T$212+(T$5=YEAR(Inputs!$E$58))*($E$202-$E243)</f>
        <v>12411.702287571474</v>
      </c>
      <c r="U243" s="139">
        <f>U$212+(U$5=YEAR(Inputs!$E$58))*($E$202-$E243)</f>
        <v>12420.716802602157</v>
      </c>
      <c r="V243" s="139">
        <f>V$212+(V$5=YEAR(Inputs!$E$58))*($E$202-$E243)</f>
        <v>12425.822591028626</v>
      </c>
      <c r="W243" s="139">
        <f>W$212+(W$5=YEAR(Inputs!$E$58))*($E$202-$E243)</f>
        <v>12426.85194318476</v>
      </c>
      <c r="X243" s="139">
        <f>X$212+(X$5=YEAR(Inputs!$E$58))*($E$202-$E243)</f>
        <v>12423.630327308045</v>
      </c>
      <c r="Y243" s="139">
        <f>Y$212+(Y$5=YEAR(Inputs!$E$58))*($E$202-$E243)</f>
        <v>12415.976092658006</v>
      </c>
      <c r="Z243" s="139">
        <f>Z$212+(Z$5=YEAR(Inputs!$E$58))*($E$202-$E243)</f>
        <v>12403.700158908918</v>
      </c>
      <c r="AA243" s="139">
        <f>AA$212+(AA$5=YEAR(Inputs!$E$58))*($E$202-$E243)</f>
        <v>12386.605691158156</v>
      </c>
      <c r="AB243" s="139">
        <f>AB$212+(AB$5=YEAR(Inputs!$E$58))*($E$202-$E243)</f>
        <v>12364.487759859185</v>
      </c>
      <c r="AC243" s="139">
        <f>AC$212+(AC$5=YEAR(Inputs!$E$58))*($E$202-$E243)</f>
        <v>20706.308466919229</v>
      </c>
      <c r="AD243" s="139">
        <f>AD$212+(AD$5=YEAR(Inputs!$E$58))*($E$202-$E243)</f>
        <v>20736.263461526323</v>
      </c>
      <c r="AE243" s="139">
        <f>AE$212+(AE$5=YEAR(Inputs!$E$58))*($E$202-$E243)</f>
        <v>20763.666434614384</v>
      </c>
      <c r="AF243" s="139">
        <f>AF$212+(AF$5=YEAR(Inputs!$E$58))*($E$202-$E243)</f>
        <v>20788.433271795177</v>
      </c>
      <c r="AG243" s="139">
        <f>AG$212+(AG$5=YEAR(Inputs!$E$58))*($E$202-$E243)</f>
        <v>20171.118855434634</v>
      </c>
      <c r="AH243" s="139">
        <f>AH$212+(AH$5=YEAR(Inputs!$E$58))*($E$202-$E243)</f>
        <v>19550.993414670917</v>
      </c>
      <c r="AI243" s="139">
        <f>AI$212+(AI$5=YEAR(Inputs!$E$58))*($E$202-$E243)</f>
        <v>19567.324866152165</v>
      </c>
      <c r="AJ243" s="139">
        <f>AJ$212+(AJ$5=YEAR(Inputs!$E$58))*($E$202-$E243)</f>
        <v>19580.661153396002</v>
      </c>
      <c r="AK243" s="139">
        <f>AK$212+(AK$5=YEAR(Inputs!$E$58))*($E$202-$E243)</f>
        <v>19590.906592672956</v>
      </c>
      <c r="AL243" s="139">
        <f>AL$212+(AL$5=YEAR(Inputs!$E$58))*($E$202-$E243)</f>
        <v>19597.963011094904</v>
      </c>
      <c r="AM243" s="139">
        <f>AM$212+(AM$5=YEAR(Inputs!$E$58))*($E$202-$E243)</f>
        <v>19601.729684808801</v>
      </c>
      <c r="AN243" s="139">
        <f>AN$212+(AN$5=YEAR(Inputs!$E$58))*($E$202-$E243)</f>
        <v>19602.103275672118</v>
      </c>
      <c r="AO243" s="139">
        <f>AO$212+(AO$5=YEAR(Inputs!$E$58))*($E$202-$E243)</f>
        <v>19598.97776637282</v>
      </c>
      <c r="AP243" s="139">
        <f>AP$212+(AP$5=YEAR(Inputs!$E$58))*($E$202-$E243)</f>
        <v>19592.244393955589</v>
      </c>
      <c r="AQ243" s="139">
        <f>AQ$212+(AQ$5=YEAR(Inputs!$E$58))*($E$202-$E243)</f>
        <v>5713.8957908577104</v>
      </c>
    </row>
    <row r="246" spans="3:43" x14ac:dyDescent="0.25">
      <c r="C246" s="198" t="s">
        <v>1385</v>
      </c>
    </row>
    <row r="247" spans="3:43" x14ac:dyDescent="0.25">
      <c r="C247" s="246" t="s">
        <v>1327</v>
      </c>
      <c r="D247" s="246" t="s">
        <v>1386</v>
      </c>
      <c r="E247" s="246" t="s">
        <v>1387</v>
      </c>
      <c r="F247" s="246" t="s">
        <v>184</v>
      </c>
      <c r="G247" s="246" t="s">
        <v>1388</v>
      </c>
      <c r="H247" s="246" t="s">
        <v>1389</v>
      </c>
      <c r="I247" s="246" t="s">
        <v>1390</v>
      </c>
      <c r="J247" s="246" t="s">
        <v>1391</v>
      </c>
      <c r="K247" s="250"/>
      <c r="L247" s="250"/>
      <c r="M247" s="250"/>
      <c r="N247" s="250"/>
      <c r="O247" s="250"/>
      <c r="P247" s="250"/>
      <c r="Q247" s="250"/>
      <c r="R247" s="250"/>
      <c r="S247" s="250"/>
      <c r="T247" s="250"/>
      <c r="U247" s="250"/>
      <c r="V247" s="250"/>
      <c r="W247" s="250"/>
      <c r="X247" s="250"/>
      <c r="Y247" s="250"/>
      <c r="Z247" s="250"/>
      <c r="AA247" s="250"/>
      <c r="AB247" s="250"/>
      <c r="AC247" s="250"/>
      <c r="AD247" s="250"/>
      <c r="AE247" s="250"/>
      <c r="AF247" s="250"/>
      <c r="AG247" s="250"/>
      <c r="AH247" s="250"/>
      <c r="AI247" s="250"/>
      <c r="AJ247" s="250"/>
      <c r="AK247" s="250"/>
      <c r="AL247" s="250"/>
      <c r="AM247" s="250"/>
      <c r="AN247" s="250"/>
      <c r="AO247" s="250"/>
      <c r="AP247" s="250"/>
      <c r="AQ247" s="250"/>
    </row>
    <row r="248" spans="3:43" x14ac:dyDescent="0.25">
      <c r="C248" t="s">
        <v>748</v>
      </c>
      <c r="D248" s="29">
        <f>Dashboard!$E$149</f>
        <v>0</v>
      </c>
      <c r="E248" s="139">
        <f>$G$157*$E$259</f>
        <v>0</v>
      </c>
      <c r="F248" s="134">
        <f>IFERROR(IRR(H263:AQ263),"n/a")</f>
        <v>0.10457873754266478</v>
      </c>
      <c r="G248" s="155">
        <f t="array" ref="G248">IFERROR(SUMPRODUCT(H263:AQ263/(1+Inputs!$E$255)^$H$4:$AQ$4)/-SUMPRODUCT((H263:AQ263&lt;0)*H263:AQ263/(1+Inputs!$E$255)^$H$4:$AQ$4),"n/a")</f>
        <v>0.27489366905004231</v>
      </c>
      <c r="H248" s="155" t="str">
        <f>IF(COUNT(H264:AQ264)=0,"n/a",MIN(H264:AQ264))</f>
        <v>n/a</v>
      </c>
      <c r="I248" s="139">
        <f t="array" ref="I248">SUMPRODUCT(H263:AQ263/(1+Inputs!$E$255)^$H$4:$AQ$4)</f>
        <v>33197.305826216791</v>
      </c>
      <c r="J248" s="139" t="str">
        <f>IF(ISNUMBER(H248),IF(H248&gt;=Inputs!$E$253,"OK","BELOW"),"n/a")</f>
        <v>n/a</v>
      </c>
      <c r="K248" s="139"/>
      <c r="L248" s="139"/>
      <c r="M248" s="139"/>
      <c r="N248" s="139"/>
      <c r="O248" s="139"/>
      <c r="P248" s="139"/>
      <c r="Q248" s="139"/>
      <c r="R248" s="139"/>
      <c r="S248" s="139"/>
      <c r="T248" s="139"/>
      <c r="U248" s="139"/>
      <c r="V248" s="139"/>
      <c r="W248" s="139"/>
      <c r="X248" s="139"/>
      <c r="Y248" s="139"/>
      <c r="Z248" s="139"/>
      <c r="AA248" s="139"/>
      <c r="AB248" s="139"/>
      <c r="AC248" s="139"/>
      <c r="AD248" s="139"/>
      <c r="AE248" s="139"/>
      <c r="AF248" s="139"/>
      <c r="AG248" s="139"/>
      <c r="AH248" s="139"/>
      <c r="AI248" s="139"/>
      <c r="AJ248" s="139"/>
      <c r="AK248" s="139"/>
      <c r="AL248" s="139"/>
      <c r="AM248" s="139"/>
      <c r="AN248" s="139"/>
      <c r="AO248" s="139"/>
      <c r="AP248" s="139"/>
      <c r="AQ248" s="139"/>
    </row>
    <row r="249" spans="3:43" x14ac:dyDescent="0.25">
      <c r="C249" t="s">
        <v>750</v>
      </c>
      <c r="D249" s="29">
        <f>Dashboard!$F$149</f>
        <v>0.3</v>
      </c>
      <c r="E249" s="139">
        <f>$G$157*$E$266</f>
        <v>52121.507738592853</v>
      </c>
      <c r="F249" s="134">
        <f>IFERROR(IRR(H270:AQ270),"n/a")</f>
        <v>0.11754660463973865</v>
      </c>
      <c r="G249" s="155">
        <f t="array" ref="G249">IFERROR(SUMPRODUCT(H270:AQ270/(1+Inputs!$E$255)^$H$4:$AQ$4)/-SUMPRODUCT((H270:AQ270&lt;0)*H270:AQ270/(1+Inputs!$E$255)^$H$4:$AQ$4),"n/a")</f>
        <v>0.46985526441001157</v>
      </c>
      <c r="H249" s="155">
        <f>IF(COUNT(H271:AQ271)=0,"n/a",MIN(H271:AQ271))</f>
        <v>4.0583994550133937</v>
      </c>
      <c r="I249" s="139">
        <f t="array" ref="I249">SUMPRODUCT(H270:AQ270/(1+Inputs!$E$255)^$H$4:$AQ$4)</f>
        <v>40404.261684122954</v>
      </c>
      <c r="J249" s="139" t="str">
        <f>IF(ISNUMBER(H249),IF(H249&gt;=Inputs!$E$253,"OK","BELOW"),"n/a")</f>
        <v>OK</v>
      </c>
      <c r="K249" s="139"/>
      <c r="L249" s="139"/>
      <c r="M249" s="139"/>
      <c r="N249" s="139"/>
      <c r="O249" s="139"/>
      <c r="P249" s="139"/>
      <c r="Q249" s="139"/>
      <c r="R249" s="139"/>
      <c r="S249" s="139"/>
      <c r="T249" s="139"/>
      <c r="U249" s="139"/>
      <c r="V249" s="139"/>
      <c r="W249" s="139"/>
      <c r="X249" s="139"/>
      <c r="Y249" s="139"/>
      <c r="Z249" s="139"/>
      <c r="AA249" s="139"/>
      <c r="AB249" s="139"/>
      <c r="AC249" s="139"/>
      <c r="AD249" s="139"/>
      <c r="AE249" s="139"/>
      <c r="AF249" s="139"/>
      <c r="AG249" s="139"/>
      <c r="AH249" s="139"/>
      <c r="AI249" s="139"/>
      <c r="AJ249" s="139"/>
      <c r="AK249" s="139"/>
      <c r="AL249" s="139"/>
      <c r="AM249" s="139"/>
      <c r="AN249" s="139"/>
      <c r="AO249" s="139"/>
      <c r="AP249" s="139"/>
      <c r="AQ249" s="139"/>
    </row>
    <row r="250" spans="3:43" x14ac:dyDescent="0.25">
      <c r="C250" t="s">
        <v>751</v>
      </c>
      <c r="D250" s="29">
        <f>Dashboard!$G$149</f>
        <v>0.4</v>
      </c>
      <c r="E250" s="139">
        <f>$G$157*$E$273</f>
        <v>69495.343651457151</v>
      </c>
      <c r="F250" s="134">
        <f>IFERROR(IRR(H277:AQ277),"n/a")</f>
        <v>0.12364017182443932</v>
      </c>
      <c r="G250" s="155">
        <f t="array" ref="G250">IFERROR(SUMPRODUCT(H277:AQ277/(1+Inputs!$E$255)^$H$4:$AQ$4)/-SUMPRODUCT((H277:AQ277&lt;0)*H277:AQ277/(1+Inputs!$E$255)^$H$4:$AQ$4),"n/a")</f>
        <v>0.57533712475586796</v>
      </c>
      <c r="H250" s="155">
        <f>IF(COUNT(H278:AQ278)=0,"n/a",MIN(H278:AQ278))</f>
        <v>3.0642641374343316</v>
      </c>
      <c r="I250" s="139">
        <f t="array" ref="I250">SUMPRODUCT(H277:AQ277/(1+Inputs!$E$255)^$H$4:$AQ$4)</f>
        <v>42806.580303424991</v>
      </c>
      <c r="J250" s="139" t="str">
        <f>IF(ISNUMBER(H250),IF(H250&gt;=Inputs!$E$253,"OK","BELOW"),"n/a")</f>
        <v>OK</v>
      </c>
      <c r="K250" s="139"/>
      <c r="L250" s="139"/>
      <c r="M250" s="139"/>
      <c r="N250" s="139"/>
      <c r="O250" s="139"/>
      <c r="P250" s="139"/>
      <c r="Q250" s="139"/>
      <c r="R250" s="139"/>
      <c r="S250" s="139"/>
      <c r="T250" s="139"/>
      <c r="U250" s="139"/>
      <c r="V250" s="139"/>
      <c r="W250" s="139"/>
      <c r="X250" s="139"/>
      <c r="Y250" s="139"/>
      <c r="Z250" s="139"/>
      <c r="AA250" s="139"/>
      <c r="AB250" s="139"/>
      <c r="AC250" s="139"/>
      <c r="AD250" s="139"/>
      <c r="AE250" s="139"/>
      <c r="AF250" s="139"/>
      <c r="AG250" s="139"/>
      <c r="AH250" s="139"/>
      <c r="AI250" s="139"/>
      <c r="AJ250" s="139"/>
      <c r="AK250" s="139"/>
      <c r="AL250" s="139"/>
      <c r="AM250" s="139"/>
      <c r="AN250" s="139"/>
      <c r="AO250" s="139"/>
      <c r="AP250" s="139"/>
      <c r="AQ250" s="139"/>
    </row>
    <row r="251" spans="3:43" x14ac:dyDescent="0.25">
      <c r="C251" s="279" t="s">
        <v>752</v>
      </c>
      <c r="D251" s="190">
        <f>Dashboard!$H$149</f>
        <v>0.5</v>
      </c>
      <c r="E251" s="280">
        <f>$G$157*$E$280</f>
        <v>86869.179564321428</v>
      </c>
      <c r="F251" s="170">
        <f>IFERROR(IRR(H284:AQ284),"n/a")</f>
        <v>0.13119284646604612</v>
      </c>
      <c r="G251" s="284">
        <f t="array" ref="G251">IFERROR(SUMPRODUCT(H284:AQ284/(1+Inputs!$E$255)^$H$4:$AQ$4)/-SUMPRODUCT((H284:AQ284&lt;0)*H284:AQ284/(1+Inputs!$E$255)^$H$4:$AQ$4),"n/a")</f>
        <v>0.71954391393673456</v>
      </c>
      <c r="H251" s="155">
        <f>IF(COUNT(H285:AQ285)=0,"n/a",MIN(H285:AQ285))</f>
        <v>2.4706043126325246</v>
      </c>
      <c r="I251" s="139">
        <f t="array" ref="I251">SUMPRODUCT(H284:AQ284/(1+Inputs!$E$255)^$H$4:$AQ$4)</f>
        <v>45207.708532048571</v>
      </c>
      <c r="J251" s="139" t="str">
        <f>IF(ISNUMBER(H251),IF(H251&gt;=Inputs!$E$253,"OK","BELOW"),"n/a")</f>
        <v>OK</v>
      </c>
      <c r="K251" s="139"/>
      <c r="L251" s="139"/>
      <c r="M251" s="139"/>
      <c r="N251" s="139"/>
      <c r="O251" s="139"/>
      <c r="P251" s="139"/>
      <c r="Q251" s="139"/>
      <c r="R251" s="139"/>
      <c r="S251" s="139"/>
      <c r="T251" s="139"/>
      <c r="U251" s="139"/>
      <c r="V251" s="139"/>
      <c r="W251" s="139"/>
      <c r="X251" s="139"/>
      <c r="Y251" s="139"/>
      <c r="Z251" s="139"/>
      <c r="AA251" s="139"/>
      <c r="AB251" s="139"/>
      <c r="AC251" s="139"/>
      <c r="AD251" s="139"/>
      <c r="AE251" s="139"/>
      <c r="AF251" s="139"/>
      <c r="AG251" s="139"/>
      <c r="AH251" s="139"/>
      <c r="AI251" s="139"/>
      <c r="AJ251" s="139"/>
      <c r="AK251" s="139"/>
      <c r="AL251" s="139"/>
      <c r="AM251" s="139"/>
      <c r="AN251" s="139"/>
      <c r="AO251" s="139"/>
      <c r="AP251" s="139"/>
      <c r="AQ251" s="139"/>
    </row>
    <row r="252" spans="3:43" x14ac:dyDescent="0.25">
      <c r="C252" t="s">
        <v>753</v>
      </c>
      <c r="D252" s="29">
        <f>Dashboard!$I$149</f>
        <v>0.55000000000000004</v>
      </c>
      <c r="E252" s="139">
        <f>$G$157*$E$287</f>
        <v>95556.097520753581</v>
      </c>
      <c r="F252" s="134">
        <f>IFERROR(IRR(H291:AQ291),"n/a")</f>
        <v>0.13570891144417518</v>
      </c>
      <c r="G252" s="155">
        <f t="array" ref="G252">IFERROR(SUMPRODUCT(H291:AQ291/(1+Inputs!$E$255)^$H$4:$AQ$4)/-SUMPRODUCT((H291:AQ291&lt;0)*H291:AQ291/(1+Inputs!$E$255)^$H$4:$AQ$4),"n/a")</f>
        <v>0.81319549949586989</v>
      </c>
      <c r="H252" s="155">
        <f>IF(COUNT(H292:AQ292)=0,"n/a",MIN(H292:AQ292))</f>
        <v>2.2531814335261826</v>
      </c>
      <c r="I252" s="139">
        <f t="array" ref="I252">SUMPRODUCT(H291:AQ291/(1+Inputs!$E$255)^$H$4:$AQ$4)</f>
        <v>46406.378463691821</v>
      </c>
      <c r="J252" s="139" t="str">
        <f>IF(ISNUMBER(H252),IF(H252&gt;=Inputs!$E$253,"OK","BELOW"),"n/a")</f>
        <v>OK</v>
      </c>
      <c r="K252" s="139"/>
      <c r="L252" s="139"/>
      <c r="M252" s="139"/>
      <c r="N252" s="139"/>
      <c r="O252" s="139"/>
      <c r="P252" s="139"/>
      <c r="Q252" s="139"/>
      <c r="R252" s="139"/>
      <c r="S252" s="139"/>
      <c r="T252" s="139"/>
      <c r="U252" s="139"/>
      <c r="V252" s="139"/>
      <c r="W252" s="139"/>
      <c r="X252" s="139"/>
      <c r="Y252" s="139"/>
      <c r="Z252" s="139"/>
      <c r="AA252" s="139"/>
      <c r="AB252" s="139"/>
      <c r="AC252" s="139"/>
      <c r="AD252" s="139"/>
      <c r="AE252" s="139"/>
      <c r="AF252" s="139"/>
      <c r="AG252" s="139"/>
      <c r="AH252" s="139"/>
      <c r="AI252" s="139"/>
      <c r="AJ252" s="139"/>
      <c r="AK252" s="139"/>
      <c r="AL252" s="139"/>
      <c r="AM252" s="139"/>
      <c r="AN252" s="139"/>
      <c r="AO252" s="139"/>
      <c r="AP252" s="139"/>
      <c r="AQ252" s="139"/>
    </row>
    <row r="253" spans="3:43" x14ac:dyDescent="0.25">
      <c r="C253" t="s">
        <v>754</v>
      </c>
      <c r="D253" s="29">
        <f>Dashboard!$J$149</f>
        <v>0.6</v>
      </c>
      <c r="E253" s="139">
        <f>$G$157*$E$294</f>
        <v>104243.01547718571</v>
      </c>
      <c r="F253" s="134">
        <f>IFERROR(IRR(H298:AQ298),"n/a")</f>
        <v>0.14087752245669338</v>
      </c>
      <c r="G253" s="155">
        <f t="array" ref="G253">IFERROR(SUMPRODUCT(H298:AQ298/(1+Inputs!$E$255)^$H$4:$AQ$4)/-SUMPRODUCT((H298:AQ298&lt;0)*H298:AQ298/(1+Inputs!$E$255)^$H$4:$AQ$4),"n/a")</f>
        <v>0.92788132580392557</v>
      </c>
      <c r="H253" s="155">
        <f>IF(COUNT(H299:AQ299)=0,"n/a",MIN(H299:AQ299))</f>
        <v>2.0663457812784713</v>
      </c>
      <c r="I253" s="139">
        <f t="array" ref="I253">SUMPRODUCT(H298:AQ298/(1+Inputs!$E$255)^$H$4:$AQ$4)</f>
        <v>47605.048395335078</v>
      </c>
      <c r="J253" s="139" t="str">
        <f>IF(ISNUMBER(H253),IF(H253&gt;=Inputs!$E$253,"OK","BELOW"),"n/a")</f>
        <v>OK</v>
      </c>
      <c r="K253" s="139"/>
      <c r="L253" s="139"/>
      <c r="M253" s="139"/>
      <c r="N253" s="139"/>
      <c r="O253" s="139"/>
      <c r="P253" s="139"/>
      <c r="Q253" s="139"/>
      <c r="R253" s="139"/>
      <c r="S253" s="139"/>
      <c r="T253" s="139"/>
      <c r="U253" s="139"/>
      <c r="V253" s="139"/>
      <c r="W253" s="139"/>
      <c r="X253" s="139"/>
      <c r="Y253" s="139"/>
      <c r="Z253" s="139"/>
      <c r="AA253" s="139"/>
      <c r="AB253" s="139"/>
      <c r="AC253" s="139"/>
      <c r="AD253" s="139"/>
      <c r="AE253" s="139"/>
      <c r="AF253" s="139"/>
      <c r="AG253" s="139"/>
      <c r="AH253" s="139"/>
      <c r="AI253" s="139"/>
      <c r="AJ253" s="139"/>
      <c r="AK253" s="139"/>
      <c r="AL253" s="139"/>
      <c r="AM253" s="139"/>
      <c r="AN253" s="139"/>
      <c r="AO253" s="139"/>
      <c r="AP253" s="139"/>
      <c r="AQ253" s="139"/>
    </row>
    <row r="254" spans="3:43" x14ac:dyDescent="0.25">
      <c r="C254" t="s">
        <v>755</v>
      </c>
      <c r="D254" s="29">
        <f>Dashboard!$K$149</f>
        <v>0.65</v>
      </c>
      <c r="E254" s="139">
        <f>$G$157*$E$301</f>
        <v>112929.93343361786</v>
      </c>
      <c r="F254" s="134">
        <f>IFERROR(IRR(H305:AQ305),"n/a")</f>
        <v>0.14686991461666943</v>
      </c>
      <c r="G254" s="155">
        <f t="array" ref="G254">IFERROR(SUMPRODUCT(H305:AQ305/(1+Inputs!$E$255)^$H$4:$AQ$4)/-SUMPRODUCT((H305:AQ305&lt;0)*H305:AQ305/(1+Inputs!$E$255)^$H$4:$AQ$4),"n/a")</f>
        <v>1.0715843506432254</v>
      </c>
      <c r="H254" s="155">
        <f>IF(COUNT(H306:AQ306)=0,"n/a",MIN(H306:AQ306))</f>
        <v>1.9082540755304078</v>
      </c>
      <c r="I254" s="139">
        <f t="array" ref="I254">SUMPRODUCT(H305:AQ305/(1+Inputs!$E$255)^$H$4:$AQ$4)</f>
        <v>48803.718326978335</v>
      </c>
      <c r="J254" s="139" t="str">
        <f>IF(ISNUMBER(H254),IF(H254&gt;=Inputs!$E$253,"OK","BELOW"),"n/a")</f>
        <v>OK</v>
      </c>
      <c r="K254" s="139"/>
      <c r="L254" s="139"/>
      <c r="M254" s="139"/>
      <c r="N254" s="139"/>
      <c r="O254" s="139"/>
      <c r="P254" s="139"/>
      <c r="Q254" s="139"/>
      <c r="R254" s="139"/>
      <c r="S254" s="139"/>
      <c r="T254" s="139"/>
      <c r="U254" s="139"/>
      <c r="V254" s="139"/>
      <c r="W254" s="139"/>
      <c r="X254" s="139"/>
      <c r="Y254" s="139"/>
      <c r="Z254" s="139"/>
      <c r="AA254" s="139"/>
      <c r="AB254" s="139"/>
      <c r="AC254" s="139"/>
      <c r="AD254" s="139"/>
      <c r="AE254" s="139"/>
      <c r="AF254" s="139"/>
      <c r="AG254" s="139"/>
      <c r="AH254" s="139"/>
      <c r="AI254" s="139"/>
      <c r="AJ254" s="139"/>
      <c r="AK254" s="139"/>
      <c r="AL254" s="139"/>
      <c r="AM254" s="139"/>
      <c r="AN254" s="139"/>
      <c r="AO254" s="139"/>
      <c r="AP254" s="139"/>
      <c r="AQ254" s="139"/>
    </row>
    <row r="255" spans="3:43" x14ac:dyDescent="0.25">
      <c r="C255" t="s">
        <v>1392</v>
      </c>
      <c r="D255" t="s">
        <v>51</v>
      </c>
      <c r="E255" s="285">
        <f t="array" ref="E255">IFERROR(MATCH(TRUE(),INDEX(F248:F254&gt;=Inputs!$E$254,0),0),0)</f>
        <v>2</v>
      </c>
      <c r="G255" s="260">
        <f t="array" ref="G255">IF(E255=0,"none in range",IF(E255=1,D248,INDEX(D248:D254,E255-1)+(Inputs!$E$254-INDEX(F248:F254,E255-1))/(INDEX(F248:F254,E255)-INDEX(F248:F254,E255-1))*(INDEX(D248:D254,E255)-INDEX(D248:D254,E255-1))))</f>
        <v>0.1254160553178055</v>
      </c>
    </row>
    <row r="256" spans="3:43" x14ac:dyDescent="0.25">
      <c r="C256" t="s">
        <v>1393</v>
      </c>
      <c r="D256" t="s">
        <v>51</v>
      </c>
      <c r="E256" s="285">
        <f t="array" ref="E256">IFERROR(LOOKUP(2,1/(ISNUMBER(H248:H254)*(H248:H254&gt;=Inputs!$E$253)),ROW(H248:H254)-ROW(H248)+1),0)</f>
        <v>7</v>
      </c>
      <c r="G256" s="260">
        <f t="array" ref="G256">IF(E256=0,"none in range",IF(E256=7,D254,INDEX(D248:D254,E256)+(INDEX(H248:H254,E256)-Inputs!$E$253)/(INDEX(H248:H254,E256)-INDEX(H248:H254,E256+1))*(INDEX(D248:D254,E256+1)-INDEX(D248:D254,E256))))</f>
        <v>0.65</v>
      </c>
    </row>
    <row r="257" spans="3:43" x14ac:dyDescent="0.25">
      <c r="C257" t="s">
        <v>1394</v>
      </c>
      <c r="D257" t="s">
        <v>194</v>
      </c>
      <c r="G257" s="278" t="str">
        <f>IFERROR(IF(ABS(INDEX(F248:F254,MATCH(Inputs!$E$219,D248:D254,0))-G139)&lt;0.00001,"OK","FAIL"),"n/a – live gearing not in scenarios")</f>
        <v>OK</v>
      </c>
    </row>
    <row r="258" spans="3:43" x14ac:dyDescent="0.25">
      <c r="C258" t="s">
        <v>1395</v>
      </c>
      <c r="D258" t="s">
        <v>125</v>
      </c>
      <c r="E258" s="270">
        <f>Deposits!$P$11*Deposits!$M$11*$E$15</f>
        <v>1232.8767123287671</v>
      </c>
    </row>
    <row r="259" spans="3:43" x14ac:dyDescent="0.25">
      <c r="C259" s="129" t="str">
        <f>"15."&amp;1&amp;" Gearing scenario 1 – "&amp;TEXT(D248,"0%")&amp;" (debt scale factor vs live case in E)"</f>
        <v>15.1 Gearing scenario 1 – 0% (debt scale factor vs live case in E)</v>
      </c>
      <c r="D259" s="129" t="s">
        <v>7</v>
      </c>
      <c r="E259" s="270">
        <f>IF(Inputs!$E$219=0,0,D248/Inputs!$E$219)</f>
        <v>0</v>
      </c>
      <c r="F259" s="270"/>
      <c r="G259" s="270"/>
      <c r="H259" s="270"/>
      <c r="I259" s="270"/>
      <c r="J259" s="270"/>
      <c r="K259" s="270"/>
      <c r="L259" s="270"/>
      <c r="M259" s="270"/>
      <c r="N259" s="270"/>
      <c r="O259" s="270"/>
      <c r="P259" s="270"/>
      <c r="Q259" s="270"/>
      <c r="R259" s="270"/>
      <c r="S259" s="270"/>
      <c r="T259" s="270"/>
      <c r="U259" s="270"/>
      <c r="V259" s="270"/>
      <c r="W259" s="270"/>
      <c r="X259" s="270"/>
      <c r="Y259" s="270"/>
      <c r="Z259" s="270"/>
      <c r="AA259" s="270"/>
      <c r="AB259" s="270"/>
      <c r="AC259" s="270"/>
      <c r="AD259" s="270"/>
      <c r="AE259" s="270"/>
      <c r="AF259" s="270"/>
      <c r="AG259" s="270"/>
      <c r="AH259" s="270"/>
      <c r="AI259" s="270"/>
      <c r="AJ259" s="270"/>
      <c r="AK259" s="270"/>
      <c r="AL259" s="270"/>
      <c r="AM259" s="270"/>
      <c r="AN259" s="270"/>
      <c r="AO259" s="270"/>
      <c r="AP259" s="270"/>
      <c r="AQ259" s="270"/>
    </row>
    <row r="260" spans="3:43" x14ac:dyDescent="0.25">
      <c r="C260" t="s">
        <v>1396</v>
      </c>
      <c r="D260" t="s">
        <v>125</v>
      </c>
      <c r="E260" s="139"/>
      <c r="F260" s="139"/>
      <c r="G260" s="139"/>
      <c r="H260" s="139">
        <f t="shared" ref="H260:AQ260" si="93">H$70+H$16-(-$G$30+$E$259*$G$79+$E$258)/$E$92*H$90-$E$259*H$81+$E$259*H$85</f>
        <v>-88.621621621621628</v>
      </c>
      <c r="I260" s="139">
        <f t="shared" si="93"/>
        <v>-428.16554054054052</v>
      </c>
      <c r="J260" s="139">
        <f t="shared" si="93"/>
        <v>-876.86552844252708</v>
      </c>
      <c r="K260" s="139">
        <f t="shared" si="93"/>
        <v>-355.67348590349582</v>
      </c>
      <c r="L260" s="139">
        <f t="shared" si="93"/>
        <v>-417.64390243902449</v>
      </c>
      <c r="M260" s="139">
        <f t="shared" si="93"/>
        <v>10602.990158616543</v>
      </c>
      <c r="N260" s="139">
        <f t="shared" si="93"/>
        <v>13726.137377950028</v>
      </c>
      <c r="O260" s="139">
        <f t="shared" si="93"/>
        <v>13796.120500231846</v>
      </c>
      <c r="P260" s="139">
        <f t="shared" si="93"/>
        <v>13864.3141628173</v>
      </c>
      <c r="Q260" s="139">
        <f t="shared" si="93"/>
        <v>13930.651499436659</v>
      </c>
      <c r="R260" s="139">
        <f t="shared" si="93"/>
        <v>13995.063853533036</v>
      </c>
      <c r="S260" s="139">
        <f t="shared" si="93"/>
        <v>14057.480733519318</v>
      </c>
      <c r="T260" s="139">
        <f t="shared" si="93"/>
        <v>14117.829766934716</v>
      </c>
      <c r="U260" s="139">
        <f t="shared" si="93"/>
        <v>14176.036653474337</v>
      </c>
      <c r="V260" s="139">
        <f t="shared" si="93"/>
        <v>14232.025116863588</v>
      </c>
      <c r="W260" s="139">
        <f t="shared" si="93"/>
        <v>14285.716855549763</v>
      </c>
      <c r="X260" s="139">
        <f t="shared" si="93"/>
        <v>14337.031492181239</v>
      </c>
      <c r="Y260" s="139">
        <f t="shared" si="93"/>
        <v>14385.886521844892</v>
      </c>
      <c r="Z260" s="139">
        <f t="shared" si="93"/>
        <v>14432.197259031083</v>
      </c>
      <c r="AA260" s="139">
        <f t="shared" si="93"/>
        <v>14475.876783295149</v>
      </c>
      <c r="AB260" s="139">
        <f t="shared" si="93"/>
        <v>14516.835883583393</v>
      </c>
      <c r="AC260" s="139">
        <f t="shared" si="93"/>
        <v>14554.983001190776</v>
      </c>
      <c r="AD260" s="139">
        <f t="shared" si="93"/>
        <v>14590.224171316768</v>
      </c>
      <c r="AE260" s="139">
        <f t="shared" si="93"/>
        <v>14622.462963185077</v>
      </c>
      <c r="AF260" s="139">
        <f t="shared" si="93"/>
        <v>14651.600418691891</v>
      </c>
      <c r="AG260" s="139">
        <f t="shared" si="93"/>
        <v>18828.038114683644</v>
      </c>
      <c r="AH260" s="139">
        <f t="shared" si="93"/>
        <v>23001.168723142255</v>
      </c>
      <c r="AI260" s="139">
        <f t="shared" si="93"/>
        <v>23020.382195473136</v>
      </c>
      <c r="AJ260" s="139">
        <f t="shared" si="93"/>
        <v>23036.071945171767</v>
      </c>
      <c r="AK260" s="139">
        <f t="shared" si="93"/>
        <v>23048.125403144655</v>
      </c>
      <c r="AL260" s="139">
        <f t="shared" si="93"/>
        <v>23056.427071876358</v>
      </c>
      <c r="AM260" s="139">
        <f t="shared" si="93"/>
        <v>23060.858452716238</v>
      </c>
      <c r="AN260" s="139">
        <f t="shared" si="93"/>
        <v>23061.297971378961</v>
      </c>
      <c r="AO260" s="139">
        <f t="shared" si="93"/>
        <v>23057.620901615082</v>
      </c>
      <c r="AP260" s="139">
        <f t="shared" si="93"/>
        <v>23049.699287006573</v>
      </c>
      <c r="AQ260" s="139">
        <f t="shared" si="93"/>
        <v>11518.700930420837</v>
      </c>
    </row>
    <row r="261" spans="3:43" x14ac:dyDescent="0.25">
      <c r="C261" t="s">
        <v>1269</v>
      </c>
      <c r="D261" t="s">
        <v>125</v>
      </c>
      <c r="E261" s="139"/>
      <c r="F261" s="139"/>
      <c r="G261" s="139">
        <v>0</v>
      </c>
      <c r="H261" s="139">
        <f t="shared" ref="H261:AQ261" si="94">G261+MAX(-H260,0)-MIN(G261,MAX(H260,0)*$E$95)</f>
        <v>88.621621621621628</v>
      </c>
      <c r="I261" s="139">
        <f t="shared" si="94"/>
        <v>516.78716216216219</v>
      </c>
      <c r="J261" s="139">
        <f t="shared" si="94"/>
        <v>1393.6526906046893</v>
      </c>
      <c r="K261" s="139">
        <f t="shared" si="94"/>
        <v>1749.3261765081852</v>
      </c>
      <c r="L261" s="139">
        <f t="shared" si="94"/>
        <v>2166.9700789472099</v>
      </c>
      <c r="M261" s="139">
        <f t="shared" si="94"/>
        <v>0</v>
      </c>
      <c r="N261" s="139">
        <f t="shared" si="94"/>
        <v>0</v>
      </c>
      <c r="O261" s="139">
        <f t="shared" si="94"/>
        <v>0</v>
      </c>
      <c r="P261" s="139">
        <f t="shared" si="94"/>
        <v>0</v>
      </c>
      <c r="Q261" s="139">
        <f t="shared" si="94"/>
        <v>0</v>
      </c>
      <c r="R261" s="139">
        <f t="shared" si="94"/>
        <v>0</v>
      </c>
      <c r="S261" s="139">
        <f t="shared" si="94"/>
        <v>0</v>
      </c>
      <c r="T261" s="139">
        <f t="shared" si="94"/>
        <v>0</v>
      </c>
      <c r="U261" s="139">
        <f t="shared" si="94"/>
        <v>0</v>
      </c>
      <c r="V261" s="139">
        <f t="shared" si="94"/>
        <v>0</v>
      </c>
      <c r="W261" s="139">
        <f t="shared" si="94"/>
        <v>0</v>
      </c>
      <c r="X261" s="139">
        <f t="shared" si="94"/>
        <v>0</v>
      </c>
      <c r="Y261" s="139">
        <f t="shared" si="94"/>
        <v>0</v>
      </c>
      <c r="Z261" s="139">
        <f t="shared" si="94"/>
        <v>0</v>
      </c>
      <c r="AA261" s="139">
        <f t="shared" si="94"/>
        <v>0</v>
      </c>
      <c r="AB261" s="139">
        <f t="shared" si="94"/>
        <v>0</v>
      </c>
      <c r="AC261" s="139">
        <f t="shared" si="94"/>
        <v>0</v>
      </c>
      <c r="AD261" s="139">
        <f t="shared" si="94"/>
        <v>0</v>
      </c>
      <c r="AE261" s="139">
        <f t="shared" si="94"/>
        <v>0</v>
      </c>
      <c r="AF261" s="139">
        <f t="shared" si="94"/>
        <v>0</v>
      </c>
      <c r="AG261" s="139">
        <f t="shared" si="94"/>
        <v>0</v>
      </c>
      <c r="AH261" s="139">
        <f t="shared" si="94"/>
        <v>0</v>
      </c>
      <c r="AI261" s="139">
        <f t="shared" si="94"/>
        <v>0</v>
      </c>
      <c r="AJ261" s="139">
        <f t="shared" si="94"/>
        <v>0</v>
      </c>
      <c r="AK261" s="139">
        <f t="shared" si="94"/>
        <v>0</v>
      </c>
      <c r="AL261" s="139">
        <f t="shared" si="94"/>
        <v>0</v>
      </c>
      <c r="AM261" s="139">
        <f t="shared" si="94"/>
        <v>0</v>
      </c>
      <c r="AN261" s="139">
        <f t="shared" si="94"/>
        <v>0</v>
      </c>
      <c r="AO261" s="139">
        <f t="shared" si="94"/>
        <v>0</v>
      </c>
      <c r="AP261" s="139">
        <f t="shared" si="94"/>
        <v>0</v>
      </c>
      <c r="AQ261" s="139">
        <f t="shared" si="94"/>
        <v>0</v>
      </c>
    </row>
    <row r="262" spans="3:43" x14ac:dyDescent="0.25">
      <c r="C262" t="s">
        <v>1397</v>
      </c>
      <c r="D262" t="s">
        <v>125</v>
      </c>
      <c r="E262" s="139"/>
      <c r="F262" s="139"/>
      <c r="G262" s="139"/>
      <c r="H262" s="139">
        <f t="shared" ref="H262:AQ262" si="95">-(MAX(H260,0)-MIN(G261,MAX(H260,0)*$E$95))*$E$91-MAX(H260,0)*$E$99</f>
        <v>0</v>
      </c>
      <c r="I262" s="139">
        <f t="shared" si="95"/>
        <v>0</v>
      </c>
      <c r="J262" s="139">
        <f t="shared" si="95"/>
        <v>0</v>
      </c>
      <c r="K262" s="139">
        <f t="shared" si="95"/>
        <v>0</v>
      </c>
      <c r="L262" s="139">
        <f t="shared" si="95"/>
        <v>0</v>
      </c>
      <c r="M262" s="139">
        <f t="shared" si="95"/>
        <v>-1265.4030119504</v>
      </c>
      <c r="N262" s="139">
        <f t="shared" si="95"/>
        <v>-2058.920606692504</v>
      </c>
      <c r="O262" s="139">
        <f t="shared" si="95"/>
        <v>-2069.4180750347768</v>
      </c>
      <c r="P262" s="139">
        <f t="shared" si="95"/>
        <v>-2079.647124422595</v>
      </c>
      <c r="Q262" s="139">
        <f t="shared" si="95"/>
        <v>-2089.5977249154989</v>
      </c>
      <c r="R262" s="139">
        <f t="shared" si="95"/>
        <v>-2099.2595780299553</v>
      </c>
      <c r="S262" s="139">
        <f t="shared" si="95"/>
        <v>-2108.6221100278976</v>
      </c>
      <c r="T262" s="139">
        <f t="shared" si="95"/>
        <v>-2117.6744650402075</v>
      </c>
      <c r="U262" s="139">
        <f t="shared" si="95"/>
        <v>-2126.4054980211504</v>
      </c>
      <c r="V262" s="139">
        <f t="shared" si="95"/>
        <v>-2134.8037675295382</v>
      </c>
      <c r="W262" s="139">
        <f t="shared" si="95"/>
        <v>-2142.8575283324644</v>
      </c>
      <c r="X262" s="139">
        <f t="shared" si="95"/>
        <v>-2150.5547238271856</v>
      </c>
      <c r="Y262" s="139">
        <f t="shared" si="95"/>
        <v>-2157.8829782767339</v>
      </c>
      <c r="Z262" s="139">
        <f t="shared" si="95"/>
        <v>-2164.8295888546622</v>
      </c>
      <c r="AA262" s="139">
        <f t="shared" si="95"/>
        <v>-2171.3815174942724</v>
      </c>
      <c r="AB262" s="139">
        <f t="shared" si="95"/>
        <v>-2177.5253825375089</v>
      </c>
      <c r="AC262" s="139">
        <f t="shared" si="95"/>
        <v>-2183.2474501786164</v>
      </c>
      <c r="AD262" s="139">
        <f t="shared" si="95"/>
        <v>-2188.5336256975152</v>
      </c>
      <c r="AE262" s="139">
        <f t="shared" si="95"/>
        <v>-2193.3694444777616</v>
      </c>
      <c r="AF262" s="139">
        <f t="shared" si="95"/>
        <v>-2197.7400628037835</v>
      </c>
      <c r="AG262" s="139">
        <f t="shared" si="95"/>
        <v>-2824.2057172025466</v>
      </c>
      <c r="AH262" s="139">
        <f t="shared" si="95"/>
        <v>-3450.1753084713382</v>
      </c>
      <c r="AI262" s="139">
        <f t="shared" si="95"/>
        <v>-3453.0573293209704</v>
      </c>
      <c r="AJ262" s="139">
        <f t="shared" si="95"/>
        <v>-3455.4107917757651</v>
      </c>
      <c r="AK262" s="139">
        <f t="shared" si="95"/>
        <v>-3457.2188104716984</v>
      </c>
      <c r="AL262" s="139">
        <f t="shared" si="95"/>
        <v>-3458.4640607814536</v>
      </c>
      <c r="AM262" s="139">
        <f t="shared" si="95"/>
        <v>-3459.1287679074358</v>
      </c>
      <c r="AN262" s="139">
        <f t="shared" si="95"/>
        <v>-3459.194695706844</v>
      </c>
      <c r="AO262" s="139">
        <f t="shared" si="95"/>
        <v>-3458.6431352422624</v>
      </c>
      <c r="AP262" s="139">
        <f t="shared" si="95"/>
        <v>-3457.4548930509859</v>
      </c>
      <c r="AQ262" s="139">
        <f t="shared" si="95"/>
        <v>-1727.8051395631255</v>
      </c>
    </row>
    <row r="263" spans="3:43" x14ac:dyDescent="0.25">
      <c r="C263" t="s">
        <v>1291</v>
      </c>
      <c r="D263" t="s">
        <v>125</v>
      </c>
      <c r="E263" s="139"/>
      <c r="F263" s="139"/>
      <c r="G263" s="139"/>
      <c r="H263" s="139">
        <f t="shared" ref="H263:AQ263" si="96">(H$109+$E$259*(H$77+H$85-H$80+H$86-H$87+H$89)+H262)*$E$128</f>
        <v>-1570.6176490188818</v>
      </c>
      <c r="I263" s="139">
        <f t="shared" si="96"/>
        <v>-778.73814328026663</v>
      </c>
      <c r="J263" s="139">
        <f t="shared" si="96"/>
        <v>-1227.4381311822531</v>
      </c>
      <c r="K263" s="139">
        <f t="shared" si="96"/>
        <v>-59551.851467082692</v>
      </c>
      <c r="L263" s="139">
        <f t="shared" si="96"/>
        <v>-70920.329005178777</v>
      </c>
      <c r="M263" s="139">
        <f t="shared" si="96"/>
        <v>-26473.515217500692</v>
      </c>
      <c r="N263" s="139">
        <f t="shared" si="96"/>
        <v>19968.223021531499</v>
      </c>
      <c r="O263" s="139">
        <f t="shared" si="96"/>
        <v>20027.708675471044</v>
      </c>
      <c r="P263" s="139">
        <f t="shared" si="96"/>
        <v>20085.67328866868</v>
      </c>
      <c r="Q263" s="139">
        <f t="shared" si="96"/>
        <v>20142.060024795133</v>
      </c>
      <c r="R263" s="139">
        <f t="shared" si="96"/>
        <v>20196.810525777055</v>
      </c>
      <c r="S263" s="139">
        <f t="shared" si="96"/>
        <v>20249.864873765397</v>
      </c>
      <c r="T263" s="139">
        <f t="shared" si="96"/>
        <v>20301.161552168483</v>
      </c>
      <c r="U263" s="139">
        <f t="shared" si="96"/>
        <v>20350.637405727161</v>
      </c>
      <c r="V263" s="139">
        <f t="shared" si="96"/>
        <v>20398.227599608024</v>
      </c>
      <c r="W263" s="139">
        <f t="shared" si="96"/>
        <v>20443.865577491273</v>
      </c>
      <c r="X263" s="139">
        <f t="shared" si="96"/>
        <v>20487.483018628027</v>
      </c>
      <c r="Y263" s="139">
        <f t="shared" si="96"/>
        <v>20529.009793842131</v>
      </c>
      <c r="Z263" s="139">
        <f t="shared" si="96"/>
        <v>20568.373920450395</v>
      </c>
      <c r="AA263" s="139">
        <f t="shared" si="96"/>
        <v>20605.501516074852</v>
      </c>
      <c r="AB263" s="139">
        <f t="shared" si="96"/>
        <v>20640.31675131986</v>
      </c>
      <c r="AC263" s="139">
        <f t="shared" si="96"/>
        <v>20672.741801286134</v>
      </c>
      <c r="AD263" s="139">
        <f t="shared" si="96"/>
        <v>20702.696795893229</v>
      </c>
      <c r="AE263" s="139">
        <f t="shared" si="96"/>
        <v>20730.09976898129</v>
      </c>
      <c r="AF263" s="139">
        <f t="shared" si="96"/>
        <v>20754.866606162082</v>
      </c>
      <c r="AG263" s="139">
        <f t="shared" si="96"/>
        <v>20154.335522618087</v>
      </c>
      <c r="AH263" s="139">
        <f t="shared" si="96"/>
        <v>19550.993414670917</v>
      </c>
      <c r="AI263" s="139">
        <f t="shared" si="96"/>
        <v>19567.324866152165</v>
      </c>
      <c r="AJ263" s="139">
        <f t="shared" si="96"/>
        <v>19580.661153396002</v>
      </c>
      <c r="AK263" s="139">
        <f t="shared" si="96"/>
        <v>19590.906592672956</v>
      </c>
      <c r="AL263" s="139">
        <f t="shared" si="96"/>
        <v>19597.963011094904</v>
      </c>
      <c r="AM263" s="139">
        <f t="shared" si="96"/>
        <v>19601.729684808801</v>
      </c>
      <c r="AN263" s="139">
        <f t="shared" si="96"/>
        <v>19602.103275672118</v>
      </c>
      <c r="AO263" s="139">
        <f t="shared" si="96"/>
        <v>19598.97776637282</v>
      </c>
      <c r="AP263" s="139">
        <f t="shared" si="96"/>
        <v>19592.244393955589</v>
      </c>
      <c r="AQ263" s="139">
        <f t="shared" si="96"/>
        <v>5713.8957908577113</v>
      </c>
    </row>
    <row r="264" spans="3:43" x14ac:dyDescent="0.25">
      <c r="C264" t="s">
        <v>1288</v>
      </c>
      <c r="D264" t="s">
        <v>7</v>
      </c>
      <c r="E264" s="139"/>
      <c r="F264" s="139"/>
      <c r="G264" s="155"/>
      <c r="H264" s="155" t="str">
        <f t="shared" ref="H264:AQ264" si="97">IF(AND(H$9&gt;=1,H$86&lt;-0.01,$E$259&gt;0),(H$70+H262)/(-$E$259*H$86),"")</f>
        <v/>
      </c>
      <c r="I264" s="155" t="str">
        <f t="shared" si="97"/>
        <v/>
      </c>
      <c r="J264" s="155" t="str">
        <f t="shared" si="97"/>
        <v/>
      </c>
      <c r="K264" s="155" t="str">
        <f t="shared" si="97"/>
        <v/>
      </c>
      <c r="L264" s="155" t="str">
        <f t="shared" si="97"/>
        <v/>
      </c>
      <c r="M264" s="155" t="str">
        <f t="shared" si="97"/>
        <v/>
      </c>
      <c r="N264" s="155" t="str">
        <f t="shared" si="97"/>
        <v/>
      </c>
      <c r="O264" s="155" t="str">
        <f t="shared" si="97"/>
        <v/>
      </c>
      <c r="P264" s="155" t="str">
        <f t="shared" si="97"/>
        <v/>
      </c>
      <c r="Q264" s="155" t="str">
        <f t="shared" si="97"/>
        <v/>
      </c>
      <c r="R264" s="155" t="str">
        <f t="shared" si="97"/>
        <v/>
      </c>
      <c r="S264" s="155" t="str">
        <f t="shared" si="97"/>
        <v/>
      </c>
      <c r="T264" s="155" t="str">
        <f t="shared" si="97"/>
        <v/>
      </c>
      <c r="U264" s="155" t="str">
        <f t="shared" si="97"/>
        <v/>
      </c>
      <c r="V264" s="155" t="str">
        <f t="shared" si="97"/>
        <v/>
      </c>
      <c r="W264" s="155" t="str">
        <f t="shared" si="97"/>
        <v/>
      </c>
      <c r="X264" s="155" t="str">
        <f t="shared" si="97"/>
        <v/>
      </c>
      <c r="Y264" s="155" t="str">
        <f t="shared" si="97"/>
        <v/>
      </c>
      <c r="Z264" s="155" t="str">
        <f t="shared" si="97"/>
        <v/>
      </c>
      <c r="AA264" s="155" t="str">
        <f t="shared" si="97"/>
        <v/>
      </c>
      <c r="AB264" s="155" t="str">
        <f t="shared" si="97"/>
        <v/>
      </c>
      <c r="AC264" s="155" t="str">
        <f t="shared" si="97"/>
        <v/>
      </c>
      <c r="AD264" s="155" t="str">
        <f t="shared" si="97"/>
        <v/>
      </c>
      <c r="AE264" s="155" t="str">
        <f t="shared" si="97"/>
        <v/>
      </c>
      <c r="AF264" s="155" t="str">
        <f t="shared" si="97"/>
        <v/>
      </c>
      <c r="AG264" s="155" t="str">
        <f t="shared" si="97"/>
        <v/>
      </c>
      <c r="AH264" s="155" t="str">
        <f t="shared" si="97"/>
        <v/>
      </c>
      <c r="AI264" s="155" t="str">
        <f t="shared" si="97"/>
        <v/>
      </c>
      <c r="AJ264" s="155" t="str">
        <f t="shared" si="97"/>
        <v/>
      </c>
      <c r="AK264" s="155" t="str">
        <f t="shared" si="97"/>
        <v/>
      </c>
      <c r="AL264" s="155" t="str">
        <f t="shared" si="97"/>
        <v/>
      </c>
      <c r="AM264" s="155" t="str">
        <f t="shared" si="97"/>
        <v/>
      </c>
      <c r="AN264" s="155" t="str">
        <f t="shared" si="97"/>
        <v/>
      </c>
      <c r="AO264" s="155" t="str">
        <f t="shared" si="97"/>
        <v/>
      </c>
      <c r="AP264" s="155" t="str">
        <f t="shared" si="97"/>
        <v/>
      </c>
      <c r="AQ264" s="155" t="str">
        <f t="shared" si="97"/>
        <v/>
      </c>
    </row>
    <row r="266" spans="3:43" x14ac:dyDescent="0.25">
      <c r="C266" s="129" t="str">
        <f>"15."&amp;2&amp;" Gearing scenario 2 – "&amp;TEXT(D249,"0%")&amp;" (debt scale factor vs live case in E)"</f>
        <v>15.2 Gearing scenario 2 – 30% (debt scale factor vs live case in E)</v>
      </c>
      <c r="D266" s="129" t="s">
        <v>7</v>
      </c>
      <c r="E266" s="270">
        <f>IF(Inputs!$E$219=0,0,D249/Inputs!$E$219)</f>
        <v>0.6</v>
      </c>
      <c r="F266" s="270"/>
      <c r="G266" s="270"/>
      <c r="H266" s="270"/>
      <c r="I266" s="270"/>
      <c r="J266" s="270"/>
      <c r="K266" s="270"/>
      <c r="L266" s="270"/>
      <c r="M266" s="270"/>
      <c r="N266" s="270"/>
      <c r="O266" s="270"/>
      <c r="P266" s="270"/>
      <c r="Q266" s="270"/>
      <c r="R266" s="270"/>
      <c r="S266" s="270"/>
      <c r="T266" s="270"/>
      <c r="U266" s="270"/>
      <c r="V266" s="270"/>
      <c r="W266" s="270"/>
      <c r="X266" s="270"/>
      <c r="Y266" s="270"/>
      <c r="Z266" s="270"/>
      <c r="AA266" s="270"/>
      <c r="AB266" s="270"/>
      <c r="AC266" s="270"/>
      <c r="AD266" s="270"/>
      <c r="AE266" s="270"/>
      <c r="AF266" s="270"/>
      <c r="AG266" s="270"/>
      <c r="AH266" s="270"/>
      <c r="AI266" s="270"/>
      <c r="AJ266" s="270"/>
      <c r="AK266" s="270"/>
      <c r="AL266" s="270"/>
      <c r="AM266" s="270"/>
      <c r="AN266" s="270"/>
      <c r="AO266" s="270"/>
      <c r="AP266" s="270"/>
      <c r="AQ266" s="270"/>
    </row>
    <row r="267" spans="3:43" x14ac:dyDescent="0.25">
      <c r="C267" t="s">
        <v>1396</v>
      </c>
      <c r="D267" t="s">
        <v>125</v>
      </c>
      <c r="E267" s="139"/>
      <c r="F267" s="139"/>
      <c r="G267" s="139"/>
      <c r="H267" s="139">
        <f t="shared" ref="H267:AQ267" si="98">H$70+H$16-(-$G$30+$E$266*$G$79+$E$258)/$E$92*H$90-$E$266*H$81+$E$266*H$85</f>
        <v>-88.621621621621628</v>
      </c>
      <c r="I267" s="139">
        <f t="shared" si="98"/>
        <v>-428.16554054054052</v>
      </c>
      <c r="J267" s="139">
        <f t="shared" si="98"/>
        <v>-876.86552844252708</v>
      </c>
      <c r="K267" s="139">
        <f t="shared" si="98"/>
        <v>-1416.830943868883</v>
      </c>
      <c r="L267" s="139">
        <f t="shared" si="98"/>
        <v>-636.38881643013656</v>
      </c>
      <c r="M267" s="139">
        <f t="shared" si="98"/>
        <v>9212.4648619043674</v>
      </c>
      <c r="N267" s="139">
        <f t="shared" si="98"/>
        <v>10985.795328488002</v>
      </c>
      <c r="O267" s="139">
        <f t="shared" si="98"/>
        <v>11176.549945882287</v>
      </c>
      <c r="P267" s="139">
        <f t="shared" si="98"/>
        <v>11371.553678335831</v>
      </c>
      <c r="Q267" s="139">
        <f t="shared" si="98"/>
        <v>11571.041588316684</v>
      </c>
      <c r="R267" s="139">
        <f t="shared" si="98"/>
        <v>11775.26204444263</v>
      </c>
      <c r="S267" s="139">
        <f t="shared" si="98"/>
        <v>11984.477431559959</v>
      </c>
      <c r="T267" s="139">
        <f t="shared" si="98"/>
        <v>12198.964897462956</v>
      </c>
      <c r="U267" s="139">
        <f t="shared" si="98"/>
        <v>12419.017138114557</v>
      </c>
      <c r="V267" s="139">
        <f t="shared" si="98"/>
        <v>12644.943223321387</v>
      </c>
      <c r="W267" s="139">
        <f t="shared" si="98"/>
        <v>12877.06946491602</v>
      </c>
      <c r="X267" s="139">
        <f t="shared" si="98"/>
        <v>13115.740329601376</v>
      </c>
      <c r="Y267" s="139">
        <f t="shared" si="98"/>
        <v>13361.319398721604</v>
      </c>
      <c r="Z267" s="139">
        <f t="shared" si="98"/>
        <v>13614.190377337198</v>
      </c>
      <c r="AA267" s="139">
        <f t="shared" si="98"/>
        <v>13874.758155102136</v>
      </c>
      <c r="AB267" s="139">
        <f t="shared" si="98"/>
        <v>14143.449921566298</v>
      </c>
      <c r="AC267" s="139">
        <f t="shared" si="98"/>
        <v>14420.716338658394</v>
      </c>
      <c r="AD267" s="139">
        <f t="shared" si="98"/>
        <v>14455.957508784386</v>
      </c>
      <c r="AE267" s="139">
        <f t="shared" si="98"/>
        <v>14488.196300652695</v>
      </c>
      <c r="AF267" s="139">
        <f t="shared" si="98"/>
        <v>14517.333756159509</v>
      </c>
      <c r="AG267" s="139">
        <f t="shared" si="98"/>
        <v>18760.904783417453</v>
      </c>
      <c r="AH267" s="139">
        <f t="shared" si="98"/>
        <v>23001.168723142255</v>
      </c>
      <c r="AI267" s="139">
        <f t="shared" si="98"/>
        <v>23020.382195473136</v>
      </c>
      <c r="AJ267" s="139">
        <f t="shared" si="98"/>
        <v>23036.071945171767</v>
      </c>
      <c r="AK267" s="139">
        <f t="shared" si="98"/>
        <v>23048.125403144655</v>
      </c>
      <c r="AL267" s="139">
        <f t="shared" si="98"/>
        <v>23056.427071876358</v>
      </c>
      <c r="AM267" s="139">
        <f t="shared" si="98"/>
        <v>23060.858452716238</v>
      </c>
      <c r="AN267" s="139">
        <f t="shared" si="98"/>
        <v>23061.297971378961</v>
      </c>
      <c r="AO267" s="139">
        <f t="shared" si="98"/>
        <v>23057.620901615082</v>
      </c>
      <c r="AP267" s="139">
        <f t="shared" si="98"/>
        <v>23049.699287006573</v>
      </c>
      <c r="AQ267" s="139">
        <f t="shared" si="98"/>
        <v>11518.700930420837</v>
      </c>
    </row>
    <row r="268" spans="3:43" x14ac:dyDescent="0.25">
      <c r="C268" t="s">
        <v>1269</v>
      </c>
      <c r="D268" t="s">
        <v>125</v>
      </c>
      <c r="E268" s="139"/>
      <c r="F268" s="139"/>
      <c r="G268" s="139">
        <v>0</v>
      </c>
      <c r="H268" s="139">
        <f t="shared" ref="H268:AQ268" si="99">G268+MAX(-H267,0)-MIN(G268,MAX(H267,0)*$E$95)</f>
        <v>88.621621621621628</v>
      </c>
      <c r="I268" s="139">
        <f t="shared" si="99"/>
        <v>516.78716216216219</v>
      </c>
      <c r="J268" s="139">
        <f t="shared" si="99"/>
        <v>1393.6526906046893</v>
      </c>
      <c r="K268" s="139">
        <f t="shared" si="99"/>
        <v>2810.4836344735722</v>
      </c>
      <c r="L268" s="139">
        <f t="shared" si="99"/>
        <v>3446.8724509037088</v>
      </c>
      <c r="M268" s="139">
        <f t="shared" si="99"/>
        <v>0</v>
      </c>
      <c r="N268" s="139">
        <f t="shared" si="99"/>
        <v>0</v>
      </c>
      <c r="O268" s="139">
        <f t="shared" si="99"/>
        <v>0</v>
      </c>
      <c r="P268" s="139">
        <f t="shared" si="99"/>
        <v>0</v>
      </c>
      <c r="Q268" s="139">
        <f t="shared" si="99"/>
        <v>0</v>
      </c>
      <c r="R268" s="139">
        <f t="shared" si="99"/>
        <v>0</v>
      </c>
      <c r="S268" s="139">
        <f t="shared" si="99"/>
        <v>0</v>
      </c>
      <c r="T268" s="139">
        <f t="shared" si="99"/>
        <v>0</v>
      </c>
      <c r="U268" s="139">
        <f t="shared" si="99"/>
        <v>0</v>
      </c>
      <c r="V268" s="139">
        <f t="shared" si="99"/>
        <v>0</v>
      </c>
      <c r="W268" s="139">
        <f t="shared" si="99"/>
        <v>0</v>
      </c>
      <c r="X268" s="139">
        <f t="shared" si="99"/>
        <v>0</v>
      </c>
      <c r="Y268" s="139">
        <f t="shared" si="99"/>
        <v>0</v>
      </c>
      <c r="Z268" s="139">
        <f t="shared" si="99"/>
        <v>0</v>
      </c>
      <c r="AA268" s="139">
        <f t="shared" si="99"/>
        <v>0</v>
      </c>
      <c r="AB268" s="139">
        <f t="shared" si="99"/>
        <v>0</v>
      </c>
      <c r="AC268" s="139">
        <f t="shared" si="99"/>
        <v>0</v>
      </c>
      <c r="AD268" s="139">
        <f t="shared" si="99"/>
        <v>0</v>
      </c>
      <c r="AE268" s="139">
        <f t="shared" si="99"/>
        <v>0</v>
      </c>
      <c r="AF268" s="139">
        <f t="shared" si="99"/>
        <v>0</v>
      </c>
      <c r="AG268" s="139">
        <f t="shared" si="99"/>
        <v>0</v>
      </c>
      <c r="AH268" s="139">
        <f t="shared" si="99"/>
        <v>0</v>
      </c>
      <c r="AI268" s="139">
        <f t="shared" si="99"/>
        <v>0</v>
      </c>
      <c r="AJ268" s="139">
        <f t="shared" si="99"/>
        <v>0</v>
      </c>
      <c r="AK268" s="139">
        <f t="shared" si="99"/>
        <v>0</v>
      </c>
      <c r="AL268" s="139">
        <f t="shared" si="99"/>
        <v>0</v>
      </c>
      <c r="AM268" s="139">
        <f t="shared" si="99"/>
        <v>0</v>
      </c>
      <c r="AN268" s="139">
        <f t="shared" si="99"/>
        <v>0</v>
      </c>
      <c r="AO268" s="139">
        <f t="shared" si="99"/>
        <v>0</v>
      </c>
      <c r="AP268" s="139">
        <f t="shared" si="99"/>
        <v>0</v>
      </c>
      <c r="AQ268" s="139">
        <f t="shared" si="99"/>
        <v>0</v>
      </c>
    </row>
    <row r="269" spans="3:43" x14ac:dyDescent="0.25">
      <c r="C269" t="s">
        <v>1397</v>
      </c>
      <c r="D269" t="s">
        <v>125</v>
      </c>
      <c r="E269" s="139"/>
      <c r="F269" s="139"/>
      <c r="G269" s="139"/>
      <c r="H269" s="139">
        <f t="shared" ref="H269:AQ269" si="100">-(MAX(H267,0)-MIN(G268,MAX(H267,0)*$E$95))*$E$91-MAX(H267,0)*$E$99</f>
        <v>0</v>
      </c>
      <c r="I269" s="139">
        <f t="shared" si="100"/>
        <v>0</v>
      </c>
      <c r="J269" s="139">
        <f t="shared" si="100"/>
        <v>0</v>
      </c>
      <c r="K269" s="139">
        <f t="shared" si="100"/>
        <v>0</v>
      </c>
      <c r="L269" s="139">
        <f t="shared" si="100"/>
        <v>0</v>
      </c>
      <c r="M269" s="139">
        <f t="shared" si="100"/>
        <v>-864.83886165009869</v>
      </c>
      <c r="N269" s="139">
        <f t="shared" si="100"/>
        <v>-1647.8692992732003</v>
      </c>
      <c r="O269" s="139">
        <f t="shared" si="100"/>
        <v>-1676.4824918823431</v>
      </c>
      <c r="P269" s="139">
        <f t="shared" si="100"/>
        <v>-1705.7330517503747</v>
      </c>
      <c r="Q269" s="139">
        <f t="shared" si="100"/>
        <v>-1735.6562382475026</v>
      </c>
      <c r="R269" s="139">
        <f t="shared" si="100"/>
        <v>-1766.2893066663944</v>
      </c>
      <c r="S269" s="139">
        <f t="shared" si="100"/>
        <v>-1797.6716147339937</v>
      </c>
      <c r="T269" s="139">
        <f t="shared" si="100"/>
        <v>-1829.8447346194434</v>
      </c>
      <c r="U269" s="139">
        <f t="shared" si="100"/>
        <v>-1862.8525707171834</v>
      </c>
      <c r="V269" s="139">
        <f t="shared" si="100"/>
        <v>-1896.7414834982078</v>
      </c>
      <c r="W269" s="139">
        <f t="shared" si="100"/>
        <v>-1931.5604197374028</v>
      </c>
      <c r="X269" s="139">
        <f t="shared" si="100"/>
        <v>-1967.3610494402064</v>
      </c>
      <c r="Y269" s="139">
        <f t="shared" si="100"/>
        <v>-2004.1979098082404</v>
      </c>
      <c r="Z269" s="139">
        <f t="shared" si="100"/>
        <v>-2042.1285566005795</v>
      </c>
      <c r="AA269" s="139">
        <f t="shared" si="100"/>
        <v>-2081.2137232653204</v>
      </c>
      <c r="AB269" s="139">
        <f t="shared" si="100"/>
        <v>-2121.5174882349447</v>
      </c>
      <c r="AC269" s="139">
        <f t="shared" si="100"/>
        <v>-2163.1074507987591</v>
      </c>
      <c r="AD269" s="139">
        <f t="shared" si="100"/>
        <v>-2168.3936263176579</v>
      </c>
      <c r="AE269" s="139">
        <f t="shared" si="100"/>
        <v>-2173.2294450979043</v>
      </c>
      <c r="AF269" s="139">
        <f t="shared" si="100"/>
        <v>-2177.6000634239263</v>
      </c>
      <c r="AG269" s="139">
        <f t="shared" si="100"/>
        <v>-2814.1357175126177</v>
      </c>
      <c r="AH269" s="139">
        <f t="shared" si="100"/>
        <v>-3450.1753084713382</v>
      </c>
      <c r="AI269" s="139">
        <f t="shared" si="100"/>
        <v>-3453.0573293209704</v>
      </c>
      <c r="AJ269" s="139">
        <f t="shared" si="100"/>
        <v>-3455.4107917757651</v>
      </c>
      <c r="AK269" s="139">
        <f t="shared" si="100"/>
        <v>-3457.2188104716984</v>
      </c>
      <c r="AL269" s="139">
        <f t="shared" si="100"/>
        <v>-3458.4640607814536</v>
      </c>
      <c r="AM269" s="139">
        <f t="shared" si="100"/>
        <v>-3459.1287679074358</v>
      </c>
      <c r="AN269" s="139">
        <f t="shared" si="100"/>
        <v>-3459.194695706844</v>
      </c>
      <c r="AO269" s="139">
        <f t="shared" si="100"/>
        <v>-3458.6431352422624</v>
      </c>
      <c r="AP269" s="139">
        <f t="shared" si="100"/>
        <v>-3457.4548930509859</v>
      </c>
      <c r="AQ269" s="139">
        <f t="shared" si="100"/>
        <v>-1727.8051395631255</v>
      </c>
    </row>
    <row r="270" spans="3:43" x14ac:dyDescent="0.25">
      <c r="C270" t="s">
        <v>1291</v>
      </c>
      <c r="D270" t="s">
        <v>125</v>
      </c>
      <c r="E270" s="139"/>
      <c r="F270" s="139"/>
      <c r="G270" s="139"/>
      <c r="H270" s="139">
        <f t="shared" ref="H270:AQ270" si="101">(H$109+$E$266*(H$77+H$85-H$80+H$86-H$87+H$89)+H269)*$E$128</f>
        <v>-1570.6176490188818</v>
      </c>
      <c r="I270" s="139">
        <f t="shared" si="101"/>
        <v>-778.73814328026663</v>
      </c>
      <c r="J270" s="139">
        <f t="shared" si="101"/>
        <v>-1227.4381311822531</v>
      </c>
      <c r="K270" s="139">
        <f t="shared" si="101"/>
        <v>-48152.384122607087</v>
      </c>
      <c r="L270" s="139">
        <f t="shared" si="101"/>
        <v>-46420.986675197273</v>
      </c>
      <c r="M270" s="139">
        <f t="shared" si="101"/>
        <v>-15138.88059111475</v>
      </c>
      <c r="N270" s="139">
        <f t="shared" si="101"/>
        <v>15357.769039771836</v>
      </c>
      <c r="O270" s="139">
        <f t="shared" si="101"/>
        <v>15399.13896944451</v>
      </c>
      <c r="P270" s="139">
        <f t="shared" si="101"/>
        <v>15438.082072161929</v>
      </c>
      <c r="Q270" s="139">
        <f t="shared" si="101"/>
        <v>15474.496222284164</v>
      </c>
      <c r="R270" s="139">
        <f t="shared" si="101"/>
        <v>15508.275507961649</v>
      </c>
      <c r="S270" s="139">
        <f t="shared" si="101"/>
        <v>15539.310079880332</v>
      </c>
      <c r="T270" s="139">
        <f t="shared" si="101"/>
        <v>15567.485993410279</v>
      </c>
      <c r="U270" s="139">
        <f t="shared" si="101"/>
        <v>15592.685043852161</v>
      </c>
      <c r="V270" s="139">
        <f t="shared" si="101"/>
        <v>15614.784594460387</v>
      </c>
      <c r="W270" s="139">
        <f t="shared" si="101"/>
        <v>15633.657396907367</v>
      </c>
      <c r="X270" s="139">
        <f t="shared" si="101"/>
        <v>15649.171403836041</v>
      </c>
      <c r="Y270" s="139">
        <f t="shared" si="101"/>
        <v>15661.189573131658</v>
      </c>
      <c r="Z270" s="139">
        <f t="shared" si="101"/>
        <v>15669.569663525512</v>
      </c>
      <c r="AA270" s="139">
        <f t="shared" si="101"/>
        <v>15674.164021124836</v>
      </c>
      <c r="AB270" s="139">
        <f t="shared" si="101"/>
        <v>15674.819356443455</v>
      </c>
      <c r="AC270" s="139">
        <f t="shared" si="101"/>
        <v>20692.881800665993</v>
      </c>
      <c r="AD270" s="139">
        <f t="shared" si="101"/>
        <v>20722.836795273084</v>
      </c>
      <c r="AE270" s="139">
        <f t="shared" si="101"/>
        <v>20750.239768361149</v>
      </c>
      <c r="AF270" s="139">
        <f t="shared" si="101"/>
        <v>20775.006605541937</v>
      </c>
      <c r="AG270" s="139">
        <f t="shared" si="101"/>
        <v>20164.405522308014</v>
      </c>
      <c r="AH270" s="139">
        <f t="shared" si="101"/>
        <v>19550.993414670917</v>
      </c>
      <c r="AI270" s="139">
        <f t="shared" si="101"/>
        <v>19567.324866152165</v>
      </c>
      <c r="AJ270" s="139">
        <f t="shared" si="101"/>
        <v>19580.661153396002</v>
      </c>
      <c r="AK270" s="139">
        <f t="shared" si="101"/>
        <v>19590.906592672956</v>
      </c>
      <c r="AL270" s="139">
        <f t="shared" si="101"/>
        <v>19597.963011094904</v>
      </c>
      <c r="AM270" s="139">
        <f t="shared" si="101"/>
        <v>19601.729684808801</v>
      </c>
      <c r="AN270" s="139">
        <f t="shared" si="101"/>
        <v>19602.103275672118</v>
      </c>
      <c r="AO270" s="139">
        <f t="shared" si="101"/>
        <v>19598.97776637282</v>
      </c>
      <c r="AP270" s="139">
        <f t="shared" si="101"/>
        <v>19592.244393955589</v>
      </c>
      <c r="AQ270" s="139">
        <f t="shared" si="101"/>
        <v>5713.8957908577104</v>
      </c>
    </row>
    <row r="271" spans="3:43" x14ac:dyDescent="0.25">
      <c r="C271" t="s">
        <v>1288</v>
      </c>
      <c r="D271" t="s">
        <v>7</v>
      </c>
      <c r="E271" s="139"/>
      <c r="F271" s="139"/>
      <c r="G271" s="155"/>
      <c r="H271" s="155" t="str">
        <f t="shared" ref="H271:AQ271" si="102">IF(AND(H$9&gt;=1,H$86&lt;-0.01,$E$266&gt;0),(H$70+H269)/(-$E$266*H$86),"")</f>
        <v/>
      </c>
      <c r="I271" s="155" t="str">
        <f t="shared" si="102"/>
        <v/>
      </c>
      <c r="J271" s="155" t="str">
        <f t="shared" si="102"/>
        <v/>
      </c>
      <c r="K271" s="155" t="str">
        <f t="shared" si="102"/>
        <v/>
      </c>
      <c r="L271" s="155" t="str">
        <f t="shared" si="102"/>
        <v/>
      </c>
      <c r="M271" s="155" t="str">
        <f t="shared" si="102"/>
        <v/>
      </c>
      <c r="N271" s="155">
        <f t="shared" si="102"/>
        <v>4.0583994550133937</v>
      </c>
      <c r="O271" s="155">
        <f t="shared" si="102"/>
        <v>4.0666380064616661</v>
      </c>
      <c r="P271" s="155">
        <f t="shared" si="102"/>
        <v>4.0743932711631379</v>
      </c>
      <c r="Q271" s="155">
        <f t="shared" si="102"/>
        <v>4.0816449114632496</v>
      </c>
      <c r="R271" s="155">
        <f t="shared" si="102"/>
        <v>4.0883718357085108</v>
      </c>
      <c r="S271" s="155">
        <f t="shared" si="102"/>
        <v>4.0945521681250785</v>
      </c>
      <c r="T271" s="155">
        <f t="shared" si="102"/>
        <v>4.1001632173836873</v>
      </c>
      <c r="U271" s="155">
        <f t="shared" si="102"/>
        <v>4.1051814437900571</v>
      </c>
      <c r="V271" s="155">
        <f t="shared" si="102"/>
        <v>4.1095824250368258</v>
      </c>
      <c r="W271" s="155">
        <f t="shared" si="102"/>
        <v>4.1133408204501798</v>
      </c>
      <c r="X271" s="155">
        <f t="shared" si="102"/>
        <v>4.1164303336609098</v>
      </c>
      <c r="Y271" s="155">
        <f t="shared" si="102"/>
        <v>4.1188236736264212</v>
      </c>
      <c r="Z271" s="155">
        <f t="shared" si="102"/>
        <v>4.1204925139265418</v>
      </c>
      <c r="AA271" s="155">
        <f t="shared" si="102"/>
        <v>4.1214074502523541</v>
      </c>
      <c r="AB271" s="155">
        <f t="shared" si="102"/>
        <v>4.1215379560032952</v>
      </c>
      <c r="AC271" s="155" t="str">
        <f t="shared" si="102"/>
        <v/>
      </c>
      <c r="AD271" s="155" t="str">
        <f t="shared" si="102"/>
        <v/>
      </c>
      <c r="AE271" s="155" t="str">
        <f t="shared" si="102"/>
        <v/>
      </c>
      <c r="AF271" s="155" t="str">
        <f t="shared" si="102"/>
        <v/>
      </c>
      <c r="AG271" s="155" t="str">
        <f t="shared" si="102"/>
        <v/>
      </c>
      <c r="AH271" s="155" t="str">
        <f t="shared" si="102"/>
        <v/>
      </c>
      <c r="AI271" s="155" t="str">
        <f t="shared" si="102"/>
        <v/>
      </c>
      <c r="AJ271" s="155" t="str">
        <f t="shared" si="102"/>
        <v/>
      </c>
      <c r="AK271" s="155" t="str">
        <f t="shared" si="102"/>
        <v/>
      </c>
      <c r="AL271" s="155" t="str">
        <f t="shared" si="102"/>
        <v/>
      </c>
      <c r="AM271" s="155" t="str">
        <f t="shared" si="102"/>
        <v/>
      </c>
      <c r="AN271" s="155" t="str">
        <f t="shared" si="102"/>
        <v/>
      </c>
      <c r="AO271" s="155" t="str">
        <f t="shared" si="102"/>
        <v/>
      </c>
      <c r="AP271" s="155" t="str">
        <f t="shared" si="102"/>
        <v/>
      </c>
      <c r="AQ271" s="155" t="str">
        <f t="shared" si="102"/>
        <v/>
      </c>
    </row>
    <row r="273" spans="3:43" x14ac:dyDescent="0.25">
      <c r="C273" s="129" t="str">
        <f>"15."&amp;3&amp;" Gearing scenario 3 – "&amp;TEXT(D250,"0%")&amp;" (debt scale factor vs live case in E)"</f>
        <v>15.3 Gearing scenario 3 – 40% (debt scale factor vs live case in E)</v>
      </c>
      <c r="D273" s="129" t="s">
        <v>7</v>
      </c>
      <c r="E273" s="270">
        <f>IF(Inputs!$E$219=0,0,D250/Inputs!$E$219)</f>
        <v>0.8</v>
      </c>
      <c r="F273" s="270"/>
      <c r="G273" s="270"/>
      <c r="H273" s="270"/>
      <c r="I273" s="270"/>
      <c r="J273" s="270"/>
      <c r="K273" s="270"/>
      <c r="L273" s="270"/>
      <c r="M273" s="270"/>
      <c r="N273" s="270"/>
      <c r="O273" s="270"/>
      <c r="P273" s="270"/>
      <c r="Q273" s="270"/>
      <c r="R273" s="270"/>
      <c r="S273" s="270"/>
      <c r="T273" s="270"/>
      <c r="U273" s="270"/>
      <c r="V273" s="270"/>
      <c r="W273" s="270"/>
      <c r="X273" s="270"/>
      <c r="Y273" s="270"/>
      <c r="Z273" s="270"/>
      <c r="AA273" s="270"/>
      <c r="AB273" s="270"/>
      <c r="AC273" s="270"/>
      <c r="AD273" s="270"/>
      <c r="AE273" s="270"/>
      <c r="AF273" s="270"/>
      <c r="AG273" s="270"/>
      <c r="AH273" s="270"/>
      <c r="AI273" s="270"/>
      <c r="AJ273" s="270"/>
      <c r="AK273" s="270"/>
      <c r="AL273" s="270"/>
      <c r="AM273" s="270"/>
      <c r="AN273" s="270"/>
      <c r="AO273" s="270"/>
      <c r="AP273" s="270"/>
      <c r="AQ273" s="270"/>
    </row>
    <row r="274" spans="3:43" x14ac:dyDescent="0.25">
      <c r="C274" t="s">
        <v>1396</v>
      </c>
      <c r="D274" t="s">
        <v>125</v>
      </c>
      <c r="E274" s="139"/>
      <c r="F274" s="139"/>
      <c r="G274" s="139"/>
      <c r="H274" s="139">
        <f t="shared" ref="H274:AQ274" si="103">H$70+H$16-(-$G$30+$E$273*$G$79+$E$258)/$E$92*H$90-$E$273*H$81+$E$273*H$85</f>
        <v>-88.621621621621628</v>
      </c>
      <c r="I274" s="139">
        <f t="shared" si="103"/>
        <v>-428.16554054054052</v>
      </c>
      <c r="J274" s="139">
        <f t="shared" si="103"/>
        <v>-876.86552844252708</v>
      </c>
      <c r="K274" s="139">
        <f t="shared" si="103"/>
        <v>-1770.5500965240121</v>
      </c>
      <c r="L274" s="139">
        <f t="shared" si="103"/>
        <v>-709.30378776050725</v>
      </c>
      <c r="M274" s="139">
        <f t="shared" si="103"/>
        <v>8748.956429666976</v>
      </c>
      <c r="N274" s="139">
        <f t="shared" si="103"/>
        <v>10072.347978667327</v>
      </c>
      <c r="O274" s="139">
        <f t="shared" si="103"/>
        <v>10303.3597610991</v>
      </c>
      <c r="P274" s="139">
        <f t="shared" si="103"/>
        <v>10540.633516842006</v>
      </c>
      <c r="Q274" s="139">
        <f t="shared" si="103"/>
        <v>10784.504951276691</v>
      </c>
      <c r="R274" s="139">
        <f t="shared" si="103"/>
        <v>11035.32810807916</v>
      </c>
      <c r="S274" s="139">
        <f t="shared" si="103"/>
        <v>11293.476330906838</v>
      </c>
      <c r="T274" s="139">
        <f t="shared" si="103"/>
        <v>11559.343274305702</v>
      </c>
      <c r="U274" s="139">
        <f t="shared" si="103"/>
        <v>11833.343966327962</v>
      </c>
      <c r="V274" s="139">
        <f t="shared" si="103"/>
        <v>12115.915925473984</v>
      </c>
      <c r="W274" s="139">
        <f t="shared" si="103"/>
        <v>12407.52033470477</v>
      </c>
      <c r="X274" s="139">
        <f t="shared" si="103"/>
        <v>12708.643275408087</v>
      </c>
      <c r="Y274" s="139">
        <f t="shared" si="103"/>
        <v>13019.797024347172</v>
      </c>
      <c r="Z274" s="139">
        <f t="shared" si="103"/>
        <v>13341.521416772568</v>
      </c>
      <c r="AA274" s="139">
        <f t="shared" si="103"/>
        <v>13674.385279037799</v>
      </c>
      <c r="AB274" s="139">
        <f t="shared" si="103"/>
        <v>14018.987934227265</v>
      </c>
      <c r="AC274" s="139">
        <f t="shared" si="103"/>
        <v>14375.960784480931</v>
      </c>
      <c r="AD274" s="139">
        <f t="shared" si="103"/>
        <v>14411.201954606922</v>
      </c>
      <c r="AE274" s="139">
        <f t="shared" si="103"/>
        <v>14443.440746475231</v>
      </c>
      <c r="AF274" s="139">
        <f t="shared" si="103"/>
        <v>14472.578201982045</v>
      </c>
      <c r="AG274" s="139">
        <f t="shared" si="103"/>
        <v>18738.527006328724</v>
      </c>
      <c r="AH274" s="139">
        <f t="shared" si="103"/>
        <v>23001.168723142255</v>
      </c>
      <c r="AI274" s="139">
        <f t="shared" si="103"/>
        <v>23020.382195473136</v>
      </c>
      <c r="AJ274" s="139">
        <f t="shared" si="103"/>
        <v>23036.071945171767</v>
      </c>
      <c r="AK274" s="139">
        <f t="shared" si="103"/>
        <v>23048.125403144655</v>
      </c>
      <c r="AL274" s="139">
        <f t="shared" si="103"/>
        <v>23056.427071876358</v>
      </c>
      <c r="AM274" s="139">
        <f t="shared" si="103"/>
        <v>23060.858452716238</v>
      </c>
      <c r="AN274" s="139">
        <f t="shared" si="103"/>
        <v>23061.297971378961</v>
      </c>
      <c r="AO274" s="139">
        <f t="shared" si="103"/>
        <v>23057.620901615082</v>
      </c>
      <c r="AP274" s="139">
        <f t="shared" si="103"/>
        <v>23049.699287006573</v>
      </c>
      <c r="AQ274" s="139">
        <f t="shared" si="103"/>
        <v>11518.700930420835</v>
      </c>
    </row>
    <row r="275" spans="3:43" x14ac:dyDescent="0.25">
      <c r="C275" t="s">
        <v>1269</v>
      </c>
      <c r="D275" t="s">
        <v>125</v>
      </c>
      <c r="E275" s="139"/>
      <c r="F275" s="139"/>
      <c r="G275" s="139">
        <v>0</v>
      </c>
      <c r="H275" s="139">
        <f t="shared" ref="H275:AQ275" si="104">G275+MAX(-H274,0)-MIN(G275,MAX(H274,0)*$E$95)</f>
        <v>88.621621621621628</v>
      </c>
      <c r="I275" s="139">
        <f t="shared" si="104"/>
        <v>516.78716216216219</v>
      </c>
      <c r="J275" s="139">
        <f t="shared" si="104"/>
        <v>1393.6526906046893</v>
      </c>
      <c r="K275" s="139">
        <f t="shared" si="104"/>
        <v>3164.2027871287014</v>
      </c>
      <c r="L275" s="139">
        <f t="shared" si="104"/>
        <v>3873.5065748892084</v>
      </c>
      <c r="M275" s="139">
        <f t="shared" si="104"/>
        <v>0</v>
      </c>
      <c r="N275" s="139">
        <f t="shared" si="104"/>
        <v>0</v>
      </c>
      <c r="O275" s="139">
        <f t="shared" si="104"/>
        <v>0</v>
      </c>
      <c r="P275" s="139">
        <f t="shared" si="104"/>
        <v>0</v>
      </c>
      <c r="Q275" s="139">
        <f t="shared" si="104"/>
        <v>0</v>
      </c>
      <c r="R275" s="139">
        <f t="shared" si="104"/>
        <v>0</v>
      </c>
      <c r="S275" s="139">
        <f t="shared" si="104"/>
        <v>0</v>
      </c>
      <c r="T275" s="139">
        <f t="shared" si="104"/>
        <v>0</v>
      </c>
      <c r="U275" s="139">
        <f t="shared" si="104"/>
        <v>0</v>
      </c>
      <c r="V275" s="139">
        <f t="shared" si="104"/>
        <v>0</v>
      </c>
      <c r="W275" s="139">
        <f t="shared" si="104"/>
        <v>0</v>
      </c>
      <c r="X275" s="139">
        <f t="shared" si="104"/>
        <v>0</v>
      </c>
      <c r="Y275" s="139">
        <f t="shared" si="104"/>
        <v>0</v>
      </c>
      <c r="Z275" s="139">
        <f t="shared" si="104"/>
        <v>0</v>
      </c>
      <c r="AA275" s="139">
        <f t="shared" si="104"/>
        <v>0</v>
      </c>
      <c r="AB275" s="139">
        <f t="shared" si="104"/>
        <v>0</v>
      </c>
      <c r="AC275" s="139">
        <f t="shared" si="104"/>
        <v>0</v>
      </c>
      <c r="AD275" s="139">
        <f t="shared" si="104"/>
        <v>0</v>
      </c>
      <c r="AE275" s="139">
        <f t="shared" si="104"/>
        <v>0</v>
      </c>
      <c r="AF275" s="139">
        <f t="shared" si="104"/>
        <v>0</v>
      </c>
      <c r="AG275" s="139">
        <f t="shared" si="104"/>
        <v>0</v>
      </c>
      <c r="AH275" s="139">
        <f t="shared" si="104"/>
        <v>0</v>
      </c>
      <c r="AI275" s="139">
        <f t="shared" si="104"/>
        <v>0</v>
      </c>
      <c r="AJ275" s="139">
        <f t="shared" si="104"/>
        <v>0</v>
      </c>
      <c r="AK275" s="139">
        <f t="shared" si="104"/>
        <v>0</v>
      </c>
      <c r="AL275" s="139">
        <f t="shared" si="104"/>
        <v>0</v>
      </c>
      <c r="AM275" s="139">
        <f t="shared" si="104"/>
        <v>0</v>
      </c>
      <c r="AN275" s="139">
        <f t="shared" si="104"/>
        <v>0</v>
      </c>
      <c r="AO275" s="139">
        <f t="shared" si="104"/>
        <v>0</v>
      </c>
      <c r="AP275" s="139">
        <f t="shared" si="104"/>
        <v>0</v>
      </c>
      <c r="AQ275" s="139">
        <f t="shared" si="104"/>
        <v>0</v>
      </c>
    </row>
    <row r="276" spans="3:43" x14ac:dyDescent="0.25">
      <c r="C276" t="s">
        <v>1397</v>
      </c>
      <c r="D276" t="s">
        <v>125</v>
      </c>
      <c r="E276" s="139"/>
      <c r="F276" s="139"/>
      <c r="G276" s="139"/>
      <c r="H276" s="139">
        <f t="shared" ref="H276:AQ276" si="105">-(MAX(H274,0)-MIN(G275,MAX(H274,0)*$E$95))*$E$91-MAX(H274,0)*$E$99</f>
        <v>0</v>
      </c>
      <c r="I276" s="139">
        <f t="shared" si="105"/>
        <v>0</v>
      </c>
      <c r="J276" s="139">
        <f t="shared" si="105"/>
        <v>0</v>
      </c>
      <c r="K276" s="139">
        <f t="shared" si="105"/>
        <v>0</v>
      </c>
      <c r="L276" s="139">
        <f t="shared" si="105"/>
        <v>0</v>
      </c>
      <c r="M276" s="139">
        <f t="shared" si="105"/>
        <v>-731.31747821666511</v>
      </c>
      <c r="N276" s="139">
        <f t="shared" si="105"/>
        <v>-1510.8521968000989</v>
      </c>
      <c r="O276" s="139">
        <f t="shared" si="105"/>
        <v>-1545.503964164865</v>
      </c>
      <c r="P276" s="139">
        <f t="shared" si="105"/>
        <v>-1581.095027526301</v>
      </c>
      <c r="Q276" s="139">
        <f t="shared" si="105"/>
        <v>-1617.6757426915035</v>
      </c>
      <c r="R276" s="139">
        <f t="shared" si="105"/>
        <v>-1655.299216211874</v>
      </c>
      <c r="S276" s="139">
        <f t="shared" si="105"/>
        <v>-1694.0214496360256</v>
      </c>
      <c r="T276" s="139">
        <f t="shared" si="105"/>
        <v>-1733.9014911458553</v>
      </c>
      <c r="U276" s="139">
        <f t="shared" si="105"/>
        <v>-1775.0015949491942</v>
      </c>
      <c r="V276" s="139">
        <f t="shared" si="105"/>
        <v>-1817.3873888210976</v>
      </c>
      <c r="W276" s="139">
        <f t="shared" si="105"/>
        <v>-1861.1280502057155</v>
      </c>
      <c r="X276" s="139">
        <f t="shared" si="105"/>
        <v>-1906.296491311213</v>
      </c>
      <c r="Y276" s="139">
        <f t="shared" si="105"/>
        <v>-1952.9695536520758</v>
      </c>
      <c r="Z276" s="139">
        <f t="shared" si="105"/>
        <v>-2001.2282125158852</v>
      </c>
      <c r="AA276" s="139">
        <f t="shared" si="105"/>
        <v>-2051.1577918556695</v>
      </c>
      <c r="AB276" s="139">
        <f t="shared" si="105"/>
        <v>-2102.8481901340897</v>
      </c>
      <c r="AC276" s="139">
        <f t="shared" si="105"/>
        <v>-2156.3941176721396</v>
      </c>
      <c r="AD276" s="139">
        <f t="shared" si="105"/>
        <v>-2161.6802931910383</v>
      </c>
      <c r="AE276" s="139">
        <f t="shared" si="105"/>
        <v>-2166.5161119712848</v>
      </c>
      <c r="AF276" s="139">
        <f t="shared" si="105"/>
        <v>-2170.8867302973067</v>
      </c>
      <c r="AG276" s="139">
        <f t="shared" si="105"/>
        <v>-2810.7790509493084</v>
      </c>
      <c r="AH276" s="139">
        <f t="shared" si="105"/>
        <v>-3450.1753084713382</v>
      </c>
      <c r="AI276" s="139">
        <f t="shared" si="105"/>
        <v>-3453.0573293209704</v>
      </c>
      <c r="AJ276" s="139">
        <f t="shared" si="105"/>
        <v>-3455.4107917757651</v>
      </c>
      <c r="AK276" s="139">
        <f t="shared" si="105"/>
        <v>-3457.2188104716984</v>
      </c>
      <c r="AL276" s="139">
        <f t="shared" si="105"/>
        <v>-3458.4640607814536</v>
      </c>
      <c r="AM276" s="139">
        <f t="shared" si="105"/>
        <v>-3459.1287679074358</v>
      </c>
      <c r="AN276" s="139">
        <f t="shared" si="105"/>
        <v>-3459.194695706844</v>
      </c>
      <c r="AO276" s="139">
        <f t="shared" si="105"/>
        <v>-3458.6431352422624</v>
      </c>
      <c r="AP276" s="139">
        <f t="shared" si="105"/>
        <v>-3457.4548930509859</v>
      </c>
      <c r="AQ276" s="139">
        <f t="shared" si="105"/>
        <v>-1727.8051395631253</v>
      </c>
    </row>
    <row r="277" spans="3:43" x14ac:dyDescent="0.25">
      <c r="C277" t="s">
        <v>1291</v>
      </c>
      <c r="D277" t="s">
        <v>125</v>
      </c>
      <c r="E277" s="139"/>
      <c r="F277" s="139"/>
      <c r="G277" s="139"/>
      <c r="H277" s="139">
        <f t="shared" ref="H277:AQ277" si="106">(H$109+$E$273*(H$77+H$85-H$80+H$86-H$87+H$89)+H276)*$E$128</f>
        <v>-1570.6176490188818</v>
      </c>
      <c r="I277" s="139">
        <f t="shared" si="106"/>
        <v>-778.73814328026663</v>
      </c>
      <c r="J277" s="139">
        <f t="shared" si="106"/>
        <v>-1227.4381311822531</v>
      </c>
      <c r="K277" s="139">
        <f t="shared" si="106"/>
        <v>-44352.561674448552</v>
      </c>
      <c r="L277" s="139">
        <f t="shared" si="106"/>
        <v>-38254.539231870105</v>
      </c>
      <c r="M277" s="139">
        <f t="shared" si="106"/>
        <v>-11360.669048986101</v>
      </c>
      <c r="N277" s="139">
        <f t="shared" si="106"/>
        <v>13820.951045851945</v>
      </c>
      <c r="O277" s="139">
        <f t="shared" si="106"/>
        <v>13856.282400768996</v>
      </c>
      <c r="P277" s="139">
        <f t="shared" si="106"/>
        <v>13888.884999993015</v>
      </c>
      <c r="Q277" s="139">
        <f t="shared" si="106"/>
        <v>13918.641621447172</v>
      </c>
      <c r="R277" s="139">
        <f t="shared" si="106"/>
        <v>13945.430502023179</v>
      </c>
      <c r="S277" s="139">
        <f t="shared" si="106"/>
        <v>13969.125148585308</v>
      </c>
      <c r="T277" s="139">
        <f t="shared" si="106"/>
        <v>13989.594140490877</v>
      </c>
      <c r="U277" s="139">
        <f t="shared" si="106"/>
        <v>14006.700923227159</v>
      </c>
      <c r="V277" s="139">
        <f t="shared" si="106"/>
        <v>14020.303592744505</v>
      </c>
      <c r="W277" s="139">
        <f t="shared" si="106"/>
        <v>14030.254670046063</v>
      </c>
      <c r="X277" s="139">
        <f t="shared" si="106"/>
        <v>14036.400865572041</v>
      </c>
      <c r="Y277" s="139">
        <f t="shared" si="106"/>
        <v>14038.582832894832</v>
      </c>
      <c r="Z277" s="139">
        <f t="shared" si="106"/>
        <v>14036.634911217214</v>
      </c>
      <c r="AA277" s="139">
        <f t="shared" si="106"/>
        <v>14030.384856141496</v>
      </c>
      <c r="AB277" s="139">
        <f t="shared" si="106"/>
        <v>14019.65355815132</v>
      </c>
      <c r="AC277" s="139">
        <f t="shared" si="106"/>
        <v>20699.595133792613</v>
      </c>
      <c r="AD277" s="139">
        <f t="shared" si="106"/>
        <v>20729.550128399704</v>
      </c>
      <c r="AE277" s="139">
        <f t="shared" si="106"/>
        <v>20756.953101487765</v>
      </c>
      <c r="AF277" s="139">
        <f t="shared" si="106"/>
        <v>20781.719938668561</v>
      </c>
      <c r="AG277" s="139">
        <f t="shared" si="106"/>
        <v>20167.762188871322</v>
      </c>
      <c r="AH277" s="139">
        <f t="shared" si="106"/>
        <v>19550.993414670917</v>
      </c>
      <c r="AI277" s="139">
        <f t="shared" si="106"/>
        <v>19567.324866152165</v>
      </c>
      <c r="AJ277" s="139">
        <f t="shared" si="106"/>
        <v>19580.661153396002</v>
      </c>
      <c r="AK277" s="139">
        <f t="shared" si="106"/>
        <v>19590.906592672956</v>
      </c>
      <c r="AL277" s="139">
        <f t="shared" si="106"/>
        <v>19597.963011094904</v>
      </c>
      <c r="AM277" s="139">
        <f t="shared" si="106"/>
        <v>19601.729684808801</v>
      </c>
      <c r="AN277" s="139">
        <f t="shared" si="106"/>
        <v>19602.103275672118</v>
      </c>
      <c r="AO277" s="139">
        <f t="shared" si="106"/>
        <v>19598.97776637282</v>
      </c>
      <c r="AP277" s="139">
        <f t="shared" si="106"/>
        <v>19592.244393955589</v>
      </c>
      <c r="AQ277" s="139">
        <f t="shared" si="106"/>
        <v>5713.8957908577104</v>
      </c>
    </row>
    <row r="278" spans="3:43" x14ac:dyDescent="0.25">
      <c r="C278" t="s">
        <v>1288</v>
      </c>
      <c r="D278" t="s">
        <v>7</v>
      </c>
      <c r="E278" s="139"/>
      <c r="F278" s="139"/>
      <c r="G278" s="155"/>
      <c r="H278" s="155" t="str">
        <f t="shared" ref="H278:AQ278" si="107">IF(AND(H$9&gt;=1,H$86&lt;-0.01,$E$273&gt;0),(H$70+H276)/(-$E$273*H$86),"")</f>
        <v/>
      </c>
      <c r="I278" s="155" t="str">
        <f t="shared" si="107"/>
        <v/>
      </c>
      <c r="J278" s="155" t="str">
        <f t="shared" si="107"/>
        <v/>
      </c>
      <c r="K278" s="155" t="str">
        <f t="shared" si="107"/>
        <v/>
      </c>
      <c r="L278" s="155" t="str">
        <f t="shared" si="107"/>
        <v/>
      </c>
      <c r="M278" s="155" t="str">
        <f t="shared" si="107"/>
        <v/>
      </c>
      <c r="N278" s="155">
        <f t="shared" si="107"/>
        <v>3.0642641374343316</v>
      </c>
      <c r="O278" s="155">
        <f t="shared" si="107"/>
        <v>3.0695411439616156</v>
      </c>
      <c r="P278" s="155">
        <f t="shared" si="107"/>
        <v>3.0744105900758525</v>
      </c>
      <c r="Q278" s="155">
        <f t="shared" si="107"/>
        <v>3.0788549677684762</v>
      </c>
      <c r="R278" s="155">
        <f t="shared" si="107"/>
        <v>3.0828560907933391</v>
      </c>
      <c r="S278" s="155">
        <f t="shared" si="107"/>
        <v>3.0863950664387287</v>
      </c>
      <c r="T278" s="155">
        <f t="shared" si="107"/>
        <v>3.0894522660322963</v>
      </c>
      <c r="U278" s="155">
        <f t="shared" si="107"/>
        <v>3.0920072941191648</v>
      </c>
      <c r="V278" s="155">
        <f t="shared" si="107"/>
        <v>3.0940389562504373</v>
      </c>
      <c r="W278" s="155">
        <f t="shared" si="107"/>
        <v>3.0955252253164582</v>
      </c>
      <c r="X278" s="155">
        <f t="shared" si="107"/>
        <v>3.0964432063558132</v>
      </c>
      <c r="Y278" s="155">
        <f t="shared" si="107"/>
        <v>3.0967690997678181</v>
      </c>
      <c r="Z278" s="155">
        <f t="shared" si="107"/>
        <v>3.0964781628526739</v>
      </c>
      <c r="AA278" s="155">
        <f t="shared" si="107"/>
        <v>3.0955446695997861</v>
      </c>
      <c r="AB278" s="155">
        <f t="shared" si="107"/>
        <v>3.0939418686408833</v>
      </c>
      <c r="AC278" s="155" t="str">
        <f t="shared" si="107"/>
        <v/>
      </c>
      <c r="AD278" s="155" t="str">
        <f t="shared" si="107"/>
        <v/>
      </c>
      <c r="AE278" s="155" t="str">
        <f t="shared" si="107"/>
        <v/>
      </c>
      <c r="AF278" s="155" t="str">
        <f t="shared" si="107"/>
        <v/>
      </c>
      <c r="AG278" s="155" t="str">
        <f t="shared" si="107"/>
        <v/>
      </c>
      <c r="AH278" s="155" t="str">
        <f t="shared" si="107"/>
        <v/>
      </c>
      <c r="AI278" s="155" t="str">
        <f t="shared" si="107"/>
        <v/>
      </c>
      <c r="AJ278" s="155" t="str">
        <f t="shared" si="107"/>
        <v/>
      </c>
      <c r="AK278" s="155" t="str">
        <f t="shared" si="107"/>
        <v/>
      </c>
      <c r="AL278" s="155" t="str">
        <f t="shared" si="107"/>
        <v/>
      </c>
      <c r="AM278" s="155" t="str">
        <f t="shared" si="107"/>
        <v/>
      </c>
      <c r="AN278" s="155" t="str">
        <f t="shared" si="107"/>
        <v/>
      </c>
      <c r="AO278" s="155" t="str">
        <f t="shared" si="107"/>
        <v/>
      </c>
      <c r="AP278" s="155" t="str">
        <f t="shared" si="107"/>
        <v/>
      </c>
      <c r="AQ278" s="155" t="str">
        <f t="shared" si="107"/>
        <v/>
      </c>
    </row>
    <row r="280" spans="3:43" x14ac:dyDescent="0.25">
      <c r="C280" s="129" t="str">
        <f>"15."&amp;4&amp;" Gearing scenario 4 – "&amp;TEXT(D251,"0%")&amp;" (debt scale factor vs live case in E)"</f>
        <v>15.4 Gearing scenario 4 – 50% (debt scale factor vs live case in E)</v>
      </c>
      <c r="D280" s="129" t="s">
        <v>7</v>
      </c>
      <c r="E280" s="270">
        <f>IF(Inputs!$E$219=0,0,D251/Inputs!$E$219)</f>
        <v>1</v>
      </c>
      <c r="F280" s="270"/>
      <c r="G280" s="270"/>
      <c r="H280" s="270"/>
      <c r="I280" s="270"/>
      <c r="J280" s="270"/>
      <c r="K280" s="270"/>
      <c r="L280" s="270"/>
      <c r="M280" s="270"/>
      <c r="N280" s="270"/>
      <c r="O280" s="270"/>
      <c r="P280" s="270"/>
      <c r="Q280" s="270"/>
      <c r="R280" s="270"/>
      <c r="S280" s="270"/>
      <c r="T280" s="270"/>
      <c r="U280" s="270"/>
      <c r="V280" s="270"/>
      <c r="W280" s="270"/>
      <c r="X280" s="270"/>
      <c r="Y280" s="270"/>
      <c r="Z280" s="270"/>
      <c r="AA280" s="270"/>
      <c r="AB280" s="270"/>
      <c r="AC280" s="270"/>
      <c r="AD280" s="270"/>
      <c r="AE280" s="270"/>
      <c r="AF280" s="270"/>
      <c r="AG280" s="270"/>
      <c r="AH280" s="270"/>
      <c r="AI280" s="270"/>
      <c r="AJ280" s="270"/>
      <c r="AK280" s="270"/>
      <c r="AL280" s="270"/>
      <c r="AM280" s="270"/>
      <c r="AN280" s="270"/>
      <c r="AO280" s="270"/>
      <c r="AP280" s="270"/>
      <c r="AQ280" s="270"/>
    </row>
    <row r="281" spans="3:43" x14ac:dyDescent="0.25">
      <c r="C281" t="s">
        <v>1396</v>
      </c>
      <c r="D281" t="s">
        <v>125</v>
      </c>
      <c r="E281" s="139"/>
      <c r="F281" s="139"/>
      <c r="G281" s="139"/>
      <c r="H281" s="139">
        <f t="shared" ref="H281:AQ281" si="108">H$70+H$16-(-$G$30+$E$280*$G$79+$E$258)/$E$92*H$90-$E$280*H$81+$E$280*H$85</f>
        <v>-88.621621621621628</v>
      </c>
      <c r="I281" s="139">
        <f t="shared" si="108"/>
        <v>-428.16554054054052</v>
      </c>
      <c r="J281" s="139">
        <f t="shared" si="108"/>
        <v>-876.86552844252708</v>
      </c>
      <c r="K281" s="139">
        <f t="shared" si="108"/>
        <v>-2124.2692491791408</v>
      </c>
      <c r="L281" s="139">
        <f t="shared" si="108"/>
        <v>-782.21875909087794</v>
      </c>
      <c r="M281" s="139">
        <f t="shared" si="108"/>
        <v>8285.4479974295828</v>
      </c>
      <c r="N281" s="139">
        <f t="shared" si="108"/>
        <v>9158.9006288466553</v>
      </c>
      <c r="O281" s="139">
        <f t="shared" si="108"/>
        <v>9430.169576315915</v>
      </c>
      <c r="P281" s="139">
        <f t="shared" si="108"/>
        <v>9709.7133553481854</v>
      </c>
      <c r="Q281" s="139">
        <f t="shared" si="108"/>
        <v>9997.9683142367012</v>
      </c>
      <c r="R281" s="139">
        <f t="shared" si="108"/>
        <v>10295.394171715694</v>
      </c>
      <c r="S281" s="139">
        <f t="shared" si="108"/>
        <v>10602.475230253722</v>
      </c>
      <c r="T281" s="139">
        <f t="shared" si="108"/>
        <v>10919.721651148451</v>
      </c>
      <c r="U281" s="139">
        <f t="shared" si="108"/>
        <v>11247.670794541373</v>
      </c>
      <c r="V281" s="139">
        <f t="shared" si="108"/>
        <v>11586.888627626588</v>
      </c>
      <c r="W281" s="139">
        <f t="shared" si="108"/>
        <v>11937.971204493524</v>
      </c>
      <c r="X281" s="139">
        <f t="shared" si="108"/>
        <v>12301.546221214801</v>
      </c>
      <c r="Y281" s="139">
        <f t="shared" si="108"/>
        <v>12678.274649972745</v>
      </c>
      <c r="Z281" s="139">
        <f t="shared" si="108"/>
        <v>13068.852456207942</v>
      </c>
      <c r="AA281" s="139">
        <f t="shared" si="108"/>
        <v>13474.012402973463</v>
      </c>
      <c r="AB281" s="139">
        <f t="shared" si="108"/>
        <v>13894.525946888236</v>
      </c>
      <c r="AC281" s="139">
        <f t="shared" si="108"/>
        <v>14331.205230303472</v>
      </c>
      <c r="AD281" s="139">
        <f t="shared" si="108"/>
        <v>14366.446400429464</v>
      </c>
      <c r="AE281" s="139">
        <f t="shared" si="108"/>
        <v>14398.685192297773</v>
      </c>
      <c r="AF281" s="139">
        <f t="shared" si="108"/>
        <v>14427.822647804587</v>
      </c>
      <c r="AG281" s="139">
        <f t="shared" si="108"/>
        <v>18716.149229239993</v>
      </c>
      <c r="AH281" s="139">
        <f t="shared" si="108"/>
        <v>23001.168723142255</v>
      </c>
      <c r="AI281" s="139">
        <f t="shared" si="108"/>
        <v>23020.382195473136</v>
      </c>
      <c r="AJ281" s="139">
        <f t="shared" si="108"/>
        <v>23036.071945171767</v>
      </c>
      <c r="AK281" s="139">
        <f t="shared" si="108"/>
        <v>23048.125403144655</v>
      </c>
      <c r="AL281" s="139">
        <f t="shared" si="108"/>
        <v>23056.427071876358</v>
      </c>
      <c r="AM281" s="139">
        <f t="shared" si="108"/>
        <v>23060.858452716238</v>
      </c>
      <c r="AN281" s="139">
        <f t="shared" si="108"/>
        <v>23061.297971378961</v>
      </c>
      <c r="AO281" s="139">
        <f t="shared" si="108"/>
        <v>23057.620901615082</v>
      </c>
      <c r="AP281" s="139">
        <f t="shared" si="108"/>
        <v>23049.699287006573</v>
      </c>
      <c r="AQ281" s="139">
        <f t="shared" si="108"/>
        <v>11518.700930420835</v>
      </c>
    </row>
    <row r="282" spans="3:43" x14ac:dyDescent="0.25">
      <c r="C282" t="s">
        <v>1269</v>
      </c>
      <c r="D282" t="s">
        <v>125</v>
      </c>
      <c r="E282" s="139"/>
      <c r="F282" s="139"/>
      <c r="G282" s="139">
        <v>0</v>
      </c>
      <c r="H282" s="139">
        <f t="shared" ref="H282:AQ282" si="109">G282+MAX(-H281,0)-MIN(G282,MAX(H281,0)*$E$95)</f>
        <v>88.621621621621628</v>
      </c>
      <c r="I282" s="139">
        <f t="shared" si="109"/>
        <v>516.78716216216219</v>
      </c>
      <c r="J282" s="139">
        <f t="shared" si="109"/>
        <v>1393.6526906046893</v>
      </c>
      <c r="K282" s="139">
        <f t="shared" si="109"/>
        <v>3517.9219397838301</v>
      </c>
      <c r="L282" s="139">
        <f t="shared" si="109"/>
        <v>4300.1406988747076</v>
      </c>
      <c r="M282" s="139">
        <f t="shared" si="109"/>
        <v>157.41670015991622</v>
      </c>
      <c r="N282" s="139">
        <f t="shared" si="109"/>
        <v>0</v>
      </c>
      <c r="O282" s="139">
        <f t="shared" si="109"/>
        <v>0</v>
      </c>
      <c r="P282" s="139">
        <f t="shared" si="109"/>
        <v>0</v>
      </c>
      <c r="Q282" s="139">
        <f t="shared" si="109"/>
        <v>0</v>
      </c>
      <c r="R282" s="139">
        <f t="shared" si="109"/>
        <v>0</v>
      </c>
      <c r="S282" s="139">
        <f t="shared" si="109"/>
        <v>0</v>
      </c>
      <c r="T282" s="139">
        <f t="shared" si="109"/>
        <v>0</v>
      </c>
      <c r="U282" s="139">
        <f t="shared" si="109"/>
        <v>0</v>
      </c>
      <c r="V282" s="139">
        <f t="shared" si="109"/>
        <v>0</v>
      </c>
      <c r="W282" s="139">
        <f t="shared" si="109"/>
        <v>0</v>
      </c>
      <c r="X282" s="139">
        <f t="shared" si="109"/>
        <v>0</v>
      </c>
      <c r="Y282" s="139">
        <f t="shared" si="109"/>
        <v>0</v>
      </c>
      <c r="Z282" s="139">
        <f t="shared" si="109"/>
        <v>0</v>
      </c>
      <c r="AA282" s="139">
        <f t="shared" si="109"/>
        <v>0</v>
      </c>
      <c r="AB282" s="139">
        <f t="shared" si="109"/>
        <v>0</v>
      </c>
      <c r="AC282" s="139">
        <f t="shared" si="109"/>
        <v>0</v>
      </c>
      <c r="AD282" s="139">
        <f t="shared" si="109"/>
        <v>0</v>
      </c>
      <c r="AE282" s="139">
        <f t="shared" si="109"/>
        <v>0</v>
      </c>
      <c r="AF282" s="139">
        <f t="shared" si="109"/>
        <v>0</v>
      </c>
      <c r="AG282" s="139">
        <f t="shared" si="109"/>
        <v>0</v>
      </c>
      <c r="AH282" s="139">
        <f t="shared" si="109"/>
        <v>0</v>
      </c>
      <c r="AI282" s="139">
        <f t="shared" si="109"/>
        <v>0</v>
      </c>
      <c r="AJ282" s="139">
        <f t="shared" si="109"/>
        <v>0</v>
      </c>
      <c r="AK282" s="139">
        <f t="shared" si="109"/>
        <v>0</v>
      </c>
      <c r="AL282" s="139">
        <f t="shared" si="109"/>
        <v>0</v>
      </c>
      <c r="AM282" s="139">
        <f t="shared" si="109"/>
        <v>0</v>
      </c>
      <c r="AN282" s="139">
        <f t="shared" si="109"/>
        <v>0</v>
      </c>
      <c r="AO282" s="139">
        <f t="shared" si="109"/>
        <v>0</v>
      </c>
      <c r="AP282" s="139">
        <f t="shared" si="109"/>
        <v>0</v>
      </c>
      <c r="AQ282" s="139">
        <f t="shared" si="109"/>
        <v>0</v>
      </c>
    </row>
    <row r="283" spans="3:43" x14ac:dyDescent="0.25">
      <c r="C283" t="s">
        <v>1397</v>
      </c>
      <c r="D283" t="s">
        <v>125</v>
      </c>
      <c r="E283" s="139"/>
      <c r="F283" s="139"/>
      <c r="G283" s="139"/>
      <c r="H283" s="139">
        <f t="shared" ref="H283:AQ283" si="110">-(MAX(H281,0)-MIN(G282,MAX(H281,0)*$E$95))*$E$91-MAX(H281,0)*$E$99</f>
        <v>0</v>
      </c>
      <c r="I283" s="139">
        <f t="shared" si="110"/>
        <v>0</v>
      </c>
      <c r="J283" s="139">
        <f t="shared" si="110"/>
        <v>0</v>
      </c>
      <c r="K283" s="139">
        <f t="shared" si="110"/>
        <v>0</v>
      </c>
      <c r="L283" s="139">
        <f t="shared" si="110"/>
        <v>0</v>
      </c>
      <c r="M283" s="139">
        <f t="shared" si="110"/>
        <v>-621.40859980721871</v>
      </c>
      <c r="N283" s="139">
        <f t="shared" si="110"/>
        <v>-1350.2225893030109</v>
      </c>
      <c r="O283" s="139">
        <f t="shared" si="110"/>
        <v>-1414.5254364473872</v>
      </c>
      <c r="P283" s="139">
        <f t="shared" si="110"/>
        <v>-1456.4570033022278</v>
      </c>
      <c r="Q283" s="139">
        <f t="shared" si="110"/>
        <v>-1499.695247135505</v>
      </c>
      <c r="R283" s="139">
        <f t="shared" si="110"/>
        <v>-1544.309125757354</v>
      </c>
      <c r="S283" s="139">
        <f t="shared" si="110"/>
        <v>-1590.3712845380583</v>
      </c>
      <c r="T283" s="139">
        <f t="shared" si="110"/>
        <v>-1637.9582476722676</v>
      </c>
      <c r="U283" s="139">
        <f t="shared" si="110"/>
        <v>-1687.1506191812059</v>
      </c>
      <c r="V283" s="139">
        <f t="shared" si="110"/>
        <v>-1738.0332941439881</v>
      </c>
      <c r="W283" s="139">
        <f t="shared" si="110"/>
        <v>-1790.6956806740286</v>
      </c>
      <c r="X283" s="139">
        <f t="shared" si="110"/>
        <v>-1845.23193318222</v>
      </c>
      <c r="Y283" s="139">
        <f t="shared" si="110"/>
        <v>-1901.7411974959118</v>
      </c>
      <c r="Z283" s="139">
        <f t="shared" si="110"/>
        <v>-1960.3278684311913</v>
      </c>
      <c r="AA283" s="139">
        <f t="shared" si="110"/>
        <v>-2021.1018604460194</v>
      </c>
      <c r="AB283" s="139">
        <f t="shared" si="110"/>
        <v>-2084.1788920332351</v>
      </c>
      <c r="AC283" s="139">
        <f t="shared" si="110"/>
        <v>-2149.680784545521</v>
      </c>
      <c r="AD283" s="139">
        <f t="shared" si="110"/>
        <v>-2154.9669600644197</v>
      </c>
      <c r="AE283" s="139">
        <f t="shared" si="110"/>
        <v>-2159.8027788446657</v>
      </c>
      <c r="AF283" s="139">
        <f t="shared" si="110"/>
        <v>-2164.1733971706881</v>
      </c>
      <c r="AG283" s="139">
        <f t="shared" si="110"/>
        <v>-2807.4223843859986</v>
      </c>
      <c r="AH283" s="139">
        <f t="shared" si="110"/>
        <v>-3450.1753084713382</v>
      </c>
      <c r="AI283" s="139">
        <f t="shared" si="110"/>
        <v>-3453.0573293209704</v>
      </c>
      <c r="AJ283" s="139">
        <f t="shared" si="110"/>
        <v>-3455.4107917757651</v>
      </c>
      <c r="AK283" s="139">
        <f t="shared" si="110"/>
        <v>-3457.2188104716984</v>
      </c>
      <c r="AL283" s="139">
        <f t="shared" si="110"/>
        <v>-3458.4640607814536</v>
      </c>
      <c r="AM283" s="139">
        <f t="shared" si="110"/>
        <v>-3459.1287679074358</v>
      </c>
      <c r="AN283" s="139">
        <f t="shared" si="110"/>
        <v>-3459.194695706844</v>
      </c>
      <c r="AO283" s="139">
        <f t="shared" si="110"/>
        <v>-3458.6431352422624</v>
      </c>
      <c r="AP283" s="139">
        <f t="shared" si="110"/>
        <v>-3457.4548930509859</v>
      </c>
      <c r="AQ283" s="139">
        <f t="shared" si="110"/>
        <v>-1727.8051395631253</v>
      </c>
    </row>
    <row r="284" spans="3:43" x14ac:dyDescent="0.25">
      <c r="C284" t="s">
        <v>1291</v>
      </c>
      <c r="D284" t="s">
        <v>125</v>
      </c>
      <c r="E284" s="139"/>
      <c r="F284" s="139"/>
      <c r="G284" s="139"/>
      <c r="H284" s="139">
        <f t="shared" ref="H284:AQ284" si="111">(H$109+$E$280*(H$77+H$85-H$80+H$86-H$87+H$89)+H283)*$E$128</f>
        <v>-1570.6176490188818</v>
      </c>
      <c r="I284" s="139">
        <f t="shared" si="111"/>
        <v>-778.73814328026663</v>
      </c>
      <c r="J284" s="139">
        <f t="shared" si="111"/>
        <v>-1227.4381311822531</v>
      </c>
      <c r="K284" s="139">
        <f t="shared" si="111"/>
        <v>-40552.739226290025</v>
      </c>
      <c r="L284" s="139">
        <f t="shared" si="111"/>
        <v>-30088.091788542944</v>
      </c>
      <c r="M284" s="139">
        <f t="shared" si="111"/>
        <v>-7606.070011881442</v>
      </c>
      <c r="N284" s="139">
        <f t="shared" si="111"/>
        <v>12307.745556956044</v>
      </c>
      <c r="O284" s="139">
        <f t="shared" si="111"/>
        <v>12313.425832093484</v>
      </c>
      <c r="P284" s="139">
        <f t="shared" si="111"/>
        <v>12339.687927824098</v>
      </c>
      <c r="Q284" s="139">
        <f t="shared" si="111"/>
        <v>12362.78702061018</v>
      </c>
      <c r="R284" s="139">
        <f t="shared" si="111"/>
        <v>12382.585496084708</v>
      </c>
      <c r="S284" s="139">
        <f t="shared" si="111"/>
        <v>12398.940217290286</v>
      </c>
      <c r="T284" s="139">
        <f t="shared" si="111"/>
        <v>12411.702287571474</v>
      </c>
      <c r="U284" s="139">
        <f t="shared" si="111"/>
        <v>12420.716802602157</v>
      </c>
      <c r="V284" s="139">
        <f t="shared" si="111"/>
        <v>12425.822591028626</v>
      </c>
      <c r="W284" s="139">
        <f t="shared" si="111"/>
        <v>12426.85194318476</v>
      </c>
      <c r="X284" s="139">
        <f t="shared" si="111"/>
        <v>12423.630327308045</v>
      </c>
      <c r="Y284" s="139">
        <f t="shared" si="111"/>
        <v>12415.976092658006</v>
      </c>
      <c r="Z284" s="139">
        <f t="shared" si="111"/>
        <v>12403.700158908918</v>
      </c>
      <c r="AA284" s="139">
        <f t="shared" si="111"/>
        <v>12386.605691158156</v>
      </c>
      <c r="AB284" s="139">
        <f t="shared" si="111"/>
        <v>12364.487759859185</v>
      </c>
      <c r="AC284" s="139">
        <f t="shared" si="111"/>
        <v>20706.308466919229</v>
      </c>
      <c r="AD284" s="139">
        <f t="shared" si="111"/>
        <v>20736.263461526323</v>
      </c>
      <c r="AE284" s="139">
        <f t="shared" si="111"/>
        <v>20763.666434614384</v>
      </c>
      <c r="AF284" s="139">
        <f t="shared" si="111"/>
        <v>20788.433271795177</v>
      </c>
      <c r="AG284" s="139">
        <f t="shared" si="111"/>
        <v>20171.118855434634</v>
      </c>
      <c r="AH284" s="139">
        <f t="shared" si="111"/>
        <v>19550.993414670917</v>
      </c>
      <c r="AI284" s="139">
        <f t="shared" si="111"/>
        <v>19567.324866152165</v>
      </c>
      <c r="AJ284" s="139">
        <f t="shared" si="111"/>
        <v>19580.661153396002</v>
      </c>
      <c r="AK284" s="139">
        <f t="shared" si="111"/>
        <v>19590.906592672956</v>
      </c>
      <c r="AL284" s="139">
        <f t="shared" si="111"/>
        <v>19597.963011094904</v>
      </c>
      <c r="AM284" s="139">
        <f t="shared" si="111"/>
        <v>19601.729684808801</v>
      </c>
      <c r="AN284" s="139">
        <f t="shared" si="111"/>
        <v>19602.103275672118</v>
      </c>
      <c r="AO284" s="139">
        <f t="shared" si="111"/>
        <v>19598.97776637282</v>
      </c>
      <c r="AP284" s="139">
        <f t="shared" si="111"/>
        <v>19592.244393955589</v>
      </c>
      <c r="AQ284" s="139">
        <f t="shared" si="111"/>
        <v>5713.8957908577104</v>
      </c>
    </row>
    <row r="285" spans="3:43" x14ac:dyDescent="0.25">
      <c r="C285" t="s">
        <v>1288</v>
      </c>
      <c r="D285" t="s">
        <v>7</v>
      </c>
      <c r="E285" s="139"/>
      <c r="F285" s="139"/>
      <c r="G285" s="155"/>
      <c r="H285" s="155" t="str">
        <f t="shared" ref="H285:AQ285" si="112">IF(AND(H$9&gt;=1,H$86&lt;-0.01,$E$280&gt;0),(H$70+H283)/(-$E$280*H$86),"")</f>
        <v/>
      </c>
      <c r="I285" s="155" t="str">
        <f t="shared" si="112"/>
        <v/>
      </c>
      <c r="J285" s="155" t="str">
        <f t="shared" si="112"/>
        <v/>
      </c>
      <c r="K285" s="155" t="str">
        <f t="shared" si="112"/>
        <v/>
      </c>
      <c r="L285" s="155" t="str">
        <f t="shared" si="112"/>
        <v/>
      </c>
      <c r="M285" s="155" t="str">
        <f t="shared" si="112"/>
        <v/>
      </c>
      <c r="N285" s="155">
        <f t="shared" si="112"/>
        <v>2.4706043126325246</v>
      </c>
      <c r="O285" s="155">
        <f t="shared" si="112"/>
        <v>2.471283026461585</v>
      </c>
      <c r="P285" s="155">
        <f t="shared" si="112"/>
        <v>2.4744209814234814</v>
      </c>
      <c r="Q285" s="155">
        <f t="shared" si="112"/>
        <v>2.4771810015516125</v>
      </c>
      <c r="R285" s="155">
        <f t="shared" si="112"/>
        <v>2.4795466438442362</v>
      </c>
      <c r="S285" s="155">
        <f t="shared" si="112"/>
        <v>2.4815008054269181</v>
      </c>
      <c r="T285" s="155">
        <f t="shared" si="112"/>
        <v>2.4830256952214609</v>
      </c>
      <c r="U285" s="155">
        <f t="shared" si="112"/>
        <v>2.4841028043166289</v>
      </c>
      <c r="V285" s="155">
        <f t="shared" si="112"/>
        <v>2.4847128749786043</v>
      </c>
      <c r="W285" s="155">
        <f t="shared" si="112"/>
        <v>2.4848358682362264</v>
      </c>
      <c r="X285" s="155">
        <f t="shared" si="112"/>
        <v>2.4844509299727542</v>
      </c>
      <c r="Y285" s="155">
        <f t="shared" si="112"/>
        <v>2.4835363554526562</v>
      </c>
      <c r="Z285" s="155">
        <f t="shared" si="112"/>
        <v>2.4820695522083529</v>
      </c>
      <c r="AA285" s="155">
        <f t="shared" si="112"/>
        <v>2.4800270012082457</v>
      </c>
      <c r="AB285" s="155">
        <f t="shared" si="112"/>
        <v>2.4773842162234359</v>
      </c>
      <c r="AC285" s="155" t="str">
        <f t="shared" si="112"/>
        <v/>
      </c>
      <c r="AD285" s="155" t="str">
        <f t="shared" si="112"/>
        <v/>
      </c>
      <c r="AE285" s="155" t="str">
        <f t="shared" si="112"/>
        <v/>
      </c>
      <c r="AF285" s="155" t="str">
        <f t="shared" si="112"/>
        <v/>
      </c>
      <c r="AG285" s="155" t="str">
        <f t="shared" si="112"/>
        <v/>
      </c>
      <c r="AH285" s="155" t="str">
        <f t="shared" si="112"/>
        <v/>
      </c>
      <c r="AI285" s="155" t="str">
        <f t="shared" si="112"/>
        <v/>
      </c>
      <c r="AJ285" s="155" t="str">
        <f t="shared" si="112"/>
        <v/>
      </c>
      <c r="AK285" s="155" t="str">
        <f t="shared" si="112"/>
        <v/>
      </c>
      <c r="AL285" s="155" t="str">
        <f t="shared" si="112"/>
        <v/>
      </c>
      <c r="AM285" s="155" t="str">
        <f t="shared" si="112"/>
        <v/>
      </c>
      <c r="AN285" s="155" t="str">
        <f t="shared" si="112"/>
        <v/>
      </c>
      <c r="AO285" s="155" t="str">
        <f t="shared" si="112"/>
        <v/>
      </c>
      <c r="AP285" s="155" t="str">
        <f t="shared" si="112"/>
        <v/>
      </c>
      <c r="AQ285" s="155" t="str">
        <f t="shared" si="112"/>
        <v/>
      </c>
    </row>
    <row r="287" spans="3:43" x14ac:dyDescent="0.25">
      <c r="C287" s="129" t="str">
        <f>"15."&amp;5&amp;" Gearing scenario 5 – "&amp;TEXT(D252,"0%")&amp;" (debt scale factor vs live case in E)"</f>
        <v>15.5 Gearing scenario 5 – 55% (debt scale factor vs live case in E)</v>
      </c>
      <c r="D287" s="129" t="s">
        <v>7</v>
      </c>
      <c r="E287" s="270">
        <f>IF(Inputs!$E$219=0,0,D252/Inputs!$E$219)</f>
        <v>1.1000000000000001</v>
      </c>
      <c r="F287" s="270"/>
      <c r="G287" s="270"/>
      <c r="H287" s="270"/>
      <c r="I287" s="270"/>
      <c r="J287" s="270"/>
      <c r="K287" s="270"/>
      <c r="L287" s="270"/>
      <c r="M287" s="270"/>
      <c r="N287" s="270"/>
      <c r="O287" s="270"/>
      <c r="P287" s="270"/>
      <c r="Q287" s="270"/>
      <c r="R287" s="270"/>
      <c r="S287" s="270"/>
      <c r="T287" s="270"/>
      <c r="U287" s="270"/>
      <c r="V287" s="270"/>
      <c r="W287" s="270"/>
      <c r="X287" s="270"/>
      <c r="Y287" s="270"/>
      <c r="Z287" s="270"/>
      <c r="AA287" s="270"/>
      <c r="AB287" s="270"/>
      <c r="AC287" s="270"/>
      <c r="AD287" s="270"/>
      <c r="AE287" s="270"/>
      <c r="AF287" s="270"/>
      <c r="AG287" s="270"/>
      <c r="AH287" s="270"/>
      <c r="AI287" s="270"/>
      <c r="AJ287" s="270"/>
      <c r="AK287" s="270"/>
      <c r="AL287" s="270"/>
      <c r="AM287" s="270"/>
      <c r="AN287" s="270"/>
      <c r="AO287" s="270"/>
      <c r="AP287" s="270"/>
      <c r="AQ287" s="270"/>
    </row>
    <row r="288" spans="3:43" x14ac:dyDescent="0.25">
      <c r="C288" t="s">
        <v>1396</v>
      </c>
      <c r="D288" t="s">
        <v>125</v>
      </c>
      <c r="E288" s="139"/>
      <c r="F288" s="139"/>
      <c r="G288" s="139"/>
      <c r="H288" s="139">
        <f t="shared" ref="H288:AQ288" si="113">H$70+H$16-(-$G$30+$E$287*$G$79+$E$258)/$E$92*H$90-$E$287*H$81+$E$287*H$85</f>
        <v>-88.621621621621628</v>
      </c>
      <c r="I288" s="139">
        <f t="shared" si="113"/>
        <v>-428.16554054054052</v>
      </c>
      <c r="J288" s="139">
        <f t="shared" si="113"/>
        <v>-876.86552844252708</v>
      </c>
      <c r="K288" s="139">
        <f t="shared" si="113"/>
        <v>-2301.1288255067057</v>
      </c>
      <c r="L288" s="139">
        <f t="shared" si="113"/>
        <v>-818.6762447560634</v>
      </c>
      <c r="M288" s="139">
        <f t="shared" si="113"/>
        <v>8053.693781310888</v>
      </c>
      <c r="N288" s="139">
        <f t="shared" si="113"/>
        <v>8702.1769539363158</v>
      </c>
      <c r="O288" s="139">
        <f t="shared" si="113"/>
        <v>8993.5744839243234</v>
      </c>
      <c r="P288" s="139">
        <f t="shared" si="113"/>
        <v>9294.253274601273</v>
      </c>
      <c r="Q288" s="139">
        <f t="shared" si="113"/>
        <v>9604.6999957167063</v>
      </c>
      <c r="R288" s="139">
        <f t="shared" si="113"/>
        <v>9925.42720353396</v>
      </c>
      <c r="S288" s="139">
        <f t="shared" si="113"/>
        <v>10256.974679927162</v>
      </c>
      <c r="T288" s="139">
        <f t="shared" si="113"/>
        <v>10599.910839569824</v>
      </c>
      <c r="U288" s="139">
        <f t="shared" si="113"/>
        <v>10954.834208648075</v>
      </c>
      <c r="V288" s="139">
        <f t="shared" si="113"/>
        <v>11322.374978702886</v>
      </c>
      <c r="W288" s="139">
        <f t="shared" si="113"/>
        <v>11703.196639387901</v>
      </c>
      <c r="X288" s="139">
        <f t="shared" si="113"/>
        <v>12097.997694118158</v>
      </c>
      <c r="Y288" s="139">
        <f t="shared" si="113"/>
        <v>12507.51346278553</v>
      </c>
      <c r="Z288" s="139">
        <f t="shared" si="113"/>
        <v>12932.517975925628</v>
      </c>
      <c r="AA288" s="139">
        <f t="shared" si="113"/>
        <v>13373.825964941294</v>
      </c>
      <c r="AB288" s="139">
        <f t="shared" si="113"/>
        <v>13832.294953218719</v>
      </c>
      <c r="AC288" s="139">
        <f t="shared" si="113"/>
        <v>14308.827453214742</v>
      </c>
      <c r="AD288" s="139">
        <f t="shared" si="113"/>
        <v>14344.068623340734</v>
      </c>
      <c r="AE288" s="139">
        <f t="shared" si="113"/>
        <v>14376.307415209043</v>
      </c>
      <c r="AF288" s="139">
        <f t="shared" si="113"/>
        <v>14405.444870715857</v>
      </c>
      <c r="AG288" s="139">
        <f t="shared" si="113"/>
        <v>18704.96034069563</v>
      </c>
      <c r="AH288" s="139">
        <f t="shared" si="113"/>
        <v>23001.168723142255</v>
      </c>
      <c r="AI288" s="139">
        <f t="shared" si="113"/>
        <v>23020.382195473136</v>
      </c>
      <c r="AJ288" s="139">
        <f t="shared" si="113"/>
        <v>23036.071945171767</v>
      </c>
      <c r="AK288" s="139">
        <f t="shared" si="113"/>
        <v>23048.125403144655</v>
      </c>
      <c r="AL288" s="139">
        <f t="shared" si="113"/>
        <v>23056.427071876358</v>
      </c>
      <c r="AM288" s="139">
        <f t="shared" si="113"/>
        <v>23060.858452716238</v>
      </c>
      <c r="AN288" s="139">
        <f t="shared" si="113"/>
        <v>23061.297971378961</v>
      </c>
      <c r="AO288" s="139">
        <f t="shared" si="113"/>
        <v>23057.620901615082</v>
      </c>
      <c r="AP288" s="139">
        <f t="shared" si="113"/>
        <v>23049.699287006573</v>
      </c>
      <c r="AQ288" s="139">
        <f t="shared" si="113"/>
        <v>11518.700930420835</v>
      </c>
    </row>
    <row r="289" spans="3:43" x14ac:dyDescent="0.25">
      <c r="C289" t="s">
        <v>1269</v>
      </c>
      <c r="D289" t="s">
        <v>125</v>
      </c>
      <c r="E289" s="139"/>
      <c r="F289" s="139"/>
      <c r="G289" s="139">
        <v>0</v>
      </c>
      <c r="H289" s="139">
        <f t="shared" ref="H289:AQ289" si="114">G289+MAX(-H288,0)-MIN(G289,MAX(H288,0)*$E$95)</f>
        <v>88.621621621621628</v>
      </c>
      <c r="I289" s="139">
        <f t="shared" si="114"/>
        <v>516.78716216216219</v>
      </c>
      <c r="J289" s="139">
        <f t="shared" si="114"/>
        <v>1393.6526906046893</v>
      </c>
      <c r="K289" s="139">
        <f t="shared" si="114"/>
        <v>3694.7815161113949</v>
      </c>
      <c r="L289" s="139">
        <f t="shared" si="114"/>
        <v>4513.4577608674581</v>
      </c>
      <c r="M289" s="139">
        <f t="shared" si="114"/>
        <v>486.61087021201411</v>
      </c>
      <c r="N289" s="139">
        <f t="shared" si="114"/>
        <v>0</v>
      </c>
      <c r="O289" s="139">
        <f t="shared" si="114"/>
        <v>0</v>
      </c>
      <c r="P289" s="139">
        <f t="shared" si="114"/>
        <v>0</v>
      </c>
      <c r="Q289" s="139">
        <f t="shared" si="114"/>
        <v>0</v>
      </c>
      <c r="R289" s="139">
        <f t="shared" si="114"/>
        <v>0</v>
      </c>
      <c r="S289" s="139">
        <f t="shared" si="114"/>
        <v>0</v>
      </c>
      <c r="T289" s="139">
        <f t="shared" si="114"/>
        <v>0</v>
      </c>
      <c r="U289" s="139">
        <f t="shared" si="114"/>
        <v>0</v>
      </c>
      <c r="V289" s="139">
        <f t="shared" si="114"/>
        <v>0</v>
      </c>
      <c r="W289" s="139">
        <f t="shared" si="114"/>
        <v>0</v>
      </c>
      <c r="X289" s="139">
        <f t="shared" si="114"/>
        <v>0</v>
      </c>
      <c r="Y289" s="139">
        <f t="shared" si="114"/>
        <v>0</v>
      </c>
      <c r="Z289" s="139">
        <f t="shared" si="114"/>
        <v>0</v>
      </c>
      <c r="AA289" s="139">
        <f t="shared" si="114"/>
        <v>0</v>
      </c>
      <c r="AB289" s="139">
        <f t="shared" si="114"/>
        <v>0</v>
      </c>
      <c r="AC289" s="139">
        <f t="shared" si="114"/>
        <v>0</v>
      </c>
      <c r="AD289" s="139">
        <f t="shared" si="114"/>
        <v>0</v>
      </c>
      <c r="AE289" s="139">
        <f t="shared" si="114"/>
        <v>0</v>
      </c>
      <c r="AF289" s="139">
        <f t="shared" si="114"/>
        <v>0</v>
      </c>
      <c r="AG289" s="139">
        <f t="shared" si="114"/>
        <v>0</v>
      </c>
      <c r="AH289" s="139">
        <f t="shared" si="114"/>
        <v>0</v>
      </c>
      <c r="AI289" s="139">
        <f t="shared" si="114"/>
        <v>0</v>
      </c>
      <c r="AJ289" s="139">
        <f t="shared" si="114"/>
        <v>0</v>
      </c>
      <c r="AK289" s="139">
        <f t="shared" si="114"/>
        <v>0</v>
      </c>
      <c r="AL289" s="139">
        <f t="shared" si="114"/>
        <v>0</v>
      </c>
      <c r="AM289" s="139">
        <f t="shared" si="114"/>
        <v>0</v>
      </c>
      <c r="AN289" s="139">
        <f t="shared" si="114"/>
        <v>0</v>
      </c>
      <c r="AO289" s="139">
        <f t="shared" si="114"/>
        <v>0</v>
      </c>
      <c r="AP289" s="139">
        <f t="shared" si="114"/>
        <v>0</v>
      </c>
      <c r="AQ289" s="139">
        <f t="shared" si="114"/>
        <v>0</v>
      </c>
    </row>
    <row r="290" spans="3:43" x14ac:dyDescent="0.25">
      <c r="C290" t="s">
        <v>1397</v>
      </c>
      <c r="D290" t="s">
        <v>125</v>
      </c>
      <c r="E290" s="139"/>
      <c r="F290" s="139"/>
      <c r="G290" s="139"/>
      <c r="H290" s="139">
        <f t="shared" ref="H290:AQ290" si="115">-(MAX(H288,0)-MIN(G289,MAX(H288,0)*$E$95))*$E$91-MAX(H288,0)*$E$99</f>
        <v>0</v>
      </c>
      <c r="I290" s="139">
        <f t="shared" si="115"/>
        <v>0</v>
      </c>
      <c r="J290" s="139">
        <f t="shared" si="115"/>
        <v>0</v>
      </c>
      <c r="K290" s="139">
        <f t="shared" si="115"/>
        <v>0</v>
      </c>
      <c r="L290" s="139">
        <f t="shared" si="115"/>
        <v>0</v>
      </c>
      <c r="M290" s="139">
        <f t="shared" si="115"/>
        <v>-604.02703359831662</v>
      </c>
      <c r="N290" s="139">
        <f t="shared" si="115"/>
        <v>-1232.3349125586451</v>
      </c>
      <c r="O290" s="139">
        <f t="shared" si="115"/>
        <v>-1349.0361725886485</v>
      </c>
      <c r="P290" s="139">
        <f t="shared" si="115"/>
        <v>-1394.1379911901909</v>
      </c>
      <c r="Q290" s="139">
        <f t="shared" si="115"/>
        <v>-1440.7049993575058</v>
      </c>
      <c r="R290" s="139">
        <f t="shared" si="115"/>
        <v>-1488.8140805300939</v>
      </c>
      <c r="S290" s="139">
        <f t="shared" si="115"/>
        <v>-1538.5462019890742</v>
      </c>
      <c r="T290" s="139">
        <f t="shared" si="115"/>
        <v>-1589.9866259354735</v>
      </c>
      <c r="U290" s="139">
        <f t="shared" si="115"/>
        <v>-1643.2251312972112</v>
      </c>
      <c r="V290" s="139">
        <f t="shared" si="115"/>
        <v>-1698.3562468054329</v>
      </c>
      <c r="W290" s="139">
        <f t="shared" si="115"/>
        <v>-1755.4794959081851</v>
      </c>
      <c r="X290" s="139">
        <f t="shared" si="115"/>
        <v>-1814.6996541177236</v>
      </c>
      <c r="Y290" s="139">
        <f t="shared" si="115"/>
        <v>-1876.1270194178294</v>
      </c>
      <c r="Z290" s="139">
        <f t="shared" si="115"/>
        <v>-1939.877696388844</v>
      </c>
      <c r="AA290" s="139">
        <f t="shared" si="115"/>
        <v>-2006.073894741194</v>
      </c>
      <c r="AB290" s="139">
        <f t="shared" si="115"/>
        <v>-2074.8442429828078</v>
      </c>
      <c r="AC290" s="139">
        <f t="shared" si="115"/>
        <v>-2146.3241179822112</v>
      </c>
      <c r="AD290" s="139">
        <f t="shared" si="115"/>
        <v>-2151.6102935011099</v>
      </c>
      <c r="AE290" s="139">
        <f t="shared" si="115"/>
        <v>-2156.4461122813564</v>
      </c>
      <c r="AF290" s="139">
        <f t="shared" si="115"/>
        <v>-2160.8167306073783</v>
      </c>
      <c r="AG290" s="139">
        <f t="shared" si="115"/>
        <v>-2805.7440511043446</v>
      </c>
      <c r="AH290" s="139">
        <f t="shared" si="115"/>
        <v>-3450.1753084713382</v>
      </c>
      <c r="AI290" s="139">
        <f t="shared" si="115"/>
        <v>-3453.0573293209704</v>
      </c>
      <c r="AJ290" s="139">
        <f t="shared" si="115"/>
        <v>-3455.4107917757651</v>
      </c>
      <c r="AK290" s="139">
        <f t="shared" si="115"/>
        <v>-3457.2188104716984</v>
      </c>
      <c r="AL290" s="139">
        <f t="shared" si="115"/>
        <v>-3458.4640607814536</v>
      </c>
      <c r="AM290" s="139">
        <f t="shared" si="115"/>
        <v>-3459.1287679074358</v>
      </c>
      <c r="AN290" s="139">
        <f t="shared" si="115"/>
        <v>-3459.194695706844</v>
      </c>
      <c r="AO290" s="139">
        <f t="shared" si="115"/>
        <v>-3458.6431352422624</v>
      </c>
      <c r="AP290" s="139">
        <f t="shared" si="115"/>
        <v>-3457.4548930509859</v>
      </c>
      <c r="AQ290" s="139">
        <f t="shared" si="115"/>
        <v>-1727.8051395631253</v>
      </c>
    </row>
    <row r="291" spans="3:43" x14ac:dyDescent="0.25">
      <c r="C291" t="s">
        <v>1291</v>
      </c>
      <c r="D291" t="s">
        <v>125</v>
      </c>
      <c r="E291" s="139"/>
      <c r="F291" s="139"/>
      <c r="G291" s="139"/>
      <c r="H291" s="139">
        <f t="shared" ref="H291:AQ291" si="116">(H$109+$E$287*(H$77+H$85-H$80+H$86-H$87+H$89)+H290)*$E$128</f>
        <v>-1570.6176490188818</v>
      </c>
      <c r="I291" s="139">
        <f t="shared" si="116"/>
        <v>-778.73814328026663</v>
      </c>
      <c r="J291" s="139">
        <f t="shared" si="116"/>
        <v>-1227.4381311822531</v>
      </c>
      <c r="K291" s="139">
        <f t="shared" si="116"/>
        <v>-38652.82800221075</v>
      </c>
      <c r="L291" s="139">
        <f t="shared" si="116"/>
        <v>-26004.86806687936</v>
      </c>
      <c r="M291" s="139">
        <f t="shared" si="116"/>
        <v>-5766.3433663249325</v>
      </c>
      <c r="N291" s="139">
        <f t="shared" si="116"/>
        <v>11588.715685503914</v>
      </c>
      <c r="O291" s="139">
        <f t="shared" si="116"/>
        <v>11541.997547755727</v>
      </c>
      <c r="P291" s="139">
        <f t="shared" si="116"/>
        <v>11565.089391739639</v>
      </c>
      <c r="Q291" s="139">
        <f t="shared" si="116"/>
        <v>11584.859720191684</v>
      </c>
      <c r="R291" s="139">
        <f t="shared" si="116"/>
        <v>11601.162993115473</v>
      </c>
      <c r="S291" s="139">
        <f t="shared" si="116"/>
        <v>11613.847751642774</v>
      </c>
      <c r="T291" s="139">
        <f t="shared" si="116"/>
        <v>11622.756361111773</v>
      </c>
      <c r="U291" s="139">
        <f t="shared" si="116"/>
        <v>11627.724742289656</v>
      </c>
      <c r="V291" s="139">
        <f t="shared" si="116"/>
        <v>11628.582090170685</v>
      </c>
      <c r="W291" s="139">
        <f t="shared" si="116"/>
        <v>11625.150579754109</v>
      </c>
      <c r="X291" s="139">
        <f t="shared" si="116"/>
        <v>11617.245058176046</v>
      </c>
      <c r="Y291" s="139">
        <f t="shared" si="116"/>
        <v>11604.672722539593</v>
      </c>
      <c r="Z291" s="139">
        <f t="shared" si="116"/>
        <v>11587.232782754771</v>
      </c>
      <c r="AA291" s="139">
        <f t="shared" si="116"/>
        <v>11564.716108666486</v>
      </c>
      <c r="AB291" s="139">
        <f t="shared" si="116"/>
        <v>11536.904860713115</v>
      </c>
      <c r="AC291" s="139">
        <f t="shared" si="116"/>
        <v>20709.66513348254</v>
      </c>
      <c r="AD291" s="139">
        <f t="shared" si="116"/>
        <v>20739.620128089631</v>
      </c>
      <c r="AE291" s="139">
        <f t="shared" si="116"/>
        <v>20767.023101177696</v>
      </c>
      <c r="AF291" s="139">
        <f t="shared" si="116"/>
        <v>20791.789938358488</v>
      </c>
      <c r="AG291" s="139">
        <f t="shared" si="116"/>
        <v>20172.797188716286</v>
      </c>
      <c r="AH291" s="139">
        <f t="shared" si="116"/>
        <v>19550.993414670917</v>
      </c>
      <c r="AI291" s="139">
        <f t="shared" si="116"/>
        <v>19567.324866152165</v>
      </c>
      <c r="AJ291" s="139">
        <f t="shared" si="116"/>
        <v>19580.661153396002</v>
      </c>
      <c r="AK291" s="139">
        <f t="shared" si="116"/>
        <v>19590.906592672956</v>
      </c>
      <c r="AL291" s="139">
        <f t="shared" si="116"/>
        <v>19597.963011094904</v>
      </c>
      <c r="AM291" s="139">
        <f t="shared" si="116"/>
        <v>19601.729684808801</v>
      </c>
      <c r="AN291" s="139">
        <f t="shared" si="116"/>
        <v>19602.103275672118</v>
      </c>
      <c r="AO291" s="139">
        <f t="shared" si="116"/>
        <v>19598.97776637282</v>
      </c>
      <c r="AP291" s="139">
        <f t="shared" si="116"/>
        <v>19592.244393955589</v>
      </c>
      <c r="AQ291" s="139">
        <f t="shared" si="116"/>
        <v>5713.8957908577095</v>
      </c>
    </row>
    <row r="292" spans="3:43" x14ac:dyDescent="0.25">
      <c r="C292" t="s">
        <v>1288</v>
      </c>
      <c r="D292" t="s">
        <v>7</v>
      </c>
      <c r="E292" s="139"/>
      <c r="F292" s="139"/>
      <c r="G292" s="155"/>
      <c r="H292" s="155" t="str">
        <f t="shared" ref="H292:AQ292" si="117">IF(AND(H$9&gt;=1,H$86&lt;-0.01,$E$287&gt;0),(H$70+H290)/(-$E$287*H$86),"")</f>
        <v/>
      </c>
      <c r="I292" s="155" t="str">
        <f t="shared" si="117"/>
        <v/>
      </c>
      <c r="J292" s="155" t="str">
        <f t="shared" si="117"/>
        <v/>
      </c>
      <c r="K292" s="155" t="str">
        <f t="shared" si="117"/>
        <v/>
      </c>
      <c r="L292" s="155" t="str">
        <f t="shared" si="117"/>
        <v/>
      </c>
      <c r="M292" s="155" t="str">
        <f t="shared" si="117"/>
        <v/>
      </c>
      <c r="N292" s="155">
        <f t="shared" si="117"/>
        <v>2.2588093176482582</v>
      </c>
      <c r="O292" s="155">
        <f t="shared" si="117"/>
        <v>2.2537346200979376</v>
      </c>
      <c r="P292" s="155">
        <f t="shared" si="117"/>
        <v>2.2562429419135284</v>
      </c>
      <c r="Q292" s="155">
        <f t="shared" si="117"/>
        <v>2.2583904683818434</v>
      </c>
      <c r="R292" s="155">
        <f t="shared" si="117"/>
        <v>2.2601613904081987</v>
      </c>
      <c r="S292" s="155">
        <f t="shared" si="117"/>
        <v>2.2615392559680778</v>
      </c>
      <c r="T292" s="155">
        <f t="shared" si="117"/>
        <v>2.2625069421993387</v>
      </c>
      <c r="U292" s="155">
        <f t="shared" si="117"/>
        <v>2.263046626206616</v>
      </c>
      <c r="V292" s="155">
        <f t="shared" si="117"/>
        <v>2.2631397545161196</v>
      </c>
      <c r="W292" s="155">
        <f t="shared" si="117"/>
        <v>2.2627670111161415</v>
      </c>
      <c r="X292" s="155">
        <f t="shared" si="117"/>
        <v>2.2619082840152784</v>
      </c>
      <c r="Y292" s="155">
        <f t="shared" si="117"/>
        <v>2.2605426302471425</v>
      </c>
      <c r="Z292" s="155">
        <f t="shared" si="117"/>
        <v>2.2586482392467815</v>
      </c>
      <c r="AA292" s="155">
        <f t="shared" si="117"/>
        <v>2.2562023945204124</v>
      </c>
      <c r="AB292" s="155">
        <f t="shared" si="117"/>
        <v>2.2531814335261826</v>
      </c>
      <c r="AC292" s="155" t="str">
        <f t="shared" si="117"/>
        <v/>
      </c>
      <c r="AD292" s="155" t="str">
        <f t="shared" si="117"/>
        <v/>
      </c>
      <c r="AE292" s="155" t="str">
        <f t="shared" si="117"/>
        <v/>
      </c>
      <c r="AF292" s="155" t="str">
        <f t="shared" si="117"/>
        <v/>
      </c>
      <c r="AG292" s="155" t="str">
        <f t="shared" si="117"/>
        <v/>
      </c>
      <c r="AH292" s="155" t="str">
        <f t="shared" si="117"/>
        <v/>
      </c>
      <c r="AI292" s="155" t="str">
        <f t="shared" si="117"/>
        <v/>
      </c>
      <c r="AJ292" s="155" t="str">
        <f t="shared" si="117"/>
        <v/>
      </c>
      <c r="AK292" s="155" t="str">
        <f t="shared" si="117"/>
        <v/>
      </c>
      <c r="AL292" s="155" t="str">
        <f t="shared" si="117"/>
        <v/>
      </c>
      <c r="AM292" s="155" t="str">
        <f t="shared" si="117"/>
        <v/>
      </c>
      <c r="AN292" s="155" t="str">
        <f t="shared" si="117"/>
        <v/>
      </c>
      <c r="AO292" s="155" t="str">
        <f t="shared" si="117"/>
        <v/>
      </c>
      <c r="AP292" s="155" t="str">
        <f t="shared" si="117"/>
        <v/>
      </c>
      <c r="AQ292" s="155" t="str">
        <f t="shared" si="117"/>
        <v/>
      </c>
    </row>
    <row r="294" spans="3:43" x14ac:dyDescent="0.25">
      <c r="C294" s="129" t="str">
        <f>"15."&amp;6&amp;" Gearing scenario 6 – "&amp;TEXT(D253,"0%")&amp;" (debt scale factor vs live case in E)"</f>
        <v>15.6 Gearing scenario 6 – 60% (debt scale factor vs live case in E)</v>
      </c>
      <c r="D294" s="129" t="s">
        <v>7</v>
      </c>
      <c r="E294" s="270">
        <f>IF(Inputs!$E$219=0,0,D253/Inputs!$E$219)</f>
        <v>1.2</v>
      </c>
      <c r="F294" s="270"/>
      <c r="G294" s="270"/>
      <c r="H294" s="270"/>
      <c r="I294" s="270"/>
      <c r="J294" s="270"/>
      <c r="K294" s="270"/>
      <c r="L294" s="270"/>
      <c r="M294" s="270"/>
      <c r="N294" s="270"/>
      <c r="O294" s="270"/>
      <c r="P294" s="270"/>
      <c r="Q294" s="270"/>
      <c r="R294" s="270"/>
      <c r="S294" s="270"/>
      <c r="T294" s="270"/>
      <c r="U294" s="270"/>
      <c r="V294" s="270"/>
      <c r="W294" s="270"/>
      <c r="X294" s="270"/>
      <c r="Y294" s="270"/>
      <c r="Z294" s="270"/>
      <c r="AA294" s="270"/>
      <c r="AB294" s="270"/>
      <c r="AC294" s="270"/>
      <c r="AD294" s="270"/>
      <c r="AE294" s="270"/>
      <c r="AF294" s="270"/>
      <c r="AG294" s="270"/>
      <c r="AH294" s="270"/>
      <c r="AI294" s="270"/>
      <c r="AJ294" s="270"/>
      <c r="AK294" s="270"/>
      <c r="AL294" s="270"/>
      <c r="AM294" s="270"/>
      <c r="AN294" s="270"/>
      <c r="AO294" s="270"/>
      <c r="AP294" s="270"/>
      <c r="AQ294" s="270"/>
    </row>
    <row r="295" spans="3:43" x14ac:dyDescent="0.25">
      <c r="C295" t="s">
        <v>1396</v>
      </c>
      <c r="D295" t="s">
        <v>125</v>
      </c>
      <c r="E295" s="139"/>
      <c r="F295" s="139"/>
      <c r="G295" s="139"/>
      <c r="H295" s="139">
        <f t="shared" ref="H295:AQ295" si="118">H$70+H$16-(-$G$30+$E$294*$G$79+$E$258)/$E$92*H$90-$E$294*H$81+$E$294*H$85</f>
        <v>-88.621621621621628</v>
      </c>
      <c r="I295" s="139">
        <f t="shared" si="118"/>
        <v>-428.16554054054052</v>
      </c>
      <c r="J295" s="139">
        <f t="shared" si="118"/>
        <v>-876.86552844252708</v>
      </c>
      <c r="K295" s="139">
        <f t="shared" si="118"/>
        <v>-2477.98840183427</v>
      </c>
      <c r="L295" s="139">
        <f t="shared" si="118"/>
        <v>-855.13373042124863</v>
      </c>
      <c r="M295" s="139">
        <f t="shared" si="118"/>
        <v>7821.9395651921923</v>
      </c>
      <c r="N295" s="139">
        <f t="shared" si="118"/>
        <v>8245.4532790259782</v>
      </c>
      <c r="O295" s="139">
        <f t="shared" si="118"/>
        <v>8556.9793915327282</v>
      </c>
      <c r="P295" s="139">
        <f t="shared" si="118"/>
        <v>8878.7931938543625</v>
      </c>
      <c r="Q295" s="139">
        <f t="shared" si="118"/>
        <v>9211.4316771967096</v>
      </c>
      <c r="R295" s="139">
        <f t="shared" si="118"/>
        <v>9555.4602353522241</v>
      </c>
      <c r="S295" s="139">
        <f t="shared" si="118"/>
        <v>9911.4741296005996</v>
      </c>
      <c r="T295" s="139">
        <f t="shared" si="118"/>
        <v>10280.100027991197</v>
      </c>
      <c r="U295" s="139">
        <f t="shared" si="118"/>
        <v>10661.997622754778</v>
      </c>
      <c r="V295" s="139">
        <f t="shared" si="118"/>
        <v>11057.861329779185</v>
      </c>
      <c r="W295" s="139">
        <f t="shared" si="118"/>
        <v>11468.422074282276</v>
      </c>
      <c r="X295" s="139">
        <f t="shared" si="118"/>
        <v>11894.449167021512</v>
      </c>
      <c r="Y295" s="139">
        <f t="shared" si="118"/>
        <v>12336.752275598314</v>
      </c>
      <c r="Z295" s="139">
        <f t="shared" si="118"/>
        <v>12796.183495643312</v>
      </c>
      <c r="AA295" s="139">
        <f t="shared" si="118"/>
        <v>13273.639526909124</v>
      </c>
      <c r="AB295" s="139">
        <f t="shared" si="118"/>
        <v>13770.063959549203</v>
      </c>
      <c r="AC295" s="139">
        <f t="shared" si="118"/>
        <v>14286.449676126011</v>
      </c>
      <c r="AD295" s="139">
        <f t="shared" si="118"/>
        <v>14321.690846252002</v>
      </c>
      <c r="AE295" s="139">
        <f t="shared" si="118"/>
        <v>14353.929638120311</v>
      </c>
      <c r="AF295" s="139">
        <f t="shared" si="118"/>
        <v>14383.067093627125</v>
      </c>
      <c r="AG295" s="139">
        <f t="shared" si="118"/>
        <v>18693.771452151261</v>
      </c>
      <c r="AH295" s="139">
        <f t="shared" si="118"/>
        <v>23001.168723142255</v>
      </c>
      <c r="AI295" s="139">
        <f t="shared" si="118"/>
        <v>23020.382195473136</v>
      </c>
      <c r="AJ295" s="139">
        <f t="shared" si="118"/>
        <v>23036.071945171767</v>
      </c>
      <c r="AK295" s="139">
        <f t="shared" si="118"/>
        <v>23048.125403144655</v>
      </c>
      <c r="AL295" s="139">
        <f t="shared" si="118"/>
        <v>23056.427071876358</v>
      </c>
      <c r="AM295" s="139">
        <f t="shared" si="118"/>
        <v>23060.858452716238</v>
      </c>
      <c r="AN295" s="139">
        <f t="shared" si="118"/>
        <v>23061.297971378961</v>
      </c>
      <c r="AO295" s="139">
        <f t="shared" si="118"/>
        <v>23057.620901615082</v>
      </c>
      <c r="AP295" s="139">
        <f t="shared" si="118"/>
        <v>23049.699287006573</v>
      </c>
      <c r="AQ295" s="139">
        <f t="shared" si="118"/>
        <v>11518.700930420835</v>
      </c>
    </row>
    <row r="296" spans="3:43" x14ac:dyDescent="0.25">
      <c r="C296" t="s">
        <v>1269</v>
      </c>
      <c r="D296" t="s">
        <v>125</v>
      </c>
      <c r="E296" s="139"/>
      <c r="F296" s="139"/>
      <c r="G296" s="139">
        <v>0</v>
      </c>
      <c r="H296" s="139">
        <f t="shared" ref="H296:AQ296" si="119">G296+MAX(-H295,0)-MIN(G296,MAX(H295,0)*$E$95)</f>
        <v>88.621621621621628</v>
      </c>
      <c r="I296" s="139">
        <f t="shared" si="119"/>
        <v>516.78716216216219</v>
      </c>
      <c r="J296" s="139">
        <f t="shared" si="119"/>
        <v>1393.6526906046893</v>
      </c>
      <c r="K296" s="139">
        <f t="shared" si="119"/>
        <v>3871.6410924389593</v>
      </c>
      <c r="L296" s="139">
        <f t="shared" si="119"/>
        <v>4726.7748228602077</v>
      </c>
      <c r="M296" s="139">
        <f t="shared" si="119"/>
        <v>815.80504026411154</v>
      </c>
      <c r="N296" s="139">
        <f t="shared" si="119"/>
        <v>0</v>
      </c>
      <c r="O296" s="139">
        <f t="shared" si="119"/>
        <v>0</v>
      </c>
      <c r="P296" s="139">
        <f t="shared" si="119"/>
        <v>0</v>
      </c>
      <c r="Q296" s="139">
        <f t="shared" si="119"/>
        <v>0</v>
      </c>
      <c r="R296" s="139">
        <f t="shared" si="119"/>
        <v>0</v>
      </c>
      <c r="S296" s="139">
        <f t="shared" si="119"/>
        <v>0</v>
      </c>
      <c r="T296" s="139">
        <f t="shared" si="119"/>
        <v>0</v>
      </c>
      <c r="U296" s="139">
        <f t="shared" si="119"/>
        <v>0</v>
      </c>
      <c r="V296" s="139">
        <f t="shared" si="119"/>
        <v>0</v>
      </c>
      <c r="W296" s="139">
        <f t="shared" si="119"/>
        <v>0</v>
      </c>
      <c r="X296" s="139">
        <f t="shared" si="119"/>
        <v>0</v>
      </c>
      <c r="Y296" s="139">
        <f t="shared" si="119"/>
        <v>0</v>
      </c>
      <c r="Z296" s="139">
        <f t="shared" si="119"/>
        <v>0</v>
      </c>
      <c r="AA296" s="139">
        <f t="shared" si="119"/>
        <v>0</v>
      </c>
      <c r="AB296" s="139">
        <f t="shared" si="119"/>
        <v>0</v>
      </c>
      <c r="AC296" s="139">
        <f t="shared" si="119"/>
        <v>0</v>
      </c>
      <c r="AD296" s="139">
        <f t="shared" si="119"/>
        <v>0</v>
      </c>
      <c r="AE296" s="139">
        <f t="shared" si="119"/>
        <v>0</v>
      </c>
      <c r="AF296" s="139">
        <f t="shared" si="119"/>
        <v>0</v>
      </c>
      <c r="AG296" s="139">
        <f t="shared" si="119"/>
        <v>0</v>
      </c>
      <c r="AH296" s="139">
        <f t="shared" si="119"/>
        <v>0</v>
      </c>
      <c r="AI296" s="139">
        <f t="shared" si="119"/>
        <v>0</v>
      </c>
      <c r="AJ296" s="139">
        <f t="shared" si="119"/>
        <v>0</v>
      </c>
      <c r="AK296" s="139">
        <f t="shared" si="119"/>
        <v>0</v>
      </c>
      <c r="AL296" s="139">
        <f t="shared" si="119"/>
        <v>0</v>
      </c>
      <c r="AM296" s="139">
        <f t="shared" si="119"/>
        <v>0</v>
      </c>
      <c r="AN296" s="139">
        <f t="shared" si="119"/>
        <v>0</v>
      </c>
      <c r="AO296" s="139">
        <f t="shared" si="119"/>
        <v>0</v>
      </c>
      <c r="AP296" s="139">
        <f t="shared" si="119"/>
        <v>0</v>
      </c>
      <c r="AQ296" s="139">
        <f t="shared" si="119"/>
        <v>0</v>
      </c>
    </row>
    <row r="297" spans="3:43" x14ac:dyDescent="0.25">
      <c r="C297" t="s">
        <v>1397</v>
      </c>
      <c r="D297" t="s">
        <v>125</v>
      </c>
      <c r="E297" s="139"/>
      <c r="F297" s="139"/>
      <c r="G297" s="139"/>
      <c r="H297" s="139">
        <f t="shared" ref="H297:AQ297" si="120">-(MAX(H295,0)-MIN(G296,MAX(H295,0)*$E$95))*$E$91-MAX(H295,0)*$E$99</f>
        <v>0</v>
      </c>
      <c r="I297" s="139">
        <f t="shared" si="120"/>
        <v>0</v>
      </c>
      <c r="J297" s="139">
        <f t="shared" si="120"/>
        <v>0</v>
      </c>
      <c r="K297" s="139">
        <f t="shared" si="120"/>
        <v>0</v>
      </c>
      <c r="L297" s="139">
        <f t="shared" si="120"/>
        <v>0</v>
      </c>
      <c r="M297" s="139">
        <f t="shared" si="120"/>
        <v>-586.64546738941442</v>
      </c>
      <c r="N297" s="139">
        <f t="shared" si="120"/>
        <v>-1114.44723581428</v>
      </c>
      <c r="O297" s="139">
        <f t="shared" si="120"/>
        <v>-1283.5469087299091</v>
      </c>
      <c r="P297" s="139">
        <f t="shared" si="120"/>
        <v>-1331.8189790781544</v>
      </c>
      <c r="Q297" s="139">
        <f t="shared" si="120"/>
        <v>-1381.7147515795064</v>
      </c>
      <c r="R297" s="139">
        <f t="shared" si="120"/>
        <v>-1433.3190353028335</v>
      </c>
      <c r="S297" s="139">
        <f t="shared" si="120"/>
        <v>-1486.72111944009</v>
      </c>
      <c r="T297" s="139">
        <f t="shared" si="120"/>
        <v>-1542.0150041986794</v>
      </c>
      <c r="U297" s="139">
        <f t="shared" si="120"/>
        <v>-1599.2996434132167</v>
      </c>
      <c r="V297" s="139">
        <f t="shared" si="120"/>
        <v>-1658.6791994668777</v>
      </c>
      <c r="W297" s="139">
        <f t="shared" si="120"/>
        <v>-1720.2633111423413</v>
      </c>
      <c r="X297" s="139">
        <f t="shared" si="120"/>
        <v>-1784.1673750532268</v>
      </c>
      <c r="Y297" s="139">
        <f t="shared" si="120"/>
        <v>-1850.512841339747</v>
      </c>
      <c r="Z297" s="139">
        <f t="shared" si="120"/>
        <v>-1919.4275243464967</v>
      </c>
      <c r="AA297" s="139">
        <f t="shared" si="120"/>
        <v>-1991.0459290363685</v>
      </c>
      <c r="AB297" s="139">
        <f t="shared" si="120"/>
        <v>-2065.5095939323805</v>
      </c>
      <c r="AC297" s="139">
        <f t="shared" si="120"/>
        <v>-2142.9674514189014</v>
      </c>
      <c r="AD297" s="139">
        <f t="shared" si="120"/>
        <v>-2148.2536269378002</v>
      </c>
      <c r="AE297" s="139">
        <f t="shared" si="120"/>
        <v>-2153.0894457180466</v>
      </c>
      <c r="AF297" s="139">
        <f t="shared" si="120"/>
        <v>-2157.4600640440685</v>
      </c>
      <c r="AG297" s="139">
        <f t="shared" si="120"/>
        <v>-2804.0657178226888</v>
      </c>
      <c r="AH297" s="139">
        <f t="shared" si="120"/>
        <v>-3450.1753084713382</v>
      </c>
      <c r="AI297" s="139">
        <f t="shared" si="120"/>
        <v>-3453.0573293209704</v>
      </c>
      <c r="AJ297" s="139">
        <f t="shared" si="120"/>
        <v>-3455.4107917757651</v>
      </c>
      <c r="AK297" s="139">
        <f t="shared" si="120"/>
        <v>-3457.2188104716984</v>
      </c>
      <c r="AL297" s="139">
        <f t="shared" si="120"/>
        <v>-3458.4640607814536</v>
      </c>
      <c r="AM297" s="139">
        <f t="shared" si="120"/>
        <v>-3459.1287679074358</v>
      </c>
      <c r="AN297" s="139">
        <f t="shared" si="120"/>
        <v>-3459.194695706844</v>
      </c>
      <c r="AO297" s="139">
        <f t="shared" si="120"/>
        <v>-3458.6431352422624</v>
      </c>
      <c r="AP297" s="139">
        <f t="shared" si="120"/>
        <v>-3457.4548930509859</v>
      </c>
      <c r="AQ297" s="139">
        <f t="shared" si="120"/>
        <v>-1727.8051395631253</v>
      </c>
    </row>
    <row r="298" spans="3:43" x14ac:dyDescent="0.25">
      <c r="C298" t="s">
        <v>1291</v>
      </c>
      <c r="D298" t="s">
        <v>125</v>
      </c>
      <c r="E298" s="139"/>
      <c r="F298" s="139"/>
      <c r="G298" s="139"/>
      <c r="H298" s="139">
        <f t="shared" ref="H298:AQ298" si="121">(H$109+$E$294*(H$77+H$85-H$80+H$86-H$87+H$89)+H297)*$E$128</f>
        <v>-1570.6176490188818</v>
      </c>
      <c r="I298" s="139">
        <f t="shared" si="121"/>
        <v>-778.73814328026663</v>
      </c>
      <c r="J298" s="139">
        <f t="shared" si="121"/>
        <v>-1227.4381311822531</v>
      </c>
      <c r="K298" s="139">
        <f t="shared" si="121"/>
        <v>-36752.91677813149</v>
      </c>
      <c r="L298" s="139">
        <f t="shared" si="121"/>
        <v>-21921.644345215776</v>
      </c>
      <c r="M298" s="139">
        <f t="shared" si="121"/>
        <v>-3926.6167207684261</v>
      </c>
      <c r="N298" s="139">
        <f t="shared" si="121"/>
        <v>10869.685814051785</v>
      </c>
      <c r="O298" s="139">
        <f t="shared" si="121"/>
        <v>10770.569263417972</v>
      </c>
      <c r="P298" s="139">
        <f t="shared" si="121"/>
        <v>10790.490855655182</v>
      </c>
      <c r="Q298" s="139">
        <f t="shared" si="121"/>
        <v>10806.932419773189</v>
      </c>
      <c r="R298" s="139">
        <f t="shared" si="121"/>
        <v>10819.74049014624</v>
      </c>
      <c r="S298" s="139">
        <f t="shared" si="121"/>
        <v>10828.755285995265</v>
      </c>
      <c r="T298" s="139">
        <f t="shared" si="121"/>
        <v>10833.810434652072</v>
      </c>
      <c r="U298" s="139">
        <f t="shared" si="121"/>
        <v>10834.732681977157</v>
      </c>
      <c r="V298" s="139">
        <f t="shared" si="121"/>
        <v>10831.341589312746</v>
      </c>
      <c r="W298" s="139">
        <f t="shared" si="121"/>
        <v>10823.449216323457</v>
      </c>
      <c r="X298" s="139">
        <f t="shared" si="121"/>
        <v>10810.859789044049</v>
      </c>
      <c r="Y298" s="139">
        <f t="shared" si="121"/>
        <v>10793.369352421181</v>
      </c>
      <c r="Z298" s="139">
        <f t="shared" si="121"/>
        <v>10770.765406600623</v>
      </c>
      <c r="AA298" s="139">
        <f t="shared" si="121"/>
        <v>10742.826526174817</v>
      </c>
      <c r="AB298" s="139">
        <f t="shared" si="121"/>
        <v>10709.32196156705</v>
      </c>
      <c r="AC298" s="139">
        <f t="shared" si="121"/>
        <v>20713.021800045848</v>
      </c>
      <c r="AD298" s="139">
        <f t="shared" si="121"/>
        <v>20742.976794652943</v>
      </c>
      <c r="AE298" s="139">
        <f t="shared" si="121"/>
        <v>20770.379767741004</v>
      </c>
      <c r="AF298" s="139">
        <f t="shared" si="121"/>
        <v>20795.146604921796</v>
      </c>
      <c r="AG298" s="139">
        <f t="shared" si="121"/>
        <v>20174.475521997942</v>
      </c>
      <c r="AH298" s="139">
        <f t="shared" si="121"/>
        <v>19550.993414670917</v>
      </c>
      <c r="AI298" s="139">
        <f t="shared" si="121"/>
        <v>19567.324866152165</v>
      </c>
      <c r="AJ298" s="139">
        <f t="shared" si="121"/>
        <v>19580.661153396002</v>
      </c>
      <c r="AK298" s="139">
        <f t="shared" si="121"/>
        <v>19590.906592672956</v>
      </c>
      <c r="AL298" s="139">
        <f t="shared" si="121"/>
        <v>19597.963011094904</v>
      </c>
      <c r="AM298" s="139">
        <f t="shared" si="121"/>
        <v>19601.729684808801</v>
      </c>
      <c r="AN298" s="139">
        <f t="shared" si="121"/>
        <v>19602.103275672118</v>
      </c>
      <c r="AO298" s="139">
        <f t="shared" si="121"/>
        <v>19598.97776637282</v>
      </c>
      <c r="AP298" s="139">
        <f t="shared" si="121"/>
        <v>19592.244393955589</v>
      </c>
      <c r="AQ298" s="139">
        <f t="shared" si="121"/>
        <v>5713.8957908577095</v>
      </c>
    </row>
    <row r="299" spans="3:43" x14ac:dyDescent="0.25">
      <c r="C299" t="s">
        <v>1288</v>
      </c>
      <c r="D299" t="s">
        <v>7</v>
      </c>
      <c r="E299" s="139"/>
      <c r="F299" s="139"/>
      <c r="G299" s="155"/>
      <c r="H299" s="155" t="str">
        <f t="shared" ref="H299:AQ299" si="122">IF(AND(H$9&gt;=1,H$86&lt;-0.01,$E$294&gt;0),(H$70+H297)/(-$E$294*H$86),"")</f>
        <v/>
      </c>
      <c r="I299" s="155" t="str">
        <f t="shared" si="122"/>
        <v/>
      </c>
      <c r="J299" s="155" t="str">
        <f t="shared" si="122"/>
        <v/>
      </c>
      <c r="K299" s="155" t="str">
        <f t="shared" si="122"/>
        <v/>
      </c>
      <c r="L299" s="155" t="str">
        <f t="shared" si="122"/>
        <v/>
      </c>
      <c r="M299" s="155" t="str">
        <f t="shared" si="122"/>
        <v/>
      </c>
      <c r="N299" s="155">
        <f t="shared" si="122"/>
        <v>2.082313488494703</v>
      </c>
      <c r="O299" s="155">
        <f t="shared" si="122"/>
        <v>2.0724442814615647</v>
      </c>
      <c r="P299" s="155">
        <f t="shared" si="122"/>
        <v>2.0744279089885671</v>
      </c>
      <c r="Q299" s="155">
        <f t="shared" si="122"/>
        <v>2.0760650240737029</v>
      </c>
      <c r="R299" s="155">
        <f t="shared" si="122"/>
        <v>2.0773403458781678</v>
      </c>
      <c r="S299" s="155">
        <f t="shared" si="122"/>
        <v>2.0782379647523777</v>
      </c>
      <c r="T299" s="155">
        <f t="shared" si="122"/>
        <v>2.0787413146809044</v>
      </c>
      <c r="U299" s="155">
        <f t="shared" si="122"/>
        <v>2.0788331444482724</v>
      </c>
      <c r="V299" s="155">
        <f t="shared" si="122"/>
        <v>2.0784954874640489</v>
      </c>
      <c r="W299" s="155">
        <f t="shared" si="122"/>
        <v>2.0777096301827376</v>
      </c>
      <c r="X299" s="155">
        <f t="shared" si="122"/>
        <v>2.0764560790507156</v>
      </c>
      <c r="Y299" s="155">
        <f t="shared" si="122"/>
        <v>2.074714525909215</v>
      </c>
      <c r="Z299" s="155">
        <f t="shared" si="122"/>
        <v>2.0724638117788055</v>
      </c>
      <c r="AA299" s="155">
        <f t="shared" si="122"/>
        <v>2.0696818889472186</v>
      </c>
      <c r="AB299" s="155">
        <f t="shared" si="122"/>
        <v>2.0663457812784713</v>
      </c>
      <c r="AC299" s="155" t="str">
        <f t="shared" si="122"/>
        <v/>
      </c>
      <c r="AD299" s="155" t="str">
        <f t="shared" si="122"/>
        <v/>
      </c>
      <c r="AE299" s="155" t="str">
        <f t="shared" si="122"/>
        <v/>
      </c>
      <c r="AF299" s="155" t="str">
        <f t="shared" si="122"/>
        <v/>
      </c>
      <c r="AG299" s="155" t="str">
        <f t="shared" si="122"/>
        <v/>
      </c>
      <c r="AH299" s="155" t="str">
        <f t="shared" si="122"/>
        <v/>
      </c>
      <c r="AI299" s="155" t="str">
        <f t="shared" si="122"/>
        <v/>
      </c>
      <c r="AJ299" s="155" t="str">
        <f t="shared" si="122"/>
        <v/>
      </c>
      <c r="AK299" s="155" t="str">
        <f t="shared" si="122"/>
        <v/>
      </c>
      <c r="AL299" s="155" t="str">
        <f t="shared" si="122"/>
        <v/>
      </c>
      <c r="AM299" s="155" t="str">
        <f t="shared" si="122"/>
        <v/>
      </c>
      <c r="AN299" s="155" t="str">
        <f t="shared" si="122"/>
        <v/>
      </c>
      <c r="AO299" s="155" t="str">
        <f t="shared" si="122"/>
        <v/>
      </c>
      <c r="AP299" s="155" t="str">
        <f t="shared" si="122"/>
        <v/>
      </c>
      <c r="AQ299" s="155" t="str">
        <f t="shared" si="122"/>
        <v/>
      </c>
    </row>
    <row r="301" spans="3:43" x14ac:dyDescent="0.25">
      <c r="C301" s="129" t="str">
        <f>"15."&amp;7&amp;" Gearing scenario 7 – "&amp;TEXT(D254,"0%")&amp;" (debt scale factor vs live case in E)"</f>
        <v>15.7 Gearing scenario 7 – 65% (debt scale factor vs live case in E)</v>
      </c>
      <c r="D301" s="129" t="s">
        <v>7</v>
      </c>
      <c r="E301" s="270">
        <f>IF(Inputs!$E$219=0,0,D254/Inputs!$E$219)</f>
        <v>1.3</v>
      </c>
      <c r="F301" s="270"/>
      <c r="G301" s="270"/>
      <c r="H301" s="270"/>
      <c r="I301" s="270"/>
      <c r="J301" s="270"/>
      <c r="K301" s="270"/>
      <c r="L301" s="270"/>
      <c r="M301" s="270"/>
      <c r="N301" s="270"/>
      <c r="O301" s="270"/>
      <c r="P301" s="270"/>
      <c r="Q301" s="270"/>
      <c r="R301" s="270"/>
      <c r="S301" s="270"/>
      <c r="T301" s="270"/>
      <c r="U301" s="270"/>
      <c r="V301" s="270"/>
      <c r="W301" s="270"/>
      <c r="X301" s="270"/>
      <c r="Y301" s="270"/>
      <c r="Z301" s="270"/>
      <c r="AA301" s="270"/>
      <c r="AB301" s="270"/>
      <c r="AC301" s="270"/>
      <c r="AD301" s="270"/>
      <c r="AE301" s="270"/>
      <c r="AF301" s="270"/>
      <c r="AG301" s="270"/>
      <c r="AH301" s="270"/>
      <c r="AI301" s="270"/>
      <c r="AJ301" s="270"/>
      <c r="AK301" s="270"/>
      <c r="AL301" s="270"/>
      <c r="AM301" s="270"/>
      <c r="AN301" s="270"/>
      <c r="AO301" s="270"/>
      <c r="AP301" s="270"/>
      <c r="AQ301" s="270"/>
    </row>
    <row r="302" spans="3:43" x14ac:dyDescent="0.25">
      <c r="C302" t="s">
        <v>1396</v>
      </c>
      <c r="D302" t="s">
        <v>125</v>
      </c>
      <c r="E302" s="139"/>
      <c r="F302" s="139"/>
      <c r="G302" s="139"/>
      <c r="H302" s="139">
        <f t="shared" ref="H302:AQ302" si="123">H$70+H$16-(-$G$30+$E$301*$G$79+$E$258)/$E$92*H$90-$E$301*H$81+$E$301*H$85</f>
        <v>-88.621621621621628</v>
      </c>
      <c r="I302" s="139">
        <f t="shared" si="123"/>
        <v>-428.16554054054052</v>
      </c>
      <c r="J302" s="139">
        <f t="shared" si="123"/>
        <v>-876.86552844252708</v>
      </c>
      <c r="K302" s="139">
        <f t="shared" si="123"/>
        <v>-2654.8479781618348</v>
      </c>
      <c r="L302" s="139">
        <f t="shared" si="123"/>
        <v>-891.59121608643409</v>
      </c>
      <c r="M302" s="139">
        <f t="shared" si="123"/>
        <v>7590.1853490734975</v>
      </c>
      <c r="N302" s="139">
        <f t="shared" si="123"/>
        <v>7788.7296041156405</v>
      </c>
      <c r="O302" s="139">
        <f t="shared" si="123"/>
        <v>8120.3842991411357</v>
      </c>
      <c r="P302" s="139">
        <f t="shared" si="123"/>
        <v>8463.3331131074501</v>
      </c>
      <c r="Q302" s="139">
        <f t="shared" si="123"/>
        <v>8818.163358676713</v>
      </c>
      <c r="R302" s="139">
        <f t="shared" si="123"/>
        <v>9185.4932671704901</v>
      </c>
      <c r="S302" s="139">
        <f t="shared" si="123"/>
        <v>9565.9735792740412</v>
      </c>
      <c r="T302" s="139">
        <f t="shared" si="123"/>
        <v>9960.2892164125697</v>
      </c>
      <c r="U302" s="139">
        <f t="shared" si="123"/>
        <v>10369.161036861482</v>
      </c>
      <c r="V302" s="139">
        <f t="shared" si="123"/>
        <v>10793.347680855486</v>
      </c>
      <c r="W302" s="139">
        <f t="shared" si="123"/>
        <v>11233.647509176652</v>
      </c>
      <c r="X302" s="139">
        <f t="shared" si="123"/>
        <v>11690.900639924868</v>
      </c>
      <c r="Y302" s="139">
        <f t="shared" si="123"/>
        <v>12165.9910884111</v>
      </c>
      <c r="Z302" s="139">
        <f t="shared" si="123"/>
        <v>12659.849015360998</v>
      </c>
      <c r="AA302" s="139">
        <f t="shared" si="123"/>
        <v>13173.453088876955</v>
      </c>
      <c r="AB302" s="139">
        <f t="shared" si="123"/>
        <v>13707.832965879687</v>
      </c>
      <c r="AC302" s="139">
        <f t="shared" si="123"/>
        <v>14264.071899037281</v>
      </c>
      <c r="AD302" s="139">
        <f t="shared" si="123"/>
        <v>14299.313069163272</v>
      </c>
      <c r="AE302" s="139">
        <f t="shared" si="123"/>
        <v>14331.551861031581</v>
      </c>
      <c r="AF302" s="139">
        <f t="shared" si="123"/>
        <v>14360.689316538395</v>
      </c>
      <c r="AG302" s="139">
        <f t="shared" si="123"/>
        <v>18682.582563606898</v>
      </c>
      <c r="AH302" s="139">
        <f t="shared" si="123"/>
        <v>23001.168723142255</v>
      </c>
      <c r="AI302" s="139">
        <f t="shared" si="123"/>
        <v>23020.382195473136</v>
      </c>
      <c r="AJ302" s="139">
        <f t="shared" si="123"/>
        <v>23036.071945171767</v>
      </c>
      <c r="AK302" s="139">
        <f t="shared" si="123"/>
        <v>23048.125403144655</v>
      </c>
      <c r="AL302" s="139">
        <f t="shared" si="123"/>
        <v>23056.427071876358</v>
      </c>
      <c r="AM302" s="139">
        <f t="shared" si="123"/>
        <v>23060.858452716238</v>
      </c>
      <c r="AN302" s="139">
        <f t="shared" si="123"/>
        <v>23061.297971378961</v>
      </c>
      <c r="AO302" s="139">
        <f t="shared" si="123"/>
        <v>23057.620901615082</v>
      </c>
      <c r="AP302" s="139">
        <f t="shared" si="123"/>
        <v>23049.699287006573</v>
      </c>
      <c r="AQ302" s="139">
        <f t="shared" si="123"/>
        <v>11518.700930420835</v>
      </c>
    </row>
    <row r="303" spans="3:43" x14ac:dyDescent="0.25">
      <c r="C303" t="s">
        <v>1269</v>
      </c>
      <c r="D303" t="s">
        <v>125</v>
      </c>
      <c r="E303" s="139"/>
      <c r="F303" s="139"/>
      <c r="G303" s="139">
        <v>0</v>
      </c>
      <c r="H303" s="139">
        <f t="shared" ref="H303:AQ303" si="124">G303+MAX(-H302,0)-MIN(G303,MAX(H302,0)*$E$95)</f>
        <v>88.621621621621628</v>
      </c>
      <c r="I303" s="139">
        <f t="shared" si="124"/>
        <v>516.78716216216219</v>
      </c>
      <c r="J303" s="139">
        <f t="shared" si="124"/>
        <v>1393.6526906046893</v>
      </c>
      <c r="K303" s="139">
        <f t="shared" si="124"/>
        <v>4048.5006687665241</v>
      </c>
      <c r="L303" s="139">
        <f t="shared" si="124"/>
        <v>4940.0918848529582</v>
      </c>
      <c r="M303" s="139">
        <f t="shared" si="124"/>
        <v>1144.9992103162094</v>
      </c>
      <c r="N303" s="139">
        <f t="shared" si="124"/>
        <v>0</v>
      </c>
      <c r="O303" s="139">
        <f t="shared" si="124"/>
        <v>0</v>
      </c>
      <c r="P303" s="139">
        <f t="shared" si="124"/>
        <v>0</v>
      </c>
      <c r="Q303" s="139">
        <f t="shared" si="124"/>
        <v>0</v>
      </c>
      <c r="R303" s="139">
        <f t="shared" si="124"/>
        <v>0</v>
      </c>
      <c r="S303" s="139">
        <f t="shared" si="124"/>
        <v>0</v>
      </c>
      <c r="T303" s="139">
        <f t="shared" si="124"/>
        <v>0</v>
      </c>
      <c r="U303" s="139">
        <f t="shared" si="124"/>
        <v>0</v>
      </c>
      <c r="V303" s="139">
        <f t="shared" si="124"/>
        <v>0</v>
      </c>
      <c r="W303" s="139">
        <f t="shared" si="124"/>
        <v>0</v>
      </c>
      <c r="X303" s="139">
        <f t="shared" si="124"/>
        <v>0</v>
      </c>
      <c r="Y303" s="139">
        <f t="shared" si="124"/>
        <v>0</v>
      </c>
      <c r="Z303" s="139">
        <f t="shared" si="124"/>
        <v>0</v>
      </c>
      <c r="AA303" s="139">
        <f t="shared" si="124"/>
        <v>0</v>
      </c>
      <c r="AB303" s="139">
        <f t="shared" si="124"/>
        <v>0</v>
      </c>
      <c r="AC303" s="139">
        <f t="shared" si="124"/>
        <v>0</v>
      </c>
      <c r="AD303" s="139">
        <f t="shared" si="124"/>
        <v>0</v>
      </c>
      <c r="AE303" s="139">
        <f t="shared" si="124"/>
        <v>0</v>
      </c>
      <c r="AF303" s="139">
        <f t="shared" si="124"/>
        <v>0</v>
      </c>
      <c r="AG303" s="139">
        <f t="shared" si="124"/>
        <v>0</v>
      </c>
      <c r="AH303" s="139">
        <f t="shared" si="124"/>
        <v>0</v>
      </c>
      <c r="AI303" s="139">
        <f t="shared" si="124"/>
        <v>0</v>
      </c>
      <c r="AJ303" s="139">
        <f t="shared" si="124"/>
        <v>0</v>
      </c>
      <c r="AK303" s="139">
        <f t="shared" si="124"/>
        <v>0</v>
      </c>
      <c r="AL303" s="139">
        <f t="shared" si="124"/>
        <v>0</v>
      </c>
      <c r="AM303" s="139">
        <f t="shared" si="124"/>
        <v>0</v>
      </c>
      <c r="AN303" s="139">
        <f t="shared" si="124"/>
        <v>0</v>
      </c>
      <c r="AO303" s="139">
        <f t="shared" si="124"/>
        <v>0</v>
      </c>
      <c r="AP303" s="139">
        <f t="shared" si="124"/>
        <v>0</v>
      </c>
      <c r="AQ303" s="139">
        <f t="shared" si="124"/>
        <v>0</v>
      </c>
    </row>
    <row r="304" spans="3:43" x14ac:dyDescent="0.25">
      <c r="C304" t="s">
        <v>1397</v>
      </c>
      <c r="D304" t="s">
        <v>125</v>
      </c>
      <c r="E304" s="139"/>
      <c r="F304" s="139"/>
      <c r="G304" s="139"/>
      <c r="H304" s="139">
        <f t="shared" ref="H304:AQ304" si="125">-(MAX(H302,0)-MIN(G303,MAX(H302,0)*$E$95))*$E$91-MAX(H302,0)*$E$99</f>
        <v>0</v>
      </c>
      <c r="I304" s="139">
        <f t="shared" si="125"/>
        <v>0</v>
      </c>
      <c r="J304" s="139">
        <f t="shared" si="125"/>
        <v>0</v>
      </c>
      <c r="K304" s="139">
        <f t="shared" si="125"/>
        <v>0</v>
      </c>
      <c r="L304" s="139">
        <f t="shared" si="125"/>
        <v>0</v>
      </c>
      <c r="M304" s="139">
        <f t="shared" si="125"/>
        <v>-569.26390118051233</v>
      </c>
      <c r="N304" s="139">
        <f t="shared" si="125"/>
        <v>-996.5595590699146</v>
      </c>
      <c r="O304" s="139">
        <f t="shared" si="125"/>
        <v>-1218.0576448711704</v>
      </c>
      <c r="P304" s="139">
        <f t="shared" si="125"/>
        <v>-1269.4999669661174</v>
      </c>
      <c r="Q304" s="139">
        <f t="shared" si="125"/>
        <v>-1322.7245038015069</v>
      </c>
      <c r="R304" s="139">
        <f t="shared" si="125"/>
        <v>-1377.8239900755734</v>
      </c>
      <c r="S304" s="139">
        <f t="shared" si="125"/>
        <v>-1434.8960368911062</v>
      </c>
      <c r="T304" s="139">
        <f t="shared" si="125"/>
        <v>-1494.0433824618854</v>
      </c>
      <c r="U304" s="139">
        <f t="shared" si="125"/>
        <v>-1555.3741555292222</v>
      </c>
      <c r="V304" s="139">
        <f t="shared" si="125"/>
        <v>-1619.0021521283229</v>
      </c>
      <c r="W304" s="139">
        <f t="shared" si="125"/>
        <v>-1685.0471263764978</v>
      </c>
      <c r="X304" s="139">
        <f t="shared" si="125"/>
        <v>-1753.6350959887302</v>
      </c>
      <c r="Y304" s="139">
        <f t="shared" si="125"/>
        <v>-1824.898663261665</v>
      </c>
      <c r="Z304" s="139">
        <f t="shared" si="125"/>
        <v>-1898.9773523041497</v>
      </c>
      <c r="AA304" s="139">
        <f t="shared" si="125"/>
        <v>-1976.0179633315431</v>
      </c>
      <c r="AB304" s="139">
        <f t="shared" si="125"/>
        <v>-2056.1749448819528</v>
      </c>
      <c r="AC304" s="139">
        <f t="shared" si="125"/>
        <v>-2139.6107848555921</v>
      </c>
      <c r="AD304" s="139">
        <f t="shared" si="125"/>
        <v>-2144.8969603744908</v>
      </c>
      <c r="AE304" s="139">
        <f t="shared" si="125"/>
        <v>-2149.7327791547373</v>
      </c>
      <c r="AF304" s="139">
        <f t="shared" si="125"/>
        <v>-2154.1033974807592</v>
      </c>
      <c r="AG304" s="139">
        <f t="shared" si="125"/>
        <v>-2802.3873845410349</v>
      </c>
      <c r="AH304" s="139">
        <f t="shared" si="125"/>
        <v>-3450.1753084713382</v>
      </c>
      <c r="AI304" s="139">
        <f t="shared" si="125"/>
        <v>-3453.0573293209704</v>
      </c>
      <c r="AJ304" s="139">
        <f t="shared" si="125"/>
        <v>-3455.4107917757651</v>
      </c>
      <c r="AK304" s="139">
        <f t="shared" si="125"/>
        <v>-3457.2188104716984</v>
      </c>
      <c r="AL304" s="139">
        <f t="shared" si="125"/>
        <v>-3458.4640607814536</v>
      </c>
      <c r="AM304" s="139">
        <f t="shared" si="125"/>
        <v>-3459.1287679074358</v>
      </c>
      <c r="AN304" s="139">
        <f t="shared" si="125"/>
        <v>-3459.194695706844</v>
      </c>
      <c r="AO304" s="139">
        <f t="shared" si="125"/>
        <v>-3458.6431352422624</v>
      </c>
      <c r="AP304" s="139">
        <f t="shared" si="125"/>
        <v>-3457.4548930509859</v>
      </c>
      <c r="AQ304" s="139">
        <f t="shared" si="125"/>
        <v>-1727.8051395631253</v>
      </c>
    </row>
    <row r="305" spans="3:43" x14ac:dyDescent="0.25">
      <c r="C305" t="s">
        <v>1291</v>
      </c>
      <c r="D305" t="s">
        <v>125</v>
      </c>
      <c r="E305" s="139"/>
      <c r="F305" s="139"/>
      <c r="G305" s="139"/>
      <c r="H305" s="139">
        <f t="shared" ref="H305:AQ305" si="126">(H$109+$E$301*(H$77+H$85-H$80+H$86-H$87+H$89)+H304)*$E$128</f>
        <v>-1570.6176490188818</v>
      </c>
      <c r="I305" s="139">
        <f t="shared" si="126"/>
        <v>-778.73814328026663</v>
      </c>
      <c r="J305" s="139">
        <f t="shared" si="126"/>
        <v>-1227.4381311822531</v>
      </c>
      <c r="K305" s="139">
        <f t="shared" si="126"/>
        <v>-34853.005554052215</v>
      </c>
      <c r="L305" s="139">
        <f t="shared" si="126"/>
        <v>-17838.420623552192</v>
      </c>
      <c r="M305" s="139">
        <f t="shared" si="126"/>
        <v>-2086.8900752119125</v>
      </c>
      <c r="N305" s="139">
        <f t="shared" si="126"/>
        <v>10150.655942599655</v>
      </c>
      <c r="O305" s="139">
        <f t="shared" si="126"/>
        <v>9999.1409790802154</v>
      </c>
      <c r="P305" s="139">
        <f t="shared" si="126"/>
        <v>10015.892319570723</v>
      </c>
      <c r="Q305" s="139">
        <f t="shared" si="126"/>
        <v>10029.005119354693</v>
      </c>
      <c r="R305" s="139">
        <f t="shared" si="126"/>
        <v>10038.317987177004</v>
      </c>
      <c r="S305" s="139">
        <f t="shared" si="126"/>
        <v>10043.662820347752</v>
      </c>
      <c r="T305" s="139">
        <f t="shared" si="126"/>
        <v>10044.864508192371</v>
      </c>
      <c r="U305" s="139">
        <f t="shared" si="126"/>
        <v>10041.740621664656</v>
      </c>
      <c r="V305" s="139">
        <f t="shared" si="126"/>
        <v>10034.101088454805</v>
      </c>
      <c r="W305" s="139">
        <f t="shared" si="126"/>
        <v>10021.747852892806</v>
      </c>
      <c r="X305" s="139">
        <f t="shared" si="126"/>
        <v>10004.47451991205</v>
      </c>
      <c r="Y305" s="139">
        <f t="shared" si="126"/>
        <v>9982.0659823027672</v>
      </c>
      <c r="Z305" s="139">
        <f t="shared" si="126"/>
        <v>9954.2980304464745</v>
      </c>
      <c r="AA305" s="139">
        <f t="shared" si="126"/>
        <v>9920.9369436831457</v>
      </c>
      <c r="AB305" s="139">
        <f t="shared" si="126"/>
        <v>9881.7390624209802</v>
      </c>
      <c r="AC305" s="139">
        <f t="shared" si="126"/>
        <v>20716.37846660916</v>
      </c>
      <c r="AD305" s="139">
        <f t="shared" si="126"/>
        <v>20746.333461216251</v>
      </c>
      <c r="AE305" s="139">
        <f t="shared" si="126"/>
        <v>20773.736434304315</v>
      </c>
      <c r="AF305" s="139">
        <f t="shared" si="126"/>
        <v>20798.503271485108</v>
      </c>
      <c r="AG305" s="139">
        <f t="shared" si="126"/>
        <v>20176.153855279597</v>
      </c>
      <c r="AH305" s="139">
        <f t="shared" si="126"/>
        <v>19550.993414670917</v>
      </c>
      <c r="AI305" s="139">
        <f t="shared" si="126"/>
        <v>19567.324866152165</v>
      </c>
      <c r="AJ305" s="139">
        <f t="shared" si="126"/>
        <v>19580.661153396002</v>
      </c>
      <c r="AK305" s="139">
        <f t="shared" si="126"/>
        <v>19590.906592672956</v>
      </c>
      <c r="AL305" s="139">
        <f t="shared" si="126"/>
        <v>19597.963011094904</v>
      </c>
      <c r="AM305" s="139">
        <f t="shared" si="126"/>
        <v>19601.729684808801</v>
      </c>
      <c r="AN305" s="139">
        <f t="shared" si="126"/>
        <v>19602.103275672118</v>
      </c>
      <c r="AO305" s="139">
        <f t="shared" si="126"/>
        <v>19598.97776637282</v>
      </c>
      <c r="AP305" s="139">
        <f t="shared" si="126"/>
        <v>19592.244393955589</v>
      </c>
      <c r="AQ305" s="139">
        <f t="shared" si="126"/>
        <v>5713.8957908577095</v>
      </c>
    </row>
    <row r="306" spans="3:43" x14ac:dyDescent="0.25">
      <c r="C306" t="s">
        <v>1288</v>
      </c>
      <c r="D306" t="s">
        <v>7</v>
      </c>
      <c r="E306" s="139"/>
      <c r="F306" s="139"/>
      <c r="G306" s="155"/>
      <c r="H306" s="155" t="str">
        <f t="shared" ref="H306:AQ306" si="127">IF(AND(H$9&gt;=1,H$86&lt;-0.01,$E$301&gt;0),(H$70+H304)/(-$E$301*H$86),"")</f>
        <v/>
      </c>
      <c r="I306" s="155" t="str">
        <f t="shared" si="127"/>
        <v/>
      </c>
      <c r="J306" s="155" t="str">
        <f t="shared" si="127"/>
        <v/>
      </c>
      <c r="K306" s="155" t="str">
        <f t="shared" si="127"/>
        <v/>
      </c>
      <c r="L306" s="155" t="str">
        <f t="shared" si="127"/>
        <v/>
      </c>
      <c r="M306" s="155" t="str">
        <f t="shared" si="127"/>
        <v/>
      </c>
      <c r="N306" s="155">
        <f t="shared" si="127"/>
        <v>1.9329708638263097</v>
      </c>
      <c r="O306" s="155">
        <f t="shared" si="127"/>
        <v>1.9190447641538646</v>
      </c>
      <c r="P306" s="155">
        <f t="shared" si="127"/>
        <v>1.9205844195905235</v>
      </c>
      <c r="Q306" s="155">
        <f t="shared" si="127"/>
        <v>1.9217896481206609</v>
      </c>
      <c r="R306" s="155">
        <f t="shared" si="127"/>
        <v>1.9226456158912182</v>
      </c>
      <c r="S306" s="155">
        <f t="shared" si="127"/>
        <v>1.9231368721852469</v>
      </c>
      <c r="T306" s="155">
        <f t="shared" si="127"/>
        <v>1.9232473221653057</v>
      </c>
      <c r="U306" s="155">
        <f t="shared" si="127"/>
        <v>1.9229601983450579</v>
      </c>
      <c r="V306" s="155">
        <f t="shared" si="127"/>
        <v>1.9222580307276815</v>
      </c>
      <c r="W306" s="155">
        <f t="shared" si="127"/>
        <v>1.9211226155467804</v>
      </c>
      <c r="X306" s="155">
        <f t="shared" si="127"/>
        <v>1.9195349825422392</v>
      </c>
      <c r="Y306" s="155">
        <f t="shared" si="127"/>
        <v>1.9174753607001989</v>
      </c>
      <c r="Z306" s="155">
        <f t="shared" si="127"/>
        <v>1.9149231423828257</v>
      </c>
      <c r="AA306" s="155">
        <f t="shared" si="127"/>
        <v>1.9118568457699003</v>
      </c>
      <c r="AB306" s="155">
        <f t="shared" si="127"/>
        <v>1.9082540755304078</v>
      </c>
      <c r="AC306" s="155" t="str">
        <f t="shared" si="127"/>
        <v/>
      </c>
      <c r="AD306" s="155" t="str">
        <f t="shared" si="127"/>
        <v/>
      </c>
      <c r="AE306" s="155" t="str">
        <f t="shared" si="127"/>
        <v/>
      </c>
      <c r="AF306" s="155" t="str">
        <f t="shared" si="127"/>
        <v/>
      </c>
      <c r="AG306" s="155" t="str">
        <f t="shared" si="127"/>
        <v/>
      </c>
      <c r="AH306" s="155" t="str">
        <f t="shared" si="127"/>
        <v/>
      </c>
      <c r="AI306" s="155" t="str">
        <f t="shared" si="127"/>
        <v/>
      </c>
      <c r="AJ306" s="155" t="str">
        <f t="shared" si="127"/>
        <v/>
      </c>
      <c r="AK306" s="155" t="str">
        <f t="shared" si="127"/>
        <v/>
      </c>
      <c r="AL306" s="155" t="str">
        <f t="shared" si="127"/>
        <v/>
      </c>
      <c r="AM306" s="155" t="str">
        <f t="shared" si="127"/>
        <v/>
      </c>
      <c r="AN306" s="155" t="str">
        <f t="shared" si="127"/>
        <v/>
      </c>
      <c r="AO306" s="155" t="str">
        <f t="shared" si="127"/>
        <v/>
      </c>
      <c r="AP306" s="155" t="str">
        <f t="shared" si="127"/>
        <v/>
      </c>
      <c r="AQ306" s="155" t="str">
        <f t="shared" si="127"/>
        <v/>
      </c>
    </row>
    <row r="309" spans="3:43" x14ac:dyDescent="0.25">
      <c r="C309" s="198" t="s">
        <v>1398</v>
      </c>
    </row>
    <row r="310" spans="3:43" x14ac:dyDescent="0.25">
      <c r="C310" t="s">
        <v>1399</v>
      </c>
      <c r="D310" t="s">
        <v>7</v>
      </c>
      <c r="E310" s="139"/>
      <c r="F310" s="139"/>
      <c r="G310" s="139"/>
      <c r="H310" s="155">
        <f t="array" ref="H310">IF(H$10=0,1,IF(Inputs!$E$275=1,INDEX(Curves!$G$22:$G$66,MATCH(MIN(H$5,MAX(Curves!$C$22:$C$66*(Curves!$G$22:$G$66&lt;&gt;""))),Curves!$C$22:$C$66,0))/INDEX(Curves!$H$22:$H$66,MATCH(MIN(H$5,MAX(Curves!$C$22:$C$66*(Curves!$G$22:$G$66&lt;&gt;""))),Curves!$C$22:$C$66,0)),1))</f>
        <v>1</v>
      </c>
      <c r="I310" s="155">
        <f t="array" ref="I310">IF(I$10=0,1,IF(Inputs!$E$275=1,INDEX(Curves!$G$22:$G$66,MATCH(MIN(I$5,MAX(Curves!$C$22:$C$66*(Curves!$G$22:$G$66&lt;&gt;""))),Curves!$C$22:$C$66,0))/INDEX(Curves!$H$22:$H$66,MATCH(MIN(I$5,MAX(Curves!$C$22:$C$66*(Curves!$G$22:$G$66&lt;&gt;""))),Curves!$C$22:$C$66,0)),1))</f>
        <v>1</v>
      </c>
      <c r="J310" s="155">
        <f t="array" ref="J310">IF(J$10=0,1,IF(Inputs!$E$275=1,INDEX(Curves!$G$22:$G$66,MATCH(MIN(J$5,MAX(Curves!$C$22:$C$66*(Curves!$G$22:$G$66&lt;&gt;""))),Curves!$C$22:$C$66,0))/INDEX(Curves!$H$22:$H$66,MATCH(MIN(J$5,MAX(Curves!$C$22:$C$66*(Curves!$G$22:$G$66&lt;&gt;""))),Curves!$C$22:$C$66,0)),1))</f>
        <v>1</v>
      </c>
      <c r="K310" s="155">
        <f t="array" ref="K310">IF(K$10=0,1,IF(Inputs!$E$275=1,INDEX(Curves!$G$22:$G$66,MATCH(MIN(K$5,MAX(Curves!$C$22:$C$66*(Curves!$G$22:$G$66&lt;&gt;""))),Curves!$C$22:$C$66,0))/INDEX(Curves!$H$22:$H$66,MATCH(MIN(K$5,MAX(Curves!$C$22:$C$66*(Curves!$G$22:$G$66&lt;&gt;""))),Curves!$C$22:$C$66,0)),1))</f>
        <v>1</v>
      </c>
      <c r="L310" s="155">
        <f t="array" ref="L310">IF(L$10=0,1,IF(Inputs!$E$275=1,INDEX(Curves!$G$22:$G$66,MATCH(MIN(L$5,MAX(Curves!$C$22:$C$66*(Curves!$G$22:$G$66&lt;&gt;""))),Curves!$C$22:$C$66,0))/INDEX(Curves!$H$22:$H$66,MATCH(MIN(L$5,MAX(Curves!$C$22:$C$66*(Curves!$G$22:$G$66&lt;&gt;""))),Curves!$C$22:$C$66,0)),1))</f>
        <v>1</v>
      </c>
      <c r="M310" s="155">
        <f t="array" ref="M310">IF(M$10=0,1,IF(Inputs!$E$275=1,INDEX(Curves!$G$22:$G$66,MATCH(MIN(M$5,MAX(Curves!$C$22:$C$66*(Curves!$G$22:$G$66&lt;&gt;""))),Curves!$C$22:$C$66,0))/INDEX(Curves!$H$22:$H$66,MATCH(MIN(M$5,MAX(Curves!$C$22:$C$66*(Curves!$G$22:$G$66&lt;&gt;""))),Curves!$C$22:$C$66,0)),1))</f>
        <v>0.69300379488177488</v>
      </c>
      <c r="N310" s="155">
        <f t="array" ref="N310">IF(N$10=0,1,IF(Inputs!$E$275=1,INDEX(Curves!$G$22:$G$66,MATCH(MIN(N$5,MAX(Curves!$C$22:$C$66*(Curves!$G$22:$G$66&lt;&gt;""))),Curves!$C$22:$C$66,0))/INDEX(Curves!$H$22:$H$66,MATCH(MIN(N$5,MAX(Curves!$C$22:$C$66*(Curves!$G$22:$G$66&lt;&gt;""))),Curves!$C$22:$C$66,0)),1))</f>
        <v>0.6880770774789241</v>
      </c>
      <c r="O310" s="155">
        <f t="array" ref="O310">IF(O$10=0,1,IF(Inputs!$E$275=1,INDEX(Curves!$G$22:$G$66,MATCH(MIN(O$5,MAX(Curves!$C$22:$C$66*(Curves!$G$22:$G$66&lt;&gt;""))),Curves!$C$22:$C$66,0))/INDEX(Curves!$H$22:$H$66,MATCH(MIN(O$5,MAX(Curves!$C$22:$C$66*(Curves!$G$22:$G$66&lt;&gt;""))),Curves!$C$22:$C$66,0)),1))</f>
        <v>0.68128684184234189</v>
      </c>
      <c r="P310" s="155">
        <f t="array" ref="P310">IF(P$10=0,1,IF(Inputs!$E$275=1,INDEX(Curves!$G$22:$G$66,MATCH(MIN(P$5,MAX(Curves!$C$22:$C$66*(Curves!$G$22:$G$66&lt;&gt;""))),Curves!$C$22:$C$66,0))/INDEX(Curves!$H$22:$H$66,MATCH(MIN(P$5,MAX(Curves!$C$22:$C$66*(Curves!$G$22:$G$66&lt;&gt;""))),Curves!$C$22:$C$66,0)),1))</f>
        <v>0.66988577362409141</v>
      </c>
      <c r="Q310" s="155">
        <f t="array" ref="Q310">IF(Q$10=0,1,IF(Inputs!$E$275=1,INDEX(Curves!$G$22:$G$66,MATCH(MIN(Q$5,MAX(Curves!$C$22:$C$66*(Curves!$G$22:$G$66&lt;&gt;""))),Curves!$C$22:$C$66,0))/INDEX(Curves!$H$22:$H$66,MATCH(MIN(Q$5,MAX(Curves!$C$22:$C$66*(Curves!$G$22:$G$66&lt;&gt;""))),Curves!$C$22:$C$66,0)),1))</f>
        <v>0.66465445462114903</v>
      </c>
      <c r="R310" s="155">
        <f t="array" ref="R310">IF(R$10=0,1,IF(Inputs!$E$275=1,INDEX(Curves!$G$22:$G$66,MATCH(MIN(R$5,MAX(Curves!$C$22:$C$66*(Curves!$G$22:$G$66&lt;&gt;""))),Curves!$C$22:$C$66,0))/INDEX(Curves!$H$22:$H$66,MATCH(MIN(R$5,MAX(Curves!$C$22:$C$66*(Curves!$G$22:$G$66&lt;&gt;""))),Curves!$C$22:$C$66,0)),1))</f>
        <v>0.66753300758914647</v>
      </c>
      <c r="S310" s="155">
        <f t="array" ref="S310">IF(S$10=0,1,IF(Inputs!$E$275=1,INDEX(Curves!$G$22:$G$66,MATCH(MIN(S$5,MAX(Curves!$C$22:$C$66*(Curves!$G$22:$G$66&lt;&gt;""))),Curves!$C$22:$C$66,0))/INDEX(Curves!$H$22:$H$66,MATCH(MIN(S$5,MAX(Curves!$C$22:$C$66*(Curves!$G$22:$G$66&lt;&gt;""))),Curves!$C$22:$C$66,0)),1))</f>
        <v>0.67102090032154349</v>
      </c>
      <c r="T310" s="155">
        <f t="array" ref="T310">IF(T$10=0,1,IF(Inputs!$E$275=1,INDEX(Curves!$G$22:$G$66,MATCH(MIN(T$5,MAX(Curves!$C$22:$C$66*(Curves!$G$22:$G$66&lt;&gt;""))),Curves!$C$22:$C$66,0))/INDEX(Curves!$H$22:$H$66,MATCH(MIN(T$5,MAX(Curves!$C$22:$C$66*(Curves!$G$22:$G$66&lt;&gt;""))),Curves!$C$22:$C$66,0)),1))</f>
        <v>0.67318464202057227</v>
      </c>
      <c r="U310" s="155">
        <f t="array" ref="U310">IF(U$10=0,1,IF(Inputs!$E$275=1,INDEX(Curves!$G$22:$G$66,MATCH(MIN(U$5,MAX(Curves!$C$22:$C$66*(Curves!$G$22:$G$66&lt;&gt;""))),Curves!$C$22:$C$66,0))/INDEX(Curves!$H$22:$H$66,MATCH(MIN(U$5,MAX(Curves!$C$22:$C$66*(Curves!$G$22:$G$66&lt;&gt;""))),Curves!$C$22:$C$66,0)),1))</f>
        <v>0.67127354627354618</v>
      </c>
      <c r="V310" s="155">
        <f t="array" ref="V310">IF(V$10=0,1,IF(Inputs!$E$275=1,INDEX(Curves!$G$22:$G$66,MATCH(MIN(V$5,MAX(Curves!$C$22:$C$66*(Curves!$G$22:$G$66&lt;&gt;""))),Curves!$C$22:$C$66,0))/INDEX(Curves!$H$22:$H$66,MATCH(MIN(V$5,MAX(Curves!$C$22:$C$66*(Curves!$G$22:$G$66&lt;&gt;""))),Curves!$C$22:$C$66,0)),1))</f>
        <v>0.66718458669981351</v>
      </c>
      <c r="W310" s="155">
        <f t="array" ref="W310">IF(W$10=0,1,IF(Inputs!$E$275=1,INDEX(Curves!$G$22:$G$66,MATCH(MIN(W$5,MAX(Curves!$C$22:$C$66*(Curves!$G$22:$G$66&lt;&gt;""))),Curves!$C$22:$C$66,0))/INDEX(Curves!$H$22:$H$66,MATCH(MIN(W$5,MAX(Curves!$C$22:$C$66*(Curves!$G$22:$G$66&lt;&gt;""))),Curves!$C$22:$C$66,0)),1))</f>
        <v>0.66481384373361307</v>
      </c>
      <c r="X310" s="155">
        <f t="array" ref="X310">IF(X$10=0,1,IF(Inputs!$E$275=1,INDEX(Curves!$G$22:$G$66,MATCH(MIN(X$5,MAX(Curves!$C$22:$C$66*(Curves!$G$22:$G$66&lt;&gt;""))),Curves!$C$22:$C$66,0))/INDEX(Curves!$H$22:$H$66,MATCH(MIN(X$5,MAX(Curves!$C$22:$C$66*(Curves!$G$22:$G$66&lt;&gt;""))),Curves!$C$22:$C$66,0)),1))</f>
        <v>0.66157046281851273</v>
      </c>
      <c r="Y310" s="155">
        <f t="array" ref="Y310">IF(Y$10=0,1,IF(Inputs!$E$275=1,INDEX(Curves!$G$22:$G$66,MATCH(MIN(Y$5,MAX(Curves!$C$22:$C$66*(Curves!$G$22:$G$66&lt;&gt;""))),Curves!$C$22:$C$66,0))/INDEX(Curves!$H$22:$H$66,MATCH(MIN(Y$5,MAX(Curves!$C$22:$C$66*(Curves!$G$22:$G$66&lt;&gt;""))),Curves!$C$22:$C$66,0)),1))</f>
        <v>0.6559418785677219</v>
      </c>
      <c r="Z310" s="155">
        <f t="array" ref="Z310">IF(Z$10=0,1,IF(Inputs!$E$275=1,INDEX(Curves!$G$22:$G$66,MATCH(MIN(Z$5,MAX(Curves!$C$22:$C$66*(Curves!$G$22:$G$66&lt;&gt;""))),Curves!$C$22:$C$66,0))/INDEX(Curves!$H$22:$H$66,MATCH(MIN(Z$5,MAX(Curves!$C$22:$C$66*(Curves!$G$22:$G$66&lt;&gt;""))),Curves!$C$22:$C$66,0)),1))</f>
        <v>0.65041841004184109</v>
      </c>
      <c r="AA310" s="155">
        <f t="array" ref="AA310">IF(AA$10=0,1,IF(Inputs!$E$275=1,INDEX(Curves!$G$22:$G$66,MATCH(MIN(AA$5,MAX(Curves!$C$22:$C$66*(Curves!$G$22:$G$66&lt;&gt;""))),Curves!$C$22:$C$66,0))/INDEX(Curves!$H$22:$H$66,MATCH(MIN(AA$5,MAX(Curves!$C$22:$C$66*(Curves!$G$22:$G$66&lt;&gt;""))),Curves!$C$22:$C$66,0)),1))</f>
        <v>0.64694381559991765</v>
      </c>
      <c r="AB310" s="155">
        <f t="array" ref="AB310">IF(AB$10=0,1,IF(Inputs!$E$275=1,INDEX(Curves!$G$22:$G$66,MATCH(MIN(AB$5,MAX(Curves!$C$22:$C$66*(Curves!$G$22:$G$66&lt;&gt;""))),Curves!$C$22:$C$66,0))/INDEX(Curves!$H$22:$H$66,MATCH(MIN(AB$5,MAX(Curves!$C$22:$C$66*(Curves!$G$22:$G$66&lt;&gt;""))),Curves!$C$22:$C$66,0)),1))</f>
        <v>0.63622354633244294</v>
      </c>
      <c r="AC310" s="155">
        <f t="array" ref="AC310">IF(AC$10=0,1,IF(Inputs!$E$275=1,INDEX(Curves!$G$22:$G$66,MATCH(MIN(AC$5,MAX(Curves!$C$22:$C$66*(Curves!$G$22:$G$66&lt;&gt;""))),Curves!$C$22:$C$66,0))/INDEX(Curves!$H$22:$H$66,MATCH(MIN(AC$5,MAX(Curves!$C$22:$C$66*(Curves!$G$22:$G$66&lt;&gt;""))),Curves!$C$22:$C$66,0)),1))</f>
        <v>0.63148682042833604</v>
      </c>
      <c r="AD310" s="155">
        <f t="array" ref="AD310">IF(AD$10=0,1,IF(Inputs!$E$275=1,INDEX(Curves!$G$22:$G$66,MATCH(MIN(AD$5,MAX(Curves!$C$22:$C$66*(Curves!$G$22:$G$66&lt;&gt;""))),Curves!$C$22:$C$66,0))/INDEX(Curves!$H$22:$H$66,MATCH(MIN(AD$5,MAX(Curves!$C$22:$C$66*(Curves!$G$22:$G$66&lt;&gt;""))),Curves!$C$22:$C$66,0)),1))</f>
        <v>0.63171140939597314</v>
      </c>
      <c r="AE310" s="155">
        <f t="array" ref="AE310">IF(AE$10=0,1,IF(Inputs!$E$275=1,INDEX(Curves!$G$22:$G$66,MATCH(MIN(AE$5,MAX(Curves!$C$22:$C$66*(Curves!$G$22:$G$66&lt;&gt;""))),Curves!$C$22:$C$66,0))/INDEX(Curves!$H$22:$H$66,MATCH(MIN(AE$5,MAX(Curves!$C$22:$C$66*(Curves!$G$22:$G$66&lt;&gt;""))),Curves!$C$22:$C$66,0)),1))</f>
        <v>0.62430591932949187</v>
      </c>
      <c r="AF310" s="155">
        <f t="array" ref="AF310">IF(AF$10=0,1,IF(Inputs!$E$275=1,INDEX(Curves!$G$22:$G$66,MATCH(MIN(AF$5,MAX(Curves!$C$22:$C$66*(Curves!$G$22:$G$66&lt;&gt;""))),Curves!$C$22:$C$66,0))/INDEX(Curves!$H$22:$H$66,MATCH(MIN(AF$5,MAX(Curves!$C$22:$C$66*(Curves!$G$22:$G$66&lt;&gt;""))),Curves!$C$22:$C$66,0)),1))</f>
        <v>0.61704159592529717</v>
      </c>
      <c r="AG310" s="155">
        <f t="array" ref="AG310">IF(AG$10=0,1,IF(Inputs!$E$275=1,INDEX(Curves!$G$22:$G$66,MATCH(MIN(AG$5,MAX(Curves!$C$22:$C$66*(Curves!$G$22:$G$66&lt;&gt;""))),Curves!$C$22:$C$66,0))/INDEX(Curves!$H$22:$H$66,MATCH(MIN(AG$5,MAX(Curves!$C$22:$C$66*(Curves!$G$22:$G$66&lt;&gt;""))),Curves!$C$22:$C$66,0)),1))</f>
        <v>0.61733161733161734</v>
      </c>
      <c r="AH310" s="155">
        <f t="array" ref="AH310">IF(AH$10=0,1,IF(Inputs!$E$275=1,INDEX(Curves!$G$22:$G$66,MATCH(MIN(AH$5,MAX(Curves!$C$22:$C$66*(Curves!$G$22:$G$66&lt;&gt;""))),Curves!$C$22:$C$66,0))/INDEX(Curves!$H$22:$H$66,MATCH(MIN(AH$5,MAX(Curves!$C$22:$C$66*(Curves!$G$22:$G$66&lt;&gt;""))),Curves!$C$22:$C$66,0)),1))</f>
        <v>0.61791989523081958</v>
      </c>
      <c r="AI310" s="155">
        <f t="array" ref="AI310">IF(AI$10=0,1,IF(Inputs!$E$275=1,INDEX(Curves!$G$22:$G$66,MATCH(MIN(AI$5,MAX(Curves!$C$22:$C$66*(Curves!$G$22:$G$66&lt;&gt;""))),Curves!$C$22:$C$66,0))/INDEX(Curves!$H$22:$H$66,MATCH(MIN(AI$5,MAX(Curves!$C$22:$C$66*(Curves!$G$22:$G$66&lt;&gt;""))),Curves!$C$22:$C$66,0)),1))</f>
        <v>0.61695685087055263</v>
      </c>
      <c r="AJ310" s="155">
        <f t="array" ref="AJ310">IF(AJ$10=0,1,IF(Inputs!$E$275=1,INDEX(Curves!$G$22:$G$66,MATCH(MIN(AJ$5,MAX(Curves!$C$22:$C$66*(Curves!$G$22:$G$66&lt;&gt;""))),Curves!$C$22:$C$66,0))/INDEX(Curves!$H$22:$H$66,MATCH(MIN(AJ$5,MAX(Curves!$C$22:$C$66*(Curves!$G$22:$G$66&lt;&gt;""))),Curves!$C$22:$C$66,0)),1))</f>
        <v>0.62413043478260877</v>
      </c>
      <c r="AK310" s="155">
        <f t="array" ref="AK310">IF(AK$10=0,1,IF(Inputs!$E$275=1,INDEX(Curves!$G$22:$G$66,MATCH(MIN(AK$5,MAX(Curves!$C$22:$C$66*(Curves!$G$22:$G$66&lt;&gt;""))),Curves!$C$22:$C$66,0))/INDEX(Curves!$H$22:$H$66,MATCH(MIN(AK$5,MAX(Curves!$C$22:$C$66*(Curves!$G$22:$G$66&lt;&gt;""))),Curves!$C$22:$C$66,0)),1))</f>
        <v>0.62356667030686908</v>
      </c>
      <c r="AL310" s="155">
        <f t="array" ref="AL310">IF(AL$10=0,1,IF(Inputs!$E$275=1,INDEX(Curves!$G$22:$G$66,MATCH(MIN(AL$5,MAX(Curves!$C$22:$C$66*(Curves!$G$22:$G$66&lt;&gt;""))),Curves!$C$22:$C$66,0))/INDEX(Curves!$H$22:$H$66,MATCH(MIN(AL$5,MAX(Curves!$C$22:$C$66*(Curves!$G$22:$G$66&lt;&gt;""))),Curves!$C$22:$C$66,0)),1))</f>
        <v>0.62663127626631276</v>
      </c>
      <c r="AM310" s="155">
        <f t="array" ref="AM310">IF(AM$10=0,1,IF(Inputs!$E$275=1,INDEX(Curves!$G$22:$G$66,MATCH(MIN(AM$5,MAX(Curves!$C$22:$C$66*(Curves!$G$22:$G$66&lt;&gt;""))),Curves!$C$22:$C$66,0))/INDEX(Curves!$H$22:$H$66,MATCH(MIN(AM$5,MAX(Curves!$C$22:$C$66*(Curves!$G$22:$G$66&lt;&gt;""))),Curves!$C$22:$C$66,0)),1))</f>
        <v>0.62660520250246954</v>
      </c>
      <c r="AN310" s="155">
        <f t="array" ref="AN310">IF(AN$10=0,1,IF(Inputs!$E$275=1,INDEX(Curves!$G$22:$G$66,MATCH(MIN(AN$5,MAX(Curves!$C$22:$C$66*(Curves!$G$22:$G$66&lt;&gt;""))),Curves!$C$22:$C$66,0))/INDEX(Curves!$H$22:$H$66,MATCH(MIN(AN$5,MAX(Curves!$C$22:$C$66*(Curves!$G$22:$G$66&lt;&gt;""))),Curves!$C$22:$C$66,0)),1))</f>
        <v>0.63085369792227364</v>
      </c>
      <c r="AO310" s="155">
        <f t="array" ref="AO310">IF(AO$10=0,1,IF(Inputs!$E$275=1,INDEX(Curves!$G$22:$G$66,MATCH(MIN(AO$5,MAX(Curves!$C$22:$C$66*(Curves!$G$22:$G$66&lt;&gt;""))),Curves!$C$22:$C$66,0))/INDEX(Curves!$H$22:$H$66,MATCH(MIN(AO$5,MAX(Curves!$C$22:$C$66*(Curves!$G$22:$G$66&lt;&gt;""))),Curves!$C$22:$C$66,0)),1))</f>
        <v>0.62265351574928407</v>
      </c>
      <c r="AP310" s="155">
        <f t="array" ref="AP310">IF(AP$10=0,1,IF(Inputs!$E$275=1,INDEX(Curves!$G$22:$G$66,MATCH(MIN(AP$5,MAX(Curves!$C$22:$C$66*(Curves!$G$22:$G$66&lt;&gt;""))),Curves!$C$22:$C$66,0))/INDEX(Curves!$H$22:$H$66,MATCH(MIN(AP$5,MAX(Curves!$C$22:$C$66*(Curves!$G$22:$G$66&lt;&gt;""))),Curves!$C$22:$C$66,0)),1))</f>
        <v>0.62232219365895458</v>
      </c>
      <c r="AQ310" s="155">
        <f t="array" ref="AQ310">IF(AQ$10=0,1,IF(Inputs!$E$275=1,INDEX(Curves!$G$22:$G$66,MATCH(MIN(AQ$5,MAX(Curves!$C$22:$C$66*(Curves!$G$22:$G$66&lt;&gt;""))),Curves!$C$22:$C$66,0))/INDEX(Curves!$H$22:$H$66,MATCH(MIN(AQ$5,MAX(Curves!$C$22:$C$66*(Curves!$G$22:$G$66&lt;&gt;""))),Curves!$C$22:$C$66,0)),1))</f>
        <v>0.62232219365895458</v>
      </c>
    </row>
    <row r="311" spans="3:43" x14ac:dyDescent="0.25">
      <c r="C311" t="s">
        <v>1400</v>
      </c>
      <c r="D311" t="s">
        <v>7</v>
      </c>
      <c r="E311" s="139"/>
      <c r="F311" s="139"/>
      <c r="G311" s="139"/>
      <c r="H311" s="155">
        <f>Inputs!$E$274</f>
        <v>0.9</v>
      </c>
      <c r="I311" s="155">
        <f>Inputs!$E$274</f>
        <v>0.9</v>
      </c>
      <c r="J311" s="155">
        <f>Inputs!$E$274</f>
        <v>0.9</v>
      </c>
      <c r="K311" s="155">
        <f>Inputs!$E$274</f>
        <v>0.9</v>
      </c>
      <c r="L311" s="155">
        <f>Inputs!$E$274</f>
        <v>0.9</v>
      </c>
      <c r="M311" s="155">
        <f>Inputs!$E$274</f>
        <v>0.9</v>
      </c>
      <c r="N311" s="155">
        <f>Inputs!$E$274</f>
        <v>0.9</v>
      </c>
      <c r="O311" s="155">
        <f>Inputs!$E$274</f>
        <v>0.9</v>
      </c>
      <c r="P311" s="155">
        <f>Inputs!$E$274</f>
        <v>0.9</v>
      </c>
      <c r="Q311" s="155">
        <f>Inputs!$E$274</f>
        <v>0.9</v>
      </c>
      <c r="R311" s="155">
        <f>Inputs!$E$274</f>
        <v>0.9</v>
      </c>
      <c r="S311" s="155">
        <f>Inputs!$E$274</f>
        <v>0.9</v>
      </c>
      <c r="T311" s="155">
        <f>Inputs!$E$274</f>
        <v>0.9</v>
      </c>
      <c r="U311" s="155">
        <f>Inputs!$E$274</f>
        <v>0.9</v>
      </c>
      <c r="V311" s="155">
        <f>Inputs!$E$274</f>
        <v>0.9</v>
      </c>
      <c r="W311" s="155">
        <f>Inputs!$E$274</f>
        <v>0.9</v>
      </c>
      <c r="X311" s="155">
        <f>Inputs!$E$274</f>
        <v>0.9</v>
      </c>
      <c r="Y311" s="155">
        <f>Inputs!$E$274</f>
        <v>0.9</v>
      </c>
      <c r="Z311" s="155">
        <f>Inputs!$E$274</f>
        <v>0.9</v>
      </c>
      <c r="AA311" s="155">
        <f>Inputs!$E$274</f>
        <v>0.9</v>
      </c>
      <c r="AB311" s="155">
        <f>Inputs!$E$274</f>
        <v>0.9</v>
      </c>
      <c r="AC311" s="155">
        <f>Inputs!$E$274</f>
        <v>0.9</v>
      </c>
      <c r="AD311" s="155">
        <f>Inputs!$E$274</f>
        <v>0.9</v>
      </c>
      <c r="AE311" s="155">
        <f>Inputs!$E$274</f>
        <v>0.9</v>
      </c>
      <c r="AF311" s="155">
        <f>Inputs!$E$274</f>
        <v>0.9</v>
      </c>
      <c r="AG311" s="155">
        <f>Inputs!$E$274</f>
        <v>0.9</v>
      </c>
      <c r="AH311" s="155">
        <f>Inputs!$E$274</f>
        <v>0.9</v>
      </c>
      <c r="AI311" s="155">
        <f>Inputs!$E$274</f>
        <v>0.9</v>
      </c>
      <c r="AJ311" s="155">
        <f>Inputs!$E$274</f>
        <v>0.9</v>
      </c>
      <c r="AK311" s="155">
        <f>Inputs!$E$274</f>
        <v>0.9</v>
      </c>
      <c r="AL311" s="155">
        <f>Inputs!$E$274</f>
        <v>0.9</v>
      </c>
      <c r="AM311" s="155">
        <f>Inputs!$E$274</f>
        <v>0.9</v>
      </c>
      <c r="AN311" s="155">
        <f>Inputs!$E$274</f>
        <v>0.9</v>
      </c>
      <c r="AO311" s="155">
        <f>Inputs!$E$274</f>
        <v>0.9</v>
      </c>
      <c r="AP311" s="155">
        <f>Inputs!$E$274</f>
        <v>0.9</v>
      </c>
      <c r="AQ311" s="155">
        <f>Inputs!$E$274</f>
        <v>0.9</v>
      </c>
    </row>
    <row r="312" spans="3:43" x14ac:dyDescent="0.25">
      <c r="C312" t="s">
        <v>1401</v>
      </c>
      <c r="D312" t="s">
        <v>125</v>
      </c>
      <c r="E312" s="139"/>
      <c r="F312" s="139"/>
      <c r="G312" s="139">
        <f>SUM(H312:AQ312)</f>
        <v>864722.02211399225</v>
      </c>
      <c r="H312" s="139">
        <f t="shared" ref="H312:AQ312" si="128">H52*H310*H311+H53*H311</f>
        <v>0</v>
      </c>
      <c r="I312" s="139">
        <f t="shared" si="128"/>
        <v>0</v>
      </c>
      <c r="J312" s="139">
        <f t="shared" si="128"/>
        <v>0</v>
      </c>
      <c r="K312" s="139">
        <f t="shared" si="128"/>
        <v>0</v>
      </c>
      <c r="L312" s="139">
        <f t="shared" si="128"/>
        <v>0</v>
      </c>
      <c r="M312" s="139">
        <f t="shared" si="128"/>
        <v>11536.452647808424</v>
      </c>
      <c r="N312" s="139">
        <f t="shared" si="128"/>
        <v>26149.486608000003</v>
      </c>
      <c r="O312" s="139">
        <f t="shared" si="128"/>
        <v>26331.748529657762</v>
      </c>
      <c r="P312" s="139">
        <f t="shared" si="128"/>
        <v>26515.280816909468</v>
      </c>
      <c r="Q312" s="139">
        <f t="shared" si="128"/>
        <v>26700.092324203335</v>
      </c>
      <c r="R312" s="139">
        <f t="shared" si="128"/>
        <v>26886.191967703031</v>
      </c>
      <c r="S312" s="139">
        <f t="shared" si="128"/>
        <v>27073.588725717927</v>
      </c>
      <c r="T312" s="139">
        <f t="shared" si="128"/>
        <v>27262.291639136165</v>
      </c>
      <c r="U312" s="139">
        <f t="shared" si="128"/>
        <v>27452.309811860956</v>
      </c>
      <c r="V312" s="139">
        <f t="shared" si="128"/>
        <v>27643.65241124963</v>
      </c>
      <c r="W312" s="139">
        <f t="shared" si="128"/>
        <v>27836.328668556042</v>
      </c>
      <c r="X312" s="139">
        <f t="shared" si="128"/>
        <v>28030.34787937587</v>
      </c>
      <c r="Y312" s="139">
        <f t="shared" si="128"/>
        <v>28225.719404095122</v>
      </c>
      <c r="Z312" s="139">
        <f t="shared" si="128"/>
        <v>28422.452668341663</v>
      </c>
      <c r="AA312" s="139">
        <f t="shared" si="128"/>
        <v>28620.557163440004</v>
      </c>
      <c r="AB312" s="139">
        <f t="shared" si="128"/>
        <v>28820.042446869185</v>
      </c>
      <c r="AC312" s="139">
        <f t="shared" si="128"/>
        <v>29020.918142723865</v>
      </c>
      <c r="AD312" s="139">
        <f t="shared" si="128"/>
        <v>29223.193942178659</v>
      </c>
      <c r="AE312" s="139">
        <f t="shared" si="128"/>
        <v>29426.879603955644</v>
      </c>
      <c r="AF312" s="139">
        <f t="shared" si="128"/>
        <v>29631.984954795211</v>
      </c>
      <c r="AG312" s="139">
        <f t="shared" si="128"/>
        <v>29838.519889930139</v>
      </c>
      <c r="AH312" s="139">
        <f t="shared" si="128"/>
        <v>30046.494373562946</v>
      </c>
      <c r="AI312" s="139">
        <f t="shared" si="128"/>
        <v>30255.918439346682</v>
      </c>
      <c r="AJ312" s="139">
        <f t="shared" si="128"/>
        <v>30466.80219086893</v>
      </c>
      <c r="AK312" s="139">
        <f t="shared" si="128"/>
        <v>30679.155802139292</v>
      </c>
      <c r="AL312" s="139">
        <f t="shared" si="128"/>
        <v>30892.989518080205</v>
      </c>
      <c r="AM312" s="139">
        <f t="shared" si="128"/>
        <v>31108.313655021226</v>
      </c>
      <c r="AN312" s="139">
        <f t="shared" si="128"/>
        <v>31325.138601196708</v>
      </c>
      <c r="AO312" s="139">
        <f t="shared" si="128"/>
        <v>31543.474817247054</v>
      </c>
      <c r="AP312" s="139">
        <f t="shared" si="128"/>
        <v>31763.332836723272</v>
      </c>
      <c r="AQ312" s="139">
        <f t="shared" si="128"/>
        <v>15992.36163329762</v>
      </c>
    </row>
    <row r="313" spans="3:43" x14ac:dyDescent="0.25">
      <c r="C313" t="s">
        <v>1402</v>
      </c>
      <c r="D313" t="s">
        <v>7</v>
      </c>
      <c r="E313" s="139"/>
      <c r="F313" s="139"/>
      <c r="G313" s="139"/>
      <c r="H313" s="155">
        <f t="shared" ref="H313:AQ313" si="129">IF(H54=0,1,H312/H54)</f>
        <v>1</v>
      </c>
      <c r="I313" s="155">
        <f t="shared" si="129"/>
        <v>1</v>
      </c>
      <c r="J313" s="155">
        <f t="shared" si="129"/>
        <v>1</v>
      </c>
      <c r="K313" s="155">
        <f t="shared" si="129"/>
        <v>1</v>
      </c>
      <c r="L313" s="155">
        <f t="shared" si="129"/>
        <v>1</v>
      </c>
      <c r="M313" s="155">
        <f t="shared" si="129"/>
        <v>0.62370341539359742</v>
      </c>
      <c r="N313" s="155">
        <f t="shared" si="129"/>
        <v>0.9</v>
      </c>
      <c r="O313" s="155">
        <f t="shared" si="129"/>
        <v>0.9</v>
      </c>
      <c r="P313" s="155">
        <f t="shared" si="129"/>
        <v>0.9</v>
      </c>
      <c r="Q313" s="155">
        <f t="shared" si="129"/>
        <v>0.9</v>
      </c>
      <c r="R313" s="155">
        <f t="shared" si="129"/>
        <v>0.9</v>
      </c>
      <c r="S313" s="155">
        <f t="shared" si="129"/>
        <v>0.9</v>
      </c>
      <c r="T313" s="155">
        <f t="shared" si="129"/>
        <v>0.9</v>
      </c>
      <c r="U313" s="155">
        <f t="shared" si="129"/>
        <v>0.9</v>
      </c>
      <c r="V313" s="155">
        <f t="shared" si="129"/>
        <v>0.9</v>
      </c>
      <c r="W313" s="155">
        <f t="shared" si="129"/>
        <v>0.9</v>
      </c>
      <c r="X313" s="155">
        <f t="shared" si="129"/>
        <v>0.89999999999999991</v>
      </c>
      <c r="Y313" s="155">
        <f t="shared" si="129"/>
        <v>0.9</v>
      </c>
      <c r="Z313" s="155">
        <f t="shared" si="129"/>
        <v>0.89999999999999991</v>
      </c>
      <c r="AA313" s="155">
        <f t="shared" si="129"/>
        <v>0.9</v>
      </c>
      <c r="AB313" s="155">
        <f t="shared" si="129"/>
        <v>0.9</v>
      </c>
      <c r="AC313" s="155">
        <f t="shared" si="129"/>
        <v>0.9</v>
      </c>
      <c r="AD313" s="155">
        <f t="shared" si="129"/>
        <v>0.9</v>
      </c>
      <c r="AE313" s="155">
        <f t="shared" si="129"/>
        <v>0.9</v>
      </c>
      <c r="AF313" s="155">
        <f t="shared" si="129"/>
        <v>0.9</v>
      </c>
      <c r="AG313" s="155">
        <f t="shared" si="129"/>
        <v>0.9</v>
      </c>
      <c r="AH313" s="155">
        <f t="shared" si="129"/>
        <v>0.9</v>
      </c>
      <c r="AI313" s="155">
        <f t="shared" si="129"/>
        <v>0.9</v>
      </c>
      <c r="AJ313" s="155">
        <f t="shared" si="129"/>
        <v>0.9</v>
      </c>
      <c r="AK313" s="155">
        <f t="shared" si="129"/>
        <v>0.9</v>
      </c>
      <c r="AL313" s="155">
        <f t="shared" si="129"/>
        <v>0.9</v>
      </c>
      <c r="AM313" s="155">
        <f t="shared" si="129"/>
        <v>0.9</v>
      </c>
      <c r="AN313" s="155">
        <f t="shared" si="129"/>
        <v>0.9</v>
      </c>
      <c r="AO313" s="155">
        <f t="shared" si="129"/>
        <v>0.9</v>
      </c>
      <c r="AP313" s="155">
        <f t="shared" si="129"/>
        <v>0.9</v>
      </c>
      <c r="AQ313" s="155">
        <f t="shared" si="129"/>
        <v>0.9</v>
      </c>
    </row>
    <row r="314" spans="3:43" x14ac:dyDescent="0.25">
      <c r="C314" t="s">
        <v>1403</v>
      </c>
      <c r="D314" t="s">
        <v>125</v>
      </c>
      <c r="E314" s="139"/>
      <c r="F314" s="139"/>
      <c r="G314" s="139">
        <f>SUM(H314:AQ314)</f>
        <v>-269977.87871320732</v>
      </c>
      <c r="H314" s="139">
        <f t="shared" ref="H314:AQ314" si="130">H69+(H311-1)*(H56+H57+H59)+(H313-1)*(H58+H68)+$E$67*((H311-1)*(H56+H57)+(H313-1)*H58)</f>
        <v>0</v>
      </c>
      <c r="I314" s="139">
        <f t="shared" si="130"/>
        <v>0</v>
      </c>
      <c r="J314" s="139">
        <f t="shared" si="130"/>
        <v>0</v>
      </c>
      <c r="K314" s="139">
        <f t="shared" si="130"/>
        <v>-205.40321563322553</v>
      </c>
      <c r="L314" s="139">
        <f t="shared" si="130"/>
        <v>-417.64390243902449</v>
      </c>
      <c r="M314" s="139">
        <f t="shared" si="130"/>
        <v>-3464.8396948117102</v>
      </c>
      <c r="N314" s="139">
        <f t="shared" si="130"/>
        <v>-6698.7851550983996</v>
      </c>
      <c r="O314" s="139">
        <f t="shared" si="130"/>
        <v>-6827.4054620150209</v>
      </c>
      <c r="P314" s="139">
        <f t="shared" si="130"/>
        <v>-6959.1402281351329</v>
      </c>
      <c r="Q314" s="139">
        <f t="shared" si="130"/>
        <v>-7094.0643270467717</v>
      </c>
      <c r="R314" s="139">
        <f t="shared" si="130"/>
        <v>-7232.2544512993027</v>
      </c>
      <c r="S314" s="139">
        <f t="shared" si="130"/>
        <v>-7373.7891567521119</v>
      </c>
      <c r="T314" s="139">
        <f t="shared" si="130"/>
        <v>-7518.7489080076957</v>
      </c>
      <c r="U314" s="139">
        <f t="shared" si="130"/>
        <v>-7667.2161249558103</v>
      </c>
      <c r="V314" s="139">
        <f t="shared" si="130"/>
        <v>-7819.2752304558671</v>
      </c>
      <c r="W314" s="139">
        <f t="shared" si="130"/>
        <v>-7975.0126991854722</v>
      </c>
      <c r="X314" s="139">
        <f t="shared" si="130"/>
        <v>-8134.5171076837423</v>
      </c>
      <c r="Y314" s="139">
        <f t="shared" si="130"/>
        <v>-8297.8791856186417</v>
      </c>
      <c r="Z314" s="139">
        <f t="shared" si="130"/>
        <v>-8465.1918683083768</v>
      </c>
      <c r="AA314" s="139">
        <f t="shared" si="130"/>
        <v>-8636.5503505275901</v>
      </c>
      <c r="AB314" s="139">
        <f t="shared" si="130"/>
        <v>-8812.0521416298434</v>
      </c>
      <c r="AC314" s="139">
        <f t="shared" si="130"/>
        <v>-8991.7971220186919</v>
      </c>
      <c r="AD314" s="139">
        <f t="shared" si="130"/>
        <v>-9175.8876010004151</v>
      </c>
      <c r="AE314" s="139">
        <f t="shared" si="130"/>
        <v>-9364.4283760522576</v>
      </c>
      <c r="AF314" s="139">
        <f t="shared" si="130"/>
        <v>-9557.5267935409374</v>
      </c>
      <c r="AG314" s="139">
        <f t="shared" si="130"/>
        <v>-9755.2928109269542</v>
      </c>
      <c r="AH314" s="139">
        <f t="shared" si="130"/>
        <v>-9957.8390604911801</v>
      </c>
      <c r="AI314" s="139">
        <f t="shared" si="130"/>
        <v>-10165.280914621033</v>
      </c>
      <c r="AJ314" s="139">
        <f t="shared" si="130"/>
        <v>-10377.736552694514</v>
      </c>
      <c r="AK314" s="139">
        <f t="shared" si="130"/>
        <v>-10595.327029601283</v>
      </c>
      <c r="AL314" s="139">
        <f t="shared" si="130"/>
        <v>-10818.176345940967</v>
      </c>
      <c r="AM314" s="139">
        <f t="shared" si="130"/>
        <v>-11046.411519939833</v>
      </c>
      <c r="AN314" s="139">
        <f t="shared" si="130"/>
        <v>-11280.162661127948</v>
      </c>
      <c r="AO314" s="139">
        <f t="shared" si="130"/>
        <v>-11519.563045820089</v>
      </c>
      <c r="AP314" s="139">
        <f t="shared" si="130"/>
        <v>-11764.74919444463</v>
      </c>
      <c r="AQ314" s="139">
        <f t="shared" si="130"/>
        <v>-6007.9304753828455</v>
      </c>
    </row>
    <row r="315" spans="3:43" x14ac:dyDescent="0.25">
      <c r="C315" t="s">
        <v>1404</v>
      </c>
      <c r="D315" t="s">
        <v>125</v>
      </c>
      <c r="E315" s="139"/>
      <c r="F315" s="139"/>
      <c r="G315" s="139">
        <f>SUM(H315:AQ315)</f>
        <v>594744.14340078458</v>
      </c>
      <c r="H315" s="139">
        <f t="shared" ref="H315:AQ315" si="131">H312+H314</f>
        <v>0</v>
      </c>
      <c r="I315" s="139">
        <f t="shared" si="131"/>
        <v>0</v>
      </c>
      <c r="J315" s="139">
        <f t="shared" si="131"/>
        <v>0</v>
      </c>
      <c r="K315" s="139">
        <f t="shared" si="131"/>
        <v>-205.40321563322553</v>
      </c>
      <c r="L315" s="139">
        <f t="shared" si="131"/>
        <v>-417.64390243902449</v>
      </c>
      <c r="M315" s="139">
        <f t="shared" si="131"/>
        <v>8071.6129529967147</v>
      </c>
      <c r="N315" s="139">
        <f t="shared" si="131"/>
        <v>19450.701452901601</v>
      </c>
      <c r="O315" s="139">
        <f t="shared" si="131"/>
        <v>19504.343067642742</v>
      </c>
      <c r="P315" s="139">
        <f t="shared" si="131"/>
        <v>19556.140588774335</v>
      </c>
      <c r="Q315" s="139">
        <f t="shared" si="131"/>
        <v>19606.027997156561</v>
      </c>
      <c r="R315" s="139">
        <f t="shared" si="131"/>
        <v>19653.937516403726</v>
      </c>
      <c r="S315" s="139">
        <f t="shared" si="131"/>
        <v>19699.799568965816</v>
      </c>
      <c r="T315" s="139">
        <f t="shared" si="131"/>
        <v>19743.542731128469</v>
      </c>
      <c r="U315" s="139">
        <f t="shared" si="131"/>
        <v>19785.093686905144</v>
      </c>
      <c r="V315" s="139">
        <f t="shared" si="131"/>
        <v>19824.377180793763</v>
      </c>
      <c r="W315" s="139">
        <f t="shared" si="131"/>
        <v>19861.315969370567</v>
      </c>
      <c r="X315" s="139">
        <f t="shared" si="131"/>
        <v>19895.830771692126</v>
      </c>
      <c r="Y315" s="139">
        <f t="shared" si="131"/>
        <v>19927.840218476478</v>
      </c>
      <c r="Z315" s="139">
        <f t="shared" si="131"/>
        <v>19957.260800033284</v>
      </c>
      <c r="AA315" s="139">
        <f t="shared" si="131"/>
        <v>19984.006812912412</v>
      </c>
      <c r="AB315" s="139">
        <f t="shared" si="131"/>
        <v>20007.990305239342</v>
      </c>
      <c r="AC315" s="139">
        <f t="shared" si="131"/>
        <v>20029.121020705174</v>
      </c>
      <c r="AD315" s="139">
        <f t="shared" si="131"/>
        <v>20047.306341178242</v>
      </c>
      <c r="AE315" s="139">
        <f t="shared" si="131"/>
        <v>20062.451227903388</v>
      </c>
      <c r="AF315" s="139">
        <f t="shared" si="131"/>
        <v>20074.458161254275</v>
      </c>
      <c r="AG315" s="139">
        <f t="shared" si="131"/>
        <v>20083.227079003183</v>
      </c>
      <c r="AH315" s="139">
        <f t="shared" si="131"/>
        <v>20088.655313071766</v>
      </c>
      <c r="AI315" s="139">
        <f t="shared" si="131"/>
        <v>20090.637524725651</v>
      </c>
      <c r="AJ315" s="139">
        <f t="shared" si="131"/>
        <v>20089.065638174416</v>
      </c>
      <c r="AK315" s="139">
        <f t="shared" si="131"/>
        <v>20083.828772538007</v>
      </c>
      <c r="AL315" s="139">
        <f t="shared" si="131"/>
        <v>20074.813172139238</v>
      </c>
      <c r="AM315" s="139">
        <f t="shared" si="131"/>
        <v>20061.902135081393</v>
      </c>
      <c r="AN315" s="139">
        <f t="shared" si="131"/>
        <v>20044.975940068762</v>
      </c>
      <c r="AO315" s="139">
        <f t="shared" si="131"/>
        <v>20023.911771426967</v>
      </c>
      <c r="AP315" s="139">
        <f t="shared" si="131"/>
        <v>19998.583642278641</v>
      </c>
      <c r="AQ315" s="139">
        <f t="shared" si="131"/>
        <v>9984.4311579147743</v>
      </c>
    </row>
    <row r="316" spans="3:43" x14ac:dyDescent="0.25">
      <c r="C316" t="s">
        <v>1405</v>
      </c>
      <c r="D316" t="s">
        <v>125</v>
      </c>
      <c r="E316" s="139"/>
      <c r="F316" s="139"/>
      <c r="G316" s="139">
        <f>SUM(H316:AQ316)</f>
        <v>379697.26345586055</v>
      </c>
      <c r="H316" s="139">
        <f t="shared" ref="H316:AQ316" si="132">H315-H92-H81+H85+H16</f>
        <v>-88.621621621621628</v>
      </c>
      <c r="I316" s="139">
        <f t="shared" si="132"/>
        <v>-428.16554054054052</v>
      </c>
      <c r="J316" s="139">
        <f t="shared" si="132"/>
        <v>-876.86552844252708</v>
      </c>
      <c r="K316" s="139">
        <f t="shared" si="132"/>
        <v>-2124.2692491791408</v>
      </c>
      <c r="L316" s="139">
        <f t="shared" si="132"/>
        <v>-782.21875909087794</v>
      </c>
      <c r="M316" s="139">
        <f t="shared" si="132"/>
        <v>1603.5676666727686</v>
      </c>
      <c r="N316" s="139">
        <f t="shared" si="132"/>
        <v>6582.4584535242529</v>
      </c>
      <c r="O316" s="139">
        <f t="shared" si="132"/>
        <v>6837.3858934528371</v>
      </c>
      <c r="P316" s="139">
        <f t="shared" si="132"/>
        <v>7100.5335310312457</v>
      </c>
      <c r="Q316" s="139">
        <f t="shared" si="132"/>
        <v>7372.338561682629</v>
      </c>
      <c r="R316" s="139">
        <f t="shared" si="132"/>
        <v>7653.2615843124095</v>
      </c>
      <c r="S316" s="139">
        <f t="shared" si="132"/>
        <v>7943.7878154262453</v>
      </c>
      <c r="T316" s="139">
        <f t="shared" si="132"/>
        <v>8244.4283650682301</v>
      </c>
      <c r="U316" s="139">
        <f t="shared" si="132"/>
        <v>8555.7215776982048</v>
      </c>
      <c r="V316" s="139">
        <f t="shared" si="132"/>
        <v>8878.2344412827879</v>
      </c>
      <c r="W316" s="139">
        <f t="shared" si="132"/>
        <v>9212.564068040354</v>
      </c>
      <c r="X316" s="139">
        <f t="shared" si="132"/>
        <v>9559.3392504517142</v>
      </c>
      <c r="Y316" s="139">
        <f t="shared" si="132"/>
        <v>9919.2220963303571</v>
      </c>
      <c r="Z316" s="139">
        <f t="shared" si="132"/>
        <v>10292.909746936168</v>
      </c>
      <c r="AA316" s="139">
        <f t="shared" si="132"/>
        <v>10681.136182316752</v>
      </c>
      <c r="AB316" s="139">
        <f t="shared" si="132"/>
        <v>11084.67411827021</v>
      </c>
      <c r="AC316" s="139">
        <f t="shared" si="132"/>
        <v>11504.336999543895</v>
      </c>
      <c r="AD316" s="139">
        <f t="shared" si="132"/>
        <v>11522.522320016964</v>
      </c>
      <c r="AE316" s="139">
        <f t="shared" si="132"/>
        <v>11537.66720674211</v>
      </c>
      <c r="AF316" s="139">
        <f t="shared" si="132"/>
        <v>11549.674140092997</v>
      </c>
      <c r="AG316" s="139">
        <f t="shared" si="132"/>
        <v>15820.835068422542</v>
      </c>
      <c r="AH316" s="139">
        <f t="shared" si="132"/>
        <v>20088.655313071766</v>
      </c>
      <c r="AI316" s="139">
        <f t="shared" si="132"/>
        <v>20090.637524725651</v>
      </c>
      <c r="AJ316" s="139">
        <f t="shared" si="132"/>
        <v>20089.065638174416</v>
      </c>
      <c r="AK316" s="139">
        <f t="shared" si="132"/>
        <v>20083.828772538007</v>
      </c>
      <c r="AL316" s="139">
        <f t="shared" si="132"/>
        <v>20074.813172139238</v>
      </c>
      <c r="AM316" s="139">
        <f t="shared" si="132"/>
        <v>20061.902135081393</v>
      </c>
      <c r="AN316" s="139">
        <f t="shared" si="132"/>
        <v>20044.975940068762</v>
      </c>
      <c r="AO316" s="139">
        <f t="shared" si="132"/>
        <v>20023.911771426967</v>
      </c>
      <c r="AP316" s="139">
        <f t="shared" si="132"/>
        <v>19998.583642278641</v>
      </c>
      <c r="AQ316" s="139">
        <f t="shared" si="132"/>
        <v>9984.4311579147725</v>
      </c>
    </row>
    <row r="317" spans="3:43" x14ac:dyDescent="0.25">
      <c r="C317" t="s">
        <v>1406</v>
      </c>
      <c r="D317" t="s">
        <v>125</v>
      </c>
      <c r="E317" s="139"/>
      <c r="F317" s="139"/>
      <c r="G317" s="139"/>
      <c r="H317" s="139">
        <f t="shared" ref="H317:AQ317" si="133">N(G317)+MAX(-H316,0)-MIN(N(G317),MAX(H316,0)*$E$95)</f>
        <v>88.621621621621628</v>
      </c>
      <c r="I317" s="139">
        <f t="shared" si="133"/>
        <v>516.78716216216219</v>
      </c>
      <c r="J317" s="139">
        <f t="shared" si="133"/>
        <v>1393.6526906046893</v>
      </c>
      <c r="K317" s="139">
        <f t="shared" si="133"/>
        <v>3517.9219397838301</v>
      </c>
      <c r="L317" s="139">
        <f t="shared" si="133"/>
        <v>4300.1406988747076</v>
      </c>
      <c r="M317" s="139">
        <f t="shared" si="133"/>
        <v>3498.3568655383233</v>
      </c>
      <c r="N317" s="139">
        <f t="shared" si="133"/>
        <v>207.12763877619682</v>
      </c>
      <c r="O317" s="139">
        <f t="shared" si="133"/>
        <v>0</v>
      </c>
      <c r="P317" s="139">
        <f t="shared" si="133"/>
        <v>0</v>
      </c>
      <c r="Q317" s="139">
        <f t="shared" si="133"/>
        <v>0</v>
      </c>
      <c r="R317" s="139">
        <f t="shared" si="133"/>
        <v>0</v>
      </c>
      <c r="S317" s="139">
        <f t="shared" si="133"/>
        <v>0</v>
      </c>
      <c r="T317" s="139">
        <f t="shared" si="133"/>
        <v>0</v>
      </c>
      <c r="U317" s="139">
        <f t="shared" si="133"/>
        <v>0</v>
      </c>
      <c r="V317" s="139">
        <f t="shared" si="133"/>
        <v>0</v>
      </c>
      <c r="W317" s="139">
        <f t="shared" si="133"/>
        <v>0</v>
      </c>
      <c r="X317" s="139">
        <f t="shared" si="133"/>
        <v>0</v>
      </c>
      <c r="Y317" s="139">
        <f t="shared" si="133"/>
        <v>0</v>
      </c>
      <c r="Z317" s="139">
        <f t="shared" si="133"/>
        <v>0</v>
      </c>
      <c r="AA317" s="139">
        <f t="shared" si="133"/>
        <v>0</v>
      </c>
      <c r="AB317" s="139">
        <f t="shared" si="133"/>
        <v>0</v>
      </c>
      <c r="AC317" s="139">
        <f t="shared" si="133"/>
        <v>0</v>
      </c>
      <c r="AD317" s="139">
        <f t="shared" si="133"/>
        <v>0</v>
      </c>
      <c r="AE317" s="139">
        <f t="shared" si="133"/>
        <v>0</v>
      </c>
      <c r="AF317" s="139">
        <f t="shared" si="133"/>
        <v>0</v>
      </c>
      <c r="AG317" s="139">
        <f t="shared" si="133"/>
        <v>0</v>
      </c>
      <c r="AH317" s="139">
        <f t="shared" si="133"/>
        <v>0</v>
      </c>
      <c r="AI317" s="139">
        <f t="shared" si="133"/>
        <v>0</v>
      </c>
      <c r="AJ317" s="139">
        <f t="shared" si="133"/>
        <v>0</v>
      </c>
      <c r="AK317" s="139">
        <f t="shared" si="133"/>
        <v>0</v>
      </c>
      <c r="AL317" s="139">
        <f t="shared" si="133"/>
        <v>0</v>
      </c>
      <c r="AM317" s="139">
        <f t="shared" si="133"/>
        <v>0</v>
      </c>
      <c r="AN317" s="139">
        <f t="shared" si="133"/>
        <v>0</v>
      </c>
      <c r="AO317" s="139">
        <f t="shared" si="133"/>
        <v>0</v>
      </c>
      <c r="AP317" s="139">
        <f t="shared" si="133"/>
        <v>0</v>
      </c>
      <c r="AQ317" s="139">
        <f t="shared" si="133"/>
        <v>0</v>
      </c>
    </row>
    <row r="318" spans="3:43" x14ac:dyDescent="0.25">
      <c r="C318" t="s">
        <v>1407</v>
      </c>
      <c r="D318" t="s">
        <v>125</v>
      </c>
      <c r="E318" s="139"/>
      <c r="F318" s="139"/>
      <c r="G318" s="139">
        <f>SUM(H318:AQ318)</f>
        <v>-56954.589518379085</v>
      </c>
      <c r="H318" s="139">
        <f t="shared" ref="H318:AQ318" si="134">-(MAX(H316,0)-MIN(N(G317),MAX(H316,0)*$E$95))*$E$91-MAX(H316,0)*$E$99</f>
        <v>0</v>
      </c>
      <c r="I318" s="139">
        <f t="shared" si="134"/>
        <v>0</v>
      </c>
      <c r="J318" s="139">
        <f t="shared" si="134"/>
        <v>0</v>
      </c>
      <c r="K318" s="139">
        <f t="shared" si="134"/>
        <v>0</v>
      </c>
      <c r="L318" s="139">
        <f t="shared" si="134"/>
        <v>0</v>
      </c>
      <c r="M318" s="139">
        <f t="shared" si="134"/>
        <v>-120.26757500045764</v>
      </c>
      <c r="N318" s="139">
        <f t="shared" si="134"/>
        <v>-493.68438401431894</v>
      </c>
      <c r="O318" s="139">
        <f t="shared" si="134"/>
        <v>-994.53873820149602</v>
      </c>
      <c r="P318" s="139">
        <f t="shared" si="134"/>
        <v>-1065.0800296546868</v>
      </c>
      <c r="Q318" s="139">
        <f t="shared" si="134"/>
        <v>-1105.8507842523943</v>
      </c>
      <c r="R318" s="139">
        <f t="shared" si="134"/>
        <v>-1147.9892376468613</v>
      </c>
      <c r="S318" s="139">
        <f t="shared" si="134"/>
        <v>-1191.5681723139367</v>
      </c>
      <c r="T318" s="139">
        <f t="shared" si="134"/>
        <v>-1236.6642547602344</v>
      </c>
      <c r="U318" s="139">
        <f t="shared" si="134"/>
        <v>-1283.3582366547307</v>
      </c>
      <c r="V318" s="139">
        <f t="shared" si="134"/>
        <v>-1331.7351661924181</v>
      </c>
      <c r="W318" s="139">
        <f t="shared" si="134"/>
        <v>-1381.8846102060531</v>
      </c>
      <c r="X318" s="139">
        <f t="shared" si="134"/>
        <v>-1433.9008875677571</v>
      </c>
      <c r="Y318" s="139">
        <f t="shared" si="134"/>
        <v>-1487.8833144495536</v>
      </c>
      <c r="Z318" s="139">
        <f t="shared" si="134"/>
        <v>-1543.9364620404251</v>
      </c>
      <c r="AA318" s="139">
        <f t="shared" si="134"/>
        <v>-1602.1704273475127</v>
      </c>
      <c r="AB318" s="139">
        <f t="shared" si="134"/>
        <v>-1662.7011177405313</v>
      </c>
      <c r="AC318" s="139">
        <f t="shared" si="134"/>
        <v>-1725.6505499315842</v>
      </c>
      <c r="AD318" s="139">
        <f t="shared" si="134"/>
        <v>-1728.3783480025445</v>
      </c>
      <c r="AE318" s="139">
        <f t="shared" si="134"/>
        <v>-1730.6500810113164</v>
      </c>
      <c r="AF318" s="139">
        <f t="shared" si="134"/>
        <v>-1732.4511210139494</v>
      </c>
      <c r="AG318" s="139">
        <f t="shared" si="134"/>
        <v>-2373.1252602633813</v>
      </c>
      <c r="AH318" s="139">
        <f t="shared" si="134"/>
        <v>-3013.2982969607647</v>
      </c>
      <c r="AI318" s="139">
        <f t="shared" si="134"/>
        <v>-3013.5956287088475</v>
      </c>
      <c r="AJ318" s="139">
        <f t="shared" si="134"/>
        <v>-3013.3598457261623</v>
      </c>
      <c r="AK318" s="139">
        <f t="shared" si="134"/>
        <v>-3012.5743158807009</v>
      </c>
      <c r="AL318" s="139">
        <f t="shared" si="134"/>
        <v>-3011.2219758208857</v>
      </c>
      <c r="AM318" s="139">
        <f t="shared" si="134"/>
        <v>-3009.2853202622086</v>
      </c>
      <c r="AN318" s="139">
        <f t="shared" si="134"/>
        <v>-3006.7463910103143</v>
      </c>
      <c r="AO318" s="139">
        <f t="shared" si="134"/>
        <v>-3003.5867657140448</v>
      </c>
      <c r="AP318" s="139">
        <f t="shared" si="134"/>
        <v>-2999.7875463417963</v>
      </c>
      <c r="AQ318" s="139">
        <f t="shared" si="134"/>
        <v>-1497.6646736872158</v>
      </c>
    </row>
    <row r="319" spans="3:43" x14ac:dyDescent="0.25">
      <c r="C319" t="s">
        <v>1408</v>
      </c>
      <c r="D319" t="s">
        <v>125</v>
      </c>
      <c r="E319" s="139"/>
      <c r="F319" s="139"/>
      <c r="G319" s="139">
        <f>SUM(H319:AQ319)</f>
        <v>537789.55388240551</v>
      </c>
      <c r="H319" s="139">
        <f t="shared" ref="H319:AQ319" si="135">H315+H318</f>
        <v>0</v>
      </c>
      <c r="I319" s="139">
        <f t="shared" si="135"/>
        <v>0</v>
      </c>
      <c r="J319" s="139">
        <f t="shared" si="135"/>
        <v>0</v>
      </c>
      <c r="K319" s="139">
        <f t="shared" si="135"/>
        <v>-205.40321563322553</v>
      </c>
      <c r="L319" s="139">
        <f t="shared" si="135"/>
        <v>-417.64390243902449</v>
      </c>
      <c r="M319" s="139">
        <f t="shared" si="135"/>
        <v>7951.3453779962574</v>
      </c>
      <c r="N319" s="139">
        <f t="shared" si="135"/>
        <v>18957.017068887282</v>
      </c>
      <c r="O319" s="139">
        <f t="shared" si="135"/>
        <v>18509.804329441245</v>
      </c>
      <c r="P319" s="139">
        <f t="shared" si="135"/>
        <v>18491.060559119647</v>
      </c>
      <c r="Q319" s="139">
        <f t="shared" si="135"/>
        <v>18500.177212904167</v>
      </c>
      <c r="R319" s="139">
        <f t="shared" si="135"/>
        <v>18505.948278756867</v>
      </c>
      <c r="S319" s="139">
        <f t="shared" si="135"/>
        <v>18508.231396651881</v>
      </c>
      <c r="T319" s="139">
        <f t="shared" si="135"/>
        <v>18506.878476368234</v>
      </c>
      <c r="U319" s="139">
        <f t="shared" si="135"/>
        <v>18501.735450250413</v>
      </c>
      <c r="V319" s="139">
        <f t="shared" si="135"/>
        <v>18492.642014601344</v>
      </c>
      <c r="W319" s="139">
        <f t="shared" si="135"/>
        <v>18479.431359164515</v>
      </c>
      <c r="X319" s="139">
        <f t="shared" si="135"/>
        <v>18461.929884124369</v>
      </c>
      <c r="Y319" s="139">
        <f t="shared" si="135"/>
        <v>18439.956904026923</v>
      </c>
      <c r="Z319" s="139">
        <f t="shared" si="135"/>
        <v>18413.324337992857</v>
      </c>
      <c r="AA319" s="139">
        <f t="shared" si="135"/>
        <v>18381.8363855649</v>
      </c>
      <c r="AB319" s="139">
        <f t="shared" si="135"/>
        <v>18345.289187498809</v>
      </c>
      <c r="AC319" s="139">
        <f t="shared" si="135"/>
        <v>18303.470470773591</v>
      </c>
      <c r="AD319" s="139">
        <f t="shared" si="135"/>
        <v>18318.927993175697</v>
      </c>
      <c r="AE319" s="139">
        <f t="shared" si="135"/>
        <v>18331.80114689207</v>
      </c>
      <c r="AF319" s="139">
        <f t="shared" si="135"/>
        <v>18342.007040240325</v>
      </c>
      <c r="AG319" s="139">
        <f t="shared" si="135"/>
        <v>17710.1018187398</v>
      </c>
      <c r="AH319" s="139">
        <f t="shared" si="135"/>
        <v>17075.357016111</v>
      </c>
      <c r="AI319" s="139">
        <f t="shared" si="135"/>
        <v>17077.041896016803</v>
      </c>
      <c r="AJ319" s="139">
        <f t="shared" si="135"/>
        <v>17075.705792448254</v>
      </c>
      <c r="AK319" s="139">
        <f t="shared" si="135"/>
        <v>17071.254456657305</v>
      </c>
      <c r="AL319" s="139">
        <f t="shared" si="135"/>
        <v>17063.591196318353</v>
      </c>
      <c r="AM319" s="139">
        <f t="shared" si="135"/>
        <v>17052.616814819183</v>
      </c>
      <c r="AN319" s="139">
        <f t="shared" si="135"/>
        <v>17038.229549058447</v>
      </c>
      <c r="AO319" s="139">
        <f t="shared" si="135"/>
        <v>17020.325005712923</v>
      </c>
      <c r="AP319" s="139">
        <f t="shared" si="135"/>
        <v>16998.796095936847</v>
      </c>
      <c r="AQ319" s="139">
        <f t="shared" si="135"/>
        <v>8486.766484227559</v>
      </c>
    </row>
    <row r="320" spans="3:43" x14ac:dyDescent="0.25">
      <c r="C320" t="s">
        <v>1409</v>
      </c>
      <c r="D320" t="s">
        <v>7</v>
      </c>
      <c r="E320" s="139"/>
      <c r="F320" s="139"/>
      <c r="G320" s="155">
        <f>IF(COUNT(H320:AQ320)=0,"n/a",MIN(H320:AQ320))</f>
        <v>2.192006754671564</v>
      </c>
      <c r="H320" s="155" t="str">
        <f t="shared" ref="H320:AQ320" si="136">IF(AND(H$9&gt;=1,H$86&lt;-0.01),H319/-H86,"")</f>
        <v/>
      </c>
      <c r="I320" s="155" t="str">
        <f t="shared" si="136"/>
        <v/>
      </c>
      <c r="J320" s="155" t="str">
        <f t="shared" si="136"/>
        <v/>
      </c>
      <c r="K320" s="155" t="str">
        <f t="shared" si="136"/>
        <v/>
      </c>
      <c r="L320" s="155" t="str">
        <f t="shared" si="136"/>
        <v/>
      </c>
      <c r="M320" s="155" t="str">
        <f t="shared" si="136"/>
        <v/>
      </c>
      <c r="N320" s="155">
        <f t="shared" si="136"/>
        <v>2.2650997233524941</v>
      </c>
      <c r="O320" s="155">
        <f t="shared" si="136"/>
        <v>2.2116640246495871</v>
      </c>
      <c r="P320" s="155">
        <f t="shared" si="136"/>
        <v>2.2094244049448752</v>
      </c>
      <c r="Q320" s="155">
        <f t="shared" si="136"/>
        <v>2.2105137181997074</v>
      </c>
      <c r="R320" s="155">
        <f t="shared" si="136"/>
        <v>2.2112032802557469</v>
      </c>
      <c r="S320" s="155">
        <f t="shared" si="136"/>
        <v>2.2114760810710643</v>
      </c>
      <c r="T320" s="155">
        <f t="shared" si="136"/>
        <v>2.2113144259251589</v>
      </c>
      <c r="U320" s="155">
        <f t="shared" si="136"/>
        <v>2.2106999058772874</v>
      </c>
      <c r="V320" s="155">
        <f t="shared" si="136"/>
        <v>2.2096133668665252</v>
      </c>
      <c r="W320" s="155">
        <f t="shared" si="136"/>
        <v>2.2080348773886431</v>
      </c>
      <c r="X320" s="155">
        <f t="shared" si="136"/>
        <v>2.205943694681594</v>
      </c>
      <c r="Y320" s="155">
        <f t="shared" si="136"/>
        <v>2.2033182293481457</v>
      </c>
      <c r="Z320" s="155">
        <f t="shared" si="136"/>
        <v>2.2001360083406571</v>
      </c>
      <c r="AA320" s="155">
        <f t="shared" si="136"/>
        <v>2.1963736362293527</v>
      </c>
      <c r="AB320" s="155">
        <f t="shared" si="136"/>
        <v>2.192006754671564</v>
      </c>
      <c r="AC320" s="155" t="str">
        <f t="shared" si="136"/>
        <v/>
      </c>
      <c r="AD320" s="155" t="str">
        <f t="shared" si="136"/>
        <v/>
      </c>
      <c r="AE320" s="155" t="str">
        <f t="shared" si="136"/>
        <v/>
      </c>
      <c r="AF320" s="155" t="str">
        <f t="shared" si="136"/>
        <v/>
      </c>
      <c r="AG320" s="155" t="str">
        <f t="shared" si="136"/>
        <v/>
      </c>
      <c r="AH320" s="155" t="str">
        <f t="shared" si="136"/>
        <v/>
      </c>
      <c r="AI320" s="155" t="str">
        <f t="shared" si="136"/>
        <v/>
      </c>
      <c r="AJ320" s="155" t="str">
        <f t="shared" si="136"/>
        <v/>
      </c>
      <c r="AK320" s="155" t="str">
        <f t="shared" si="136"/>
        <v/>
      </c>
      <c r="AL320" s="155" t="str">
        <f t="shared" si="136"/>
        <v/>
      </c>
      <c r="AM320" s="155" t="str">
        <f t="shared" si="136"/>
        <v/>
      </c>
      <c r="AN320" s="155" t="str">
        <f t="shared" si="136"/>
        <v/>
      </c>
      <c r="AO320" s="155" t="str">
        <f t="shared" si="136"/>
        <v/>
      </c>
      <c r="AP320" s="155" t="str">
        <f t="shared" si="136"/>
        <v/>
      </c>
      <c r="AQ320" s="155" t="str">
        <f t="shared" si="136"/>
        <v/>
      </c>
    </row>
    <row r="321" spans="3:43" x14ac:dyDescent="0.25">
      <c r="C321" t="s">
        <v>1410</v>
      </c>
      <c r="D321" t="s">
        <v>125</v>
      </c>
      <c r="E321" s="139"/>
      <c r="F321" s="139"/>
      <c r="G321" s="139">
        <f>SUM(H321:AQ321)</f>
        <v>0</v>
      </c>
      <c r="H321" s="139">
        <f>IF(AND(H$9&gt;=1,H$9&lt;=Inputs!$E$272),MIN(MAX(H319+H86+H89,0)*Inputs!$E$271,H76+H77+H79-H83),0)</f>
        <v>0</v>
      </c>
      <c r="I321" s="139">
        <f>IF(AND(I$9&gt;=1,I$9&lt;=Inputs!$E$272),MIN(MAX(I319+I86+I89,0)*Inputs!$E$271,I76+I77+I79-I83),0)</f>
        <v>0</v>
      </c>
      <c r="J321" s="139">
        <f>IF(AND(J$9&gt;=1,J$9&lt;=Inputs!$E$272),MIN(MAX(J319+J86+J89,0)*Inputs!$E$271,J76+J77+J79-J83),0)</f>
        <v>0</v>
      </c>
      <c r="K321" s="139">
        <f>IF(AND(K$9&gt;=1,K$9&lt;=Inputs!$E$272),MIN(MAX(K319+K86+K89,0)*Inputs!$E$271,K76+K77+K79-K83),0)</f>
        <v>0</v>
      </c>
      <c r="L321" s="139">
        <f>IF(AND(L$9&gt;=1,L$9&lt;=Inputs!$E$272),MIN(MAX(L319+L86+L89,0)*Inputs!$E$271,L76+L77+L79-L83),0)</f>
        <v>0</v>
      </c>
      <c r="M321" s="139">
        <f>IF(AND(M$9&gt;=1,M$9&lt;=Inputs!$E$272),MIN(MAX(M319+M86+M89,0)*Inputs!$E$271,M76+M77+M79-M83),0)</f>
        <v>0</v>
      </c>
      <c r="N321" s="139">
        <f>IF(AND(N$9&gt;=1,N$9&lt;=Inputs!$E$272),MIN(MAX(N319+N86+N89,0)*Inputs!$E$271,N76+N77+N79-N83),0)</f>
        <v>0</v>
      </c>
      <c r="O321" s="139">
        <f>IF(AND(O$9&gt;=1,O$9&lt;=Inputs!$E$272),MIN(MAX(O319+O86+O89,0)*Inputs!$E$271,O76+O77+O79-O83),0)</f>
        <v>0</v>
      </c>
      <c r="P321" s="139">
        <f>IF(AND(P$9&gt;=1,P$9&lt;=Inputs!$E$272),MIN(MAX(P319+P86+P89,0)*Inputs!$E$271,P76+P77+P79-P83),0)</f>
        <v>0</v>
      </c>
      <c r="Q321" s="139">
        <f>IF(AND(Q$9&gt;=1,Q$9&lt;=Inputs!$E$272),MIN(MAX(Q319+Q86+Q89,0)*Inputs!$E$271,Q76+Q77+Q79-Q83),0)</f>
        <v>0</v>
      </c>
      <c r="R321" s="139">
        <f>IF(AND(R$9&gt;=1,R$9&lt;=Inputs!$E$272),MIN(MAX(R319+R86+R89,0)*Inputs!$E$271,R76+R77+R79-R83),0)</f>
        <v>0</v>
      </c>
      <c r="S321" s="139">
        <f>IF(AND(S$9&gt;=1,S$9&lt;=Inputs!$E$272),MIN(MAX(S319+S86+S89,0)*Inputs!$E$271,S76+S77+S79-S83),0)</f>
        <v>0</v>
      </c>
      <c r="T321" s="139">
        <f>IF(AND(T$9&gt;=1,T$9&lt;=Inputs!$E$272),MIN(MAX(T319+T86+T89,0)*Inputs!$E$271,T76+T77+T79-T83),0)</f>
        <v>0</v>
      </c>
      <c r="U321" s="139">
        <f>IF(AND(U$9&gt;=1,U$9&lt;=Inputs!$E$272),MIN(MAX(U319+U86+U89,0)*Inputs!$E$271,U76+U77+U79-U83),0)</f>
        <v>0</v>
      </c>
      <c r="V321" s="139">
        <f>IF(AND(V$9&gt;=1,V$9&lt;=Inputs!$E$272),MIN(MAX(V319+V86+V89,0)*Inputs!$E$271,V76+V77+V79-V83),0)</f>
        <v>0</v>
      </c>
      <c r="W321" s="139">
        <f>IF(AND(W$9&gt;=1,W$9&lt;=Inputs!$E$272),MIN(MAX(W319+W86+W89,0)*Inputs!$E$271,W76+W77+W79-W83),0)</f>
        <v>0</v>
      </c>
      <c r="X321" s="139">
        <f>IF(AND(X$9&gt;=1,X$9&lt;=Inputs!$E$272),MIN(MAX(X319+X86+X89,0)*Inputs!$E$271,X76+X77+X79-X83),0)</f>
        <v>0</v>
      </c>
      <c r="Y321" s="139">
        <f>IF(AND(Y$9&gt;=1,Y$9&lt;=Inputs!$E$272),MIN(MAX(Y319+Y86+Y89,0)*Inputs!$E$271,Y76+Y77+Y79-Y83),0)</f>
        <v>0</v>
      </c>
      <c r="Z321" s="139">
        <f>IF(AND(Z$9&gt;=1,Z$9&lt;=Inputs!$E$272),MIN(MAX(Z319+Z86+Z89,0)*Inputs!$E$271,Z76+Z77+Z79-Z83),0)</f>
        <v>0</v>
      </c>
      <c r="AA321" s="139">
        <f>IF(AND(AA$9&gt;=1,AA$9&lt;=Inputs!$E$272),MIN(MAX(AA319+AA86+AA89,0)*Inputs!$E$271,AA76+AA77+AA79-AA83),0)</f>
        <v>0</v>
      </c>
      <c r="AB321" s="139">
        <f>IF(AND(AB$9&gt;=1,AB$9&lt;=Inputs!$E$272),MIN(MAX(AB319+AB86+AB89,0)*Inputs!$E$271,AB76+AB77+AB79-AB83),0)</f>
        <v>0</v>
      </c>
      <c r="AC321" s="139">
        <f>IF(AND(AC$9&gt;=1,AC$9&lt;=Inputs!$E$272),MIN(MAX(AC319+AC86+AC89,0)*Inputs!$E$271,AC76+AC77+AC79-AC83),0)</f>
        <v>0</v>
      </c>
      <c r="AD321" s="139">
        <f>IF(AND(AD$9&gt;=1,AD$9&lt;=Inputs!$E$272),MIN(MAX(AD319+AD86+AD89,0)*Inputs!$E$271,AD76+AD77+AD79-AD83),0)</f>
        <v>0</v>
      </c>
      <c r="AE321" s="139">
        <f>IF(AND(AE$9&gt;=1,AE$9&lt;=Inputs!$E$272),MIN(MAX(AE319+AE86+AE89,0)*Inputs!$E$271,AE76+AE77+AE79-AE83),0)</f>
        <v>0</v>
      </c>
      <c r="AF321" s="139">
        <f>IF(AND(AF$9&gt;=1,AF$9&lt;=Inputs!$E$272),MIN(MAX(AF319+AF86+AF89,0)*Inputs!$E$271,AF76+AF77+AF79-AF83),0)</f>
        <v>0</v>
      </c>
      <c r="AG321" s="139">
        <f>IF(AND(AG$9&gt;=1,AG$9&lt;=Inputs!$E$272),MIN(MAX(AG319+AG86+AG89,0)*Inputs!$E$271,AG76+AG77+AG79-AG83),0)</f>
        <v>0</v>
      </c>
      <c r="AH321" s="139">
        <f>IF(AND(AH$9&gt;=1,AH$9&lt;=Inputs!$E$272),MIN(MAX(AH319+AH86+AH89,0)*Inputs!$E$271,AH76+AH77+AH79-AH83),0)</f>
        <v>0</v>
      </c>
      <c r="AI321" s="139">
        <f>IF(AND(AI$9&gt;=1,AI$9&lt;=Inputs!$E$272),MIN(MAX(AI319+AI86+AI89,0)*Inputs!$E$271,AI76+AI77+AI79-AI83),0)</f>
        <v>0</v>
      </c>
      <c r="AJ321" s="139">
        <f>IF(AND(AJ$9&gt;=1,AJ$9&lt;=Inputs!$E$272),MIN(MAX(AJ319+AJ86+AJ89,0)*Inputs!$E$271,AJ76+AJ77+AJ79-AJ83),0)</f>
        <v>0</v>
      </c>
      <c r="AK321" s="139">
        <f>IF(AND(AK$9&gt;=1,AK$9&lt;=Inputs!$E$272),MIN(MAX(AK319+AK86+AK89,0)*Inputs!$E$271,AK76+AK77+AK79-AK83),0)</f>
        <v>0</v>
      </c>
      <c r="AL321" s="139">
        <f>IF(AND(AL$9&gt;=1,AL$9&lt;=Inputs!$E$272),MIN(MAX(AL319+AL86+AL89,0)*Inputs!$E$271,AL76+AL77+AL79-AL83),0)</f>
        <v>0</v>
      </c>
      <c r="AM321" s="139">
        <f>IF(AND(AM$9&gt;=1,AM$9&lt;=Inputs!$E$272),MIN(MAX(AM319+AM86+AM89,0)*Inputs!$E$271,AM76+AM77+AM79-AM83),0)</f>
        <v>0</v>
      </c>
      <c r="AN321" s="139">
        <f>IF(AND(AN$9&gt;=1,AN$9&lt;=Inputs!$E$272),MIN(MAX(AN319+AN86+AN89,0)*Inputs!$E$271,AN76+AN77+AN79-AN83),0)</f>
        <v>0</v>
      </c>
      <c r="AO321" s="139">
        <f>IF(AND(AO$9&gt;=1,AO$9&lt;=Inputs!$E$272),MIN(MAX(AO319+AO86+AO89,0)*Inputs!$E$271,AO76+AO77+AO79-AO83),0)</f>
        <v>0</v>
      </c>
      <c r="AP321" s="139">
        <f>IF(AND(AP$9&gt;=1,AP$9&lt;=Inputs!$E$272),MIN(MAX(AP319+AP86+AP89,0)*Inputs!$E$271,AP76+AP77+AP79-AP83),0)</f>
        <v>0</v>
      </c>
      <c r="AQ321" s="139">
        <f>IF(AND(AQ$9&gt;=1,AQ$9&lt;=Inputs!$E$272),MIN(MAX(AQ319+AQ86+AQ89,0)*Inputs!$E$271,AQ76+AQ77+AQ79-AQ83),0)</f>
        <v>0</v>
      </c>
    </row>
    <row r="322" spans="3:43" x14ac:dyDescent="0.25">
      <c r="C322" t="s">
        <v>1411</v>
      </c>
      <c r="D322" t="s">
        <v>125</v>
      </c>
      <c r="E322" s="139"/>
      <c r="F322" s="139"/>
      <c r="G322" s="139">
        <f>SUM(H322:AQ322)</f>
        <v>312842.18913686153</v>
      </c>
      <c r="H322" s="139">
        <f t="shared" ref="H322:AQ322" si="137">(H123+(H315-H70)+(H318-H100)+(H87-H321))*$E$128</f>
        <v>-1570.6176490188818</v>
      </c>
      <c r="I322" s="139">
        <f t="shared" si="137"/>
        <v>-778.73814328026663</v>
      </c>
      <c r="J322" s="139">
        <f t="shared" si="137"/>
        <v>-1227.4381311822531</v>
      </c>
      <c r="K322" s="139">
        <f t="shared" si="137"/>
        <v>-40552.739226290025</v>
      </c>
      <c r="L322" s="139">
        <f t="shared" si="137"/>
        <v>-30088.091788542941</v>
      </c>
      <c r="M322" s="139">
        <f t="shared" si="137"/>
        <v>-13786.809317831499</v>
      </c>
      <c r="N322" s="139">
        <f t="shared" si="137"/>
        <v>10587.841586922335</v>
      </c>
      <c r="O322" s="139">
        <f t="shared" si="137"/>
        <v>10140.628847476297</v>
      </c>
      <c r="P322" s="139">
        <f t="shared" si="137"/>
        <v>10121.885077154699</v>
      </c>
      <c r="Q322" s="139">
        <f t="shared" si="137"/>
        <v>10131.001730939219</v>
      </c>
      <c r="R322" s="139">
        <f t="shared" si="137"/>
        <v>10136.772796791916</v>
      </c>
      <c r="S322" s="139">
        <f t="shared" si="137"/>
        <v>10139.055914686931</v>
      </c>
      <c r="T322" s="139">
        <f t="shared" si="137"/>
        <v>10137.702994403286</v>
      </c>
      <c r="U322" s="139">
        <f t="shared" si="137"/>
        <v>10132.559968285464</v>
      </c>
      <c r="V322" s="139">
        <f t="shared" si="137"/>
        <v>10123.466532636396</v>
      </c>
      <c r="W322" s="139">
        <f t="shared" si="137"/>
        <v>10110.255877199565</v>
      </c>
      <c r="X322" s="139">
        <f t="shared" si="137"/>
        <v>10092.75440215942</v>
      </c>
      <c r="Y322" s="139">
        <f t="shared" si="137"/>
        <v>10070.781422061975</v>
      </c>
      <c r="Z322" s="139">
        <f t="shared" si="137"/>
        <v>10044.14885602791</v>
      </c>
      <c r="AA322" s="139">
        <f t="shared" si="137"/>
        <v>10012.660903599952</v>
      </c>
      <c r="AB322" s="139">
        <f t="shared" si="137"/>
        <v>9976.1137055338622</v>
      </c>
      <c r="AC322" s="139">
        <f t="shared" si="137"/>
        <v>18303.470470773587</v>
      </c>
      <c r="AD322" s="139">
        <f t="shared" si="137"/>
        <v>18318.927993175697</v>
      </c>
      <c r="AE322" s="139">
        <f t="shared" si="137"/>
        <v>18331.80114689207</v>
      </c>
      <c r="AF322" s="139">
        <f t="shared" si="137"/>
        <v>18342.007040240325</v>
      </c>
      <c r="AG322" s="139">
        <f t="shared" si="137"/>
        <v>17710.101818739804</v>
      </c>
      <c r="AH322" s="139">
        <f t="shared" si="137"/>
        <v>17075.357016111</v>
      </c>
      <c r="AI322" s="139">
        <f t="shared" si="137"/>
        <v>17077.041896016803</v>
      </c>
      <c r="AJ322" s="139">
        <f t="shared" si="137"/>
        <v>17075.705792448254</v>
      </c>
      <c r="AK322" s="139">
        <f t="shared" si="137"/>
        <v>17071.254456657305</v>
      </c>
      <c r="AL322" s="139">
        <f t="shared" si="137"/>
        <v>17063.591196318353</v>
      </c>
      <c r="AM322" s="139">
        <f t="shared" si="137"/>
        <v>17052.616814819183</v>
      </c>
      <c r="AN322" s="139">
        <f t="shared" si="137"/>
        <v>17038.229549058447</v>
      </c>
      <c r="AO322" s="139">
        <f t="shared" si="137"/>
        <v>17020.325005712923</v>
      </c>
      <c r="AP322" s="139">
        <f t="shared" si="137"/>
        <v>16998.796095936847</v>
      </c>
      <c r="AQ322" s="139">
        <f t="shared" si="137"/>
        <v>4409.7664842275572</v>
      </c>
    </row>
    <row r="323" spans="3:43" x14ac:dyDescent="0.25">
      <c r="E323" s="139"/>
      <c r="F323" s="139"/>
      <c r="G323" s="139"/>
      <c r="H323" s="139"/>
      <c r="I323" s="139"/>
      <c r="J323" s="139"/>
      <c r="K323" s="139"/>
      <c r="L323" s="139"/>
      <c r="M323" s="139"/>
      <c r="N323" s="139"/>
      <c r="O323" s="139"/>
      <c r="P323" s="139"/>
      <c r="Q323" s="139"/>
      <c r="R323" s="139"/>
      <c r="S323" s="139"/>
      <c r="T323" s="139"/>
      <c r="U323" s="139"/>
      <c r="V323" s="139"/>
      <c r="W323" s="139"/>
      <c r="X323" s="139"/>
      <c r="Y323" s="139"/>
      <c r="Z323" s="139"/>
      <c r="AA323" s="139"/>
      <c r="AB323" s="139"/>
      <c r="AC323" s="139"/>
      <c r="AD323" s="139"/>
      <c r="AE323" s="139"/>
      <c r="AF323" s="139"/>
      <c r="AG323" s="139"/>
      <c r="AH323" s="139"/>
      <c r="AI323" s="139"/>
      <c r="AJ323" s="139"/>
      <c r="AK323" s="139"/>
      <c r="AL323" s="139"/>
      <c r="AM323" s="139"/>
      <c r="AN323" s="139"/>
      <c r="AO323" s="139"/>
      <c r="AP323" s="139"/>
      <c r="AQ323" s="139"/>
    </row>
    <row r="324" spans="3:43" x14ac:dyDescent="0.25">
      <c r="C324" t="s">
        <v>1412</v>
      </c>
      <c r="D324" t="s">
        <v>7</v>
      </c>
      <c r="E324" s="139"/>
      <c r="F324" s="139"/>
      <c r="G324" s="155">
        <f>G320</f>
        <v>2.192006754671564</v>
      </c>
      <c r="H324" s="139"/>
      <c r="I324" s="139"/>
      <c r="J324" s="139"/>
      <c r="K324" s="139"/>
      <c r="L324" s="139"/>
      <c r="M324" s="139"/>
      <c r="N324" s="139"/>
      <c r="O324" s="139"/>
      <c r="P324" s="139"/>
      <c r="Q324" s="139"/>
      <c r="R324" s="139"/>
      <c r="S324" s="139"/>
      <c r="T324" s="139"/>
      <c r="U324" s="139"/>
      <c r="V324" s="139"/>
      <c r="W324" s="139"/>
      <c r="X324" s="139"/>
      <c r="Y324" s="139"/>
      <c r="Z324" s="139"/>
      <c r="AA324" s="139"/>
      <c r="AB324" s="139"/>
      <c r="AC324" s="139"/>
      <c r="AD324" s="139"/>
      <c r="AE324" s="139"/>
      <c r="AF324" s="139"/>
      <c r="AG324" s="139"/>
      <c r="AH324" s="139"/>
      <c r="AI324" s="139"/>
      <c r="AJ324" s="139"/>
      <c r="AK324" s="139"/>
      <c r="AL324" s="139"/>
      <c r="AM324" s="139"/>
      <c r="AN324" s="139"/>
      <c r="AO324" s="139"/>
      <c r="AP324" s="139"/>
      <c r="AQ324" s="139"/>
    </row>
    <row r="325" spans="3:43" x14ac:dyDescent="0.25">
      <c r="C325" t="s">
        <v>1413</v>
      </c>
      <c r="D325" t="s">
        <v>194</v>
      </c>
      <c r="E325" s="139"/>
      <c r="F325" s="139"/>
      <c r="G325" s="139" t="str">
        <f>IF(ISNUMBER(G324),IF(G324&gt;=Inputs!$E$276,"OK","BELOW – debt would be sized down"),"n/a")</f>
        <v>OK</v>
      </c>
      <c r="H325" s="139"/>
      <c r="I325" s="139"/>
      <c r="J325" s="139"/>
      <c r="K325" s="139"/>
      <c r="L325" s="139"/>
      <c r="M325" s="139"/>
      <c r="N325" s="139"/>
      <c r="O325" s="139"/>
      <c r="P325" s="139"/>
      <c r="Q325" s="139"/>
      <c r="R325" s="139"/>
      <c r="S325" s="139"/>
      <c r="T325" s="139"/>
      <c r="U325" s="139"/>
      <c r="V325" s="139"/>
      <c r="W325" s="139"/>
      <c r="X325" s="139"/>
      <c r="Y325" s="139"/>
      <c r="Z325" s="139"/>
      <c r="AA325" s="139"/>
      <c r="AB325" s="139"/>
      <c r="AC325" s="139"/>
      <c r="AD325" s="139"/>
      <c r="AE325" s="139"/>
      <c r="AF325" s="139"/>
      <c r="AG325" s="139"/>
      <c r="AH325" s="139"/>
      <c r="AI325" s="139"/>
      <c r="AJ325" s="139"/>
      <c r="AK325" s="139"/>
      <c r="AL325" s="139"/>
      <c r="AM325" s="139"/>
      <c r="AN325" s="139"/>
      <c r="AO325" s="139"/>
      <c r="AP325" s="139"/>
      <c r="AQ325" s="139"/>
    </row>
    <row r="326" spans="3:43" x14ac:dyDescent="0.25">
      <c r="C326" t="s">
        <v>1414</v>
      </c>
      <c r="D326" t="s">
        <v>51</v>
      </c>
      <c r="E326" s="139"/>
      <c r="F326" s="139"/>
      <c r="G326" s="134">
        <f>IFERROR(IRR(H322:AQ322),"n/a")</f>
        <v>0.10665571505172111</v>
      </c>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row>
    <row r="327" spans="3:43" x14ac:dyDescent="0.25">
      <c r="C327" t="s">
        <v>1415</v>
      </c>
      <c r="D327" t="s">
        <v>7</v>
      </c>
      <c r="E327" s="139"/>
      <c r="F327" s="139"/>
      <c r="G327" s="155">
        <f t="array" ref="G327">IFERROR(SUMPRODUCT(H322:AQ322/(1+Inputs!$E$255)^$H$4:$AQ$4)/-SUMPRODUCT((H322:AQ322&lt;0)*H322:AQ322/(1+Inputs!$E$255)^$H$4:$AQ$4),"n/a")</f>
        <v>0.35243246446221543</v>
      </c>
      <c r="H327" s="139"/>
      <c r="I327" s="139"/>
      <c r="J327" s="139"/>
      <c r="K327" s="139"/>
      <c r="L327" s="139"/>
      <c r="M327" s="139"/>
      <c r="N327" s="139"/>
      <c r="O327" s="139"/>
      <c r="P327" s="139"/>
      <c r="Q327" s="139"/>
      <c r="R327" s="139"/>
      <c r="S327" s="139"/>
      <c r="T327" s="139"/>
      <c r="U327" s="139"/>
      <c r="V327" s="139"/>
      <c r="W327" s="139"/>
      <c r="X327" s="139"/>
      <c r="Y327" s="139"/>
      <c r="Z327" s="139"/>
      <c r="AA327" s="139"/>
      <c r="AB327" s="139"/>
      <c r="AC327" s="139"/>
      <c r="AD327" s="139"/>
      <c r="AE327" s="139"/>
      <c r="AF327" s="139"/>
      <c r="AG327" s="139"/>
      <c r="AH327" s="139"/>
      <c r="AI327" s="139"/>
      <c r="AJ327" s="139"/>
      <c r="AK327" s="139"/>
      <c r="AL327" s="139"/>
      <c r="AM327" s="139"/>
      <c r="AN327" s="139"/>
      <c r="AO327" s="139"/>
      <c r="AP327" s="139"/>
      <c r="AQ327" s="139"/>
    </row>
    <row r="328" spans="3:43" x14ac:dyDescent="0.25">
      <c r="C328" t="s">
        <v>1416</v>
      </c>
      <c r="D328" t="s">
        <v>40</v>
      </c>
      <c r="E328" s="139"/>
      <c r="F328" s="139"/>
      <c r="G328" s="286">
        <f>IFERROR(G312/G38,"n/a")</f>
        <v>94.024633824549923</v>
      </c>
      <c r="H328" s="139"/>
      <c r="I328" s="139"/>
      <c r="J328" s="139"/>
      <c r="K328" s="139"/>
      <c r="L328" s="139"/>
      <c r="M328" s="139"/>
      <c r="N328" s="139"/>
      <c r="O328" s="139"/>
      <c r="P328" s="139"/>
      <c r="Q328" s="139"/>
      <c r="R328" s="139"/>
      <c r="S328" s="139"/>
      <c r="T328" s="139"/>
      <c r="U328" s="139"/>
      <c r="V328" s="139"/>
      <c r="W328" s="139"/>
      <c r="X328" s="139"/>
      <c r="Y328" s="139"/>
      <c r="Z328" s="139"/>
      <c r="AA328" s="139"/>
      <c r="AB328" s="139"/>
      <c r="AC328" s="139"/>
      <c r="AD328" s="139"/>
      <c r="AE328" s="139"/>
      <c r="AF328" s="139"/>
      <c r="AG328" s="139"/>
      <c r="AH328" s="139"/>
      <c r="AI328" s="139"/>
      <c r="AJ328" s="139"/>
      <c r="AK328" s="139"/>
      <c r="AL328" s="139"/>
      <c r="AM328" s="139"/>
      <c r="AN328" s="139"/>
      <c r="AO328" s="139"/>
      <c r="AP328" s="139"/>
      <c r="AQ328" s="139"/>
    </row>
    <row r="329" spans="3:43" x14ac:dyDescent="0.25">
      <c r="C329" t="s">
        <v>1417</v>
      </c>
      <c r="D329" t="s">
        <v>7</v>
      </c>
      <c r="E329" s="139"/>
      <c r="F329" s="139"/>
      <c r="G329" s="155">
        <f>G126</f>
        <v>2.4706043126325246</v>
      </c>
      <c r="H329" s="139"/>
      <c r="I329" s="139"/>
      <c r="J329" s="139"/>
      <c r="K329" s="139"/>
      <c r="L329" s="139"/>
      <c r="M329" s="139"/>
      <c r="N329" s="139"/>
      <c r="O329" s="139"/>
      <c r="P329" s="139"/>
      <c r="Q329" s="139"/>
      <c r="R329" s="139"/>
      <c r="S329" s="139"/>
      <c r="T329" s="139"/>
      <c r="U329" s="139"/>
      <c r="V329" s="139"/>
      <c r="W329" s="139"/>
      <c r="X329" s="139"/>
      <c r="Y329" s="139"/>
      <c r="Z329" s="139"/>
      <c r="AA329" s="139"/>
      <c r="AB329" s="139"/>
      <c r="AC329" s="139"/>
      <c r="AD329" s="139"/>
      <c r="AE329" s="139"/>
      <c r="AF329" s="139"/>
      <c r="AG329" s="139"/>
      <c r="AH329" s="139"/>
      <c r="AI329" s="139"/>
      <c r="AJ329" s="139"/>
      <c r="AK329" s="139"/>
      <c r="AL329" s="139"/>
      <c r="AM329" s="139"/>
      <c r="AN329" s="139"/>
      <c r="AO329" s="139"/>
      <c r="AP329" s="139"/>
      <c r="AQ329" s="139"/>
    </row>
    <row r="330" spans="3:43" x14ac:dyDescent="0.25">
      <c r="E330" s="139"/>
      <c r="F330" s="139"/>
      <c r="G330" s="139"/>
      <c r="H330" s="139"/>
      <c r="I330" s="139"/>
      <c r="J330" s="139"/>
      <c r="K330" s="139"/>
      <c r="L330" s="139"/>
      <c r="M330" s="139"/>
      <c r="N330" s="139"/>
      <c r="O330" s="139"/>
      <c r="P330" s="139"/>
      <c r="Q330" s="139"/>
      <c r="R330" s="139"/>
      <c r="S330" s="139"/>
      <c r="T330" s="139"/>
      <c r="U330" s="139"/>
      <c r="V330" s="139"/>
      <c r="W330" s="139"/>
      <c r="X330" s="139"/>
      <c r="Y330" s="139"/>
      <c r="Z330" s="139"/>
      <c r="AA330" s="139"/>
      <c r="AB330" s="139"/>
      <c r="AC330" s="139"/>
      <c r="AD330" s="139"/>
      <c r="AE330" s="139"/>
      <c r="AF330" s="139"/>
      <c r="AG330" s="139"/>
      <c r="AH330" s="139"/>
      <c r="AI330" s="139"/>
      <c r="AJ330" s="139"/>
      <c r="AK330" s="139"/>
      <c r="AL330" s="139"/>
      <c r="AM330" s="139"/>
      <c r="AN330" s="139"/>
      <c r="AO330" s="139"/>
      <c r="AP330" s="139"/>
      <c r="AQ330" s="139"/>
    </row>
    <row r="332" spans="3:43" x14ac:dyDescent="0.25">
      <c r="C332" s="198" t="s">
        <v>1418</v>
      </c>
    </row>
    <row r="333" spans="3:43" x14ac:dyDescent="0.25">
      <c r="C333" t="s">
        <v>1419</v>
      </c>
      <c r="D333" t="s">
        <v>6</v>
      </c>
      <c r="G333" s="146">
        <f>YEAR(Inputs!$E$155)</f>
        <v>2031</v>
      </c>
    </row>
    <row r="334" spans="3:43" x14ac:dyDescent="0.25">
      <c r="C334" t="s">
        <v>1420</v>
      </c>
      <c r="D334" t="s">
        <v>7</v>
      </c>
      <c r="G334" s="210">
        <f>SUMIF(H5:AQ5,$G$333,H12:AQ12)</f>
        <v>0.68058319703375303</v>
      </c>
    </row>
    <row r="335" spans="3:43" x14ac:dyDescent="0.25">
      <c r="C335" t="s">
        <v>1421</v>
      </c>
      <c r="D335" t="s">
        <v>125</v>
      </c>
      <c r="G335" s="139">
        <f>SUM(H335:AQ335)</f>
        <v>590661.00796975917</v>
      </c>
      <c r="H335" s="139">
        <f t="shared" ref="H335:AQ335" si="138">H110*(H$5&gt;$G$333)</f>
        <v>0</v>
      </c>
      <c r="I335" s="139">
        <f t="shared" si="138"/>
        <v>0</v>
      </c>
      <c r="J335" s="139">
        <f t="shared" si="138"/>
        <v>0</v>
      </c>
      <c r="K335" s="139">
        <f t="shared" si="138"/>
        <v>0</v>
      </c>
      <c r="L335" s="139">
        <f t="shared" si="138"/>
        <v>0</v>
      </c>
      <c r="M335" s="139">
        <f t="shared" si="138"/>
        <v>0</v>
      </c>
      <c r="N335" s="139">
        <f t="shared" si="138"/>
        <v>20001.789687164593</v>
      </c>
      <c r="O335" s="139">
        <f t="shared" si="138"/>
        <v>20061.275341104138</v>
      </c>
      <c r="P335" s="139">
        <f t="shared" si="138"/>
        <v>20119.239954301775</v>
      </c>
      <c r="Q335" s="139">
        <f t="shared" si="138"/>
        <v>20175.626690428231</v>
      </c>
      <c r="R335" s="139">
        <f t="shared" si="138"/>
        <v>20230.377191410153</v>
      </c>
      <c r="S335" s="139">
        <f t="shared" si="138"/>
        <v>20283.431539398491</v>
      </c>
      <c r="T335" s="139">
        <f t="shared" si="138"/>
        <v>20334.728217801578</v>
      </c>
      <c r="U335" s="139">
        <f t="shared" si="138"/>
        <v>20384.204071360255</v>
      </c>
      <c r="V335" s="139">
        <f t="shared" si="138"/>
        <v>20431.794265241118</v>
      </c>
      <c r="W335" s="139">
        <f t="shared" si="138"/>
        <v>20477.432243124367</v>
      </c>
      <c r="X335" s="139">
        <f t="shared" si="138"/>
        <v>20521.049684261125</v>
      </c>
      <c r="Y335" s="139">
        <f t="shared" si="138"/>
        <v>20562.576459475229</v>
      </c>
      <c r="Z335" s="139">
        <f t="shared" si="138"/>
        <v>20601.940586083492</v>
      </c>
      <c r="AA335" s="139">
        <f t="shared" si="138"/>
        <v>20639.068181707946</v>
      </c>
      <c r="AB335" s="139">
        <f t="shared" si="138"/>
        <v>20673.883416952955</v>
      </c>
      <c r="AC335" s="139">
        <f t="shared" si="138"/>
        <v>20706.308466919229</v>
      </c>
      <c r="AD335" s="139">
        <f t="shared" si="138"/>
        <v>20736.263461526323</v>
      </c>
      <c r="AE335" s="139">
        <f t="shared" si="138"/>
        <v>20763.666434614384</v>
      </c>
      <c r="AF335" s="139">
        <f t="shared" si="138"/>
        <v>20788.433271795177</v>
      </c>
      <c r="AG335" s="139">
        <f t="shared" si="138"/>
        <v>20171.118855434634</v>
      </c>
      <c r="AH335" s="139">
        <f t="shared" si="138"/>
        <v>19550.993414670917</v>
      </c>
      <c r="AI335" s="139">
        <f t="shared" si="138"/>
        <v>19567.324866152165</v>
      </c>
      <c r="AJ335" s="139">
        <f t="shared" si="138"/>
        <v>19580.661153396002</v>
      </c>
      <c r="AK335" s="139">
        <f t="shared" si="138"/>
        <v>19590.906592672956</v>
      </c>
      <c r="AL335" s="139">
        <f t="shared" si="138"/>
        <v>19597.963011094904</v>
      </c>
      <c r="AM335" s="139">
        <f t="shared" si="138"/>
        <v>19601.729684808801</v>
      </c>
      <c r="AN335" s="139">
        <f t="shared" si="138"/>
        <v>19602.103275672118</v>
      </c>
      <c r="AO335" s="139">
        <f t="shared" si="138"/>
        <v>19598.97776637282</v>
      </c>
      <c r="AP335" s="139">
        <f t="shared" si="138"/>
        <v>19592.244393955589</v>
      </c>
      <c r="AQ335" s="139">
        <f t="shared" si="138"/>
        <v>5713.8957908577113</v>
      </c>
    </row>
    <row r="336" spans="3:43" x14ac:dyDescent="0.25">
      <c r="C336" t="s">
        <v>1422</v>
      </c>
      <c r="D336" t="s">
        <v>125</v>
      </c>
      <c r="G336" s="139">
        <f>SUMPRODUCT(H335:AQ335,H12:AQ12)/$G$334</f>
        <v>226545.88105546037</v>
      </c>
    </row>
    <row r="337" spans="3:43" x14ac:dyDescent="0.25">
      <c r="C337" t="s">
        <v>152</v>
      </c>
      <c r="D337" t="s">
        <v>11</v>
      </c>
      <c r="G337" s="139">
        <f>$G$336/In_Wind_Built</f>
        <v>1667.0042756104515</v>
      </c>
    </row>
    <row r="338" spans="3:43" x14ac:dyDescent="0.25">
      <c r="C338" t="s">
        <v>153</v>
      </c>
      <c r="D338" t="s">
        <v>2</v>
      </c>
      <c r="G338" s="139">
        <f>$G$336/Dash_MVA</f>
        <v>2265.4588105546036</v>
      </c>
    </row>
    <row r="339" spans="3:43" x14ac:dyDescent="0.25">
      <c r="C339" t="s">
        <v>1423</v>
      </c>
      <c r="D339" t="s">
        <v>125</v>
      </c>
      <c r="G339" s="139">
        <f>SUMIF(H5:AQ5,$G$333,H84:AQ84)</f>
        <v>86869.179564321428</v>
      </c>
    </row>
    <row r="340" spans="3:43" x14ac:dyDescent="0.25">
      <c r="C340" t="s">
        <v>1424</v>
      </c>
      <c r="D340" t="s">
        <v>125</v>
      </c>
      <c r="G340" s="139"/>
      <c r="H340" s="139">
        <f t="shared" ref="H340:AQ340" si="139">H123*(H$5&lt;=$G$333)+($G$336-$G$339)*(H$5=$G$333)</f>
        <v>-1570.6176490188818</v>
      </c>
      <c r="I340" s="139">
        <f t="shared" si="139"/>
        <v>-778.73814328026663</v>
      </c>
      <c r="J340" s="139">
        <f t="shared" si="139"/>
        <v>-1227.4381311822531</v>
      </c>
      <c r="K340" s="139">
        <f t="shared" si="139"/>
        <v>-40552.739226290025</v>
      </c>
      <c r="L340" s="139">
        <f t="shared" si="139"/>
        <v>-30088.091788542941</v>
      </c>
      <c r="M340" s="139">
        <f t="shared" si="139"/>
        <v>132070.63147925751</v>
      </c>
      <c r="N340" s="139">
        <f t="shared" si="139"/>
        <v>0</v>
      </c>
      <c r="O340" s="139">
        <f t="shared" si="139"/>
        <v>0</v>
      </c>
      <c r="P340" s="139">
        <f t="shared" si="139"/>
        <v>0</v>
      </c>
      <c r="Q340" s="139">
        <f t="shared" si="139"/>
        <v>0</v>
      </c>
      <c r="R340" s="139">
        <f t="shared" si="139"/>
        <v>0</v>
      </c>
      <c r="S340" s="139">
        <f t="shared" si="139"/>
        <v>0</v>
      </c>
      <c r="T340" s="139">
        <f t="shared" si="139"/>
        <v>0</v>
      </c>
      <c r="U340" s="139">
        <f t="shared" si="139"/>
        <v>0</v>
      </c>
      <c r="V340" s="139">
        <f t="shared" si="139"/>
        <v>0</v>
      </c>
      <c r="W340" s="139">
        <f t="shared" si="139"/>
        <v>0</v>
      </c>
      <c r="X340" s="139">
        <f t="shared" si="139"/>
        <v>0</v>
      </c>
      <c r="Y340" s="139">
        <f t="shared" si="139"/>
        <v>0</v>
      </c>
      <c r="Z340" s="139">
        <f t="shared" si="139"/>
        <v>0</v>
      </c>
      <c r="AA340" s="139">
        <f t="shared" si="139"/>
        <v>0</v>
      </c>
      <c r="AB340" s="139">
        <f t="shared" si="139"/>
        <v>0</v>
      </c>
      <c r="AC340" s="139">
        <f t="shared" si="139"/>
        <v>0</v>
      </c>
      <c r="AD340" s="139">
        <f t="shared" si="139"/>
        <v>0</v>
      </c>
      <c r="AE340" s="139">
        <f t="shared" si="139"/>
        <v>0</v>
      </c>
      <c r="AF340" s="139">
        <f t="shared" si="139"/>
        <v>0</v>
      </c>
      <c r="AG340" s="139">
        <f t="shared" si="139"/>
        <v>0</v>
      </c>
      <c r="AH340" s="139">
        <f t="shared" si="139"/>
        <v>0</v>
      </c>
      <c r="AI340" s="139">
        <f t="shared" si="139"/>
        <v>0</v>
      </c>
      <c r="AJ340" s="139">
        <f t="shared" si="139"/>
        <v>0</v>
      </c>
      <c r="AK340" s="139">
        <f t="shared" si="139"/>
        <v>0</v>
      </c>
      <c r="AL340" s="139">
        <f t="shared" si="139"/>
        <v>0</v>
      </c>
      <c r="AM340" s="139">
        <f t="shared" si="139"/>
        <v>0</v>
      </c>
      <c r="AN340" s="139">
        <f t="shared" si="139"/>
        <v>0</v>
      </c>
      <c r="AO340" s="139">
        <f t="shared" si="139"/>
        <v>0</v>
      </c>
      <c r="AP340" s="139">
        <f t="shared" si="139"/>
        <v>0</v>
      </c>
      <c r="AQ340" s="139">
        <f t="shared" si="139"/>
        <v>0</v>
      </c>
    </row>
    <row r="341" spans="3:43" x14ac:dyDescent="0.25">
      <c r="C341" t="s">
        <v>1425</v>
      </c>
      <c r="D341" t="s">
        <v>51</v>
      </c>
      <c r="G341" s="134">
        <f>IFERROR(IRR(H340:AQ340),"n/a")</f>
        <v>0.37681516742079268</v>
      </c>
    </row>
    <row r="342" spans="3:43" x14ac:dyDescent="0.25">
      <c r="C342" t="s">
        <v>1426</v>
      </c>
      <c r="D342" t="s">
        <v>125</v>
      </c>
      <c r="G342" s="139">
        <f>SUM(H340:AQ340)</f>
        <v>57853.006540943141</v>
      </c>
    </row>
    <row r="343" spans="3:43" x14ac:dyDescent="0.25">
      <c r="C343" t="s">
        <v>1427</v>
      </c>
      <c r="D343" t="s">
        <v>7</v>
      </c>
      <c r="G343" s="210">
        <f>SUMIF(H340:AQ340,"&gt;0")/-SUMIF(H340:AQ340,"&lt;0")</f>
        <v>1.7795049570641392</v>
      </c>
    </row>
    <row r="344" spans="3:43" x14ac:dyDescent="0.25">
      <c r="C344" t="s">
        <v>1428</v>
      </c>
      <c r="D344" t="s">
        <v>125</v>
      </c>
      <c r="G344" s="139">
        <f>SUMPRODUCT(H340:AQ340,H13:AQ13)</f>
        <v>32233.333223877744</v>
      </c>
    </row>
    <row r="345" spans="3:43" x14ac:dyDescent="0.25">
      <c r="C345" t="s">
        <v>1429</v>
      </c>
      <c r="D345" t="s">
        <v>6</v>
      </c>
      <c r="G345" s="146">
        <f>YEAR(Inputs!$E$58)</f>
        <v>2029</v>
      </c>
    </row>
    <row r="346" spans="3:43" x14ac:dyDescent="0.25">
      <c r="C346" t="s">
        <v>1430</v>
      </c>
      <c r="D346" t="s">
        <v>125</v>
      </c>
      <c r="E346" s="134">
        <f>Dashboard!$E$161</f>
        <v>7.0000000000000007E-2</v>
      </c>
      <c r="G346" s="139">
        <f>SUMPRODUCT($H$335:$AQ$335,1/(1+E346)^($H$5:$AQ$5-$G$333))</f>
        <v>249353.54541852142</v>
      </c>
    </row>
    <row r="347" spans="3:43" x14ac:dyDescent="0.25">
      <c r="C347" t="s">
        <v>1431</v>
      </c>
      <c r="D347" t="s">
        <v>125</v>
      </c>
      <c r="E347" s="134">
        <f>Dashboard!$F$161</f>
        <v>0.08</v>
      </c>
      <c r="G347" s="139">
        <f>SUMPRODUCT($H$335:$AQ$335,1/(1+E347)^($H$5:$AQ$5-$G$333))</f>
        <v>226545.88105546049</v>
      </c>
    </row>
    <row r="348" spans="3:43" x14ac:dyDescent="0.25">
      <c r="C348" t="s">
        <v>1432</v>
      </c>
      <c r="D348" t="s">
        <v>125</v>
      </c>
      <c r="E348" s="134">
        <f>Dashboard!$G$161</f>
        <v>0.09</v>
      </c>
      <c r="G348" s="139">
        <f>SUMPRODUCT($H$335:$AQ$335,1/(1+E348)^($H$5:$AQ$5-$G$333))</f>
        <v>206984.27747135665</v>
      </c>
    </row>
    <row r="349" spans="3:43" x14ac:dyDescent="0.25">
      <c r="C349" t="s">
        <v>1433</v>
      </c>
      <c r="D349" t="s">
        <v>125</v>
      </c>
      <c r="G349" s="139">
        <f>$G$342-$G$336+G346</f>
        <v>80660.67090400419</v>
      </c>
    </row>
    <row r="350" spans="3:43" x14ac:dyDescent="0.25">
      <c r="C350" t="s">
        <v>1434</v>
      </c>
      <c r="D350" t="s">
        <v>125</v>
      </c>
      <c r="G350" s="139">
        <f>$G$342-$G$336+G347</f>
        <v>57853.006540943257</v>
      </c>
    </row>
    <row r="351" spans="3:43" x14ac:dyDescent="0.25">
      <c r="C351" t="s">
        <v>1435</v>
      </c>
      <c r="D351" t="s">
        <v>125</v>
      </c>
      <c r="G351" s="139">
        <f>$G$342-$G$336+G348</f>
        <v>38291.402956839418</v>
      </c>
    </row>
    <row r="352" spans="3:43" x14ac:dyDescent="0.25">
      <c r="C352" t="s">
        <v>1436</v>
      </c>
      <c r="D352" t="s">
        <v>2</v>
      </c>
      <c r="G352" s="139">
        <f>Inputs!$E$141+SUMPRODUCT($H$213:$AQ$213,1/(1+$E$346)^($H$5:$AQ$5-$G$345))/Dash_MVA</f>
        <v>721.03256427999509</v>
      </c>
    </row>
    <row r="353" spans="3:43" x14ac:dyDescent="0.25">
      <c r="C353" t="s">
        <v>1437</v>
      </c>
      <c r="D353" t="s">
        <v>2</v>
      </c>
      <c r="G353" s="139">
        <f>Inputs!$E$141+SUMPRODUCT($H$213:$AQ$213,1/(1+$E$347)^($H$5:$AQ$5-$G$345))/Dash_MVA</f>
        <v>495.73852816378405</v>
      </c>
    </row>
    <row r="354" spans="3:43" x14ac:dyDescent="0.25">
      <c r="C354" t="s">
        <v>1438</v>
      </c>
      <c r="D354" t="s">
        <v>2</v>
      </c>
      <c r="G354" s="139">
        <f>Inputs!$E$141+SUMPRODUCT($H$213:$AQ$213,1/(1+$E$348)^($H$5:$AQ$5-$G$345))/Dash_MVA</f>
        <v>305.7791993556977</v>
      </c>
    </row>
    <row r="357" spans="3:43" x14ac:dyDescent="0.25">
      <c r="C357" s="198" t="s">
        <v>1439</v>
      </c>
    </row>
    <row r="358" spans="3:43" x14ac:dyDescent="0.25">
      <c r="C358" t="s">
        <v>1440</v>
      </c>
      <c r="D358" t="s">
        <v>6</v>
      </c>
      <c r="G358" s="146">
        <f>Inputs!$E$156-1+In_Refi_Lag</f>
        <v>2032</v>
      </c>
    </row>
    <row r="359" spans="3:43" x14ac:dyDescent="0.25">
      <c r="C359" t="s">
        <v>1441</v>
      </c>
      <c r="D359" t="s">
        <v>125</v>
      </c>
      <c r="G359" s="139">
        <f>(Inputs!$E$219+In_Refi_Gearing_Add)*-$G$30</f>
        <v>88985.114078301413</v>
      </c>
    </row>
    <row r="360" spans="3:43" x14ac:dyDescent="0.25">
      <c r="C360" t="s">
        <v>1442</v>
      </c>
      <c r="D360" t="s">
        <v>125</v>
      </c>
      <c r="G360" s="139">
        <f>PMT(In_Refi_Rate,In_Refi_Tenor,-$G$359)</f>
        <v>8285.7428373577695</v>
      </c>
    </row>
    <row r="361" spans="3:43" x14ac:dyDescent="0.25">
      <c r="C361" t="s">
        <v>1443</v>
      </c>
      <c r="D361" t="s">
        <v>62</v>
      </c>
      <c r="H361" s="146">
        <f t="shared" ref="H361:AQ361" si="140">In_Refi_On*(H$5=$G$358)</f>
        <v>0</v>
      </c>
      <c r="I361" s="146">
        <f t="shared" si="140"/>
        <v>0</v>
      </c>
      <c r="J361" s="146">
        <f t="shared" si="140"/>
        <v>0</v>
      </c>
      <c r="K361" s="146">
        <f t="shared" si="140"/>
        <v>0</v>
      </c>
      <c r="L361" s="146">
        <f t="shared" si="140"/>
        <v>0</v>
      </c>
      <c r="M361" s="146">
        <f t="shared" si="140"/>
        <v>0</v>
      </c>
      <c r="N361" s="146">
        <f t="shared" si="140"/>
        <v>0</v>
      </c>
      <c r="O361" s="146">
        <f t="shared" si="140"/>
        <v>0</v>
      </c>
      <c r="P361" s="146">
        <f t="shared" si="140"/>
        <v>0</v>
      </c>
      <c r="Q361" s="146">
        <f t="shared" si="140"/>
        <v>0</v>
      </c>
      <c r="R361" s="146">
        <f t="shared" si="140"/>
        <v>0</v>
      </c>
      <c r="S361" s="146">
        <f t="shared" si="140"/>
        <v>0</v>
      </c>
      <c r="T361" s="146">
        <f t="shared" si="140"/>
        <v>0</v>
      </c>
      <c r="U361" s="146">
        <f t="shared" si="140"/>
        <v>0</v>
      </c>
      <c r="V361" s="146">
        <f t="shared" si="140"/>
        <v>0</v>
      </c>
      <c r="W361" s="146">
        <f t="shared" si="140"/>
        <v>0</v>
      </c>
      <c r="X361" s="146">
        <f t="shared" si="140"/>
        <v>0</v>
      </c>
      <c r="Y361" s="146">
        <f t="shared" si="140"/>
        <v>0</v>
      </c>
      <c r="Z361" s="146">
        <f t="shared" si="140"/>
        <v>0</v>
      </c>
      <c r="AA361" s="146">
        <f t="shared" si="140"/>
        <v>0</v>
      </c>
      <c r="AB361" s="146">
        <f t="shared" si="140"/>
        <v>0</v>
      </c>
      <c r="AC361" s="146">
        <f t="shared" si="140"/>
        <v>0</v>
      </c>
      <c r="AD361" s="146">
        <f t="shared" si="140"/>
        <v>0</v>
      </c>
      <c r="AE361" s="146">
        <f t="shared" si="140"/>
        <v>0</v>
      </c>
      <c r="AF361" s="146">
        <f t="shared" si="140"/>
        <v>0</v>
      </c>
      <c r="AG361" s="146">
        <f t="shared" si="140"/>
        <v>0</v>
      </c>
      <c r="AH361" s="146">
        <f t="shared" si="140"/>
        <v>0</v>
      </c>
      <c r="AI361" s="146">
        <f t="shared" si="140"/>
        <v>0</v>
      </c>
      <c r="AJ361" s="146">
        <f t="shared" si="140"/>
        <v>0</v>
      </c>
      <c r="AK361" s="146">
        <f t="shared" si="140"/>
        <v>0</v>
      </c>
      <c r="AL361" s="146">
        <f t="shared" si="140"/>
        <v>0</v>
      </c>
      <c r="AM361" s="146">
        <f t="shared" si="140"/>
        <v>0</v>
      </c>
      <c r="AN361" s="146">
        <f t="shared" si="140"/>
        <v>0</v>
      </c>
      <c r="AO361" s="146">
        <f t="shared" si="140"/>
        <v>0</v>
      </c>
      <c r="AP361" s="146">
        <f t="shared" si="140"/>
        <v>0</v>
      </c>
      <c r="AQ361" s="146">
        <f t="shared" si="140"/>
        <v>0</v>
      </c>
    </row>
    <row r="362" spans="3:43" x14ac:dyDescent="0.25">
      <c r="C362" t="s">
        <v>1444</v>
      </c>
      <c r="D362" t="s">
        <v>62</v>
      </c>
      <c r="H362" s="146">
        <f t="shared" ref="H362:AQ362" si="141">In_Refi_On*(H$5&gt;$G$358)</f>
        <v>0</v>
      </c>
      <c r="I362" s="146">
        <f t="shared" si="141"/>
        <v>0</v>
      </c>
      <c r="J362" s="146">
        <f t="shared" si="141"/>
        <v>0</v>
      </c>
      <c r="K362" s="146">
        <f t="shared" si="141"/>
        <v>0</v>
      </c>
      <c r="L362" s="146">
        <f t="shared" si="141"/>
        <v>0</v>
      </c>
      <c r="M362" s="146">
        <f t="shared" si="141"/>
        <v>0</v>
      </c>
      <c r="N362" s="146">
        <f t="shared" si="141"/>
        <v>0</v>
      </c>
      <c r="O362" s="146">
        <f t="shared" si="141"/>
        <v>0</v>
      </c>
      <c r="P362" s="146">
        <f t="shared" si="141"/>
        <v>0</v>
      </c>
      <c r="Q362" s="146">
        <f t="shared" si="141"/>
        <v>0</v>
      </c>
      <c r="R362" s="146">
        <f t="shared" si="141"/>
        <v>0</v>
      </c>
      <c r="S362" s="146">
        <f t="shared" si="141"/>
        <v>0</v>
      </c>
      <c r="T362" s="146">
        <f t="shared" si="141"/>
        <v>0</v>
      </c>
      <c r="U362" s="146">
        <f t="shared" si="141"/>
        <v>0</v>
      </c>
      <c r="V362" s="146">
        <f t="shared" si="141"/>
        <v>0</v>
      </c>
      <c r="W362" s="146">
        <f t="shared" si="141"/>
        <v>0</v>
      </c>
      <c r="X362" s="146">
        <f t="shared" si="141"/>
        <v>0</v>
      </c>
      <c r="Y362" s="146">
        <f t="shared" si="141"/>
        <v>0</v>
      </c>
      <c r="Z362" s="146">
        <f t="shared" si="141"/>
        <v>0</v>
      </c>
      <c r="AA362" s="146">
        <f t="shared" si="141"/>
        <v>0</v>
      </c>
      <c r="AB362" s="146">
        <f t="shared" si="141"/>
        <v>0</v>
      </c>
      <c r="AC362" s="146">
        <f t="shared" si="141"/>
        <v>0</v>
      </c>
      <c r="AD362" s="146">
        <f t="shared" si="141"/>
        <v>0</v>
      </c>
      <c r="AE362" s="146">
        <f t="shared" si="141"/>
        <v>0</v>
      </c>
      <c r="AF362" s="146">
        <f t="shared" si="141"/>
        <v>0</v>
      </c>
      <c r="AG362" s="146">
        <f t="shared" si="141"/>
        <v>0</v>
      </c>
      <c r="AH362" s="146">
        <f t="shared" si="141"/>
        <v>0</v>
      </c>
      <c r="AI362" s="146">
        <f t="shared" si="141"/>
        <v>0</v>
      </c>
      <c r="AJ362" s="146">
        <f t="shared" si="141"/>
        <v>0</v>
      </c>
      <c r="AK362" s="146">
        <f t="shared" si="141"/>
        <v>0</v>
      </c>
      <c r="AL362" s="146">
        <f t="shared" si="141"/>
        <v>0</v>
      </c>
      <c r="AM362" s="146">
        <f t="shared" si="141"/>
        <v>0</v>
      </c>
      <c r="AN362" s="146">
        <f t="shared" si="141"/>
        <v>0</v>
      </c>
      <c r="AO362" s="146">
        <f t="shared" si="141"/>
        <v>0</v>
      </c>
      <c r="AP362" s="146">
        <f t="shared" si="141"/>
        <v>0</v>
      </c>
      <c r="AQ362" s="146">
        <f t="shared" si="141"/>
        <v>0</v>
      </c>
    </row>
    <row r="363" spans="3:43" x14ac:dyDescent="0.25">
      <c r="C363" t="s">
        <v>1445</v>
      </c>
      <c r="D363" t="s">
        <v>51</v>
      </c>
      <c r="H363" s="42">
        <f t="shared" ref="H363:AQ363" si="142">$E$74+H362*(In_Refi_Rate-$E$74)</f>
        <v>0.05</v>
      </c>
      <c r="I363" s="42">
        <f t="shared" si="142"/>
        <v>0.05</v>
      </c>
      <c r="J363" s="42">
        <f t="shared" si="142"/>
        <v>0.05</v>
      </c>
      <c r="K363" s="42">
        <f t="shared" si="142"/>
        <v>0.05</v>
      </c>
      <c r="L363" s="42">
        <f t="shared" si="142"/>
        <v>0.05</v>
      </c>
      <c r="M363" s="42">
        <f t="shared" si="142"/>
        <v>0.05</v>
      </c>
      <c r="N363" s="42">
        <f t="shared" si="142"/>
        <v>0.05</v>
      </c>
      <c r="O363" s="42">
        <f t="shared" si="142"/>
        <v>0.05</v>
      </c>
      <c r="P363" s="42">
        <f t="shared" si="142"/>
        <v>0.05</v>
      </c>
      <c r="Q363" s="42">
        <f t="shared" si="142"/>
        <v>0.05</v>
      </c>
      <c r="R363" s="42">
        <f t="shared" si="142"/>
        <v>0.05</v>
      </c>
      <c r="S363" s="42">
        <f t="shared" si="142"/>
        <v>0.05</v>
      </c>
      <c r="T363" s="42">
        <f t="shared" si="142"/>
        <v>0.05</v>
      </c>
      <c r="U363" s="42">
        <f t="shared" si="142"/>
        <v>0.05</v>
      </c>
      <c r="V363" s="42">
        <f t="shared" si="142"/>
        <v>0.05</v>
      </c>
      <c r="W363" s="42">
        <f t="shared" si="142"/>
        <v>0.05</v>
      </c>
      <c r="X363" s="42">
        <f t="shared" si="142"/>
        <v>0.05</v>
      </c>
      <c r="Y363" s="42">
        <f t="shared" si="142"/>
        <v>0.05</v>
      </c>
      <c r="Z363" s="42">
        <f t="shared" si="142"/>
        <v>0.05</v>
      </c>
      <c r="AA363" s="42">
        <f t="shared" si="142"/>
        <v>0.05</v>
      </c>
      <c r="AB363" s="42">
        <f t="shared" si="142"/>
        <v>0.05</v>
      </c>
      <c r="AC363" s="42">
        <f t="shared" si="142"/>
        <v>0.05</v>
      </c>
      <c r="AD363" s="42">
        <f t="shared" si="142"/>
        <v>0.05</v>
      </c>
      <c r="AE363" s="42">
        <f t="shared" si="142"/>
        <v>0.05</v>
      </c>
      <c r="AF363" s="42">
        <f t="shared" si="142"/>
        <v>0.05</v>
      </c>
      <c r="AG363" s="42">
        <f t="shared" si="142"/>
        <v>0.05</v>
      </c>
      <c r="AH363" s="42">
        <f t="shared" si="142"/>
        <v>0.05</v>
      </c>
      <c r="AI363" s="42">
        <f t="shared" si="142"/>
        <v>0.05</v>
      </c>
      <c r="AJ363" s="42">
        <f t="shared" si="142"/>
        <v>0.05</v>
      </c>
      <c r="AK363" s="42">
        <f t="shared" si="142"/>
        <v>0.05</v>
      </c>
      <c r="AL363" s="42">
        <f t="shared" si="142"/>
        <v>0.05</v>
      </c>
      <c r="AM363" s="42">
        <f t="shared" si="142"/>
        <v>0.05</v>
      </c>
      <c r="AN363" s="42">
        <f t="shared" si="142"/>
        <v>0.05</v>
      </c>
      <c r="AO363" s="42">
        <f t="shared" si="142"/>
        <v>0.05</v>
      </c>
      <c r="AP363" s="42">
        <f t="shared" si="142"/>
        <v>0.05</v>
      </c>
      <c r="AQ363" s="42">
        <f t="shared" si="142"/>
        <v>0.05</v>
      </c>
    </row>
    <row r="364" spans="3:43" x14ac:dyDescent="0.25">
      <c r="C364" t="s">
        <v>1446</v>
      </c>
      <c r="D364" t="s">
        <v>125</v>
      </c>
      <c r="G364" s="139">
        <f t="shared" ref="G364:G369" si="143">SUM(H364:AQ364)</f>
        <v>86869.179564321399</v>
      </c>
      <c r="H364" s="139">
        <f>IF(AND(H9&gt;=1,H9&lt;=Inputs!$E$222),MIN(MAX($E$82-H81,0),H76),0)*(1-H362)</f>
        <v>0</v>
      </c>
      <c r="I364" s="139">
        <f>IF(AND(I9&gt;=1,I9&lt;=Inputs!$E$222),MIN(MAX($E$82-I81,0),I76),0)*(1-I362)</f>
        <v>0</v>
      </c>
      <c r="J364" s="139">
        <f>IF(AND(J9&gt;=1,J9&lt;=Inputs!$E$222),MIN(MAX($E$82-J81,0),J76),0)*(1-J362)</f>
        <v>0</v>
      </c>
      <c r="K364" s="139">
        <f>IF(AND(K9&gt;=1,K9&lt;=Inputs!$E$222),MIN(MAX($E$82-K81,0),K76),0)*(1-K362)</f>
        <v>0</v>
      </c>
      <c r="L364" s="139">
        <f>IF(AND(L9&gt;=1,L9&lt;=Inputs!$E$222),MIN(MAX($E$82-L81,0),L76),0)*(1-L362)</f>
        <v>0</v>
      </c>
      <c r="M364" s="139">
        <f>IF(AND(M9&gt;=1,M9&lt;=Inputs!$E$222),MIN(MAX($E$82-M81,0),M76),0)*(1-M362)</f>
        <v>0</v>
      </c>
      <c r="N364" s="139">
        <f>IF(AND(N9&gt;=1,N9&lt;=Inputs!$E$222),MIN(MAX($E$82-N81,0),N76),0)*(1-N362)</f>
        <v>4025.7165037488767</v>
      </c>
      <c r="O364" s="139">
        <f>IF(AND(O9&gt;=1,O9&lt;=Inputs!$E$222),MIN(MAX($E$82-O81,0),O76),0)*(1-O362)</f>
        <v>4227.0023289363207</v>
      </c>
      <c r="P364" s="139">
        <f>IF(AND(P9&gt;=1,P9&lt;=Inputs!$E$222),MIN(MAX($E$82-P81,0),P76),0)*(1-P362)</f>
        <v>4438.352445383136</v>
      </c>
      <c r="Q364" s="139">
        <f>IF(AND(Q9&gt;=1,Q9&lt;=Inputs!$E$222),MIN(MAX($E$82-Q81,0),Q76),0)*(1-Q362)</f>
        <v>4660.2700676522927</v>
      </c>
      <c r="R364" s="139">
        <f>IF(AND(R9&gt;=1,R9&lt;=Inputs!$E$222),MIN(MAX($E$82-R81,0),R76),0)*(1-R362)</f>
        <v>4893.2835710349082</v>
      </c>
      <c r="S364" s="139">
        <f>IF(AND(S9&gt;=1,S9&lt;=Inputs!$E$222),MIN(MAX($E$82-S81,0),S76),0)*(1-S362)</f>
        <v>5137.947749586654</v>
      </c>
      <c r="T364" s="139">
        <f>IF(AND(T9&gt;=1,T9&lt;=Inputs!$E$222),MIN(MAX($E$82-T81,0),T76),0)*(1-T362)</f>
        <v>5394.8451370659859</v>
      </c>
      <c r="U364" s="139">
        <f>IF(AND(U9&gt;=1,U9&lt;=Inputs!$E$222),MIN(MAX($E$82-U81,0),U76),0)*(1-U362)</f>
        <v>5664.5873939192861</v>
      </c>
      <c r="V364" s="139">
        <f>IF(AND(V9&gt;=1,V9&lt;=Inputs!$E$222),MIN(MAX($E$82-V81,0),V76),0)*(1-V362)</f>
        <v>5947.8167636152502</v>
      </c>
      <c r="W364" s="139">
        <f>IF(AND(W9&gt;=1,W9&lt;=Inputs!$E$222),MIN(MAX($E$82-W81,0),W76),0)*(1-W362)</f>
        <v>6245.2076017960117</v>
      </c>
      <c r="X364" s="139">
        <f>IF(AND(X9&gt;=1,X9&lt;=Inputs!$E$222),MIN(MAX($E$82-X81,0),X76),0)*(1-X362)</f>
        <v>6557.4679818858131</v>
      </c>
      <c r="Y364" s="139">
        <f>IF(AND(Y9&gt;=1,Y9&lt;=Inputs!$E$222),MIN(MAX($E$82-Y81,0),Y76),0)*(1-Y362)</f>
        <v>6885.3413809801041</v>
      </c>
      <c r="Z364" s="139">
        <f>IF(AND(Z9&gt;=1,Z9&lt;=Inputs!$E$222),MIN(MAX($E$82-Z81,0),Z76),0)*(1-Z362)</f>
        <v>7229.608450029109</v>
      </c>
      <c r="AA364" s="139">
        <f>IF(AND(AA9&gt;=1,AA9&lt;=Inputs!$E$222),MIN(MAX($E$82-AA81,0),AA76),0)*(1-AA362)</f>
        <v>7591.0888725305649</v>
      </c>
      <c r="AB364" s="139">
        <f>IF(AND(AB9&gt;=1,AB9&lt;=Inputs!$E$222),MIN(MAX($E$82-AB81,0),AB76),0)*(1-AB362)</f>
        <v>7970.6433161570931</v>
      </c>
      <c r="AC364" s="139">
        <f>IF(AND(AC9&gt;=1,AC9&lt;=Inputs!$E$222),MIN(MAX($E$82-AC81,0),AC76),0)*(1-AC362)</f>
        <v>0</v>
      </c>
      <c r="AD364" s="139">
        <f>IF(AND(AD9&gt;=1,AD9&lt;=Inputs!$E$222),MIN(MAX($E$82-AD81,0),AD76),0)*(1-AD362)</f>
        <v>0</v>
      </c>
      <c r="AE364" s="139">
        <f>IF(AND(AE9&gt;=1,AE9&lt;=Inputs!$E$222),MIN(MAX($E$82-AE81,0),AE76),0)*(1-AE362)</f>
        <v>0</v>
      </c>
      <c r="AF364" s="139">
        <f>IF(AND(AF9&gt;=1,AF9&lt;=Inputs!$E$222),MIN(MAX($E$82-AF81,0),AF76),0)*(1-AF362)</f>
        <v>0</v>
      </c>
      <c r="AG364" s="139">
        <f>IF(AND(AG9&gt;=1,AG9&lt;=Inputs!$E$222),MIN(MAX($E$82-AG81,0),AG76),0)*(1-AG362)</f>
        <v>0</v>
      </c>
      <c r="AH364" s="139">
        <f>IF(AND(AH9&gt;=1,AH9&lt;=Inputs!$E$222),MIN(MAX($E$82-AH81,0),AH76),0)*(1-AH362)</f>
        <v>0</v>
      </c>
      <c r="AI364" s="139">
        <f>IF(AND(AI9&gt;=1,AI9&lt;=Inputs!$E$222),MIN(MAX($E$82-AI81,0),AI76),0)*(1-AI362)</f>
        <v>0</v>
      </c>
      <c r="AJ364" s="139">
        <f>IF(AND(AJ9&gt;=1,AJ9&lt;=Inputs!$E$222),MIN(MAX($E$82-AJ81,0),AJ76),0)*(1-AJ362)</f>
        <v>0</v>
      </c>
      <c r="AK364" s="139">
        <f>IF(AND(AK9&gt;=1,AK9&lt;=Inputs!$E$222),MIN(MAX($E$82-AK81,0),AK76),0)*(1-AK362)</f>
        <v>0</v>
      </c>
      <c r="AL364" s="139">
        <f>IF(AND(AL9&gt;=1,AL9&lt;=Inputs!$E$222),MIN(MAX($E$82-AL81,0),AL76),0)*(1-AL362)</f>
        <v>0</v>
      </c>
      <c r="AM364" s="139">
        <f>IF(AND(AM9&gt;=1,AM9&lt;=Inputs!$E$222),MIN(MAX($E$82-AM81,0),AM76),0)*(1-AM362)</f>
        <v>0</v>
      </c>
      <c r="AN364" s="139">
        <f>IF(AND(AN9&gt;=1,AN9&lt;=Inputs!$E$222),MIN(MAX($E$82-AN81,0),AN76),0)*(1-AN362)</f>
        <v>0</v>
      </c>
      <c r="AO364" s="139">
        <f>IF(AND(AO9&gt;=1,AO9&lt;=Inputs!$E$222),MIN(MAX($E$82-AO81,0),AO76),0)*(1-AO362)</f>
        <v>0</v>
      </c>
      <c r="AP364" s="139">
        <f>IF(AND(AP9&gt;=1,AP9&lt;=Inputs!$E$222),MIN(MAX($E$82-AP81,0),AP76),0)*(1-AP362)</f>
        <v>0</v>
      </c>
      <c r="AQ364" s="139">
        <f>IF(AND(AQ9&gt;=1,AQ9&lt;=Inputs!$E$222),MIN(MAX($E$82-AQ81,0),AQ76),0)*(1-AQ362)</f>
        <v>0</v>
      </c>
    </row>
    <row r="365" spans="3:43" x14ac:dyDescent="0.25">
      <c r="C365" t="s">
        <v>1447</v>
      </c>
      <c r="D365" t="s">
        <v>125</v>
      </c>
      <c r="G365" s="139">
        <f t="shared" si="143"/>
        <v>0</v>
      </c>
      <c r="H365" s="139">
        <f t="shared" ref="H365:AQ365" si="144">H362*(H$5&lt;=$G$358+In_Refi_Tenor)*MIN(MAX($G$360-H81,0),H76)</f>
        <v>0</v>
      </c>
      <c r="I365" s="139">
        <f t="shared" si="144"/>
        <v>0</v>
      </c>
      <c r="J365" s="139">
        <f t="shared" si="144"/>
        <v>0</v>
      </c>
      <c r="K365" s="139">
        <f t="shared" si="144"/>
        <v>0</v>
      </c>
      <c r="L365" s="139">
        <f t="shared" si="144"/>
        <v>0</v>
      </c>
      <c r="M365" s="139">
        <f t="shared" si="144"/>
        <v>0</v>
      </c>
      <c r="N365" s="139">
        <f t="shared" si="144"/>
        <v>0</v>
      </c>
      <c r="O365" s="139">
        <f t="shared" si="144"/>
        <v>0</v>
      </c>
      <c r="P365" s="139">
        <f t="shared" si="144"/>
        <v>0</v>
      </c>
      <c r="Q365" s="139">
        <f t="shared" si="144"/>
        <v>0</v>
      </c>
      <c r="R365" s="139">
        <f t="shared" si="144"/>
        <v>0</v>
      </c>
      <c r="S365" s="139">
        <f t="shared" si="144"/>
        <v>0</v>
      </c>
      <c r="T365" s="139">
        <f t="shared" si="144"/>
        <v>0</v>
      </c>
      <c r="U365" s="139">
        <f t="shared" si="144"/>
        <v>0</v>
      </c>
      <c r="V365" s="139">
        <f t="shared" si="144"/>
        <v>0</v>
      </c>
      <c r="W365" s="139">
        <f t="shared" si="144"/>
        <v>0</v>
      </c>
      <c r="X365" s="139">
        <f t="shared" si="144"/>
        <v>0</v>
      </c>
      <c r="Y365" s="139">
        <f t="shared" si="144"/>
        <v>0</v>
      </c>
      <c r="Z365" s="139">
        <f t="shared" si="144"/>
        <v>0</v>
      </c>
      <c r="AA365" s="139">
        <f t="shared" si="144"/>
        <v>0</v>
      </c>
      <c r="AB365" s="139">
        <f t="shared" si="144"/>
        <v>0</v>
      </c>
      <c r="AC365" s="139">
        <f t="shared" si="144"/>
        <v>0</v>
      </c>
      <c r="AD365" s="139">
        <f t="shared" si="144"/>
        <v>0</v>
      </c>
      <c r="AE365" s="139">
        <f t="shared" si="144"/>
        <v>0</v>
      </c>
      <c r="AF365" s="139">
        <f t="shared" si="144"/>
        <v>0</v>
      </c>
      <c r="AG365" s="139">
        <f t="shared" si="144"/>
        <v>0</v>
      </c>
      <c r="AH365" s="139">
        <f t="shared" si="144"/>
        <v>0</v>
      </c>
      <c r="AI365" s="139">
        <f t="shared" si="144"/>
        <v>0</v>
      </c>
      <c r="AJ365" s="139">
        <f t="shared" si="144"/>
        <v>0</v>
      </c>
      <c r="AK365" s="139">
        <f t="shared" si="144"/>
        <v>0</v>
      </c>
      <c r="AL365" s="139">
        <f t="shared" si="144"/>
        <v>0</v>
      </c>
      <c r="AM365" s="139">
        <f t="shared" si="144"/>
        <v>0</v>
      </c>
      <c r="AN365" s="139">
        <f t="shared" si="144"/>
        <v>0</v>
      </c>
      <c r="AO365" s="139">
        <f t="shared" si="144"/>
        <v>0</v>
      </c>
      <c r="AP365" s="139">
        <f t="shared" si="144"/>
        <v>0</v>
      </c>
      <c r="AQ365" s="139">
        <f t="shared" si="144"/>
        <v>0</v>
      </c>
    </row>
    <row r="366" spans="3:43" x14ac:dyDescent="0.25">
      <c r="C366" t="s">
        <v>1448</v>
      </c>
      <c r="D366" t="s">
        <v>125</v>
      </c>
      <c r="G366" s="139">
        <f t="shared" si="143"/>
        <v>0</v>
      </c>
      <c r="H366" s="139">
        <f>IF(AND(H$9&gt;=1,H$9&lt;=Inputs!$E$272),MIN(MAX(H70+H100+H86+H89,0)*Inputs!$E$271,H76+H77+H79-H83),0)</f>
        <v>0</v>
      </c>
      <c r="I366" s="139">
        <f>IF(AND(I$9&gt;=1,I$9&lt;=Inputs!$E$272),MIN(MAX(I70+I100+I86+I89,0)*Inputs!$E$271,I76+I77+I79-I83),0)</f>
        <v>0</v>
      </c>
      <c r="J366" s="139">
        <f>IF(AND(J$9&gt;=1,J$9&lt;=Inputs!$E$272),MIN(MAX(J70+J100+J86+J89,0)*Inputs!$E$271,J76+J77+J79-J83),0)</f>
        <v>0</v>
      </c>
      <c r="K366" s="139">
        <f>IF(AND(K$9&gt;=1,K$9&lt;=Inputs!$E$272),MIN(MAX(K70+K100+K86+K89,0)*Inputs!$E$271,K76+K77+K79-K83),0)</f>
        <v>0</v>
      </c>
      <c r="L366" s="139">
        <f>IF(AND(L$9&gt;=1,L$9&lt;=Inputs!$E$272),MIN(MAX(L70+L100+L86+L89,0)*Inputs!$E$271,L76+L77+L79-L83),0)</f>
        <v>0</v>
      </c>
      <c r="M366" s="139">
        <f>IF(AND(M$9&gt;=1,M$9&lt;=Inputs!$E$272),MIN(MAX(M70+M100+M86+M89,0)*Inputs!$E$271,M76+M77+M79-M83),0)</f>
        <v>0</v>
      </c>
      <c r="N366" s="139">
        <f>IF(AND(N$9&gt;=1,N$9&lt;=Inputs!$E$272),MIN(MAX(N70+N100+N86+N89,0)*Inputs!$E$271,N76+N77+N79-N83),0)</f>
        <v>0</v>
      </c>
      <c r="O366" s="139">
        <f>IF(AND(O$9&gt;=1,O$9&lt;=Inputs!$E$272),MIN(MAX(O70+O100+O86+O89,0)*Inputs!$E$271,O76+O77+O79-O83),0)</f>
        <v>0</v>
      </c>
      <c r="P366" s="139">
        <f>IF(AND(P$9&gt;=1,P$9&lt;=Inputs!$E$272),MIN(MAX(P70+P100+P86+P89,0)*Inputs!$E$271,P76+P77+P79-P83),0)</f>
        <v>0</v>
      </c>
      <c r="Q366" s="139">
        <f>IF(AND(Q$9&gt;=1,Q$9&lt;=Inputs!$E$272),MIN(MAX(Q70+Q100+Q86+Q89,0)*Inputs!$E$271,Q76+Q77+Q79-Q83),0)</f>
        <v>0</v>
      </c>
      <c r="R366" s="139">
        <f>IF(AND(R$9&gt;=1,R$9&lt;=Inputs!$E$272),MIN(MAX(R70+R100+R86+R89,0)*Inputs!$E$271,R76+R77+R79-R83),0)</f>
        <v>0</v>
      </c>
      <c r="S366" s="139">
        <f>IF(AND(S$9&gt;=1,S$9&lt;=Inputs!$E$272),MIN(MAX(S70+S100+S86+S89,0)*Inputs!$E$271,S76+S77+S79-S83),0)</f>
        <v>0</v>
      </c>
      <c r="T366" s="139">
        <f>IF(AND(T$9&gt;=1,T$9&lt;=Inputs!$E$272),MIN(MAX(T70+T100+T86+T89,0)*Inputs!$E$271,T76+T77+T79-T83),0)</f>
        <v>0</v>
      </c>
      <c r="U366" s="139">
        <f>IF(AND(U$9&gt;=1,U$9&lt;=Inputs!$E$272),MIN(MAX(U70+U100+U86+U89,0)*Inputs!$E$271,U76+U77+U79-U83),0)</f>
        <v>0</v>
      </c>
      <c r="V366" s="139">
        <f>IF(AND(V$9&gt;=1,V$9&lt;=Inputs!$E$272),MIN(MAX(V70+V100+V86+V89,0)*Inputs!$E$271,V76+V77+V79-V83),0)</f>
        <v>0</v>
      </c>
      <c r="W366" s="139">
        <f>IF(AND(W$9&gt;=1,W$9&lt;=Inputs!$E$272),MIN(MAX(W70+W100+W86+W89,0)*Inputs!$E$271,W76+W77+W79-W83),0)</f>
        <v>0</v>
      </c>
      <c r="X366" s="139">
        <f>IF(AND(X$9&gt;=1,X$9&lt;=Inputs!$E$272),MIN(MAX(X70+X100+X86+X89,0)*Inputs!$E$271,X76+X77+X79-X83),0)</f>
        <v>0</v>
      </c>
      <c r="Y366" s="139">
        <f>IF(AND(Y$9&gt;=1,Y$9&lt;=Inputs!$E$272),MIN(MAX(Y70+Y100+Y86+Y89,0)*Inputs!$E$271,Y76+Y77+Y79-Y83),0)</f>
        <v>0</v>
      </c>
      <c r="Z366" s="139">
        <f>IF(AND(Z$9&gt;=1,Z$9&lt;=Inputs!$E$272),MIN(MAX(Z70+Z100+Z86+Z89,0)*Inputs!$E$271,Z76+Z77+Z79-Z83),0)</f>
        <v>0</v>
      </c>
      <c r="AA366" s="139">
        <f>IF(AND(AA$9&gt;=1,AA$9&lt;=Inputs!$E$272),MIN(MAX(AA70+AA100+AA86+AA89,0)*Inputs!$E$271,AA76+AA77+AA79-AA83),0)</f>
        <v>0</v>
      </c>
      <c r="AB366" s="139">
        <f>IF(AND(AB$9&gt;=1,AB$9&lt;=Inputs!$E$272),MIN(MAX(AB70+AB100+AB86+AB89,0)*Inputs!$E$271,AB76+AB77+AB79-AB83),0)</f>
        <v>0</v>
      </c>
      <c r="AC366" s="139">
        <f>IF(AND(AC$9&gt;=1,AC$9&lt;=Inputs!$E$272),MIN(MAX(AC70+AC100+AC86+AC89,0)*Inputs!$E$271,AC76+AC77+AC79-AC83),0)</f>
        <v>0</v>
      </c>
      <c r="AD366" s="139">
        <f>IF(AND(AD$9&gt;=1,AD$9&lt;=Inputs!$E$272),MIN(MAX(AD70+AD100+AD86+AD89,0)*Inputs!$E$271,AD76+AD77+AD79-AD83),0)</f>
        <v>0</v>
      </c>
      <c r="AE366" s="139">
        <f>IF(AND(AE$9&gt;=1,AE$9&lt;=Inputs!$E$272),MIN(MAX(AE70+AE100+AE86+AE89,0)*Inputs!$E$271,AE76+AE77+AE79-AE83),0)</f>
        <v>0</v>
      </c>
      <c r="AF366" s="139">
        <f>IF(AND(AF$9&gt;=1,AF$9&lt;=Inputs!$E$272),MIN(MAX(AF70+AF100+AF86+AF89,0)*Inputs!$E$271,AF76+AF77+AF79-AF83),0)</f>
        <v>0</v>
      </c>
      <c r="AG366" s="139">
        <f>IF(AND(AG$9&gt;=1,AG$9&lt;=Inputs!$E$272),MIN(MAX(AG70+AG100+AG86+AG89,0)*Inputs!$E$271,AG76+AG77+AG79-AG83),0)</f>
        <v>0</v>
      </c>
      <c r="AH366" s="139">
        <f>IF(AND(AH$9&gt;=1,AH$9&lt;=Inputs!$E$272),MIN(MAX(AH70+AH100+AH86+AH89,0)*Inputs!$E$271,AH76+AH77+AH79-AH83),0)</f>
        <v>0</v>
      </c>
      <c r="AI366" s="139">
        <f>IF(AND(AI$9&gt;=1,AI$9&lt;=Inputs!$E$272),MIN(MAX(AI70+AI100+AI86+AI89,0)*Inputs!$E$271,AI76+AI77+AI79-AI83),0)</f>
        <v>0</v>
      </c>
      <c r="AJ366" s="139">
        <f>IF(AND(AJ$9&gt;=1,AJ$9&lt;=Inputs!$E$272),MIN(MAX(AJ70+AJ100+AJ86+AJ89,0)*Inputs!$E$271,AJ76+AJ77+AJ79-AJ83),0)</f>
        <v>0</v>
      </c>
      <c r="AK366" s="139">
        <f>IF(AND(AK$9&gt;=1,AK$9&lt;=Inputs!$E$272),MIN(MAX(AK70+AK100+AK86+AK89,0)*Inputs!$E$271,AK76+AK77+AK79-AK83),0)</f>
        <v>0</v>
      </c>
      <c r="AL366" s="139">
        <f>IF(AND(AL$9&gt;=1,AL$9&lt;=Inputs!$E$272),MIN(MAX(AL70+AL100+AL86+AL89,0)*Inputs!$E$271,AL76+AL77+AL79-AL83),0)</f>
        <v>0</v>
      </c>
      <c r="AM366" s="139">
        <f>IF(AND(AM$9&gt;=1,AM$9&lt;=Inputs!$E$272),MIN(MAX(AM70+AM100+AM86+AM89,0)*Inputs!$E$271,AM76+AM77+AM79-AM83),0)</f>
        <v>0</v>
      </c>
      <c r="AN366" s="139">
        <f>IF(AND(AN$9&gt;=1,AN$9&lt;=Inputs!$E$272),MIN(MAX(AN70+AN100+AN86+AN89,0)*Inputs!$E$271,AN76+AN77+AN79-AN83),0)</f>
        <v>0</v>
      </c>
      <c r="AO366" s="139">
        <f>IF(AND(AO$9&gt;=1,AO$9&lt;=Inputs!$E$272),MIN(MAX(AO70+AO100+AO86+AO89,0)*Inputs!$E$271,AO76+AO77+AO79-AO83),0)</f>
        <v>0</v>
      </c>
      <c r="AP366" s="139">
        <f>IF(AND(AP$9&gt;=1,AP$9&lt;=Inputs!$E$272),MIN(MAX(AP70+AP100+AP86+AP89,0)*Inputs!$E$271,AP76+AP77+AP79-AP83),0)</f>
        <v>0</v>
      </c>
      <c r="AQ366" s="139">
        <f>IF(AND(AQ$9&gt;=1,AQ$9&lt;=Inputs!$E$272),MIN(MAX(AQ70+AQ100+AQ86+AQ89,0)*Inputs!$E$271,AQ76+AQ77+AQ79-AQ83),0)</f>
        <v>0</v>
      </c>
    </row>
    <row r="367" spans="3:43" x14ac:dyDescent="0.25">
      <c r="C367" t="s">
        <v>1449</v>
      </c>
      <c r="D367" t="s">
        <v>125</v>
      </c>
      <c r="G367" s="139">
        <f t="shared" si="143"/>
        <v>0</v>
      </c>
      <c r="H367" s="139">
        <f t="shared" ref="H367:AQ367" si="145">H361*(H76-H364-H366)</f>
        <v>0</v>
      </c>
      <c r="I367" s="139">
        <f t="shared" si="145"/>
        <v>0</v>
      </c>
      <c r="J367" s="139">
        <f t="shared" si="145"/>
        <v>0</v>
      </c>
      <c r="K367" s="139">
        <f t="shared" si="145"/>
        <v>0</v>
      </c>
      <c r="L367" s="139">
        <f t="shared" si="145"/>
        <v>0</v>
      </c>
      <c r="M367" s="139">
        <f t="shared" si="145"/>
        <v>0</v>
      </c>
      <c r="N367" s="139">
        <f t="shared" si="145"/>
        <v>0</v>
      </c>
      <c r="O367" s="139">
        <f t="shared" si="145"/>
        <v>0</v>
      </c>
      <c r="P367" s="139">
        <f t="shared" si="145"/>
        <v>0</v>
      </c>
      <c r="Q367" s="139">
        <f t="shared" si="145"/>
        <v>0</v>
      </c>
      <c r="R367" s="139">
        <f t="shared" si="145"/>
        <v>0</v>
      </c>
      <c r="S367" s="139">
        <f t="shared" si="145"/>
        <v>0</v>
      </c>
      <c r="T367" s="139">
        <f t="shared" si="145"/>
        <v>0</v>
      </c>
      <c r="U367" s="139">
        <f t="shared" si="145"/>
        <v>0</v>
      </c>
      <c r="V367" s="139">
        <f t="shared" si="145"/>
        <v>0</v>
      </c>
      <c r="W367" s="139">
        <f t="shared" si="145"/>
        <v>0</v>
      </c>
      <c r="X367" s="139">
        <f t="shared" si="145"/>
        <v>0</v>
      </c>
      <c r="Y367" s="139">
        <f t="shared" si="145"/>
        <v>0</v>
      </c>
      <c r="Z367" s="139">
        <f t="shared" si="145"/>
        <v>0</v>
      </c>
      <c r="AA367" s="139">
        <f t="shared" si="145"/>
        <v>0</v>
      </c>
      <c r="AB367" s="139">
        <f t="shared" si="145"/>
        <v>0</v>
      </c>
      <c r="AC367" s="139">
        <f t="shared" si="145"/>
        <v>0</v>
      </c>
      <c r="AD367" s="139">
        <f t="shared" si="145"/>
        <v>0</v>
      </c>
      <c r="AE367" s="139">
        <f t="shared" si="145"/>
        <v>0</v>
      </c>
      <c r="AF367" s="139">
        <f t="shared" si="145"/>
        <v>0</v>
      </c>
      <c r="AG367" s="139">
        <f t="shared" si="145"/>
        <v>0</v>
      </c>
      <c r="AH367" s="139">
        <f t="shared" si="145"/>
        <v>0</v>
      </c>
      <c r="AI367" s="139">
        <f t="shared" si="145"/>
        <v>0</v>
      </c>
      <c r="AJ367" s="139">
        <f t="shared" si="145"/>
        <v>0</v>
      </c>
      <c r="AK367" s="139">
        <f t="shared" si="145"/>
        <v>0</v>
      </c>
      <c r="AL367" s="139">
        <f t="shared" si="145"/>
        <v>0</v>
      </c>
      <c r="AM367" s="139">
        <f t="shared" si="145"/>
        <v>0</v>
      </c>
      <c r="AN367" s="139">
        <f t="shared" si="145"/>
        <v>0</v>
      </c>
      <c r="AO367" s="139">
        <f t="shared" si="145"/>
        <v>0</v>
      </c>
      <c r="AP367" s="139">
        <f t="shared" si="145"/>
        <v>0</v>
      </c>
      <c r="AQ367" s="139">
        <f t="shared" si="145"/>
        <v>0</v>
      </c>
    </row>
    <row r="368" spans="3:43" x14ac:dyDescent="0.25">
      <c r="C368" t="s">
        <v>1450</v>
      </c>
      <c r="D368" t="s">
        <v>125</v>
      </c>
      <c r="G368" s="139">
        <f t="shared" si="143"/>
        <v>0</v>
      </c>
      <c r="H368" s="139">
        <f t="shared" ref="H368:AQ368" si="146">-H361*$G$359*In_Refi_Fee</f>
        <v>0</v>
      </c>
      <c r="I368" s="139">
        <f t="shared" si="146"/>
        <v>0</v>
      </c>
      <c r="J368" s="139">
        <f t="shared" si="146"/>
        <v>0</v>
      </c>
      <c r="K368" s="139">
        <f t="shared" si="146"/>
        <v>0</v>
      </c>
      <c r="L368" s="139">
        <f t="shared" si="146"/>
        <v>0</v>
      </c>
      <c r="M368" s="139">
        <f t="shared" si="146"/>
        <v>0</v>
      </c>
      <c r="N368" s="139">
        <f t="shared" si="146"/>
        <v>0</v>
      </c>
      <c r="O368" s="139">
        <f t="shared" si="146"/>
        <v>0</v>
      </c>
      <c r="P368" s="139">
        <f t="shared" si="146"/>
        <v>0</v>
      </c>
      <c r="Q368" s="139">
        <f t="shared" si="146"/>
        <v>0</v>
      </c>
      <c r="R368" s="139">
        <f t="shared" si="146"/>
        <v>0</v>
      </c>
      <c r="S368" s="139">
        <f t="shared" si="146"/>
        <v>0</v>
      </c>
      <c r="T368" s="139">
        <f t="shared" si="146"/>
        <v>0</v>
      </c>
      <c r="U368" s="139">
        <f t="shared" si="146"/>
        <v>0</v>
      </c>
      <c r="V368" s="139">
        <f t="shared" si="146"/>
        <v>0</v>
      </c>
      <c r="W368" s="139">
        <f t="shared" si="146"/>
        <v>0</v>
      </c>
      <c r="X368" s="139">
        <f t="shared" si="146"/>
        <v>0</v>
      </c>
      <c r="Y368" s="139">
        <f t="shared" si="146"/>
        <v>0</v>
      </c>
      <c r="Z368" s="139">
        <f t="shared" si="146"/>
        <v>0</v>
      </c>
      <c r="AA368" s="139">
        <f t="shared" si="146"/>
        <v>0</v>
      </c>
      <c r="AB368" s="139">
        <f t="shared" si="146"/>
        <v>0</v>
      </c>
      <c r="AC368" s="139">
        <f t="shared" si="146"/>
        <v>0</v>
      </c>
      <c r="AD368" s="139">
        <f t="shared" si="146"/>
        <v>0</v>
      </c>
      <c r="AE368" s="139">
        <f t="shared" si="146"/>
        <v>0</v>
      </c>
      <c r="AF368" s="139">
        <f t="shared" si="146"/>
        <v>0</v>
      </c>
      <c r="AG368" s="139">
        <f t="shared" si="146"/>
        <v>0</v>
      </c>
      <c r="AH368" s="139">
        <f t="shared" si="146"/>
        <v>0</v>
      </c>
      <c r="AI368" s="139">
        <f t="shared" si="146"/>
        <v>0</v>
      </c>
      <c r="AJ368" s="139">
        <f t="shared" si="146"/>
        <v>0</v>
      </c>
      <c r="AK368" s="139">
        <f t="shared" si="146"/>
        <v>0</v>
      </c>
      <c r="AL368" s="139">
        <f t="shared" si="146"/>
        <v>0</v>
      </c>
      <c r="AM368" s="139">
        <f t="shared" si="146"/>
        <v>0</v>
      </c>
      <c r="AN368" s="139">
        <f t="shared" si="146"/>
        <v>0</v>
      </c>
      <c r="AO368" s="139">
        <f t="shared" si="146"/>
        <v>0</v>
      </c>
      <c r="AP368" s="139">
        <f t="shared" si="146"/>
        <v>0</v>
      </c>
      <c r="AQ368" s="139">
        <f t="shared" si="146"/>
        <v>0</v>
      </c>
    </row>
    <row r="369" spans="3:43" x14ac:dyDescent="0.25">
      <c r="C369" t="s">
        <v>1451</v>
      </c>
      <c r="D369" t="s">
        <v>125</v>
      </c>
      <c r="G369" s="139">
        <f t="shared" si="143"/>
        <v>0</v>
      </c>
      <c r="H369" s="139">
        <f t="shared" ref="H369:AQ369" si="147">H361*$G$359</f>
        <v>0</v>
      </c>
      <c r="I369" s="139">
        <f t="shared" si="147"/>
        <v>0</v>
      </c>
      <c r="J369" s="139">
        <f t="shared" si="147"/>
        <v>0</v>
      </c>
      <c r="K369" s="139">
        <f t="shared" si="147"/>
        <v>0</v>
      </c>
      <c r="L369" s="139">
        <f t="shared" si="147"/>
        <v>0</v>
      </c>
      <c r="M369" s="139">
        <f t="shared" si="147"/>
        <v>0</v>
      </c>
      <c r="N369" s="139">
        <f t="shared" si="147"/>
        <v>0</v>
      </c>
      <c r="O369" s="139">
        <f t="shared" si="147"/>
        <v>0</v>
      </c>
      <c r="P369" s="139">
        <f t="shared" si="147"/>
        <v>0</v>
      </c>
      <c r="Q369" s="139">
        <f t="shared" si="147"/>
        <v>0</v>
      </c>
      <c r="R369" s="139">
        <f t="shared" si="147"/>
        <v>0</v>
      </c>
      <c r="S369" s="139">
        <f t="shared" si="147"/>
        <v>0</v>
      </c>
      <c r="T369" s="139">
        <f t="shared" si="147"/>
        <v>0</v>
      </c>
      <c r="U369" s="139">
        <f t="shared" si="147"/>
        <v>0</v>
      </c>
      <c r="V369" s="139">
        <f t="shared" si="147"/>
        <v>0</v>
      </c>
      <c r="W369" s="139">
        <f t="shared" si="147"/>
        <v>0</v>
      </c>
      <c r="X369" s="139">
        <f t="shared" si="147"/>
        <v>0</v>
      </c>
      <c r="Y369" s="139">
        <f t="shared" si="147"/>
        <v>0</v>
      </c>
      <c r="Z369" s="139">
        <f t="shared" si="147"/>
        <v>0</v>
      </c>
      <c r="AA369" s="139">
        <f t="shared" si="147"/>
        <v>0</v>
      </c>
      <c r="AB369" s="139">
        <f t="shared" si="147"/>
        <v>0</v>
      </c>
      <c r="AC369" s="139">
        <f t="shared" si="147"/>
        <v>0</v>
      </c>
      <c r="AD369" s="139">
        <f t="shared" si="147"/>
        <v>0</v>
      </c>
      <c r="AE369" s="139">
        <f t="shared" si="147"/>
        <v>0</v>
      </c>
      <c r="AF369" s="139">
        <f t="shared" si="147"/>
        <v>0</v>
      </c>
      <c r="AG369" s="139">
        <f t="shared" si="147"/>
        <v>0</v>
      </c>
      <c r="AH369" s="139">
        <f t="shared" si="147"/>
        <v>0</v>
      </c>
      <c r="AI369" s="139">
        <f t="shared" si="147"/>
        <v>0</v>
      </c>
      <c r="AJ369" s="139">
        <f t="shared" si="147"/>
        <v>0</v>
      </c>
      <c r="AK369" s="139">
        <f t="shared" si="147"/>
        <v>0</v>
      </c>
      <c r="AL369" s="139">
        <f t="shared" si="147"/>
        <v>0</v>
      </c>
      <c r="AM369" s="139">
        <f t="shared" si="147"/>
        <v>0</v>
      </c>
      <c r="AN369" s="139">
        <f t="shared" si="147"/>
        <v>0</v>
      </c>
      <c r="AO369" s="139">
        <f t="shared" si="147"/>
        <v>0</v>
      </c>
      <c r="AP369" s="139">
        <f t="shared" si="147"/>
        <v>0</v>
      </c>
      <c r="AQ369" s="139">
        <f t="shared" si="147"/>
        <v>0</v>
      </c>
    </row>
    <row r="370" spans="3:43" x14ac:dyDescent="0.25">
      <c r="C370" t="s">
        <v>1452</v>
      </c>
      <c r="D370" t="s">
        <v>6</v>
      </c>
      <c r="G370" s="146">
        <f>MAX(Inputs!$E$156+Inputs!$E$222-1,In_Refi_On*($G$358+In_Refi_Tenor))</f>
        <v>2046</v>
      </c>
    </row>
    <row r="371" spans="3:43" x14ac:dyDescent="0.25">
      <c r="C371" t="s">
        <v>1453</v>
      </c>
      <c r="D371" t="s">
        <v>125</v>
      </c>
      <c r="G371" s="139">
        <f>SUMIF(H5:AQ5,$G$370,H84:AQ84)</f>
        <v>2.5465851649641991E-11</v>
      </c>
    </row>
    <row r="372" spans="3:43" x14ac:dyDescent="0.25">
      <c r="C372" t="s">
        <v>1454</v>
      </c>
      <c r="D372" t="s">
        <v>125</v>
      </c>
      <c r="G372" s="139">
        <f>In_Refi_On*SUMIF(H5:AQ5,$G$358,H84:AQ84)</f>
        <v>0</v>
      </c>
    </row>
    <row r="373" spans="3:43" x14ac:dyDescent="0.25">
      <c r="C373" t="s">
        <v>1455</v>
      </c>
      <c r="D373" t="s">
        <v>51</v>
      </c>
      <c r="G373" s="134">
        <f>$G$372/-$G$30</f>
        <v>0</v>
      </c>
    </row>
    <row r="374" spans="3:43" x14ac:dyDescent="0.25">
      <c r="C374" t="s">
        <v>147</v>
      </c>
      <c r="D374" t="s">
        <v>7</v>
      </c>
      <c r="G374" s="155" t="str">
        <f>IF(In_Refi_On=1,_xlfn.MINIFS(H126:AQ126,H5:AQ5,"&gt;"&amp;$G$358),"n/a")</f>
        <v>n/a</v>
      </c>
    </row>
    <row r="375" spans="3:43" x14ac:dyDescent="0.25">
      <c r="C375" t="s">
        <v>1456</v>
      </c>
      <c r="D375" t="s">
        <v>125</v>
      </c>
      <c r="G375" s="139">
        <f>In_Refi_On*$G$359-$G$367+$G$368</f>
        <v>0</v>
      </c>
    </row>
  </sheetData>
  <conditionalFormatting sqref="G163:G172">
    <cfRule type="containsText" dxfId="1" priority="2" operator="containsText" text="OK">
      <formula>NOT(ISERROR(SEARCH("OK",G163)))</formula>
    </cfRule>
    <cfRule type="containsText" dxfId="0" priority="3" operator="containsText" text="FAIL">
      <formula>NOT(ISERROR(SEARCH("FAIL",G163)))</formula>
    </cfRule>
  </conditionalFormatting>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60"/>
  <sheetViews>
    <sheetView zoomScaleNormal="100" workbookViewId="0">
      <pane ySplit="5" topLeftCell="A6" activePane="bottomLeft" state="frozen"/>
      <selection pane="bottomLeft" activeCell="E6" sqref="E6"/>
    </sheetView>
  </sheetViews>
  <sheetFormatPr defaultColWidth="8.5703125" defaultRowHeight="15" x14ac:dyDescent="0.25"/>
  <cols>
    <col min="1" max="1" width="3.5703125" customWidth="1"/>
    <col min="2" max="2" width="5.5703125" customWidth="1"/>
    <col min="3" max="3" width="17.5703125" customWidth="1"/>
    <col min="4" max="4" width="37" customWidth="1"/>
    <col min="5" max="6" width="61.140625" customWidth="1"/>
    <col min="7" max="7" width="17.5703125" customWidth="1"/>
    <col min="8" max="8" width="13" customWidth="1"/>
    <col min="9" max="9" width="37" customWidth="1"/>
  </cols>
  <sheetData>
    <row r="1" spans="1:9" x14ac:dyDescent="0.25">
      <c r="A1" s="287" t="s">
        <v>1457</v>
      </c>
    </row>
    <row r="2" spans="1:9" x14ac:dyDescent="0.25">
      <c r="A2" s="288" t="s">
        <v>1458</v>
      </c>
    </row>
    <row r="3" spans="1:9" x14ac:dyDescent="0.25">
      <c r="A3" s="289" t="s">
        <v>1459</v>
      </c>
    </row>
    <row r="4" spans="1:9" x14ac:dyDescent="0.25">
      <c r="B4" t="s">
        <v>1460</v>
      </c>
    </row>
    <row r="5" spans="1:9" ht="30" customHeight="1" x14ac:dyDescent="0.25">
      <c r="A5" s="290"/>
      <c r="B5" s="291" t="s">
        <v>29</v>
      </c>
      <c r="C5" s="292" t="s">
        <v>1461</v>
      </c>
      <c r="D5" s="292" t="s">
        <v>1462</v>
      </c>
      <c r="E5" s="293" t="s">
        <v>1463</v>
      </c>
      <c r="F5" s="293" t="s">
        <v>1464</v>
      </c>
      <c r="G5" s="292" t="s">
        <v>1465</v>
      </c>
      <c r="H5" s="291" t="s">
        <v>194</v>
      </c>
      <c r="I5" s="294" t="s">
        <v>1466</v>
      </c>
    </row>
    <row r="6" spans="1:9" ht="60" customHeight="1" x14ac:dyDescent="0.25">
      <c r="A6" s="290"/>
      <c r="B6" s="290">
        <v>1</v>
      </c>
      <c r="C6" s="290" t="s">
        <v>1467</v>
      </c>
      <c r="D6" s="290" t="s">
        <v>1468</v>
      </c>
      <c r="E6" s="295" t="s">
        <v>1469</v>
      </c>
      <c r="F6" s="295" t="s">
        <v>1470</v>
      </c>
      <c r="G6" s="295" t="s">
        <v>1471</v>
      </c>
      <c r="H6" s="296" t="s">
        <v>1472</v>
      </c>
      <c r="I6" s="295"/>
    </row>
    <row r="7" spans="1:9" ht="75" customHeight="1" x14ac:dyDescent="0.25">
      <c r="A7" s="290"/>
      <c r="B7" s="290">
        <v>2</v>
      </c>
      <c r="C7" s="290" t="s">
        <v>1473</v>
      </c>
      <c r="D7" s="290" t="s">
        <v>1474</v>
      </c>
      <c r="E7" s="295" t="s">
        <v>1475</v>
      </c>
      <c r="F7" s="295" t="s">
        <v>1476</v>
      </c>
      <c r="G7" s="295" t="s">
        <v>1477</v>
      </c>
      <c r="H7" s="296" t="s">
        <v>1478</v>
      </c>
      <c r="I7" s="295" t="s">
        <v>1479</v>
      </c>
    </row>
    <row r="8" spans="1:9" ht="60" customHeight="1" x14ac:dyDescent="0.25">
      <c r="A8" s="290"/>
      <c r="B8" s="290">
        <v>3</v>
      </c>
      <c r="C8" s="290" t="s">
        <v>1480</v>
      </c>
      <c r="D8" s="290" t="s">
        <v>1481</v>
      </c>
      <c r="E8" s="295" t="s">
        <v>1482</v>
      </c>
      <c r="F8" s="295" t="s">
        <v>1483</v>
      </c>
      <c r="G8" s="295" t="s">
        <v>1484</v>
      </c>
      <c r="H8" s="296" t="s">
        <v>1485</v>
      </c>
      <c r="I8" s="295" t="s">
        <v>1486</v>
      </c>
    </row>
    <row r="9" spans="1:9" ht="105" customHeight="1" x14ac:dyDescent="0.25">
      <c r="A9" s="290"/>
      <c r="B9" s="290">
        <v>4</v>
      </c>
      <c r="C9" s="290" t="s">
        <v>1487</v>
      </c>
      <c r="D9" s="290" t="s">
        <v>1488</v>
      </c>
      <c r="E9" s="295" t="s">
        <v>1489</v>
      </c>
      <c r="F9" s="295" t="s">
        <v>1490</v>
      </c>
      <c r="G9" s="295" t="s">
        <v>1491</v>
      </c>
      <c r="H9" s="296" t="s">
        <v>1492</v>
      </c>
      <c r="I9" s="295" t="s">
        <v>148</v>
      </c>
    </row>
    <row r="10" spans="1:9" ht="75" customHeight="1" x14ac:dyDescent="0.25">
      <c r="A10" s="290"/>
      <c r="B10" s="290">
        <v>5</v>
      </c>
      <c r="C10" s="290" t="s">
        <v>1493</v>
      </c>
      <c r="D10" s="290" t="s">
        <v>1494</v>
      </c>
      <c r="E10" s="295" t="s">
        <v>1495</v>
      </c>
      <c r="F10" s="295" t="s">
        <v>1496</v>
      </c>
      <c r="G10" s="295" t="s">
        <v>1497</v>
      </c>
      <c r="H10" s="296" t="s">
        <v>1498</v>
      </c>
      <c r="I10" s="295" t="s">
        <v>148</v>
      </c>
    </row>
    <row r="11" spans="1:9" ht="75" customHeight="1" x14ac:dyDescent="0.25">
      <c r="A11" s="290"/>
      <c r="B11" s="290">
        <v>6</v>
      </c>
      <c r="C11" s="290" t="s">
        <v>1499</v>
      </c>
      <c r="D11" s="290" t="s">
        <v>1500</v>
      </c>
      <c r="E11" s="295" t="s">
        <v>1501</v>
      </c>
      <c r="F11" s="295" t="s">
        <v>1502</v>
      </c>
      <c r="G11" s="295" t="s">
        <v>1503</v>
      </c>
      <c r="H11" s="296" t="s">
        <v>1504</v>
      </c>
      <c r="I11" s="295" t="s">
        <v>1505</v>
      </c>
    </row>
    <row r="12" spans="1:9" ht="105" customHeight="1" x14ac:dyDescent="0.25">
      <c r="A12" s="290"/>
      <c r="B12" s="290">
        <v>7</v>
      </c>
      <c r="C12" s="290" t="s">
        <v>1480</v>
      </c>
      <c r="D12" s="290" t="s">
        <v>1506</v>
      </c>
      <c r="E12" s="295" t="s">
        <v>1507</v>
      </c>
      <c r="F12" s="295" t="s">
        <v>1508</v>
      </c>
      <c r="G12" s="295" t="s">
        <v>1509</v>
      </c>
      <c r="H12" s="296" t="s">
        <v>1510</v>
      </c>
      <c r="I12" s="295" t="s">
        <v>1486</v>
      </c>
    </row>
    <row r="13" spans="1:9" ht="135" customHeight="1" x14ac:dyDescent="0.25">
      <c r="A13" s="290"/>
      <c r="B13" s="290">
        <v>8</v>
      </c>
      <c r="C13" s="290" t="s">
        <v>1467</v>
      </c>
      <c r="D13" s="290" t="s">
        <v>1511</v>
      </c>
      <c r="E13" s="295" t="s">
        <v>1512</v>
      </c>
      <c r="F13" s="295" t="s">
        <v>1513</v>
      </c>
      <c r="G13" s="290" t="s">
        <v>1491</v>
      </c>
      <c r="H13" s="297" t="s">
        <v>1514</v>
      </c>
      <c r="I13" s="295" t="s">
        <v>1515</v>
      </c>
    </row>
    <row r="14" spans="1:9" ht="135" customHeight="1" x14ac:dyDescent="0.25">
      <c r="A14" s="290"/>
      <c r="B14" s="290">
        <v>9</v>
      </c>
      <c r="C14" s="290" t="s">
        <v>1516</v>
      </c>
      <c r="D14" s="290" t="s">
        <v>1517</v>
      </c>
      <c r="E14" s="295" t="s">
        <v>1518</v>
      </c>
      <c r="F14" s="295" t="s">
        <v>1519</v>
      </c>
      <c r="G14" s="295" t="s">
        <v>1520</v>
      </c>
      <c r="H14" s="296" t="s">
        <v>1521</v>
      </c>
      <c r="I14" s="295"/>
    </row>
    <row r="15" spans="1:9" ht="60" customHeight="1" x14ac:dyDescent="0.25">
      <c r="A15" s="290"/>
      <c r="B15" s="290">
        <v>10</v>
      </c>
      <c r="C15" s="290" t="s">
        <v>1522</v>
      </c>
      <c r="D15" s="290" t="s">
        <v>1523</v>
      </c>
      <c r="E15" s="295" t="s">
        <v>1524</v>
      </c>
      <c r="F15" s="295" t="s">
        <v>1525</v>
      </c>
      <c r="G15" s="290" t="s">
        <v>1520</v>
      </c>
      <c r="H15" s="297" t="s">
        <v>1526</v>
      </c>
      <c r="I15" s="298"/>
    </row>
    <row r="16" spans="1:9" ht="120" customHeight="1" x14ac:dyDescent="0.25">
      <c r="A16" s="290"/>
      <c r="B16" s="290">
        <v>11</v>
      </c>
      <c r="C16" s="290" t="s">
        <v>1527</v>
      </c>
      <c r="D16" s="290" t="s">
        <v>1528</v>
      </c>
      <c r="E16" s="295" t="s">
        <v>1529</v>
      </c>
      <c r="F16" s="295" t="s">
        <v>1530</v>
      </c>
      <c r="G16" s="290" t="s">
        <v>1531</v>
      </c>
      <c r="H16" s="297" t="s">
        <v>1532</v>
      </c>
      <c r="I16" s="298"/>
    </row>
    <row r="17" spans="1:9" ht="75" customHeight="1" x14ac:dyDescent="0.25">
      <c r="A17" s="290"/>
      <c r="B17" s="290">
        <v>12</v>
      </c>
      <c r="C17" s="290" t="s">
        <v>1533</v>
      </c>
      <c r="D17" s="290" t="s">
        <v>1534</v>
      </c>
      <c r="E17" s="295" t="s">
        <v>1535</v>
      </c>
      <c r="F17" s="295" t="s">
        <v>1536</v>
      </c>
      <c r="G17" s="295" t="s">
        <v>1537</v>
      </c>
      <c r="H17" s="296" t="s">
        <v>1538</v>
      </c>
      <c r="I17" s="295" t="s">
        <v>1486</v>
      </c>
    </row>
    <row r="18" spans="1:9" ht="90" customHeight="1" x14ac:dyDescent="0.25">
      <c r="A18" s="290"/>
      <c r="B18" s="290">
        <v>13</v>
      </c>
      <c r="C18" s="290" t="s">
        <v>1539</v>
      </c>
      <c r="D18" s="290" t="s">
        <v>1540</v>
      </c>
      <c r="E18" s="295" t="s">
        <v>1541</v>
      </c>
      <c r="F18" s="295" t="s">
        <v>1542</v>
      </c>
      <c r="G18" s="295" t="s">
        <v>1509</v>
      </c>
      <c r="H18" s="296" t="s">
        <v>1543</v>
      </c>
      <c r="I18" s="295" t="s">
        <v>1544</v>
      </c>
    </row>
    <row r="19" spans="1:9" ht="60" customHeight="1" x14ac:dyDescent="0.25">
      <c r="A19" s="290"/>
      <c r="B19" s="290">
        <v>14</v>
      </c>
      <c r="C19" s="290" t="s">
        <v>1467</v>
      </c>
      <c r="D19" s="290" t="s">
        <v>1545</v>
      </c>
      <c r="E19" s="295" t="s">
        <v>1546</v>
      </c>
      <c r="F19" s="295" t="s">
        <v>1547</v>
      </c>
      <c r="G19" s="295" t="s">
        <v>1520</v>
      </c>
      <c r="H19" s="296" t="s">
        <v>1548</v>
      </c>
      <c r="I19" s="295"/>
    </row>
    <row r="20" spans="1:9" ht="45" customHeight="1" x14ac:dyDescent="0.25">
      <c r="A20" s="290"/>
      <c r="B20" s="290">
        <v>15</v>
      </c>
      <c r="C20" s="290" t="s">
        <v>1480</v>
      </c>
      <c r="D20" s="290" t="s">
        <v>1549</v>
      </c>
      <c r="E20" s="295" t="s">
        <v>1550</v>
      </c>
      <c r="F20" s="295" t="s">
        <v>1551</v>
      </c>
      <c r="G20" s="295" t="s">
        <v>1484</v>
      </c>
      <c r="H20" s="296" t="s">
        <v>1552</v>
      </c>
      <c r="I20" s="295"/>
    </row>
    <row r="21" spans="1:9" ht="135" customHeight="1" x14ac:dyDescent="0.25">
      <c r="A21" s="290"/>
      <c r="B21" s="290">
        <v>16</v>
      </c>
      <c r="C21" s="290" t="s">
        <v>1286</v>
      </c>
      <c r="D21" s="290" t="s">
        <v>1553</v>
      </c>
      <c r="E21" s="295" t="s">
        <v>1554</v>
      </c>
      <c r="F21" s="295" t="s">
        <v>1555</v>
      </c>
      <c r="G21" s="290" t="s">
        <v>1531</v>
      </c>
      <c r="H21" s="297" t="s">
        <v>1556</v>
      </c>
      <c r="I21" s="298"/>
    </row>
    <row r="22" spans="1:9" ht="135" customHeight="1" x14ac:dyDescent="0.25">
      <c r="A22" s="290"/>
      <c r="B22" s="290">
        <v>17</v>
      </c>
      <c r="C22" s="290" t="s">
        <v>1480</v>
      </c>
      <c r="D22" s="290" t="s">
        <v>1557</v>
      </c>
      <c r="E22" s="295" t="s">
        <v>1558</v>
      </c>
      <c r="F22" s="295" t="s">
        <v>1559</v>
      </c>
      <c r="G22" s="295" t="s">
        <v>1497</v>
      </c>
      <c r="H22" s="299" t="s">
        <v>1560</v>
      </c>
      <c r="I22" s="295" t="s">
        <v>1561</v>
      </c>
    </row>
    <row r="23" spans="1:9" ht="60" customHeight="1" x14ac:dyDescent="0.25">
      <c r="A23" s="290"/>
      <c r="B23" s="290">
        <v>18</v>
      </c>
      <c r="C23" s="290" t="s">
        <v>1562</v>
      </c>
      <c r="D23" s="290" t="s">
        <v>1563</v>
      </c>
      <c r="E23" s="295" t="s">
        <v>1564</v>
      </c>
      <c r="F23" s="295" t="s">
        <v>1565</v>
      </c>
      <c r="G23" s="290" t="s">
        <v>1509</v>
      </c>
      <c r="H23" s="297" t="s">
        <v>1566</v>
      </c>
      <c r="I23" s="298"/>
    </row>
    <row r="24" spans="1:9" ht="150" customHeight="1" x14ac:dyDescent="0.25">
      <c r="A24" s="290"/>
      <c r="B24" s="290">
        <v>19</v>
      </c>
      <c r="C24" s="290" t="s">
        <v>1567</v>
      </c>
      <c r="D24" s="290" t="s">
        <v>1568</v>
      </c>
      <c r="E24" s="295" t="s">
        <v>1569</v>
      </c>
      <c r="F24" s="295" t="s">
        <v>1570</v>
      </c>
      <c r="G24" s="295" t="s">
        <v>1509</v>
      </c>
      <c r="H24" s="296" t="s">
        <v>1560</v>
      </c>
      <c r="I24" s="295"/>
    </row>
    <row r="25" spans="1:9" ht="45" customHeight="1" x14ac:dyDescent="0.25">
      <c r="A25" s="290"/>
      <c r="B25" s="290">
        <v>20</v>
      </c>
      <c r="C25" s="290" t="s">
        <v>1567</v>
      </c>
      <c r="D25" s="290" t="s">
        <v>1571</v>
      </c>
      <c r="E25" s="295" t="s">
        <v>1572</v>
      </c>
      <c r="F25" s="295" t="s">
        <v>1573</v>
      </c>
      <c r="G25" s="295" t="s">
        <v>1509</v>
      </c>
      <c r="H25" s="296" t="s">
        <v>1560</v>
      </c>
      <c r="I25" s="295"/>
    </row>
    <row r="26" spans="1:9" ht="105" customHeight="1" x14ac:dyDescent="0.25">
      <c r="A26" s="290"/>
      <c r="B26" s="290">
        <v>21</v>
      </c>
      <c r="C26" s="290" t="s">
        <v>1574</v>
      </c>
      <c r="D26" s="290" t="s">
        <v>1575</v>
      </c>
      <c r="E26" s="295" t="s">
        <v>1576</v>
      </c>
      <c r="F26" s="295" t="s">
        <v>1577</v>
      </c>
      <c r="G26" s="295" t="s">
        <v>1578</v>
      </c>
      <c r="H26" s="296" t="s">
        <v>1579</v>
      </c>
      <c r="I26" s="295" t="s">
        <v>1580</v>
      </c>
    </row>
    <row r="27" spans="1:9" ht="60" customHeight="1" x14ac:dyDescent="0.25">
      <c r="A27" s="290"/>
      <c r="B27" s="290">
        <v>22</v>
      </c>
      <c r="C27" s="290" t="s">
        <v>1480</v>
      </c>
      <c r="D27" s="290" t="s">
        <v>1581</v>
      </c>
      <c r="E27" s="295" t="s">
        <v>1582</v>
      </c>
      <c r="F27" s="295" t="s">
        <v>1583</v>
      </c>
      <c r="G27" s="295" t="s">
        <v>1509</v>
      </c>
      <c r="H27" s="296" t="s">
        <v>1560</v>
      </c>
      <c r="I27" s="295" t="s">
        <v>1584</v>
      </c>
    </row>
    <row r="28" spans="1:9" ht="240" customHeight="1" x14ac:dyDescent="0.25">
      <c r="A28" s="290"/>
      <c r="B28" s="290">
        <v>23</v>
      </c>
      <c r="C28" s="290" t="s">
        <v>1585</v>
      </c>
      <c r="D28" s="290" t="s">
        <v>1586</v>
      </c>
      <c r="E28" s="295" t="s">
        <v>1587</v>
      </c>
      <c r="F28" s="295" t="s">
        <v>1588</v>
      </c>
      <c r="G28" s="295" t="s">
        <v>1509</v>
      </c>
      <c r="H28" s="296" t="s">
        <v>1589</v>
      </c>
      <c r="I28" s="295"/>
    </row>
    <row r="29" spans="1:9" ht="195" customHeight="1" x14ac:dyDescent="0.25">
      <c r="A29" s="290"/>
      <c r="B29" s="290">
        <v>24</v>
      </c>
      <c r="C29" s="290" t="s">
        <v>1188</v>
      </c>
      <c r="D29" s="290" t="s">
        <v>1590</v>
      </c>
      <c r="E29" s="295" t="s">
        <v>1591</v>
      </c>
      <c r="F29" s="295" t="s">
        <v>1592</v>
      </c>
      <c r="G29" s="295" t="s">
        <v>1509</v>
      </c>
      <c r="H29" s="296" t="s">
        <v>1560</v>
      </c>
      <c r="I29" s="295"/>
    </row>
    <row r="30" spans="1:9" ht="135" customHeight="1" x14ac:dyDescent="0.25">
      <c r="B30" s="290">
        <v>25</v>
      </c>
      <c r="C30" s="290" t="s">
        <v>1593</v>
      </c>
      <c r="D30" s="290" t="s">
        <v>1594</v>
      </c>
      <c r="E30" s="295" t="s">
        <v>1595</v>
      </c>
      <c r="F30" s="295" t="s">
        <v>1596</v>
      </c>
      <c r="G30" s="295" t="s">
        <v>1497</v>
      </c>
      <c r="H30" s="296" t="s">
        <v>1597</v>
      </c>
      <c r="I30" s="295" t="s">
        <v>1598</v>
      </c>
    </row>
    <row r="31" spans="1:9" ht="225" customHeight="1" x14ac:dyDescent="0.25">
      <c r="B31" s="290">
        <v>26</v>
      </c>
      <c r="C31" s="290" t="s">
        <v>1593</v>
      </c>
      <c r="D31" s="290" t="s">
        <v>1599</v>
      </c>
      <c r="E31" s="295" t="s">
        <v>1600</v>
      </c>
      <c r="F31" s="295" t="s">
        <v>1601</v>
      </c>
      <c r="G31" s="295" t="s">
        <v>1509</v>
      </c>
      <c r="H31" s="296" t="s">
        <v>1602</v>
      </c>
      <c r="I31" s="295" t="s">
        <v>1603</v>
      </c>
    </row>
    <row r="32" spans="1:9" ht="135" customHeight="1" x14ac:dyDescent="0.25">
      <c r="B32" s="290">
        <v>27</v>
      </c>
      <c r="C32" s="290" t="s">
        <v>1188</v>
      </c>
      <c r="D32" s="290" t="s">
        <v>1604</v>
      </c>
      <c r="E32" s="295" t="s">
        <v>1605</v>
      </c>
      <c r="F32" s="295" t="s">
        <v>1606</v>
      </c>
      <c r="G32" s="295" t="s">
        <v>1509</v>
      </c>
      <c r="H32" s="296" t="s">
        <v>1597</v>
      </c>
      <c r="I32" s="295" t="s">
        <v>1607</v>
      </c>
    </row>
    <row r="33" spans="2:9" ht="210" customHeight="1" x14ac:dyDescent="0.25">
      <c r="B33" s="290">
        <v>28</v>
      </c>
      <c r="C33" s="290" t="s">
        <v>1608</v>
      </c>
      <c r="D33" s="290" t="s">
        <v>1609</v>
      </c>
      <c r="E33" s="295" t="s">
        <v>1610</v>
      </c>
      <c r="F33" s="295" t="s">
        <v>1611</v>
      </c>
      <c r="G33" s="295" t="s">
        <v>1612</v>
      </c>
      <c r="H33" s="296" t="s">
        <v>1613</v>
      </c>
      <c r="I33" s="295"/>
    </row>
    <row r="34" spans="2:9" ht="60" customHeight="1" x14ac:dyDescent="0.25">
      <c r="B34" s="290">
        <v>29</v>
      </c>
      <c r="C34" s="290" t="s">
        <v>1614</v>
      </c>
      <c r="D34" s="290" t="s">
        <v>1615</v>
      </c>
      <c r="E34" s="295" t="s">
        <v>1616</v>
      </c>
      <c r="F34" s="295" t="s">
        <v>1617</v>
      </c>
      <c r="G34" s="295" t="s">
        <v>1520</v>
      </c>
      <c r="H34" s="296" t="s">
        <v>1618</v>
      </c>
      <c r="I34" s="295"/>
    </row>
    <row r="35" spans="2:9" ht="45" customHeight="1" x14ac:dyDescent="0.25">
      <c r="B35" s="290">
        <v>30</v>
      </c>
      <c r="C35" s="290" t="s">
        <v>1516</v>
      </c>
      <c r="D35" s="290" t="s">
        <v>1619</v>
      </c>
      <c r="E35" s="295" t="s">
        <v>1620</v>
      </c>
      <c r="F35" s="295" t="s">
        <v>1621</v>
      </c>
      <c r="G35" s="295" t="s">
        <v>1622</v>
      </c>
      <c r="H35" s="296" t="s">
        <v>1623</v>
      </c>
      <c r="I35" s="295"/>
    </row>
    <row r="36" spans="2:9" ht="60" customHeight="1" x14ac:dyDescent="0.25">
      <c r="B36" s="290">
        <v>31</v>
      </c>
      <c r="C36" s="290" t="s">
        <v>1467</v>
      </c>
      <c r="D36" s="290" t="s">
        <v>1624</v>
      </c>
      <c r="E36" s="295" t="s">
        <v>1625</v>
      </c>
      <c r="F36" s="295" t="s">
        <v>1626</v>
      </c>
      <c r="G36" s="295" t="s">
        <v>1471</v>
      </c>
      <c r="H36" s="296" t="s">
        <v>1627</v>
      </c>
      <c r="I36" s="295"/>
    </row>
    <row r="37" spans="2:9" ht="60" customHeight="1" x14ac:dyDescent="0.25">
      <c r="B37" s="290">
        <v>32</v>
      </c>
      <c r="C37" s="290" t="s">
        <v>1467</v>
      </c>
      <c r="D37" s="290" t="s">
        <v>1628</v>
      </c>
      <c r="E37" s="295" t="s">
        <v>1629</v>
      </c>
      <c r="F37" s="295" t="s">
        <v>1630</v>
      </c>
      <c r="G37" s="295" t="s">
        <v>1520</v>
      </c>
      <c r="H37" s="296" t="s">
        <v>1631</v>
      </c>
      <c r="I37" s="295"/>
    </row>
    <row r="38" spans="2:9" ht="60" customHeight="1" x14ac:dyDescent="0.25">
      <c r="B38" s="290">
        <v>33</v>
      </c>
      <c r="C38" s="290" t="s">
        <v>1467</v>
      </c>
      <c r="D38" s="290" t="s">
        <v>1632</v>
      </c>
      <c r="E38" s="295" t="s">
        <v>1633</v>
      </c>
      <c r="F38" s="295" t="s">
        <v>1634</v>
      </c>
      <c r="G38" s="295" t="s">
        <v>1471</v>
      </c>
      <c r="H38" s="296" t="s">
        <v>1635</v>
      </c>
      <c r="I38" s="295"/>
    </row>
    <row r="39" spans="2:9" ht="60" customHeight="1" x14ac:dyDescent="0.25">
      <c r="B39" s="290">
        <v>34</v>
      </c>
      <c r="C39" s="290" t="s">
        <v>1608</v>
      </c>
      <c r="D39" s="290" t="s">
        <v>1636</v>
      </c>
      <c r="E39" s="295" t="s">
        <v>1637</v>
      </c>
      <c r="F39" s="295" t="s">
        <v>1638</v>
      </c>
      <c r="G39" s="295" t="s">
        <v>1509</v>
      </c>
      <c r="H39" s="296" t="s">
        <v>1639</v>
      </c>
      <c r="I39" s="295"/>
    </row>
    <row r="40" spans="2:9" ht="45" customHeight="1" x14ac:dyDescent="0.25">
      <c r="B40" s="290">
        <v>35</v>
      </c>
      <c r="C40" s="290" t="s">
        <v>1640</v>
      </c>
      <c r="D40" s="290" t="s">
        <v>1641</v>
      </c>
      <c r="E40" s="295" t="s">
        <v>1642</v>
      </c>
      <c r="F40" s="295" t="s">
        <v>1643</v>
      </c>
      <c r="G40" s="290" t="s">
        <v>1520</v>
      </c>
      <c r="H40" s="297" t="s">
        <v>1597</v>
      </c>
      <c r="I40" s="298"/>
    </row>
    <row r="41" spans="2:9" ht="45" customHeight="1" x14ac:dyDescent="0.25">
      <c r="B41" s="290">
        <v>36</v>
      </c>
      <c r="C41" s="290" t="s">
        <v>1644</v>
      </c>
      <c r="D41" s="290" t="s">
        <v>1645</v>
      </c>
      <c r="E41" s="295" t="s">
        <v>1646</v>
      </c>
      <c r="F41" s="295" t="s">
        <v>1647</v>
      </c>
      <c r="G41" s="290" t="s">
        <v>1648</v>
      </c>
      <c r="H41" s="300" t="s">
        <v>1597</v>
      </c>
      <c r="I41" s="298"/>
    </row>
    <row r="42" spans="2:9" ht="60" customHeight="1" x14ac:dyDescent="0.25">
      <c r="B42" s="290">
        <v>37</v>
      </c>
      <c r="C42" s="290" t="s">
        <v>1649</v>
      </c>
      <c r="D42" s="290" t="s">
        <v>1650</v>
      </c>
      <c r="E42" s="295" t="s">
        <v>1651</v>
      </c>
      <c r="F42" s="295" t="s">
        <v>1652</v>
      </c>
      <c r="G42" s="290" t="s">
        <v>1653</v>
      </c>
      <c r="H42" s="300" t="s">
        <v>1597</v>
      </c>
      <c r="I42" s="298"/>
    </row>
    <row r="43" spans="2:9" ht="45" customHeight="1" x14ac:dyDescent="0.25">
      <c r="B43" s="290">
        <v>38</v>
      </c>
      <c r="C43" s="290" t="s">
        <v>1649</v>
      </c>
      <c r="D43" s="290" t="s">
        <v>1654</v>
      </c>
      <c r="E43" s="295" t="s">
        <v>1655</v>
      </c>
      <c r="F43" s="295" t="s">
        <v>1656</v>
      </c>
      <c r="G43" s="290" t="s">
        <v>1653</v>
      </c>
      <c r="H43" s="300" t="s">
        <v>1597</v>
      </c>
      <c r="I43" s="298"/>
    </row>
    <row r="44" spans="2:9" ht="45" customHeight="1" x14ac:dyDescent="0.25">
      <c r="B44" s="290">
        <v>39</v>
      </c>
      <c r="C44" s="290" t="s">
        <v>1649</v>
      </c>
      <c r="D44" s="290" t="s">
        <v>1657</v>
      </c>
      <c r="E44" s="295" t="s">
        <v>1658</v>
      </c>
      <c r="F44" s="295" t="s">
        <v>1659</v>
      </c>
      <c r="G44" s="290" t="s">
        <v>1653</v>
      </c>
      <c r="H44" s="300" t="s">
        <v>1597</v>
      </c>
      <c r="I44" s="298"/>
    </row>
    <row r="45" spans="2:9" ht="30" customHeight="1" x14ac:dyDescent="0.25">
      <c r="B45" s="290">
        <v>40</v>
      </c>
      <c r="C45" s="290" t="s">
        <v>1660</v>
      </c>
      <c r="D45" s="290" t="s">
        <v>1661</v>
      </c>
      <c r="E45" s="295" t="s">
        <v>1662</v>
      </c>
      <c r="F45" s="295" t="s">
        <v>1663</v>
      </c>
      <c r="G45" s="290" t="s">
        <v>1653</v>
      </c>
      <c r="H45" s="300" t="s">
        <v>1597</v>
      </c>
      <c r="I45" s="298"/>
    </row>
    <row r="46" spans="2:9" ht="90" customHeight="1" x14ac:dyDescent="0.25">
      <c r="B46" s="290">
        <v>41</v>
      </c>
      <c r="C46" s="290" t="s">
        <v>1664</v>
      </c>
      <c r="D46" s="290" t="s">
        <v>1665</v>
      </c>
      <c r="E46" s="295" t="s">
        <v>1666</v>
      </c>
      <c r="F46" s="295" t="s">
        <v>1667</v>
      </c>
      <c r="G46" s="290" t="s">
        <v>1531</v>
      </c>
      <c r="H46" s="297" t="s">
        <v>1668</v>
      </c>
      <c r="I46" s="295" t="s">
        <v>1669</v>
      </c>
    </row>
    <row r="47" spans="2:9" ht="45" customHeight="1" x14ac:dyDescent="0.25">
      <c r="B47" s="290">
        <v>42</v>
      </c>
      <c r="C47" s="290" t="s">
        <v>1670</v>
      </c>
      <c r="D47" s="290" t="s">
        <v>1671</v>
      </c>
      <c r="E47" s="295" t="s">
        <v>1672</v>
      </c>
      <c r="F47" s="295" t="s">
        <v>1673</v>
      </c>
      <c r="G47" s="290" t="s">
        <v>1509</v>
      </c>
      <c r="H47" s="297" t="s">
        <v>1674</v>
      </c>
      <c r="I47" s="298"/>
    </row>
    <row r="48" spans="2:9" ht="45" customHeight="1" x14ac:dyDescent="0.25">
      <c r="B48" s="290">
        <v>43</v>
      </c>
      <c r="C48" s="290" t="s">
        <v>1675</v>
      </c>
      <c r="D48" s="290" t="s">
        <v>1676</v>
      </c>
      <c r="E48" s="295" t="s">
        <v>1677</v>
      </c>
      <c r="F48" s="295" t="s">
        <v>1678</v>
      </c>
      <c r="G48" s="290" t="s">
        <v>1509</v>
      </c>
      <c r="H48" s="297" t="s">
        <v>1674</v>
      </c>
      <c r="I48" s="298"/>
    </row>
    <row r="49" spans="2:9" ht="45" customHeight="1" x14ac:dyDescent="0.25">
      <c r="B49" s="290">
        <v>44</v>
      </c>
      <c r="C49" s="290" t="s">
        <v>1467</v>
      </c>
      <c r="D49" s="290" t="s">
        <v>1679</v>
      </c>
      <c r="E49" s="295" t="s">
        <v>1680</v>
      </c>
      <c r="F49" s="295" t="s">
        <v>1681</v>
      </c>
      <c r="G49" s="290" t="s">
        <v>1509</v>
      </c>
      <c r="H49" s="297" t="s">
        <v>1674</v>
      </c>
      <c r="I49" s="298"/>
    </row>
    <row r="50" spans="2:9" ht="60" customHeight="1" x14ac:dyDescent="0.25">
      <c r="B50" s="290">
        <v>45</v>
      </c>
      <c r="C50" s="290" t="s">
        <v>1675</v>
      </c>
      <c r="D50" s="290" t="s">
        <v>1682</v>
      </c>
      <c r="E50" s="295" t="s">
        <v>1683</v>
      </c>
      <c r="F50" s="295" t="s">
        <v>1684</v>
      </c>
      <c r="G50" s="290" t="s">
        <v>1509</v>
      </c>
      <c r="H50" s="297" t="s">
        <v>1674</v>
      </c>
      <c r="I50" s="298"/>
    </row>
    <row r="51" spans="2:9" ht="45" customHeight="1" x14ac:dyDescent="0.25">
      <c r="B51" s="290">
        <v>46</v>
      </c>
      <c r="C51" s="290" t="s">
        <v>1675</v>
      </c>
      <c r="D51" s="290" t="s">
        <v>1685</v>
      </c>
      <c r="E51" s="295" t="s">
        <v>1686</v>
      </c>
      <c r="F51" s="295" t="s">
        <v>1687</v>
      </c>
      <c r="G51" s="290" t="s">
        <v>1509</v>
      </c>
      <c r="H51" s="297" t="s">
        <v>1674</v>
      </c>
      <c r="I51" s="298"/>
    </row>
    <row r="52" spans="2:9" ht="135" customHeight="1" x14ac:dyDescent="0.25">
      <c r="B52" s="290">
        <v>47</v>
      </c>
      <c r="C52" s="290" t="s">
        <v>1688</v>
      </c>
      <c r="D52" s="290" t="s">
        <v>1689</v>
      </c>
      <c r="E52" s="295" t="s">
        <v>1690</v>
      </c>
      <c r="F52" s="295" t="s">
        <v>1691</v>
      </c>
      <c r="G52" s="290" t="s">
        <v>1692</v>
      </c>
      <c r="H52" s="300" t="s">
        <v>1674</v>
      </c>
      <c r="I52" s="298"/>
    </row>
    <row r="53" spans="2:9" ht="105" customHeight="1" x14ac:dyDescent="0.25">
      <c r="B53" s="290">
        <v>48</v>
      </c>
      <c r="C53" s="290" t="s">
        <v>1188</v>
      </c>
      <c r="D53" s="290" t="s">
        <v>1693</v>
      </c>
      <c r="E53" s="295" t="s">
        <v>1694</v>
      </c>
      <c r="F53" s="295" t="s">
        <v>1695</v>
      </c>
      <c r="G53" s="290" t="s">
        <v>1509</v>
      </c>
      <c r="H53" s="297" t="s">
        <v>1674</v>
      </c>
      <c r="I53" s="295" t="s">
        <v>1696</v>
      </c>
    </row>
    <row r="54" spans="2:9" ht="105" customHeight="1" x14ac:dyDescent="0.25">
      <c r="B54" s="290">
        <v>49</v>
      </c>
      <c r="C54" s="290" t="s">
        <v>1188</v>
      </c>
      <c r="D54" s="290" t="s">
        <v>1697</v>
      </c>
      <c r="E54" s="295" t="s">
        <v>1698</v>
      </c>
      <c r="F54" s="295" t="s">
        <v>1699</v>
      </c>
      <c r="G54" s="290" t="s">
        <v>1509</v>
      </c>
      <c r="H54" s="297" t="s">
        <v>1674</v>
      </c>
      <c r="I54" s="295" t="s">
        <v>1700</v>
      </c>
    </row>
    <row r="55" spans="2:9" ht="45" customHeight="1" x14ac:dyDescent="0.25">
      <c r="B55" s="290">
        <v>50</v>
      </c>
      <c r="C55" s="290" t="s">
        <v>1188</v>
      </c>
      <c r="D55" s="290" t="s">
        <v>1701</v>
      </c>
      <c r="E55" s="295" t="s">
        <v>1702</v>
      </c>
      <c r="F55" s="295" t="s">
        <v>1703</v>
      </c>
      <c r="G55" s="290" t="s">
        <v>1509</v>
      </c>
      <c r="H55" s="297" t="s">
        <v>1674</v>
      </c>
      <c r="I55" s="295" t="s">
        <v>1704</v>
      </c>
    </row>
    <row r="56" spans="2:9" ht="105" customHeight="1" x14ac:dyDescent="0.25">
      <c r="B56" s="290">
        <v>51</v>
      </c>
      <c r="C56" s="290" t="s">
        <v>1188</v>
      </c>
      <c r="D56" s="290" t="s">
        <v>1705</v>
      </c>
      <c r="E56" s="295" t="s">
        <v>1706</v>
      </c>
      <c r="F56" s="295" t="s">
        <v>1707</v>
      </c>
      <c r="G56" s="290" t="s">
        <v>1509</v>
      </c>
      <c r="H56" s="297" t="s">
        <v>1674</v>
      </c>
      <c r="I56" s="295" t="s">
        <v>1708</v>
      </c>
    </row>
    <row r="57" spans="2:9" ht="150" customHeight="1" x14ac:dyDescent="0.25">
      <c r="B57" s="290">
        <v>52</v>
      </c>
      <c r="C57" s="290" t="s">
        <v>1709</v>
      </c>
      <c r="D57" s="290" t="s">
        <v>1710</v>
      </c>
      <c r="E57" s="295" t="s">
        <v>1711</v>
      </c>
      <c r="F57" s="295" t="s">
        <v>1712</v>
      </c>
      <c r="G57" s="290" t="s">
        <v>1713</v>
      </c>
      <c r="H57" s="297" t="s">
        <v>1674</v>
      </c>
      <c r="I57" s="295" t="s">
        <v>1714</v>
      </c>
    </row>
    <row r="58" spans="2:9" ht="240" customHeight="1" x14ac:dyDescent="0.25">
      <c r="B58" s="290">
        <v>53</v>
      </c>
      <c r="C58" s="290" t="s">
        <v>1715</v>
      </c>
      <c r="D58" s="290" t="s">
        <v>1716</v>
      </c>
      <c r="E58" s="295" t="s">
        <v>1717</v>
      </c>
      <c r="F58" s="295" t="s">
        <v>1718</v>
      </c>
      <c r="G58" s="295" t="s">
        <v>1509</v>
      </c>
      <c r="H58" s="296" t="s">
        <v>1674</v>
      </c>
      <c r="I58" s="295" t="s">
        <v>1719</v>
      </c>
    </row>
    <row r="59" spans="2:9" ht="60" customHeight="1" x14ac:dyDescent="0.25">
      <c r="B59" s="290">
        <v>54</v>
      </c>
      <c r="C59" s="290" t="s">
        <v>12</v>
      </c>
      <c r="D59" s="290" t="s">
        <v>1720</v>
      </c>
      <c r="E59" s="295" t="s">
        <v>1721</v>
      </c>
      <c r="F59" s="295" t="s">
        <v>1722</v>
      </c>
      <c r="G59" s="295" t="s">
        <v>1612</v>
      </c>
      <c r="H59" s="296" t="s">
        <v>1723</v>
      </c>
      <c r="I59" s="295"/>
    </row>
    <row r="60" spans="2:9" ht="60" customHeight="1" x14ac:dyDescent="0.25">
      <c r="B60" s="290">
        <v>55</v>
      </c>
      <c r="C60" s="290" t="s">
        <v>1522</v>
      </c>
      <c r="D60" s="290" t="s">
        <v>1724</v>
      </c>
      <c r="E60" s="295" t="s">
        <v>1725</v>
      </c>
      <c r="F60" s="295" t="s">
        <v>1726</v>
      </c>
      <c r="G60" s="295" t="s">
        <v>1520</v>
      </c>
      <c r="H60" s="296" t="s">
        <v>1727</v>
      </c>
      <c r="I60" s="295"/>
    </row>
  </sheetData>
  <pageMargins left="0.7" right="0.7" top="0.75" bottom="0.75" header="0.511811023622047" footer="0.511811023622047"/>
  <pageSetup paperSize="9" orientation="portrait" horizontalDpi="300" verticalDpi="30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33"/>
  <sheetViews>
    <sheetView zoomScaleNormal="100" workbookViewId="0">
      <pane ySplit="4" topLeftCell="A5" activePane="bottomLeft" state="frozen"/>
      <selection pane="bottomLeft" activeCell="E5" sqref="E5"/>
    </sheetView>
  </sheetViews>
  <sheetFormatPr defaultColWidth="8.5703125" defaultRowHeight="15" x14ac:dyDescent="0.25"/>
  <cols>
    <col min="1" max="1" width="3.5703125" customWidth="1"/>
    <col min="2" max="2" width="5.5703125" customWidth="1"/>
    <col min="3" max="3" width="13.85546875" customWidth="1"/>
    <col min="4" max="4" width="19.42578125" customWidth="1"/>
    <col min="5" max="5" width="27.5703125" customWidth="1"/>
    <col min="6" max="6" width="14.5703125" customWidth="1"/>
    <col min="7" max="7" width="66.5703125" customWidth="1"/>
    <col min="8" max="9" width="29.5703125" customWidth="1"/>
    <col min="10" max="10" width="37" customWidth="1"/>
  </cols>
  <sheetData>
    <row r="1" spans="1:10" x14ac:dyDescent="0.25">
      <c r="A1" s="287" t="s">
        <v>1457</v>
      </c>
    </row>
    <row r="2" spans="1:10" x14ac:dyDescent="0.25">
      <c r="A2" s="288" t="s">
        <v>1728</v>
      </c>
    </row>
    <row r="4" spans="1:10" x14ac:dyDescent="0.25">
      <c r="A4" s="290"/>
      <c r="B4" s="291" t="s">
        <v>29</v>
      </c>
      <c r="C4" s="291" t="s">
        <v>266</v>
      </c>
      <c r="D4" s="292" t="s">
        <v>1729</v>
      </c>
      <c r="E4" s="292" t="s">
        <v>1730</v>
      </c>
      <c r="F4" s="292" t="s">
        <v>1731</v>
      </c>
      <c r="G4" s="292" t="s">
        <v>1732</v>
      </c>
      <c r="H4" s="292" t="s">
        <v>1733</v>
      </c>
      <c r="I4" s="292" t="s">
        <v>1734</v>
      </c>
      <c r="J4" s="292" t="s">
        <v>917</v>
      </c>
    </row>
    <row r="5" spans="1:10" ht="60" customHeight="1" x14ac:dyDescent="0.25">
      <c r="A5" s="290"/>
      <c r="B5" s="290">
        <v>1</v>
      </c>
      <c r="C5" s="301">
        <v>46268</v>
      </c>
      <c r="D5" s="290" t="s">
        <v>1735</v>
      </c>
      <c r="E5" s="290" t="s">
        <v>1736</v>
      </c>
      <c r="F5" s="290" t="s">
        <v>1737</v>
      </c>
      <c r="G5" s="295" t="s">
        <v>1738</v>
      </c>
      <c r="H5" s="295" t="s">
        <v>1739</v>
      </c>
      <c r="I5" s="295" t="s">
        <v>1740</v>
      </c>
      <c r="J5" s="295" t="s">
        <v>1741</v>
      </c>
    </row>
    <row r="6" spans="1:10" ht="60" customHeight="1" x14ac:dyDescent="0.25">
      <c r="A6" s="290"/>
      <c r="B6" s="290">
        <v>2</v>
      </c>
      <c r="C6" s="301">
        <v>46268</v>
      </c>
      <c r="D6" s="290" t="s">
        <v>1735</v>
      </c>
      <c r="E6" s="290" t="s">
        <v>1742</v>
      </c>
      <c r="F6" s="290" t="s">
        <v>1737</v>
      </c>
      <c r="G6" s="295" t="s">
        <v>1743</v>
      </c>
      <c r="H6" s="295" t="s">
        <v>1739</v>
      </c>
      <c r="I6" s="295" t="s">
        <v>1744</v>
      </c>
      <c r="J6" s="295" t="s">
        <v>1745</v>
      </c>
    </row>
    <row r="7" spans="1:10" x14ac:dyDescent="0.25">
      <c r="A7" s="290"/>
      <c r="B7" s="290">
        <v>3</v>
      </c>
      <c r="C7" s="301">
        <v>46268</v>
      </c>
      <c r="D7" s="290" t="s">
        <v>1735</v>
      </c>
      <c r="E7" s="290" t="s">
        <v>1746</v>
      </c>
      <c r="F7" s="290" t="s">
        <v>1737</v>
      </c>
      <c r="G7" s="295" t="s">
        <v>1747</v>
      </c>
      <c r="H7" s="295" t="s">
        <v>1739</v>
      </c>
      <c r="I7" s="295" t="s">
        <v>148</v>
      </c>
      <c r="J7" s="295" t="s">
        <v>1748</v>
      </c>
    </row>
    <row r="8" spans="1:10" ht="75" customHeight="1" x14ac:dyDescent="0.25">
      <c r="A8" s="290"/>
      <c r="B8" s="290">
        <v>4</v>
      </c>
      <c r="C8" s="301">
        <v>46268</v>
      </c>
      <c r="D8" s="290" t="s">
        <v>1735</v>
      </c>
      <c r="E8" s="290" t="s">
        <v>1749</v>
      </c>
      <c r="F8" s="290" t="s">
        <v>1750</v>
      </c>
      <c r="G8" s="295" t="s">
        <v>1751</v>
      </c>
      <c r="H8" s="295" t="s">
        <v>1752</v>
      </c>
      <c r="I8" s="295" t="s">
        <v>1752</v>
      </c>
      <c r="J8" s="295" t="s">
        <v>1753</v>
      </c>
    </row>
    <row r="9" spans="1:10" ht="75" customHeight="1" x14ac:dyDescent="0.25">
      <c r="A9" s="290"/>
      <c r="B9" s="290">
        <v>5</v>
      </c>
      <c r="C9" s="301">
        <v>46268</v>
      </c>
      <c r="D9" s="290" t="s">
        <v>1754</v>
      </c>
      <c r="E9" s="290" t="s">
        <v>1736</v>
      </c>
      <c r="F9" s="290" t="s">
        <v>1755</v>
      </c>
      <c r="G9" s="295" t="s">
        <v>1756</v>
      </c>
      <c r="H9" s="295" t="s">
        <v>1757</v>
      </c>
      <c r="I9" s="295" t="s">
        <v>1758</v>
      </c>
      <c r="J9" s="295" t="s">
        <v>1759</v>
      </c>
    </row>
    <row r="10" spans="1:10" ht="60" customHeight="1" x14ac:dyDescent="0.25">
      <c r="A10" s="290"/>
      <c r="B10" s="290">
        <v>6</v>
      </c>
      <c r="C10" s="301">
        <v>46268</v>
      </c>
      <c r="D10" s="290" t="s">
        <v>1754</v>
      </c>
      <c r="E10" s="290" t="s">
        <v>1760</v>
      </c>
      <c r="F10" s="290" t="s">
        <v>1761</v>
      </c>
      <c r="G10" s="295" t="s">
        <v>1762</v>
      </c>
      <c r="H10" s="295" t="s">
        <v>1739</v>
      </c>
      <c r="I10" s="295" t="s">
        <v>1763</v>
      </c>
      <c r="J10" s="295" t="s">
        <v>1764</v>
      </c>
    </row>
    <row r="11" spans="1:10" ht="60" customHeight="1" x14ac:dyDescent="0.25">
      <c r="A11" s="290"/>
      <c r="B11" s="290">
        <v>7</v>
      </c>
      <c r="C11" s="301">
        <v>46268</v>
      </c>
      <c r="D11" s="290" t="s">
        <v>1754</v>
      </c>
      <c r="E11" s="290" t="s">
        <v>1765</v>
      </c>
      <c r="F11" s="290" t="s">
        <v>1766</v>
      </c>
      <c r="G11" s="295" t="s">
        <v>1767</v>
      </c>
      <c r="H11" s="295">
        <v>280</v>
      </c>
      <c r="I11" s="295">
        <v>200</v>
      </c>
      <c r="J11" s="295" t="s">
        <v>1768</v>
      </c>
    </row>
    <row r="12" spans="1:10" ht="60" customHeight="1" x14ac:dyDescent="0.25">
      <c r="A12" s="290"/>
      <c r="B12" s="290">
        <v>8</v>
      </c>
      <c r="C12" s="301">
        <v>46268</v>
      </c>
      <c r="D12" s="290" t="s">
        <v>1754</v>
      </c>
      <c r="E12" s="290" t="s">
        <v>1769</v>
      </c>
      <c r="F12" s="290" t="s">
        <v>1770</v>
      </c>
      <c r="G12" s="295" t="s">
        <v>1771</v>
      </c>
      <c r="H12" s="295" t="s">
        <v>1772</v>
      </c>
      <c r="I12" s="295" t="s">
        <v>1773</v>
      </c>
      <c r="J12" s="295" t="s">
        <v>1774</v>
      </c>
    </row>
    <row r="13" spans="1:10" ht="60" customHeight="1" x14ac:dyDescent="0.25">
      <c r="A13" s="290"/>
      <c r="B13" s="290">
        <v>9</v>
      </c>
      <c r="C13" s="301">
        <v>46268</v>
      </c>
      <c r="D13" s="290" t="s">
        <v>1754</v>
      </c>
      <c r="E13" s="290" t="s">
        <v>1769</v>
      </c>
      <c r="F13" s="290" t="s">
        <v>1775</v>
      </c>
      <c r="G13" s="295" t="s">
        <v>1776</v>
      </c>
      <c r="H13" s="295" t="s">
        <v>1777</v>
      </c>
      <c r="I13" s="295" t="s">
        <v>1778</v>
      </c>
      <c r="J13" s="295" t="s">
        <v>1774</v>
      </c>
    </row>
    <row r="14" spans="1:10" ht="90" customHeight="1" x14ac:dyDescent="0.25">
      <c r="A14" s="290"/>
      <c r="B14" s="290">
        <v>10</v>
      </c>
      <c r="C14" s="301">
        <v>46268</v>
      </c>
      <c r="D14" s="290" t="s">
        <v>1754</v>
      </c>
      <c r="E14" s="290" t="s">
        <v>1736</v>
      </c>
      <c r="F14" s="290" t="s">
        <v>1779</v>
      </c>
      <c r="G14" s="295" t="s">
        <v>1780</v>
      </c>
      <c r="H14" s="295" t="s">
        <v>1781</v>
      </c>
      <c r="I14" s="295" t="s">
        <v>1782</v>
      </c>
      <c r="J14" s="295" t="s">
        <v>1783</v>
      </c>
    </row>
    <row r="15" spans="1:10" ht="75" customHeight="1" x14ac:dyDescent="0.25">
      <c r="A15" s="290"/>
      <c r="B15" s="290">
        <v>11</v>
      </c>
      <c r="C15" s="301">
        <v>46268</v>
      </c>
      <c r="D15" s="290" t="s">
        <v>1754</v>
      </c>
      <c r="E15" s="290" t="s">
        <v>1742</v>
      </c>
      <c r="F15" s="290" t="s">
        <v>1784</v>
      </c>
      <c r="G15" s="295" t="s">
        <v>1785</v>
      </c>
      <c r="H15" s="295" t="s">
        <v>1786</v>
      </c>
      <c r="I15" s="295" t="s">
        <v>1787</v>
      </c>
      <c r="J15" s="295" t="s">
        <v>1788</v>
      </c>
    </row>
    <row r="16" spans="1:10" ht="90" customHeight="1" x14ac:dyDescent="0.25">
      <c r="A16" s="290"/>
      <c r="B16" s="290">
        <v>12</v>
      </c>
      <c r="C16" s="301">
        <v>46268</v>
      </c>
      <c r="D16" s="290" t="s">
        <v>1754</v>
      </c>
      <c r="E16" s="290" t="s">
        <v>1736</v>
      </c>
      <c r="F16" s="290" t="s">
        <v>1789</v>
      </c>
      <c r="G16" s="295" t="s">
        <v>1790</v>
      </c>
      <c r="H16" s="295" t="s">
        <v>1791</v>
      </c>
      <c r="I16" s="295" t="s">
        <v>1792</v>
      </c>
      <c r="J16" s="295" t="s">
        <v>1793</v>
      </c>
    </row>
    <row r="17" spans="1:10" ht="90" customHeight="1" x14ac:dyDescent="0.25">
      <c r="A17" s="290"/>
      <c r="B17" s="290">
        <v>13</v>
      </c>
      <c r="C17" s="301">
        <v>46268</v>
      </c>
      <c r="D17" s="290" t="s">
        <v>1754</v>
      </c>
      <c r="E17" s="290" t="s">
        <v>1794</v>
      </c>
      <c r="F17" s="290" t="s">
        <v>1795</v>
      </c>
      <c r="G17" s="295" t="s">
        <v>1796</v>
      </c>
      <c r="H17" s="295" t="s">
        <v>1797</v>
      </c>
      <c r="I17" s="295" t="s">
        <v>1798</v>
      </c>
      <c r="J17" s="295" t="s">
        <v>1799</v>
      </c>
    </row>
    <row r="18" spans="1:10" ht="90" customHeight="1" x14ac:dyDescent="0.25">
      <c r="A18" s="290"/>
      <c r="B18" s="290">
        <v>14</v>
      </c>
      <c r="C18" s="301">
        <v>46268</v>
      </c>
      <c r="D18" s="290" t="s">
        <v>1754</v>
      </c>
      <c r="E18" s="290" t="s">
        <v>1736</v>
      </c>
      <c r="F18" s="290" t="s">
        <v>1800</v>
      </c>
      <c r="G18" s="295" t="s">
        <v>1801</v>
      </c>
      <c r="H18" s="295" t="s">
        <v>1802</v>
      </c>
      <c r="I18" s="295" t="s">
        <v>1803</v>
      </c>
      <c r="J18" s="295" t="s">
        <v>1804</v>
      </c>
    </row>
    <row r="19" spans="1:10" ht="105" customHeight="1" x14ac:dyDescent="0.25">
      <c r="A19" s="290"/>
      <c r="B19" s="290">
        <v>15</v>
      </c>
      <c r="C19" s="301">
        <v>46268</v>
      </c>
      <c r="D19" s="290" t="s">
        <v>1754</v>
      </c>
      <c r="E19" s="290" t="s">
        <v>1742</v>
      </c>
      <c r="F19" s="290" t="s">
        <v>1805</v>
      </c>
      <c r="G19" s="295" t="s">
        <v>1806</v>
      </c>
      <c r="H19" s="295" t="s">
        <v>1807</v>
      </c>
      <c r="I19" s="295" t="s">
        <v>1808</v>
      </c>
      <c r="J19" s="295" t="s">
        <v>1809</v>
      </c>
    </row>
    <row r="20" spans="1:10" ht="180" customHeight="1" x14ac:dyDescent="0.25">
      <c r="A20" s="290"/>
      <c r="B20" s="290">
        <v>16</v>
      </c>
      <c r="C20" s="301">
        <v>46268</v>
      </c>
      <c r="D20" s="290" t="s">
        <v>1810</v>
      </c>
      <c r="E20" s="290" t="s">
        <v>1760</v>
      </c>
      <c r="F20" s="290" t="s">
        <v>1811</v>
      </c>
      <c r="G20" s="295" t="s">
        <v>1812</v>
      </c>
      <c r="H20" s="295" t="s">
        <v>1813</v>
      </c>
      <c r="I20" s="295" t="s">
        <v>1814</v>
      </c>
      <c r="J20" s="295" t="s">
        <v>1815</v>
      </c>
    </row>
    <row r="21" spans="1:10" ht="165" customHeight="1" x14ac:dyDescent="0.25">
      <c r="A21" s="290"/>
      <c r="B21" s="290">
        <v>17</v>
      </c>
      <c r="C21" s="301">
        <v>46268</v>
      </c>
      <c r="D21" s="290" t="s">
        <v>1810</v>
      </c>
      <c r="E21" s="290" t="s">
        <v>1816</v>
      </c>
      <c r="F21" s="290" t="s">
        <v>1817</v>
      </c>
      <c r="G21" s="295" t="s">
        <v>1818</v>
      </c>
      <c r="H21" s="295" t="s">
        <v>1819</v>
      </c>
      <c r="I21" s="295" t="s">
        <v>1820</v>
      </c>
      <c r="J21" s="295" t="s">
        <v>1821</v>
      </c>
    </row>
    <row r="22" spans="1:10" ht="240" customHeight="1" x14ac:dyDescent="0.25">
      <c r="A22" s="290"/>
      <c r="B22" s="290">
        <v>18</v>
      </c>
      <c r="C22" s="301">
        <v>46268</v>
      </c>
      <c r="D22" s="290" t="s">
        <v>1810</v>
      </c>
      <c r="E22" s="290" t="s">
        <v>1760</v>
      </c>
      <c r="F22" s="290" t="s">
        <v>1822</v>
      </c>
      <c r="G22" s="295" t="s">
        <v>1823</v>
      </c>
      <c r="H22" s="295" t="s">
        <v>1824</v>
      </c>
      <c r="I22" s="295" t="s">
        <v>1825</v>
      </c>
      <c r="J22" s="295" t="s">
        <v>1826</v>
      </c>
    </row>
    <row r="23" spans="1:10" ht="195" customHeight="1" x14ac:dyDescent="0.25">
      <c r="A23" s="290"/>
      <c r="B23" s="290">
        <v>19</v>
      </c>
      <c r="C23" s="301">
        <v>46268</v>
      </c>
      <c r="D23" s="290" t="s">
        <v>1810</v>
      </c>
      <c r="E23" s="290" t="s">
        <v>1827</v>
      </c>
      <c r="F23" s="290" t="s">
        <v>1828</v>
      </c>
      <c r="G23" s="295" t="s">
        <v>1829</v>
      </c>
      <c r="H23" s="295" t="s">
        <v>1830</v>
      </c>
      <c r="I23" s="295" t="s">
        <v>1831</v>
      </c>
      <c r="J23" s="295" t="s">
        <v>1832</v>
      </c>
    </row>
    <row r="24" spans="1:10" ht="210" customHeight="1" x14ac:dyDescent="0.25">
      <c r="A24" s="290"/>
      <c r="B24" s="290">
        <v>20</v>
      </c>
      <c r="C24" s="301">
        <v>46268</v>
      </c>
      <c r="D24" s="290" t="s">
        <v>1810</v>
      </c>
      <c r="E24" s="290" t="s">
        <v>1760</v>
      </c>
      <c r="F24" s="290" t="s">
        <v>1833</v>
      </c>
      <c r="G24" s="295" t="s">
        <v>1834</v>
      </c>
      <c r="H24" s="295" t="s">
        <v>1835</v>
      </c>
      <c r="I24" s="295" t="s">
        <v>1836</v>
      </c>
      <c r="J24" s="295" t="s">
        <v>1826</v>
      </c>
    </row>
    <row r="25" spans="1:10" ht="225" customHeight="1" x14ac:dyDescent="0.25">
      <c r="B25" s="290">
        <v>21</v>
      </c>
      <c r="C25" s="302">
        <v>46268</v>
      </c>
      <c r="D25" s="290" t="s">
        <v>1810</v>
      </c>
      <c r="E25" s="290" t="s">
        <v>1837</v>
      </c>
      <c r="F25" s="290" t="s">
        <v>1838</v>
      </c>
      <c r="G25" s="295" t="s">
        <v>1839</v>
      </c>
      <c r="H25" s="295" t="s">
        <v>1840</v>
      </c>
      <c r="I25" s="295" t="s">
        <v>1841</v>
      </c>
      <c r="J25" s="295" t="s">
        <v>1842</v>
      </c>
    </row>
    <row r="26" spans="1:10" ht="210" customHeight="1" x14ac:dyDescent="0.25">
      <c r="B26" s="290">
        <v>22</v>
      </c>
      <c r="C26" s="302">
        <v>46268</v>
      </c>
      <c r="D26" s="290" t="s">
        <v>1810</v>
      </c>
      <c r="E26" s="290" t="s">
        <v>1760</v>
      </c>
      <c r="F26" s="290" t="s">
        <v>1833</v>
      </c>
      <c r="G26" s="295" t="s">
        <v>1843</v>
      </c>
      <c r="H26" s="295" t="s">
        <v>1835</v>
      </c>
      <c r="I26" s="295" t="s">
        <v>1836</v>
      </c>
      <c r="J26" s="295" t="s">
        <v>1826</v>
      </c>
    </row>
    <row r="27" spans="1:10" ht="165" customHeight="1" x14ac:dyDescent="0.25">
      <c r="A27" s="290"/>
      <c r="B27" s="290">
        <v>23</v>
      </c>
      <c r="C27" s="301">
        <v>46268</v>
      </c>
      <c r="D27" s="290" t="s">
        <v>1844</v>
      </c>
      <c r="E27" s="290" t="s">
        <v>1760</v>
      </c>
      <c r="F27" s="290" t="s">
        <v>1845</v>
      </c>
      <c r="G27" s="295" t="s">
        <v>1846</v>
      </c>
      <c r="H27" s="295" t="s">
        <v>1847</v>
      </c>
      <c r="I27" s="295" t="s">
        <v>1848</v>
      </c>
      <c r="J27" s="295" t="s">
        <v>1849</v>
      </c>
    </row>
    <row r="28" spans="1:10" ht="180" customHeight="1" x14ac:dyDescent="0.25">
      <c r="A28" s="290"/>
      <c r="B28" s="290">
        <v>24</v>
      </c>
      <c r="C28" s="301">
        <v>46268</v>
      </c>
      <c r="D28" s="290" t="s">
        <v>1844</v>
      </c>
      <c r="E28" s="290" t="s">
        <v>1850</v>
      </c>
      <c r="F28" s="290" t="s">
        <v>1851</v>
      </c>
      <c r="G28" s="295" t="s">
        <v>1852</v>
      </c>
      <c r="H28" s="295" t="s">
        <v>1853</v>
      </c>
      <c r="I28" s="295" t="s">
        <v>1854</v>
      </c>
      <c r="J28" s="295" t="s">
        <v>1855</v>
      </c>
    </row>
    <row r="29" spans="1:10" ht="285" customHeight="1" x14ac:dyDescent="0.25">
      <c r="A29" s="290"/>
      <c r="B29" s="290">
        <v>25</v>
      </c>
      <c r="C29" s="301">
        <v>46268</v>
      </c>
      <c r="D29" s="290" t="s">
        <v>1844</v>
      </c>
      <c r="E29" s="290" t="s">
        <v>1856</v>
      </c>
      <c r="F29" s="290" t="s">
        <v>1857</v>
      </c>
      <c r="G29" s="295" t="s">
        <v>1858</v>
      </c>
      <c r="H29" s="295" t="s">
        <v>1859</v>
      </c>
      <c r="I29" s="295" t="s">
        <v>1860</v>
      </c>
      <c r="J29" s="295" t="s">
        <v>1826</v>
      </c>
    </row>
    <row r="30" spans="1:10" ht="225" customHeight="1" x14ac:dyDescent="0.25">
      <c r="A30" s="290"/>
      <c r="B30" s="290">
        <v>26</v>
      </c>
      <c r="C30" s="301">
        <v>46268</v>
      </c>
      <c r="D30" s="290" t="s">
        <v>1844</v>
      </c>
      <c r="E30" s="290" t="s">
        <v>1861</v>
      </c>
      <c r="F30" s="290" t="s">
        <v>1862</v>
      </c>
      <c r="G30" s="295" t="s">
        <v>1863</v>
      </c>
      <c r="H30" s="295" t="s">
        <v>1864</v>
      </c>
      <c r="I30" s="295" t="s">
        <v>1865</v>
      </c>
      <c r="J30" s="295" t="s">
        <v>1866</v>
      </c>
    </row>
    <row r="31" spans="1:10" ht="195" customHeight="1" x14ac:dyDescent="0.25">
      <c r="A31" s="290"/>
      <c r="B31" s="290">
        <v>27</v>
      </c>
      <c r="C31" s="301">
        <v>46268</v>
      </c>
      <c r="D31" s="290" t="s">
        <v>1844</v>
      </c>
      <c r="E31" s="290" t="s">
        <v>1867</v>
      </c>
      <c r="F31" s="290" t="s">
        <v>1868</v>
      </c>
      <c r="G31" s="295" t="s">
        <v>1869</v>
      </c>
      <c r="H31" s="295" t="s">
        <v>1870</v>
      </c>
      <c r="I31" s="295" t="s">
        <v>1871</v>
      </c>
      <c r="J31" s="295" t="s">
        <v>1872</v>
      </c>
    </row>
    <row r="32" spans="1:10" ht="315" customHeight="1" x14ac:dyDescent="0.25">
      <c r="A32" s="290"/>
      <c r="B32" s="290">
        <v>28</v>
      </c>
      <c r="C32" s="301">
        <v>46268</v>
      </c>
      <c r="D32" s="290" t="s">
        <v>1873</v>
      </c>
      <c r="E32" s="290" t="s">
        <v>1874</v>
      </c>
      <c r="F32" s="290" t="s">
        <v>1875</v>
      </c>
      <c r="G32" s="295" t="s">
        <v>1876</v>
      </c>
      <c r="H32" s="295" t="s">
        <v>1877</v>
      </c>
      <c r="I32" s="295" t="s">
        <v>1878</v>
      </c>
      <c r="J32" s="295" t="s">
        <v>1879</v>
      </c>
    </row>
    <row r="33" spans="1:10" ht="210" customHeight="1" x14ac:dyDescent="0.25">
      <c r="A33" s="290"/>
      <c r="B33" s="290">
        <v>29</v>
      </c>
      <c r="C33" s="301">
        <v>46268</v>
      </c>
      <c r="D33" s="290" t="s">
        <v>1844</v>
      </c>
      <c r="E33" s="290" t="s">
        <v>1715</v>
      </c>
      <c r="F33" s="290" t="s">
        <v>1880</v>
      </c>
      <c r="G33" s="295" t="s">
        <v>1881</v>
      </c>
      <c r="H33" s="295" t="s">
        <v>1882</v>
      </c>
      <c r="I33" s="295" t="s">
        <v>1883</v>
      </c>
      <c r="J33" s="295" t="s">
        <v>1884</v>
      </c>
    </row>
    <row r="34" spans="1:10" ht="90" customHeight="1" x14ac:dyDescent="0.25">
      <c r="A34" s="290"/>
      <c r="B34" s="290">
        <v>30</v>
      </c>
      <c r="C34" s="301">
        <v>46268</v>
      </c>
      <c r="D34" s="290" t="s">
        <v>1873</v>
      </c>
      <c r="E34" s="290" t="s">
        <v>1760</v>
      </c>
      <c r="F34" s="290" t="s">
        <v>1885</v>
      </c>
      <c r="G34" s="295" t="s">
        <v>1886</v>
      </c>
      <c r="H34" s="295" t="s">
        <v>148</v>
      </c>
      <c r="I34" s="295" t="s">
        <v>1887</v>
      </c>
      <c r="J34" s="295" t="s">
        <v>1826</v>
      </c>
    </row>
    <row r="35" spans="1:10" ht="240" customHeight="1" x14ac:dyDescent="0.25">
      <c r="A35" s="290"/>
      <c r="B35" s="290">
        <v>31</v>
      </c>
      <c r="C35" s="301">
        <v>46268</v>
      </c>
      <c r="D35" s="290" t="s">
        <v>1873</v>
      </c>
      <c r="E35" s="290" t="s">
        <v>1874</v>
      </c>
      <c r="F35" s="290" t="s">
        <v>1888</v>
      </c>
      <c r="G35" s="295" t="s">
        <v>1889</v>
      </c>
      <c r="H35" s="295" t="s">
        <v>1890</v>
      </c>
      <c r="I35" s="295" t="s">
        <v>1891</v>
      </c>
      <c r="J35" s="295" t="s">
        <v>1892</v>
      </c>
    </row>
    <row r="36" spans="1:10" ht="240" customHeight="1" x14ac:dyDescent="0.25">
      <c r="A36" s="290"/>
      <c r="B36" s="290">
        <v>32</v>
      </c>
      <c r="C36" s="301">
        <v>46268</v>
      </c>
      <c r="D36" s="290" t="s">
        <v>1844</v>
      </c>
      <c r="E36" s="290" t="s">
        <v>1742</v>
      </c>
      <c r="F36" s="290" t="s">
        <v>1893</v>
      </c>
      <c r="G36" s="295" t="s">
        <v>1894</v>
      </c>
      <c r="H36" s="295" t="s">
        <v>1895</v>
      </c>
      <c r="I36" s="295" t="s">
        <v>1896</v>
      </c>
      <c r="J36" s="295" t="s">
        <v>1897</v>
      </c>
    </row>
    <row r="37" spans="1:10" ht="225" customHeight="1" x14ac:dyDescent="0.25">
      <c r="A37" s="290"/>
      <c r="B37" s="290">
        <v>33</v>
      </c>
      <c r="C37" s="301">
        <v>46268</v>
      </c>
      <c r="D37" s="290" t="s">
        <v>1898</v>
      </c>
      <c r="E37" s="290" t="s">
        <v>1899</v>
      </c>
      <c r="F37" s="290" t="s">
        <v>1900</v>
      </c>
      <c r="G37" s="295" t="s">
        <v>1901</v>
      </c>
      <c r="H37" s="295" t="s">
        <v>1902</v>
      </c>
      <c r="I37" s="295" t="s">
        <v>1903</v>
      </c>
      <c r="J37" s="295" t="s">
        <v>1904</v>
      </c>
    </row>
    <row r="38" spans="1:10" ht="225" customHeight="1" x14ac:dyDescent="0.25">
      <c r="A38" s="290"/>
      <c r="B38" s="290">
        <v>34</v>
      </c>
      <c r="C38" s="301">
        <v>46268</v>
      </c>
      <c r="D38" s="290" t="s">
        <v>1898</v>
      </c>
      <c r="E38" s="290" t="s">
        <v>1905</v>
      </c>
      <c r="F38" s="290" t="s">
        <v>1906</v>
      </c>
      <c r="G38" s="295" t="s">
        <v>1907</v>
      </c>
      <c r="H38" s="295" t="s">
        <v>1908</v>
      </c>
      <c r="I38" s="295" t="s">
        <v>1909</v>
      </c>
      <c r="J38" s="295" t="s">
        <v>1910</v>
      </c>
    </row>
    <row r="39" spans="1:10" ht="240" customHeight="1" x14ac:dyDescent="0.25">
      <c r="A39" s="290"/>
      <c r="B39" s="290">
        <v>35</v>
      </c>
      <c r="C39" s="301">
        <v>46268</v>
      </c>
      <c r="D39" s="290" t="s">
        <v>1644</v>
      </c>
      <c r="E39" s="290" t="s">
        <v>1911</v>
      </c>
      <c r="F39" s="290" t="s">
        <v>1912</v>
      </c>
      <c r="G39" s="295" t="s">
        <v>1913</v>
      </c>
      <c r="H39" s="295" t="s">
        <v>1914</v>
      </c>
      <c r="I39" s="295" t="s">
        <v>1915</v>
      </c>
      <c r="J39" s="295" t="s">
        <v>1916</v>
      </c>
    </row>
    <row r="40" spans="1:10" ht="105" customHeight="1" x14ac:dyDescent="0.25">
      <c r="A40" s="290"/>
      <c r="B40" s="290">
        <v>36</v>
      </c>
      <c r="C40" s="301">
        <v>46268</v>
      </c>
      <c r="D40" s="290" t="s">
        <v>1917</v>
      </c>
      <c r="E40" s="290" t="s">
        <v>1918</v>
      </c>
      <c r="F40" s="290" t="s">
        <v>1919</v>
      </c>
      <c r="G40" s="295" t="s">
        <v>1920</v>
      </c>
      <c r="H40" s="295" t="s">
        <v>1921</v>
      </c>
      <c r="I40" s="295" t="s">
        <v>1922</v>
      </c>
      <c r="J40" s="295" t="s">
        <v>1866</v>
      </c>
    </row>
    <row r="41" spans="1:10" ht="195" customHeight="1" x14ac:dyDescent="0.25">
      <c r="A41" s="290"/>
      <c r="B41" s="290">
        <v>37</v>
      </c>
      <c r="C41" s="301">
        <v>46268</v>
      </c>
      <c r="D41" s="290" t="s">
        <v>1844</v>
      </c>
      <c r="E41" s="290" t="s">
        <v>1856</v>
      </c>
      <c r="F41" s="290" t="s">
        <v>1923</v>
      </c>
      <c r="G41" s="295" t="s">
        <v>1924</v>
      </c>
      <c r="H41" s="295" t="s">
        <v>1925</v>
      </c>
      <c r="I41" s="295" t="s">
        <v>1926</v>
      </c>
      <c r="J41" s="295" t="s">
        <v>1927</v>
      </c>
    </row>
    <row r="42" spans="1:10" ht="225" customHeight="1" x14ac:dyDescent="0.25">
      <c r="A42" s="290"/>
      <c r="B42" s="290">
        <v>38</v>
      </c>
      <c r="C42" s="301">
        <v>46268</v>
      </c>
      <c r="D42" s="290" t="s">
        <v>1928</v>
      </c>
      <c r="E42" s="290" t="s">
        <v>1760</v>
      </c>
      <c r="F42" s="290" t="s">
        <v>1929</v>
      </c>
      <c r="G42" s="295" t="s">
        <v>1930</v>
      </c>
      <c r="H42" s="295" t="s">
        <v>1931</v>
      </c>
      <c r="I42" s="295" t="s">
        <v>1932</v>
      </c>
      <c r="J42" s="295" t="s">
        <v>1933</v>
      </c>
    </row>
    <row r="43" spans="1:10" ht="225" customHeight="1" x14ac:dyDescent="0.25">
      <c r="A43" s="290"/>
      <c r="B43" s="290">
        <v>39</v>
      </c>
      <c r="C43" s="301">
        <v>46268</v>
      </c>
      <c r="D43" s="290" t="s">
        <v>1928</v>
      </c>
      <c r="E43" s="290" t="s">
        <v>1934</v>
      </c>
      <c r="F43" s="290" t="s">
        <v>1935</v>
      </c>
      <c r="G43" s="295" t="s">
        <v>1936</v>
      </c>
      <c r="H43" s="295" t="s">
        <v>1937</v>
      </c>
      <c r="I43" s="295" t="s">
        <v>1938</v>
      </c>
      <c r="J43" s="295" t="s">
        <v>1933</v>
      </c>
    </row>
    <row r="44" spans="1:10" ht="240" customHeight="1" x14ac:dyDescent="0.25">
      <c r="A44" s="290"/>
      <c r="B44" s="290">
        <v>40</v>
      </c>
      <c r="C44" s="301">
        <v>46268</v>
      </c>
      <c r="D44" s="290" t="s">
        <v>1928</v>
      </c>
      <c r="E44" s="290" t="s">
        <v>1939</v>
      </c>
      <c r="F44" s="290" t="s">
        <v>1940</v>
      </c>
      <c r="G44" s="295" t="s">
        <v>1941</v>
      </c>
      <c r="H44" s="295" t="s">
        <v>1942</v>
      </c>
      <c r="I44" s="295" t="s">
        <v>1943</v>
      </c>
      <c r="J44" s="295" t="s">
        <v>1944</v>
      </c>
    </row>
    <row r="45" spans="1:10" ht="255" customHeight="1" x14ac:dyDescent="0.25">
      <c r="A45" s="290"/>
      <c r="B45" s="290">
        <v>41</v>
      </c>
      <c r="C45" s="301">
        <v>46268</v>
      </c>
      <c r="D45" s="290" t="s">
        <v>1945</v>
      </c>
      <c r="E45" s="290" t="s">
        <v>1946</v>
      </c>
      <c r="F45" s="290" t="s">
        <v>1947</v>
      </c>
      <c r="G45" s="295" t="s">
        <v>1948</v>
      </c>
      <c r="H45" s="295" t="s">
        <v>1949</v>
      </c>
      <c r="I45" s="295" t="s">
        <v>1950</v>
      </c>
      <c r="J45" s="295" t="s">
        <v>1951</v>
      </c>
    </row>
    <row r="46" spans="1:10" ht="195" customHeight="1" x14ac:dyDescent="0.25">
      <c r="A46" s="290"/>
      <c r="B46" s="290">
        <v>42</v>
      </c>
      <c r="C46" s="301">
        <v>46268</v>
      </c>
      <c r="D46" s="290" t="s">
        <v>1898</v>
      </c>
      <c r="E46" s="290" t="s">
        <v>1905</v>
      </c>
      <c r="F46" s="290" t="s">
        <v>1952</v>
      </c>
      <c r="G46" s="295" t="s">
        <v>1953</v>
      </c>
      <c r="H46" s="295" t="s">
        <v>1954</v>
      </c>
      <c r="I46" s="295" t="s">
        <v>1955</v>
      </c>
      <c r="J46" s="295" t="s">
        <v>1956</v>
      </c>
    </row>
    <row r="47" spans="1:10" ht="285" customHeight="1" x14ac:dyDescent="0.25">
      <c r="A47" s="290"/>
      <c r="B47" s="290">
        <v>43</v>
      </c>
      <c r="C47" s="301">
        <v>46268</v>
      </c>
      <c r="D47" s="290" t="s">
        <v>1898</v>
      </c>
      <c r="E47" s="290" t="s">
        <v>1957</v>
      </c>
      <c r="F47" s="290" t="s">
        <v>1958</v>
      </c>
      <c r="G47" s="295" t="s">
        <v>1959</v>
      </c>
      <c r="H47" s="295" t="s">
        <v>1960</v>
      </c>
      <c r="I47" s="295" t="s">
        <v>1961</v>
      </c>
      <c r="J47" s="295" t="s">
        <v>1962</v>
      </c>
    </row>
    <row r="48" spans="1:10" ht="255" customHeight="1" x14ac:dyDescent="0.25">
      <c r="A48" s="290"/>
      <c r="B48" s="290">
        <v>44</v>
      </c>
      <c r="C48" s="301">
        <v>46268</v>
      </c>
      <c r="D48" s="290" t="s">
        <v>1644</v>
      </c>
      <c r="E48" s="290" t="s">
        <v>1911</v>
      </c>
      <c r="F48" s="290" t="s">
        <v>1963</v>
      </c>
      <c r="G48" s="295" t="s">
        <v>1964</v>
      </c>
      <c r="H48" s="295" t="s">
        <v>1965</v>
      </c>
      <c r="I48" s="295" t="s">
        <v>1966</v>
      </c>
      <c r="J48" s="295" t="s">
        <v>1967</v>
      </c>
    </row>
    <row r="49" spans="1:10" ht="150" customHeight="1" x14ac:dyDescent="0.25">
      <c r="A49" s="290"/>
      <c r="B49" s="290">
        <v>45</v>
      </c>
      <c r="C49" s="303">
        <v>46268</v>
      </c>
      <c r="D49" s="290" t="s">
        <v>1968</v>
      </c>
      <c r="E49" s="290" t="s">
        <v>1760</v>
      </c>
      <c r="F49" s="290" t="s">
        <v>1969</v>
      </c>
      <c r="G49" s="295" t="s">
        <v>1970</v>
      </c>
      <c r="H49" s="295" t="s">
        <v>1971</v>
      </c>
      <c r="I49" s="295" t="s">
        <v>1972</v>
      </c>
      <c r="J49" s="295" t="s">
        <v>1973</v>
      </c>
    </row>
    <row r="50" spans="1:10" ht="135" customHeight="1" x14ac:dyDescent="0.25">
      <c r="A50" s="290"/>
      <c r="B50" s="290">
        <v>46</v>
      </c>
      <c r="C50" s="303">
        <v>46268</v>
      </c>
      <c r="D50" s="290" t="s">
        <v>1968</v>
      </c>
      <c r="E50" s="290" t="s">
        <v>1974</v>
      </c>
      <c r="F50" s="290" t="s">
        <v>1975</v>
      </c>
      <c r="G50" s="295" t="s">
        <v>1976</v>
      </c>
      <c r="H50" s="295" t="s">
        <v>1977</v>
      </c>
      <c r="I50" s="295" t="s">
        <v>1978</v>
      </c>
      <c r="J50" s="295" t="s">
        <v>1979</v>
      </c>
    </row>
    <row r="51" spans="1:10" ht="255" customHeight="1" x14ac:dyDescent="0.25">
      <c r="A51" s="290"/>
      <c r="B51" s="290">
        <v>47</v>
      </c>
      <c r="C51" s="303">
        <v>46268</v>
      </c>
      <c r="D51" s="290" t="s">
        <v>1945</v>
      </c>
      <c r="E51" s="290" t="s">
        <v>1467</v>
      </c>
      <c r="F51" s="290" t="s">
        <v>1980</v>
      </c>
      <c r="G51" s="295" t="s">
        <v>1981</v>
      </c>
      <c r="H51" s="295" t="s">
        <v>1982</v>
      </c>
      <c r="I51" s="295" t="s">
        <v>1983</v>
      </c>
      <c r="J51" s="295" t="s">
        <v>1951</v>
      </c>
    </row>
    <row r="52" spans="1:10" ht="225" customHeight="1" x14ac:dyDescent="0.25">
      <c r="A52" s="290"/>
      <c r="B52" s="290">
        <v>48</v>
      </c>
      <c r="C52" s="303">
        <v>46268</v>
      </c>
      <c r="D52" s="290" t="s">
        <v>1984</v>
      </c>
      <c r="E52" s="290" t="s">
        <v>1985</v>
      </c>
      <c r="F52" s="290" t="s">
        <v>1986</v>
      </c>
      <c r="G52" s="295" t="s">
        <v>1987</v>
      </c>
      <c r="H52" s="295" t="s">
        <v>1988</v>
      </c>
      <c r="I52" s="295" t="s">
        <v>1989</v>
      </c>
      <c r="J52" s="295" t="s">
        <v>1990</v>
      </c>
    </row>
    <row r="53" spans="1:10" ht="315" customHeight="1" x14ac:dyDescent="0.25">
      <c r="A53" s="290"/>
      <c r="B53" s="290">
        <v>49</v>
      </c>
      <c r="C53" s="303">
        <v>46268</v>
      </c>
      <c r="D53" s="290" t="s">
        <v>1991</v>
      </c>
      <c r="E53" s="290" t="s">
        <v>1467</v>
      </c>
      <c r="F53" s="290" t="s">
        <v>1992</v>
      </c>
      <c r="G53" s="295" t="s">
        <v>1993</v>
      </c>
      <c r="H53" s="295" t="s">
        <v>1994</v>
      </c>
      <c r="I53" s="295" t="s">
        <v>1995</v>
      </c>
      <c r="J53" s="295" t="s">
        <v>1996</v>
      </c>
    </row>
    <row r="54" spans="1:10" ht="165" customHeight="1" x14ac:dyDescent="0.25">
      <c r="B54" s="290">
        <v>50</v>
      </c>
      <c r="C54" s="303">
        <v>46271</v>
      </c>
      <c r="D54" s="290" t="s">
        <v>1997</v>
      </c>
      <c r="E54" s="290" t="s">
        <v>1998</v>
      </c>
      <c r="F54" s="290" t="s">
        <v>1999</v>
      </c>
      <c r="G54" s="295" t="s">
        <v>2000</v>
      </c>
      <c r="H54" s="295" t="s">
        <v>2001</v>
      </c>
      <c r="I54" s="295" t="s">
        <v>2002</v>
      </c>
      <c r="J54" s="295" t="s">
        <v>2003</v>
      </c>
    </row>
    <row r="55" spans="1:10" ht="90" customHeight="1" x14ac:dyDescent="0.25">
      <c r="B55" s="290">
        <v>51</v>
      </c>
      <c r="C55" s="303">
        <v>46271</v>
      </c>
      <c r="D55" s="290" t="s">
        <v>1997</v>
      </c>
      <c r="E55" s="290" t="s">
        <v>2004</v>
      </c>
      <c r="F55" s="290" t="s">
        <v>2005</v>
      </c>
      <c r="G55" s="295" t="s">
        <v>2006</v>
      </c>
      <c r="H55" s="295" t="s">
        <v>2007</v>
      </c>
      <c r="I55" s="295" t="s">
        <v>2008</v>
      </c>
      <c r="J55" s="295" t="s">
        <v>2009</v>
      </c>
    </row>
    <row r="56" spans="1:10" ht="165" customHeight="1" x14ac:dyDescent="0.25">
      <c r="B56" s="290">
        <v>52</v>
      </c>
      <c r="C56" s="303">
        <v>46271</v>
      </c>
      <c r="D56" s="290" t="s">
        <v>1997</v>
      </c>
      <c r="E56" s="290" t="s">
        <v>2010</v>
      </c>
      <c r="F56" s="290" t="s">
        <v>2011</v>
      </c>
      <c r="G56" s="295" t="s">
        <v>2012</v>
      </c>
      <c r="H56" s="295" t="s">
        <v>2013</v>
      </c>
      <c r="I56" s="295" t="s">
        <v>2014</v>
      </c>
      <c r="J56" s="295" t="s">
        <v>2015</v>
      </c>
    </row>
    <row r="57" spans="1:10" ht="120" customHeight="1" x14ac:dyDescent="0.25">
      <c r="B57" s="290">
        <v>53</v>
      </c>
      <c r="C57" s="303">
        <v>46271</v>
      </c>
      <c r="D57" s="290" t="s">
        <v>1997</v>
      </c>
      <c r="E57" s="290" t="s">
        <v>2016</v>
      </c>
      <c r="F57" s="290" t="s">
        <v>2017</v>
      </c>
      <c r="G57" s="295" t="s">
        <v>2018</v>
      </c>
      <c r="H57" s="295" t="s">
        <v>2019</v>
      </c>
      <c r="I57" s="295" t="s">
        <v>2020</v>
      </c>
      <c r="J57" s="295" t="s">
        <v>2021</v>
      </c>
    </row>
    <row r="58" spans="1:10" ht="210" customHeight="1" x14ac:dyDescent="0.25">
      <c r="B58" s="290">
        <v>54</v>
      </c>
      <c r="C58" s="304">
        <v>46271</v>
      </c>
      <c r="D58" s="290" t="s">
        <v>1997</v>
      </c>
      <c r="E58" s="290" t="s">
        <v>2022</v>
      </c>
      <c r="F58" s="290" t="s">
        <v>2023</v>
      </c>
      <c r="G58" s="295" t="s">
        <v>2024</v>
      </c>
      <c r="H58" s="295" t="s">
        <v>2025</v>
      </c>
      <c r="I58" s="295" t="s">
        <v>2026</v>
      </c>
      <c r="J58" s="295" t="s">
        <v>2027</v>
      </c>
    </row>
    <row r="59" spans="1:10" ht="210" customHeight="1" x14ac:dyDescent="0.25">
      <c r="B59" s="290">
        <v>55</v>
      </c>
      <c r="C59" s="304">
        <v>46271</v>
      </c>
      <c r="D59" s="290" t="s">
        <v>2028</v>
      </c>
      <c r="E59" s="290" t="s">
        <v>2029</v>
      </c>
      <c r="F59" s="290" t="s">
        <v>1734</v>
      </c>
      <c r="G59" s="295" t="s">
        <v>2030</v>
      </c>
      <c r="H59" s="295" t="s">
        <v>2031</v>
      </c>
      <c r="I59" s="295" t="s">
        <v>2032</v>
      </c>
      <c r="J59" s="295" t="s">
        <v>2033</v>
      </c>
    </row>
    <row r="60" spans="1:10" ht="75" customHeight="1" x14ac:dyDescent="0.25">
      <c r="B60" s="290">
        <v>56</v>
      </c>
      <c r="C60" s="304">
        <v>46271</v>
      </c>
      <c r="D60" s="290" t="s">
        <v>2028</v>
      </c>
      <c r="E60" s="290" t="s">
        <v>2034</v>
      </c>
      <c r="F60" s="290" t="s">
        <v>2005</v>
      </c>
      <c r="G60" s="295" t="s">
        <v>2035</v>
      </c>
      <c r="H60" s="295" t="s">
        <v>2036</v>
      </c>
      <c r="I60" s="295" t="s">
        <v>2037</v>
      </c>
      <c r="J60" s="295" t="s">
        <v>2038</v>
      </c>
    </row>
    <row r="61" spans="1:10" ht="150" customHeight="1" x14ac:dyDescent="0.25">
      <c r="B61" s="290">
        <v>61</v>
      </c>
      <c r="C61" s="304">
        <v>46272</v>
      </c>
      <c r="D61" s="290" t="s">
        <v>2039</v>
      </c>
      <c r="E61" s="290" t="s">
        <v>2040</v>
      </c>
      <c r="F61" s="290" t="s">
        <v>2041</v>
      </c>
      <c r="G61" s="295" t="s">
        <v>2042</v>
      </c>
      <c r="H61" s="295" t="s">
        <v>2043</v>
      </c>
      <c r="I61" s="295" t="s">
        <v>2044</v>
      </c>
      <c r="J61" s="295" t="s">
        <v>2045</v>
      </c>
    </row>
    <row r="62" spans="1:10" ht="165" customHeight="1" x14ac:dyDescent="0.25">
      <c r="B62" s="290">
        <v>58</v>
      </c>
      <c r="C62" s="304">
        <v>46271</v>
      </c>
      <c r="D62" s="290" t="s">
        <v>2039</v>
      </c>
      <c r="E62" s="290" t="s">
        <v>2046</v>
      </c>
      <c r="F62" s="290" t="s">
        <v>2047</v>
      </c>
      <c r="G62" s="295" t="s">
        <v>2048</v>
      </c>
      <c r="H62" s="295" t="s">
        <v>2049</v>
      </c>
      <c r="I62" s="295" t="s">
        <v>2050</v>
      </c>
      <c r="J62" s="295" t="s">
        <v>2051</v>
      </c>
    </row>
    <row r="63" spans="1:10" ht="75" customHeight="1" x14ac:dyDescent="0.25">
      <c r="B63" s="290">
        <v>59</v>
      </c>
      <c r="C63" s="304">
        <v>46271</v>
      </c>
      <c r="D63" s="290" t="s">
        <v>2039</v>
      </c>
      <c r="E63" s="290" t="s">
        <v>2052</v>
      </c>
      <c r="F63" s="290" t="s">
        <v>2053</v>
      </c>
      <c r="G63" s="295" t="s">
        <v>2054</v>
      </c>
      <c r="H63" s="295" t="s">
        <v>1750</v>
      </c>
      <c r="I63" s="295" t="s">
        <v>2055</v>
      </c>
      <c r="J63" s="295" t="s">
        <v>2056</v>
      </c>
    </row>
    <row r="64" spans="1:10" ht="105" customHeight="1" x14ac:dyDescent="0.25">
      <c r="B64" s="290">
        <v>60</v>
      </c>
      <c r="C64" s="304">
        <v>46271</v>
      </c>
      <c r="D64" s="290" t="s">
        <v>2039</v>
      </c>
      <c r="E64" s="290" t="s">
        <v>2057</v>
      </c>
      <c r="F64" s="290" t="s">
        <v>2058</v>
      </c>
      <c r="G64" s="295" t="s">
        <v>2059</v>
      </c>
      <c r="H64" s="295" t="s">
        <v>2060</v>
      </c>
      <c r="I64" s="295" t="s">
        <v>2061</v>
      </c>
      <c r="J64" s="295" t="s">
        <v>2062</v>
      </c>
    </row>
    <row r="65" spans="2:10" ht="180" customHeight="1" x14ac:dyDescent="0.25">
      <c r="B65" s="290">
        <v>62</v>
      </c>
      <c r="C65" s="304">
        <v>46286</v>
      </c>
      <c r="D65" s="290" t="s">
        <v>2039</v>
      </c>
      <c r="E65" s="290" t="s">
        <v>2063</v>
      </c>
      <c r="F65" s="290" t="s">
        <v>2064</v>
      </c>
      <c r="G65" s="295" t="s">
        <v>2065</v>
      </c>
      <c r="H65" s="295" t="s">
        <v>2066</v>
      </c>
      <c r="I65" s="295" t="s">
        <v>2067</v>
      </c>
      <c r="J65" s="295" t="s">
        <v>2068</v>
      </c>
    </row>
    <row r="66" spans="2:10" ht="60" customHeight="1" x14ac:dyDescent="0.25">
      <c r="B66" s="290">
        <v>63</v>
      </c>
      <c r="C66" s="304">
        <v>46290</v>
      </c>
      <c r="D66" s="290" t="s">
        <v>2069</v>
      </c>
      <c r="E66" s="290" t="s">
        <v>2070</v>
      </c>
      <c r="F66" s="290" t="s">
        <v>2071</v>
      </c>
      <c r="G66" s="295" t="s">
        <v>2072</v>
      </c>
      <c r="H66" s="295" t="s">
        <v>2073</v>
      </c>
      <c r="I66" s="295" t="s">
        <v>2074</v>
      </c>
      <c r="J66" s="295" t="s">
        <v>2075</v>
      </c>
    </row>
    <row r="67" spans="2:10" ht="60" customHeight="1" x14ac:dyDescent="0.25">
      <c r="B67" s="290">
        <v>64</v>
      </c>
      <c r="C67" s="304">
        <v>46290</v>
      </c>
      <c r="D67" s="290" t="s">
        <v>2069</v>
      </c>
      <c r="E67" s="290" t="s">
        <v>2076</v>
      </c>
      <c r="F67" s="290" t="s">
        <v>2077</v>
      </c>
      <c r="G67" s="295" t="s">
        <v>2078</v>
      </c>
      <c r="H67" s="295" t="s">
        <v>2079</v>
      </c>
      <c r="I67" s="295" t="s">
        <v>2080</v>
      </c>
      <c r="J67" s="295" t="s">
        <v>2075</v>
      </c>
    </row>
    <row r="68" spans="2:10" ht="60" customHeight="1" x14ac:dyDescent="0.25">
      <c r="B68" s="290">
        <v>65</v>
      </c>
      <c r="C68" s="304">
        <v>46290</v>
      </c>
      <c r="D68" s="290" t="s">
        <v>2069</v>
      </c>
      <c r="E68" s="290" t="s">
        <v>1614</v>
      </c>
      <c r="F68" s="290" t="s">
        <v>2081</v>
      </c>
      <c r="G68" s="295" t="s">
        <v>2082</v>
      </c>
      <c r="H68" s="295" t="s">
        <v>2083</v>
      </c>
      <c r="I68" s="295" t="s">
        <v>2084</v>
      </c>
      <c r="J68" s="295" t="s">
        <v>2075</v>
      </c>
    </row>
    <row r="69" spans="2:10" ht="30" customHeight="1" x14ac:dyDescent="0.25">
      <c r="B69" s="290">
        <v>66</v>
      </c>
      <c r="C69" s="304">
        <v>46290</v>
      </c>
      <c r="D69" s="290" t="s">
        <v>2069</v>
      </c>
      <c r="E69" s="290" t="s">
        <v>1614</v>
      </c>
      <c r="F69" s="290" t="s">
        <v>2085</v>
      </c>
      <c r="G69" s="295" t="s">
        <v>2086</v>
      </c>
      <c r="H69" s="295" t="s">
        <v>2087</v>
      </c>
      <c r="I69" s="295" t="s">
        <v>2088</v>
      </c>
      <c r="J69" s="295" t="s">
        <v>2075</v>
      </c>
    </row>
    <row r="70" spans="2:10" ht="30" customHeight="1" x14ac:dyDescent="0.25">
      <c r="B70" s="290">
        <v>67</v>
      </c>
      <c r="C70" s="304">
        <v>46290</v>
      </c>
      <c r="D70" s="290" t="s">
        <v>2069</v>
      </c>
      <c r="E70" s="290" t="s">
        <v>2089</v>
      </c>
      <c r="F70" s="290" t="s">
        <v>2090</v>
      </c>
      <c r="G70" s="295" t="s">
        <v>2091</v>
      </c>
      <c r="H70" s="295" t="s">
        <v>2092</v>
      </c>
      <c r="I70" s="295" t="s">
        <v>2093</v>
      </c>
      <c r="J70" s="295" t="s">
        <v>2075</v>
      </c>
    </row>
    <row r="71" spans="2:10" ht="45" customHeight="1" x14ac:dyDescent="0.25">
      <c r="B71" s="290">
        <v>68</v>
      </c>
      <c r="C71" s="304">
        <v>46290</v>
      </c>
      <c r="D71" s="290" t="s">
        <v>2069</v>
      </c>
      <c r="E71" s="290" t="s">
        <v>2094</v>
      </c>
      <c r="F71" s="290" t="s">
        <v>2095</v>
      </c>
      <c r="G71" s="295" t="s">
        <v>2096</v>
      </c>
      <c r="H71" s="295" t="s">
        <v>148</v>
      </c>
      <c r="I71" s="295" t="s">
        <v>2097</v>
      </c>
      <c r="J71" s="295" t="s">
        <v>2075</v>
      </c>
    </row>
    <row r="72" spans="2:10" ht="75" customHeight="1" x14ac:dyDescent="0.25">
      <c r="B72" s="290">
        <v>69</v>
      </c>
      <c r="C72" s="304">
        <v>46290</v>
      </c>
      <c r="D72" s="290" t="s">
        <v>2069</v>
      </c>
      <c r="E72" s="290" t="s">
        <v>2052</v>
      </c>
      <c r="F72" s="290" t="s">
        <v>2098</v>
      </c>
      <c r="G72" s="295" t="s">
        <v>2099</v>
      </c>
      <c r="H72" s="295" t="s">
        <v>148</v>
      </c>
      <c r="I72" s="295" t="s">
        <v>2100</v>
      </c>
      <c r="J72" s="295" t="s">
        <v>2075</v>
      </c>
    </row>
    <row r="73" spans="2:10" ht="75" customHeight="1" x14ac:dyDescent="0.25">
      <c r="B73" s="290">
        <v>70</v>
      </c>
      <c r="C73" s="304">
        <v>46290</v>
      </c>
      <c r="D73" s="290" t="s">
        <v>2069</v>
      </c>
      <c r="E73" s="290" t="s">
        <v>2101</v>
      </c>
      <c r="F73" s="290" t="s">
        <v>2102</v>
      </c>
      <c r="G73" s="295" t="s">
        <v>2103</v>
      </c>
      <c r="H73" s="295" t="s">
        <v>148</v>
      </c>
      <c r="I73" s="295" t="s">
        <v>2104</v>
      </c>
      <c r="J73" s="295" t="s">
        <v>2075</v>
      </c>
    </row>
    <row r="74" spans="2:10" ht="30" customHeight="1" x14ac:dyDescent="0.25">
      <c r="B74" s="290">
        <v>71</v>
      </c>
      <c r="C74" s="304">
        <v>46290</v>
      </c>
      <c r="D74" s="290" t="s">
        <v>2069</v>
      </c>
      <c r="E74" s="290" t="s">
        <v>1614</v>
      </c>
      <c r="F74" s="290" t="s">
        <v>2105</v>
      </c>
      <c r="G74" s="295" t="s">
        <v>2106</v>
      </c>
      <c r="H74" s="295" t="s">
        <v>2107</v>
      </c>
      <c r="I74" s="295" t="s">
        <v>2108</v>
      </c>
      <c r="J74" s="295" t="s">
        <v>2062</v>
      </c>
    </row>
    <row r="75" spans="2:10" ht="90" customHeight="1" x14ac:dyDescent="0.25">
      <c r="B75" s="290">
        <v>72</v>
      </c>
      <c r="C75" s="304">
        <v>46290</v>
      </c>
      <c r="D75" s="290" t="s">
        <v>2069</v>
      </c>
      <c r="E75" s="290" t="s">
        <v>2109</v>
      </c>
      <c r="F75" s="290" t="s">
        <v>2110</v>
      </c>
      <c r="G75" s="295" t="s">
        <v>2111</v>
      </c>
      <c r="H75" s="295" t="s">
        <v>2112</v>
      </c>
      <c r="I75" s="295" t="s">
        <v>2113</v>
      </c>
      <c r="J75" s="295" t="s">
        <v>2075</v>
      </c>
    </row>
    <row r="76" spans="2:10" ht="90" customHeight="1" x14ac:dyDescent="0.25">
      <c r="B76" s="290">
        <v>73</v>
      </c>
      <c r="C76" s="304">
        <v>46292</v>
      </c>
      <c r="D76" s="290" t="s">
        <v>2069</v>
      </c>
      <c r="E76" s="290" t="s">
        <v>2114</v>
      </c>
      <c r="F76" s="290" t="s">
        <v>2115</v>
      </c>
      <c r="G76" s="295" t="s">
        <v>2116</v>
      </c>
      <c r="H76" s="295" t="s">
        <v>2117</v>
      </c>
      <c r="I76" s="295" t="s">
        <v>2118</v>
      </c>
      <c r="J76" s="295" t="s">
        <v>2119</v>
      </c>
    </row>
    <row r="77" spans="2:10" ht="45" customHeight="1" x14ac:dyDescent="0.25">
      <c r="B77" s="290">
        <v>74</v>
      </c>
      <c r="C77" s="304">
        <v>46292</v>
      </c>
      <c r="D77" s="290" t="s">
        <v>2069</v>
      </c>
      <c r="E77" s="290" t="s">
        <v>2120</v>
      </c>
      <c r="F77" s="290" t="s">
        <v>2121</v>
      </c>
      <c r="G77" s="295" t="s">
        <v>2122</v>
      </c>
      <c r="H77" s="295" t="s">
        <v>2123</v>
      </c>
      <c r="I77" s="295" t="s">
        <v>2124</v>
      </c>
      <c r="J77" s="295" t="s">
        <v>2119</v>
      </c>
    </row>
    <row r="78" spans="2:10" ht="45" customHeight="1" x14ac:dyDescent="0.25">
      <c r="B78" s="290">
        <v>75</v>
      </c>
      <c r="C78" s="304">
        <v>46292</v>
      </c>
      <c r="D78" s="290" t="s">
        <v>2069</v>
      </c>
      <c r="E78" s="290" t="s">
        <v>2089</v>
      </c>
      <c r="F78" s="290" t="s">
        <v>2125</v>
      </c>
      <c r="G78" s="295" t="s">
        <v>2126</v>
      </c>
      <c r="H78" s="295" t="s">
        <v>2127</v>
      </c>
      <c r="I78" s="295" t="s">
        <v>2128</v>
      </c>
      <c r="J78" s="295" t="s">
        <v>2119</v>
      </c>
    </row>
    <row r="79" spans="2:10" x14ac:dyDescent="0.25">
      <c r="B79" s="290">
        <v>76</v>
      </c>
      <c r="C79" s="304">
        <v>46292</v>
      </c>
      <c r="D79" s="290" t="s">
        <v>2069</v>
      </c>
      <c r="E79" s="290" t="s">
        <v>1614</v>
      </c>
      <c r="F79" s="290" t="s">
        <v>2129</v>
      </c>
      <c r="G79" s="295" t="s">
        <v>2130</v>
      </c>
      <c r="H79" s="295"/>
      <c r="I79" s="295"/>
      <c r="J79" s="295" t="s">
        <v>2119</v>
      </c>
    </row>
    <row r="80" spans="2:10" ht="75" customHeight="1" x14ac:dyDescent="0.25">
      <c r="B80" s="290">
        <v>77</v>
      </c>
      <c r="C80" s="304">
        <v>46292</v>
      </c>
      <c r="D80" s="290" t="s">
        <v>2131</v>
      </c>
      <c r="E80" s="290" t="s">
        <v>2089</v>
      </c>
      <c r="F80" s="290" t="s">
        <v>2132</v>
      </c>
      <c r="G80" s="295" t="s">
        <v>2133</v>
      </c>
      <c r="H80" s="305">
        <v>0</v>
      </c>
      <c r="I80" s="305">
        <v>1</v>
      </c>
      <c r="J80" s="295" t="s">
        <v>2134</v>
      </c>
    </row>
    <row r="81" spans="2:10" ht="60" customHeight="1" x14ac:dyDescent="0.25">
      <c r="B81" s="290">
        <v>78</v>
      </c>
      <c r="C81" s="304">
        <v>46292</v>
      </c>
      <c r="D81" s="290" t="s">
        <v>2131</v>
      </c>
      <c r="E81" s="290" t="s">
        <v>1614</v>
      </c>
      <c r="F81" s="290" t="s">
        <v>2135</v>
      </c>
      <c r="G81" s="295" t="s">
        <v>2136</v>
      </c>
      <c r="H81" s="295" t="s">
        <v>2137</v>
      </c>
      <c r="I81" s="295" t="s">
        <v>2138</v>
      </c>
      <c r="J81" s="295" t="s">
        <v>2134</v>
      </c>
    </row>
    <row r="82" spans="2:10" ht="45" customHeight="1" x14ac:dyDescent="0.25">
      <c r="B82" s="290">
        <v>79</v>
      </c>
      <c r="C82" s="304">
        <v>46292</v>
      </c>
      <c r="D82" s="290" t="s">
        <v>2131</v>
      </c>
      <c r="E82" s="290" t="s">
        <v>2139</v>
      </c>
      <c r="F82" s="290" t="s">
        <v>2140</v>
      </c>
      <c r="G82" s="295" t="s">
        <v>2141</v>
      </c>
      <c r="H82" s="295"/>
      <c r="I82" s="295"/>
      <c r="J82" s="295" t="s">
        <v>2134</v>
      </c>
    </row>
    <row r="83" spans="2:10" ht="45" customHeight="1" x14ac:dyDescent="0.25">
      <c r="B83" s="290">
        <v>80</v>
      </c>
      <c r="C83" s="304">
        <v>46292</v>
      </c>
      <c r="D83" s="290" t="s">
        <v>2131</v>
      </c>
      <c r="E83" s="290" t="s">
        <v>2142</v>
      </c>
      <c r="F83" s="290" t="s">
        <v>2143</v>
      </c>
      <c r="G83" s="295" t="s">
        <v>2144</v>
      </c>
      <c r="H83" s="305">
        <v>0.6</v>
      </c>
      <c r="I83" s="305">
        <v>0.55000000000000004</v>
      </c>
      <c r="J83" s="295" t="s">
        <v>2119</v>
      </c>
    </row>
    <row r="84" spans="2:10" ht="75" customHeight="1" x14ac:dyDescent="0.25">
      <c r="B84" s="290">
        <v>81</v>
      </c>
      <c r="C84" s="304">
        <v>46292</v>
      </c>
      <c r="D84" s="290" t="s">
        <v>2131</v>
      </c>
      <c r="E84" s="290" t="s">
        <v>2070</v>
      </c>
      <c r="F84" s="290" t="s">
        <v>2145</v>
      </c>
      <c r="G84" s="295" t="s">
        <v>2146</v>
      </c>
      <c r="H84" s="295" t="s">
        <v>148</v>
      </c>
      <c r="I84" s="295" t="s">
        <v>2147</v>
      </c>
      <c r="J84" s="295" t="s">
        <v>2119</v>
      </c>
    </row>
    <row r="85" spans="2:10" ht="45" customHeight="1" x14ac:dyDescent="0.25">
      <c r="B85" s="290">
        <v>82</v>
      </c>
      <c r="C85" s="304">
        <v>46292</v>
      </c>
      <c r="D85" s="290" t="s">
        <v>2131</v>
      </c>
      <c r="E85" s="290" t="s">
        <v>2101</v>
      </c>
      <c r="F85" s="290" t="s">
        <v>2148</v>
      </c>
      <c r="G85" s="295" t="s">
        <v>2149</v>
      </c>
      <c r="H85" s="295" t="s">
        <v>148</v>
      </c>
      <c r="I85" s="295" t="s">
        <v>2150</v>
      </c>
      <c r="J85" s="295" t="s">
        <v>2119</v>
      </c>
    </row>
    <row r="86" spans="2:10" ht="30" customHeight="1" x14ac:dyDescent="0.25">
      <c r="B86" s="290">
        <v>83</v>
      </c>
      <c r="C86" s="304">
        <v>46292</v>
      </c>
      <c r="D86" s="290" t="s">
        <v>2131</v>
      </c>
      <c r="E86" s="290" t="s">
        <v>1614</v>
      </c>
      <c r="F86" s="290" t="s">
        <v>2151</v>
      </c>
      <c r="G86" s="295" t="s">
        <v>2152</v>
      </c>
      <c r="H86" s="295" t="s">
        <v>2153</v>
      </c>
      <c r="I86" s="295" t="s">
        <v>2154</v>
      </c>
      <c r="J86" s="295" t="s">
        <v>2119</v>
      </c>
    </row>
    <row r="87" spans="2:10" ht="90" customHeight="1" x14ac:dyDescent="0.25">
      <c r="B87" s="290">
        <v>84</v>
      </c>
      <c r="C87" s="304">
        <v>46292</v>
      </c>
      <c r="D87" s="290" t="s">
        <v>2131</v>
      </c>
      <c r="E87" s="290" t="s">
        <v>2016</v>
      </c>
      <c r="F87" s="290" t="s">
        <v>2155</v>
      </c>
      <c r="G87" s="295" t="s">
        <v>2156</v>
      </c>
      <c r="H87" s="295"/>
      <c r="I87" s="295"/>
      <c r="J87" s="295" t="s">
        <v>2119</v>
      </c>
    </row>
    <row r="88" spans="2:10" ht="60" customHeight="1" x14ac:dyDescent="0.25">
      <c r="B88" s="290">
        <v>85</v>
      </c>
      <c r="C88" s="304">
        <v>46293</v>
      </c>
      <c r="D88" s="290" t="s">
        <v>2131</v>
      </c>
      <c r="E88" s="290" t="s">
        <v>2157</v>
      </c>
      <c r="F88" s="290" t="s">
        <v>2158</v>
      </c>
      <c r="G88" s="295" t="s">
        <v>2159</v>
      </c>
      <c r="H88" s="295" t="s">
        <v>148</v>
      </c>
      <c r="I88" s="295" t="s">
        <v>148</v>
      </c>
      <c r="J88" s="295" t="s">
        <v>2160</v>
      </c>
    </row>
    <row r="89" spans="2:10" ht="60" customHeight="1" x14ac:dyDescent="0.25">
      <c r="B89" s="290">
        <v>86</v>
      </c>
      <c r="C89" s="304">
        <v>46294</v>
      </c>
      <c r="D89" s="290" t="s">
        <v>2131</v>
      </c>
      <c r="E89" s="290" t="s">
        <v>2063</v>
      </c>
      <c r="F89" s="290" t="s">
        <v>2161</v>
      </c>
      <c r="G89" s="295" t="s">
        <v>2162</v>
      </c>
      <c r="H89" s="295" t="s">
        <v>2163</v>
      </c>
      <c r="I89" s="295" t="s">
        <v>2164</v>
      </c>
      <c r="J89" s="295" t="s">
        <v>2165</v>
      </c>
    </row>
    <row r="90" spans="2:10" ht="30" customHeight="1" x14ac:dyDescent="0.25">
      <c r="B90" s="290">
        <v>87</v>
      </c>
      <c r="C90" s="304">
        <v>46294</v>
      </c>
      <c r="D90" s="290" t="s">
        <v>2131</v>
      </c>
      <c r="E90" s="290" t="s">
        <v>2089</v>
      </c>
      <c r="F90" s="290" t="s">
        <v>2166</v>
      </c>
      <c r="G90" s="295" t="s">
        <v>2167</v>
      </c>
      <c r="H90" s="295" t="s">
        <v>148</v>
      </c>
      <c r="I90" s="295" t="s">
        <v>148</v>
      </c>
      <c r="J90" s="295" t="s">
        <v>2168</v>
      </c>
    </row>
    <row r="91" spans="2:10" ht="45" customHeight="1" x14ac:dyDescent="0.25">
      <c r="B91" s="290">
        <v>88</v>
      </c>
      <c r="C91" s="304">
        <v>46294</v>
      </c>
      <c r="D91" s="290" t="s">
        <v>2131</v>
      </c>
      <c r="E91" s="290" t="s">
        <v>1742</v>
      </c>
      <c r="F91" s="290" t="s">
        <v>2169</v>
      </c>
      <c r="G91" s="295" t="s">
        <v>2170</v>
      </c>
      <c r="H91" s="295" t="s">
        <v>148</v>
      </c>
      <c r="I91" s="295" t="s">
        <v>148</v>
      </c>
      <c r="J91" s="295" t="s">
        <v>2171</v>
      </c>
    </row>
    <row r="92" spans="2:10" ht="75" customHeight="1" x14ac:dyDescent="0.25">
      <c r="B92" s="290">
        <v>89</v>
      </c>
      <c r="C92" s="304">
        <v>46294</v>
      </c>
      <c r="D92" s="290" t="s">
        <v>2131</v>
      </c>
      <c r="E92" s="290" t="s">
        <v>2172</v>
      </c>
      <c r="F92" s="290" t="s">
        <v>2173</v>
      </c>
      <c r="G92" s="295" t="s">
        <v>2174</v>
      </c>
      <c r="H92" s="295" t="s">
        <v>2175</v>
      </c>
      <c r="I92" s="295" t="s">
        <v>2176</v>
      </c>
      <c r="J92" s="295" t="s">
        <v>2171</v>
      </c>
    </row>
    <row r="93" spans="2:10" ht="90" customHeight="1" x14ac:dyDescent="0.25">
      <c r="B93" s="290">
        <v>90</v>
      </c>
      <c r="C93" s="304">
        <v>46294</v>
      </c>
      <c r="D93" s="290" t="s">
        <v>2131</v>
      </c>
      <c r="E93" s="290" t="s">
        <v>2177</v>
      </c>
      <c r="F93" s="290" t="s">
        <v>2178</v>
      </c>
      <c r="G93" s="295" t="s">
        <v>2179</v>
      </c>
      <c r="H93" s="295" t="s">
        <v>2176</v>
      </c>
      <c r="I93" s="295" t="s">
        <v>2176</v>
      </c>
      <c r="J93" s="295" t="s">
        <v>2180</v>
      </c>
    </row>
    <row r="94" spans="2:10" ht="60" customHeight="1" x14ac:dyDescent="0.25">
      <c r="B94" s="290">
        <v>91</v>
      </c>
      <c r="C94" s="304">
        <v>46294</v>
      </c>
      <c r="D94" s="290" t="s">
        <v>2131</v>
      </c>
      <c r="E94" s="290" t="s">
        <v>2172</v>
      </c>
      <c r="F94" s="290" t="s">
        <v>2181</v>
      </c>
      <c r="G94" s="295" t="s">
        <v>2182</v>
      </c>
      <c r="H94" s="295" t="s">
        <v>2176</v>
      </c>
      <c r="I94" s="295" t="s">
        <v>2175</v>
      </c>
      <c r="J94" s="295" t="s">
        <v>2171</v>
      </c>
    </row>
    <row r="95" spans="2:10" ht="75" customHeight="1" x14ac:dyDescent="0.25">
      <c r="B95" s="290">
        <v>92</v>
      </c>
      <c r="C95" s="304">
        <v>46294</v>
      </c>
      <c r="D95" s="290" t="s">
        <v>2131</v>
      </c>
      <c r="E95" s="290" t="s">
        <v>2183</v>
      </c>
      <c r="F95" s="290" t="s">
        <v>2184</v>
      </c>
      <c r="G95" s="295" t="s">
        <v>2185</v>
      </c>
      <c r="H95" s="295" t="s">
        <v>2175</v>
      </c>
      <c r="I95" s="295" t="s">
        <v>2175</v>
      </c>
      <c r="J95" s="295" t="s">
        <v>2171</v>
      </c>
    </row>
    <row r="96" spans="2:10" ht="60" customHeight="1" x14ac:dyDescent="0.25">
      <c r="B96" s="290">
        <v>93</v>
      </c>
      <c r="C96" s="304">
        <v>46294</v>
      </c>
      <c r="D96" s="290" t="s">
        <v>2131</v>
      </c>
      <c r="E96" s="290" t="s">
        <v>2157</v>
      </c>
      <c r="F96" s="290" t="s">
        <v>2186</v>
      </c>
      <c r="G96" s="295" t="s">
        <v>2187</v>
      </c>
      <c r="H96" s="295" t="s">
        <v>2188</v>
      </c>
      <c r="I96" s="295" t="s">
        <v>2189</v>
      </c>
      <c r="J96" s="295" t="s">
        <v>2171</v>
      </c>
    </row>
    <row r="97" spans="2:10" ht="90" customHeight="1" x14ac:dyDescent="0.25">
      <c r="B97" s="290">
        <v>94</v>
      </c>
      <c r="C97" s="304">
        <v>46296</v>
      </c>
      <c r="D97" s="290" t="s">
        <v>2190</v>
      </c>
      <c r="E97" s="290" t="s">
        <v>2191</v>
      </c>
      <c r="F97" s="290" t="s">
        <v>2192</v>
      </c>
      <c r="G97" s="295" t="s">
        <v>2193</v>
      </c>
      <c r="H97" s="295" t="s">
        <v>2194</v>
      </c>
      <c r="I97" s="295" t="s">
        <v>2195</v>
      </c>
      <c r="J97" s="295" t="s">
        <v>2196</v>
      </c>
    </row>
    <row r="98" spans="2:10" ht="90" customHeight="1" x14ac:dyDescent="0.25">
      <c r="B98" s="290">
        <f>B97+1</f>
        <v>95</v>
      </c>
      <c r="C98" s="304">
        <v>46296</v>
      </c>
      <c r="D98" s="290" t="s">
        <v>2190</v>
      </c>
      <c r="E98" s="290" t="s">
        <v>2197</v>
      </c>
      <c r="F98" s="290" t="s">
        <v>2198</v>
      </c>
      <c r="G98" s="295" t="s">
        <v>2199</v>
      </c>
      <c r="H98" s="295" t="s">
        <v>2200</v>
      </c>
      <c r="I98" s="295" t="s">
        <v>2201</v>
      </c>
      <c r="J98" s="295" t="s">
        <v>2196</v>
      </c>
    </row>
    <row r="99" spans="2:10" ht="135" customHeight="1" x14ac:dyDescent="0.25">
      <c r="B99" s="290">
        <f>B98+1</f>
        <v>96</v>
      </c>
      <c r="C99" s="304">
        <v>46296</v>
      </c>
      <c r="D99" s="290" t="s">
        <v>2202</v>
      </c>
      <c r="E99" s="290" t="s">
        <v>2203</v>
      </c>
      <c r="F99" s="290" t="s">
        <v>2204</v>
      </c>
      <c r="G99" s="295" t="s">
        <v>2205</v>
      </c>
      <c r="H99" s="295" t="s">
        <v>2206</v>
      </c>
      <c r="I99" s="295" t="s">
        <v>2207</v>
      </c>
      <c r="J99" s="295" t="s">
        <v>2208</v>
      </c>
    </row>
    <row r="100" spans="2:10" ht="105" customHeight="1" x14ac:dyDescent="0.25">
      <c r="B100" s="290">
        <f>B99+1</f>
        <v>97</v>
      </c>
      <c r="C100" s="304">
        <v>46296</v>
      </c>
      <c r="D100" s="290" t="s">
        <v>2209</v>
      </c>
      <c r="E100" s="290" t="s">
        <v>2210</v>
      </c>
      <c r="F100" s="290" t="s">
        <v>2211</v>
      </c>
      <c r="G100" s="295" t="s">
        <v>2212</v>
      </c>
      <c r="H100" s="295" t="s">
        <v>2213</v>
      </c>
      <c r="I100" s="295" t="s">
        <v>2214</v>
      </c>
      <c r="J100" s="295" t="s">
        <v>2196</v>
      </c>
    </row>
    <row r="101" spans="2:10" ht="45" customHeight="1" x14ac:dyDescent="0.25">
      <c r="B101" s="290">
        <v>98</v>
      </c>
      <c r="C101" s="304">
        <v>46297</v>
      </c>
      <c r="D101" s="290" t="s">
        <v>2215</v>
      </c>
      <c r="E101" s="290" t="s">
        <v>2216</v>
      </c>
      <c r="F101" s="290" t="s">
        <v>2217</v>
      </c>
      <c r="G101" s="295" t="s">
        <v>2218</v>
      </c>
      <c r="H101" s="295" t="s">
        <v>2219</v>
      </c>
      <c r="I101" s="295" t="s">
        <v>2220</v>
      </c>
      <c r="J101" s="295" t="s">
        <v>2221</v>
      </c>
    </row>
    <row r="102" spans="2:10" ht="45" customHeight="1" x14ac:dyDescent="0.25">
      <c r="B102" s="290">
        <v>99</v>
      </c>
      <c r="C102" s="304">
        <v>46297</v>
      </c>
      <c r="D102" s="290" t="s">
        <v>2215</v>
      </c>
      <c r="E102" s="290" t="s">
        <v>2222</v>
      </c>
      <c r="F102" s="290" t="s">
        <v>2223</v>
      </c>
      <c r="G102" s="295" t="s">
        <v>2224</v>
      </c>
      <c r="H102" s="295" t="s">
        <v>2225</v>
      </c>
      <c r="I102" s="295" t="s">
        <v>2226</v>
      </c>
      <c r="J102" s="295" t="s">
        <v>2221</v>
      </c>
    </row>
    <row r="103" spans="2:10" ht="45" customHeight="1" x14ac:dyDescent="0.25">
      <c r="B103" s="290">
        <v>100</v>
      </c>
      <c r="C103" s="304">
        <v>46297</v>
      </c>
      <c r="D103" s="290" t="s">
        <v>2215</v>
      </c>
      <c r="E103" s="290" t="s">
        <v>2227</v>
      </c>
      <c r="F103" s="290" t="s">
        <v>2228</v>
      </c>
      <c r="G103" s="295" t="s">
        <v>2229</v>
      </c>
      <c r="H103" s="295" t="s">
        <v>2230</v>
      </c>
      <c r="I103" s="295" t="s">
        <v>2231</v>
      </c>
      <c r="J103" s="295" t="s">
        <v>2221</v>
      </c>
    </row>
    <row r="104" spans="2:10" ht="45" customHeight="1" x14ac:dyDescent="0.25">
      <c r="B104" s="290">
        <v>101</v>
      </c>
      <c r="C104" s="304">
        <v>46297</v>
      </c>
      <c r="D104" s="290" t="s">
        <v>2215</v>
      </c>
      <c r="E104" s="290" t="s">
        <v>1614</v>
      </c>
      <c r="F104" s="290" t="s">
        <v>2232</v>
      </c>
      <c r="G104" s="295" t="s">
        <v>2233</v>
      </c>
      <c r="H104" s="295" t="s">
        <v>2234</v>
      </c>
      <c r="I104" s="295" t="s">
        <v>2235</v>
      </c>
      <c r="J104" s="295" t="s">
        <v>2221</v>
      </c>
    </row>
    <row r="105" spans="2:10" ht="45" customHeight="1" x14ac:dyDescent="0.25">
      <c r="B105" s="290">
        <v>102</v>
      </c>
      <c r="C105" s="304">
        <v>46297</v>
      </c>
      <c r="D105" s="290" t="s">
        <v>2215</v>
      </c>
      <c r="E105" s="290" t="s">
        <v>1614</v>
      </c>
      <c r="F105" s="290" t="s">
        <v>2236</v>
      </c>
      <c r="G105" s="295" t="s">
        <v>2237</v>
      </c>
      <c r="H105" s="295" t="s">
        <v>2238</v>
      </c>
      <c r="I105" s="295" t="s">
        <v>2239</v>
      </c>
      <c r="J105" s="295" t="s">
        <v>2221</v>
      </c>
    </row>
    <row r="106" spans="2:10" ht="45" customHeight="1" x14ac:dyDescent="0.25">
      <c r="B106" s="290">
        <v>103</v>
      </c>
      <c r="C106" s="304">
        <v>46297</v>
      </c>
      <c r="D106" s="290" t="s">
        <v>2215</v>
      </c>
      <c r="E106" s="290" t="s">
        <v>2016</v>
      </c>
      <c r="F106" s="290" t="s">
        <v>2240</v>
      </c>
      <c r="G106" s="295" t="s">
        <v>2241</v>
      </c>
      <c r="H106" s="295" t="s">
        <v>2242</v>
      </c>
      <c r="I106" s="295" t="s">
        <v>2243</v>
      </c>
      <c r="J106" s="295" t="s">
        <v>2221</v>
      </c>
    </row>
    <row r="107" spans="2:10" ht="45" customHeight="1" x14ac:dyDescent="0.25">
      <c r="B107" s="290">
        <v>104</v>
      </c>
      <c r="C107" s="304">
        <v>46297</v>
      </c>
      <c r="D107" s="290" t="s">
        <v>2215</v>
      </c>
      <c r="E107" s="290" t="s">
        <v>2244</v>
      </c>
      <c r="F107" s="290" t="s">
        <v>2245</v>
      </c>
      <c r="G107" s="295" t="s">
        <v>2246</v>
      </c>
      <c r="H107" s="295" t="s">
        <v>2247</v>
      </c>
      <c r="I107" s="295" t="s">
        <v>2248</v>
      </c>
      <c r="J107" s="295" t="s">
        <v>2221</v>
      </c>
    </row>
    <row r="108" spans="2:10" ht="45" customHeight="1" x14ac:dyDescent="0.25">
      <c r="B108" s="290">
        <v>105</v>
      </c>
      <c r="C108" s="304">
        <v>46297</v>
      </c>
      <c r="D108" s="290" t="s">
        <v>2215</v>
      </c>
      <c r="E108" s="290" t="s">
        <v>2197</v>
      </c>
      <c r="F108" s="290" t="s">
        <v>2249</v>
      </c>
      <c r="G108" s="295" t="s">
        <v>2250</v>
      </c>
      <c r="H108" s="295" t="s">
        <v>2251</v>
      </c>
      <c r="I108" s="295" t="s">
        <v>2252</v>
      </c>
      <c r="J108" s="295" t="s">
        <v>2253</v>
      </c>
    </row>
    <row r="109" spans="2:10" ht="45" customHeight="1" x14ac:dyDescent="0.25">
      <c r="B109" s="290">
        <v>106</v>
      </c>
      <c r="C109" s="304">
        <v>46297</v>
      </c>
      <c r="D109" s="290" t="s">
        <v>2215</v>
      </c>
      <c r="E109" s="290" t="s">
        <v>2254</v>
      </c>
      <c r="F109" s="290" t="s">
        <v>2255</v>
      </c>
      <c r="G109" s="295" t="s">
        <v>2256</v>
      </c>
      <c r="H109" s="295" t="s">
        <v>2257</v>
      </c>
      <c r="I109" s="295" t="s">
        <v>2258</v>
      </c>
      <c r="J109" s="295" t="s">
        <v>2253</v>
      </c>
    </row>
    <row r="110" spans="2:10" ht="45" customHeight="1" x14ac:dyDescent="0.25">
      <c r="B110" s="290">
        <v>107</v>
      </c>
      <c r="C110" s="304">
        <v>46297</v>
      </c>
      <c r="D110" s="290" t="s">
        <v>2215</v>
      </c>
      <c r="E110" s="290" t="s">
        <v>1742</v>
      </c>
      <c r="F110" s="290" t="s">
        <v>2259</v>
      </c>
      <c r="G110" s="295" t="s">
        <v>2260</v>
      </c>
      <c r="H110" s="295" t="s">
        <v>148</v>
      </c>
      <c r="I110" s="295" t="s">
        <v>2261</v>
      </c>
      <c r="J110" s="295" t="s">
        <v>2253</v>
      </c>
    </row>
    <row r="111" spans="2:10" ht="45" customHeight="1" x14ac:dyDescent="0.25">
      <c r="B111" s="290">
        <v>108</v>
      </c>
      <c r="C111" s="304">
        <v>46297</v>
      </c>
      <c r="D111" s="290" t="s">
        <v>2215</v>
      </c>
      <c r="E111" s="290" t="s">
        <v>2262</v>
      </c>
      <c r="F111" s="290" t="s">
        <v>2263</v>
      </c>
      <c r="G111" s="295" t="s">
        <v>2264</v>
      </c>
      <c r="H111" s="295" t="s">
        <v>2265</v>
      </c>
      <c r="I111" s="295" t="s">
        <v>2266</v>
      </c>
      <c r="J111" s="295" t="s">
        <v>2267</v>
      </c>
    </row>
    <row r="112" spans="2:10" ht="60" customHeight="1" x14ac:dyDescent="0.25">
      <c r="B112" s="290">
        <v>109</v>
      </c>
      <c r="C112" s="304">
        <v>46297</v>
      </c>
      <c r="D112" s="290" t="s">
        <v>1458</v>
      </c>
      <c r="E112" s="290" t="s">
        <v>1742</v>
      </c>
      <c r="F112" s="290" t="s">
        <v>2268</v>
      </c>
      <c r="G112" s="295" t="s">
        <v>2269</v>
      </c>
      <c r="H112" s="295" t="s">
        <v>2270</v>
      </c>
      <c r="I112" s="295" t="s">
        <v>1653</v>
      </c>
      <c r="J112" s="295" t="s">
        <v>2271</v>
      </c>
    </row>
    <row r="113" spans="2:10" ht="45" customHeight="1" x14ac:dyDescent="0.25">
      <c r="B113" s="290">
        <v>110</v>
      </c>
      <c r="C113" s="304">
        <v>46297</v>
      </c>
      <c r="D113" s="290" t="s">
        <v>1458</v>
      </c>
      <c r="E113" s="290" t="s">
        <v>2197</v>
      </c>
      <c r="F113" s="290" t="s">
        <v>2272</v>
      </c>
      <c r="G113" s="295" t="s">
        <v>2273</v>
      </c>
      <c r="H113" s="295">
        <v>500</v>
      </c>
      <c r="I113" s="295">
        <v>950</v>
      </c>
      <c r="J113" s="295" t="s">
        <v>2274</v>
      </c>
    </row>
    <row r="114" spans="2:10" ht="30" customHeight="1" x14ac:dyDescent="0.25">
      <c r="B114" s="290">
        <v>111</v>
      </c>
      <c r="C114" s="304">
        <v>46297</v>
      </c>
      <c r="D114" s="290" t="s">
        <v>1458</v>
      </c>
      <c r="E114" s="290" t="s">
        <v>2197</v>
      </c>
      <c r="F114" s="290" t="s">
        <v>2275</v>
      </c>
      <c r="G114" s="295" t="s">
        <v>2276</v>
      </c>
      <c r="H114" s="295" t="s">
        <v>2277</v>
      </c>
      <c r="I114" s="295" t="s">
        <v>2278</v>
      </c>
      <c r="J114" s="295" t="s">
        <v>2279</v>
      </c>
    </row>
    <row r="115" spans="2:10" ht="30" customHeight="1" x14ac:dyDescent="0.25">
      <c r="B115" s="290">
        <v>112</v>
      </c>
      <c r="C115" s="304">
        <v>46297</v>
      </c>
      <c r="D115" s="290" t="s">
        <v>1458</v>
      </c>
      <c r="E115" s="290" t="s">
        <v>2280</v>
      </c>
      <c r="F115" s="290" t="s">
        <v>2281</v>
      </c>
      <c r="G115" s="295" t="s">
        <v>2282</v>
      </c>
      <c r="H115" s="295" t="s">
        <v>2270</v>
      </c>
      <c r="I115" s="295" t="s">
        <v>1653</v>
      </c>
      <c r="J115" s="295" t="s">
        <v>2283</v>
      </c>
    </row>
    <row r="116" spans="2:10" ht="60" customHeight="1" x14ac:dyDescent="0.25">
      <c r="B116" s="290">
        <v>113</v>
      </c>
      <c r="C116" s="304">
        <v>46297</v>
      </c>
      <c r="D116" s="290" t="s">
        <v>2284</v>
      </c>
      <c r="E116" s="290" t="s">
        <v>2285</v>
      </c>
      <c r="F116" s="290" t="s">
        <v>2286</v>
      </c>
      <c r="G116" s="295" t="s">
        <v>2287</v>
      </c>
      <c r="H116" s="295" t="s">
        <v>2288</v>
      </c>
      <c r="I116" s="295" t="s">
        <v>2289</v>
      </c>
      <c r="J116" s="295" t="s">
        <v>2267</v>
      </c>
    </row>
    <row r="117" spans="2:10" ht="30" customHeight="1" x14ac:dyDescent="0.25">
      <c r="B117" s="290">
        <v>114</v>
      </c>
      <c r="C117" s="304">
        <v>46297</v>
      </c>
      <c r="D117" s="290" t="s">
        <v>1458</v>
      </c>
      <c r="E117" s="290" t="s">
        <v>2290</v>
      </c>
      <c r="F117" s="290" t="s">
        <v>2291</v>
      </c>
      <c r="G117" s="295" t="s">
        <v>2292</v>
      </c>
      <c r="H117" s="295" t="s">
        <v>2293</v>
      </c>
      <c r="I117" s="295" t="s">
        <v>2294</v>
      </c>
      <c r="J117" s="295" t="s">
        <v>2295</v>
      </c>
    </row>
    <row r="118" spans="2:10" ht="30" customHeight="1" x14ac:dyDescent="0.25">
      <c r="B118" s="290">
        <v>115</v>
      </c>
      <c r="C118" s="304">
        <v>46297</v>
      </c>
      <c r="D118" s="290" t="s">
        <v>1458</v>
      </c>
      <c r="E118" s="290" t="s">
        <v>2296</v>
      </c>
      <c r="F118" s="290" t="s">
        <v>2297</v>
      </c>
      <c r="G118" s="295" t="s">
        <v>2298</v>
      </c>
      <c r="H118" s="295" t="s">
        <v>2299</v>
      </c>
      <c r="I118" s="295" t="s">
        <v>2300</v>
      </c>
      <c r="J118" s="295" t="s">
        <v>2295</v>
      </c>
    </row>
    <row r="119" spans="2:10" ht="30" customHeight="1" x14ac:dyDescent="0.25">
      <c r="B119" s="290">
        <v>116</v>
      </c>
      <c r="C119" s="304">
        <v>46297</v>
      </c>
      <c r="D119" s="290" t="s">
        <v>1458</v>
      </c>
      <c r="E119" s="290" t="s">
        <v>2301</v>
      </c>
      <c r="F119" s="290" t="s">
        <v>2302</v>
      </c>
      <c r="G119" s="295" t="s">
        <v>2303</v>
      </c>
      <c r="H119" s="295" t="s">
        <v>2304</v>
      </c>
      <c r="I119" s="295" t="s">
        <v>2305</v>
      </c>
      <c r="J119" s="295" t="s">
        <v>2295</v>
      </c>
    </row>
    <row r="120" spans="2:10" ht="45" customHeight="1" x14ac:dyDescent="0.25">
      <c r="B120" s="290">
        <v>117</v>
      </c>
      <c r="C120" s="304">
        <v>46297</v>
      </c>
      <c r="D120" s="290" t="s">
        <v>1458</v>
      </c>
      <c r="E120" s="290" t="s">
        <v>2306</v>
      </c>
      <c r="F120" s="290" t="s">
        <v>2307</v>
      </c>
      <c r="G120" s="295" t="s">
        <v>2308</v>
      </c>
      <c r="H120" s="295" t="s">
        <v>2309</v>
      </c>
      <c r="I120" s="295" t="s">
        <v>2310</v>
      </c>
      <c r="J120" s="295" t="s">
        <v>2311</v>
      </c>
    </row>
    <row r="121" spans="2:10" ht="45" customHeight="1" x14ac:dyDescent="0.25">
      <c r="B121" s="290">
        <v>118</v>
      </c>
      <c r="C121" s="304">
        <v>46297</v>
      </c>
      <c r="D121" s="290" t="s">
        <v>1458</v>
      </c>
      <c r="E121" s="290" t="s">
        <v>2312</v>
      </c>
      <c r="F121" s="290" t="s">
        <v>2313</v>
      </c>
      <c r="G121" s="295" t="s">
        <v>2314</v>
      </c>
      <c r="H121" s="295" t="s">
        <v>2315</v>
      </c>
      <c r="I121" s="295" t="s">
        <v>2316</v>
      </c>
      <c r="J121" s="295" t="s">
        <v>2311</v>
      </c>
    </row>
    <row r="122" spans="2:10" x14ac:dyDescent="0.25">
      <c r="B122" s="290">
        <v>119</v>
      </c>
      <c r="C122" s="304">
        <v>46297</v>
      </c>
      <c r="D122" s="290" t="s">
        <v>1458</v>
      </c>
      <c r="E122" s="290" t="s">
        <v>2290</v>
      </c>
      <c r="F122" s="290" t="s">
        <v>2317</v>
      </c>
      <c r="G122" s="295" t="s">
        <v>2318</v>
      </c>
      <c r="H122" s="295" t="s">
        <v>2319</v>
      </c>
      <c r="I122" s="295" t="s">
        <v>2320</v>
      </c>
      <c r="J122" s="295" t="s">
        <v>2321</v>
      </c>
    </row>
    <row r="123" spans="2:10" ht="75" customHeight="1" x14ac:dyDescent="0.25">
      <c r="B123" s="290">
        <v>120</v>
      </c>
      <c r="C123" s="304">
        <v>46297</v>
      </c>
      <c r="D123" s="290" t="s">
        <v>2284</v>
      </c>
      <c r="E123" s="290" t="s">
        <v>2322</v>
      </c>
      <c r="F123" s="290" t="s">
        <v>2323</v>
      </c>
      <c r="G123" s="295" t="s">
        <v>2324</v>
      </c>
      <c r="H123" s="295" t="s">
        <v>2325</v>
      </c>
      <c r="I123" s="295" t="s">
        <v>2326</v>
      </c>
      <c r="J123" s="295" t="s">
        <v>2327</v>
      </c>
    </row>
    <row r="124" spans="2:10" ht="45" customHeight="1" x14ac:dyDescent="0.25">
      <c r="B124" s="290">
        <v>121</v>
      </c>
      <c r="C124" s="304">
        <v>46297</v>
      </c>
      <c r="D124" s="290" t="s">
        <v>2328</v>
      </c>
      <c r="E124" s="290" t="s">
        <v>2089</v>
      </c>
      <c r="F124" s="290" t="s">
        <v>2329</v>
      </c>
      <c r="G124" s="295" t="s">
        <v>2330</v>
      </c>
      <c r="H124" s="295" t="s">
        <v>2331</v>
      </c>
      <c r="I124" s="295" t="s">
        <v>2332</v>
      </c>
      <c r="J124" s="295" t="s">
        <v>2333</v>
      </c>
    </row>
    <row r="125" spans="2:10" ht="45" customHeight="1" x14ac:dyDescent="0.25">
      <c r="B125" s="290">
        <v>122</v>
      </c>
      <c r="C125" s="304">
        <v>46297</v>
      </c>
      <c r="D125" s="290" t="s">
        <v>2284</v>
      </c>
      <c r="E125" s="290" t="s">
        <v>2334</v>
      </c>
      <c r="F125" s="290" t="s">
        <v>2335</v>
      </c>
      <c r="G125" s="295" t="s">
        <v>2336</v>
      </c>
      <c r="H125" s="295" t="s">
        <v>2337</v>
      </c>
      <c r="I125" s="295" t="s">
        <v>2338</v>
      </c>
      <c r="J125" s="295" t="s">
        <v>2267</v>
      </c>
    </row>
    <row r="126" spans="2:10" ht="30" customHeight="1" x14ac:dyDescent="0.25">
      <c r="B126" s="290">
        <v>123</v>
      </c>
      <c r="C126" s="304">
        <v>46297</v>
      </c>
      <c r="D126" s="290" t="s">
        <v>2089</v>
      </c>
      <c r="E126" s="290" t="s">
        <v>2290</v>
      </c>
      <c r="F126" s="290" t="s">
        <v>2339</v>
      </c>
      <c r="G126" s="295" t="s">
        <v>2340</v>
      </c>
      <c r="H126" s="295" t="s">
        <v>2341</v>
      </c>
      <c r="I126" s="295" t="s">
        <v>2342</v>
      </c>
      <c r="J126" s="295" t="s">
        <v>2343</v>
      </c>
    </row>
    <row r="127" spans="2:10" ht="60" customHeight="1" x14ac:dyDescent="0.25">
      <c r="B127" s="290">
        <v>124</v>
      </c>
      <c r="C127" s="304">
        <v>46300</v>
      </c>
      <c r="D127" s="290" t="s">
        <v>2284</v>
      </c>
      <c r="E127" s="290" t="s">
        <v>2344</v>
      </c>
      <c r="F127" s="290" t="s">
        <v>2345</v>
      </c>
      <c r="G127" s="295" t="s">
        <v>2346</v>
      </c>
      <c r="H127" s="295" t="s">
        <v>2347</v>
      </c>
      <c r="I127" s="295" t="s">
        <v>2348</v>
      </c>
      <c r="J127" s="295" t="s">
        <v>2349</v>
      </c>
    </row>
    <row r="128" spans="2:10" ht="60" customHeight="1" x14ac:dyDescent="0.25">
      <c r="B128" s="290">
        <f t="shared" ref="B128:B133" si="0">B127+1</f>
        <v>125</v>
      </c>
      <c r="C128" s="304">
        <v>46300</v>
      </c>
      <c r="D128" s="290" t="s">
        <v>2350</v>
      </c>
      <c r="E128" s="290" t="s">
        <v>2351</v>
      </c>
      <c r="F128" s="290" t="s">
        <v>2352</v>
      </c>
      <c r="G128" s="295" t="s">
        <v>2353</v>
      </c>
      <c r="H128" s="295" t="s">
        <v>2354</v>
      </c>
      <c r="I128" s="295" t="s">
        <v>2355</v>
      </c>
      <c r="J128" s="295" t="s">
        <v>2349</v>
      </c>
    </row>
    <row r="129" spans="2:10" ht="60" customHeight="1" x14ac:dyDescent="0.25">
      <c r="B129" s="290">
        <f t="shared" si="0"/>
        <v>126</v>
      </c>
      <c r="C129" s="304">
        <v>46300</v>
      </c>
      <c r="D129" s="290" t="s">
        <v>2356</v>
      </c>
      <c r="E129" s="290" t="s">
        <v>2157</v>
      </c>
      <c r="F129" s="290" t="s">
        <v>2357</v>
      </c>
      <c r="G129" s="295" t="s">
        <v>2358</v>
      </c>
      <c r="H129" s="295" t="s">
        <v>2359</v>
      </c>
      <c r="I129" s="295" t="s">
        <v>2360</v>
      </c>
      <c r="J129" s="295" t="s">
        <v>2349</v>
      </c>
    </row>
    <row r="130" spans="2:10" ht="45" customHeight="1" x14ac:dyDescent="0.25">
      <c r="B130" s="290">
        <f t="shared" si="0"/>
        <v>127</v>
      </c>
      <c r="C130" s="304">
        <v>46300</v>
      </c>
      <c r="D130" s="290" t="s">
        <v>2361</v>
      </c>
      <c r="E130" s="290" t="s">
        <v>2362</v>
      </c>
      <c r="F130" s="290" t="s">
        <v>2363</v>
      </c>
      <c r="G130" s="295" t="s">
        <v>2364</v>
      </c>
      <c r="H130" s="295" t="s">
        <v>2365</v>
      </c>
      <c r="I130" s="295" t="s">
        <v>2366</v>
      </c>
      <c r="J130" s="295" t="s">
        <v>2349</v>
      </c>
    </row>
    <row r="131" spans="2:10" ht="188.25" customHeight="1" x14ac:dyDescent="0.25">
      <c r="B131" s="290">
        <f t="shared" si="0"/>
        <v>128</v>
      </c>
      <c r="C131" s="304">
        <v>46317</v>
      </c>
      <c r="D131" s="290" t="s">
        <v>2367</v>
      </c>
      <c r="E131" s="290" t="s">
        <v>2368</v>
      </c>
      <c r="F131" s="290" t="s">
        <v>2369</v>
      </c>
      <c r="G131" s="295" t="s">
        <v>2370</v>
      </c>
      <c r="H131" s="295" t="s">
        <v>2371</v>
      </c>
      <c r="I131" s="295" t="s">
        <v>2372</v>
      </c>
      <c r="J131" s="295" t="s">
        <v>2373</v>
      </c>
    </row>
    <row r="132" spans="2:10" ht="45" customHeight="1" x14ac:dyDescent="0.25">
      <c r="B132" s="290">
        <f t="shared" si="0"/>
        <v>129</v>
      </c>
      <c r="C132" s="304">
        <v>46317</v>
      </c>
      <c r="D132" s="290" t="s">
        <v>2374</v>
      </c>
      <c r="E132" s="290" t="s">
        <v>2375</v>
      </c>
      <c r="F132" s="290" t="s">
        <v>2376</v>
      </c>
      <c r="G132" s="295" t="s">
        <v>2377</v>
      </c>
      <c r="H132" s="295" t="s">
        <v>2378</v>
      </c>
      <c r="I132" s="295" t="s">
        <v>2379</v>
      </c>
      <c r="J132" s="295" t="s">
        <v>2380</v>
      </c>
    </row>
    <row r="133" spans="2:10" ht="60" x14ac:dyDescent="0.25">
      <c r="B133" s="290">
        <f t="shared" si="0"/>
        <v>130</v>
      </c>
      <c r="C133" s="304">
        <v>46321</v>
      </c>
      <c r="D133" s="290" t="s">
        <v>2381</v>
      </c>
      <c r="E133" s="290" t="s">
        <v>2382</v>
      </c>
      <c r="F133" s="290" t="s">
        <v>2383</v>
      </c>
      <c r="G133" s="295" t="s">
        <v>2384</v>
      </c>
      <c r="H133" s="295" t="s">
        <v>2385</v>
      </c>
      <c r="I133" s="295" t="s">
        <v>2386</v>
      </c>
      <c r="J133" s="295" t="s">
        <v>2387</v>
      </c>
    </row>
  </sheetData>
  <pageMargins left="0.7" right="0.7" top="0.75" bottom="0.75"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L41"/>
  <sheetViews>
    <sheetView topLeftCell="A8" zoomScaleNormal="100" workbookViewId="0"/>
  </sheetViews>
  <sheetFormatPr defaultColWidth="8.5703125" defaultRowHeight="15" x14ac:dyDescent="0.25"/>
  <cols>
    <col min="2" max="2" width="10.42578125" customWidth="1"/>
    <col min="3" max="3" width="31.42578125" customWidth="1"/>
    <col min="4" max="4" width="29.5703125" customWidth="1"/>
    <col min="5" max="9" width="14.5703125" customWidth="1"/>
  </cols>
  <sheetData>
    <row r="2" spans="2:12" ht="15.75" customHeight="1" x14ac:dyDescent="0.25">
      <c r="B2" s="306" t="s">
        <v>2388</v>
      </c>
    </row>
    <row r="4" spans="2:12" ht="30" customHeight="1" x14ac:dyDescent="0.25">
      <c r="B4" s="225" t="s">
        <v>2389</v>
      </c>
      <c r="C4" s="225" t="s">
        <v>2390</v>
      </c>
      <c r="D4" s="225" t="s">
        <v>1462</v>
      </c>
      <c r="E4" s="225" t="s">
        <v>2391</v>
      </c>
      <c r="F4" s="225" t="s">
        <v>970</v>
      </c>
      <c r="G4" s="225" t="s">
        <v>2392</v>
      </c>
      <c r="H4" s="225" t="s">
        <v>2393</v>
      </c>
      <c r="I4" s="225" t="s">
        <v>971</v>
      </c>
      <c r="J4" s="225" t="s">
        <v>2394</v>
      </c>
      <c r="K4" s="225" t="s">
        <v>2395</v>
      </c>
      <c r="L4" s="225" t="s">
        <v>2396</v>
      </c>
    </row>
    <row r="5" spans="2:12" x14ac:dyDescent="0.25">
      <c r="B5" s="127">
        <v>14</v>
      </c>
      <c r="C5" s="127" t="s">
        <v>2397</v>
      </c>
      <c r="D5" s="127" t="s">
        <v>2398</v>
      </c>
      <c r="E5" s="254">
        <f>L5*Inputs!$E$296</f>
        <v>27.824999999999999</v>
      </c>
      <c r="F5" s="307">
        <f>BORA_Devex!$E$14</f>
        <v>46431</v>
      </c>
      <c r="G5" s="308">
        <v>0</v>
      </c>
      <c r="H5" s="151">
        <f t="shared" ref="H5:H38" si="0">E5*G5</f>
        <v>0</v>
      </c>
      <c r="I5">
        <f>IF(F5="","",(YEAR(F5)-YEAR(Inputs!$E$27))*12+MONTH(F5)-MONTH(Inputs!$E$27))</f>
        <v>7</v>
      </c>
      <c r="J5" s="308">
        <v>1</v>
      </c>
      <c r="K5" s="151">
        <f t="shared" ref="K5:K38" si="1">E5*J5*(1-G5)</f>
        <v>27.824999999999999</v>
      </c>
      <c r="L5" s="254">
        <f>BORA_Devex!$J$14/1000</f>
        <v>55.65</v>
      </c>
    </row>
    <row r="6" spans="2:12" x14ac:dyDescent="0.25">
      <c r="B6" s="127">
        <v>15</v>
      </c>
      <c r="C6" s="127"/>
      <c r="D6" s="127" t="s">
        <v>312</v>
      </c>
      <c r="E6" s="254">
        <f>L6*Inputs!$E$296</f>
        <v>61.621621621621621</v>
      </c>
      <c r="F6" s="307">
        <f>BORA_Devex!$E$15</f>
        <v>46431</v>
      </c>
      <c r="G6" s="308">
        <v>0</v>
      </c>
      <c r="H6" s="151">
        <f t="shared" si="0"/>
        <v>0</v>
      </c>
      <c r="I6">
        <f>IF(F6="","",(YEAR(F6)-YEAR(Inputs!$E$27))*12+MONTH(F6)-MONTH(Inputs!$E$27))</f>
        <v>7</v>
      </c>
      <c r="J6" s="308">
        <v>1</v>
      </c>
      <c r="K6" s="151">
        <f t="shared" si="1"/>
        <v>61.621621621621621</v>
      </c>
      <c r="L6" s="254">
        <f>BORA_Devex!$J$15/1000</f>
        <v>123.24324324324324</v>
      </c>
    </row>
    <row r="7" spans="2:12" x14ac:dyDescent="0.25">
      <c r="B7" s="127">
        <v>16</v>
      </c>
      <c r="C7" s="127" t="s">
        <v>2399</v>
      </c>
      <c r="D7" s="127" t="s">
        <v>317</v>
      </c>
      <c r="E7" s="254">
        <f>L7*Inputs!$E$296</f>
        <v>79.92277992277991</v>
      </c>
      <c r="F7" s="307">
        <f>BORA_Devex!$E$16</f>
        <v>46976</v>
      </c>
      <c r="G7" s="308">
        <v>1</v>
      </c>
      <c r="H7" s="151">
        <f t="shared" si="0"/>
        <v>79.92277992277991</v>
      </c>
      <c r="I7">
        <f>IF(F7="","",(YEAR(F7)-YEAR(Inputs!$E$27))*12+MONTH(F7)-MONTH(Inputs!$E$27))</f>
        <v>25</v>
      </c>
      <c r="J7" s="308">
        <v>0</v>
      </c>
      <c r="K7" s="151">
        <f t="shared" si="1"/>
        <v>0</v>
      </c>
      <c r="L7" s="254">
        <f>BORA_Devex!$J$16/1000</f>
        <v>159.84555984555982</v>
      </c>
    </row>
    <row r="8" spans="2:12" x14ac:dyDescent="0.25">
      <c r="B8" s="127">
        <v>17</v>
      </c>
      <c r="C8" s="127"/>
      <c r="D8" s="127" t="s">
        <v>314</v>
      </c>
      <c r="E8" s="254">
        <f>L8*Inputs!$E$296</f>
        <v>1.0142486486486486</v>
      </c>
      <c r="F8" s="307">
        <f>BORA_Devex!$E$17</f>
        <v>46976</v>
      </c>
      <c r="G8" s="308">
        <v>1</v>
      </c>
      <c r="H8" s="151">
        <f t="shared" si="0"/>
        <v>1.0142486486486486</v>
      </c>
      <c r="I8">
        <f>IF(F8="","",(YEAR(F8)-YEAR(Inputs!$E$27))*12+MONTH(F8)-MONTH(Inputs!$E$27))</f>
        <v>25</v>
      </c>
      <c r="J8" s="308">
        <v>0</v>
      </c>
      <c r="K8" s="151">
        <f t="shared" si="1"/>
        <v>0</v>
      </c>
      <c r="L8" s="254">
        <f>BORA_Devex!$J$17/1000</f>
        <v>2.0284972972972972</v>
      </c>
    </row>
    <row r="9" spans="2:12" x14ac:dyDescent="0.25">
      <c r="B9" s="127">
        <v>20</v>
      </c>
      <c r="C9" s="127" t="s">
        <v>2400</v>
      </c>
      <c r="D9" s="127" t="s">
        <v>2401</v>
      </c>
      <c r="E9" s="254">
        <f>L9*Inputs!$E$296</f>
        <v>88.621621621621628</v>
      </c>
      <c r="F9" s="307">
        <f>BORA_Devex!$E$20</f>
        <v>46296</v>
      </c>
      <c r="G9" s="308">
        <v>1</v>
      </c>
      <c r="H9" s="151">
        <f t="shared" si="0"/>
        <v>88.621621621621628</v>
      </c>
      <c r="I9">
        <f>IF(F9="","",(YEAR(F9)-YEAR(Inputs!$E$27))*12+MONTH(F9)-MONTH(Inputs!$E$27))</f>
        <v>3</v>
      </c>
      <c r="J9" s="308">
        <v>0</v>
      </c>
      <c r="K9" s="151">
        <f t="shared" si="1"/>
        <v>0</v>
      </c>
      <c r="L9" s="254">
        <f>BORA_Devex!$J$20/1000</f>
        <v>177.24324324324326</v>
      </c>
    </row>
    <row r="10" spans="2:12" x14ac:dyDescent="0.25">
      <c r="B10" s="127">
        <v>21</v>
      </c>
      <c r="C10" s="127" t="s">
        <v>2402</v>
      </c>
      <c r="D10" s="127" t="s">
        <v>2403</v>
      </c>
      <c r="E10" s="254">
        <f>L10*Inputs!$E$296</f>
        <v>199</v>
      </c>
      <c r="F10" s="307">
        <f>BORA_Devex!$E$21</f>
        <v>46447</v>
      </c>
      <c r="G10" s="308">
        <v>1</v>
      </c>
      <c r="H10" s="151">
        <f t="shared" si="0"/>
        <v>199</v>
      </c>
      <c r="I10">
        <f>IF(F10="","",(YEAR(F10)-YEAR(Inputs!$E$27))*12+MONTH(F10)-MONTH(Inputs!$E$27))</f>
        <v>8</v>
      </c>
      <c r="J10" s="308">
        <v>0</v>
      </c>
      <c r="K10" s="151">
        <f t="shared" si="1"/>
        <v>0</v>
      </c>
      <c r="L10" s="254">
        <f>BORA_Devex!$J$21/1000</f>
        <v>398</v>
      </c>
    </row>
    <row r="11" spans="2:12" x14ac:dyDescent="0.25">
      <c r="B11" s="127">
        <v>22</v>
      </c>
      <c r="C11" s="127"/>
      <c r="D11" s="127" t="s">
        <v>317</v>
      </c>
      <c r="E11" s="254">
        <f>L11*Inputs!$E$296</f>
        <v>4.8648648648648649</v>
      </c>
      <c r="F11" s="307">
        <f>BORA_Devex!$E$22</f>
        <v>46388</v>
      </c>
      <c r="G11" s="308">
        <v>1</v>
      </c>
      <c r="H11" s="151">
        <f t="shared" si="0"/>
        <v>4.8648648648648649</v>
      </c>
      <c r="I11">
        <f>IF(F11="","",(YEAR(F11)-YEAR(Inputs!$E$27))*12+MONTH(F11)-MONTH(Inputs!$E$27))</f>
        <v>6</v>
      </c>
      <c r="J11" s="308">
        <v>0</v>
      </c>
      <c r="K11" s="151">
        <f t="shared" si="1"/>
        <v>0</v>
      </c>
      <c r="L11" s="254">
        <f>BORA_Devex!$J$22/1000</f>
        <v>9.7297297297297298</v>
      </c>
    </row>
    <row r="12" spans="2:12" x14ac:dyDescent="0.25">
      <c r="B12" s="127">
        <v>23</v>
      </c>
      <c r="C12" s="127"/>
      <c r="D12" s="127" t="s">
        <v>318</v>
      </c>
      <c r="E12" s="254">
        <f>L12*Inputs!$E$296</f>
        <v>2.25</v>
      </c>
      <c r="F12" s="307">
        <f>BORA_Devex!$E$23</f>
        <v>46932</v>
      </c>
      <c r="G12" s="308">
        <v>1</v>
      </c>
      <c r="H12" s="151">
        <f t="shared" si="0"/>
        <v>2.25</v>
      </c>
      <c r="I12">
        <f>IF(F12="","",(YEAR(F12)-YEAR(Inputs!$E$27))*12+MONTH(F12)-MONTH(Inputs!$E$27))</f>
        <v>23</v>
      </c>
      <c r="J12" s="308">
        <v>0</v>
      </c>
      <c r="K12" s="151">
        <f t="shared" si="1"/>
        <v>0</v>
      </c>
      <c r="L12" s="254">
        <f>BORA_Devex!$J$23/1000</f>
        <v>4.5</v>
      </c>
    </row>
    <row r="13" spans="2:12" x14ac:dyDescent="0.25">
      <c r="B13" s="127">
        <v>24</v>
      </c>
      <c r="C13" s="127" t="s">
        <v>2404</v>
      </c>
      <c r="D13" s="127" t="s">
        <v>314</v>
      </c>
      <c r="E13" s="254">
        <f>L13*Inputs!$E$296</f>
        <v>1.2972972972972974</v>
      </c>
      <c r="F13" s="307">
        <f>BORA_Devex!$E$24</f>
        <v>46746</v>
      </c>
      <c r="G13" s="308">
        <v>1</v>
      </c>
      <c r="H13" s="151">
        <f t="shared" si="0"/>
        <v>1.2972972972972974</v>
      </c>
      <c r="I13">
        <f>IF(F13="","",(YEAR(F13)-YEAR(Inputs!$E$27))*12+MONTH(F13)-MONTH(Inputs!$E$27))</f>
        <v>17</v>
      </c>
      <c r="J13" s="308">
        <v>0</v>
      </c>
      <c r="K13" s="151">
        <f t="shared" si="1"/>
        <v>0</v>
      </c>
      <c r="L13" s="254">
        <f>BORA_Devex!$J$24/1000</f>
        <v>2.5945945945945947</v>
      </c>
    </row>
    <row r="14" spans="2:12" x14ac:dyDescent="0.25">
      <c r="B14" s="127">
        <v>25</v>
      </c>
      <c r="C14" s="127"/>
      <c r="D14" s="127" t="s">
        <v>320</v>
      </c>
      <c r="E14" s="254">
        <f>L14*Inputs!$E$296</f>
        <v>10.810810810810811</v>
      </c>
      <c r="F14" s="307">
        <f>BORA_Devex!$E$25</f>
        <v>46596</v>
      </c>
      <c r="G14" s="308">
        <v>1</v>
      </c>
      <c r="H14" s="151">
        <f t="shared" si="0"/>
        <v>10.810810810810811</v>
      </c>
      <c r="I14">
        <f>IF(F14="","",(YEAR(F14)-YEAR(Inputs!$E$27))*12+MONTH(F14)-MONTH(Inputs!$E$27))</f>
        <v>12</v>
      </c>
      <c r="J14" s="308">
        <v>0</v>
      </c>
      <c r="K14" s="151">
        <f t="shared" si="1"/>
        <v>0</v>
      </c>
      <c r="L14" s="254">
        <f>BORA_Devex!$J$25/1000</f>
        <v>21.621621621621621</v>
      </c>
    </row>
    <row r="15" spans="2:12" x14ac:dyDescent="0.25">
      <c r="B15" s="127">
        <v>26</v>
      </c>
      <c r="C15" s="127" t="s">
        <v>2405</v>
      </c>
      <c r="D15" s="127" t="s">
        <v>317</v>
      </c>
      <c r="E15" s="254">
        <f>L15*Inputs!$E$296</f>
        <v>67.567567567567579</v>
      </c>
      <c r="F15" s="307">
        <f>BORA_Devex!$E$26</f>
        <v>46806</v>
      </c>
      <c r="G15" s="308">
        <v>1</v>
      </c>
      <c r="H15" s="151">
        <f t="shared" si="0"/>
        <v>67.567567567567579</v>
      </c>
      <c r="I15">
        <f>IF(F15="","",(YEAR(F15)-YEAR(Inputs!$E$27))*12+MONTH(F15)-MONTH(Inputs!$E$27))</f>
        <v>19</v>
      </c>
      <c r="J15" s="308">
        <v>0</v>
      </c>
      <c r="K15" s="151">
        <f t="shared" si="1"/>
        <v>0</v>
      </c>
      <c r="L15" s="254">
        <f>BORA_Devex!$J$26/1000</f>
        <v>135.13513513513516</v>
      </c>
    </row>
    <row r="16" spans="2:12" x14ac:dyDescent="0.25">
      <c r="B16" s="127">
        <v>27</v>
      </c>
      <c r="C16" s="127" t="s">
        <v>2406</v>
      </c>
      <c r="D16" s="127" t="s">
        <v>2407</v>
      </c>
      <c r="E16" s="254">
        <f>L16*Inputs!$E$296</f>
        <v>47.297297297297298</v>
      </c>
      <c r="F16" s="307">
        <f>BORA_Devex!$E$27</f>
        <v>46806</v>
      </c>
      <c r="G16" s="308">
        <v>1</v>
      </c>
      <c r="H16" s="151">
        <f t="shared" si="0"/>
        <v>47.297297297297298</v>
      </c>
      <c r="I16">
        <f>IF(F16="","",(YEAR(F16)-YEAR(Inputs!$E$27))*12+MONTH(F16)-MONTH(Inputs!$E$27))</f>
        <v>19</v>
      </c>
      <c r="J16" s="308">
        <v>0</v>
      </c>
      <c r="K16" s="151">
        <f t="shared" si="1"/>
        <v>0</v>
      </c>
      <c r="L16" s="254">
        <f>BORA_Devex!$J$27/1000</f>
        <v>94.594594594594597</v>
      </c>
    </row>
    <row r="17" spans="2:12" x14ac:dyDescent="0.25">
      <c r="B17" s="127">
        <v>28</v>
      </c>
      <c r="C17" s="127" t="s">
        <v>2408</v>
      </c>
      <c r="D17" s="127" t="s">
        <v>2409</v>
      </c>
      <c r="E17" s="254">
        <f>L17*Inputs!$E$296</f>
        <v>20.043243243243243</v>
      </c>
      <c r="F17" s="307">
        <f>BORA_Devex!$E$28</f>
        <v>46751</v>
      </c>
      <c r="G17" s="308">
        <v>1</v>
      </c>
      <c r="H17" s="151">
        <f t="shared" si="0"/>
        <v>20.043243243243243</v>
      </c>
      <c r="I17">
        <f>IF(F17="","",(YEAR(F17)-YEAR(Inputs!$E$27))*12+MONTH(F17)-MONTH(Inputs!$E$27))</f>
        <v>17</v>
      </c>
      <c r="J17" s="308">
        <v>0</v>
      </c>
      <c r="K17" s="151">
        <f t="shared" si="1"/>
        <v>0</v>
      </c>
      <c r="L17" s="254">
        <f>BORA_Devex!$J$28/1000</f>
        <v>40.086486486486486</v>
      </c>
    </row>
    <row r="18" spans="2:12" x14ac:dyDescent="0.25">
      <c r="B18" s="127">
        <v>29</v>
      </c>
      <c r="C18" s="127"/>
      <c r="D18" s="127" t="s">
        <v>314</v>
      </c>
      <c r="E18" s="254">
        <f>L18*Inputs!$E$296</f>
        <v>5.4054054054054057E-2</v>
      </c>
      <c r="F18" s="307">
        <f>BORA_Devex!$E$29</f>
        <v>46871</v>
      </c>
      <c r="G18" s="308">
        <v>1</v>
      </c>
      <c r="H18" s="151">
        <f t="shared" si="0"/>
        <v>5.4054054054054057E-2</v>
      </c>
      <c r="I18">
        <f>IF(F18="","",(YEAR(F18)-YEAR(Inputs!$E$27))*12+MONTH(F18)-MONTH(Inputs!$E$27))</f>
        <v>21</v>
      </c>
      <c r="J18" s="308">
        <v>0</v>
      </c>
      <c r="K18" s="151">
        <f t="shared" si="1"/>
        <v>0</v>
      </c>
      <c r="L18" s="254">
        <f>BORA_Devex!$J$29/1000</f>
        <v>0.10810810810810811</v>
      </c>
    </row>
    <row r="19" spans="2:12" x14ac:dyDescent="0.25">
      <c r="B19" s="127">
        <v>30</v>
      </c>
      <c r="C19" s="127"/>
      <c r="D19" s="127" t="s">
        <v>324</v>
      </c>
      <c r="E19" s="254">
        <f>L19*Inputs!$E$296</f>
        <v>44.067567567567565</v>
      </c>
      <c r="F19" s="307">
        <f>BORA_Devex!$E$30</f>
        <v>46841</v>
      </c>
      <c r="G19" s="308">
        <v>1</v>
      </c>
      <c r="H19" s="151">
        <f t="shared" si="0"/>
        <v>44.067567567567565</v>
      </c>
      <c r="I19">
        <f>IF(F19="","",(YEAR(F19)-YEAR(Inputs!$E$27))*12+MONTH(F19)-MONTH(Inputs!$E$27))</f>
        <v>20</v>
      </c>
      <c r="J19" s="308">
        <v>0</v>
      </c>
      <c r="K19" s="151">
        <f t="shared" si="1"/>
        <v>0</v>
      </c>
      <c r="L19" s="254">
        <f>BORA_Devex!$J$30/1000</f>
        <v>88.13513513513513</v>
      </c>
    </row>
    <row r="20" spans="2:12" x14ac:dyDescent="0.25">
      <c r="B20" s="127">
        <v>31</v>
      </c>
      <c r="C20" s="127" t="s">
        <v>2410</v>
      </c>
      <c r="D20" s="127" t="s">
        <v>2411</v>
      </c>
      <c r="E20" s="254">
        <f>L20*Inputs!$E$296</f>
        <v>10.810810810810811</v>
      </c>
      <c r="F20" s="307">
        <f>BORA_Devex!$E$31</f>
        <v>46596</v>
      </c>
      <c r="G20" s="308">
        <v>1</v>
      </c>
      <c r="H20" s="151">
        <f t="shared" si="0"/>
        <v>10.810810810810811</v>
      </c>
      <c r="I20">
        <f>IF(F20="","",(YEAR(F20)-YEAR(Inputs!$E$27))*12+MONTH(F20)-MONTH(Inputs!$E$27))</f>
        <v>12</v>
      </c>
      <c r="J20" s="308">
        <v>0</v>
      </c>
      <c r="K20" s="151">
        <f t="shared" si="1"/>
        <v>0</v>
      </c>
      <c r="L20" s="254">
        <f>BORA_Devex!$J$31/1000</f>
        <v>21.621621621621621</v>
      </c>
    </row>
    <row r="21" spans="2:12" x14ac:dyDescent="0.25">
      <c r="B21" s="127">
        <v>32</v>
      </c>
      <c r="C21" s="127"/>
      <c r="D21" s="127" t="s">
        <v>326</v>
      </c>
      <c r="E21" s="254">
        <f>L21*Inputs!$E$296</f>
        <v>10.810810810810811</v>
      </c>
      <c r="F21" s="307">
        <f>BORA_Devex!$E$32</f>
        <v>46566</v>
      </c>
      <c r="G21" s="308">
        <v>1</v>
      </c>
      <c r="H21" s="151">
        <f t="shared" si="0"/>
        <v>10.810810810810811</v>
      </c>
      <c r="I21">
        <f>IF(F21="","",(YEAR(F21)-YEAR(Inputs!$E$27))*12+MONTH(F21)-MONTH(Inputs!$E$27))</f>
        <v>11</v>
      </c>
      <c r="J21" s="308">
        <v>0</v>
      </c>
      <c r="K21" s="151">
        <f t="shared" si="1"/>
        <v>0</v>
      </c>
      <c r="L21" s="254">
        <f>BORA_Devex!$J$32/1000</f>
        <v>21.621621621621621</v>
      </c>
    </row>
    <row r="22" spans="2:12" x14ac:dyDescent="0.25">
      <c r="B22" s="127">
        <v>33</v>
      </c>
      <c r="C22" s="127"/>
      <c r="D22" s="127" t="s">
        <v>327</v>
      </c>
      <c r="E22" s="254">
        <f>L22*Inputs!$E$296</f>
        <v>10.810810810810811</v>
      </c>
      <c r="F22" s="307">
        <f>BORA_Devex!$E$33</f>
        <v>46566</v>
      </c>
      <c r="G22" s="308">
        <v>1</v>
      </c>
      <c r="H22" s="151">
        <f t="shared" si="0"/>
        <v>10.810810810810811</v>
      </c>
      <c r="I22">
        <f>IF(F22="","",(YEAR(F22)-YEAR(Inputs!$E$27))*12+MONTH(F22)-MONTH(Inputs!$E$27))</f>
        <v>11</v>
      </c>
      <c r="J22" s="308">
        <v>0</v>
      </c>
      <c r="K22" s="151">
        <f t="shared" si="1"/>
        <v>0</v>
      </c>
      <c r="L22" s="254">
        <f>BORA_Devex!$J$33/1000</f>
        <v>21.621621621621621</v>
      </c>
    </row>
    <row r="23" spans="2:12" x14ac:dyDescent="0.25">
      <c r="B23" s="127">
        <v>34</v>
      </c>
      <c r="C23" s="127" t="s">
        <v>2412</v>
      </c>
      <c r="D23" s="127" t="s">
        <v>314</v>
      </c>
      <c r="E23" s="254">
        <f>L23*Inputs!$E$296</f>
        <v>6.2027027027027026</v>
      </c>
      <c r="F23" s="307">
        <f>BORA_Devex!$E$34</f>
        <v>46780</v>
      </c>
      <c r="G23" s="308">
        <v>1</v>
      </c>
      <c r="H23" s="151">
        <f t="shared" si="0"/>
        <v>6.2027027027027026</v>
      </c>
      <c r="I23">
        <f>IF(F23="","",(YEAR(F23)-YEAR(Inputs!$E$27))*12+MONTH(F23)-MONTH(Inputs!$E$27))</f>
        <v>18</v>
      </c>
      <c r="J23" s="308">
        <v>0</v>
      </c>
      <c r="K23" s="151">
        <f t="shared" si="1"/>
        <v>0</v>
      </c>
      <c r="L23" s="254">
        <f>BORA_Devex!$J$34/1000</f>
        <v>12.405405405405405</v>
      </c>
    </row>
    <row r="24" spans="2:12" x14ac:dyDescent="0.25">
      <c r="B24" s="127">
        <v>35</v>
      </c>
      <c r="C24" s="127"/>
      <c r="D24" s="127" t="s">
        <v>317</v>
      </c>
      <c r="E24" s="254">
        <f>L24*Inputs!$E$296</f>
        <v>186.48648648648648</v>
      </c>
      <c r="F24" s="307">
        <f>BORA_Devex!$E$35</f>
        <v>46780</v>
      </c>
      <c r="G24" s="308">
        <v>1</v>
      </c>
      <c r="H24" s="151">
        <f t="shared" si="0"/>
        <v>186.48648648648648</v>
      </c>
      <c r="I24">
        <f>IF(F24="","",(YEAR(F24)-YEAR(Inputs!$E$27))*12+MONTH(F24)-MONTH(Inputs!$E$27))</f>
        <v>18</v>
      </c>
      <c r="J24" s="308">
        <v>0</v>
      </c>
      <c r="K24" s="151">
        <f t="shared" si="1"/>
        <v>0</v>
      </c>
      <c r="L24" s="254">
        <f>BORA_Devex!$J$35/1000</f>
        <v>372.97297297297297</v>
      </c>
    </row>
    <row r="25" spans="2:12" x14ac:dyDescent="0.25">
      <c r="B25" s="127">
        <v>36</v>
      </c>
      <c r="C25" s="127" t="s">
        <v>2413</v>
      </c>
      <c r="D25" s="127" t="s">
        <v>314</v>
      </c>
      <c r="E25" s="254">
        <f>L25*Inputs!$E$296</f>
        <v>60.810810810810814</v>
      </c>
      <c r="F25" s="307">
        <f>BORA_Devex!$E$36</f>
        <v>46780</v>
      </c>
      <c r="G25" s="308">
        <v>1</v>
      </c>
      <c r="H25" s="151">
        <f t="shared" si="0"/>
        <v>60.810810810810814</v>
      </c>
      <c r="I25">
        <f>IF(F25="","",(YEAR(F25)-YEAR(Inputs!$E$27))*12+MONTH(F25)-MONTH(Inputs!$E$27))</f>
        <v>18</v>
      </c>
      <c r="J25" s="308">
        <v>0</v>
      </c>
      <c r="K25" s="151">
        <f t="shared" si="1"/>
        <v>0</v>
      </c>
      <c r="L25" s="254">
        <f>BORA_Devex!$J$36/1000</f>
        <v>121.62162162162163</v>
      </c>
    </row>
    <row r="26" spans="2:12" x14ac:dyDescent="0.25">
      <c r="B26" s="127">
        <v>37</v>
      </c>
      <c r="C26" s="127"/>
      <c r="D26" s="127" t="s">
        <v>317</v>
      </c>
      <c r="E26" s="254">
        <f>L26*Inputs!$E$296</f>
        <v>101.21173469387756</v>
      </c>
      <c r="F26" s="307">
        <f>BORA_Devex!$E$37</f>
        <v>46780</v>
      </c>
      <c r="G26" s="308">
        <v>1</v>
      </c>
      <c r="H26" s="151">
        <f t="shared" si="0"/>
        <v>101.21173469387756</v>
      </c>
      <c r="I26">
        <f>IF(F26="","",(YEAR(F26)-YEAR(Inputs!$E$27))*12+MONTH(F26)-MONTH(Inputs!$E$27))</f>
        <v>18</v>
      </c>
      <c r="J26" s="308">
        <v>0</v>
      </c>
      <c r="K26" s="151">
        <f t="shared" si="1"/>
        <v>0</v>
      </c>
      <c r="L26" s="254">
        <f>BORA_Devex!$J$37/1000</f>
        <v>202.42346938775512</v>
      </c>
    </row>
    <row r="27" spans="2:12" x14ac:dyDescent="0.25">
      <c r="B27" s="127">
        <v>38</v>
      </c>
      <c r="C27" s="127"/>
      <c r="D27" s="127" t="s">
        <v>330</v>
      </c>
      <c r="E27" s="254">
        <f>L27*Inputs!$E$296</f>
        <v>20.27027027027027</v>
      </c>
      <c r="F27" s="307">
        <f>BORA_Devex!$E$38</f>
        <v>46720</v>
      </c>
      <c r="G27" s="308">
        <v>1</v>
      </c>
      <c r="H27" s="151">
        <f t="shared" si="0"/>
        <v>20.27027027027027</v>
      </c>
      <c r="I27">
        <f>IF(F27="","",(YEAR(F27)-YEAR(Inputs!$E$27))*12+MONTH(F27)-MONTH(Inputs!$E$27))</f>
        <v>16</v>
      </c>
      <c r="J27" s="308">
        <v>0</v>
      </c>
      <c r="K27" s="151">
        <f t="shared" si="1"/>
        <v>0</v>
      </c>
      <c r="L27" s="254">
        <f>BORA_Devex!$J$38/1000</f>
        <v>40.54054054054054</v>
      </c>
    </row>
    <row r="28" spans="2:12" x14ac:dyDescent="0.25">
      <c r="B28" s="127">
        <v>39</v>
      </c>
      <c r="C28" s="127" t="s">
        <v>2414</v>
      </c>
      <c r="D28" s="127" t="s">
        <v>314</v>
      </c>
      <c r="E28" s="254">
        <f>L28*Inputs!$E$296</f>
        <v>8.1081081081081088</v>
      </c>
      <c r="F28" s="307">
        <f>BORA_Devex!$E$39</f>
        <v>46780</v>
      </c>
      <c r="G28" s="308">
        <v>1</v>
      </c>
      <c r="H28" s="151">
        <f t="shared" si="0"/>
        <v>8.1081081081081088</v>
      </c>
      <c r="I28">
        <f>IF(F28="","",(YEAR(F28)-YEAR(Inputs!$E$27))*12+MONTH(F28)-MONTH(Inputs!$E$27))</f>
        <v>18</v>
      </c>
      <c r="J28" s="308">
        <v>0</v>
      </c>
      <c r="K28" s="151">
        <f t="shared" si="1"/>
        <v>0</v>
      </c>
      <c r="L28" s="254">
        <f>BORA_Devex!$J$39/1000</f>
        <v>16.216216216216218</v>
      </c>
    </row>
    <row r="29" spans="2:12" x14ac:dyDescent="0.25">
      <c r="B29" s="127">
        <v>40</v>
      </c>
      <c r="C29" s="127"/>
      <c r="D29" s="127" t="s">
        <v>317</v>
      </c>
      <c r="E29" s="254">
        <f>L29*Inputs!$E$296</f>
        <v>61.052123552123547</v>
      </c>
      <c r="F29" s="307">
        <f>BORA_Devex!$E$40</f>
        <v>46780</v>
      </c>
      <c r="G29" s="308">
        <v>1</v>
      </c>
      <c r="H29" s="151">
        <f t="shared" si="0"/>
        <v>61.052123552123547</v>
      </c>
      <c r="I29">
        <f>IF(F29="","",(YEAR(F29)-YEAR(Inputs!$E$27))*12+MONTH(F29)-MONTH(Inputs!$E$27))</f>
        <v>18</v>
      </c>
      <c r="J29" s="308">
        <v>0</v>
      </c>
      <c r="K29" s="151">
        <f t="shared" si="1"/>
        <v>0</v>
      </c>
      <c r="L29" s="254">
        <f>BORA_Devex!$J$40/1000</f>
        <v>122.10424710424709</v>
      </c>
    </row>
    <row r="30" spans="2:12" x14ac:dyDescent="0.25">
      <c r="B30" s="127">
        <v>41</v>
      </c>
      <c r="C30" s="127" t="s">
        <v>2415</v>
      </c>
      <c r="D30" s="127" t="s">
        <v>314</v>
      </c>
      <c r="E30" s="254">
        <f>L30*Inputs!$E$296</f>
        <v>6.2027027027027026</v>
      </c>
      <c r="F30" s="307">
        <f>BORA_Devex!$E$41</f>
        <v>46780</v>
      </c>
      <c r="G30" s="308">
        <v>1</v>
      </c>
      <c r="H30" s="151">
        <f t="shared" si="0"/>
        <v>6.2027027027027026</v>
      </c>
      <c r="I30">
        <f>IF(F30="","",(YEAR(F30)-YEAR(Inputs!$E$27))*12+MONTH(F30)-MONTH(Inputs!$E$27))</f>
        <v>18</v>
      </c>
      <c r="J30" s="308">
        <v>0</v>
      </c>
      <c r="K30" s="151">
        <f t="shared" si="1"/>
        <v>0</v>
      </c>
      <c r="L30" s="254">
        <f>BORA_Devex!$J$41/1000</f>
        <v>12.405405405405405</v>
      </c>
    </row>
    <row r="31" spans="2:12" x14ac:dyDescent="0.25">
      <c r="B31" s="127">
        <v>42</v>
      </c>
      <c r="C31" s="127"/>
      <c r="D31" s="127" t="s">
        <v>317</v>
      </c>
      <c r="E31" s="254">
        <f>L31*Inputs!$E$296</f>
        <v>47.297297297297298</v>
      </c>
      <c r="F31" s="307">
        <f>BORA_Devex!$E$42</f>
        <v>46780</v>
      </c>
      <c r="G31" s="308">
        <v>1</v>
      </c>
      <c r="H31" s="151">
        <f t="shared" si="0"/>
        <v>47.297297297297298</v>
      </c>
      <c r="I31">
        <f>IF(F31="","",(YEAR(F31)-YEAR(Inputs!$E$27))*12+MONTH(F31)-MONTH(Inputs!$E$27))</f>
        <v>18</v>
      </c>
      <c r="J31" s="308">
        <v>0</v>
      </c>
      <c r="K31" s="151">
        <f t="shared" si="1"/>
        <v>0</v>
      </c>
      <c r="L31" s="254">
        <f>BORA_Devex!$J$42/1000</f>
        <v>94.594594594594597</v>
      </c>
    </row>
    <row r="32" spans="2:12" x14ac:dyDescent="0.25">
      <c r="B32" s="127">
        <v>43</v>
      </c>
      <c r="C32" s="127" t="s">
        <v>2416</v>
      </c>
      <c r="D32" s="127" t="s">
        <v>314</v>
      </c>
      <c r="E32" s="254">
        <f>L32*Inputs!$E$296</f>
        <v>27.027027027027028</v>
      </c>
      <c r="F32" s="307">
        <f>BORA_Devex!$E$43</f>
        <v>47126</v>
      </c>
      <c r="G32" s="308">
        <v>1</v>
      </c>
      <c r="H32" s="151">
        <f t="shared" si="0"/>
        <v>27.027027027027028</v>
      </c>
      <c r="I32">
        <f>IF(F32="","",(YEAR(F32)-YEAR(Inputs!$E$27))*12+MONTH(F32)-MONTH(Inputs!$E$27))</f>
        <v>30</v>
      </c>
      <c r="J32" s="308">
        <v>0</v>
      </c>
      <c r="K32" s="151">
        <f t="shared" si="1"/>
        <v>0</v>
      </c>
      <c r="L32" s="254">
        <f>BORA_Devex!$J$43/1000</f>
        <v>54.054054054054056</v>
      </c>
    </row>
    <row r="33" spans="2:12" x14ac:dyDescent="0.25">
      <c r="B33" s="127">
        <v>44</v>
      </c>
      <c r="C33" s="127"/>
      <c r="D33" s="127" t="s">
        <v>320</v>
      </c>
      <c r="E33" s="254">
        <f>L33*Inputs!$E$296</f>
        <v>16.216216216216218</v>
      </c>
      <c r="F33" s="307">
        <f>BORA_Devex!$E$44</f>
        <v>47066</v>
      </c>
      <c r="G33" s="308">
        <v>1</v>
      </c>
      <c r="H33" s="151">
        <f t="shared" si="0"/>
        <v>16.216216216216218</v>
      </c>
      <c r="I33">
        <f>IF(F33="","",(YEAR(F33)-YEAR(Inputs!$E$27))*12+MONTH(F33)-MONTH(Inputs!$E$27))</f>
        <v>28</v>
      </c>
      <c r="J33" s="308">
        <v>0</v>
      </c>
      <c r="K33" s="151">
        <f t="shared" si="1"/>
        <v>0</v>
      </c>
      <c r="L33" s="254">
        <f>BORA_Devex!$J$44/1000</f>
        <v>32.432432432432435</v>
      </c>
    </row>
    <row r="34" spans="2:12" x14ac:dyDescent="0.25">
      <c r="B34" s="127">
        <v>45</v>
      </c>
      <c r="C34" s="127" t="s">
        <v>334</v>
      </c>
      <c r="D34" s="127" t="s">
        <v>334</v>
      </c>
      <c r="E34" s="254">
        <f>L34*Inputs!$E$296</f>
        <v>10</v>
      </c>
      <c r="F34" s="307">
        <f>DATE(2027,12,31)</f>
        <v>46752</v>
      </c>
      <c r="G34" s="308">
        <v>1</v>
      </c>
      <c r="H34" s="151">
        <f t="shared" si="0"/>
        <v>10</v>
      </c>
      <c r="I34">
        <f>IF(F34="","",(YEAR(F34)-YEAR(Inputs!$E$27))*12+MONTH(F34)-MONTH(Inputs!$E$27))</f>
        <v>17</v>
      </c>
      <c r="J34" s="308">
        <v>0</v>
      </c>
      <c r="K34" s="151">
        <f t="shared" si="1"/>
        <v>0</v>
      </c>
      <c r="L34" s="254">
        <f>BORA_Devex!$J$45/1000</f>
        <v>20</v>
      </c>
    </row>
    <row r="35" spans="2:12" x14ac:dyDescent="0.25">
      <c r="B35" s="127">
        <v>46</v>
      </c>
      <c r="C35" s="127" t="s">
        <v>335</v>
      </c>
      <c r="D35" s="127" t="s">
        <v>335</v>
      </c>
      <c r="E35" s="254">
        <f>L35*Inputs!$E$296</f>
        <v>40</v>
      </c>
      <c r="F35" s="307">
        <f>DATE(2027,12,31)</f>
        <v>46752</v>
      </c>
      <c r="G35" s="308">
        <v>1</v>
      </c>
      <c r="H35" s="151">
        <f t="shared" si="0"/>
        <v>40</v>
      </c>
      <c r="I35">
        <f>IF(F35="","",(YEAR(F35)-YEAR(Inputs!$E$27))*12+MONTH(F35)-MONTH(Inputs!$E$27))</f>
        <v>17</v>
      </c>
      <c r="J35" s="308">
        <v>0</v>
      </c>
      <c r="K35" s="151">
        <f t="shared" si="1"/>
        <v>0</v>
      </c>
      <c r="L35" s="254">
        <f>BORA_Devex!$J$46/1000</f>
        <v>80</v>
      </c>
    </row>
    <row r="36" spans="2:12" x14ac:dyDescent="0.25">
      <c r="B36" s="127">
        <v>47</v>
      </c>
      <c r="C36" s="127" t="s">
        <v>2417</v>
      </c>
      <c r="D36" s="127" t="s">
        <v>336</v>
      </c>
      <c r="E36" s="254">
        <f>L36*Inputs!$E$296</f>
        <v>25</v>
      </c>
      <c r="F36" s="307">
        <f>DATE(2027,12,31)</f>
        <v>46752</v>
      </c>
      <c r="G36" s="308">
        <v>0</v>
      </c>
      <c r="H36" s="151">
        <f t="shared" si="0"/>
        <v>0</v>
      </c>
      <c r="I36">
        <f>IF(F36="","",(YEAR(F36)-YEAR(Inputs!$E$27))*12+MONTH(F36)-MONTH(Inputs!$E$27))</f>
        <v>17</v>
      </c>
      <c r="J36" s="308">
        <v>0</v>
      </c>
      <c r="K36" s="151">
        <f t="shared" si="1"/>
        <v>0</v>
      </c>
      <c r="L36" s="254">
        <f>BORA_Devex!$J$47/1000</f>
        <v>50</v>
      </c>
    </row>
    <row r="37" spans="2:12" x14ac:dyDescent="0.25">
      <c r="B37" s="127">
        <v>48</v>
      </c>
      <c r="C37" s="127" t="s">
        <v>2418</v>
      </c>
      <c r="D37" s="127" t="s">
        <v>312</v>
      </c>
      <c r="E37" s="254">
        <f>L37*Inputs!$E$296</f>
        <v>123.24324324324324</v>
      </c>
      <c r="F37" s="307">
        <f>BORA_Devex!$E$48</f>
        <v>47201</v>
      </c>
      <c r="G37" s="308">
        <v>0</v>
      </c>
      <c r="H37" s="151">
        <f t="shared" si="0"/>
        <v>0</v>
      </c>
      <c r="I37">
        <f>IF(F37="","",(YEAR(F37)-YEAR(Inputs!$E$27))*12+MONTH(F37)-MONTH(Inputs!$E$27))</f>
        <v>32</v>
      </c>
      <c r="J37" s="308">
        <v>1</v>
      </c>
      <c r="K37" s="151">
        <f t="shared" si="1"/>
        <v>123.24324324324324</v>
      </c>
      <c r="L37" s="254">
        <f>BORA_Devex!$J$48/1000</f>
        <v>246.48648648648648</v>
      </c>
    </row>
    <row r="38" spans="2:12" x14ac:dyDescent="0.25">
      <c r="B38">
        <v>49</v>
      </c>
      <c r="C38" t="s">
        <v>101</v>
      </c>
      <c r="D38" t="s">
        <v>2419</v>
      </c>
      <c r="E38" s="230">
        <f>Inputs!$E$68*(SUM(H5:H37)+SUM(K5:K37)+Deposits!$O$7)</f>
        <v>141.10383081428651</v>
      </c>
      <c r="F38" s="309">
        <f>DATE(2028,12,31)</f>
        <v>47118</v>
      </c>
      <c r="G38" s="308">
        <v>1</v>
      </c>
      <c r="H38" s="151">
        <f t="shared" si="0"/>
        <v>141.10383081428651</v>
      </c>
      <c r="I38">
        <f>IF(F38="","",(YEAR(F38)-YEAR(Inputs!$E$27))*12+MONTH(F38)-MONTH(Inputs!$E$27))</f>
        <v>29</v>
      </c>
      <c r="J38" s="308">
        <v>0</v>
      </c>
      <c r="K38" s="151">
        <f t="shared" si="1"/>
        <v>0</v>
      </c>
    </row>
    <row r="39" spans="2:12" x14ac:dyDescent="0.25">
      <c r="B39" s="310"/>
      <c r="C39" s="310" t="s">
        <v>295</v>
      </c>
      <c r="D39" s="310"/>
      <c r="E39" s="240">
        <f>SUM(E5:E38)</f>
        <v>1568.9229608749597</v>
      </c>
      <c r="F39" s="310"/>
      <c r="G39" s="310"/>
      <c r="H39" s="240">
        <f>SUM(H5:H38)</f>
        <v>1331.2330960100949</v>
      </c>
      <c r="I39" s="310"/>
      <c r="K39" s="240">
        <f>SUM(K5:K38)</f>
        <v>212.68986486486486</v>
      </c>
      <c r="L39" s="240">
        <f>SUM(L5:L37)</f>
        <v>2855.6382601213463</v>
      </c>
    </row>
    <row r="40" spans="2:12" x14ac:dyDescent="0.25">
      <c r="B40" t="s">
        <v>2420</v>
      </c>
      <c r="J40" t="s">
        <v>2421</v>
      </c>
    </row>
    <row r="41" spans="2:12" x14ac:dyDescent="0.25">
      <c r="B41" s="226" t="s">
        <v>2422</v>
      </c>
    </row>
  </sheetData>
  <pageMargins left="0.7" right="0.7" top="0.75" bottom="0.75" header="0.511811023622047" footer="0.511811023622047"/>
  <pageSetup paperSize="9" orientation="portrait" horizontalDpi="300" verticalDpi="30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Y72"/>
  <sheetViews>
    <sheetView zoomScaleNormal="100" workbookViewId="0">
      <pane ySplit="4" topLeftCell="A5" activePane="bottomLeft" state="frozen"/>
      <selection pane="bottomLeft"/>
    </sheetView>
  </sheetViews>
  <sheetFormatPr defaultColWidth="8.5703125" defaultRowHeight="15" x14ac:dyDescent="0.25"/>
  <cols>
    <col min="2" max="2" width="29.5703125" customWidth="1"/>
    <col min="3" max="7" width="13" customWidth="1"/>
    <col min="8" max="8" width="27.5703125" customWidth="1"/>
    <col min="9" max="51" width="14.5703125" customWidth="1"/>
  </cols>
  <sheetData>
    <row r="1" spans="1:51" x14ac:dyDescent="0.25">
      <c r="A1" s="311" t="s">
        <v>2423</v>
      </c>
    </row>
    <row r="2" spans="1:51" x14ac:dyDescent="0.25">
      <c r="B2" t="s">
        <v>2424</v>
      </c>
      <c r="Q2" t="s">
        <v>2425</v>
      </c>
      <c r="T2" t="s">
        <v>2426</v>
      </c>
      <c r="V2" t="s">
        <v>2426</v>
      </c>
    </row>
    <row r="3" spans="1:51" ht="45" customHeight="1" x14ac:dyDescent="0.25">
      <c r="B3" s="312" t="s">
        <v>2427</v>
      </c>
      <c r="C3" s="312" t="s">
        <v>2428</v>
      </c>
      <c r="D3" s="312" t="s">
        <v>2429</v>
      </c>
      <c r="E3" s="312" t="s">
        <v>2430</v>
      </c>
      <c r="F3" s="312" t="s">
        <v>5</v>
      </c>
      <c r="G3" s="313" t="s">
        <v>2431</v>
      </c>
      <c r="H3" s="312" t="s">
        <v>2432</v>
      </c>
      <c r="I3" s="312" t="s">
        <v>2433</v>
      </c>
      <c r="J3" s="312" t="s">
        <v>2434</v>
      </c>
      <c r="K3" s="312" t="s">
        <v>1075</v>
      </c>
      <c r="L3" s="312" t="s">
        <v>2435</v>
      </c>
      <c r="M3" s="312"/>
      <c r="N3" s="312" t="s">
        <v>2436</v>
      </c>
      <c r="O3" s="312"/>
      <c r="P3" s="312" t="s">
        <v>2437</v>
      </c>
      <c r="Q3" s="312"/>
      <c r="R3" s="312" t="s">
        <v>2438</v>
      </c>
      <c r="S3" s="312" t="s">
        <v>2439</v>
      </c>
      <c r="T3" s="312" t="s">
        <v>2438</v>
      </c>
      <c r="U3" s="312" t="s">
        <v>2439</v>
      </c>
      <c r="V3" s="312" t="s">
        <v>2438</v>
      </c>
      <c r="W3" s="312" t="s">
        <v>2439</v>
      </c>
      <c r="X3" s="312" t="s">
        <v>2440</v>
      </c>
      <c r="Y3" s="312" t="s">
        <v>2441</v>
      </c>
      <c r="Z3" s="312" t="s">
        <v>2442</v>
      </c>
      <c r="AA3" s="312"/>
      <c r="AB3" s="312"/>
      <c r="AC3" s="312"/>
      <c r="AD3" s="312"/>
      <c r="AE3" s="312"/>
      <c r="AF3" s="312"/>
      <c r="AG3" s="312"/>
      <c r="AH3" s="312"/>
      <c r="AI3" s="312"/>
      <c r="AJ3" s="312"/>
      <c r="AK3" s="312"/>
      <c r="AL3" s="312"/>
      <c r="AM3" s="312"/>
      <c r="AN3" s="312"/>
      <c r="AO3" s="312"/>
      <c r="AP3" s="312"/>
      <c r="AQ3" s="312"/>
      <c r="AR3" s="312"/>
      <c r="AS3" s="312"/>
      <c r="AT3" s="312"/>
      <c r="AU3" s="312"/>
      <c r="AV3" s="312"/>
      <c r="AW3" s="312"/>
      <c r="AX3" s="312"/>
      <c r="AY3" s="312"/>
    </row>
    <row r="4" spans="1:51" ht="45" customHeight="1" x14ac:dyDescent="0.25">
      <c r="B4" s="312"/>
      <c r="C4" s="312"/>
      <c r="D4" s="312"/>
      <c r="E4" s="312"/>
      <c r="F4" s="312"/>
      <c r="G4" s="312"/>
      <c r="H4" s="312"/>
      <c r="I4" s="312"/>
      <c r="J4" s="312"/>
      <c r="K4" s="312"/>
      <c r="L4" s="312" t="s">
        <v>2438</v>
      </c>
      <c r="M4" s="312" t="s">
        <v>2439</v>
      </c>
      <c r="N4" s="312" t="s">
        <v>2438</v>
      </c>
      <c r="O4" s="312" t="s">
        <v>2439</v>
      </c>
      <c r="P4" s="312"/>
      <c r="Q4" s="312" t="s">
        <v>2443</v>
      </c>
      <c r="R4" s="312"/>
      <c r="S4" s="312"/>
      <c r="T4" s="312"/>
      <c r="U4" s="312"/>
      <c r="V4" s="312"/>
      <c r="W4" s="312"/>
      <c r="X4" s="312" t="s">
        <v>2444</v>
      </c>
      <c r="Y4" s="312" t="s">
        <v>2445</v>
      </c>
      <c r="Z4" s="312" t="s">
        <v>2446</v>
      </c>
      <c r="AA4" s="312"/>
      <c r="AB4" s="312"/>
      <c r="AC4" s="312"/>
      <c r="AD4" s="312"/>
      <c r="AE4" s="312"/>
      <c r="AF4" s="312"/>
      <c r="AG4" s="312"/>
      <c r="AH4" s="312"/>
      <c r="AI4" s="312"/>
      <c r="AJ4" s="312"/>
      <c r="AK4" s="312"/>
      <c r="AL4" s="312"/>
      <c r="AM4" s="312"/>
      <c r="AN4" s="312"/>
      <c r="AO4" s="312"/>
      <c r="AP4" s="312"/>
      <c r="AQ4" s="312"/>
      <c r="AR4" s="312"/>
      <c r="AS4" s="312"/>
      <c r="AT4" s="312"/>
      <c r="AU4" s="312"/>
      <c r="AV4" s="312"/>
      <c r="AW4" s="312"/>
      <c r="AX4" s="312"/>
      <c r="AY4" s="312"/>
    </row>
    <row r="5" spans="1:51" x14ac:dyDescent="0.25">
      <c r="B5" t="s">
        <v>2447</v>
      </c>
      <c r="C5" s="314">
        <v>46266</v>
      </c>
      <c r="D5" s="314">
        <v>46325</v>
      </c>
      <c r="E5" s="314">
        <v>46325</v>
      </c>
      <c r="F5" s="146">
        <f t="shared" ref="F5:F44" si="0">YEAR(E5)</f>
        <v>2026</v>
      </c>
      <c r="G5" s="146">
        <f t="shared" ref="G5:G44" si="1">DATE(YEAR(E5),12,31)-E5+1</f>
        <v>63</v>
      </c>
      <c r="H5" t="s">
        <v>2448</v>
      </c>
      <c r="I5" s="315">
        <f>AF13*3000000</f>
        <v>6000000</v>
      </c>
      <c r="J5" s="315">
        <f t="shared" ref="J5:J12" si="2">I5/$AF$6</f>
        <v>16216.216216216217</v>
      </c>
      <c r="K5" s="63">
        <v>0.12</v>
      </c>
      <c r="L5" s="315">
        <f t="shared" ref="L5:L49" si="3">(J5+(J5*K5*(G5/365)))*(1+K5)^($AF$18-F5)</f>
        <v>23254.497253461686</v>
      </c>
      <c r="M5" s="315">
        <f t="shared" ref="M5:M49" si="4">L5-J5</f>
        <v>7038.2810372454696</v>
      </c>
      <c r="N5" s="315">
        <f t="shared" ref="N5:N49" si="5">((J5+(J5*K5*(G5/365)))*(1+K5)^($AF$18-F5-1))*(1+K5*(180/365))</f>
        <v>21991.655181478196</v>
      </c>
      <c r="O5" s="315">
        <f t="shared" ref="O5:O49" si="6">N5-J5</f>
        <v>5775.4389652619793</v>
      </c>
      <c r="Q5" s="63">
        <v>0.12</v>
      </c>
      <c r="R5" s="315">
        <f t="shared" ref="R5:R49" si="7">IF(Q5&lt;0.2,(J5+(J5*Q5*(G5/365)))*(1+Q5)^($AF$18-F5),J5*2)</f>
        <v>23254.497253461686</v>
      </c>
      <c r="S5" s="315">
        <f t="shared" ref="S5:S49" si="8">R5-J5</f>
        <v>7038.2810372454696</v>
      </c>
      <c r="T5" s="315">
        <f t="shared" ref="T5:T13" si="9">IF(K5&lt;0.2,N5*IF(J5=0,0,Y5/J5),MAX(N5*IF(J5=0,0,Y5/J5),Y5*2))</f>
        <v>21991.655181478196</v>
      </c>
      <c r="U5" s="315">
        <f t="shared" ref="U5:U49" si="10">T5-Y5</f>
        <v>5775.4389652619793</v>
      </c>
      <c r="V5" s="315">
        <f t="shared" ref="V5:V13" si="11">IF(K5&lt;0.2,L5*IF(J5=0,0,Y5/J5),MAX(L5*IF(J5=0,0,Y5/J5),Y5*2))</f>
        <v>23254.497253461686</v>
      </c>
      <c r="W5" s="315">
        <f t="shared" ref="W5:W49" si="12">V5-Y5</f>
        <v>7038.2810372454696</v>
      </c>
      <c r="X5" s="315">
        <v>1</v>
      </c>
      <c r="Y5" s="315">
        <f t="shared" ref="Y5:Y48" si="13">J5*X5</f>
        <v>16216.216216216217</v>
      </c>
      <c r="Z5" s="315">
        <f t="shared" ref="Z5:Z13" si="14">IF(K5=$AB$41,$AH$62*Y5*MAX(0,G5/365+YEAR($AB$44)-F5),Y5*((1+$AH$63*G5/365)*(1+$AH$63)^(YEAR($AB$44)-F5)-1))</f>
        <v>5048.2222697008337</v>
      </c>
    </row>
    <row r="6" spans="1:51" x14ac:dyDescent="0.25">
      <c r="C6" s="314">
        <v>46266</v>
      </c>
      <c r="D6" s="314">
        <v>46325</v>
      </c>
      <c r="E6" s="314">
        <v>46325</v>
      </c>
      <c r="F6" s="146">
        <f t="shared" si="0"/>
        <v>2026</v>
      </c>
      <c r="G6" s="146">
        <f t="shared" si="1"/>
        <v>63</v>
      </c>
      <c r="H6" t="s">
        <v>2449</v>
      </c>
      <c r="I6" s="315">
        <f>AF11*AF7*0.005+AF12*AF10*0.005</f>
        <v>606000000</v>
      </c>
      <c r="J6" s="315">
        <f t="shared" si="2"/>
        <v>1637837.8378378379</v>
      </c>
      <c r="K6" s="63">
        <v>0.06</v>
      </c>
      <c r="L6" s="315">
        <f t="shared" si="3"/>
        <v>1970892.7476555356</v>
      </c>
      <c r="M6" s="315">
        <f t="shared" si="4"/>
        <v>333054.90981769771</v>
      </c>
      <c r="N6" s="315">
        <f t="shared" si="5"/>
        <v>1914348.6548693464</v>
      </c>
      <c r="O6" s="315">
        <f t="shared" si="6"/>
        <v>276510.81703150854</v>
      </c>
      <c r="P6" t="s">
        <v>2450</v>
      </c>
      <c r="Q6" s="63">
        <v>0.2</v>
      </c>
      <c r="R6" s="315">
        <f t="shared" si="7"/>
        <v>3275675.6756756757</v>
      </c>
      <c r="S6" s="315">
        <f t="shared" si="8"/>
        <v>1637837.8378378379</v>
      </c>
      <c r="T6" s="315">
        <f t="shared" si="9"/>
        <v>1914348.6548693464</v>
      </c>
      <c r="U6" s="315">
        <f t="shared" si="10"/>
        <v>276510.81703150854</v>
      </c>
      <c r="V6" s="315">
        <f t="shared" si="11"/>
        <v>1970892.7476555356</v>
      </c>
      <c r="W6" s="315">
        <f t="shared" si="12"/>
        <v>333054.90981769771</v>
      </c>
      <c r="X6" s="315">
        <v>1</v>
      </c>
      <c r="Y6" s="315">
        <f t="shared" si="13"/>
        <v>1637837.8378378379</v>
      </c>
      <c r="Z6" s="315">
        <f t="shared" si="14"/>
        <v>311772.52869307558</v>
      </c>
      <c r="AE6" t="s">
        <v>2451</v>
      </c>
      <c r="AF6">
        <v>370</v>
      </c>
    </row>
    <row r="7" spans="1:51" x14ac:dyDescent="0.25">
      <c r="C7" s="314">
        <v>46371</v>
      </c>
      <c r="D7" s="314">
        <v>46386</v>
      </c>
      <c r="E7" s="314">
        <v>46386</v>
      </c>
      <c r="F7" s="146">
        <f t="shared" si="0"/>
        <v>2026</v>
      </c>
      <c r="G7" s="146">
        <f t="shared" si="1"/>
        <v>2</v>
      </c>
      <c r="H7" t="s">
        <v>994</v>
      </c>
      <c r="I7" s="315">
        <f>((AF11*AF7*0.025+AF12*AF10*0.025)*1.5)-I6</f>
        <v>3939000000</v>
      </c>
      <c r="J7" s="315">
        <f t="shared" si="2"/>
        <v>10645945.945945946</v>
      </c>
      <c r="K7" s="63">
        <f>$AB$41</f>
        <v>0.06</v>
      </c>
      <c r="L7" s="315">
        <f t="shared" si="3"/>
        <v>12683660.556852132</v>
      </c>
      <c r="M7" s="315">
        <f t="shared" si="4"/>
        <v>2037714.6109061856</v>
      </c>
      <c r="N7" s="315">
        <f t="shared" si="5"/>
        <v>12319771.613504861</v>
      </c>
      <c r="O7" s="315">
        <f t="shared" si="6"/>
        <v>1673825.6675589141</v>
      </c>
      <c r="P7" t="s">
        <v>2452</v>
      </c>
      <c r="Q7" s="63">
        <v>0.2</v>
      </c>
      <c r="R7" s="315">
        <f t="shared" si="7"/>
        <v>21291891.891891893</v>
      </c>
      <c r="S7" s="315">
        <f t="shared" si="8"/>
        <v>10645945.945945946</v>
      </c>
      <c r="T7" s="315">
        <f t="shared" si="9"/>
        <v>12319771.613504861</v>
      </c>
      <c r="U7" s="315">
        <f t="shared" si="10"/>
        <v>1673825.6675589141</v>
      </c>
      <c r="V7" s="315">
        <f t="shared" si="11"/>
        <v>12683660.556852132</v>
      </c>
      <c r="W7" s="315">
        <f t="shared" si="12"/>
        <v>2037714.6109061856</v>
      </c>
      <c r="X7" s="315">
        <v>1</v>
      </c>
      <c r="Y7" s="315">
        <f t="shared" si="13"/>
        <v>10645945.945945946</v>
      </c>
      <c r="Z7" s="315">
        <f t="shared" si="14"/>
        <v>1919770.3072935443</v>
      </c>
      <c r="AE7" t="s">
        <v>2453</v>
      </c>
      <c r="AF7">
        <v>200</v>
      </c>
    </row>
    <row r="8" spans="1:51" x14ac:dyDescent="0.25">
      <c r="B8" t="s">
        <v>2454</v>
      </c>
      <c r="C8" s="314">
        <f>C7+15</f>
        <v>46386</v>
      </c>
      <c r="D8" s="314">
        <f t="shared" ref="D8:D13" si="15">C8</f>
        <v>46386</v>
      </c>
      <c r="E8" s="314">
        <f>C8</f>
        <v>46386</v>
      </c>
      <c r="F8" s="146">
        <f t="shared" si="0"/>
        <v>2026</v>
      </c>
      <c r="G8" s="146">
        <f t="shared" si="1"/>
        <v>2</v>
      </c>
      <c r="H8" t="s">
        <v>2455</v>
      </c>
      <c r="I8" s="315">
        <f>4500000*AF7</f>
        <v>900000000</v>
      </c>
      <c r="J8" s="316">
        <f t="shared" si="2"/>
        <v>2432432.4324324327</v>
      </c>
      <c r="K8" s="63">
        <v>0.12</v>
      </c>
      <c r="L8" s="315">
        <f t="shared" si="3"/>
        <v>3419639.4849907453</v>
      </c>
      <c r="M8" s="315">
        <f t="shared" si="4"/>
        <v>987207.05255831266</v>
      </c>
      <c r="N8" s="315">
        <f t="shared" si="5"/>
        <v>3233934.9924105238</v>
      </c>
      <c r="O8" s="315">
        <f t="shared" si="6"/>
        <v>801502.55997809116</v>
      </c>
      <c r="P8" t="s">
        <v>2456</v>
      </c>
      <c r="Q8" s="63">
        <v>0.2</v>
      </c>
      <c r="R8" s="315">
        <f t="shared" si="7"/>
        <v>4864864.8648648653</v>
      </c>
      <c r="S8" s="315">
        <f t="shared" si="8"/>
        <v>2432432.4324324327</v>
      </c>
      <c r="T8" s="315">
        <f t="shared" si="9"/>
        <v>3233934.9924105238</v>
      </c>
      <c r="U8" s="315">
        <f t="shared" si="10"/>
        <v>801502.55997809116</v>
      </c>
      <c r="V8" s="315">
        <f t="shared" si="11"/>
        <v>3419639.4849907453</v>
      </c>
      <c r="W8" s="315">
        <f t="shared" si="12"/>
        <v>987207.05255831266</v>
      </c>
      <c r="X8" s="315">
        <v>1</v>
      </c>
      <c r="Y8" s="315">
        <f t="shared" si="13"/>
        <v>2432432.4324324327</v>
      </c>
      <c r="Z8" s="315">
        <f t="shared" si="14"/>
        <v>710508.11540269363</v>
      </c>
      <c r="AE8" t="s">
        <v>2457</v>
      </c>
      <c r="AF8" s="63">
        <v>0.5</v>
      </c>
    </row>
    <row r="9" spans="1:51" x14ac:dyDescent="0.25">
      <c r="B9" t="s">
        <v>2458</v>
      </c>
      <c r="C9" s="314">
        <v>46500</v>
      </c>
      <c r="D9" s="314">
        <f t="shared" si="15"/>
        <v>46500</v>
      </c>
      <c r="E9" s="314">
        <f>C9</f>
        <v>46500</v>
      </c>
      <c r="F9" s="146">
        <f t="shared" si="0"/>
        <v>2027</v>
      </c>
      <c r="G9" s="146">
        <f t="shared" si="1"/>
        <v>253</v>
      </c>
      <c r="H9" t="s">
        <v>2459</v>
      </c>
      <c r="I9" s="315">
        <f>AF11*AF7*0.02</f>
        <v>1624000000</v>
      </c>
      <c r="J9" s="316">
        <f t="shared" si="2"/>
        <v>4389189.1891891891</v>
      </c>
      <c r="K9" s="63">
        <f>$AB$41</f>
        <v>0.06</v>
      </c>
      <c r="L9" s="315">
        <f t="shared" si="3"/>
        <v>5136797.3546982603</v>
      </c>
      <c r="M9" s="315">
        <f t="shared" si="4"/>
        <v>747608.1655090712</v>
      </c>
      <c r="N9" s="315">
        <f t="shared" si="5"/>
        <v>4989424.776158195</v>
      </c>
      <c r="O9" s="315">
        <f t="shared" si="6"/>
        <v>600235.58696900588</v>
      </c>
      <c r="P9" t="s">
        <v>2460</v>
      </c>
      <c r="Q9" s="63">
        <v>0.2</v>
      </c>
      <c r="R9" s="315">
        <f t="shared" si="7"/>
        <v>8778378.3783783782</v>
      </c>
      <c r="S9" s="315">
        <f t="shared" si="8"/>
        <v>4389189.1891891891</v>
      </c>
      <c r="T9" s="315">
        <f t="shared" si="9"/>
        <v>4989424.776158195</v>
      </c>
      <c r="U9" s="315">
        <f t="shared" si="10"/>
        <v>600235.58696900588</v>
      </c>
      <c r="V9" s="315">
        <f t="shared" si="11"/>
        <v>5136797.3546982603</v>
      </c>
      <c r="W9" s="315">
        <f t="shared" si="12"/>
        <v>747608.1655090712</v>
      </c>
      <c r="X9" s="315">
        <v>1</v>
      </c>
      <c r="Y9" s="315">
        <f t="shared" si="13"/>
        <v>4389189.1891891891</v>
      </c>
      <c r="Z9" s="315">
        <f t="shared" si="14"/>
        <v>709244.8722695082</v>
      </c>
      <c r="AE9" t="s">
        <v>2461</v>
      </c>
      <c r="AF9">
        <f>AF7*AF8</f>
        <v>100</v>
      </c>
    </row>
    <row r="10" spans="1:51" x14ac:dyDescent="0.25">
      <c r="B10" t="s">
        <v>2462</v>
      </c>
      <c r="C10" s="314">
        <v>46866</v>
      </c>
      <c r="D10" s="314">
        <f t="shared" si="15"/>
        <v>46866</v>
      </c>
      <c r="E10" s="314">
        <f>C10</f>
        <v>46866</v>
      </c>
      <c r="F10" s="146">
        <f t="shared" si="0"/>
        <v>2028</v>
      </c>
      <c r="G10" s="146">
        <f t="shared" si="1"/>
        <v>253</v>
      </c>
      <c r="H10" t="s">
        <v>2463</v>
      </c>
      <c r="I10" s="315">
        <f>AF11*AF7*0.01</f>
        <v>812000000</v>
      </c>
      <c r="J10" s="316">
        <f t="shared" si="2"/>
        <v>2194594.5945945946</v>
      </c>
      <c r="K10" s="63">
        <f>$AB$41</f>
        <v>0.06</v>
      </c>
      <c r="L10" s="315">
        <f t="shared" si="3"/>
        <v>2423017.6201406885</v>
      </c>
      <c r="M10" s="315">
        <f t="shared" si="4"/>
        <v>228423.02554609394</v>
      </c>
      <c r="N10" s="315">
        <f t="shared" si="5"/>
        <v>2353502.2529048091</v>
      </c>
      <c r="O10" s="315">
        <f t="shared" si="6"/>
        <v>158907.65831021452</v>
      </c>
      <c r="P10" t="s">
        <v>2464</v>
      </c>
      <c r="Q10" s="63">
        <v>0.2</v>
      </c>
      <c r="R10" s="315">
        <f t="shared" si="7"/>
        <v>4389189.1891891891</v>
      </c>
      <c r="S10" s="315">
        <f t="shared" si="8"/>
        <v>2194594.5945945946</v>
      </c>
      <c r="T10" s="315">
        <f t="shared" si="9"/>
        <v>2353502.2529048091</v>
      </c>
      <c r="U10" s="315">
        <f t="shared" si="10"/>
        <v>158907.65831021452</v>
      </c>
      <c r="V10" s="315">
        <f t="shared" si="11"/>
        <v>2423017.6201406885</v>
      </c>
      <c r="W10" s="315">
        <f t="shared" si="12"/>
        <v>228423.02554609394</v>
      </c>
      <c r="X10" s="315">
        <v>1</v>
      </c>
      <c r="Y10" s="315">
        <f t="shared" si="13"/>
        <v>2194594.5945945946</v>
      </c>
      <c r="Z10" s="315">
        <f t="shared" si="14"/>
        <v>222946.76045907842</v>
      </c>
      <c r="AE10" t="s">
        <v>2465</v>
      </c>
      <c r="AF10">
        <f>AF9*2</f>
        <v>200</v>
      </c>
    </row>
    <row r="11" spans="1:51" x14ac:dyDescent="0.25">
      <c r="B11" t="s">
        <v>2466</v>
      </c>
      <c r="C11" s="314">
        <f>D35+45</f>
        <v>46825</v>
      </c>
      <c r="D11" s="314">
        <f t="shared" si="15"/>
        <v>46825</v>
      </c>
      <c r="E11" s="314">
        <f>D11</f>
        <v>46825</v>
      </c>
      <c r="F11" s="146">
        <f t="shared" si="0"/>
        <v>2028</v>
      </c>
      <c r="G11" s="146">
        <f t="shared" si="1"/>
        <v>294</v>
      </c>
      <c r="H11" t="s">
        <v>2467</v>
      </c>
      <c r="I11" s="315">
        <f>-(I9+I10)/2</f>
        <v>-1218000000</v>
      </c>
      <c r="J11" s="316">
        <f t="shared" si="2"/>
        <v>-3291891.8918918921</v>
      </c>
      <c r="K11" s="63">
        <f>$AB$41</f>
        <v>0.06</v>
      </c>
      <c r="L11" s="315">
        <f t="shared" si="3"/>
        <v>-3658044.066641985</v>
      </c>
      <c r="M11" s="315">
        <f t="shared" si="4"/>
        <v>-366152.17475009291</v>
      </c>
      <c r="N11" s="315">
        <f t="shared" si="5"/>
        <v>-3553096.3045853134</v>
      </c>
      <c r="O11" s="315">
        <f t="shared" si="6"/>
        <v>-261204.41269342136</v>
      </c>
      <c r="P11" t="s">
        <v>2468</v>
      </c>
      <c r="Q11" s="63">
        <v>0.2</v>
      </c>
      <c r="R11" s="315">
        <f t="shared" si="7"/>
        <v>-6583783.7837837841</v>
      </c>
      <c r="S11" s="315">
        <f t="shared" si="8"/>
        <v>-3291891.8918918921</v>
      </c>
      <c r="T11" s="315">
        <f t="shared" si="9"/>
        <v>-3553096.3045853134</v>
      </c>
      <c r="U11" s="315">
        <f t="shared" si="10"/>
        <v>-261204.41269342136</v>
      </c>
      <c r="V11" s="315">
        <f t="shared" si="11"/>
        <v>-3658044.066641985</v>
      </c>
      <c r="W11" s="315">
        <f t="shared" si="12"/>
        <v>-366152.17475009291</v>
      </c>
      <c r="X11" s="315">
        <v>1</v>
      </c>
      <c r="Y11" s="315">
        <f t="shared" si="13"/>
        <v>-3291891.8918918921</v>
      </c>
      <c r="Z11" s="315">
        <f t="shared" si="14"/>
        <v>-356606.59015181585</v>
      </c>
      <c r="AE11" t="s">
        <v>2469</v>
      </c>
      <c r="AF11" s="315">
        <v>406000000</v>
      </c>
    </row>
    <row r="12" spans="1:51" x14ac:dyDescent="0.25">
      <c r="B12" t="s">
        <v>2470</v>
      </c>
      <c r="C12" s="314">
        <v>47231</v>
      </c>
      <c r="D12" s="314">
        <f t="shared" si="15"/>
        <v>47231</v>
      </c>
      <c r="E12" s="314">
        <f>C12</f>
        <v>47231</v>
      </c>
      <c r="F12" s="146">
        <f t="shared" si="0"/>
        <v>2029</v>
      </c>
      <c r="G12" s="146">
        <f t="shared" si="1"/>
        <v>253</v>
      </c>
      <c r="H12" t="s">
        <v>2471</v>
      </c>
      <c r="I12" s="315">
        <f>(AF11*AF7*0.01)/2</f>
        <v>406000000</v>
      </c>
      <c r="J12" s="316">
        <f t="shared" si="2"/>
        <v>1097297.2972972973</v>
      </c>
      <c r="K12" s="63">
        <f>$AB$41</f>
        <v>0.06</v>
      </c>
      <c r="L12" s="315">
        <f t="shared" si="3"/>
        <v>1142932.839689004</v>
      </c>
      <c r="M12" s="315">
        <f t="shared" si="4"/>
        <v>45635.542391706724</v>
      </c>
      <c r="N12" s="315">
        <f t="shared" si="5"/>
        <v>1110142.5721249098</v>
      </c>
      <c r="O12" s="315">
        <f t="shared" si="6"/>
        <v>12845.274827612564</v>
      </c>
      <c r="P12" t="s">
        <v>2472</v>
      </c>
      <c r="Q12" s="63">
        <v>0.2</v>
      </c>
      <c r="R12" s="315">
        <f t="shared" si="7"/>
        <v>2194594.5945945946</v>
      </c>
      <c r="S12" s="315">
        <f t="shared" si="8"/>
        <v>1097297.2972972973</v>
      </c>
      <c r="T12" s="315">
        <f t="shared" si="9"/>
        <v>1110142.5721249098</v>
      </c>
      <c r="U12" s="315">
        <f t="shared" si="10"/>
        <v>12845.274827612564</v>
      </c>
      <c r="V12" s="315">
        <f t="shared" si="11"/>
        <v>1142932.839689004</v>
      </c>
      <c r="W12" s="315">
        <f t="shared" si="12"/>
        <v>45635.542391706724</v>
      </c>
      <c r="X12" s="315">
        <v>1</v>
      </c>
      <c r="Y12" s="315">
        <f t="shared" si="13"/>
        <v>1097297.2972972973</v>
      </c>
      <c r="Z12" s="315">
        <f t="shared" si="14"/>
        <v>45635.542391701361</v>
      </c>
      <c r="AE12" t="s">
        <v>2473</v>
      </c>
      <c r="AF12" s="315">
        <v>200000000</v>
      </c>
    </row>
    <row r="13" spans="1:51" x14ac:dyDescent="0.25">
      <c r="B13" t="s">
        <v>2474</v>
      </c>
      <c r="C13" s="314">
        <v>47596</v>
      </c>
      <c r="D13" s="314">
        <f t="shared" si="15"/>
        <v>47596</v>
      </c>
      <c r="E13" s="314">
        <f>C13</f>
        <v>47596</v>
      </c>
      <c r="F13" s="146">
        <f t="shared" si="0"/>
        <v>2030</v>
      </c>
      <c r="G13" s="146">
        <f t="shared" si="1"/>
        <v>253</v>
      </c>
      <c r="H13" t="s">
        <v>2475</v>
      </c>
      <c r="I13" s="315">
        <v>0</v>
      </c>
      <c r="J13" s="316">
        <v>0</v>
      </c>
      <c r="K13" s="63">
        <f>$AB$41</f>
        <v>0.06</v>
      </c>
      <c r="L13" s="315">
        <f t="shared" si="3"/>
        <v>0</v>
      </c>
      <c r="M13" s="315">
        <f t="shared" si="4"/>
        <v>0</v>
      </c>
      <c r="N13" s="315">
        <f t="shared" si="5"/>
        <v>0</v>
      </c>
      <c r="O13" s="315">
        <f t="shared" si="6"/>
        <v>0</v>
      </c>
      <c r="P13" t="s">
        <v>2476</v>
      </c>
      <c r="Q13" s="63">
        <v>0.2</v>
      </c>
      <c r="R13" s="315">
        <f t="shared" si="7"/>
        <v>0</v>
      </c>
      <c r="S13" s="315">
        <f t="shared" si="8"/>
        <v>0</v>
      </c>
      <c r="T13" s="315">
        <f t="shared" si="9"/>
        <v>0</v>
      </c>
      <c r="U13" s="315">
        <f t="shared" si="10"/>
        <v>0</v>
      </c>
      <c r="V13" s="315">
        <f t="shared" si="11"/>
        <v>0</v>
      </c>
      <c r="W13" s="315">
        <f t="shared" si="12"/>
        <v>0</v>
      </c>
      <c r="X13" s="315">
        <v>1</v>
      </c>
      <c r="Y13" s="315">
        <f t="shared" si="13"/>
        <v>0</v>
      </c>
      <c r="Z13" s="315">
        <f t="shared" si="14"/>
        <v>0</v>
      </c>
      <c r="AE13" t="s">
        <v>2477</v>
      </c>
      <c r="AF13">
        <v>2</v>
      </c>
    </row>
    <row r="14" spans="1:51" x14ac:dyDescent="0.25">
      <c r="B14" t="s">
        <v>2397</v>
      </c>
      <c r="C14" s="314">
        <f>E8+15</f>
        <v>46401</v>
      </c>
      <c r="D14" s="314">
        <f>C14+30</f>
        <v>46431</v>
      </c>
      <c r="E14" s="314">
        <f>D14</f>
        <v>46431</v>
      </c>
      <c r="F14" s="146">
        <f t="shared" si="0"/>
        <v>2027</v>
      </c>
      <c r="G14" s="146">
        <f t="shared" si="1"/>
        <v>322</v>
      </c>
      <c r="H14" t="s">
        <v>2398</v>
      </c>
      <c r="I14" s="315">
        <f>J14*AF6</f>
        <v>20590500</v>
      </c>
      <c r="J14" s="316">
        <f>1325*AF15*1.5</f>
        <v>55650</v>
      </c>
      <c r="K14" s="63">
        <v>0.2</v>
      </c>
      <c r="L14" s="315">
        <f t="shared" si="3"/>
        <v>94275.064109589046</v>
      </c>
      <c r="M14" s="315">
        <f t="shared" si="4"/>
        <v>38625.064109589046</v>
      </c>
      <c r="N14" s="315">
        <f t="shared" si="5"/>
        <v>86311.188830925137</v>
      </c>
      <c r="O14" s="315">
        <f t="shared" si="6"/>
        <v>30661.188830925137</v>
      </c>
      <c r="P14" t="s">
        <v>2478</v>
      </c>
      <c r="Q14" s="63">
        <v>0.2</v>
      </c>
      <c r="R14" s="315">
        <f t="shared" si="7"/>
        <v>111300</v>
      </c>
      <c r="S14" s="315">
        <f t="shared" si="8"/>
        <v>55650</v>
      </c>
      <c r="T14" s="315">
        <f>Y14+MAX(N14,J14*2)-J14</f>
        <v>55650</v>
      </c>
      <c r="U14" s="315">
        <f t="shared" si="10"/>
        <v>55650</v>
      </c>
      <c r="V14" s="315">
        <f>Y14+MAX(L14,J14*2)-J14</f>
        <v>55650</v>
      </c>
      <c r="W14" s="315">
        <f t="shared" si="12"/>
        <v>55650</v>
      </c>
      <c r="X14" s="315">
        <v>0</v>
      </c>
      <c r="Y14" s="315">
        <f t="shared" si="13"/>
        <v>0</v>
      </c>
      <c r="Z14" s="315">
        <f>IF(K14=$AB$41,$AH$62*J14*MAX(0,G14/365+YEAR($AB$44)-F14),J14*((1+$AH$63*G14/365)*(1+$AH$63)^(YEAR($AB$44)-F14)-1))</f>
        <v>15528.223654388215</v>
      </c>
      <c r="AE14" t="s">
        <v>2479</v>
      </c>
      <c r="AF14">
        <v>28</v>
      </c>
    </row>
    <row r="15" spans="1:51" x14ac:dyDescent="0.25">
      <c r="C15" s="314">
        <f>C14</f>
        <v>46401</v>
      </c>
      <c r="D15" s="314">
        <f>D14</f>
        <v>46431</v>
      </c>
      <c r="E15" s="314">
        <f>E14</f>
        <v>46431</v>
      </c>
      <c r="F15" s="146">
        <f t="shared" si="0"/>
        <v>2027</v>
      </c>
      <c r="G15" s="146">
        <f t="shared" si="1"/>
        <v>322</v>
      </c>
      <c r="H15" t="s">
        <v>2480</v>
      </c>
      <c r="I15" s="315">
        <f>38000000*0.2*6</f>
        <v>45600000</v>
      </c>
      <c r="J15" s="316">
        <f>I15/$AF$6</f>
        <v>123243.24324324324</v>
      </c>
      <c r="K15" s="63">
        <v>0.2</v>
      </c>
      <c r="L15" s="315">
        <f t="shared" si="3"/>
        <v>208782.83302480562</v>
      </c>
      <c r="M15" s="315">
        <f t="shared" si="4"/>
        <v>85539.589781562376</v>
      </c>
      <c r="N15" s="315">
        <f t="shared" si="5"/>
        <v>191145.92703869191</v>
      </c>
      <c r="O15" s="315">
        <f t="shared" si="6"/>
        <v>67902.683795448669</v>
      </c>
      <c r="Q15" s="63">
        <v>0.2</v>
      </c>
      <c r="R15" s="315">
        <f t="shared" si="7"/>
        <v>246486.48648648648</v>
      </c>
      <c r="S15" s="315">
        <f t="shared" si="8"/>
        <v>123243.24324324324</v>
      </c>
      <c r="T15" s="315">
        <f>Y15+MAX(N15,J15*2)-J15</f>
        <v>123243.24324324324</v>
      </c>
      <c r="U15" s="315">
        <f t="shared" si="10"/>
        <v>123243.24324324324</v>
      </c>
      <c r="V15" s="315">
        <f>Y15+MAX(L15,J15*2)-J15</f>
        <v>123243.24324324324</v>
      </c>
      <c r="W15" s="315">
        <f t="shared" si="12"/>
        <v>123243.24324324324</v>
      </c>
      <c r="X15" s="315">
        <v>0</v>
      </c>
      <c r="Y15" s="315">
        <f t="shared" si="13"/>
        <v>0</v>
      </c>
      <c r="Z15" s="315">
        <f>IF(K15=$AB$41,$AH$62*J15*MAX(0,G15/365+YEAR($AB$44)-F15),J15*((1+$AH$63*G15/365)*(1+$AH$63)^(YEAR($AB$44)-F15)-1))</f>
        <v>34389.014285233607</v>
      </c>
      <c r="AE15" t="s">
        <v>2481</v>
      </c>
      <c r="AF15">
        <v>28</v>
      </c>
    </row>
    <row r="16" spans="1:51" x14ac:dyDescent="0.25">
      <c r="B16" t="s">
        <v>2399</v>
      </c>
      <c r="C16" s="314">
        <f>D14</f>
        <v>46431</v>
      </c>
      <c r="D16" s="314">
        <f>C16+365+180</f>
        <v>46976</v>
      </c>
      <c r="E16" s="314">
        <f>D16</f>
        <v>46976</v>
      </c>
      <c r="F16" s="146">
        <f t="shared" si="0"/>
        <v>2028</v>
      </c>
      <c r="G16" s="146">
        <f t="shared" si="1"/>
        <v>143</v>
      </c>
      <c r="H16" t="s">
        <v>2482</v>
      </c>
      <c r="I16" s="315">
        <f>72000000/280*AF7*1.15</f>
        <v>59142857.142857134</v>
      </c>
      <c r="J16" s="316">
        <f>I16/$AF$6</f>
        <v>159845.55984555982</v>
      </c>
      <c r="K16" s="63">
        <v>0.2</v>
      </c>
      <c r="L16" s="315">
        <f t="shared" si="3"/>
        <v>206844.53377056113</v>
      </c>
      <c r="M16" s="315">
        <f t="shared" si="4"/>
        <v>46998.973925001308</v>
      </c>
      <c r="N16" s="315">
        <f t="shared" si="5"/>
        <v>189371.36539268267</v>
      </c>
      <c r="O16" s="315">
        <f t="shared" si="6"/>
        <v>29525.805547122844</v>
      </c>
      <c r="Q16" s="63">
        <v>0.2</v>
      </c>
      <c r="R16" s="315">
        <f t="shared" si="7"/>
        <v>319691.11969111965</v>
      </c>
      <c r="S16" s="315">
        <f t="shared" si="8"/>
        <v>159845.55984555982</v>
      </c>
      <c r="T16" s="315">
        <f t="shared" ref="T16:T49" si="16">IF(K16&lt;0.2,N16*IF(J16=0,0,Y16/J16),MAX(N16*IF(J16=0,0,Y16/J16),Y16*2))</f>
        <v>319691.11969111965</v>
      </c>
      <c r="U16" s="315">
        <f t="shared" si="10"/>
        <v>159845.55984555982</v>
      </c>
      <c r="V16" s="315">
        <f t="shared" ref="V16:V49" si="17">IF(K16&lt;0.2,L16*IF(J16=0,0,Y16/J16),MAX(L16*IF(J16=0,0,Y16/J16),Y16*2))</f>
        <v>319691.11969111965</v>
      </c>
      <c r="W16" s="315">
        <f t="shared" si="12"/>
        <v>159845.55984555982</v>
      </c>
      <c r="X16" s="315">
        <v>1</v>
      </c>
      <c r="Y16" s="315">
        <f t="shared" si="13"/>
        <v>159845.55984555982</v>
      </c>
      <c r="Z16" s="315">
        <f t="shared" ref="Z16:Z49" si="18">IF(K16=$AB$41,$AH$62*Y16*MAX(0,G16/365+YEAR($AB$44)-F16),Y16*((1+$AH$63*G16/365)*(1+$AH$63)^(YEAR($AB$44)-F16)-1))</f>
        <v>20295.876703866266</v>
      </c>
      <c r="AE16" t="s">
        <v>2483</v>
      </c>
      <c r="AF16">
        <v>4</v>
      </c>
    </row>
    <row r="17" spans="2:32" x14ac:dyDescent="0.25">
      <c r="C17" s="314">
        <f>D16</f>
        <v>46976</v>
      </c>
      <c r="D17" s="314">
        <f>C17</f>
        <v>46976</v>
      </c>
      <c r="E17" s="314">
        <f>C17</f>
        <v>46976</v>
      </c>
      <c r="F17" s="146">
        <f t="shared" si="0"/>
        <v>2028</v>
      </c>
      <c r="G17" s="146">
        <f t="shared" si="1"/>
        <v>143</v>
      </c>
      <c r="H17" t="s">
        <v>314</v>
      </c>
      <c r="I17" s="315">
        <f>187636*AF16</f>
        <v>750544</v>
      </c>
      <c r="J17" s="316">
        <f>I17/$AF$6</f>
        <v>2028.4972972972973</v>
      </c>
      <c r="K17" s="63">
        <v>0.2</v>
      </c>
      <c r="L17" s="315">
        <f t="shared" si="3"/>
        <v>2624.9310779711218</v>
      </c>
      <c r="M17" s="315">
        <f t="shared" si="4"/>
        <v>596.43378067382446</v>
      </c>
      <c r="N17" s="315">
        <f t="shared" si="5"/>
        <v>2403.190324809178</v>
      </c>
      <c r="O17" s="315">
        <f t="shared" si="6"/>
        <v>374.6930275118807</v>
      </c>
      <c r="Q17" s="63">
        <v>0.2</v>
      </c>
      <c r="R17" s="315">
        <f t="shared" si="7"/>
        <v>4056.9945945945947</v>
      </c>
      <c r="S17" s="315">
        <f t="shared" si="8"/>
        <v>2028.4972972972973</v>
      </c>
      <c r="T17" s="315">
        <f t="shared" si="16"/>
        <v>4056.9945945945947</v>
      </c>
      <c r="U17" s="315">
        <f t="shared" si="10"/>
        <v>2028.4972972972973</v>
      </c>
      <c r="V17" s="315">
        <f t="shared" si="17"/>
        <v>4056.9945945945947</v>
      </c>
      <c r="W17" s="315">
        <f t="shared" si="12"/>
        <v>2028.4972972972973</v>
      </c>
      <c r="X17" s="315">
        <v>1</v>
      </c>
      <c r="Y17" s="315">
        <f t="shared" si="13"/>
        <v>2028.4972972972973</v>
      </c>
      <c r="Z17" s="315">
        <f t="shared" si="18"/>
        <v>257.5619309028653</v>
      </c>
      <c r="AE17" t="s">
        <v>2484</v>
      </c>
      <c r="AF17">
        <v>10</v>
      </c>
    </row>
    <row r="18" spans="2:32" x14ac:dyDescent="0.25">
      <c r="B18" t="s">
        <v>2485</v>
      </c>
      <c r="C18" s="314">
        <f>E17+90+60</f>
        <v>47126</v>
      </c>
      <c r="D18" s="314">
        <f>C18</f>
        <v>47126</v>
      </c>
      <c r="E18" s="314">
        <f>C18</f>
        <v>47126</v>
      </c>
      <c r="F18" s="146">
        <f t="shared" si="0"/>
        <v>2029</v>
      </c>
      <c r="G18" s="146">
        <f t="shared" si="1"/>
        <v>358</v>
      </c>
      <c r="H18" t="s">
        <v>2486</v>
      </c>
      <c r="I18" s="315">
        <f>(73071306*AF7)-I8</f>
        <v>13714261200</v>
      </c>
      <c r="J18" s="316">
        <f>I18/$AF$6</f>
        <v>37065570.810810812</v>
      </c>
      <c r="K18" s="63">
        <v>0.12</v>
      </c>
      <c r="L18" s="315">
        <f t="shared" si="3"/>
        <v>41428137.720488712</v>
      </c>
      <c r="M18" s="315">
        <f t="shared" si="4"/>
        <v>4362566.9096779004</v>
      </c>
      <c r="N18" s="315">
        <f t="shared" si="5"/>
        <v>39178370.946039468</v>
      </c>
      <c r="O18" s="315">
        <f t="shared" si="6"/>
        <v>2112800.1352286562</v>
      </c>
      <c r="P18" t="s">
        <v>2487</v>
      </c>
      <c r="Q18" s="63">
        <v>0.2</v>
      </c>
      <c r="R18" s="315">
        <f t="shared" si="7"/>
        <v>74131141.621621624</v>
      </c>
      <c r="S18" s="315">
        <f t="shared" si="8"/>
        <v>37065570.810810812</v>
      </c>
      <c r="T18" s="315">
        <f t="shared" si="16"/>
        <v>39178370.946039468</v>
      </c>
      <c r="U18" s="315">
        <f t="shared" si="10"/>
        <v>2112800.1352286562</v>
      </c>
      <c r="V18" s="315">
        <f t="shared" si="17"/>
        <v>41428137.720488712</v>
      </c>
      <c r="W18" s="315">
        <f t="shared" si="12"/>
        <v>4362566.9096779004</v>
      </c>
      <c r="X18" s="315">
        <v>1</v>
      </c>
      <c r="Y18" s="315">
        <f t="shared" si="13"/>
        <v>37065570.810810812</v>
      </c>
      <c r="Z18" s="315">
        <f t="shared" si="18"/>
        <v>3235570.4580111061</v>
      </c>
      <c r="AE18" t="s">
        <v>2488</v>
      </c>
      <c r="AF18">
        <v>2029</v>
      </c>
    </row>
    <row r="19" spans="2:32" x14ac:dyDescent="0.25">
      <c r="C19" s="314">
        <f>C18</f>
        <v>47126</v>
      </c>
      <c r="D19" s="314">
        <f>D18</f>
        <v>47126</v>
      </c>
      <c r="E19" s="314">
        <f>E18</f>
        <v>47126</v>
      </c>
      <c r="F19" s="146">
        <f t="shared" si="0"/>
        <v>2029</v>
      </c>
      <c r="G19" s="146">
        <f t="shared" si="1"/>
        <v>358</v>
      </c>
      <c r="H19" t="s">
        <v>2489</v>
      </c>
      <c r="I19" s="315">
        <f>508345804</f>
        <v>508345804</v>
      </c>
      <c r="J19" s="316">
        <f>I19/$AF$6</f>
        <v>1373907.5783783784</v>
      </c>
      <c r="K19" s="63">
        <v>0.12</v>
      </c>
      <c r="L19" s="315">
        <f t="shared" si="3"/>
        <v>1535614.6182883377</v>
      </c>
      <c r="M19" s="315">
        <f t="shared" si="4"/>
        <v>161707.03990995931</v>
      </c>
      <c r="N19" s="315">
        <f t="shared" si="5"/>
        <v>1452222.6307002725</v>
      </c>
      <c r="O19" s="315">
        <f t="shared" si="6"/>
        <v>78315.052321894094</v>
      </c>
      <c r="P19" t="s">
        <v>2490</v>
      </c>
      <c r="Q19" s="63">
        <v>0.2</v>
      </c>
      <c r="R19" s="315">
        <f t="shared" si="7"/>
        <v>2747815.1567567568</v>
      </c>
      <c r="S19" s="315">
        <f t="shared" si="8"/>
        <v>1373907.5783783784</v>
      </c>
      <c r="T19" s="315">
        <f t="shared" si="16"/>
        <v>1452222.6307002725</v>
      </c>
      <c r="U19" s="315">
        <f t="shared" si="10"/>
        <v>78315.052321894094</v>
      </c>
      <c r="V19" s="315">
        <f t="shared" si="17"/>
        <v>1535614.6182883377</v>
      </c>
      <c r="W19" s="315">
        <f t="shared" si="12"/>
        <v>161707.03990995931</v>
      </c>
      <c r="X19" s="315">
        <v>1</v>
      </c>
      <c r="Y19" s="315">
        <f t="shared" si="13"/>
        <v>1373907.5783783784</v>
      </c>
      <c r="Z19" s="315">
        <f t="shared" si="18"/>
        <v>119932.7212665531</v>
      </c>
    </row>
    <row r="20" spans="2:32" x14ac:dyDescent="0.25">
      <c r="B20" t="s">
        <v>2400</v>
      </c>
      <c r="C20" s="314">
        <v>46235</v>
      </c>
      <c r="D20" s="314">
        <v>46539</v>
      </c>
      <c r="E20" s="314">
        <v>46296</v>
      </c>
      <c r="F20" s="146">
        <f t="shared" si="0"/>
        <v>2026</v>
      </c>
      <c r="G20" s="146">
        <f t="shared" si="1"/>
        <v>92</v>
      </c>
      <c r="H20" t="s">
        <v>2491</v>
      </c>
      <c r="I20" s="315">
        <f>25*(1200000+180000)+3000*AF14*AF6</f>
        <v>65580000</v>
      </c>
      <c r="J20" s="316">
        <f>I20/AF6</f>
        <v>177243.24324324325</v>
      </c>
      <c r="K20" s="63">
        <v>0.2</v>
      </c>
      <c r="L20" s="315">
        <f t="shared" si="3"/>
        <v>321716.00752313959</v>
      </c>
      <c r="M20" s="315">
        <f t="shared" si="4"/>
        <v>144472.76427989634</v>
      </c>
      <c r="N20" s="315">
        <f t="shared" si="5"/>
        <v>294539.08451319404</v>
      </c>
      <c r="O20" s="315">
        <f t="shared" si="6"/>
        <v>117295.84126995079</v>
      </c>
      <c r="P20" t="s">
        <v>2492</v>
      </c>
      <c r="Q20" s="63">
        <v>0.2</v>
      </c>
      <c r="R20" s="315">
        <f t="shared" si="7"/>
        <v>354486.48648648651</v>
      </c>
      <c r="S20" s="315">
        <f t="shared" si="8"/>
        <v>177243.24324324325</v>
      </c>
      <c r="T20" s="315">
        <f t="shared" si="16"/>
        <v>354486.48648648651</v>
      </c>
      <c r="U20" s="315">
        <f t="shared" si="10"/>
        <v>177243.24324324325</v>
      </c>
      <c r="V20" s="315">
        <f t="shared" si="17"/>
        <v>354486.48648648651</v>
      </c>
      <c r="W20" s="315">
        <f t="shared" si="12"/>
        <v>177243.24324324325</v>
      </c>
      <c r="X20" s="315">
        <v>1</v>
      </c>
      <c r="Y20" s="315">
        <f t="shared" si="13"/>
        <v>177243.24324324325</v>
      </c>
      <c r="Z20" s="315">
        <f t="shared" si="18"/>
        <v>56795.702695793974</v>
      </c>
    </row>
    <row r="21" spans="2:32" x14ac:dyDescent="0.25">
      <c r="B21" t="s">
        <v>2402</v>
      </c>
      <c r="C21" s="314">
        <v>46447</v>
      </c>
      <c r="D21" s="314">
        <f>C21+365</f>
        <v>46812</v>
      </c>
      <c r="E21" s="314">
        <f>C21</f>
        <v>46447</v>
      </c>
      <c r="F21" s="146">
        <f t="shared" si="0"/>
        <v>2027</v>
      </c>
      <c r="G21" s="146">
        <f t="shared" si="1"/>
        <v>306</v>
      </c>
      <c r="H21" t="s">
        <v>2493</v>
      </c>
      <c r="I21" s="315">
        <f>J21*AF6</f>
        <v>147260000</v>
      </c>
      <c r="J21" s="316">
        <f>199000*2</f>
        <v>398000</v>
      </c>
      <c r="K21" s="63">
        <v>0.2</v>
      </c>
      <c r="L21" s="315">
        <f t="shared" si="3"/>
        <v>669215.73698630137</v>
      </c>
      <c r="M21" s="315">
        <f t="shared" si="4"/>
        <v>271215.73698630137</v>
      </c>
      <c r="N21" s="315">
        <f t="shared" si="5"/>
        <v>612683.81399887416</v>
      </c>
      <c r="O21" s="315">
        <f t="shared" si="6"/>
        <v>214683.81399887416</v>
      </c>
      <c r="P21" t="s">
        <v>2494</v>
      </c>
      <c r="Q21" s="63">
        <v>0.2</v>
      </c>
      <c r="R21" s="315">
        <f t="shared" si="7"/>
        <v>796000</v>
      </c>
      <c r="S21" s="315">
        <f t="shared" si="8"/>
        <v>398000</v>
      </c>
      <c r="T21" s="315">
        <f t="shared" si="16"/>
        <v>796000</v>
      </c>
      <c r="U21" s="315">
        <f t="shared" si="10"/>
        <v>398000</v>
      </c>
      <c r="V21" s="315">
        <f t="shared" si="17"/>
        <v>796000</v>
      </c>
      <c r="W21" s="315">
        <f t="shared" si="12"/>
        <v>398000</v>
      </c>
      <c r="X21" s="315">
        <v>1</v>
      </c>
      <c r="Y21" s="315">
        <f t="shared" si="13"/>
        <v>398000</v>
      </c>
      <c r="Z21" s="315">
        <f t="shared" si="18"/>
        <v>109213.96693307388</v>
      </c>
    </row>
    <row r="22" spans="2:32" x14ac:dyDescent="0.25">
      <c r="C22" s="314">
        <v>46388</v>
      </c>
      <c r="D22" s="314">
        <f>C22+90</f>
        <v>46478</v>
      </c>
      <c r="E22" s="314">
        <f>C22</f>
        <v>46388</v>
      </c>
      <c r="F22" s="146">
        <f t="shared" si="0"/>
        <v>2027</v>
      </c>
      <c r="G22" s="146">
        <f t="shared" si="1"/>
        <v>365</v>
      </c>
      <c r="H22" t="s">
        <v>2482</v>
      </c>
      <c r="I22" s="315">
        <f>1500000*2*1.2</f>
        <v>3600000</v>
      </c>
      <c r="J22" s="316">
        <f>I22/AF6</f>
        <v>9729.72972972973</v>
      </c>
      <c r="K22" s="63">
        <v>0.2</v>
      </c>
      <c r="L22" s="315">
        <f t="shared" si="3"/>
        <v>16812.972972972973</v>
      </c>
      <c r="M22" s="315">
        <f t="shared" si="4"/>
        <v>7083.2432432432433</v>
      </c>
      <c r="N22" s="315">
        <f t="shared" si="5"/>
        <v>15392.699000370234</v>
      </c>
      <c r="O22" s="315">
        <f t="shared" si="6"/>
        <v>5662.969270640504</v>
      </c>
      <c r="P22" t="s">
        <v>2494</v>
      </c>
      <c r="Q22" s="63">
        <v>0.2</v>
      </c>
      <c r="R22" s="315">
        <f t="shared" si="7"/>
        <v>19459.45945945946</v>
      </c>
      <c r="S22" s="315">
        <f t="shared" si="8"/>
        <v>9729.72972972973</v>
      </c>
      <c r="T22" s="315">
        <f t="shared" si="16"/>
        <v>19459.45945945946</v>
      </c>
      <c r="U22" s="315">
        <f t="shared" si="10"/>
        <v>9729.72972972973</v>
      </c>
      <c r="V22" s="315">
        <f t="shared" si="17"/>
        <v>19459.45945945946</v>
      </c>
      <c r="W22" s="315">
        <f t="shared" si="12"/>
        <v>9729.72972972973</v>
      </c>
      <c r="X22" s="315">
        <v>1</v>
      </c>
      <c r="Y22" s="315">
        <f t="shared" si="13"/>
        <v>9729.72972972973</v>
      </c>
      <c r="Z22" s="315">
        <f t="shared" si="18"/>
        <v>2835.9045632432426</v>
      </c>
    </row>
    <row r="23" spans="2:32" x14ac:dyDescent="0.25">
      <c r="C23" s="314">
        <f>D21</f>
        <v>46812</v>
      </c>
      <c r="D23" s="314">
        <f>C23+120</f>
        <v>46932</v>
      </c>
      <c r="E23" s="314">
        <f>D23</f>
        <v>46932</v>
      </c>
      <c r="F23" s="146">
        <f t="shared" si="0"/>
        <v>2028</v>
      </c>
      <c r="G23" s="146">
        <f t="shared" si="1"/>
        <v>187</v>
      </c>
      <c r="H23" t="s">
        <v>2495</v>
      </c>
      <c r="I23" s="315">
        <f>J23*AF6</f>
        <v>1665000</v>
      </c>
      <c r="J23" s="316">
        <v>4500</v>
      </c>
      <c r="K23" s="63">
        <v>0.2</v>
      </c>
      <c r="L23" s="315">
        <f t="shared" si="3"/>
        <v>5953.3150684931506</v>
      </c>
      <c r="M23" s="315">
        <f t="shared" si="4"/>
        <v>1453.3150684931506</v>
      </c>
      <c r="N23" s="315">
        <f t="shared" si="5"/>
        <v>5450.409457684369</v>
      </c>
      <c r="O23" s="315">
        <f t="shared" si="6"/>
        <v>950.40945768436904</v>
      </c>
      <c r="Q23" s="63">
        <v>0.2</v>
      </c>
      <c r="R23" s="315">
        <f t="shared" si="7"/>
        <v>9000</v>
      </c>
      <c r="S23" s="315">
        <f t="shared" si="8"/>
        <v>4500</v>
      </c>
      <c r="T23" s="315">
        <f t="shared" si="16"/>
        <v>9000</v>
      </c>
      <c r="U23" s="315">
        <f t="shared" si="10"/>
        <v>4500</v>
      </c>
      <c r="V23" s="315">
        <f t="shared" si="17"/>
        <v>9000</v>
      </c>
      <c r="W23" s="315">
        <f t="shared" si="12"/>
        <v>4500</v>
      </c>
      <c r="X23" s="315">
        <v>1</v>
      </c>
      <c r="Y23" s="315">
        <f t="shared" si="13"/>
        <v>4500</v>
      </c>
      <c r="Z23" s="315">
        <f t="shared" si="18"/>
        <v>623.94937397260298</v>
      </c>
    </row>
    <row r="24" spans="2:32" x14ac:dyDescent="0.25">
      <c r="B24" t="s">
        <v>2404</v>
      </c>
      <c r="C24" s="314">
        <f>E7+180</f>
        <v>46566</v>
      </c>
      <c r="D24" s="314">
        <f>C24+180</f>
        <v>46746</v>
      </c>
      <c r="E24" s="314">
        <f>D24</f>
        <v>46746</v>
      </c>
      <c r="F24" s="146">
        <f t="shared" si="0"/>
        <v>2027</v>
      </c>
      <c r="G24" s="146">
        <f t="shared" si="1"/>
        <v>7</v>
      </c>
      <c r="H24" t="s">
        <v>314</v>
      </c>
      <c r="I24" s="315">
        <f>30000*(AF15+AF16)</f>
        <v>960000</v>
      </c>
      <c r="J24" s="316">
        <f t="shared" ref="J24:J44" si="19">I24/$AF$6</f>
        <v>2594.5945945945946</v>
      </c>
      <c r="K24" s="63">
        <v>0.2</v>
      </c>
      <c r="L24" s="315">
        <f t="shared" si="3"/>
        <v>3750.5469085523873</v>
      </c>
      <c r="M24" s="315">
        <f t="shared" si="4"/>
        <v>1155.9523139577927</v>
      </c>
      <c r="N24" s="315">
        <f t="shared" si="5"/>
        <v>3433.719886597049</v>
      </c>
      <c r="O24" s="315">
        <f t="shared" si="6"/>
        <v>839.12529200245444</v>
      </c>
      <c r="Q24" s="63">
        <v>0.2</v>
      </c>
      <c r="R24" s="315">
        <f t="shared" si="7"/>
        <v>5189.1891891891892</v>
      </c>
      <c r="S24" s="315">
        <f t="shared" si="8"/>
        <v>2594.5945945945946</v>
      </c>
      <c r="T24" s="315">
        <f t="shared" si="16"/>
        <v>5189.1891891891892</v>
      </c>
      <c r="U24" s="315">
        <f t="shared" si="10"/>
        <v>2594.5945945945946</v>
      </c>
      <c r="V24" s="315">
        <f t="shared" si="17"/>
        <v>5189.1891891891892</v>
      </c>
      <c r="W24" s="315">
        <f t="shared" si="12"/>
        <v>2594.5945945945946</v>
      </c>
      <c r="X24" s="315">
        <v>1</v>
      </c>
      <c r="Y24" s="315">
        <f t="shared" si="13"/>
        <v>2594.5945945945946</v>
      </c>
      <c r="Z24" s="315">
        <f t="shared" si="18"/>
        <v>487.64157002354665</v>
      </c>
    </row>
    <row r="25" spans="2:32" x14ac:dyDescent="0.25">
      <c r="C25" s="314">
        <f>C24</f>
        <v>46566</v>
      </c>
      <c r="D25" s="314">
        <f>D24</f>
        <v>46746</v>
      </c>
      <c r="E25" s="314">
        <f>C25+30</f>
        <v>46596</v>
      </c>
      <c r="F25" s="146">
        <f t="shared" si="0"/>
        <v>2027</v>
      </c>
      <c r="G25" s="146">
        <f t="shared" si="1"/>
        <v>157</v>
      </c>
      <c r="H25" t="s">
        <v>320</v>
      </c>
      <c r="I25" s="315">
        <f>250000*(AF15+AF16)</f>
        <v>8000000</v>
      </c>
      <c r="J25" s="316">
        <f t="shared" si="19"/>
        <v>21621.62162162162</v>
      </c>
      <c r="K25" s="63">
        <v>0.2</v>
      </c>
      <c r="L25" s="315">
        <f t="shared" si="3"/>
        <v>33813.609774157718</v>
      </c>
      <c r="M25" s="315">
        <f t="shared" si="4"/>
        <v>12191.988152536098</v>
      </c>
      <c r="N25" s="315">
        <f t="shared" si="5"/>
        <v>30957.208948486859</v>
      </c>
      <c r="O25" s="315">
        <f t="shared" si="6"/>
        <v>9335.5873268652394</v>
      </c>
      <c r="Q25" s="63">
        <v>0.2</v>
      </c>
      <c r="R25" s="315">
        <f t="shared" si="7"/>
        <v>43243.24324324324</v>
      </c>
      <c r="S25" s="315">
        <f t="shared" si="8"/>
        <v>21621.62162162162</v>
      </c>
      <c r="T25" s="315">
        <f t="shared" si="16"/>
        <v>43243.24324324324</v>
      </c>
      <c r="U25" s="315">
        <f t="shared" si="10"/>
        <v>21621.62162162162</v>
      </c>
      <c r="V25" s="315">
        <f t="shared" si="17"/>
        <v>43243.24324324324</v>
      </c>
      <c r="W25" s="315">
        <f t="shared" si="12"/>
        <v>21621.62162162162</v>
      </c>
      <c r="X25" s="315">
        <v>1</v>
      </c>
      <c r="Y25" s="315">
        <f t="shared" si="13"/>
        <v>21621.62162162162</v>
      </c>
      <c r="Z25" s="315">
        <f t="shared" si="18"/>
        <v>5001.5276791114375</v>
      </c>
    </row>
    <row r="26" spans="2:32" x14ac:dyDescent="0.25">
      <c r="B26" t="s">
        <v>2405</v>
      </c>
      <c r="C26" s="314">
        <f>E24</f>
        <v>46746</v>
      </c>
      <c r="D26" s="314">
        <f>C26+180</f>
        <v>46926</v>
      </c>
      <c r="E26" s="314">
        <f>C26+60</f>
        <v>46806</v>
      </c>
      <c r="F26" s="146">
        <f t="shared" si="0"/>
        <v>2028</v>
      </c>
      <c r="G26" s="146">
        <f t="shared" si="1"/>
        <v>313</v>
      </c>
      <c r="H26" t="s">
        <v>2482</v>
      </c>
      <c r="I26" s="315">
        <f>5000000*AF17</f>
        <v>50000000</v>
      </c>
      <c r="J26" s="316">
        <f t="shared" si="19"/>
        <v>135135.13513513515</v>
      </c>
      <c r="K26" s="63">
        <v>0.2</v>
      </c>
      <c r="L26" s="315">
        <f t="shared" si="3"/>
        <v>189974.08367271381</v>
      </c>
      <c r="M26" s="315">
        <f t="shared" si="4"/>
        <v>54838.948537578661</v>
      </c>
      <c r="N26" s="315">
        <f t="shared" si="5"/>
        <v>173926.04464100054</v>
      </c>
      <c r="O26" s="315">
        <f t="shared" si="6"/>
        <v>38790.909505865391</v>
      </c>
      <c r="Q26" s="63">
        <v>0.2</v>
      </c>
      <c r="R26" s="315">
        <f t="shared" si="7"/>
        <v>270270.2702702703</v>
      </c>
      <c r="S26" s="315">
        <f t="shared" si="8"/>
        <v>135135.13513513515</v>
      </c>
      <c r="T26" s="315">
        <f t="shared" si="16"/>
        <v>270270.2702702703</v>
      </c>
      <c r="U26" s="315">
        <f t="shared" si="10"/>
        <v>135135.13513513515</v>
      </c>
      <c r="V26" s="315">
        <f t="shared" si="17"/>
        <v>270270.2702702703</v>
      </c>
      <c r="W26" s="315">
        <f t="shared" si="12"/>
        <v>135135.13513513515</v>
      </c>
      <c r="X26" s="315">
        <v>1</v>
      </c>
      <c r="Y26" s="315">
        <f t="shared" si="13"/>
        <v>135135.13513513515</v>
      </c>
      <c r="Z26" s="315">
        <f t="shared" si="18"/>
        <v>23258.523880044417</v>
      </c>
    </row>
    <row r="27" spans="2:32" x14ac:dyDescent="0.25">
      <c r="B27" t="s">
        <v>2406</v>
      </c>
      <c r="C27" s="314">
        <f>C26</f>
        <v>46746</v>
      </c>
      <c r="D27" s="314">
        <f>D26</f>
        <v>46926</v>
      </c>
      <c r="E27" s="314">
        <f>E26</f>
        <v>46806</v>
      </c>
      <c r="F27" s="146">
        <f t="shared" si="0"/>
        <v>2028</v>
      </c>
      <c r="G27" s="146">
        <f t="shared" si="1"/>
        <v>313</v>
      </c>
      <c r="H27" t="s">
        <v>2496</v>
      </c>
      <c r="I27" s="315">
        <f>3500000*AF17</f>
        <v>35000000</v>
      </c>
      <c r="J27" s="316">
        <f t="shared" si="19"/>
        <v>94594.5945945946</v>
      </c>
      <c r="K27" s="63">
        <v>0.2</v>
      </c>
      <c r="L27" s="315">
        <f t="shared" si="3"/>
        <v>132981.85857089967</v>
      </c>
      <c r="M27" s="315">
        <f t="shared" si="4"/>
        <v>38387.263976305068</v>
      </c>
      <c r="N27" s="315">
        <f t="shared" si="5"/>
        <v>121748.23124870039</v>
      </c>
      <c r="O27" s="315">
        <f t="shared" si="6"/>
        <v>27153.636654105794</v>
      </c>
      <c r="Q27" s="63">
        <v>0.2</v>
      </c>
      <c r="R27" s="315">
        <f t="shared" si="7"/>
        <v>189189.1891891892</v>
      </c>
      <c r="S27" s="315">
        <f t="shared" si="8"/>
        <v>94594.5945945946</v>
      </c>
      <c r="T27" s="315">
        <f t="shared" si="16"/>
        <v>189189.1891891892</v>
      </c>
      <c r="U27" s="315">
        <f t="shared" si="10"/>
        <v>94594.5945945946</v>
      </c>
      <c r="V27" s="315">
        <f t="shared" si="17"/>
        <v>189189.1891891892</v>
      </c>
      <c r="W27" s="315">
        <f t="shared" si="12"/>
        <v>94594.5945945946</v>
      </c>
      <c r="X27" s="315">
        <v>1</v>
      </c>
      <c r="Y27" s="315">
        <f t="shared" si="13"/>
        <v>94594.5945945946</v>
      </c>
      <c r="Z27" s="315">
        <f t="shared" si="18"/>
        <v>16280.966716031091</v>
      </c>
    </row>
    <row r="28" spans="2:32" x14ac:dyDescent="0.25">
      <c r="B28" t="s">
        <v>2408</v>
      </c>
      <c r="C28" s="314">
        <f>E8</f>
        <v>46386</v>
      </c>
      <c r="D28" s="314">
        <f>C28+365</f>
        <v>46751</v>
      </c>
      <c r="E28" s="314">
        <f>D28</f>
        <v>46751</v>
      </c>
      <c r="F28" s="146">
        <f t="shared" si="0"/>
        <v>2027</v>
      </c>
      <c r="G28" s="146">
        <f t="shared" si="1"/>
        <v>2</v>
      </c>
      <c r="H28" t="s">
        <v>2409</v>
      </c>
      <c r="I28" s="315">
        <f>12360000*1.2</f>
        <v>14832000</v>
      </c>
      <c r="J28" s="316">
        <f t="shared" si="19"/>
        <v>40086.486486486487</v>
      </c>
      <c r="K28" s="63">
        <v>0.2</v>
      </c>
      <c r="L28" s="315">
        <f t="shared" si="3"/>
        <v>57787.800310995925</v>
      </c>
      <c r="M28" s="315">
        <f t="shared" si="4"/>
        <v>17701.313824509438</v>
      </c>
      <c r="N28" s="315">
        <f t="shared" si="5"/>
        <v>52906.182476505404</v>
      </c>
      <c r="O28" s="315">
        <f t="shared" si="6"/>
        <v>12819.695990018918</v>
      </c>
      <c r="P28" t="s">
        <v>2492</v>
      </c>
      <c r="Q28" s="63">
        <v>0.2</v>
      </c>
      <c r="R28" s="315">
        <f t="shared" si="7"/>
        <v>80172.972972972973</v>
      </c>
      <c r="S28" s="315">
        <f t="shared" si="8"/>
        <v>40086.486486486487</v>
      </c>
      <c r="T28" s="315">
        <f t="shared" si="16"/>
        <v>80172.972972972973</v>
      </c>
      <c r="U28" s="315">
        <f t="shared" si="10"/>
        <v>40086.486486486487</v>
      </c>
      <c r="V28" s="315">
        <f t="shared" si="17"/>
        <v>80172.972972972973</v>
      </c>
      <c r="W28" s="315">
        <f t="shared" si="12"/>
        <v>40086.486486486487</v>
      </c>
      <c r="X28" s="315">
        <v>1</v>
      </c>
      <c r="Y28" s="315">
        <f t="shared" si="13"/>
        <v>40086.486486486487</v>
      </c>
      <c r="Z28" s="315">
        <f t="shared" si="18"/>
        <v>7476.1032548568428</v>
      </c>
    </row>
    <row r="29" spans="2:32" x14ac:dyDescent="0.25">
      <c r="C29" s="314">
        <f>E28</f>
        <v>46751</v>
      </c>
      <c r="D29" s="314">
        <f>C29+120</f>
        <v>46871</v>
      </c>
      <c r="E29" s="314">
        <f>D29</f>
        <v>46871</v>
      </c>
      <c r="F29" s="146">
        <f t="shared" si="0"/>
        <v>2028</v>
      </c>
      <c r="G29" s="146">
        <f t="shared" si="1"/>
        <v>248</v>
      </c>
      <c r="H29" t="s">
        <v>2497</v>
      </c>
      <c r="I29" s="315">
        <f>10000*AF16</f>
        <v>40000</v>
      </c>
      <c r="J29" s="316">
        <f t="shared" si="19"/>
        <v>108.10810810810811</v>
      </c>
      <c r="K29" s="63">
        <v>0.2</v>
      </c>
      <c r="L29" s="315">
        <f t="shared" si="3"/>
        <v>147.35875601629024</v>
      </c>
      <c r="M29" s="315">
        <f t="shared" si="4"/>
        <v>39.250647908182131</v>
      </c>
      <c r="N29" s="315">
        <f t="shared" si="5"/>
        <v>134.91064192358994</v>
      </c>
      <c r="O29" s="315">
        <f t="shared" si="6"/>
        <v>26.802533815481823</v>
      </c>
      <c r="Q29" s="63">
        <v>0.2</v>
      </c>
      <c r="R29" s="315">
        <f t="shared" si="7"/>
        <v>216.21621621621622</v>
      </c>
      <c r="S29" s="315">
        <f t="shared" si="8"/>
        <v>108.10810810810811</v>
      </c>
      <c r="T29" s="315">
        <f t="shared" si="16"/>
        <v>216.21621621621622</v>
      </c>
      <c r="U29" s="315">
        <f t="shared" si="10"/>
        <v>108.10810810810811</v>
      </c>
      <c r="V29" s="315">
        <f t="shared" si="17"/>
        <v>216.21621621621622</v>
      </c>
      <c r="W29" s="315">
        <f t="shared" si="12"/>
        <v>108.10810810810811</v>
      </c>
      <c r="X29" s="315">
        <v>1</v>
      </c>
      <c r="Y29" s="315">
        <f t="shared" si="13"/>
        <v>108.10810810810811</v>
      </c>
      <c r="Z29" s="315">
        <f t="shared" si="18"/>
        <v>16.740883524620493</v>
      </c>
    </row>
    <row r="30" spans="2:32" x14ac:dyDescent="0.25">
      <c r="C30" s="314">
        <f>E28</f>
        <v>46751</v>
      </c>
      <c r="D30" s="314">
        <f>C30+90</f>
        <v>46841</v>
      </c>
      <c r="E30" s="314">
        <f>D30</f>
        <v>46841</v>
      </c>
      <c r="F30" s="146">
        <f t="shared" si="0"/>
        <v>2028</v>
      </c>
      <c r="G30" s="146">
        <f t="shared" si="1"/>
        <v>278</v>
      </c>
      <c r="H30" t="s">
        <v>324</v>
      </c>
      <c r="I30" s="315">
        <f>(7200000+10180000+4360000)*1.5</f>
        <v>32610000</v>
      </c>
      <c r="J30" s="316">
        <f t="shared" si="19"/>
        <v>88135.135135135133</v>
      </c>
      <c r="K30" s="63">
        <v>0.2</v>
      </c>
      <c r="L30" s="315">
        <f t="shared" si="3"/>
        <v>121872.78193261754</v>
      </c>
      <c r="M30" s="315">
        <f t="shared" si="4"/>
        <v>33737.646797482405</v>
      </c>
      <c r="N30" s="315">
        <f t="shared" si="5"/>
        <v>111577.5925912777</v>
      </c>
      <c r="O30" s="315">
        <f t="shared" si="6"/>
        <v>23442.457456142569</v>
      </c>
      <c r="Q30" s="63">
        <v>0.2</v>
      </c>
      <c r="R30" s="315">
        <f t="shared" si="7"/>
        <v>176270.27027027027</v>
      </c>
      <c r="S30" s="315">
        <f t="shared" si="8"/>
        <v>88135.135135135133</v>
      </c>
      <c r="T30" s="315">
        <f t="shared" si="16"/>
        <v>176270.27027027027</v>
      </c>
      <c r="U30" s="315">
        <f t="shared" si="10"/>
        <v>88135.135135135133</v>
      </c>
      <c r="V30" s="315">
        <f t="shared" si="17"/>
        <v>176270.27027027027</v>
      </c>
      <c r="W30" s="315">
        <f t="shared" si="12"/>
        <v>88135.135135135133</v>
      </c>
      <c r="X30" s="315">
        <v>1</v>
      </c>
      <c r="Y30" s="315">
        <f t="shared" si="13"/>
        <v>88135.135135135133</v>
      </c>
      <c r="Z30" s="315">
        <f t="shared" si="18"/>
        <v>14350.099438578289</v>
      </c>
    </row>
    <row r="31" spans="2:32" x14ac:dyDescent="0.25">
      <c r="B31" t="s">
        <v>2410</v>
      </c>
      <c r="C31" s="314">
        <f>E8</f>
        <v>46386</v>
      </c>
      <c r="D31" s="314">
        <f>C31+210</f>
        <v>46596</v>
      </c>
      <c r="E31" s="314">
        <f>D31</f>
        <v>46596</v>
      </c>
      <c r="F31" s="146">
        <f t="shared" si="0"/>
        <v>2027</v>
      </c>
      <c r="G31" s="146">
        <f t="shared" si="1"/>
        <v>157</v>
      </c>
      <c r="H31" t="s">
        <v>2411</v>
      </c>
      <c r="I31" s="315">
        <f>250000*(AF15+AF16)</f>
        <v>8000000</v>
      </c>
      <c r="J31" s="316">
        <f t="shared" si="19"/>
        <v>21621.62162162162</v>
      </c>
      <c r="K31" s="63">
        <v>0.2</v>
      </c>
      <c r="L31" s="315">
        <f t="shared" si="3"/>
        <v>33813.609774157718</v>
      </c>
      <c r="M31" s="315">
        <f t="shared" si="4"/>
        <v>12191.988152536098</v>
      </c>
      <c r="N31" s="315">
        <f t="shared" si="5"/>
        <v>30957.208948486859</v>
      </c>
      <c r="O31" s="315">
        <f t="shared" si="6"/>
        <v>9335.5873268652394</v>
      </c>
      <c r="Q31" s="63">
        <v>0.2</v>
      </c>
      <c r="R31" s="315">
        <f t="shared" si="7"/>
        <v>43243.24324324324</v>
      </c>
      <c r="S31" s="315">
        <f t="shared" si="8"/>
        <v>21621.62162162162</v>
      </c>
      <c r="T31" s="315">
        <f t="shared" si="16"/>
        <v>43243.24324324324</v>
      </c>
      <c r="U31" s="315">
        <f t="shared" si="10"/>
        <v>21621.62162162162</v>
      </c>
      <c r="V31" s="315">
        <f t="shared" si="17"/>
        <v>43243.24324324324</v>
      </c>
      <c r="W31" s="315">
        <f t="shared" si="12"/>
        <v>21621.62162162162</v>
      </c>
      <c r="X31" s="315">
        <v>1</v>
      </c>
      <c r="Y31" s="315">
        <f t="shared" si="13"/>
        <v>21621.62162162162</v>
      </c>
      <c r="Z31" s="315">
        <f t="shared" si="18"/>
        <v>5001.5276791114375</v>
      </c>
    </row>
    <row r="32" spans="2:32" x14ac:dyDescent="0.25">
      <c r="C32" s="314">
        <f>C31</f>
        <v>46386</v>
      </c>
      <c r="D32" s="314">
        <f>C32+210</f>
        <v>46596</v>
      </c>
      <c r="E32" s="314">
        <f>C32+180</f>
        <v>46566</v>
      </c>
      <c r="F32" s="146">
        <f t="shared" si="0"/>
        <v>2027</v>
      </c>
      <c r="G32" s="146">
        <f t="shared" si="1"/>
        <v>187</v>
      </c>
      <c r="H32" t="s">
        <v>326</v>
      </c>
      <c r="I32" s="315">
        <f>250000*(AF15+AF16)</f>
        <v>8000000</v>
      </c>
      <c r="J32" s="316">
        <f t="shared" si="19"/>
        <v>21621.62162162162</v>
      </c>
      <c r="K32" s="63">
        <v>0.2</v>
      </c>
      <c r="L32" s="315">
        <f t="shared" si="3"/>
        <v>34325.420214735277</v>
      </c>
      <c r="M32" s="315">
        <f t="shared" si="4"/>
        <v>12703.798593113657</v>
      </c>
      <c r="N32" s="315">
        <f t="shared" si="5"/>
        <v>31425.784260522483</v>
      </c>
      <c r="O32" s="315">
        <f t="shared" si="6"/>
        <v>9804.1626389008634</v>
      </c>
      <c r="Q32" s="63">
        <v>0.2</v>
      </c>
      <c r="R32" s="315">
        <f t="shared" si="7"/>
        <v>43243.24324324324</v>
      </c>
      <c r="S32" s="315">
        <f t="shared" si="8"/>
        <v>21621.62162162162</v>
      </c>
      <c r="T32" s="315">
        <f t="shared" si="16"/>
        <v>43243.24324324324</v>
      </c>
      <c r="U32" s="315">
        <f t="shared" si="10"/>
        <v>21621.62162162162</v>
      </c>
      <c r="V32" s="315">
        <f t="shared" si="17"/>
        <v>43243.24324324324</v>
      </c>
      <c r="W32" s="315">
        <f t="shared" si="12"/>
        <v>21621.62162162162</v>
      </c>
      <c r="X32" s="315">
        <v>1</v>
      </c>
      <c r="Y32" s="315">
        <f t="shared" si="13"/>
        <v>21621.62162162162</v>
      </c>
      <c r="Z32" s="315">
        <f t="shared" si="18"/>
        <v>5189.0972648944853</v>
      </c>
    </row>
    <row r="33" spans="2:50" x14ac:dyDescent="0.25">
      <c r="C33" s="314">
        <f>C32</f>
        <v>46386</v>
      </c>
      <c r="D33" s="314">
        <f>C33+210</f>
        <v>46596</v>
      </c>
      <c r="E33" s="314">
        <f>C33+180</f>
        <v>46566</v>
      </c>
      <c r="F33" s="146">
        <f t="shared" si="0"/>
        <v>2027</v>
      </c>
      <c r="G33" s="146">
        <f t="shared" si="1"/>
        <v>187</v>
      </c>
      <c r="H33" t="s">
        <v>2498</v>
      </c>
      <c r="I33">
        <f>250000*(AF15+AF16)</f>
        <v>8000000</v>
      </c>
      <c r="J33" s="316">
        <f t="shared" si="19"/>
        <v>21621.62162162162</v>
      </c>
      <c r="K33" s="63">
        <v>0.2</v>
      </c>
      <c r="L33" s="315">
        <f t="shared" si="3"/>
        <v>34325.420214735277</v>
      </c>
      <c r="M33" s="315">
        <f t="shared" si="4"/>
        <v>12703.798593113657</v>
      </c>
      <c r="N33" s="315">
        <f t="shared" si="5"/>
        <v>31425.784260522483</v>
      </c>
      <c r="O33" s="315">
        <f t="shared" si="6"/>
        <v>9804.1626389008634</v>
      </c>
      <c r="Q33" s="63">
        <v>0.2</v>
      </c>
      <c r="R33" s="315">
        <f t="shared" si="7"/>
        <v>43243.24324324324</v>
      </c>
      <c r="S33" s="315">
        <f t="shared" si="8"/>
        <v>21621.62162162162</v>
      </c>
      <c r="T33" s="315">
        <f t="shared" si="16"/>
        <v>43243.24324324324</v>
      </c>
      <c r="U33" s="315">
        <f t="shared" si="10"/>
        <v>21621.62162162162</v>
      </c>
      <c r="V33" s="315">
        <f t="shared" si="17"/>
        <v>43243.24324324324</v>
      </c>
      <c r="W33" s="315">
        <f t="shared" si="12"/>
        <v>21621.62162162162</v>
      </c>
      <c r="X33" s="315">
        <v>1</v>
      </c>
      <c r="Y33" s="315">
        <f t="shared" si="13"/>
        <v>21621.62162162162</v>
      </c>
      <c r="Z33" s="315">
        <f t="shared" si="18"/>
        <v>5189.0972648944853</v>
      </c>
    </row>
    <row r="34" spans="2:50" x14ac:dyDescent="0.25">
      <c r="B34" t="s">
        <v>2412</v>
      </c>
      <c r="C34" s="314">
        <f>D35</f>
        <v>46780</v>
      </c>
      <c r="D34" s="314">
        <f>C34</f>
        <v>46780</v>
      </c>
      <c r="E34" s="314">
        <f>C34</f>
        <v>46780</v>
      </c>
      <c r="F34" s="146">
        <f t="shared" si="0"/>
        <v>2028</v>
      </c>
      <c r="G34" s="146">
        <f t="shared" si="1"/>
        <v>339</v>
      </c>
      <c r="H34" t="s">
        <v>314</v>
      </c>
      <c r="I34" s="315">
        <f>1147500*AF16</f>
        <v>4590000</v>
      </c>
      <c r="J34" s="316">
        <f t="shared" si="19"/>
        <v>12405.405405405405</v>
      </c>
      <c r="K34" s="63">
        <v>0.2</v>
      </c>
      <c r="L34" s="315">
        <f t="shared" si="3"/>
        <v>17651.702332469456</v>
      </c>
      <c r="M34" s="315">
        <f t="shared" si="4"/>
        <v>5246.2969270640515</v>
      </c>
      <c r="N34" s="315">
        <f t="shared" si="5"/>
        <v>16160.576792968612</v>
      </c>
      <c r="O34" s="315">
        <f t="shared" si="6"/>
        <v>3755.1713875632067</v>
      </c>
      <c r="Q34" s="63">
        <v>0.2</v>
      </c>
      <c r="R34" s="315">
        <f t="shared" si="7"/>
        <v>24810.81081081081</v>
      </c>
      <c r="S34" s="315">
        <f t="shared" si="8"/>
        <v>12405.405405405405</v>
      </c>
      <c r="T34" s="315">
        <f t="shared" si="16"/>
        <v>24810.81081081081</v>
      </c>
      <c r="U34" s="315">
        <f t="shared" si="10"/>
        <v>12405.405405405405</v>
      </c>
      <c r="V34" s="315">
        <f t="shared" si="17"/>
        <v>24810.81081081081</v>
      </c>
      <c r="W34" s="315">
        <f t="shared" si="12"/>
        <v>12405.405405405405</v>
      </c>
      <c r="X34" s="315">
        <v>1</v>
      </c>
      <c r="Y34" s="315">
        <f t="shared" si="13"/>
        <v>12405.405405405405</v>
      </c>
      <c r="Z34" s="315">
        <f t="shared" si="18"/>
        <v>2220.7789352832292</v>
      </c>
    </row>
    <row r="35" spans="2:50" x14ac:dyDescent="0.25">
      <c r="C35" s="314">
        <v>46600</v>
      </c>
      <c r="D35" s="314">
        <f>C35+180</f>
        <v>46780</v>
      </c>
      <c r="E35" s="314">
        <f>C34</f>
        <v>46780</v>
      </c>
      <c r="F35" s="146">
        <f t="shared" si="0"/>
        <v>2028</v>
      </c>
      <c r="G35" s="146">
        <f t="shared" si="1"/>
        <v>339</v>
      </c>
      <c r="H35" t="s">
        <v>317</v>
      </c>
      <c r="I35" s="315">
        <f>30000000*AF16*1.15</f>
        <v>138000000</v>
      </c>
      <c r="J35" s="316">
        <f t="shared" si="19"/>
        <v>372972.97297297296</v>
      </c>
      <c r="K35" s="63">
        <v>0.2</v>
      </c>
      <c r="L35" s="315">
        <f t="shared" si="3"/>
        <v>530704.77600888559</v>
      </c>
      <c r="M35" s="315">
        <f t="shared" si="4"/>
        <v>157731.80303591263</v>
      </c>
      <c r="N35" s="315">
        <f t="shared" si="5"/>
        <v>485873.55063827196</v>
      </c>
      <c r="O35" s="315">
        <f t="shared" si="6"/>
        <v>112900.577665299</v>
      </c>
      <c r="Q35" s="63">
        <v>0.2</v>
      </c>
      <c r="R35" s="315">
        <f t="shared" si="7"/>
        <v>745945.94594594592</v>
      </c>
      <c r="S35" s="315">
        <f t="shared" si="8"/>
        <v>372972.97297297296</v>
      </c>
      <c r="T35" s="315">
        <f t="shared" si="16"/>
        <v>745945.94594594592</v>
      </c>
      <c r="U35" s="315">
        <f t="shared" si="10"/>
        <v>372972.97297297296</v>
      </c>
      <c r="V35" s="315">
        <f t="shared" si="17"/>
        <v>745945.94594594592</v>
      </c>
      <c r="W35" s="315">
        <f t="shared" si="12"/>
        <v>372972.97297297296</v>
      </c>
      <c r="X35" s="315">
        <v>1</v>
      </c>
      <c r="Y35" s="315">
        <f t="shared" si="13"/>
        <v>372972.97297297296</v>
      </c>
      <c r="Z35" s="315">
        <f t="shared" si="18"/>
        <v>66768.51700851538</v>
      </c>
    </row>
    <row r="36" spans="2:50" x14ac:dyDescent="0.25">
      <c r="B36" t="s">
        <v>2413</v>
      </c>
      <c r="C36" s="314">
        <f>E37</f>
        <v>46780</v>
      </c>
      <c r="D36" s="314">
        <f>C36</f>
        <v>46780</v>
      </c>
      <c r="E36" s="314">
        <f>C36</f>
        <v>46780</v>
      </c>
      <c r="F36" s="146">
        <f t="shared" si="0"/>
        <v>2028</v>
      </c>
      <c r="G36" s="146">
        <f t="shared" si="1"/>
        <v>339</v>
      </c>
      <c r="H36" t="s">
        <v>314</v>
      </c>
      <c r="I36" s="315">
        <f>150000*300</f>
        <v>45000000</v>
      </c>
      <c r="J36" s="316">
        <f t="shared" si="19"/>
        <v>121621.62162162163</v>
      </c>
      <c r="K36" s="63">
        <v>0.2</v>
      </c>
      <c r="L36" s="315">
        <f t="shared" si="3"/>
        <v>173055.90522028878</v>
      </c>
      <c r="M36" s="315">
        <f t="shared" si="4"/>
        <v>51434.283598667156</v>
      </c>
      <c r="N36" s="315">
        <f t="shared" si="5"/>
        <v>158437.02738204523</v>
      </c>
      <c r="O36" s="315">
        <f t="shared" si="6"/>
        <v>36815.4057604236</v>
      </c>
      <c r="Q36" s="63">
        <v>0.2</v>
      </c>
      <c r="R36" s="315">
        <f t="shared" si="7"/>
        <v>243243.24324324325</v>
      </c>
      <c r="S36" s="315">
        <f t="shared" si="8"/>
        <v>121621.62162162163</v>
      </c>
      <c r="T36" s="315">
        <f t="shared" si="16"/>
        <v>243243.24324324325</v>
      </c>
      <c r="U36" s="315">
        <f t="shared" si="10"/>
        <v>121621.62162162163</v>
      </c>
      <c r="V36" s="315">
        <f t="shared" si="17"/>
        <v>243243.24324324325</v>
      </c>
      <c r="W36" s="315">
        <f t="shared" si="12"/>
        <v>121621.62162162163</v>
      </c>
      <c r="X36" s="315">
        <v>1</v>
      </c>
      <c r="Y36" s="315">
        <f t="shared" si="13"/>
        <v>121621.62162162163</v>
      </c>
      <c r="Z36" s="315">
        <f t="shared" si="18"/>
        <v>21772.342502776759</v>
      </c>
    </row>
    <row r="37" spans="2:50" x14ac:dyDescent="0.25">
      <c r="C37" s="314">
        <v>46600</v>
      </c>
      <c r="D37" s="314">
        <f>C37+180</f>
        <v>46780</v>
      </c>
      <c r="E37" s="314">
        <f>D37</f>
        <v>46780</v>
      </c>
      <c r="F37" s="146">
        <f t="shared" si="0"/>
        <v>2028</v>
      </c>
      <c r="G37" s="146">
        <f t="shared" si="1"/>
        <v>339</v>
      </c>
      <c r="H37" t="s">
        <v>317</v>
      </c>
      <c r="I37" s="315">
        <f>(I40+I33+38000000)/280*AF7*1.15</f>
        <v>74896683.673469394</v>
      </c>
      <c r="J37" s="316">
        <f t="shared" si="19"/>
        <v>202423.46938775512</v>
      </c>
      <c r="K37" s="63">
        <v>0.2</v>
      </c>
      <c r="L37" s="315">
        <f t="shared" si="3"/>
        <v>288029.18646910822</v>
      </c>
      <c r="M37" s="315">
        <f t="shared" si="4"/>
        <v>85605.717081353097</v>
      </c>
      <c r="N37" s="315">
        <f t="shared" si="5"/>
        <v>263697.9538221744</v>
      </c>
      <c r="O37" s="315">
        <f t="shared" si="6"/>
        <v>61274.484434419282</v>
      </c>
      <c r="Q37" s="63">
        <v>0.2</v>
      </c>
      <c r="R37" s="315">
        <f t="shared" si="7"/>
        <v>404846.93877551024</v>
      </c>
      <c r="S37" s="315">
        <f t="shared" si="8"/>
        <v>202423.46938775512</v>
      </c>
      <c r="T37" s="315">
        <f t="shared" si="16"/>
        <v>404846.93877551024</v>
      </c>
      <c r="U37" s="315">
        <f t="shared" si="10"/>
        <v>202423.46938775512</v>
      </c>
      <c r="V37" s="315">
        <f t="shared" si="17"/>
        <v>404846.93877551024</v>
      </c>
      <c r="W37" s="315">
        <f t="shared" si="12"/>
        <v>202423.46938775512</v>
      </c>
      <c r="X37" s="315">
        <v>1</v>
      </c>
      <c r="Y37" s="315">
        <f t="shared" si="13"/>
        <v>202423.46938775512</v>
      </c>
      <c r="Z37" s="315">
        <f t="shared" si="18"/>
        <v>36237.249983575639</v>
      </c>
    </row>
    <row r="38" spans="2:50" x14ac:dyDescent="0.25">
      <c r="C38" s="314">
        <f>C37</f>
        <v>46600</v>
      </c>
      <c r="D38" s="314">
        <f>C38+180</f>
        <v>46780</v>
      </c>
      <c r="E38" s="314">
        <f>C38+120</f>
        <v>46720</v>
      </c>
      <c r="F38" s="146">
        <f t="shared" si="0"/>
        <v>2027</v>
      </c>
      <c r="G38" s="146">
        <f t="shared" si="1"/>
        <v>33</v>
      </c>
      <c r="H38" t="s">
        <v>330</v>
      </c>
      <c r="I38" s="315">
        <f>50000*300</f>
        <v>15000000</v>
      </c>
      <c r="J38" s="316">
        <f t="shared" si="19"/>
        <v>40540.54054054054</v>
      </c>
      <c r="K38" s="63">
        <v>0.2</v>
      </c>
      <c r="L38" s="315">
        <f t="shared" si="3"/>
        <v>59433.987412069597</v>
      </c>
      <c r="M38" s="315">
        <f t="shared" si="4"/>
        <v>18893.446871529057</v>
      </c>
      <c r="N38" s="315">
        <f t="shared" si="5"/>
        <v>54413.308110136779</v>
      </c>
      <c r="O38" s="315">
        <f t="shared" si="6"/>
        <v>13872.767569596239</v>
      </c>
      <c r="Q38" s="63">
        <v>0.2</v>
      </c>
      <c r="R38" s="315">
        <f t="shared" si="7"/>
        <v>81081.08108108108</v>
      </c>
      <c r="S38" s="315">
        <f t="shared" si="8"/>
        <v>40540.54054054054</v>
      </c>
      <c r="T38" s="315">
        <f t="shared" si="16"/>
        <v>81081.08108108108</v>
      </c>
      <c r="U38" s="315">
        <f t="shared" si="10"/>
        <v>40540.54054054054</v>
      </c>
      <c r="V38" s="315">
        <f t="shared" si="17"/>
        <v>81081.08108108108</v>
      </c>
      <c r="W38" s="315">
        <f t="shared" si="12"/>
        <v>40540.54054054054</v>
      </c>
      <c r="X38" s="315">
        <v>1</v>
      </c>
      <c r="Y38" s="315">
        <f t="shared" si="13"/>
        <v>40540.54054054054</v>
      </c>
      <c r="Z38" s="315">
        <f t="shared" si="18"/>
        <v>7924.2001085153615</v>
      </c>
    </row>
    <row r="39" spans="2:50" x14ac:dyDescent="0.25">
      <c r="B39" t="s">
        <v>2414</v>
      </c>
      <c r="C39" s="314">
        <f>D40</f>
        <v>46780</v>
      </c>
      <c r="D39" s="314">
        <f>C39</f>
        <v>46780</v>
      </c>
      <c r="E39" s="314">
        <f>C39</f>
        <v>46780</v>
      </c>
      <c r="F39" s="146">
        <f t="shared" si="0"/>
        <v>2028</v>
      </c>
      <c r="G39" s="146">
        <f t="shared" si="1"/>
        <v>339</v>
      </c>
      <c r="H39" t="s">
        <v>314</v>
      </c>
      <c r="I39" s="315">
        <f>1500000*AF16</f>
        <v>6000000</v>
      </c>
      <c r="J39" s="316">
        <f t="shared" si="19"/>
        <v>16216.216216216217</v>
      </c>
      <c r="K39" s="63">
        <v>0.2</v>
      </c>
      <c r="L39" s="315">
        <f t="shared" si="3"/>
        <v>23074.120696038506</v>
      </c>
      <c r="M39" s="315">
        <f t="shared" si="4"/>
        <v>6857.9044798222894</v>
      </c>
      <c r="N39" s="315">
        <f t="shared" si="5"/>
        <v>21124.936984272696</v>
      </c>
      <c r="O39" s="315">
        <f t="shared" si="6"/>
        <v>4908.7207680564788</v>
      </c>
      <c r="Q39" s="63">
        <v>0.2</v>
      </c>
      <c r="R39" s="315">
        <f t="shared" si="7"/>
        <v>32432.432432432433</v>
      </c>
      <c r="S39" s="315">
        <f t="shared" si="8"/>
        <v>16216.216216216217</v>
      </c>
      <c r="T39" s="315">
        <f t="shared" si="16"/>
        <v>32432.432432432433</v>
      </c>
      <c r="U39" s="315">
        <f t="shared" si="10"/>
        <v>16216.216216216217</v>
      </c>
      <c r="V39" s="315">
        <f t="shared" si="17"/>
        <v>32432.432432432433</v>
      </c>
      <c r="W39" s="315">
        <f t="shared" si="12"/>
        <v>16216.216216216217</v>
      </c>
      <c r="X39" s="315">
        <v>1</v>
      </c>
      <c r="Y39" s="315">
        <f t="shared" si="13"/>
        <v>16216.216216216217</v>
      </c>
      <c r="Z39" s="315">
        <f t="shared" si="18"/>
        <v>2902.9790003702342</v>
      </c>
    </row>
    <row r="40" spans="2:50" x14ac:dyDescent="0.25">
      <c r="C40" s="314">
        <v>46600</v>
      </c>
      <c r="D40" s="314">
        <f>C40+180</f>
        <v>46780</v>
      </c>
      <c r="E40" s="314">
        <f>D40</f>
        <v>46780</v>
      </c>
      <c r="F40" s="146">
        <f t="shared" si="0"/>
        <v>2028</v>
      </c>
      <c r="G40" s="146">
        <f t="shared" si="1"/>
        <v>339</v>
      </c>
      <c r="H40" t="s">
        <v>317</v>
      </c>
      <c r="I40" s="315">
        <f>55000000/280*AF7*1.15</f>
        <v>45178571.428571425</v>
      </c>
      <c r="J40" s="316">
        <f t="shared" si="19"/>
        <v>122104.2471042471</v>
      </c>
      <c r="K40" s="63">
        <v>0.2</v>
      </c>
      <c r="L40" s="315">
        <f t="shared" si="3"/>
        <v>173742.63500290897</v>
      </c>
      <c r="M40" s="315">
        <f t="shared" si="4"/>
        <v>51638.387898661866</v>
      </c>
      <c r="N40" s="315">
        <f t="shared" si="5"/>
        <v>159065.7457446724</v>
      </c>
      <c r="O40" s="315">
        <f t="shared" si="6"/>
        <v>36961.4986404253</v>
      </c>
      <c r="Q40" s="63">
        <v>0.2</v>
      </c>
      <c r="R40" s="315">
        <f t="shared" si="7"/>
        <v>244208.4942084942</v>
      </c>
      <c r="S40" s="315">
        <f t="shared" si="8"/>
        <v>122104.2471042471</v>
      </c>
      <c r="T40" s="315">
        <f t="shared" si="16"/>
        <v>244208.4942084942</v>
      </c>
      <c r="U40" s="315">
        <f t="shared" si="10"/>
        <v>122104.2471042471</v>
      </c>
      <c r="V40" s="315">
        <f t="shared" si="17"/>
        <v>244208.4942084942</v>
      </c>
      <c r="W40" s="315">
        <f t="shared" si="12"/>
        <v>122104.2471042471</v>
      </c>
      <c r="X40" s="315">
        <v>1</v>
      </c>
      <c r="Y40" s="315">
        <f t="shared" si="13"/>
        <v>122104.2471042471</v>
      </c>
      <c r="Z40" s="315">
        <f t="shared" si="18"/>
        <v>21858.740687311583</v>
      </c>
      <c r="AA40" t="s">
        <v>2499</v>
      </c>
      <c r="AB40" s="63">
        <v>0.7</v>
      </c>
    </row>
    <row r="41" spans="2:50" x14ac:dyDescent="0.25">
      <c r="B41" t="s">
        <v>2415</v>
      </c>
      <c r="C41" s="314">
        <f>E42</f>
        <v>46780</v>
      </c>
      <c r="D41" s="314">
        <f>C41</f>
        <v>46780</v>
      </c>
      <c r="E41" s="314">
        <f>C41</f>
        <v>46780</v>
      </c>
      <c r="F41" s="146">
        <f t="shared" si="0"/>
        <v>2028</v>
      </c>
      <c r="G41" s="146">
        <f t="shared" si="1"/>
        <v>339</v>
      </c>
      <c r="H41" t="s">
        <v>314</v>
      </c>
      <c r="I41" s="315">
        <f>1147500*AF16</f>
        <v>4590000</v>
      </c>
      <c r="J41" s="316">
        <f t="shared" si="19"/>
        <v>12405.405405405405</v>
      </c>
      <c r="K41" s="63">
        <v>0.2</v>
      </c>
      <c r="L41" s="315">
        <f t="shared" si="3"/>
        <v>17651.702332469456</v>
      </c>
      <c r="M41" s="315">
        <f t="shared" si="4"/>
        <v>5246.2969270640515</v>
      </c>
      <c r="N41" s="315">
        <f t="shared" si="5"/>
        <v>16160.576792968612</v>
      </c>
      <c r="O41" s="315">
        <f t="shared" si="6"/>
        <v>3755.1713875632067</v>
      </c>
      <c r="Q41" s="63">
        <v>0.2</v>
      </c>
      <c r="R41" s="315">
        <f t="shared" si="7"/>
        <v>24810.81081081081</v>
      </c>
      <c r="S41" s="315">
        <f t="shared" si="8"/>
        <v>12405.405405405405</v>
      </c>
      <c r="T41" s="315">
        <f t="shared" si="16"/>
        <v>24810.81081081081</v>
      </c>
      <c r="U41" s="315">
        <f t="shared" si="10"/>
        <v>12405.405405405405</v>
      </c>
      <c r="V41" s="315">
        <f t="shared" si="17"/>
        <v>24810.81081081081</v>
      </c>
      <c r="W41" s="315">
        <f t="shared" si="12"/>
        <v>12405.405405405405</v>
      </c>
      <c r="X41" s="315">
        <v>1</v>
      </c>
      <c r="Y41" s="315">
        <f t="shared" si="13"/>
        <v>12405.405405405405</v>
      </c>
      <c r="Z41" s="315">
        <f t="shared" si="18"/>
        <v>2220.7789352832292</v>
      </c>
      <c r="AA41" t="s">
        <v>2500</v>
      </c>
      <c r="AB41" s="63">
        <v>0.06</v>
      </c>
    </row>
    <row r="42" spans="2:50" x14ac:dyDescent="0.25">
      <c r="C42" s="314">
        <v>46600</v>
      </c>
      <c r="D42" s="314">
        <f>C42+180</f>
        <v>46780</v>
      </c>
      <c r="E42" s="314">
        <f>D42</f>
        <v>46780</v>
      </c>
      <c r="F42" s="146">
        <f t="shared" si="0"/>
        <v>2028</v>
      </c>
      <c r="G42" s="146">
        <f t="shared" si="1"/>
        <v>339</v>
      </c>
      <c r="H42" t="s">
        <v>317</v>
      </c>
      <c r="I42" s="315">
        <f>7000000/40*AF10</f>
        <v>35000000</v>
      </c>
      <c r="J42" s="316">
        <f t="shared" si="19"/>
        <v>94594.5945945946</v>
      </c>
      <c r="K42" s="63">
        <v>0.2</v>
      </c>
      <c r="L42" s="315">
        <f t="shared" si="3"/>
        <v>134599.03739355793</v>
      </c>
      <c r="M42" s="315">
        <f t="shared" si="4"/>
        <v>40004.442798963326</v>
      </c>
      <c r="N42" s="315">
        <f t="shared" si="5"/>
        <v>123228.79907492406</v>
      </c>
      <c r="O42" s="315">
        <f t="shared" si="6"/>
        <v>28634.204480329456</v>
      </c>
      <c r="Q42" s="63">
        <v>0.2</v>
      </c>
      <c r="R42" s="315">
        <f t="shared" si="7"/>
        <v>189189.1891891892</v>
      </c>
      <c r="S42" s="315">
        <f t="shared" si="8"/>
        <v>94594.5945945946</v>
      </c>
      <c r="T42" s="315">
        <f t="shared" si="16"/>
        <v>189189.1891891892</v>
      </c>
      <c r="U42" s="315">
        <f t="shared" si="10"/>
        <v>94594.5945945946</v>
      </c>
      <c r="V42" s="315">
        <f t="shared" si="17"/>
        <v>189189.1891891892</v>
      </c>
      <c r="W42" s="315">
        <f t="shared" si="12"/>
        <v>94594.5945945946</v>
      </c>
      <c r="X42" s="315">
        <v>1</v>
      </c>
      <c r="Y42" s="315">
        <f t="shared" si="13"/>
        <v>94594.5945945946</v>
      </c>
      <c r="Z42" s="315">
        <f t="shared" si="18"/>
        <v>16934.044168826367</v>
      </c>
      <c r="AA42" t="s">
        <v>2501</v>
      </c>
      <c r="AB42" s="131">
        <v>2500</v>
      </c>
    </row>
    <row r="43" spans="2:50" x14ac:dyDescent="0.25">
      <c r="B43" t="s">
        <v>2416</v>
      </c>
      <c r="C43" s="314">
        <f>D19</f>
        <v>47126</v>
      </c>
      <c r="D43" s="314">
        <f>C43+75</f>
        <v>47201</v>
      </c>
      <c r="E43" s="314">
        <f>C43</f>
        <v>47126</v>
      </c>
      <c r="F43" s="146">
        <f t="shared" si="0"/>
        <v>2029</v>
      </c>
      <c r="G43" s="146">
        <f t="shared" si="1"/>
        <v>358</v>
      </c>
      <c r="H43" t="s">
        <v>314</v>
      </c>
      <c r="I43" s="315">
        <f>2500000*AF16*2</f>
        <v>20000000</v>
      </c>
      <c r="J43" s="316">
        <f t="shared" si="19"/>
        <v>54054.054054054053</v>
      </c>
      <c r="K43" s="63">
        <v>0.2</v>
      </c>
      <c r="L43" s="315">
        <f t="shared" si="3"/>
        <v>64657.534246575342</v>
      </c>
      <c r="M43" s="315">
        <f t="shared" si="4"/>
        <v>10603.480192521289</v>
      </c>
      <c r="N43" s="315">
        <f t="shared" si="5"/>
        <v>59195.596422092953</v>
      </c>
      <c r="O43" s="315">
        <f t="shared" si="6"/>
        <v>5141.5423680388994</v>
      </c>
      <c r="P43" t="s">
        <v>2502</v>
      </c>
      <c r="Q43" s="63">
        <v>0.2</v>
      </c>
      <c r="R43" s="315">
        <f t="shared" si="7"/>
        <v>108108.10810810811</v>
      </c>
      <c r="S43" s="315">
        <f t="shared" si="8"/>
        <v>54054.054054054053</v>
      </c>
      <c r="T43" s="315">
        <f t="shared" si="16"/>
        <v>108108.10810810811</v>
      </c>
      <c r="U43" s="315">
        <f t="shared" si="10"/>
        <v>54054.054054054053</v>
      </c>
      <c r="V43" s="315">
        <f t="shared" si="17"/>
        <v>108108.10810810811</v>
      </c>
      <c r="W43" s="315">
        <f t="shared" si="12"/>
        <v>54054.054054054053</v>
      </c>
      <c r="X43" s="315">
        <v>1</v>
      </c>
      <c r="Y43" s="315">
        <f t="shared" si="13"/>
        <v>54054.054054054053</v>
      </c>
      <c r="Z43" s="315">
        <f t="shared" si="18"/>
        <v>4718.5486856719717</v>
      </c>
      <c r="AA43" t="s">
        <v>2503</v>
      </c>
      <c r="AB43" s="317">
        <f>DATE(2026,10,26)</f>
        <v>46321</v>
      </c>
    </row>
    <row r="44" spans="2:50" x14ac:dyDescent="0.25">
      <c r="C44" s="314">
        <f>C43-60</f>
        <v>47066</v>
      </c>
      <c r="D44" s="314">
        <f>C44</f>
        <v>47066</v>
      </c>
      <c r="E44" s="314">
        <f>C44</f>
        <v>47066</v>
      </c>
      <c r="F44" s="146">
        <f t="shared" si="0"/>
        <v>2028</v>
      </c>
      <c r="G44" s="146">
        <f t="shared" si="1"/>
        <v>53</v>
      </c>
      <c r="H44" t="s">
        <v>320</v>
      </c>
      <c r="I44" s="315">
        <f>1500000*AF16*2</f>
        <v>12000000</v>
      </c>
      <c r="J44" s="316">
        <f t="shared" si="19"/>
        <v>32432.432432432433</v>
      </c>
      <c r="K44" s="63">
        <v>0.2</v>
      </c>
      <c r="L44" s="315">
        <f t="shared" si="3"/>
        <v>40049.166975194377</v>
      </c>
      <c r="M44" s="315">
        <f t="shared" si="4"/>
        <v>7616.7345427619439</v>
      </c>
      <c r="N44" s="315">
        <f t="shared" si="5"/>
        <v>36666.018166787544</v>
      </c>
      <c r="O44" s="315">
        <f t="shared" si="6"/>
        <v>4233.5857343551106</v>
      </c>
      <c r="P44" t="s">
        <v>2502</v>
      </c>
      <c r="Q44" s="63">
        <v>0.2</v>
      </c>
      <c r="R44" s="315">
        <f t="shared" si="7"/>
        <v>64864.864864864867</v>
      </c>
      <c r="S44" s="315">
        <f t="shared" si="8"/>
        <v>32432.432432432433</v>
      </c>
      <c r="T44" s="315">
        <f t="shared" si="16"/>
        <v>64864.864864864867</v>
      </c>
      <c r="U44" s="315">
        <f t="shared" si="10"/>
        <v>32432.432432432433</v>
      </c>
      <c r="V44" s="315">
        <f t="shared" si="17"/>
        <v>64864.864864864867</v>
      </c>
      <c r="W44" s="315">
        <f t="shared" si="12"/>
        <v>32432.432432432433</v>
      </c>
      <c r="X44" s="315">
        <v>1</v>
      </c>
      <c r="Y44" s="315">
        <f t="shared" si="13"/>
        <v>32432.432432432433</v>
      </c>
      <c r="Z44" s="315">
        <f t="shared" si="18"/>
        <v>3342.9230359126204</v>
      </c>
      <c r="AA44" t="s">
        <v>2504</v>
      </c>
      <c r="AB44" s="317">
        <f>DATE(2029,12,31)</f>
        <v>47483</v>
      </c>
    </row>
    <row r="45" spans="2:50" x14ac:dyDescent="0.25">
      <c r="B45" t="s">
        <v>334</v>
      </c>
      <c r="C45" s="314" t="s">
        <v>2505</v>
      </c>
      <c r="D45" s="314" t="s">
        <v>2505</v>
      </c>
      <c r="E45" s="314" t="s">
        <v>2505</v>
      </c>
      <c r="F45" s="146">
        <v>2027</v>
      </c>
      <c r="G45" s="146">
        <v>0</v>
      </c>
      <c r="H45" t="s">
        <v>334</v>
      </c>
      <c r="I45" s="315">
        <f>J45*$AF$6</f>
        <v>7400000</v>
      </c>
      <c r="J45" s="316">
        <v>20000</v>
      </c>
      <c r="K45" s="63">
        <v>0.2</v>
      </c>
      <c r="L45" s="315">
        <f t="shared" si="3"/>
        <v>28800</v>
      </c>
      <c r="M45" s="315">
        <f t="shared" si="4"/>
        <v>8800</v>
      </c>
      <c r="N45" s="315">
        <f t="shared" si="5"/>
        <v>26367.123287671235</v>
      </c>
      <c r="O45" s="315">
        <f t="shared" si="6"/>
        <v>6367.1232876712347</v>
      </c>
      <c r="Q45" s="63">
        <v>0.2</v>
      </c>
      <c r="R45" s="315">
        <f t="shared" si="7"/>
        <v>40000</v>
      </c>
      <c r="S45" s="315">
        <f t="shared" si="8"/>
        <v>20000</v>
      </c>
      <c r="T45" s="315">
        <f t="shared" si="16"/>
        <v>40000</v>
      </c>
      <c r="U45" s="315">
        <f t="shared" si="10"/>
        <v>20000</v>
      </c>
      <c r="V45" s="315">
        <f t="shared" si="17"/>
        <v>40000</v>
      </c>
      <c r="W45" s="315">
        <f t="shared" si="12"/>
        <v>20000</v>
      </c>
      <c r="X45" s="315">
        <v>1</v>
      </c>
      <c r="Y45" s="315">
        <f t="shared" si="13"/>
        <v>20000</v>
      </c>
      <c r="Z45" s="315">
        <f t="shared" si="18"/>
        <v>3718.42</v>
      </c>
      <c r="AB45" t="s">
        <v>2436</v>
      </c>
      <c r="AD45" t="s">
        <v>2506</v>
      </c>
      <c r="AG45" t="s">
        <v>2507</v>
      </c>
      <c r="AL45" t="s">
        <v>2508</v>
      </c>
      <c r="AV45" t="s">
        <v>2509</v>
      </c>
    </row>
    <row r="46" spans="2:50" x14ac:dyDescent="0.25">
      <c r="B46" t="s">
        <v>335</v>
      </c>
      <c r="C46" s="314" t="s">
        <v>2505</v>
      </c>
      <c r="D46" s="314" t="s">
        <v>2505</v>
      </c>
      <c r="E46" s="314" t="s">
        <v>2505</v>
      </c>
      <c r="F46" s="146">
        <v>2027</v>
      </c>
      <c r="G46" s="146">
        <v>0</v>
      </c>
      <c r="H46" t="s">
        <v>335</v>
      </c>
      <c r="I46" s="315">
        <f>J46*$AF$6</f>
        <v>29600000</v>
      </c>
      <c r="J46" s="316">
        <v>80000</v>
      </c>
      <c r="K46" s="63">
        <v>0.2</v>
      </c>
      <c r="L46" s="315">
        <f t="shared" si="3"/>
        <v>115200</v>
      </c>
      <c r="M46" s="315">
        <f t="shared" si="4"/>
        <v>35200</v>
      </c>
      <c r="N46" s="315">
        <f t="shared" si="5"/>
        <v>105468.49315068494</v>
      </c>
      <c r="O46" s="315">
        <f t="shared" si="6"/>
        <v>25468.493150684939</v>
      </c>
      <c r="Q46" s="63">
        <v>0.2</v>
      </c>
      <c r="R46" s="315">
        <f t="shared" si="7"/>
        <v>160000</v>
      </c>
      <c r="S46" s="315">
        <f t="shared" si="8"/>
        <v>80000</v>
      </c>
      <c r="T46" s="315">
        <f t="shared" si="16"/>
        <v>0</v>
      </c>
      <c r="U46" s="315">
        <f t="shared" si="10"/>
        <v>0</v>
      </c>
      <c r="V46" s="315">
        <f t="shared" si="17"/>
        <v>0</v>
      </c>
      <c r="W46" s="315">
        <f t="shared" si="12"/>
        <v>0</v>
      </c>
      <c r="X46" s="315">
        <v>0</v>
      </c>
      <c r="Y46" s="315">
        <f t="shared" si="13"/>
        <v>0</v>
      </c>
      <c r="Z46" s="315">
        <f t="shared" si="18"/>
        <v>0</v>
      </c>
      <c r="AB46" s="315" t="s">
        <v>2510</v>
      </c>
      <c r="AC46" s="315" t="s">
        <v>2511</v>
      </c>
      <c r="AD46" s="315" t="s">
        <v>2510</v>
      </c>
      <c r="AE46" s="315" t="s">
        <v>2511</v>
      </c>
      <c r="AH46" s="315" t="s">
        <v>2510</v>
      </c>
      <c r="AI46" s="315" t="s">
        <v>2511</v>
      </c>
      <c r="AM46" s="315" t="s">
        <v>2510</v>
      </c>
      <c r="AN46" s="315" t="s">
        <v>2511</v>
      </c>
      <c r="AW46" s="315" t="s">
        <v>2510</v>
      </c>
      <c r="AX46" s="315" t="s">
        <v>2511</v>
      </c>
    </row>
    <row r="47" spans="2:50" x14ac:dyDescent="0.25">
      <c r="B47" t="s">
        <v>2417</v>
      </c>
      <c r="C47" s="314" t="s">
        <v>2505</v>
      </c>
      <c r="D47" s="314" t="s">
        <v>2505</v>
      </c>
      <c r="E47" s="314" t="s">
        <v>2505</v>
      </c>
      <c r="F47" s="146">
        <v>2027</v>
      </c>
      <c r="G47" s="146">
        <v>0</v>
      </c>
      <c r="H47" t="s">
        <v>2417</v>
      </c>
      <c r="I47" s="315">
        <f>J47*$AF$6</f>
        <v>18500000</v>
      </c>
      <c r="J47" s="316">
        <v>50000</v>
      </c>
      <c r="K47" s="63">
        <v>0.2</v>
      </c>
      <c r="L47" s="315">
        <f t="shared" si="3"/>
        <v>72000</v>
      </c>
      <c r="M47" s="315">
        <f t="shared" si="4"/>
        <v>22000</v>
      </c>
      <c r="N47" s="315">
        <f t="shared" si="5"/>
        <v>65917.808219178085</v>
      </c>
      <c r="O47" s="315">
        <f t="shared" si="6"/>
        <v>15917.808219178085</v>
      </c>
      <c r="Q47" s="63">
        <v>0.2</v>
      </c>
      <c r="R47" s="315">
        <f t="shared" si="7"/>
        <v>100000</v>
      </c>
      <c r="S47" s="315">
        <f t="shared" si="8"/>
        <v>50000</v>
      </c>
      <c r="T47" s="315">
        <f t="shared" si="16"/>
        <v>0</v>
      </c>
      <c r="U47" s="315">
        <f t="shared" si="10"/>
        <v>0</v>
      </c>
      <c r="V47" s="315">
        <f t="shared" si="17"/>
        <v>0</v>
      </c>
      <c r="W47" s="315">
        <f t="shared" si="12"/>
        <v>0</v>
      </c>
      <c r="X47" s="315">
        <v>0</v>
      </c>
      <c r="Y47" s="315">
        <f t="shared" si="13"/>
        <v>0</v>
      </c>
      <c r="Z47" s="315">
        <f t="shared" si="18"/>
        <v>0</v>
      </c>
      <c r="AA47" t="s">
        <v>2512</v>
      </c>
      <c r="AB47" s="315">
        <v>30000000</v>
      </c>
      <c r="AC47" s="315">
        <v>150000</v>
      </c>
      <c r="AD47" s="315">
        <f>150000*200</f>
        <v>30000000</v>
      </c>
      <c r="AE47" s="315">
        <f t="shared" ref="AE47:AE54" si="20">AD47/200</f>
        <v>150000</v>
      </c>
      <c r="AG47" t="s">
        <v>2512</v>
      </c>
      <c r="AH47" s="315">
        <f>150000*200</f>
        <v>30000000</v>
      </c>
      <c r="AI47" s="315">
        <f>AH47/200</f>
        <v>150000</v>
      </c>
      <c r="AL47" t="s">
        <v>2512</v>
      </c>
      <c r="AM47" s="315">
        <f>150000*200</f>
        <v>30000000</v>
      </c>
      <c r="AN47" s="315">
        <f>AM47/200</f>
        <v>150000</v>
      </c>
      <c r="AV47" t="s">
        <v>2512</v>
      </c>
      <c r="AW47" s="315">
        <f>150000*200</f>
        <v>30000000</v>
      </c>
      <c r="AX47" s="315">
        <f>AW47/200</f>
        <v>150000</v>
      </c>
    </row>
    <row r="48" spans="2:50" x14ac:dyDescent="0.25">
      <c r="B48" t="s">
        <v>2418</v>
      </c>
      <c r="C48" s="314">
        <f>D43</f>
        <v>47201</v>
      </c>
      <c r="D48" s="314">
        <f>C48</f>
        <v>47201</v>
      </c>
      <c r="E48" s="314">
        <f>C48</f>
        <v>47201</v>
      </c>
      <c r="F48" s="146">
        <f>YEAR(E48)</f>
        <v>2029</v>
      </c>
      <c r="G48" s="146">
        <f>DATE(YEAR(E48),12,31)-E48+1</f>
        <v>283</v>
      </c>
      <c r="H48" t="s">
        <v>2480</v>
      </c>
      <c r="I48" s="315">
        <f>38000000*0.4*6</f>
        <v>91200000</v>
      </c>
      <c r="J48" s="316">
        <f>I48/$AF$6</f>
        <v>246486.48648648648</v>
      </c>
      <c r="K48" s="63">
        <v>0.2</v>
      </c>
      <c r="L48" s="315">
        <f t="shared" si="3"/>
        <v>284708.7745279526</v>
      </c>
      <c r="M48" s="315">
        <f t="shared" si="4"/>
        <v>38222.288041466119</v>
      </c>
      <c r="N48" s="315">
        <f t="shared" si="5"/>
        <v>260658.03330070549</v>
      </c>
      <c r="O48" s="315">
        <f t="shared" si="6"/>
        <v>14171.546814219008</v>
      </c>
      <c r="Q48" s="63">
        <v>0.2</v>
      </c>
      <c r="R48" s="315">
        <f t="shared" si="7"/>
        <v>492972.97297297296</v>
      </c>
      <c r="S48" s="315">
        <f t="shared" si="8"/>
        <v>246486.48648648648</v>
      </c>
      <c r="T48" s="315">
        <f t="shared" si="16"/>
        <v>0</v>
      </c>
      <c r="U48" s="315">
        <f t="shared" si="10"/>
        <v>0</v>
      </c>
      <c r="V48" s="315">
        <f t="shared" si="17"/>
        <v>0</v>
      </c>
      <c r="W48" s="315">
        <f t="shared" si="12"/>
        <v>0</v>
      </c>
      <c r="X48" s="315">
        <v>0</v>
      </c>
      <c r="Y48" s="315">
        <f t="shared" si="13"/>
        <v>0</v>
      </c>
      <c r="Z48" s="315">
        <f t="shared" si="18"/>
        <v>0</v>
      </c>
      <c r="AA48" t="s">
        <v>2513</v>
      </c>
      <c r="AB48" s="315">
        <v>7143669.1524860105</v>
      </c>
      <c r="AC48" s="315">
        <v>35718.345762429999</v>
      </c>
      <c r="AD48" s="315">
        <f>S50</f>
        <v>60694745.783386961</v>
      </c>
      <c r="AE48" s="315">
        <f t="shared" si="20"/>
        <v>303473.72891693481</v>
      </c>
      <c r="AG48" t="s">
        <v>2514</v>
      </c>
      <c r="AH48" s="315">
        <v>500000</v>
      </c>
      <c r="AI48" s="315">
        <f>AH48/200</f>
        <v>2500</v>
      </c>
      <c r="AL48" t="s">
        <v>2514</v>
      </c>
      <c r="AM48" s="315">
        <v>150000</v>
      </c>
      <c r="AN48" s="315">
        <f>AM48/200</f>
        <v>750</v>
      </c>
      <c r="AV48" t="s">
        <v>2514</v>
      </c>
      <c r="AW48" s="315">
        <f>AH48</f>
        <v>500000</v>
      </c>
      <c r="AX48" s="315">
        <f>AW48/200</f>
        <v>2500</v>
      </c>
    </row>
    <row r="49" spans="2:51" x14ac:dyDescent="0.25">
      <c r="B49" t="s">
        <v>101</v>
      </c>
      <c r="C49" s="314" t="s">
        <v>2505</v>
      </c>
      <c r="D49" s="314" t="s">
        <v>2505</v>
      </c>
      <c r="E49" s="314" t="s">
        <v>2505</v>
      </c>
      <c r="F49" s="146">
        <v>2028</v>
      </c>
      <c r="G49" s="146">
        <v>0</v>
      </c>
      <c r="H49" t="s">
        <v>101</v>
      </c>
      <c r="I49" s="315">
        <f>0.1*(SUM(I5:I48)-I6-I7-I8-I18-I19-I9-I10-I11-I12-I13)</f>
        <v>106258615.62448961</v>
      </c>
      <c r="J49" s="315">
        <f>0.1*(SUM(J5:J48)-J6-J7-J8-J18-J19-J9-J10-J11-J12-J13)</f>
        <v>287185.44763375673</v>
      </c>
      <c r="K49" s="63">
        <v>0.2</v>
      </c>
      <c r="L49" s="315">
        <f t="shared" si="3"/>
        <v>344622.53716050804</v>
      </c>
      <c r="M49" s="315">
        <f t="shared" si="4"/>
        <v>57437.089526751311</v>
      </c>
      <c r="N49" s="315">
        <f t="shared" si="5"/>
        <v>315510.58767434646</v>
      </c>
      <c r="O49" s="315">
        <f t="shared" si="6"/>
        <v>28325.140040589729</v>
      </c>
      <c r="Q49" s="63">
        <v>0.2</v>
      </c>
      <c r="R49" s="315">
        <f t="shared" si="7"/>
        <v>574370.89526751346</v>
      </c>
      <c r="S49" s="315">
        <f t="shared" si="8"/>
        <v>287185.44763375673</v>
      </c>
      <c r="T49" s="315">
        <f t="shared" si="16"/>
        <v>463294.94932156673</v>
      </c>
      <c r="U49" s="315">
        <f t="shared" si="10"/>
        <v>231647.47466078337</v>
      </c>
      <c r="V49" s="315">
        <f t="shared" si="17"/>
        <v>463294.94932156673</v>
      </c>
      <c r="W49" s="315">
        <f t="shared" si="12"/>
        <v>231647.47466078337</v>
      </c>
      <c r="Y49" s="315">
        <f>0.1*(SUM(Y5:Y48)-Y6-Y7-Y8-Y9-Y10-Y11-Y12-Y13-Y18-Y19)</f>
        <v>231647.47466078337</v>
      </c>
      <c r="Z49" s="315">
        <f t="shared" si="18"/>
        <v>20616.625244809711</v>
      </c>
      <c r="AA49" t="s">
        <v>2515</v>
      </c>
      <c r="AB49" s="315">
        <v>1500000</v>
      </c>
      <c r="AC49" s="315">
        <v>7500</v>
      </c>
      <c r="AD49" s="315">
        <f>2500*3*200</f>
        <v>1500000</v>
      </c>
      <c r="AE49" s="315">
        <f t="shared" si="20"/>
        <v>7500</v>
      </c>
      <c r="AG49" t="s">
        <v>2513</v>
      </c>
      <c r="AH49" s="315">
        <f>U50</f>
        <v>8170313.0267933803</v>
      </c>
      <c r="AI49" s="315">
        <f>AH49/200</f>
        <v>40851.565133966898</v>
      </c>
      <c r="AL49" t="s">
        <v>2513</v>
      </c>
      <c r="AM49" s="315">
        <f>W50</f>
        <v>11255602.610899722</v>
      </c>
      <c r="AN49" s="315">
        <f>AM49/200</f>
        <v>56278.01305449861</v>
      </c>
      <c r="AV49" t="s">
        <v>2513</v>
      </c>
      <c r="AW49" s="315">
        <f>AH49</f>
        <v>8170313.0267933803</v>
      </c>
      <c r="AX49" s="315">
        <f>AW49/200</f>
        <v>40851.565133966898</v>
      </c>
    </row>
    <row r="50" spans="2:51" x14ac:dyDescent="0.25">
      <c r="B50" t="s">
        <v>2516</v>
      </c>
      <c r="I50" s="315">
        <f>SUM(I5:I49)</f>
        <v>22460451775.869385</v>
      </c>
      <c r="J50" s="315">
        <f>SUM(J5:J49)</f>
        <v>60703923.718565926</v>
      </c>
      <c r="L50" s="315">
        <f>SUM(L5:L49)</f>
        <v>70642902.323856369</v>
      </c>
      <c r="M50" s="315">
        <f>SUM(M5:M49)</f>
        <v>9938978.6052904222</v>
      </c>
      <c r="N50" s="315">
        <f>SUM(N5:N49)</f>
        <v>67174350.271333694</v>
      </c>
      <c r="O50" s="315">
        <f>SUM(O5:O49)</f>
        <v>6470426.5527677909</v>
      </c>
      <c r="R50" s="315">
        <f t="shared" ref="R50:W50" si="21">SUM(R5:R49)</f>
        <v>121398669.50195289</v>
      </c>
      <c r="S50" s="315">
        <f t="shared" si="21"/>
        <v>60694745.783386961</v>
      </c>
      <c r="T50" s="315">
        <f t="shared" si="21"/>
        <v>68263319.042656586</v>
      </c>
      <c r="U50" s="315">
        <f t="shared" si="21"/>
        <v>8170313.0267933803</v>
      </c>
      <c r="V50" s="315">
        <f t="shared" si="21"/>
        <v>71348608.626762971</v>
      </c>
      <c r="W50" s="315">
        <f t="shared" si="21"/>
        <v>11255602.610899722</v>
      </c>
      <c r="Y50" s="315">
        <f>SUM(Y5:Y49)</f>
        <v>60093006.015863225</v>
      </c>
      <c r="Z50" s="315">
        <f>SUM(Z5:Z49)</f>
        <v>7457250.6119735399</v>
      </c>
      <c r="AA50" t="s">
        <v>2517</v>
      </c>
      <c r="AB50" s="315">
        <v>21356330.847514</v>
      </c>
      <c r="AC50" s="315">
        <v>106781.65423756999</v>
      </c>
      <c r="AD50" s="315">
        <f>IF(AD47-AD48-AD49&lt;0,0,AD47-AD48-AD49)</f>
        <v>0</v>
      </c>
      <c r="AE50" s="315">
        <f t="shared" si="20"/>
        <v>0</v>
      </c>
      <c r="AG50" t="s">
        <v>2515</v>
      </c>
      <c r="AH50" s="315">
        <f>$AB$42*$AF$7*YEARFRAC($AB$43,$AB$44)</f>
        <v>1590277.7777777778</v>
      </c>
      <c r="AI50" s="315">
        <f>AH50/200</f>
        <v>7951.3888888888887</v>
      </c>
      <c r="AL50" t="s">
        <v>2515</v>
      </c>
      <c r="AM50" s="315">
        <f>2500*3*200</f>
        <v>1500000</v>
      </c>
      <c r="AN50" s="315">
        <f>AM50/200</f>
        <v>7500</v>
      </c>
      <c r="AV50" t="s">
        <v>2515</v>
      </c>
      <c r="AW50" s="315">
        <f>AH50</f>
        <v>1590277.7777777778</v>
      </c>
      <c r="AX50" s="315">
        <f>AW50/200</f>
        <v>7951.3888888888887</v>
      </c>
    </row>
    <row r="51" spans="2:51" x14ac:dyDescent="0.25">
      <c r="B51" t="s">
        <v>2518</v>
      </c>
      <c r="I51" s="315">
        <f>I50/$AF$7</f>
        <v>112302258.87934692</v>
      </c>
      <c r="J51" s="315">
        <f>J50/$AF$7</f>
        <v>303519.61859282962</v>
      </c>
      <c r="L51" s="315">
        <f>L50/$AF$7</f>
        <v>353214.51161928184</v>
      </c>
      <c r="M51" s="315">
        <f>M50/$AF$7</f>
        <v>49694.893026452111</v>
      </c>
      <c r="N51" s="315">
        <f>N50/$AF$7</f>
        <v>335871.75135666848</v>
      </c>
      <c r="O51" s="315">
        <f>O50/$AF$7</f>
        <v>32352.132763838956</v>
      </c>
      <c r="R51" s="315">
        <f t="shared" ref="R51:W51" si="22">R50/$AF$7</f>
        <v>606993.34750976448</v>
      </c>
      <c r="S51" s="315">
        <f t="shared" si="22"/>
        <v>303473.72891693481</v>
      </c>
      <c r="T51" s="315">
        <f t="shared" si="22"/>
        <v>341316.59521328291</v>
      </c>
      <c r="U51" s="315">
        <f t="shared" si="22"/>
        <v>40851.565133966898</v>
      </c>
      <c r="V51" s="315">
        <f t="shared" si="22"/>
        <v>356743.04313381488</v>
      </c>
      <c r="W51" s="315">
        <f t="shared" si="22"/>
        <v>56278.01305449861</v>
      </c>
      <c r="AA51" t="s">
        <v>2519</v>
      </c>
      <c r="AB51" s="315">
        <v>14949431.5932598</v>
      </c>
      <c r="AC51" s="315">
        <v>74747.157966298997</v>
      </c>
      <c r="AD51" s="315">
        <f>AD50*0.7</f>
        <v>0</v>
      </c>
      <c r="AE51" s="315">
        <f t="shared" si="20"/>
        <v>0</v>
      </c>
      <c r="AG51" t="s">
        <v>1096</v>
      </c>
      <c r="AH51" s="315">
        <f>AH47-AH49-AH50-AH48</f>
        <v>19739409.195428845</v>
      </c>
      <c r="AI51" s="315">
        <f>AH51/200</f>
        <v>98697.045977144226</v>
      </c>
      <c r="AL51" t="s">
        <v>1096</v>
      </c>
      <c r="AM51" s="315">
        <f>AM47-AM49-AM50-AM48</f>
        <v>17094397.389100276</v>
      </c>
      <c r="AN51" s="315">
        <f>AM51/200</f>
        <v>85471.986945501383</v>
      </c>
      <c r="AV51" t="s">
        <v>1096</v>
      </c>
      <c r="AW51" s="315">
        <f>AW47-AW49-AW50-AW48</f>
        <v>19739409.195428845</v>
      </c>
      <c r="AX51" s="315">
        <f>AW51/200</f>
        <v>98697.045977144226</v>
      </c>
    </row>
    <row r="52" spans="2:51" x14ac:dyDescent="0.25">
      <c r="B52" t="s">
        <v>2520</v>
      </c>
      <c r="I52" s="315">
        <f>I50-I6-I7-I8-I18-I19-I9-I10-I11-I12-I13</f>
        <v>1168844771.8693848</v>
      </c>
      <c r="J52" s="315">
        <f>J50-J54-J14-J15</f>
        <v>2980146.6807280821</v>
      </c>
      <c r="L52" s="315">
        <f>L50-L54</f>
        <v>4560253.4476949424</v>
      </c>
      <c r="M52" s="318">
        <f>M50-M54</f>
        <v>1401213.5237235893</v>
      </c>
      <c r="N52" s="315">
        <f>N50-N54</f>
        <v>4175728.137206614</v>
      </c>
      <c r="O52" s="315">
        <f>O50-O54</f>
        <v>1016688.2132353159</v>
      </c>
      <c r="R52" s="315">
        <f t="shared" ref="R52:W52" si="23">R50-R54</f>
        <v>6308901.912763685</v>
      </c>
      <c r="S52" s="315">
        <f t="shared" si="23"/>
        <v>3149861.9887923598</v>
      </c>
      <c r="T52" s="315">
        <f t="shared" si="23"/>
        <v>5264696.9085295051</v>
      </c>
      <c r="U52" s="315">
        <f t="shared" si="23"/>
        <v>2716574.6872609053</v>
      </c>
      <c r="V52" s="315">
        <f t="shared" si="23"/>
        <v>5265959.750601545</v>
      </c>
      <c r="W52" s="315">
        <f t="shared" si="23"/>
        <v>2717837.5293328892</v>
      </c>
      <c r="Y52" s="315">
        <f>Y50-Y54</f>
        <v>2548122.2212686241</v>
      </c>
      <c r="AA52" t="s">
        <v>2521</v>
      </c>
      <c r="AB52" s="315">
        <v>22093100.7457458</v>
      </c>
      <c r="AC52" s="315">
        <v>110465.503728729</v>
      </c>
      <c r="AD52" s="315">
        <f>MIN(AD48+AD51,AD47)</f>
        <v>30000000</v>
      </c>
      <c r="AE52" s="315">
        <f t="shared" si="20"/>
        <v>150000</v>
      </c>
    </row>
    <row r="53" spans="2:51" x14ac:dyDescent="0.25">
      <c r="B53" t="s">
        <v>2522</v>
      </c>
      <c r="I53" s="315">
        <f>I52/$AF$7</f>
        <v>5844223.8593469234</v>
      </c>
      <c r="J53" s="315">
        <f>J52/$AF$7</f>
        <v>14900.73340364041</v>
      </c>
      <c r="L53" s="315">
        <f>L52/$AF$7</f>
        <v>22801.267238474713</v>
      </c>
      <c r="M53" s="315">
        <f>M52/$AF$7</f>
        <v>7006.0676186179462</v>
      </c>
      <c r="N53" s="315">
        <f>N52/$AF$7</f>
        <v>20878.640686033072</v>
      </c>
      <c r="O53" s="315">
        <f>O52/$AF$7</f>
        <v>5083.4410661765796</v>
      </c>
      <c r="R53" s="315">
        <f t="shared" ref="R53:W53" si="24">R52/$AF$7</f>
        <v>31544.509563818425</v>
      </c>
      <c r="S53" s="315">
        <f t="shared" si="24"/>
        <v>15749.3099439618</v>
      </c>
      <c r="T53" s="315">
        <f t="shared" si="24"/>
        <v>26323.484542647526</v>
      </c>
      <c r="U53" s="315">
        <f t="shared" si="24"/>
        <v>13582.873436304526</v>
      </c>
      <c r="V53" s="315">
        <f t="shared" si="24"/>
        <v>26329.798753007726</v>
      </c>
      <c r="W53" s="315">
        <f t="shared" si="24"/>
        <v>13589.187646664446</v>
      </c>
      <c r="AA53" t="s">
        <v>2523</v>
      </c>
      <c r="AB53" s="315">
        <v>6406899.2542541996</v>
      </c>
      <c r="AC53" s="315">
        <v>32034.496271271</v>
      </c>
      <c r="AD53" s="315">
        <f>AD50*0.3</f>
        <v>0</v>
      </c>
      <c r="AE53" s="315">
        <f t="shared" si="20"/>
        <v>0</v>
      </c>
      <c r="AG53" t="s">
        <v>1567</v>
      </c>
      <c r="AH53" s="315">
        <f>Y52</f>
        <v>2548122.2212686241</v>
      </c>
      <c r="AI53" s="315">
        <f>AH53/200</f>
        <v>12740.61110634312</v>
      </c>
      <c r="AL53" t="s">
        <v>1567</v>
      </c>
      <c r="AM53" s="315">
        <f>J52</f>
        <v>2980146.6807280821</v>
      </c>
      <c r="AN53" s="315">
        <f>AM53/200</f>
        <v>14900.73340364041</v>
      </c>
      <c r="AV53" t="s">
        <v>1567</v>
      </c>
      <c r="AW53" s="315">
        <f>AH53</f>
        <v>2548122.2212686241</v>
      </c>
      <c r="AX53" s="315">
        <f>AW53/200</f>
        <v>12740.61110634312</v>
      </c>
    </row>
    <row r="54" spans="2:51" x14ac:dyDescent="0.25">
      <c r="B54" t="s">
        <v>2524</v>
      </c>
      <c r="I54" s="315">
        <f>I6+I7+I8+I18+I19+I9+I10+I11+I12+I13</f>
        <v>21291607004</v>
      </c>
      <c r="J54" s="315">
        <f>J6+J7+J8+J18+J19+J9+J10+J11+J12+J13</f>
        <v>57544883.794594601</v>
      </c>
      <c r="L54" s="315">
        <f>L6+L7+L8+L18+L19+L9+L10+L11+L12+L13</f>
        <v>66082648.876161426</v>
      </c>
      <c r="M54" s="315">
        <f>M6+M7+M8+M18+M19+M9+M10+M11+M12+M13</f>
        <v>8537765.081566833</v>
      </c>
      <c r="N54" s="315">
        <f>N6+N7+N8+N18+N19+N9+N10+N11+N12+N13</f>
        <v>62998622.13412708</v>
      </c>
      <c r="O54" s="315">
        <f>O6+O7+O8+O18+O19+O9+O10+O11+O12+O13</f>
        <v>5453738.339532475</v>
      </c>
      <c r="R54" s="315">
        <f t="shared" ref="R54:W54" si="25">R6+R7+R8+R18+R19+R9+R10+R11+R12+R13</f>
        <v>115089767.5891892</v>
      </c>
      <c r="S54" s="315">
        <f t="shared" si="25"/>
        <v>57544883.794594601</v>
      </c>
      <c r="T54" s="315">
        <f t="shared" si="25"/>
        <v>62998622.13412708</v>
      </c>
      <c r="U54" s="315">
        <f t="shared" si="25"/>
        <v>5453738.339532475</v>
      </c>
      <c r="V54" s="315">
        <f t="shared" si="25"/>
        <v>66082648.876161426</v>
      </c>
      <c r="W54" s="315">
        <f t="shared" si="25"/>
        <v>8537765.081566833</v>
      </c>
      <c r="Y54" s="315">
        <f>Y6+Y7+Y8+Y18+Y19+Y9+Y10+Y11+Y12+Y13</f>
        <v>57544883.794594601</v>
      </c>
      <c r="AA54" t="s">
        <v>2525</v>
      </c>
      <c r="AB54" s="315">
        <v>7906899.2542541996</v>
      </c>
      <c r="AC54" s="315">
        <v>39534.496271270997</v>
      </c>
      <c r="AD54" s="315">
        <f>AD53+AD49</f>
        <v>1500000</v>
      </c>
      <c r="AE54" s="315">
        <f t="shared" si="20"/>
        <v>7500</v>
      </c>
      <c r="AQ54" t="s">
        <v>2526</v>
      </c>
    </row>
    <row r="55" spans="2:51" x14ac:dyDescent="0.25">
      <c r="AG55" t="s">
        <v>2519</v>
      </c>
      <c r="AH55" s="315">
        <f>AH51*$AB$40</f>
        <v>13817586.436800191</v>
      </c>
      <c r="AI55" s="315">
        <f>AH55/200</f>
        <v>69087.932184000951</v>
      </c>
      <c r="AJ55" s="63">
        <f>AH55/(AH55+AH57)</f>
        <v>0.7</v>
      </c>
      <c r="AL55" t="s">
        <v>2519</v>
      </c>
      <c r="AM55" s="315">
        <f>AM51*$AB$40</f>
        <v>11966078.172370192</v>
      </c>
      <c r="AN55" s="315">
        <f>AM55/200</f>
        <v>59830.390861850959</v>
      </c>
      <c r="AO55" s="63">
        <f>AM55/(AM55+AM57)</f>
        <v>0.7</v>
      </c>
      <c r="AQ55" t="s">
        <v>2519</v>
      </c>
      <c r="AR55" s="315">
        <f>AH55-AM55</f>
        <v>1851508.2644299995</v>
      </c>
      <c r="AS55" s="315">
        <f>AR55/200</f>
        <v>9257.5413221499985</v>
      </c>
      <c r="AV55" t="s">
        <v>2519</v>
      </c>
      <c r="AW55" s="315">
        <f>AW51*$AB$40</f>
        <v>13817586.436800191</v>
      </c>
      <c r="AX55" s="315">
        <f>AW55/200</f>
        <v>69087.932184000951</v>
      </c>
      <c r="AY55" s="63">
        <f>AW55/(AW55+AW57)</f>
        <v>0.7</v>
      </c>
    </row>
    <row r="56" spans="2:51" x14ac:dyDescent="0.25">
      <c r="AG56" t="s">
        <v>2527</v>
      </c>
      <c r="AH56" s="315">
        <f>AH49+AH55-AH53</f>
        <v>19439777.242324948</v>
      </c>
      <c r="AI56" s="315">
        <f>AH56/200</f>
        <v>97198.886211624747</v>
      </c>
      <c r="AJ56" s="134">
        <f>+AH56/AH47</f>
        <v>0.64799257474416494</v>
      </c>
      <c r="AL56" t="s">
        <v>2527</v>
      </c>
      <c r="AM56" s="315">
        <f>AM49+AM55-AM53</f>
        <v>20241534.10254183</v>
      </c>
      <c r="AN56" s="315">
        <f>AM56/200</f>
        <v>101207.67051270916</v>
      </c>
      <c r="AO56" s="134">
        <f>+AM56/AM47</f>
        <v>0.67471780341806098</v>
      </c>
      <c r="AQ56" t="s">
        <v>2527</v>
      </c>
      <c r="AR56" s="315">
        <f>AH56-AM56</f>
        <v>-801756.86021688208</v>
      </c>
      <c r="AS56" s="315">
        <f>AR56/200</f>
        <v>-4008.7843010844103</v>
      </c>
      <c r="AV56" t="s">
        <v>2527</v>
      </c>
      <c r="AW56" s="315">
        <f>AW49+AW55-AW53</f>
        <v>19439777.242324948</v>
      </c>
      <c r="AX56" s="315">
        <f>AW56/200</f>
        <v>97198.886211624747</v>
      </c>
      <c r="AY56" s="134">
        <f>+AW56/AW47</f>
        <v>0.64799257474416494</v>
      </c>
    </row>
    <row r="57" spans="2:51" x14ac:dyDescent="0.25">
      <c r="AG57" t="s">
        <v>2523</v>
      </c>
      <c r="AH57" s="315">
        <f>AH51*(1-AB40)</f>
        <v>5921822.7586286543</v>
      </c>
      <c r="AI57" s="315">
        <f>AH57/200</f>
        <v>29609.113793143271</v>
      </c>
      <c r="AJ57" s="63">
        <f>AH57/(AH55+AH57)</f>
        <v>0.30000000000000004</v>
      </c>
      <c r="AL57" t="s">
        <v>2523</v>
      </c>
      <c r="AM57" s="315">
        <f>AM51*(1-AB40)</f>
        <v>5128319.2167300833</v>
      </c>
      <c r="AN57" s="315">
        <f>AM57/200</f>
        <v>25641.596083650416</v>
      </c>
      <c r="AO57" s="63">
        <f>AM57/(AM55+AM57)</f>
        <v>0.30000000000000004</v>
      </c>
      <c r="AQ57" t="s">
        <v>2523</v>
      </c>
      <c r="AR57" s="315">
        <f>AH57-AM57</f>
        <v>793503.54189857095</v>
      </c>
      <c r="AS57" s="315">
        <f>AR57/200</f>
        <v>3967.5177094928549</v>
      </c>
      <c r="AV57" t="s">
        <v>2523</v>
      </c>
      <c r="AW57" s="315">
        <f>AW51*(1-AB40)</f>
        <v>5921822.7586286543</v>
      </c>
      <c r="AX57" s="315">
        <f>AW57/200</f>
        <v>29609.113793143271</v>
      </c>
      <c r="AY57" s="63">
        <f>AW57/(AW55+AW57)</f>
        <v>0.30000000000000004</v>
      </c>
    </row>
    <row r="58" spans="2:51" x14ac:dyDescent="0.25">
      <c r="AG58" t="s">
        <v>2525</v>
      </c>
      <c r="AH58" s="315">
        <f>AH57+AH50</f>
        <v>7512100.5364064323</v>
      </c>
      <c r="AI58" s="315">
        <f>AH58/200</f>
        <v>37560.502682032158</v>
      </c>
      <c r="AJ58" s="63">
        <f>+AH58/AH47</f>
        <v>0.25040335121354773</v>
      </c>
      <c r="AL58" t="s">
        <v>2525</v>
      </c>
      <c r="AM58" s="315">
        <f>AM57+AM50</f>
        <v>6628319.2167300833</v>
      </c>
      <c r="AN58" s="315">
        <f>AM58/200</f>
        <v>33141.596083650416</v>
      </c>
      <c r="AO58" s="63">
        <f>+AM58/AM47</f>
        <v>0.22094397389100279</v>
      </c>
      <c r="AQ58" t="s">
        <v>2525</v>
      </c>
      <c r="AR58" s="315">
        <f>AH58-AM58</f>
        <v>883781.31967634894</v>
      </c>
      <c r="AS58" s="315">
        <f>AR58/200</f>
        <v>4418.9065983817445</v>
      </c>
      <c r="AV58" t="s">
        <v>2525</v>
      </c>
      <c r="AW58" s="315">
        <f>AW57+AW50</f>
        <v>7512100.5364064323</v>
      </c>
      <c r="AX58" s="315">
        <f>AW58/200</f>
        <v>37560.502682032158</v>
      </c>
      <c r="AY58" s="63">
        <f>+AW58/AW47</f>
        <v>0.25040335121354773</v>
      </c>
    </row>
    <row r="59" spans="2:51" ht="409.5" customHeight="1" x14ac:dyDescent="0.25">
      <c r="B59" s="319" t="s">
        <v>2528</v>
      </c>
    </row>
    <row r="60" spans="2:51" x14ac:dyDescent="0.25">
      <c r="AG60" t="s">
        <v>2529</v>
      </c>
      <c r="AH60" t="s">
        <v>2510</v>
      </c>
      <c r="AI60" t="s">
        <v>2511</v>
      </c>
      <c r="AJ60" t="s">
        <v>2530</v>
      </c>
    </row>
    <row r="61" spans="2:51" x14ac:dyDescent="0.25">
      <c r="AG61" t="s">
        <v>2089</v>
      </c>
    </row>
    <row r="62" spans="2:51" x14ac:dyDescent="0.25">
      <c r="AG62" t="s">
        <v>2531</v>
      </c>
      <c r="AH62" s="134">
        <v>0.06</v>
      </c>
    </row>
    <row r="63" spans="2:51" x14ac:dyDescent="0.25">
      <c r="AG63" t="s">
        <v>2532</v>
      </c>
      <c r="AH63" s="134">
        <v>8.8999999999999996E-2</v>
      </c>
    </row>
    <row r="64" spans="2:51" x14ac:dyDescent="0.25">
      <c r="AG64" t="s">
        <v>1101</v>
      </c>
      <c r="AH64" s="315">
        <v>250000</v>
      </c>
    </row>
    <row r="65" spans="33:36" x14ac:dyDescent="0.25">
      <c r="AG65" t="s">
        <v>2533</v>
      </c>
      <c r="AH65" s="315">
        <v>150000</v>
      </c>
    </row>
    <row r="67" spans="33:36" x14ac:dyDescent="0.25">
      <c r="AG67" t="s">
        <v>2534</v>
      </c>
      <c r="AH67" s="315">
        <f>AH56</f>
        <v>19439777.242324948</v>
      </c>
      <c r="AI67" s="315">
        <f t="shared" ref="AI67:AI72" si="26">AH67/$AF$7</f>
        <v>97198.886211624747</v>
      </c>
      <c r="AJ67" t="str">
        <f>FIXED(AH67/1000,0)&amp;" / "&amp;FIXED(AH67*$AF$6/1000000,0)</f>
        <v>19 440 / 7 193</v>
      </c>
    </row>
    <row r="68" spans="33:36" x14ac:dyDescent="0.25">
      <c r="AG68" t="s">
        <v>2535</v>
      </c>
      <c r="AH68" s="315">
        <f>-AH64</f>
        <v>-250000</v>
      </c>
      <c r="AI68" s="315">
        <f t="shared" si="26"/>
        <v>-1250</v>
      </c>
    </row>
    <row r="69" spans="33:36" x14ac:dyDescent="0.25">
      <c r="AG69" t="s">
        <v>2536</v>
      </c>
      <c r="AH69" s="315">
        <f>-AH65</f>
        <v>-150000</v>
      </c>
      <c r="AI69" s="315">
        <f t="shared" si="26"/>
        <v>-750</v>
      </c>
    </row>
    <row r="70" spans="33:36" x14ac:dyDescent="0.25">
      <c r="AG70" t="s">
        <v>2537</v>
      </c>
      <c r="AH70" s="315">
        <f>-SUMIF(K5:K49,$AB$41,Z5:Z49)</f>
        <v>-2852763.4209550922</v>
      </c>
      <c r="AI70" s="315">
        <f t="shared" si="26"/>
        <v>-14263.81710477546</v>
      </c>
    </row>
    <row r="71" spans="33:36" x14ac:dyDescent="0.25">
      <c r="AG71" t="s">
        <v>2538</v>
      </c>
      <c r="AH71" s="315">
        <f>-(Z50-SUMIF(K5:K49,$AB$41,Z5:Z49))</f>
        <v>-4604487.1910184473</v>
      </c>
      <c r="AI71" s="315">
        <f t="shared" si="26"/>
        <v>-23022.435955092238</v>
      </c>
    </row>
    <row r="72" spans="33:36" x14ac:dyDescent="0.25">
      <c r="AG72" t="s">
        <v>2539</v>
      </c>
      <c r="AH72" s="315">
        <f>SUM(AH67:AH71)</f>
        <v>11582526.630351409</v>
      </c>
      <c r="AI72" s="315">
        <f t="shared" si="26"/>
        <v>57912.633151757043</v>
      </c>
      <c r="AJ72" t="str">
        <f>FIXED(AH72/1000,0)&amp;" / "&amp;FIXED(AH72*$AF$6/1000000,0)</f>
        <v>11 583 / 4 286</v>
      </c>
    </row>
  </sheetData>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48e42aa-7502-48aa-9973-d5430de63b43">
      <Terms xmlns="http://schemas.microsoft.com/office/infopath/2007/PartnerControls"/>
    </lcf76f155ced4ddcb4097134ff3c332f>
    <TaxCatchAll xmlns="3ba8be79-126f-4ecc-b268-0e8a1c9d820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D134E6-8D19-4541-AB08-582FB1F5214C}">
  <ds:schemaRefs>
    <ds:schemaRef ds:uri="http://schemas.microsoft.com/office/2006/metadata/properties"/>
    <ds:schemaRef ds:uri="http://schemas.microsoft.com/office/infopath/2007/PartnerControls"/>
    <ds:schemaRef ds:uri="348e42aa-7502-48aa-9973-d5430de63b43"/>
    <ds:schemaRef ds:uri="3ba8be79-126f-4ecc-b268-0e8a1c9d820a"/>
  </ds:schemaRefs>
</ds:datastoreItem>
</file>

<file path=customXml/itemProps2.xml><?xml version="1.0" encoding="utf-8"?>
<ds:datastoreItem xmlns:ds="http://schemas.openxmlformats.org/officeDocument/2006/customXml" ds:itemID="{3F7DA14C-D45D-4D02-88D3-5D7FC43298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7CE6F4-D864-42CE-B0FC-4E05B98346DE}">
  <ds:schemaRefs>
    <ds:schemaRef ds:uri="http://schemas.microsoft.com/sharepoint/v3/contenttype/forms"/>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119</vt:i4>
      </vt:variant>
    </vt:vector>
  </HeadingPairs>
  <TitlesOfParts>
    <vt:vector size="131" baseType="lpstr">
      <vt:lpstr>Cash_Flow</vt:lpstr>
      <vt:lpstr>Dashboard</vt:lpstr>
      <vt:lpstr>Bid_Points</vt:lpstr>
      <vt:lpstr>Inputs</vt:lpstr>
      <vt:lpstr>Curves</vt:lpstr>
      <vt:lpstr>Deposits</vt:lpstr>
      <vt:lpstr>MOIC</vt:lpstr>
      <vt:lpstr>HTM</vt:lpstr>
      <vt:lpstr>Open_Items</vt:lpstr>
      <vt:lpstr>Change_Log</vt:lpstr>
      <vt:lpstr>Devex_FEP</vt:lpstr>
      <vt:lpstr>BORA_Devex</vt:lpstr>
      <vt:lpstr>Bid_Cash</vt:lpstr>
      <vt:lpstr>Bid_Dates</vt:lpstr>
      <vt:lpstr>Dash_BESS_Capex_MWh</vt:lpstr>
      <vt:lpstr>Dash_BESS_Share</vt:lpstr>
      <vt:lpstr>Dash_Brownfield</vt:lpstr>
      <vt:lpstr>Dash_Build_Shortfall</vt:lpstr>
      <vt:lpstr>Dash_Buyer_Rate_Steps</vt:lpstr>
      <vt:lpstr>Dash_Capex_Steps</vt:lpstr>
      <vt:lpstr>Dash_Community</vt:lpstr>
      <vt:lpstr>Dash_EU_Transformer</vt:lpstr>
      <vt:lpstr>Dash_EU_Turbine</vt:lpstr>
      <vt:lpstr>Dash_Gearing_Steps</vt:lpstr>
      <vt:lpstr>Dash_Key_Inputs</vt:lpstr>
      <vt:lpstr>Dash_Municipal</vt:lpstr>
      <vt:lpstr>Dash_MVA</vt:lpstr>
      <vt:lpstr>Dash_OSZ4_Basis</vt:lpstr>
      <vt:lpstr>Dash_Overbuild</vt:lpstr>
      <vt:lpstr>Dash_Partial</vt:lpstr>
      <vt:lpstr>Dash_PB_Mult</vt:lpstr>
      <vt:lpstr>Dash_Premium_Steps</vt:lpstr>
      <vt:lpstr>Dash_Price_Steps</vt:lpstr>
      <vt:lpstr>Dash_Scenario</vt:lpstr>
      <vt:lpstr>Dash_Shared</vt:lpstr>
      <vt:lpstr>Days_In_Year</vt:lpstr>
      <vt:lpstr>Hours_In_Year</vt:lpstr>
      <vt:lpstr>In_Bids</vt:lpstr>
      <vt:lpstr>In_Bottleneck_Factor</vt:lpstr>
      <vt:lpstr>In_Clip_Ratios</vt:lpstr>
      <vt:lpstr>In_Clip_Shares</vt:lpstr>
      <vt:lpstr>In_Exit_Profit_Charge</vt:lpstr>
      <vt:lpstr>In_Min_Hours</vt:lpstr>
      <vt:lpstr>In_MVA_Per_Bid</vt:lpstr>
      <vt:lpstr>In_OSZ4_Pts_Wind</vt:lpstr>
      <vt:lpstr>In_OSZ4_Ratio</vt:lpstr>
      <vt:lpstr>In_OSZ4_Ratio_Wind</vt:lpstr>
      <vt:lpstr>In_Refi_Fee</vt:lpstr>
      <vt:lpstr>In_Refi_Gearing_Add</vt:lpstr>
      <vt:lpstr>In_Refi_Lag</vt:lpstr>
      <vt:lpstr>In_Refi_On</vt:lpstr>
      <vt:lpstr>In_Refi_Rate</vt:lpstr>
      <vt:lpstr>In_Refi_Tenor</vt:lpstr>
      <vt:lpstr>In_Scale</vt:lpstr>
      <vt:lpstr>In_Source_MVA</vt:lpstr>
      <vt:lpstr>In_Wind_Built</vt:lpstr>
      <vt:lpstr>Live_Results</vt:lpstr>
      <vt:lpstr>Master_Check</vt:lpstr>
      <vt:lpstr>Million</vt:lpstr>
      <vt:lpstr>Osz1_Incl</vt:lpstr>
      <vt:lpstr>Osz1_LB</vt:lpstr>
      <vt:lpstr>Osz1_Max</vt:lpstr>
      <vt:lpstr>Osz1_Min</vt:lpstr>
      <vt:lpstr>Osz1_Pts</vt:lpstr>
      <vt:lpstr>Osz1_W</vt:lpstr>
      <vt:lpstr>Osz2_Incl</vt:lpstr>
      <vt:lpstr>Osz2_LB</vt:lpstr>
      <vt:lpstr>Osz2_Max</vt:lpstr>
      <vt:lpstr>Osz2_Min</vt:lpstr>
      <vt:lpstr>Osz2_Pts</vt:lpstr>
      <vt:lpstr>Osz2_W</vt:lpstr>
      <vt:lpstr>Osz3_Incl</vt:lpstr>
      <vt:lpstr>Osz3_LB</vt:lpstr>
      <vt:lpstr>Osz3_Pts</vt:lpstr>
      <vt:lpstr>Osz3_W</vt:lpstr>
      <vt:lpstr>Osz4_Min</vt:lpstr>
      <vt:lpstr>Osz4_W</vt:lpstr>
      <vt:lpstr>Osz5_Pts</vt:lpstr>
      <vt:lpstr>Osz5_W</vt:lpstr>
      <vt:lpstr>Osz6_Incl</vt:lpstr>
      <vt:lpstr>Osz6_LB</vt:lpstr>
      <vt:lpstr>Osz6_Pts</vt:lpstr>
      <vt:lpstr>Osz6_W</vt:lpstr>
      <vt:lpstr>Osz7_Pts</vt:lpstr>
      <vt:lpstr>Osz7_W</vt:lpstr>
      <vt:lpstr>Osz8_Pts</vt:lpstr>
      <vt:lpstr>Osz8_W</vt:lpstr>
      <vt:lpstr>Osz9_W</vt:lpstr>
      <vt:lpstr>Osz9a_Pts</vt:lpstr>
      <vt:lpstr>Osz9b_Pts</vt:lpstr>
      <vt:lpstr>Out_ares</vt:lpstr>
      <vt:lpstr>Out_ares_buy</vt:lpstr>
      <vt:lpstr>Out_buyer_irr</vt:lpstr>
      <vt:lpstr>Out_cod_irr</vt:lpstr>
      <vt:lpstr>Out_cod_moic</vt:lpstr>
      <vt:lpstr>Out_cod_mva</vt:lpstr>
      <vt:lpstr>Out_cod_mw</vt:lpstr>
      <vt:lpstr>Out_cod_npv</vt:lpstr>
      <vt:lpstr>Out_cod_price</vt:lpstr>
      <vt:lpstr>Out_cod_profit</vt:lpstr>
      <vt:lpstr>Out_debt</vt:lpstr>
      <vt:lpstr>Out_debt_refi</vt:lpstr>
      <vt:lpstr>Out_dscr</vt:lpstr>
      <vt:lpstr>Out_dscr_refi</vt:lpstr>
      <vt:lpstr>Out_eq_irr</vt:lpstr>
      <vt:lpstr>Out_fep_npv</vt:lpstr>
      <vt:lpstr>Out_fep_peak</vt:lpstr>
      <vt:lpstr>Out_gear_refi</vt:lpstr>
      <vt:lpstr>Out_gearing</vt:lpstr>
      <vt:lpstr>Out_max_gear</vt:lpstr>
      <vt:lpstr>Out_max_rtb</vt:lpstr>
      <vt:lpstr>Out_payback</vt:lpstr>
      <vt:lpstr>Out_points</vt:lpstr>
      <vt:lpstr>Out_proj_irr</vt:lpstr>
      <vt:lpstr>Out_proj_irr_pre</vt:lpstr>
      <vt:lpstr>Out_proj_npv</vt:lpstr>
      <vt:lpstr>Out_refi_on</vt:lpstr>
      <vt:lpstr>Out_rtb_irr</vt:lpstr>
      <vt:lpstr>Out_rtb_moic</vt:lpstr>
      <vt:lpstr>Out_rtb_npv</vt:lpstr>
      <vt:lpstr>Out_rtb_peak</vt:lpstr>
      <vt:lpstr>Out_rtb_prem</vt:lpstr>
      <vt:lpstr>Out_rtb_profit</vt:lpstr>
      <vt:lpstr>Points_Decimals</vt:lpstr>
      <vt:lpstr>Qtr_Months</vt:lpstr>
      <vt:lpstr>Scenario_Name</vt:lpstr>
      <vt:lpstr>Scenario_Names</vt:lpstr>
      <vt:lpstr>Stored_Delta</vt:lpstr>
      <vt:lpstr>Stored_Results</vt:lpstr>
      <vt:lpstr>Thousand</vt:lpstr>
      <vt:lpstr>Tolerance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dc:description/>
  <cp:lastModifiedBy>Zádeczki Zalán</cp:lastModifiedBy>
  <cp:revision>3</cp:revision>
  <dcterms:created xsi:type="dcterms:W3CDTF">2022-10-27T10:52:51Z</dcterms:created>
  <dcterms:modified xsi:type="dcterms:W3CDTF">2026-10-26T11:54:58Z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