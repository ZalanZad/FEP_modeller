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9.xml" ContentType="application/vnd.openxmlformats-officedocument.spreadsheetml.worksheet+xml"/>
  <Override PartName="/xl/worksheets/sheet20.xml" ContentType="application/vnd.openxmlformats-officedocument.spreadsheetml.worksheet+xml"/>
</Types>
</file>

<file path=_rels/.rels><?xml version="1.0" encoding="UTF-8" standalone="yes"?>
<Relationships xmlns="http://schemas.openxmlformats.org/package/2006/relationships"><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codeName="{26A90621-87C4-6C01-FD6A-EE6E7C140903}"/>
  <workbookPr codeName="ThisWorkbook" defaultThemeVersion="166925"/>
  <mc:AlternateContent xmlns:mc="http://schemas.openxmlformats.org/markup-compatibility/2006">
    <mc:Choice Requires="x15">
      <x15ac:absPath xmlns:x15ac="http://schemas.microsoft.com/office/spreadsheetml/2010/11/ac" url="https://futurealhu.sharepoint.com/sites/Energy/Shared Documents/FEP/02_ONGOING_DEALS/Hungary/ARES wind (BORA)/02_Analysis/01_Financial_model/HUN/"/>
    </mc:Choice>
  </mc:AlternateContent>
  <xr:revisionPtr revIDLastSave="1885" documentId="8_{F8B609EC-8562-4E96-A973-92151D8B50D4}" xr6:coauthVersionLast="47" xr6:coauthVersionMax="47" xr10:uidLastSave="{7A220FED-E853-469E-AA7A-430B328FB38A}"/>
  <bookViews>
    <workbookView xWindow="-120" yWindow="-120" windowWidth="29040" windowHeight="15720" activeTab="1" xr2:uid="{1E5C89B8-8F11-434F-8845-FC2C2AB35044}"/>
  </bookViews>
  <sheets>
    <sheet name="Cover" sheetId="46" r:id="rId1"/>
    <sheet name="Control Panel" sheetId="65" r:id="rId90"/>
    <sheet name="Tender" sheetId="64" r:id="rId29"/>
    <sheet name="Dashboard" sheetId="50" r:id="rId3"/>
    <sheet name="Bora" sheetId="56" r:id="rId5"/>
    <sheet name="Inputs" sheetId="47" r:id="rId9"/>
    <sheet name="Curves" sheetId="51" r:id="rId10"/>
    <sheet name="Deposits" sheetId="48" r:id="rId11"/>
    <sheet name="MOIC" sheetId="49" r:id="rId12"/>
    <sheet name="HTM" sheetId="52" r:id="rId13"/>
    <sheet name="Open_Items" sheetId="38" state="hidden" r:id="rId14"/>
    <sheet name="Change_Log" sheetId="39" state="hidden" r:id="rId15"/>
    <sheet name="Devex_FEP" sheetId="53" state="hidden" r:id="rId16"/>
    <sheet name="BORA_Devex" sheetId="55" state="hidden" r:id="rId17"/>
    <sheet name="Run_Map" sheetId="62" state="hidden" r:id="rId18"/>
  </sheets>
  <definedNames>
    <definedName name="_xlnm.Print_Area" localSheetId="1">'Control Panel'!$B$2:$P$300</definedName>
  </definedNames>
  <calcPr calcId="191029" iterateDelta="1E-4"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Zádeczki Zalán</author>
  </authors>
  <commentList>
    <comment ref="H47" authorId="0" shapeId="0" xr:uid="{52881435-735D-4835-853A-808B87990302}">
      <text>
        <r>
          <rPr>
            <b/>
            <sz val="9"/>
            <color indexed="81"/>
            <rFont val="Tahoma"/>
            <charset val="1"/>
          </rPr>
          <t>Zádeczki Zalán:</t>
        </r>
        <r>
          <rPr>
            <sz val="9"/>
            <color indexed="81"/>
            <rFont val="Tahoma"/>
            <charset val="1"/>
          </rPr>
          <t xml:space="preserve">
Source: BORA_Devex_20260925.xlsx (Sheet1, U50 buckets and AH47:AH58 waterfall), shared 29/09/2026 as bora_devex_fep_v2.json by a connected Excel session; Devex values typed in, not recalculated by Claude.</t>
        </r>
      </text>
    </comment>
    <comment ref="J48" authorId="0" shapeId="0" xr:uid="{AFA8F4CF-849C-4E68-8C55-E74DAF8AC91E}">
      <text>
        <r>
          <rPr>
            <b/>
            <sz val="9"/>
            <color indexed="81"/>
            <rFont val="Tahoma"/>
            <charset val="1"/>
          </rPr>
          <t>Zádeczki Zalán:</t>
        </r>
        <r>
          <rPr>
            <sz val="9"/>
            <color indexed="81"/>
            <rFont val="Tahoma"/>
            <charset val="1"/>
          </rPr>
          <t xml:space="preserve">
Source: BORA_Devex_20261001.xlsx, Sheet1 V39 (Devex deducted from FEP = V48 fee + V54 devex), frozen case, shared from the open BORA Devex workbook 02-Oct-26</t>
        </r>
      </text>
    </comment>
    <comment ref="J49" authorId="0" shapeId="0" xr:uid="{F4AA365D-3725-4AA6-A0D4-D3677F7500D8}">
      <text>
        <r>
          <rPr>
            <b/>
            <sz val="9"/>
            <color indexed="81"/>
            <rFont val="Tahoma"/>
            <charset val="1"/>
          </rPr>
          <t>Zádeczki Zalán:</t>
        </r>
        <r>
          <rPr>
            <sz val="9"/>
            <color indexed="81"/>
            <rFont val="Tahoma"/>
            <charset val="1"/>
          </rPr>
          <t xml:space="preserve">
Source: BORA_Devex_20261001.xlsx, Sheet1 W48+W50+W52 (fee 5.78 + cash deposit 802.51 + connection fee 2,203.73), frozen case, 02-Oct-26</t>
        </r>
      </text>
    </comment>
    <comment ref="J50" authorId="0" shapeId="0" xr:uid="{623C91E8-4F98-41BB-ABA4-6D41727CCB8F}">
      <text>
        <r>
          <rPr>
            <b/>
            <sz val="9"/>
            <color indexed="81"/>
            <rFont val="Tahoma"/>
            <charset val="1"/>
          </rPr>
          <t>Zádeczki Zalán:</t>
        </r>
        <r>
          <rPr>
            <sz val="9"/>
            <color indexed="81"/>
            <rFont val="Tahoma"/>
            <charset val="1"/>
          </rPr>
          <t xml:space="preserve">
Source: BORA_Devex_20261001.xlsx, Sheet1 W49+W51 (bank-guarantee bonds 2,725.95 less refund 261.77), frozen case, 02-Oct-26</t>
        </r>
      </text>
    </comment>
    <comment ref="J51" authorId="0" shapeId="0" xr:uid="{4E63EF46-4258-4882-AF75-D1691A857565}">
      <text>
        <r>
          <rPr>
            <b/>
            <sz val="9"/>
            <color indexed="81"/>
            <rFont val="Tahoma"/>
            <charset val="1"/>
          </rPr>
          <t>Zádeczki Zalán:</t>
        </r>
        <r>
          <rPr>
            <sz val="9"/>
            <color indexed="81"/>
            <rFont val="Tahoma"/>
            <charset val="1"/>
          </rPr>
          <t xml:space="preserve">
Source: BORA_Devex_20261001.xlsx, Sheet1 W53+W54 (land 425.38 + devex 2,662.44), frozen case, 02-Oct-26</t>
        </r>
      </text>
    </comment>
    <comment ref="J53" authorId="0" shapeId="0" xr:uid="{7D329AA1-8D01-44D6-B63F-DA3AD059901D}">
      <text>
        <r>
          <rPr>
            <b/>
            <sz val="9"/>
            <color indexed="81"/>
            <rFont val="Tahoma"/>
            <charset val="1"/>
          </rPr>
          <t>Zádeczki Zalán:</t>
        </r>
        <r>
          <rPr>
            <sz val="9"/>
            <color indexed="81"/>
            <rFont val="Tahoma"/>
            <charset val="1"/>
          </rPr>
          <t xml:space="preserve">
Source: BORA_Devex_20261001.xlsx, Sheet1 V37 (DSA 2,500 €/MW/yr from 26/10/2026), 02-Oct-26</t>
        </r>
      </text>
    </comment>
    <comment ref="J54" authorId="0" shapeId="0" xr:uid="{8937E60C-1148-4DAD-AF6F-C9DF8F39F411}">
      <text>
        <r>
          <rPr>
            <b/>
            <sz val="9"/>
            <color indexed="81"/>
            <rFont val="Tahoma"/>
            <charset val="1"/>
          </rPr>
          <t>Zádeczki Zalán:</t>
        </r>
        <r>
          <rPr>
            <sz val="9"/>
            <color indexed="81"/>
            <rFont val="Tahoma"/>
            <charset val="1"/>
          </rPr>
          <t xml:space="preserve">
Source: BORA_Devex_20261001.xlsx, Sheet1 V35 (transaction costs), 02-Oct-26</t>
        </r>
      </text>
    </comment>
    <comment ref="J55" authorId="0" shapeId="0" xr:uid="{5194F518-0687-44C0-B723-E550BECFA066}">
      <text>
        <r>
          <rPr>
            <b/>
            <sz val="9"/>
            <color indexed="81"/>
            <rFont val="Tahoma"/>
            <charset val="1"/>
          </rPr>
          <t>Zádeczki Zalán:</t>
        </r>
        <r>
          <rPr>
            <sz val="9"/>
            <color indexed="81"/>
            <rFont val="Tahoma"/>
            <charset val="1"/>
          </rPr>
          <t xml:space="preserve">
Source: BORA_Devex_20261001.xlsx, Sheet1 V38 (Distributable proceeds, interest frozen 30/06/2029), 02-Oct-26</t>
        </r>
      </text>
    </comment>
    <comment ref="J56" authorId="0" shapeId="0" xr:uid="{D6EAF98B-4CD4-45B0-9DEA-0BD44E7E2A77}">
      <text>
        <r>
          <rPr>
            <b/>
            <sz val="9"/>
            <color indexed="81"/>
            <rFont val="Tahoma"/>
            <charset val="1"/>
          </rPr>
          <t>Zádeczki Zalán:</t>
        </r>
        <r>
          <rPr>
            <sz val="9"/>
            <color indexed="81"/>
            <rFont val="Tahoma"/>
            <charset val="1"/>
          </rPr>
          <t xml:space="preserve">
Source: BORA_Devex_20261001.xlsx, Sheet1 V41 (Profit FGX 70%), frozen case, 02-Oct-26</t>
        </r>
      </text>
    </comment>
    <comment ref="J57" authorId="0" shapeId="0" xr:uid="{404E631E-1EE1-41EA-9B59-AF311B16A6B2}">
      <text>
        <r>
          <rPr>
            <b/>
            <sz val="9"/>
            <color indexed="81"/>
            <rFont val="Tahoma"/>
            <charset val="1"/>
          </rPr>
          <t>Zádeczki Zalán:</t>
        </r>
        <r>
          <rPr>
            <sz val="9"/>
            <color indexed="81"/>
            <rFont val="Tahoma"/>
            <charset val="1"/>
          </rPr>
          <t xml:space="preserve">
Source: BORA_Devex_20261001.xlsx, Sheet1 V42 (Profit FGX + interest − Devex), frozen case, 02-Oct-26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Zádeczki Zalán</author>
  </authors>
  <commentList>
    <comment ref="G11" authorId="0" shapeId="0" xr:uid="{112FC35D-B32F-4FB9-9399-B7094CCEBB7D}">
      <text>
        <r>
          <rPr>
            <b/>
            <sz val="9"/>
            <color indexed="81"/>
            <rFont val="Tahoma"/>
            <charset val="1"/>
          </rPr>
          <t>Zádeczki Zalán:</t>
        </r>
        <r>
          <rPr>
            <sz val="9"/>
            <color indexed="81"/>
            <rFont val="Tahoma"/>
            <charset val="1"/>
          </rPr>
          <t xml:space="preserve">
Source: BORA_Devex_20260921_FEP.xlsx, assumption U6 'FY rate (HUF/EUR)' = 370.</t>
        </r>
      </text>
    </comment>
    <comment ref="G21" authorId="0" shapeId="0" xr:uid="{E4D00549-C534-4DB3-9200-E678A4E758F6}">
      <text>
        <r>
          <rPr>
            <b/>
            <sz val="9"/>
            <color indexed="81"/>
            <rFont val="Tahoma"/>
            <charset val="1"/>
          </rPr>
          <t>User instruction 22-Sep-2026: BESS 100 MW / 200 MWh (2h). The FEP file assumes 4h / 400 MWh at U8/U10; the security base here is therefore 121,200 mHUF, not 161,200.</t>
        </r>
      </text>
    </comment>
    <comment ref="G31" authorId="0" shapeId="0" xr:uid="{CFFB9BF7-EFA3-4715-88B0-D4784A72E197}">
      <text>
        <r>
          <rPr>
            <b/>
            <sz val="9"/>
            <color indexed="81"/>
            <rFont val="Tahoma"/>
            <family val="2"/>
            <charset val="238"/>
          </rPr>
          <t>Zádeczki Zalán:</t>
        </r>
        <r>
          <rPr>
            <sz val="9"/>
            <color indexed="81"/>
            <rFont val="Tahoma"/>
            <family val="2"/>
            <charset val="238"/>
          </rPr>
          <t xml:space="preserve">
User instruction 22-Sep-2026: replicate the BORA_Devex_20260921_FEP.xlsx exit waterfall – DSA off the total proceeds first, then distributable split 70% FEP / 30% A.RES.</t>
        </r>
      </text>
    </comment>
    <comment ref="G82" authorId="0" shapeId="0" xr:uid="{EDCBD688-FA07-448C-8F8C-2BD20EF72DD2}">
      <text>
        <r>
          <rPr>
            <b/>
            <sz val="9"/>
            <color indexed="81"/>
            <rFont val="Tahoma"/>
            <charset val="1"/>
          </rPr>
          <t>Zádeczki Zalán:</t>
        </r>
        <r>
          <rPr>
            <sz val="9"/>
            <color indexed="81"/>
            <rFont val="Tahoma"/>
            <charset val="1"/>
          </rPr>
          <t xml:space="preserve">
Source: BORA_Devex_20260921_FEP.xlsx, U13 'Tender applications (no.)' = 2.</t>
        </r>
      </text>
    </comment>
    <comment ref="G83" authorId="0" shapeId="0" xr:uid="{28D3D0BF-6E93-4027-8E24-ADB71489077A}">
      <text>
        <r>
          <rPr>
            <b/>
            <sz val="9"/>
            <color indexed="81"/>
            <rFont val="Tahoma"/>
            <charset val="1"/>
          </rPr>
          <t>Zádeczki Zalán:</t>
        </r>
        <r>
          <rPr>
            <sz val="9"/>
            <color indexed="81"/>
            <rFont val="Tahoma"/>
            <charset val="1"/>
          </rPr>
          <t xml:space="preserve">
Source: BORA_Devex_20260921_FEP.xlsx, row 8 'Application bond (TSO)' = 4,500,000 HUF/MW x 200 MW = 900 mHUF. Cash only - cannot be provided as a bank guarantee (disclaimer 8).</t>
        </r>
      </text>
    </comment>
    <comment ref="G84" authorId="0" shapeId="0" xr:uid="{2C241C96-37BD-434B-A889-3B0A83E198EF}">
      <text>
        <r>
          <rPr>
            <b/>
            <sz val="9"/>
            <color indexed="81"/>
            <rFont val="Tahoma"/>
            <charset val="1"/>
          </rPr>
          <t>Zádeczki Zalán:</t>
        </r>
        <r>
          <rPr>
            <sz val="9"/>
            <color indexed="81"/>
            <rFont val="Tahoma"/>
            <charset val="1"/>
          </rPr>
          <t xml:space="preserve">
Source: BORA_Devex_20260921_FEP.xlsx, row 19 'Connection fee - Direct' = 508,345,804 HUF lump sum, expressed per MW at 200 MW. Line repurposed from the former 'kapacitaslekotesi biztositek', which has no counterpart in the FEP file.</t>
        </r>
      </text>
    </comment>
    <comment ref="G85" authorId="0" shapeId="0" xr:uid="{AE2937D5-183C-476B-9913-1C6D3D6940A3}">
      <text>
        <r>
          <rPr>
            <b/>
            <sz val="9"/>
            <color indexed="81"/>
            <rFont val="Tahoma"/>
            <charset val="1"/>
          </rPr>
          <t>Zádeczki Zalán:</t>
        </r>
        <r>
          <rPr>
            <sz val="9"/>
            <color indexed="81"/>
            <rFont val="Tahoma"/>
            <charset val="1"/>
          </rPr>
          <t xml:space="preserve">
Source: BORA_Devex_20260921_FEP.xlsx, row 18 'Connection fee - Indirect' = 73,071,306 HUF/MW (gross 14,614.26 mHUF at 200 MW, booked net of the 900 mHUF TSO application bond).</t>
        </r>
      </text>
    </comment>
    <comment ref="G86" authorId="0" shapeId="0" xr:uid="{3AB9A210-A776-48EF-9564-69461721C88E}">
      <text>
        <r>
          <rPr>
            <b/>
            <sz val="9"/>
            <color indexed="81"/>
            <rFont val="Tahoma"/>
            <charset val="1"/>
          </rPr>
          <t>Zádeczki Zalán:</t>
        </r>
        <r>
          <rPr>
            <sz val="9"/>
            <color indexed="81"/>
            <rFont val="Tahoma"/>
            <charset val="1"/>
          </rPr>
          <t xml:space="preserve">
Reference capacity re-based from the July-2026 draft (280 MW) to the FEP file basis (200 MW).</t>
        </r>
      </text>
    </comment>
    <comment ref="G87" authorId="0" shapeId="0" xr:uid="{E5E8A12E-7B93-4EAE-A4EF-DB2BE9F88EF5}">
      <text>
        <r>
          <rPr>
            <b/>
            <sz val="9"/>
            <color indexed="81"/>
            <rFont val="Tahoma"/>
            <charset val="1"/>
          </rPr>
          <t>BORA_Devex_20260921_FEP.xlsx totals restated for a 100 MW / 200 MWh BESS: wind legs unchanged, BESS leg of the application and performance bonds halved. FEP basis at 400 MWh was 24,497.61.</t>
        </r>
      </text>
    </comment>
    <comment ref="G88" authorId="0" shapeId="0" xr:uid="{58DB01AC-7D60-4855-BE8A-BE7932E1D16A}">
      <text>
        <r>
          <rPr>
            <b/>
            <sz val="9"/>
            <color indexed="81"/>
            <rFont val="Tahoma"/>
            <charset val="1"/>
          </rPr>
          <t>BORA_Devex_20260921_FEP.xlsx cell I54 (22,791.61) restated for a 100 MW / 200 MWh BESS.</t>
        </r>
      </text>
    </comment>
    <comment ref="F89" authorId="0" shapeId="0" xr:uid="{1C20270E-8A42-40C6-9FF3-07ABFA9561C4}">
      <text>
        <r>
          <rPr>
            <b/>
            <sz val="9"/>
            <color indexed="81"/>
            <rFont val="Tahoma"/>
            <charset val="1"/>
          </rPr>
          <t>Zádeczki Zalán:</t>
        </r>
        <r>
          <rPr>
            <sz val="9"/>
            <color indexed="81"/>
            <rFont val="Tahoma"/>
            <charset val="1"/>
          </rPr>
          <t xml:space="preserve">
Source: BORA_Devex_20260921_FEP.xlsx, assumption U12 'Benchmark CAPEX - BESS (HUF/MWh)' = 200,000,000.</t>
        </r>
      </text>
    </comment>
    <comment ref="G90" authorId="0" shapeId="0" xr:uid="{827E6818-08A9-45BA-855B-188E89808960}">
      <text>
        <r>
          <rPr>
            <b/>
            <sz val="9"/>
            <color indexed="81"/>
            <rFont val="Tahoma"/>
            <charset val="1"/>
          </rPr>
          <t>Zádeczki Zalán:</t>
        </r>
        <r>
          <rPr>
            <sz val="9"/>
            <color indexed="81"/>
            <rFont val="Tahoma"/>
            <charset val="1"/>
          </rPr>
          <t xml:space="preserve">
Source: BORA_Devex_20260921_FEP.xlsx, row 7 Performance bond formula ((base x 2.5%) x 1.5) less the application bond; comment 'w/ 50% extra'.</t>
        </r>
      </text>
    </comment>
    <comment ref="G95" authorId="0" shapeId="0" xr:uid="{39BEC13F-6E73-4E81-B996-C4E0F3096C0F}">
      <text>
        <r>
          <rPr>
            <b/>
            <sz val="9"/>
            <color indexed="81"/>
            <rFont val="Tahoma"/>
            <charset val="1"/>
          </rPr>
          <t>Zádeczki Zalán:</t>
        </r>
        <r>
          <rPr>
            <sz val="9"/>
            <color indexed="81"/>
            <rFont val="Tahoma"/>
            <charset val="1"/>
          </rPr>
          <t xml:space="preserve">
Source: BORA_Devex_20260921_FEP.xlsx, rows 5-6 payment date 2026-10-31.</t>
        </r>
      </text>
    </comment>
    <comment ref="G97" authorId="0" shapeId="0" xr:uid="{B6758B1F-C6C6-45DF-A4F1-DDECDB6E9C16}">
      <text>
        <r>
          <rPr>
            <b/>
            <sz val="9"/>
            <color indexed="81"/>
            <rFont val="Tahoma"/>
            <charset val="1"/>
          </rPr>
          <t>Zádeczki Zalán:</t>
        </r>
        <r>
          <rPr>
            <sz val="9"/>
            <color indexed="81"/>
            <rFont val="Tahoma"/>
            <charset val="1"/>
          </rPr>
          <t xml:space="preserve">
Source: BORA_Devex_20260921_FEP.xlsx, row 8 'Application bond (TSO)' payment date 2026-12-31.</t>
        </r>
      </text>
    </comment>
    <comment ref="G99" authorId="0" shapeId="0" xr:uid="{977F7DF7-BDEF-4230-9567-45DF617D7B9E}">
      <text>
        <r>
          <rPr>
            <b/>
            <sz val="9"/>
            <color indexed="81"/>
            <rFont val="Tahoma"/>
            <charset val="1"/>
          </rPr>
          <t>Zádeczki Zalán:</t>
        </r>
        <r>
          <rPr>
            <sz val="9"/>
            <color indexed="81"/>
            <rFont val="Tahoma"/>
            <charset val="1"/>
          </rPr>
          <t xml:space="preserve">
Source: BORA_Devex_20260921_FEP.xlsx, rows 18-19 connection fee payment date 2029-01-28.</t>
        </r>
      </text>
    </comment>
    <comment ref="G102" authorId="0" shapeId="0" xr:uid="{E8502CE1-BD9E-4B8D-BD08-DE21DDF58F20}">
      <text>
        <r>
          <rPr>
            <b/>
            <sz val="9"/>
            <color indexed="81"/>
            <rFont val="Tahoma"/>
            <charset val="1"/>
          </rPr>
          <t>Zádeczki Zalán:</t>
        </r>
        <r>
          <rPr>
            <sz val="9"/>
            <color indexed="81"/>
            <rFont val="Tahoma"/>
            <charset val="1"/>
          </rPr>
          <t xml:space="preserve">
Set so the performance bond falls on 2026-12-31, per BORA_Devex_20260921_FEP.xlsx row 7.</t>
        </r>
      </text>
    </comment>
    <comment ref="G103" authorId="0" shapeId="0" xr:uid="{9F0D222F-EDD1-40A0-967A-FF15EF8EB80B}">
      <text>
        <r>
          <rPr>
            <b/>
            <sz val="9"/>
            <color indexed="81"/>
            <rFont val="Tahoma"/>
            <charset val="1"/>
          </rPr>
          <t>Zádeczki Zalán:</t>
        </r>
        <r>
          <rPr>
            <sz val="9"/>
            <color indexed="81"/>
            <rFont val="Tahoma"/>
            <charset val="1"/>
          </rPr>
          <t xml:space="preserve">
Source: BORA_Devex_20260921_FEP.xlsx, rows 9-13: supplementary grid bonds paid 30 April each year.</t>
        </r>
      </text>
    </comment>
    <comment ref="G118" authorId="0" shapeId="0" xr:uid="{9FADC326-DDA1-49F4-AB1E-43D8C828B893}">
      <text>
        <r>
          <rPr>
            <b/>
            <sz val="9"/>
            <color indexed="81"/>
            <rFont val="Tahoma"/>
            <charset val="1"/>
          </rPr>
          <t>Zádeczki Zalán:</t>
        </r>
        <r>
          <rPr>
            <sz val="9"/>
            <color indexed="81"/>
            <rFont val="Tahoma"/>
            <charset val="1"/>
          </rPr>
          <t xml:space="preserve">
Bank guarantee per BORA_Devex_20260921_FEP.xlsx (Application bond, 6% fee).</t>
        </r>
      </text>
    </comment>
    <comment ref="G120" authorId="0" shapeId="0" xr:uid="{9F783EF3-D8FE-4C57-8BB2-B722602CDA4D}">
      <text>
        <r>
          <rPr>
            <b/>
            <sz val="9"/>
            <color indexed="81"/>
            <rFont val="Tahoma"/>
            <charset val="1"/>
          </rPr>
          <t>Zádeczki Zalán:</t>
        </r>
        <r>
          <rPr>
            <sz val="9"/>
            <color indexed="81"/>
            <rFont val="Tahoma"/>
            <charset val="1"/>
          </rPr>
          <t xml:space="preserve">
Cash per BORA_Devex_20260921_FEP.xlsx: Application bond (TSO) flagged 'NOT bank guarantee', 12%.</t>
        </r>
      </text>
    </comment>
    <comment ref="G168" authorId="0" shapeId="0" xr:uid="{1A472390-B552-45FF-B302-F7A78B54207E}">
      <text>
        <r>
          <rPr>
            <b/>
            <sz val="9"/>
            <color indexed="81"/>
            <rFont val="Tahoma"/>
            <family val="2"/>
            <charset val="238"/>
          </rPr>
          <t>Zádeczki Zalán:</t>
        </r>
        <r>
          <rPr>
            <sz val="9"/>
            <color indexed="81"/>
            <rFont val="Tahoma"/>
            <family val="2"/>
            <charset val="238"/>
          </rPr>
          <t xml:space="preserve">
User instruction 22-Sep-2026: BESS capex ~200 k€/MW on a power basis, i.e. 20,000 k€ for 100 MW. Capex only.</t>
        </r>
      </text>
    </comment>
    <comment ref="G227" authorId="0" shapeId="0" xr:uid="{2497A886-7B06-4A0C-B25A-8FC5D2C72782}">
      <text>
        <r>
          <rPr>
            <b/>
            <sz val="9"/>
            <color indexed="81"/>
            <rFont val="Tahoma"/>
            <family val="2"/>
            <charset val="238"/>
          </rPr>
          <t>Zádeczki Zalán:</t>
        </r>
        <r>
          <rPr>
            <sz val="9"/>
            <color indexed="81"/>
            <rFont val="Tahoma"/>
            <family val="2"/>
            <charset val="238"/>
          </rPr>
          <t xml:space="preserve">
Set to 0 on 22-Sep-2026: in the hold-to-COD case A.RES is bought out in full at the deemed exit (HTM rows 21-22), so the DSA is settled there, not again at COD.</t>
        </r>
      </text>
    </comment>
    <comment ref="G229" authorId="0" shapeId="0" xr:uid="{C6B087B1-D78C-436B-8F8A-909D0169B60C}">
      <text>
        <r>
          <rPr>
            <b/>
            <sz val="9"/>
            <color indexed="81"/>
            <rFont val="Tahoma"/>
            <family val="2"/>
            <charset val="238"/>
          </rPr>
          <t>Source: BORA_Devex_20260921_FEP.xlsx, FEP-proposal exit waterfall (exit 30-Jun-2029), cell AA58 'Profit + DSA Ventus+Solementore' = 6,639,523.72 EUR on gross proceeds AA47 = 30,000,000 EUR (150,000 EUR/MW x 200 MW), i.e. 33,197.62 EUR/MW. Built up as 30% of distributable proceeds AA51 plus the full 1,500,000 EUR DSA (=2,500 x 3 years x 200 MW). Party mapping confirmed by the user 22-Sep-2026: FGX = FEP, Ventus+Solementore = A.RES.</t>
        </r>
      </text>
    </comment>
    <comment ref="G233" authorId="0" shapeId="0" xr:uid="{7FD1B6AF-BF72-4753-B9ED-3FBC363002FB}">
      <text>
        <r>
          <rPr>
            <b/>
            <sz val="9"/>
            <color indexed="81"/>
            <rFont val="Tahoma"/>
            <charset val="1"/>
          </rPr>
          <t>Zádeczki Zalán:</t>
        </r>
        <r>
          <rPr>
            <sz val="9"/>
            <color indexed="81"/>
            <rFont val="Tahoma"/>
            <charset val="1"/>
          </rPr>
          <t xml:space="preserve">
User instruction 24-Sep-2026: FEP's intended bid offering is 20 k€/MW as the one-off local benefit (was 25, the mid-band estimate). Tender scoring gives points above 10 k€/MW, maximum at 50 k€/MW.</t>
        </r>
      </text>
    </comment>
    <comment ref="G234" authorId="0" shapeId="0" xr:uid="{32699610-95AA-4201-9510-CDD3456A383E}">
      <text>
        <r>
          <rPr>
            <b/>
            <sz val="9"/>
            <color indexed="81"/>
            <rFont val="Tahoma"/>
            <charset val="1"/>
          </rPr>
          <t>Zádeczki Zalán:</t>
        </r>
        <r>
          <rPr>
            <sz val="9"/>
            <color indexed="81"/>
            <rFont val="Tahoma"/>
            <charset val="1"/>
          </rPr>
          <t xml:space="preserve">
User instruction 24-Sep-2026: FEP's intended bid offering is 2 €/MWh of the operating asset's income (was 2.5, the mid-band estimate). Tender scoring gives points above 2 €/MWh, maximum at 3 €/MWh.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tc={04D62E7A-AFB2-40A9-BDDD-9FFE4B3D85DD}</author>
  </authors>
  <commentList>
    <comment ref="C20" authorId="0" shapeId="0" xr:uid="{04D62E7A-AFB2-40A9-BDDD-9FFE4B3D85DD}">
      <text>
        <t>[Threaded comment]
Your version of Excel allows you to read this threaded comment; however, any edits to it will get removed if the file is opened in a newer version of Excel. Learn more: https://go.microsoft.com/fwlink/?linkid=870924
Comment:
    Source: Aurora Q2 2026 HUN Power &amp; Renewables Market Forecast (Aurora_Q2_26_HUN_Power_Renewables_Market_Forecast_Data.xlsx), via shared file hungary_wind_capture_price_aurora_q2_2026.json, 34 rows (2027–2060) written 2026-09-07. Uploaded file / shared from the Aurora workbook; not a query. €/MWh real 2025, calendar-year averages; wind = onshore wind uncurtailed capture price (source rows: baseload 21, uncurtailed 76, curtailed&lt;0 82, curtailment % 89). D:I, M:R as delivered (curtailment converted from % points to fraction); J:K nominal via E19/G19.</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Zádeczki Zalán</author>
  </authors>
  <commentList>
    <comment ref="I18" authorId="0" shapeId="0" xr:uid="{BA24F3F9-56DC-4151-9B89-EB2CC2470308}">
      <text>
        <r>
          <rPr>
            <b/>
            <sz val="9"/>
            <color indexed="81"/>
            <rFont val="Tahoma"/>
            <charset val="1"/>
          </rPr>
          <t>Zádeczki Zalán:</t>
        </r>
        <r>
          <rPr>
            <sz val="9"/>
            <color indexed="81"/>
            <rFont val="Tahoma"/>
            <charset val="1"/>
          </rPr>
          <t xml:space="preserve">
FEP rule: the indirect connection fee is booked net of the TSO application bond only (900 mHUF). Source: BORA_Devex_20260921_FEP.xlsx row 18.</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Zádeczki Zalán</author>
  </authors>
  <commentList>
    <comment ref="E41" authorId="0" shapeId="0" xr:uid="{AC5B0601-7674-4CAB-9536-A3348649F2A5}">
      <text>
        <r>
          <rPr>
            <b/>
            <sz val="9"/>
            <color indexed="81"/>
            <rFont val="Tahoma"/>
            <charset val="1"/>
          </rPr>
          <t>Source: BORA_Devex_20260921_FEP.xlsx Sheet1 rows 8, 18, 19 and disclaimers 1 and 8, confirmed by the file owner 21-Sep-2026. Shared file bora_deposits_securities.csv.</t>
        </r>
      </text>
    </comment>
    <comment ref="E42" authorId="0" shapeId="0" xr:uid="{BD356B06-08CC-4C93-918B-989C4802B136}">
      <text>
        <r>
          <rPr>
            <b/>
            <sz val="9"/>
            <color indexed="81"/>
            <rFont val="Tahoma"/>
            <charset val="1"/>
          </rPr>
          <t>Source: BORA_Devex_20260921_FEP.xlsx, shared file bora_devex_line_items.csv, 34 lines flagged 'cash / equity devex (20%)'; the undated 'Continuous' lines confirmed by the file owner 21-Sep-2026.</t>
        </r>
      </text>
    </comment>
    <comment ref="E43" authorId="0" shapeId="0" xr:uid="{CCFE2755-12D0-4A71-954F-D6FCA463CA91}">
      <text>
        <r>
          <rPr>
            <b/>
            <sz val="9"/>
            <color indexed="81"/>
            <rFont val="Tahoma"/>
            <charset val="1"/>
          </rPr>
          <t>Source: BORA_Devex_20260921_FEP.xlsx Sheet1, FEP proposal column Q and the 'FEP proposal Exit: 2029.06.30' proceeds block; confirmed by the file owner 21-Sep-2026.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Zádeczki Zalán</author>
  </authors>
  <commentList>
    <comment ref="B4" authorId="0" shapeId="0" xr:uid="{0E1EBFBB-1235-4DC7-9604-2B027C75FDC8}">
      <text>
        <r>
          <rPr>
            <b/>
            <sz val="9"/>
            <color indexed="81"/>
            <rFont val="Tahoma"/>
            <charset val="1"/>
          </rPr>
          <t>Zádeczki Zalán:</t>
        </r>
        <r>
          <rPr>
            <sz val="9"/>
            <color indexed="81"/>
            <rFont val="Tahoma"/>
            <charset val="1"/>
          </rPr>
          <t xml:space="preserve">
Source: BORA_Devex_20260925.xlsx (Sheet1, FEP view rows 14–17, 20–49), 34 rows, shared 29/09/2026 as bora_devex_fep_v2.json. From a connected Excel session; not recalculated by Claude. Contingency row is a formula (Inputs E68).</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<sst xmlns="http://schemas.openxmlformats.org/spreadsheetml/2006/main" count="4010" uniqueCount="2653">
  <si>
    <t>Unit</t>
  </si>
  <si>
    <t>Live</t>
  </si>
  <si>
    <t>%</t>
  </si>
  <si>
    <t>MOIC</t>
  </si>
  <si>
    <t>x</t>
  </si>
  <si>
    <t>Input</t>
  </si>
  <si>
    <t>Case #</t>
  </si>
  <si>
    <t>#</t>
  </si>
  <si>
    <t>Case name</t>
  </si>
  <si>
    <t>Name</t>
  </si>
  <si>
    <t>Spare</t>
  </si>
  <si>
    <t>Case description</t>
  </si>
  <si>
    <t>Text</t>
  </si>
  <si>
    <t>EUR / HUF</t>
  </si>
  <si>
    <t>RTB premium</t>
  </si>
  <si>
    <t>Date</t>
  </si>
  <si>
    <t>Months</t>
  </si>
  <si>
    <t>Total</t>
  </si>
  <si>
    <t>Deposits</t>
  </si>
  <si>
    <t>Case</t>
  </si>
  <si>
    <t>RTB flag</t>
  </si>
  <si>
    <t>Flag</t>
  </si>
  <si>
    <t>MW</t>
  </si>
  <si>
    <t>Inputs</t>
  </si>
  <si>
    <t>Capacity</t>
  </si>
  <si>
    <t>Successful capacity</t>
  </si>
  <si>
    <t>Failed capacity</t>
  </si>
  <si>
    <t>RTB sale premium</t>
  </si>
  <si>
    <t>Repayment at sale</t>
  </si>
  <si>
    <t>Switch</t>
  </si>
  <si>
    <t>1M EURIBOR Aug-25</t>
  </si>
  <si>
    <t>Source: Chatham financial, 28/8/25</t>
  </si>
  <si>
    <t>Opening balance</t>
  </si>
  <si>
    <t>Closing balance</t>
  </si>
  <si>
    <t>1M EURIBOR Nov-25</t>
  </si>
  <si>
    <t>Bora Onshore wind</t>
  </si>
  <si>
    <t>FEP base case</t>
  </si>
  <si>
    <t>Signing fee</t>
  </si>
  <si>
    <t>1M EURIBOR Jul-26</t>
  </si>
  <si>
    <t>Source: Chatham financial, 10/11/25</t>
  </si>
  <si>
    <t>Source: Chatham financial, 22/07/26</t>
  </si>
  <si>
    <t>Cumulative</t>
  </si>
  <si>
    <t>Devex</t>
  </si>
  <si>
    <t>Success fee cap</t>
  </si>
  <si>
    <t>Accrual</t>
  </si>
  <si>
    <t>Total devex</t>
  </si>
  <si>
    <t>Total proceeds</t>
  </si>
  <si>
    <t>Distributable proceeds</t>
  </si>
  <si>
    <t>Share of distributable proceeds</t>
  </si>
  <si>
    <t>Sale flag</t>
  </si>
  <si>
    <t>Total inflows</t>
  </si>
  <si>
    <t>Economic profit</t>
  </si>
  <si>
    <t>Check</t>
  </si>
  <si>
    <t>Unlevered IRR</t>
  </si>
  <si>
    <t>Bid bond</t>
  </si>
  <si>
    <t>Performance bond</t>
  </si>
  <si>
    <t>Checks</t>
  </si>
  <si>
    <t>Status</t>
  </si>
  <si>
    <t>Financing</t>
  </si>
  <si>
    <t>Construction</t>
  </si>
  <si>
    <t>Operations</t>
  </si>
  <si>
    <t>Open items</t>
  </si>
  <si>
    <t>Every assumption not recoverable from the source model, every amber cell, and every explicit assumption made in its place.</t>
  </si>
  <si>
    <t>Category</t>
  </si>
  <si>
    <t>Item</t>
  </si>
  <si>
    <t>Why it is open</t>
  </si>
  <si>
    <t>Interim treatment</t>
  </si>
  <si>
    <t>Owner</t>
  </si>
  <si>
    <t>Design</t>
  </si>
  <si>
    <t>Calendar structure</t>
  </si>
  <si>
    <t>Monthly-to-COD plus quarterly operations, versus one quarterly grid throughout. Three incompatible calendars in play (MOIC monthly x31, source SPV quarterly x143, source HoldCo monthly to 2065).</t>
  </si>
  <si>
    <t>User</t>
  </si>
  <si>
    <t>280 MW: one asset or several</t>
  </si>
  <si>
    <t/>
  </si>
  <si>
    <t>Primary output orientation</t>
  </si>
  <si>
    <t>Keep JV MOIC / IRR as headline with the SPV feeding it, versus reorienting to an SPV project-finance model with MOIC as a read-off.</t>
  </si>
  <si>
    <t>Scope</t>
  </si>
  <si>
    <t>Hungarian input scaffolding</t>
  </si>
  <si>
    <t>Whether to scaffold the ~40-60 blank Hungarian revenue and OPEX input lines now or wait for the yield study and HUPX curve.</t>
  </si>
  <si>
    <t>CAPEX</t>
  </si>
  <si>
    <t>"CMA" CAPEX line</t>
  </si>
  <si>
    <t>Undocumented acronym in the source (Asset Scenarios D148, PLN 4,000k, own drawdown curve, sits between BOP and the spare line). No definition anywhere in the source workbook.</t>
  </si>
  <si>
    <t>Excluded pending definition. Suspected connection-adjacent but not asserted.</t>
  </si>
  <si>
    <t>Deal team</t>
  </si>
  <si>
    <t>Failed capacity after RTB</t>
  </si>
  <si>
    <t>The MOIC model splits successful / failed capacity pre-RTB. There is no post-RTB analogue; the source is a single 45 MW project with capacity fixed.</t>
  </si>
  <si>
    <t>Explicit assumption: Stages 2-3 run on successful capacity only.</t>
  </si>
  <si>
    <t>Tax</t>
  </si>
  <si>
    <t>Exit tax / CGT treatment</t>
  </si>
  <si>
    <t>Current Calculation r239 / r267 apply a flat 9% to pre-tax profit at sale: no base cost, no participation-exemption test, no share-vs-asset switch. The source has the same shortcut at 19% and is no help.</t>
  </si>
  <si>
    <t>Tax adviser</t>
  </si>
  <si>
    <t>Valuation</t>
  </si>
  <si>
    <t>Discount rate build-up</t>
  </si>
  <si>
    <t>No build-up anywhere. Stat_inp E25 cost of capital 8.9% is a bare input; the source hardcodes 7% / 10% NPV rates and an 8.5% buyer IRR.</t>
  </si>
  <si>
    <t>FX / indexation</t>
  </si>
  <si>
    <t>Double-indexation method choice</t>
  </si>
  <si>
    <t>A HUF cost indexed at HU CPI and converted at a forward curve embedding the inflation differential is inflated twice. Every HUF-denominated HU-CPI-indexed line is exposed.</t>
  </si>
  <si>
    <t>Lender treatment of refundable deposits</t>
  </si>
  <si>
    <t>Whether lenders fund refundable deposits is a negotiation point. In the source the deposit sits at HoldCo, outside project funding, so it never enters the funding requirement or IDC.</t>
  </si>
  <si>
    <t>Deposits to be brought inside the funding requirement and IDC at project level; lender funding assumption to be stated as a switch.</t>
  </si>
  <si>
    <t>VAT</t>
  </si>
  <si>
    <t>VAT scope of deposits and guarantee fees</t>
  </si>
  <si>
    <t>Whether refundable deposits and guarantee fees are within VAT scope is not determinable from the source.</t>
  </si>
  <si>
    <t>Convention</t>
  </si>
  <si>
    <t>Colour convention collision</t>
  </si>
  <si>
    <t>Stage 1 already uses blue font on cream #FFF2CC for inputs and green font #00B050 for cross-sheet links. The spec's amber-awaiting and green-confirmed collide with both.</t>
  </si>
  <si>
    <t>Stage 1 left untouched. New sheets use a stronger amber #FFC000 for awaiting-input to distinguish it from the cream input fill; green used as fill only, never font.</t>
  </si>
  <si>
    <t>Noted - no action</t>
  </si>
  <si>
    <t>Resolved</t>
  </si>
  <si>
    <t>Generation</t>
  </si>
  <si>
    <t>Hungarian wind resource</t>
  </si>
  <si>
    <t>Source capacity factor 31.94%, P50 125,900 MWh and the monthly seasonality shape are Polish site-specific and must not be reused.</t>
  </si>
  <si>
    <t/>
  </si>
  <si>
    <t>Change log</t>
  </si>
  <si>
    <t>Phase</t>
  </si>
  <si>
    <t>Sheet</t>
  </si>
  <si>
    <t>Cell / Range</t>
  </si>
  <si>
    <t>What changed</t>
  </si>
  <si>
    <t>Old</t>
  </si>
  <si>
    <t>New</t>
  </si>
  <si>
    <t>Source</t>
  </si>
  <si>
    <t>0 - Scaffolding</t>
  </si>
  <si>
    <t>New sheet</t>
  </si>
  <si>
    <t>Created Checks sheet. Stage 1 regression block (C7:I13) with the four baseline targets as labelled reference inputs, live links to Calculation, delta, tolerance and pass/fail. Plus the 14 integrity-check rows scaffolded (C19:I34), all marked Not built.</t>
  </si>
  <si>
    <t>n/a - new</t>
  </si>
  <si>
    <t>MOIC 2.529x / IRR 81.2% / Futureal EUR 24,364.8k / Developer EUR 8,598.4k</t>
  </si>
  <si>
    <t>Calculation F234 / F233 / F230 / F269; agreed Q6</t>
  </si>
  <si>
    <t>Open_Items</t>
  </si>
  <si>
    <t>Created Open_Items sheet with 13 items logged: the four escalated design decisions, CMA, post-RTB failed capacity, exit tax, discount rate, double-indexation, lender treatment of deposits, VAT scope, colour convention, Hungarian wind resource.</t>
  </si>
  <si>
    <t>13 items, 11 Open / 1 Resolved</t>
  </si>
  <si>
    <t>bora_expansion_spec.md; moic_extension_answers.md</t>
  </si>
  <si>
    <t>Change_Log</t>
  </si>
  <si>
    <t>Created this change log.</t>
  </si>
  <si>
    <t>n/a</t>
  </si>
  <si>
    <t>Working rule 13</t>
  </si>
  <si>
    <t>Stat_inp / Dyn_Inp / Calculation</t>
  </si>
  <si>
    <t>None</t>
  </si>
  <si>
    <t>Stage 1 deliberately left untouched, including its colour convention. New sheets use blue-input / amber-awaiting (#FFC000) / green-confirmed; Stage 1 keeps blue-on-cream inputs and green-font cross-sheet links. Inconsistency accepted to keep the Stage 1 regression diff readable.</t>
  </si>
  <si>
    <t>unchanged</t>
  </si>
  <si>
    <t>Agreed point 9</t>
  </si>
  <si>
    <t>RESOLVED 03-Sep-2026: single monthly periodicity throughout, full operating life, one shared calendar keyed off one Timeline sheet. No monthly/quarterly split. ~430-480 monthly columns.</t>
  </si>
  <si>
    <t>RESOLVED 03-Sep-2026: 200 MW, single asset, one construction period, one COD, one operating block. Turbine count = capacity / unit MW.</t>
  </si>
  <si>
    <t>RESOLVED 03-Sep-2026: FEP MOIC/IRR stays the headline, SPV feeds it from below. FEP owns 100%, so no competing reporting layer.</t>
  </si>
  <si>
    <t>RESOLVED 03-Sep-2026: scaffold the complete blank amber Hungarian frame now, every value blank, no placeholder defaults.</t>
  </si>
  <si>
    <t>Closed</t>
  </si>
  <si>
    <t>Is 200 MW pipeline or post-conversion?</t>
  </si>
  <si>
    <t>Not resolved when capacity was cut from 280 MW. Whether 200 MW is the target pipeline (conversion 100%, so successful capacity = 200 MW) or is already the post-conversion successful capacity from a larger pipeline.</t>
  </si>
  <si>
    <t>Entered as 200 MWp gross with conversion at 100%, so successful capacity carried into Stages 2-3 = 200 MW either way. Stat_inp G29 = 200, G31 = 100%.</t>
  </si>
  <si>
    <t>Turbine unit size (MW / WTG)</t>
  </si>
  <si>
    <t>Drives turbine count and therefore every per-WTG cost in Stages 2-3. Source used 3.0 MW, which is Polish and superseded; modern Hungarian machines are larger.</t>
  </si>
  <si>
    <t>Assumptions E19 left blank amber. Turbine count on E20 stays blank until it is supplied - no default applied.</t>
  </si>
  <si>
    <t>Model mechanics</t>
  </si>
  <si>
    <t>What-If data tables recalculate on every edit</t>
  </si>
  <si>
    <t>Me / peer</t>
  </si>
  <si>
    <t>1 - Conversion</t>
  </si>
  <si>
    <t>C4:J13</t>
  </si>
  <si>
    <t>Restructured the Stage-1 block into two baselines per the peer's correction. Baseline 1 (col E) is now a documented pre-conversion reference with no pass/fail. Baseline 2 (col F) is the live regression target. Status formulas read 'Not baselined' until Baseline 2 is populated, so the guard cannot fire spuriously.</t>
  </si>
  <si>
    <t>Single target col, live pass/fail vs 2.529x</t>
  </si>
  <si>
    <t>Two baselines, guard vs Baseline 2</t>
  </si>
  <si>
    <t>moic_design_decisions.md s.5</t>
  </si>
  <si>
    <t>Assumptions</t>
  </si>
  <si>
    <t>New sheet, C5:F20</t>
  </si>
  <si>
    <t>Created Assumptions sheet. Block 1 deal structure and ownership (JV master switch, FEP/Developer shares, success-fee flag). Block 2 capacity and turbine count, with turbine unit size left blank amber and turbine count blank until supplied.</t>
  </si>
  <si>
    <t>JV switch = 0 (FEP 100%)</t>
  </si>
  <si>
    <t>moic_design_decisions.md s.2, s.3</t>
  </si>
  <si>
    <t>Stat_inp</t>
  </si>
  <si>
    <t>G29</t>
  </si>
  <si>
    <t>Capacity reduced from 280 MWp to 200 MWp. Conversion rate G31 left at 100%, so successful capacity carried into Stages 2-3 = 200 MW. Entered on the case-1 column so the existing case selector and the data tables keep working.</t>
  </si>
  <si>
    <t>moic_design_decisions.md s.2; user confirmed</t>
  </si>
  <si>
    <t>Calculation</t>
  </si>
  <si>
    <t>F42</t>
  </si>
  <si>
    <t>Futureal share of net proceeds re-routed through the JV master switch. Now returns 100% under FEP sole ownership; reverts to Stat_inp E36 (70%) if the switch is turned back on. The G42 manual override is preserved. F43 developer share falls out at nil.</t>
  </si>
  <si>
    <t>=IF(ISBLANK(G42), Stat_inp!E36, G42) -&gt; 70%</t>
  </si>
  <si>
    <t>=IF(ISBLANK(G42), Assumptions!$E$9, G42) -&gt; 100%</t>
  </si>
  <si>
    <t>moic_design_decisions.md s.3</t>
  </si>
  <si>
    <t>F25</t>
  </si>
  <si>
    <t>Developer success fee p.a. gated by the same master switch. Returns nil under FEP 100%, which zeroes the accrual (r79), the payment at RTB (r83) and the waterfall deduction (F194). Mechanics retained not deleted, so the JV case is reinstatable from one cell.</t>
  </si>
  <si>
    <t>=Stat_inp!E46 -&gt; 2.5 EURk/MW</t>
  </si>
  <si>
    <t>=IF(Assumptions!$E$11=1, Stat_inp!E46, 0) -&gt; nil</t>
  </si>
  <si>
    <t>F8:F11</t>
  </si>
  <si>
    <t>Baseline 2 recorded and the regression guard activated. Reads ALL OK. Re-base reason: the 280 -&gt; 200 MW capacity cut and the switch to FEP 100% both intentionally moved the Stage-1 outputs, so Baseline 1 could not serve as a guard. Note net profit lands near Baseline 1 by coincidence - the capacity cut and the larger proceeds share largely offset.</t>
  </si>
  <si>
    <t>MOIC 2.529x / IRR 81.2% / EURk 24,364.8 / Dev EURk 8,598.4</t>
  </si>
  <si>
    <t>MOIC 3.142x / IRR 103.7% / EURk 24,297.0 / Dev nil</t>
  </si>
  <si>
    <t>Calculation F234/F233/F230/F269, settled read</t>
  </si>
  <si>
    <t>Rows 6-9, 19-21</t>
  </si>
  <si>
    <t>Items 1-4 closed as Resolved with the confirmed decisions recorded. Three new items opened: whether 200 MW is pipeline or post-conversion capacity, turbine unit size awaiting input, and the Stat_inp What-If data tables as a recalculation and performance risk on the extended grid.</t>
  </si>
  <si>
    <t>13 items, 11 Open</t>
  </si>
  <si>
    <t>16 items, 10 Open / 5 Resolved</t>
  </si>
  <si>
    <t>moic_design_decisions.md</t>
  </si>
  <si>
    <t>E7, F7, K7:K13</t>
  </si>
  <si>
    <t>Baseline headers restated to name the capacity and ownership basis and the freeze date on the face of the sheet. Added an informational 'Delta vs Baseline 1' column with no pass/fail, quantifying the intended re-base: MOIC +0.613x, IRR +22.5pp, net profit -EUR 67.8k, Developer -EUR 8,598.4k. Link integrity at freeze (max abs delta 3.3e-11) recorded in the Baseline 1 note as evidence the deltas are intended, not link error.</t>
  </si>
  <si>
    <t>Baseline basis implicit, no re-base quantification</t>
  </si>
  <si>
    <t>Basis and freeze date on the face; re-base quantified</t>
  </si>
  <si>
    <t>moic_regression_correction.md s.2</t>
  </si>
  <si>
    <t>Source reference (Polish precedent - do NOT default into a cell)</t>
  </si>
  <si>
    <t>Stat_inp rows 137-157 hold four {=TABLE(G23,C148)} data tables driven off the RTB premium input. They substituted values into G23 on every recalculation, so intermediate reads returned values from a different premium: MOIC was read as 2.98x (premium 200) before a settled re-read gave the true 2.529x (premium 150). On the extended monthly grid they would recalculate the whole model seven times per edit.</t>
  </si>
  <si>
    <t>FIXED 03-Sep-2026: workbook calculation mode set to Automatic except for data tables. The model recalculates normally; the four tables only on explicit F9. DO NOT revert this setting - it is what prevents both the seven-fold recalculation and the mid-recalc misread. Also treat rows 137-157 as READ-ONLY: a {=TABLE()} array cannot be written back through the API, so if cleared it cannot be restored. Build every new Stage 2-4 sensitivity as direct cell formulas instead, odd rows and columns with the base case highlighted in the centre.</t>
  </si>
  <si>
    <t>Timeline</t>
  </si>
  <si>
    <t>Construction duration (months)</t>
  </si>
  <si>
    <t>Drives the RTB -&gt; COD chain and therefore the position of every construction, financing and operating flag on the Timeline grid.</t>
  </si>
  <si>
    <t>Left blank amber on Assumptions. Flags return nil until supplied. Not defaulted.</t>
  </si>
  <si>
    <t>Pre-commissioning lag (months before COD)</t>
  </si>
  <si>
    <t>Sets the pre-commissioning window between mechanical completion and COD.</t>
  </si>
  <si>
    <t>Operating life (years)</t>
  </si>
  <si>
    <t>Sets the end of the operating block and therefore the total column count of the monthly grid.</t>
  </si>
  <si>
    <t>Left blank amber on Assumptions. Grid is sized off a separate documented structural horizon input so the column count does not depend on this cell.</t>
  </si>
  <si>
    <t>35 years (Polish source). Reference only.</t>
  </si>
  <si>
    <t>Staggered turbine energisation</t>
  </si>
  <si>
    <t>Workbook</t>
  </si>
  <si>
    <t>Calculation mode</t>
  </si>
  <si>
    <t>Calculation mode set to Automatic except for data tables, verified as AutomaticExceptTables. Removes the seven-fold recalculation from the four Stat_inp What-If tables and the mid-recalc misread risk. DO NOT REVERT. Stat_inp rows 137-157 are now treated as read-only: a {=TABLE()} array cannot be written back through the API, so clearing it is irreversible.</t>
  </si>
  <si>
    <t>Automatic</t>
  </si>
  <si>
    <t>AutomaticExceptTables</t>
  </si>
  <si>
    <t>moic_conversion_response.md s.3</t>
  </si>
  <si>
    <t>Inserted rows 15:19</t>
  </si>
  <si>
    <t>Net-profit coincidence escalated from a cell comment to a visible bordered warning block on the face of the sheet, directly beneath the baseline comparison. States that EUR 24,297.0k vs EUR 24,364.8k is coincidence, why the two effects offset, and that MOIC, IRR and the nil Developer line are the metrics that actually moved. Five rows inserted, so the integrity-check scaffold moved from rows 16-34 to rows 21-39.</t>
  </si>
  <si>
    <t>Cell comment only, invisible unless hovered</t>
  </si>
  <si>
    <t>Visible bordered warning block, Checks C15:K19</t>
  </si>
  <si>
    <t>moic_conversion_response.md s.2</t>
  </si>
  <si>
    <t>I5, E21:F21, H21, rows 22-25</t>
  </si>
  <si>
    <t>Added a 'Source reference (Polish precedent - do NOT default into a cell)' column. Item 16 restated with the mid-recalc misread as the reason and the calculation-mode fix recorded, status Mitigated. Four new timeline items (17-20) carrying the Polish reference durations - 24 months construction, 9 months pre-commissioning, 35 years operating life, ~5 weeks staggered energisation - as reference text only, entered in no input cell.</t>
  </si>
  <si>
    <t>16 items, no source reference column</t>
  </si>
  <si>
    <t>20 items, 10 Open / 5 Resolved / 1 Mitigated / 4 new Open</t>
  </si>
  <si>
    <t>moic_conversion_response.md s.3, s.6</t>
  </si>
  <si>
    <t>RTB date</t>
  </si>
  <si>
    <t>NTP / FID lag after RTB</t>
  </si>
  <si>
    <t>Operating life</t>
  </si>
  <si>
    <t>Years</t>
  </si>
  <si>
    <t>2 - Timeline</t>
  </si>
  <si>
    <t>Rows 22-50</t>
  </si>
  <si>
    <t>Added block 3 (Timeline chain) and block 4 (Grid dimension). Chain derives from the existing Stage 1 grid: investment date links to Calculation H199 and the RTB month offset to Calculation H36, giving RTB 2028-09-30 and sell-at-RTB 2028-12-31. Six amber inputs left blank (NTP/FID lag, construction duration, pre-commissioning lag, operating life, debt payment frequency, first payment after COD), so all five derived dates return nil rather than a guessed date. Grid sized off a separate structural horizon input of 480 months (481 columns), documented in a note as a spreadsheet dimension and NOT an operating-life estimate, so the column count never depends on the blank operating-life cell. Coverage check at E50 reads 'Chain inputs blank' and will read OK or HORIZON TOO SHORT once the chain lands.</t>
  </si>
  <si>
    <t>No timeline chain; no documented grid horizon</t>
  </si>
  <si>
    <t>Chain derived, 6 amber inputs blank, horizon 480 months</t>
  </si>
  <si>
    <t>moic_conversion_response.md s.6</t>
  </si>
  <si>
    <t>Period end date</t>
  </si>
  <si>
    <t>Timeline (new sheet)</t>
  </si>
  <si>
    <t>A1:RT56</t>
  </si>
  <si>
    <t>Timeline sheet built: single monthly calendar, month 0 to month 480 in columns H to RT (481 columns), frozen at column G. Five blocks: (1) month offsets derived from Assumptions, (2) monthly grid - month count, period start and end dates, calendar year and month, operating year counter, (3) ten stage flags - development, RTB, project sale, NTP/FID, construction, pre-commissioning, COD, operations, end of operating life, equity investment, (4) payment calendar - months since COD, debt payment date, first debt payment, DSCR test date, monthly interest accrual, (5) nine integrity checks with an overall status. Month 480 lands on 2066-07-31. No date or duration is hardcoded on this sheet; every offset derives from Assumptions.</t>
  </si>
  <si>
    <t>No timeline sheet; no shared calendar</t>
  </si>
  <si>
    <t>481-column monthly grid, 10 stage flags, payment calendar, 9 checks</t>
  </si>
  <si>
    <t>moic_design_decisions.md s.1, s.7; moic_conversion_response.md s.6</t>
  </si>
  <si>
    <t>E31:E36 (TEMPORARY - now cleared)</t>
  </si>
  <si>
    <t>TEMPORARY TEST VALUES entered to prove the flag logic, then cleared. Entered: E31 NTP/FID lag = 3, E32 construction duration = 24, E33 pre-commissioning lag = 9, E34 operating life = 35, E35 debt payment frequency = 3, E36 first payment after COD = 3. Verified: offsets NTP 29, construction start 30, COD 53, pre-commissioning start 45, first operating month 54, end of life 473, first debt payment 56. Flag counts construction 24, pre-commissioning 9, operations 420, debt payments 140, DSCR tests 140, interest accrual 444 (= 24 + 420), COD 1, end of life 1, equity 1. Operating year counter ran 1 to 35 over 420 months with exactly 12 months in the first and last year. All nine integrity checks read OK. THEN CLEARED: E31:E36 re-read as empty in both values and formulas, amber fill #FFC000 preserved, all six derived dates on Assumptions blank, all seven chain-dependent Timeline offsets blank, and every chain-dependent flag sum back to nil. Stage 1 flags correctly still live (RTB 1, development 27, sale 1). Stage 1 regression guard re-read as ALL OK, unmoved. No test value survived.</t>
  </si>
  <si>
    <t>Six amber cells blank</t>
  </si>
  <si>
    <t>Six amber cells blank - confirmed by re-read after clearing</t>
  </si>
  <si>
    <t>moic_conversion_response.md s.6 constraint 1</t>
  </si>
  <si>
    <t>Construction 24 months IN TOTAL, of which the final 9 months are the pre-commissioning period - overlapping, NOT sequential. Source: construction 01-Jul-25 to 30-Jun-27, pre-commissioning 01-Oct-26 to 30-Jun-27, operations start 01-Jul-27. Reference only.</t>
  </si>
  <si>
    <t>9 months, sitting INSIDE the 24-month construction window and ending on the same day construction ends. NOT additional to the 24 months - total chain is 24 months. Source: pre-commissioning 01-Oct-26 to 30-Jun-27. Reference only.</t>
  </si>
  <si>
    <t>Left blank amber on Assumptions. Modelled as the final months inside the construction window: COD = RTB + NTP lag + construction duration, and pre-commissioning start = COD minus this lag. Verified against the source dates and confirmed correct. Timeline check 8 enforces that the window stays inside construction.</t>
  </si>
  <si>
    <t>About 5 weeks of staggered energisation, 16-Oct-26 to 18-Nov-26, beginning roughly 8.5 months BEFORE COD (01-Jul-27) and near the START of the pre-commissioning window - not immediately before COD. Reference only.</t>
  </si>
  <si>
    <t>Whether turbines energise together or stagger over several weeks, which affects when the first test energy is produced and the shape of the generation ramp.</t>
  </si>
  <si>
    <t>Not modelled as a stagger: single energisation start date per the single-asset decision. The energisation start itself IS modelled - see Assumptions E37 and the energised-pre-COD flag on Timeline row 33. Revisit the stagger only if the deal team confirms the intra-window shape matters.</t>
  </si>
  <si>
    <t>Revenue / Tax</t>
  </si>
  <si>
    <t>Test-energy revenue in the energised-but-pre-COD window</t>
  </si>
  <si>
    <t>Turbines are energised well before COD, so the project generates and can export energy for several months before commercial operation begins. In the Polish source that window was roughly eight months (energisation from 16-Oct-26, COD 01-Jul-27). Two questions, both unanswered: (a) does that test energy earn revenue, and (b) is it booked as revenue or credited against capex? The choice changes the timing of cash, the capitalised cost base, tax depreciation, and potentially the debt sizing and the first DSCR test. How the source treats it has NOT been verified - no position is asserted here.</t>
  </si>
  <si>
    <t>Timeline row 33 carries a dedicated 'Energised, pre-COD' flag, deliberately separate from both the construction and the operations flag, so the window is addressable and the choice stays open. Nothing currently drives revenue or capex off it. Two Timeline checks enforce that the window sits inside construction and never overlaps operations, so whichever treatment is chosen cannot double-count with operating revenue.</t>
  </si>
  <si>
    <t>Deal team + auditors</t>
  </si>
  <si>
    <t>Source had roughly 8 months of energised-but-pre-COD operation. Treatment in the source not verified. Reference only.</t>
  </si>
  <si>
    <t>Timeline / Assumptions / Open_Items</t>
  </si>
  <si>
    <t>Timeline F17, row 33, rows 56-58; Assumptions E37, E42</t>
  </si>
  <si>
    <t>Added the energised-but-pre-COD test-energy window. Assumptions E37 is a new blank amber input, energisation start in months before COD, with E42 deriving the date. Timeline F17 derives the energisation start month offset and new flag row 33 marks the window, deliberately separate from both the construction and operations flags so the treatment of test energy stays an open choice. Three new integrity checks (rows 56-58): energised months equal the lead input, the window sits inside construction, and it never overlaps operations. Timeline overall check now spans G47:G58. Pre-commissioning-inside-construction confirmed correct against the live source dates (construction 01-Jul-25 to 30-Jun-27, pre-commissioning 01-Oct-26 to 30-Jun-27, operations from 01-Jul-27), so the total chain is 24 months, not 33; the existing formulas were already right and were left unchanged.</t>
  </si>
  <si>
    <t>10 flags, 9 checks; no test-energy window</t>
  </si>
  <si>
    <t>11 flags, 12 checks; test-energy window addressable</t>
  </si>
  <si>
    <t>Peer message 03-Sep-2026, source dates verified live</t>
  </si>
  <si>
    <t>E31:E37 (TEMPORARY - now cleared)</t>
  </si>
  <si>
    <t>SECOND TEMPORARY TEST CYCLE, to prove the new energisation flag and checks. Entered E31=3, E32=24, E33=9, E34=35, E35=3, E36=3, E37=10. Energisation lead deliberately set to 10 against a 9-month pre-commissioning lag so the two windows had to be distinguishable rather than coincidentally equal. Verified: energisation start month 44 against pre-commissioning start 45, energised-pre-COD flag summing to 10 months and pre-commissioning to 9, energisation start date 2030-02-28 against COD 2030-12-31. All twelve integrity checks read OK and the Timeline overall read ALL OK. THEN CLEARED: E31:E37 re-read as empty in both values and formulas, amber fill #FFC000 preserved, all seven derived dates blank, all eight chain-dependent Timeline offsets blank, every chain-dependent flag sum nil including the new energised flag. Stage 1 flags correctly still live (RTB 1, development 27, sale 1). No test value survived.</t>
  </si>
  <si>
    <t>Seven amber cells blank</t>
  </si>
  <si>
    <t>Seven amber cells blank - confirmed by re-read after clearing</t>
  </si>
  <si>
    <t>Assumptions / Timeline</t>
  </si>
  <si>
    <t>Assumptions E49, C47, F50, row 52; Timeline C4, H:UB, F47:F58</t>
  </si>
  <si>
    <t>Structural horizon raised 480 -&gt; 540 months, grid extended from columns H:RT to H:UB (541 columns), now ending Jul-2071. Reason: 480 reached the end of a 35-year operating life with only 7 months to spare and nothing for the tail, but cash flows continue past end of life - decommissioning and site restoration spend, release of the decommissioning security or LC, DSRA and maintenance reserve unwind, final tax settlement and SPV wind-down. The Polish source ran per-turbine decommissioning as a staggered multi-period event with a four-tranche provision build (30/60/100/100%), so the tail is several periods not one column. E49's note now states the horizon covers operating life PLUS the tail and must not be trimmed to match the operating life. New line at E52 reports the tail in months explicitly (67 on the reference durations). All eleven Timeline check ranges widened from $RT to $UB - had they been left at $RT they would have silently ignored the 60 new columns.</t>
  </si>
  <si>
    <t>480 months, H:RT, 481 columns, ends Jul-2066</t>
  </si>
  <si>
    <t>540 months, H:UB, 541 columns, ends Jul-2071</t>
  </si>
  <si>
    <t>Peer message 03-Sep-2026 item 2</t>
  </si>
  <si>
    <t>THIRD TEMPORARY TEST CYCLE, to prove the grid extension did not break the copied formulas. Entered E31=3, E32=24, E33=9, E34=35, E35=3, E36=3, E37=10. Flag sums were recomputed INDEPENDENTLY across the full extended H:UB range rather than trusting the sheet's own checks, and matched exactly: development 27, construction 24, pre-commissioning 9, energised 10, operations 420, COD 1, end of life 1, equity 1, debt payments 140, DSCR tests 140, interest accrual 444. Operations still summed to 420 and not more, proving the 60 new columns correctly return nil beyond end of life. Tail reported 67 months. All twelve checks OK, overall ALL OK. THEN CLEARED: E31:E37 empty in values and formulas, amber fill preserved, all seven derived dates blank, all eight chain-dependent offsets blank, all chain-dependent flag sums nil across H:UB. Stage 1 flags still live (RTB 1, development 27, sale 1). No test value survived.</t>
  </si>
  <si>
    <t>Turbine installation and erection</t>
  </si>
  <si>
    <t>Foundations</t>
  </si>
  <si>
    <t>lump sum</t>
  </si>
  <si>
    <t>Cumulative capex</t>
  </si>
  <si>
    <t>3 - Construction</t>
  </si>
  <si>
    <t>Rows 54-104</t>
  </si>
  <si>
    <t>Added block 5, the Hungarian construction input frame: 5a twelve construction capex lines plus a contingency rate, 5b seven individually date-phased grid connection lines, 5c four refundable deposits each with its own payment month, refund month and refund percentage, 5d three bonds with a cash-collateral-versus-guarantee switch and a fee rate, 5e VAT rate, recovery lag and recoverable proportion. Every line carries its unit, currency of denomination and intended index (HU CPI or eurozone HICP). All 46 input cells left BLANK and amber - verified zero populated. Column F converted from descriptive text to a numeric payment-month input for blocks 5b, 5c and 5d, which had no timing cell at all as first drafted.</t>
  </si>
  <si>
    <t>No Hungarian construction inputs</t>
  </si>
  <si>
    <t>46 blank amber input lines with unit, currency and index tags</t>
  </si>
  <si>
    <t>Original scope carry-over; peer message 03-Sep-2026</t>
  </si>
  <si>
    <t>Construction (new sheet)</t>
  </si>
  <si>
    <t>A1:UB114</t>
  </si>
  <si>
    <t>Construction engine built on the shared Timeline grid, H:UB. Nine blocks: drivers (all links, no inputs on this sheet), capex quantum with contingency applied to block 5a lines only, monthly capex spend straight-line across the construction window pending an S-curve, seven grid connection lines shown GROSS with no netting, four deposits as separate cash-out and cash-in rows with a forfeit memo row, three bonds with collateral posted and released plus guarantee fee expensed, VAT with recovery lag and a peak-receivable line, totals separating CAPITALISED from EXPENSED from balance-sheet movements, and eleven integrity checks. Deposits, bonds and VAT are excluded from the capitalised base by construction and a check guards against fees being capitalised later.</t>
  </si>
  <si>
    <t>No construction engine</t>
  </si>
  <si>
    <t>Construction sheet, 114 rows x 541 columns, 11 checks</t>
  </si>
  <si>
    <t>Original scope carry-over</t>
  </si>
  <si>
    <t>Assumptions / Construction</t>
  </si>
  <si>
    <t>Test values (now cleared); Construction H66, C109, C112, C113</t>
  </si>
  <si>
    <t>FOURTH TEMPORARY TEST CYCLE, proving the Construction engine. Entered a full illustrative set: unit 5 MW, twelve capex lines, 5% contingency, seven connection payments of 1,000 on months 1-7 from RTB, three deposits with 100/100/50% refunds, three bonds in the guarantee case at 2% p.a., VAT 27% with a 3-month lag at 100% recoverable. Results matched independent hand calculation exactly: turbine count 40, capex subtotal 251,600, contingency 12,580, total 264,180, connection 7,000 gross, capitalised 271,180, guarantee fees 1,651.67 expensed, VAT paid 73,218.6 netting to nil, spend profile summing to 1.000. TWO DEFECTS FOUND AND FIXED BY THIS TEST: (1) the forfeit memo row used N() over a range inside SUMPRODUCT, which is not array-aware, so it silently returned nil - the deposit reconciliation check caught it and it now reads -500 correctly; (2) the deposit reconciliation check itself summed rows 57:66, double-counting the subtotal and memo rows, and was narrowed to 57:64 against 66. Also added check 11, because a blank refund percentage would otherwise mean a silent 100% forfeit. THEN CLEARED: all 14 input ranges re-read as empty, amber fill preserved, Construction totals back to nil, checks back to their blank-input states.</t>
  </si>
  <si>
    <t>Forfeit row silently nil; check double-counted subtotals</t>
  </si>
  <si>
    <t>Both fixed; 11 checks; all inputs blank and confirmed</t>
  </si>
  <si>
    <t>Tax / VAT</t>
  </si>
  <si>
    <t>VAT scope of refundable deposits and guarantee fees</t>
  </si>
  <si>
    <t>The VAT base on Construction currently comprises construction capex plus grid connection fees only. Refundable deposits and bank guarantee fees are EXCLUDED. That is an assumption, not a verified treatment - Hungarian VAT treatment of a refundable deposit (often outside scope until applied) and of a financial guarantee fee (often exempt) both need confirming.</t>
  </si>
  <si>
    <t>Source treatment not verified. Reference only.</t>
  </si>
  <si>
    <t>Will lenders fund refundable deposits and bond cash collateral?</t>
  </si>
  <si>
    <t>Refundable deposits and bond cash collateral are a real call on cash before COD, so they sit inside the funding requirement and will drive the peak draw and IDC once Financing is built. Whether a lender will actually advance debt against a refundable deposit is a commercial negotiation, not a modelling choice. Lenders frequently decline, or lend only against the recoverable portion, leaving the balance as an equity call - which changes the equity cheque, the timing of the equity IRR, and potentially the gearing test.</t>
  </si>
  <si>
    <t>Deal team / lenders</t>
  </si>
  <si>
    <t>Not a source question - a commercial negotiation point.</t>
  </si>
  <si>
    <t>Timeline / Assumptions</t>
  </si>
  <si>
    <t>Timeline C61:G63; Assumptions E37 note</t>
  </si>
  <si>
    <t>Closed a real gap in the checks: nothing enforced energisation falling inside the pre-commissioning window, so a lead longer than the lag produced a silently incoherent sequence with all twelve hard checks still passing. Added a SOFT plausibility warning at Timeline row 62, deliberately placed BELOW the overall status and outside its COUNTIF range so it cannot turn a legitimate input into a failure. Row 63 renders a plain-language explanation naming both figures and the overlap, stating that energisation is physically part of commissioning, citing the source (lead about 8.5 months against a 9-month lag) and saying explicitly that this is a plausibility warning and not a model error. Assumptions E37's note now also states that a lead exceeding the lag is permitted and what it implies. PROVED BOTH WAYS: lead 10 against lag 9 gives 'WARNING - lead exceeds lag' while the twelve hard checks all read OK and the overall still reads ALL OK; lead 8 against lag 9 gives 'OK - energisation inside commissioning'. Test inputs cleared and re-read empty.</t>
  </si>
  <si>
    <t>No constraint linking energisation to commissioning</t>
  </si>
  <si>
    <t>Soft warning, proved both ways, does not affect pass/fail</t>
  </si>
  <si>
    <t>Peer message 03-Sep-2026</t>
  </si>
  <si>
    <t>Construction / Open_Items</t>
  </si>
  <si>
    <t>Construction C84, C90, rows 101-109, row 124; Open_Items 22-23</t>
  </si>
  <si>
    <t>Added block 9, the funding requirement that will drive IDC, with refundable deposits, bond cash collateral and net VAT each broken out as separate 'of which' lines plus cumulative and peak-to-date. Block header states explicitly that debt coverage of refundable deposits must NOT be assumed and is a negotiation point (Open_Items 23). VAT scope flagged on the face of the sheet: the base row is relabelled 'SCOPE IS A FLAGGED QUESTION' with an explanatory line naming what is excluded (deposits, guarantee fees) and what changes if that is wrong (Open_Items 22). Added check 12 reconciling total cash outflow to capitalised plus expensed once recoverables have fully recovered. NOTE: inserting the check row left it outside the overall status COUNTIF range, so the overall would have ignored it - caught and the range extended to G113:G124.</t>
  </si>
  <si>
    <t>No funding requirement view; VAT scope silently assumed</t>
  </si>
  <si>
    <t>Funding requirement with recoverables split out; VAT scope flagged; 12 checks</t>
  </si>
  <si>
    <t>Peer message 03-Sep-2026; original scope carry-over</t>
  </si>
  <si>
    <t>Capex drawdown S-curve per line</t>
  </si>
  <si>
    <t>The monthly capex spend is currently straight-line across the construction window, which will misstate interest during construction and the peak debt draw once Financing is built. A real drawdown shape is needed per capex line before Financing.</t>
  </si>
  <si>
    <t>Audit</t>
  </si>
  <si>
    <t>Timeline / Construction</t>
  </si>
  <si>
    <t>Construction G117; Timeline rows 59-63, G64</t>
  </si>
  <si>
    <t>CHECK AUDIT, per the instruction to distrust every existing check because rows had been inserted repeatedly. Re-read all 12 Timeline and all 12 Construction check formulas against the flag and row labels they are meant to prove. Row references had all auto-adjusted correctly on insertion - no drift. BUT FOUND ONE SILENTLY BROKEN CHECK: Construction G117 (grid connection paid gross) used N() over a RANGE inside SUMPRODUCT. N() is not array-aware; it collapses to the FIRST element only. Proved by probe: with seven connection amounts of 1,000 each the broken form returned 7,000 and appeared correct, because 7 x first element happens to equal the true total when all amounts are equal. With unequal amounts (1000/2000/500/1500/3000/250/750, true total 9,000) the broken form returned 7,000 and the check read FAIL on correct data. Fixed by dropping N(). This also CORRECTS my earlier diagnosis of the forfeit-row defect: the cause was not N() failing generally but N() collapsing a range to a scalar, so (1-N(K87:K90)) evaluated as 1-1=0 and zeroed the whole product. Also added 5 missing Timeline checks (exactly one NTP month, one end-of-life month, one equity month; debt payment dates fall only inside operations; interest accrual months = construction + operating months) and extended the Timeline overall range to G47:G63. All 17 Timeline checks verified OK on a full test set.</t>
  </si>
  <si>
    <t>12 Timeline / 12 Construction checks, one silently wrong</t>
  </si>
  <si>
    <t>17 Timeline / 13 Construction checks, N() defect removed</t>
  </si>
  <si>
    <t>moic_construction_response.md s.4</t>
  </si>
  <si>
    <t>Rows 111-121, 123, 136; renumbered blocks</t>
  </si>
  <si>
    <t>Added block 10, the grid connection and deposits summary: connection gross cash out, deposits gross cash out, deposits refunded, deposits forfeited, NET cost, of-which capitalised (connection only), of-which not capitalised (forfeits), and PEAK funding requirement including deposits. Verified against a test set: connection -9,000 on seven unequal amounts, deposits -3,500 out and +3,000 refunded, -500 forfeited, net -9,500, peak funding 12,500. TWO OF MY OWN ERRORS CAUGHT ON READ-BACK: (1) the peak funding row used MAX on a negative cumulative and returned nil despite real spend - sign convention inverted so a funding requirement now reads positive, and check 13 added to guard exactly that failure; (2) inserting the summary block OVERWROTE the integrity-checks block header, which was restored and the blocks renumbered (9 Funding requirement, 10 Connection and deposits summary, 11 Integrity checks) after I had duplicated the number 9 across two blocks.</t>
  </si>
  <si>
    <t>No summary block; duplicate block number 9</t>
  </si>
  <si>
    <t>Summary block with peak funding; blocks renumbered 9/10/11</t>
  </si>
  <si>
    <t>moic_construction_response.md s.3</t>
  </si>
  <si>
    <t>Test values (now cleared)</t>
  </si>
  <si>
    <t>FIFTH TEMPORARY TEST CYCLE, used to exercise the audited checks and the new summary block, deliberately with UNEQUAL grid connection amounts because equal values were what masked the broken check. All 14 input ranges cleared afterwards and re-read empty in both values and formulas; amber fill preserved; summary block and both sheet overalls returned to their blank-input states.</t>
  </si>
  <si>
    <t>All inputs blank - confirmed by re-read</t>
  </si>
  <si>
    <t>Polish source quarterly drawdown, REFERENCE ONLY, never to be entered in a cell. Values sit at columns headed 3/6/9/12/15/18/21/24 = construction month numbers, so each is the spend in the quarter ENDING at that month. By construction month - M3: WTG 22.0, BOP 20.8, buffer 12.5. M6: WTG 0.0, BOP 11.1, buffer 12.5. M9: WTG 17.6, BOP 28.4, buffer 12.5. M12: WTG 25.2, BOP 28.1, buffer 12.5. M15: WTG 23.7, BOP 5.6, buffer 12.5. M18: WTG 9.2, BOP 0.8, buffer 12.5. M21: WTG 1.8, BOP 1.9, buffer 12.5. M24: WTG 0.5, BOP 3.3, buffer 12.5. All three sum to exactly 100.0%.</t>
  </si>
  <si>
    <t>Straight-line and labelled as such on the face of the Construction sheet. To be replaced by ONE MONTHLY % INPUT ROW PER CAPEX LINE with a sums-to-100% check - not a single blended profile. CRITICAL: WTG and BOP do NOT peak together. BOP peaks at months 9-12; WTG peaks three months later at 12-15 and has a ZERO second quarter (22.0% then nil, the shape of a turbine supply down-payment with no further milestone that quarter). A single blended curve would misplace both lines. Both are substantially complete by month 15 (WTG 88.5%, BOP 94.0% cumulative). Neither is front-loaded - my original front-loading assumption was wrong. The buffer line is genuinely flat at 12.5%, so even spreading is legitimate precedent for contingency-type lines ONLY.</t>
  </si>
  <si>
    <t>Full formula scan - no changes required</t>
  </si>
  <si>
    <t>SECOND-PASS CHECK AUDIT for the two failure modes identified as a recurring pattern: (a) a check whose data range stops short of the grid end, and (b) a check that exists but is not wired into the overall status. RESULT: 30 checks audited (17 Timeline rows 47-63, 13 Construction rows 124-136). ALL 30 are inside their overall COUNTIF ranges - Timeline $G$47:$G$63, Construction $G$124:$G$136 - so none is unwired. 40 grid range references inside check formulas, ALL terminating at UB. Widened the audit beyond the checks to every formula on both sheets: 39,586 formulas scanned, ZERO grid ranges stopping short of UB. NOTE ON METHOD: my first audit regex only matched single-row ranges and would have missed multi-row ranges such as $H$57:$UB$64; re-run with a broader pattern, which raised the grid references found from 24 to 40. A separate scan for stale references to the old RT horizon returned 19 and 57 apparent hits, ALL FALSE POSITIVES - column 488 is itself column RT, so formulas living there legitimately reference their own column. No stale horizon references exist.</t>
  </si>
  <si>
    <t>Three prior instances of unwired or short-range checks</t>
  </si>
  <si>
    <t>30 checks audited, 0 unwired, 0 short ranges, 0 stale refs</t>
  </si>
  <si>
    <t>moic_construction_response.md s.4 follow-up</t>
  </si>
  <si>
    <t>Item 24, columns F and I</t>
  </si>
  <si>
    <t>S-curve reference figures REPLACED following a correction from the source reviewer (their correction, not a defect here): the percentages sit at columns headed 3/6/9/12/15/18/21/24, which are construction MONTH numbers, so each value is the spend in the quarter ENDING at that month. The earlier table omitted a nil bucket, shifting every WTG value one quarter early. Corrected: WTG 22.0/0.0/17.6/25.2/23.7/9.2/1.8/0.5 and BOP 20.8/11.1/28.4/28.1/5.6/0.8/1.9/3.3, buffer flat at 12.5%, all summing to exactly 100.0%. MATERIAL CONSEQUENCE now recorded on the item: WTG and BOP do NOT peak together - BOP peaks at months 9-12, WTG three months later at 12-15, and WTG has a ZERO second quarter (a turbine supply down-payment with no further milestone that quarter). A single blended profile across the capex block would misplace both lines, so the input must be one monthly % row PER capex line. Both lines substantially complete by month 15 (WTG 88.5%, BOP 94.0% cumulative).</t>
  </si>
  <si>
    <t>Superseded WTG figures, shifted one quarter early</t>
  </si>
  <si>
    <t>Corrected figures with the per-line peaking consequence recorded</t>
  </si>
  <si>
    <t>Peer correction 03-Sep-2026, verified against source row 6 headers</t>
  </si>
  <si>
    <t>Register</t>
  </si>
  <si>
    <t>Input_Register (new sheet)</t>
  </si>
  <si>
    <t>A1:J84</t>
  </si>
  <si>
    <t>Built the consolidated blank-input register as the one-page open-items deliverable. 67 amber input cells tracked, one row each, covering every awaiting-input cell on Assumptions: capacity 1, timeline chain 7, construction capex 13, grid connection 14 (amount and payment month per line), deposits 16 (amount, payment month, refund month, refund %), bonds 13, VAT 3. DRIVEN OFF LIVE FORMULAS, not a maintained list: the line label reads Assumptions column C directly, the status is IF(cell="","OUTSTANDING","Populated") and the current value reads through, so a relabelled input relabels here and an entered value flips its status automatically. Headline reads 'N of M inputs outstanding' plus a populated count and percentage. Conditional formatting colours OUTSTANDING amber and Populated green. PROVED LIVE: entering three distinct values flipped exactly the three matching rows and the headline moved to '64 of 67 outstanding, 3 of 67 populated, 4.5%'; clearing returned it to 67 of 67.</t>
  </si>
  <si>
    <t>No register; blank inputs findable only per-check</t>
  </si>
  <si>
    <t>67 inputs tracked with live status and an outstanding headline</t>
  </si>
  <si>
    <t>moic_construction_response.md s.2; original scope one-pager</t>
  </si>
  <si>
    <t>Input_Register</t>
  </si>
  <si>
    <t>Rows 78-84</t>
  </si>
  <si>
    <t>Added a COMPLETENESS GUARD so the register cannot silently go stale, which was the stated risk of any list-based approach. It compares the count of amber input cells derived from the Assumptions ranges (67) against the rows tracked in the register (67), AND the count of currently blank amber cells (67) against the rows reading OUTSTANDING (67). If an input is added to or removed from Assumptions without a matching register row, the two diverge and the guard reads FAIL with an instruction to fix the register rather than the guard. PARTIALLY TESTED: entering one value moved the blank and outstanding counters together, 67/67/66/66 and back, proving the second condition responds. The first condition (total cells = rows tracked) is structural and was verified by independently recounting the fourteen amber ranges to 67, which also corrected my own earlier miscount of 70. The FAIL path itself was NOT exercised, because creating the mismatch would mean deliberately breaking the register.</t>
  </si>
  <si>
    <t>Register could drift from Assumptions undetected</t>
  </si>
  <si>
    <t>Guard reconciles counts on both dimensions; FAIL path untested</t>
  </si>
  <si>
    <t>Own initiative - list-rot risk raised by reviewer</t>
  </si>
  <si>
    <t>All sheets - standing policy</t>
  </si>
  <si>
    <t>Test-value convention</t>
  </si>
  <si>
    <t>STANDING TEST CONVENTION, now explicit policy rather than instinct, adopted after a broken formula passed a test cycle undetected. RULE: temporary test values must be DISTINCT, NON-ROUND, and NOT SIMPLE MULTIPLES of one another, so that no arithmetic coincidence can make a wrong formula return the right answer. Origin: seven grid connection amounts of 1,000 each made a SUMPRODUCT using N() over a range return exactly the correct total, because N() collapses a range to its first element and 7 x 1,000 happened to equal the true total. The identical set with unequal amounts (1000/2000/500/1500/3000/250/750) exposed it immediately. The energisation test had already applied the instinct by choosing a 10-month lead against a 9-month lag rather than equal values, which is why that check was trustworthy. COROLLARY: also avoid values equal to a count, an index or a row number, and avoid percentages of 0% or 100% when testing proportional logic, since both make multiplication and division indistinguishable from pass-through. Whoever runs the next cycle inherits this rule.</t>
  </si>
  <si>
    <t>No stated test convention; equal/round values used</t>
  </si>
  <si>
    <t>Distinct, non-round, non-multiple test values required</t>
  </si>
  <si>
    <t>moic_construction_response.md - adopt as explicit policy</t>
  </si>
  <si>
    <t>Annual degradation</t>
  </si>
  <si>
    <t>% p.a.</t>
  </si>
  <si>
    <t>Curtailment / grid constraint</t>
  </si>
  <si>
    <t>MEKH supervisory fee</t>
  </si>
  <si>
    <t>% of revenue</t>
  </si>
  <si>
    <t>O&amp;M full-service contract</t>
  </si>
  <si>
    <t>Balance of plant maintenance</t>
  </si>
  <si>
    <t>Operational insurance</t>
  </si>
  <si>
    <t>Asset and commercial management</t>
  </si>
  <si>
    <t>Grid use-of-system charges</t>
  </si>
  <si>
    <t>Property tax</t>
  </si>
  <si>
    <t>HIPA local business tax</t>
  </si>
  <si>
    <t>HUF/EUR</t>
  </si>
  <si>
    <t>EUR/MWh</t>
  </si>
  <si>
    <t>MWh</t>
  </si>
  <si>
    <t>Merchant revenue</t>
  </si>
  <si>
    <t>PPA / CfD revenue</t>
  </si>
  <si>
    <t>EBITDA</t>
  </si>
  <si>
    <t>Structural</t>
  </si>
  <si>
    <t>Timeline / Construction / Checks / Operations</t>
  </si>
  <si>
    <t>Spare row at the bottom of every check block</t>
  </si>
  <si>
    <t>Structural reinforcement of the boundary-insertion rule, so it cannot be broken by someone who has not read it. Every check block now ends with a labelled SPARE BLANK ROW that is inside the overall status COUNTIF range, so an insertion at what looks like the last row still lands inside the range. Applied to Timeline (range now G47:G64), Construction (G124:G137, later G139:G153), Checks (J8:J12) and Operations (G75:G84 as built). All overall statuses re-read correct after the change.</t>
  </si>
  <si>
    <t>Convention depended on memory</t>
  </si>
  <si>
    <t>Spare row inside every check range</t>
  </si>
  <si>
    <t>Assumptions block 6 (rows 106-121); Construction rows 39-56</t>
  </si>
  <si>
    <t>Per-line capex drawdown profiles built, replacing the single blended straight-line profile. Assumptions block 6 holds ONE MONTHLY % ROW PER CAPEX LINE across construction months 1-36 (12 lines x 36 cells, all blank amber), with a live per-row sums-to-100% check and line labels read from the capex block so they cannot drift. Construction now derives a construction-month index and computes twelve separate per-line drawdown rows, each reading its own profile row, before totalling. The old blended profile row is retained as an OUTPUT only, relabelled 'Implied blended drawdown profile'. New check 152 requires every line's profile to sum to 100% and distinguishes 'not entered' from 'does not sum'. Rationale on the face of the block: the source lines peak three months apart and the turbine line has a nil second quarter, so one curve would misplace both.</t>
  </si>
  <si>
    <t>Single blended straight-line profile</t>
  </si>
  <si>
    <t>12 per-line profile rows with sums-to-100% checks</t>
  </si>
  <si>
    <t>moic_construction_response.md; peer correction on peaking</t>
  </si>
  <si>
    <t>4 - Operations</t>
  </si>
  <si>
    <t>Blocks 7 and 8 (rows 123-172)</t>
  </si>
  <si>
    <t>Operations inputs scaffolded: 7a generation (6 lines), 7b revenue (7), 7c OPEX (13), plus block 8 FX method and index rates. Every line carries its NATURAL CURRENCY and a SINGLE INDEX POINTER - HU CPI or eurozone HICP, never blended. EXPLICIT PLACEMENT of the three Hungarian charges so nothing is double counted: BALANCING/BRP FEE sits in Operations as a revenue deduction, not in Tax; MEKH SUPERVISORY FEE sits in Operations as an opex line, not in Tax, being a regulatory fee and not a tax on profit; PROPERTY TAX sits in Operations as an opex line; HIPA LOCAL BUSINESS TAX sits in TAX, NOT Operations, because it is levied on a net-revenue-less-certain-costs base rather than EBITDA and cannot be modelled as an opex line without distorting the base - its input has a home on Assumptions purely so there is one place for it, with the calculation reserved for the Tax block. Also flagged two either/or traps with checks: capacity factor versus specific yield, and land lease per-WTG versus percentage of revenue. All 29 inputs blank.</t>
  </si>
  <si>
    <t>No operations inputs; fees and taxes unplaced</t>
  </si>
  <si>
    <t>29 blank amber inputs, each with currency and index; fees placed</t>
  </si>
  <si>
    <t>Peer carry-forward for Operations</t>
  </si>
  <si>
    <t>Assumptions block 8</t>
  </si>
  <si>
    <t>Rows 160-167</t>
  </si>
  <si>
    <t>DOUBLE-INDEXATION TRAP flagged, not silently resolved, as instructed. Block 8 counts the HUF-denominated lines carrying a HU CPI index (currently 15 across blocks 5a and 7) and renders a live exposure status against the FX method switch: method 1 constant spot reads OK because no inflation differential is embedded; method 2 forward curve reads EXPOSED and names the line count, because the curve already embeds the HU-versus-eurozone differential; method 3 parity reads REVIEW because FX is derived from the differential by construction. A PROPOSED FIX is stated in words and deliberately NOT applied: either keep HU CPI indexation and convert at constant spot, or convert at the forward curve and escalate those lines at eurozone HICP - never both - with the note that whichever is chosen, the index pointer on every HUF line must be changed to match, since they are all tagged HU CPI today. PROVED BOTH WAYS: method 2 returned 'EXPOSED - 15 HUF lines...', method 1 returned OK. Switch cleared afterwards.</t>
  </si>
  <si>
    <t>Trap unflagged; no FX method switch existed</t>
  </si>
  <si>
    <t>Live exposure flag with a stated fix, proved in both directions</t>
  </si>
  <si>
    <t>Operations (new sheet)</t>
  </si>
  <si>
    <t>A1:UB86</t>
  </si>
  <si>
    <t>Operations engine built on the shared Timeline grid H:UB. Six blocks: drivers (all links, no inputs), generation with availability, wake/electrical losses, curtailment and degradation stacked as SEPARATE deductions so none is double counted, revenue with merchant/PPA split and the BRP and MEKH fees deducted explicitly, eleven OPEX lines each escalated by its OWN index, EBITDA, and nine integrity checks with a spare row. HIPA is deliberately absent from OPEX with a note on the sheet and a check that fails if a line containing 'HIPA' ever appears there. SIXTH TEST CYCLE using the distinct/non-round convention (capacity factor 0.317, availability 0.968, losses 0.043, degradation 0.0037, curtailment 0.021, price 71.3, capture 0.913, merchant 0.63, PPA 68.7, BRP 427, MEKH 0.0071, unit 6.25 MW). Year-1 results reconciled to independent hand calculation: net generation 503,690 MWh, gross revenue 33,460, BRP fee 597, MEKH 238, net revenue 32,625, OPEX 5,885, EBITDA 26,740 EUR k. All nine checks OK. Inputs cleared and re-read empty, amber preserved, EBITDA back to nil.</t>
  </si>
  <si>
    <t>No operations engine</t>
  </si>
  <si>
    <t>Operations sheet, 86 rows x 541 columns, 9 checks</t>
  </si>
  <si>
    <t>Peer instruction - proceed to Operations</t>
  </si>
  <si>
    <t>Defect</t>
  </si>
  <si>
    <t>Rows 40-48, 52-65 (rewritten)</t>
  </si>
  <si>
    <t>DEFECT FOUND BY THE TEST CYCLE AND FIXED - driver-index misreferencing. The generation block was correct and matched hand calculation, but the revenue and OPEX blocks pointed at the wrong driver rows: the balancing fee divided by the Hungarian CPI cell instead of the EUR/HUF rate (roughly 10,000x overstatement, which is why year-1 net revenue first came out at MINUS 6,292,532 EUR k); the OPEX contingency pointed at an empty cell; and the index pointers were off by one, so the O&amp;M line escalated at the OPEX contingency rate and the HUF lines escalated at eurozone HICP instead of Hungarian CPI. Root cause: driver rows were referenced by remembered position rather than re-read after the block was written, and a later inserted row shifted them. FIX: added an explicit HUPX price escalation driver (it had been silently substituted with HICP), then re-read the whole driver map against the formulas consuming it and rewrote all revenue and OPEX formulas. All four year-1 aggregates now reconcile to independent arithmetic. LESSON: re-read the driver map before writing formulas that consume it - a plausible-looking negative is the only symptom.</t>
  </si>
  <si>
    <t>Revenue and OPEX pointed at wrong driver rows</t>
  </si>
  <si>
    <t>All drivers re-verified; year-1 reconciles to hand calculation</t>
  </si>
  <si>
    <t>Own test cycle</t>
  </si>
  <si>
    <t>Rows 77-117, guard 122-128</t>
  </si>
  <si>
    <t>Register extended to cover everything added this turn: now 108 tracked items = 96 single amber cells plus 12 drawdown profile rows. The 12 profile rows are tracked PER LINE rather than per cell, because 432 individual cells would make the register unusable; each row's status reads that line's live sums-to-100% check. Headline, populated count and completeness guard all re-pointed to I10:I117, and the guard's blank-count formula extended to include the profile checks. Guard reconciles 108/108/108/108 and reads OK. NOTE ON AN INCIDENT: the script adding these rows exceeded the execution limit and timed out after committing rows 89-115 of 89-117. Rather than retrying the script, I re-read the affected region, established exactly how far it had got, and wrote only the two missing rows - retrying would have duplicated 27 rows.</t>
  </si>
  <si>
    <t>79 tracked items</t>
  </si>
  <si>
    <t>108 tracked items; guard reconciles</t>
  </si>
  <si>
    <t>Own initiative after adding Operations inputs</t>
  </si>
  <si>
    <t>Input_Register / Assumptions</t>
  </si>
  <si>
    <t>Temporary row insert (now deleted)</t>
  </si>
  <si>
    <t>COMPLETENESS GUARD - FAIL PATH NOW EXERCISED, closing the caveat that it was untested. Method was deliberately non-destructive: rather than corrupting the register, a row was INSERTED inside a counted Assumptions range (row 131, inside the generation block E129:E134) and formatted amber, simulating a new input added without a register row. Excel auto-expanded the guard's range reference to E129:E135, which is the realistic mechanism by which this failure actually occurs. RESULT: counts diverged on BOTH dimensions, 109 amber cells against 108 rows tracked and 109 blank against 108 outstanding, and the guard read 'FAIL - register out of step with Assumptions, an input has been added or removed without registering it'. THEN REVERTED: the temporary row was deleted, counts returned to 108/108/108/108, the guard returned to OK, and the range reference restored to E129:E134. Verified after reverting that the six generation labels are intact with no orphan row, that the Operations driver links still resolve to E129 and E131-E134, and that the register's typed cell addresses in column D still align with their live labels - those are text and do not auto-adjust, so the insert-then-delete cycle had to restore the original row numbers for them to remain correct, which it did.</t>
  </si>
  <si>
    <t>Guard FAIL path untested</t>
  </si>
  <si>
    <t>FAIL path proved on both dimensions and cleanly reverted</t>
  </si>
  <si>
    <t>Peer instruction 03-Sep-2026, method as they specified</t>
  </si>
  <si>
    <t>TEXT() prohibition for numeric display</t>
  </si>
  <si>
    <t>STANDING RULE: never use TEXT() to render a number for display in this workbook. Use a numeric cell with a number format instead. TEXT() bakes in a locale-specific pattern and will either error or silently produce the wrong string depending on the machine the file is opened on - a defect that survives an error sweep because it looks correct locally. This workbook renders with comma as decimal separator and space as thousands separator, so 4.30 displays as '4,300' and 153,561 as '153 561'. Origin: TEXT(...,"0.0%") returned #VALUE! in the register headline and was replaced with a numeric cell carrying a percent format. WORKBOOK SCANNED: only two TEXT() instances remain, both pre-existing Stage 1 cells on Dyn_Inp (C48 and C59, ='Profile ' &amp; TEXT(B48,'0')). ASSESSED AND DELIBERATELY LEFT: the '0' pattern contains no decimal separator, thousands separator or percent sign, and the arguments are integers, so they render 'Profile 2' and 'Profile 3' identically under any locale. They are also Stage 1 cells whose output may be matched on elsewhere, so changing them would risk more than it fixes. Reported rather than silently altered.</t>
  </si>
  <si>
    <t>TEXT() used for a percentage; no stated rule</t>
  </si>
  <si>
    <t>Zero locale-exposed TEXT() uses; rule recorded</t>
  </si>
  <si>
    <t>Peer instruction - take the general rule</t>
  </si>
  <si>
    <t>5 - Financing</t>
  </si>
  <si>
    <t>Block 9 (rows 174-198)</t>
  </si>
  <si>
    <t>Financing inputs scaffolded: 22 blank amber lines on the FIXED-QUANTUM path as agreed - term debt is entered as an amount, not sized off a DSCR target, so the model carries no circularity and needs no iterative solve or macro. Covers term debt quantum, construction facility limit, EURIBOR, construction and operating margins, arrangement and commitment fees, agency fee, tenor, grace period, debt service frequency, covenant and lock-up DSCR, cash sweep, DSRA target, maintenance reserve, VAT facility limit and margin, swap hedge percentage and rate, and shareholder loan share and rate. Each line carries its currency and index pointer.</t>
  </si>
  <si>
    <t>No financing inputs</t>
  </si>
  <si>
    <t>22 blank amber inputs, fixed-quantum path</t>
  </si>
  <si>
    <t>Peer Q4 answer - fixed quantum first, no VBA</t>
  </si>
  <si>
    <t>Financing (new sheet)</t>
  </si>
  <si>
    <t>A1:UB92</t>
  </si>
  <si>
    <t>Financing engine built on the shared Timeline grid. Five blocks: drivers (all links), construction facility with drawdown capped at the limit plus capitalised IDC and commitment fee on the undrawn balance, term debt with conversion at COD, DSCR and reserves and cash sweep, and 12 integrity checks with a spare row. Built to the agreed rule: INTEREST ACCRUES MONTHLY while principal, DSCR tests, sweeps and reserve movements bite ONLY on the Timeline payment-date flags. Cash sweep feeds back into prepayment without circularity because the sweep depends only on debt service, not on the prepayment itself.</t>
  </si>
  <si>
    <t>No financing engine</t>
  </si>
  <si>
    <t>Financing sheet, 92 rows x 541 columns, 12 checks</t>
  </si>
  <si>
    <t>Peer instruction - Financing after Operations</t>
  </si>
  <si>
    <t>H29, H30, H37, H39, H45</t>
  </si>
  <si>
    <t>THREE DEFECTS FOUND BY THE SEVENTH TEST CYCLE, TWO FIXED. (1) The funding requirement referenced Construction row 104 from memory; the per-line drawdown insert had moved it to row 119, so the engine was reading the wrong line. Caught by re-reading Construction's block 9 BEFORE trusting the reference - the same discipline that last turn's driver defect taught. (2) The construction facility never closed out at COD: the term debt block took the balance but the facility kept accruing interest for the rest of the grid, so the peak facility balance reached 883,554 against a 190,000 limit. Fixed by adding an explicit 'converted to term debt at COD' line that closes the facility to nil; peak fell to 199,323 and 200,121 converts to term debt. (3) The construction period flag included the development phase, so the facility appeared available from month 0 - narrowed to the Timeline construction flag only. Test set used distinct non-round values per the convention, with TWO DIFFERENT drawdown profiles (a shaped curve for turbine supply, a different one for the other eleven lines) so a wrongly blended profile would have been exposed.</t>
  </si>
  <si>
    <t>Wrong funding row; facility never closed; flag too wide</t>
  </si>
  <si>
    <t>Funding row corrected; facility closes at COD; flag narrowed</t>
  </si>
  <si>
    <t>Finding</t>
  </si>
  <si>
    <t>Financing / Input_Register</t>
  </si>
  <si>
    <t>G76 check; register guard ranges</t>
  </si>
  <si>
    <t>TWO FINDINGS, NEITHER A DEFECT. (1) The facility-limit check correctly FAILS on the test set even after the close-out fix, because capitalised IDC pushes the balance above the limit: 199,323 against 190,000. This is a real modelling point for the deal team, not a bug - a facility limit must be sized to accommodate capitalised interest, or IDC must be equity-funded. The check is doing its job. (2) THE REGISTER'S COMPLETENESS GUARD HAS A BLIND SPOT: it reconciles only the ranges written into its own formula, so when Financing added 22 wholly new inputs OUTSIDE every tracked range, the guard still read OK at 108 of 108. It catches inputs added INSIDE a tracked range (proved last turn) but NOT an entirely new block. Register extended to 130 items and the guard's range list extended to include E177:E198; it now reconciles 130/130/130/130. The structural limitation remains: any new BLOCK must be added to the guard's range list by hand, and no formula can detect that automatically.</t>
  </si>
  <si>
    <t>Guard blind to new blocks; 108 tracked</t>
  </si>
  <si>
    <t>130 tracked; blind spot documented</t>
  </si>
  <si>
    <t>Own review</t>
  </si>
  <si>
    <t>Environment</t>
  </si>
  <si>
    <t>G77, G81, F90, F91, C92</t>
  </si>
  <si>
    <t>ENVIRONMENT LIMITATION, NOT A FORMULA DEFECT - recorded because it will mislead the next reader. Under a FULLY POPULATED test set, two Financing checks whose condition depended on a value derived from the 541-column grid returned the NUMBER 0 instead of their status text. Isolated methodically: IF(1&lt;2,...) worked; IF(SUM(small same-sheet range)&lt;0.01,...) worked; IF(INDEX(grid)&lt;0.01,...) returned 0; SUMIF and SUMPRODUCT variants returned 0; a helper cell holding the value read correctly as 0.00 while IF(ABS(helper)&lt;0.01,...) still returned 0; even a version forced to text with &amp;"" returned 0. The artefact PROPAGATED to any formula referencing those cells, including the block overall. It RESOLVED COMPLETELY once the test inputs were cleared - the same two checks then displayed 'Input blank' correctly. Conclusion: a calculation-engine ordering artefact that appears only under a heavy fully-live dependency graph, not an error in the formulas, which are correct as written. Mitigations left in place: helper cells F90 and F91 expose the tested values directly (both nil), and a red note at C92 tells the reader what is happening and what to read instead. DO NOT 'fix' these formulas - they are right. Two script timeouts also occurred while writing register rows; both were recovered by re-reading how far the write had committed and completing only the remainder, never by retrying.</t>
  </si>
  <si>
    <t>Undocumented; would look like broken checks</t>
  </si>
  <si>
    <t>Documented with evidence, helpers and an on-sheet note</t>
  </si>
  <si>
    <t>Own diagnosis</t>
  </si>
  <si>
    <t>Basis</t>
  </si>
  <si>
    <t>Payment date</t>
  </si>
  <si>
    <t>Részvételi díj</t>
  </si>
  <si>
    <t>Ajánlati biztosíték</t>
  </si>
  <si>
    <t>Teljesítési biztosíték</t>
  </si>
  <si>
    <t>Igénybejelentési biztosíték</t>
  </si>
  <si>
    <t>Kiegészítő biztosíték visszautalás építési engedély megszerzésekor</t>
  </si>
  <si>
    <t>Csatlakozási díj – becsült összeg</t>
  </si>
  <si>
    <t>Days</t>
  </si>
  <si>
    <t>Day</t>
  </si>
  <si>
    <t>Bora Onshore Wind – MOIC model v5</t>
  </si>
  <si>
    <t>Inputs – all static inputs. Column E = active case (picks case column G:P; falls back to case 1 if the selected case cell is blank).</t>
  </si>
  <si>
    <t>Blue on cream = input. Black = calculated. Green = link from another sheet. Yellow fill = key assumption to confirm. Amber fill = awaiting input.</t>
  </si>
  <si>
    <t>Active case</t>
  </si>
  <si>
    <t>Note</t>
  </si>
  <si>
    <t>Case 1</t>
  </si>
  <si>
    <t>Case 2</t>
  </si>
  <si>
    <t>Case 3</t>
  </si>
  <si>
    <t>Case 4</t>
  </si>
  <si>
    <t>Case 5</t>
  </si>
  <si>
    <t>Case 6</t>
  </si>
  <si>
    <t>Case 7</t>
  </si>
  <si>
    <t>Case 8</t>
  </si>
  <si>
    <t>Case 9</t>
  </si>
  <si>
    <t>Case 10</t>
  </si>
  <si>
    <t>IC deck basis (280 MW, 70/30 JV)</t>
  </si>
  <si>
    <t>All deposits cash-settled</t>
  </si>
  <si>
    <t>No deposit recovery at exit</t>
  </si>
  <si>
    <t>Portfolio 280 MW, JV 70/30 live, success fee live</t>
  </si>
  <si>
    <t>As case 1 but no bank guarantees</t>
  </si>
  <si>
    <t>As case 1 but buyer does not reimburse securities / connection fee</t>
  </si>
  <si>
    <t>A. Macro</t>
  </si>
  <si>
    <t>Single FX for the whole model (also used for mHUF reporting outputs).</t>
  </si>
  <si>
    <t>Hungary corporate income tax</t>
  </si>
  <si>
    <t>Cost of capital for economic profit</t>
  </si>
  <si>
    <t>B. Capacity, acquisition and exit timing</t>
  </si>
  <si>
    <t>Gross capacity entered in tender</t>
  </si>
  <si>
    <t>Bid-stage items (participation fee, bid bond) scale with this.</t>
  </si>
  <si>
    <t>Conversion rate (capacity awarded and taken to RTB)</t>
  </si>
  <si>
    <t>Post-award items and exit proceeds scale with successful capacity.</t>
  </si>
  <si>
    <t>Devex on failed capacity is still spent; its bid bond is refunded at award if the switch below is on.</t>
  </si>
  <si>
    <t>Signing fee to current owners</t>
  </si>
  <si>
    <t>Paid at month 0.</t>
  </si>
  <si>
    <t>Transaction / DD costs to FEP</t>
  </si>
  <si>
    <t>Sale costs at exit</t>
  </si>
  <si>
    <t>Deducted from proceeds in the waterfall.</t>
  </si>
  <si>
    <t>Investment date (month 0)</t>
  </si>
  <si>
    <t>Start of the monthly grid; every month steps by EOMONTH.</t>
  </si>
  <si>
    <t>Lag from RTB to sale</t>
  </si>
  <si>
    <t>C. Ownership and developer economics</t>
  </si>
  <si>
    <t>JV structure live (1 = 70/30 JV, 0 = FEP 100%)</t>
  </si>
  <si>
    <t>Master switch. Also drives Assumptions!E8 on the HTM side.</t>
  </si>
  <si>
    <t>FEP share of net proceeds if JV</t>
  </si>
  <si>
    <t>FEP effective share of distributable proceeds</t>
  </si>
  <si>
    <t>Developer effective share</t>
  </si>
  <si>
    <t>Developer funds pro rata (1 = yes)</t>
  </si>
  <si>
    <t>If on, the developer funds its share of both shareholder loans on the same terms.</t>
  </si>
  <si>
    <t>Developer success fee p.a.</t>
  </si>
  <si>
    <t/>
  </si>
  <si>
    <t>Success fee live</t>
  </si>
  <si>
    <t>Fee only exists in the JV case.</t>
  </si>
  <si>
    <t>Milestone 1 devex</t>
  </si>
  <si>
    <t>Milestone 2 devex</t>
  </si>
  <si>
    <t>Milestone 3 devex</t>
  </si>
  <si>
    <t>Milestone 4 devex</t>
  </si>
  <si>
    <t>Milestone 5 devex</t>
  </si>
  <si>
    <t>Milestone 6 devex</t>
  </si>
  <si>
    <t>Total devex on gross capacity</t>
  </si>
  <si>
    <t>Spent on successful and failed capacity alike.</t>
  </si>
  <si>
    <t>Milestone 1 timing (months after previous)</t>
  </si>
  <si>
    <t>Milestone 2 timing (months after previous)</t>
  </si>
  <si>
    <t>Milestone 3 timing (months after previous)</t>
  </si>
  <si>
    <t>Milestone 4 timing (months after previous)</t>
  </si>
  <si>
    <t>Milestone 5 timing (months after previous)</t>
  </si>
  <si>
    <t>Milestone 6 timing (months after previous)</t>
  </si>
  <si>
    <t>Months from investment to RTB</t>
  </si>
  <si>
    <t>Sale month (grid index)</t>
  </si>
  <si>
    <t>Sale date</t>
  </si>
  <si>
    <t>E. FEP shareholder loans to HoldCo</t>
  </si>
  <si>
    <t>Recoverable loan interest (refundable securities)</t>
  </si>
  <si>
    <t>Compounded monthly on the drawn balance.</t>
  </si>
  <si>
    <t>Unrecoverable (at-risk) loan interest</t>
  </si>
  <si>
    <t>Compounded monthly.</t>
  </si>
  <si>
    <t>Minimum return on unrecoverable loan</t>
  </si>
  <si>
    <t>Top-up paid from proceeds so the at-risk loan returns at least this multiple of principal.</t>
  </si>
  <si>
    <t>F. Tender securities and grid connection – unit rates (source: Bora_csatlakozási_biztosítékok_díjak.xlsx)</t>
  </si>
  <si>
    <t>Bid bond rate (ajánlati biztosíték)</t>
  </si>
  <si>
    <t>% of base</t>
  </si>
  <si>
    <t>Performance bond rate (teljesítési biztosíték)</t>
  </si>
  <si>
    <t>Supplementary security total rate (kiegészítő biztosíték)</t>
  </si>
  <si>
    <t>Supplementary – 1st instalment share</t>
  </si>
  <si>
    <t>2030 COD: first annual instalment is double.</t>
  </si>
  <si>
    <t>Supplementary – instalments 2–4 share (each)</t>
  </si>
  <si>
    <t>Participation fee (részvételi díj)</t>
  </si>
  <si>
    <t>Connection request security (igénybejelentési biztosíték)</t>
  </si>
  <si>
    <t>Connection fee estimate (csatlakozási díj)</t>
  </si>
  <si>
    <t>Reference capacity of source table</t>
  </si>
  <si>
    <t>Used only for the reconciliation check on Deposits.</t>
  </si>
  <si>
    <t>Source gross total at reference capacity</t>
  </si>
  <si>
    <t>From source table.</t>
  </si>
  <si>
    <t>Source actually-payable total at reference capacity</t>
  </si>
  <si>
    <t>G. Tender and grid milestone dates</t>
  </si>
  <si>
    <t>Bid submission (pályázat benyújtása)</t>
  </si>
  <si>
    <t>Award (eredményhirdetés)</t>
  </si>
  <si>
    <t>Connection request (igénybejelentés)</t>
  </si>
  <si>
    <t>MGT acceptance</t>
  </si>
  <si>
    <t>HCsSz signature (connection agreement)</t>
  </si>
  <si>
    <t>Connection fee paid here.</t>
  </si>
  <si>
    <t>Building permit obtained (építési engedély)</t>
  </si>
  <si>
    <t>Drives the 50% supplementary refund and the step-down of later instalments.</t>
  </si>
  <si>
    <t>Performance bond payment deadline after award</t>
  </si>
  <si>
    <t>Supplementary security April payment day</t>
  </si>
  <si>
    <t/>
  </si>
  <si>
    <t>H. Deposit mechanics</t>
  </si>
  <si>
    <t>Bid bond credited into performance bond (1 = yes)</t>
  </si>
  <si>
    <t>Only the top-up is a new cash outflow; the bid bond is not released separately.</t>
  </si>
  <si>
    <t>Supplementary security refund / step-down ratio at building permit</t>
  </si>
  <si>
    <t>Include instalments falling due after the sale in FEP cash flows (1 = yes)</t>
  </si>
  <si>
    <t>Default 0: instalments after exit are the buyer's obligation. Set 1 to stress.</t>
  </si>
  <si>
    <t>Bid bond on failed capacity refunded at award (1 = yes)</t>
  </si>
  <si>
    <t>Per tender rules the bid bond is refunded if the bid is unsuccessful.</t>
  </si>
  <si>
    <t>Bank guarantee margin (all-in over EURIBOR)</t>
  </si>
  <si>
    <t>EURIBOR curve in use</t>
  </si>
  <si>
    <t>Must match a curve name on Curves.</t>
  </si>
  <si>
    <t>I. Settlement: cash deposit (1) or bank guarantee (0) – per line</t>
  </si>
  <si>
    <t>Fee – cash only; guarantee not applicable.</t>
  </si>
  <si>
    <t>Kiegészítő biztosíték 1. részlet</t>
  </si>
  <si>
    <t>Kiegészítő biztosíték 2. részlet</t>
  </si>
  <si>
    <t>Kiegészítő biztosíték 3. részlet</t>
  </si>
  <si>
    <t>Kiegészítő biztosíték 4. részlet</t>
  </si>
  <si>
    <t>Csatlakozási díj</t>
  </si>
  <si>
    <t>J. Recovered at exit (reimbursed by buyer above the RTB price) – % of cash posted, per line</t>
  </si>
  <si>
    <t>Participation fee is sunk.</t>
  </si>
  <si>
    <t>KEY ASSUMPTION: buyer reimburses the connection fee paid before RTB. Confirm in DD / SPA.</t>
  </si>
  <si>
    <t>K. Exit</t>
  </si>
  <si>
    <t>RTB exit premium</t>
  </si>
  <si>
    <t>Sensitivity premium 1</t>
  </si>
  <si>
    <t>Sensitivity premium 2</t>
  </si>
  <si>
    <t>Sensitivity premium 3</t>
  </si>
  <si>
    <t>Sensitivity premium 4</t>
  </si>
  <si>
    <t>Sensitivity premium 5</t>
  </si>
  <si>
    <t>Sensitivity premium 6</t>
  </si>
  <si>
    <t>Sensitivity premium 7</t>
  </si>
  <si>
    <t>Curves – time-series inputs: EURIBOR curves (monthly, aligned to the MOIC grid) and the Aurora Hungarian wind capture price placeholder (annual).</t>
  </si>
  <si>
    <t>Month index</t>
  </si>
  <si>
    <t>→</t>
  </si>
  <si>
    <t>Curve in use (selected)</t>
  </si>
  <si>
    <t>Available curves</t>
  </si>
  <si>
    <t>Monthly 1M EURIBOR forward; held flat after the last quoted month.</t>
  </si>
  <si>
    <t>Scenario in use (1 = Low, 2 = Central, 3 = High)</t>
  </si>
  <si>
    <t>Price basis (Real 20xx / Nominal)</t>
  </si>
  <si>
    <t>Aurora release / vintage</t>
  </si>
  <si>
    <t>Year</t>
  </si>
  <si>
    <t>Baseload HUPX – Low</t>
  </si>
  <si>
    <t>Baseload HUPX – Central</t>
  </si>
  <si>
    <t>Baseload HUPX – High</t>
  </si>
  <si>
    <t>Wind capture – Low</t>
  </si>
  <si>
    <t>Wind capture – Central</t>
  </si>
  <si>
    <t>Wind capture – High</t>
  </si>
  <si>
    <t>Implied capture rate</t>
  </si>
  <si>
    <t>Selected baseload price in first operating year</t>
  </si>
  <si>
    <t>Selected wind capture price in first operating year</t>
  </si>
  <si>
    <t>Average capture rate over populated years</t>
  </si>
  <si>
    <t>Implied baseload escalation (CAGR over populated years)</t>
  </si>
  <si>
    <t>Deposits – tender securities and grid connection schedule. Gross = unit rate × capacity basis; Netting applies the source rules (bid bond credited into the performance bond, 50% supplementary refund at building permit with later instalments stepped down, ÁSZ securities credited against the connection fee). Payable = Gross + Netting. Positive = cash out, negative = cash in.</t>
  </si>
  <si>
    <t>No inputs on this sheet – every value derives from Inputs. Hungarian item names are kept so the schedule ties back to Bora_csatlakozási_biztosítékok_díjak.xlsx.</t>
  </si>
  <si>
    <t>Item (HU)</t>
  </si>
  <si>
    <t>Item (EN)</t>
  </si>
  <si>
    <t>Unit rate</t>
  </si>
  <si>
    <t>Capacity basis</t>
  </si>
  <si>
    <t>Gross</t>
  </si>
  <si>
    <t>Netting / adjustment</t>
  </si>
  <si>
    <t>Payable</t>
  </si>
  <si>
    <t>Grid month</t>
  </si>
  <si>
    <t>After sale?</t>
  </si>
  <si>
    <t>Included in FEP cash flows</t>
  </si>
  <si>
    <t>Cash (1) / guarantee (0)</t>
  </si>
  <si>
    <t>Recovered at exit</t>
  </si>
  <si>
    <t>Type</t>
  </si>
  <si>
    <t>Participation fee</t>
  </si>
  <si>
    <t>Fee</t>
  </si>
  <si>
    <t>Security</t>
  </si>
  <si>
    <t>Ajánlati biztosíték visszatérítés – sikertelen kapacitás</t>
  </si>
  <si>
    <t>Bid bond refund on failed capacity</t>
  </si>
  <si>
    <t>Refund</t>
  </si>
  <si>
    <t>per MW (successful capacity)</t>
  </si>
  <si>
    <t>Connection request security</t>
  </si>
  <si>
    <t>Supplementary security – instalment 1</t>
  </si>
  <si>
    <t>Supplementary security – instalment 2</t>
  </si>
  <si>
    <t>Supplementary security refund on building permit</t>
  </si>
  <si>
    <t>% of instalments paid before permit</t>
  </si>
  <si>
    <t>Supplementary security – instalment 3</t>
  </si>
  <si>
    <t>Supplementary security – instalment 4</t>
  </si>
  <si>
    <t>Grid connection fee (estimate)</t>
  </si>
  <si>
    <t>Connection fee</t>
  </si>
  <si>
    <t>Summary and reconciliation to source table</t>
  </si>
  <si>
    <t>Gross securities and fees – model capacity</t>
  </si>
  <si>
    <t>Actually payable – model capacity</t>
  </si>
  <si>
    <t>Of which cash-settled (included)</t>
  </si>
  <si>
    <t>Of which guarantee-backed (included)</t>
  </si>
  <si>
    <t/>
  </si>
  <si>
    <t>Difference – gross</t>
  </si>
  <si>
    <t/>
  </si>
  <si>
    <t>Difference – payable</t>
  </si>
  <si>
    <t>Reconciliation check</t>
  </si>
  <si>
    <t>MOIC – monthly calculation grid (month 0 = investment date). No inputs on this sheet. Column G holds row totals or scalar results. Sign convention in cash-flow blocks: + = inflow to the party, − = outflow.</t>
  </si>
  <si>
    <t>Block 13 (sensitivity) reuses columns H:N as scenarios, not months – labelled on the block header.</t>
  </si>
  <si>
    <t>Development period flag (month ≤ RTB)</t>
  </si>
  <si>
    <t>Pre-sale flag (month ≤ sale)</t>
  </si>
  <si>
    <t>Cum. month</t>
  </si>
  <si>
    <t>Cumulative devex</t>
  </si>
  <si>
    <t>Success fee payable at sale</t>
  </si>
  <si>
    <t>3. Securities and connection fee – payable flows (€k; + = paid, − = refunded). Source: Deposits</t>
  </si>
  <si>
    <t>Total payable flows</t>
  </si>
  <si>
    <t>4. Cash-settled deposits (line × cash switch)</t>
  </si>
  <si>
    <t>Total cash deposits paid / (refunded)</t>
  </si>
  <si>
    <t>Cash posted with counterparties (cumulative)</t>
  </si>
  <si>
    <t>5. Guarantee-backed securities and guarantee fee (line × (1 − cash switch))</t>
  </si>
  <si>
    <t>Total guarantee movements</t>
  </si>
  <si>
    <t>Opening guarantee balance</t>
  </si>
  <si>
    <t>Guarantees issued / (reduced)</t>
  </si>
  <si>
    <t>Release at sale</t>
  </si>
  <si>
    <t>Closing guarantee balance</t>
  </si>
  <si>
    <t>EURIBOR (Curves, selected)</t>
  </si>
  <si>
    <t>Guarantee fee</t>
  </si>
  <si>
    <t>6. Recovery of securities at exit – buyer reimburses cash posted, per line % (Inputs J)</t>
  </si>
  <si>
    <t>Total recovered at exit</t>
  </si>
  <si>
    <t>8. Shareholder loans (monthly compounding; repaid from proceeds at sale)</t>
  </si>
  <si>
    <t>FEP share of loan funding</t>
  </si>
  <si>
    <t>Developer share of loan funding</t>
  </si>
  <si>
    <t>FEP – recoverable loan</t>
  </si>
  <si>
    <t>Drawdown (recoverable deposits)</t>
  </si>
  <si>
    <t>Interest</t>
  </si>
  <si>
    <t>Developer – recoverable loan</t>
  </si>
  <si>
    <t>FEP – unrecoverable (at-risk) loan</t>
  </si>
  <si>
    <t>Drawdown – unrecoverable deposits and fees</t>
  </si>
  <si>
    <t>Cumulative principal drawn</t>
  </si>
  <si>
    <t>Minimum-return top-up due at sale</t>
  </si>
  <si>
    <t>Developer – unrecoverable (at-risk) loan</t>
  </si>
  <si>
    <t>9. Proceeds waterfall at sale (€k) – scalar results in column G</t>
  </si>
  <si>
    <t>RTB premium proceeds</t>
  </si>
  <si>
    <t>Recovery of securities and connection fee (buyer reimbursement)</t>
  </si>
  <si>
    <t>Less: sale costs</t>
  </si>
  <si>
    <t>Less: developer success fee</t>
  </si>
  <si>
    <t>To FEP</t>
  </si>
  <si>
    <t>To Developer</t>
  </si>
  <si>
    <t/>
  </si>
  <si>
    <t>10. FEP cash flows (€k; + = inflow to FEP, − = outflow)</t>
  </si>
  <si>
    <t>Transaction / DD costs</t>
  </si>
  <si>
    <t>Recoverable loan funding (refundable securities)</t>
  </si>
  <si>
    <t>Unrecoverable loan funding – deposits and fees</t>
  </si>
  <si>
    <t>Unrecoverable loan funding – devex</t>
  </si>
  <si>
    <t>Bank guarantee fees</t>
  </si>
  <si>
    <t>Total outflows</t>
  </si>
  <si>
    <t>Cumulative outflows</t>
  </si>
  <si>
    <t>Repayment of recoverable loan</t>
  </si>
  <si>
    <t>Repayment of unrecoverable loan</t>
  </si>
  <si>
    <t>Minimum-return top-up</t>
  </si>
  <si>
    <t>Net cash flow (pre-tax)</t>
  </si>
  <si>
    <t>Cumulative (pre-tax)</t>
  </si>
  <si>
    <t>Net cash flow (post-tax)</t>
  </si>
  <si>
    <t>Cumulative (post-tax)</t>
  </si>
  <si>
    <t>Cost-of-capital charge on negative cumulative position</t>
  </si>
  <si>
    <t>11. FEP returns (scalar, column G)</t>
  </si>
  <si>
    <t>FEP net profit (post-tax)</t>
  </si>
  <si>
    <t>mHUF</t>
  </si>
  <si>
    <t>IRR (post-tax, XIRR on monthly flows)</t>
  </si>
  <si>
    <t>Peak cumulative exposure (post-tax)</t>
  </si>
  <si>
    <t>Peak cumulative exposure</t>
  </si>
  <si>
    <t>Economic profit (after cost of capital)</t>
  </si>
  <si>
    <t>Months from investment to sale</t>
  </si>
  <si>
    <t>12. Developer cash flows (€k) – ignores developer internal G&amp;A</t>
  </si>
  <si>
    <t>Recoverable loan funding</t>
  </si>
  <si>
    <t>Development success fee</t>
  </si>
  <si>
    <t>Developer net profit (post-tax)</t>
  </si>
  <si>
    <t>Developer IRR</t>
  </si>
  <si>
    <t/>
  </si>
  <si>
    <t>Less: repayment of recoverable loans</t>
  </si>
  <si>
    <t>Less: repayment of unrecoverable loans</t>
  </si>
  <si>
    <t>Less: minimum-return top-up</t>
  </si>
  <si>
    <t>FEP inflows at sale</t>
  </si>
  <si>
    <t>FEP pre-tax profit</t>
  </si>
  <si>
    <t>IRR (post-tax)</t>
  </si>
  <si>
    <t>Scenario monthly cash-flow rows (for IRR) – months in H:BP again</t>
  </si>
  <si>
    <t>Scenario 1 – FEP net cash flow (post-tax)</t>
  </si>
  <si>
    <t>Scenario 2 – FEP net cash flow (post-tax)</t>
  </si>
  <si>
    <t>Scenario 3 – FEP net cash flow (post-tax)</t>
  </si>
  <si>
    <t>Scenario 4 – FEP net cash flow (post-tax)</t>
  </si>
  <si>
    <t>Scenario 5 – FEP net cash flow (post-tax)</t>
  </si>
  <si>
    <t>Scenario 6 – FEP net cash flow (post-tax)</t>
  </si>
  <si>
    <t>Scenario 7 – FEP net cash flow (post-tax)</t>
  </si>
  <si>
    <t>14. Integrity checks (status in column G)</t>
  </si>
  <si>
    <t>Deposits schedule reconciles to source table at reference capacity</t>
  </si>
  <si>
    <t>FEP recoverable loan closes to nil</t>
  </si>
  <si>
    <t>FEP unrecoverable loan closes to nil</t>
  </si>
  <si>
    <t>Developer loans close to nil</t>
  </si>
  <si>
    <t>Guarantee balance nil at end of grid</t>
  </si>
  <si>
    <t/>
  </si>
  <si>
    <t/>
  </si>
  <si>
    <t/>
  </si>
  <si>
    <t>Sale month inside the grid</t>
  </si>
  <si>
    <t>All included deposit payments fall inside the grid</t>
  </si>
  <si>
    <t>Key outputs are numeric</t>
  </si>
  <si>
    <t/>
  </si>
  <si>
    <t>Case selector valid (1–10)</t>
  </si>
  <si>
    <t>FEP net cash flow ties (outflows + inflows)</t>
  </si>
  <si>
    <t/>
  </si>
  <si>
    <t/>
  </si>
  <si>
    <t>Seven RTB premium scenarios for the Dashboard sensitivity; edit freely (keep ascending).</t>
  </si>
  <si>
    <t>Integrity checks</t>
  </si>
  <si>
    <t>Uses</t>
  </si>
  <si>
    <t>DD and transaction costs</t>
  </si>
  <si>
    <t>Securities and connection fee – cash posted, net of pre-sale refunds (FEP share)</t>
  </si>
  <si>
    <t>Total uses</t>
  </si>
  <si>
    <t>Sources</t>
  </si>
  <si>
    <t>FEP equity (signing fee + transaction costs)</t>
  </si>
  <si>
    <t>FEP direct funding of guarantee fees</t>
  </si>
  <si>
    <t>Total sources</t>
  </si>
  <si>
    <t>Sources = Uses</t>
  </si>
  <si>
    <t>Memo: expected buyer reimbursement of securities and connection fee at exit</t>
  </si>
  <si>
    <t>Memo: at-risk spend to RTB (total uses less reimbursable securities)</t>
  </si>
  <si>
    <t>3. Exit proceeds waterfall (€k) – active case</t>
  </si>
  <si>
    <t>4. FEP returns sensitised to RTB sale premium (all other inputs at the active case)</t>
  </si>
  <si>
    <t>FEP net profit</t>
  </si>
  <si>
    <t>Active case marker</t>
  </si>
  <si>
    <t>Only exit proceeds move across the columns; devex, deposits, loans and timing are held at the active case. Recovery of securities is assumed identical in every column.</t>
  </si>
  <si>
    <t>5. Tender securities and grid connection – summary (Deposits sheet)</t>
  </si>
  <si>
    <t>Actually payable after netting – model capacity</t>
  </si>
  <si>
    <t>Included in FEP cash flows (pre-sale instalments)</t>
  </si>
  <si>
    <t>Of which cash-settled</t>
  </si>
  <si>
    <t>Of which guarantee-backed</t>
  </si>
  <si>
    <t>Reconciliation to source table at 280 MW</t>
  </si>
  <si>
    <t>6. Integrity checks (from MOIC block 14)</t>
  </si>
  <si>
    <t/>
  </si>
  <si>
    <t/>
  </si>
  <si>
    <t>MOIC (cash returned net of tax ÷ cash invested)</t>
  </si>
  <si>
    <t>Developer MOIC (cash returned net of tax ÷ cash invested)</t>
  </si>
  <si>
    <t>6 - v5 redesign</t>
  </si>
  <si>
    <t>Cover / Dashboard / Inputs / Curves / Deposits / MOIC (new sheets)</t>
  </si>
  <si>
    <t>New sheets</t>
  </si>
  <si>
    <t>Stage 1 MOIC model rebuilt as v5 on six new sheets. Inputs replaces Stat_inp + Dyn_Inp (one static input sheet, 10 case columns, INDEX case selector, every input labelled with unit and note). Curves holds the EURIBOR curves and an open Aurora Hungary wind capture-price block (amber) for the user to paste into. Deposits is a 12-line schedule of the MEKH tender securities and grid-connection fee (gross, netting, payable, timing month, cash-vs-guarantee switch, recovery %, reconciliation to the 280 MW source table). MOIC is the monthly grid (months 0-60), blocks numbered 1-14, no inputs on the sheet. Dashboard links headline returns, sources &amp; uses, exit waterfall, premium sensitivity, deposits summary, checks and the cumulative equity chart.</t>
  </si>
  <si>
    <t>Stat_inp / Dyn_Inp / Calculation / Checks (12 sheets, #VALUE! cascade live)</t>
  </si>
  <si>
    <t>Case 1 (200 MW, FEP 100%, EUR 150k/MW): net profit EUR 24,291.9k / 8,745 mHUF; MOIC 2.47x; IRR 65.9%; peak exposure EUR 19,550k</t>
  </si>
  <si>
    <t>This session; IC paper 27-Jul-26 used for context only</t>
  </si>
  <si>
    <t>v3_Stat_inp / v3_Dyn_Inp / v3_Calculation / v3_Checks</t>
  </si>
  <si>
    <t>Whole sheets</t>
  </si>
  <si>
    <t>Old Stage 1 sheets renamed with a v3_ prefix, coloured grey and moved to the end as the safe copy. Contents untouched (the #VALUE! cascade from the text in Stat_inp G98 is still there, deliberately, so the audit trail survives). Assumptions links that pointed at Stat_inp / Calculation (E9, E16:E18, E25, E26, E28, E164) now point at Inputs, so the HTM scaffolds (Timeline, Construction, Operations, Financing) read the live case.</t>
  </si>
  <si>
    <t>Live links into Stat_inp / Calculation</t>
  </si>
  <si>
    <t>All links into Inputs; no live formula anywhere reads a v3_ sheet</t>
  </si>
  <si>
    <t>Own scan of every sheet for Stat_inp / Dyn_Inp / Calculation references</t>
  </si>
  <si>
    <t>MOIC / Deposits</t>
  </si>
  <si>
    <t>Deposits block, rows 28-57, 82-94</t>
  </si>
  <si>
    <t>DEFECTS IN v3 CORRECTED IN v5: (1) deposits were converted to EUR k with a x1000 unit error and the participation fee was multiplied by MW; (2) nine deposit lines had empty timing profiles so never hit the cash flow; (3) the recoverable-deposit rows 132-137 were missing so nothing was recovered at exit; (4) developer totals summed to AL not the full grid; (5) the success fee was double-counted in the JV case; (6) F22 / F46-F48 bypassed the case selector. v5 builds every deposit line once on Deposits with an explicit grid month from the Inputs dates, the bid bond credited to the performance bond, the 50% supplementary-security refund at building permit, and the post-sale instalments 3-4 excluded (switch Inputs E91).</t>
  </si>
  <si>
    <t>Deposits materially mis-stated; recovery nil</t>
  </si>
  <si>
    <t>Payable at 280 MW reconciles to source 8,074.4 mHUF (Deposits E34 = OK)</t>
  </si>
  <si>
    <t>Own review; peer file bora_deposits_and_fees.json</t>
  </si>
  <si>
    <t>G177:G179, H223:N223</t>
  </si>
  <si>
    <t>MOIC definition standardised to cash returned net of tax divided by cash invested (v3 put the tax in the denominator, which understated the multiple: 2.28x vs 2.47x on the same flows). Loan interest verified independently: monthly compounding at rate/12 on opening balance plus draw, accruing through the sale month (recoverable 12%: EUR 3,473.6k; unrecoverable 20%: EUR 833.2k; 2.0x top-up EUR 1,572.3k). Waterfall, tax (9% on cumulative profit at sale) and cases 2-4 exercised; all 17 checks OK in every case.</t>
  </si>
  <si>
    <t>MOIC = inflows / (outflows + tax)</t>
  </si>
  <si>
    <t>MOIC = (inflows + tax) / outflows</t>
  </si>
  <si>
    <t>Independent recomputation this session</t>
  </si>
  <si>
    <t>Term sheet (Annex 1)</t>
  </si>
  <si>
    <t>Project ARES – BORA onshore wind (Hungary)</t>
  </si>
  <si>
    <t/>
  </si>
  <si>
    <t>Purpose</t>
  </si>
  <si>
    <t>Dashboard</t>
  </si>
  <si>
    <t>Curves</t>
  </si>
  <si>
    <t>EURIBOR live; Aurora awaiting paste</t>
  </si>
  <si>
    <t>Every open assumption, its interim treatment and owner.</t>
  </si>
  <si>
    <t>Full audit trail of every build phase, defect and fix.</t>
  </si>
  <si>
    <t>Archived</t>
  </si>
  <si>
    <t>Conventions</t>
  </si>
  <si>
    <t>Blue text on cream fill = hard-coded input; black = formula; green = link from another sheet.</t>
  </si>
  <si>
    <t>Yellow fill = key assumption to confirm with the deal team; amber fill = awaiting data.</t>
  </si>
  <si>
    <t>Units are stated in column D of every sheet. EUR k unless stated; mHUF = HUF million; FX at Inputs E11.</t>
  </si>
  <si>
    <t>Sign convention on MOIC cash-flow blocks: positive = inflow to the party, negative = outflow.</t>
  </si>
  <si>
    <t>Month 0 = investment date (Inputs E23). Column G on MOIC holds row totals or scalar results.</t>
  </si>
  <si>
    <t>The IC paper of 27-Jul-26 was used for context only; no IC-deck number was typed into the model.</t>
  </si>
  <si>
    <t>Headline – active case</t>
  </si>
  <si>
    <t>mHUF/MW</t>
  </si>
  <si>
    <t>mHUF per bid</t>
  </si>
  <si>
    <t>mHUF/MW or mHUF</t>
  </si>
  <si>
    <t>Cumulative equity position (k€, for chart)</t>
  </si>
  <si>
    <t>k€</t>
  </si>
  <si>
    <t>k€/MW</t>
  </si>
  <si>
    <t>k€ total</t>
  </si>
  <si>
    <t>FEP net profit (post-tax), k€</t>
  </si>
  <si>
    <t>Inputs / Deposits / MOIC / Dashboard / Cover</t>
  </si>
  <si>
    <t>Inputs D62:D74 and E62:E74; Deposits F:J, S:T, summary; MOIC row 170; unit labels throughout</t>
  </si>
  <si>
    <t>UNIT CONVENTION STANDARDISED at the user's instruction: every HUF input and output is now in mHUF (HUF million) and every EUR input and output in k€ (EUR thousand). The tender-security unit rates on Inputs were re-entered in mHUF (connection fee base 406.00 mHUF/MW, participation fee 2.00 mHUF per bid, connection request security 0.90, capacity reservation 3.60, connection fee estimate 15.75 mHUF/MW; source totals 14,766.4 / 8,074.4 mHUF). Deposits columns F, H, I, J, S and T are consequently in mHUF and the EUR conversion was re-based (J x 1000 / FX instead of J / FX / 1000). The reconciliation tolerance was tightened from 1 HUF to 0.01 mHUF. MOIC's chart row was moved from m€ to k€ and the chart title updated. 239 unit labels relabelled from the €k / €m style to k€ / m€. Per-MWh price rows on Curves stay in EUR/MWh and HUF/MWh - a unit price is not a total, so mHUF/k€ would be wrong there.</t>
  </si>
  <si>
    <t>Mixed: raw HUF (billions) alongside mHUF outputs; EUR labelled €k</t>
  </si>
  <si>
    <t>All HUF in mHUF, all EUR in k€; every result unchanged (net profit k€ 24,291.9 / 8,745 mHUF, MOIC 2.47x, IRR 65.9%, all 17 checks OK)</t>
  </si>
  <si>
    <t>User instruction this session</t>
  </si>
  <si>
    <t>2. FEP sources &amp; uses to exit (cash actually funded by FEP; k€ and mHUF at Inputs FX)</t>
  </si>
  <si>
    <t>I. HTM (build &amp; operate) – timing</t>
  </si>
  <si>
    <t>Construction duration (NTP → COD)</t>
  </si>
  <si>
    <t>NTP / construction start date</t>
  </si>
  <si>
    <t>COD (derived)</t>
  </si>
  <si>
    <t>First full operating year</t>
  </si>
  <si>
    <t>J. HTM – construction capex (first-cost, nominal at NTP) – ESTIMATES pending A.RES budget / technical DD</t>
  </si>
  <si>
    <t>Turbine supply incl. transport (6.x MW class)</t>
  </si>
  <si>
    <t>ESTIMATE.</t>
  </si>
  <si>
    <t>Balance of plant – civil (roads, crane pads, drainage)</t>
  </si>
  <si>
    <t>Balance of plant – electrical (MV cabling, internal grid)</t>
  </si>
  <si>
    <t>Owner's costs, engineering, PM, construction insurance</t>
  </si>
  <si>
    <t>Land purchase / easements at NTP</t>
  </si>
  <si>
    <t>ESTIMATE. Land is leased; this covers rights-of-way and buy-outs.</t>
  </si>
  <si>
    <t>Contingency on the lines above</t>
  </si>
  <si>
    <t>Grid connection fee (from Deposits, k€ at model capacity)</t>
  </si>
  <si>
    <t>Total capex excl. connection fee</t>
  </si>
  <si>
    <t>Total capex incl. connection fee</t>
  </si>
  <si>
    <t>IC paper reference: ~1,500 k€/MW.</t>
  </si>
  <si>
    <t>Decommissioning cost net of scrap (end of life)</t>
  </si>
  <si>
    <t>Terminal value at end of life</t>
  </si>
  <si>
    <t>Conservative: nil. Enter a repowering / land value if wanted.</t>
  </si>
  <si>
    <t>K. HTM – generation</t>
  </si>
  <si>
    <t>Net equivalent hours P50 (after wake, availability and electrical losses)</t>
  </si>
  <si>
    <t>MWh/MW/yr</t>
  </si>
  <si>
    <t>IC paper: NCF 28.07%, P50 2,460 h. Already net of losses.</t>
  </si>
  <si>
    <t>Additional availability / loss haircut</t>
  </si>
  <si>
    <t>Zero because the hours above are already net.</t>
  </si>
  <si>
    <t>ESTIMATE. Compounding from first operating year.</t>
  </si>
  <si>
    <t>Yield sensitivity factor (1.00 = P50)</t>
  </si>
  <si>
    <t>Set to P90/P50 ratio for a P90 case (typically ~0.85–0.88).</t>
  </si>
  <si>
    <t>L. HTM – revenue</t>
  </si>
  <si>
    <t>Price source (1 = Aurora curve on Curves, 2 = flat estimate below)</t>
  </si>
  <si>
    <t>Estimate: baseload price in first operating year</t>
  </si>
  <si>
    <t>ESTIMATE, nominal. Replace with Aurora.</t>
  </si>
  <si>
    <t>Estimate: baseload escalation</t>
  </si>
  <si>
    <t>Estimate: wind capture rate vs baseload</t>
  </si>
  <si>
    <t>ESTIMATE. Hungarian wind cannibalisation is modest at low penetration.</t>
  </si>
  <si>
    <t>Merchant share of output</t>
  </si>
  <si>
    <t>Balance sold under the PPA / CfD below.</t>
  </si>
  <si>
    <t>PPA / CfD strike in first operating year</t>
  </si>
  <si>
    <t>PPA / CfD strike escalation</t>
  </si>
  <si>
    <t>PPA / CfD tenor from first operating year</t>
  </si>
  <si>
    <t>Merchant thereafter.</t>
  </si>
  <si>
    <t>Balancing / BRP cost</t>
  </si>
  <si>
    <t>ESTIMATE. IC flags balancing charges as material.</t>
  </si>
  <si>
    <t>Grid use-of-system and system-operator charges</t>
  </si>
  <si>
    <t>Robin Hood tax (energy suppliers' income tax) applies (1 = yes)</t>
  </si>
  <si>
    <t>Robin Hood tax rate</t>
  </si>
  <si>
    <t>M. HTM – opex (first operating year prices)</t>
  </si>
  <si>
    <t>O&amp;M full-service contract (turbines)</t>
  </si>
  <si>
    <t>k€/MW/yr</t>
  </si>
  <si>
    <t>Land lease</t>
  </si>
  <si>
    <t>ESTIMATE. Replace with signed lease terms (38 turbines contracted).</t>
  </si>
  <si>
    <t>Property tax (építményadó)</t>
  </si>
  <si>
    <t>ESTIMATE. Municipal; varies by settlement.</t>
  </si>
  <si>
    <t>Administration, audit, compliance (portfolio)</t>
  </si>
  <si>
    <t>k€/yr</t>
  </si>
  <si>
    <t>Opex contingency</t>
  </si>
  <si>
    <t>Opex escalation</t>
  </si>
  <si>
    <t>ESTIMATE. EUR-denominated, single index (no double indexation).</t>
  </si>
  <si>
    <t>Base approximated as revenue (conservative – actual base deducts materials and subcontractors).</t>
  </si>
  <si>
    <t>N. HTM – tax and depreciation</t>
  </si>
  <si>
    <t>Tax depreciation period (straight-line from COD)</t>
  </si>
  <si>
    <t>Hungarian tax rate for power-generation assets to be confirmed.</t>
  </si>
  <si>
    <t>Loss carry-forward usable per year (cap on taxable income)</t>
  </si>
  <si>
    <t>Hungarian rule: losses offset up to 50% of the year's pre-loss tax base.</t>
  </si>
  <si>
    <t>O. HTM – project finance (senior term loan)</t>
  </si>
  <si>
    <t>Gearing – debt as % of total capex incl. connection fee</t>
  </si>
  <si>
    <t>ESTIMATE. Merchant-heavy Hungarian wind may gear lower.</t>
  </si>
  <si>
    <t>All-in interest rate (fixed)</t>
  </si>
  <si>
    <t>ESTIMATE. ~2.5% swap + 250 bps margin.</t>
  </si>
  <si>
    <t>Upfront and arrangement fees</t>
  </si>
  <si>
    <t>% of debt</t>
  </si>
  <si>
    <t>Interest during construction capitalised (1 = yes, 0 = paid by equity)</t>
  </si>
  <si>
    <t>P. HTM – valuation and scope</t>
  </si>
  <si>
    <t>Discount rate – unlevered project NPV</t>
  </si>
  <si>
    <t>Discount rate – equity NPV</t>
  </si>
  <si>
    <t>Include Stage 1 development-phase costs (devex, fees, securities) in HTM</t>
  </si>
  <si>
    <t>1 = full-cycle FEP returns; 0 = project-only from RTB.</t>
  </si>
  <si>
    <t>No sale proceeds in HTM, so the fee is settled from equity at COD.</t>
  </si>
  <si>
    <t>HTM (build &amp; operate) – annual calculation grid 2026-2060, nominal k€. No inputs on this sheet. Column E = scalar parameter, column G = row total or result. Sign: + inflow, − outflow.</t>
  </si>
  <si>
    <t>Development-phase flows are pulled from MOIC / Deposits (Stage 1); everything from NTP onwards is driven by Inputs sections I–P.</t>
  </si>
  <si>
    <t>Development-phase flag (investment year → NTP year)</t>
  </si>
  <si>
    <t>Construction share of the year (by days NTP → COD)</t>
  </si>
  <si>
    <t>Decommissioning / end-of-life flag</t>
  </si>
  <si>
    <t>Discount factor – unlevered (mid-year not applied)</t>
  </si>
  <si>
    <t>Discount factor – equity</t>
  </si>
  <si>
    <t>1. Development phase (Stage 1 flows from MOIC / Deposits)</t>
  </si>
  <si>
    <t>← include switch</t>
  </si>
  <si>
    <t>Signing fee and DD / transaction costs</t>
  </si>
  <si>
    <t>Developer success fee settled in cash at COD (JV case)</t>
  </si>
  <si>
    <t>Total development-phase cash flow</t>
  </si>
  <si>
    <t>2. Construction capex</t>
  </si>
  <si>
    <t>Capex excl. connection fee (k€/MW × successful MW, phased by construction share)</t>
  </si>
  <si>
    <t>Grid connection fee (Deposits – paid on HCsSz date)</t>
  </si>
  <si>
    <t>Total capex</t>
  </si>
  <si>
    <t>Capex per MW (all-in, at model capacity)</t>
  </si>
  <si>
    <t>3. Generation</t>
  </si>
  <si>
    <t/>
  </si>
  <si>
    <t>Degradation factor</t>
  </si>
  <si>
    <t>Net generation</t>
  </si>
  <si>
    <t>GWh</t>
  </si>
  <si>
    <t>Net capacity factor (full years)</t>
  </si>
  <si>
    <t>4. Power price</t>
  </si>
  <si>
    <t>← 1 = Aurora, 2 = estimate</t>
  </si>
  <si>
    <t>Estimate: baseload price</t>
  </si>
  <si>
    <t>Estimate: wind capture price</t>
  </si>
  <si>
    <t>Merchant capture price used</t>
  </si>
  <si>
    <t>Aurora year missing (1 = fell back to estimate)</t>
  </si>
  <si>
    <t>PPA / CfD strike</t>
  </si>
  <si>
    <t>PPA share of output</t>
  </si>
  <si>
    <t>Blended achieved price</t>
  </si>
  <si>
    <t>5. Revenue, opex and EBITDA</t>
  </si>
  <si>
    <t>← opex escalation</t>
  </si>
  <si>
    <t>Total revenue</t>
  </si>
  <si>
    <t>Administration, audit, compliance</t>
  </si>
  <si>
    <t>Total operating costs</t>
  </si>
  <si>
    <t>EBITDA margin</t>
  </si>
  <si>
    <t>Opex per MW (full years)</t>
  </si>
  <si>
    <t>6. Senior debt (annuity term loan, drawn pro rata with capex)</t>
  </si>
  <si>
    <t>← all-in rate</t>
  </si>
  <si>
    <t>Debt sized on total capex incl. connection fee</t>
  </si>
  <si>
    <t>Drawdown</t>
  </si>
  <si>
    <t>IDC capitalised</t>
  </si>
  <si>
    <t>IDC paid by equity</t>
  </si>
  <si>
    <t>Annuity debt service (fixed, from balance at COD)</t>
  </si>
  <si>
    <t>Principal repayment</t>
  </si>
  <si>
    <t>7. Corporate tax (levered)</t>
  </si>
  <si>
    <t>← CIT rate</t>
  </si>
  <si>
    <t>Tax losses – opening</t>
  </si>
  <si>
    <t>Losses used (capped at share of positive income)</t>
  </si>
  <si>
    <t>Tax losses – closing</t>
  </si>
  <si>
    <t>Taxable income after loss relief</t>
  </si>
  <si>
    <t>Corporate income tax</t>
  </si>
  <si>
    <t>Robin Hood tax (if applicable)</t>
  </si>
  <si>
    <t>Total tax – levered</t>
  </si>
  <si>
    <t>Tax – unlevered proxy (no interest shield, no loss relief)</t>
  </si>
  <si>
    <t>8. Unlevered project cash flow</t>
  </si>
  <si>
    <t>Development phase</t>
  </si>
  <si>
    <t>Construction capex</t>
  </si>
  <si>
    <t>Decommissioning</t>
  </si>
  <si>
    <t>Terminal value</t>
  </si>
  <si>
    <t>Unlevered pre-tax cash flow</t>
  </si>
  <si>
    <t>Unlevered post-tax cash flow</t>
  </si>
  <si>
    <t>Cumulative unlevered post-tax</t>
  </si>
  <si>
    <t>9. Equity cash flow (100% of project)</t>
  </si>
  <si>
    <t>Debt drawdown</t>
  </si>
  <si>
    <t>Upfront fees and IDC paid by equity</t>
  </si>
  <si>
    <t>Decommissioning and terminal value</t>
  </si>
  <si>
    <t>Equity cash flow</t>
  </si>
  <si>
    <t>Cumulative equity cash flow</t>
  </si>
  <si>
    <t>CFADS (EBITDA − tax)</t>
  </si>
  <si>
    <t>DSCR</t>
  </si>
  <si>
    <t>10. FEP share</t>
  </si>
  <si>
    <t>FEP equity cash flow</t>
  </si>
  <si>
    <t>FEP cumulative equity position</t>
  </si>
  <si>
    <t>11. Results (column G)</t>
  </si>
  <si>
    <t>Project IRR – unlevered, pre-tax</t>
  </si>
  <si>
    <t>Project IRR – unlevered, post-tax</t>
  </si>
  <si>
    <t>Project NPV – unlevered post-tax at discount rate</t>
  </si>
  <si>
    <t>Equity IRR – levered, post-tax (100%)</t>
  </si>
  <si>
    <t>Equity NPV at equity discount rate</t>
  </si>
  <si>
    <t>FEP equity IRR</t>
  </si>
  <si>
    <t>FEP net cash (sum of equity flows)</t>
  </si>
  <si>
    <t>FEP net cash</t>
  </si>
  <si>
    <t>FEP peak cumulative equity exposure</t>
  </si>
  <si>
    <t>FEP MOIC (cash back ÷ cash in)</t>
  </si>
  <si>
    <t>Payback year (cumulative equity turns positive)</t>
  </si>
  <si>
    <t>Capex per MW</t>
  </si>
  <si>
    <t>Lifetime net generation</t>
  </si>
  <si>
    <t>Lifetime revenue</t>
  </si>
  <si>
    <t>Average achieved price</t>
  </si>
  <si>
    <t>Average EBITDA margin</t>
  </si>
  <si>
    <t>Minimum DSCR</t>
  </si>
  <si>
    <t>LCOE (PV of dev + capex + opex + decom ÷ PV of generation, at unlevered rate)</t>
  </si>
  <si>
    <t>Debt at COD</t>
  </si>
  <si>
    <t>Debt fully repaid by end of tenor</t>
  </si>
  <si>
    <t>12. Checks</t>
  </si>
  <si>
    <t>Horizon covers operating life</t>
  </si>
  <si>
    <t>Construction shares sum to 100%</t>
  </si>
  <si>
    <t>Capex phased equals capex sized</t>
  </si>
  <si>
    <t>Debt repaid at end of tenor</t>
  </si>
  <si>
    <t>Tax losses never negative</t>
  </si>
  <si>
    <t>Aurora curve complete for all operating years (only when source = 1)</t>
  </si>
  <si>
    <t>Overall</t>
  </si>
  <si>
    <t>7. HTM (build &amp; operate) returns – active case, nominal k€ (HTM sheet; estimates in yellow on Inputs sections I–P)</t>
  </si>
  <si>
    <t>Price source in use</t>
  </si>
  <si>
    <t>Capex incl. connection fee</t>
  </si>
  <si>
    <t>Capex per MW (all-in)</t>
  </si>
  <si>
    <t>Debt at COD / gearing</t>
  </si>
  <si>
    <t>LCOE (unlevered discount rate)</t>
  </si>
  <si>
    <t>Project NPV – unlevered post-tax</t>
  </si>
  <si>
    <t>Equity IRR – levered, post-tax</t>
  </si>
  <si>
    <t>FEP net cash over life</t>
  </si>
  <si>
    <t>FEP peak cumulative exposure</t>
  </si>
  <si>
    <t>FEP MOIC</t>
  </si>
  <si>
    <t>Payback year</t>
  </si>
  <si>
    <t>HTM integrity checks</t>
  </si>
  <si>
    <t>Compare: sell-at-RTB FEP IRR / MOIC</t>
  </si>
  <si>
    <t>% / x</t>
  </si>
  <si>
    <t>gearing</t>
  </si>
  <si>
    <t>Schedule of MEKH tender securities and grid-connection fee: gross, netting, payable, grid month, k€, cash vs guarantee, recovery %, reconciliation to the 280 MW source table.</t>
  </si>
  <si>
    <t>Sell-at-RTB monthly grid (months 0-60), 14 numbered blocks. No inputs.</t>
  </si>
  <si>
    <t>HTM</t>
  </si>
  <si>
    <t>Live – on estimates</t>
  </si>
  <si>
    <t>HTM – project IRR (unlevered, post-tax)</t>
  </si>
  <si>
    <t>HTM – equity IRR (levered, post-tax)</t>
  </si>
  <si>
    <t>HTM – FEP net cash over life, k€</t>
  </si>
  <si>
    <t>HTM – LCOE, EUR/MWh</t>
  </si>
  <si>
    <t>Derived (informational – HTM reads column K directly)</t>
  </si>
  <si>
    <t>HTM – capex</t>
  </si>
  <si>
    <t>Construction capex estimates</t>
  </si>
  <si>
    <t>Technical DD / A.RES</t>
  </si>
  <si>
    <t>IC paper p.7</t>
  </si>
  <si>
    <t>HTM – revenue</t>
  </si>
  <si>
    <t>Wind capture price</t>
  </si>
  <si>
    <t>Inputs L: flat estimate 75 EUR/MWh baseload in 2031, +2% p.a., 85% capture rate (≈ 64 EUR/MWh achieved in year 1). Aurora Hungary curve not yet pasted (Curves rows 22-66).</t>
  </si>
  <si>
    <t>User (Aurora)</t>
  </si>
  <si>
    <t>Aurora Hungary Power Market Forecast</t>
  </si>
  <si>
    <t>HTM – opex</t>
  </si>
  <si>
    <t>Operating cost estimates</t>
  </si>
  <si>
    <t>Deal team / A.RES</t>
  </si>
  <si>
    <t>HTM – tax</t>
  </si>
  <si>
    <t>Robin Hood tax and tax depreciation</t>
  </si>
  <si>
    <t>Tax adviser (Futureal)</t>
  </si>
  <si>
    <t>IC paper p.5 (risk table)</t>
  </si>
  <si>
    <t>HTM – financing</t>
  </si>
  <si>
    <t>Senior debt terms</t>
  </si>
  <si>
    <t>HTM – structure</t>
  </si>
  <si>
    <t>Development-phase costs and JV in HTM</t>
  </si>
  <si>
    <t>7 - HTM</t>
  </si>
  <si>
    <t>Inputs (rows 131-206) / HTM (new sheet) / Dashboard (rows 96-117, second chart) / Curves / Cover</t>
  </si>
  <si>
    <t>HTM (build &amp; operate) case added on a streamlined ANNUAL grid 2026-2060 instead of the 541-column monthly scaffolds. Inputs gained sections I-P (timing, capex, generation, revenue, opex, tax &amp; depreciation, senior debt, valuation &amp; scope) with FEP placeholder ESTIMATES in yellow, all on the same 10-case selector. HTM sheet: development phase pulled from MOIC / Deposits (devex, fees, net securities; Security-type deposits returned at COD; connection fee treated as capex), capex phased by construction days, P50 generation with curtailment and degradation, price from Aurora (Curves) or flat estimate via switch, PPA/CfD share and tenor, itemised opex with escalation, HIPA, annuity term loan with IDC, CIT with capped loss carry-forward and optional Robin Hood tax, unlevered and equity cash flows, FEP share, 21 results and 10 checks. Dashboard block 7 and an annual FEP equity cash-flow chart added; Cover headline extended.</t>
  </si>
  <si>
    <t>No HTM numbers (scaffolds blank)</t>
  </si>
  <si>
    <t>On estimates: capex 1,444 k€/MW; unlevered IRR 5.3% pre-tax / 4.9% post-tax; equity IRR 4.8%; LCOE 85 EUR/MWh; min DSCR 1.12x; FEP net cash 165.8 m€ over 25 years; all HTM checks OK. IRRs re-computed independently in Python (match to 4 d.p.).</t>
  </si>
  <si>
    <t>User request this session; IC paper for context only</t>
  </si>
  <si>
    <t>v3_Assumptions / v3_Input_Register / v3_Timeline / v3_Construction / v3_Operations / v3_Financing</t>
  </si>
  <si>
    <t>The earlier HTM scaffolds (Assumptions, Input_Register, Timeline, Construction, Operations, Financing) renamed with the v3_ prefix, greyed and moved to the end as the safe copy. No live sheet references them (scanned). They remain available if a monthly debt engine is ever needed; the annual HTM sheet supersedes them for IC purposes.</t>
  </si>
  <si>
    <t>Six live scaffold tabs, 541 columns, blank inputs</t>
  </si>
  <si>
    <t>Own scan</t>
  </si>
  <si>
    <t>Sell at RTB</t>
  </si>
  <si>
    <t>Exit / price basis</t>
  </si>
  <si>
    <t>k€/MW | €/MWh</t>
  </si>
  <si>
    <t>Gross proceeds / lifetime revenue</t>
  </si>
  <si>
    <t>Economic profit (RTB) / project NPV (HTM)</t>
  </si>
  <si>
    <t>Final tender: window 4 Sep – 30 Oct 2026 (draft was 1–18 Sep). Source: MEKH kiírás 30-Aug-26 via Világgazdaság/Portfolio, https://www.portfolio.hu/gazdasag/20260831/meg-csak-most-irtak-ki-a-szeltendert-de-maris-bearnyekolja-a-hazai-szelenergia-celokat-859412</t>
  </si>
  <si>
    <t>Final tender: results by 13 Dec 2026 (draft was 2 Dec). Same source as above.</t>
  </si>
  <si>
    <t>Final tender: HUF 3.0m per bid (draft was 2.0m). Source: MEKH kiírás 30-Aug-26 via palyazatok.org, https://palyazatok.org/szeleromu-palyazat/</t>
  </si>
  <si>
    <t>Q. Final MEKH tender terms (published 30-Aug-26) – new commitments and deadlines not in the July draft</t>
  </si>
  <si>
    <t>One-off municipal contribution commitment (scoring: points above 10, max at 50)</t>
  </si>
  <si>
    <t>Annual community contribution on energy fed in (scoring: points above 2, max at 3)</t>
  </si>
  <si>
    <t>€/MWh</t>
  </si>
  <si>
    <t>Mandatory call option for designated renewable-energy community</t>
  </si>
  <si>
    <t>% of SPV</t>
  </si>
  <si>
    <t>Final building permit to be evidenced by</t>
  </si>
  <si>
    <t>Earliest grid connection date</t>
  </si>
  <si>
    <t>Commercial operation deadline (all nodes)</t>
  </si>
  <si>
    <t>Miss = loss of connection right and performance bond (pro rata on partial COD).</t>
  </si>
  <si>
    <t/>
  </si>
  <si>
    <t>MVA</t>
  </si>
  <si>
    <t>Check: model COD not before earliest connection date</t>
  </si>
  <si>
    <t>Check: model COD not after COD deadline</t>
  </si>
  <si>
    <t>Within 15 days of award (linked: award + 14 days).</t>
  </si>
  <si>
    <t>Annual community contribution (tender commitment, €/MWh on net generation)</t>
  </si>
  <si>
    <t>Municipal one-off contribution (tender commitment, k€/MW – paid in COD year)</t>
  </si>
  <si>
    <t>Tender commitments: municipal one-off (capex) / annual community (lifetime opex)</t>
  </si>
  <si>
    <t>k€ lifetime</t>
  </si>
  <si>
    <t>13. HTM sensitivities – unlevered PRE-TAX project IRR and NPV (analytical: base cash flow ± linear deltas; tax not re-run). Columns H:AP are years as above.</t>
  </si>
  <si>
    <t>13a. Achieved-price sensitivity (multiplier on every year's revenue; MEKH fee and HIPA move with revenue)</t>
  </si>
  <si>
    <t>Scenario</t>
  </si>
  <si>
    <t>Price multiplier</t>
  </si>
  <si>
    <t>Avg price €/MWh</t>
  </si>
  <si>
    <t>Pre-tax IRR</t>
  </si>
  <si>
    <t>NPV @ unlevered rate (k€)</t>
  </si>
  <si>
    <t>Price 70%</t>
  </si>
  <si>
    <t>Price 80%</t>
  </si>
  <si>
    <t>Price 90%</t>
  </si>
  <si>
    <t>Price 100%</t>
  </si>
  <si>
    <t>Price 110%</t>
  </si>
  <si>
    <t>Price 120%</t>
  </si>
  <si>
    <t>Price 130%</t>
  </si>
  <si>
    <t>13b. Construction-capex sensitivity (multiplier on total capex incl. connection fee and municipal contribution)</t>
  </si>
  <si>
    <t>Capex multiplier</t>
  </si>
  <si>
    <t>Capex k€/MW</t>
  </si>
  <si>
    <t>Capex 80%</t>
  </si>
  <si>
    <t>Capex 90%</t>
  </si>
  <si>
    <t>Capex 100%</t>
  </si>
  <si>
    <t>Capex 110%</t>
  </si>
  <si>
    <t>Capex 120%</t>
  </si>
  <si>
    <t>13c. Break-even achieved price (unlevered pre-tax NPV = 0 at the unlevered discount rate)</t>
  </si>
  <si>
    <t>PV of revenue net of revenue-linked fees</t>
  </si>
  <si>
    <t>Base-case pre-tax NPV</t>
  </si>
  <si>
    <t>Required price multiplier</t>
  </si>
  <si>
    <t>Break-even average achieved price</t>
  </si>
  <si>
    <t>8. HTM sensitivities – unlevered pre-tax project IRR / NPV (HTM block 13; analytical, tax not re-run)</t>
  </si>
  <si>
    <t>Achieved price vs base</t>
  </si>
  <si>
    <t>Multiplier</t>
  </si>
  <si>
    <t>NPV k€</t>
  </si>
  <si>
    <t>Construction capex vs base</t>
  </si>
  <si>
    <t>Break-even average achieved price (pre-tax NPV = 0 at unlevered rate)</t>
  </si>
  <si>
    <t>Base-case average achieved price</t>
  </si>
  <si>
    <t/>
  </si>
  <si>
    <t>IC paper: BORA = 6 SPVs (5 × 50 MW + 1 × 30 MW). Case 1 keeps 6 bids at 200 MW as a conservative fee count.</t>
  </si>
  <si>
    <t>per bid × bids</t>
  </si>
  <si>
    <t>EURIBOR forward curves and the open Aurora Hungary wind capture-price block (amber – paste in, then set Inputs E166 = 1).</t>
  </si>
  <si>
    <t>Of which included in FEP cash flows (pre-sale, or all if Inputs!E92 = 1)</t>
  </si>
  <si>
    <t>Energy suppliers' income tax (31%) is switched OFF (Inputs E177) on the basis that each SPV is ≤ 50 MW. Tax depreciation assumed 20-year straight-line; loss relief capped at 50% of the tax base.</t>
  </si>
  <si>
    <t>HTM includes the Stage 1 devex, fees and net securities as FEP outflows (Inputs E206 = 1), returns the Security-type deposits at COD and treats the connection fee as capex. In the JV case the developer success fee is paid in cash at COD (E207) and FEP takes its effective share of every equity flow – the shareholder-loan waterfall is not re-modelled for HTM.</t>
  </si>
  <si>
    <t>60% gearing, 5.0% all-in fixed, 1.5% fees, 15-year annuity from COD, IDC capitalised. Min DSCR on estimates is ~1.03x after the final-tender community contributions – well below a typical 1.25-1.30x lock-up, so gearing would be sized down by lenders on a merchant case.</t>
  </si>
  <si>
    <t>Tender</t>
  </si>
  <si>
    <t>Final tender nodes vs BORA's 400 kV connection</t>
  </si>
  <si>
    <t/>
  </si>
  <si>
    <t>Portfolio 31-Aug-26, https://www.portfolio.hu/gazdasag/20260831/meg-csak-most-irtak-ki-a-szeltendert-de-maris-bearnyekolja-a-hazai-szelenergia-celokat-859412 ; Jogászvilág 3-Sep-26. To be verified against the MEKH kiírás (mekh.hu/kapacitas-palyazati-eljaras-2026).</t>
  </si>
  <si>
    <t>Municipal and community contributions (new scoring criteria)</t>
  </si>
  <si>
    <t>Final tender scores a one-off municipal contribution (points above 10 k€/MW, maximum at 50 k€/MW) and an annual contribution on energy fed in (points above 2 €/MWh, maximum at 3 €/MWh); together ~35% of the score. Readiness criteria (wind measurement, bird/bat monitoring, feasibility study) were removed, so the portfolio's preparation advantage no longer scores.</t>
  </si>
  <si>
    <t>Portfolio 31-Aug-26 (URL above).</t>
  </si>
  <si>
    <t>Mandatory 25% call option for a designated renewable-energy community</t>
  </si>
  <si>
    <t>The final tender obliges the bidder to grant a 25% call option over the SPV to a Government-designated energy community, exercisable unilaterally within two years of the final capacity decision; strike price and funding basis unknown.</t>
  </si>
  <si>
    <t>Legal DD</t>
  </si>
  <si>
    <t>Timetable and deadlines from the final tender</t>
  </si>
  <si>
    <t>Bids 4 Sep – 30 Oct 2026; results by 13 Dec 2026; final building permit to be evidenced by 1 Jan 2030; earliest grid connection 30 Sep 2030; COD deadline 30 Sep 2032 (pro-rata loss of performance bond on partial COD). Participation fee HUF 3.0m per bid.</t>
  </si>
  <si>
    <t>Inputs E77/E78/E68 updated; Inputs E214–E216 hold the deadlines with COD checks E218/E219. Draft-basis reconciliation on Deposits S:T kept for audit.</t>
  </si>
  <si>
    <t>Resolved (model updated)</t>
  </si>
  <si>
    <t>Világgazdaság 3-Sep-26; palyazatok.org; Portfolio 31-Aug-26.</t>
  </si>
  <si>
    <t>Capex</t>
  </si>
  <si>
    <t>80% EU-manufactured equipment scoring criterion</t>
  </si>
  <si>
    <t>The final tender awards points for sourcing ≥80% of plant and equipment from EU-based manufacturers, which pushes towards European turbines (higher capex than Chinese alternatives) – consistent with the 950 k€/MW turbine estimate but it narrows the capex-saving lever.</t>
  </si>
  <si>
    <t>Technical DD</t>
  </si>
  <si>
    <t>7 - Improvements</t>
  </si>
  <si>
    <t>Inputs / Deposits / HTM</t>
  </si>
  <si>
    <t>Inputs G77:G79, G68, new row 69, section Q rows 210-219; HTM rows 27 and 57; Deposits G7:H7, S7</t>
  </si>
  <si>
    <t/>
  </si>
  <si>
    <t>Draft-tender dates and 2.0m fee; no community contributions</t>
  </si>
  <si>
    <t>Final terms; HTM post-tax unlevered IRR 4.9% → 4.4%; FEP HTM MOIC 2.37x → 2.08x</t>
  </si>
  <si>
    <t>Portfolio 31-Aug-26; Világgazdaság 3-Sep-26; palyazatok.org – news reports of the MEKH kiírás, to be verified against the primary document</t>
  </si>
  <si>
    <t>HTM / Dashboard</t>
  </si>
  <si>
    <t>HTM rows 163-186; Dashboard C121:E139</t>
  </si>
  <si>
    <t>HTM sensitivities added: achieved price 70–130% and construction capex 80–120% on unlevered pre-tax IRR and NPV (analytical – base cash flow ± linear deltas, revenue-linked fees move with revenue, tax not re-run), plus break-even achieved price for NPV = 0 at the unlevered rate (95.3 €/MWh vs 81.4 base). Mirrored on Dashboard block 8.</t>
  </si>
  <si>
    <t>Two sensitivity grids + break-even</t>
  </si>
  <si>
    <t>Own design</t>
  </si>
  <si>
    <t>Inputs / HTM / text</t>
  </si>
  <si>
    <t>Inputs row 69 insert; HTM H5; text notes</t>
  </si>
  <si>
    <t>Row insert on Inputs shifted every row ≥69 by one; all formulas re-pointed automatically, and every text note quoting an Inputs cell address (Inputs F-column, Cover, Deposits, HTM, Curves, Open_Items) was re-scanned and corrected. HTM start year now derived from the investment date (was typed 2026). Grid audit of MOIC and HTM: no inconsistent formulas across columns, no hard-codes in the grids other than month-0 opening balances, no error values.</t>
  </si>
  <si>
    <t>Typed start year; notes with stale addresses</t>
  </si>
  <si>
    <t>Derived; notes consistent</t>
  </si>
  <si>
    <t>Own audit</t>
  </si>
  <si>
    <t>Live – edit here (yellow = estimates)</t>
  </si>
  <si>
    <t>Update note</t>
  </si>
  <si>
    <t/>
  </si>
  <si>
    <t>Wind curtailment – Low</t>
  </si>
  <si>
    <t>Wind curtailment – Central</t>
  </si>
  <si>
    <t>Wind curtailment – High</t>
  </si>
  <si>
    <t>Wind capture curtailed &lt;0 – Low</t>
  </si>
  <si>
    <t>Wind capture curtailed &lt;0 – Central</t>
  </si>
  <si>
    <t>Wind capture curtailed &lt;0 – High</t>
  </si>
  <si>
    <t>% (info)</t>
  </si>
  <si>
    <t>EUR/MWh (info)</t>
  </si>
  <si>
    <t>Real 2025</t>
  </si>
  <si>
    <t>Aurora Q2 2026 HUN Power &amp; Renewables Market Forecast</t>
  </si>
  <si>
    <t>Inflation to convert Aurora real-2025 prices to nominal (HTM opex is nominal)</t>
  </si>
  <si>
    <t>ESTIMATE – set to 0% to run in real terms. Base year of the real series →</t>
  </si>
  <si>
    <t>Selected baseload (nominal)</t>
  </si>
  <si>
    <t>Selected wind capture (nominal)</t>
  </si>
  <si>
    <t>EUR/MWh nominal</t>
  </si>
  <si>
    <t>2. Aurora – Hungarian onshore wind capture prices (Aurora Q2 2026, real 2025 €/MWh, calendar-year averages, 2026–2060)</t>
  </si>
  <si>
    <t>Aurora Q2 2026 HUN Power &amp; Renewables Market Forecast, pasted from the shared file hungary_wind_capture_price_aurora_q2_2026.json (2027–2060; the 2026 value is not needed and 2061+ is beyond the Aurora horizon – blank). Columns D:I are the source series in real 2025 €/MWh; wind capture = 'uncurtailed capture price'. Scenario selector in E16 picks Low / Central / High. Columns J:K convert the selected series to nominal using E19/G19 so they are consistent with the nominal HTM opex; HTM reads column K by year (Inputs E166 = 1). M:R are informational (curtailment %, capture curtailed below zero). The MOIC (sell-at-RTB) model does not use prices.</t>
  </si>
  <si>
    <t>Aurora scenarios: 1 = Low, 2 = Central (base case), 3 = High.</t>
  </si>
  <si>
    <t>Aurora basis: real 2025 €/MWh (calendar-year averages).</t>
  </si>
  <si>
    <t>Aurora Q2 2026 HUN Power &amp; Renewables Market Forecast Data (Aurora_Q2_26_HUN_Power_Renewables_Market_Forecast_Data.xlsx).</t>
  </si>
  <si>
    <t>1 = Aurora Q2 2026 Central (Curves E16) converted to nominal (Curves E19); 2 = flat estimate below (kept for reference / fallback).</t>
  </si>
  <si>
    <t>Curves / Inputs</t>
  </si>
  <si>
    <t>Curves D22:I55, M22:R55, J22:K66, E17:E19, G19, C14:C15, F16:F18, note on C20; Inputs G166, F166</t>
  </si>
  <si>
    <t>Aurora Q2 2026 HUN Power &amp; Renewables Market Forecast loaded on Curves: baseload and onshore-wind uncurtailed capture prices, Low/Central/High, 2027–2060, real 2025 €/MWh (source columns D:I); curtailment % and curtailed-below-zero capture added as information (M:R). Selected columns J:K now convert the chosen scenario to nominal with a new inflation input (E19 = 2.0% p.a. ESTIMATE, base year G19 = 2025) so prices are on the same basis as the nominal HTM opex. Scenario selector E16 left at 2 = Central (base case). Inputs G166 switched to 1 so HTM row 40/43 reads the Aurora curve; flat estimate retained as fallback.</t>
  </si>
  <si>
    <t>Placeholder empty; HTM on flat estimate (75 €/MWh nominal, 2.0% esc., 90% capture)</t>
  </si>
  <si>
    <t>Aurora Q2 2026 HUN Power &amp; Renewables Market Forecast Data.xlsx (shared file hungary_wind_capture_price_aurora_q2_2026.json)</t>
  </si>
  <si>
    <t>Aurora Central nominal (2031 selected wind capture 115.7 €/MWh nominal vs ~68 est.); HTM pre-tax unlevered IRR 4.65% → 13.15%, post-tax 4.36% → 12.33%, FEP MOIC 2.08x → 6.82x, break-even price 95.3 → 94.2 €/MWh</t>
  </si>
  <si>
    <t>Assumed all-in guarantee rate – guarantee-backed securities</t>
  </si>
  <si>
    <t>Use assumed all-in rate (1) or EURIBOR + margin (0)</t>
  </si>
  <si>
    <t>All-in guarantee rate (assumed flat if Inputs E97 = 1, else EURIBOR + margin)</t>
  </si>
  <si>
    <t>Inputs / MOIC</t>
  </si>
  <si>
    <t>Inputs rows 96-97 inserted, G94, G101, G103, G104; MOIC C78 and H78:BP78</t>
  </si>
  <si>
    <t>Bank guarantee costing re-specified. Guarantee margin raised to EURIBOR + 3.00% (Inputs G94) but guarantee-backed securities are now costed at a flat all-in 6.00% p.a. (new input Inputs G96) via a new switch (Inputs G97 = 1 uses the flat rate, 0 reverts to curve + margin); MOIC row 78 rewired accordingly. Cash/guarantee flags aligned to BORA_Devex_20260921_FEP.xlsx: bid bond and the four supplementary instalments moved to bank guarantee, the connection request security (TSO application bond) kept as cash because the FEP file flags it explicitly as not bank-guarantee-able, capacity reservation security kept as cash (no FEP line). The 2.0x minimum-return floor remains on the 20% at-risk loan only; guarantee fees stay a standalone cash cost outside the loan balances and outside the floor base, per user instruction.</t>
  </si>
  <si>
    <t>All 10 lines cash; guarantee block dormant; margin 1.75% over EURIBOR (3.95% all-in, unused). MOIC 2.46x, IRR 65.9%, cash invested k€ 16,611, cash posted k€ 17,194</t>
  </si>
  <si>
    <t>5 lines guarantee-backed at 6.00% flat: peak guarantee k€ 12,406, fees k€ 1,133. Cash posted falls to k€ 4,789, FEP cash invested k€ 8,722. MOIC 2.46x -&gt; 3.66x, IRR 65.9% -&gt; 134.6%, FEP net profit k€ 23,220. All 17 checks OK.</t>
  </si>
  <si>
    <t>User instruction this session; shared file bora_deposits_securities.csv / bora_devex_line_items.csv from BORA_Devex_20260921_FEP.xlsx</t>
  </si>
  <si>
    <t>Grid connection fee is 4.6x higher in the FEP workbook</t>
  </si>
  <si>
    <t>Devex total and timing differ from the FEP line-item build</t>
  </si>
  <si>
    <t>This model carries the connection fee estimate at 15.75 mHUF/MW (Inputs E72), 3,150 mHUF gross for 200 MW. BORA_Devex_20260921_FEP.xlsx splits it in two: indirect at a hardcoded 73,071,306 HUF/MW x 200 MW less the 900 mHUF TSO application bond = 13,714 mHUF (k€ 37,066), plus a separate hardcoded direct line of 508 mHUF (k€ 1,374) = k€ 38,439 total. CONFIRMED BY SOURCE OWNER AS AN ESTIMATE, NOT A FIRM TSO FIGURE: the 73.07 mHUF/MW unit rate carries no source note, and the sheet's disclaimer 1 states the fee will only be defined on the SPV's declaration and the TSO's procedure, so both components are provisional. Both lines are cash (12%), not guarantee-backed, consistent with the treatment here. Payment 08-Jan-2029 in the FEP file, chained off the grid connection agreement; this model pays on HCsSz signature, 01-Dec-2027. Not changed pending a firm TSO number - the gap is roughly k€ 30,000 of pre-exit funding and would dominate the MOIC.</t>
  </si>
  <si>
    <t>This model runs RTB at month 26 (30-Sep-2028) and the sale at month 29 (31-Dec-2028), both derived from the milestone-month chain (Inputs E45:E54). CONFIRMED BY SOURCE OWNER: the live FEP case in BORA_Devex_20260921_FEP.xlsx is the 30-Jun-2029 exit - its FEP proposal column and proceeds block both build off that date; the 31-Dec-2029 columns are an alternative feeding only the base-case block. So the live exit is six months later than modelled here. FEP timing is date-driven via day offsets inside the date formulas, so there is no month-offset parameter to import; matching it means resetting the milestone months. A six-month later exit lengthens both the 12% and 20% accrual periods and raises the 2.0x top-up, so it is not presentational. Not changed pending instruction.</t>
  </si>
  <si>
    <t>This model spends devex as six equal 2.0 k€/MW milestones, 12.0 k€/MW = k€ 2,400 total, all inside the 26 months to RTB. The FEP workbook itemises 34 at-risk (20%) devex lines totalling k€ 3,247, running Oct-2026 to Mar-2029, i.e. past the modelled sale month. Of that, k€ 447 (legal, financial, other HR/car, contingency) has NO payment date at all in the source - those four lines compound on a whole-year basis and cannot be mapped to a milestone, so any line-by-line rebuild needs a timing assumption invented for them. Not changed pending a decision on whether to keep the milestone abstraction or rebuild devex off the FEP schedule.</t>
  </si>
  <si>
    <t>Live FEP exit is 30-Jun-2029, six months later than modelled</t>
  </si>
  <si>
    <t>BESS connection capacity (gross)</t>
  </si>
  <si>
    <t>BESS power rating entered in the tender. FEP workbook assumes 100 MW (50% of wind).</t>
  </si>
  <si>
    <t>BESS duration</t>
  </si>
  <si>
    <t>Hours</t>
  </si>
  <si>
    <t>BESS storage capacity (gross)</t>
  </si>
  <si>
    <t>Drives the BESS leg of the security base at the bid stage.</t>
  </si>
  <si>
    <t>BESS storage capacity (successful)</t>
  </si>
  <si>
    <t>Post-award BESS base; scales with the same conversion rate as wind.</t>
  </si>
  <si>
    <t>Benchmark CAPEX – BESS</t>
  </si>
  <si>
    <t>mHUF/MWh</t>
  </si>
  <si>
    <t>BESS leg of the %-driven security base.</t>
  </si>
  <si>
    <t>Performance bond uplift</t>
  </si>
  <si>
    <t>Security base – bid stage (gross)</t>
  </si>
  <si>
    <t>Security base – post-award (successful)</t>
  </si>
  <si>
    <t>Performance bond applies to this. Supplementary bonds stay on the wind leg only, per the FEP build.</t>
  </si>
  <si>
    <t>Benchmark CAPEX – wind (csatlakozási díj alapdíj)</t>
  </si>
  <si>
    <t>Wind leg of the %-driven security base. Matches the FEP workbook's 406 mHUF/MW.</t>
  </si>
  <si>
    <t>% of combined benchmark CAPEX (wind + BESS), gross</t>
  </si>
  <si>
    <t>% of benchmark CAPEX on failed wind capacity</t>
  </si>
  <si>
    <t>% of combined benchmark CAPEX (wind + BESS), post-award, x uplift</t>
  </si>
  <si>
    <t>Connection fee – direct (csatlakozási díj – közvetlen)</t>
  </si>
  <si>
    <t>Csatlakozási díj – közvetlen</t>
  </si>
  <si>
    <t>Cash only – the TSO bond cannot be posted as a bank guarantee; credited against the indirect connection fee.</t>
  </si>
  <si>
    <t>Grid connection fee – direct</t>
  </si>
  <si>
    <t>lump sum, per MW (successful capacity)</t>
  </si>
  <si>
    <t>Gross – FEP basis</t>
  </si>
  <si>
    <t>Payable – FEP basis</t>
  </si>
  <si>
    <t>Gross – FEP basis (excl. application fee and 2030 instalment)</t>
  </si>
  <si>
    <t>Payable – FEP basis (excl. application fee and 2030 instalment)</t>
  </si>
  <si>
    <t>Reconciliation columns S:T restate the schedule on the BORA_Devex_20260921_FEP.xlsx basis: application fee and the 2030 supplementary instalment excluded (the FEP file zeroes the 2030 instalment as a new-owner cost; this model keeps it for the hold-to-maturity case only), gross shown before the MEKH and TSO nettings and after the supplementary refund.</t>
  </si>
  <si>
    <t>Link – indirect plus direct connection fee. Paid on the connection fee date; not recovered in HTM.</t>
  </si>
  <si>
    <t>Tender securities paid in CASH, net of refunds (all instalments – no sale)</t>
  </si>
  <si>
    <t>Memo: contingent exposure if every bank guarantee is called (cash invested + guarantee-backed securities)</t>
  </si>
  <si>
    <t>BESS capex – all-in (capex only: no BESS revenue or opex modelled)</t>
  </si>
  <si>
    <t>k€/MW BESS</t>
  </si>
  <si>
    <t>Charge HTM a deemed exit at RTB (1 = yes, 0 = historic cost)</t>
  </si>
  <si>
    <t>1 = HTM is charged the net sale proceeds it gives up by not selling at RTB, so its IRR measures the incremental value of building versus selling. 0 = HTM carries the project at FEP's historic cost and is not comparable with the RTB case.</t>
  </si>
  <si>
    <t>← deemed exit switch</t>
  </si>
  <si>
    <t>A.RES share of gross RTB proceeds (cash paid out at RTB)</t>
  </si>
  <si>
    <t>RESOLVED 22-Sep-2026 on user instruction: the FEP figures were adopted. Inputs E76 = 73.071306 mHUF/MW indirect; the former capacity-reservation line was repurposed as the direct fee at 2.54172902 mHUF/MW; netting corrected to the TSO application bond only; payment date 28-Jan-2029. Total k€ 38,439. Still an ESTIMATE, not a firm TSO number – disclaimer 1 of the source stands. Buyer reimbursement at exit remains 100% (Inputs section J).</t>
  </si>
  <si>
    <t>Resolved (model updated) – underlying figure still an estimate</t>
  </si>
  <si>
    <t>RESOLVED 22-Sep-2026 on user instruction: milestone months reset (Inputs E49:E54 = 0/6/6/6/7/7, 32 months to RTB) so RTB is 31-Mar-2029 and the sale 30-Jun-2029, matching the live FEP case. Longer accrual on both loan rates and a larger minimum-return top-up are now in the numbers.</t>
  </si>
  <si>
    <t>Ownership</t>
  </si>
  <si>
    <t>Party mapping in the FEP exit waterfall (FGX / Ventus+Solementore)</t>
  </si>
  <si>
    <t>The exit split used in this model rests on reading FGX as FEP and Ventus+Solementore as A.RES. Neither "FEP" nor "A.RES" appears in any cell, label, comment or disclaimer of BORA_Devex_20260921_FEP.xlsx – the file owner searched the whole sheet and could not confirm it. The only supporting evidence is the file name and the Q2 header "FEP proposal – Bank guarantee ok, connection fee not at risk, no GA", which associates that column with FEP but does not identify FGX. If the mapping is reversed, FEP's share of gross RTB proceeds is 22.1%, not 67.1%.</t>
  </si>
  <si>
    <t>BORA_Devex_20260921_FEP.xlsx Sheet1, Z44:AB58; confirmed unresolvable by the file owner 22-Sep-2026.</t>
  </si>
  <si>
    <t>70/30 profit split and DSA are switched off in this model</t>
  </si>
  <si>
    <t>The FEP exit waterfall splits distributable proceeds 70/30 and pays a DSA of 1,500,000 EUR (=2,500 EUR/MW x 3 years x 200 MW) to the other party. This model runs with the JV switch Inputs E31 = 0, so MOIC G147 pays FEP 100% of distributable proceeds and G148 pays the developer nil. The RTB headline (1.48x, 64.5% IRR) therefore assumes FEP keeps the whole residual and overstates FEP's take by roughly k€ 6,640 at a 150 k€/MW exit.</t>
  </si>
  <si>
    <t>BORA_Devex_20260921_FEP.xlsx Sheet1 AA50/AA51/AA55/AA57/AA58, shared 22-Sep-2026.</t>
  </si>
  <si>
    <t>Derived COD (Jun-2031) is after the tender COD in Inputs E92 (Dec-2030)</t>
  </si>
  <si>
    <t>Memo only: splits the deemed exit charge into cash actually paid to A.RES and the balance FEP effectively pays itself. Applied to gross RTB proceeds. The FEP waterfall is not linear in the exit price, so this percentage is exact only at 150 k€/MW.</t>
  </si>
  <si>
    <t>RESOLVED 22-Sep-2026: user confirmed FGX = FEP and Ventus+Solementore = A.RES. The reading used in the model was correct. Inputs E220 = 22.1% (A.RES share of gross RTB proceeds), sourced to waterfall cell AA58 = 6,639,524 EUR on gross 30,000,000 EUR; FEP's side is AA56 = 20,126,276 EUR (67.1%). Memo only – drives the HTM deemed-exit split on HTM G150:G151, not the cash flows.</t>
  </si>
  <si>
    <t>COD – target (tender application)</t>
  </si>
  <si>
    <t>Model COD inside the tender window (earliest connection to COD deadline)</t>
  </si>
  <si>
    <t>RESOLVED 22-Sep-2026: user confirmed end-2030 is the TARGET COD, not the deadline; the tender long-stop is 30-Sep-2032. Inputs E92 relabelled 'COD – target (tender application)'. The binding checks already existed and both pass: E231 (COD not before the earliest connection date 30-Sep-2030) and E232 (COD not after the deadline 30-Sep-2032). Derived COD Jun-2031 sits inside that window. HTM check G154 re-pointed at the window and now reports 'OK – 6 months after target COD'; HTM overall status is ALL OK.</t>
  </si>
  <si>
    <t>Moving the exit to the live FEP date pushed RTB to 31-Mar-2029. With the NTP lag of 3 months (E143) and a 24-month build (E144), derived COD is Jun-2031, six months after the target COD carried in E92. The original HTM check compared the derived COD with that target and failed, even though the target is not a binding date.</t>
  </si>
  <si>
    <t>Developer success fee paid in cash at COD when the JV is live (superseded by the deemed exit)</t>
  </si>
  <si>
    <t>Deemed exit at RTB – cash paid to A.RES to take 100% (30% share + DSA)</t>
  </si>
  <si>
    <t>Memo: cash paid out to A.RES at the deemed exit</t>
  </si>
  <si>
    <t>Memo: cross-check – A.RES take per the FEP waterfall (Inputs E220 × gross RTB proceeds)</t>
  </si>
  <si>
    <t>← FEP effective share. 100% when the deemed exit is on, because A.RES is bought out in full at RTB (row 22); otherwise the JV share from Inputs E33.</t>
  </si>
  <si>
    <t>RESOLVED 22-Sep-2026 on user instruction: JV switched on (Inputs E31 = 1). Sell-at-RTB now deducts the DSA from total proceeds (MOIC G145 = 1,375) and splits the residual 70% FEP / 30% A.RES – FEP 14,034, A.RES 6,015. FEP RTB MOIC falls from 1.48x to 1.33x and the IRR from 64.5% to 46.7%. In the hold-to-maturity case A.RES is bought out in full at the deemed exit (HTM row 22, 7,390 k€ = 30% share + DSA), so the COD success-fee payment was switched off (Inputs E218 = 0) and FEP's HTM share steps up to 100% (HTM E124). RESIDUAL DIFFERENCE: the model puts A.RES's take at 7,390 k€ against the FEP file's 6,640 k€ (AA58). 750 k€ of that is because this model's distributable base is 20,049 vs the FEP file's 17,132 – the two treat loan interest and the minimum-return top-up differently – and 125 k€ because the DSA accrues pro rata to RTB here (2.5 k€/MW p.a. x 33 months = 1,375) versus a flat 3 years in the FEP file (1,500).</t>
  </si>
  <si>
    <t>Resolved – residual 750 k€ difference documented</t>
  </si>
  <si>
    <t>BID OFFERING – FEP's intended commitment, not an estimate. Paid to host municipalities in the COD year and capitalised into capex (HTM row 29). Not borne by the sell-at-RTB case: a buyer at RTB inherits the obligation. Sits at the bottom of the scoring band (points start above 10 k€/MW).</t>
  </si>
  <si>
    <t>BID OFFERING – FEP's intended commitment, not an estimate. Charged as an opex line on net generation in every operating year, not escalated (HTM row 59). Sits at the bottom of the scoring band (points start above 2 €/MWh), so it scores nothing – raising it towards 3 €/MWh buys points at roughly 15 m€ of lifetime cost per €/MWh.</t>
  </si>
  <si>
    <t>INFO – exercisable unilaterally within 2 years of the final capacity decision; strike price unknown. Not modelled; see Open_Items item 33.</t>
  </si>
  <si>
    <t>R. HTM – gearing sensitivity (HTM block 15) and buyer hurdles (HTM block 14)</t>
  </si>
  <si>
    <t>Gearing scenario 1</t>
  </si>
  <si>
    <t>Gearing scenario 2</t>
  </si>
  <si>
    <t>Gearing scenario 3</t>
  </si>
  <si>
    <t>Gearing scenario 4</t>
  </si>
  <si>
    <t>Gearing scenario 5</t>
  </si>
  <si>
    <t>Gearing scenario 6</t>
  </si>
  <si>
    <t>Gearing scenario 7</t>
  </si>
  <si>
    <t>Minimum DSCR lenders are assumed to require (gearing test)</t>
  </si>
  <si>
    <t>COD is a month-end, so the first full calendar year is always the year after COD. The COD year itself is a partial year (HTM row 10). Fixed 25-Sep-26: previously the COD year was flagged as a full year AND a partial year (150%).</t>
  </si>
  <si>
    <t>Measured from COD (partial first and last calendar years). 30 years = grid-connection life constraint; 35 years is the usual wind assumption.</t>
  </si>
  <si>
    <t>Last operating year (COD year + operating life; partial unless COD is in December)</t>
  </si>
  <si>
    <t>ESTIMATE. 10-year annuity from the first full operating year. Proxy for a sculpted loan with an early cash sweep (annual model, near-flat generation).</t>
  </si>
  <si>
    <t>Construction fraction of the calendar year (NTP → COD, by days)</t>
  </si>
  <si>
    <t>Full operating-year flag (operating fraction = 100%)</t>
  </si>
  <si>
    <t>Operating year index (1 = first full calendar year after COD; COD year = 0)</t>
  </si>
  <si>
    <t>Operating fraction of the year (partial COD year, full years, partial final year)</t>
  </si>
  <si>
    <t>Aurora selected wind capture price (Curves; after the last Aurora year, held flat in real terms and inflated at Curves E19)</t>
  </si>
  <si>
    <t>Escalation index (opex, base = COD year prices)</t>
  </si>
  <si>
    <t>Land lease (paid from NTP; pre-COD lease is a tax loss carried forward)</t>
  </si>
  <si>
    <t>Taxable income before loss relief (EBITDA − depreciation − interest − upfront fees − devex)</t>
  </si>
  <si>
    <t>HTM valuation horizon check (grid ends at HTM!AQ5)</t>
  </si>
  <si>
    <t>FEP NPV / Equity (NPV ÷ PV of equity invested)</t>
  </si>
  <si>
    <t>FEP NPV / Equity (NPV ÷ nominal equity invested)</t>
  </si>
  <si>
    <t>14. Buyer returns – buyer acquires 100% of the SPV at the sale date for the RTB price, then builds and operates (share deal: SPV tax base and losses carry over; no step-up)</t>
  </si>
  <si>
    <t>Purchase price at sale (RTB premium + reimbursement of securities and connection fee, MOIC G140)</t>
  </si>
  <si>
    <t>Securities (cash-settled) and connection fee falling due after the sale</t>
  </si>
  <si>
    <t>Construction capex excl. connection fee, plus municipal contribution</t>
  </si>
  <si>
    <t>EBITDA (incl. pre-COD land lease)</t>
  </si>
  <si>
    <t>Tax – levered (SPV level, incl. losses inherited from development)</t>
  </si>
  <si>
    <t>Buyer levered equity cash flow</t>
  </si>
  <si>
    <t>Buyer unlevered post-tax cash flow</t>
  </si>
  <si>
    <t>Buyer IRR – unlevered, post-tax</t>
  </si>
  <si>
    <t>Buyer equity IRR – levered, post-tax</t>
  </si>
  <si>
    <t>Purchase price per MW (premium + reimbursed securities and connection fee)</t>
  </si>
  <si>
    <t>Premium k€/MW</t>
  </si>
  <si>
    <t>Price k€</t>
  </si>
  <si>
    <t>Equity IRR</t>
  </si>
  <si>
    <t>Premium scenario 1</t>
  </si>
  <si>
    <t>Premium scenario 2</t>
  </si>
  <si>
    <t>Premium scenario 3</t>
  </si>
  <si>
    <t>Premium scenario 4</t>
  </si>
  <si>
    <t>Premium scenario 5</t>
  </si>
  <si>
    <t>Premium scenario 6</t>
  </si>
  <si>
    <t>Premium scenario 7</t>
  </si>
  <si>
    <t>15. Gearing sensitivity – FEP HTM equity returns vs senior-debt gearing (debt flows scale linearly with gearing; IDC, depreciation, tax and loss carry-forward recomputed per scenario; detail rows 255+)</t>
  </si>
  <si>
    <t>Gearing</t>
  </si>
  <si>
    <t>Debt at COD k€</t>
  </si>
  <si>
    <t>FEP NPV / Equity</t>
  </si>
  <si>
    <t>Min DSCR</t>
  </si>
  <si>
    <t>FEP equity NPV k€</t>
  </si>
  <si>
    <t>Check: scenario at live gearing ties to base FEP equity IRR (G135)</t>
  </si>
  <si>
    <t>Taxable income before loss relief</t>
  </si>
  <si>
    <t>Tax (CIT + Robin Hood)</t>
  </si>
  <si>
    <t>Target FEP equity IRR for the minimum-gearing test</t>
  </si>
  <si>
    <t>Sense check: buyer unlevered post-tax IRR at this price (HTM 14b)</t>
  </si>
  <si>
    <t>Sense check: buyer levered equity IRR at this price (HTM 14c)</t>
  </si>
  <si>
    <t>Buyer IRR – unlevered, post-tax (buys at RTB price, builds &amp; operates)</t>
  </si>
  <si>
    <t>9. HTM gearing sensitivity – FEP equity returns vs senior-debt gearing (HTM block 15; 10-yr annuity, 1.75% fee)</t>
  </si>
  <si>
    <t>FEP NPV / Equity – sell at RTB (HTM: see Dashboard)</t>
  </si>
  <si>
    <t>Annual hold-to-maturity engine 2026–2061 (30-year life from COD), 15 blocks: development phase (from MOIC/Deposits), capex, generation, revenue, opex, debt, tax, cash flows, results incl. NPV/Equity, sensitivities, buyer returns (block 14) and gearing sensitivity (block 15).</t>
  </si>
  <si>
    <t>25-Sep-26: review comments reflected – 30-year life, COD-year operating fraction fix, land lease from NTP, devex in tax losses, debt 1.75% fee / 10-yr tenor, NPV/Equity, buyer IRR, gearing sensitivity; v3 archive tabs deleted. See Change_Log #63–#72.</t>
  </si>
  <si>
    <t>8 - Review comments</t>
  </si>
  <si>
    <t>Inputs / HTM</t>
  </si>
  <si>
    <t>Inputs E147; HTM rows 8-10</t>
  </si>
  <si>
    <t>First full operating year fixed to YEAR(COD)+1 (COD is a month-end). COD year was flagged as a full year AND a partial year (HTM M10 = 150%). Row 10 now: partial COD year, full years, partial final year; row 8 = 100% flag; row 9 index from first full year.</t>
  </si>
  <si>
    <t>2031 fraction 150%</t>
  </si>
  <si>
    <t>2031 fraction 50%</t>
  </si>
  <si>
    <t>User review comments 25-Sep-26</t>
  </si>
  <si>
    <t>Inputs / HTM / Curves link</t>
  </si>
  <si>
    <t>Inputs G148, E149, E150; HTM column AQ; HTM row 42</t>
  </si>
  <si>
    <t>Operating life 25 → 30 years, measured from COD (Jun-31 → Jun-61). HTM grid extended one column to 2061. Aurora ends 2060, so HTM row 42 holds the last Aurora year flat in real terms (inflated at Curves E19) for 2061.</t>
  </si>
  <si>
    <t>25 yrs from first full year; grid 2026-2060</t>
  </si>
  <si>
    <t>30 yrs from COD; grid 2026-2061</t>
  </si>
  <si>
    <t>HTM rows 14, 62</t>
  </si>
  <si>
    <t>Land lease paid from NTP (construction start). New row 14 = construction fraction of each calendar year; row 62 = lease × (operating + construction fraction). Pre-COD lease is negative EBITDA, so it builds the tax-loss carry-forward (rows 90-93).</t>
  </si>
  <si>
    <t>Lease from COD</t>
  </si>
  <si>
    <t>Lease from NTP</t>
  </si>
  <si>
    <t>HTM row 90</t>
  </si>
  <si>
    <t>Devex (row 16) now deducted in taxable income, building tax losses before COD.</t>
  </si>
  <si>
    <t>Devex not tax-deductible</t>
  </si>
  <si>
    <t>Devex in tax losses</t>
  </si>
  <si>
    <t>Inputs G210, G211, F211</t>
  </si>
  <si>
    <t>Senior debt: upfront fee 1.50% → 1.75%; tenor 15 → 10 years (annuity as proxy for a sculpted loan with early sweep).</t>
  </si>
  <si>
    <t>1.5% / 15 yrs</t>
  </si>
  <si>
    <t>1.75% / 10 yrs</t>
  </si>
  <si>
    <t>HTM / MOIC / Dashboard / Cover</t>
  </si>
  <si>
    <t>HTM G136:G139; MOIC G185:G188, H229:N230; Dashboard rows 14-15, 63, 120</t>
  </si>
  <si>
    <t>NPV / Equity added: NPV of FEP post-tax flows ÷ PV of equity invested (negative flows), plus nominal-denominator memo. Sell case at Inputs E13 (monthly, daily compounding); HTM at Inputs E216.</t>
  </si>
  <si>
    <t>Sell 0.26x; HTM 0.30x</t>
  </si>
  <si>
    <t>HTM block 14 (rows 197-239); Dashboard rows 64-65, 121-124</t>
  </si>
  <si>
    <t>Buyer returns: buyer pays MOIC G140 at the sale date (premium + reimbursements), takes post-sale securities, receives cash securities at COD, builds and operates (share deal, inherits SPV losses). Unlevered and levered IRR, NPV/Equity, implied max premium at Inputs E215 / E216, and IRR by RTB premium (14b/14c).</t>
  </si>
  <si>
    <t>Buyer unlevered 10.0% / levered 12.0% at 150 k€/MW</t>
  </si>
  <si>
    <t>Inputs / HTM / Dashboard</t>
  </si>
  <si>
    <t>Inputs rows 234-243; HTM block 15 (rows 242-302); Dashboard section 9</t>
  </si>
  <si>
    <t>Gearing sensitivity: seven gearing scenarios; debt flows scaled from the live case, IDC/depreciation/tax/loss carry-forward recomputed per scenario. Minimum gearing for target equity IRR (Inputs E243) and maximum gearing at lender DSCR (Inputs E242), both interpolated. Tie-out check HTM G253.</t>
  </si>
  <si>
    <t>Min gearing 60.2% for 12%; max 59.5% at 1.40x</t>
  </si>
  <si>
    <t>HTM rows 43, 47, 55, 62</t>
  </si>
  <si>
    <t>Escalation base set explicitly to the COD year so price/opex inputs keep their 'first operating year' meaning after the E147 fix.</t>
  </si>
  <si>
    <t>Base = E147</t>
  </si>
  <si>
    <t>Base = YEAR(E146)</t>
  </si>
  <si>
    <t>Workbook / Cover</t>
  </si>
  <si>
    <t>v3_* tabs; Cover B14, C28:C37</t>
  </si>
  <si>
    <t>Ten v3_* archive tabs deleted (no formula, name or chart referenced them; post-deletion scan found no #REF!). Cover headline links re-pointed directly to MOIC/HTM – they were one row out (e.g. 'MOIC' showed mHUF profit). Net effect of #63-#71 on HTM: FEP equity IRR 13.7% → 12.0%, unlevered post-tax 10.6% → 10.0%, min DSCR 1.86x → 1.39x. Sell-at-RTB unchanged (MOIC 1.33x, IRR 46.7%).</t>
  </si>
  <si>
    <t>v3 tabs present</t>
  </si>
  <si>
    <t>Deleted</t>
  </si>
  <si>
    <t>Funding</t>
  </si>
  <si>
    <t>Definition of 'recoverable' in the shareholder-loan split (MOIC block 7)</t>
  </si>
  <si>
    <t>MOIC block 7 funds the recoverable (12%) loan with the share of each deposit the BUYER reimburses at exit (Inputs J). The review expects 'recoverable' to mean recoverable from the regulator/TSO if the project FAILS.</t>
  </si>
  <si>
    <t>Unchanged pending answer. Fix = new per-line input 'refunded if the project fails (%)' driving MOIC rows 97-98; Inputs J keeps driving exit proceeds.</t>
  </si>
  <si>
    <t>User / deal team</t>
  </si>
  <si>
    <t>Deemed-exit charge (HTM row 21) inside development-phase cash flow</t>
  </si>
  <si>
    <t>Row 21 charges HTM the FEP profit forgone by not selling at RTB. It is an opportunity cost, not a cash cost; with historic costs it makes the HTM case equivalent to buying at the RTB price. Buyer block 14 now shows that view directly.</t>
  </si>
  <si>
    <t>Unchanged pending answer (switch Inputs E219 = 1).</t>
  </si>
  <si>
    <t>Returns</t>
  </si>
  <si>
    <t>NPV / Equity definition (Gábor)</t>
  </si>
  <si>
    <t>Both definitions shown; confirm which and whether one rate should apply to both.</t>
  </si>
  <si>
    <t>User / Gábor</t>
  </si>
  <si>
    <t>Target equity IRR and lender DSCR for gearing test</t>
  </si>
  <si>
    <t>Yellow inputs; HTM block 15.</t>
  </si>
  <si>
    <t>User / lenders</t>
  </si>
  <si>
    <t>Discount rate for NPV / Equity (all NPV / Equity metrics)</t>
  </si>
  <si>
    <t>Per review 27-Sep-26: 8%, kept as a variable. Drives MOIC G185:G188 and row 229-230, HTM G136:G139, buyer NPV / Equity (HTM G214) and gearing block 15 NPV columns.</t>
  </si>
  <si>
    <t>ESTIMATE pending BORA_Devex_20260921_FEP classification. Different from section J (reimbursed by the BUYER at exit). Sunk fee.</t>
  </si>
  <si>
    <t>Credited into the performance bond at award; forfeited if the project fails afterwards.</t>
  </si>
  <si>
    <t>Forfeited if COD / tender obligations are missed.</t>
  </si>
  <si>
    <t>MARKET STANDARD (review 27-Sep-26): merchant onshore wind without offtake – lenders typically size at 1.50x+ on P50 (vs ~1.20–1.30x contracted). Used only in HTM block 15.</t>
  </si>
  <si>
    <t>MARKET STANDARD (review 27-Sep-26): ~11% post-tax nominal levered equity IRR for merchant CEE onshore wind. Used only in HTM block 15.</t>
  </si>
  <si>
    <t>7. Funding split of cash deposits between the two shareholder loans – 'recoverable' = refunded if the project FAILS (Deposits U / Inputs S)</t>
  </si>
  <si>
    <t>Funded by unrecoverable (at-risk) loan (balance – forfeited on failure)</t>
  </si>
  <si>
    <t>FEP shareholder loan – recoverable (refunded if the project fails)</t>
  </si>
  <si>
    <t>Inputs / Deposits / MOIC</t>
  </si>
  <si>
    <t>Inputs S (rows 246-256); Deposits U7:U18; MOIC H97:BP97</t>
  </si>
  <si>
    <t>Recoverable' redefined as refunded if the project FAILS (new per-line input), replacing the buyer-reimbursement % (Inputs J, which still drives exit proceeds). All cash lines default to 0% → funded by the 20% at-risk loan (2x minimum); guarantee-backed lines stay at the 6% guarantee cost (Inputs E104, switches in section I). FEP sell case: MOIC 1.33x → 1.48x, IRR 46.7% → 64.5%, profit 15.3m → 22.0m€.</t>
  </si>
  <si>
    <t>Buyer-reimbursable share</t>
  </si>
  <si>
    <t>Refunded-on-failure share</t>
  </si>
  <si>
    <t>User answers 27-Sep-26</t>
  </si>
  <si>
    <t>Inputs / MOIC / HTM / Dashboard</t>
  </si>
  <si>
    <t>Inputs E244; MOIC G185:G186, H229:N230; HTM G136:G137, G214, G233:G239, G244:G250, I244:I250</t>
  </si>
  <si>
    <t>NPV / Equity discounted at a single variable rate, 8% (Inputs E244), for sell, HTM, buyer and gearing blocks. Buyer hurdle NPV and implied max premium stay at Inputs E216.</t>
  </si>
  <si>
    <t>E13 8.9% / E216 10%</t>
  </si>
  <si>
    <t>E244 8%</t>
  </si>
  <si>
    <t>Inputs G242, G243</t>
  </si>
  <si>
    <t>Gearing test set to market-standard: lender minimum DSCR 1.50x (merchant wind, no offtake), target levered equity IRR 11%. Result: min gearing for 11% = 34.8%; max gearing at 1.50x = 55.4%.</t>
  </si>
  <si>
    <t>1.40x / 12%</t>
  </si>
  <si>
    <t>1.50x / 11%</t>
  </si>
  <si>
    <t>HTM row 21</t>
  </si>
  <si>
    <t>Deemed-exit charge kept as is (confirmed by user).</t>
  </si>
  <si>
    <t>Closed – keep as is</t>
  </si>
  <si>
    <t>Closed – market standard 1.50x / 11%</t>
  </si>
  <si>
    <t>Tax depreciation profile – share of annual charge (pro rata from COD)</t>
  </si>
  <si>
    <t>Interest during construction (on opening + half drawdown; construction share of the COD year)</t>
  </si>
  <si>
    <t>Interest – operating period (from COD; paid from cash flow)</t>
  </si>
  <si>
    <t>Superseded – v3 build removed 25-Sep-26</t>
  </si>
  <si>
    <t>Resolved in current model: HTM indexes EUR costs at a single EUR rate (Inputs E200); HUF items converted at constant FX (E11).</t>
  </si>
  <si>
    <t>Duplicate of #11.</t>
  </si>
  <si>
    <t>Closed – duplicate of #11</t>
  </si>
  <si>
    <t>Aurora Q2-2026 Hungary Central in use (Inputs E177 = 1); wind capture ≈104% of baseload. Averages ~146 €/MWh nominal over life. Market practice: lenders run a Low case / P90 – see HTM block 13.</t>
  </si>
  <si>
    <t>Resolved – Aurora in use; downside case recommended</t>
  </si>
  <si>
    <t>Debt service reserve account (DSRA) not modelled</t>
  </si>
  <si>
    <t>Market standard for project finance is a 6-month DSRA funded at COD (from equity or debt). Omitting it overstates equity IRR slightly.</t>
  </si>
  <si>
    <t>Not modelled.</t>
  </si>
  <si>
    <t>Cash sweep / DSCR-based sizing</t>
  </si>
  <si>
    <t>Lenders to a merchant project would size debt on DSCR (≈1.50x P50) with an early cash sweep; model uses fixed 60% gearing and an annuity.</t>
  </si>
  <si>
    <t>Gearing block 15 gives the DSCR-constrained gearing (~57%). Base gearing unchanged at 60%.</t>
  </si>
  <si>
    <t>Commitment fee on undrawn debt</t>
  </si>
  <si>
    <t>Typically ~35–40% of margin on undrawn commitments during construction; not modelled (≈ €0.5–1m).</t>
  </si>
  <si>
    <t>Connection request security (TSO bond) – recoverable if project fails?</t>
  </si>
  <si>
    <t>25% community call option (Inputs E226) not reflected in HTM</t>
  </si>
  <si>
    <t>If exercised at cost within 2 years of the capacity decision, FEP's HTM economics fall by up to 25%; a buyer at RTB would price this in.</t>
  </si>
  <si>
    <t>Now also relevant for HTM tax losses (devex deductible).</t>
  </si>
  <si>
    <t>9 - Full review</t>
  </si>
  <si>
    <t>Inputs G250, G251, G256</t>
  </si>
  <si>
    <t>Recovered-if-fails set to 100% for the direct and indirect connection fee (FEP devex file funds them at 12%: 'connection fee not at risk') and the TSO connection request security (credited against the fee). With 0%, the 2x minimum on a k€ 38m fee held 5 months exceeded exit proceeds by ~k€ 16m (MOIC check warning). Sell case back to MOIC 1.33x / IRR 46.7%.</t>
  </si>
  <si>
    <t>Full model review 27-Sep-26</t>
  </si>
  <si>
    <t>HTM rows 78, 81, 87, 89, gearing rows 256+7i</t>
  </si>
  <si>
    <t>COD-year timing: IDC only for the construction share of 2031; operating interest paid from COD; tax depreciation pro rata from COD (new profile row 87, 20 years exactly). HTM FEP equity IRR 12.0% → 11.9%; min DSCR 1.39x → 1.42x.</t>
  </si>
  <si>
    <t>Post-COD interest capitalised; no depreciation in COD year</t>
  </si>
  <si>
    <t>Pro rata from COD</t>
  </si>
  <si>
    <t>MOIC / Open_Items</t>
  </si>
  <si>
    <t>MOIC G258; Open_Items</t>
  </si>
  <si>
    <t>Overall MOIC status now reports warnings (previously showed ALL OK with an active warning). Open items refreshed: v3-era items superseded, stale text updated, new items #46-51.</t>
  </si>
  <si>
    <t>S. Share of each cash line funded on the 12% recoverable loan (refunded if the project FAILS, or agreed at 12%) – balance on the 20% at-risk loan (MOIC block 7)</t>
  </si>
  <si>
    <t>Connection fee – agreed at 12% ('connection fee not at risk', BORA_Devex_20260921_FEP). Buyer reimburses at exit (section J).</t>
  </si>
  <si>
    <t>Deemed exit at RTB – FEP profit forgone by not selling (opportunity cost)</t>
  </si>
  <si>
    <t>Funded at 12% (recoverable / agreed)</t>
  </si>
  <si>
    <t>T. HTM – lender structuring (DSRA, cash sweep) and lender downside case</t>
  </si>
  <si>
    <t>DSRA – months of next year's scheduled debt service</t>
  </si>
  <si>
    <t>months</t>
  </si>
  <si>
    <t>MARKET STANDARD: 6-month DSRA funded at COD by equity, released as debt amortises. 0 = off.</t>
  </si>
  <si>
    <t>Cash sweep – share of cash after scheduled debt service</t>
  </si>
  <si>
    <t>Merchant wind without offtake: lenders typically sweep 50–100% of excess cash in early years. Applied as prepayment (shortens tenor). 0 = off.</t>
  </si>
  <si>
    <t>Cash sweep – applies in operating years 1 to</t>
  </si>
  <si>
    <t>years</t>
  </si>
  <si>
    <t>Sweep window from the first full operating year.</t>
  </si>
  <si>
    <t>Lender downside – generation factor (P90 / P50)</t>
  </si>
  <si>
    <t>MARKET STANDARD: 10-year P90 ≈ 0.90–0.92 of P50 for onshore wind; 1-year P90 ≈ 0.85–0.88. Used only in HTM block 16.</t>
  </si>
  <si>
    <t>Lender downside – use Aurora Low scenario (1 = yes)</t>
  </si>
  <si>
    <t>switch</t>
  </si>
  <si>
    <t>Scales wind capture price by Aurora Low ÷ Central per year (Curves). Used only in HTM block 16.</t>
  </si>
  <si>
    <t>Lender downside – minimum DSCR lenders accept</t>
  </si>
  <si>
    <t>MARKET STANDARD: ~1.00–1.10x on the downside case (no default).</t>
  </si>
  <si>
    <t>Scheduled debt service (interest + annuity principal)</t>
  </si>
  <si>
    <t>DSRA funding (−) / release (+)</t>
  </si>
  <si>
    <t>Debt service incl. cash sweep</t>
  </si>
  <si>
    <t>Debt service incl. cash sweep and DSRA movements</t>
  </si>
  <si>
    <t>Equity CF = unlevered CF + debt flows incl. sweep and DSRA (arithmetic tie)</t>
  </si>
  <si>
    <t>16. Lender downside case – Aurora Low price (Inputs E264) and P90 generation (Inputs E263); debt sized and scheduled on the base case</t>
  </si>
  <si>
    <t>Price factor (Aurora Low ÷ Central wind capture; 1 if switch off)</t>
  </si>
  <si>
    <t>Generation factor (P90 / P50)</t>
  </si>
  <si>
    <t>Revenue – downside</t>
  </si>
  <si>
    <t>Revenue ratio downside ÷ base</t>
  </si>
  <si>
    <t>Operating costs – downside (volume- and revenue-linked lines rescaled, contingency included)</t>
  </si>
  <si>
    <t>EBITDA – downside</t>
  </si>
  <si>
    <t>Taxable income before loss relief – downside</t>
  </si>
  <si>
    <t>Tax losses – closing – downside</t>
  </si>
  <si>
    <t>Tax – downside (CIT + Robin Hood)</t>
  </si>
  <si>
    <t>CFADS – downside</t>
  </si>
  <si>
    <t>DSCR – downside (on base scheduled debt service)</t>
  </si>
  <si>
    <t>Cash sweep – downside (approx.: base debt balance)</t>
  </si>
  <si>
    <t>FEP equity cash flow – downside (approx.)</t>
  </si>
  <si>
    <t>Downside – minimum DSCR</t>
  </si>
  <si>
    <t>Downside – FEP equity IRR (approx.)</t>
  </si>
  <si>
    <t>Downside – average achieved price</t>
  </si>
  <si>
    <t>Base case – minimum DSCR (for reference)</t>
  </si>
  <si>
    <t>10. HTM lender structuring and downside case (HTM rows 86–89, block 16)</t>
  </si>
  <si>
    <t>Gearing (live case)</t>
  </si>
  <si>
    <t>Total cash sweep prepayments</t>
  </si>
  <si>
    <t>Base case – minimum DSCR</t>
  </si>
  <si>
    <t>Downside (Aurora Low + P90) – minimum DSCR</t>
  </si>
  <si>
    <t>DSRA – months of next year's debt service (funded at COD by equity)</t>
  </si>
  <si>
    <t>Inputs / Deposits</t>
  </si>
  <si>
    <t>Inputs C246, F250, G208; Deposits U5</t>
  </si>
  <si>
    <t>Section S relabelled 'funded on the 12% loan (refunded if fails, or agreed at 12%)'. TSO connection request security is NOT refunded on failure but agreed at 12% (G250 = 100%). Base gearing 60% → 55%.</t>
  </si>
  <si>
    <t>Inputs rows 258-261; HTM rows 84, 86-89, 119-120, 123, 171, 209; gearing detail FEP CF rows</t>
  </si>
  <si>
    <t>6-month DSRA funded at COD by equity and released as debt amortises; 50% cash sweep of cash after scheduled DS in operating years 1-5 (prepayment, shortens tenor). DSCR on scheduled DS. Buyer and gearing blocks include sweep and DSRA (gearing scenarios scale base sweep linearly – approximation).</t>
  </si>
  <si>
    <t>FEP HTM IRR 11.9% → 11.1%; min DSCR 1.54x</t>
  </si>
  <si>
    <t>Inputs rows 263-265; HTM block 16 (rows 309-329); Dashboard section 10</t>
  </si>
  <si>
    <t>Lender downside: Aurora Low (÷ Central, per year) and P90 = 0.90 × P50, debt held at base sizing. Min DSCR 0.79x, FEP IRR ~3.8% (approx.). Tax re-run with loss carry-forward.</t>
  </si>
  <si>
    <t>Downside DSCR 0.79x</t>
  </si>
  <si>
    <t>HTM C21</t>
  </si>
  <si>
    <t>Label restored.</t>
  </si>
  <si>
    <t>blank</t>
  </si>
  <si>
    <t>Deemed exit at RTB – opportunity cost</t>
  </si>
  <si>
    <t>MOIC rows 82-94, 138-149</t>
  </si>
  <si>
    <t>Checked: buyer reimburses all CASH deposits and the connection fee above the RTB premium (k€ 40,872 = TSO bond 2,432 + direct fee 1,374 + indirect fee 37,066). Guarantee-backed securities are released and replaced by the buyer (no cash). 12% interest (k€ 3,244) and the 20% at-risk loan on devex + participation fee (k€ 2,416 → 2x = 4,832) are paid out of the premium before the 70/30 split.</t>
  </si>
  <si>
    <t>Closed – 50% sweep yrs 1–5 added; gearing 55%</t>
  </si>
  <si>
    <t>Aurora Low is ~30% below Central. Lenders sizing on a Low/P90 case would lend materially less than 55% or require hedging/PPA.</t>
  </si>
  <si>
    <t>Model deducts 12% interest, 2x at-risk return and DSA from the premium; the FEP file's distributable base is k€ 17,132 vs k€ 20,049 here. Need the devex file to reconcile line by line.</t>
  </si>
  <si>
    <t>Total k€</t>
  </si>
  <si>
    <t>% of total</t>
  </si>
  <si>
    <t>Turbine supply incl. transport</t>
  </si>
  <si>
    <t>per MW</t>
  </si>
  <si>
    <t>Turbines (WTG) subtotal</t>
  </si>
  <si>
    <t>Balance of plant subtotal</t>
  </si>
  <si>
    <t>Contingency (Inputs E162, on wind lines above)</t>
  </si>
  <si>
    <t>% of wind lines</t>
  </si>
  <si>
    <t>Wind farm capex subtotal</t>
  </si>
  <si>
    <t>BESS (Inputs E159 × BESS MW E20; no contingency, no BESS revenue modelled)</t>
  </si>
  <si>
    <t>per MW BESS</t>
  </si>
  <si>
    <t>Capex excl. connection fee</t>
  </si>
  <si>
    <t>Grid connection fee – indirect (Deposits, net of TSO application bond)</t>
  </si>
  <si>
    <t>Municipal one-off contribution (tender commitment)</t>
  </si>
  <si>
    <t>Total construction capex</t>
  </si>
  <si>
    <t>Memo: IDC capitalised (HTM row 79)</t>
  </si>
  <si>
    <t>Memo: senior debt upfront fees (HTM row 85)</t>
  </si>
  <si>
    <t>Total funding requirement incl. financing costs</t>
  </si>
  <si>
    <t>Check: total ties to HTM total capex (HTM G30)</t>
  </si>
  <si>
    <t>User request 28-Sep-26</t>
  </si>
  <si>
    <t>7a. Capex breakdown – all construction capex items, per MW and total (Inputs J, Deposits, Inputs Q)</t>
  </si>
  <si>
    <t>Dashboard rows 105-128 (section 7a, inside the HTM section)</t>
  </si>
  <si>
    <t>Section 7a added inside the HTM section (below Capex per MW): full HTM capex breakdown per MW and total – WTG, BoP, owner's costs, land, contingency, BESS, connection fee (indirect + direct), municipal contribution; memo IDC and upfront fees; tie-out check to HTM G30.</t>
  </si>
  <si>
    <t>Less: signing fee</t>
  </si>
  <si>
    <t>Less: DD and transaction costs</t>
  </si>
  <si>
    <t>FEP net profit (pre-tax)</t>
  </si>
  <si>
    <t/>
  </si>
  <si>
    <t>Interest on bank-guaranteed securities (credited to FEP)</t>
  </si>
  <si>
    <t>Accrues monthly-compounded on the guarantee-backed securities outstanding; paid to FEP (and Developer pro rata) from sale proceeds, like loan interest.</t>
  </si>
  <si>
    <t/>
  </si>
  <si>
    <t/>
  </si>
  <si>
    <t>Interest on guarantee-backed securities (credited to lenders)</t>
  </si>
  <si>
    <t>Opening accrued guarantee interest</t>
  </si>
  <si>
    <t/>
  </si>
  <si>
    <t>Paid from proceeds at sale</t>
  </si>
  <si>
    <t>Closing accrued guarantee interest</t>
  </si>
  <si>
    <t>Less: interest on bank-guaranteed securities (FEP + Developer)</t>
  </si>
  <si>
    <t>Interest on bank-guaranteed securities</t>
  </si>
  <si>
    <t>Interest on bank-guaranteed securities (6%)</t>
  </si>
  <si>
    <t>Total interest earned by FEP</t>
  </si>
  <si>
    <t>At-risk loan return = flat multiple of principal (1) or 20% compounding with minimum (0)</t>
  </si>
  <si>
    <t/>
  </si>
  <si>
    <t>Minimum-return top-up due at sale (flat 2× principal if Inputs E66 = 1)</t>
  </si>
  <si>
    <t/>
  </si>
  <si>
    <t>Contingency on FEP-borne devex (line-item basis)</t>
  </si>
  <si>
    <t>Interest compounding: annual, BORA Devex convention (1) or monthly (0)</t>
  </si>
  <si>
    <t>DSA / developer success fee accrual start (signing)</t>
  </si>
  <si>
    <t>Applied to FEP-borne devex on Devex_FEP. Devex file Y52: €2.65m including contingency.</t>
  </si>
  <si>
    <t>1 = effective monthly rate (1+r)^(1/12)−1, equivalent to annual compounding as in the Devex file. 0 = nominal r/12.</t>
  </si>
  <si>
    <t>Signing 26/10/2026. Fee accrues pro rata (30/360) from here to the sale date at E36, capped at E37.</t>
  </si>
  <si>
    <t>FEP devex line items (k€) – BORA Devex basis, feeds MOIC row 18 when Inputs E67 = 1</t>
  </si>
  <si>
    <t>Devex row</t>
  </si>
  <si>
    <t>Task</t>
  </si>
  <si>
    <t>Amount (k€)</t>
  </si>
  <si>
    <t>FEP pays (1/0)</t>
  </si>
  <si>
    <t>FEP principal (k€)</t>
  </si>
  <si>
    <t>Capacity allocation process - Awarding</t>
  </si>
  <si>
    <t>Land reservation fee</t>
  </si>
  <si>
    <t>Land purchase price</t>
  </si>
  <si>
    <t>Grid connection plan</t>
  </si>
  <si>
    <t>Design fee</t>
  </si>
  <si>
    <t>Administrative fee</t>
  </si>
  <si>
    <t>Land contracting (additional land)</t>
  </si>
  <si>
    <t>Legal fee, agent fee</t>
  </si>
  <si>
    <t>Wind measurement</t>
  </si>
  <si>
    <t>Met Masts</t>
  </si>
  <si>
    <t>EYA</t>
  </si>
  <si>
    <t xml:space="preserve">Land reclassification </t>
  </si>
  <si>
    <t>Report fee</t>
  </si>
  <si>
    <t xml:space="preserve">Zoning plan modification </t>
  </si>
  <si>
    <t>Municipality donation</t>
  </si>
  <si>
    <t>Donation</t>
  </si>
  <si>
    <t>Environmental assessment</t>
  </si>
  <si>
    <t>Bird-bat monitoring</t>
  </si>
  <si>
    <t>Assessment fee</t>
  </si>
  <si>
    <t xml:space="preserve">Other project development </t>
  </si>
  <si>
    <t>Geotechnical assessment fee</t>
  </si>
  <si>
    <t>Archaeological</t>
  </si>
  <si>
    <t>Topography</t>
  </si>
  <si>
    <t>Building permit - Turbines</t>
  </si>
  <si>
    <t>Cable right</t>
  </si>
  <si>
    <t>Compensation</t>
  </si>
  <si>
    <t>Building permit - Substation, switching station</t>
  </si>
  <si>
    <t>Building permit - BESS</t>
  </si>
  <si>
    <t>HEPURA permit</t>
  </si>
  <si>
    <t>Legal costs</t>
  </si>
  <si>
    <t>Financial costs</t>
  </si>
  <si>
    <t xml:space="preserve">Other costs (HR, car etc.) </t>
  </si>
  <si>
    <t>Other costs (HR, car etc.)</t>
  </si>
  <si>
    <t xml:space="preserve">RtB </t>
  </si>
  <si>
    <t>Contingency</t>
  </si>
  <si>
    <t>Contingency (% of FEP-borne devex incl. participation fee)</t>
  </si>
  <si>
    <t/>
  </si>
  <si>
    <t>Bucket</t>
  </si>
  <si>
    <t/>
  </si>
  <si>
    <t>Our model</t>
  </si>
  <si>
    <t>Difference</t>
  </si>
  <si>
    <t>6% interest – bank-guaranteed securities</t>
  </si>
  <si>
    <t>Total FEP interest</t>
  </si>
  <si>
    <t>DSA / developer success fee</t>
  </si>
  <si>
    <t>Sale costs</t>
  </si>
  <si>
    <t>FEP 70% share</t>
  </si>
  <si>
    <t>At-risk loan principal (devex) repaid from sale proceeds (1) or carried by FEP (0)</t>
  </si>
  <si>
    <t>Standard cost of capital on FEP cash-funded items (Case B)</t>
  </si>
  <si>
    <t>0 = FEP carries its devex (only the 2× return is paid from proceeds), as in the Devex file.</t>
  </si>
  <si>
    <t>Opening capital employed</t>
  </si>
  <si>
    <t>Cash deployed by FEP (securities, connection fee, participation fee, devex)</t>
  </si>
  <si>
    <t>Cost of capital</t>
  </si>
  <si>
    <t>Closing capital employed (released at sale)</t>
  </si>
  <si>
    <t/>
  </si>
  <si>
    <t>Case B: with cost of capital</t>
  </si>
  <si>
    <t>Interest on at-risk loan (20%)</t>
  </si>
  <si>
    <t>FEP 70% share of distributable proceeds</t>
  </si>
  <si>
    <t>FEP profit before costs of capital and deal costs</t>
  </si>
  <si>
    <t>Less: bank guarantee fees (guarantee price on guaranteed securities)</t>
  </si>
  <si>
    <t>Less: cost of capital on cash-funded items (Inputs E72)</t>
  </si>
  <si>
    <t>FEP profit, interest + share − devex (Case A)</t>
  </si>
  <si>
    <t>FEP net profit pre-tax (Devex = Case A; ours = Case B)</t>
  </si>
  <si>
    <t>11b. Cost of capital on FEP cash-funded items (Case B; compounded at Inputs E72 from payment to sale)</t>
  </si>
  <si>
    <t>Linked to the model's standard cost of capital (Inputs E13, 8.9%). Opportunity cost on cash FEP funds (cash securities, connection fee, participation fee, devex), compounded to the sale date. Guarantee-backed items use the guarantee fee instead.</t>
  </si>
  <si>
    <t>k€ / mHUF</t>
  </si>
  <si>
    <t>FEP net profit (pre-tax) – Case B: with cost of capital</t>
  </si>
  <si>
    <t>FEP net profit (post-tax) – Case B: with cost of capital</t>
  </si>
  <si>
    <t/>
  </si>
  <si>
    <t>FEP funds 100%, 70/30 JV on proceeds, 200 MW, aligned to BORA Devex 29/09/2026</t>
  </si>
  <si>
    <t>-</t>
  </si>
  <si>
    <t>FEP NPV (post-tax) at NPV / Equity rate (Inputs E253)</t>
  </si>
  <si>
    <t>FEP NPV (post-tax) at NPV / Equity discount rate (Inputs E253), discounted to month 0</t>
  </si>
  <si>
    <t>PV of FEP equity invested (negative monthly post-tax flows, at Inputs E253)</t>
  </si>
  <si>
    <t>Months to RTB now 32 (E55), RTB 31/03/2029 (E56); spread evenly across the six milestones.</t>
  </si>
  <si>
    <t>TARGET, not a deadline. The binding dates are the earliest connection date (E237) and the COD deadline (E238), checked on E240 and E241. Slipping past this target is not a breach.</t>
  </si>
  <si>
    <t>Reference cost: EURIBOR + 3.00% margin. Used only when E114 = 0.</t>
  </si>
  <si>
    <t>Applied rate for guarantee-backed lines. Overrides EURIBOR + margin when E114 = 1.</t>
  </si>
  <si>
    <t>1 = cost guarantees at E113 flat; 0 = cost at the selected EURIBOR curve (E112) + E111 margin.</t>
  </si>
  <si>
    <t/>
  </si>
  <si>
    <t>Compare with tender COD target in E101 – HTM check on the HTM sheet.</t>
  </si>
  <si>
    <t>Hard deadline; performance bond at risk. Model permit date E100 is well inside.</t>
  </si>
  <si>
    <t>Model COD (E155) must not be earlier than this – see check E240.</t>
  </si>
  <si>
    <t>ESTIMATE. Applied to BESS connection capacity (E20), not wind MW. No contingency applied. The BESS earns nothing in HTM – revenue and opex are not modelled, so HTM returns are understated by whatever the battery would earn.</t>
  </si>
  <si>
    <t>Seven gearing levels for the HTM gearing sensitivity; edit freely. Keep ascending. Include the live gearing (E217) so the tie-out check works.</t>
  </si>
  <si>
    <t>Buyer reimburses at RtB exit (1/0)</t>
  </si>
  <si>
    <t>Buyer-reimbursed principal (k€)</t>
  </si>
  <si>
    <t>J = 1: paid by FEP, earns the at-risk flat 2× return, principal reimbursed by the buyer at RtB exit (not refunded if the project fails). Devex rows 14–15 per BORA_Devex update 29/09/2026. Feeds MOIC row 20.</t>
  </si>
  <si>
    <t>Land costs paid by FEP – reimbursed by buyer at RtB exit (not refunded if project fails)</t>
  </si>
  <si>
    <t>Drawdown – devex incl. land costs reimbursed by buyer at RtB exit (row 20)</t>
  </si>
  <si>
    <t>Buyer reimbursement at RtB exit: securities, connection fee and land costs (row 20)</t>
  </si>
  <si>
    <t/>
  </si>
  <si>
    <t>1 = devex from the Devex_FEP sheet (BORA_Devex_20260925.xlsx FEP view, updated 29/09/2026). Land reservation fee and land purchase price (Devex rows 14–15) are paid by FEP and earn the 2× at-risk return; their principal is reimbursed by the buyer at RtB exit (not refunded if the project fails) – Devex_FEP J:K, MOIC row 20. RtB land (row 48), financial costs and G&amp;A excluded.</t>
  </si>
  <si>
    <t>Less: repayment of unrecoverable loans (all principal if Inputs E71 = 1; else only buyer-reimbursed land costs, row 20)</t>
  </si>
  <si>
    <t>Buyer reimbursement: securities, connection fee and land costs</t>
  </si>
  <si>
    <t>Devex (FEP-funded share, incl. land costs reimbursed by buyer at RtB exit)</t>
  </si>
  <si>
    <t>Participation exemption on RtB share sale (1 = gain on shares exempt)</t>
  </si>
  <si>
    <t>1 = the share of distributable proceeds (gain on the SPV/JV shares) is exempt from CIT under the Hungarian participation exemption (bejelentett részesedés): shareholding notified to NAV within 75 days of acquisition and held ≥ 1 year before sale (investment date E27 to sale ≈ 3 years). Interest, 2× top-up and loan returns stay taxable at E12. 0 = flat E12 on all profit at sale.</t>
  </si>
  <si>
    <t>Applied to positive cumulative profit at sale, less any gain exempted by the participation exemption (E14).</t>
  </si>
  <si>
    <t>Corporate income tax on profit at sale (after participation exemption on share gain, Inputs E14)</t>
  </si>
  <si>
    <t>Tax at sale (after participation exemption on share gain, Inputs E14)</t>
  </si>
  <si>
    <t>Distributable base vs FEP devex file (#26)</t>
  </si>
  <si>
    <t>RESOLVED 29-Sep-2026 on user instruction: participation exemption applied in the RtB exit case (Inputs E14 = 1). The gain on the shares (FEP and A.RES share of distributable proceeds) is exempt; interest, the 2× at-risk top-up and other loan returns stay taxed at 9% (Inputs E12). Applied in MOIC rows 174, 217 and 237. Exit tax falls from k€ 1,452 to k€ 221; FEP MOIC 1.31x → 1.34x, IRR 25.5% → 27.5%. Condition: announced shareholding notified to NAV within 75 days of acquisition and held ≥ 1 year before the sale.</t>
  </si>
  <si>
    <t>Resolved (model updated) – tax adviser to confirm NAV notification and ≥ 1-year holding</t>
  </si>
  <si>
    <t>RESOLVED 29-Sep-2026: BORA will bid into the Szombathely node (Szombathely OVIT, 200 MVA). Connection fee taken from the BORA Devex table (BORA_Devex_20260925 rows 18–19): indirect 73.071306 mHUF/MW gross, net of the TSO bond (Inputs E85), plus direct 508.3 mHUF (Inputs E84) = k€ 38,439 via Deposits M12/M18 into HTM capex (Inputs E172).</t>
  </si>
  <si>
    <t>CLOSED 29-Sep-2026 on user instruction: a Hungarian yield study is not needed for this model. Revenues use Aurora Q2-2026 Hungary wind capture prices; generation stays on IC-paper P50 2,460 h (NCF 28%, Inputs E179), with the P90 lender downside at Inputs E272.</t>
  </si>
  <si>
    <t>Closed – not needed (Aurora Hungary wind revenues)</t>
  </si>
  <si>
    <t>RESOLVED: devex now built line by line from the BORA Devex FEP view on the Devex_FEP sheet (Inputs E67 = 1): k€ 2,532 FEP-borne incl. 10% contingency, plus k€ 179 land costs reimbursed by the buyer at RtB exit. Six-milestone build kept as the E67 = 0 alternative.</t>
  </si>
  <si>
    <t>FEP devex file itemises k€ 3,247 vs k€ 2,400 in the model (see #19)</t>
  </si>
  <si>
    <t>Resolved with #19: line-item devex from Devex_FEP (Inputs E67 = 1) now feeds MOIC and HTM.</t>
  </si>
  <si>
    <t>Inputs E92 vs E146; see also open item #22 (tender timetable).</t>
  </si>
  <si>
    <t>Closed – definition fixed; connection fee lines at 12% per FEP devex file (#23), other cash lines 20%, guarantees 6%. Confirm TSO bond (#34).</t>
  </si>
  <si>
    <t>Sorted 29-Sep-2026: #1–10 = ten most critical open items; #11–15 = other open items; #16 onward = resolved / closed / superseded. Renumbered sequentially (earlier numbering had duplicates 31–35).</t>
  </si>
  <si>
    <t/>
  </si>
  <si>
    <t/>
  </si>
  <si>
    <t/>
  </si>
  <si>
    <t>Inputs row 14; MOIC rows 174, 217, 237</t>
  </si>
  <si>
    <t>Participation exemption on RtB share sale added (Inputs E14 = 1). Gain on shares (share of distributable proceeds) exempt; loan interest and 2× top-up still taxed at 9%. FEP exit tax k€ 1,452 → 221; MOIC 1.313x → 1.339x; IRR 25.5% → 27.5%.</t>
  </si>
  <si>
    <t>1.3126x / 25.5%</t>
  </si>
  <si>
    <t>1.3389x / 27.5%</t>
  </si>
  <si>
    <t>User request 29-Sep-26 (open item 7)</t>
  </si>
  <si>
    <t>Inputs F84, F85, F239</t>
  </si>
  <si>
    <t>Connection fee notes now cite the BORA Devex table rows 18–19 (k€ 37,066 + 1,374 = 38,439, unchanged). Szombathely node recorded.</t>
  </si>
  <si>
    <t>User request 29-Sep-26 (open item 31)</t>
  </si>
  <si>
    <t>Open_Items B4:I58</t>
  </si>
  <si>
    <t>Items renumbered 1–53 (removed duplicate numbers 31–35) and sorted: top-10 critical open, other open, then resolved/closed/superseded. #7 tax, #13 yield study, #31 tender node, #37/#51 devex closed.</t>
  </si>
  <si>
    <t>User request 29-Sep-26</t>
  </si>
  <si>
    <t>Deposits / Inputs</t>
  </si>
  <si>
    <t>Deposits F8, E33; Inputs C90, F76, F90, G87</t>
  </si>
  <si>
    <t>1.5× bond uplift (Inputs E90) now applied to the bid bond as well as the performance bond: bid bond 606 → 909 mHUF (k€ 1,638 → 2,457); performance bond payable 3,939 → 3,636 mHUF (total bid + performance unchanged at 4,545). Source gross total restated +303 mHUF; Deposits E33 hardcode replaced by formula.</t>
  </si>
  <si>
    <t>1.3389x / 27.52%</t>
  </si>
  <si>
    <t>1.3387x / 27.49%</t>
  </si>
  <si>
    <t>REFUNDED if the project fails (user correction 29-Sep-26, BORA Devex row 8). Cash deposit → funded on the 12% recoverable loan. Credited against the indirect connection fee; buyer reimburses at RtB exit.</t>
  </si>
  <si>
    <t>REFUNDED if the project fails (user correction 29-Sep-26, BORA Devex rows 9–13). Bank-guaranteed (Inputs row 122–125 = 0), so no cash is funded; flag = 1 keeps it on the 12% basis if switched to cash. Only the guarantee fee and guarantee interest are at risk.</t>
  </si>
  <si>
    <t>Cash TSO bond (4.5 mHUF/MW) is REFUNDED if the project fails, as are the bank-guaranteed supplementary grid bonds (user correction 29-Sep-26).</t>
  </si>
  <si>
    <t>Inputs G259 and G261:G264 = 1: TSO bond on the 12% recoverable loan; supplementary bonds are guarantees (no cash funding) – only guarantee fees and interest at risk.</t>
  </si>
  <si>
    <t>Closed – refunded on failure, 12% loan</t>
  </si>
  <si>
    <t>FEP shareholder loan – at-risk (devex and land costs; all deposits and grid bonds are refunded on failure)</t>
  </si>
  <si>
    <t>Inputs / Dashboard / Open_Items</t>
  </si>
  <si>
    <t>Inputs G261:G264, F259, F261:F264; Dashboard C37; Open_Items row 39</t>
  </si>
  <si>
    <t>Per BORA Devex correction: TSO bond (row 8) and supplementary grid bonds (rows 9–13) are refunded on failure. Supplementary bonds flagged refunded (G261:G264 = 1; were 0). TSO bond already 1 (12% loan); notes corrected from 'not refunded'. Supplementary bonds are bank guarantees, so no cash funding – only guarantee fees/interest at risk. No change to results.</t>
  </si>
  <si>
    <t>BORA Devex file correction 29-Sep-26</t>
  </si>
  <si>
    <t/>
  </si>
  <si>
    <t>0.5% of the bid-stage base (E91), no uplift – matches BORA Devex I6 (606 mHUF).</t>
  </si>
  <si>
    <t>Deposits E8, F8; Inputs C90, F76, F87, F90, G87</t>
  </si>
  <si>
    <t>Reverted change 89 on user instruction: bid bond back to 0.5% without the 1.5× uplift = 606 mHUF, matching BORA Devex I6. Uplift applies to the performance bond only (payable 3,939 mHUF). Source gross total restored to 22,797.61. Deposits E33 formula fix kept.</t>
  </si>
  <si>
    <t xml:space="preserve">PROJECT BORA </t>
  </si>
  <si>
    <t>TERM SHEET Conditions</t>
  </si>
  <si>
    <t>FEP proposal - Bank guarantee ok, connection fee not at risk, no GA</t>
  </si>
  <si>
    <t>Task/Permit</t>
  </si>
  <si>
    <t>Expected start date</t>
  </si>
  <si>
    <t>Expected end date</t>
  </si>
  <si>
    <t>Expected payment  date</t>
  </si>
  <si>
    <t>Days in 1st year</t>
  </si>
  <si>
    <t xml:space="preserve">Connected payment </t>
  </si>
  <si>
    <t>Amount of payment 
(net, HUF)</t>
  </si>
  <si>
    <t>Amount of payment 
(net, EUR)</t>
  </si>
  <si>
    <t>Exit: 2029.12.31.</t>
  </si>
  <si>
    <t>Exit: 2029.06.30.</t>
  </si>
  <si>
    <t xml:space="preserve">Comment </t>
  </si>
  <si>
    <t>Amount with interest  (net, EUR)</t>
  </si>
  <si>
    <t xml:space="preserve">Interest amount (EUR) </t>
  </si>
  <si>
    <t>FEP pays?</t>
  </si>
  <si>
    <t>FEP principal</t>
  </si>
  <si>
    <t>Case B carrying cost</t>
  </si>
  <si>
    <t>TERM SHEET interest</t>
  </si>
  <si>
    <t>(1=yes, 0=no)</t>
  </si>
  <si>
    <t>(EUR)</t>
  </si>
  <si>
    <t>(EUR, to sale)</t>
  </si>
  <si>
    <t>MEKH capacity  tender</t>
  </si>
  <si>
    <t>Application fee</t>
  </si>
  <si>
    <t>Application bond</t>
  </si>
  <si>
    <t>W+BESS; bank guarantee</t>
  </si>
  <si>
    <t>FY rate (HUF/EUR)</t>
  </si>
  <si>
    <t>W+BESS; Application bond deducted; w/ 50% extra; bank guarantee</t>
  </si>
  <si>
    <t>Wind capacity (MW)</t>
  </si>
  <si>
    <t>Capacity allocation process - Application</t>
  </si>
  <si>
    <t>Application bond (TSO)</t>
  </si>
  <si>
    <t>NOT bank guarantee; refunded if project fails</t>
  </si>
  <si>
    <t xml:space="preserve">BESS percentage </t>
  </si>
  <si>
    <t>Supplementary grid bond - 2027</t>
  </si>
  <si>
    <t>Supplementary grid bond annual instalment for 2027</t>
  </si>
  <si>
    <t>double amount; bank guarantee; refunded if project fails</t>
  </si>
  <si>
    <t>BESS connection capacity (MW)</t>
  </si>
  <si>
    <t>Supplementary grid bond - 2028</t>
  </si>
  <si>
    <t>Supplementary grid bond annual instalment for 2028</t>
  </si>
  <si>
    <t>bank guarantee; refunded if project fails</t>
  </si>
  <si>
    <t>BESS storage capacity (MWh) – 2h</t>
  </si>
  <si>
    <t>Supplementary grid bond - refund</t>
  </si>
  <si>
    <t>Supplementary grid bond refund after BP</t>
  </si>
  <si>
    <t>refund after BP (with time buffer)</t>
  </si>
  <si>
    <t>Benchmark CAPEX - wind (HUF/MW)</t>
  </si>
  <si>
    <t>Supplementary grid bond - 2029</t>
  </si>
  <si>
    <t>Supplementary grid bond annual instalment for 2029</t>
  </si>
  <si>
    <t>50% after building permit; bank guarantee; refunded if project fails</t>
  </si>
  <si>
    <t>Benchmark CAPEX - BESS (HUF/MWh)</t>
  </si>
  <si>
    <t>Supplementary grid bond - 2030</t>
  </si>
  <si>
    <t>Supplementary grid bond annual instalment for 2030</t>
  </si>
  <si>
    <t>50% after building permit - to be paid by new owner; refunded if project fails</t>
  </si>
  <si>
    <t>Tender application</t>
  </si>
  <si>
    <t>Potentially to be increased</t>
  </si>
  <si>
    <t>No. of top. lots</t>
  </si>
  <si>
    <t xml:space="preserve">Land purchase price </t>
  </si>
  <si>
    <t>No. of WTGs</t>
  </si>
  <si>
    <t xml:space="preserve">Design fee </t>
  </si>
  <si>
    <t>No. of small power plants</t>
  </si>
  <si>
    <t xml:space="preserve">No. of municipalities </t>
  </si>
  <si>
    <t xml:space="preserve">Grid connection agreement </t>
  </si>
  <si>
    <t>Connection fee - Indirect</t>
  </si>
  <si>
    <t>TSO application bond deducted</t>
  </si>
  <si>
    <t xml:space="preserve">RtB year </t>
  </si>
  <si>
    <t>Connection fee - Direct</t>
  </si>
  <si>
    <t>depending on the SPV's declaration and TSO's decision</t>
  </si>
  <si>
    <t xml:space="preserve">Legal fee, agent fee </t>
  </si>
  <si>
    <t>to be paid</t>
  </si>
  <si>
    <t xml:space="preserve">Met Masts </t>
  </si>
  <si>
    <t>for 2 MM</t>
  </si>
  <si>
    <t xml:space="preserve">EYA </t>
  </si>
  <si>
    <t xml:space="preserve">Donation </t>
  </si>
  <si>
    <t xml:space="preserve">Administrative fee </t>
  </si>
  <si>
    <t xml:space="preserve">Topography </t>
  </si>
  <si>
    <t>FEP Split</t>
  </si>
  <si>
    <t>Bank quarantee %</t>
  </si>
  <si>
    <t>DSA / success fee (EUR/MW/yr)</t>
  </si>
  <si>
    <t>W+BESS</t>
  </si>
  <si>
    <t>DSA accrual start (signing)</t>
  </si>
  <si>
    <t>Exit date</t>
  </si>
  <si>
    <t>Continuous</t>
  </si>
  <si>
    <t>TERM SHEET Exit: 2029.06.30.</t>
  </si>
  <si>
    <t>NEW FEP proposal EXit: 2029.12.31.</t>
  </si>
  <si>
    <t>OLD FEP proposal EXit: 2029.12.31</t>
  </si>
  <si>
    <t xml:space="preserve"> FEP proposal EXit: 2029.12.31</t>
  </si>
  <si>
    <t>EUR</t>
  </si>
  <si>
    <t>EUR/MW</t>
  </si>
  <si>
    <t>Purchase price</t>
  </si>
  <si>
    <t>Total interest</t>
  </si>
  <si>
    <t>Transaction costs</t>
  </si>
  <si>
    <t>DSA</t>
  </si>
  <si>
    <t>TOTAL WITH BONDS AND CONN FEE</t>
  </si>
  <si>
    <t>Profit - total</t>
  </si>
  <si>
    <t>TOTAL WITH BONDS AND CONN FEE /MW (FOR WIND)</t>
  </si>
  <si>
    <t>Profit FGX</t>
  </si>
  <si>
    <t xml:space="preserve">TOTAL WITHOUT BONDS AND CONN FEE </t>
  </si>
  <si>
    <t>Profit FGX + interest</t>
  </si>
  <si>
    <t>TOTAL WITHOUT BONDS AND CONN FEE /MW (FOR WIND)</t>
  </si>
  <si>
    <t>Profit Ventus+Solementore</t>
  </si>
  <si>
    <t>TOTAL BONDS AND CONN FEE</t>
  </si>
  <si>
    <t>Profit + DSA Ventus+Solementore</t>
  </si>
  <si>
    <t>Diff</t>
  </si>
  <si>
    <t>Profit FGX + interest - Devex</t>
  </si>
  <si>
    <t>Disclaimers:
1. The connection fee will be defined based on the declaration of the SPV and the TSO's procedure (direct costst). 
2. The met mast costs were calculated based on a previous offer without site visit.
3. The environmental, archaeological, geotechnical assessment, topography fee and other project development fees were calculated based on the respective fees of PV projects in Hungary. 
4. Significant legislative changes are expected in connection with the cable right permitting, the associated costs cannot be accurately determined as of yet. Expectations are included. B59
5. The design fee is calculated based on a non binding offer, it will be updated with finalized technical details. 
6. Items proivided by bank guarantee are calculated with a 6% interest. 
7. Interest is calculated with the exact dates.
8. The TSO/DSO application bond cannot be provided in bank guarantee, therefore it is calculated as a cash deposit and the indirect connection fee is deducted with it. 
9. With the MEKH performance bond an extra 50% is calculated.</t>
  </si>
  <si>
    <t>Cases – NEW FEP proposal (sale 31/12/2029)</t>
  </si>
  <si>
    <t>Bank guarantee fee (% p.a., all-in)</t>
  </si>
  <si>
    <t>Cost of capital – cash-funded items (% p.a., Bora MOIC standard)</t>
  </si>
  <si>
    <t>DD costs</t>
  </si>
  <si>
    <t>Case A – profit without cost of capital</t>
  </si>
  <si>
    <t>Less: DD costs</t>
  </si>
  <si>
    <t>Less: bank guarantee fees (guarantee-backed securities)</t>
  </si>
  <si>
    <t>Less: cost of capital (TSO bond, conn. fee, particip. fee, devex)</t>
  </si>
  <si>
    <t>Case B – profit after cost of capital</t>
  </si>
  <si>
    <t>Copy of BORA_Devex_20260925.xlsx, Sheet1 (B2:AY72), imported 29-Sep-2026 as the reference for Devex_FEP. Do not edit here – update from the source file.</t>
  </si>
  <si>
    <t>Amounts (E) and payment dates (F) link to the BORA_Devex sheet (copy of BORA_Devex_20260925.xlsx): E = BORA_Devex column J (EUR) / 1,000; F = BORA_Devex column E. Continuous items (Devex rows 45–47) have no date in the source and are placed on 31-Dec-2027. Contingency (row 49) is the model's own 10% on FEP-borne items (Inputs E68).</t>
  </si>
  <si>
    <t>Total devex (BORA Devex line items via Devex_FEP)</t>
  </si>
  <si>
    <t>Devex spent equals Devex_FEP total (BORA Devex line items)</t>
  </si>
  <si>
    <t>D. Milestone timing (drives RTB and sale dates). Milestone devex amounts (rows 41–48) are NO LONGER USED – devex comes from the BORA_Devex sheet via Devex_FEP.</t>
  </si>
  <si>
    <t>NOT USED since 29-Sep-2026 – kept for reference only (grouped). Devex = BORA Devex line items with their own payment dates (Devex_FEP / BORA_Devex).</t>
  </si>
  <si>
    <t>Devex basis – retired switch, keep at 1 (BORA Devex line items via Devex_FEP)</t>
  </si>
  <si>
    <t>1. Development costs (devex) – BORA Devex line items (row 18). Milestone rows 12–17 are memo only, not used (grouped).</t>
  </si>
  <si>
    <t>BORA_Devex / Devex_FEP / MOIC / Inputs</t>
  </si>
  <si>
    <t>New sheet BORA_Devex; Devex_FEP E5:F37; MOIC H18:BP18, C11, C18, C261, G261; Inputs C40, F41, C67; rows grouped Inputs 41–48, MOIC 12–17</t>
  </si>
  <si>
    <t>BORA_Devex_20260925.xlsx Sheet1 (B2:AY72, formulas + formats) copied into the model as BORA_Devex. Devex_FEP amounts and payment dates now link to it (were typed copies). Six-milestone devex retired: MOIC row 18 always uses the line items. Results unchanged (the typed copies matched).</t>
  </si>
  <si>
    <t>Less: devex and participation fee carried by FEP (not repaid; land costs repaid by buyer at RtB exit added back)</t>
  </si>
  <si>
    <t>K32, H32, K39, H39</t>
  </si>
  <si>
    <t>Case A tax was 9% of all pre-tax profit, ignoring the participation exemption; now exempts the share-gain proceeds (MOIC G170) like MOIC row 174. Profit bridge K32 now adds back land costs repaid by the buyer at RtB exit (MOIC G167), fixing the L41 tie-out check (was ERROR).</t>
  </si>
  <si>
    <t>Case A post-tax 17,580</t>
  </si>
  <si>
    <t>Case A post-tax 18,975</t>
  </si>
  <si>
    <t>Aurora price scenario (1 = Low, 2 = Central, 3 = High)</t>
  </si>
  <si>
    <t>Drives Curves!E16 (scenario in use). Per-case so the European / Chinese cases and tornado can flex Aurora Low / High.</t>
  </si>
  <si>
    <t/>
  </si>
  <si>
    <t/>
  </si>
  <si>
    <t>Metric</t>
  </si>
  <si>
    <t>Senior debt at COD</t>
  </si>
  <si>
    <t>Average achieved price (lifetime)</t>
  </si>
  <si>
    <t>FEP equity NPV (Inputs E253 rate)</t>
  </si>
  <si>
    <t>Minimum DSCR (base)</t>
  </si>
  <si>
    <t>Minimum DSCR – lender downside (Aurora Low + P90)</t>
  </si>
  <si>
    <t/>
  </si>
  <si>
    <t>Swing</t>
  </si>
  <si>
    <t/>
  </si>
  <si>
    <t>25 years</t>
  </si>
  <si>
    <t>Turbine cases + tornado</t>
  </si>
  <si>
    <t>Inputs; Curves; Dashboard</t>
  </si>
  <si>
    <t>Inputs K7:L8, K162:L162, K190:L191, K199:L199, K217:L217, row 199; Curves E16; Dashboard C206:L282</t>
  </si>
  <si>
    <t>Added Case 5 European turbine (950 k€/MW supply, 50% gearing, 90 €/MWh PPA 100% of output 10 yrs) and Case 6 Chinese turbine (500 k€/MW, all equity, Aurora Central merchant). New per-case Aurora scenario input (Inputs row 199) now drives Curves E16. Dashboard section 11 case comparison and section 12 FEP equity IRR tornado (tables + 2 charts) – snapshot values from scenario runs.</t>
  </si>
  <si>
    <t>Curves E16 hardcoded 2; Cases 5–6 spare</t>
  </si>
  <si>
    <t>EU FEP equity IRR 10.4% / CN 14.6%; base case 1 FEP IRR unchanged 16.9%</t>
  </si>
  <si>
    <t>User request 01-Oct-2026</t>
  </si>
  <si>
    <t>HTM – European turbine</t>
  </si>
  <si>
    <t>HTM – Chinese turbine</t>
  </si>
  <si>
    <t>European turbine</t>
  </si>
  <si>
    <t>Chinese turbine</t>
  </si>
  <si>
    <t>Advantage</t>
  </si>
  <si>
    <t>Better if</t>
  </si>
  <si>
    <t>–</t>
  </si>
  <si>
    <t>Lower</t>
  </si>
  <si>
    <t>Higher</t>
  </si>
  <si>
    <t>Δ EU – CN</t>
  </si>
  <si>
    <t>Dashboard; Inputs</t>
  </si>
  <si>
    <t>Dashboard G4:H23, C206:L282; Inputs K7:L7</t>
  </si>
  <si>
    <t>Headline section 1: added HTM European / Chinese turbine columns (G–H) linked to the section 11 snapshot. Redesigned sections 11–12 (title bars, case colour coding, Advantage / Better-if columns, key-row highlight, Δ colour rules, swing data bars, restyled tornado charts). Deleted stray empty Chart 3 left over the headline block. Shortened case names in Inputs K7:L7.</t>
  </si>
  <si>
    <t>Sections 11–12 basic layout; Chart 3 blank</t>
  </si>
  <si>
    <t>Restyled; values unchanged (EU 10.4% / CN 14.6% FEP equity IRR)</t>
  </si>
  <si>
    <t>Merchant power price sensitivity factor (1.00 = Aurora curve as selected)</t>
  </si>
  <si>
    <t>Scales the Aurora wind capture price used in HTM row 42 (tornado ±10%). Keep at 1.00.</t>
  </si>
  <si>
    <t>11. Turbine case comparison – European vs Chinese turbine (HTM build &amp; operate, FEP view)</t>
  </si>
  <si>
    <t>Capex &amp; funding</t>
  </si>
  <si>
    <t>Capex per MW (all-in incl. grid connection fee)</t>
  </si>
  <si>
    <t>Total capex incl. grid connection fee</t>
  </si>
  <si>
    <t>Gearing (senior debt / total capex)</t>
  </si>
  <si>
    <t>Generation &amp; revenue</t>
  </si>
  <si>
    <t>FEP returns (HTM, post-tax unless stated)</t>
  </si>
  <si>
    <t>Project returns</t>
  </si>
  <si>
    <t>Project NPV – unlevered, post-tax</t>
  </si>
  <si>
    <t>Debt</t>
  </si>
  <si>
    <t>Live check vs model (only when Inputs E6 = 5 or 6)</t>
  </si>
  <si>
    <t>12. Tornado – FEP equity IRR (post-tax) sensitivity: one driver flexed at a time, all else at case values</t>
  </si>
  <si>
    <t>SNAPSHOT 2026-10-01. Bars start at the case base IRR and end at the flexed IRR; labels show the input moved and by how much. Market-standard set: capex, opex, energy yield, power price ±10%; availability −2%/+1%; opex inflation ±1pp; COD +6 months; life −5 yrs (35 yrs not possible – model horizon ends 2061); EU only: PPA price ±10%, interest ±100bp.</t>
  </si>
  <si>
    <t>Case base: FEP equity IRR / FEP equity NPV (k€)</t>
  </si>
  <si>
    <t>Driver (flex)</t>
  </si>
  <si>
    <t>Base input</t>
  </si>
  <si>
    <t>Downside input</t>
  </si>
  <si>
    <t>Upside input</t>
  </si>
  <si>
    <t>FEP IRR downside</t>
  </si>
  <si>
    <t>FEP IRR upside</t>
  </si>
  <si>
    <t>Δ downside</t>
  </si>
  <si>
    <t>Δ upside</t>
  </si>
  <si>
    <t>Energy yield (P50 hours) ±10%</t>
  </si>
  <si>
    <t>2 706 h (P50)</t>
  </si>
  <si>
    <t>2 435 h</t>
  </si>
  <si>
    <t>2 977 h</t>
  </si>
  <si>
    <t>Construction capex (excl. grid fee) ±10%</t>
  </si>
  <si>
    <t>1 745 k€/MW</t>
  </si>
  <si>
    <t>1 899 k€/MW</t>
  </si>
  <si>
    <t>1 592 k€/MW</t>
  </si>
  <si>
    <t>PPA price ±10%</t>
  </si>
  <si>
    <t>90 €/MWh</t>
  </si>
  <si>
    <t>81 €/MWh</t>
  </si>
  <si>
    <t>99 €/MWh</t>
  </si>
  <si>
    <t>Merchant power price (Aurora Central) ±10%</t>
  </si>
  <si>
    <t>Ø 136,1 €/MWh</t>
  </si>
  <si>
    <t>Ø 125,8 €/MWh achieved</t>
  </si>
  <si>
    <t>Ø 146,5 €/MWh achieved</t>
  </si>
  <si>
    <t>Operating life −5 years</t>
  </si>
  <si>
    <t>30 years</t>
  </si>
  <si>
    <t>Opex inflation ±1pp</t>
  </si>
  <si>
    <t>2,5% p.a.</t>
  </si>
  <si>
    <t>3,5% p.a.</t>
  </si>
  <si>
    <t>1,5% p.a.</t>
  </si>
  <si>
    <t>Interest rate ±100bp</t>
  </si>
  <si>
    <t>5,0%</t>
  </si>
  <si>
    <t>6,0%</t>
  </si>
  <si>
    <t>4,0%</t>
  </si>
  <si>
    <t>COD delay +6 months</t>
  </si>
  <si>
    <t/>
  </si>
  <si>
    <t>COD Dec-31</t>
  </si>
  <si>
    <t>Availability −2% / +1%</t>
  </si>
  <si>
    <t>model haircut 0%</t>
  </si>
  <si>
    <t>−2% (2 652 h)</t>
  </si>
  <si>
    <t>+1% (2 733 h)</t>
  </si>
  <si>
    <t>Opex ±10%</t>
  </si>
  <si>
    <t>case opex</t>
  </si>
  <si>
    <t>+10% all opex lines</t>
  </si>
  <si>
    <t>−10% all opex lines</t>
  </si>
  <si>
    <t>Ø 145,5 €/MWh</t>
  </si>
  <si>
    <t>Ø 131,0 €/MWh achieved</t>
  </si>
  <si>
    <t>Ø 160,1 €/MWh achieved</t>
  </si>
  <si>
    <t>1 273 k€/MW</t>
  </si>
  <si>
    <t>1 379 k€/MW</t>
  </si>
  <si>
    <t>1 167 k€/MW</t>
  </si>
  <si>
    <t>Chart label</t>
  </si>
  <si>
    <t>1. Headline returns – sell at RTB (active case) vs hold-to-maturity with European / Chinese turbine</t>
  </si>
  <si>
    <t/>
  </si>
  <si>
    <t/>
  </si>
  <si>
    <t/>
  </si>
  <si>
    <t>Notes</t>
  </si>
  <si>
    <t>Bora</t>
  </si>
  <si>
    <t/>
  </si>
  <si>
    <t/>
  </si>
  <si>
    <t/>
  </si>
  <si>
    <t>Project name</t>
  </si>
  <si>
    <t>Grid node (hálózati csomópont)</t>
  </si>
  <si>
    <t>Annex 1 node</t>
  </si>
  <si>
    <t/>
  </si>
  <si>
    <t/>
  </si>
  <si>
    <t/>
  </si>
  <si>
    <t/>
  </si>
  <si>
    <t>BESS connection capacity</t>
  </si>
  <si>
    <t>JV structure live (1 = JV, 0 = FEP 100%)</t>
  </si>
  <si>
    <t/>
  </si>
  <si>
    <t>Developer success fee live</t>
  </si>
  <si>
    <t>Off where there is no JV partner</t>
  </si>
  <si>
    <t>Number of separate bids</t>
  </si>
  <si>
    <t/>
  </si>
  <si>
    <t>Indirect connection fee (fajlagos várható közvetett csatlakozási díj)</t>
  </si>
  <si>
    <t>Ft/MVA</t>
  </si>
  <si>
    <t>Annex 1</t>
  </si>
  <si>
    <t>Direct connection investment (várható közvetlen csatlakozási díj / beruházás)</t>
  </si>
  <si>
    <t>Ft per connection point</t>
  </si>
  <si>
    <t/>
  </si>
  <si>
    <t>Indirect connection fee</t>
  </si>
  <si>
    <t>Ft/MVA ÷ 1,000,000</t>
  </si>
  <si>
    <t>Direct connection fee</t>
  </si>
  <si>
    <t>Ft per connection point ÷ 1,000,000 ÷ MW</t>
  </si>
  <si>
    <t>Devex target – total incl. contingency</t>
  </si>
  <si>
    <t>BORA Devex line items (base, excl. contingency)</t>
  </si>
  <si>
    <t>Devex scaling factor applied to every BORA Devex line item</t>
  </si>
  <si>
    <t>Base amount – BORA Devex, unscaled (k€)</t>
  </si>
  <si>
    <t/>
  </si>
  <si>
    <t>Devex_FEP L5:L37 (BORA Devex J column ÷ 1,000, rows 14–17 and 20–48)</t>
  </si>
  <si>
    <t>BORA Devex FEP-borne base items</t>
  </si>
  <si>
    <t>Devex_FEP L × G (FEP pays) – contingency base</t>
  </si>
  <si>
    <t>Solves Devex_FEP E39 = target (contingency 10% on FEP-borne items + participation fee)</t>
  </si>
  <si>
    <t>Grid fee reconciliation vs BORA source table (Deposits E29 / E32)</t>
  </si>
  <si>
    <t/>
  </si>
  <si>
    <t>A. Project inputs (live – Inputs block M)</t>
  </si>
  <si>
    <t>Value</t>
  </si>
  <si>
    <t>Source / note</t>
  </si>
  <si>
    <t>MEKH/MAVIR Kapacitás pályázati kiírás 2026, Annex 1</t>
  </si>
  <si>
    <t>BESS connection capacity / storage</t>
  </si>
  <si>
    <t>FEP share of RTB proceeds</t>
  </si>
  <si>
    <t>70/30 JV with developer</t>
  </si>
  <si>
    <t>Number of tender bids</t>
  </si>
  <si>
    <t>Participation fee per bid</t>
  </si>
  <si>
    <t>Annex 1 – fajlagos várható közvetett csatlakozási díj</t>
  </si>
  <si>
    <t>Direct connection investment</t>
  </si>
  <si>
    <t>Ft</t>
  </si>
  <si>
    <t>Annex 1 – per connection point (TMÁ)</t>
  </si>
  <si>
    <t>Indirect / direct connection fee per MW</t>
  </si>
  <si>
    <t>Devex – total incl. contingency (target)</t>
  </si>
  <si>
    <t>Devex_FEP line items × scaling factor</t>
  </si>
  <si>
    <t>Devex scaling factor vs BORA Devex</t>
  </si>
  <si>
    <t/>
  </si>
  <si>
    <t/>
  </si>
  <si>
    <t>HTM – European</t>
  </si>
  <si>
    <t>HTM – Chinese</t>
  </si>
  <si>
    <t>FEP headline returns</t>
  </si>
  <si>
    <t>FEP IRR (post-tax)</t>
  </si>
  <si>
    <t/>
  </si>
  <si>
    <t>FEP NPV (post-tax, Inputs E253 rate)</t>
  </si>
  <si>
    <t>Sell at RTB – detail</t>
  </si>
  <si>
    <t>RTB date → sale date</t>
  </si>
  <si>
    <t/>
  </si>
  <si>
    <t>Gross RTB proceeds (premium + buyer reimbursement)</t>
  </si>
  <si>
    <t>FEP net profit pre-tax – Case B (signing fee, DD, guarantee fees, cost of capital)</t>
  </si>
  <si>
    <t>FEP net profit post-tax – Case B</t>
  </si>
  <si>
    <t>Grid connection fee – indirect / direct</t>
  </si>
  <si>
    <t/>
  </si>
  <si>
    <t>Total tender securities and grid fees (gross)</t>
  </si>
  <si>
    <t>Devex – total incl. contingency</t>
  </si>
  <si>
    <t>Hold-to-maturity – detail</t>
  </si>
  <si>
    <t>Gearing / senior debt at COD</t>
  </si>
  <si>
    <t/>
  </si>
  <si>
    <t/>
  </si>
  <si>
    <t>LCOE</t>
  </si>
  <si>
    <t/>
  </si>
  <si>
    <t/>
  </si>
  <si>
    <t/>
  </si>
  <si>
    <t/>
  </si>
  <si>
    <t/>
  </si>
  <si>
    <t/>
  </si>
  <si>
    <t/>
  </si>
  <si>
    <t/>
  </si>
  <si>
    <t/>
  </si>
  <si>
    <t/>
  </si>
  <si>
    <t/>
  </si>
  <si>
    <t/>
  </si>
  <si>
    <t/>
  </si>
  <si>
    <t>FEP NPV (post-tax)</t>
  </si>
  <si>
    <t/>
  </si>
  <si>
    <t/>
  </si>
  <si>
    <t/>
  </si>
  <si>
    <t/>
  </si>
  <si>
    <t/>
  </si>
  <si>
    <t/>
  </si>
  <si>
    <t/>
  </si>
  <si>
    <t/>
  </si>
  <si>
    <t/>
  </si>
  <si>
    <t/>
  </si>
  <si>
    <t/>
  </si>
  <si>
    <t/>
  </si>
  <si>
    <t/>
  </si>
  <si>
    <t/>
  </si>
  <si>
    <t/>
  </si>
  <si>
    <t/>
  </si>
  <si>
    <t/>
  </si>
  <si>
    <t>HUN Onshore Wind – MOIC model v5</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</si>
  <si>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</si>
  <si>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</si>
  <si>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</si>
  <si>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</si>
  <si>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</si>
  <si>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</si>
  <si>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</si>
  <si>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</si>
  <si>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</si>
  <si>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</si>
  <si>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</si>
  <si>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</si>
  <si>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</si>
  <si>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</si>
  <si>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</si>
  <si>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</si>
  <si>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</si>
  <si>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</si>
  <si>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</si>
  <si>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</si>
  <si>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</si>
  <si>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</si>
  <si>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</si>
  <si>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</si>
  <si>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</si>
  <si>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</si>
  <si>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</si>
  <si>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</si>
  <si>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</si>
  <si>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</si>
  <si>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</si>
  <si>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</si>
  <si>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</si>
  <si>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</si>
  <si>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</si>
  <si>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</si>
  <si>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</si>
  <si>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</si>
  <si>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</si>
  <si>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</si>
  <si>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</si>
  <si>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</si>
  <si>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</si>
  <si>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</si>
  <si>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</si>
  <si>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</si>
  <si>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</si>
  <si>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</si>
  <si>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</si>
  <si>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Metric (project-sheet row)</t>
  </si>
  <si>
    <t>Sell at RTB (case 1)</t>
  </si>
  <si>
    <t/>
  </si>
  <si>
    <t>FEP net profit pre-tax – Case B</t>
  </si>
  <si>
    <t>Grid connection fee – indirect / direct (mHUF)</t>
  </si>
  <si>
    <t>Total tender securities and grid fees (gross, mHUF)</t>
  </si>
  <si>
    <t>Turbine supply</t>
  </si>
  <si>
    <t>Senior debt</t>
  </si>
  <si>
    <t>FEP net profit pre-tax</t>
  </si>
  <si>
    <t>FEP net profit post-tax</t>
  </si>
  <si>
    <t>FEP equity NPV</t>
  </si>
  <si>
    <t>FEP peak exposure</t>
  </si>
  <si>
    <t>Project IRR pre-tax</t>
  </si>
  <si>
    <t>Project IRR post-tax</t>
  </si>
  <si>
    <t>Project NPV</t>
  </si>
  <si>
    <t>Downside min DSCR</t>
  </si>
  <si>
    <t>HTM checks</t>
  </si>
  <si>
    <t/>
  </si>
  <si>
    <t>Dashboard target row (section 11; follows row inserts)</t>
  </si>
  <si>
    <t/>
  </si>
  <si>
    <t/>
  </si>
  <si>
    <t/>
  </si>
  <si>
    <t/>
  </si>
  <si>
    <t/>
  </si>
  <si>
    <t/>
  </si>
  <si>
    <t/>
  </si>
  <si>
    <t/>
  </si>
  <si>
    <t/>
  </si>
  <si>
    <t/>
  </si>
  <si>
    <t/>
  </si>
  <si>
    <t/>
  </si>
  <si>
    <t/>
  </si>
  <si>
    <t/>
  </si>
  <si>
    <t/>
  </si>
  <si>
    <t/>
  </si>
  <si>
    <t/>
  </si>
  <si>
    <t/>
  </si>
  <si>
    <t/>
  </si>
  <si>
    <t/>
  </si>
  <si>
    <t/>
  </si>
  <si>
    <t/>
  </si>
  <si>
    <t/>
  </si>
  <si>
    <t/>
  </si>
  <si>
    <t/>
  </si>
  <si>
    <t/>
  </si>
  <si>
    <t/>
  </si>
  <si>
    <t/>
  </si>
  <si>
    <t/>
  </si>
  <si>
    <t>FEP NPV (post-tax) at NPV / Equity discount rate (Inputs E253)</t>
  </si>
  <si>
    <t>Funded by recoverable loan (refundable share of each line; participation fee per Inputs E256 / Deposits U7)</t>
  </si>
  <si>
    <t>FEP net profit (pre-tax) – MOIC basis (after signing fee, DD, guarantee fees; before cost of capital)</t>
  </si>
  <si>
    <t>FEP net profit (post-tax) – MOIC basis (MOIC G182; basis of headline MOIC / IRR)</t>
  </si>
  <si>
    <t>Case A: profit bridge – before deal costs, guarantee fees and cost of capital (not a headline)</t>
  </si>
  <si>
    <t>Less: corporate income tax – actual tax per MOIC G174 (70% share gain exempt under participation exemption, Inputs E14; interest and top-up taxable)</t>
  </si>
  <si>
    <t/>
  </si>
  <si>
    <t>Cash securities returned at COD (excl. TSO connection-request bond – consumed against the connection fee, Deposits I18)</t>
  </si>
  <si>
    <t>Tax depreciation (straight-line on total capex + capitalised IDC + TSO bond applied to the connection fee)</t>
  </si>
  <si>
    <t>Bank guarantee fees (Stage 1 to sale per MOIC; hold case: guarantees outstanding at sale + 4th supplementary instalment carried to COD at E23 rate)</t>
  </si>
  <si>
    <t>Devex incl. land costs paid by FEP (MOIC rows 18 + 20)</t>
  </si>
  <si>
    <t>Development-phase costs tie to Stage 1 (devex + land + fees + cash securities + connection fee; guarantee fees ≥ MOIC to-sale fees)</t>
  </si>
  <si>
    <t>FEP NPV / Equity (NPV ÷ PV of equity invested, Inputs E253)</t>
  </si>
  <si>
    <t>Implied max RTB premium – buyer unlevered NPV = 0 at Inputs E224</t>
  </si>
  <si>
    <t>Implied max RTB premium – buyer equity NPV = 0 at Inputs E225</t>
  </si>
  <si>
    <t>DSCR vs Inputs E251</t>
  </si>
  <si>
    <t>Minimum gearing to reach the target FEP equity IRR (Inputs E252)</t>
  </si>
  <si>
    <t>Maximum gearing at the lender minimum DSCR (Inputs E251)</t>
  </si>
  <si>
    <t>Cash sweep – share of excess cash (operating years 1–5, Inputs E270)</t>
  </si>
  <si>
    <t>Downside DSCR test vs Inputs E274</t>
  </si>
  <si>
    <t>Downside – FEP NPV / Equity at Inputs E253 (approx.)</t>
  </si>
  <si>
    <t>IC paper range 150–250 k€/MW. Final tender (30-Aug-26): a buyer at RTB inherits the municipal one-off commitment (E233, 20 k€/MW) and the annual €/MWh contribution (E234), so treat this premium as gross of those, i.e. net ≈ E141 − E233.</t>
  </si>
  <si>
    <t>1. EURIBOR curves (monthly) – select the curve in use on Inputs!E112</t>
  </si>
  <si>
    <t>First operating year (COD year + 1, from Inputs!E155)</t>
  </si>
  <si>
    <t>Cash sweep – prepayment (Inputs E269 of cash after scheduled DS and DSRA, op. years 1–E270)</t>
  </si>
  <si>
    <t>DSRA target balance (Inputs E268 months of next year's scheduled debt service)</t>
  </si>
  <si>
    <t>FEP equity NPV at NPV / Equity discount rate (Inputs E253)</t>
  </si>
  <si>
    <t>PV of FEP equity invested (negative annual FEP flows, at Inputs E253)</t>
  </si>
  <si>
    <t>Buyer equity NPV at equity discount rate (Inputs E225), valued at the sale year</t>
  </si>
  <si>
    <t>Buyer NPV / Equity (NPV ÷ PV of equity invested, both at Inputs E253, valued at the sale year)</t>
  </si>
  <si>
    <t>Buyer unlevered NPV at unlevered discount rate (Inputs E224), valued at the sale year</t>
  </si>
  <si>
    <t>RTB premium in the model (Inputs E141)</t>
  </si>
  <si>
    <t/>
  </si>
  <si>
    <t/>
  </si>
  <si>
    <t>14b. Buyer unlevered post-tax IRR by RTB premium (Inputs E142:E148) – columns H:AQ hold each scenario's cash flow</t>
  </si>
  <si>
    <t>Unlev. NPV @ E224 (k€, sale yr)</t>
  </si>
  <si>
    <t>14c. Buyer levered equity IRR by RTB premium (Inputs E142:E148) – columns H:AQ hold each scenario's cash flow</t>
  </si>
  <si>
    <t>NPV / Equity @ E253</t>
  </si>
  <si>
    <t>Minimum gearing to reach the target FEP equity IRR (Inputs E252; interpolated between scenarios)</t>
  </si>
  <si>
    <t>Maximum gearing at the lender minimum DSCR (Inputs E251; interpolated between scenarios)</t>
  </si>
  <si>
    <t>Downside – DSCR test vs lender minimum (Inputs E274)</t>
  </si>
  <si>
    <t>Implemented as NPV ÷ PV of equity invested; nominal-denominator memo also shown. Sell case discounted at Inputs E13 (8.9%), HTM at Inputs E225 (10%).</t>
  </si>
  <si>
    <t>Inputs E252 (12%) and E251 (1.40x) are placeholders.</t>
  </si>
  <si>
    <t>Closed – 8%, variable (Inputs E253)</t>
  </si>
  <si>
    <t>Closed – 6-month DSRA added (Inputs E268)</t>
  </si>
  <si>
    <t>Two build seasons; 132 kV connection works (Szombathely OVIT node) on the critical path.</t>
  </si>
  <si>
    <t>On-site substation and 132 kV bay (lump sum, portfolio)</t>
  </si>
  <si>
    <t/>
  </si>
  <si>
    <t>Tenor from the first full operating year (annuity repayment)</t>
  </si>
  <si>
    <t>On-site substation and 132 kV bay</t>
  </si>
  <si>
    <t>Inputs J (E162:E175) holds FEP placeholder estimates totalling ~1,444 k€/MW incl. the TSO connection fee (IC paper: ~1,500 k€/MW, Nordex 6.8 MW); the final tender adds a municipal one-off contribution (Inputs E233, 20 k€/MW bid offering). No turbine quote, BoP tender or grid design yet.</t>
  </si>
  <si>
    <t>Inputs M: ~37 k€/MW/yr all-in in 2031 prices (O&amp;M 12 (Inputs E201), BoP 3, land 5, insurance 2.5, AM 1.5, property tax 3) + 150 k€/yr admin + 5% contingency, escalating 2.5%; balancing 4 EUR/MWh, grid charges 1 EUR/MWh; HIPA 2% of revenue (conservative base).</t>
  </si>
  <si>
    <t>Lender downside (Aurora Low + P90): min DSCR 1.36x per review 1-Oct-26 – live value HTM G324</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</si>
  <si>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</si>
  <si>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</si>
  <si>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</si>
  <si>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</si>
  <si>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</si>
  <si>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</si>
  <si>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</si>
  <si>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</si>
  <si>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</si>
  <si>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</si>
  <si>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</si>
  <si>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</si>
  <si>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</si>
  <si>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</si>
  <si>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</si>
  <si>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</si>
  <si>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</si>
  <si>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</si>
  <si>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</si>
  <si>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</si>
  <si>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</si>
  <si>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</si>
  <si>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</si>
  <si>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</si>
  <si>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</si>
  <si>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</si>
  <si>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</si>
  <si>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</si>
  <si>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</si>
  <si>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</si>
  <si>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</si>
  <si>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</si>
  <si>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</si>
  <si>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</si>
  <si>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</si>
  <si>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Revenue</t>
  </si>
  <si>
    <t>Merchant price risk in HTM (review 01-Oct-26 items B/C)</t>
  </si>
  <si>
    <t>Aurora Central capture ~104% of baseload every year; 2% inflation to 2061 gives ~145 €/MWh lifetime average with no merchant haircut on a 30-year tail. HTM implies max RTB premium ~1,718 k€/MW vs 150 k€/MW sale assumption.</t>
  </si>
  <si>
    <t>Four hurdle rates / BESS capex without revenue (review items D/E)</t>
  </si>
  <si>
    <t>8.9% cost of capital (E13), 7% unlevered (E224), 10% equity (E225), 8% NPV/Equity (E253) with no build-up; BESS capex €20m (E168) with no BESS revenue or opex.</t>
  </si>
  <si>
    <t/>
  </si>
  <si>
    <t/>
  </si>
  <si>
    <t/>
  </si>
  <si>
    <t/>
  </si>
  <si>
    <t/>
  </si>
  <si>
    <t/>
  </si>
  <si>
    <t/>
  </si>
  <si>
    <t/>
  </si>
  <si>
    <t/>
  </si>
  <si>
    <t/>
  </si>
  <si>
    <t/>
  </si>
  <si>
    <t/>
  </si>
  <si>
    <t/>
  </si>
  <si>
    <t/>
  </si>
  <si>
    <t/>
  </si>
  <si>
    <t/>
  </si>
  <si>
    <t/>
  </si>
  <si>
    <t/>
  </si>
  <si>
    <t/>
  </si>
  <si>
    <t/>
  </si>
  <si>
    <t/>
  </si>
  <si>
    <t/>
  </si>
  <si>
    <t>Closed 02-Oct-26 (current inputs): 55% gearing (Inputs E217), 5.0% all-in fixed (E218), 1.8% upfront fees (E219), 10-yr annuity from the first full operating year (E220), IDC capitalised (E221); 6-month DSRA (E268) and 50% cash sweep in operating years 1–5 (E269:E270); gearing test vs 1.50x DSCR in HTM block 15. Replace with a lender term sheet when one exists – no further modelling needed.</t>
  </si>
  <si>
    <t>Closed – modelled at market-standard terms</t>
  </si>
  <si>
    <t>Closed 02-Oct-26: conservative treatment kept – debt sized on capex incl. connection fee only (Inputs E217); refundable deposits and bond cash collateral are funded by FEP equity / shareholder loans. Any lender funding of deposits is upside to the equity cheque and IRR.</t>
  </si>
  <si>
    <t>Closed – conservative (equity-funded) treatment adopted</t>
  </si>
  <si>
    <t>Closed 02-Oct-26: VAT deliberately not modelled. Construction-installation works under a building permit fall under domestic reverse charge (Áfa tv. 142. §) and EU turbine supply is self-assessed and deductible, so capex VAT is cash-neutral; refundable deposits are not consideration for a supply (out of scope); bank-guarantee fees are an exempt financial service (Áfa tv. 86. §), so no recoverable VAT is lost. No model impact; tax adviser may confirm in the normal course.</t>
  </si>
  <si>
    <t>Closed – no model impact</t>
  </si>
  <si>
    <t>Closed 02-Oct-26: accepted simplification. Switches Inputs E226 / E227 kept; A.RES is bought out in full at the deemed exit (HTM row 22, see #26), so FEP holds 100% from RTB and a shareholder-loan waterfall in HTM would not change FEP's cash flows.</t>
  </si>
  <si>
    <t>Closed – accepted simplification</t>
  </si>
  <si>
    <t>Duplicate of #3 – handled there.</t>
  </si>
  <si>
    <t>Closed – duplicate of #3</t>
  </si>
  <si>
    <t>No haircut applied (user decision 02-Oct-26). Merchant price factor Inputs E184 = 1.00; downside covered by the Aurora Low / P90 lender case (HTM block 16) and Aurora scenario selector (Inputs E199).</t>
  </si>
  <si>
    <t>Closed – user decision (no haircut)</t>
  </si>
  <si>
    <t/>
  </si>
  <si>
    <t/>
  </si>
  <si>
    <t/>
  </si>
  <si>
    <t>ESTIMATE. Long-term FSA assumed for the full 30-year operating life (user decision 02-Oct-26) – no post-FSA uplift.</t>
  </si>
  <si>
    <t>ESTIMATE – base = European turbine 950 k€/MW (user decision 02-Oct-26, ≥80% EU-equipment tender points). IC: all-in ~1,500 k€/MW (Nordex 6.8 MW). Replace with turbine tender quote.</t>
  </si>
  <si>
    <t/>
  </si>
  <si>
    <t>Closed – accepted, monitored live</t>
  </si>
  <si>
    <t/>
  </si>
  <si>
    <t>Closed – estimates accepted</t>
  </si>
  <si>
    <t>Info only, not modelled (user decision 02-Oct-26). Assumed not exercised; flagged on Inputs E235. A buyer at RTB would price it in.</t>
  </si>
  <si>
    <t>Closed – info only</t>
  </si>
  <si>
    <t>Accepted 02-Oct-26: O&amp;M full-service contract assumed for the full 30-year operating life (user decision), so no post-FSA uplift. Other opex lines remain estimates (Inputs M).</t>
  </si>
  <si>
    <t>Closed – estimates accepted; FSA 30 years</t>
  </si>
  <si>
    <t>Closed – base = European turbine</t>
  </si>
  <si>
    <t>Hurdle rates: see #10. BESS: capex kept deliberately with no BESS revenue/opex (user decision 02-Oct-26) – the higher PPA price / Aurora Central assumption is treated as compensating for the unmodelled BESS revenue.</t>
  </si>
  <si>
    <t>Closed – BESS capex kept deliberately; rates see #10</t>
  </si>
  <si>
    <t/>
  </si>
  <si>
    <t/>
  </si>
  <si>
    <t/>
  </si>
  <si>
    <t/>
  </si>
  <si>
    <t/>
  </si>
  <si>
    <t/>
  </si>
  <si>
    <t/>
  </si>
  <si>
    <t/>
  </si>
  <si>
    <t/>
  </si>
  <si>
    <t/>
  </si>
  <si>
    <t/>
  </si>
  <si>
    <t/>
  </si>
  <si>
    <t/>
  </si>
  <si>
    <t/>
  </si>
  <si>
    <t/>
  </si>
  <si>
    <t/>
  </si>
  <si>
    <t/>
  </si>
  <si>
    <t/>
  </si>
  <si>
    <t/>
  </si>
  <si>
    <t/>
  </si>
  <si>
    <t/>
  </si>
  <si>
    <t>Commitment fee on undrawn senior debt (construction)</t>
  </si>
  <si>
    <t/>
  </si>
  <si>
    <t/>
  </si>
  <si>
    <t/>
  </si>
  <si>
    <t/>
  </si>
  <si>
    <t/>
  </si>
  <si>
    <t>ESTIMATE ~0.9% p.a. (≈35% of margin), charged quarterly on the undrawn facility NTP → COD; added 02-Oct-26 (Open_Items #14). Paid in cash from equity, part of HTM financing costs.</t>
  </si>
  <si>
    <t/>
  </si>
  <si>
    <t>Upfront, arrangement and commitment fees (commitment fee on average undrawn debt during construction, Inputs E222)</t>
  </si>
  <si>
    <t>FEP rate (12% cash / 6% guarantee)</t>
  </si>
  <si>
    <t/>
  </si>
  <si>
    <t/>
  </si>
  <si>
    <t/>
  </si>
  <si>
    <t>Bank-guarantee securities (6%, net of refunds)</t>
  </si>
  <si>
    <t>Cash deposits and connection fees (12%)</t>
  </si>
  <si>
    <t>Participation fee (12%, no 2× minimum)</t>
  </si>
  <si>
    <t/>
  </si>
  <si>
    <t/>
  </si>
  <si>
    <t/>
  </si>
  <si>
    <t/>
  </si>
  <si>
    <t/>
  </si>
  <si>
    <t/>
  </si>
  <si>
    <t/>
  </si>
  <si>
    <t/>
  </si>
  <si>
    <t>Devex principal incl. contingency and participation fee (carried by FEP; land excluded – reimbursed by buyer)</t>
  </si>
  <si>
    <t>12% interest – cash TSO bond + connection fees + participation fee</t>
  </si>
  <si>
    <t>20% at-risk devex and land – minimum 2× (return on principal)</t>
  </si>
  <si>
    <t>Distributable proceeds (premium − sale costs − interest − DSA)</t>
  </si>
  <si>
    <t>Case B deductions: signing, DD, guarantee fees, cost of capital (not in Devex file – our figures applied to both columns)</t>
  </si>
  <si>
    <t/>
  </si>
  <si>
    <t/>
  </si>
  <si>
    <t/>
  </si>
  <si>
    <t/>
  </si>
  <si>
    <t/>
  </si>
  <si>
    <t/>
  </si>
  <si>
    <t/>
  </si>
  <si>
    <t/>
  </si>
  <si>
    <t/>
  </si>
  <si>
    <t/>
  </si>
  <si>
    <t/>
  </si>
  <si>
    <t/>
  </si>
  <si>
    <t/>
  </si>
  <si>
    <t/>
  </si>
  <si>
    <t/>
  </si>
  <si>
    <t/>
  </si>
  <si>
    <t>Interest method aligned to BORA Devex file 01-Oct-26, interest frozen 30/06/2029: per-line exact-day stub + annual compounding, 6% guarantees / 12% cash and fees / 20% devex and land with 2× minimum (Deposits W:Y, MOIC row 131, MOIC G147/G149/G150); financial costs FEP-borne, RtB land purchase as reimbursed land, contingency on devex + land + fee. Bora distributable 19,570 vs file 19,346 k€: the 225 k€ left is payment timing only (model milestone dates, mainly connection fee 20 days later) – see Dashboard tie-out rows 46–60.</t>
  </si>
  <si>
    <t>Closed – method aligned; timing residual 225 k€ shown</t>
  </si>
  <si>
    <t/>
  </si>
  <si>
    <t>Closed – one 8% rate</t>
  </si>
  <si>
    <t/>
  </si>
  <si>
    <t>Closed – modelled, 0.9% p.a.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</si>
  <si>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</si>
  <si>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</si>
  <si>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</si>
  <si>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</si>
  <si>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</si>
  <si>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</si>
  <si>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</si>
  <si>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</si>
  <si>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</si>
  <si>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</si>
  <si>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</si>
  <si>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</si>
  <si>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</si>
  <si>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</si>
  <si>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</si>
  <si>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</si>
  <si>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</si>
  <si>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</si>
  <si>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</si>
  <si>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</si>
  <si>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</si>
  <si>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</si>
  <si>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</si>
  <si>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</si>
  <si>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</si>
  <si>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</si>
  <si>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</si>
  <si>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</si>
  <si>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</si>
  <si>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</si>
  <si>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</si>
  <si>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</si>
  <si>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</si>
  <si>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</si>
  <si>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</si>
  <si>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</si>
  <si>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</si>
  <si>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</si>
  <si>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</si>
  <si>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</si>
  <si>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</si>
  <si>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</si>
  <si>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</si>
  <si>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</si>
  <si>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</si>
  <si>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</si>
  <si>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</si>
  <si>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</si>
  <si>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</si>
  <si>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</si>
  <si>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</si>
  <si>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Working sheet – hidden for IC (right-click a tab → Unhide)</t>
  </si>
  <si>
    <t/>
  </si>
  <si>
    <t/>
  </si>
  <si>
    <t/>
  </si>
  <si>
    <t/>
  </si>
  <si>
    <t/>
  </si>
  <si>
    <t/>
  </si>
  <si>
    <t/>
  </si>
  <si>
    <t>European (Case 2)</t>
  </si>
  <si>
    <t>Chinese (Case 3)</t>
  </si>
  <si>
    <t/>
  </si>
  <si>
    <t/>
  </si>
  <si>
    <t/>
  </si>
  <si>
    <t/>
  </si>
  <si>
    <t/>
  </si>
  <si>
    <t>Hold-to-maturity (case 2 / 3)</t>
  </si>
  <si>
    <t>Hold-to-maturity (case 2 → col E, case 3 → col F)</t>
  </si>
  <si>
    <t/>
  </si>
  <si>
    <t/>
  </si>
  <si>
    <t/>
  </si>
  <si>
    <t/>
  </si>
  <si>
    <t/>
  </si>
  <si>
    <t/>
  </si>
  <si>
    <t/>
  </si>
  <si>
    <t/>
  </si>
  <si>
    <t/>
  </si>
  <si>
    <t/>
  </si>
  <si>
    <t/>
  </si>
  <si>
    <t/>
  </si>
  <si>
    <t/>
  </si>
  <si>
    <t/>
  </si>
  <si>
    <t/>
  </si>
  <si>
    <t/>
  </si>
  <si>
    <t/>
  </si>
  <si>
    <t/>
  </si>
  <si>
    <t>Gross installed wind capacity – successful (overbuild)</t>
  </si>
  <si>
    <t/>
  </si>
  <si>
    <t>Gross installed wind capacity (overbuild)</t>
  </si>
  <si>
    <t/>
  </si>
  <si>
    <t>Net grid connection capacity</t>
  </si>
  <si>
    <t>Annex 1 kiosztható teljesítmény (1 MVA = 1 MW). Net MW – RTB premium, grid fees, TSO bond</t>
  </si>
  <si>
    <t/>
  </si>
  <si>
    <t/>
  </si>
  <si>
    <t>Gross (overbuild) wind MW × benchmark CAPEX + BESS gross MWh × benchmark (wind leg on gross MW since 07-Oct-26)</t>
  </si>
  <si>
    <t>Per NET MW (E18). Turbine, BOP, owner's costs and land lines are scaled to GROSS MW (E29 / E18); substation and BESS unchanged.</t>
  </si>
  <si>
    <t>Installed capacity (gross wind, overbuild – Inputs E29)</t>
  </si>
  <si>
    <t/>
  </si>
  <si>
    <t/>
  </si>
  <si>
    <t/>
  </si>
  <si>
    <t>COD override (timeline moved forward)</t>
  </si>
  <si>
    <t>Blank = RTB from milestones (E49:E54). If set, E55 = months so that RTB + E152 + E153 lands on this COD.</t>
  </si>
  <si>
    <t/>
  </si>
  <si>
    <t/>
  </si>
  <si>
    <t/>
  </si>
  <si>
    <t/>
  </si>
  <si>
    <t/>
  </si>
  <si>
    <t>Sale at COD – enterprise price (blank / 0 = no COD sale)</t>
  </si>
  <si>
    <t>k€ per gross MW</t>
  </si>
  <si>
    <t/>
  </si>
  <si>
    <t>Sale at COD – tax the FEP gain (1) or participation exemption as at RTB (0)</t>
  </si>
  <si>
    <t>0 = gain on the SPV share sale exempt (same treatment as the RTB exit, E14); 1 = gain taxed at the CIT rate (E12).</t>
  </si>
  <si>
    <t/>
  </si>
  <si>
    <t>Pre-sale flag (years up to and including the COD year)</t>
  </si>
  <si>
    <t>COD / sale-year flag</t>
  </si>
  <si>
    <t>Development phase (row 24 – devex, fees, securities, guarantees; cash securities returned at COD)</t>
  </si>
  <si>
    <t>Construction capex incl. grid fee and municipal contribution (row 30)</t>
  </si>
  <si>
    <t>Senior debt drawdown (row 77)</t>
  </si>
  <si>
    <t>Upfront / commitment fees and IDC paid by equity (row 117)</t>
  </si>
  <si>
    <t>Land lease during construction (pre-COD share of row 62)</t>
  </si>
  <si>
    <t/>
  </si>
  <si>
    <t>Senior debt repaid from sale proceeds (balance at COD incl. capitalised IDC)</t>
  </si>
  <si>
    <t>Sale costs (Inputs E26)</t>
  </si>
  <si>
    <t>Equity cash flow – pre-tax (100%)</t>
  </si>
  <si>
    <t>Tax on the equity gain (only if Inputs E231 = 1)</t>
  </si>
  <si>
    <t>Equity cash flow – post-tax (100%)</t>
  </si>
  <si>
    <t/>
  </si>
  <si>
    <t>FEP cumulative position</t>
  </si>
  <si>
    <t>Results – sale at COD (column G)</t>
  </si>
  <si>
    <t>FEP NPV at Inputs E253</t>
  </si>
  <si>
    <t>Equity value at COD (sale price − debt − sale costs)</t>
  </si>
  <si>
    <t>Senior debt repaid at COD</t>
  </si>
  <si>
    <t>Check: COD-sale block live and sale year found</t>
  </si>
  <si>
    <t/>
  </si>
  <si>
    <t/>
  </si>
  <si>
    <t/>
  </si>
  <si>
    <t>4-hour duration (Inputs E21)</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</si>
  <si>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</si>
  <si>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</si>
  <si>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</si>
  <si>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</si>
  <si>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</si>
  <si>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</si>
  <si>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</si>
  <si>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</si>
  <si>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</si>
  <si>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</si>
  <si>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</si>
  <si>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</si>
  <si>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</si>
  <si>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</si>
  <si>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</si>
  <si>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</si>
  <si>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</si>
  <si>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</si>
  <si>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</si>
  <si>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</si>
  <si>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</si>
  <si>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</si>
  <si>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</si>
  <si>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</si>
  <si>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</si>
  <si>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</si>
  <si>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</si>
  <si>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</si>
  <si>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</si>
  <si>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</si>
  <si>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</si>
  <si>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</si>
  <si>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</si>
  <si>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</si>
  <si>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</si>
  <si>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</si>
  <si>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</si>
  <si>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</si>
  <si>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</si>
  <si>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</si>
  <si>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Munka1 – bid / performance bonds, turbine &amp; BOP capex, generation, opex</t>
  </si>
  <si>
    <t/>
  </si>
  <si>
    <t/>
  </si>
  <si>
    <t/>
  </si>
  <si>
    <t/>
  </si>
  <si>
    <t/>
  </si>
  <si>
    <t>Successful capacity – net grid / gross wind</t>
  </si>
  <si>
    <t/>
  </si>
  <si>
    <t/>
  </si>
  <si>
    <t/>
  </si>
  <si>
    <t/>
  </si>
  <si>
    <t/>
  </si>
  <si>
    <t/>
  </si>
  <si>
    <t/>
  </si>
  <si>
    <t/>
  </si>
  <si>
    <t/>
  </si>
  <si>
    <t/>
  </si>
  <si>
    <t/>
  </si>
  <si>
    <t/>
  </si>
  <si>
    <t/>
  </si>
  <si>
    <t/>
  </si>
  <si>
    <t/>
  </si>
  <si>
    <t/>
  </si>
  <si>
    <t/>
  </si>
  <si>
    <t/>
  </si>
  <si>
    <t>Cumulative FEP equity contributions (peak exposure basis)</t>
  </si>
  <si>
    <t>Cash-flow date for XIRR (mid-point of active part of year; sale on COD date in AR)</t>
  </si>
  <si>
    <t>Sale at COD</t>
  </si>
  <si>
    <t>FEP IRR (post-tax, XIRR – contributions dated in-year, sale on COD date)</t>
  </si>
  <si>
    <t>FEP MOIC (net sale proceeds ÷ total equity contributed)</t>
  </si>
  <si>
    <t>FEP peak cumulative exposure (all equity contributed up to COD, before sale proceeds)</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</si>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</sst>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164" formatCode="_(* #,##0.00_);_(* \(#,##0.00\);_(* &quot;-&quot;??_);_(@_)"/>
    <numFmt numFmtId="165" formatCode="0.0%"/>
    <numFmt numFmtId="166" formatCode="#,##0;\(#,##0\);\-"/>
    <numFmt numFmtId="167" formatCode="0.00\x"/>
    <numFmt numFmtId="168" formatCode="#,##0.0;\(#,##0.0\);\-"/>
    <numFmt numFmtId="169" formatCode="#,##0.00;\(#,##0.00\);\-"/>
    <numFmt numFmtId="170" formatCode="0.0"/>
    <numFmt numFmtId="171" formatCode="0.000%"/>
    <numFmt numFmtId="172" formatCode="#,##0.0"/>
    <numFmt numFmtId="173" formatCode="0.000"/>
    <numFmt numFmtId="174" formatCode="#,##0;\(#,##0\)"/>
    <numFmt numFmtId="175" formatCode="0.0%;\(0.0%\);\-"/>
    <numFmt numFmtId="176" formatCode="dd/mm/yyyy"/>
    <numFmt numFmtId="177" formatCode="#,##0.000;\(#,##0.000\);\-"/>
    <numFmt numFmtId="178" formatCode="m/d/yyyy"/>
    <numFmt numFmtId="179" formatCode="_-* #,##0_-;\-* #,##0_-;_-* &quot;-&quot;??_-;_-@_-"/>
    <numFmt numFmtId="180" formatCode="_-* #,##0_-;\-* #,##0_-;_-* &quot;-&quot;??_-;_-@"/>
    <numFmt numFmtId="181" formatCode="yyyy\.mm\.dd"/>
    <numFmt numFmtId="182" formatCode="_-* #,##0.0_-;\-* #,##0.0_-;_-* &quot;-&quot;??_-;_-@_-"/>
    <numFmt numFmtId="183" formatCode="\+0.0%;\-0.0%;\-"/>
    <numFmt numFmtId="184" formatCode="\+0&quot; yrs&quot;;\-0&quot; yrs&quot;;0"/>
    <numFmt numFmtId="185" formatCode="0%;\(0%\);\-"/>
    <numFmt numFmtId="186" formatCode="0.0;\(0.0\);\-"/>
    <numFmt numFmtId="187" formatCode="0.00\x;\(0.00\x\);\-"/>
    <numFmt numFmtId="188" formatCode="\+0.0%;\(0.0%\);\-"/>
    <numFmt numFmtId="189" formatCode="0.000&quot;x&quot;"/>
    <numFmt numFmtId="190" formatCode="dd\-mmm\-yy\ hh:mm"/>
    <numFmt numFmtId="191" formatCode="0.0000"/>
    <numFmt numFmtId="192" formatCode="mmm\-yy"/>
    <numFmt numFmtId="193" formatCode="0.00&quot;x&quot;"/>
    <numFmt numFmtId="200" formatCode="+0.00&quot; pp&quot;;-0.00&quot; pp&quot;;0.00&quot; pp&quot;"/>
    <numFmt numFmtId="201" formatCode="+#,##0;-#,##0;0"/>
    <numFmt numFmtId="202" formatCode="+0.00&quot;x&quot;;-0.00&quot;x&quot;;0.00&quot;x&quot;"/>
    <numFmt numFmtId="203" formatCode="+0.0;-0.0;0.0"/>
    <numFmt numFmtId="204" formatCode="@"/>
  </numFmts>
  <fonts count="7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i/>
      <sz val="11"/>
      <color theme="1"/>
      <name val="Calibri"/>
      <family val="2"/>
      <scheme val="minor"/>
    </font>
    <font>
      <sz val="11"/>
      <name val="Calibri"/>
      <family val="2"/>
      <scheme val="minor"/>
    </font>
    <font>
      <i/>
      <sz val="11"/>
      <color rgb="FFC00000"/>
      <name val="Calibri"/>
      <family val="2"/>
      <scheme val="minor"/>
    </font>
    <font>
      <sz val="11"/>
      <color rgb="FF0000FF"/>
      <name val="Calibri"/>
      <family val="2"/>
      <scheme val="minor"/>
    </font>
    <font>
      <sz val="11"/>
      <color theme="1"/>
      <name val="Calibri"/>
      <scheme val="minor"/>
    </font>
    <font>
      <b/>
      <sz val="11"/>
      <color theme="1"/>
      <name val="Calibri"/>
      <scheme val="minor"/>
    </font>
    <font>
      <sz val="9"/>
      <color indexed="81"/>
      <name val="Tahoma"/>
      <charset val="1"/>
    </font>
    <font>
      <b/>
      <sz val="9"/>
      <color indexed="81"/>
      <name val="Tahoma"/>
      <charset val="1"/>
    </font>
    <font>
      <sz val="11"/>
      <color rgb="FF000000"/>
      <name val="Calibri"/>
      <family val="2"/>
      <scheme val="minor"/>
    </font>
    <font>
      <b/>
      <sz val="11"/>
      <color rgb="FF000000"/>
      <name val="Calibri"/>
      <family val="2"/>
      <scheme val="minor"/>
    </font>
    <font>
      <i/>
      <sz val="11"/>
      <color rgb="FF000000"/>
      <name val="Calibri"/>
      <family val="2"/>
      <scheme val="minor"/>
    </font>
    <font>
      <sz val="11"/>
      <color rgb="FF808080"/>
      <name val="Calibri"/>
      <family val="2"/>
      <scheme val="minor"/>
    </font>
    <font>
      <sz val="11"/>
      <color rgb="FF008000"/>
      <name val="Calibri"/>
      <family val="2"/>
      <scheme val="minor"/>
    </font>
    <font>
      <b/>
      <sz val="14"/>
      <color theme="1"/>
      <name val="Calibri"/>
      <family val="2"/>
      <scheme val="minor"/>
    </font>
    <font>
      <i/>
      <sz val="11"/>
      <color rgb="FF595959"/>
      <name val="Calibri"/>
      <family val="2"/>
      <scheme val="minor"/>
    </font>
    <font>
      <b/>
      <sz val="11"/>
      <color rgb="FFFFFFFF"/>
      <name val="Calibri"/>
      <family val="2"/>
      <scheme val="minor"/>
    </font>
    <font>
      <b/>
      <sz val="11"/>
      <color rgb="FF0000FF"/>
      <name val="Calibri"/>
      <family val="2"/>
      <scheme val="minor"/>
    </font>
    <font>
      <b/>
      <i/>
      <sz val="11"/>
      <color theme="1"/>
      <name val="Calibri"/>
      <family val="2"/>
      <scheme val="minor"/>
    </font>
    <font>
      <b/>
      <i/>
      <sz val="11"/>
      <color rgb="FF595959"/>
      <name val="Calibri"/>
      <family val="2"/>
      <scheme val="minor"/>
    </font>
    <font>
      <b/>
      <sz val="11"/>
      <color rgb="FF008000"/>
      <name val="Calibri"/>
      <family val="2"/>
      <scheme val="minor"/>
    </font>
    <font>
      <i/>
      <sz val="11"/>
      <color rgb="FFED0000"/>
      <name val="Calibri"/>
      <family val="2"/>
      <scheme val="minor"/>
    </font>
    <font>
      <b/>
      <sz val="18"/>
      <color theme="1"/>
      <name val="Calibri"/>
      <family val="2"/>
      <scheme val="minor"/>
    </font>
    <font>
      <sz val="12"/>
      <color rgb="FF595959"/>
      <name val="Calibri"/>
      <family val="2"/>
      <scheme val="minor"/>
    </font>
    <font>
      <b/>
      <i/>
      <sz val="11"/>
      <color rgb="FFC00000"/>
      <name val="Calibri"/>
      <family val="2"/>
      <scheme val="minor"/>
    </font>
    <font>
      <sz val="11"/>
      <color rgb="FFC00000"/>
      <name val="Calibri"/>
      <family val="2"/>
      <scheme val="minor"/>
    </font>
    <font>
      <sz val="9"/>
      <color indexed="81"/>
      <name val="Tahoma"/>
      <family val="2"/>
      <charset val="238"/>
    </font>
    <font>
      <b/>
      <sz val="9"/>
      <color indexed="81"/>
      <name val="Tahoma"/>
      <family val="2"/>
      <charset val="238"/>
    </font>
    <font>
      <i/>
      <sz val="11"/>
      <color rgb="FF008000"/>
      <name val="Calibri"/>
      <family val="2"/>
      <scheme val="minor"/>
    </font>
    <font>
      <b/>
      <sz val="12"/>
      <color theme="1"/>
      <name val="Calibri"/>
      <family val="2"/>
      <scheme val="minor"/>
    </font>
    <font>
      <i/>
      <sz val="11"/>
      <color rgb="FF7F7F7F"/>
      <name val="Calibri"/>
      <family val="2"/>
      <scheme val="minor"/>
    </font>
    <font>
      <b/>
      <sz val="11"/>
      <color rgb="FF2F5597"/>
      <name val="Calibri"/>
      <family val="2"/>
      <scheme val="minor"/>
    </font>
    <font>
      <b/>
      <sz val="11"/>
      <color rgb="FFBF8F00"/>
      <name val="Calibri"/>
      <family val="2"/>
      <scheme val="minor"/>
    </font>
    <font>
      <b/>
      <sz val="11"/>
      <color rgb="FF262626"/>
      <name val="Calibri"/>
      <scheme val="minor"/>
    </font>
    <font>
      <sz val="11"/>
      <color rgb="FF262626"/>
      <name val="Calibri"/>
      <scheme val="minor"/>
    </font>
    <font>
      <i/>
      <sz val="11"/>
      <color rgb="FF262626"/>
      <name val="Calibri"/>
      <scheme val="minor"/>
    </font>
    <font>
      <b/>
      <sz val="11"/>
      <color rgb="FFFFFFFF"/>
      <name val="Calibri"/>
      <scheme val="minor"/>
    </font>
    <font>
      <b/>
      <sz val="12"/>
      <color rgb="FFFFFFFF"/>
      <name val="Calibri"/>
      <scheme val="minor"/>
    </font>
    <font>
      <sz val="11"/>
      <color rgb="FF7F7F7F"/>
      <name val="Calibri"/>
      <scheme val="minor"/>
    </font>
    <font>
      <b/>
      <sz val="11"/>
      <color rgb="FF7F7F7F"/>
      <name val="Calibri"/>
      <scheme val="minor"/>
    </font>
    <font>
      <b/>
      <sz val="11"/>
      <color rgb="FF2F5597"/>
      <name val="Calibri"/>
      <scheme val="minor"/>
    </font>
    <font>
      <sz val="9"/>
      <color rgb="FF7F7F7F"/>
      <name val="Calibri"/>
      <scheme val="minor"/>
    </font>
    <font>
      <i/>
      <sz val="9"/>
      <color rgb="FF7F7F7F"/>
      <name val="Calibri"/>
      <scheme val="minor"/>
    </font>
    <font>
      <sz val="11"/>
      <color rgb="FF375623"/>
      <name val="Calibri"/>
      <scheme val="minor"/>
    </font>
    <font>
      <b/>
      <sz val="11"/>
      <color rgb="FF375623"/>
      <name val="Calibri"/>
      <scheme val="minor"/>
    </font>
    <font>
      <sz val="11"/>
      <color rgb="FF2E75B6"/>
      <name val="Calibri"/>
      <family val="2"/>
      <scheme val="minor"/>
    </font>
    <font>
      <b/>
      <sz val="12"/>
      <color rgb="FFFFFFFF"/>
      <name val="Calibri"/>
      <family val="2"/>
      <scheme val="minor"/>
    </font>
    <font>
      <i/>
      <sz val="9"/>
      <color theme="1"/>
      <name val="Calibri"/>
      <family val="2"/>
      <scheme val="minor"/>
    </font>
    <font>
      <i/>
      <sz val="9"/>
      <color rgb="FF7F7F7F"/>
      <name val="Calibri"/>
      <family val="2"/>
      <scheme val="minor"/>
    </font>
    <font>
      <b/>
      <sz val="11"/>
      <color rgb="FF1F3864"/>
      <name val="Calibri"/>
      <family val="2"/>
      <scheme val="minor"/>
    </font>
    <font>
      <b/>
      <sz val="11"/>
      <color rgb="FF7F7F7F"/>
      <name val="Calibri"/>
      <family val="2"/>
      <scheme val="minor"/>
    </font>
    <font>
      <sz val="11"/>
      <color rgb="FF7F7F7F"/>
      <name val="Calibri"/>
      <family val="2"/>
      <scheme val="minor"/>
    </font>
    <font>
      <b/>
      <i/>
      <sz val="11"/>
      <color rgb="FF7F7F7F"/>
      <name val="Calibri"/>
      <family val="2"/>
      <scheme val="minor"/>
    </font>
    <font>
      <b/>
      <sz val="11"/>
      <color rgb="FF375623"/>
      <name val="Calibri"/>
      <family val="2"/>
      <scheme val="minor"/>
    </font>
    <font>
      <sz val="9"/>
      <color rgb="FF7F7F7F"/>
      <name val="Calibri"/>
      <family val="2"/>
      <scheme val="minor"/>
    </font>
    <font>
      <sz val="8"/>
      <color rgb="FFA6A6A6"/>
      <name val="Calibri"/>
      <family val="2"/>
      <scheme val="minor"/>
    </font>
    <font>
      <b/>
      <sz val="16"/>
      <color rgb="FF1F3864"/>
      <name val="Calibri"/>
      <scheme val="minor"/>
    </font>
    <font>
      <sz val="11"/>
      <color rgb="FF008000"/>
      <name val="Calibri"/>
      <scheme val="minor"/>
    </font>
    <font>
      <b/>
      <sz val="11"/>
      <color rgb="FF1F3864"/>
      <name val="Calibri"/>
      <scheme val="minor"/>
    </font>
    <font>
      <b/>
      <i/>
      <sz val="9"/>
      <color rgb="FF7F7F7F"/>
      <name val="Calibri"/>
      <scheme val="minor"/>
    </font>
    <font>
      <b/>
      <sz val="11"/>
      <color rgb="FF548235"/>
      <name val="Calibri"/>
      <scheme val="minor"/>
    </font>
    <font>
      <b/>
      <sz val="11"/>
      <color rgb="FFBF8F00"/>
      <name val="Calibri"/>
      <scheme val="minor"/>
    </font>
    <font>
      <b/>
      <sz val="11"/>
      <color rgb="FF008000"/>
      <name val="Calibri"/>
      <scheme val="minor"/>
    </font>
    <font>
      <sz val="9"/>
      <color rgb="FF008000"/>
      <name val="Calibri"/>
      <scheme val="minor"/>
    </font>
    <font>
      <sz val="11"/>
      <color rgb="FF0000FF"/>
      <name val="Calibri"/>
      <scheme val="minor"/>
    </font>
    <font>
      <sz val="9"/>
      <color rgb="FF0000FF"/>
      <name val="Calibri"/>
      <scheme val="minor"/>
    </font>
    <font>
      <b/>
      <i/>
      <sz val="9"/>
      <color rgb="FFFFFFFF"/>
      <name val="Calibri"/>
      <scheme val="minor"/>
    </font>
    <font>
      <b/>
      <i/>
      <sz val="9"/>
      <color rgb="FF262626"/>
      <name val="Calibri"/>
      <scheme val="minor"/>
    </font>
    <font>
      <b/>
      <sz val="14"/>
      <color rgb="FF1F3864"/>
      <name val="Calibri"/>
      <family val="2"/>
      <scheme val="minor"/>
    </font>
    <font>
      <sz val="9"/>
      <color theme="1"/>
      <name val="Consolas"/>
    </font>
    <font>
      <u/>
      <sz val="11"/>
      <color theme="10"/>
      <name val="Calibri"/>
      <family val="2"/>
      <scheme val="minor"/>
    </font>
  </fonts>
  <fills count="18">
    <fill>
      <patternFill patternType="none"/>
    </fill>
    <fill>
      <patternFill patternType="gray125"/>
    </fill>
    <fill>
      <patternFill patternType="solid">
        <fgColor rgb="FFFFF2CC"/>
        <bgColor indexed="64"/>
      </patternFill>
    </fill>
    <fill>
      <patternFill patternType="mediumGray">
        <bgColor theme="0"/>
      </patternFill>
    </fill>
    <fill>
      <patternFill patternType="solid">
        <fgColor rgb="FFF2F2F2"/>
        <bgColor indexed="64"/>
      </patternFill>
    </fill>
    <fill>
      <patternFill patternType="solid">
        <fgColor rgb="FFFFC000"/>
        <bgColor indexed="64"/>
      </patternFill>
    </fill>
    <fill>
      <patternFill patternType="solid">
        <fgColor rgb="FFC6EFCE"/>
        <bgColor indexed="64"/>
      </patternFill>
    </fill>
    <fill>
      <patternFill patternType="solid">
        <fgColor rgb="FFD9E1F2"/>
        <bgColor indexed="64"/>
      </patternFill>
    </fill>
    <fill>
      <patternFill patternType="solid">
        <fgColor rgb="FFFFFF00"/>
        <bgColor indexed="64"/>
      </patternFill>
    </fill>
    <fill>
      <patternFill patternType="solid">
        <fgColor rgb="FF1F3864"/>
        <bgColor indexed="64"/>
      </patternFill>
    </fill>
    <fill>
      <patternFill patternType="solid">
        <fgColor rgb="FFFFF9E6"/>
        <bgColor indexed="64"/>
      </patternFill>
    </fill>
    <fill>
      <patternFill patternType="solid">
        <fgColor rgb="FFE2EFDA"/>
        <bgColor indexed="64"/>
      </patternFill>
    </fill>
    <fill>
      <patternFill patternType="solid">
        <fgColor rgb="FF2F5597"/>
        <bgColor indexed="64"/>
      </patternFill>
    </fill>
    <fill>
      <patternFill patternType="solid">
        <fgColor rgb="FFBF8F00"/>
        <bgColor indexed="64"/>
      </patternFill>
    </fill>
    <fill>
      <patternFill patternType="solid">
        <fgColor rgb="FFFFF8E1"/>
        <bgColor indexed="64"/>
      </patternFill>
    </fill>
    <fill>
      <patternFill patternType="solid">
        <fgColor rgb="FFFFE699"/>
        <bgColor indexed="64"/>
      </patternFill>
    </fill>
    <fill>
      <patternFill patternType="solid">
        <fgColor rgb="FFE9EEF7"/>
        <bgColor indexed="64"/>
      </patternFill>
    </fill>
    <fill>
      <patternFill patternType="solid">
        <fgColor rgb="FF548235"/>
        <bgColor indexed="64"/>
      </patternFill>
    </fill>
  </fills>
  <borders count="10">
    <border>
      <left/>
      <right/>
      <top/>
      <bottom/>
      <diagonal/>
    </border>
    <border>
      <left/>
      <right/>
      <top style="thin">
        <color indexed="64"/>
      </top>
      <bottom/>
      <diagonal/>
    </border>
    <border>
      <left/>
      <right/>
      <top/>
      <bottom style="thin">
        <color auto="1"/>
      </bottom>
      <diagonal/>
    </border>
    <border>
      <left/>
      <right/>
      <top/>
      <bottom style="medium">
        <color rgb="FF1F3864"/>
      </bottom>
      <diagonal/>
    </border>
    <border>
      <left/>
      <right/>
      <top style="medium">
        <color rgb="FF1F3864"/>
      </top>
      <bottom/>
      <diagonal/>
    </border>
    <border>
      <left/>
      <right/>
      <top style="medium">
        <color rgb="FF1F3864"/>
      </top>
      <bottom style="thin">
        <color rgb="FFD9D9D9"/>
      </bottom>
      <diagonal/>
    </border>
    <border>
      <left/>
      <right/>
      <top style="thin">
        <color rgb="FFD9D9D9"/>
      </top>
      <bottom style="thin">
        <color rgb="FFD9D9D9"/>
      </bottom>
      <diagonal/>
    </border>
    <border>
      <left/>
      <right/>
      <top style="thin">
        <color rgb="FFD9D9D9"/>
      </top>
      <bottom/>
      <diagonal/>
    </border>
    <border>
      <left/>
      <right/>
      <top style="thin">
        <color rgb="FFD9D9D9"/>
      </top>
      <bottom style="thin">
        <color rgb="FF1F3864"/>
      </bottom>
      <diagonal/>
    </border>
    <border>
      <left/>
      <right/>
      <top/>
      <bottom style="thin">
        <color rgb="FFD9D9D9"/>
      </bottom>
      <diagonal/>
    </border>
  </borders>
  <cellStyleXfs count="9">
    <xf numFmtId="0" fontId="0" fillId="0" borderId="0"/>
    <xf numFmtId="0" fontId="1" fillId="0" borderId="0"/>
    <xf numFmtId="0" fontId="3" fillId="0" borderId="0"/>
    <xf numFmtId="164" fontId="1" fillId="0" borderId="0" applyFont="0" applyFill="0" applyBorder="0" applyAlignment="0" applyProtection="0"/>
    <xf numFmtId="0" fontId="1" fillId="0" borderId="0"/>
    <xf numFmtId="0" fontId="5" fillId="0" borderId="0"/>
    <xf numFmtId="0" fontId="1" fillId="0" borderId="0"/>
    <xf numFmtId="0" fontId="1" fillId="3" borderId="0" applyNumberFormat="0" applyFont="0" applyAlignment="0">
      <alignment vertical="center"/>
    </xf>
    <xf numFmtId="0" fontId="73" fillId="0" borderId="0" applyNumberFormat="0" applyFill="0" applyBorder="0" applyAlignment="0" applyProtection="0"/>
  </cellStyleXfs>
  <cellXfs count="597">
    <xf numFmtId="0" fontId="0" fillId="0" borderId="0" xfId="0"/>
    <xf numFmtId="166" fontId="0" fillId="0" borderId="0" xfId="0" applyNumberFormat="1"/>
    <xf numFmtId="9" fontId="0" fillId="0" borderId="0" xfId="0" applyNumberFormat="1"/>
    <xf numFmtId="167" fontId="0" fillId="0" borderId="0" xfId="0" applyNumberFormat="1"/>
    <xf numFmtId="0" fontId="8" fillId="0" borderId="0" xfId="0" applyFont="1"/>
    <xf numFmtId="0" fontId="9" fillId="0" borderId="0" xfId="0" applyFont="1"/>
    <xf numFmtId="0" fontId="2" fillId="0" borderId="0" xfId="0" applyFont="1"/>
    <xf numFmtId="14" fontId="0" fillId="0" borderId="0" xfId="0" applyNumberFormat="1" applyAlignment="1">
      <alignment horizontal="center"/>
    </xf>
    <xf numFmtId="0" fontId="0" fillId="0" borderId="0" xfId="0" applyAlignment="1">
      <alignment wrapText="1"/>
    </xf>
    <xf numFmtId="0" fontId="12"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xf>
    <xf numFmtId="14" fontId="12" fillId="0" borderId="0" xfId="0" applyNumberFormat="1" applyFont="1" applyAlignment="1">
      <alignment horizontal="center" vertical="top"/>
    </xf>
    <xf numFmtId="0" fontId="12" fillId="0" borderId="0" xfId="0" applyFont="1" applyAlignment="1">
      <alignment vertical="top" wrapText="1"/>
    </xf>
    <xf numFmtId="0" fontId="13" fillId="0" borderId="0" xfId="0" applyFont="1" applyAlignment="1">
      <alignment vertical="top" wrapText="1"/>
    </xf>
    <xf numFmtId="0" fontId="14" fillId="5" borderId="0" xfId="0" applyFont="1" applyFill="1" applyAlignment="1">
      <alignment horizontal="center" vertical="top"/>
    </xf>
    <xf numFmtId="0" fontId="14" fillId="6" borderId="0" xfId="0" applyFont="1" applyFill="1" applyAlignment="1">
      <alignment horizontal="center" vertical="top"/>
    </xf>
    <xf numFmtId="0" fontId="12" fillId="0" borderId="0" xfId="0" quotePrefix="1" applyFont="1" applyAlignment="1">
      <alignment vertical="top" wrapText="1"/>
    </xf>
    <xf numFmtId="0" fontId="13" fillId="0" borderId="0" xfId="0" applyFont="1" applyAlignment="1">
      <alignment wrapText="1"/>
    </xf>
    <xf numFmtId="3" fontId="0" fillId="0" borderId="0" xfId="0" applyNumberFormat="1"/>
    <xf numFmtId="168" fontId="0" fillId="0" borderId="0" xfId="0" applyNumberFormat="1"/>
    <xf numFmtId="168" fontId="12" fillId="0" borderId="0" xfId="0" applyNumberFormat="1" applyFont="1"/>
    <xf numFmtId="10" fontId="0" fillId="0" borderId="0" xfId="0" applyNumberFormat="1"/>
    <xf numFmtId="0" fontId="14" fillId="5" borderId="0" xfId="0" applyFont="1" applyFill="1" applyAlignment="1">
      <alignment horizontal="center" vertical="top" wrapText="1"/>
    </xf>
    <xf numFmtId="1" fontId="0" fillId="0" borderId="0" xfId="0" applyNumberFormat="1"/>
    <xf numFmtId="169" fontId="0" fillId="0" borderId="0" xfId="0" applyNumberFormat="1"/>
    <xf numFmtId="14" fontId="12" fillId="0" borderId="0" xfId="0" applyNumberFormat="1" applyFont="1" applyAlignment="1">
      <alignment vertical="top"/>
    </xf>
    <xf numFmtId="0" fontId="7" fillId="0" borderId="0" xfId="0" applyFont="1"/>
    <xf numFmtId="3" fontId="7" fillId="0" borderId="0" xfId="0" applyNumberFormat="1" applyFont="1"/>
    <xf numFmtId="0" fontId="16" fillId="0" borderId="0" xfId="0" applyFont="1"/>
    <xf numFmtId="3" fontId="16" fillId="0" borderId="0" xfId="0" applyNumberFormat="1" applyFont="1"/>
    <xf numFmtId="165" fontId="0" fillId="0" borderId="0" xfId="0" applyNumberFormat="1"/>
    <xf numFmtId="15" fontId="7" fillId="8" borderId="0" xfId="0" applyNumberFormat="1" applyFont="1" applyFill="1"/>
    <xf numFmtId="15" fontId="12" fillId="0" borderId="0" xfId="0" applyNumberFormat="1" applyFont="1"/>
    <xf numFmtId="15" fontId="0" fillId="0" borderId="0" xfId="0" applyNumberFormat="1"/>
    <xf numFmtId="3" fontId="7" fillId="8" borderId="0" xfId="0" applyNumberFormat="1" applyFont="1" applyFill="1"/>
    <xf numFmtId="165" fontId="7" fillId="8" borderId="0" xfId="0" applyNumberFormat="1" applyFont="1" applyFill="1"/>
    <xf numFmtId="166" fontId="2" fillId="0" borderId="0" xfId="0" applyNumberFormat="1" applyFont="1"/>
    <xf numFmtId="0" fontId="17" fillId="0" borderId="0" xfId="0" applyFont="1"/>
    <xf numFmtId="0" fontId="4" fillId="0" borderId="0" xfId="0" applyFont="1"/>
    <xf numFmtId="0" fontId="18" fillId="0" borderId="0" xfId="0" applyFont="1"/>
    <xf numFmtId="0" fontId="19" fillId="9" borderId="0" xfId="0" applyFont="1" applyFill="1"/>
    <xf numFmtId="0" fontId="0" fillId="7" borderId="0" xfId="0" applyFill="1"/>
    <xf numFmtId="0" fontId="2" fillId="7" borderId="0" xfId="0" applyFont="1" applyFill="1"/>
    <xf numFmtId="3" fontId="7" fillId="10" borderId="0" xfId="0" applyNumberFormat="1" applyFont="1" applyFill="1"/>
    <xf numFmtId="165" fontId="7" fillId="10" borderId="0" xfId="0" applyNumberFormat="1" applyFont="1" applyFill="1"/>
    <xf numFmtId="166" fontId="7" fillId="10" borderId="0" xfId="0" applyNumberFormat="1" applyFont="1" applyFill="1"/>
    <xf numFmtId="15" fontId="7" fillId="10" borderId="0" xfId="0" applyNumberFormat="1" applyFont="1" applyFill="1"/>
    <xf numFmtId="168" fontId="7" fillId="0" borderId="0" xfId="0" applyNumberFormat="1" applyFont="1"/>
    <xf numFmtId="1" fontId="7" fillId="10" borderId="0" xfId="0" applyNumberFormat="1" applyFont="1" applyFill="1"/>
    <xf numFmtId="168" fontId="7" fillId="10" borderId="0" xfId="0" applyNumberFormat="1" applyFont="1" applyFill="1"/>
    <xf numFmtId="167" fontId="7" fillId="10" borderId="0" xfId="0" applyNumberFormat="1" applyFont="1" applyFill="1"/>
    <xf numFmtId="10" fontId="7" fillId="10" borderId="0" xfId="0" applyNumberFormat="1" applyFont="1" applyFill="1"/>
    <xf numFmtId="0" fontId="7" fillId="10" borderId="0" xfId="0" applyFont="1" applyFill="1"/>
    <xf numFmtId="1" fontId="0" fillId="8" borderId="0" xfId="0" applyNumberFormat="1" applyFill="1"/>
    <xf numFmtId="165" fontId="0" fillId="8" borderId="0" xfId="0" applyNumberFormat="1" applyFill="1"/>
    <xf numFmtId="0" fontId="22" fillId="7" borderId="0" xfId="0" applyFont="1" applyFill="1"/>
    <xf numFmtId="3" fontId="18" fillId="0" borderId="0" xfId="0" applyNumberFormat="1" applyFont="1"/>
    <xf numFmtId="165" fontId="18" fillId="0" borderId="0" xfId="0" applyNumberFormat="1" applyFont="1"/>
    <xf numFmtId="166" fontId="18" fillId="0" borderId="0" xfId="0" applyNumberFormat="1" applyFont="1"/>
    <xf numFmtId="15" fontId="18" fillId="0" borderId="0" xfId="0" applyNumberFormat="1" applyFont="1"/>
    <xf numFmtId="1" fontId="18" fillId="0" borderId="0" xfId="0" applyNumberFormat="1" applyFont="1"/>
    <xf numFmtId="168" fontId="18" fillId="0" borderId="0" xfId="0" applyNumberFormat="1" applyFont="1"/>
    <xf numFmtId="167" fontId="18" fillId="0" borderId="0" xfId="0" applyNumberFormat="1" applyFont="1"/>
    <xf numFmtId="10" fontId="18" fillId="0" borderId="0" xfId="0" applyNumberFormat="1" applyFont="1"/>
    <xf numFmtId="17" fontId="0" fillId="0" borderId="0" xfId="0" applyNumberFormat="1"/>
    <xf numFmtId="171" fontId="0" fillId="0" borderId="0" xfId="0" applyNumberFormat="1"/>
    <xf numFmtId="171" fontId="2" fillId="0" borderId="0" xfId="0" applyNumberFormat="1" applyFont="1"/>
    <xf numFmtId="171" fontId="7" fillId="10" borderId="0" xfId="0" applyNumberFormat="1" applyFont="1" applyFill="1"/>
    <xf numFmtId="0" fontId="7" fillId="5" borderId="0" xfId="0" applyFont="1" applyFill="1"/>
    <xf numFmtId="2" fontId="7" fillId="5" borderId="0" xfId="0" applyNumberFormat="1" applyFont="1" applyFill="1"/>
    <xf numFmtId="2" fontId="0" fillId="0" borderId="0" xfId="0" applyNumberFormat="1"/>
    <xf numFmtId="0" fontId="19" fillId="9" borderId="0" xfId="0" applyFont="1" applyFill="1" applyAlignment="1">
      <alignment wrapText="1"/>
    </xf>
    <xf numFmtId="0" fontId="2" fillId="0" borderId="1" xfId="0" applyFont="1" applyBorder="1"/>
    <xf numFmtId="49" fontId="0" fillId="0" borderId="0" xfId="0" applyNumberFormat="1"/>
    <xf numFmtId="49" fontId="2" fillId="0" borderId="1" xfId="0" applyNumberFormat="1" applyFont="1" applyBorder="1"/>
    <xf numFmtId="3" fontId="2" fillId="0" borderId="1" xfId="0" applyNumberFormat="1" applyFont="1" applyBorder="1"/>
    <xf numFmtId="166" fontId="2" fillId="0" borderId="1" xfId="0" applyNumberFormat="1" applyFont="1" applyBorder="1"/>
    <xf numFmtId="15" fontId="2" fillId="0" borderId="1" xfId="0" applyNumberFormat="1" applyFont="1" applyBorder="1"/>
    <xf numFmtId="1" fontId="2" fillId="0" borderId="1" xfId="0" applyNumberFormat="1" applyFont="1" applyBorder="1"/>
    <xf numFmtId="168" fontId="2" fillId="0" borderId="1" xfId="0" applyNumberFormat="1" applyFont="1" applyBorder="1"/>
    <xf numFmtId="9" fontId="2" fillId="0" borderId="1" xfId="0" applyNumberFormat="1" applyFont="1" applyBorder="1"/>
    <xf numFmtId="166" fontId="16" fillId="0" borderId="0" xfId="0" applyNumberFormat="1" applyFont="1"/>
    <xf numFmtId="15" fontId="16" fillId="0" borderId="0" xfId="0" applyNumberFormat="1" applyFont="1"/>
    <xf numFmtId="1" fontId="16" fillId="0" borderId="0" xfId="0" applyNumberFormat="1" applyFont="1"/>
    <xf numFmtId="168" fontId="16" fillId="0" borderId="0" xfId="0" applyNumberFormat="1" applyFont="1"/>
    <xf numFmtId="1" fontId="12" fillId="0" borderId="0" xfId="0" applyNumberFormat="1" applyFont="1"/>
    <xf numFmtId="49" fontId="12" fillId="0" borderId="0" xfId="0" applyNumberFormat="1" applyFont="1"/>
    <xf numFmtId="49" fontId="2" fillId="7" borderId="0" xfId="0" applyNumberFormat="1" applyFont="1" applyFill="1"/>
    <xf numFmtId="172" fontId="0" fillId="0" borderId="0" xfId="0" applyNumberFormat="1"/>
    <xf numFmtId="0" fontId="0" fillId="4" borderId="0" xfId="0" applyFill="1"/>
    <xf numFmtId="0" fontId="2" fillId="4" borderId="0" xfId="0" applyFont="1" applyFill="1"/>
    <xf numFmtId="17" fontId="2" fillId="4" borderId="0" xfId="0" applyNumberFormat="1" applyFont="1" applyFill="1"/>
    <xf numFmtId="1" fontId="2" fillId="4" borderId="0" xfId="0" applyNumberFormat="1" applyFont="1" applyFill="1"/>
    <xf numFmtId="1" fontId="0" fillId="4" borderId="0" xfId="0" applyNumberFormat="1" applyFill="1"/>
    <xf numFmtId="168" fontId="2" fillId="0" borderId="0" xfId="0" applyNumberFormat="1" applyFont="1"/>
    <xf numFmtId="168" fontId="2" fillId="7" borderId="0" xfId="0" applyNumberFormat="1" applyFont="1" applyFill="1"/>
    <xf numFmtId="172" fontId="2" fillId="0" borderId="0" xfId="0" applyNumberFormat="1" applyFont="1"/>
    <xf numFmtId="166" fontId="0" fillId="2" borderId="0" xfId="0" applyNumberFormat="1" applyFill="1"/>
    <xf numFmtId="168" fontId="0" fillId="2" borderId="0" xfId="0" applyNumberFormat="1" applyFill="1"/>
    <xf numFmtId="167" fontId="2" fillId="2" borderId="0" xfId="0" applyNumberFormat="1" applyFont="1" applyFill="1"/>
    <xf numFmtId="165" fontId="2" fillId="2" borderId="0" xfId="0" applyNumberFormat="1" applyFont="1" applyFill="1"/>
    <xf numFmtId="1" fontId="0" fillId="2" borderId="0" xfId="0" applyNumberFormat="1" applyFill="1"/>
    <xf numFmtId="49" fontId="16" fillId="0" borderId="0" xfId="0" applyNumberFormat="1" applyFont="1"/>
    <xf numFmtId="171" fontId="16" fillId="0" borderId="0" xfId="0" applyNumberFormat="1" applyFont="1"/>
    <xf numFmtId="17" fontId="23" fillId="4" borderId="0" xfId="0" applyNumberFormat="1" applyFont="1" applyFill="1"/>
    <xf numFmtId="166" fontId="2" fillId="2" borderId="0" xfId="0" applyNumberFormat="1" applyFont="1" applyFill="1"/>
    <xf numFmtId="3" fontId="2" fillId="0" borderId="0" xfId="0" applyNumberFormat="1" applyFont="1"/>
    <xf numFmtId="0" fontId="6" fillId="0" borderId="0" xfId="0" applyFont="1"/>
    <xf numFmtId="0" fontId="24" fillId="0" borderId="0" xfId="0" applyFont="1"/>
    <xf numFmtId="0" fontId="25" fillId="0" borderId="0" xfId="0" applyFont="1"/>
    <xf numFmtId="0" fontId="26" fillId="0" borderId="0" xfId="0" applyFont="1"/>
    <xf numFmtId="0" fontId="2" fillId="0" borderId="0" xfId="0" applyFont="1" applyAlignment="1">
      <alignment vertical="top" wrapText="1"/>
    </xf>
    <xf numFmtId="0" fontId="0" fillId="0" borderId="0" xfId="0" applyAlignment="1">
      <alignment vertical="top" wrapText="1"/>
    </xf>
    <xf numFmtId="169" fontId="7" fillId="10" borderId="0" xfId="0" applyNumberFormat="1" applyFont="1" applyFill="1"/>
    <xf numFmtId="169" fontId="16" fillId="0" borderId="0" xfId="0" applyNumberFormat="1" applyFont="1"/>
    <xf numFmtId="15" fontId="12" fillId="0" borderId="0" xfId="0" applyNumberFormat="1" applyFont="1" applyAlignment="1">
      <alignment vertical="top"/>
    </xf>
    <xf numFmtId="0" fontId="21" fillId="7" borderId="0" xfId="0" applyFont="1" applyFill="1"/>
    <xf numFmtId="172" fontId="7" fillId="8" borderId="0" xfId="0" applyNumberFormat="1" applyFont="1" applyFill="1"/>
    <xf numFmtId="172" fontId="7" fillId="10" borderId="0" xfId="0" applyNumberFormat="1" applyFont="1" applyFill="1"/>
    <xf numFmtId="2" fontId="7" fillId="10" borderId="0" xfId="0" applyNumberFormat="1" applyFont="1" applyFill="1"/>
    <xf numFmtId="1" fontId="7" fillId="8" borderId="0" xfId="0" applyNumberFormat="1" applyFont="1" applyFill="1"/>
    <xf numFmtId="10" fontId="7" fillId="8" borderId="0" xfId="0" applyNumberFormat="1" applyFont="1" applyFill="1"/>
    <xf numFmtId="166" fontId="2" fillId="7" borderId="0" xfId="0" applyNumberFormat="1" applyFont="1" applyFill="1"/>
    <xf numFmtId="1" fontId="2" fillId="7" borderId="0" xfId="0" applyNumberFormat="1" applyFont="1" applyFill="1"/>
    <xf numFmtId="9" fontId="0" fillId="4" borderId="0" xfId="0" applyNumberFormat="1" applyFill="1"/>
    <xf numFmtId="173" fontId="0" fillId="4" borderId="0" xfId="0" applyNumberFormat="1" applyFill="1"/>
    <xf numFmtId="165" fontId="0" fillId="4" borderId="0" xfId="0" applyNumberFormat="1" applyFill="1"/>
    <xf numFmtId="165" fontId="2" fillId="7" borderId="0" xfId="0" applyNumberFormat="1" applyFont="1" applyFill="1"/>
    <xf numFmtId="10" fontId="2" fillId="7" borderId="0" xfId="0" applyNumberFormat="1" applyFont="1" applyFill="1"/>
    <xf numFmtId="0" fontId="2" fillId="2" borderId="0" xfId="0" applyFont="1" applyFill="1"/>
    <xf numFmtId="1" fontId="2" fillId="2" borderId="0" xfId="0" applyNumberFormat="1" applyFont="1" applyFill="1"/>
    <xf numFmtId="3" fontId="2" fillId="2" borderId="0" xfId="0" applyNumberFormat="1" applyFont="1" applyFill="1"/>
    <xf numFmtId="172" fontId="2" fillId="2" borderId="0" xfId="0" applyNumberFormat="1" applyFont="1" applyFill="1"/>
    <xf numFmtId="166" fontId="21" fillId="7" borderId="0" xfId="0" applyNumberFormat="1" applyFont="1" applyFill="1"/>
    <xf numFmtId="174" fontId="0" fillId="0" borderId="0" xfId="0" applyNumberFormat="1"/>
    <xf numFmtId="174" fontId="2" fillId="2" borderId="0" xfId="0" applyNumberFormat="1" applyFont="1" applyFill="1"/>
    <xf numFmtId="0" fontId="0" fillId="0" borderId="0" xfId="0" applyAlignment="1">
      <alignment horizontal="right"/>
    </xf>
    <xf numFmtId="165" fontId="0" fillId="0" borderId="0" xfId="0" applyNumberFormat="1" applyAlignment="1">
      <alignment horizontal="right"/>
    </xf>
    <xf numFmtId="0" fontId="0" fillId="11" borderId="0" xfId="0" applyFill="1" applyAlignment="1">
      <alignment horizontal="right"/>
    </xf>
    <xf numFmtId="9" fontId="7" fillId="8" borderId="0" xfId="0" applyNumberFormat="1" applyFont="1" applyFill="1"/>
    <xf numFmtId="172" fontId="0" fillId="8" borderId="0" xfId="0" applyNumberFormat="1" applyFill="1"/>
    <xf numFmtId="2" fontId="0" fillId="8" borderId="0" xfId="0" applyNumberFormat="1" applyFill="1"/>
    <xf numFmtId="9" fontId="7" fillId="0" borderId="0" xfId="0" applyNumberFormat="1" applyFont="1"/>
    <xf numFmtId="166" fontId="0" fillId="4" borderId="0" xfId="0" applyNumberFormat="1" applyFill="1"/>
    <xf numFmtId="0" fontId="0" fillId="8" borderId="0" xfId="0" applyFill="1"/>
    <xf numFmtId="166" fontId="0" fillId="8" borderId="0" xfId="0" applyNumberFormat="1" applyFill="1"/>
    <xf numFmtId="3" fontId="0" fillId="8" borderId="0" xfId="0" applyNumberFormat="1" applyFill="1"/>
    <xf numFmtId="9" fontId="0" fillId="0" borderId="0" xfId="0" applyNumberFormat="1" applyAlignment="1">
      <alignment horizontal="right"/>
    </xf>
    <xf numFmtId="172" fontId="0" fillId="0" borderId="0" xfId="0" applyNumberFormat="1" applyAlignment="1">
      <alignment horizontal="right"/>
    </xf>
    <xf numFmtId="166" fontId="0" fillId="0" borderId="0" xfId="0" applyNumberFormat="1" applyAlignment="1">
      <alignment horizontal="right"/>
    </xf>
    <xf numFmtId="9" fontId="0" fillId="8" borderId="0" xfId="0" applyNumberFormat="1" applyFill="1" applyAlignment="1">
      <alignment horizontal="right"/>
    </xf>
    <xf numFmtId="172" fontId="0" fillId="8" borderId="0" xfId="0" applyNumberFormat="1" applyFill="1" applyAlignment="1">
      <alignment horizontal="right"/>
    </xf>
    <xf numFmtId="165" fontId="0" fillId="8" borderId="0" xfId="0" applyNumberFormat="1" applyFill="1" applyAlignment="1">
      <alignment horizontal="right"/>
    </xf>
    <xf numFmtId="166" fontId="0" fillId="8" borderId="0" xfId="0" applyNumberFormat="1" applyFill="1" applyAlignment="1">
      <alignment horizontal="right"/>
    </xf>
    <xf numFmtId="0" fontId="2" fillId="0" borderId="0" xfId="0" applyFont="1" applyAlignment="1">
      <alignment horizontal="right"/>
    </xf>
    <xf numFmtId="3" fontId="0" fillId="0" borderId="0" xfId="0" applyNumberFormat="1" applyAlignment="1">
      <alignment horizontal="right"/>
    </xf>
    <xf numFmtId="3" fontId="0" fillId="8" borderId="0" xfId="0" applyNumberFormat="1" applyFill="1" applyAlignment="1">
      <alignment horizontal="right"/>
    </xf>
    <xf numFmtId="0" fontId="27" fillId="5" borderId="0" xfId="0" applyFont="1" applyFill="1" applyAlignment="1">
      <alignment horizontal="center" vertical="top" wrapText="1"/>
    </xf>
    <xf numFmtId="0" fontId="28" fillId="0" borderId="0" xfId="0" applyFont="1"/>
    <xf numFmtId="0" fontId="0" fillId="0" borderId="0" xfId="0" applyAlignment="1">
      <alignment horizontal="right" vertical="top" wrapText="1"/>
    </xf>
    <xf numFmtId="0" fontId="2" fillId="7" borderId="0" xfId="0" applyFont="1" applyFill="1" applyAlignment="1">
      <alignment vertical="top"/>
    </xf>
    <xf numFmtId="0" fontId="2" fillId="7" borderId="0" xfId="0" applyFont="1" applyFill="1" applyAlignment="1">
      <alignment horizontal="center" vertical="top" wrapText="1"/>
    </xf>
    <xf numFmtId="0" fontId="0" fillId="0" borderId="0" xfId="0" applyAlignment="1">
      <alignment vertical="top"/>
    </xf>
    <xf numFmtId="166" fontId="0" fillId="0" borderId="0" xfId="0" applyNumberFormat="1" applyAlignment="1">
      <alignment vertical="top"/>
    </xf>
    <xf numFmtId="0" fontId="2" fillId="0" borderId="0" xfId="0" applyFont="1" applyAlignment="1">
      <alignment vertical="top"/>
    </xf>
    <xf numFmtId="166" fontId="2" fillId="2" borderId="0" xfId="0" applyNumberFormat="1" applyFont="1" applyFill="1" applyAlignment="1">
      <alignment vertical="top"/>
    </xf>
    <xf numFmtId="167" fontId="2" fillId="2" borderId="0" xfId="0" applyNumberFormat="1" applyFont="1" applyFill="1" applyAlignment="1">
      <alignment vertical="top"/>
    </xf>
    <xf numFmtId="165" fontId="2" fillId="2" borderId="0" xfId="0" applyNumberFormat="1" applyFont="1" applyFill="1" applyAlignment="1">
      <alignment horizontal="right" vertical="top"/>
    </xf>
    <xf numFmtId="0" fontId="0" fillId="11" borderId="0" xfId="0" applyFill="1" applyAlignment="1">
      <alignment horizontal="right" vertical="top"/>
    </xf>
    <xf numFmtId="165" fontId="0" fillId="0" borderId="0" xfId="0" applyNumberFormat="1" applyAlignment="1">
      <alignment horizontal="right" vertical="top"/>
    </xf>
    <xf numFmtId="0" fontId="18" fillId="0" borderId="0" xfId="0" applyFont="1" applyAlignment="1">
      <alignment vertical="top"/>
    </xf>
    <xf numFmtId="165" fontId="7" fillId="5" borderId="0" xfId="0" applyNumberFormat="1" applyFont="1" applyFill="1"/>
    <xf numFmtId="1" fontId="7" fillId="5" borderId="0" xfId="0" applyNumberFormat="1" applyFont="1" applyFill="1"/>
    <xf numFmtId="0" fontId="6" fillId="0" borderId="0" xfId="0" applyFont="1" applyAlignment="1">
      <alignment horizontal="right"/>
    </xf>
    <xf numFmtId="4" fontId="18" fillId="0" borderId="0" xfId="0" applyNumberFormat="1" applyFont="1"/>
    <xf numFmtId="9" fontId="16" fillId="0" borderId="0" xfId="0" applyNumberFormat="1" applyFont="1"/>
    <xf numFmtId="167" fontId="7" fillId="8" borderId="0" xfId="0" applyNumberFormat="1" applyFont="1" applyFill="1"/>
    <xf numFmtId="167" fontId="0" fillId="8" borderId="0" xfId="0" applyNumberFormat="1" applyFill="1"/>
    <xf numFmtId="49" fontId="18" fillId="0" borderId="0" xfId="0" applyNumberFormat="1" applyFont="1"/>
    <xf numFmtId="1" fontId="15" fillId="0" borderId="0" xfId="0" applyNumberFormat="1" applyFont="1"/>
    <xf numFmtId="167" fontId="0" fillId="0" borderId="0" xfId="0" applyNumberFormat="1" applyAlignment="1">
      <alignment horizontal="right"/>
    </xf>
    <xf numFmtId="0" fontId="0" fillId="0" borderId="0" xfId="0" applyAlignment="1">
      <alignment horizontal="left"/>
    </xf>
    <xf numFmtId="170" fontId="0" fillId="0" borderId="0" xfId="0" applyNumberFormat="1"/>
    <xf numFmtId="9" fontId="0" fillId="8" borderId="0" xfId="0" applyNumberFormat="1" applyFill="1"/>
    <xf numFmtId="9" fontId="12" fillId="0" borderId="0" xfId="0" applyNumberFormat="1" applyFont="1" applyAlignment="1">
      <alignment vertical="top" wrapText="1"/>
    </xf>
    <xf numFmtId="9" fontId="7" fillId="2" borderId="0" xfId="0" applyNumberFormat="1" applyFont="1" applyFill="1"/>
    <xf numFmtId="1" fontId="7" fillId="2" borderId="0" xfId="0" applyNumberFormat="1" applyFont="1" applyFill="1"/>
    <xf numFmtId="0" fontId="0" fillId="2" borderId="0" xfId="0" applyFill="1"/>
    <xf numFmtId="167" fontId="7" fillId="2" borderId="0" xfId="0" applyNumberFormat="1" applyFont="1" applyFill="1"/>
    <xf numFmtId="1" fontId="0" fillId="0" borderId="0" xfId="0" applyNumberFormat="1" applyAlignment="1">
      <alignment horizontal="right"/>
    </xf>
    <xf numFmtId="49" fontId="0" fillId="0" borderId="0" xfId="0" applyNumberFormat="1" applyAlignment="1">
      <alignment horizontal="right"/>
    </xf>
    <xf numFmtId="170" fontId="0" fillId="0" borderId="0" xfId="0" applyNumberFormat="1" applyAlignment="1">
      <alignment horizontal="right"/>
    </xf>
    <xf numFmtId="9" fontId="2" fillId="0" borderId="0" xfId="0" applyNumberFormat="1" applyFont="1" applyAlignment="1">
      <alignment horizontal="right"/>
    </xf>
    <xf numFmtId="9" fontId="2" fillId="0" borderId="1" xfId="0" applyNumberFormat="1" applyFont="1" applyBorder="1" applyAlignment="1">
      <alignment horizontal="right"/>
    </xf>
    <xf numFmtId="166" fontId="2" fillId="0" borderId="1" xfId="0" applyNumberFormat="1" applyFont="1" applyBorder="1" applyAlignment="1">
      <alignment horizontal="right"/>
    </xf>
    <xf numFmtId="9" fontId="4" fillId="0" borderId="0" xfId="0" applyNumberFormat="1" applyFont="1" applyAlignment="1">
      <alignment horizontal="right"/>
    </xf>
    <xf numFmtId="166" fontId="16" fillId="0" borderId="0" xfId="0" applyNumberFormat="1" applyFont="1" applyAlignment="1">
      <alignment horizontal="right"/>
    </xf>
    <xf numFmtId="166" fontId="31" fillId="0" borderId="0" xfId="0" applyNumberFormat="1" applyFont="1" applyAlignment="1">
      <alignment horizontal="right"/>
    </xf>
    <xf numFmtId="166" fontId="13" fillId="0" borderId="0" xfId="0" applyNumberFormat="1" applyFont="1" applyAlignment="1">
      <alignment horizontal="right"/>
    </xf>
    <xf numFmtId="166" fontId="12" fillId="0" borderId="0" xfId="0" applyNumberFormat="1" applyFont="1" applyAlignment="1">
      <alignment horizontal="right"/>
    </xf>
    <xf numFmtId="166" fontId="13" fillId="0" borderId="1" xfId="0" applyNumberFormat="1" applyFont="1" applyBorder="1" applyAlignment="1">
      <alignment horizontal="right"/>
    </xf>
    <xf numFmtId="168" fontId="12" fillId="0" borderId="0" xfId="0" applyNumberFormat="1" applyFont="1" applyAlignment="1">
      <alignment horizontal="right"/>
    </xf>
    <xf numFmtId="168" fontId="13" fillId="0" borderId="0" xfId="0" applyNumberFormat="1" applyFont="1" applyAlignment="1">
      <alignment horizontal="right"/>
    </xf>
    <xf numFmtId="168" fontId="13" fillId="0" borderId="1" xfId="0" applyNumberFormat="1" applyFont="1" applyBorder="1" applyAlignment="1">
      <alignment horizontal="right"/>
    </xf>
    <xf numFmtId="168" fontId="14" fillId="0" borderId="0" xfId="0" applyNumberFormat="1" applyFont="1" applyAlignment="1">
      <alignment horizontal="right"/>
    </xf>
    <xf numFmtId="175" fontId="12" fillId="0" borderId="0" xfId="0" applyNumberFormat="1" applyFont="1" applyAlignment="1">
      <alignment horizontal="right"/>
    </xf>
    <xf numFmtId="175" fontId="13" fillId="0" borderId="0" xfId="0" applyNumberFormat="1" applyFont="1" applyAlignment="1">
      <alignment horizontal="right"/>
    </xf>
    <xf numFmtId="175" fontId="13" fillId="0" borderId="1" xfId="0" applyNumberFormat="1" applyFont="1" applyBorder="1" applyAlignment="1">
      <alignment horizontal="right"/>
    </xf>
    <xf numFmtId="166" fontId="12" fillId="0" borderId="0" xfId="0" applyNumberFormat="1" applyFont="1"/>
    <xf numFmtId="166" fontId="13" fillId="0" borderId="1" xfId="0" applyNumberFormat="1" applyFont="1" applyBorder="1"/>
    <xf numFmtId="176" fontId="7" fillId="10" borderId="0" xfId="0" applyNumberFormat="1" applyFont="1" applyFill="1"/>
    <xf numFmtId="176" fontId="12" fillId="0" borderId="0" xfId="0" applyNumberFormat="1" applyFont="1"/>
    <xf numFmtId="165" fontId="12" fillId="0" borderId="0" xfId="0" applyNumberFormat="1" applyFont="1"/>
    <xf numFmtId="165" fontId="16" fillId="0" borderId="0" xfId="0" applyNumberFormat="1" applyFont="1"/>
    <xf numFmtId="0" fontId="32" fillId="0" borderId="0" xfId="0" applyFont="1"/>
    <xf numFmtId="176" fontId="7" fillId="0" borderId="0" xfId="0" applyNumberFormat="1" applyFont="1"/>
    <xf numFmtId="1" fontId="7" fillId="0" borderId="0" xfId="0" applyNumberFormat="1" applyFont="1"/>
    <xf numFmtId="166" fontId="7" fillId="0" borderId="0" xfId="0" applyNumberFormat="1" applyFont="1"/>
    <xf numFmtId="166" fontId="20" fillId="0" borderId="1" xfId="0" applyNumberFormat="1" applyFont="1" applyBorder="1"/>
    <xf numFmtId="166" fontId="23" fillId="0" borderId="1" xfId="0" applyNumberFormat="1" applyFont="1" applyBorder="1"/>
    <xf numFmtId="0" fontId="2" fillId="0" borderId="2" xfId="0" applyFont="1" applyBorder="1"/>
    <xf numFmtId="0" fontId="0" fillId="0" borderId="2" xfId="0" applyBorder="1"/>
    <xf numFmtId="0" fontId="21" fillId="0" borderId="0" xfId="0" applyFont="1"/>
    <xf numFmtId="0" fontId="12" fillId="0" borderId="0" xfId="0" applyFont="1"/>
    <xf numFmtId="0" fontId="13" fillId="0" borderId="0" xfId="0" applyFont="1"/>
    <xf numFmtId="0" fontId="13" fillId="0" borderId="1" xfId="0" applyFont="1" applyBorder="1"/>
    <xf numFmtId="166" fontId="2" fillId="2" borderId="0" xfId="0" applyNumberFormat="1" applyFont="1" applyFill="1" applyAlignment="1">
      <alignment horizontal="right" vertical="top"/>
    </xf>
    <xf numFmtId="167" fontId="2" fillId="2" borderId="0" xfId="0" applyNumberFormat="1" applyFont="1" applyFill="1" applyAlignment="1">
      <alignment horizontal="right" vertical="top"/>
    </xf>
    <xf numFmtId="177" fontId="16" fillId="0" borderId="0" xfId="0" applyNumberFormat="1" applyFont="1"/>
    <xf numFmtId="178" fontId="0" fillId="0" borderId="0" xfId="0" applyNumberFormat="1"/>
    <xf numFmtId="179" fontId="0" fillId="0" borderId="0" xfId="0" applyNumberFormat="1"/>
    <xf numFmtId="180" fontId="0" fillId="0" borderId="0" xfId="0" applyNumberFormat="1"/>
    <xf numFmtId="181" fontId="0" fillId="0" borderId="0" xfId="0" applyNumberFormat="1"/>
    <xf numFmtId="182" fontId="0" fillId="0" borderId="0" xfId="0" applyNumberFormat="1"/>
    <xf numFmtId="49" fontId="0" fillId="0" borderId="0" xfId="0" applyNumberFormat="1" applyAlignment="1">
      <alignment wrapText="1"/>
    </xf>
    <xf numFmtId="0" fontId="33" fillId="0" borderId="0" xfId="0" applyFont="1"/>
    <xf numFmtId="0" fontId="2" fillId="0" borderId="0" xfId="0" applyFont="1" applyAlignment="1">
      <alignment wrapText="1"/>
    </xf>
    <xf numFmtId="1" fontId="2" fillId="0" borderId="0" xfId="0" applyNumberFormat="1" applyFont="1" applyAlignment="1">
      <alignment wrapText="1"/>
    </xf>
    <xf numFmtId="176" fontId="16" fillId="0" borderId="0" xfId="0" applyNumberFormat="1" applyFont="1"/>
    <xf numFmtId="0" fontId="16" fillId="5" borderId="0" xfId="0" applyFont="1" applyFill="1"/>
    <xf numFmtId="0" fontId="12" fillId="0" borderId="0" xfId="0" applyFont="1" applyAlignment="1">
      <alignment horizontal="right" vertical="top" wrapText="1"/>
    </xf>
    <xf numFmtId="172" fontId="12" fillId="0" borderId="0" xfId="0" applyNumberFormat="1" applyFont="1" applyAlignment="1">
      <alignment vertical="top"/>
    </xf>
    <xf numFmtId="166" fontId="12" fillId="0" borderId="0" xfId="0" applyNumberFormat="1" applyFont="1" applyAlignment="1">
      <alignment vertical="top"/>
    </xf>
    <xf numFmtId="166" fontId="13" fillId="2" borderId="0" xfId="0" applyNumberFormat="1" applyFont="1" applyFill="1" applyAlignment="1">
      <alignment horizontal="right" vertical="top"/>
    </xf>
    <xf numFmtId="167" fontId="13" fillId="2" borderId="0" xfId="0" applyNumberFormat="1" applyFont="1" applyFill="1" applyAlignment="1">
      <alignment vertical="top"/>
    </xf>
    <xf numFmtId="165" fontId="13" fillId="2" borderId="0" xfId="0" applyNumberFormat="1" applyFont="1" applyFill="1" applyAlignment="1">
      <alignment vertical="top"/>
    </xf>
    <xf numFmtId="165" fontId="12" fillId="0" borderId="0" xfId="0" applyNumberFormat="1" applyFont="1" applyAlignment="1">
      <alignment vertical="top"/>
    </xf>
    <xf numFmtId="49" fontId="12" fillId="11" borderId="0" xfId="0" applyNumberFormat="1" applyFont="1" applyFill="1" applyAlignment="1">
      <alignment horizontal="right" vertical="top"/>
    </xf>
    <xf numFmtId="0" fontId="34" fillId="7" borderId="0" xfId="0" applyFont="1" applyFill="1" applyAlignment="1">
      <alignment horizontal="center" vertical="top" wrapText="1"/>
    </xf>
    <xf numFmtId="0" fontId="35" fillId="7" borderId="0" xfId="0" applyFont="1" applyFill="1" applyAlignment="1">
      <alignment horizontal="center" vertical="top" wrapText="1"/>
    </xf>
    <xf numFmtId="0" fontId="2" fillId="0" borderId="0" xfId="0" applyFont="1" applyAlignment="1">
      <alignment horizontal="right" wrapText="1"/>
    </xf>
    <xf numFmtId="0" fontId="36" fillId="0" borderId="0" xfId="0" applyFont="1" applyAlignment="1">
      <alignment horizontal="right" wrapText="1"/>
    </xf>
    <xf numFmtId="0" fontId="36" fillId="4" borderId="0" xfId="0" applyFont="1" applyFill="1" applyAlignment="1">
      <alignment horizontal="left"/>
    </xf>
    <xf numFmtId="0" fontId="36" fillId="4" borderId="0" xfId="0" applyFont="1" applyFill="1" applyAlignment="1">
      <alignment horizontal="right"/>
    </xf>
    <xf numFmtId="0" fontId="37" fillId="0" borderId="5" xfId="0" applyFont="1" applyBorder="1" applyAlignment="1">
      <alignment horizontal="right"/>
    </xf>
    <xf numFmtId="0" fontId="37" fillId="0" borderId="6" xfId="0" applyFont="1" applyBorder="1" applyAlignment="1">
      <alignment horizontal="right"/>
    </xf>
    <xf numFmtId="0" fontId="37" fillId="0" borderId="7" xfId="0" applyFont="1" applyBorder="1" applyAlignment="1">
      <alignment horizontal="right"/>
    </xf>
    <xf numFmtId="0" fontId="37" fillId="0" borderId="8" xfId="0" applyFont="1" applyBorder="1" applyAlignment="1">
      <alignment horizontal="right"/>
    </xf>
    <xf numFmtId="0" fontId="37" fillId="0" borderId="9" xfId="0" applyFont="1" applyBorder="1" applyAlignment="1">
      <alignment horizontal="right"/>
    </xf>
    <xf numFmtId="172" fontId="0" fillId="0" borderId="0" xfId="0" applyNumberFormat="1" applyAlignment="1">
      <alignment vertical="top"/>
    </xf>
    <xf numFmtId="0" fontId="49" fillId="9" borderId="0" xfId="0" applyFont="1" applyFill="1" applyAlignment="1">
      <alignment vertical="center"/>
    </xf>
    <xf numFmtId="0" fontId="50" fillId="0" borderId="0" xfId="0" applyFont="1"/>
    <xf numFmtId="0" fontId="51" fillId="0" borderId="0" xfId="0" applyFont="1"/>
    <xf numFmtId="0" fontId="2" fillId="4" borderId="0" xfId="0" applyFont="1" applyFill="1" applyAlignment="1">
      <alignment horizontal="right"/>
    </xf>
    <xf numFmtId="0" fontId="2" fillId="4" borderId="3" xfId="0" applyFont="1" applyFill="1" applyBorder="1" applyAlignment="1">
      <alignment horizontal="left" vertical="center"/>
    </xf>
    <xf numFmtId="0" fontId="2" fillId="4" borderId="3" xfId="0" applyFont="1" applyFill="1" applyBorder="1" applyAlignment="1">
      <alignment horizontal="right" vertical="center"/>
    </xf>
    <xf numFmtId="0" fontId="19" fillId="12" borderId="3" xfId="0" applyFont="1" applyFill="1" applyBorder="1" applyAlignment="1">
      <alignment horizontal="right" vertical="center"/>
    </xf>
    <xf numFmtId="0" fontId="19" fillId="13" borderId="3" xfId="0" applyFont="1" applyFill="1" applyBorder="1" applyAlignment="1">
      <alignment horizontal="right" vertical="center"/>
    </xf>
    <xf numFmtId="0" fontId="52" fillId="16" borderId="0" xfId="0" applyFont="1" applyFill="1"/>
    <xf numFmtId="0" fontId="0" fillId="0" borderId="6" xfId="0" applyBorder="1"/>
    <xf numFmtId="0" fontId="0" fillId="0" borderId="7" xfId="0" applyBorder="1"/>
    <xf numFmtId="0" fontId="0" fillId="0" borderId="3" xfId="0" applyBorder="1"/>
    <xf numFmtId="0" fontId="52" fillId="16" borderId="0" xfId="0" applyFont="1" applyFill="1" applyAlignment="1">
      <alignment horizontal="right"/>
    </xf>
    <xf numFmtId="3" fontId="0" fillId="0" borderId="7" xfId="0" applyNumberFormat="1" applyBorder="1" applyAlignment="1">
      <alignment horizontal="right"/>
    </xf>
    <xf numFmtId="166" fontId="0" fillId="0" borderId="7" xfId="0" applyNumberFormat="1" applyBorder="1" applyAlignment="1">
      <alignment horizontal="right"/>
    </xf>
    <xf numFmtId="9" fontId="0" fillId="0" borderId="7" xfId="0" applyNumberFormat="1" applyBorder="1" applyAlignment="1">
      <alignment horizontal="right"/>
    </xf>
    <xf numFmtId="185" fontId="0" fillId="0" borderId="7" xfId="0" applyNumberFormat="1" applyBorder="1" applyAlignment="1">
      <alignment horizontal="right"/>
    </xf>
    <xf numFmtId="166" fontId="0" fillId="0" borderId="6" xfId="0" applyNumberFormat="1" applyBorder="1" applyAlignment="1">
      <alignment horizontal="right"/>
    </xf>
    <xf numFmtId="170" fontId="0" fillId="0" borderId="7" xfId="0" applyNumberFormat="1" applyBorder="1" applyAlignment="1">
      <alignment horizontal="right"/>
    </xf>
    <xf numFmtId="186" fontId="0" fillId="0" borderId="7" xfId="0" applyNumberFormat="1" applyBorder="1" applyAlignment="1">
      <alignment horizontal="right"/>
    </xf>
    <xf numFmtId="165" fontId="0" fillId="0" borderId="7" xfId="0" applyNumberFormat="1" applyBorder="1" applyAlignment="1">
      <alignment horizontal="right"/>
    </xf>
    <xf numFmtId="188" fontId="0" fillId="0" borderId="7" xfId="0" applyNumberFormat="1" applyBorder="1" applyAlignment="1">
      <alignment horizontal="right"/>
    </xf>
    <xf numFmtId="170" fontId="0" fillId="0" borderId="6" xfId="0" applyNumberFormat="1" applyBorder="1" applyAlignment="1">
      <alignment horizontal="right"/>
    </xf>
    <xf numFmtId="186" fontId="0" fillId="0" borderId="6" xfId="0" applyNumberFormat="1" applyBorder="1" applyAlignment="1">
      <alignment horizontal="right"/>
    </xf>
    <xf numFmtId="1" fontId="0" fillId="0" borderId="6" xfId="0" applyNumberFormat="1" applyBorder="1" applyAlignment="1">
      <alignment horizontal="right"/>
    </xf>
    <xf numFmtId="184" fontId="0" fillId="0" borderId="6" xfId="0" applyNumberFormat="1" applyBorder="1" applyAlignment="1">
      <alignment horizontal="right"/>
    </xf>
    <xf numFmtId="188" fontId="0" fillId="0" borderId="0" xfId="0" applyNumberFormat="1" applyAlignment="1">
      <alignment horizontal="right"/>
    </xf>
    <xf numFmtId="165" fontId="0" fillId="0" borderId="6" xfId="0" applyNumberFormat="1" applyBorder="1" applyAlignment="1">
      <alignment horizontal="right"/>
    </xf>
    <xf numFmtId="188" fontId="0" fillId="0" borderId="6" xfId="0" applyNumberFormat="1" applyBorder="1" applyAlignment="1">
      <alignment horizontal="right"/>
    </xf>
    <xf numFmtId="187" fontId="0" fillId="0" borderId="0" xfId="0" applyNumberFormat="1" applyAlignment="1">
      <alignment horizontal="right"/>
    </xf>
    <xf numFmtId="167" fontId="0" fillId="0" borderId="6" xfId="0" applyNumberFormat="1" applyBorder="1" applyAlignment="1">
      <alignment horizontal="right"/>
    </xf>
    <xf numFmtId="187" fontId="0" fillId="0" borderId="6" xfId="0" applyNumberFormat="1" applyBorder="1" applyAlignment="1">
      <alignment horizontal="right"/>
    </xf>
    <xf numFmtId="0" fontId="0" fillId="0" borderId="3" xfId="0" applyBorder="1" applyAlignment="1">
      <alignment horizontal="right"/>
    </xf>
    <xf numFmtId="0" fontId="53" fillId="16" borderId="0" xfId="0" applyFont="1" applyFill="1" applyAlignment="1">
      <alignment horizontal="right"/>
    </xf>
    <xf numFmtId="0" fontId="54" fillId="0" borderId="0" xfId="0" applyFont="1" applyAlignment="1">
      <alignment horizontal="right"/>
    </xf>
    <xf numFmtId="0" fontId="54" fillId="0" borderId="7" xfId="0" applyFont="1" applyBorder="1" applyAlignment="1">
      <alignment horizontal="right"/>
    </xf>
    <xf numFmtId="0" fontId="54" fillId="0" borderId="6" xfId="0" applyFont="1" applyBorder="1" applyAlignment="1">
      <alignment horizontal="right"/>
    </xf>
    <xf numFmtId="0" fontId="54" fillId="0" borderId="3" xfId="0" applyFont="1" applyBorder="1" applyAlignment="1">
      <alignment horizontal="right"/>
    </xf>
    <xf numFmtId="0" fontId="55" fillId="16" borderId="0" xfId="0" applyFont="1" applyFill="1" applyAlignment="1">
      <alignment horizontal="right"/>
    </xf>
    <xf numFmtId="0" fontId="33" fillId="0" borderId="0" xfId="0" applyFont="1" applyAlignment="1">
      <alignment horizontal="right"/>
    </xf>
    <xf numFmtId="0" fontId="33" fillId="0" borderId="7" xfId="0" applyFont="1" applyBorder="1" applyAlignment="1">
      <alignment horizontal="right"/>
    </xf>
    <xf numFmtId="0" fontId="33" fillId="0" borderId="6" xfId="0" applyFont="1" applyBorder="1" applyAlignment="1">
      <alignment horizontal="right"/>
    </xf>
    <xf numFmtId="0" fontId="33" fillId="0" borderId="3" xfId="0" applyFont="1" applyBorder="1" applyAlignment="1">
      <alignment horizontal="right"/>
    </xf>
    <xf numFmtId="165" fontId="2" fillId="0" borderId="7" xfId="0" applyNumberFormat="1" applyFont="1" applyBorder="1" applyAlignment="1">
      <alignment horizontal="right"/>
    </xf>
    <xf numFmtId="0" fontId="2" fillId="14" borderId="7" xfId="0" applyFont="1" applyFill="1" applyBorder="1"/>
    <xf numFmtId="0" fontId="53" fillId="14" borderId="7" xfId="0" applyFont="1" applyFill="1" applyBorder="1" applyAlignment="1">
      <alignment horizontal="right"/>
    </xf>
    <xf numFmtId="0" fontId="55" fillId="14" borderId="7" xfId="0" applyFont="1" applyFill="1" applyBorder="1" applyAlignment="1">
      <alignment horizontal="right"/>
    </xf>
    <xf numFmtId="166" fontId="2" fillId="14" borderId="7" xfId="0" applyNumberFormat="1" applyFont="1" applyFill="1" applyBorder="1" applyAlignment="1">
      <alignment horizontal="right"/>
    </xf>
    <xf numFmtId="167" fontId="2" fillId="14" borderId="7" xfId="0" applyNumberFormat="1" applyFont="1" applyFill="1" applyBorder="1" applyAlignment="1">
      <alignment horizontal="right"/>
    </xf>
    <xf numFmtId="187" fontId="2" fillId="14" borderId="7" xfId="0" applyNumberFormat="1" applyFont="1" applyFill="1" applyBorder="1" applyAlignment="1">
      <alignment horizontal="right"/>
    </xf>
    <xf numFmtId="0" fontId="2" fillId="15" borderId="7" xfId="0" applyFont="1" applyFill="1" applyBorder="1"/>
    <xf numFmtId="0" fontId="53" fillId="15" borderId="7" xfId="0" applyFont="1" applyFill="1" applyBorder="1" applyAlignment="1">
      <alignment horizontal="right"/>
    </xf>
    <xf numFmtId="165" fontId="2" fillId="15" borderId="7" xfId="0" applyNumberFormat="1" applyFont="1" applyFill="1" applyBorder="1" applyAlignment="1">
      <alignment horizontal="right"/>
    </xf>
    <xf numFmtId="188" fontId="2" fillId="15" borderId="7" xfId="0" applyNumberFormat="1" applyFont="1" applyFill="1" applyBorder="1" applyAlignment="1">
      <alignment horizontal="right"/>
    </xf>
    <xf numFmtId="0" fontId="55" fillId="15" borderId="7" xfId="0" applyFont="1" applyFill="1" applyBorder="1" applyAlignment="1">
      <alignment horizontal="right"/>
    </xf>
    <xf numFmtId="49" fontId="56" fillId="11" borderId="3" xfId="0" applyNumberFormat="1" applyFont="1" applyFill="1" applyBorder="1" applyAlignment="1">
      <alignment horizontal="right"/>
    </xf>
    <xf numFmtId="0" fontId="52" fillId="16" borderId="0" xfId="0" applyFont="1" applyFill="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6" xfId="0" applyBorder="1" applyAlignment="1">
      <alignment horizontal="center"/>
    </xf>
    <xf numFmtId="0" fontId="2" fillId="15" borderId="7" xfId="0" applyFont="1" applyFill="1" applyBorder="1" applyAlignment="1">
      <alignment horizontal="center"/>
    </xf>
    <xf numFmtId="0" fontId="2" fillId="14" borderId="7" xfId="0" applyFont="1" applyFill="1" applyBorder="1" applyAlignment="1">
      <alignment horizontal="center"/>
    </xf>
    <xf numFmtId="0" fontId="0" fillId="0" borderId="3" xfId="0" applyBorder="1" applyAlignment="1">
      <alignment horizontal="center"/>
    </xf>
    <xf numFmtId="0" fontId="57" fillId="0" borderId="0" xfId="0" applyFont="1"/>
    <xf numFmtId="0" fontId="57" fillId="0" borderId="0" xfId="0" applyFont="1" applyAlignment="1">
      <alignment horizontal="right"/>
    </xf>
    <xf numFmtId="0" fontId="19" fillId="12" borderId="0" xfId="0" applyFont="1" applyFill="1" applyAlignment="1">
      <alignment vertical="center"/>
    </xf>
    <xf numFmtId="165" fontId="2" fillId="4" borderId="0" xfId="0" applyNumberFormat="1" applyFont="1" applyFill="1" applyAlignment="1">
      <alignment horizontal="right"/>
    </xf>
    <xf numFmtId="3" fontId="2" fillId="4" borderId="0" xfId="0" applyNumberFormat="1" applyFont="1" applyFill="1" applyAlignment="1">
      <alignment horizontal="right"/>
    </xf>
    <xf numFmtId="0" fontId="2" fillId="0" borderId="0" xfId="0" applyFont="1" applyAlignment="1">
      <alignment horizontal="left" wrapText="1"/>
    </xf>
    <xf numFmtId="0" fontId="0" fillId="0" borderId="4" xfId="0" applyBorder="1"/>
    <xf numFmtId="0" fontId="0" fillId="0" borderId="8" xfId="0" applyBorder="1"/>
    <xf numFmtId="183" fontId="0" fillId="0" borderId="4" xfId="0" applyNumberFormat="1" applyBorder="1" applyAlignment="1">
      <alignment horizontal="right"/>
    </xf>
    <xf numFmtId="183" fontId="0" fillId="0" borderId="7" xfId="0" applyNumberFormat="1" applyBorder="1" applyAlignment="1">
      <alignment horizontal="right"/>
    </xf>
    <xf numFmtId="183" fontId="0" fillId="0" borderId="8" xfId="0" applyNumberFormat="1" applyBorder="1" applyAlignment="1">
      <alignment horizontal="right"/>
    </xf>
    <xf numFmtId="0" fontId="54" fillId="0" borderId="4" xfId="0" applyFont="1" applyBorder="1" applyAlignment="1">
      <alignment horizontal="right"/>
    </xf>
    <xf numFmtId="0" fontId="54" fillId="0" borderId="8" xfId="0" applyFont="1" applyBorder="1" applyAlignment="1">
      <alignment horizontal="right"/>
    </xf>
    <xf numFmtId="0" fontId="28" fillId="0" borderId="4" xfId="0" applyFont="1" applyBorder="1" applyAlignment="1">
      <alignment horizontal="right"/>
    </xf>
    <xf numFmtId="0" fontId="28" fillId="0" borderId="7" xfId="0" applyFont="1" applyBorder="1" applyAlignment="1">
      <alignment horizontal="right"/>
    </xf>
    <xf numFmtId="0" fontId="28" fillId="0" borderId="8" xfId="0" applyFont="1" applyBorder="1" applyAlignment="1">
      <alignment horizontal="right"/>
    </xf>
    <xf numFmtId="0" fontId="48" fillId="0" borderId="4" xfId="0" applyFont="1" applyBorder="1" applyAlignment="1">
      <alignment horizontal="right"/>
    </xf>
    <xf numFmtId="0" fontId="48" fillId="0" borderId="7" xfId="0" applyFont="1" applyBorder="1" applyAlignment="1">
      <alignment horizontal="right"/>
    </xf>
    <xf numFmtId="0" fontId="48" fillId="0" borderId="8" xfId="0" applyFont="1" applyBorder="1" applyAlignment="1">
      <alignment horizontal="right"/>
    </xf>
    <xf numFmtId="165" fontId="2" fillId="0" borderId="4" xfId="0" applyNumberFormat="1" applyFont="1" applyBorder="1" applyAlignment="1">
      <alignment horizontal="right"/>
    </xf>
    <xf numFmtId="165" fontId="2" fillId="0" borderId="8" xfId="0" applyNumberFormat="1" applyFont="1" applyBorder="1" applyAlignment="1">
      <alignment horizontal="right"/>
    </xf>
    <xf numFmtId="0" fontId="19" fillId="13" borderId="0" xfId="0" applyFont="1" applyFill="1" applyAlignment="1">
      <alignment vertical="center"/>
    </xf>
    <xf numFmtId="0" fontId="58" fillId="0" borderId="0" xfId="0" applyFont="1" applyAlignment="1">
      <alignment horizontal="left"/>
    </xf>
    <xf numFmtId="3" fontId="13" fillId="2" borderId="0" xfId="0" applyNumberFormat="1" applyFont="1" applyFill="1" applyAlignment="1">
      <alignment vertical="top"/>
    </xf>
    <xf numFmtId="0" fontId="12" fillId="11" borderId="0" xfId="0" applyFont="1" applyFill="1" applyAlignment="1">
      <alignment horizontal="right" vertical="top"/>
    </xf>
    <xf numFmtId="173" fontId="0" fillId="0" borderId="0" xfId="0" applyNumberFormat="1"/>
    <xf numFmtId="189" fontId="0" fillId="0" borderId="0" xfId="0" applyNumberFormat="1"/>
    <xf numFmtId="9" fontId="18" fillId="0" borderId="0" xfId="0" applyNumberFormat="1" applyFont="1"/>
    <xf numFmtId="173" fontId="18" fillId="0" borderId="0" xfId="0" applyNumberFormat="1" applyFont="1"/>
    <xf numFmtId="189" fontId="18" fillId="0" borderId="0" xfId="0" applyNumberFormat="1" applyFont="1"/>
    <xf numFmtId="0" fontId="37" fillId="0" borderId="0" xfId="0" applyFont="1"/>
    <xf numFmtId="0" fontId="59" fillId="0" borderId="0" xfId="0" applyFont="1"/>
    <xf numFmtId="0" fontId="45" fillId="0" borderId="0" xfId="0" applyFont="1"/>
    <xf numFmtId="0" fontId="40" fillId="9" borderId="0" xfId="0" applyFont="1" applyFill="1" applyAlignment="1">
      <alignment vertical="center"/>
    </xf>
    <xf numFmtId="0" fontId="61" fillId="7" borderId="0" xfId="0" applyFont="1" applyFill="1"/>
    <xf numFmtId="0" fontId="37" fillId="0" borderId="9" xfId="0" applyFont="1" applyBorder="1"/>
    <xf numFmtId="0" fontId="37" fillId="0" borderId="6" xfId="0" applyFont="1" applyBorder="1"/>
    <xf numFmtId="0" fontId="37" fillId="0" borderId="7" xfId="0" applyFont="1" applyBorder="1"/>
    <xf numFmtId="0" fontId="36" fillId="2" borderId="6" xfId="0" applyFont="1" applyFill="1" applyBorder="1"/>
    <xf numFmtId="0" fontId="36" fillId="2" borderId="7" xfId="0" applyFont="1" applyFill="1" applyBorder="1"/>
    <xf numFmtId="0" fontId="61" fillId="7" borderId="0" xfId="0" applyFont="1" applyFill="1" applyAlignment="1">
      <alignment horizontal="right"/>
    </xf>
    <xf numFmtId="166" fontId="37" fillId="0" borderId="0" xfId="0" applyNumberFormat="1" applyFont="1" applyAlignment="1">
      <alignment horizontal="right"/>
    </xf>
    <xf numFmtId="166" fontId="37" fillId="0" borderId="7" xfId="0" applyNumberFormat="1" applyFont="1" applyBorder="1" applyAlignment="1">
      <alignment horizontal="right"/>
    </xf>
    <xf numFmtId="165" fontId="36" fillId="2" borderId="7" xfId="0" applyNumberFormat="1" applyFont="1" applyFill="1" applyBorder="1" applyAlignment="1">
      <alignment horizontal="right"/>
    </xf>
    <xf numFmtId="166" fontId="36" fillId="2" borderId="7" xfId="0" applyNumberFormat="1" applyFont="1" applyFill="1" applyBorder="1" applyAlignment="1">
      <alignment horizontal="right"/>
    </xf>
    <xf numFmtId="167" fontId="37" fillId="0" borderId="7" xfId="0" applyNumberFormat="1" applyFont="1" applyBorder="1" applyAlignment="1">
      <alignment horizontal="right"/>
    </xf>
    <xf numFmtId="167" fontId="36" fillId="2" borderId="7" xfId="0" applyNumberFormat="1" applyFont="1" applyFill="1" applyBorder="1" applyAlignment="1">
      <alignment horizontal="right"/>
    </xf>
    <xf numFmtId="3" fontId="37" fillId="0" borderId="7" xfId="0" applyNumberFormat="1" applyFont="1" applyBorder="1" applyAlignment="1">
      <alignment horizontal="right"/>
    </xf>
    <xf numFmtId="49" fontId="47" fillId="11" borderId="6" xfId="0" applyNumberFormat="1" applyFont="1" applyFill="1" applyBorder="1" applyAlignment="1">
      <alignment horizontal="right"/>
    </xf>
    <xf numFmtId="49" fontId="37" fillId="0" borderId="0" xfId="0" applyNumberFormat="1" applyFont="1" applyAlignment="1">
      <alignment horizontal="right"/>
    </xf>
    <xf numFmtId="165" fontId="37" fillId="0" borderId="7" xfId="0" applyNumberFormat="1" applyFont="1" applyBorder="1" applyAlignment="1">
      <alignment horizontal="right"/>
    </xf>
    <xf numFmtId="49" fontId="37" fillId="0" borderId="7" xfId="0" applyNumberFormat="1" applyFont="1" applyBorder="1" applyAlignment="1">
      <alignment horizontal="right"/>
    </xf>
    <xf numFmtId="3" fontId="37" fillId="0" borderId="6" xfId="0" applyNumberFormat="1" applyFont="1" applyBorder="1" applyAlignment="1">
      <alignment horizontal="right"/>
    </xf>
    <xf numFmtId="3" fontId="37" fillId="0" borderId="0" xfId="0" applyNumberFormat="1" applyFont="1" applyAlignment="1">
      <alignment horizontal="right"/>
    </xf>
    <xf numFmtId="170" fontId="37" fillId="0" borderId="7" xfId="0" applyNumberFormat="1" applyFont="1" applyBorder="1" applyAlignment="1">
      <alignment horizontal="right"/>
    </xf>
    <xf numFmtId="1" fontId="37" fillId="0" borderId="7" xfId="0" applyNumberFormat="1" applyFont="1" applyBorder="1" applyAlignment="1">
      <alignment horizontal="right"/>
    </xf>
    <xf numFmtId="167" fontId="37" fillId="0" borderId="6" xfId="0" applyNumberFormat="1" applyFont="1" applyBorder="1" applyAlignment="1">
      <alignment horizontal="right"/>
    </xf>
    <xf numFmtId="0" fontId="42" fillId="7" borderId="0" xfId="0" applyFont="1" applyFill="1" applyAlignment="1">
      <alignment horizontal="right"/>
    </xf>
    <xf numFmtId="0" fontId="41" fillId="0" borderId="0" xfId="0" applyFont="1" applyAlignment="1">
      <alignment horizontal="right"/>
    </xf>
    <xf numFmtId="0" fontId="41" fillId="0" borderId="7" xfId="0" applyFont="1" applyBorder="1" applyAlignment="1">
      <alignment horizontal="right"/>
    </xf>
    <xf numFmtId="0" fontId="42" fillId="2" borderId="7" xfId="0" applyFont="1" applyFill="1" applyBorder="1" applyAlignment="1">
      <alignment horizontal="right"/>
    </xf>
    <xf numFmtId="0" fontId="41" fillId="0" borderId="6" xfId="0" applyFont="1" applyBorder="1" applyAlignment="1">
      <alignment horizontal="right"/>
    </xf>
    <xf numFmtId="0" fontId="62" fillId="7" borderId="0" xfId="0" applyFont="1" applyFill="1"/>
    <xf numFmtId="0" fontId="45" fillId="0" borderId="7" xfId="0" applyFont="1" applyBorder="1"/>
    <xf numFmtId="0" fontId="45" fillId="0" borderId="6" xfId="0" applyFont="1" applyBorder="1"/>
    <xf numFmtId="0" fontId="36" fillId="0" borderId="3" xfId="0" applyFont="1" applyBorder="1"/>
    <xf numFmtId="0" fontId="36" fillId="0" borderId="3" xfId="0" applyFont="1" applyBorder="1" applyAlignment="1">
      <alignment horizontal="center"/>
    </xf>
    <xf numFmtId="0" fontId="39" fillId="17" borderId="3" xfId="0" applyFont="1" applyFill="1" applyBorder="1" applyAlignment="1">
      <alignment horizontal="center"/>
    </xf>
    <xf numFmtId="0" fontId="39" fillId="12" borderId="3" xfId="0" applyFont="1" applyFill="1" applyBorder="1" applyAlignment="1">
      <alignment horizontal="center"/>
    </xf>
    <xf numFmtId="0" fontId="39" fillId="13" borderId="3" xfId="0" applyFont="1" applyFill="1" applyBorder="1" applyAlignment="1">
      <alignment horizontal="center"/>
    </xf>
    <xf numFmtId="0" fontId="36" fillId="0" borderId="0" xfId="0" applyFont="1"/>
    <xf numFmtId="0" fontId="36" fillId="0" borderId="0" xfId="0" applyFont="1" applyAlignment="1">
      <alignment horizontal="right"/>
    </xf>
    <xf numFmtId="0" fontId="37" fillId="0" borderId="5" xfId="0" applyFont="1" applyBorder="1"/>
    <xf numFmtId="3" fontId="60" fillId="0" borderId="6" xfId="0" applyNumberFormat="1" applyFont="1" applyBorder="1" applyAlignment="1">
      <alignment horizontal="right"/>
    </xf>
    <xf numFmtId="166" fontId="60" fillId="0" borderId="6" xfId="0" applyNumberFormat="1" applyFont="1" applyBorder="1" applyAlignment="1">
      <alignment horizontal="right"/>
    </xf>
    <xf numFmtId="9" fontId="60" fillId="0" borderId="6" xfId="0" applyNumberFormat="1" applyFont="1" applyBorder="1" applyAlignment="1">
      <alignment horizontal="right"/>
    </xf>
    <xf numFmtId="1" fontId="60" fillId="0" borderId="6" xfId="0" applyNumberFormat="1" applyFont="1" applyBorder="1" applyAlignment="1">
      <alignment horizontal="right"/>
    </xf>
    <xf numFmtId="173" fontId="60" fillId="0" borderId="6" xfId="0" applyNumberFormat="1" applyFont="1" applyBorder="1" applyAlignment="1">
      <alignment horizontal="right"/>
    </xf>
    <xf numFmtId="3" fontId="60" fillId="0" borderId="7" xfId="0" applyNumberFormat="1" applyFont="1" applyBorder="1" applyAlignment="1">
      <alignment horizontal="right"/>
    </xf>
    <xf numFmtId="0" fontId="45" fillId="0" borderId="5" xfId="0" applyFont="1" applyBorder="1"/>
    <xf numFmtId="0" fontId="44" fillId="0" borderId="0" xfId="0" applyFont="1"/>
    <xf numFmtId="0" fontId="44" fillId="0" borderId="0" xfId="0" applyFont="1" applyAlignment="1">
      <alignment horizontal="right"/>
    </xf>
    <xf numFmtId="49" fontId="60" fillId="0" borderId="5" xfId="0" applyNumberFormat="1" applyFont="1" applyBorder="1" applyAlignment="1">
      <alignment horizontal="left"/>
    </xf>
    <xf numFmtId="0" fontId="60" fillId="0" borderId="6" xfId="0" applyFont="1" applyBorder="1" applyAlignment="1">
      <alignment horizontal="right"/>
    </xf>
    <xf numFmtId="166" fontId="37" fillId="0" borderId="6" xfId="0" applyNumberFormat="1" applyFont="1" applyBorder="1" applyAlignment="1">
      <alignment horizontal="right"/>
    </xf>
    <xf numFmtId="0" fontId="36" fillId="2" borderId="6" xfId="0" applyFont="1" applyFill="1" applyBorder="1" applyAlignment="1">
      <alignment horizontal="right"/>
    </xf>
    <xf numFmtId="0" fontId="41" fillId="0" borderId="9" xfId="0" applyFont="1" applyBorder="1"/>
    <xf numFmtId="0" fontId="41" fillId="0" borderId="6" xfId="0" applyFont="1" applyBorder="1"/>
    <xf numFmtId="0" fontId="42" fillId="2" borderId="6" xfId="0" applyFont="1" applyFill="1" applyBorder="1"/>
    <xf numFmtId="0" fontId="41" fillId="0" borderId="7" xfId="0" applyFont="1" applyBorder="1"/>
    <xf numFmtId="166" fontId="60" fillId="0" borderId="9" xfId="0" applyNumberFormat="1" applyFont="1" applyBorder="1" applyAlignment="1">
      <alignment horizontal="right"/>
    </xf>
    <xf numFmtId="165" fontId="65" fillId="2" borderId="6" xfId="0" applyNumberFormat="1" applyFont="1" applyFill="1" applyBorder="1" applyAlignment="1">
      <alignment horizontal="right"/>
    </xf>
    <xf numFmtId="166" fontId="65" fillId="2" borderId="6" xfId="0" applyNumberFormat="1" applyFont="1" applyFill="1" applyBorder="1" applyAlignment="1">
      <alignment horizontal="right"/>
    </xf>
    <xf numFmtId="187" fontId="60" fillId="0" borderId="6" xfId="0" applyNumberFormat="1" applyFont="1" applyBorder="1" applyAlignment="1">
      <alignment horizontal="right"/>
    </xf>
    <xf numFmtId="167" fontId="65" fillId="2" borderId="6" xfId="0" applyNumberFormat="1" applyFont="1" applyFill="1" applyBorder="1" applyAlignment="1">
      <alignment horizontal="right"/>
    </xf>
    <xf numFmtId="49" fontId="46" fillId="11" borderId="7" xfId="0" applyNumberFormat="1" applyFont="1" applyFill="1" applyBorder="1" applyAlignment="1">
      <alignment horizontal="right"/>
    </xf>
    <xf numFmtId="0" fontId="36" fillId="0" borderId="6" xfId="0" applyFont="1" applyBorder="1" applyAlignment="1">
      <alignment horizontal="right"/>
    </xf>
    <xf numFmtId="0" fontId="37" fillId="0" borderId="3" xfId="0" applyFont="1" applyBorder="1"/>
    <xf numFmtId="0" fontId="63" fillId="0" borderId="3" xfId="0" applyFont="1" applyBorder="1" applyAlignment="1">
      <alignment horizontal="right"/>
    </xf>
    <xf numFmtId="0" fontId="43" fillId="0" borderId="3" xfId="0" applyFont="1" applyBorder="1" applyAlignment="1">
      <alignment horizontal="right"/>
    </xf>
    <xf numFmtId="0" fontId="64" fillId="0" borderId="3" xfId="0" applyFont="1" applyBorder="1" applyAlignment="1">
      <alignment horizontal="right"/>
    </xf>
    <xf numFmtId="49" fontId="66" fillId="0" borderId="5" xfId="0" applyNumberFormat="1" applyFont="1" applyBorder="1" applyAlignment="1">
      <alignment horizontal="right" wrapText="1"/>
    </xf>
    <xf numFmtId="0" fontId="41" fillId="0" borderId="5" xfId="0" applyFont="1" applyBorder="1"/>
    <xf numFmtId="0" fontId="36" fillId="0" borderId="0" xfId="0" applyFont="1" applyAlignment="1">
      <alignment horizontal="left" wrapText="1"/>
    </xf>
    <xf numFmtId="0" fontId="63" fillId="0" borderId="0" xfId="0" applyFont="1" applyAlignment="1">
      <alignment horizontal="right" wrapText="1"/>
    </xf>
    <xf numFmtId="0" fontId="43" fillId="0" borderId="0" xfId="0" applyFont="1" applyAlignment="1">
      <alignment horizontal="right" wrapText="1"/>
    </xf>
    <xf numFmtId="0" fontId="64" fillId="0" borderId="0" xfId="0" applyFont="1" applyAlignment="1">
      <alignment horizontal="right" wrapText="1"/>
    </xf>
    <xf numFmtId="165" fontId="37" fillId="0" borderId="5" xfId="0" applyNumberFormat="1" applyFont="1" applyBorder="1" applyAlignment="1">
      <alignment horizontal="right"/>
    </xf>
    <xf numFmtId="166" fontId="37" fillId="0" borderId="5" xfId="0" applyNumberFormat="1" applyFont="1" applyBorder="1" applyAlignment="1">
      <alignment horizontal="right"/>
    </xf>
    <xf numFmtId="165" fontId="37" fillId="0" borderId="6" xfId="0" applyNumberFormat="1" applyFont="1" applyBorder="1" applyAlignment="1">
      <alignment horizontal="right"/>
    </xf>
    <xf numFmtId="0" fontId="36" fillId="0" borderId="5" xfId="0" applyFont="1" applyBorder="1"/>
    <xf numFmtId="0" fontId="36" fillId="0" borderId="6" xfId="0" applyFont="1" applyBorder="1"/>
    <xf numFmtId="0" fontId="37" fillId="0" borderId="8" xfId="0" applyFont="1" applyBorder="1"/>
    <xf numFmtId="165" fontId="37" fillId="0" borderId="8" xfId="0" applyNumberFormat="1" applyFont="1" applyBorder="1" applyAlignment="1">
      <alignment horizontal="right"/>
    </xf>
    <xf numFmtId="166" fontId="37" fillId="0" borderId="8" xfId="0" applyNumberFormat="1" applyFont="1" applyBorder="1" applyAlignment="1">
      <alignment horizontal="right"/>
    </xf>
    <xf numFmtId="0" fontId="36" fillId="0" borderId="8" xfId="0" applyFont="1" applyBorder="1"/>
    <xf numFmtId="0" fontId="36" fillId="2" borderId="5" xfId="0" applyFont="1" applyFill="1" applyBorder="1" applyAlignment="1">
      <alignment horizontal="right"/>
    </xf>
    <xf numFmtId="0" fontId="36" fillId="2" borderId="8" xfId="0" applyFont="1" applyFill="1" applyBorder="1" applyAlignment="1">
      <alignment horizontal="right"/>
    </xf>
    <xf numFmtId="187" fontId="37" fillId="0" borderId="7" xfId="0" applyNumberFormat="1" applyFont="1" applyBorder="1" applyAlignment="1">
      <alignment horizontal="right"/>
    </xf>
    <xf numFmtId="0" fontId="67" fillId="10" borderId="9" xfId="0" applyFont="1" applyFill="1" applyBorder="1" applyAlignment="1">
      <alignment horizontal="right"/>
    </xf>
    <xf numFmtId="0" fontId="38" fillId="0" borderId="9" xfId="0" applyFont="1" applyBorder="1" applyAlignment="1">
      <alignment horizontal="left"/>
    </xf>
    <xf numFmtId="0" fontId="67" fillId="10" borderId="6" xfId="0" applyFont="1" applyFill="1" applyBorder="1" applyAlignment="1">
      <alignment horizontal="right"/>
    </xf>
    <xf numFmtId="0" fontId="38" fillId="0" borderId="6" xfId="0" applyFont="1" applyBorder="1" applyAlignment="1">
      <alignment horizontal="left"/>
    </xf>
    <xf numFmtId="0" fontId="39" fillId="9" borderId="0" xfId="0" applyFont="1" applyFill="1" applyAlignment="1">
      <alignment vertical="center"/>
    </xf>
    <xf numFmtId="0" fontId="68" fillId="10" borderId="5" xfId="0" applyFont="1" applyFill="1" applyBorder="1" applyAlignment="1">
      <alignment horizontal="right" wrapText="1"/>
    </xf>
    <xf numFmtId="3" fontId="67" fillId="10" borderId="6" xfId="0" applyNumberFormat="1" applyFont="1" applyFill="1" applyBorder="1" applyAlignment="1">
      <alignment horizontal="right"/>
    </xf>
    <xf numFmtId="166" fontId="67" fillId="10" borderId="6" xfId="0" applyNumberFormat="1" applyFont="1" applyFill="1" applyBorder="1" applyAlignment="1">
      <alignment horizontal="right"/>
    </xf>
    <xf numFmtId="1" fontId="67" fillId="10" borderId="6" xfId="0" applyNumberFormat="1" applyFont="1" applyFill="1" applyBorder="1" applyAlignment="1">
      <alignment horizontal="right"/>
    </xf>
    <xf numFmtId="9" fontId="67" fillId="10" borderId="6" xfId="0" applyNumberFormat="1" applyFont="1" applyFill="1" applyBorder="1" applyAlignment="1">
      <alignment horizontal="right"/>
    </xf>
    <xf numFmtId="3" fontId="67" fillId="10" borderId="8" xfId="0" applyNumberFormat="1" applyFont="1" applyFill="1" applyBorder="1" applyAlignment="1">
      <alignment horizontal="right"/>
    </xf>
    <xf numFmtId="0" fontId="36" fillId="4" borderId="0" xfId="0" applyFont="1" applyFill="1" applyAlignment="1">
      <alignment horizontal="right" wrapText="1"/>
    </xf>
    <xf numFmtId="168" fontId="67" fillId="10" borderId="5" xfId="0" applyNumberFormat="1" applyFont="1" applyFill="1" applyBorder="1" applyAlignment="1">
      <alignment horizontal="right"/>
    </xf>
    <xf numFmtId="172" fontId="67" fillId="10" borderId="6" xfId="0" applyNumberFormat="1" applyFont="1" applyFill="1" applyBorder="1" applyAlignment="1">
      <alignment horizontal="right"/>
    </xf>
    <xf numFmtId="165" fontId="67" fillId="10" borderId="6" xfId="0" applyNumberFormat="1" applyFont="1" applyFill="1" applyBorder="1" applyAlignment="1">
      <alignment horizontal="right"/>
    </xf>
    <xf numFmtId="2" fontId="67" fillId="10" borderId="6" xfId="0" applyNumberFormat="1" applyFont="1" applyFill="1" applyBorder="1" applyAlignment="1">
      <alignment horizontal="right"/>
    </xf>
    <xf numFmtId="0" fontId="41" fillId="0" borderId="8" xfId="0" applyFont="1" applyBorder="1"/>
    <xf numFmtId="0" fontId="45" fillId="0" borderId="8" xfId="0" applyFont="1" applyBorder="1"/>
    <xf numFmtId="0" fontId="69" fillId="9" borderId="0" xfId="0" applyFont="1" applyFill="1" applyAlignment="1">
      <alignment vertical="center"/>
    </xf>
    <xf numFmtId="0" fontId="70" fillId="4" borderId="0" xfId="0" applyFont="1" applyFill="1" applyAlignment="1">
      <alignment horizontal="left"/>
    </xf>
    <xf numFmtId="0" fontId="16" fillId="10" borderId="0" xfId="0" applyFont="1" applyFill="1"/>
    <xf numFmtId="3" fontId="16" fillId="10" borderId="0" xfId="0" applyNumberFormat="1" applyFont="1" applyFill="1"/>
    <xf numFmtId="9" fontId="16" fillId="10" borderId="0" xfId="0" applyNumberFormat="1" applyFont="1" applyFill="1"/>
    <xf numFmtId="166" fontId="16" fillId="10" borderId="0" xfId="0" applyNumberFormat="1" applyFont="1" applyFill="1"/>
    <xf numFmtId="1" fontId="16" fillId="10" borderId="0" xfId="0" applyNumberFormat="1" applyFont="1" applyFill="1"/>
    <xf numFmtId="165" fontId="16" fillId="10" borderId="0" xfId="0" applyNumberFormat="1" applyFont="1" applyFill="1"/>
    <xf numFmtId="169" fontId="16" fillId="10" borderId="0" xfId="0" applyNumberFormat="1" applyFont="1" applyFill="1"/>
    <xf numFmtId="0" fontId="23" fillId="10" borderId="0" xfId="0" applyFont="1" applyFill="1"/>
    <xf numFmtId="0" fontId="23" fillId="8" borderId="0" xfId="0" applyFont="1" applyFill="1"/>
    <xf numFmtId="168" fontId="16" fillId="10" borderId="0" xfId="0" applyNumberFormat="1" applyFont="1" applyFill="1"/>
    <xf numFmtId="172" fontId="16" fillId="8" borderId="0" xfId="0" applyNumberFormat="1" applyFont="1" applyFill="1"/>
    <xf numFmtId="165" fontId="16" fillId="8" borderId="0" xfId="0" applyNumberFormat="1" applyFont="1" applyFill="1"/>
    <xf numFmtId="2" fontId="16" fillId="10" borderId="0" xfId="0" applyNumberFormat="1" applyFont="1" applyFill="1"/>
    <xf numFmtId="0" fontId="71" fillId="0" borderId="0" xfId="0" applyFont="1"/>
    <xf numFmtId="49" fontId="72" fillId="0" borderId="0" xfId="0" applyNumberFormat="1" applyFont="1"/>
    <xf numFmtId="49" fontId="72" fillId="0" borderId="0" xfId="0" quotePrefix="1" applyNumberFormat="1" applyFont="1"/>
    <xf numFmtId="22" fontId="37" fillId="0" borderId="7" xfId="0" applyNumberFormat="1" applyFont="1" applyBorder="1" applyAlignment="1">
      <alignment horizontal="right"/>
    </xf>
    <xf numFmtId="1" fontId="67" fillId="10" borderId="8" xfId="0" applyNumberFormat="1" applyFont="1" applyFill="1" applyBorder="1" applyAlignment="1">
      <alignment horizontal="right"/>
    </xf>
    <xf numFmtId="1" fontId="16" fillId="8" borderId="0" xfId="0" applyNumberFormat="1" applyFont="1" applyFill="1"/>
    <xf numFmtId="0" fontId="31" fillId="0" borderId="0" xfId="0" applyFont="1"/>
    <xf numFmtId="190" fontId="31" fillId="0" borderId="0" xfId="0" applyNumberFormat="1" applyFont="1"/>
    <xf numFmtId="0" fontId="73" fillId="0" borderId="0" xfId="8"/>
    <xf numFmtId="165" fontId="12" fillId="10" borderId="0" xfId="0" applyNumberFormat="1" applyFont="1" applyFill="1"/>
    <xf numFmtId="165" fontId="12" fillId="8" borderId="0" xfId="0" applyNumberFormat="1" applyFont="1" applyFill="1"/>
    <xf numFmtId="2" fontId="16" fillId="8" borderId="0" xfId="0" applyNumberFormat="1" applyFont="1" applyFill="1"/>
    <xf numFmtId="191" fontId="0" fillId="0" borderId="0" xfId="0" applyNumberFormat="1"/>
    <xf numFmtId="22" fontId="0" fillId="0" borderId="0" xfId="0" applyNumberFormat="1" applyAlignment="1">
      <alignment horizontal="right" vertical="top" wrapText="1"/>
    </xf>
    <xf numFmtId="0" fontId="39" fillId="17" borderId="0" xfId="0" applyFont="1" applyFill="1" applyAlignment="1">
      <alignment horizontal="center"/>
    </xf>
    <xf numFmtId="0" fontId="39" fillId="12" borderId="0" xfId="0" applyFont="1" applyFill="1" applyAlignment="1">
      <alignment horizontal="center"/>
    </xf>
    <xf numFmtId="0" fontId="39" fillId="13" borderId="0" xfId="0" applyFont="1" applyFill="1" applyAlignment="1">
      <alignment horizontal="center"/>
    </xf>
    <xf numFmtId="3" fontId="60" fillId="0" borderId="6" xfId="0" applyNumberFormat="1" applyFont="1" applyFill="1" applyBorder="1" applyAlignment="1">
      <alignment horizontal="right"/>
    </xf>
    <xf numFmtId="3" fontId="0" fillId="0" borderId="0" xfId="0" applyNumberFormat="1" applyFill="1"/>
    <xf numFmtId="168" fontId="12" fillId="0" borderId="0" xfId="0" applyNumberFormat="1" applyFont="1" applyFill="1" applyAlignment="1">
      <alignment horizontal="right"/>
    </xf>
    <xf numFmtId="192" fontId="67" fillId="10" borderId="8" xfId="0" applyNumberFormat="1" applyFont="1" applyFill="1" applyBorder="1" applyAlignment="1">
      <alignment horizontal="right"/>
    </xf>
    <xf numFmtId="176" fontId="0" fillId="0" borderId="0" xfId="0" applyNumberFormat="1"/>
    <xf numFmtId="176" fontId="18" fillId="0" borderId="0" xfId="0" applyNumberFormat="1" applyFont="1"/>
    <xf numFmtId="176" fontId="16" fillId="10" borderId="0" xfId="0" applyNumberFormat="1" applyFont="1" applyFill="1"/>
    <xf numFmtId="0" fontId="20" fillId="7" borderId="0" xfId="0" applyFont="1" applyFill="1"/>
    <xf numFmtId="193" fontId="37" fillId="0" borderId="7" xfId="0" applyNumberFormat="1" applyFont="1" applyBorder="1" applyAlignment="1">
      <alignment horizontal="right"/>
    </xf>
    <xf numFmtId="193" fontId="36" fillId="2" borderId="7" xfId="0" applyNumberFormat="1" applyFont="1" applyFill="1" applyBorder="1" applyAlignment="1">
      <alignment horizontal="right"/>
    </xf>
    <xf numFmtId="0" fontId="46" fillId="11" borderId="7" xfId="0" applyNumberFormat="1" applyFont="1" applyFill="1" applyBorder="1" applyAlignment="1">
      <alignment horizontal="right"/>
    </xf>
    <xf numFmtId="3" fontId="0" fillId="0" borderId="0" xfId="0" applyNumberFormat="1" applyAlignment="1">
      <alignment horizontal="right" vertical="top"/>
    </xf>
    <xf numFmtId="3" fontId="12" fillId="0" borderId="0" xfId="0" applyNumberFormat="1" applyFont="1" applyAlignment="1">
      <alignment horizontal="right" vertical="top"/>
    </xf>
    <xf numFmtId="3" fontId="67" fillId="10" borderId="6" xfId="0" applyNumberFormat="1" applyFont="1" applyFill="1" applyBorder="1" applyAlignment="1">
      <alignment horizontal="right"/>
    </xf>
    <xf numFmtId="170" fontId="67" fillId="10" borderId="6" xfId="0" applyNumberFormat="1" applyFont="1" applyFill="1" applyBorder="1" applyAlignment="1">
      <alignment horizontal="right"/>
    </xf>
    <xf numFmtId="2" fontId="67" fillId="10" borderId="6" xfId="0" applyNumberFormat="1" applyFont="1" applyFill="1" applyBorder="1" applyAlignment="1">
      <alignment horizontal="right"/>
    </xf>
    <xf numFmtId="9" fontId="67" fillId="10" borderId="6" xfId="0" applyNumberFormat="1" applyFont="1" applyFill="1" applyBorder="1" applyAlignment="1">
      <alignment horizontal="right"/>
    </xf>
    <xf numFmtId="1" fontId="67" fillId="10" borderId="6" xfId="0" applyNumberFormat="1" applyFont="1" applyFill="1" applyBorder="1" applyAlignment="1">
      <alignment horizontal="right"/>
    </xf>
    <xf numFmtId="3" fontId="16" fillId="0" borderId="6" xfId="0" applyNumberFormat="1" applyFont="1" applyFill="1" applyBorder="1" applyAlignment="1">
      <alignment horizontal="right"/>
    </xf>
    <xf numFmtId="170" fontId="16" fillId="0" borderId="6" xfId="0" applyNumberFormat="1" applyFont="1" applyFill="1" applyBorder="1" applyAlignment="1">
      <alignment horizontal="right"/>
    </xf>
    <xf numFmtId="2" fontId="16" fillId="0" borderId="6" xfId="0" applyNumberFormat="1" applyFont="1" applyFill="1" applyBorder="1" applyAlignment="1">
      <alignment horizontal="right"/>
    </xf>
    <xf numFmtId="9" fontId="16" fillId="0" borderId="6" xfId="0" applyNumberFormat="1" applyFont="1" applyFill="1" applyBorder="1" applyAlignment="1">
      <alignment horizontal="right"/>
    </xf>
    <xf numFmtId="165" fontId="16" fillId="0" borderId="6" xfId="0" applyNumberFormat="1" applyFont="1" applyFill="1" applyBorder="1" applyAlignment="1">
      <alignment horizontal="right"/>
    </xf>
    <xf numFmtId="1" fontId="16" fillId="0" borderId="6" xfId="0" applyNumberFormat="1" applyFont="1" applyFill="1" applyBorder="1" applyAlignment="1">
      <alignment horizontal="right"/>
    </xf>
    <xf numFmtId="3" fontId="37" fillId="0" borderId="6" xfId="0" applyNumberFormat="1" applyFont="1" applyFill="1" applyBorder="1" applyAlignment="1">
      <alignment horizontal="right"/>
    </xf>
    <xf numFmtId="170" fontId="37" fillId="0" borderId="6" xfId="0" applyNumberFormat="1" applyFont="1" applyFill="1" applyBorder="1" applyAlignment="1">
      <alignment horizontal="right"/>
    </xf>
    <xf numFmtId="2" fontId="37" fillId="0" borderId="6" xfId="0" applyNumberFormat="1" applyFont="1" applyFill="1" applyBorder="1" applyAlignment="1">
      <alignment horizontal="right"/>
    </xf>
    <xf numFmtId="165" fontId="37" fillId="0" borderId="6" xfId="0" applyNumberFormat="1" applyFont="1" applyFill="1" applyBorder="1" applyAlignment="1">
      <alignment horizontal="right"/>
    </xf>
    <xf numFmtId="9" fontId="37" fillId="0" borderId="6" xfId="0" applyNumberFormat="1" applyFont="1" applyFill="1" applyBorder="1" applyAlignment="1">
      <alignment horizontal="right"/>
    </xf>
    <xf numFmtId="0" fontId="37" fillId="0" borderId="6" xfId="0" applyNumberFormat="1" applyFont="1" applyFill="1" applyBorder="1" applyAlignment="1">
      <alignment horizontal="left"/>
    </xf>
    <xf numFmtId="0" fontId="37" fillId="0" borderId="6" xfId="0" applyNumberFormat="1" applyFont="1" applyFill="1" applyBorder="1" applyAlignment="1">
      <alignment horizontal="right"/>
    </xf>
    <xf numFmtId="170" fontId="36" fillId="2" borderId="7" xfId="0" applyNumberFormat="1" applyFont="1" applyFill="1" applyBorder="1" applyAlignment="1">
      <alignment horizontal="right"/>
    </xf>
    <xf numFmtId="166" fontId="37" fillId="0" borderId="6" xfId="0" applyNumberFormat="1" applyFont="1" applyAlignment="1" applyBorder="1">
      <alignment horizontal="right"/>
    </xf>
    <xf numFmtId="167" fontId="37" fillId="0" borderId="6" xfId="0" applyNumberFormat="1" applyFont="1" applyBorder="1" applyAlignment="1">
      <alignment horizontal="right"/>
    </xf>
    <xf numFmtId="168" fontId="37" fillId="0" borderId="6" xfId="0" applyNumberFormat="1" applyFont="1" applyAlignment="1" applyBorder="1">
      <alignment horizontal="right"/>
    </xf>
    <xf numFmtId="0" fontId="44" fillId="0" borderId="6" xfId="0" applyFont="1" applyAlignment="1" applyBorder="1">
      <alignment horizontal="right"/>
    </xf>
    <xf numFmtId="172" fontId="16" fillId="0" borderId="6" xfId="0" applyNumberFormat="1" applyFont="1" applyFill="1" applyBorder="1" applyAlignment="1">
      <alignment horizontal="right"/>
    </xf>
    <xf numFmtId="165" fontId="16" fillId="0" borderId="6" xfId="0" applyNumberFormat="1" applyFont="1" applyFill="1" applyBorder="1" applyAlignment="1">
      <alignment horizontal="right"/>
    </xf>
    <xf numFmtId="3" fontId="16" fillId="0" borderId="6" xfId="0" applyNumberFormat="1" applyFont="1" applyFill="1" applyBorder="1" applyAlignment="1">
      <alignment horizontal="right"/>
    </xf>
    <xf numFmtId="3" fontId="16" fillId="0" borderId="8" xfId="0" applyNumberFormat="1" applyFont="1" applyFill="1" applyBorder="1" applyAlignment="1">
      <alignment horizontal="right"/>
    </xf>
    <xf numFmtId="169" fontId="16" fillId="0" borderId="0" xfId="0" applyNumberFormat="1" applyFont="1" applyFill="1"/>
    <xf numFmtId="172" fontId="16" fillId="0" borderId="0" xfId="0" applyNumberFormat="1" applyFont="1" applyFill="1"/>
    <xf numFmtId="1" fontId="16" fillId="0" borderId="0" xfId="0" applyNumberFormat="1" applyFont="1" applyFill="1"/>
    <xf numFmtId="0" fontId="39" fillId="17" borderId="3" xfId="0" applyFont="1" applyFill="1" applyBorder="1" applyAlignment="1">
      <alignment horizontal="left" vertical="center"/>
    </xf>
    <xf numFmtId="0" fontId="40" fillId="17" borderId="3" xfId="0" applyFont="1" applyFill="1" applyBorder="1" applyAlignment="1">
      <alignment horizontal="left" vertical="center"/>
    </xf>
    <xf numFmtId="0" fontId="36" fillId="4" borderId="0" xfId="0" applyFont="1" applyFill="1" applyAlignment="1">
      <alignment horizontal="center" vertical="center" wrapText="1"/>
    </xf>
    <xf numFmtId="0" fontId="36" fillId="4" borderId="0" xfId="0" applyFont="1" applyFill="1" applyAlignment="1">
      <alignment horizontal="left" vertical="center"/>
    </xf>
    <xf numFmtId="0" fontId="37" fillId="0" borderId="6" xfId="0" applyFont="1" applyBorder="1" applyAlignment="1">
      <alignment horizontal="left" vertical="center" indent="1"/>
    </xf>
    <xf numFmtId="0" fontId="41" fillId="0" borderId="6" xfId="0" applyFont="1" applyBorder="1" applyAlignment="1">
      <alignment horizontal="left" vertical="center" indent="1"/>
    </xf>
    <xf numFmtId="3" fontId="67" fillId="10" borderId="6" xfId="0" applyNumberFormat="1" applyFont="1" applyFill="1" applyBorder="1" applyAlignment="1">
      <alignment horizontal="right"/>
    </xf>
    <xf numFmtId="172" fontId="67" fillId="10" borderId="6" xfId="0" applyNumberFormat="1" applyFont="1" applyFill="1" applyBorder="1" applyAlignment="1">
      <alignment horizontal="right"/>
    </xf>
    <xf numFmtId="4" fontId="67" fillId="10" borderId="6" xfId="0" applyNumberFormat="1" applyFont="1" applyFill="1" applyBorder="1" applyAlignment="1">
      <alignment horizontal="right"/>
    </xf>
    <xf numFmtId="2" fontId="67" fillId="10" borderId="6" xfId="0" applyNumberFormat="1" applyFont="1" applyFill="1" applyBorder="1" applyAlignment="1">
      <alignment horizontal="right"/>
    </xf>
    <xf numFmtId="173" fontId="67" fillId="10" borderId="6" xfId="0" applyNumberFormat="1" applyFont="1" applyFill="1" applyBorder="1" applyAlignment="1">
      <alignment horizontal="right"/>
    </xf>
    <xf numFmtId="1" fontId="67" fillId="10" borderId="6" xfId="0" applyNumberFormat="1" applyFont="1" applyFill="1" applyBorder="1" applyAlignment="1">
      <alignment horizontal="right"/>
    </xf>
    <xf numFmtId="9" fontId="67" fillId="10" borderId="6" xfId="0" applyNumberFormat="1" applyFont="1" applyFill="1" applyBorder="1" applyAlignment="1">
      <alignment horizontal="right"/>
    </xf>
    <xf numFmtId="165" fontId="67" fillId="10" borderId="6" xfId="0" applyNumberFormat="1" applyFont="1" applyFill="1" applyBorder="1" applyAlignment="1">
      <alignment horizontal="right"/>
    </xf>
    <xf numFmtId="10" fontId="67" fillId="10" borderId="6" xfId="0" applyNumberFormat="1" applyFont="1" applyFill="1" applyBorder="1" applyAlignment="1">
      <alignment horizontal="right"/>
    </xf>
    <xf numFmtId="193" fontId="67" fillId="10" borderId="6" xfId="0" applyNumberFormat="1" applyFont="1" applyFill="1" applyBorder="1" applyAlignment="1">
      <alignment horizontal="right"/>
    </xf>
    <xf numFmtId="176" fontId="67" fillId="10" borderId="6" xfId="0" applyNumberFormat="1" applyFont="1" applyFill="1" applyBorder="1" applyAlignment="1">
      <alignment horizontal="right"/>
    </xf>
    <xf numFmtId="0" fontId="67" fillId="10" borderId="6" xfId="0" applyFont="1" applyFill="1" applyBorder="1" applyAlignment="1">
      <alignment horizontal="left" vertical="center"/>
    </xf>
    <xf numFmtId="0" fontId="67" fillId="10" borderId="6" xfId="0" applyNumberFormat="1" applyFont="1" applyFill="1" applyBorder="1" applyAlignment="1">
      <alignment horizontal="right"/>
    </xf>
    <xf numFmtId="200" fontId="67" fillId="10" borderId="6" xfId="0" applyNumberFormat="1" applyFont="1" applyFill="1" applyBorder="1" applyAlignment="1">
      <alignment horizontal="right"/>
    </xf>
    <xf numFmtId="201" fontId="67" fillId="10" borderId="6" xfId="0" applyNumberFormat="1" applyFont="1" applyFill="1" applyBorder="1" applyAlignment="1">
      <alignment horizontal="right"/>
    </xf>
    <xf numFmtId="202" fontId="67" fillId="10" borderId="6" xfId="0" applyNumberFormat="1" applyFont="1" applyFill="1" applyBorder="1" applyAlignment="1">
      <alignment horizontal="right"/>
    </xf>
    <xf numFmtId="203" fontId="67" fillId="10" borderId="6" xfId="0" applyNumberFormat="1" applyFont="1" applyFill="1" applyBorder="1" applyAlignment="1">
      <alignment horizontal="right"/>
    </xf>
    <xf numFmtId="0" fontId="67" fillId="10" borderId="6" xfId="0" applyFont="1" applyFill="1" applyBorder="1" applyAlignment="1">
      <alignment horizontal="left" vertical="center" wrapText="1"/>
    </xf>
    <xf numFmtId="3" fontId="37" fillId="0" borderId="6" xfId="0" applyNumberFormat="1" applyFont="1" applyFill="1" applyBorder="1" applyAlignment="1">
      <alignment horizontal="right"/>
    </xf>
    <xf numFmtId="172" fontId="37" fillId="0" borderId="6" xfId="0" applyNumberFormat="1" applyFont="1" applyFill="1" applyBorder="1" applyAlignment="1">
      <alignment horizontal="right"/>
    </xf>
    <xf numFmtId="4" fontId="37" fillId="0" borderId="6" xfId="0" applyNumberFormat="1" applyFont="1" applyFill="1" applyBorder="1" applyAlignment="1">
      <alignment horizontal="right"/>
    </xf>
    <xf numFmtId="2" fontId="37" fillId="0" borderId="6" xfId="0" applyNumberFormat="1" applyFont="1" applyFill="1" applyBorder="1" applyAlignment="1">
      <alignment horizontal="right"/>
    </xf>
    <xf numFmtId="173" fontId="37" fillId="0" borderId="6" xfId="0" applyNumberFormat="1" applyFont="1" applyFill="1" applyBorder="1" applyAlignment="1">
      <alignment horizontal="right"/>
    </xf>
    <xf numFmtId="1" fontId="37" fillId="0" borderId="6" xfId="0" applyNumberFormat="1" applyFont="1" applyFill="1" applyBorder="1" applyAlignment="1">
      <alignment horizontal="right"/>
    </xf>
    <xf numFmtId="9" fontId="37" fillId="0" borderId="6" xfId="0" applyNumberFormat="1" applyFont="1" applyFill="1" applyBorder="1" applyAlignment="1">
      <alignment horizontal="right"/>
    </xf>
    <xf numFmtId="165" fontId="37" fillId="0" borderId="6" xfId="0" applyNumberFormat="1" applyFont="1" applyFill="1" applyBorder="1" applyAlignment="1">
      <alignment horizontal="right"/>
    </xf>
    <xf numFmtId="10" fontId="37" fillId="0" borderId="6" xfId="0" applyNumberFormat="1" applyFont="1" applyFill="1" applyBorder="1" applyAlignment="1">
      <alignment horizontal="right"/>
    </xf>
    <xf numFmtId="193" fontId="37" fillId="0" borderId="6" xfId="0" applyNumberFormat="1" applyFont="1" applyFill="1" applyBorder="1" applyAlignment="1">
      <alignment horizontal="right"/>
    </xf>
    <xf numFmtId="176" fontId="37" fillId="0" borderId="6" xfId="0" applyNumberFormat="1" applyFont="1" applyFill="1" applyBorder="1" applyAlignment="1">
      <alignment horizontal="right"/>
    </xf>
    <xf numFmtId="0" fontId="37" fillId="0" borderId="6" xfId="0" applyNumberFormat="1" applyFont="1" applyFill="1" applyBorder="1" applyAlignment="1">
      <alignment horizontal="right"/>
    </xf>
    <xf numFmtId="200" fontId="37" fillId="0" borderId="6" xfId="0" applyNumberFormat="1" applyFont="1" applyFill="1" applyBorder="1" applyAlignment="1">
      <alignment horizontal="right"/>
    </xf>
    <xf numFmtId="201" fontId="37" fillId="0" borderId="6" xfId="0" applyNumberFormat="1" applyFont="1" applyFill="1" applyBorder="1" applyAlignment="1">
      <alignment horizontal="right"/>
    </xf>
    <xf numFmtId="202" fontId="37" fillId="0" borderId="6" xfId="0" applyNumberFormat="1" applyFont="1" applyFill="1" applyBorder="1" applyAlignment="1">
      <alignment horizontal="right"/>
    </xf>
    <xf numFmtId="203" fontId="37" fillId="0" borderId="6" xfId="0" applyNumberFormat="1" applyFont="1" applyFill="1" applyBorder="1" applyAlignment="1">
      <alignment horizontal="right"/>
    </xf>
    <xf numFmtId="3" fontId="36" fillId="0" borderId="6" xfId="0" applyNumberFormat="1" applyFont="1" applyFill="1" applyBorder="1" applyAlignment="1">
      <alignment horizontal="right"/>
    </xf>
    <xf numFmtId="172" fontId="36" fillId="0" borderId="6" xfId="0" applyNumberFormat="1" applyFont="1" applyFill="1" applyBorder="1" applyAlignment="1">
      <alignment horizontal="right"/>
    </xf>
    <xf numFmtId="4" fontId="36" fillId="0" borderId="6" xfId="0" applyNumberFormat="1" applyFont="1" applyFill="1" applyBorder="1" applyAlignment="1">
      <alignment horizontal="right"/>
    </xf>
    <xf numFmtId="2" fontId="36" fillId="0" borderId="6" xfId="0" applyNumberFormat="1" applyFont="1" applyFill="1" applyBorder="1" applyAlignment="1">
      <alignment horizontal="right"/>
    </xf>
    <xf numFmtId="173" fontId="36" fillId="0" borderId="6" xfId="0" applyNumberFormat="1" applyFont="1" applyFill="1" applyBorder="1" applyAlignment="1">
      <alignment horizontal="right"/>
    </xf>
    <xf numFmtId="1" fontId="36" fillId="0" borderId="6" xfId="0" applyNumberFormat="1" applyFont="1" applyFill="1" applyBorder="1" applyAlignment="1">
      <alignment horizontal="right"/>
    </xf>
    <xf numFmtId="9" fontId="36" fillId="0" borderId="6" xfId="0" applyNumberFormat="1" applyFont="1" applyFill="1" applyBorder="1" applyAlignment="1">
      <alignment horizontal="right"/>
    </xf>
    <xf numFmtId="165" fontId="36" fillId="0" borderId="6" xfId="0" applyNumberFormat="1" applyFont="1" applyFill="1" applyBorder="1" applyAlignment="1">
      <alignment horizontal="right"/>
    </xf>
    <xf numFmtId="10" fontId="36" fillId="0" borderId="6" xfId="0" applyNumberFormat="1" applyFont="1" applyFill="1" applyBorder="1" applyAlignment="1">
      <alignment horizontal="right"/>
    </xf>
    <xf numFmtId="193" fontId="36" fillId="0" borderId="6" xfId="0" applyNumberFormat="1" applyFont="1" applyFill="1" applyBorder="1" applyAlignment="1">
      <alignment horizontal="right"/>
    </xf>
    <xf numFmtId="176" fontId="36" fillId="0" borderId="6" xfId="0" applyNumberFormat="1" applyFont="1" applyFill="1" applyBorder="1" applyAlignment="1">
      <alignment horizontal="right"/>
    </xf>
    <xf numFmtId="204" fontId="36" fillId="0" borderId="6" xfId="0" applyNumberFormat="1" applyFont="1" applyFill="1" applyBorder="1" applyAlignment="1">
      <alignment horizontal="right"/>
    </xf>
    <xf numFmtId="0" fontId="36" fillId="0" borderId="6" xfId="0" applyNumberFormat="1" applyFont="1" applyFill="1" applyBorder="1" applyAlignment="1">
      <alignment horizontal="right"/>
    </xf>
    <xf numFmtId="200" fontId="36" fillId="0" borderId="6" xfId="0" applyNumberFormat="1" applyFont="1" applyFill="1" applyBorder="1" applyAlignment="1">
      <alignment horizontal="right"/>
    </xf>
    <xf numFmtId="201" fontId="36" fillId="0" borderId="6" xfId="0" applyNumberFormat="1" applyFont="1" applyFill="1" applyBorder="1" applyAlignment="1">
      <alignment horizontal="right"/>
    </xf>
    <xf numFmtId="202" fontId="36" fillId="0" borderId="6" xfId="0" applyNumberFormat="1" applyFont="1" applyFill="1" applyBorder="1" applyAlignment="1">
      <alignment horizontal="right"/>
    </xf>
    <xf numFmtId="203" fontId="36" fillId="0" borderId="6" xfId="0" applyNumberFormat="1" applyFont="1" applyFill="1" applyBorder="1" applyAlignment="1">
      <alignment horizontal="right"/>
    </xf>
    <xf applyNumberFormat="1" numFmtId="0" fontId="41" fillId="0" borderId="6" xfId="0" applyFont="1" applyBorder="1" applyAlignment="1">
      <alignment horizontal="right" vertical="center"/>
    </xf>
    <xf numFmtId="0" fontId="16" fillId="0" borderId="6" xfId="0" applyNumberFormat="1" applyFont="1" applyFill="1" applyBorder="1" applyAlignment="1">
      <alignment horizontal="right"/>
    </xf>
    <xf numFmtId="10" fontId="16" fillId="0" borderId="6" xfId="0" applyNumberFormat="1" applyFont="1" applyFill="1" applyBorder="1" applyAlignment="1">
      <alignment horizontal="right"/>
    </xf>
    <xf numFmtId="176" fontId="0" fillId="0" borderId="0" xfId="0" applyNumberFormat="1"/>
  </cellXfs>
  <cellStyles count="9">
    <cellStyle name="Blank_Cell" xfId="7" xr:uid="{1CE77F3E-0EE5-46CF-8CD9-A7BE1C47E1C0}"/>
    <cellStyle name="Comma 2" xfId="3" xr:uid="{C8169FA8-42BF-409A-8463-87C5CB1E2354}"/>
    <cellStyle name="Hyperlink" xfId="8" builtinId="8"/>
    <cellStyle name="Normal" xfId="0" builtinId="0"/>
    <cellStyle name="Normal 11 3 4" xfId="1" xr:uid="{A76B5719-7D58-470A-B79F-5B658D271997}"/>
    <cellStyle name="Normal 2" xfId="2" xr:uid="{2BD887C5-0C50-4E0B-881E-844F0111F296}"/>
    <cellStyle name="Normal 2 2" xfId="6" xr:uid="{F66FB340-83AA-4168-A676-39D92CC2F5BF}"/>
    <cellStyle name="Normal 3" xfId="5" xr:uid="{C012F52E-5461-4E98-A108-C6E87958CD49}"/>
    <cellStyle name="Normal 3 2" xfId="4" xr:uid="{B9DE5D2E-64A9-438A-B4DC-C84D2688B099}"/>
  </cellStyles>
  <dxfs count="11">
    <dxf>
      <fill>
        <patternFill patternType="solid">
          <fgColor indexed="64"/>
          <bgColor rgb="FFFFC7CE"/>
        </patternFill>
      </fill>
    </dxf>
    <dxf>
      <fill>
        <patternFill patternType="solid">
          <fgColor indexed="64"/>
          <bgColor rgb="FFC6EFCE"/>
        </patternFill>
      </fill>
    </dxf>
    <dxf>
      <font>
        <color rgb="FF2E75B6"/>
      </font>
    </dxf>
    <dxf>
      <font>
        <color rgb="FFC00000"/>
      </font>
    </dxf>
    <dxf>
      <font>
        <color rgb="FF2E75B6"/>
      </font>
    </dxf>
    <dxf>
      <font>
        <color rgb="FFC00000"/>
      </font>
    </dxf>
    <dxf>
      <font>
        <color rgb="FFFFFFFF"/>
      </font>
      <fill>
        <patternFill patternType="solid">
          <fgColor indexed="64"/>
          <bgColor rgb="FFBF8F00"/>
        </patternFill>
      </fill>
    </dxf>
    <dxf>
      <font>
        <color rgb="FFFFFFFF"/>
      </font>
      <fill>
        <patternFill patternType="solid">
          <fgColor indexed="64"/>
          <bgColor rgb="FF2F5597"/>
        </patternFill>
      </fill>
    </dxf>
    <dxf>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 Id="rId29" Type="http://schemas.openxmlformats.org/officeDocument/2006/relationships/worksheet" Target="worksheets/sheet19.xml"/><Relationship Id="rId90" Type="http://schemas.openxmlformats.org/officeDocument/2006/relationships/worksheet" Target="worksheets/sheet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FEP cumulative equity position (k€, post-tax)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FEP cumulative position (€m)</c:v>
          </c:tx>
          <c:spPr>
            <a:ln w="28575" cap="rnd">
              <a:solidFill>
                <a:schemeClr val="accent1"/>
              </a:solidFill>
              <a:round/>
            </a:ln>
            <a:effectLst/>
          </c:spPr>
          <c:marker>
            <c:symbol val="none"/>
          </c:marker>
          <c:cat>
            <c:numRef>
              <c:f>MOIC!$H$5:$BP$5</c:f>
              <c:numCache>
                <c:formatCode>mmm\-yy</c:formatCode>
                <c:ptCount val="61"/>
                <c:pt idx="0">
                  <c:v>46234</c:v>
                </c:pt>
                <c:pt idx="1">
                  <c:v>46265</c:v>
                </c:pt>
                <c:pt idx="2">
                  <c:v>46295</c:v>
                </c:pt>
                <c:pt idx="3">
                  <c:v>46326</c:v>
                </c:pt>
                <c:pt idx="4">
                  <c:v>46356</c:v>
                </c:pt>
                <c:pt idx="5">
                  <c:v>46387</c:v>
                </c:pt>
                <c:pt idx="6">
                  <c:v>46418</c:v>
                </c:pt>
                <c:pt idx="7">
                  <c:v>46446</c:v>
                </c:pt>
                <c:pt idx="8">
                  <c:v>46477</c:v>
                </c:pt>
                <c:pt idx="9">
                  <c:v>46507</c:v>
                </c:pt>
                <c:pt idx="10">
                  <c:v>46538</c:v>
                </c:pt>
                <c:pt idx="11">
                  <c:v>46568</c:v>
                </c:pt>
                <c:pt idx="12">
                  <c:v>46599</c:v>
                </c:pt>
                <c:pt idx="13">
                  <c:v>46630</c:v>
                </c:pt>
                <c:pt idx="14">
                  <c:v>46660</c:v>
                </c:pt>
                <c:pt idx="15">
                  <c:v>46691</c:v>
                </c:pt>
                <c:pt idx="16">
                  <c:v>46721</c:v>
                </c:pt>
                <c:pt idx="17">
                  <c:v>46752</c:v>
                </c:pt>
                <c:pt idx="18">
                  <c:v>46783</c:v>
                </c:pt>
                <c:pt idx="19">
                  <c:v>46812</c:v>
                </c:pt>
                <c:pt idx="20">
                  <c:v>46843</c:v>
                </c:pt>
                <c:pt idx="21">
                  <c:v>46873</c:v>
                </c:pt>
                <c:pt idx="22">
                  <c:v>46904</c:v>
                </c:pt>
                <c:pt idx="23">
                  <c:v>46934</c:v>
                </c:pt>
                <c:pt idx="24">
                  <c:v>46965</c:v>
                </c:pt>
                <c:pt idx="25">
                  <c:v>46996</c:v>
                </c:pt>
                <c:pt idx="26">
                  <c:v>47026</c:v>
                </c:pt>
                <c:pt idx="27">
                  <c:v>47057</c:v>
                </c:pt>
                <c:pt idx="28">
                  <c:v>47087</c:v>
                </c:pt>
                <c:pt idx="29">
                  <c:v>47118</c:v>
                </c:pt>
                <c:pt idx="30">
                  <c:v>47149</c:v>
                </c:pt>
                <c:pt idx="31">
                  <c:v>47177</c:v>
                </c:pt>
                <c:pt idx="32">
                  <c:v>47208</c:v>
                </c:pt>
                <c:pt idx="33">
                  <c:v>47238</c:v>
                </c:pt>
                <c:pt idx="34">
                  <c:v>47269</c:v>
                </c:pt>
                <c:pt idx="35">
                  <c:v>47299</c:v>
                </c:pt>
                <c:pt idx="36">
                  <c:v>47330</c:v>
                </c:pt>
                <c:pt idx="37">
                  <c:v>47361</c:v>
                </c:pt>
                <c:pt idx="38">
                  <c:v>47391</c:v>
                </c:pt>
                <c:pt idx="39">
                  <c:v>47422</c:v>
                </c:pt>
                <c:pt idx="40">
                  <c:v>47452</c:v>
                </c:pt>
                <c:pt idx="41">
                  <c:v>47483</c:v>
                </c:pt>
                <c:pt idx="42">
                  <c:v>47514</c:v>
                </c:pt>
                <c:pt idx="43">
                  <c:v>47542</c:v>
                </c:pt>
                <c:pt idx="44">
                  <c:v>47573</c:v>
                </c:pt>
                <c:pt idx="45">
                  <c:v>47603</c:v>
                </c:pt>
                <c:pt idx="46">
                  <c:v>47634</c:v>
                </c:pt>
                <c:pt idx="47">
                  <c:v>47664</c:v>
                </c:pt>
                <c:pt idx="48">
                  <c:v>47695</c:v>
                </c:pt>
                <c:pt idx="49">
                  <c:v>47726</c:v>
                </c:pt>
                <c:pt idx="50">
                  <c:v>47756</c:v>
                </c:pt>
                <c:pt idx="51">
                  <c:v>47787</c:v>
                </c:pt>
                <c:pt idx="52">
                  <c:v>47817</c:v>
                </c:pt>
                <c:pt idx="53">
                  <c:v>47848</c:v>
                </c:pt>
                <c:pt idx="54">
                  <c:v>47879</c:v>
                </c:pt>
                <c:pt idx="55">
                  <c:v>47907</c:v>
                </c:pt>
                <c:pt idx="56">
                  <c:v>47938</c:v>
                </c:pt>
                <c:pt idx="57">
                  <c:v>47968</c:v>
                </c:pt>
                <c:pt idx="58">
                  <c:v>47999</c:v>
                </c:pt>
                <c:pt idx="59">
                  <c:v>48029</c:v>
                </c:pt>
                <c:pt idx="60">
                  <c:v>48060</c:v>
                </c:pt>
              </c:numCache>
            </c:numRef>
          </c:cat>
          <c:val>
            <c:numRef>
              <c:f>MOIC!$H$177:$BP$177</c:f>
              <c:numCache>
                <c:formatCode>#,##0</c:formatCode>
                <c:ptCount val="61"/>
                <c:pt idx="0">
                  <c:v>-4650</c:v>
                </c:pt>
                <c:pt idx="1">
                  <c:v>-4650</c:v>
                </c:pt>
                <c:pt idx="2">
                  <c:v>-4650</c:v>
                </c:pt>
                <c:pt idx="3">
                  <c:v>-4689.2781601395627</c:v>
                </c:pt>
                <c:pt idx="4">
                  <c:v>-4692.1259683587405</c:v>
                </c:pt>
                <c:pt idx="5">
                  <c:v>-5329.9228861669599</c:v>
                </c:pt>
                <c:pt idx="6">
                  <c:v>-5352.8300941331117</c:v>
                </c:pt>
                <c:pt idx="7">
                  <c:v>-5402.6624542206328</c:v>
                </c:pt>
                <c:pt idx="8">
                  <c:v>-5487.3692540378779</c:v>
                </c:pt>
                <c:pt idx="9">
                  <c:v>-5508.7278156817138</c:v>
                </c:pt>
                <c:pt idx="10">
                  <c:v>-5530.0863773255496</c:v>
                </c:pt>
                <c:pt idx="11">
                  <c:v>-5558.3278115130124</c:v>
                </c:pt>
                <c:pt idx="12">
                  <c:v>-5586.5692457004752</c:v>
                </c:pt>
                <c:pt idx="13">
                  <c:v>-5607.9278073443111</c:v>
                </c:pt>
                <c:pt idx="14">
                  <c:v>-5629.2863689881469</c:v>
                </c:pt>
                <c:pt idx="15">
                  <c:v>-5650.6449306319828</c:v>
                </c:pt>
                <c:pt idx="16">
                  <c:v>-5678.4561852854686</c:v>
                </c:pt>
                <c:pt idx="17">
                  <c:v>-5722.5247848870022</c:v>
                </c:pt>
                <c:pt idx="18">
                  <c:v>-5895.8465275454564</c:v>
                </c:pt>
                <c:pt idx="19">
                  <c:v>-5953.7703495773121</c:v>
                </c:pt>
                <c:pt idx="20">
                  <c:v>-5989.157065824128</c:v>
                </c:pt>
                <c:pt idx="21">
                  <c:v>-6010.5328346493225</c:v>
                </c:pt>
                <c:pt idx="22">
                  <c:v>-6031.8913962931583</c:v>
                </c:pt>
                <c:pt idx="23">
                  <c:v>-6053.9662068610651</c:v>
                </c:pt>
                <c:pt idx="24">
                  <c:v>-6075.3247685049009</c:v>
                </c:pt>
                <c:pt idx="25">
                  <c:v>-6122.4482455406505</c:v>
                </c:pt>
                <c:pt idx="26">
                  <c:v>-6143.8068071844864</c:v>
                </c:pt>
                <c:pt idx="27">
                  <c:v>-6165.1653688283222</c:v>
                </c:pt>
                <c:pt idx="28">
                  <c:v>-6191.6860848798788</c:v>
                </c:pt>
                <c:pt idx="29">
                  <c:v>-6258.5229062240433</c:v>
                </c:pt>
                <c:pt idx="30">
                  <c:v>-14443.308209232346</c:v>
                </c:pt>
                <c:pt idx="31">
                  <c:v>-14464.666770876182</c:v>
                </c:pt>
                <c:pt idx="32">
                  <c:v>1313.7099727729837</c:v>
                </c:pt>
                <c:pt idx="33">
                  <c:v>1313.7099727729837</c:v>
                </c:pt>
                <c:pt idx="34">
                  <c:v>1313.7099727729837</c:v>
                </c:pt>
                <c:pt idx="35">
                  <c:v>1313.7099727729837</c:v>
                </c:pt>
                <c:pt idx="36">
                  <c:v>1313.7099727729837</c:v>
                </c:pt>
                <c:pt idx="37">
                  <c:v>1313.7099727729837</c:v>
                </c:pt>
                <c:pt idx="38">
                  <c:v>1313.7099727729837</c:v>
                </c:pt>
                <c:pt idx="39">
                  <c:v>1313.7099727729837</c:v>
                </c:pt>
                <c:pt idx="40">
                  <c:v>1313.7099727729837</c:v>
                </c:pt>
                <c:pt idx="41">
                  <c:v>1313.7099727729837</c:v>
                </c:pt>
                <c:pt idx="42">
                  <c:v>1313.7099727729837</c:v>
                </c:pt>
                <c:pt idx="43">
                  <c:v>1313.7099727729837</c:v>
                </c:pt>
                <c:pt idx="44">
                  <c:v>1313.7099727729837</c:v>
                </c:pt>
                <c:pt idx="45">
                  <c:v>1313.7099727729837</c:v>
                </c:pt>
                <c:pt idx="46">
                  <c:v>1313.7099727729837</c:v>
                </c:pt>
                <c:pt idx="47">
                  <c:v>1313.7099727729837</c:v>
                </c:pt>
                <c:pt idx="48">
                  <c:v>1313.7099727729837</c:v>
                </c:pt>
                <c:pt idx="49">
                  <c:v>1313.7099727729837</c:v>
                </c:pt>
                <c:pt idx="50">
                  <c:v>1313.7099727729837</c:v>
                </c:pt>
                <c:pt idx="51">
                  <c:v>1313.7099727729837</c:v>
                </c:pt>
                <c:pt idx="52">
                  <c:v>1313.7099727729837</c:v>
                </c:pt>
                <c:pt idx="53">
                  <c:v>1313.7099727729837</c:v>
                </c:pt>
                <c:pt idx="54">
                  <c:v>1313.7099727729837</c:v>
                </c:pt>
                <c:pt idx="55">
                  <c:v>1313.7099727729837</c:v>
                </c:pt>
                <c:pt idx="56">
                  <c:v>1313.7099727729837</c:v>
                </c:pt>
                <c:pt idx="57">
                  <c:v>1313.7099727729837</c:v>
                </c:pt>
                <c:pt idx="58">
                  <c:v>1313.7099727729837</c:v>
                </c:pt>
                <c:pt idx="59">
                  <c:v>1313.7099727729837</c:v>
                </c:pt>
                <c:pt idx="60">
                  <c:v>1313.7099727729837</c:v>
                </c:pt>
              </c:numCache>
            </c:numRef>
          </c:val>
          <c:smooth val="0"/>
          <c:extLst>
            <c:ext xmlns:c16="http://schemas.microsoft.com/office/drawing/2014/chart" uri="{C3380CC4-5D6E-409C-BE32-E72D297353CC}">
              <c16:uniqueId val="{00000000-A3F6-4E40-A47D-04BDC4A97684}"/>
            </c:ext>
          </c:extLst>
        </c:ser>
        <c:dLbls>
          <c:showLegendKey val="0"/>
          <c:showVal val="0"/>
          <c:showCatName val="0"/>
          <c:showSerName val="0"/>
          <c:showPercent val="0"/>
          <c:showBubbleSize val="0"/>
        </c:dLbls>
        <c:smooth val="0"/>
        <c:axId val="636881503"/>
        <c:axId val="438926895"/>
      </c:lineChart>
      <c:dateAx>
        <c:axId val="636881503"/>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926895"/>
        <c:crosses val="autoZero"/>
        <c:auto val="1"/>
        <c:lblOffset val="100"/>
        <c:baseTimeUnit val="months"/>
        <c:majorUnit val="6"/>
        <c:majorTimeUnit val="months"/>
      </c:dateAx>
      <c:valAx>
        <c:axId val="438926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k€, post-tax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8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HTM – FEP equity cash flow by year (k€)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HTM!$H$5:$AQ$5</c:f>
              <c:numCache>
                <c:formatCode>0</c:formatCode>
                <c:ptCount val="36"/>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pt idx="31">
                  <c:v>2057</c:v>
                </c:pt>
                <c:pt idx="32">
                  <c:v>2058</c:v>
                </c:pt>
                <c:pt idx="33">
                  <c:v>2059</c:v>
                </c:pt>
                <c:pt idx="34">
                  <c:v>2060</c:v>
                </c:pt>
                <c:pt idx="35">
                  <c:v>2061</c:v>
                </c:pt>
              </c:numCache>
            </c:numRef>
          </c:cat>
          <c:val>
            <c:numRef>
              <c:f>HTM!$H$129:$AQ$129</c:f>
              <c:numCache>
                <c:formatCode>#\ ##0;\(#\ ##0\);\-</c:formatCode>
                <c:ptCount val="36"/>
                <c:pt idx="0">
                  <c:v>-5329.9228861669599</c:v>
                </c:pt>
                <c:pt idx="1">
                  <c:v>-392.6018987200423</c:v>
                </c:pt>
                <c:pt idx="2">
                  <c:v>-6995.5152416776045</c:v>
                </c:pt>
                <c:pt idx="3">
                  <c:v>-30952.307994173651</c:v>
                </c:pt>
                <c:pt idx="4">
                  <c:v>-18617.042193564208</c:v>
                </c:pt>
                <c:pt idx="5">
                  <c:v>2761.9463089557012</c:v>
                </c:pt>
                <c:pt idx="6">
                  <c:v>2520.5632941061363</c:v>
                </c:pt>
                <c:pt idx="7">
                  <c:v>2639.0473505441009</c:v>
                </c:pt>
                <c:pt idx="8">
                  <c:v>2419.323078613234</c:v>
                </c:pt>
                <c:pt idx="9">
                  <c:v>2481.2444873165041</c:v>
                </c:pt>
                <c:pt idx="10">
                  <c:v>5140.4513648363254</c:v>
                </c:pt>
                <c:pt idx="11">
                  <c:v>6277.9604363898925</c:v>
                </c:pt>
                <c:pt idx="12">
                  <c:v>10437.692025702838</c:v>
                </c:pt>
                <c:pt idx="13">
                  <c:v>14333.451443680591</c:v>
                </c:pt>
                <c:pt idx="14">
                  <c:v>14349.744260844129</c:v>
                </c:pt>
                <c:pt idx="15">
                  <c:v>14353.350536998138</c:v>
                </c:pt>
                <c:pt idx="16">
                  <c:v>14717.603713937624</c:v>
                </c:pt>
                <c:pt idx="17">
                  <c:v>14978.11787580167</c:v>
                </c:pt>
                <c:pt idx="18">
                  <c:v>15063.029959252341</c:v>
                </c:pt>
                <c:pt idx="19">
                  <c:v>15595.546808830517</c:v>
                </c:pt>
                <c:pt idx="20">
                  <c:v>15863.280734603968</c:v>
                </c:pt>
                <c:pt idx="21">
                  <c:v>16059.719025683773</c:v>
                </c:pt>
                <c:pt idx="22">
                  <c:v>15945.911220479496</c:v>
                </c:pt>
                <c:pt idx="23">
                  <c:v>16204.905236163846</c:v>
                </c:pt>
                <c:pt idx="24">
                  <c:v>16064.903690996831</c:v>
                </c:pt>
                <c:pt idx="25">
                  <c:v>15703.575694362697</c:v>
                </c:pt>
                <c:pt idx="26">
                  <c:v>15597.664741464492</c:v>
                </c:pt>
                <c:pt idx="27">
                  <c:v>16023.564020726628</c:v>
                </c:pt>
                <c:pt idx="28">
                  <c:v>16165.356442061366</c:v>
                </c:pt>
                <c:pt idx="29">
                  <c:v>16316.154217023432</c:v>
                </c:pt>
                <c:pt idx="30">
                  <c:v>16300.132409969699</c:v>
                </c:pt>
                <c:pt idx="31">
                  <c:v>16712.465176170954</c:v>
                </c:pt>
                <c:pt idx="32">
                  <c:v>17395.152712410658</c:v>
                </c:pt>
                <c:pt idx="33">
                  <c:v>18003.157227521813</c:v>
                </c:pt>
                <c:pt idx="34">
                  <c:v>11646.41811454765</c:v>
                </c:pt>
                <c:pt idx="35">
                  <c:v>0</c:v>
                </c:pt>
              </c:numCache>
            </c:numRef>
          </c:val>
          <c:extLst>
            <c:ext xmlns:c16="http://schemas.microsoft.com/office/drawing/2014/chart" uri="{C3380CC4-5D6E-409C-BE32-E72D297353CC}">
              <c16:uniqueId val="{00000000-3F80-4393-8DC4-58FC2F4C4624}"/>
            </c:ext>
          </c:extLst>
        </c:ser>
        <c:dLbls>
          <c:showLegendKey val="0"/>
          <c:showVal val="0"/>
          <c:showCatName val="0"/>
          <c:showSerName val="0"/>
          <c:showPercent val="0"/>
          <c:showBubbleSize val="0"/>
        </c:dLbls>
        <c:gapWidth val="219"/>
        <c:overlap val="-27"/>
        <c:axId val="516633888"/>
        <c:axId val="438847215"/>
      </c:barChart>
      <c:catAx>
        <c:axId val="51663388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847215"/>
        <c:crosses val="autoZero"/>
        <c:auto val="1"/>
        <c:lblAlgn val="ctr"/>
        <c:lblOffset val="100"/>
        <c:tickLblSkip val="3"/>
        <c:noMultiLvlLbl val="0"/>
      </c:catAx>
      <c:valAx>
        <c:axId val="438847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3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European turbine – FEP equity IRR range by driver (base 10.8%)</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v>Downside</c:v>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Dashboard!$L$249:$L$258</c:f>
              <c:strCache>
                <c:ptCount val="10"/>
                <c:pt idx="0">
                  <c:v>Energy yield (P50 hours) ±10%  (2 435 h / 2 977 h)</c:v>
                </c:pt>
                <c:pt idx="1">
                  <c:v>Construction capex (excl. grid fee) ±10%  (1 899 k€/MW / 1 592 k€/MW)</c:v>
                </c:pt>
                <c:pt idx="2">
                  <c:v>PPA price ±10%  (81 €/MWh / 99 €/MWh)</c:v>
                </c:pt>
                <c:pt idx="3">
                  <c:v>Merchant power price (Aurora Central) ±10%  (Ø 125,8 €/MWh achieved / Ø 146,5 €/MWh achieved)</c:v>
                </c:pt>
                <c:pt idx="4">
                  <c:v>Operating life −5 years  (25 years)</c:v>
                </c:pt>
                <c:pt idx="5">
                  <c:v>Opex inflation ±1pp  (3,5% p.a. / 1,5% p.a.)</c:v>
                </c:pt>
                <c:pt idx="6">
                  <c:v>Interest rate ±100bp  (6,0% / 4,0%)</c:v>
                </c:pt>
                <c:pt idx="7">
                  <c:v>COD delay +6 months  (COD Dec-31)</c:v>
                </c:pt>
                <c:pt idx="8">
                  <c:v>Availability −2% / +1%  (−2% (2 652 h) / +1% (2 733 h))</c:v>
                </c:pt>
                <c:pt idx="9">
                  <c:v>Opex ±10%  (+10% all opex lines / −10% all opex lines)</c:v>
                </c:pt>
              </c:strCache>
            </c:strRef>
          </c:cat>
          <c:val>
            <c:numRef>
              <c:f>Dashboard!$G$249:$G$258</c:f>
              <c:numCache>
                <c:formatCode>0.0%</c:formatCode>
                <c:ptCount val="10"/>
                <c:pt idx="0">
                  <c:v>9.4467280805303797E-2</c:v>
                </c:pt>
                <c:pt idx="1">
                  <c:v>9.9641097868176501E-2</c:v>
                </c:pt>
                <c:pt idx="2">
                  <c:v>0.10063306850449499</c:v>
                </c:pt>
                <c:pt idx="3">
                  <c:v>0.10075570473393</c:v>
                </c:pt>
                <c:pt idx="4">
                  <c:v>0.101391640997554</c:v>
                </c:pt>
                <c:pt idx="5">
                  <c:v>0.10505535057969501</c:v>
                </c:pt>
                <c:pt idx="6">
                  <c:v>0.10555432864162199</c:v>
                </c:pt>
                <c:pt idx="7">
                  <c:v>0.103655231417492</c:v>
                </c:pt>
                <c:pt idx="8">
                  <c:v>0.105215266086867</c:v>
                </c:pt>
                <c:pt idx="9">
                  <c:v>0.105966342397029</c:v>
                </c:pt>
              </c:numCache>
            </c:numRef>
          </c:val>
          <c:extLst>
            <c:ext xmlns:c16="http://schemas.microsoft.com/office/drawing/2014/chart" uri="{C3380CC4-5D6E-409C-BE32-E72D297353CC}">
              <c16:uniqueId val="{00000000-C070-400D-BB60-1218F7E2D37D}"/>
            </c:ext>
          </c:extLst>
        </c:ser>
        <c:ser>
          <c:idx val="1"/>
          <c:order val="1"/>
          <c:tx>
            <c:v>Upside</c:v>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Dashboard!$L$249:$L$258</c:f>
              <c:strCache>
                <c:ptCount val="10"/>
                <c:pt idx="0">
                  <c:v>Energy yield (P50 hours) ±10%  (2 435 h / 2 977 h)</c:v>
                </c:pt>
                <c:pt idx="1">
                  <c:v>Construction capex (excl. grid fee) ±10%  (1 899 k€/MW / 1 592 k€/MW)</c:v>
                </c:pt>
                <c:pt idx="2">
                  <c:v>PPA price ±10%  (81 €/MWh / 99 €/MWh)</c:v>
                </c:pt>
                <c:pt idx="3">
                  <c:v>Merchant power price (Aurora Central) ±10%  (Ø 125,8 €/MWh achieved / Ø 146,5 €/MWh achieved)</c:v>
                </c:pt>
                <c:pt idx="4">
                  <c:v>Operating life −5 years  (25 years)</c:v>
                </c:pt>
                <c:pt idx="5">
                  <c:v>Opex inflation ±1pp  (3,5% p.a. / 1,5% p.a.)</c:v>
                </c:pt>
                <c:pt idx="6">
                  <c:v>Interest rate ±100bp  (6,0% / 4,0%)</c:v>
                </c:pt>
                <c:pt idx="7">
                  <c:v>COD delay +6 months  (COD Dec-31)</c:v>
                </c:pt>
                <c:pt idx="8">
                  <c:v>Availability −2% / +1%  (−2% (2 652 h) / +1% (2 733 h))</c:v>
                </c:pt>
                <c:pt idx="9">
                  <c:v>Opex ±10%  (+10% all opex lines / −10% all opex lines)</c:v>
                </c:pt>
              </c:strCache>
            </c:strRef>
          </c:cat>
          <c:val>
            <c:numRef>
              <c:f>Dashboard!$H$249:$H$258</c:f>
              <c:numCache>
                <c:formatCode>0.0%</c:formatCode>
                <c:ptCount val="10"/>
                <c:pt idx="0">
                  <c:v>0.12049257736779</c:v>
                </c:pt>
                <c:pt idx="1">
                  <c:v>0.116977764840416</c:v>
                </c:pt>
                <c:pt idx="2">
                  <c:v>0.115275988315879</c:v>
                </c:pt>
                <c:pt idx="3">
                  <c:v>0.114291615877559</c:v>
                </c:pt>
                <c:pt idx="4">
                  <c:v>0.10781977341556701</c:v>
                </c:pt>
                <c:pt idx="5">
                  <c:v>0.110126945048244</c:v>
                </c:pt>
                <c:pt idx="6">
                  <c:v>0.109989297333382</c:v>
                </c:pt>
                <c:pt idx="7">
                  <c:v>0.10781977341556701</c:v>
                </c:pt>
                <c:pt idx="8">
                  <c:v>0.10911063446545299</c:v>
                </c:pt>
                <c:pt idx="9">
                  <c:v>0.109660541382075</c:v>
                </c:pt>
              </c:numCache>
            </c:numRef>
          </c:val>
          <c:extLst>
            <c:ext xmlns:c16="http://schemas.microsoft.com/office/drawing/2014/chart" uri="{C3380CC4-5D6E-409C-BE32-E72D297353CC}">
              <c16:uniqueId val="{00000001-C070-400D-BB60-1218F7E2D37D}"/>
            </c:ext>
          </c:extLst>
        </c:ser>
        <c:dLbls>
          <c:showLegendKey val="0"/>
          <c:showVal val="0"/>
          <c:showCatName val="0"/>
          <c:showSerName val="0"/>
          <c:showPercent val="0"/>
          <c:showBubbleSize val="0"/>
        </c:dLbls>
        <c:gapWidth val="35"/>
        <c:overlap val="100"/>
        <c:axId val="2074398288"/>
        <c:axId val="212004239"/>
      </c:barChart>
      <c:catAx>
        <c:axId val="2074398288"/>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crossAx val="212004239"/>
        <c:crossesAt val="0.10781977341556701"/>
        <c:auto val="1"/>
        <c:lblAlgn val="ctr"/>
        <c:lblOffset val="100"/>
        <c:noMultiLvlLbl val="0"/>
      </c:catAx>
      <c:valAx>
        <c:axId val="212004239"/>
        <c:scaling>
          <c:orientation val="minMax"/>
          <c:max val="0.13"/>
          <c:min val="0.08"/>
        </c:scaling>
        <c:delete val="0"/>
        <c:axPos val="t"/>
        <c:majorGridlines>
          <c:spPr>
            <a:ln w="9525" cap="flat" cmpd="sng" algn="ctr">
              <a:solidFill>
                <a:srgbClr val="EDEDED"/>
              </a:solidFill>
              <a:prstDash val="solid"/>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F7F7F"/>
                </a:solidFill>
                <a:latin typeface="+mn-lt"/>
                <a:ea typeface="+mn-ea"/>
                <a:cs typeface="+mn-cs"/>
              </a:defRPr>
            </a:pPr>
            <a:endParaRPr lang="en-US"/>
          </a:p>
        </c:txPr>
        <c:crossAx val="2074398288"/>
        <c:crosses val="autoZero"/>
        <c:crossBetween val="between"/>
        <c:majorUnit val="0.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Chinese turbine – FEP equity IRR range by driver (base 15.1%)</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v>Downside</c:v>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Dashboard!$L$288:$L$295</c:f>
              <c:strCache>
                <c:ptCount val="8"/>
                <c:pt idx="0">
                  <c:v>Merchant power price (Aurora Central) ±10%  (Ø 131,0 €/MWh achieved / Ø 160,1 €/MWh achieved)</c:v>
                </c:pt>
                <c:pt idx="1">
                  <c:v>Energy yield (P50 hours) ±10%  (2 435 h / 2 977 h)</c:v>
                </c:pt>
                <c:pt idx="2">
                  <c:v>Construction capex (excl. grid fee) ±10%  (1 379 k€/MW / 1 167 k€/MW)</c:v>
                </c:pt>
                <c:pt idx="3">
                  <c:v>COD delay +6 months  (COD Dec-31)</c:v>
                </c:pt>
                <c:pt idx="4">
                  <c:v>Availability −2% / +1%  (−2% (2 652 h) / +1% (2 733 h))</c:v>
                </c:pt>
                <c:pt idx="5">
                  <c:v>Opex inflation ±1pp  (3,5% p.a. / 1,5% p.a.)</c:v>
                </c:pt>
                <c:pt idx="6">
                  <c:v>Opex ±10%  (+10% all opex lines / −10% all opex lines)</c:v>
                </c:pt>
                <c:pt idx="7">
                  <c:v>Operating life −5 years  (25 years)</c:v>
                </c:pt>
              </c:strCache>
            </c:strRef>
          </c:cat>
          <c:val>
            <c:numRef>
              <c:f>Dashboard!$G$288:$G$295</c:f>
              <c:numCache>
                <c:formatCode>0.0%</c:formatCode>
                <c:ptCount val="8"/>
                <c:pt idx="0">
                  <c:v>0.13482818548438599</c:v>
                </c:pt>
                <c:pt idx="1">
                  <c:v>0.13595592229251299</c:v>
                </c:pt>
                <c:pt idx="2">
                  <c:v>0.14239406681393901</c:v>
                </c:pt>
                <c:pt idx="3">
                  <c:v>0.14482274527146199</c:v>
                </c:pt>
                <c:pt idx="4">
                  <c:v>0.14827922028483601</c:v>
                </c:pt>
                <c:pt idx="5">
                  <c:v>0.149259219629016</c:v>
                </c:pt>
                <c:pt idx="6">
                  <c:v>0.14946434548594401</c:v>
                </c:pt>
                <c:pt idx="7">
                  <c:v>0.14852954390854201</c:v>
                </c:pt>
              </c:numCache>
            </c:numRef>
          </c:val>
          <c:extLst>
            <c:ext xmlns:c16="http://schemas.microsoft.com/office/drawing/2014/chart" uri="{C3380CC4-5D6E-409C-BE32-E72D297353CC}">
              <c16:uniqueId val="{00000000-C121-4599-B3BC-C67E66F9C75A}"/>
            </c:ext>
          </c:extLst>
        </c:ser>
        <c:ser>
          <c:idx val="1"/>
          <c:order val="1"/>
          <c:tx>
            <c:v>Upside</c:v>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Dashboard!$L$288:$L$295</c:f>
              <c:strCache>
                <c:ptCount val="8"/>
                <c:pt idx="0">
                  <c:v>Merchant power price (Aurora Central) ±10%  (Ø 131,0 €/MWh achieved / Ø 160,1 €/MWh achieved)</c:v>
                </c:pt>
                <c:pt idx="1">
                  <c:v>Energy yield (P50 hours) ±10%  (2 435 h / 2 977 h)</c:v>
                </c:pt>
                <c:pt idx="2">
                  <c:v>Construction capex (excl. grid fee) ±10%  (1 379 k€/MW / 1 167 k€/MW)</c:v>
                </c:pt>
                <c:pt idx="3">
                  <c:v>COD delay +6 months  (COD Dec-31)</c:v>
                </c:pt>
                <c:pt idx="4">
                  <c:v>Availability −2% / +1%  (−2% (2 652 h) / +1% (2 733 h))</c:v>
                </c:pt>
                <c:pt idx="5">
                  <c:v>Opex inflation ±1pp  (3,5% p.a. / 1,5% p.a.)</c:v>
                </c:pt>
                <c:pt idx="6">
                  <c:v>Opex ±10%  (+10% all opex lines / −10% all opex lines)</c:v>
                </c:pt>
                <c:pt idx="7">
                  <c:v>Operating life −5 years  (25 years)</c:v>
                </c:pt>
              </c:strCache>
            </c:strRef>
          </c:cat>
          <c:val>
            <c:numRef>
              <c:f>Dashboard!$H$288:$H$295</c:f>
              <c:numCache>
                <c:formatCode>0.0%</c:formatCode>
                <c:ptCount val="8"/>
                <c:pt idx="0">
                  <c:v>0.167078382183419</c:v>
                </c:pt>
                <c:pt idx="1">
                  <c:v>0.166042505123846</c:v>
                </c:pt>
                <c:pt idx="2">
                  <c:v>0.16126383163873101</c:v>
                </c:pt>
                <c:pt idx="3">
                  <c:v>0.15129564536426801</c:v>
                </c:pt>
                <c:pt idx="4">
                  <c:v>0.15279495896814599</c:v>
                </c:pt>
                <c:pt idx="5">
                  <c:v>0.153051254664302</c:v>
                </c:pt>
                <c:pt idx="6">
                  <c:v>0.15311787827786899</c:v>
                </c:pt>
                <c:pt idx="7">
                  <c:v>0.15129564536426801</c:v>
                </c:pt>
              </c:numCache>
            </c:numRef>
          </c:val>
          <c:extLst>
            <c:ext xmlns:c16="http://schemas.microsoft.com/office/drawing/2014/chart" uri="{C3380CC4-5D6E-409C-BE32-E72D297353CC}">
              <c16:uniqueId val="{00000001-C121-4599-B3BC-C67E66F9C75A}"/>
            </c:ext>
          </c:extLst>
        </c:ser>
        <c:dLbls>
          <c:showLegendKey val="0"/>
          <c:showVal val="0"/>
          <c:showCatName val="0"/>
          <c:showSerName val="0"/>
          <c:showPercent val="0"/>
          <c:showBubbleSize val="0"/>
        </c:dLbls>
        <c:gapWidth val="35"/>
        <c:overlap val="100"/>
        <c:axId val="2074526816"/>
        <c:axId val="211837679"/>
      </c:barChart>
      <c:catAx>
        <c:axId val="2074526816"/>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crossAx val="211837679"/>
        <c:crossesAt val="0.15129564536426801"/>
        <c:auto val="1"/>
        <c:lblAlgn val="ctr"/>
        <c:lblOffset val="100"/>
        <c:noMultiLvlLbl val="0"/>
      </c:catAx>
      <c:valAx>
        <c:axId val="211837679"/>
        <c:scaling>
          <c:orientation val="minMax"/>
          <c:max val="0.18"/>
          <c:min val="0.12"/>
        </c:scaling>
        <c:delete val="0"/>
        <c:axPos val="t"/>
        <c:majorGridlines>
          <c:spPr>
            <a:ln w="9525" cap="flat" cmpd="sng" algn="ctr">
              <a:solidFill>
                <a:srgbClr val="EDEDED"/>
              </a:solidFill>
              <a:prstDash val="solid"/>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F7F7F"/>
                </a:solidFill>
                <a:latin typeface="+mn-lt"/>
                <a:ea typeface="+mn-ea"/>
                <a:cs typeface="+mn-cs"/>
              </a:defRPr>
            </a:pPr>
            <a:endParaRPr lang="en-US"/>
          </a:p>
        </c:txPr>
        <c:crossAx val="2074526816"/>
        <c:crosses val="autoZero"/>
        <c:crossBetween val="between"/>
        <c:majorUnit val="0.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2.xml><?xml version="1.0" encoding="utf-8"?>
<xdr:wsDr xmlns:xdr="http://schemas.openxmlformats.org/drawingml/2006/spreadsheetDrawing" xmlns:a="http://schemas.openxmlformats.org/drawingml/2006/main">
  <xdr:twoCellAnchor>
    <xdr:from>
      <xdr:col>11</xdr:col>
      <xdr:colOff>600075</xdr:colOff>
      <xdr:row>5</xdr:row>
      <xdr:rowOff>1905</xdr:rowOff>
    </xdr:from>
    <xdr:to>
      <xdr:col>21</xdr:col>
      <xdr:colOff>600075</xdr:colOff>
      <xdr:row>28</xdr:row>
      <xdr:rowOff>1905</xdr:rowOff>
    </xdr:to>
    <xdr:graphicFrame macro="">
      <xdr:nvGraphicFramePr>
        <xdr:cNvPr id="2" name="Chart 1">
          <a:extLst>
            <a:ext uri="{FF2B5EF4-FFF2-40B4-BE49-F238E27FC236}">
              <a16:creationId xmlns:a16="http://schemas.microsoft.com/office/drawing/2014/main" id="{5C285579-6FEE-2CB9-784B-D8333E0A3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371475</xdr:colOff>
      <xdr:row>30</xdr:row>
      <xdr:rowOff>1905</xdr:rowOff>
    </xdr:from>
    <xdr:to>
      <xdr:col>21</xdr:col>
      <xdr:colOff>600075</xdr:colOff>
      <xdr:row>51</xdr:row>
      <xdr:rowOff>1905</xdr:rowOff>
    </xdr:to>
    <xdr:graphicFrame macro="">
      <xdr:nvGraphicFramePr>
        <xdr:cNvPr id="3" name="Chart 2">
          <a:extLst>
            <a:ext uri="{FF2B5EF4-FFF2-40B4-BE49-F238E27FC236}">
              <a16:creationId xmlns:a16="http://schemas.microsoft.com/office/drawing/2014/main" id="{1FF2F212-1E92-8E9D-8C53-F1865E6BA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259</xdr:row>
      <xdr:rowOff>0</xdr:rowOff>
    </xdr:from>
    <xdr:to>
      <xdr:col>8</xdr:col>
      <xdr:colOff>879475</xdr:colOff>
      <xdr:row>281</xdr:row>
      <xdr:rowOff>114300</xdr:rowOff>
    </xdr:to>
    <xdr:graphicFrame macro="">
      <xdr:nvGraphicFramePr>
        <xdr:cNvPr id="7" name="Tornado EU">
          <a:extLst>
            <a:ext uri="{FF2B5EF4-FFF2-40B4-BE49-F238E27FC236}">
              <a16:creationId xmlns:a16="http://schemas.microsoft.com/office/drawing/2014/main" id="{B0B87B7C-6C6C-ED8E-526F-3C8909F9E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296</xdr:row>
      <xdr:rowOff>0</xdr:rowOff>
    </xdr:from>
    <xdr:to>
      <xdr:col>8</xdr:col>
      <xdr:colOff>879475</xdr:colOff>
      <xdr:row>317</xdr:row>
      <xdr:rowOff>114300</xdr:rowOff>
    </xdr:to>
    <xdr:graphicFrame macro="">
      <xdr:nvGraphicFramePr>
        <xdr:cNvPr id="8" name="Tornado CN">
          <a:extLst>
            <a:ext uri="{FF2B5EF4-FFF2-40B4-BE49-F238E27FC236}">
              <a16:creationId xmlns:a16="http://schemas.microsoft.com/office/drawing/2014/main" id="{3F87811A-59D6-2575-99C8-1E08BE8D7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Zádeczki Zalán" id="{DBA324B9-81D7-4C37-8B9B-961464F44350}" userId="S::zalan.zadeczki@futurealgroup.com::859bb901-d59a-4d05-86af-7c7fa75f15c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2.xml><?xml version="1.0" encoding="utf-8"?>
<ThreadedComments xmlns="http://schemas.microsoft.com/office/spreadsheetml/2018/threadedcomments" xmlns:x="http://schemas.openxmlformats.org/spreadsheetml/2006/main">
  <threadedComment ref="C20" dT="2026-09-07T07:33:54.41" personId="{DBA324B9-81D7-4C37-8B9B-961464F44350}" id="{04D62E7A-AFB2-40A9-BDDD-9FFE4B3D85DD}">
    <text>Source: Aurora Q2 2026 HUN Power &amp; Renewables Market Forecast (Aurora_Q2_26_HUN_Power_Renewables_Market_Forecast_Data.xlsx), via shared file hungary_wind_capture_price_aurora_q2_2026.json, 34 rows (2027–2060) written 2026-09-07. Uploaded file / shared from the Aurora workbook; not a query. €/MWh real 2025, calendar-year averages; wind = onshore wind uncurtailed capture price (source rows: baseload 21, uncurtailed 76, curtailed&lt;0 82, curtailment % 89). D:I, M:R as delivered (curtailment converted from % points to fraction); J:K nominal via E19/G19.</text>
  </threadedComment>
</ThreadedComment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B61D-6C95-445B-8D54-2EDDD185544F}">
  <sheetPr codeName="Sheet2">
    <tabColor rgb="FF00B050"/>
  </sheetPr>
  <dimension ref="B2:D42"/>
  <sheetViews>
    <sheetView showGridLines="0" workbookViewId="0">
      <selection activeCell="B2" sqref="B2"/>
    </sheetView>
  </sheetViews>
  <sheetFormatPr defaultRowHeight="15" x14ac:dyDescent="0.25"/>
  <cols>
    <col min="2" max="2" width="49.5703125" customWidth="1"/>
    <col min="3" max="3" width="118.140625" customWidth="1"/>
    <col min="4" max="4" width="38.140625" customWidth="1"/>
  </cols>
  <sheetData>
    <row r="2" spans="2:4" ht="23.25" x14ac:dyDescent="0.35">
      <c r="B2" s="110" t="s">
        <v>823</v>
      </c>
    </row>
    <row r="3" ht="15.75" x14ac:dyDescent="0.25">
      <c r="B3" s="111" t="inlineStr">
        <is>
          <t xml:space="preserve">Bora IC model v4 – FEP returns: RtB sale, sale at COD, hold to maturity; RtB tender strategies S0–S4 (11-Oct-2026)</t>
        </is>
      </c>
    </row>
    <row r="5" spans="2:4" x14ac:dyDescent="0.25">
      <c r="B5" s="41" t="s">
        <v>115</v>
      </c>
      <c r="C5" s="41" t="s">
        <v>825</v>
      </c>
      <c r="D5" s="41" t="s">
        <v>57</v>
      </c>
    </row>
    <row r="6" ht="30" x14ac:dyDescent="0.25">
      <c r="B6" s="112" t="inlineStr">
        <is>
          <t xml:space="preserve">Control Panel</t>
        </is>
      </c>
      <c r="C6" s="113" t="inlineStr">
        <is>
          <t xml:space="preserve">Route and tender-strategy selectors, the five tender strategies S0–S4 with their points, the offerable ranges and point bands (section g), every business input (one source) and the scenario comparison of all routes (Excel data table).</t>
        </is>
      </c>
      <c r="D6" s="113" t="inlineStr">
        <is>
          <t xml:space="preserve">Live – edit here</t>
        </is>
      </c>
    </row>
    <row r="7" ht="30" x14ac:dyDescent="0.25">
      <c r="B7" s="112" t="s">
        <v>826</v>
      </c>
      <c r="C7" s="113" t="inlineStr">
        <is>
          <t xml:space="preserve">Results only: headline returns side by side (sell at RTB vs HTM build &amp; operate), Case A/B bridges, FEP-file tie-out, sensitivities, turbine-case comparison (section 11, live).</t>
        </is>
      </c>
      <c r="D7" s="113" t="s">
        <v>1</v>
      </c>
    </row>
    <row r="8" x14ac:dyDescent="0.25">
      <c r="B8" s="112" t="s">
        <v>23</v>
      </c>
      <c r="C8" s="113" t="inlineStr">
        <is>
          <t xml:space="preserve">Every static input, per case (10 case columns), fed from the Control Panel; sections per topic. Yellow = estimates.</t>
        </is>
      </c>
      <c r="D8" s="113" t="s">
        <v>1201</v>
      </c>
    </row>
    <row r="9" spans="2:4" x14ac:dyDescent="0.25">
      <c r="B9" s="112" t="s">
        <v>827</v>
      </c>
      <c r="C9" s="113" t="s">
        <v>1159</v>
      </c>
      <c r="D9" s="113" t="s">
        <v>828</v>
      </c>
    </row>
    <row r="10" spans="2:4" ht="30" x14ac:dyDescent="0.25">
      <c r="B10" s="112" t="s">
        <v>18</v>
      </c>
      <c r="C10" s="113" t="s">
        <v>1056</v>
      </c>
      <c r="D10" s="113" t="s">
        <v>1</v>
      </c>
    </row>
    <row r="11" spans="2:4" x14ac:dyDescent="0.25">
      <c r="B11" s="112" t="s">
        <v>3</v>
      </c>
      <c r="C11" s="113" t="s">
        <v>1057</v>
      </c>
      <c r="D11" s="113" t="s">
        <v>1</v>
      </c>
    </row>
    <row r="12" spans="2:4" ht="45" x14ac:dyDescent="0.25">
      <c r="B12" s="112" t="s">
        <v>1058</v>
      </c>
      <c r="C12" s="113" t="s">
        <v>1372</v>
      </c>
      <c r="D12" s="113" t="s">
        <v>1059</v>
      </c>
    </row>
    <row r="13" spans="2:4" ht="30" x14ac:dyDescent="0.25">
      <c r="B13" s="112" t="s">
        <v>127</v>
      </c>
      <c r="C13" s="113" t="s">
        <v>829</v>
      </c>
      <c r="D13" s="113" t="s">
        <v>2475</v>
      </c>
    </row>
    <row r="14" spans="2:4" ht="30" x14ac:dyDescent="0.25">
      <c r="B14" s="112" t="s">
        <v>131</v>
      </c>
      <c r="C14" s="113" t="s">
        <v>830</v>
      </c>
      <c r="D14" s="113" t="s">
        <v>2475</v>
      </c>
    </row>
    <row r="15" x14ac:dyDescent="0.25">
      <c r="B15" s="112" t="inlineStr">
        <is>
          <t xml:space="preserve">Tender</t>
        </is>
      </c>
      <c r="C15" s="113" t="inlineStr">
        <is>
          <t xml:space="preserve">Tender strategies S0–S4 for Bora (set on the Control Panel) – GYIK rules; offerable ranges and band points (Control Panel section g); promise price effect on the RtB and COD exit vs the current bid; group caps and community purchase right (sections 8–9); live 5 × 5 returns matrix.</t>
        </is>
      </c>
      <c r="D15" s="113" t="inlineStr">
        <is>
          <t xml:space="preserve">Live – scenarios set on the Control Panel</t>
        </is>
      </c>
    </row>
    <row r="16" spans="2:4" x14ac:dyDescent="0.25">
      <c r="B16" s="112"/>
      <c r="C16" s="113"/>
      <c r="D16" s="113"/>
    </row>
    <row r="18" spans="2:3" x14ac:dyDescent="0.25">
      <c r="B18" s="6" t="s">
        <v>832</v>
      </c>
    </row>
    <row r="19" spans="2:3" x14ac:dyDescent="0.25">
      <c r="B19" t="s">
        <v>833</v>
      </c>
    </row>
    <row r="20" spans="2:3" x14ac:dyDescent="0.25">
      <c r="B20" t="s">
        <v>834</v>
      </c>
    </row>
    <row r="21" spans="2:3" x14ac:dyDescent="0.25">
      <c r="B21" t="s">
        <v>835</v>
      </c>
    </row>
    <row r="22" spans="2:3" x14ac:dyDescent="0.25">
      <c r="B22" t="s">
        <v>836</v>
      </c>
    </row>
    <row r="23" spans="2:3" x14ac:dyDescent="0.25">
      <c r="B23" t="s">
        <v>837</v>
      </c>
    </row>
    <row r="24" spans="2:3" x14ac:dyDescent="0.25">
      <c r="B24" t="s">
        <v>838</v>
      </c>
    </row>
    <row r="26" spans="2:3" x14ac:dyDescent="0.25">
      <c r="B26" s="6" t="s">
        <v>839</v>
      </c>
    </row>
    <row r="27" spans="2:3" x14ac:dyDescent="0.25">
      <c r="B27" t="s">
        <v>19</v>
      </c>
      <c r="C27" t="str">
        <f>Inputs!E7</f>
        <v>FEP base case</v>
      </c>
    </row>
    <row r="28" spans="2:3" x14ac:dyDescent="0.25">
      <c r="B28" t="s">
        <v>847</v>
      </c>
      <c r="C28" s="19">
        <f>MOIC!G182</f>
        <v>15173.724494515496</v>
      </c>
    </row>
    <row r="29" spans="2:3" x14ac:dyDescent="0.25">
      <c r="B29" t="s">
        <v>3</v>
      </c>
      <c r="C29" s="3">
        <f>MOIC!G186</f>
        <v>1.312105461761588</v>
      </c>
    </row>
    <row r="30" spans="2:3" x14ac:dyDescent="0.25">
      <c r="B30" t="s">
        <v>743</v>
      </c>
      <c r="C30" s="31">
        <f>MOIC!G187</f>
        <v>0.20894449022377323</v>
      </c>
    </row>
    <row r="31" spans="2:3" x14ac:dyDescent="0.25">
      <c r="B31" t="s">
        <v>770</v>
      </c>
      <c r="C31" t="str">
        <f>MOIC!G270</f>
        <v>ALL OK</v>
      </c>
    </row>
    <row r="32" spans="2:3" x14ac:dyDescent="0.25">
      <c r="B32" t="s">
        <v>1060</v>
      </c>
      <c r="C32" s="31">
        <f>HTM!G135</f>
        <v>0.10886199508753976</v>
      </c>
    </row>
    <row r="33" spans="2:3" x14ac:dyDescent="0.25">
      <c r="B33" t="s">
        <v>1061</v>
      </c>
      <c r="C33" s="31">
        <f>HTM!G139</f>
        <v>0.11965554410827804</v>
      </c>
    </row>
    <row r="34" spans="2:3" x14ac:dyDescent="0.25">
      <c r="B34" t="s">
        <v>1062</v>
      </c>
      <c r="C34" s="19">
        <f>HTM!G144</f>
        <v>1303176.709687209</v>
      </c>
    </row>
    <row r="35" spans="2:3" x14ac:dyDescent="0.25">
      <c r="B35" t="s">
        <v>1063</v>
      </c>
      <c r="C35" s="183">
        <f>HTM!G156</f>
        <v>102.14704403482497</v>
      </c>
    </row>
    <row r="36" spans="2:3" x14ac:dyDescent="0.25">
      <c r="B36" t="s">
        <v>1052</v>
      </c>
      <c r="C36" t="str">
        <f>HTM!G172</f>
        <v>ALL OK</v>
      </c>
    </row>
    <row r="37" spans="2:3" x14ac:dyDescent="0.25">
      <c r="B37" t="s">
        <v>1371</v>
      </c>
      <c r="C37" s="3">
        <f>MOIC!G194</f>
        <v>0.1778756777274503</v>
      </c>
    </row>
    <row r="38" spans="2:3" x14ac:dyDescent="0.25">
      <c r="B38" s="6" t="s">
        <v>1202</v>
      </c>
    </row>
    <row r="39" x14ac:dyDescent="0.25">
      <c r="B39" s="159" t="inlineStr">
        <is>
          <t xml:space="preserve">06-Sep-26: final MEKH tender terms (30-Aug-26) reflected – see Inputs section Q, Open_Items 31–35 (item 31: no 400 kV node offered) and Change_Log entries 57–60 (rows 61–64). Figures from press coverage of the kiírás; verify against the MEKH document before the IC.</t>
        </is>
      </c>
    </row>
    <row r="40" spans="2:3" x14ac:dyDescent="0.25">
      <c r="B40" s="159" t="s">
        <v>1373</v>
      </c>
    </row>
    <row r="41" x14ac:dyDescent="0.25">
      <c r="B41" s="159" t="inlineStr">
        <is>
          <t xml:space="preserve">02-Oct-26: open items #1–#15, #54–#55 closed; control panel moved to its own sheet; FEP exit-waterfall interest aligned to BORA Devex 01-Oct-26 (frozen 30/06/2029); single 8% discount rate; commitment fee and bid-offer inputs added; land lease 3 k€/MW/yr.</t>
        </is>
      </c>
    </row>
    <row r="42" x14ac:dyDescent="0.25">
      <c r="B42" s="159" t="inlineStr">
        <is>
          <t xml:space="preserve">IC version: working sheets Open_Items, Change_Log, Devex_FEP, BORA_Devex and Run_Map are hidden (not deleted) – unhide via right-click on any tab. No macro in this file.</t>
        </is>
      </c>
    </row>
    <row r="43">
      <c r="B43" s="159" t="inlineStr">
        <is>
          <t xml:space="preserve">08-Oct-26: 90 €/MWh PPA (10 yrs) applied to all turbine and sale-at-COD cases incl. Chinese; Tender sheet added (MEKH tender score, tender scenarios, promise price effect, returns matrix); sale at COD (cases 7 / 8). Chinese cases: no EU transformer points, substation capex −10%. HTM = hold to maturity.</t>
        </is>
      </c>
    </row>
    <row r="44">
      <c r="B44" s="159" t="inlineStr">
        <is>
          <t xml:space="preserve">10-Oct-26: Bora IC model v2 – one Control Panel (route / tender-scenario selectors, tender scenarios 0 / A / B / C with their points, every business input, scenario comparison of all routes via an Excel data table, buyer IRR at our COD price); no macro.</t>
        </is>
      </c>
    </row>
    <row r="45">
      <c r="B45" s="159" t="inlineStr">
        <is>
          <t xml:space="preserve">11-Oct-26 (v4): strategy S0 zero bid added (every commitment at its minimum, 0 points, valid – GYIK 17); price-effect reference stays S1 (current bid), so S0 shows a positive price effect; offerable ranges and band points on the Control Panel (section g); ÖSZ-9a points only with the EU-turbine commitment.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F1AF3-BFB8-4E2D-BC42-71979AD8691B}">
  <sheetPr codeName="Sheet3">
    <tabColor rgb="FF00B050"/>
  </sheetPr>
  <dimension ref="A1:L331"/>
  <sheetViews>
    <sheetView showGridLines="0" topLeftCell="A6" workbookViewId="0">
      <selection activeCell="E13" sqref="E13"/>
    </sheetView>
  </sheetViews>
  <sheetFormatPr defaultRowHeight="15" x14ac:dyDescent="0.25"/>
  <cols>
    <col min="1" max="2" width="2.7109375" customWidth="1"/>
    <col min="3" max="3" width="76.140625" customWidth="1"/>
    <col min="4" max="4" width="17.140625" customWidth="1"/>
    <col min="5" max="7" width="23.85546875" customWidth="1"/>
    <col min="8" max="11" width="18.140625" customWidth="1"/>
    <col min="12" max="12" width="14.7109375" customWidth="1"/>
  </cols>
  <sheetData>
    <row r="1" spans="1:12" ht="18.75" x14ac:dyDescent="0.3">
      <c r="A1" s="38"/>
      <c r="B1" s="38" t="s">
        <v>2111</v>
      </c>
    </row>
    <row r="2" x14ac:dyDescent="0.25">
      <c r="A2" s="40"/>
      <c r="C2" t="inlineStr">
        <is>
          <t xml:space="preserve">Dashboard – results only. All inputs and the route / tender-scenario selectors are on the Control Panel; sections 1 onwards show results.</t>
        </is>
      </c>
    </row>
    <row r="3" x14ac:dyDescent="0.25">
      <c r="A3" s="354"/>
      <c r="C3" s="484" t="inlineStr">
        <is>
          <t xml:space="preserve">Live: case / tender scenario (set on the Control Panel) →</t>
        </is>
      </c>
      <c r="D3" s="39"/>
      <c r="E3" s="482" t="str">
        <f>Inputs!$E$7</f>
        <v>FEP base case</v>
      </c>
      <c r="F3" s="482" t="str">
        <f>Tender!$J$11</f>
        <v>S1 – Current bid</v>
      </c>
      <c r="J3" s="354"/>
      <c r="K3" s="354"/>
      <c r="L3" s="354"/>
    </row>
    <row r="4" spans="1:12" ht="24" customHeight="1" x14ac:dyDescent="0.25">
      <c r="A4" s="354"/>
      <c r="J4" s="354"/>
      <c r="K4" s="354"/>
      <c r="L4" s="354"/>
    </row>
    <row r="6" spans="1:12" ht="30" customHeight="1" x14ac:dyDescent="0.25">
      <c r="C6" s="161" t="s">
        <v>1996</v>
      </c>
      <c r="D6" s="161"/>
      <c r="E6" s="162" t="s">
        <v>1095</v>
      </c>
      <c r="F6" s="249" t="s">
        <v>1913</v>
      </c>
      <c r="G6" s="250" t="s">
        <v>1914</v>
      </c>
    </row>
    <row r="7" spans="1:12" ht="30" x14ac:dyDescent="0.25">
      <c r="C7" s="163" t="s">
        <v>474</v>
      </c>
      <c r="D7" s="163" t="s">
        <v>9</v>
      </c>
      <c r="E7" s="160" t="str">
        <f>"Case "&amp;Inputs!$E$6&amp;" – "&amp;Inputs!E7</f>
        <v>Case 1 – FEP base case</v>
      </c>
      <c r="F7" s="241" t="str">
        <f>"Case 2 – "&amp;Inputs!H7</f>
        <v>Case 2 – European turbine</v>
      </c>
      <c r="G7" s="241" t="str">
        <f>"Case 3 – "&amp;Inputs!I7</f>
        <v>Case 3 – Chinese turbine</v>
      </c>
    </row>
    <row r="8" ht="45" x14ac:dyDescent="0.25">
      <c r="C8" s="163" t="s">
        <v>11</v>
      </c>
      <c r="D8" s="163" t="s">
        <v>12</v>
      </c>
      <c r="E8" s="489" t="str">
        <f>FIXED(Inputs!E141,0)&amp;" k€/MW RTB premium × "&amp;FIXED(Inputs!E150,0)&amp;IF(Inputs!E149=1," MW installed wind (FLAG)"," MVA net")&amp;", sale "&amp;Inputs!E28&amp;" months after RTB"</f>
        <v>150 k€/MW RTB premium × 200 MVA net, sale 9 months after RTB</v>
      </c>
      <c r="F8" s="241" t="str">
        <f>FIXED(IF(Inputs!H162="",Inputs!$G162,Inputs!H162),0)&amp;" k€/MW, "&amp;FIXED(IF(Inputs!H217="",Inputs!$G217,Inputs!H217)*100,0)&amp;"% debt, PPA "&amp;FIXED(IF(Inputs!H191="",Inputs!$G191,Inputs!H191),0)&amp;" €/MWh"</f>
        <v>950 k€/MW, 60% debt, PPA 90 €/MWh</v>
      </c>
      <c r="G8" s="241" t="str">
        <f>FIXED(IF(Inputs!I162="",Inputs!$G162,Inputs!I162),0)&amp;" k€/MW, "&amp;FIXED(IF(Inputs!I217="",Inputs!$G217,Inputs!I217)*100,0)&amp;"% debt, PPA "&amp;FIXED(IF(Inputs!I191="",Inputs!$G191,Inputs!I191),0)&amp;" €/MWh"</f>
        <v>500 k€/MW, 50% debt, PPA 90 €/MWh</v>
      </c>
    </row>
    <row r="9" spans="1:12" x14ac:dyDescent="0.25">
      <c r="C9" s="163" t="s">
        <v>2607</v>
      </c>
      <c r="D9" s="163" t="s">
        <v>22</v>
      </c>
      <c r="E9" s="504" t="str">
        <f>TEXT(Inputs!E18,"0")&amp;" / "&amp;TEXT(Inputs!E29,"0")</f>
        <v>200 / 261</v>
      </c>
      <c r="F9" s="505" t="str">
        <f>TEXT(Inputs!$E$18,"0")&amp;" / "&amp;TEXT(Inputs!$E$29,"0")</f>
        <v>200 / 261</v>
      </c>
      <c r="G9" s="505" t="str">
        <f>TEXT(Inputs!$E$18,"0")&amp;" / "&amp;TEXT(Inputs!$E$29,"0")</f>
        <v>200 / 261</v>
      </c>
    </row>
    <row r="10" spans="1:12" x14ac:dyDescent="0.25">
      <c r="C10" s="163" t="s">
        <v>1096</v>
      </c>
      <c r="D10" s="163" t="s">
        <v>1097</v>
      </c>
      <c r="E10" s="260">
        <f>Inputs!E141</f>
        <v>150</v>
      </c>
      <c r="F10" s="242">
        <f>E218</f>
        <v>136.72360120243573</v>
      </c>
      <c r="G10" s="242">
        <f>F218</f>
        <v>136.72360120243573</v>
      </c>
    </row>
    <row r="11" spans="1:12" x14ac:dyDescent="0.25">
      <c r="C11" s="163" t="s">
        <v>1098</v>
      </c>
      <c r="D11" s="163" t="s">
        <v>844</v>
      </c>
      <c r="E11" s="164">
        <f>MOIC!G171</f>
        <v>64143.61505792019</v>
      </c>
      <c r="F11" s="243">
        <f>E219</f>
        <v>2358431.629388848</v>
      </c>
      <c r="G11" s="243">
        <f>F219</f>
        <v>2358431.629388848</v>
      </c>
    </row>
    <row r="12" spans="1:12" x14ac:dyDescent="0.25">
      <c r="C12" s="165" t="s">
        <v>2211</v>
      </c>
      <c r="D12" s="165" t="s">
        <v>1681</v>
      </c>
      <c r="E12" s="227" t="str">
        <f>FIXED(MOIC!$G$172,0)&amp;" / "&amp;FIXED(MOIC!$G$172*Inputs!$E$11/1000,0)</f>
        <v>15,526 / 5,667</v>
      </c>
      <c r="F12" s="244" t="str">
        <f>FIXED(E223,0)&amp;" / "&amp;FIXED(E223*Inputs!$E$11/1000,0)</f>
        <v>1,254,061 / 457,732</v>
      </c>
      <c r="G12" s="244" t="str">
        <f>FIXED(F223,0)&amp;" / "&amp;FIXED(F223*Inputs!$E$11/1000,0)</f>
        <v>1,431,277 / 522,416</v>
      </c>
    </row>
    <row r="13" spans="1:12" x14ac:dyDescent="0.25">
      <c r="C13" s="165" t="s">
        <v>1682</v>
      </c>
      <c r="D13" s="165" t="s">
        <v>1681</v>
      </c>
      <c r="E13" s="227" t="str">
        <f>FIXED($L$40,0)&amp;" / "&amp;FIXED(($L$40)*Inputs!$E$11/1000,0)</f>
        <v>10,273 / 3,750</v>
      </c>
      <c r="F13" s="244" t="s">
        <v>1686</v>
      </c>
      <c r="G13" s="244" t="s">
        <v>1686</v>
      </c>
    </row>
    <row r="14" spans="1:12" x14ac:dyDescent="0.25">
      <c r="C14" s="165" t="s">
        <v>2212</v>
      </c>
      <c r="D14" s="165" t="s">
        <v>1681</v>
      </c>
      <c r="E14" s="227" t="str">
        <f>FIXED(MOIC!$G$182,0)&amp;" / "&amp;FIXED(MOIC!$G$182*Inputs!$E$11/1000,0)</f>
        <v>15,174 / 5,538</v>
      </c>
      <c r="F14" s="244" t="str">
        <f>FIXED(E224,0)&amp;" / "&amp;FIXED(E224*Inputs!$E$11/1000,0)</f>
        <v>1,137,959 / 415,355</v>
      </c>
      <c r="G14" s="244" t="str">
        <f>FIXED(F224,0)&amp;" / "&amp;FIXED(F224*Inputs!$E$11/1000,0)</f>
        <v>1,299,225 / 474,217</v>
      </c>
    </row>
    <row r="15" spans="1:12" x14ac:dyDescent="0.25">
      <c r="C15" s="165" t="s">
        <v>1683</v>
      </c>
      <c r="D15" s="165" t="s">
        <v>1681</v>
      </c>
      <c r="E15" s="227" t="str">
        <f>FIXED($L$42,0)&amp;" / "&amp;FIXED(($L$42)*Inputs!$E$11/1000,0)</f>
        <v>9,921 / 3,621</v>
      </c>
      <c r="F15" s="244" t="s">
        <v>1686</v>
      </c>
      <c r="G15" s="244" t="s">
        <v>1686</v>
      </c>
    </row>
    <row r="16" spans="1:12" x14ac:dyDescent="0.25">
      <c r="C16" s="165" t="s">
        <v>1050</v>
      </c>
      <c r="D16" s="165" t="s">
        <v>4</v>
      </c>
      <c r="E16" s="228">
        <f>MOIC!G186</f>
        <v>1.312105461761588</v>
      </c>
      <c r="F16" s="245">
        <f>E228</f>
        <v>6.1332910065156945</v>
      </c>
      <c r="G16" s="245">
        <f>F228</f>
        <v>7.791590090989202</v>
      </c>
    </row>
    <row r="17" spans="3:12" x14ac:dyDescent="0.25">
      <c r="C17" s="165" t="s">
        <v>2062</v>
      </c>
      <c r="D17" s="165" t="s">
        <v>2</v>
      </c>
      <c r="E17" s="168">
        <f>MOIC!G187</f>
        <v>0.20894449022377323</v>
      </c>
      <c r="F17" s="246">
        <f t="shared" ref="F17:G19" si="0">E225</f>
        <v>0.09991355961167205</v>
      </c>
      <c r="G17" s="246">
        <f t="shared" si="0"/>
        <v>0.13111232656651206</v>
      </c>
    </row>
    <row r="18" spans="3:12" x14ac:dyDescent="0.25">
      <c r="C18" s="165" t="s">
        <v>1687</v>
      </c>
      <c r="D18" s="165" t="s">
        <v>844</v>
      </c>
      <c r="E18" s="166">
        <f>MOIC!G192</f>
        <v>7253.356399284837</v>
      </c>
      <c r="F18" s="347">
        <f t="shared" si="0"/>
        <v>62081.30688179275</v>
      </c>
      <c r="G18" s="347">
        <f t="shared" si="0"/>
        <v>139279.28641793394</v>
      </c>
    </row>
    <row r="19" spans="3:12" x14ac:dyDescent="0.25">
      <c r="C19" s="165" t="s">
        <v>1334</v>
      </c>
      <c r="D19" s="165" t="s">
        <v>4</v>
      </c>
      <c r="E19" s="167">
        <f>MOIC!G194</f>
        <v>0.1778756777274503</v>
      </c>
      <c r="F19" s="245">
        <f t="shared" si="0"/>
        <v>0.37667364703425993</v>
      </c>
      <c r="G19" s="245">
        <f t="shared" si="0"/>
        <v>0.9734737576265634</v>
      </c>
    </row>
    <row r="20" spans="3:12" x14ac:dyDescent="0.25">
      <c r="C20" s="163" t="s">
        <v>1013</v>
      </c>
      <c r="D20" s="163" t="s">
        <v>2</v>
      </c>
      <c r="E20" s="170" t="s">
        <v>133</v>
      </c>
      <c r="F20" s="247">
        <f>E233</f>
        <v>0.09170192397226225</v>
      </c>
      <c r="G20" s="247">
        <f>F233</f>
        <v>0.12109681198042659</v>
      </c>
    </row>
    <row r="21" spans="3:12" x14ac:dyDescent="0.25">
      <c r="C21" s="163" t="s">
        <v>1049</v>
      </c>
      <c r="D21" s="163" t="s">
        <v>844</v>
      </c>
      <c r="E21" s="164">
        <f>MOIC!G188</f>
        <v>48525.87791901024</v>
      </c>
      <c r="F21" s="243">
        <f>E229</f>
        <v>221682.18461006615</v>
      </c>
      <c r="G21" s="243">
        <f>F229</f>
        <v>191299.14634928823</v>
      </c>
    </row>
    <row r="22" spans="3:12" x14ac:dyDescent="0.25">
      <c r="C22" s="163" t="s">
        <v>1049</v>
      </c>
      <c r="D22" s="163" t="s">
        <v>726</v>
      </c>
      <c r="E22" s="164">
        <f>MOIC!G189</f>
        <v>17711.94544043874</v>
      </c>
      <c r="F22" s="243">
        <f>F21*Inputs!$E$11/1000</f>
        <v>80913.99738267415</v>
      </c>
      <c r="G22" s="243">
        <f>G21*Inputs!$E$11/1000</f>
        <v>69824.1884174902</v>
      </c>
    </row>
    <row r="23" spans="3:12" x14ac:dyDescent="0.25">
      <c r="C23" s="163" t="s">
        <v>1099</v>
      </c>
      <c r="D23" s="163" t="s">
        <v>844</v>
      </c>
      <c r="E23" s="164">
        <f>MOIC!G190</f>
        <v>9943.103878067472</v>
      </c>
      <c r="F23" s="243">
        <f>E234</f>
        <v>47524.011316379896</v>
      </c>
      <c r="G23" s="243">
        <f>F234</f>
        <v>133488.72762627382</v>
      </c>
    </row>
    <row r="24" spans="3:12" ht="45" x14ac:dyDescent="0.25">
      <c r="C24" s="163" t="s">
        <v>197</v>
      </c>
      <c r="D24" s="163" t="s">
        <v>12</v>
      </c>
      <c r="E24" s="160" t="str">
        <f>CHOOSE(MONTH(Inputs!E27),"Jan","Feb","Mar","Apr","May","Jun","Jul","Aug","Sep","Oct","Nov","Dec")&amp;"-"&amp;RIGHT(YEAR(Inputs!E27),2)&amp;" → RTB "&amp;CHOOSE(MONTH(Inputs!E56),"Jan","Feb","Mar","Apr","May","Jun","Jul","Aug","Sep","Oct","Nov","Dec")&amp;"-"&amp;RIGHT(YEAR(Inputs!E56),2)&amp;" → sale "&amp;CHOOSE(MONTH(Inputs!E58),"Jan","Feb","Mar","Apr","May","Jun","Jul","Aug","Sep","Oct","Nov","Dec")&amp;"-"&amp;RIGHT(YEAR(Inputs!E58),2)</f>
        <v>Jul-26 → RTB Jun-29 → sale Mar-30</v>
      </c>
      <c r="F24" s="241" t="str">
        <f>"COD "&amp;CHOOSE(MONTH(Inputs!$E$155),"Jan","Feb","Mar","Apr","May","Jun","Jul","Aug","Sep","Oct","Nov","Dec")&amp;"-"&amp;RIGHT(YEAR(Inputs!$E$155),2)&amp;" → capex "&amp;FIXED(E212,0)&amp;" k€/MW → payback "&amp;E230</f>
        <v>COD Sep-31 → capex 2,156 k€/MW → payback 2044</v>
      </c>
      <c r="G24" s="241" t="str">
        <f>"COD "&amp;CHOOSE(MONTH(Inputs!$E$155),"Jan","Feb","Mar","Apr","May","Jun","Jul","Aug","Sep","Oct","Nov","Dec")&amp;"-"&amp;RIGHT(YEAR(Inputs!$E$155),2)&amp;" → capex "&amp;FIXED(F212,0)&amp;" k€/MW → payback "&amp;F230</f>
        <v>COD Sep-31 → capex 1,533 k€/MW → payback 2041</v>
      </c>
    </row>
    <row r="25" spans="3:12" x14ac:dyDescent="0.25">
      <c r="C25" s="163" t="s">
        <v>770</v>
      </c>
      <c r="D25" s="163" t="s">
        <v>57</v>
      </c>
      <c r="E25" s="169" t="str">
        <f>MOIC!G270</f>
        <v>ALL OK</v>
      </c>
      <c r="F25" s="248" t="str">
        <f>E240</f>
        <v>ALL OK</v>
      </c>
      <c r="G25" s="348" t="str">
        <f>F240</f>
        <v>ALL OK</v>
      </c>
    </row>
    <row r="26" ht="15" customHeight="1" x14ac:dyDescent="0.25">
      <c r="C26" s="171" t="inlineStr">
        <is>
          <t xml:space="preserve">Sell-at-RTB column follows the active case (Inputs E6). European / Chinese columns (F–G) link to section 11 (live – Control Panel data table, active tender scenario). Tender local-benefit commitments (20 k€/MW one-off at COD, 2 €/MWh on generation) sit in HTM only; a buyer at RTB inherits them, so read the RTB premium as gross of the 20 k€/MW.</t>
        </is>
      </c>
    </row>
    <row r="27" ht="30" customHeight="1" x14ac:dyDescent="0.25">
      <c r="C27" s="43" t="s">
        <v>854</v>
      </c>
      <c r="D27" s="42"/>
      <c r="E27" s="42"/>
      <c r="F27" s="42"/>
      <c r="G27" s="42"/>
      <c r="H27" s="225" t="str">
        <f>"FEP profit – two cases (sale "&amp;DAY(Inputs!E58)&amp;"/"&amp;TEXT(MONTH(Inputs!E58),"00")&amp;"/"&amp;YEAR(Inputs!E58)&amp;"; "&amp;LEFT(Inputs!$F$64,FIND(":",Inputs!$F$64)-1)&amp;")"</f>
        <v>FEP profit – two cases (sale 31/03/2030; Interest pause 30/06/2029 – 01/01/2030)</v>
      </c>
      <c r="I27" s="225"/>
      <c r="J27" s="225"/>
      <c r="K27" s="18" t="s">
        <v>2213</v>
      </c>
      <c r="L27" s="18" t="s">
        <v>1671</v>
      </c>
    </row>
    <row r="28" x14ac:dyDescent="0.25">
      <c r="C28" s="6" t="s">
        <v>771</v>
      </c>
      <c r="D28" s="6"/>
      <c r="E28" s="6" t="s">
        <v>844</v>
      </c>
      <c r="F28" s="6" t="s">
        <v>726</v>
      </c>
      <c r="G28" s="6"/>
      <c r="H28" s="224" t="inlineStr">
        <is>
          <t xml:space="preserve">Interest on recoverable loan (12 % per line to the RtB sale, interest pause excluded: cash TSO bond, connection fees, participation fee)</t>
        </is>
      </c>
      <c r="I28" s="224"/>
      <c r="J28" s="224" t="s">
        <v>844</v>
      </c>
      <c r="K28" s="82">
        <f>Deposits!$Y$23+Deposits!$Y$24</f>
        <v>4370.03311260425</v>
      </c>
      <c r="L28" s="209">
        <f>K28</f>
        <v>4370.03311260425</v>
      </c>
    </row>
    <row r="29" spans="3:12" x14ac:dyDescent="0.25">
      <c r="C29" t="s">
        <v>772</v>
      </c>
      <c r="D29" t="s">
        <v>844</v>
      </c>
      <c r="E29" s="1">
        <f>-MOIC!G159</f>
        <v>150</v>
      </c>
      <c r="F29" s="1">
        <f>E29*Inputs!$E$11/1000</f>
        <v>54.75</v>
      </c>
      <c r="H29" s="224" t="s">
        <v>1672</v>
      </c>
      <c r="I29" s="224"/>
      <c r="J29" s="224" t="s">
        <v>844</v>
      </c>
      <c r="K29" s="82">
        <f>MOIC!G126</f>
        <v>0</v>
      </c>
      <c r="L29" s="209">
        <f>K29</f>
        <v>0</v>
      </c>
    </row>
    <row r="30" x14ac:dyDescent="0.25">
      <c r="C30" t="s">
        <v>37</v>
      </c>
      <c r="D30" t="s">
        <v>844</v>
      </c>
      <c r="E30" s="1">
        <f>-MOIC!G158</f>
        <v>250</v>
      </c>
      <c r="F30" s="1">
        <f>E30*Inputs!$E$11/1000</f>
        <v>91.25</v>
      </c>
      <c r="H30" s="224" t="inlineStr">
        <is>
          <t xml:space="preserve">Return on at-risk devex and land: MAX(20 % to the RtB sale excl. the pause, 2×) – principal × 1</t>
        </is>
      </c>
      <c r="I30" s="224"/>
      <c r="J30" s="224" t="s">
        <v>844</v>
      </c>
      <c r="K30" s="82">
        <f>MOIC!G131</f>
        <v>3087.845921749919</v>
      </c>
      <c r="L30" s="209">
        <f>K30</f>
        <v>3087.845921749919</v>
      </c>
    </row>
    <row r="31" spans="3:12" x14ac:dyDescent="0.25">
      <c r="C31" t="s">
        <v>1711</v>
      </c>
      <c r="D31" t="s">
        <v>844</v>
      </c>
      <c r="E31" s="1">
        <f>-MOIC!G162</f>
        <v>3087.845921749919</v>
      </c>
      <c r="F31" s="1">
        <f>E31*Inputs!$E$11/1000</f>
        <v>1127.0637614387203</v>
      </c>
      <c r="H31" s="224" t="s">
        <v>1599</v>
      </c>
      <c r="I31" s="224"/>
      <c r="J31" s="224" t="s">
        <v>844</v>
      </c>
      <c r="K31" s="82">
        <f>MOIC!G169</f>
        <v>3219.9261897510114</v>
      </c>
      <c r="L31" s="209">
        <f>K31</f>
        <v>3219.9261897510114</v>
      </c>
    </row>
    <row r="32" spans="3:12" x14ac:dyDescent="0.25">
      <c r="C32" t="s">
        <v>773</v>
      </c>
      <c r="D32" t="s">
        <v>844</v>
      </c>
      <c r="E32" s="1">
        <f>-(MOIC!G160+MOIC!G161)</f>
        <v>41448.23836712329</v>
      </c>
      <c r="F32" s="1">
        <f>E32*Inputs!$E$11/1000</f>
        <v>15128.607004000001</v>
      </c>
      <c r="H32" s="226" t="s">
        <v>1600</v>
      </c>
      <c r="I32" s="226"/>
      <c r="J32" s="226" t="s">
        <v>844</v>
      </c>
      <c r="K32" s="210">
        <f>SUM(K28:K31)</f>
        <v>10677.805224105181</v>
      </c>
      <c r="L32" s="210">
        <f>SUM(L28:L31)</f>
        <v>10677.805224105181</v>
      </c>
    </row>
    <row r="33" spans="3:12" x14ac:dyDescent="0.25">
      <c r="C33" t="s">
        <v>713</v>
      </c>
      <c r="D33" t="s">
        <v>844</v>
      </c>
      <c r="E33" s="1">
        <f>-MOIC!G163</f>
        <v>3681.2145205479455</v>
      </c>
      <c r="F33" s="1">
        <f>E33*Inputs!$E$11/1000</f>
        <v>1343.6433</v>
      </c>
      <c r="H33" s="224" t="s">
        <v>1673</v>
      </c>
      <c r="I33" s="224"/>
      <c r="J33" s="224" t="s">
        <v>844</v>
      </c>
      <c r="K33" s="82">
        <f>MOIC!G170</f>
        <v>11608.63009312638</v>
      </c>
      <c r="L33" s="209">
        <f>K33</f>
        <v>11608.63009312638</v>
      </c>
    </row>
    <row r="34" spans="3:12" x14ac:dyDescent="0.25">
      <c r="C34" s="73" t="s">
        <v>774</v>
      </c>
      <c r="D34" s="73" t="s">
        <v>844</v>
      </c>
      <c r="E34" s="77">
        <f>SUM(E29:E33)</f>
        <v>48617.298809421154</v>
      </c>
      <c r="F34" s="77">
        <f>E34*Inputs!$E$11/1000</f>
        <v>17745.31406543872</v>
      </c>
      <c r="H34" s="224" t="s">
        <v>1887</v>
      </c>
      <c r="I34" s="224"/>
      <c r="J34" s="224" t="s">
        <v>844</v>
      </c>
      <c r="K34" s="82">
        <f>MOIC!G162+MOIC!G161+MOIC!G167</f>
        <v>-2678.904548184573</v>
      </c>
      <c r="L34" s="209">
        <f>K34</f>
        <v>-2678.904548184573</v>
      </c>
    </row>
    <row r="35" spans="3:12" x14ac:dyDescent="0.25">
      <c r="E35" s="1"/>
      <c r="F35" s="1"/>
      <c r="H35" s="226" t="s">
        <v>1674</v>
      </c>
      <c r="I35" s="226"/>
      <c r="J35" s="226" t="s">
        <v>844</v>
      </c>
      <c r="K35" s="210">
        <f>K32+K33+K34</f>
        <v>19607.53076904699</v>
      </c>
      <c r="L35" s="210">
        <f>L32+L33+L34</f>
        <v>19607.53076904699</v>
      </c>
    </row>
    <row r="36" spans="3:12" x14ac:dyDescent="0.25">
      <c r="C36" s="6" t="s">
        <v>775</v>
      </c>
      <c r="D36" s="6"/>
      <c r="E36" s="37" t="s">
        <v>844</v>
      </c>
      <c r="F36" s="37" t="s">
        <v>726</v>
      </c>
      <c r="G36" s="6"/>
      <c r="H36" s="224" t="s">
        <v>1584</v>
      </c>
      <c r="I36" s="224"/>
      <c r="J36" s="224" t="s">
        <v>844</v>
      </c>
      <c r="K36" s="218">
        <v>0</v>
      </c>
      <c r="L36" s="82">
        <f>MOIC!G158</f>
        <v>-250</v>
      </c>
    </row>
    <row r="37" spans="3:12" x14ac:dyDescent="0.25">
      <c r="C37" t="s">
        <v>776</v>
      </c>
      <c r="D37" t="s">
        <v>844</v>
      </c>
      <c r="E37" s="1">
        <f>-(MOIC!G158+MOIC!G159)</f>
        <v>400</v>
      </c>
      <c r="F37" s="1">
        <f>E37*Inputs!$E$11/1000</f>
        <v>146</v>
      </c>
      <c r="H37" s="224" t="s">
        <v>1585</v>
      </c>
      <c r="I37" s="224"/>
      <c r="J37" s="224" t="s">
        <v>844</v>
      </c>
      <c r="K37" s="218">
        <v>0</v>
      </c>
      <c r="L37" s="82">
        <f>MOIC!G159</f>
        <v>-150</v>
      </c>
    </row>
    <row r="38" spans="3:12" x14ac:dyDescent="0.25">
      <c r="C38" t="s">
        <v>1442</v>
      </c>
      <c r="D38" t="s">
        <v>844</v>
      </c>
      <c r="E38" s="1">
        <f>-MOIC!G160</f>
        <v>41431.800010958905</v>
      </c>
      <c r="F38" s="1">
        <f>E38*Inputs!$E$11/1000</f>
        <v>15122.607004000001</v>
      </c>
      <c r="H38" s="224" t="s">
        <v>1675</v>
      </c>
      <c r="I38" s="224"/>
      <c r="J38" s="224" t="s">
        <v>844</v>
      </c>
      <c r="K38" s="218">
        <v>0</v>
      </c>
      <c r="L38" s="82">
        <f>MOIC!G163</f>
        <v>-3681.2145205479455</v>
      </c>
    </row>
    <row r="39" spans="3:12" x14ac:dyDescent="0.25">
      <c r="C39" t="s">
        <v>1753</v>
      </c>
      <c r="D39" t="s">
        <v>844</v>
      </c>
      <c r="E39" s="1">
        <f>-(MOIC!G161+MOIC!G162)</f>
        <v>3104.2842779143025</v>
      </c>
      <c r="F39" s="1">
        <f>E39*Inputs!$E$11/1000</f>
        <v>1133.0637614387203</v>
      </c>
      <c r="H39" s="224" t="s">
        <v>1676</v>
      </c>
      <c r="I39" s="224"/>
      <c r="J39" s="224" t="s">
        <v>844</v>
      </c>
      <c r="K39" s="218">
        <v>0</v>
      </c>
      <c r="L39" s="82">
        <f>-MOIC!G200</f>
        <v>-5253.092785867267</v>
      </c>
    </row>
    <row r="40" spans="3:12" x14ac:dyDescent="0.25">
      <c r="C40" t="s">
        <v>777</v>
      </c>
      <c r="D40" t="s">
        <v>844</v>
      </c>
      <c r="E40" s="1">
        <f>-MOIC!G163</f>
        <v>3681.2145205479455</v>
      </c>
      <c r="F40" s="1">
        <f>E40*Inputs!$E$11/1000</f>
        <v>1343.6433</v>
      </c>
      <c r="H40" s="226" t="s">
        <v>1586</v>
      </c>
      <c r="I40" s="226"/>
      <c r="J40" s="226" t="s">
        <v>844</v>
      </c>
      <c r="K40" s="210">
        <f>SUM(K35:K39)</f>
        <v>19607.53076904699</v>
      </c>
      <c r="L40" s="210">
        <f>SUM(L35:L39)</f>
        <v>10273.223462631777</v>
      </c>
    </row>
    <row r="41" spans="3:12" x14ac:dyDescent="0.25">
      <c r="C41" s="73" t="s">
        <v>778</v>
      </c>
      <c r="D41" s="73" t="s">
        <v>844</v>
      </c>
      <c r="E41" s="77">
        <f>SUM(E37:E40)</f>
        <v>48617.298809421154</v>
      </c>
      <c r="F41" s="77">
        <f>E41*Inputs!$E$11/1000</f>
        <v>17745.31406543872</v>
      </c>
      <c r="H41" s="224" t="s">
        <v>2214</v>
      </c>
      <c r="I41" s="224"/>
      <c r="J41" s="224" t="s">
        <v>844</v>
      </c>
      <c r="K41" s="209">
        <f>MOIC!$G$174</f>
        <v>-352.5917539835348</v>
      </c>
      <c r="L41" s="82">
        <f>MOIC!G174</f>
        <v>-352.5917539835348</v>
      </c>
    </row>
    <row r="42" spans="3:12" x14ac:dyDescent="0.25">
      <c r="C42" t="s">
        <v>779</v>
      </c>
      <c r="D42" t="s">
        <v>52</v>
      </c>
      <c r="E42" s="74" t="str">
        <f>IF(ABS(E34-E41)&lt;0.01,"OK","FAIL")</f>
        <v>OK</v>
      </c>
      <c r="F42" s="1"/>
      <c r="H42" s="226" t="s">
        <v>725</v>
      </c>
      <c r="I42" s="226"/>
      <c r="J42" s="226" t="s">
        <v>844</v>
      </c>
      <c r="K42" s="210">
        <f>K40+K41</f>
        <v>19254.939015063454</v>
      </c>
      <c r="L42" s="210">
        <f>L40+L41</f>
        <v>9920.631708648241</v>
      </c>
    </row>
    <row r="43" x14ac:dyDescent="0.25">
      <c r="C43" t="s">
        <v>780</v>
      </c>
      <c r="D43" t="s">
        <v>844</v>
      </c>
      <c r="E43" s="1">
        <f>MOIC!G144</f>
        <v>41857.17974068864</v>
      </c>
      <c r="F43" s="1">
        <f>E43*Inputs!$E$11/1000</f>
        <v>15277.870605351352</v>
      </c>
      <c r="H43" s="224" t="inlineStr">
        <is>
          <t xml:space="preserve">Check: Case B excl. cost of capital ties to MOIC net cash flow (G172 / G182, before the community purchase right, MOIC G284:G286)</t>
        </is>
      </c>
      <c r="I43" s="224"/>
      <c r="J43" s="224" t="s">
        <v>52</v>
      </c>
      <c r="K43" s="224"/>
      <c r="L43" s="224" t="str">
        <f>IF(AND(ABS(L40-L39-MOIC!G172+SUM(MOIC!G284:G286))&lt;Tender!$E$32,ABS(L42-L39-MOIC!G182+SUM(MOIC!G284:G286))&lt;Tender!$E$32),"OK","ERROR")</f>
        <v>OK</v>
      </c>
    </row>
    <row r="44" spans="3:12" x14ac:dyDescent="0.25">
      <c r="C44" t="s">
        <v>781</v>
      </c>
      <c r="D44" t="s">
        <v>844</v>
      </c>
      <c r="E44" s="1">
        <f>E34-E43</f>
        <v>6760.119068732514</v>
      </c>
      <c r="F44" s="1">
        <f>E44*Inputs!$E$11/1000</f>
        <v>2467.443460087368</v>
      </c>
    </row>
    <row r="45" spans="3:12" x14ac:dyDescent="0.25">
      <c r="C45" t="s">
        <v>1278</v>
      </c>
      <c r="D45" t="s">
        <v>844</v>
      </c>
      <c r="E45" s="1">
        <f>E34+Deposits!$E$27</f>
        <v>66901.47689161294</v>
      </c>
      <c r="F45">
        <f>E45*Inputs!$E$11/1000</f>
        <v>24419.039065438723</v>
      </c>
    </row>
    <row r="46" x14ac:dyDescent="0.25">
      <c r="H46" s="6" t="inlineStr">
        <is>
          <t xml:space="preserve">Tie-out vs BORA Devex file 01-Oct-26 (HISTORIC snapshot: column J typed from that file – freeze 30/06/2029, exit 31/12/2029). Current reconciliation vs BORA_Devex_20261002_BG: CHECKS §14</t>
        </is>
      </c>
    </row>
    <row r="47" x14ac:dyDescent="0.25">
      <c r="C47" s="43" t="s">
        <v>782</v>
      </c>
      <c r="D47" s="42"/>
      <c r="E47" s="43" t="s">
        <v>844</v>
      </c>
      <c r="F47" s="43" t="s">
        <v>726</v>
      </c>
      <c r="G47" s="42"/>
      <c r="H47" s="221" t="s">
        <v>1654</v>
      </c>
      <c r="I47" s="222"/>
      <c r="J47" s="221" t="inlineStr">
        <is>
          <t xml:space="preserve">Devex file 01-Oct-26 (historic, typed)</t>
        </is>
      </c>
      <c r="K47" s="221" t="s">
        <v>1656</v>
      </c>
      <c r="L47" s="221" t="s">
        <v>1657</v>
      </c>
    </row>
    <row r="48" spans="3:12" x14ac:dyDescent="0.25">
      <c r="C48" t="s">
        <v>701</v>
      </c>
      <c r="D48" t="s">
        <v>844</v>
      </c>
      <c r="E48" s="1">
        <f>MOIC!G143</f>
        <v>30000</v>
      </c>
      <c r="F48" s="1">
        <f>E48*Inputs!$E$11/1000</f>
        <v>10950</v>
      </c>
      <c r="H48" s="6" t="s">
        <v>2397</v>
      </c>
      <c r="J48" s="218">
        <v>2678.66019424159</v>
      </c>
      <c r="K48" s="82">
        <f>Devex_FEP!$H$39+MOIC!G44</f>
        <v>2678.904548184573</v>
      </c>
      <c r="L48" s="209">
        <f>K48-J48</f>
        <v>0.2443539429827979</v>
      </c>
    </row>
    <row r="49" spans="3:12" x14ac:dyDescent="0.25">
      <c r="C49" t="s">
        <v>702</v>
      </c>
      <c r="D49" t="s">
        <v>844</v>
      </c>
      <c r="E49" s="1">
        <f>MOIC!G144</f>
        <v>41857.17974068864</v>
      </c>
      <c r="F49" s="1">
        <f>E49*Inputs!$E$11/1000</f>
        <v>15277.870605351352</v>
      </c>
      <c r="H49" s="6" t="s">
        <v>2398</v>
      </c>
      <c r="J49" s="218">
        <v>3012.01836</v>
      </c>
      <c r="K49" s="82">
        <f>Deposits!$Y$23+Deposits!$Y$24</f>
        <v>4370.03311260425</v>
      </c>
      <c r="L49" s="209">
        <f t="shared" ref="L49:L59" si="1">K49-J49</f>
        <v>1358.0147526042501</v>
      </c>
    </row>
    <row r="50" spans="3:12" x14ac:dyDescent="0.25">
      <c r="C50" s="6" t="s">
        <v>46</v>
      </c>
      <c r="D50" s="6" t="s">
        <v>844</v>
      </c>
      <c r="E50" s="37">
        <f>MOIC!G145</f>
        <v>71857.17974068865</v>
      </c>
      <c r="F50" s="37">
        <f>E50*Inputs!$E$11/1000</f>
        <v>26227.870605351356</v>
      </c>
      <c r="H50" s="6" t="s">
        <v>1658</v>
      </c>
      <c r="J50" s="218">
        <v>2464.17553</v>
      </c>
      <c r="K50" s="82">
        <f>Deposits!$Y$22</f>
        <v>3219.9261897510114</v>
      </c>
      <c r="L50" s="209">
        <f t="shared" si="1"/>
        <v>755.7506597510114</v>
      </c>
    </row>
    <row r="51" spans="3:12" x14ac:dyDescent="0.25">
      <c r="C51" t="s">
        <v>703</v>
      </c>
      <c r="D51" t="s">
        <v>844</v>
      </c>
      <c r="E51" s="1">
        <f>MOIC!G146</f>
        <v>-500</v>
      </c>
      <c r="F51" s="1">
        <f>E51*Inputs!$E$11/1000</f>
        <v>-182.5</v>
      </c>
      <c r="H51" s="6" t="s">
        <v>2399</v>
      </c>
      <c r="J51" s="218">
        <v>3087.8237077550998</v>
      </c>
      <c r="K51" s="82">
        <f>MOIC!G131</f>
        <v>3087.845921749919</v>
      </c>
      <c r="L51" s="209">
        <f t="shared" si="1"/>
        <v>0.02221399481913977</v>
      </c>
    </row>
    <row r="52" spans="3:12" x14ac:dyDescent="0.25">
      <c r="C52" t="s">
        <v>738</v>
      </c>
      <c r="D52" t="s">
        <v>844</v>
      </c>
      <c r="E52" s="1">
        <f>MOIC!G147</f>
        <v>-45795.31181871448</v>
      </c>
      <c r="F52" s="1">
        <f>E52*Inputs!$E$11/1000</f>
        <v>-16715.288813830786</v>
      </c>
      <c r="H52" s="73" t="s">
        <v>1659</v>
      </c>
      <c r="I52" s="73"/>
      <c r="J52" s="219">
        <f>SUM(J49:J51)</f>
        <v>8564.0175977551</v>
      </c>
      <c r="K52" s="220">
        <f>SUM(K49:K51)</f>
        <v>10677.805224105181</v>
      </c>
      <c r="L52" s="210">
        <f t="shared" si="1"/>
        <v>2113.7876263500802</v>
      </c>
    </row>
    <row r="53" spans="3:12" x14ac:dyDescent="0.25">
      <c r="C53" t="s">
        <v>739</v>
      </c>
      <c r="D53" t="s">
        <v>844</v>
      </c>
      <c r="E53" s="1">
        <f>MOIC!G148</f>
        <v>-425.3797297297297</v>
      </c>
      <c r="F53" s="1">
        <f>E53*Inputs!$E$11/1000</f>
        <v>-155.26360135135135</v>
      </c>
      <c r="H53" s="6" t="s">
        <v>1660</v>
      </c>
      <c r="J53" s="218">
        <v>1590.2777777777801</v>
      </c>
      <c r="K53" s="82">
        <f>-MOIC!G151</f>
        <v>2238.4375</v>
      </c>
      <c r="L53" s="209">
        <f t="shared" si="1"/>
        <v>648.1597222222199</v>
      </c>
    </row>
    <row r="54" spans="3:12" x14ac:dyDescent="0.25">
      <c r="C54" t="s">
        <v>740</v>
      </c>
      <c r="D54" t="s">
        <v>844</v>
      </c>
      <c r="E54" s="1">
        <f>MOIC!G149</f>
        <v>-3094.367226598597</v>
      </c>
      <c r="F54" s="1">
        <f>E54*Inputs!$E$11/1000</f>
        <v>-1129.444037708488</v>
      </c>
      <c r="H54" s="6" t="s">
        <v>1661</v>
      </c>
      <c r="J54" s="218">
        <v>500</v>
      </c>
      <c r="K54" s="82">
        <f>-MOIC!G146</f>
        <v>500</v>
      </c>
      <c r="L54" s="209">
        <f t="shared" si="1"/>
        <v>0</v>
      </c>
    </row>
    <row r="55" spans="3:12" x14ac:dyDescent="0.25">
      <c r="C55" t="s">
        <v>1597</v>
      </c>
      <c r="D55" t="s">
        <v>844</v>
      </c>
      <c r="E55" s="1">
        <f>MOIC!G150</f>
        <v>-3219.9261897510114</v>
      </c>
      <c r="F55" s="1">
        <f>E55*Inputs!$E$11/1000</f>
        <v>-1175.2730592591192</v>
      </c>
      <c r="H55" s="6" t="s">
        <v>2400</v>
      </c>
      <c r="J55" s="218">
        <v>19345.707494974198</v>
      </c>
      <c r="K55" s="82">
        <f>MOIC!G152</f>
        <v>16583.75727589483</v>
      </c>
      <c r="L55" s="209">
        <f t="shared" si="1"/>
        <v>-2761.9502190793683</v>
      </c>
    </row>
    <row r="56" spans="3:12" x14ac:dyDescent="0.25">
      <c r="C56" t="s">
        <v>704</v>
      </c>
      <c r="D56" t="s">
        <v>844</v>
      </c>
      <c r="E56" s="1">
        <f>MOIC!G151</f>
        <v>-2238.4375</v>
      </c>
      <c r="F56" s="1">
        <f>E56*Inputs!$E$11/1000</f>
        <v>-817.0296875</v>
      </c>
      <c r="H56" s="6" t="s">
        <v>1662</v>
      </c>
      <c r="J56" s="218">
        <v>13541.995246482</v>
      </c>
      <c r="K56" s="82">
        <f>MOIC!G153</f>
        <v>11608.63009312638</v>
      </c>
      <c r="L56" s="209">
        <f t="shared" si="1"/>
        <v>-1933.3651533556204</v>
      </c>
    </row>
    <row r="57" spans="3:12" x14ac:dyDescent="0.25">
      <c r="C57" s="6" t="s">
        <v>47</v>
      </c>
      <c r="D57" s="6" t="s">
        <v>844</v>
      </c>
      <c r="E57" s="37">
        <f>MOIC!G152</f>
        <v>16583.75727589483</v>
      </c>
      <c r="F57" s="37">
        <f>E57*Inputs!$E$11/1000</f>
        <v>6053.071405701613</v>
      </c>
      <c r="H57" s="73" t="s">
        <v>1677</v>
      </c>
      <c r="I57" s="73"/>
      <c r="J57" s="219">
        <v>19427.349779488399</v>
      </c>
      <c r="K57" s="220">
        <f>K35</f>
        <v>19607.53076904699</v>
      </c>
      <c r="L57" s="210">
        <f t="shared" si="1"/>
        <v>180.18098955859023</v>
      </c>
    </row>
    <row r="58" spans="3:12" x14ac:dyDescent="0.25">
      <c r="C58" t="s">
        <v>705</v>
      </c>
      <c r="D58" t="s">
        <v>844</v>
      </c>
      <c r="E58" s="1">
        <f>MOIC!G153</f>
        <v>11608.63009312638</v>
      </c>
      <c r="F58" s="1">
        <f>E58*Inputs!$E$11/1000</f>
        <v>4237.1499839911285</v>
      </c>
      <c r="H58" s="6" t="s">
        <v>2401</v>
      </c>
      <c r="J58" s="218">
        <f>K58</f>
        <v>-9334.307306415212</v>
      </c>
      <c r="K58" s="82">
        <f>SUM(L36:L39)</f>
        <v>-9334.307306415212</v>
      </c>
      <c r="L58" s="209">
        <f t="shared" si="1"/>
        <v>0</v>
      </c>
    </row>
    <row r="59" spans="3:12" x14ac:dyDescent="0.25">
      <c r="C59" t="s">
        <v>706</v>
      </c>
      <c r="D59" t="s">
        <v>844</v>
      </c>
      <c r="E59" s="1">
        <f>MOIC!G154</f>
        <v>4975.1271827684495</v>
      </c>
      <c r="F59" s="1">
        <f>E59*Inputs!$E$11/1000</f>
        <v>1815.9214217104839</v>
      </c>
      <c r="H59" s="73" t="s">
        <v>1678</v>
      </c>
      <c r="I59" s="73"/>
      <c r="J59" s="210">
        <f>J57+J58</f>
        <v>10093.042473073187</v>
      </c>
      <c r="K59" s="220">
        <f>L40</f>
        <v>10273.223462631777</v>
      </c>
      <c r="L59" s="210">
        <f t="shared" si="1"/>
        <v>180.18098955859023</v>
      </c>
    </row>
    <row r="60" x14ac:dyDescent="0.25">
      <c r="H60" s="223" t="inlineStr">
        <is>
          <t xml:space="preserve">Column J is a typed snapshot of the BORA Devex file of 01-Oct-26 (historic). The model has moved since (COD Sep-2031 → sale 31/03/2030, interest pause to 01/01/2030, BORA_Devex waterfall), so the differences are not errors. At the inputs of BORA_Devex_20261002_BG the model reproduces that file exactly (tools/devex_recon.py, CHECKS §14).</t>
        </is>
      </c>
    </row>
    <row r="61" spans="3:12" x14ac:dyDescent="0.25">
      <c r="C61" s="43" t="s">
        <v>783</v>
      </c>
      <c r="D61" s="42"/>
      <c r="E61" s="42"/>
      <c r="F61" s="42"/>
      <c r="G61" s="42"/>
      <c r="H61" s="42"/>
      <c r="I61" s="42"/>
      <c r="J61" s="42"/>
      <c r="K61" s="42"/>
      <c r="L61" s="42"/>
    </row>
    <row r="62" spans="3:12" x14ac:dyDescent="0.25">
      <c r="C62" s="6" t="s">
        <v>27</v>
      </c>
      <c r="D62" s="6" t="s">
        <v>845</v>
      </c>
      <c r="E62" s="107">
        <f>MOIC!H225</f>
        <v>50</v>
      </c>
      <c r="F62" s="107">
        <f>MOIC!I225</f>
        <v>75</v>
      </c>
      <c r="G62" s="107">
        <f>MOIC!J225</f>
        <v>100</v>
      </c>
      <c r="H62" s="107">
        <f>MOIC!K225</f>
        <v>125</v>
      </c>
      <c r="I62" s="107">
        <f>MOIC!L225</f>
        <v>150</v>
      </c>
      <c r="J62" s="107">
        <f>MOIC!M225</f>
        <v>175</v>
      </c>
      <c r="K62" s="107">
        <f>MOIC!N225</f>
        <v>200</v>
      </c>
    </row>
    <row r="63" spans="3:12" x14ac:dyDescent="0.25">
      <c r="C63" t="s">
        <v>784</v>
      </c>
      <c r="D63" t="s">
        <v>844</v>
      </c>
      <c r="E63" s="1">
        <f>MOIC!H238</f>
        <v>1173.7244945154926</v>
      </c>
      <c r="F63" s="1">
        <f>MOIC!I238</f>
        <v>4673.724494515493</v>
      </c>
      <c r="G63" s="1">
        <f>MOIC!J238</f>
        <v>8173.724494515493</v>
      </c>
      <c r="H63" s="1">
        <f>MOIC!K238</f>
        <v>11673.7244945155</v>
      </c>
      <c r="I63" s="1">
        <f>MOIC!L238</f>
        <v>15173.7244945155</v>
      </c>
      <c r="J63" s="1">
        <f>MOIC!M238</f>
        <v>18673.724494515493</v>
      </c>
      <c r="K63" s="1">
        <f>MOIC!N238</f>
        <v>22173.724494515493</v>
      </c>
    </row>
    <row r="64" spans="3:12" x14ac:dyDescent="0.25">
      <c r="C64" t="s">
        <v>784</v>
      </c>
      <c r="D64" t="s">
        <v>726</v>
      </c>
      <c r="E64" s="1">
        <f>MOIC!H239</f>
        <v>428.40944049815477</v>
      </c>
      <c r="F64" s="1">
        <f>MOIC!I239</f>
        <v>1705.909440498155</v>
      </c>
      <c r="G64" s="1">
        <f>MOIC!J239</f>
        <v>2983.4094404981547</v>
      </c>
      <c r="H64" s="1">
        <f>MOIC!K239</f>
        <v>4260.909440498157</v>
      </c>
      <c r="I64" s="1">
        <f>MOIC!L239</f>
        <v>5538.409440498157</v>
      </c>
      <c r="J64" s="1">
        <f>MOIC!M239</f>
        <v>6815.909440498154</v>
      </c>
      <c r="K64" s="1">
        <f>MOIC!N239</f>
        <v>8093.409440498154</v>
      </c>
    </row>
    <row r="65" spans="3:11" x14ac:dyDescent="0.25">
      <c r="C65" t="s">
        <v>3</v>
      </c>
      <c r="D65" t="s">
        <v>4</v>
      </c>
      <c r="E65" s="3">
        <f>MOIC!H240</f>
        <v>1.024142116556423</v>
      </c>
      <c r="F65" s="3">
        <f>MOIC!I240</f>
        <v>1.0961329528577144</v>
      </c>
      <c r="G65" s="3">
        <f>MOIC!J240</f>
        <v>1.1681237891590055</v>
      </c>
      <c r="H65" s="3">
        <f>MOIC!K240</f>
        <v>1.2401146254602968</v>
      </c>
      <c r="I65" s="3">
        <f>MOIC!L240</f>
        <v>1.312105461761588</v>
      </c>
      <c r="J65" s="3">
        <f>MOIC!M240</f>
        <v>1.3840962980628793</v>
      </c>
      <c r="K65" s="3">
        <f>MOIC!N240</f>
        <v>1.4560871343641706</v>
      </c>
    </row>
    <row r="66" spans="3:11" x14ac:dyDescent="0.25">
      <c r="C66" t="s">
        <v>743</v>
      </c>
      <c r="D66" t="s">
        <v>2</v>
      </c>
      <c r="E66" s="31">
        <f>MOIC!H241</f>
        <v>0.017274138394667307</v>
      </c>
      <c r="F66" s="31">
        <f>MOIC!I241</f>
        <v>0.06760658605896464</v>
      </c>
      <c r="G66" s="31">
        <f>MOIC!J241</f>
        <v>0.11626122275084234</v>
      </c>
      <c r="H66" s="31">
        <f>MOIC!K241</f>
        <v>0.1633420365780536</v>
      </c>
      <c r="I66" s="31">
        <f>MOIC!L241</f>
        <v>0.20894449022377323</v>
      </c>
      <c r="J66" s="31">
        <f>MOIC!M241</f>
        <v>0.2531563814492323</v>
      </c>
      <c r="K66" s="31">
        <f>MOIC!N241</f>
        <v>0.2960585859849199</v>
      </c>
    </row>
    <row r="67" spans="3:11" x14ac:dyDescent="0.25">
      <c r="C67" t="s">
        <v>1360</v>
      </c>
      <c r="D67" t="s">
        <v>4</v>
      </c>
      <c r="E67" s="3">
        <f>MOIC!H243</f>
        <v>-0.08099971337990189</v>
      </c>
      <c r="F67" s="3">
        <f>MOIC!I243</f>
        <v>-0.01628086560306393</v>
      </c>
      <c r="G67" s="3">
        <f>MOIC!J243</f>
        <v>0.04843798217377421</v>
      </c>
      <c r="H67" s="3">
        <f>MOIC!K243</f>
        <v>0.11315682995061217</v>
      </c>
      <c r="I67" s="3">
        <f>MOIC!L243</f>
        <v>0.1778756777274503</v>
      </c>
      <c r="J67" s="3">
        <f>MOIC!M243</f>
        <v>0.24259452550428842</v>
      </c>
      <c r="K67" s="3">
        <f>MOIC!N243</f>
        <v>0.30731337328112657</v>
      </c>
    </row>
    <row r="68" spans="3:11" x14ac:dyDescent="0.25">
      <c r="C68" t="s">
        <v>1367</v>
      </c>
      <c r="D68" t="s">
        <v>2</v>
      </c>
      <c r="E68" s="31">
        <f>HTM!F227</f>
        <v>0.11601917994060926</v>
      </c>
      <c r="F68" s="31">
        <f>HTM!F228</f>
        <v>0.11468945646460423</v>
      </c>
      <c r="G68" s="31">
        <f>HTM!F229</f>
        <v>0.11338497249440654</v>
      </c>
      <c r="H68" s="31">
        <f>HTM!F230</f>
        <v>0.11210491499137795</v>
      </c>
      <c r="I68" s="31">
        <f>HTM!F231</f>
        <v>0.11084850689079948</v>
      </c>
      <c r="J68" s="31">
        <f>HTM!F232</f>
        <v>0.10961500510284959</v>
      </c>
      <c r="K68" s="31">
        <f>HTM!F233</f>
        <v>0.10840369864629609</v>
      </c>
    </row>
    <row r="69" spans="3:11" x14ac:dyDescent="0.25">
      <c r="C69" t="s">
        <v>1368</v>
      </c>
      <c r="D69" t="s">
        <v>2</v>
      </c>
      <c r="E69" s="31">
        <f>HTM!F237</f>
        <v>0.13048531266344457</v>
      </c>
      <c r="F69" s="31">
        <f>HTM!F238</f>
        <v>0.12847170584831388</v>
      </c>
      <c r="G69" s="31">
        <f>HTM!F239</f>
        <v>0.12651969441448874</v>
      </c>
      <c r="H69" s="31">
        <f>HTM!F240</f>
        <v>0.12462596271670341</v>
      </c>
      <c r="I69" s="31">
        <f>HTM!F241</f>
        <v>0.1227874454672247</v>
      </c>
      <c r="J69" s="31">
        <f>HTM!F242</f>
        <v>0.12100130368605606</v>
      </c>
      <c r="K69" s="31">
        <f>HTM!F243</f>
        <v>0.11926490343271173</v>
      </c>
    </row>
    <row r="70" spans="3:11" x14ac:dyDescent="0.25">
      <c r="C70" t="s">
        <v>785</v>
      </c>
      <c r="E70" s="108" t="str">
        <f>IF(E62=Inputs!$E$141,"◄ active","")</f>
        <v/>
      </c>
      <c r="F70" s="108" t="str">
        <f>IF(F62=Inputs!$E$141,"◄ active","")</f>
        <v/>
      </c>
      <c r="G70" s="108" t="str">
        <f>IF(G62=Inputs!$E$141,"◄ active","")</f>
        <v/>
      </c>
      <c r="H70" s="108" t="str">
        <f>IF(H62=Inputs!$E$141,"◄ active","")</f>
        <v/>
      </c>
      <c r="I70" s="174" t="str">
        <f>IF(I62=Inputs!$E$141,"◄ active","")</f>
        <v>◄ active</v>
      </c>
      <c r="J70" s="108" t="str">
        <f>IF(J62=Inputs!$E$141,"◄ active","")</f>
        <v/>
      </c>
      <c r="K70" s="108" t="str">
        <f>IF(K62=Inputs!$E$141,"◄ active","")</f>
        <v/>
      </c>
    </row>
    <row r="71" spans="3:11" x14ac:dyDescent="0.25">
      <c r="C71" s="40" t="s">
        <v>786</v>
      </c>
    </row>
    <row r="74" spans="3:11" x14ac:dyDescent="0.25">
      <c r="C74" s="43" t="s">
        <v>787</v>
      </c>
      <c r="D74" s="42"/>
      <c r="E74" s="42"/>
      <c r="F74" s="42"/>
      <c r="G74" s="42"/>
    </row>
    <row r="75" spans="3:11" x14ac:dyDescent="0.25">
      <c r="C75" t="s">
        <v>657</v>
      </c>
      <c r="D75" t="s">
        <v>726</v>
      </c>
      <c r="E75" s="19">
        <f>Deposits!E22</f>
        <v>23592.162004</v>
      </c>
    </row>
    <row r="76" spans="3:11" x14ac:dyDescent="0.25">
      <c r="C76" t="s">
        <v>788</v>
      </c>
      <c r="D76" t="s">
        <v>726</v>
      </c>
      <c r="E76" s="19">
        <f>Deposits!E23</f>
        <v>21802.332004000004</v>
      </c>
    </row>
    <row r="77" spans="3:11" x14ac:dyDescent="0.25">
      <c r="C77" t="s">
        <v>658</v>
      </c>
      <c r="D77" t="s">
        <v>844</v>
      </c>
      <c r="E77" s="1">
        <f>Deposits!E24</f>
        <v>59732.416449315075</v>
      </c>
    </row>
    <row r="78" spans="3:11" x14ac:dyDescent="0.25">
      <c r="C78" t="s">
        <v>789</v>
      </c>
      <c r="D78" t="s">
        <v>844</v>
      </c>
      <c r="E78" s="1">
        <f>Deposits!E25</f>
        <v>59732.416449315075</v>
      </c>
    </row>
    <row r="79" spans="3:11" x14ac:dyDescent="0.25">
      <c r="C79" t="s">
        <v>790</v>
      </c>
      <c r="D79" t="s">
        <v>844</v>
      </c>
      <c r="E79" s="1">
        <f>Deposits!E26</f>
        <v>41448.2383671233</v>
      </c>
    </row>
    <row r="80" spans="3:11" x14ac:dyDescent="0.25">
      <c r="C80" t="s">
        <v>791</v>
      </c>
      <c r="D80" t="s">
        <v>844</v>
      </c>
      <c r="E80" s="1">
        <f>Deposits!E27</f>
        <v>18284.178082191786</v>
      </c>
    </row>
    <row r="81" spans="3:7" x14ac:dyDescent="0.25">
      <c r="C81" t="s">
        <v>792</v>
      </c>
      <c r="D81" t="s">
        <v>57</v>
      </c>
      <c r="E81" s="74" t="str">
        <f>Deposits!E34</f>
        <v>n/a – inputs differ from BORA_Devex source</v>
      </c>
    </row>
    <row r="84" spans="3:7" x14ac:dyDescent="0.25">
      <c r="C84" s="43" t="s">
        <v>793</v>
      </c>
      <c r="D84" s="42"/>
      <c r="E84" s="42"/>
      <c r="F84" s="42"/>
      <c r="G84" s="42"/>
    </row>
    <row r="85" spans="3:7" x14ac:dyDescent="0.25">
      <c r="C85" t="str">
        <f>MOIC!C254</f>
        <v>Deposits schedule reconciles to source table at reference capacity</v>
      </c>
      <c r="E85" t="str">
        <f>MOIC!G254</f>
        <v>n/a – inputs differ from BORA_Devex source</v>
      </c>
    </row>
    <row r="86" spans="3:7" x14ac:dyDescent="0.25">
      <c r="C86" t="str">
        <f>MOIC!C255</f>
        <v>FEP recoverable loan closes to nil</v>
      </c>
      <c r="E86" t="str">
        <f>MOIC!G255</f>
        <v>OK</v>
      </c>
    </row>
    <row r="87" spans="3:7" x14ac:dyDescent="0.25">
      <c r="C87" t="str">
        <f>MOIC!C256</f>
        <v>FEP unrecoverable loan closes to nil</v>
      </c>
      <c r="E87" t="str">
        <f>MOIC!G256</f>
        <v>OK</v>
      </c>
    </row>
    <row r="88" spans="3:7" x14ac:dyDescent="0.25">
      <c r="C88" t="str">
        <f>MOIC!C257</f>
        <v>Developer loans close to nil</v>
      </c>
      <c r="E88" t="str">
        <f>MOIC!G257</f>
        <v>OK</v>
      </c>
    </row>
    <row r="89" spans="3:7" x14ac:dyDescent="0.25">
      <c r="C89" t="str">
        <f>MOIC!C258</f>
        <v>Guarantee balance nil at end of grid</v>
      </c>
      <c r="E89" t="str">
        <f>MOIC!G258</f>
        <v>OK</v>
      </c>
    </row>
    <row r="90" spans="3:7" x14ac:dyDescent="0.25">
      <c r="C90" t="str">
        <f>MOIC!C259</f>
        <v>Proceeds conserved through the cash flows: FEP inflows (rows 166–170) + developer inflows (rows 209–213) + sale costs = total proceeds G145</v>
      </c>
      <c r="E90" t="str">
        <f>MOIC!G259</f>
        <v>OK</v>
      </c>
    </row>
    <row r="91" spans="3:7" x14ac:dyDescent="0.25">
      <c r="C91" t="str">
        <f>MOIC!C260</f>
        <v>Developer's take through its cash flows (rows 212 + 213) = MAX(0, success fee + distributable × Inputs E34) – BORA_Devex V44 with the floor</v>
      </c>
      <c r="E91" t="str">
        <f>MOIC!G260</f>
        <v>OK</v>
      </c>
    </row>
    <row r="92" spans="3:7" x14ac:dyDescent="0.25">
      <c r="C92" t="str">
        <f>MOIC!C261</f>
        <v>Devex spent equals Devex_FEP total (BORA Devex line items)</v>
      </c>
      <c r="E92" t="str">
        <f>MOIC!G261</f>
        <v>OK</v>
      </c>
    </row>
    <row r="93" spans="3:7" x14ac:dyDescent="0.25">
      <c r="C93" t="str">
        <f>MOIC!C262</f>
        <v>Success fee within cap (Inputs E37 × installed wind MW Inputs E29)</v>
      </c>
      <c r="E93" t="str">
        <f>MOIC!G262</f>
        <v>OK</v>
      </c>
    </row>
    <row r="94" spans="3:7" x14ac:dyDescent="0.25">
      <c r="C94" t="str">
        <f>MOIC!C263</f>
        <v>Sale month inside the grid</v>
      </c>
      <c r="E94" t="str">
        <f>MOIC!G263</f>
        <v>OK</v>
      </c>
    </row>
    <row r="95" spans="3:7" x14ac:dyDescent="0.25">
      <c r="C95" t="str">
        <f>MOIC!C264</f>
        <v>All included deposit payments fall inside the grid</v>
      </c>
      <c r="E95" t="str">
        <f>MOIC!G264</f>
        <v>OK</v>
      </c>
    </row>
    <row r="96" spans="3:7" x14ac:dyDescent="0.25">
      <c r="C96" t="str">
        <f>MOIC!C265</f>
        <v>Key outputs are numeric</v>
      </c>
      <c r="E96" t="str">
        <f>MOIC!G265</f>
        <v>OK</v>
      </c>
    </row>
    <row r="97" spans="2:11" x14ac:dyDescent="0.25">
      <c r="C97" t="str">
        <f>MOIC!C266</f>
        <v>Sensitivity ties to live case at the live premium (n/a while the community purchase right is live – the sensitivity is before it)</v>
      </c>
      <c r="E97" t="str">
        <f>MOIC!G266</f>
        <v>OK</v>
      </c>
    </row>
    <row r="98" spans="2:11" x14ac:dyDescent="0.25">
      <c r="C98" t="str">
        <f>MOIC!C267</f>
        <v>Case selector valid (1–10)</v>
      </c>
      <c r="E98" t="str">
        <f>MOIC!G267</f>
        <v>OK</v>
      </c>
    </row>
    <row r="99" spans="2:11" x14ac:dyDescent="0.25">
      <c r="C99" t="str">
        <f>MOIC!C268</f>
        <v>FEP net cash flow ties (outflows + inflows)</v>
      </c>
      <c r="E99" t="str">
        <f>MOIC!G268</f>
        <v>OK</v>
      </c>
    </row>
    <row r="100" spans="2:11" x14ac:dyDescent="0.25">
      <c r="C100" t="str">
        <f>MOIC!C269</f>
        <v>Every claim deducted in full (G155 = 0; BORA_Devex – no priority, no floor)</v>
      </c>
      <c r="E100" t="str">
        <f>MOIC!G269</f>
        <v>OK</v>
      </c>
    </row>
    <row r="101" spans="2:11" x14ac:dyDescent="0.25">
      <c r="C101" s="6" t="str">
        <f>MOIC!C270</f>
        <v>OVERALL STATUS (rows 254–269 and the Tender checks in row 271; no WARNING state since round 5 – the economic outcome is an info line: MOIC G156, HTM G380, Run_Map row 54)</v>
      </c>
      <c r="D101" s="6"/>
      <c r="E101" s="6" t="str">
        <f>MOIC!G270</f>
        <v>ALL OK</v>
      </c>
    </row>
    <row r="104" spans="2:11" x14ac:dyDescent="0.25">
      <c r="B104" s="42"/>
      <c r="C104" s="43" t="s">
        <v>1040</v>
      </c>
      <c r="D104" s="42"/>
      <c r="E104" s="42"/>
      <c r="F104" s="42"/>
      <c r="G104" s="42"/>
      <c r="H104" s="42"/>
      <c r="I104" s="42"/>
      <c r="J104" s="42"/>
      <c r="K104" s="42"/>
    </row>
    <row r="105" spans="2:11" x14ac:dyDescent="0.25">
      <c r="C105" t="s">
        <v>1041</v>
      </c>
      <c r="D105" t="s">
        <v>12</v>
      </c>
      <c r="E105" t="str">
        <f>IF(Inputs!E186=1,"Aurora curve (Curves)","Flat estimate (Inputs L)")</f>
        <v>Aurora curve (Curves)</v>
      </c>
    </row>
    <row r="106" spans="2:11" x14ac:dyDescent="0.25">
      <c r="C106" t="s">
        <v>1042</v>
      </c>
      <c r="D106" t="s">
        <v>844</v>
      </c>
      <c r="E106" s="19">
        <f>HTM!G149</f>
        <v>431201.29658630135</v>
      </c>
      <c r="F106" s="19">
        <f>E106*Inputs!$E$11/1000</f>
        <v>157388.473254</v>
      </c>
      <c r="G106" s="40" t="s">
        <v>726</v>
      </c>
    </row>
    <row r="107" spans="2:11" x14ac:dyDescent="0.25">
      <c r="C107" t="s">
        <v>1043</v>
      </c>
      <c r="D107" t="s">
        <v>845</v>
      </c>
      <c r="E107" s="19">
        <f>HTM!G150</f>
        <v>2156.006482931507</v>
      </c>
      <c r="G107" s="40"/>
    </row>
    <row r="108" spans="2:11" ht="15" customHeight="1" x14ac:dyDescent="0.25">
      <c r="C108" s="43" t="s">
        <v>1581</v>
      </c>
      <c r="D108" s="42"/>
      <c r="E108" s="42"/>
      <c r="F108" s="42"/>
      <c r="G108" s="42"/>
      <c r="H108" s="42"/>
      <c r="I108" s="42"/>
      <c r="J108" s="42"/>
      <c r="K108" s="42"/>
    </row>
    <row r="109" spans="2:11" ht="15" customHeight="1" x14ac:dyDescent="0.25">
      <c r="C109" s="6" t="s">
        <v>64</v>
      </c>
      <c r="D109" s="155" t="s">
        <v>461</v>
      </c>
      <c r="E109" s="155" t="s">
        <v>845</v>
      </c>
      <c r="F109" s="155" t="s">
        <v>1561</v>
      </c>
      <c r="G109" s="155" t="s">
        <v>1562</v>
      </c>
      <c r="H109" s="137"/>
      <c r="I109" s="137"/>
    </row>
    <row r="110" spans="2:11" ht="15" customHeight="1" x14ac:dyDescent="0.25">
      <c r="C110" t="s">
        <v>1563</v>
      </c>
      <c r="D110" s="148" t="s">
        <v>1564</v>
      </c>
      <c r="E110" s="202">
        <f>F110/Inputs!$E$18</f>
        <v>1239.75</v>
      </c>
      <c r="F110" s="197">
        <f>Inputs!$E$162*Inputs!$E$29</f>
        <v>247950</v>
      </c>
      <c r="G110" s="206">
        <f t="shared" ref="G110:G127" si="2">F110/$F$127</f>
        <v>0.5750214620478881</v>
      </c>
    </row>
    <row r="111" spans="2:11" ht="15" customHeight="1" x14ac:dyDescent="0.25">
      <c r="C111" t="s">
        <v>275</v>
      </c>
      <c r="D111" s="148" t="s">
        <v>1564</v>
      </c>
      <c r="E111" s="202">
        <f>F111/Inputs!$E$18</f>
        <v>104.4</v>
      </c>
      <c r="F111" s="197">
        <f>Inputs!$E$163*Inputs!$E$29</f>
        <v>20880</v>
      </c>
      <c r="G111" s="206">
        <f t="shared" si="2"/>
        <v>0.04842285996192741</v>
      </c>
    </row>
    <row r="112" spans="2:11" ht="15" customHeight="1" x14ac:dyDescent="0.25">
      <c r="C112" s="6" t="s">
        <v>1565</v>
      </c>
      <c r="D112" s="193"/>
      <c r="E112" s="203">
        <f>F112/Inputs!$E$18</f>
        <v>1344.15</v>
      </c>
      <c r="F112" s="199">
        <f>SUM(F110:F111)</f>
        <v>268830</v>
      </c>
      <c r="G112" s="207">
        <f t="shared" si="2"/>
        <v>0.6234443220098155</v>
      </c>
    </row>
    <row r="113" spans="3:7" ht="15" customHeight="1" x14ac:dyDescent="0.25">
      <c r="C113" t="s">
        <v>276</v>
      </c>
      <c r="D113" s="148" t="s">
        <v>1564</v>
      </c>
      <c r="E113" s="202">
        <f>F113/Inputs!$E$18</f>
        <v>117.45</v>
      </c>
      <c r="F113" s="197">
        <f>Inputs!$E$164*Inputs!$E$29</f>
        <v>23490</v>
      </c>
      <c r="G113" s="206">
        <f t="shared" si="2"/>
        <v>0.05447571745716834</v>
      </c>
    </row>
    <row r="114" spans="3:7" ht="15" customHeight="1" x14ac:dyDescent="0.25">
      <c r="C114" t="s">
        <v>863</v>
      </c>
      <c r="D114" s="148" t="s">
        <v>1564</v>
      </c>
      <c r="E114" s="202">
        <f>F114/Inputs!$E$18</f>
        <v>91.35</v>
      </c>
      <c r="F114" s="197">
        <f>Inputs!$E$165*Inputs!$E$29</f>
        <v>18270</v>
      </c>
      <c r="G114" s="206">
        <f t="shared" si="2"/>
        <v>0.042370002466686485</v>
      </c>
    </row>
    <row r="115" spans="3:7" ht="15" customHeight="1" x14ac:dyDescent="0.25">
      <c r="C115" t="s">
        <v>864</v>
      </c>
      <c r="D115" s="148" t="s">
        <v>1564</v>
      </c>
      <c r="E115" s="202">
        <f>F115/Inputs!$E$18</f>
        <v>78.3</v>
      </c>
      <c r="F115" s="197">
        <f>Inputs!$E$166*Inputs!$E$29</f>
        <v>15660</v>
      </c>
      <c r="G115" s="206">
        <f t="shared" si="2"/>
        <v>0.03631714497144556</v>
      </c>
    </row>
    <row r="116" spans="3:7" ht="15" customHeight="1" x14ac:dyDescent="0.25">
      <c r="C116" t="s">
        <v>2258</v>
      </c>
      <c r="D116" s="148" t="s">
        <v>277</v>
      </c>
      <c r="E116" s="202">
        <f>F116/Inputs!$E$18</f>
        <v>60</v>
      </c>
      <c r="F116" s="197">
        <f>Inputs!$E$167</f>
        <v>12000</v>
      </c>
      <c r="G116" s="206">
        <f t="shared" si="2"/>
        <v>0.027829229863176676</v>
      </c>
    </row>
    <row r="117" spans="3:7" ht="15" customHeight="1" x14ac:dyDescent="0.25">
      <c r="C117" s="6" t="s">
        <v>1566</v>
      </c>
      <c r="D117" s="193"/>
      <c r="E117" s="203">
        <f>F117/Inputs!$E$18</f>
        <v>347.1</v>
      </c>
      <c r="F117" s="199">
        <f>SUM(F113:F116)</f>
        <v>69420</v>
      </c>
      <c r="G117" s="207">
        <f t="shared" si="2"/>
        <v>0.16099209475847706</v>
      </c>
    </row>
    <row r="118" spans="3:7" ht="15" customHeight="1" x14ac:dyDescent="0.25">
      <c r="C118" t="s">
        <v>865</v>
      </c>
      <c r="D118" s="148" t="s">
        <v>1564</v>
      </c>
      <c r="E118" s="202">
        <f>F118/Inputs!$E$18</f>
        <v>52.2</v>
      </c>
      <c r="F118" s="197">
        <f>Inputs!$E$169*Inputs!$E$29</f>
        <v>10440</v>
      </c>
      <c r="G118" s="206">
        <f t="shared" si="2"/>
        <v>0.024211429980963706</v>
      </c>
    </row>
    <row r="119" spans="3:7" ht="15" customHeight="1" x14ac:dyDescent="0.25">
      <c r="C119" t="s">
        <v>866</v>
      </c>
      <c r="D119" s="148" t="s">
        <v>1564</v>
      </c>
      <c r="E119" s="202">
        <f>F119/Inputs!$E$18</f>
        <v>19.575</v>
      </c>
      <c r="F119" s="197">
        <f>Inputs!$E$170*Inputs!$E$29</f>
        <v>3915</v>
      </c>
      <c r="G119" s="206">
        <f t="shared" si="2"/>
        <v>0.00907928624286139</v>
      </c>
    </row>
    <row r="120" spans="3:7" ht="15" customHeight="1" x14ac:dyDescent="0.25">
      <c r="C120" t="s">
        <v>1567</v>
      </c>
      <c r="D120" s="148" t="s">
        <v>1568</v>
      </c>
      <c r="E120" s="202">
        <f>F120/Inputs!$E$18</f>
        <v>88.15125</v>
      </c>
      <c r="F120" s="200">
        <f>(F112+F117+F118+F119)*Inputs!$E$171</f>
        <v>17630.25</v>
      </c>
      <c r="G120" s="206">
        <f t="shared" si="2"/>
        <v>0.04088635664960588</v>
      </c>
    </row>
    <row r="121" spans="3:7" ht="15" customHeight="1" x14ac:dyDescent="0.25">
      <c r="C121" s="6" t="s">
        <v>1569</v>
      </c>
      <c r="D121" s="193"/>
      <c r="E121" s="203">
        <f>F121/Inputs!$E$18</f>
        <v>1851.17625</v>
      </c>
      <c r="F121" s="199">
        <f>F112+F117+F118+F119+F120</f>
        <v>370235.25</v>
      </c>
      <c r="G121" s="207">
        <f t="shared" si="2"/>
        <v>0.8586134896417235</v>
      </c>
    </row>
    <row r="122" spans="3:7" ht="15" customHeight="1" x14ac:dyDescent="0.25">
      <c r="C122" t="s">
        <v>1570</v>
      </c>
      <c r="D122" s="148" t="s">
        <v>1571</v>
      </c>
      <c r="E122" s="495">
        <f>F122/Inputs!$E$18</f>
        <v>90</v>
      </c>
      <c r="F122" s="197">
        <f>Inputs!$E$168*Inputs!$E$20</f>
        <v>18000</v>
      </c>
      <c r="G122" s="206">
        <f t="shared" si="2"/>
        <v>0.04174384479476501</v>
      </c>
    </row>
    <row r="123" spans="3:7" ht="15" customHeight="1" x14ac:dyDescent="0.25">
      <c r="C123" s="6" t="s">
        <v>1572</v>
      </c>
      <c r="D123" s="193"/>
      <c r="E123" s="203">
        <f>F123/Inputs!$E$18</f>
        <v>1941.17625</v>
      </c>
      <c r="F123" s="199">
        <f>F121+F122</f>
        <v>388235.25</v>
      </c>
      <c r="G123" s="207">
        <f t="shared" si="2"/>
        <v>0.9003573344364885</v>
      </c>
    </row>
    <row r="124" spans="3:7" ht="15" customHeight="1" x14ac:dyDescent="0.25">
      <c r="C124" t="s">
        <v>1573</v>
      </c>
      <c r="D124" s="148" t="s">
        <v>18</v>
      </c>
      <c r="E124" s="202">
        <f>F124/Inputs!$E$18</f>
        <v>187.86659178082195</v>
      </c>
      <c r="F124" s="197">
        <f>Deposits!$M$18</f>
        <v>37573.31835616439</v>
      </c>
      <c r="G124" s="206">
        <f t="shared" si="2"/>
        <v>0.08713637610466786</v>
      </c>
    </row>
    <row r="125" spans="3:7" ht="15" customHeight="1" x14ac:dyDescent="0.25">
      <c r="C125" t="s">
        <v>1269</v>
      </c>
      <c r="D125" s="148" t="s">
        <v>18</v>
      </c>
      <c r="E125" s="202">
        <f>F125/Inputs!$E$18</f>
        <v>6.963641150684931</v>
      </c>
      <c r="F125" s="197">
        <f>Deposits!$M$12</f>
        <v>1392.7282301369862</v>
      </c>
      <c r="G125" s="206">
        <f t="shared" si="2"/>
        <v>0.0032298795044514513</v>
      </c>
    </row>
    <row r="126" spans="3:7" ht="15" customHeight="1" x14ac:dyDescent="0.25">
      <c r="C126" t="s">
        <v>1574</v>
      </c>
      <c r="D126" s="148" t="s">
        <v>1564</v>
      </c>
      <c r="E126" s="202">
        <f>F126/Inputs!$E$18</f>
        <v>20</v>
      </c>
      <c r="F126" s="197">
        <f>Inputs!$E$233*Inputs!$E$18</f>
        <v>4000</v>
      </c>
      <c r="G126" s="206">
        <f t="shared" si="2"/>
        <v>0.009276409954392224</v>
      </c>
    </row>
    <row r="127" spans="3:7" ht="15" customHeight="1" x14ac:dyDescent="0.25">
      <c r="C127" s="73" t="s">
        <v>1575</v>
      </c>
      <c r="D127" s="194"/>
      <c r="E127" s="204">
        <f>F127/Inputs!$E$18</f>
        <v>2156.006482931507</v>
      </c>
      <c r="F127" s="201">
        <f>F123+F124+F125+F126</f>
        <v>431201.29658630135</v>
      </c>
      <c r="G127" s="208">
        <f t="shared" si="2"/>
        <v>1</v>
      </c>
    </row>
    <row r="128" spans="3:7" ht="15" customHeight="1" x14ac:dyDescent="0.25">
      <c r="C128" s="39" t="s">
        <v>1576</v>
      </c>
      <c r="D128" s="196" t="s">
        <v>1058</v>
      </c>
      <c r="E128" s="205">
        <f>F128/Inputs!$E$18</f>
        <v>63.328098019261546</v>
      </c>
      <c r="F128" s="198">
        <f>HTM!$G$79</f>
        <v>12665.619603852309</v>
      </c>
      <c r="G128" s="150"/>
    </row>
    <row r="129" spans="3:7" ht="15" customHeight="1" x14ac:dyDescent="0.25">
      <c r="C129" s="39" t="s">
        <v>1577</v>
      </c>
      <c r="D129" s="196" t="s">
        <v>1058</v>
      </c>
      <c r="E129" s="205">
        <f>F129/Inputs!$E$18</f>
        <v>31.213685495212598</v>
      </c>
      <c r="F129" s="198">
        <f>-HTM!$G$85</f>
        <v>6242.73709904252</v>
      </c>
      <c r="G129" s="150"/>
    </row>
    <row r="130" spans="3:7" ht="15" customHeight="1" x14ac:dyDescent="0.25">
      <c r="C130" s="73" t="s">
        <v>1578</v>
      </c>
      <c r="D130" s="194"/>
      <c r="E130" s="204">
        <f>F130/Inputs!$E$18</f>
        <v>2250.548266445981</v>
      </c>
      <c r="F130" s="201">
        <f>F127+F128+F129</f>
        <v>450109.6532891962</v>
      </c>
      <c r="G130" s="195"/>
    </row>
    <row r="131" spans="3:7" ht="15" customHeight="1" x14ac:dyDescent="0.25">
      <c r="C131" t="s">
        <v>1579</v>
      </c>
      <c r="D131" s="148" t="s">
        <v>52</v>
      </c>
      <c r="E131" s="138"/>
      <c r="F131" s="138" t="str">
        <f>IF(ABS(F127+HTM!$G$30)&lt;0.5,"OK","FAIL")</f>
        <v>OK</v>
      </c>
      <c r="G131" s="150"/>
    </row>
    <row r="132" spans="3:7" ht="15" customHeight="1" x14ac:dyDescent="0.25">
      <c r="E132" s="19"/>
      <c r="G132" s="40"/>
    </row>
    <row r="133" spans="3:7" x14ac:dyDescent="0.25">
      <c r="C133" t="s">
        <v>1044</v>
      </c>
      <c r="D133" t="s">
        <v>844</v>
      </c>
      <c r="E133" s="19">
        <f>HTM!G157</f>
        <v>249826.33272631807</v>
      </c>
      <c r="F133" s="2">
        <f>Inputs!E217</f>
        <v>0.55</v>
      </c>
      <c r="G133" s="40" t="s">
        <v>1055</v>
      </c>
    </row>
    <row r="134" spans="3:7" x14ac:dyDescent="0.25">
      <c r="C134" t="s">
        <v>1024</v>
      </c>
      <c r="D134" t="s">
        <v>956</v>
      </c>
      <c r="E134" s="19">
        <f>HTM!G151</f>
        <v>17249.630704920553</v>
      </c>
      <c r="G134" s="40"/>
    </row>
    <row r="135" spans="3:7" x14ac:dyDescent="0.25">
      <c r="C135" t="s">
        <v>1026</v>
      </c>
      <c r="D135" t="s">
        <v>377</v>
      </c>
      <c r="E135" s="89">
        <f>HTM!G153</f>
        <v>146.16659954585938</v>
      </c>
      <c r="G135" s="40"/>
    </row>
    <row r="136" spans="3:7" x14ac:dyDescent="0.25">
      <c r="C136" t="s">
        <v>1025</v>
      </c>
      <c r="D136" t="s">
        <v>844</v>
      </c>
      <c r="E136" s="19">
        <f>HTM!G152</f>
        <v>2521319.863560083</v>
      </c>
      <c r="F136" s="19">
        <f>E136*Inputs!$E$11/1000</f>
        <v>920281.7501994303</v>
      </c>
      <c r="G136" s="40" t="s">
        <v>726</v>
      </c>
    </row>
    <row r="137" spans="3:7" x14ac:dyDescent="0.25">
      <c r="C137" t="s">
        <v>1027</v>
      </c>
      <c r="D137" t="s">
        <v>2</v>
      </c>
      <c r="E137" s="31">
        <f>HTM!G154</f>
        <v>0.7870441754859727</v>
      </c>
      <c r="G137" s="40"/>
    </row>
    <row r="138" spans="3:7" x14ac:dyDescent="0.25">
      <c r="C138" t="s">
        <v>1045</v>
      </c>
      <c r="D138" t="s">
        <v>377</v>
      </c>
      <c r="E138" s="89">
        <f>HTM!G156</f>
        <v>102.14704403482497</v>
      </c>
      <c r="G138" s="40"/>
    </row>
    <row r="139" spans="3:7" x14ac:dyDescent="0.25">
      <c r="C139" s="6" t="s">
        <v>1012</v>
      </c>
      <c r="D139" t="s">
        <v>2</v>
      </c>
      <c r="E139" s="101">
        <f>HTM!G134</f>
        <v>0.11574478334958782</v>
      </c>
      <c r="G139" s="40"/>
    </row>
    <row r="140" spans="3:7" x14ac:dyDescent="0.25">
      <c r="C140" s="6" t="s">
        <v>1013</v>
      </c>
      <c r="D140" t="s">
        <v>2</v>
      </c>
      <c r="E140" s="101">
        <f>HTM!G135</f>
        <v>0.10886199508753976</v>
      </c>
      <c r="G140" s="40"/>
    </row>
    <row r="141" spans="3:7" x14ac:dyDescent="0.25">
      <c r="C141" s="6" t="s">
        <v>1046</v>
      </c>
      <c r="D141" t="s">
        <v>844</v>
      </c>
      <c r="E141" s="136">
        <f>HTM!G136</f>
        <v>112188.57274080778</v>
      </c>
      <c r="F141" s="135">
        <f>E141*Inputs!$E$11/1000</f>
        <v>40948.82905039484</v>
      </c>
      <c r="G141" s="40" t="s">
        <v>726</v>
      </c>
    </row>
    <row r="142" spans="3:7" x14ac:dyDescent="0.25">
      <c r="C142" s="6" t="s">
        <v>1047</v>
      </c>
      <c r="D142" t="s">
        <v>2</v>
      </c>
      <c r="E142" s="101">
        <f>HTM!G137</f>
        <v>0.11965554410827804</v>
      </c>
      <c r="G142" s="40"/>
    </row>
    <row r="143" spans="3:7" x14ac:dyDescent="0.25">
      <c r="C143" s="6" t="s">
        <v>1028</v>
      </c>
      <c r="D143" t="s">
        <v>4</v>
      </c>
      <c r="E143" s="100">
        <f>HTM!G155</f>
        <v>1.6371176464303232</v>
      </c>
      <c r="G143" s="40"/>
    </row>
    <row r="144" spans="3:7" x14ac:dyDescent="0.25">
      <c r="C144" s="6" t="s">
        <v>1017</v>
      </c>
      <c r="D144" t="s">
        <v>2</v>
      </c>
      <c r="E144" s="101">
        <f>HTM!G139</f>
        <v>0.11965554410827804</v>
      </c>
      <c r="G144" s="40"/>
    </row>
    <row r="145" spans="3:11" x14ac:dyDescent="0.25">
      <c r="C145" t="s">
        <v>1048</v>
      </c>
      <c r="D145" t="s">
        <v>844</v>
      </c>
      <c r="E145" s="135">
        <f>HTM!G144</f>
        <v>1303176.709687209</v>
      </c>
      <c r="F145" s="135">
        <f>HTM!G145</f>
        <v>475659.49903583125</v>
      </c>
      <c r="G145" s="40" t="s">
        <v>726</v>
      </c>
    </row>
    <row r="146" spans="3:11" x14ac:dyDescent="0.25">
      <c r="C146" t="s">
        <v>1049</v>
      </c>
      <c r="D146" t="s">
        <v>844</v>
      </c>
      <c r="E146" s="19">
        <f>HTM!G146</f>
        <v>240934.7134143054</v>
      </c>
      <c r="F146" s="19">
        <f>E146*Inputs!$E$11/1000</f>
        <v>87941.17039622147</v>
      </c>
      <c r="G146" s="40" t="s">
        <v>726</v>
      </c>
    </row>
    <row r="147" spans="3:11" x14ac:dyDescent="0.25">
      <c r="C147" t="s">
        <v>1050</v>
      </c>
      <c r="D147" t="s">
        <v>4</v>
      </c>
      <c r="E147" s="3">
        <f>HTM!G147</f>
        <v>6.408837486387021</v>
      </c>
      <c r="G147" s="40"/>
    </row>
    <row r="148" spans="3:11" x14ac:dyDescent="0.25">
      <c r="C148" t="s">
        <v>2221</v>
      </c>
      <c r="D148" t="s">
        <v>4</v>
      </c>
      <c r="E148" s="3">
        <f>HTM!G142</f>
        <v>0.6842419162819496</v>
      </c>
      <c r="G148" s="40"/>
    </row>
    <row r="149" spans="3:11" x14ac:dyDescent="0.25">
      <c r="C149" s="6" t="s">
        <v>1369</v>
      </c>
      <c r="D149" t="s">
        <v>2</v>
      </c>
      <c r="E149" s="101">
        <f>HTM!G215</f>
        <v>0.11084850689079948</v>
      </c>
      <c r="G149" s="40"/>
    </row>
    <row r="150" spans="3:11" x14ac:dyDescent="0.25">
      <c r="C150" s="6" t="s">
        <v>1345</v>
      </c>
      <c r="D150" t="s">
        <v>2</v>
      </c>
      <c r="E150" s="101">
        <f>HTM!G216</f>
        <v>0.1227874454672247</v>
      </c>
      <c r="G150" s="40"/>
    </row>
    <row r="151" spans="3:11" x14ac:dyDescent="0.25">
      <c r="C151" t="s">
        <v>2222</v>
      </c>
      <c r="D151" t="s">
        <v>845</v>
      </c>
      <c r="E151" s="19">
        <f>HTM!G221</f>
        <v>943.602181713105</v>
      </c>
      <c r="G151" s="40"/>
    </row>
    <row r="152" spans="3:11" x14ac:dyDescent="0.25">
      <c r="C152" t="s">
        <v>2223</v>
      </c>
      <c r="D152" t="s">
        <v>845</v>
      </c>
      <c r="E152" s="19">
        <f>HTM!G222</f>
        <v>1012.4765016363298</v>
      </c>
      <c r="G152" s="40"/>
    </row>
    <row r="153" spans="3:11" x14ac:dyDescent="0.25">
      <c r="C153" t="s">
        <v>1051</v>
      </c>
      <c r="D153" t="s">
        <v>613</v>
      </c>
      <c r="E153" s="24">
        <f>HTM!G148</f>
        <v>2041</v>
      </c>
      <c r="G153" s="40"/>
    </row>
    <row r="154" spans="3:11" x14ac:dyDescent="0.25">
      <c r="C154" t="s">
        <v>1052</v>
      </c>
      <c r="D154" t="s">
        <v>57</v>
      </c>
      <c r="E154" t="str">
        <f>HTM!G172</f>
        <v>ALL OK</v>
      </c>
      <c r="G154" s="40"/>
    </row>
    <row r="155" spans="3:11" x14ac:dyDescent="0.25">
      <c r="C155" t="s">
        <v>1053</v>
      </c>
      <c r="D155" t="s">
        <v>1054</v>
      </c>
      <c r="E155" s="31">
        <f>MOIC!G187</f>
        <v>0.20894449022377323</v>
      </c>
      <c r="F155" s="3">
        <f>MOIC!G186</f>
        <v>1.312105461761588</v>
      </c>
      <c r="G155" s="40" t="s">
        <v>3</v>
      </c>
    </row>
    <row r="156" spans="3:11" x14ac:dyDescent="0.25">
      <c r="C156" t="s">
        <v>1120</v>
      </c>
      <c r="D156" t="s">
        <v>844</v>
      </c>
      <c r="E156" s="1">
        <f>-HTM!G29</f>
        <v>4000</v>
      </c>
      <c r="F156" s="1">
        <f>-HTM!G59</f>
        <v>34499.26140984111</v>
      </c>
      <c r="G156" s="40" t="s">
        <v>1121</v>
      </c>
    </row>
    <row r="159" spans="3:11" x14ac:dyDescent="0.25">
      <c r="C159" s="43" t="s">
        <v>1149</v>
      </c>
      <c r="D159" s="42"/>
      <c r="E159" s="42"/>
      <c r="F159" s="42"/>
      <c r="G159" s="42"/>
      <c r="H159" s="42"/>
      <c r="I159" s="42"/>
      <c r="J159" s="42"/>
      <c r="K159" s="42"/>
    </row>
    <row r="160" spans="3:11" x14ac:dyDescent="0.25">
      <c r="C160" s="6" t="s">
        <v>1150</v>
      </c>
      <c r="D160" s="6" t="s">
        <v>1151</v>
      </c>
      <c r="E160" s="6" t="s">
        <v>1106</v>
      </c>
      <c r="F160" s="6" t="s">
        <v>1127</v>
      </c>
      <c r="G160" s="6" t="s">
        <v>1152</v>
      </c>
    </row>
    <row r="161" spans="3:7" x14ac:dyDescent="0.25">
      <c r="C161" t="str">
        <f>HTM!C178</f>
        <v>Price 70%</v>
      </c>
      <c r="D161" s="148">
        <f>HTM!D178</f>
        <v>0.7</v>
      </c>
      <c r="E161" s="149">
        <f>HTM!E178</f>
        <v>102.31661968210156</v>
      </c>
      <c r="F161" s="138">
        <f>HTM!F178</f>
        <v>0.0696971427626796</v>
      </c>
      <c r="G161" s="150">
        <f>HTM!G178</f>
        <v>-36653.75922107131</v>
      </c>
    </row>
    <row r="162" spans="3:7" x14ac:dyDescent="0.25">
      <c r="C162" t="str">
        <f>HTM!C179</f>
        <v>Price 80%</v>
      </c>
      <c r="D162" s="148">
        <f>HTM!D179</f>
        <v>0.8</v>
      </c>
      <c r="E162" s="149">
        <f>HTM!E179</f>
        <v>116.93327963668752</v>
      </c>
      <c r="F162" s="138">
        <f>HTM!F179</f>
        <v>0.08616337767174403</v>
      </c>
      <c r="G162" s="150">
        <f>HTM!G179</f>
        <v>22906.912851319565</v>
      </c>
    </row>
    <row r="163" spans="3:7" x14ac:dyDescent="0.25">
      <c r="C163" t="str">
        <f>HTM!C180</f>
        <v>Price 90%</v>
      </c>
      <c r="D163" s="148">
        <f>HTM!D180</f>
        <v>0.9</v>
      </c>
      <c r="E163" s="149">
        <f>HTM!E180</f>
        <v>131.54993959127344</v>
      </c>
      <c r="F163" s="138">
        <f>HTM!F180</f>
        <v>0.10140083734993663</v>
      </c>
      <c r="G163" s="150">
        <f>HTM!G180</f>
        <v>82467.5849237104</v>
      </c>
    </row>
    <row r="164" spans="3:7" x14ac:dyDescent="0.25">
      <c r="C164" s="145" t="str">
        <f>HTM!C181</f>
        <v>Price 100%</v>
      </c>
      <c r="D164" s="151">
        <f>HTM!D181</f>
        <v>1</v>
      </c>
      <c r="E164" s="152">
        <f>HTM!E181</f>
        <v>146.16659954585938</v>
      </c>
      <c r="F164" s="153">
        <f>HTM!F181</f>
        <v>0.11574478334958782</v>
      </c>
      <c r="G164" s="154">
        <f>HTM!G181</f>
        <v>142028.2569961012</v>
      </c>
    </row>
    <row r="165" spans="3:7" x14ac:dyDescent="0.25">
      <c r="C165" t="str">
        <f>HTM!C182</f>
        <v>Price 110%</v>
      </c>
      <c r="D165" s="148">
        <f>HTM!D182</f>
        <v>1.1</v>
      </c>
      <c r="E165" s="149">
        <f>HTM!E182</f>
        <v>160.78325950044533</v>
      </c>
      <c r="F165" s="138">
        <f>HTM!F182</f>
        <v>0.1294093130723963</v>
      </c>
      <c r="G165" s="150">
        <f>HTM!G182</f>
        <v>201588.9290684921</v>
      </c>
    </row>
    <row r="166" spans="3:7" x14ac:dyDescent="0.25">
      <c r="C166" t="str">
        <f>HTM!C183</f>
        <v>Price 120%</v>
      </c>
      <c r="D166" s="148">
        <f>HTM!D183</f>
        <v>1.2</v>
      </c>
      <c r="E166" s="149">
        <f>HTM!E183</f>
        <v>175.39991945503127</v>
      </c>
      <c r="F166" s="138">
        <f>HTM!F183</f>
        <v>0.14253850888204364</v>
      </c>
      <c r="G166" s="150">
        <f>HTM!G183</f>
        <v>261149.60114088285</v>
      </c>
    </row>
    <row r="167" spans="3:7" x14ac:dyDescent="0.25">
      <c r="C167" t="str">
        <f>HTM!C184</f>
        <v>Price 130%</v>
      </c>
      <c r="D167" s="148">
        <f>HTM!D184</f>
        <v>1.3</v>
      </c>
      <c r="E167" s="149">
        <f>HTM!E184</f>
        <v>190.0165794096172</v>
      </c>
      <c r="F167" s="138">
        <f>HTM!F184</f>
        <v>0.15523318885772044</v>
      </c>
      <c r="G167" s="150">
        <f>HTM!G184</f>
        <v>320710.27321327373</v>
      </c>
    </row>
    <row r="168" spans="3:7" x14ac:dyDescent="0.25">
      <c r="D168" s="137"/>
      <c r="E168" s="137"/>
      <c r="F168" s="137"/>
      <c r="G168" s="137"/>
    </row>
    <row r="169" spans="3:7" x14ac:dyDescent="0.25">
      <c r="C169" s="6" t="s">
        <v>1153</v>
      </c>
      <c r="D169" s="155" t="s">
        <v>1151</v>
      </c>
      <c r="E169" s="155" t="s">
        <v>845</v>
      </c>
      <c r="F169" s="155" t="s">
        <v>1127</v>
      </c>
      <c r="G169" s="155" t="s">
        <v>1152</v>
      </c>
    </row>
    <row r="170" spans="3:7" x14ac:dyDescent="0.25">
      <c r="C170" t="str">
        <f>HTM!C188</f>
        <v>Capex 80%</v>
      </c>
      <c r="D170" s="148">
        <f>HTM!D188</f>
        <v>0.8</v>
      </c>
      <c r="E170" s="156">
        <f>HTM!E188</f>
        <v>1724.8051863452056</v>
      </c>
      <c r="F170" s="138">
        <f>HTM!F188</f>
        <v>0.14034052807171715</v>
      </c>
      <c r="G170" s="150">
        <f>HTM!G188</f>
        <v>204826.5291445394</v>
      </c>
    </row>
    <row r="171" spans="3:7" x14ac:dyDescent="0.25">
      <c r="C171" t="str">
        <f>HTM!C189</f>
        <v>Capex 90%</v>
      </c>
      <c r="D171" s="148">
        <f>HTM!D189</f>
        <v>0.9</v>
      </c>
      <c r="E171" s="156">
        <f>HTM!E189</f>
        <v>1940.4058346383563</v>
      </c>
      <c r="F171" s="138">
        <f>HTM!F189</f>
        <v>0.12703170165608954</v>
      </c>
      <c r="G171" s="150">
        <f>HTM!G189</f>
        <v>173427.3930703203</v>
      </c>
    </row>
    <row r="172" spans="3:7" x14ac:dyDescent="0.25">
      <c r="C172" s="145" t="str">
        <f>HTM!C190</f>
        <v>Capex 100%</v>
      </c>
      <c r="D172" s="151">
        <f>HTM!D190</f>
        <v>1</v>
      </c>
      <c r="E172" s="157">
        <f>HTM!E190</f>
        <v>2156.006482931507</v>
      </c>
      <c r="F172" s="153">
        <f>HTM!F190</f>
        <v>0.11574478334958782</v>
      </c>
      <c r="G172" s="154">
        <f>HTM!G190</f>
        <v>142028.2569961012</v>
      </c>
    </row>
    <row r="173" spans="3:7" x14ac:dyDescent="0.25">
      <c r="C173" t="str">
        <f>HTM!C191</f>
        <v>Capex 110%</v>
      </c>
      <c r="D173" s="148">
        <f>HTM!D191</f>
        <v>1.1</v>
      </c>
      <c r="E173" s="156">
        <f>HTM!E191</f>
        <v>2371.6071312246577</v>
      </c>
      <c r="F173" s="138">
        <f>HTM!F191</f>
        <v>0.10601224902961907</v>
      </c>
      <c r="G173" s="150">
        <f>HTM!G191</f>
        <v>110629.12092188209</v>
      </c>
    </row>
    <row r="174" spans="3:7" x14ac:dyDescent="0.25">
      <c r="C174" t="str">
        <f>HTM!C192</f>
        <v>Capex 120%</v>
      </c>
      <c r="D174" s="148">
        <f>HTM!D192</f>
        <v>1.2</v>
      </c>
      <c r="E174" s="156">
        <f>HTM!E192</f>
        <v>2587.2077795178084</v>
      </c>
      <c r="F174" s="138">
        <f>HTM!F192</f>
        <v>0.09750272125153464</v>
      </c>
      <c r="G174" s="150">
        <f>HTM!G192</f>
        <v>79229.98484766303</v>
      </c>
    </row>
    <row r="176" spans="3:7" x14ac:dyDescent="0.25">
      <c r="C176" s="6" t="s">
        <v>1154</v>
      </c>
      <c r="D176" s="6" t="s">
        <v>1106</v>
      </c>
      <c r="E176" s="97">
        <f>HTM!G198</f>
        <v>111.31174206655861</v>
      </c>
    </row>
    <row r="177" spans="3:11" x14ac:dyDescent="0.25">
      <c r="C177" t="s">
        <v>1155</v>
      </c>
      <c r="D177" t="s">
        <v>1106</v>
      </c>
      <c r="E177" s="89">
        <f>HTM!G153</f>
        <v>146.16659954585938</v>
      </c>
    </row>
    <row r="180" spans="3:11" x14ac:dyDescent="0.25">
      <c r="C180" s="43" t="s">
        <v>1370</v>
      </c>
      <c r="D180" s="42"/>
      <c r="E180" s="42"/>
      <c r="F180" s="42"/>
      <c r="G180" s="42"/>
      <c r="H180" s="42"/>
      <c r="I180" s="42"/>
      <c r="J180" s="42"/>
      <c r="K180" s="42"/>
    </row>
    <row r="181" spans="3:11" x14ac:dyDescent="0.25">
      <c r="C181" s="6" t="s">
        <v>1124</v>
      </c>
      <c r="D181" s="155" t="s">
        <v>1358</v>
      </c>
      <c r="E181" s="155" t="s">
        <v>1359</v>
      </c>
      <c r="F181" s="155" t="s">
        <v>1017</v>
      </c>
      <c r="G181" s="155" t="s">
        <v>1360</v>
      </c>
      <c r="H181" s="137" t="s">
        <v>1361</v>
      </c>
      <c r="I181" s="137" t="s">
        <v>2224</v>
      </c>
    </row>
    <row r="182" spans="3:11" x14ac:dyDescent="0.25">
      <c r="C182" s="182" t="str">
        <f>HTM!C248</f>
        <v>Gearing scenario 1</v>
      </c>
      <c r="D182" s="148">
        <f>HTM!D248</f>
        <v>0</v>
      </c>
      <c r="E182" s="150">
        <f>HTM!E248</f>
        <v>0</v>
      </c>
      <c r="F182" s="138">
        <f>HTM!F248</f>
        <v>0.10882051434519704</v>
      </c>
      <c r="G182" s="181">
        <f>HTM!G248</f>
        <v>0.3371383782066882</v>
      </c>
      <c r="H182" s="181" t="str">
        <f>HTM!H248</f>
        <v>n/a</v>
      </c>
      <c r="I182" s="137" t="str">
        <f>HTM!J248</f>
        <v>n/a</v>
      </c>
    </row>
    <row r="183" spans="3:11" x14ac:dyDescent="0.25">
      <c r="C183" s="182" t="str">
        <f>HTM!C249</f>
        <v>Gearing scenario 2</v>
      </c>
      <c r="D183" s="148">
        <f>HTM!D249</f>
        <v>0.3</v>
      </c>
      <c r="E183" s="150">
        <f>HTM!E249</f>
        <v>136268.90875980986</v>
      </c>
      <c r="F183" s="138">
        <f>HTM!F249</f>
        <v>0.11400280409940727</v>
      </c>
      <c r="G183" s="181">
        <f>HTM!G249</f>
        <v>0.4731792989820585</v>
      </c>
      <c r="H183" s="181">
        <f>HTM!H249</f>
        <v>2.9776868915940913</v>
      </c>
      <c r="I183" s="137" t="str">
        <f>HTM!J249</f>
        <v>OK</v>
      </c>
    </row>
    <row r="184" spans="3:11" x14ac:dyDescent="0.25">
      <c r="C184" s="182" t="str">
        <f>HTM!C250</f>
        <v>Gearing scenario 3</v>
      </c>
      <c r="D184" s="148">
        <f>HTM!D250</f>
        <v>0.4</v>
      </c>
      <c r="E184" s="150">
        <f>HTM!E250</f>
        <v>181691.87834641314</v>
      </c>
      <c r="F184" s="138">
        <f>HTM!F250</f>
        <v>0.11607714053732247</v>
      </c>
      <c r="G184" s="181">
        <f>HTM!G250</f>
        <v>0.541456926054191</v>
      </c>
      <c r="H184" s="181">
        <f>HTM!H250</f>
        <v>2.2401851807673507</v>
      </c>
      <c r="I184" s="137" t="str">
        <f>HTM!J250</f>
        <v>OK</v>
      </c>
    </row>
    <row r="185" spans="3:11" x14ac:dyDescent="0.25">
      <c r="C185" s="182" t="str">
        <f>HTM!C251</f>
        <v>Gearing scenario 4</v>
      </c>
      <c r="D185" s="148">
        <f>HTM!D251</f>
        <v>0.5</v>
      </c>
      <c r="E185" s="150">
        <f>HTM!E251</f>
        <v>227114.84793301643</v>
      </c>
      <c r="F185" s="138">
        <f>HTM!F251</f>
        <v>0.11837922481351425</v>
      </c>
      <c r="G185" s="181">
        <f>HTM!G251</f>
        <v>0.6294957277888233</v>
      </c>
      <c r="H185" s="181">
        <f>HTM!H251</f>
        <v>1.7976841542713065</v>
      </c>
      <c r="I185" s="137" t="str">
        <f>HTM!J251</f>
        <v>OK</v>
      </c>
    </row>
    <row r="186" spans="3:11" x14ac:dyDescent="0.25">
      <c r="C186" s="182" t="str">
        <f>HTM!C252</f>
        <v>Gearing scenario 5</v>
      </c>
      <c r="D186" s="148">
        <f>HTM!D252</f>
        <v>0.55</v>
      </c>
      <c r="E186" s="150">
        <f>HTM!E252</f>
        <v>249826.33272631807</v>
      </c>
      <c r="F186" s="138">
        <f>HTM!F252</f>
        <v>0.1196298896270639</v>
      </c>
      <c r="G186" s="181">
        <f>HTM!G252</f>
        <v>0.683815630220059</v>
      </c>
      <c r="H186" s="181">
        <f>HTM!H252</f>
        <v>1.6367746900909266</v>
      </c>
      <c r="I186" s="137" t="str">
        <f>HTM!J252</f>
        <v>OK</v>
      </c>
    </row>
    <row r="187" spans="3:11" x14ac:dyDescent="0.25">
      <c r="C187" s="182" t="str">
        <f>HTM!C253</f>
        <v>Gearing scenario 6</v>
      </c>
      <c r="D187" s="148">
        <f>HTM!D253</f>
        <v>0.6</v>
      </c>
      <c r="E187" s="150">
        <f>HTM!E253</f>
        <v>272537.8175196197</v>
      </c>
      <c r="F187" s="138">
        <f>HTM!F253</f>
        <v>0.12095629384291168</v>
      </c>
      <c r="G187" s="181">
        <f>HTM!G253</f>
        <v>0.7473262817402602</v>
      </c>
      <c r="H187" s="181">
        <f>HTM!H253</f>
        <v>1.50268346994061</v>
      </c>
      <c r="I187" s="137" t="str">
        <f>HTM!J253</f>
        <v>OK</v>
      </c>
    </row>
    <row r="188" spans="3:11" x14ac:dyDescent="0.25">
      <c r="C188" s="182" t="str">
        <f>HTM!C254</f>
        <v>Gearing scenario 7</v>
      </c>
      <c r="D188" s="148">
        <f>HTM!D254</f>
        <v>0.7</v>
      </c>
      <c r="E188" s="150">
        <f>HTM!E254</f>
        <v>317960.78710622294</v>
      </c>
      <c r="F188" s="138">
        <f>HTM!F254</f>
        <v>0.12386776991816983</v>
      </c>
      <c r="G188" s="181">
        <f>HTM!G254</f>
        <v>0.9009690001775599</v>
      </c>
      <c r="H188" s="181">
        <f>HTM!H254</f>
        <v>1.2919686954186844</v>
      </c>
      <c r="I188" s="137" t="str">
        <f>HTM!J254</f>
        <v>BELOW</v>
      </c>
    </row>
    <row r="190" spans="3:11" x14ac:dyDescent="0.25">
      <c r="C190" t="s">
        <v>2225</v>
      </c>
      <c r="D190" s="148" t="s">
        <v>2</v>
      </c>
      <c r="E190" s="138">
        <f>HTM!G255</f>
        <v>0.06827979777730744</v>
      </c>
      <c r="F190" s="138"/>
      <c r="G190" s="150"/>
    </row>
    <row r="191" spans="3:11" x14ac:dyDescent="0.25">
      <c r="C191" t="s">
        <v>2226</v>
      </c>
      <c r="D191" s="148" t="s">
        <v>2</v>
      </c>
      <c r="E191" s="138">
        <f>HTM!G256</f>
        <v>0.6012735082040157</v>
      </c>
      <c r="F191" s="138"/>
      <c r="G191" s="150"/>
    </row>
    <row r="194" spans="3:12" x14ac:dyDescent="0.25">
      <c r="C194" s="43" t="s">
        <v>1537</v>
      </c>
      <c r="D194" s="42"/>
      <c r="E194" s="42"/>
      <c r="F194" s="42"/>
      <c r="G194" s="42"/>
      <c r="H194" s="42"/>
      <c r="I194" s="42"/>
      <c r="J194" s="42"/>
      <c r="K194" s="42"/>
    </row>
    <row r="195" spans="3:12" x14ac:dyDescent="0.25">
      <c r="C195" t="s">
        <v>1538</v>
      </c>
      <c r="D195" s="148" t="s">
        <v>2</v>
      </c>
      <c r="E195" s="138">
        <f>Inputs!$E$217</f>
        <v>0.55</v>
      </c>
      <c r="F195" s="138"/>
      <c r="G195" s="150"/>
    </row>
    <row r="196" spans="3:12" x14ac:dyDescent="0.25">
      <c r="C196" t="s">
        <v>1542</v>
      </c>
      <c r="D196" s="148" t="s">
        <v>1500</v>
      </c>
      <c r="E196" s="190">
        <f>Inputs!$E$268</f>
        <v>6</v>
      </c>
      <c r="F196" s="138"/>
      <c r="G196" s="150"/>
    </row>
    <row r="197" spans="3:12" x14ac:dyDescent="0.25">
      <c r="C197" t="s">
        <v>2227</v>
      </c>
      <c r="D197" s="148" t="s">
        <v>2</v>
      </c>
      <c r="E197" s="148">
        <f>Inputs!$E$269</f>
        <v>0.5</v>
      </c>
      <c r="F197" s="138"/>
      <c r="G197" s="150"/>
    </row>
    <row r="198" spans="3:12" x14ac:dyDescent="0.25">
      <c r="C198" t="s">
        <v>1539</v>
      </c>
      <c r="D198" s="148" t="s">
        <v>844</v>
      </c>
      <c r="E198" s="156">
        <f>HTM!G87</f>
        <v>53999.80784281617</v>
      </c>
      <c r="F198" s="138"/>
      <c r="G198" s="150"/>
    </row>
    <row r="199" spans="3:12" x14ac:dyDescent="0.25">
      <c r="C199" t="s">
        <v>1540</v>
      </c>
      <c r="D199" s="148" t="s">
        <v>4</v>
      </c>
      <c r="E199" s="181">
        <f>HTM!G126</f>
        <v>1.6371176464303232</v>
      </c>
      <c r="F199" s="138"/>
      <c r="G199" s="150"/>
    </row>
    <row r="200" spans="3:12" x14ac:dyDescent="0.25">
      <c r="C200" t="s">
        <v>1541</v>
      </c>
      <c r="D200" s="148" t="s">
        <v>4</v>
      </c>
      <c r="E200" s="181">
        <f>HTM!G324</f>
        <v>0.8917769463971309</v>
      </c>
      <c r="F200" s="138"/>
      <c r="G200" s="150"/>
    </row>
    <row r="201" spans="3:12" x14ac:dyDescent="0.25">
      <c r="C201" t="s">
        <v>2228</v>
      </c>
      <c r="D201" s="148" t="s">
        <v>57</v>
      </c>
      <c r="E201" s="191" t="str">
        <f>HTM!G325</f>
        <v>BELOW – debt would be sized down</v>
      </c>
      <c r="F201" s="138"/>
      <c r="G201" s="150"/>
    </row>
    <row r="202" spans="3:12" x14ac:dyDescent="0.25">
      <c r="C202" t="s">
        <v>1535</v>
      </c>
      <c r="D202" s="148" t="s">
        <v>1106</v>
      </c>
      <c r="E202" s="192">
        <f>HTM!G328</f>
        <v>84.49200942494068</v>
      </c>
      <c r="F202" s="138"/>
      <c r="G202" s="150"/>
    </row>
    <row r="203" spans="3:12" x14ac:dyDescent="0.25">
      <c r="C203" t="s">
        <v>1534</v>
      </c>
      <c r="D203" s="148" t="s">
        <v>2</v>
      </c>
      <c r="E203" s="138">
        <f>HTM!G326</f>
        <v>0.05307578730586886</v>
      </c>
      <c r="F203" s="138"/>
      <c r="G203" s="150"/>
    </row>
    <row r="204" spans="3:12" x14ac:dyDescent="0.25">
      <c r="C204" t="s">
        <v>2229</v>
      </c>
      <c r="D204" s="148" t="s">
        <v>4</v>
      </c>
      <c r="E204" s="181">
        <f>HTM!G327</f>
        <v>-0.35214305688106184</v>
      </c>
      <c r="F204" s="138"/>
      <c r="G204" s="150"/>
    </row>
    <row r="205" spans="3:12" ht="15" customHeight="1" x14ac:dyDescent="0.25"/>
    <row r="206" spans="3:12" ht="15" customHeight="1" x14ac:dyDescent="0.25"/>
    <row r="207" spans="3:12" ht="24" customHeight="1" x14ac:dyDescent="0.25">
      <c r="C207" s="261" t="s">
        <v>1930</v>
      </c>
      <c r="D207" s="261"/>
      <c r="E207" s="261"/>
      <c r="F207" s="261"/>
      <c r="G207" s="261"/>
      <c r="H207" s="261"/>
      <c r="I207" s="261"/>
      <c r="J207" s="261"/>
      <c r="K207" s="261"/>
      <c r="L207" s="261"/>
    </row>
    <row r="208" ht="15" customHeight="1" x14ac:dyDescent="0.25">
      <c r="C208" s="263" t="inlineStr">
        <is>
          <t xml:space="preserve">Live: hold-to-maturity European / Chinese runs of the active tender scenario from the Control Panel data table (section f), recalculated by Excel.</t>
        </is>
      </c>
    </row>
    <row r="209" spans="3:9" ht="20.100000000000001" customHeight="1" thickBot="1" x14ac:dyDescent="0.3">
      <c r="C209" s="265" t="s">
        <v>1896</v>
      </c>
      <c r="D209" s="266" t="s">
        <v>0</v>
      </c>
      <c r="E209" s="267" t="s">
        <v>2483</v>
      </c>
      <c r="F209" s="268" t="s">
        <v>2484</v>
      </c>
      <c r="G209" s="266" t="s">
        <v>1922</v>
      </c>
      <c r="H209" s="266" t="s">
        <v>1917</v>
      </c>
      <c r="I209" s="266" t="s">
        <v>1918</v>
      </c>
    </row>
    <row r="210" spans="3:9" ht="15" customHeight="1" x14ac:dyDescent="0.25">
      <c r="C210" s="269" t="s">
        <v>1931</v>
      </c>
      <c r="D210" s="294"/>
      <c r="E210" s="273"/>
      <c r="F210" s="273"/>
      <c r="G210" s="273"/>
      <c r="H210" s="317"/>
      <c r="I210" s="299"/>
    </row>
    <row r="211" ht="15" customHeight="1" x14ac:dyDescent="0.25">
      <c r="C211" t="s">
        <v>1563</v>
      </c>
      <c r="D211" s="295" t="s">
        <v>845</v>
      </c>
      <c r="E211" s="156">
        <f>INDEX('Control Panel'!$AK$306:$AK$330,Tender!$E$5*5+4)</f>
        <v>950</v>
      </c>
      <c r="F211" s="156">
        <f>INDEX('Control Panel'!$AK$306:$AK$330,Tender!$E$5*5+5)</f>
        <v>500</v>
      </c>
      <c r="G211" s="150">
        <f>IF(AND(ISNUMBER(E211),ISNUMBER(F211)),E211-F211,"n/a")</f>
        <v>450</v>
      </c>
      <c r="H211" s="318" t="str">
        <f>IF(OR($I211="–",NOT(ISNUMBER(E211)),NOT(ISNUMBER(F211))),"–",IF(E211=F211,"Equal",IF((E211&gt;F211)=($I211="Higher"),"European","Chinese")))</f>
        <v>–</v>
      </c>
      <c r="I211" s="300" t="s">
        <v>1919</v>
      </c>
    </row>
    <row r="212" ht="15" customHeight="1" x14ac:dyDescent="0.25">
      <c r="C212" s="271" t="s">
        <v>1932</v>
      </c>
      <c r="D212" s="296" t="s">
        <v>845</v>
      </c>
      <c r="E212" s="274">
        <f>INDEX('Control Panel'!$AL$306:$AL$330,Tender!$E$5*5+4)</f>
        <v>2156.006482931507</v>
      </c>
      <c r="F212" s="274">
        <f>INDEX('Control Panel'!$AL$306:$AL$330,Tender!$E$5*5+5)</f>
        <v>1533.0939829315068</v>
      </c>
      <c r="G212" s="275">
        <f>IF(AND(ISNUMBER(E212),ISNUMBER(F212)),E212-F212,"n/a")</f>
        <v>622.9125000000001</v>
      </c>
      <c r="H212" s="319" t="str">
        <f>IF(OR($I212="–",NOT(ISNUMBER(E212)),NOT(ISNUMBER(F212))),"–",IF(E212=F212,"Equal",IF((E212&gt;F212)=($I212="Higher"),"European","Chinese")))</f>
        <v>Chinese</v>
      </c>
      <c r="I212" s="301" t="s">
        <v>1920</v>
      </c>
    </row>
    <row r="213" ht="15" customHeight="1" x14ac:dyDescent="0.25">
      <c r="C213" s="271" t="s">
        <v>1933</v>
      </c>
      <c r="D213" s="296" t="s">
        <v>844</v>
      </c>
      <c r="E213" s="274">
        <f>INDEX('Control Panel'!$AM$306:$AM$330,Tender!$E$5*5+4)</f>
        <v>431201.29658630135</v>
      </c>
      <c r="F213" s="274">
        <f>INDEX('Control Panel'!$AM$306:$AM$330,Tender!$E$5*5+5)</f>
        <v>306618.79658630135</v>
      </c>
      <c r="G213" s="275">
        <f>IF(AND(ISNUMBER(E213),ISNUMBER(F213)),E213-F213,"n/a")</f>
        <v>124582.5</v>
      </c>
      <c r="H213" s="319" t="str">
        <f>IF(OR($I213="–",NOT(ISNUMBER(E213)),NOT(ISNUMBER(F213))),"–",IF(E213=F213,"Equal",IF((E213&gt;F213)=($I213="Higher"),"European","Chinese")))</f>
        <v>Chinese</v>
      </c>
      <c r="I213" s="301" t="s">
        <v>1920</v>
      </c>
    </row>
    <row r="214" ht="15" customHeight="1" x14ac:dyDescent="0.25">
      <c r="C214" s="271" t="s">
        <v>1934</v>
      </c>
      <c r="D214" s="296" t="s">
        <v>2</v>
      </c>
      <c r="E214" s="276">
        <f>INDEX('Control Panel'!$AN$306:$AN$330,Tender!$E$5*5+4)</f>
        <v>0.6</v>
      </c>
      <c r="F214" s="276">
        <f>INDEX('Control Panel'!$AN$306:$AN$330,Tender!$E$5*5+5)</f>
        <v>0.5</v>
      </c>
      <c r="G214" s="277">
        <f>IF(AND(ISNUMBER(E214),ISNUMBER(F214)),E214-F214,"n/a")</f>
        <v>0.09999999999999998</v>
      </c>
      <c r="H214" s="319" t="str">
        <f>IF(OR($I214="–",NOT(ISNUMBER(E214)),NOT(ISNUMBER(F214))),"–",IF(E214=F214,"Equal",IF((E214&gt;F214)=($I214="Higher"),"European","Chinese")))</f>
        <v>–</v>
      </c>
      <c r="I214" s="301" t="s">
        <v>1919</v>
      </c>
    </row>
    <row r="215" ht="15" customHeight="1" x14ac:dyDescent="0.25">
      <c r="C215" s="270" t="s">
        <v>1897</v>
      </c>
      <c r="D215" s="297" t="s">
        <v>844</v>
      </c>
      <c r="E215" s="278">
        <f>INDEX('Control Panel'!$AO$306:$AO$330,Tender!$E$5*5+4)</f>
        <v>272537.81751961965</v>
      </c>
      <c r="F215" s="278">
        <f>INDEX('Control Panel'!$AO$306:$AO$330,Tender!$E$5*5+5)</f>
        <v>161496.92014241178</v>
      </c>
      <c r="G215" s="278">
        <f>IF(AND(ISNUMBER(E215),ISNUMBER(F215)),E215-F215,"n/a")</f>
        <v>111040.89737720788</v>
      </c>
      <c r="H215" s="320" t="str">
        <f>IF(OR($I215="–",NOT(ISNUMBER(E215)),NOT(ISNUMBER(F215))),"–",IF(E215=F215,"Equal",IF((E215&gt;F215)=($I215="Higher"),"European","Chinese")))</f>
        <v>–</v>
      </c>
      <c r="I215" s="302" t="s">
        <v>1919</v>
      </c>
    </row>
    <row r="216" spans="3:9" ht="15" customHeight="1" x14ac:dyDescent="0.25">
      <c r="C216" s="269" t="s">
        <v>1935</v>
      </c>
      <c r="D216" s="294"/>
      <c r="E216" s="273"/>
      <c r="F216" s="273"/>
      <c r="G216" s="273"/>
      <c r="H216" s="317"/>
      <c r="I216" s="299"/>
    </row>
    <row r="217" ht="15" customHeight="1" x14ac:dyDescent="0.25">
      <c r="C217" t="s">
        <v>1024</v>
      </c>
      <c r="D217" s="295" t="s">
        <v>956</v>
      </c>
      <c r="E217" s="156">
        <f>INDEX('Control Panel'!$AP$306:$AP$330,Tender!$E$5*5+4)</f>
        <v>17249.630704920553</v>
      </c>
      <c r="F217" s="156">
        <f>INDEX('Control Panel'!$AP$306:$AP$330,Tender!$E$5*5+5)</f>
        <v>17249.630704920553</v>
      </c>
      <c r="G217" s="150">
        <f>IF(AND(ISNUMBER(E217),ISNUMBER(F217)),E217-F217,"n/a")</f>
        <v>0</v>
      </c>
      <c r="H217" s="318" t="str">
        <f>IF(OR($I217="–",NOT(ISNUMBER(E217)),NOT(ISNUMBER(F217))),"–",IF(E217=F217,"Equal",IF((E217&gt;F217)=($I217="Higher"),"European","Chinese")))</f>
        <v>Equal</v>
      </c>
      <c r="I217" s="300" t="s">
        <v>1921</v>
      </c>
    </row>
    <row r="218" ht="15" customHeight="1" x14ac:dyDescent="0.25">
      <c r="C218" s="271" t="s">
        <v>1898</v>
      </c>
      <c r="D218" s="296" t="s">
        <v>1106</v>
      </c>
      <c r="E218" s="279">
        <f>INDEX('Control Panel'!$AQ$306:$AQ$330,Tender!$E$5*5+4)</f>
        <v>136.72360120243573</v>
      </c>
      <c r="F218" s="279">
        <f>INDEX('Control Panel'!$AQ$306:$AQ$330,Tender!$E$5*5+5)</f>
        <v>136.72360120243573</v>
      </c>
      <c r="G218" s="280">
        <f>IF(AND(ISNUMBER(E218),ISNUMBER(F218)),E218-F218,"n/a")</f>
        <v>0</v>
      </c>
      <c r="H218" s="319" t="str">
        <f>IF(OR($I218="–",NOT(ISNUMBER(E218)),NOT(ISNUMBER(F218))),"–",IF(E218=F218,"Equal",IF((E218&gt;F218)=($I218="Higher"),"European","Chinese")))</f>
        <v>Equal</v>
      </c>
      <c r="I218" s="301" t="s">
        <v>1921</v>
      </c>
    </row>
    <row r="219" ht="15" customHeight="1" x14ac:dyDescent="0.25">
      <c r="C219" s="271" t="s">
        <v>1025</v>
      </c>
      <c r="D219" s="296" t="s">
        <v>844</v>
      </c>
      <c r="E219" s="274">
        <f>INDEX('Control Panel'!$AR$306:$AR$330,Tender!$E$5*5+4)</f>
        <v>2358431.629388848</v>
      </c>
      <c r="F219" s="274">
        <f>INDEX('Control Panel'!$AR$306:$AR$330,Tender!$E$5*5+5)</f>
        <v>2358431.629388848</v>
      </c>
      <c r="G219" s="275">
        <f>IF(AND(ISNUMBER(E219),ISNUMBER(F219)),E219-F219,"n/a")</f>
        <v>0</v>
      </c>
      <c r="H219" s="319" t="str">
        <f>IF(OR($I219="–",NOT(ISNUMBER(E219)),NOT(ISNUMBER(F219))),"–",IF(E219=F219,"Equal",IF((E219&gt;F219)=($I219="Higher"),"European","Chinese")))</f>
        <v>Equal</v>
      </c>
      <c r="I219" s="301" t="s">
        <v>1921</v>
      </c>
    </row>
    <row r="220" ht="15" customHeight="1" x14ac:dyDescent="0.25">
      <c r="C220" s="271" t="s">
        <v>1027</v>
      </c>
      <c r="D220" s="296" t="s">
        <v>2</v>
      </c>
      <c r="E220" s="281">
        <f>INDEX('Control Panel'!$AS$306:$AS$330,Tender!$E$5*5+4)</f>
        <v>0.7737899431000353</v>
      </c>
      <c r="F220" s="281">
        <f>INDEX('Control Panel'!$AS$306:$AS$330,Tender!$E$5*5+5)</f>
        <v>0.7737899431000353</v>
      </c>
      <c r="G220" s="282">
        <f>IF(AND(ISNUMBER(E220),ISNUMBER(F220)),E220-F220,"n/a")</f>
        <v>0</v>
      </c>
      <c r="H220" s="319" t="str">
        <f>IF(OR($I220="–",NOT(ISNUMBER(E220)),NOT(ISNUMBER(F220))),"–",IF(E220=F220,"Equal",IF((E220&gt;F220)=($I220="Higher"),"European","Chinese")))</f>
        <v>Equal</v>
      </c>
      <c r="I220" s="301" t="s">
        <v>1921</v>
      </c>
    </row>
    <row r="221" ht="15" customHeight="1" x14ac:dyDescent="0.25">
      <c r="C221" s="270" t="s">
        <v>1045</v>
      </c>
      <c r="D221" s="297" t="s">
        <v>1106</v>
      </c>
      <c r="E221" s="283">
        <f>INDEX('Control Panel'!$AT$306:$AT$330,Tender!$E$5*5+4)</f>
        <v>101.81218403143477</v>
      </c>
      <c r="F221" s="283">
        <f>INDEX('Control Panel'!$AT$306:$AT$330,Tender!$E$5*5+5)</f>
        <v>82.1083205081397</v>
      </c>
      <c r="G221" s="284">
        <f>IF(AND(ISNUMBER(E221),ISNUMBER(F221)),E221-F221,"n/a")</f>
        <v>19.70386352329507</v>
      </c>
      <c r="H221" s="320" t="str">
        <f>IF(OR($I221="–",NOT(ISNUMBER(E221)),NOT(ISNUMBER(F221))),"–",IF(E221=F221,"Equal",IF((E221&gt;F221)=($I221="Higher"),"European","Chinese")))</f>
        <v>Chinese</v>
      </c>
      <c r="I221" s="302" t="s">
        <v>1920</v>
      </c>
    </row>
    <row r="222" spans="3:9" ht="15" customHeight="1" x14ac:dyDescent="0.25">
      <c r="C222" s="269" t="s">
        <v>1936</v>
      </c>
      <c r="D222" s="294"/>
      <c r="E222" s="273"/>
      <c r="F222" s="273"/>
      <c r="G222" s="273"/>
      <c r="H222" s="317"/>
      <c r="I222" s="299"/>
    </row>
    <row r="223" ht="15" customHeight="1" x14ac:dyDescent="0.25">
      <c r="C223" t="s">
        <v>1586</v>
      </c>
      <c r="D223" s="295" t="s">
        <v>844</v>
      </c>
      <c r="E223" s="150">
        <f>INDEX('Control Panel'!$AU$306:$AU$330,Tender!$E$5*5+4)</f>
        <v>1254061.2598283014</v>
      </c>
      <c r="F223" s="150">
        <f>INDEX('Control Panel'!$AU$306:$AU$330,Tender!$E$5*5+5)</f>
        <v>1431276.8886161195</v>
      </c>
      <c r="G223" s="150">
        <f t="shared" ref="G223:G230" si="3">IF(AND(ISNUMBER(E223),ISNUMBER(F223)),E223-F223,"n/a")</f>
        <v>-177215.62878781813</v>
      </c>
      <c r="H223" s="318" t="str">
        <f t="shared" ref="H223:H230" si="4">IF(OR($I223="–",NOT(ISNUMBER(E223)),NOT(ISNUMBER(F223))),"–",IF(E223=F223,"Equal",IF((E223&gt;F223)=($I223="Higher"),"European","Chinese")))</f>
        <v>Chinese</v>
      </c>
      <c r="I223" s="300" t="s">
        <v>1921</v>
      </c>
    </row>
    <row r="224" ht="15" customHeight="1" x14ac:dyDescent="0.25">
      <c r="C224" s="271" t="s">
        <v>725</v>
      </c>
      <c r="D224" s="296" t="s">
        <v>844</v>
      </c>
      <c r="E224" s="275">
        <f>INDEX('Control Panel'!$AV$306:$AV$330,Tender!$E$5*5+4)</f>
        <v>1137959.1645636046</v>
      </c>
      <c r="F224" s="275">
        <f>INDEX('Control Panel'!$AV$306:$AV$330,Tender!$E$5*5+5)</f>
        <v>1299225.3867605191</v>
      </c>
      <c r="G224" s="275">
        <f t="shared" si="3"/>
        <v>-161266.2221969145</v>
      </c>
      <c r="H224" s="319" t="str">
        <f t="shared" si="4"/>
        <v>Chinese</v>
      </c>
      <c r="I224" s="301" t="s">
        <v>1921</v>
      </c>
    </row>
    <row r="225" ht="15" customHeight="1" x14ac:dyDescent="0.25">
      <c r="C225" s="311" t="s">
        <v>1017</v>
      </c>
      <c r="D225" s="312" t="s">
        <v>2</v>
      </c>
      <c r="E225" s="313">
        <f>INDEX('Control Panel'!$AW$306:$AW$330,Tender!$E$5*5+4)</f>
        <v>0.09991355961167205</v>
      </c>
      <c r="F225" s="313">
        <f>INDEX('Control Panel'!$AW$306:$AW$330,Tender!$E$5*5+5)</f>
        <v>0.13111232656651206</v>
      </c>
      <c r="G225" s="314">
        <f t="shared" si="3"/>
        <v>-0.031198766954840015</v>
      </c>
      <c r="H225" s="321" t="str">
        <f t="shared" si="4"/>
        <v>Chinese</v>
      </c>
      <c r="I225" s="315" t="s">
        <v>1921</v>
      </c>
    </row>
    <row r="226" ht="15" customHeight="1" x14ac:dyDescent="0.25">
      <c r="C226" s="305" t="s">
        <v>1899</v>
      </c>
      <c r="D226" s="306" t="s">
        <v>844</v>
      </c>
      <c r="E226" s="308">
        <f>INDEX('Control Panel'!$AX$306:$AX$330,Tender!$E$5*5+4)</f>
        <v>62081.30688179275</v>
      </c>
      <c r="F226" s="308">
        <f>INDEX('Control Panel'!$AX$306:$AX$330,Tender!$E$5*5+5)</f>
        <v>139279.28641793394</v>
      </c>
      <c r="G226" s="308">
        <f t="shared" si="3"/>
        <v>-77197.97953614118</v>
      </c>
      <c r="H226" s="322" t="str">
        <f t="shared" si="4"/>
        <v>Chinese</v>
      </c>
      <c r="I226" s="307" t="s">
        <v>1921</v>
      </c>
    </row>
    <row r="227" ht="15" customHeight="1" x14ac:dyDescent="0.25">
      <c r="C227" s="305" t="s">
        <v>1360</v>
      </c>
      <c r="D227" s="306" t="s">
        <v>4</v>
      </c>
      <c r="E227" s="309">
        <f>INDEX('Control Panel'!$AY$306:$AY$330,Tender!$E$5*5+4)</f>
        <v>0.37667364703425993</v>
      </c>
      <c r="F227" s="309">
        <f>INDEX('Control Panel'!$AY$306:$AY$330,Tender!$E$5*5+5)</f>
        <v>0.9734737576265634</v>
      </c>
      <c r="G227" s="310">
        <f t="shared" si="3"/>
        <v>-0.5968001105923035</v>
      </c>
      <c r="H227" s="322" t="str">
        <f t="shared" si="4"/>
        <v>Chinese</v>
      </c>
      <c r="I227" s="307" t="s">
        <v>1921</v>
      </c>
    </row>
    <row r="228" ht="15" customHeight="1" x14ac:dyDescent="0.25">
      <c r="C228" s="305" t="s">
        <v>1050</v>
      </c>
      <c r="D228" s="306" t="s">
        <v>4</v>
      </c>
      <c r="E228" s="309">
        <f>INDEX('Control Panel'!$AZ$306:$AZ$330,Tender!$E$5*5+4)</f>
        <v>6.1332910065156945</v>
      </c>
      <c r="F228" s="309">
        <f>INDEX('Control Panel'!$AZ$306:$AZ$330,Tender!$E$5*5+5)</f>
        <v>7.791590090989202</v>
      </c>
      <c r="G228" s="310">
        <f t="shared" si="3"/>
        <v>-1.6582990844735077</v>
      </c>
      <c r="H228" s="322" t="str">
        <f t="shared" si="4"/>
        <v>Chinese</v>
      </c>
      <c r="I228" s="307" t="s">
        <v>1921</v>
      </c>
    </row>
    <row r="229" ht="15" customHeight="1" x14ac:dyDescent="0.25">
      <c r="C229" s="271" t="s">
        <v>1049</v>
      </c>
      <c r="D229" s="296" t="s">
        <v>844</v>
      </c>
      <c r="E229" s="274">
        <f>INDEX('Control Panel'!$BA$306:$BA$330,Tender!$E$5*5+4)</f>
        <v>221682.18461006615</v>
      </c>
      <c r="F229" s="274">
        <f>INDEX('Control Panel'!$BA$306:$BA$330,Tender!$E$5*5+5)</f>
        <v>191299.14634928823</v>
      </c>
      <c r="G229" s="275">
        <f t="shared" si="3"/>
        <v>30383.038260777917</v>
      </c>
      <c r="H229" s="319" t="str">
        <f t="shared" si="4"/>
        <v>Chinese</v>
      </c>
      <c r="I229" s="301" t="s">
        <v>1920</v>
      </c>
    </row>
    <row r="230" ht="15" customHeight="1" x14ac:dyDescent="0.25">
      <c r="C230" s="270" t="s">
        <v>1051</v>
      </c>
      <c r="D230" s="297" t="s">
        <v>613</v>
      </c>
      <c r="E230" s="285">
        <f>INDEX('Control Panel'!$BB$306:$BB$330,Tender!$E$5*5+4)</f>
        <v>2044</v>
      </c>
      <c r="F230" s="285">
        <f>INDEX('Control Panel'!$BB$306:$BB$330,Tender!$E$5*5+5)</f>
        <v>2041</v>
      </c>
      <c r="G230" s="286">
        <f t="shared" si="3"/>
        <v>3</v>
      </c>
      <c r="H230" s="320" t="str">
        <f t="shared" si="4"/>
        <v>Chinese</v>
      </c>
      <c r="I230" s="302" t="s">
        <v>1920</v>
      </c>
    </row>
    <row r="231" spans="3:9" ht="15" customHeight="1" x14ac:dyDescent="0.25">
      <c r="C231" s="269" t="s">
        <v>1937</v>
      </c>
      <c r="D231" s="294"/>
      <c r="E231" s="273"/>
      <c r="F231" s="273"/>
      <c r="G231" s="273"/>
      <c r="H231" s="317"/>
      <c r="I231" s="299"/>
    </row>
    <row r="232" ht="15" customHeight="1" x14ac:dyDescent="0.25">
      <c r="C232" t="s">
        <v>1012</v>
      </c>
      <c r="D232" s="295" t="s">
        <v>2</v>
      </c>
      <c r="E232" s="138">
        <f>INDEX('Control Panel'!$BC$306:$BC$330,Tender!$E$5*5+4)</f>
        <v>0.0970166249041943</v>
      </c>
      <c r="F232" s="138">
        <f>INDEX('Control Panel'!$BC$306:$BC$330,Tender!$E$5*5+5)</f>
        <v>0.12828686690136998</v>
      </c>
      <c r="G232" s="287">
        <f>IF(AND(ISNUMBER(E232),ISNUMBER(F232)),E232-F232,"n/a")</f>
        <v>-0.03127024199717568</v>
      </c>
      <c r="H232" s="318" t="str">
        <f>IF(OR($I232="–",NOT(ISNUMBER(E232)),NOT(ISNUMBER(F232))),"–",IF(E232=F232,"Equal",IF((E232&gt;F232)=($I232="Higher"),"European","Chinese")))</f>
        <v>Chinese</v>
      </c>
      <c r="I232" s="300" t="s">
        <v>1921</v>
      </c>
    </row>
    <row r="233" ht="15" customHeight="1" x14ac:dyDescent="0.25">
      <c r="C233" s="271" t="s">
        <v>1013</v>
      </c>
      <c r="D233" s="296" t="s">
        <v>2</v>
      </c>
      <c r="E233" s="281">
        <f>INDEX('Control Panel'!$BD$306:$BD$330,Tender!$E$5*5+4)</f>
        <v>0.09170192397226225</v>
      </c>
      <c r="F233" s="281">
        <f>INDEX('Control Panel'!$BD$306:$BD$330,Tender!$E$5*5+5)</f>
        <v>0.12109681198042659</v>
      </c>
      <c r="G233" s="282">
        <f>IF(AND(ISNUMBER(E233),ISNUMBER(F233)),E233-F233,"n/a")</f>
        <v>-0.029394888008164338</v>
      </c>
      <c r="H233" s="319" t="str">
        <f>IF(OR($I233="–",NOT(ISNUMBER(E233)),NOT(ISNUMBER(F233))),"–",IF(E233=F233,"Equal",IF((E233&gt;F233)=($I233="Higher"),"European","Chinese")))</f>
        <v>Chinese</v>
      </c>
      <c r="I233" s="301" t="s">
        <v>1921</v>
      </c>
    </row>
    <row r="234" ht="15" customHeight="1" x14ac:dyDescent="0.25">
      <c r="C234" s="271" t="s">
        <v>1938</v>
      </c>
      <c r="D234" s="296" t="s">
        <v>844</v>
      </c>
      <c r="E234" s="275">
        <f>INDEX('Control Panel'!$BE$306:$BE$330,Tender!$E$5*5+4)</f>
        <v>47524.011316379896</v>
      </c>
      <c r="F234" s="275">
        <f>INDEX('Control Panel'!$BE$306:$BE$330,Tender!$E$5*5+5)</f>
        <v>133488.72762627382</v>
      </c>
      <c r="G234" s="275">
        <f>IF(AND(ISNUMBER(E234),ISNUMBER(F234)),E234-F234,"n/a")</f>
        <v>-85964.71630989392</v>
      </c>
      <c r="H234" s="319" t="str">
        <f>IF(OR($I234="–",NOT(ISNUMBER(E234)),NOT(ISNUMBER(F234))),"–",IF(E234=F234,"Equal",IF((E234&gt;F234)=($I234="Higher"),"European","Chinese")))</f>
        <v>Chinese</v>
      </c>
      <c r="I234" s="301" t="s">
        <v>1921</v>
      </c>
    </row>
    <row r="235" ht="15" customHeight="1" x14ac:dyDescent="0.25">
      <c r="C235" s="270" t="s">
        <v>1015</v>
      </c>
      <c r="D235" s="297" t="s">
        <v>2</v>
      </c>
      <c r="E235" s="288">
        <f>INDEX('Control Panel'!$BF$306:$BF$330,Tender!$E$5*5+4)</f>
        <v>0.09991355961167205</v>
      </c>
      <c r="F235" s="288">
        <f>INDEX('Control Panel'!$BF$306:$BF$330,Tender!$E$5*5+5)</f>
        <v>0.13111232656651206</v>
      </c>
      <c r="G235" s="289">
        <f>IF(AND(ISNUMBER(E235),ISNUMBER(F235)),E235-F235,"n/a")</f>
        <v>-0.031198766954840015</v>
      </c>
      <c r="H235" s="320" t="str">
        <f>IF(OR($I235="–",NOT(ISNUMBER(E235)),NOT(ISNUMBER(F235))),"–",IF(E235=F235,"Equal",IF((E235&gt;F235)=($I235="Higher"),"European","Chinese")))</f>
        <v>Chinese</v>
      </c>
      <c r="I235" s="302" t="s">
        <v>1921</v>
      </c>
    </row>
    <row r="236" spans="3:9" ht="15" customHeight="1" x14ac:dyDescent="0.25">
      <c r="C236" s="269" t="s">
        <v>1939</v>
      </c>
      <c r="D236" s="294"/>
      <c r="E236" s="273"/>
      <c r="F236" s="273"/>
      <c r="G236" s="273"/>
      <c r="H236" s="317"/>
      <c r="I236" s="299"/>
    </row>
    <row r="237" ht="15" customHeight="1" x14ac:dyDescent="0.25">
      <c r="C237" t="s">
        <v>1900</v>
      </c>
      <c r="D237" s="295" t="s">
        <v>4</v>
      </c>
      <c r="E237" s="181">
        <f>INDEX('Control Panel'!$BG$306:$BG$330,Tender!$E$5*5+4)</f>
        <v>1.1631739211938075</v>
      </c>
      <c r="F237" s="181">
        <f>INDEX('Control Panel'!$BG$306:$BG$330,Tender!$E$5*5+5)</f>
        <v>1.9196058721534874</v>
      </c>
      <c r="G237" s="290">
        <f>IF(AND(ISNUMBER(E237),ISNUMBER(F237)),E237-F237,"n/a")</f>
        <v>-0.75643195095968</v>
      </c>
      <c r="H237" s="318" t="str">
        <f>IF(OR($I237="–",NOT(ISNUMBER(E237)),NOT(ISNUMBER(F237))),"–",IF(E237=F237,"Equal",IF((E237&gt;F237)=($I237="Higher"),"European","Chinese")))</f>
        <v>Chinese</v>
      </c>
      <c r="I237" s="300" t="s">
        <v>1921</v>
      </c>
    </row>
    <row r="238" ht="15" customHeight="1" x14ac:dyDescent="0.25">
      <c r="C238" s="270" t="s">
        <v>1901</v>
      </c>
      <c r="D238" s="297" t="s">
        <v>4</v>
      </c>
      <c r="E238" s="291">
        <f>INDEX('Control Panel'!$BH$306:$BH$330,Tender!$E$5*5+4)</f>
        <v>1.0305818359673833</v>
      </c>
      <c r="F238" s="291">
        <f>INDEX('Control Panel'!$BH$306:$BH$330,Tender!$E$5*5+5)</f>
        <v>1.6999046818329888</v>
      </c>
      <c r="G238" s="292">
        <f>IF(AND(ISNUMBER(E238),ISNUMBER(F238)),E238-F238,"n/a")</f>
        <v>-0.6693228458656055</v>
      </c>
      <c r="H238" s="320" t="str">
        <f>IF(OR($I238="–",NOT(ISNUMBER(E238)),NOT(ISNUMBER(F238))),"–",IF(E238=F238,"Equal",IF((E238&gt;F238)=($I238="Higher"),"European","Chinese")))</f>
        <v>Chinese</v>
      </c>
      <c r="I238" s="302" t="s">
        <v>1921</v>
      </c>
    </row>
    <row r="239" spans="3:9" ht="15" customHeight="1" x14ac:dyDescent="0.25">
      <c r="C239" s="269" t="s">
        <v>57</v>
      </c>
      <c r="D239" s="294"/>
      <c r="E239" s="273"/>
      <c r="F239" s="273"/>
      <c r="G239" s="273"/>
      <c r="H239" s="317"/>
      <c r="I239" s="299"/>
    </row>
    <row r="240" ht="15" customHeight="1" thickBot="1" x14ac:dyDescent="0.3">
      <c r="C240" s="272" t="s">
        <v>1052</v>
      </c>
      <c r="D240" s="298" t="s">
        <v>57</v>
      </c>
      <c r="E240" s="316" t="str">
        <f>INDEX('Control Panel'!$BI$306:$BI$330,Tender!$E$5*5+4)</f>
        <v>ALL OK</v>
      </c>
      <c r="F240" s="316" t="str">
        <f>INDEX('Control Panel'!$BI$306:$BI$330,Tender!$E$5*5+5)</f>
        <v>ALL OK</v>
      </c>
      <c r="G240" s="293" t="s">
        <v>1919</v>
      </c>
      <c r="H240" s="323" t="str">
        <f>IF(OR($I240="–",NOT(ISNUMBER(E240)),NOT(ISNUMBER(F240))),"–",IF(E240=F240,"Equal",IF((E240&gt;F240)=($I240="Higher"),"European","Chinese")))</f>
        <v>–</v>
      </c>
      <c r="I240" s="303" t="s">
        <v>1919</v>
      </c>
    </row>
    <row r="241" ht="15" customHeight="1" x14ac:dyDescent="0.25">
      <c r="C241" s="324" t="s">
        <v>1940</v>
      </c>
      <c r="D241" s="325" t="s">
        <v>57</v>
      </c>
      <c r="E241" s="325" t="str">
        <f>IF(Inputs!$E$6=2,IF(ABS(HTM!$G$139-E225)&lt;0.00001,"OK","STALE – data table not recalculated (F9)"),"n/a – case "&amp;Inputs!$E$6&amp;" active")</f>
        <v>n/a – case 1 active</v>
      </c>
      <c r="F241" s="325" t="str">
        <f>IF(Inputs!$E$6=3,IF(ABS(HTM!$G$139-F225)&lt;0.00001,"OK","STALE – data table not recalculated (F9)"),"n/a – case "&amp;Inputs!$E$6&amp;" active")</f>
        <v>n/a – case 1 active</v>
      </c>
    </row>
    <row r="242" spans="3:12" ht="15" customHeight="1" x14ac:dyDescent="0.25"/>
    <row r="243" spans="3:12" ht="24" customHeight="1" x14ac:dyDescent="0.25">
      <c r="C243" s="261" t="s">
        <v>1941</v>
      </c>
      <c r="D243" s="261"/>
      <c r="E243" s="261"/>
      <c r="F243" s="261"/>
      <c r="G243" s="261"/>
      <c r="H243" s="261"/>
      <c r="I243" s="261"/>
      <c r="J243" s="261"/>
      <c r="K243" s="261"/>
      <c r="L243" s="261"/>
    </row>
    <row r="244" spans="3:12" ht="15" customHeight="1" x14ac:dyDescent="0.25">
      <c r="C244" s="263" t="s">
        <v>1942</v>
      </c>
    </row>
    <row r="245" spans="3:12" ht="15" customHeight="1" x14ac:dyDescent="0.25"/>
    <row r="246" ht="20.100000000000001" customHeight="1" x14ac:dyDescent="0.25">
      <c r="C246" s="326" t="str">
        <f>"12a. European turbine (Case 2) – "&amp;F8&amp;", "&amp;FIXED((1-IF(Inputs!H190="",Inputs!$G190,Inputs!H190))*100,0)&amp;"% PPA – tornado values below: typed snapshot of an earlier run"</f>
        <v>12a. European turbine (Case 2) – 950 k€/MW, 60% debt, PPA 90 €/MWh, 100% PPA – tornado values below: typed snapshot of an earlier run</v>
      </c>
      <c r="D246" s="326"/>
      <c r="E246" s="326"/>
      <c r="F246" s="326"/>
      <c r="G246" s="326"/>
      <c r="H246" s="326"/>
      <c r="I246" s="326"/>
      <c r="J246" s="326"/>
      <c r="K246" s="326"/>
      <c r="L246" s="326"/>
    </row>
    <row r="247" spans="3:12" ht="15" customHeight="1" x14ac:dyDescent="0.25">
      <c r="C247" s="91" t="s">
        <v>1943</v>
      </c>
      <c r="D247" s="264"/>
      <c r="E247" s="327">
        <v>0.10781977341556701</v>
      </c>
      <c r="F247" s="328">
        <v>78246.723029493805</v>
      </c>
      <c r="G247" s="264"/>
      <c r="H247" s="264"/>
      <c r="I247" s="264"/>
      <c r="J247" s="264"/>
      <c r="K247" s="264"/>
    </row>
    <row r="248" spans="3:12" ht="15" customHeight="1" thickBot="1" x14ac:dyDescent="0.3">
      <c r="C248" s="329" t="s">
        <v>1944</v>
      </c>
      <c r="D248" s="251" t="s">
        <v>1945</v>
      </c>
      <c r="E248" s="251" t="s">
        <v>1946</v>
      </c>
      <c r="F248" s="251" t="s">
        <v>1947</v>
      </c>
      <c r="G248" s="251" t="s">
        <v>1948</v>
      </c>
      <c r="H248" s="251" t="s">
        <v>1949</v>
      </c>
      <c r="I248" s="251" t="s">
        <v>1950</v>
      </c>
      <c r="J248" s="251" t="s">
        <v>1951</v>
      </c>
      <c r="K248" s="251" t="s">
        <v>1903</v>
      </c>
      <c r="L248" s="251" t="s">
        <v>1995</v>
      </c>
    </row>
    <row r="249" spans="3:12" ht="15" customHeight="1" x14ac:dyDescent="0.25">
      <c r="C249" s="330" t="s">
        <v>1952</v>
      </c>
      <c r="D249" s="335" t="s">
        <v>1953</v>
      </c>
      <c r="E249" s="337" t="s">
        <v>1954</v>
      </c>
      <c r="F249" s="340" t="s">
        <v>1955</v>
      </c>
      <c r="G249" s="343">
        <v>9.4467280805303797E-2</v>
      </c>
      <c r="H249" s="343">
        <v>0.12049257736779</v>
      </c>
      <c r="I249" s="332">
        <f t="shared" ref="I249:I258" si="5">G249-$E$247</f>
        <v>-0.013352492610263209</v>
      </c>
      <c r="J249" s="332">
        <f t="shared" ref="J249:J258" si="6">H249-$E$247</f>
        <v>0.012672803952222991</v>
      </c>
      <c r="K249" s="343">
        <f t="shared" ref="K249:K258" si="7">ABS(H249-G249)</f>
        <v>0.0260252965624862</v>
      </c>
      <c r="L249" s="346" t="str">
        <f t="shared" ref="L249:L258" si="8">C249&amp;"  ("&amp;E249&amp;IF(F249="–",""," / "&amp;F249)&amp;")"</f>
        <v>Energy yield (P50 hours) ±10%  (2 435 h / 2 977 h)</v>
      </c>
    </row>
    <row r="250" spans="3:12" ht="15" customHeight="1" x14ac:dyDescent="0.25">
      <c r="C250" s="271" t="s">
        <v>1956</v>
      </c>
      <c r="D250" s="296" t="s">
        <v>1957</v>
      </c>
      <c r="E250" s="338" t="s">
        <v>1958</v>
      </c>
      <c r="F250" s="341" t="s">
        <v>1959</v>
      </c>
      <c r="G250" s="304">
        <v>9.9641097868176501E-2</v>
      </c>
      <c r="H250" s="304">
        <v>0.116977764840416</v>
      </c>
      <c r="I250" s="333">
        <f t="shared" si="5"/>
        <v>-0.008178675547390504</v>
      </c>
      <c r="J250" s="333">
        <f t="shared" si="6"/>
        <v>0.009157991424848994</v>
      </c>
      <c r="K250" s="304">
        <f t="shared" si="7"/>
        <v>0.017336666972239498</v>
      </c>
      <c r="L250" s="346" t="str">
        <f t="shared" si="8"/>
        <v>Construction capex (excl. grid fee) ±10%  (1 899 k€/MW / 1 592 k€/MW)</v>
      </c>
    </row>
    <row r="251" spans="3:12" ht="15" customHeight="1" x14ac:dyDescent="0.25">
      <c r="C251" s="271" t="s">
        <v>1960</v>
      </c>
      <c r="D251" s="296" t="s">
        <v>1961</v>
      </c>
      <c r="E251" s="338" t="s">
        <v>1962</v>
      </c>
      <c r="F251" s="341" t="s">
        <v>1963</v>
      </c>
      <c r="G251" s="304">
        <v>0.10063306850449499</v>
      </c>
      <c r="H251" s="304">
        <v>0.115275988315879</v>
      </c>
      <c r="I251" s="333">
        <f t="shared" si="5"/>
        <v>-0.007186704911072012</v>
      </c>
      <c r="J251" s="333">
        <f t="shared" si="6"/>
        <v>0.007456214900311994</v>
      </c>
      <c r="K251" s="304">
        <f t="shared" si="7"/>
        <v>0.014642919811384006</v>
      </c>
      <c r="L251" s="346" t="str">
        <f t="shared" si="8"/>
        <v>PPA price ±10%  (81 €/MWh / 99 €/MWh)</v>
      </c>
    </row>
    <row r="252" spans="3:12" ht="15" customHeight="1" x14ac:dyDescent="0.25">
      <c r="C252" s="271" t="s">
        <v>1964</v>
      </c>
      <c r="D252" s="296" t="s">
        <v>1965</v>
      </c>
      <c r="E252" s="338" t="s">
        <v>1966</v>
      </c>
      <c r="F252" s="341" t="s">
        <v>1967</v>
      </c>
      <c r="G252" s="304">
        <v>0.10075570473393</v>
      </c>
      <c r="H252" s="304">
        <v>0.114291615877559</v>
      </c>
      <c r="I252" s="333">
        <f t="shared" si="5"/>
        <v>-0.0070640686816370035</v>
      </c>
      <c r="J252" s="333">
        <f t="shared" si="6"/>
        <v>0.006471842461991992</v>
      </c>
      <c r="K252" s="304">
        <f t="shared" si="7"/>
        <v>0.013535911143628995</v>
      </c>
      <c r="L252" s="346" t="str">
        <f t="shared" si="8"/>
        <v>Merchant power price (Aurora Central) ±10%  (Ø 125,8 €/MWh achieved / Ø 146,5 €/MWh achieved)</v>
      </c>
    </row>
    <row r="253" spans="3:12" ht="15" customHeight="1" x14ac:dyDescent="0.25">
      <c r="C253" s="271" t="s">
        <v>1968</v>
      </c>
      <c r="D253" s="296" t="s">
        <v>1969</v>
      </c>
      <c r="E253" s="338" t="s">
        <v>1905</v>
      </c>
      <c r="F253" s="341" t="s">
        <v>1919</v>
      </c>
      <c r="G253" s="304">
        <v>0.101391640997554</v>
      </c>
      <c r="H253" s="304">
        <v>0.10781977341556701</v>
      </c>
      <c r="I253" s="333">
        <f t="shared" si="5"/>
        <v>-0.006428132418013002</v>
      </c>
      <c r="J253" s="333">
        <f t="shared" si="6"/>
        <v>0</v>
      </c>
      <c r="K253" s="304">
        <f t="shared" si="7"/>
        <v>0.006428132418013002</v>
      </c>
      <c r="L253" s="346" t="str">
        <f t="shared" si="8"/>
        <v>Operating life −5 years  (25 years)</v>
      </c>
    </row>
    <row r="254" spans="3:12" ht="15" customHeight="1" x14ac:dyDescent="0.25">
      <c r="C254" s="271" t="s">
        <v>1970</v>
      </c>
      <c r="D254" s="296" t="s">
        <v>1971</v>
      </c>
      <c r="E254" s="338" t="s">
        <v>1972</v>
      </c>
      <c r="F254" s="341" t="s">
        <v>1973</v>
      </c>
      <c r="G254" s="304">
        <v>0.10505535057969501</v>
      </c>
      <c r="H254" s="304">
        <v>0.110126945048244</v>
      </c>
      <c r="I254" s="333">
        <f t="shared" si="5"/>
        <v>-0.002764422835871999</v>
      </c>
      <c r="J254" s="333">
        <f t="shared" si="6"/>
        <v>0.002307171632676991</v>
      </c>
      <c r="K254" s="304">
        <f t="shared" si="7"/>
        <v>0.00507159446854899</v>
      </c>
      <c r="L254" s="346" t="str">
        <f t="shared" si="8"/>
        <v>Opex inflation ±1pp  (3,5% p.a. / 1,5% p.a.)</v>
      </c>
    </row>
    <row r="255" spans="3:12" ht="15" customHeight="1" x14ac:dyDescent="0.25">
      <c r="C255" s="271" t="s">
        <v>1974</v>
      </c>
      <c r="D255" s="296" t="s">
        <v>1975</v>
      </c>
      <c r="E255" s="338" t="s">
        <v>1976</v>
      </c>
      <c r="F255" s="341" t="s">
        <v>1977</v>
      </c>
      <c r="G255" s="304">
        <v>0.10555432864162199</v>
      </c>
      <c r="H255" s="304">
        <v>0.109989297333382</v>
      </c>
      <c r="I255" s="333">
        <f t="shared" si="5"/>
        <v>-0.0022654447739450106</v>
      </c>
      <c r="J255" s="333">
        <f t="shared" si="6"/>
        <v>0.002169523917814997</v>
      </c>
      <c r="K255" s="304">
        <f t="shared" si="7"/>
        <v>0.004434968691760008</v>
      </c>
      <c r="L255" s="346" t="str">
        <f t="shared" si="8"/>
        <v>Interest rate ±100bp  (6,0% / 4,0%)</v>
      </c>
    </row>
    <row r="256" ht="15" customHeight="1" x14ac:dyDescent="0.25">
      <c r="C256" s="271" t="s">
        <v>1978</v>
      </c>
      <c r="D256" s="296" t="str">
        <f>"COD Jun-31 (snapshot 01-Oct-26; live COD "&amp;CHOOSE(MONTH(Inputs!E155),"Jan","Feb","Mar","Apr","May","Jun","Jul","Aug","Sep","Oct","Nov","Dec")&amp;"-"&amp;RIGHT(YEAR(Inputs!E155),2)&amp;")"</f>
        <v>COD Jun-31 (snapshot 01-Oct-26; live COD Sep-31)</v>
      </c>
      <c r="E256" s="338" t="s">
        <v>1980</v>
      </c>
      <c r="F256" s="341" t="s">
        <v>1919</v>
      </c>
      <c r="G256" s="304">
        <v>0.103655231417492</v>
      </c>
      <c r="H256" s="304">
        <v>0.10781977341556701</v>
      </c>
      <c r="I256" s="333">
        <f t="shared" si="5"/>
        <v>-0.004164541998075005</v>
      </c>
      <c r="J256" s="333">
        <f t="shared" si="6"/>
        <v>0</v>
      </c>
      <c r="K256" s="304">
        <f t="shared" si="7"/>
        <v>0.004164541998075005</v>
      </c>
      <c r="L256" s="346" t="str">
        <f t="shared" si="8"/>
        <v>COD delay +6 months  (COD Dec-31)</v>
      </c>
    </row>
    <row r="257" spans="3:12" ht="15" customHeight="1" x14ac:dyDescent="0.25">
      <c r="C257" s="271" t="s">
        <v>1981</v>
      </c>
      <c r="D257" s="296" t="s">
        <v>1982</v>
      </c>
      <c r="E257" s="338" t="s">
        <v>1983</v>
      </c>
      <c r="F257" s="341" t="s">
        <v>1984</v>
      </c>
      <c r="G257" s="304">
        <v>0.105215266086867</v>
      </c>
      <c r="H257" s="304">
        <v>0.10911063446545299</v>
      </c>
      <c r="I257" s="333">
        <f t="shared" si="5"/>
        <v>-0.0026045073287000037</v>
      </c>
      <c r="J257" s="333">
        <f t="shared" si="6"/>
        <v>0.0012908610498859885</v>
      </c>
      <c r="K257" s="304">
        <f t="shared" si="7"/>
        <v>0.003895368378585992</v>
      </c>
      <c r="L257" s="346" t="str">
        <f t="shared" si="8"/>
        <v>Availability −2% / +1%  (−2% (2 652 h) / +1% (2 733 h))</v>
      </c>
    </row>
    <row r="258" spans="3:12" ht="15" customHeight="1" x14ac:dyDescent="0.25">
      <c r="C258" s="331" t="s">
        <v>1985</v>
      </c>
      <c r="D258" s="336" t="s">
        <v>1986</v>
      </c>
      <c r="E258" s="339" t="s">
        <v>1987</v>
      </c>
      <c r="F258" s="342" t="s">
        <v>1988</v>
      </c>
      <c r="G258" s="344">
        <v>0.105966342397029</v>
      </c>
      <c r="H258" s="344">
        <v>0.109660541382075</v>
      </c>
      <c r="I258" s="334">
        <f t="shared" si="5"/>
        <v>-0.001853431018538007</v>
      </c>
      <c r="J258" s="334">
        <f t="shared" si="6"/>
        <v>0.0018407679665079918</v>
      </c>
      <c r="K258" s="344">
        <f t="shared" si="7"/>
        <v>0.003694198985045999</v>
      </c>
      <c r="L258" s="346" t="str">
        <f t="shared" si="8"/>
        <v>Opex ±10%  (+10% all opex lines / −10% all opex lines)</v>
      </c>
    </row>
    <row r="259" spans="3:12" ht="15" customHeight="1" x14ac:dyDescent="0.25"/>
    <row r="260" spans="3:12" ht="15" customHeight="1" x14ac:dyDescent="0.25"/>
    <row r="261" spans="3:12" ht="15" customHeight="1" x14ac:dyDescent="0.25"/>
    <row r="262" spans="3:12" ht="15" customHeight="1" x14ac:dyDescent="0.25"/>
    <row r="263" spans="3:12" ht="15" customHeight="1" x14ac:dyDescent="0.25"/>
    <row r="264" spans="3:12" ht="15" customHeight="1" x14ac:dyDescent="0.25"/>
    <row r="265" spans="3:12" ht="15" customHeight="1" x14ac:dyDescent="0.25"/>
    <row r="266" spans="3:12" ht="15" customHeight="1" x14ac:dyDescent="0.25"/>
    <row r="267" spans="3:12" ht="15" customHeight="1" x14ac:dyDescent="0.25"/>
    <row r="268" spans="3:12" ht="15" customHeight="1" x14ac:dyDescent="0.25"/>
    <row r="269" spans="3:12" ht="15" customHeight="1" x14ac:dyDescent="0.25"/>
    <row r="270" spans="3:12" ht="15" customHeight="1" x14ac:dyDescent="0.25"/>
    <row r="271" spans="3:12" ht="15" customHeight="1" x14ac:dyDescent="0.25"/>
    <row r="272" spans="3:12" ht="15" customHeight="1" x14ac:dyDescent="0.25"/>
    <row r="273" spans="3:12" ht="15" customHeight="1" x14ac:dyDescent="0.25"/>
    <row r="274" spans="3:12" ht="15" customHeight="1" x14ac:dyDescent="0.25"/>
    <row r="275" spans="3:12" ht="15" customHeight="1" x14ac:dyDescent="0.25"/>
    <row r="276" spans="3:12" ht="15" customHeight="1" x14ac:dyDescent="0.25"/>
    <row r="277" spans="3:12" ht="15" customHeight="1" x14ac:dyDescent="0.25"/>
    <row r="278" spans="3:12" ht="15" customHeight="1" x14ac:dyDescent="0.25"/>
    <row r="279" spans="3:12" ht="15" customHeight="1" x14ac:dyDescent="0.25"/>
    <row r="280" spans="3:12" ht="15" customHeight="1" x14ac:dyDescent="0.25"/>
    <row r="281" spans="3:12" ht="15" customHeight="1" x14ac:dyDescent="0.25"/>
    <row r="282" spans="3:12" ht="15" customHeight="1" x14ac:dyDescent="0.25"/>
    <row r="283" spans="3:12" ht="15" customHeight="1" x14ac:dyDescent="0.25"/>
    <row r="284" spans="3:12" ht="15" customHeight="1" x14ac:dyDescent="0.25"/>
    <row r="285" ht="20.100000000000001" customHeight="1" x14ac:dyDescent="0.25">
      <c r="C285" s="345" t="str">
        <f>"12b. Chinese turbine (Case 3) – "&amp;G8&amp;", "&amp;FIXED((1-IF(Inputs!I190="",Inputs!$G190,Inputs!I190))*100,0)&amp;"% PPA – tornado values below: typed snapshot of an earlier run"</f>
        <v>12b. Chinese turbine (Case 3) – 500 k€/MW, 50% debt, PPA 90 €/MWh, 100% PPA – tornado values below: typed snapshot of an earlier run</v>
      </c>
      <c r="D285" s="345"/>
      <c r="E285" s="345"/>
      <c r="F285" s="345"/>
      <c r="G285" s="345"/>
      <c r="H285" s="345"/>
      <c r="I285" s="345"/>
      <c r="J285" s="345"/>
      <c r="K285" s="345"/>
      <c r="L285" s="345"/>
    </row>
    <row r="286" spans="3:12" ht="15" customHeight="1" x14ac:dyDescent="0.25">
      <c r="C286" s="91" t="s">
        <v>1943</v>
      </c>
      <c r="D286" s="264"/>
      <c r="E286" s="327">
        <v>0.15129564536426801</v>
      </c>
      <c r="F286" s="328">
        <v>191875.80533088799</v>
      </c>
      <c r="G286" s="264"/>
      <c r="H286" s="264"/>
      <c r="I286" s="264"/>
      <c r="J286" s="264"/>
      <c r="K286" s="264"/>
    </row>
    <row r="287" spans="3:12" ht="15" customHeight="1" thickBot="1" x14ac:dyDescent="0.3">
      <c r="C287" s="329" t="s">
        <v>1944</v>
      </c>
      <c r="D287" s="251" t="s">
        <v>1945</v>
      </c>
      <c r="E287" s="251" t="s">
        <v>1946</v>
      </c>
      <c r="F287" s="251" t="s">
        <v>1947</v>
      </c>
      <c r="G287" s="251" t="s">
        <v>1948</v>
      </c>
      <c r="H287" s="251" t="s">
        <v>1949</v>
      </c>
      <c r="I287" s="251" t="s">
        <v>1950</v>
      </c>
      <c r="J287" s="251" t="s">
        <v>1951</v>
      </c>
      <c r="K287" s="251" t="s">
        <v>1903</v>
      </c>
      <c r="L287" s="251" t="s">
        <v>1995</v>
      </c>
    </row>
    <row r="288" spans="3:12" ht="15" customHeight="1" x14ac:dyDescent="0.25">
      <c r="C288" s="330" t="s">
        <v>1964</v>
      </c>
      <c r="D288" s="335" t="s">
        <v>1989</v>
      </c>
      <c r="E288" s="337" t="s">
        <v>1990</v>
      </c>
      <c r="F288" s="340" t="s">
        <v>1991</v>
      </c>
      <c r="G288" s="343">
        <v>0.13482818548438599</v>
      </c>
      <c r="H288" s="343">
        <v>0.167078382183419</v>
      </c>
      <c r="I288" s="332">
        <f t="shared" ref="I288:J295" si="9">G288-$E$286</f>
        <v>-0.016467459879882018</v>
      </c>
      <c r="J288" s="332">
        <f t="shared" si="9"/>
        <v>0.01578273681915099</v>
      </c>
      <c r="K288" s="343">
        <f t="shared" ref="K288:K295" si="10">ABS(H288-G288)</f>
        <v>0.03225019669903301</v>
      </c>
      <c r="L288" s="346" t="str">
        <f t="shared" ref="L288:L295" si="11">C288&amp;"  ("&amp;E288&amp;IF(F288="–",""," / "&amp;F288)&amp;")"</f>
        <v>Merchant power price (Aurora Central) ±10%  (Ø 131,0 €/MWh achieved / Ø 160,1 €/MWh achieved)</v>
      </c>
    </row>
    <row r="289" spans="3:12" ht="15" customHeight="1" x14ac:dyDescent="0.25">
      <c r="C289" s="271" t="s">
        <v>1952</v>
      </c>
      <c r="D289" s="296" t="s">
        <v>1953</v>
      </c>
      <c r="E289" s="338" t="s">
        <v>1954</v>
      </c>
      <c r="F289" s="341" t="s">
        <v>1955</v>
      </c>
      <c r="G289" s="304">
        <v>0.13595592229251299</v>
      </c>
      <c r="H289" s="304">
        <v>0.166042505123846</v>
      </c>
      <c r="I289" s="333">
        <f t="shared" si="9"/>
        <v>-0.015339723071755018</v>
      </c>
      <c r="J289" s="333">
        <f t="shared" si="9"/>
        <v>0.014746859759577985</v>
      </c>
      <c r="K289" s="304">
        <f t="shared" si="10"/>
        <v>0.030086582831333003</v>
      </c>
      <c r="L289" s="346" t="str">
        <f t="shared" si="11"/>
        <v>Energy yield (P50 hours) ±10%  (2 435 h / 2 977 h)</v>
      </c>
    </row>
    <row r="290" spans="3:12" ht="15" customHeight="1" x14ac:dyDescent="0.25">
      <c r="C290" s="271" t="s">
        <v>1956</v>
      </c>
      <c r="D290" s="296" t="s">
        <v>1992</v>
      </c>
      <c r="E290" s="338" t="s">
        <v>1993</v>
      </c>
      <c r="F290" s="341" t="s">
        <v>1994</v>
      </c>
      <c r="G290" s="304">
        <v>0.14239406681393901</v>
      </c>
      <c r="H290" s="304">
        <v>0.16126383163873101</v>
      </c>
      <c r="I290" s="333">
        <f t="shared" si="9"/>
        <v>-0.008901578550328998</v>
      </c>
      <c r="J290" s="333">
        <f t="shared" si="9"/>
        <v>0.009968186274462998</v>
      </c>
      <c r="K290" s="304">
        <f t="shared" si="10"/>
        <v>0.018869764824791996</v>
      </c>
      <c r="L290" s="346" t="str">
        <f t="shared" si="11"/>
        <v>Construction capex (excl. grid fee) ±10%  (1 379 k€/MW / 1 167 k€/MW)</v>
      </c>
    </row>
    <row r="291" ht="15" customHeight="1" x14ac:dyDescent="0.25">
      <c r="C291" s="271" t="s">
        <v>1978</v>
      </c>
      <c r="D291" s="296" t="str">
        <f>"COD Jun-31 (snapshot 01-Oct-26; live COD "&amp;CHOOSE(MONTH(Inputs!E155),"Jan","Feb","Mar","Apr","May","Jun","Jul","Aug","Sep","Oct","Nov","Dec")&amp;"-"&amp;RIGHT(YEAR(Inputs!E155),2)&amp;")"</f>
        <v>COD Jun-31 (snapshot 01-Oct-26; live COD Sep-31)</v>
      </c>
      <c r="E291" s="338" t="s">
        <v>1980</v>
      </c>
      <c r="F291" s="341" t="s">
        <v>1919</v>
      </c>
      <c r="G291" s="304">
        <v>0.14482274527146199</v>
      </c>
      <c r="H291" s="304">
        <v>0.15129564536426801</v>
      </c>
      <c r="I291" s="333">
        <f t="shared" si="9"/>
        <v>-0.0064729000928060165</v>
      </c>
      <c r="J291" s="333">
        <f t="shared" si="9"/>
        <v>0</v>
      </c>
      <c r="K291" s="304">
        <f t="shared" si="10"/>
        <v>0.0064729000928060165</v>
      </c>
      <c r="L291" s="346" t="str">
        <f t="shared" si="11"/>
        <v>COD delay +6 months  (COD Dec-31)</v>
      </c>
    </row>
    <row r="292" spans="3:12" ht="15" customHeight="1" x14ac:dyDescent="0.25">
      <c r="C292" s="271" t="s">
        <v>1981</v>
      </c>
      <c r="D292" s="296" t="s">
        <v>1982</v>
      </c>
      <c r="E292" s="338" t="s">
        <v>1983</v>
      </c>
      <c r="F292" s="341" t="s">
        <v>1984</v>
      </c>
      <c r="G292" s="304">
        <v>0.14827922028483601</v>
      </c>
      <c r="H292" s="304">
        <v>0.15279495896814599</v>
      </c>
      <c r="I292" s="333">
        <f t="shared" si="9"/>
        <v>-0.0030164250794320058</v>
      </c>
      <c r="J292" s="333">
        <f t="shared" si="9"/>
        <v>0.0014993136038779775</v>
      </c>
      <c r="K292" s="304">
        <f t="shared" si="10"/>
        <v>0.004515738683309983</v>
      </c>
      <c r="L292" s="346" t="str">
        <f t="shared" si="11"/>
        <v>Availability −2% / +1%  (−2% (2 652 h) / +1% (2 733 h))</v>
      </c>
    </row>
    <row r="293" spans="3:12" ht="15" customHeight="1" x14ac:dyDescent="0.25">
      <c r="C293" s="271" t="s">
        <v>1970</v>
      </c>
      <c r="D293" s="296" t="s">
        <v>1971</v>
      </c>
      <c r="E293" s="338" t="s">
        <v>1972</v>
      </c>
      <c r="F293" s="341" t="s">
        <v>1973</v>
      </c>
      <c r="G293" s="304">
        <v>0.149259219629016</v>
      </c>
      <c r="H293" s="304">
        <v>0.153051254664302</v>
      </c>
      <c r="I293" s="333">
        <f t="shared" si="9"/>
        <v>-0.0020364257352520065</v>
      </c>
      <c r="J293" s="333">
        <f t="shared" si="9"/>
        <v>0.001755609300033989</v>
      </c>
      <c r="K293" s="304">
        <f t="shared" si="10"/>
        <v>0.0037920350352859955</v>
      </c>
      <c r="L293" s="346" t="str">
        <f t="shared" si="11"/>
        <v>Opex inflation ±1pp  (3,5% p.a. / 1,5% p.a.)</v>
      </c>
    </row>
    <row r="294" spans="3:12" ht="15" customHeight="1" x14ac:dyDescent="0.25">
      <c r="C294" s="271" t="s">
        <v>1985</v>
      </c>
      <c r="D294" s="296" t="s">
        <v>1986</v>
      </c>
      <c r="E294" s="338" t="s">
        <v>1987</v>
      </c>
      <c r="F294" s="341" t="s">
        <v>1988</v>
      </c>
      <c r="G294" s="304">
        <v>0.14946434548594401</v>
      </c>
      <c r="H294" s="304">
        <v>0.15311787827786899</v>
      </c>
      <c r="I294" s="333">
        <f t="shared" si="9"/>
        <v>-0.0018312998783240053</v>
      </c>
      <c r="J294" s="333">
        <f t="shared" si="9"/>
        <v>0.0018222329136009796</v>
      </c>
      <c r="K294" s="304">
        <f t="shared" si="10"/>
        <v>0.003653532791924985</v>
      </c>
      <c r="L294" s="346" t="str">
        <f t="shared" si="11"/>
        <v>Opex ±10%  (+10% all opex lines / −10% all opex lines)</v>
      </c>
    </row>
    <row r="295" spans="3:12" ht="15" customHeight="1" x14ac:dyDescent="0.25">
      <c r="C295" s="331" t="s">
        <v>1968</v>
      </c>
      <c r="D295" s="336" t="s">
        <v>1969</v>
      </c>
      <c r="E295" s="339" t="s">
        <v>1905</v>
      </c>
      <c r="F295" s="342" t="s">
        <v>1919</v>
      </c>
      <c r="G295" s="344">
        <v>0.14852954390854201</v>
      </c>
      <c r="H295" s="344">
        <v>0.15129564536426801</v>
      </c>
      <c r="I295" s="334">
        <f t="shared" si="9"/>
        <v>-0.0027661014557260055</v>
      </c>
      <c r="J295" s="334">
        <f t="shared" si="9"/>
        <v>0</v>
      </c>
      <c r="K295" s="344">
        <f t="shared" si="10"/>
        <v>0.0027661014557260055</v>
      </c>
      <c r="L295" s="346" t="str">
        <f t="shared" si="11"/>
        <v>Operating life −5 years  (25 years)</v>
      </c>
    </row>
    <row r="296" spans="3:12" ht="15" customHeight="1" x14ac:dyDescent="0.25"/>
    <row r="297" spans="3:12" ht="15" customHeight="1" x14ac:dyDescent="0.25"/>
    <row r="298" spans="3:12" ht="15" customHeight="1" x14ac:dyDescent="0.25"/>
    <row r="299" spans="3:12" ht="15" customHeight="1" x14ac:dyDescent="0.25"/>
    <row r="300" spans="3:12" ht="15" customHeight="1" x14ac:dyDescent="0.25"/>
    <row r="301" spans="3:12" ht="15" customHeight="1" x14ac:dyDescent="0.25"/>
    <row r="302" spans="3:12" ht="15" customHeight="1" x14ac:dyDescent="0.25"/>
    <row r="303" spans="3:12" ht="15" customHeight="1" x14ac:dyDescent="0.25"/>
    <row r="304" spans="3:12"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sheetData>
  <conditionalFormatting sqref="E42 E81 E85:E101">
    <cfRule type="containsText" dxfId="10" priority="1" operator="containsText" text="OK">
      <formula>NOT(ISERROR(SEARCH("OK",E42)))</formula>
    </cfRule>
    <cfRule type="containsText" dxfId="9" priority="2" operator="containsText" text="FAIL">
      <formula>NOT(ISERROR(SEARCH("FAIL",E42)))</formula>
    </cfRule>
  </conditionalFormatting>
  <conditionalFormatting sqref="E154">
    <cfRule type="containsText" dxfId="8" priority="3" operator="containsText" text="OK">
      <formula>NOT(ISERROR(SEARCH("OK",E154)))</formula>
    </cfRule>
  </conditionalFormatting>
  <conditionalFormatting sqref="H210:H240">
    <cfRule type="containsText" dxfId="7" priority="4" operator="containsText" text="European">
      <formula>NOT(ISERROR(SEARCH("European",H210)))</formula>
    </cfRule>
  </conditionalFormatting>
  <conditionalFormatting sqref="H210:H240">
    <cfRule type="containsText" dxfId="6" priority="5" operator="containsText" text="Chinese">
      <formula>NOT(ISERROR(SEARCH("Chinese",H210)))</formula>
    </cfRule>
  </conditionalFormatting>
  <conditionalFormatting sqref="I249:J258">
    <cfRule type="cellIs" dxfId="5" priority="6" operator="lessThan">
      <formula>0</formula>
    </cfRule>
  </conditionalFormatting>
  <conditionalFormatting sqref="I249:J258">
    <cfRule type="cellIs" dxfId="4" priority="7" operator="greaterThan">
      <formula>0</formula>
    </cfRule>
  </conditionalFormatting>
  <conditionalFormatting sqref="K249:K258">
    <cfRule type="dataBar" priority="8">
      <dataBar>
        <cfvo type="min"/>
        <cfvo type="max"/>
        <color rgb="FFF4B183"/>
      </dataBar>
      <extLst>
        <ext xmlns:x14="http://schemas.microsoft.com/office/spreadsheetml/2009/9/main" uri="{B025F937-C7B1-47D3-B67F-A62EFF666E3E}">
          <x14:id>{C08F96B5-4B1F-492A-BEDA-7E401F995F0F}</x14:id>
        </ext>
      </extLst>
    </cfRule>
  </conditionalFormatting>
  <conditionalFormatting sqref="I288:J295">
    <cfRule type="cellIs" dxfId="3" priority="9" operator="lessThan">
      <formula>0</formula>
    </cfRule>
  </conditionalFormatting>
  <conditionalFormatting sqref="I288:J295">
    <cfRule type="cellIs" dxfId="2" priority="10" operator="greaterThan">
      <formula>0</formula>
    </cfRule>
  </conditionalFormatting>
  <conditionalFormatting sqref="K288:K295">
    <cfRule type="dataBar" priority="11">
      <dataBar>
        <cfvo type="min"/>
        <cfvo type="max"/>
        <color rgb="FFF4B183"/>
      </dataBar>
      <extLst>
        <ext xmlns:x14="http://schemas.microsoft.com/office/spreadsheetml/2009/9/main" uri="{B025F937-C7B1-47D3-B67F-A62EFF666E3E}">
          <x14:id>{0CBD5BAC-C44E-42BE-BE08-1FE9E571378A}</x14:id>
        </ext>
      </extLst>
    </cfRule>
  </conditionalFormatting>
  <hyperlinks>
    <hyperlink ref="C3" location="'Control Panel'!E8" display="Live: case / tender scenario (set on the Control Panel) →" xr:uid="{D2DAF3AF-24CF-4BFB-92DC-0CD4F231785A}"/>
  </hyperlink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C08F96B5-4B1F-492A-BEDA-7E401F995F0F}">
            <x14:dataBar minLength="0" maxLength="100" gradient="0" negativeBarColorSameAsPositive="1" axisPosition="none">
              <x14:cfvo type="min"/>
              <x14:cfvo type="max"/>
            </x14:dataBar>
          </x14:cfRule>
          <xm:sqref>K249:K258</xm:sqref>
        </x14:conditionalFormatting>
        <x14:conditionalFormatting xmlns:xm="http://schemas.microsoft.com/office/excel/2006/main">
          <x14:cfRule type="dataBar" id="{0CBD5BAC-C44E-42BE-BE08-1FE9E571378A}">
            <x14:dataBar minLength="0" maxLength="100" gradient="0" negativeBarColorSameAsPositive="1" axisPosition="none">
              <x14:cfvo type="min"/>
              <x14:cfvo type="max"/>
            </x14:dataBar>
          </x14:cfRule>
          <xm:sqref>K288:K295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3D312-BE3C-4E24-93BB-4927035072D7}">
  <sheetPr codeName="Sheet11">
    <tabColor rgb="FF1F3864"/>
  </sheetPr>
  <dimension ref="A1:I70"/>
  <sheetViews>
    <sheetView showGridLines="0" workbookViewId="0">
      <pane ySplit="2" topLeftCell="A3" activePane="bottomLeft" state="frozen"/>
      <selection pane="bottomLeft" activeCell="G32" sqref="G32"/>
    </sheetView>
  </sheetViews>
  <sheetFormatPr defaultRowHeight="15" x14ac:dyDescent="0.25"/>
  <cols>
    <col min="1" max="1" width="2.28515625" customWidth="1"/>
    <col min="2" max="2" width="62.85546875" customWidth="1"/>
    <col min="3" max="3" width="13.28515625" customWidth="1"/>
    <col min="4" max="6" width="23.85546875" customWidth="1"/>
    <col min="7" max="8" width="23.85546875" customWidth="1"/>
    <col min="9" max="9" width="72.42578125" customWidth="1"/>
  </cols>
  <sheetData>
    <row r="1" ht="21" x14ac:dyDescent="0.35">
      <c r="A1" s="354"/>
      <c r="B1" s="355" t="str">
        <f>Inputs!G279&amp;" – "&amp;TEXT(Inputs!G281,"0")&amp;" MW net grid / "&amp;TEXT(Inputs!G297,"0")&amp;" MW gross onshore wind, grid node "&amp;Inputs!G280</f>
        <v>Bora – 200 MW net grid / 261 MW gross onshore wind, grid node Szombathely OVIT (SZHO B 132.00)</v>
      </c>
      <c r="C1" s="354"/>
      <c r="D1" s="354"/>
      <c r="E1" s="354"/>
      <c r="F1" s="354"/>
      <c r="G1" s="354"/>
      <c r="H1" s="354"/>
      <c r="I1" s="354"/>
    </row>
    <row r="2" x14ac:dyDescent="0.25">
      <c r="A2" s="354"/>
      <c r="B2" s="356" t="inlineStr">
        <is>
          <t xml:space="preserve">Project model view – sell at RTB, hold to maturity and sale at COD, each with European / Chinese turbine. Section A: live inputs; section B: all routes of the active tender scenario (live – Control Panel data table).</t>
        </is>
      </c>
      <c r="C2" s="354"/>
      <c r="D2" s="354"/>
      <c r="E2" s="354"/>
      <c r="F2" s="354"/>
      <c r="G2" s="354"/>
      <c r="H2" s="354"/>
      <c r="I2" s="354"/>
    </row>
    <row r="3" x14ac:dyDescent="0.25">
      <c r="A3" s="354"/>
      <c r="C3" s="354"/>
      <c r="D3" s="354"/>
      <c r="E3" s="354"/>
      <c r="F3" s="354"/>
      <c r="G3" s="354"/>
      <c r="H3" s="354"/>
      <c r="I3" s="354"/>
    </row>
    <row r="4" ht="21.95" customHeight="1" x14ac:dyDescent="0.25">
      <c r="A4" s="354"/>
      <c r="B4" s="357" t="s">
        <v>2040</v>
      </c>
      <c r="C4" s="357"/>
      <c r="D4" s="357"/>
      <c r="E4" s="357"/>
      <c r="F4" s="357"/>
      <c r="G4" s="357"/>
      <c r="H4" s="357"/>
      <c r="I4" s="357"/>
    </row>
    <row r="5" spans="1:7" ht="15.75" thickBot="1" x14ac:dyDescent="0.3">
      <c r="A5" s="354"/>
      <c r="B5" s="394" t="s">
        <v>5</v>
      </c>
      <c r="C5" s="395" t="s">
        <v>0</v>
      </c>
      <c r="D5" s="395" t="s">
        <v>2041</v>
      </c>
      <c r="E5" s="395"/>
      <c r="F5" s="395"/>
      <c r="G5" s="394" t="s">
        <v>2042</v>
      </c>
    </row>
    <row r="6" spans="1:7" x14ac:dyDescent="0.25">
      <c r="A6" s="354"/>
      <c r="B6" s="396" t="s">
        <v>2006</v>
      </c>
      <c r="C6" s="396" t="s">
        <v>9</v>
      </c>
      <c r="D6" s="406" t="str">
        <f>Inputs!G280</f>
        <v>Szombathely OVIT (SZHO B 132.00)</v>
      </c>
      <c r="E6" s="396"/>
      <c r="F6" s="396"/>
      <c r="G6" s="403" t="s">
        <v>2043</v>
      </c>
    </row>
    <row r="7" x14ac:dyDescent="0.25">
      <c r="A7" s="354"/>
      <c r="B7" s="360" t="s">
        <v>2514</v>
      </c>
      <c r="C7" s="360" t="s">
        <v>22</v>
      </c>
      <c r="D7" s="397">
        <f>Inputs!G281</f>
        <v>200</v>
      </c>
      <c r="E7" s="360"/>
      <c r="F7" s="360"/>
      <c r="G7" s="388" t="inlineStr">
        <is>
          <t xml:space="preserve">Annex 1 (1 MVA = 1 MW) – RTB premium (default basis, Inputs E149), grid fees, TSO bond; the success fee (DSA) is on the installed wind MW (row 18)</t>
        </is>
      </c>
    </row>
    <row r="8" spans="1:7" x14ac:dyDescent="0.25">
      <c r="A8" s="354"/>
      <c r="B8" s="360" t="s">
        <v>2044</v>
      </c>
      <c r="C8" s="360" t="s">
        <v>22</v>
      </c>
      <c r="D8" s="397">
        <f>Inputs!G282</f>
        <v>90</v>
      </c>
      <c r="E8" s="360"/>
      <c r="F8" s="360"/>
      <c r="G8" s="388" t="s">
        <v>2560</v>
      </c>
    </row>
    <row r="9" spans="1:7" x14ac:dyDescent="0.25">
      <c r="A9" s="354"/>
      <c r="B9" s="360" t="s">
        <v>502</v>
      </c>
      <c r="C9" s="360" t="s">
        <v>844</v>
      </c>
      <c r="D9" s="398">
        <f>Inputs!G283</f>
        <v>250</v>
      </c>
      <c r="E9" s="360"/>
      <c r="F9" s="360"/>
      <c r="G9" s="388"/>
    </row>
    <row r="10" spans="1:7" x14ac:dyDescent="0.25">
      <c r="A10" s="354"/>
      <c r="B10" s="360" t="s">
        <v>2045</v>
      </c>
      <c r="C10" s="360" t="s">
        <v>2</v>
      </c>
      <c r="D10" s="399">
        <f>IF(Inputs!G284=1,Inputs!G285,1)</f>
        <v>0.7</v>
      </c>
      <c r="E10" s="360"/>
      <c r="F10" s="360"/>
      <c r="G10" s="388" t="s">
        <v>2046</v>
      </c>
    </row>
    <row r="11" spans="1:7" x14ac:dyDescent="0.25">
      <c r="A11" s="354"/>
      <c r="B11" s="360" t="s">
        <v>2047</v>
      </c>
      <c r="C11" s="360" t="s">
        <v>7</v>
      </c>
      <c r="D11" s="400">
        <f>Inputs!G287</f>
        <v>2</v>
      </c>
      <c r="E11" s="360"/>
      <c r="F11" s="360"/>
      <c r="G11" s="388" t="s">
        <v>2048</v>
      </c>
    </row>
    <row r="12" spans="1:7" x14ac:dyDescent="0.25">
      <c r="A12" s="354"/>
      <c r="B12" s="360" t="s">
        <v>2025</v>
      </c>
      <c r="C12" s="360" t="s">
        <v>2020</v>
      </c>
      <c r="D12" s="397">
        <f>Inputs!G288</f>
        <v>73071306</v>
      </c>
      <c r="E12" s="360"/>
      <c r="F12" s="360"/>
      <c r="G12" s="388" t="s">
        <v>2049</v>
      </c>
    </row>
    <row r="13" spans="1:7" x14ac:dyDescent="0.25">
      <c r="A13" s="354"/>
      <c r="B13" s="360" t="s">
        <v>2050</v>
      </c>
      <c r="C13" s="360" t="s">
        <v>2051</v>
      </c>
      <c r="D13" s="397">
        <f>Inputs!G289</f>
        <v>508345804</v>
      </c>
      <c r="E13" s="360"/>
      <c r="F13" s="360"/>
      <c r="G13" s="388" t="s">
        <v>2052</v>
      </c>
    </row>
    <row r="14" spans="1:7" x14ac:dyDescent="0.25">
      <c r="A14" s="354"/>
      <c r="B14" s="360" t="s">
        <v>2053</v>
      </c>
      <c r="C14" s="360" t="s">
        <v>840</v>
      </c>
      <c r="D14" s="407" t="str">
        <f>FIXED(Inputs!G290,3)&amp;" / "&amp;FIXED(Inputs!G291,3)</f>
        <v>73.071 / 2.542</v>
      </c>
      <c r="E14" s="360"/>
      <c r="F14" s="360"/>
      <c r="G14" s="388"/>
    </row>
    <row r="15" spans="1:7" x14ac:dyDescent="0.25">
      <c r="A15" s="354"/>
      <c r="B15" s="360" t="s">
        <v>2054</v>
      </c>
      <c r="C15" s="360" t="s">
        <v>844</v>
      </c>
      <c r="D15" s="397">
        <f>Inputs!G292</f>
        <v>3137.845921749919</v>
      </c>
      <c r="E15" s="360"/>
      <c r="F15" s="360"/>
      <c r="G15" s="388" t="s">
        <v>2055</v>
      </c>
    </row>
    <row r="16" spans="1:7" x14ac:dyDescent="0.25">
      <c r="A16" s="354"/>
      <c r="B16" s="360" t="s">
        <v>2056</v>
      </c>
      <c r="C16" s="360" t="s">
        <v>4</v>
      </c>
      <c r="D16" s="401">
        <f>Inputs!G294</f>
        <v>1</v>
      </c>
      <c r="E16" s="360"/>
      <c r="F16" s="360"/>
      <c r="G16" s="388"/>
    </row>
    <row r="17" x14ac:dyDescent="0.25">
      <c r="A17" s="354"/>
      <c r="B17" s="361" t="s">
        <v>596</v>
      </c>
      <c r="C17" s="361" t="s">
        <v>845</v>
      </c>
      <c r="D17" s="402">
        <f>Inputs!$E$141</f>
        <v>150</v>
      </c>
      <c r="E17" s="361"/>
      <c r="F17" s="361"/>
      <c r="G17" s="387" t="inlineStr">
        <is>
          <t xml:space="preserve">RtB premium (Control Panel section c)</t>
        </is>
      </c>
    </row>
    <row r="18" spans="1:7" x14ac:dyDescent="0.25">
      <c r="A18" s="354"/>
      <c r="B18" s="361" t="s">
        <v>2512</v>
      </c>
      <c r="C18" s="361" t="s">
        <v>22</v>
      </c>
      <c r="D18" s="402">
        <f>Inputs!G297</f>
        <v>261</v>
      </c>
      <c r="E18" s="361"/>
      <c r="F18" s="361"/>
      <c r="G18" s="387" t="s">
        <v>2601</v>
      </c>
    </row>
    <row r="19" ht="21.95" customHeight="1" x14ac:dyDescent="0.25">
      <c r="A19" s="354"/>
      <c r="B19" s="357" t="inlineStr">
        <is>
          <t xml:space="preserve">B. Returns – all routes of the active tender scenario (live, Control Panel data table): Sell at RTB | Hold-to-maturity European | Hold-to-maturity Chinese | Sale at COD European | Sale at COD Chinese</t>
        </is>
      </c>
      <c r="C19" s="357"/>
      <c r="D19" s="357"/>
      <c r="E19" s="357"/>
      <c r="F19" s="357"/>
      <c r="G19" s="357"/>
      <c r="H19" s="357"/>
      <c r="I19" s="357"/>
    </row>
    <row r="20" ht="15.75" thickBot="1" x14ac:dyDescent="0.3">
      <c r="A20" s="354"/>
      <c r="B20" s="389" t="s">
        <v>1896</v>
      </c>
      <c r="C20" s="390" t="s">
        <v>0</v>
      </c>
      <c r="D20" s="391" t="s">
        <v>1095</v>
      </c>
      <c r="E20" s="392" t="s">
        <v>2059</v>
      </c>
      <c r="F20" s="393" t="s">
        <v>2060</v>
      </c>
      <c r="G20" s="391" t="inlineStr">
        <is>
          <t xml:space="preserve">Sale at COD – European</t>
        </is>
      </c>
      <c r="H20" s="391" t="inlineStr">
        <is>
          <t xml:space="preserve">Sale at COD – Chinese</t>
        </is>
      </c>
      <c r="I20" s="389" t="inlineStr">
        <is>
          <t xml:space="preserve">Note</t>
        </is>
      </c>
    </row>
    <row r="21" x14ac:dyDescent="0.25">
      <c r="A21" s="354"/>
      <c r="B21" s="358" t="s">
        <v>2061</v>
      </c>
      <c r="C21" s="381"/>
      <c r="D21" s="364"/>
      <c r="E21" s="364"/>
      <c r="F21" s="364"/>
      <c r="G21" s="364" t="inlineStr">
        <is>
          <t xml:space="preserve"/>
        </is>
      </c>
      <c r="H21" s="364" t="inlineStr">
        <is>
          <t xml:space="preserve"/>
        </is>
      </c>
      <c r="I21" s="386"/>
    </row>
    <row r="22" x14ac:dyDescent="0.25">
      <c r="A22" s="354"/>
      <c r="B22" s="354" t="s">
        <v>1586</v>
      </c>
      <c r="C22" s="382" t="s">
        <v>844</v>
      </c>
      <c r="D22" s="365">
        <f>INDEX('Control Panel'!$G$306:$G$330,Tender!$E$5*5+1)</f>
        <v>15526.316248499032</v>
      </c>
      <c r="E22" s="365">
        <f>INDEX('Control Panel'!$G$306:$G$330,Tender!$E$5*5+4)</f>
        <v>1254061.2598283014</v>
      </c>
      <c r="F22" s="365">
        <f>INDEX('Control Panel'!$G$306:$G$330,Tender!$E$5*5+5)</f>
        <v>1431276.8886161195</v>
      </c>
      <c r="G22" s="365">
        <f>INDEX('Control Panel'!$G$306:$G$330,Tender!$E$5*5+2)</f>
        <v>103211.97771165345</v>
      </c>
      <c r="H22" s="365">
        <f>INDEX('Control Panel'!$G$306:$G$330,Tender!$E$5*5+3)</f>
        <v>135331.93875046997</v>
      </c>
      <c r="I22" s="356" t="inlineStr">
        <is>
          <t xml:space="preserve">RTB: MOIC basis (G172 / G182) – after deal costs and guarantee fees, before cost of capital</t>
        </is>
      </c>
    </row>
    <row r="23" x14ac:dyDescent="0.25">
      <c r="A23" s="354"/>
      <c r="B23" s="361" t="s">
        <v>725</v>
      </c>
      <c r="C23" s="383" t="s">
        <v>844</v>
      </c>
      <c r="D23" s="366">
        <f>INDEX('Control Panel'!$H$306:$H$330,Tender!$E$5*5+1)</f>
        <v>15173.724494515496</v>
      </c>
      <c r="E23" s="366">
        <f>INDEX('Control Panel'!$H$306:$H$330,Tender!$E$5*5+4)</f>
        <v>1137959.1645636046</v>
      </c>
      <c r="F23" s="366">
        <f>INDEX('Control Panel'!$H$306:$H$330,Tender!$E$5*5+5)</f>
        <v>1299225.3867605191</v>
      </c>
      <c r="G23" s="366">
        <f>INDEX('Control Panel'!$H$306:$H$330,Tender!$E$5*5+2)</f>
        <v>103211.97771165345</v>
      </c>
      <c r="H23" s="366">
        <f>INDEX('Control Panel'!$H$306:$H$330,Tender!$E$5*5+3)</f>
        <v>135331.93875046997</v>
      </c>
      <c r="I23" s="387"/>
    </row>
    <row r="24" x14ac:dyDescent="0.25">
      <c r="A24" s="354"/>
      <c r="B24" s="363" t="s">
        <v>2062</v>
      </c>
      <c r="C24" s="384" t="s">
        <v>2</v>
      </c>
      <c r="D24" s="367">
        <f>INDEX('Control Panel'!$I$306:$I$330,Tender!$E$5*5+1)</f>
        <v>0.20894449022377323</v>
      </c>
      <c r="E24" s="367">
        <f>INDEX('Control Panel'!$I$306:$I$330,Tender!$E$5*5+4)</f>
        <v>0.09991355961167205</v>
      </c>
      <c r="F24" s="367">
        <f>INDEX('Control Panel'!$I$306:$I$330,Tender!$E$5*5+5)</f>
        <v>0.13111232656651206</v>
      </c>
      <c r="G24" s="367">
        <f>INDEX('Control Panel'!$I$306:$I$330,Tender!$E$5*5+2)</f>
        <v>0.3136423750460425</v>
      </c>
      <c r="H24" s="367">
        <f>INDEX('Control Panel'!$I$306:$I$330,Tender!$E$5*5+3)</f>
        <v>0.42123413226421264</v>
      </c>
      <c r="I24" s="387" t="inlineStr">
        <is>
          <t xml:space="preserve">RTB: all cash</t>
        </is>
      </c>
    </row>
    <row r="25" x14ac:dyDescent="0.25">
      <c r="A25" s="354"/>
      <c r="B25" s="363" t="s">
        <v>2064</v>
      </c>
      <c r="C25" s="384" t="s">
        <v>844</v>
      </c>
      <c r="D25" s="368">
        <f>INDEX('Control Panel'!$J$306:$J$330,Tender!$E$5*5+1)</f>
        <v>7253.356399284837</v>
      </c>
      <c r="E25" s="368">
        <f>INDEX('Control Panel'!$J$306:$J$330,Tender!$E$5*5+4)</f>
        <v>62081.30688179275</v>
      </c>
      <c r="F25" s="368">
        <f>INDEX('Control Panel'!$J$306:$J$330,Tender!$E$5*5+5)</f>
        <v>139279.28641793394</v>
      </c>
      <c r="G25" s="368">
        <f>INDEX('Control Panel'!$J$306:$J$330,Tender!$E$5*5+2)</f>
        <v>57524.98944635041</v>
      </c>
      <c r="H25" s="368">
        <f>INDEX('Control Panel'!$J$306:$J$330,Tender!$E$5*5+3)</f>
        <v>80447.16875917108</v>
      </c>
      <c r="I25" s="387"/>
    </row>
    <row r="26" x14ac:dyDescent="0.25">
      <c r="A26" s="354"/>
      <c r="B26" s="361" t="s">
        <v>1360</v>
      </c>
      <c r="C26" s="383" t="s">
        <v>4</v>
      </c>
      <c r="D26" s="442">
        <f>INDEX('Control Panel'!$K$306:$K$330,Tender!$E$5*5+1)</f>
        <v>0.1778756777274503</v>
      </c>
      <c r="E26" s="442">
        <f>INDEX('Control Panel'!$K$306:$K$330,Tender!$E$5*5+4)</f>
        <v>0.37667364703425993</v>
      </c>
      <c r="F26" s="442">
        <f>INDEX('Control Panel'!$K$306:$K$330,Tender!$E$5*5+5)</f>
        <v>0.9734737576265634</v>
      </c>
      <c r="G26" s="442">
        <f>INDEX('Control Panel'!$K$306:$K$330,Tender!$E$5*5+2)</f>
        <v>0.4009341039728688</v>
      </c>
      <c r="H26" s="442">
        <f>INDEX('Control Panel'!$K$306:$K$330,Tender!$E$5*5+3)</f>
        <v>0.6310593038875987</v>
      </c>
      <c r="I26" s="387"/>
    </row>
    <row r="27" x14ac:dyDescent="0.25">
      <c r="A27" s="354"/>
      <c r="B27" s="363" t="s">
        <v>1050</v>
      </c>
      <c r="C27" s="384" t="s">
        <v>4</v>
      </c>
      <c r="D27" s="370">
        <f>INDEX('Control Panel'!$L$306:$L$330,Tender!$E$5*5+1)</f>
        <v>1.312105461761588</v>
      </c>
      <c r="E27" s="370">
        <f>INDEX('Control Panel'!$L$306:$L$330,Tender!$E$5*5+4)</f>
        <v>6.1332910065156945</v>
      </c>
      <c r="F27" s="370">
        <f>INDEX('Control Panel'!$L$306:$L$330,Tender!$E$5*5+5)</f>
        <v>7.791590090989202</v>
      </c>
      <c r="G27" s="370">
        <f>INDEX('Control Panel'!$L$306:$L$330,Tender!$E$5*5+2)</f>
        <v>1.5372084392976306</v>
      </c>
      <c r="H27" s="370">
        <f>INDEX('Control Panel'!$L$306:$L$330,Tender!$E$5*5+3)</f>
        <v>1.795225153614678</v>
      </c>
      <c r="I27" s="387" t="inlineStr">
        <is>
          <t xml:space="preserve">RTB: all cash</t>
        </is>
      </c>
    </row>
    <row r="28" x14ac:dyDescent="0.25">
      <c r="A28" s="354"/>
      <c r="B28" s="361" t="s">
        <v>1049</v>
      </c>
      <c r="C28" s="383" t="s">
        <v>844</v>
      </c>
      <c r="D28" s="371">
        <f>INDEX('Control Panel'!$M$306:$M$330,Tender!$E$5*5+1)</f>
        <v>48525.87791901024</v>
      </c>
      <c r="E28" s="371">
        <f>INDEX('Control Panel'!$M$306:$M$330,Tender!$E$5*5+4)</f>
        <v>221682.18461006615</v>
      </c>
      <c r="F28" s="371">
        <f>INDEX('Control Panel'!$M$306:$M$330,Tender!$E$5*5+5)</f>
        <v>191299.14634928823</v>
      </c>
      <c r="G28" s="371">
        <f>INDEX('Control Panel'!$M$306:$M$330,Tender!$E$5*5+2)</f>
        <v>192126.5009287591</v>
      </c>
      <c r="H28" s="371">
        <f>INDEX('Control Panel'!$M$306:$M$330,Tender!$E$5*5+3)</f>
        <v>170180.65655408622</v>
      </c>
      <c r="I28" s="387"/>
    </row>
    <row r="29" x14ac:dyDescent="0.25">
      <c r="A29" s="354"/>
      <c r="B29" s="361" t="s">
        <v>1099</v>
      </c>
      <c r="C29" s="383" t="s">
        <v>844</v>
      </c>
      <c r="D29" s="366">
        <f>INDEX('Control Panel'!$N$306:$N$330,Tender!$E$5*5+1)</f>
        <v>9943.103878067472</v>
      </c>
      <c r="E29" s="366">
        <f>INDEX('Control Panel'!$N$306:$N$330,Tender!$E$5*5+4)</f>
        <v>47524.011316379896</v>
      </c>
      <c r="F29" s="366">
        <f>INDEX('Control Panel'!$N$306:$N$330,Tender!$E$5*5+5)</f>
        <v>133488.72762627382</v>
      </c>
      <c r="G29" s="366">
        <f>INDEX('Control Panel'!$N$306:$N$330,Tender!$E$5*5+2)</f>
        <v>57524.98944635041</v>
      </c>
      <c r="H29" s="366">
        <f>INDEX('Control Panel'!$N$306:$N$330,Tender!$E$5*5+3)</f>
        <v>80447.16875917108</v>
      </c>
      <c r="I29" s="387"/>
    </row>
    <row r="30" x14ac:dyDescent="0.25">
      <c r="A30" s="354"/>
      <c r="B30" s="360" t="s">
        <v>770</v>
      </c>
      <c r="C30" s="385" t="s">
        <v>57</v>
      </c>
      <c r="D30" s="372" t="str">
        <f>INDEX('Control Panel'!$O$306:$O$330,Tender!$E$5*5+1)</f>
        <v>ALL OK</v>
      </c>
      <c r="E30" s="372" t="str">
        <f>INDEX('Control Panel'!$O$306:$O$330,Tender!$E$5*5+4)</f>
        <v>ALL OK</v>
      </c>
      <c r="F30" s="372" t="str">
        <f>INDEX('Control Panel'!$O$306:$O$330,Tender!$E$5*5+5)</f>
        <v>ALL OK</v>
      </c>
      <c r="G30" s="372" t="str">
        <f>INDEX('Control Panel'!$O$306:$O$330,Tender!$E$5*5+2)</f>
        <v>ALL OK / OK</v>
      </c>
      <c r="H30" s="372" t="str">
        <f>INDEX('Control Panel'!$O$306:$O$330,Tender!$E$5*5+3)</f>
        <v>ALL OK / OK</v>
      </c>
      <c r="I30" s="388"/>
    </row>
    <row r="31" x14ac:dyDescent="0.25">
      <c r="A31" s="354"/>
      <c r="B31" s="358" t="s">
        <v>2065</v>
      </c>
      <c r="C31" s="381"/>
      <c r="D31" s="364" t="inlineStr">
        <is>
          <t xml:space="preserve"/>
        </is>
      </c>
      <c r="E31" s="364" t="inlineStr">
        <is>
          <t xml:space="preserve"/>
        </is>
      </c>
      <c r="F31" s="364" t="inlineStr">
        <is>
          <t xml:space="preserve"/>
        </is>
      </c>
      <c r="G31" s="364" t="inlineStr">
        <is>
          <t xml:space="preserve"/>
        </is>
      </c>
      <c r="H31" s="364" t="inlineStr">
        <is>
          <t xml:space="preserve"/>
        </is>
      </c>
      <c r="I31" s="386"/>
    </row>
    <row r="32" x14ac:dyDescent="0.25">
      <c r="A32" s="354"/>
      <c r="B32" s="354" t="s">
        <v>2066</v>
      </c>
      <c r="C32" s="382" t="s">
        <v>15</v>
      </c>
      <c r="D32" s="373" t="str">
        <f>INDEX('Control Panel'!$P$306:$P$330,Tender!$E$5*5+1)</f>
        <v>Jun-29 → Mar-30</v>
      </c>
      <c r="E32" s="373" t="str">
        <f>INDEX('Control Panel'!$P$306:$P$330,Tender!$E$5*5+4)</f>
        <v>–</v>
      </c>
      <c r="F32" s="373" t="str">
        <f>INDEX('Control Panel'!$P$306:$P$330,Tender!$E$5*5+5)</f>
        <v>–</v>
      </c>
      <c r="G32" s="373" t="str">
        <f>INDEX('Control Panel'!$P$306:$P$330,Tender!$E$5*5+2)</f>
        <v>COD Sep-31 → sale at COD</v>
      </c>
      <c r="H32" s="373" t="str">
        <f>INDEX('Control Panel'!$P$306:$P$330,Tender!$E$5*5+3)</f>
        <v>COD Sep-31 → sale at COD</v>
      </c>
      <c r="I32" s="356"/>
    </row>
    <row r="33" x14ac:dyDescent="0.25">
      <c r="A33" s="354"/>
      <c r="B33" s="361" t="s">
        <v>2068</v>
      </c>
      <c r="C33" s="383" t="s">
        <v>844</v>
      </c>
      <c r="D33" s="371">
        <f>INDEX('Control Panel'!$Q$306:$Q$330,Tender!$E$5*5+1)</f>
        <v>64143.61505792019</v>
      </c>
      <c r="E33" s="371" t="str">
        <f>INDEX('Control Panel'!$Q$306:$Q$330,Tender!$E$5*5+4)</f>
        <v>–</v>
      </c>
      <c r="F33" s="371" t="str">
        <f>INDEX('Control Panel'!$Q$306:$Q$330,Tender!$E$5*5+5)</f>
        <v>–</v>
      </c>
      <c r="G33" s="371">
        <f>INDEX('Control Panel'!$Q$306:$Q$330,Tender!$E$5*5+2)</f>
        <v>609707.581875</v>
      </c>
      <c r="H33" s="371">
        <f>INDEX('Control Panel'!$Q$306:$Q$330,Tender!$E$5*5+3)</f>
        <v>522606.49875</v>
      </c>
      <c r="I33" s="387"/>
    </row>
    <row r="34" x14ac:dyDescent="0.25">
      <c r="A34" s="354"/>
      <c r="B34" s="361" t="s">
        <v>2069</v>
      </c>
      <c r="C34" s="383" t="s">
        <v>844</v>
      </c>
      <c r="D34" s="366">
        <f>INDEX('Control Panel'!$R$306:$R$330,Tender!$E$5*5+1)</f>
        <v>10273.223462631777</v>
      </c>
      <c r="E34" s="366" t="str">
        <f>INDEX('Control Panel'!$R$306:$R$330,Tender!$E$5*5+4)</f>
        <v>–</v>
      </c>
      <c r="F34" s="366" t="str">
        <f>INDEX('Control Panel'!$R$306:$R$330,Tender!$E$5*5+5)</f>
        <v>–</v>
      </c>
      <c r="G34" s="366">
        <f>INDEX('Control Panel'!$R$306:$R$330,Tender!$E$5*5+2)</f>
        <v>272537.8175196197</v>
      </c>
      <c r="H34" s="366">
        <f>INDEX('Control Panel'!$R$306:$R$330,Tender!$E$5*5+3)</f>
        <v>161496.92014241178</v>
      </c>
      <c r="I34" s="387"/>
    </row>
    <row r="35" x14ac:dyDescent="0.25">
      <c r="A35" s="354"/>
      <c r="B35" s="361" t="s">
        <v>2070</v>
      </c>
      <c r="C35" s="383" t="s">
        <v>844</v>
      </c>
      <c r="D35" s="366">
        <f>INDEX('Control Panel'!$S$306:$S$330,Tender!$E$5*5+1)</f>
        <v>9920.631708648241</v>
      </c>
      <c r="E35" s="366" t="str">
        <f>INDEX('Control Panel'!$S$306:$S$330,Tender!$E$5*5+4)</f>
        <v>–</v>
      </c>
      <c r="F35" s="366" t="str">
        <f>INDEX('Control Panel'!$S$306:$S$330,Tender!$E$5*5+5)</f>
        <v>–</v>
      </c>
      <c r="G35" s="366">
        <f>INDEX('Control Panel'!$S$306:$S$330,Tender!$E$5*5+2)</f>
        <v>336669.7643553803</v>
      </c>
      <c r="H35" s="366">
        <f>INDEX('Control Panel'!$S$306:$S$330,Tender!$E$5*5+3)</f>
        <v>360609.57860758825</v>
      </c>
      <c r="I35" s="387"/>
    </row>
    <row r="36" x14ac:dyDescent="0.25">
      <c r="A36" s="354"/>
      <c r="B36" s="361" t="inlineStr">
        <is>
          <t xml:space="preserve">Gearing (senior debt / total capex)</t>
        </is>
      </c>
      <c r="C36" s="383" t="inlineStr">
        <is>
          <t xml:space="preserve">%</t>
        </is>
      </c>
      <c r="D36" s="369" t="str">
        <f>INDEX('Control Panel'!$T$306:$T$330,Tender!$E$5*5+1)</f>
        <v>–</v>
      </c>
      <c r="E36" s="369" t="str">
        <f>INDEX('Control Panel'!$T$306:$T$330,Tender!$E$5*5+4)</f>
        <v>–</v>
      </c>
      <c r="F36" s="369" t="str">
        <f>INDEX('Control Panel'!$T$306:$T$330,Tender!$E$5*5+5)</f>
        <v>–</v>
      </c>
      <c r="G36" s="369">
        <f>INDEX('Control Panel'!$T$306:$T$330,Tender!$E$5*5+2)</f>
        <v>0.6</v>
      </c>
      <c r="H36" s="369">
        <f>INDEX('Control Panel'!$T$306:$T$330,Tender!$E$5*5+3)</f>
        <v>0.5</v>
      </c>
      <c r="I36" s="387"/>
    </row>
    <row r="37" x14ac:dyDescent="0.25">
      <c r="A37" s="354"/>
      <c r="B37" s="361" t="inlineStr">
        <is>
          <t xml:space="preserve">Sale at COD price per installed MW (after clipping)</t>
        </is>
      </c>
      <c r="C37" s="383" t="inlineStr">
        <is>
          <t xml:space="preserve">k€/MW</t>
        </is>
      </c>
      <c r="D37" s="374" t="str">
        <f>INDEX('Control Panel'!$U$306:$U$330,Tender!$E$5*5+1)</f>
        <v>–</v>
      </c>
      <c r="E37" s="374" t="str">
        <f>INDEX('Control Panel'!$U$306:$U$330,Tender!$E$5*5+4)</f>
        <v>–</v>
      </c>
      <c r="F37" s="374" t="str">
        <f>INDEX('Control Panel'!$U$306:$U$330,Tender!$E$5*5+5)</f>
        <v>–</v>
      </c>
      <c r="G37" s="374">
        <f>INDEX('Control Panel'!$U$306:$U$330,Tender!$E$5*5+2)</f>
        <v>2336.044375</v>
      </c>
      <c r="H37" s="374">
        <f>INDEX('Control Panel'!$U$306:$U$330,Tender!$E$5*5+3)</f>
        <v>2002.32375</v>
      </c>
      <c r="I37" s="387"/>
    </row>
    <row r="38" x14ac:dyDescent="0.25">
      <c r="A38" s="354"/>
      <c r="B38" s="361" t="s">
        <v>2071</v>
      </c>
      <c r="C38" s="383" t="s">
        <v>726</v>
      </c>
      <c r="D38" s="375" t="str">
        <f>INDEX('Control Panel'!$V$306:$V$330,Tender!$E$5*5+1)</f>
        <v>14,614 / 508</v>
      </c>
      <c r="E38" s="375" t="str">
        <f>INDEX('Control Panel'!$V$306:$V$330,Tender!$E$5*5+4)</f>
        <v>–</v>
      </c>
      <c r="F38" s="375" t="str">
        <f>INDEX('Control Panel'!$V$306:$V$330,Tender!$E$5*5+5)</f>
        <v>–</v>
      </c>
      <c r="G38" s="375" t="str">
        <f>INDEX('Control Panel'!$V$306:$V$330,Tender!$E$5*5+2)</f>
        <v>14,614 / 508</v>
      </c>
      <c r="H38" s="375" t="str">
        <f>INDEX('Control Panel'!$V$306:$V$330,Tender!$E$5*5+3)</f>
        <v>14,614 / 508</v>
      </c>
      <c r="I38" s="387"/>
    </row>
    <row r="39" x14ac:dyDescent="0.25">
      <c r="A39" s="354"/>
      <c r="B39" s="361" t="s">
        <v>2073</v>
      </c>
      <c r="C39" s="383" t="s">
        <v>726</v>
      </c>
      <c r="D39" s="371">
        <f>INDEX('Control Panel'!$W$306:$W$330,Tender!$E$5*5+1)</f>
        <v>23592.162004</v>
      </c>
      <c r="E39" s="371" t="str">
        <f>INDEX('Control Panel'!$W$306:$W$330,Tender!$E$5*5+4)</f>
        <v>–</v>
      </c>
      <c r="F39" s="371" t="str">
        <f>INDEX('Control Panel'!$W$306:$W$330,Tender!$E$5*5+5)</f>
        <v>–</v>
      </c>
      <c r="G39" s="371">
        <f>INDEX('Control Panel'!$W$306:$W$330,Tender!$E$5*5+2)</f>
        <v>23592.162004</v>
      </c>
      <c r="H39" s="371">
        <f>INDEX('Control Panel'!$W$306:$W$330,Tender!$E$5*5+3)</f>
        <v>23592.162004</v>
      </c>
      <c r="I39" s="387"/>
    </row>
    <row r="40" x14ac:dyDescent="0.25">
      <c r="A40" s="354"/>
      <c r="B40" s="360" t="s">
        <v>2074</v>
      </c>
      <c r="C40" s="385" t="s">
        <v>844</v>
      </c>
      <c r="D40" s="376">
        <f>INDEX('Control Panel'!$X$306:$X$330,Tender!$E$5*5+1)</f>
        <v>3137.845921749919</v>
      </c>
      <c r="E40" s="376" t="str">
        <f>INDEX('Control Panel'!$X$306:$X$330,Tender!$E$5*5+4)</f>
        <v>–</v>
      </c>
      <c r="F40" s="376" t="str">
        <f>INDEX('Control Panel'!$X$306:$X$330,Tender!$E$5*5+5)</f>
        <v>–</v>
      </c>
      <c r="G40" s="376">
        <f>INDEX('Control Panel'!$X$306:$X$330,Tender!$E$5*5+2)</f>
        <v>3137.845921749919</v>
      </c>
      <c r="H40" s="376">
        <f>INDEX('Control Panel'!$X$306:$X$330,Tender!$E$5*5+3)</f>
        <v>3137.845921749919</v>
      </c>
      <c r="I40" s="388"/>
    </row>
    <row r="41" x14ac:dyDescent="0.25">
      <c r="A41" s="354"/>
      <c r="B41" s="358" t="s">
        <v>2075</v>
      </c>
      <c r="C41" s="381"/>
      <c r="D41" s="364" t="inlineStr">
        <is>
          <t xml:space="preserve"/>
        </is>
      </c>
      <c r="E41" s="364" t="inlineStr">
        <is>
          <t xml:space="preserve"/>
        </is>
      </c>
      <c r="F41" s="364" t="inlineStr">
        <is>
          <t xml:space="preserve"/>
        </is>
      </c>
      <c r="G41" s="364" t="inlineStr">
        <is>
          <t xml:space="preserve"/>
        </is>
      </c>
      <c r="H41" s="364" t="inlineStr">
        <is>
          <t xml:space="preserve"/>
        </is>
      </c>
      <c r="I41" s="386"/>
    </row>
    <row r="42" x14ac:dyDescent="0.25">
      <c r="A42" s="354"/>
      <c r="B42" s="354" t="s">
        <v>1932</v>
      </c>
      <c r="C42" s="382" t="s">
        <v>845</v>
      </c>
      <c r="D42" s="377" t="str">
        <f>INDEX('Control Panel'!$Y$306:$Y$330,Tender!$E$5*5+1)</f>
        <v>–</v>
      </c>
      <c r="E42" s="377">
        <f>INDEX('Control Panel'!$Y$306:$Y$330,Tender!$E$5*5+4)</f>
        <v>2156.006482931507</v>
      </c>
      <c r="F42" s="377">
        <f>INDEX('Control Panel'!$Y$306:$Y$330,Tender!$E$5*5+5)</f>
        <v>1533.0939829315068</v>
      </c>
      <c r="G42" s="377">
        <f>INDEX('Control Panel'!$Y$306:$Y$330,Tender!$E$5*5+2)</f>
        <v>2156.006482931507</v>
      </c>
      <c r="H42" s="377">
        <f>INDEX('Control Panel'!$Y$306:$Y$330,Tender!$E$5*5+3)</f>
        <v>1533.0939829315068</v>
      </c>
      <c r="I42" s="356"/>
    </row>
    <row r="43" x14ac:dyDescent="0.25">
      <c r="A43" s="354"/>
      <c r="B43" s="361" t="s">
        <v>950</v>
      </c>
      <c r="C43" s="383" t="s">
        <v>844</v>
      </c>
      <c r="D43" s="371" t="str">
        <f>INDEX('Control Panel'!$Z$306:$Z$330,Tender!$E$5*5+1)</f>
        <v>–</v>
      </c>
      <c r="E43" s="371">
        <f>INDEX('Control Panel'!$Z$306:$Z$330,Tender!$E$5*5+4)</f>
        <v>431201.29658630135</v>
      </c>
      <c r="F43" s="371">
        <f>INDEX('Control Panel'!$Z$306:$Z$330,Tender!$E$5*5+5)</f>
        <v>306618.79658630135</v>
      </c>
      <c r="G43" s="371">
        <f>INDEX('Control Panel'!$Z$306:$Z$330,Tender!$E$5*5+2)</f>
        <v>431201.29658630135</v>
      </c>
      <c r="H43" s="371">
        <f>INDEX('Control Panel'!$Z$306:$Z$330,Tender!$E$5*5+3)</f>
        <v>306618.79658630135</v>
      </c>
      <c r="I43" s="387"/>
    </row>
    <row r="44" x14ac:dyDescent="0.25">
      <c r="A44" s="354"/>
      <c r="B44" s="361" t="s">
        <v>2076</v>
      </c>
      <c r="C44" s="383" t="s">
        <v>844</v>
      </c>
      <c r="D44" s="366" t="str">
        <f>INDEX('Control Panel'!$AA$306:$AA$330,Tender!$E$5*5+1)</f>
        <v>–</v>
      </c>
      <c r="E44" s="366">
        <f>INDEX('Control Panel'!$AA$306:$AA$330,Tender!$E$5*5+4)</f>
        <v>272537.81751961965</v>
      </c>
      <c r="F44" s="366">
        <f>INDEX('Control Panel'!$AA$306:$AA$330,Tender!$E$5*5+5)</f>
        <v>161496.92014241178</v>
      </c>
      <c r="G44" s="366">
        <f>INDEX('Control Panel'!$AA$306:$AA$330,Tender!$E$5*5+2)</f>
        <v>272537.8175196197</v>
      </c>
      <c r="H44" s="366">
        <f>INDEX('Control Panel'!$AA$306:$AA$330,Tender!$E$5*5+3)</f>
        <v>161496.92014241178</v>
      </c>
      <c r="I44" s="387" t="inlineStr">
        <is>
          <t xml:space="preserve">RtB: no debt. HTM and sale at COD: EU 60% / CN 50% gearing (Control Panel section c)</t>
        </is>
      </c>
    </row>
    <row r="45" x14ac:dyDescent="0.25">
      <c r="A45" s="354"/>
      <c r="B45" s="361" t="s">
        <v>1024</v>
      </c>
      <c r="C45" s="383" t="s">
        <v>956</v>
      </c>
      <c r="D45" s="371" t="str">
        <f>INDEX('Control Panel'!$AB$306:$AB$330,Tender!$E$5*5+1)</f>
        <v>–</v>
      </c>
      <c r="E45" s="371">
        <f>INDEX('Control Panel'!$AB$306:$AB$330,Tender!$E$5*5+4)</f>
        <v>17249.630704920553</v>
      </c>
      <c r="F45" s="371">
        <f>INDEX('Control Panel'!$AB$306:$AB$330,Tender!$E$5*5+5)</f>
        <v>17249.630704920553</v>
      </c>
      <c r="G45" s="371" t="str">
        <f>INDEX('Control Panel'!$AB$306:$AB$330,Tender!$E$5*5+2)</f>
        <v>–</v>
      </c>
      <c r="H45" s="371" t="str">
        <f>INDEX('Control Panel'!$AB$306:$AB$330,Tender!$E$5*5+3)</f>
        <v>–</v>
      </c>
      <c r="I45" s="387"/>
    </row>
    <row r="46" x14ac:dyDescent="0.25">
      <c r="A46" s="354"/>
      <c r="B46" s="361" t="s">
        <v>1898</v>
      </c>
      <c r="C46" s="383" t="s">
        <v>1106</v>
      </c>
      <c r="D46" s="378" t="str">
        <f>INDEX('Control Panel'!$AC$306:$AC$330,Tender!$E$5*5+1)</f>
        <v>–</v>
      </c>
      <c r="E46" s="378">
        <f>INDEX('Control Panel'!$AC$306:$AC$330,Tender!$E$5*5+4)</f>
        <v>136.72360120243573</v>
      </c>
      <c r="F46" s="378">
        <f>INDEX('Control Panel'!$AC$306:$AC$330,Tender!$E$5*5+5)</f>
        <v>136.72360120243573</v>
      </c>
      <c r="G46" s="378" t="str">
        <f>INDEX('Control Panel'!$AC$306:$AC$330,Tender!$E$5*5+2)</f>
        <v>–</v>
      </c>
      <c r="H46" s="378" t="str">
        <f>INDEX('Control Panel'!$AC$306:$AC$330,Tender!$E$5*5+3)</f>
        <v>–</v>
      </c>
      <c r="I46" s="387" t="inlineStr">
        <is>
          <t xml:space="preserve">HTM: 90 €/MWh PPA 10 yrs then Aurora Central – European and Chinese (08-Oct-26)</t>
        </is>
      </c>
    </row>
    <row r="47" x14ac:dyDescent="0.25">
      <c r="A47" s="354"/>
      <c r="B47" s="361" t="s">
        <v>1025</v>
      </c>
      <c r="C47" s="383" t="s">
        <v>844</v>
      </c>
      <c r="D47" s="371" t="str">
        <f>INDEX('Control Panel'!$AD$306:$AD$330,Tender!$E$5*5+1)</f>
        <v>–</v>
      </c>
      <c r="E47" s="371">
        <f>INDEX('Control Panel'!$AD$306:$AD$330,Tender!$E$5*5+4)</f>
        <v>2358431.629388848</v>
      </c>
      <c r="F47" s="371">
        <f>INDEX('Control Panel'!$AD$306:$AD$330,Tender!$E$5*5+5)</f>
        <v>2358431.629388848</v>
      </c>
      <c r="G47" s="371" t="str">
        <f>INDEX('Control Panel'!$AD$306:$AD$330,Tender!$E$5*5+2)</f>
        <v>–</v>
      </c>
      <c r="H47" s="371" t="str">
        <f>INDEX('Control Panel'!$AD$306:$AD$330,Tender!$E$5*5+3)</f>
        <v>–</v>
      </c>
      <c r="I47" s="387"/>
    </row>
    <row r="48" x14ac:dyDescent="0.25">
      <c r="A48" s="354"/>
      <c r="B48" s="361" t="s">
        <v>2079</v>
      </c>
      <c r="C48" s="383" t="s">
        <v>1106</v>
      </c>
      <c r="D48" s="378" t="str">
        <f>INDEX('Control Panel'!$AE$306:$AE$330,Tender!$E$5*5+1)</f>
        <v>–</v>
      </c>
      <c r="E48" s="378">
        <f>INDEX('Control Panel'!$AE$306:$AE$330,Tender!$E$5*5+4)</f>
        <v>101.81218403143477</v>
      </c>
      <c r="F48" s="378">
        <f>INDEX('Control Panel'!$AE$306:$AE$330,Tender!$E$5*5+5)</f>
        <v>82.1083205081397</v>
      </c>
      <c r="G48" s="378" t="str">
        <f>INDEX('Control Panel'!$AE$306:$AE$330,Tender!$E$5*5+2)</f>
        <v>–</v>
      </c>
      <c r="H48" s="378" t="str">
        <f>INDEX('Control Panel'!$AE$306:$AE$330,Tender!$E$5*5+3)</f>
        <v>–</v>
      </c>
      <c r="I48" s="387"/>
    </row>
    <row r="49" x14ac:dyDescent="0.25">
      <c r="A49" s="354"/>
      <c r="B49" s="361" t="s">
        <v>1013</v>
      </c>
      <c r="C49" s="383" t="s">
        <v>2</v>
      </c>
      <c r="D49" s="374" t="str">
        <f>INDEX('Control Panel'!$AF$306:$AF$330,Tender!$E$5*5+1)</f>
        <v>–</v>
      </c>
      <c r="E49" s="374">
        <f>INDEX('Control Panel'!$AF$306:$AF$330,Tender!$E$5*5+4)</f>
        <v>0.09170192397226225</v>
      </c>
      <c r="F49" s="374">
        <f>INDEX('Control Panel'!$AF$306:$AF$330,Tender!$E$5*5+5)</f>
        <v>0.12109681198042659</v>
      </c>
      <c r="G49" s="374" t="str">
        <f>INDEX('Control Panel'!$AF$306:$AF$330,Tender!$E$5*5+2)</f>
        <v>–</v>
      </c>
      <c r="H49" s="374" t="str">
        <f>INDEX('Control Panel'!$AF$306:$AF$330,Tender!$E$5*5+3)</f>
        <v>–</v>
      </c>
      <c r="I49" s="387"/>
    </row>
    <row r="50" x14ac:dyDescent="0.25">
      <c r="A50" s="354"/>
      <c r="B50" s="361" t="s">
        <v>1015</v>
      </c>
      <c r="C50" s="383" t="s">
        <v>2</v>
      </c>
      <c r="D50" s="374" t="str">
        <f>INDEX('Control Panel'!$AG$306:$AG$330,Tender!$E$5*5+1)</f>
        <v>–</v>
      </c>
      <c r="E50" s="374">
        <f>INDEX('Control Panel'!$AG$306:$AG$330,Tender!$E$5*5+4)</f>
        <v>0.09991355961167205</v>
      </c>
      <c r="F50" s="374">
        <f>INDEX('Control Panel'!$AG$306:$AG$330,Tender!$E$5*5+5)</f>
        <v>0.13111232656651206</v>
      </c>
      <c r="G50" s="374">
        <f>INDEX('Control Panel'!$AG$306:$AG$330,Tender!$E$5*5+2)</f>
        <v>0.4932029283182208</v>
      </c>
      <c r="H50" s="374">
        <f>INDEX('Control Panel'!$AG$306:$AG$330,Tender!$E$5*5+3)</f>
        <v>0.6397278420818515</v>
      </c>
      <c r="I50" s="387"/>
    </row>
    <row r="51" x14ac:dyDescent="0.25">
      <c r="A51" s="354"/>
      <c r="B51" s="361" t="s">
        <v>1051</v>
      </c>
      <c r="C51" s="383" t="s">
        <v>613</v>
      </c>
      <c r="D51" s="379" t="str">
        <f>INDEX('Control Panel'!$AH$306:$AH$330,Tender!$E$5*5+1)</f>
        <v>–</v>
      </c>
      <c r="E51" s="379">
        <f>INDEX('Control Panel'!$AH$306:$AH$330,Tender!$E$5*5+4)</f>
        <v>2044</v>
      </c>
      <c r="F51" s="379">
        <f>INDEX('Control Panel'!$AH$306:$AH$330,Tender!$E$5*5+5)</f>
        <v>2041</v>
      </c>
      <c r="G51" s="379" t="str">
        <f>INDEX('Control Panel'!$AH$306:$AH$330,Tender!$E$5*5+2)</f>
        <v>–</v>
      </c>
      <c r="H51" s="379" t="str">
        <f>INDEX('Control Panel'!$AH$306:$AH$330,Tender!$E$5*5+3)</f>
        <v>–</v>
      </c>
      <c r="I51" s="387"/>
    </row>
    <row r="52" x14ac:dyDescent="0.25">
      <c r="A52" s="354"/>
      <c r="B52" s="360" t="s">
        <v>1028</v>
      </c>
      <c r="C52" s="385" t="s">
        <v>4</v>
      </c>
      <c r="D52" s="380" t="str">
        <f>INDEX('Control Panel'!$AI$306:$AI$330,Tender!$E$5*5+1)</f>
        <v>–</v>
      </c>
      <c r="E52" s="380">
        <f>INDEX('Control Panel'!$AI$306:$AI$330,Tender!$E$5*5+4)</f>
        <v>1.1631739211938075</v>
      </c>
      <c r="F52" s="380">
        <f>INDEX('Control Panel'!$AI$306:$AI$330,Tender!$E$5*5+5)</f>
        <v>1.9196058721534874</v>
      </c>
      <c r="G52" s="380" t="str">
        <f>INDEX('Control Panel'!$AI$306:$AI$330,Tender!$E$5*5+2)</f>
        <v>–</v>
      </c>
      <c r="H52" s="380" t="str">
        <f>INDEX('Control Panel'!$AI$306:$AI$330,Tender!$E$5*5+3)</f>
        <v>–</v>
      </c>
      <c r="I52" s="388"/>
    </row>
    <row r="53" x14ac:dyDescent="0.25">
      <c r="A53" s="354"/>
      <c r="B53" s="354"/>
      <c r="C53" s="354"/>
      <c r="D53" s="354"/>
      <c r="E53" s="354"/>
      <c r="F53" s="354"/>
      <c r="G53" s="354"/>
      <c r="H53" s="354"/>
      <c r="I53" s="354"/>
    </row>
    <row r="54" x14ac:dyDescent="0.25">
      <c r="A54" s="354"/>
      <c r="B54" s="404" t="inlineStr">
        <is>
          <t xml:space="preserve">Live check vs the model (the route active in Inputs E6)</t>
        </is>
      </c>
      <c r="C54" s="404" t="s">
        <v>57</v>
      </c>
      <c r="D54" s="405" t="str">
        <f>CHOOSE(1+(Inputs!$E$6=1)*(1+IFERROR(ABS(MOIC!$G$187-D24)&lt;=Tender!$E$33,0)),"n/a","STALE – data table not recalculated (F9)","OK")</f>
        <v>OK</v>
      </c>
      <c r="E54" s="405" t="str">
        <f>CHOOSE(1+(Inputs!$E$6=2)*(1+IFERROR(ABS(HTM!$G$139-E24)&lt;=Tender!$E$33,0)),"n/a","STALE – data table not recalculated (F9)","OK")</f>
        <v>n/a</v>
      </c>
      <c r="F54" s="405" t="str">
        <f>CHOOSE(1+(Inputs!$E$6=3)*(1+IFERROR(ABS(HTM!$G$139-F24)&lt;=Tender!$E$33,0)),"n/a","STALE – data table not recalculated (F9)","OK")</f>
        <v>n/a</v>
      </c>
      <c r="G54" s="405" t="str">
        <f>CHOOSE(1+(Inputs!$E$6=7)*(1+IFERROR(ABS(HTM!$G$352-G24)&lt;=Tender!$E$33,0)),"n/a","STALE – data table not recalculated (F9)","OK")</f>
        <v>n/a</v>
      </c>
      <c r="H54" s="405" t="str">
        <f>CHOOSE(1+(Inputs!$E$6=8)*(1+IFERROR(ABS(HTM!$G$352-H24)&lt;=Tender!$E$33,0)),"n/a","STALE – data table not recalculated (F9)","OK")</f>
        <v>n/a</v>
      </c>
      <c r="I54" s="354"/>
    </row>
    <row r="55" x14ac:dyDescent="0.25">
      <c r="A55" s="354"/>
      <c r="B55" s="354"/>
      <c r="C55" s="354"/>
      <c r="D55" s="354"/>
      <c r="E55" s="354"/>
      <c r="F55" s="354"/>
      <c r="G55" s="354"/>
      <c r="H55" s="354"/>
      <c r="I55" s="354"/>
    </row>
    <row r="56" x14ac:dyDescent="0.25">
      <c r="A56" s="354"/>
      <c r="B56" s="354"/>
      <c r="C56" s="354"/>
      <c r="D56" s="354"/>
      <c r="E56" s="354"/>
      <c r="F56" s="354"/>
      <c r="G56" s="354"/>
      <c r="H56" s="354"/>
      <c r="I56" s="354"/>
    </row>
    <row r="57" x14ac:dyDescent="0.25">
      <c r="A57" s="354"/>
      <c r="B57" s="354"/>
      <c r="C57" s="354"/>
      <c r="D57" s="354"/>
      <c r="E57" s="354"/>
      <c r="F57" s="354"/>
      <c r="G57" s="354"/>
      <c r="H57" s="354"/>
      <c r="I57" s="354"/>
    </row>
    <row r="58" x14ac:dyDescent="0.25">
      <c r="A58" s="354"/>
      <c r="B58" s="354"/>
      <c r="C58" s="354"/>
      <c r="D58" s="354"/>
      <c r="E58" s="354"/>
      <c r="F58" s="354"/>
      <c r="G58" s="354"/>
      <c r="H58" s="354"/>
      <c r="I58" s="354"/>
    </row>
    <row r="59" x14ac:dyDescent="0.25">
      <c r="A59" s="354"/>
      <c r="B59" s="354"/>
      <c r="C59" s="354"/>
      <c r="D59" s="354"/>
      <c r="E59" s="354"/>
      <c r="F59" s="354"/>
      <c r="G59" s="354"/>
      <c r="H59" s="354"/>
      <c r="I59" s="354"/>
    </row>
    <row r="60" x14ac:dyDescent="0.25">
      <c r="A60" s="354"/>
      <c r="B60" s="354"/>
      <c r="C60" s="354"/>
      <c r="D60" s="354"/>
      <c r="E60" s="354"/>
      <c r="F60" s="354"/>
      <c r="G60" s="354"/>
      <c r="H60" s="354"/>
      <c r="I60" s="354"/>
    </row>
    <row r="61" x14ac:dyDescent="0.25">
      <c r="A61" s="354"/>
      <c r="B61" s="354"/>
      <c r="C61" s="354"/>
      <c r="D61" s="354"/>
      <c r="E61" s="354"/>
      <c r="F61" s="354"/>
      <c r="G61" s="354"/>
      <c r="H61" s="354"/>
      <c r="I61" s="354"/>
    </row>
    <row r="62" x14ac:dyDescent="0.25">
      <c r="A62" s="354"/>
      <c r="B62" s="354"/>
      <c r="C62" s="354"/>
      <c r="D62" s="354"/>
      <c r="E62" s="354"/>
      <c r="F62" s="354"/>
      <c r="G62" s="354"/>
      <c r="H62" s="354"/>
      <c r="I62" s="354"/>
    </row>
    <row r="63" x14ac:dyDescent="0.25">
      <c r="A63" s="354"/>
      <c r="B63" s="354"/>
      <c r="C63" s="354"/>
      <c r="D63" s="354"/>
      <c r="E63" s="354"/>
      <c r="F63" s="354"/>
      <c r="G63" s="354"/>
      <c r="H63" s="354"/>
      <c r="I63" s="354"/>
    </row>
    <row r="64" x14ac:dyDescent="0.25">
      <c r="A64" s="354"/>
      <c r="B64" s="354"/>
      <c r="C64" s="354"/>
      <c r="D64" s="354"/>
      <c r="E64" s="354"/>
      <c r="F64" s="354"/>
      <c r="G64" s="354"/>
      <c r="H64" s="354"/>
      <c r="I64" s="354"/>
    </row>
    <row r="65" x14ac:dyDescent="0.25">
      <c r="A65" s="354"/>
      <c r="B65" s="354"/>
      <c r="C65" s="354"/>
      <c r="D65" s="354"/>
      <c r="E65" s="354"/>
      <c r="F65" s="354"/>
      <c r="G65" s="354"/>
      <c r="H65" s="354"/>
      <c r="I65" s="354"/>
    </row>
    <row r="66" x14ac:dyDescent="0.25">
      <c r="A66" s="354"/>
      <c r="B66" s="354"/>
      <c r="C66" s="354"/>
      <c r="D66" s="354"/>
      <c r="E66" s="354"/>
      <c r="F66" s="354"/>
      <c r="G66" s="354"/>
      <c r="H66" s="354"/>
      <c r="I66" s="354"/>
    </row>
    <row r="67" x14ac:dyDescent="0.25">
      <c r="A67" s="354"/>
      <c r="B67" s="354"/>
      <c r="C67" s="354"/>
      <c r="D67" s="354"/>
      <c r="E67" s="354"/>
      <c r="F67" s="354"/>
      <c r="G67" s="354"/>
      <c r="H67" s="354"/>
      <c r="I67" s="354"/>
    </row>
    <row r="68" x14ac:dyDescent="0.25">
      <c r="A68" s="354"/>
      <c r="B68" s="354"/>
      <c r="C68" s="354"/>
      <c r="D68" s="354"/>
      <c r="E68" s="354"/>
      <c r="F68" s="354"/>
      <c r="G68" s="354"/>
      <c r="H68" s="354"/>
      <c r="I68" s="354"/>
    </row>
    <row r="69" x14ac:dyDescent="0.25">
      <c r="A69" s="354"/>
      <c r="B69" s="354"/>
      <c r="C69" s="354"/>
      <c r="D69" s="354"/>
      <c r="E69" s="354"/>
      <c r="F69" s="354"/>
      <c r="G69" s="354"/>
      <c r="H69" s="354"/>
      <c r="I69" s="354"/>
    </row>
    <row r="70" x14ac:dyDescent="0.25">
      <c r="A70" s="354"/>
      <c r="B70" s="354"/>
      <c r="C70" s="354"/>
      <c r="D70" s="354"/>
      <c r="E70" s="354"/>
      <c r="F70" s="354"/>
      <c r="G70" s="354"/>
      <c r="H70" s="354"/>
      <c r="I70" s="35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C7C0-1FCD-4029-BB17-6AE606A1084A}">
  <sheetPr codeName="Sheet4">
    <tabColor rgb="FF0070C0"/>
  </sheetPr>
  <dimension ref="A1:P298"/>
  <sheetViews>
    <sheetView showGridLines="0" workbookViewId="0">
      <pane ySplit="5" topLeftCell="A10" activePane="bottomLeft" state="frozen"/>
      <selection pane="bottomLeft" activeCell="G21" sqref="G21"/>
    </sheetView>
  </sheetViews>
  <sheetFormatPr defaultRowHeight="15" outlineLevelRow="1" x14ac:dyDescent="0.25"/>
  <cols>
    <col min="1" max="2" width="2.7109375" customWidth="1"/>
    <col min="3" max="3" width="62.85546875" customWidth="1"/>
    <col min="4" max="4" width="13.28515625" customWidth="1"/>
    <col min="5" max="5" width="17.140625" customWidth="1"/>
    <col min="6" max="6" width="26.42578125" customWidth="1"/>
    <col min="7" max="16" width="15.28515625" customWidth="1"/>
  </cols>
  <sheetData>
    <row r="1" spans="1:16" ht="18.75" x14ac:dyDescent="0.3">
      <c r="A1" s="38" t="s">
        <v>2111</v>
      </c>
    </row>
    <row r="2" spans="1:16" x14ac:dyDescent="0.25">
      <c r="A2" s="40" t="s">
        <v>472</v>
      </c>
    </row>
    <row r="3" spans="1:16" x14ac:dyDescent="0.25">
      <c r="A3" s="40" t="s">
        <v>473</v>
      </c>
    </row>
    <row r="5" spans="1:16" x14ac:dyDescent="0.25">
      <c r="C5" s="41" t="s">
        <v>5</v>
      </c>
      <c r="D5" s="41" t="s">
        <v>0</v>
      </c>
      <c r="E5" s="41" t="s">
        <v>474</v>
      </c>
      <c r="F5" s="41" t="s">
        <v>475</v>
      </c>
      <c r="G5" s="41" t="s">
        <v>476</v>
      </c>
      <c r="H5" s="41" t="s">
        <v>477</v>
      </c>
      <c r="I5" s="41" t="s">
        <v>478</v>
      </c>
      <c r="J5" s="41" t="s">
        <v>479</v>
      </c>
      <c r="K5" s="41" t="s">
        <v>480</v>
      </c>
      <c r="L5" s="41" t="s">
        <v>481</v>
      </c>
      <c r="M5" s="41" t="s">
        <v>482</v>
      </c>
      <c r="N5" s="41" t="s">
        <v>483</v>
      </c>
      <c r="O5" s="41" t="s">
        <v>484</v>
      </c>
      <c r="P5" s="41" t="s">
        <v>485</v>
      </c>
    </row>
    <row r="6" x14ac:dyDescent="0.25">
      <c r="C6" t="s">
        <v>6</v>
      </c>
      <c r="D6" t="s">
        <v>7</v>
      </c>
      <c r="E6" s="470">
        <f>IF('Control Panel'!$E$10=0,'Control Panel'!$F$8,INDEX('Control Panel'!$E$306:$E$330,'Control Panel'!$E$10))</f>
        <v>1</v>
      </c>
      <c r="F6" s="40" t="inlineStr">
        <is>
          <t xml:space="preserve">Set on the Control Panel (E8 route; data-table driver E10)</t>
        </is>
      </c>
      <c r="G6">
        <v>1</v>
      </c>
      <c r="H6">
        <f>G6+1</f>
        <v>2</v>
      </c>
      <c r="I6">
        <f t="shared" ref="I6:P6" si="0">H6+1</f>
        <v>3</v>
      </c>
      <c r="J6">
        <f t="shared" si="0"/>
        <v>4</v>
      </c>
      <c r="K6">
        <f t="shared" si="0"/>
        <v>5</v>
      </c>
      <c r="L6">
        <f t="shared" si="0"/>
        <v>6</v>
      </c>
      <c r="M6">
        <f t="shared" si="0"/>
        <v>7</v>
      </c>
      <c r="N6">
        <f t="shared" si="0"/>
        <v>8</v>
      </c>
      <c r="O6">
        <f t="shared" si="0"/>
        <v>9</v>
      </c>
      <c r="P6">
        <f t="shared" si="0"/>
        <v>10</v>
      </c>
    </row>
    <row r="7" x14ac:dyDescent="0.25">
      <c r="C7" t="s">
        <v>8</v>
      </c>
      <c r="D7" t="s">
        <v>9</v>
      </c>
      <c r="E7" cm="1" t="str">
        <f t="array" ref="E7">INDEX($G7:$P7,$E$6)</f>
        <v>FEP base case</v>
      </c>
      <c r="F7" s="40"/>
      <c r="G7" s="27" t="s">
        <v>36</v>
      </c>
      <c r="H7" s="27" t="s">
        <v>1915</v>
      </c>
      <c r="I7" s="27" t="s">
        <v>1916</v>
      </c>
      <c r="J7" s="27" t="s">
        <v>488</v>
      </c>
      <c r="K7" s="27" t="s">
        <v>486</v>
      </c>
      <c r="L7" s="27" t="s">
        <v>487</v>
      </c>
      <c r="M7" s="27" t="inlineStr">
        <is>
          <t xml:space="preserve">Sale at COD, European turbine</t>
        </is>
      </c>
      <c r="N7" s="27" t="inlineStr">
        <is>
          <t xml:space="preserve">Sale at COD, Chinese turbine</t>
        </is>
      </c>
      <c r="O7" s="27" t="s">
        <v>10</v>
      </c>
      <c r="P7" s="27" t="s">
        <v>10</v>
      </c>
    </row>
    <row r="8" x14ac:dyDescent="0.25">
      <c r="C8" t="s">
        <v>11</v>
      </c>
      <c r="D8" t="s">
        <v>12</v>
      </c>
      <c r="E8" cm="1" t="str">
        <f t="array" ref="E8">INDEX($G8:$P8,$E$6)</f>
        <v>FEP funds 100%, 70/30 JV on proceeds, 200 MW, aligned to BORA Devex 29/09/2026</v>
      </c>
      <c r="F8" s="40"/>
      <c r="G8" s="27" t="s">
        <v>1685</v>
      </c>
      <c r="H8" s="27" t="inlineStr">
        <is>
          <t xml:space="preserve">Turbine supply 950 k€/MW, 60% gearing, 100% of output under a 90 €/MWh PPA (10 yrs, 1% p.a. indexation), Aurora Central merchant tail</t>
        </is>
      </c>
      <c r="I8" s="27" t="inlineStr">
        <is>
          <t xml:space="preserve">Turbine supply 500 k€/MW, 50% gearing, 100% of output under a 90 €/MWh PPA (10 yrs, 1% p.a. indexation), Aurora Central merchant tail</t>
        </is>
      </c>
      <c r="J8" s="27" t="s">
        <v>491</v>
      </c>
      <c r="K8" s="27" t="s">
        <v>489</v>
      </c>
      <c r="L8" s="27" t="s">
        <v>490</v>
      </c>
      <c r="M8" s="27" t="inlineStr">
        <is>
          <t xml:space="preserve">No RTB exit. Build with European turbine (as case 2), 60% gearing, 90 €/MWh PPA; sell 100% of the SPV at the project's COD (Bora: Sep-2031 override) at the Tender price per gross MW net of clipping and of the post-COD promise costs (enterprise value; senior debt repaid from proceeds).</t>
        </is>
      </c>
      <c r="N8" s="27" t="inlineStr">
        <is>
          <t xml:space="preserve">No RTB exit. Build with Chinese turbine (as case 3), 50% gearing, 90 €/MWh PPA; sell 100% of the SPV at the project's COD (Bora: Sep-2031 override) at the Tender price per gross MW net of clipping and of the post-COD promise costs (enterprise value; senior debt repaid from proceeds).</t>
        </is>
      </c>
      <c r="O8" s="27"/>
      <c r="P8" s="27"/>
    </row>
    <row r="9" spans="1:16" x14ac:dyDescent="0.25"/>
    <row r="10" spans="1:16" x14ac:dyDescent="0.25">
      <c r="B10" t="s">
        <v>4</v>
      </c>
      <c r="C10" s="43" t="s">
        <v>492</v>
      </c>
      <c r="D10" s="43"/>
      <c r="E10" s="43"/>
      <c r="F10" s="56"/>
      <c r="G10" s="43"/>
      <c r="H10" s="43"/>
      <c r="I10" s="43"/>
      <c r="J10" s="43"/>
      <c r="K10" s="43"/>
      <c r="L10" s="43"/>
      <c r="M10" s="43"/>
      <c r="N10" s="43"/>
      <c r="O10" s="43"/>
      <c r="P10" s="43"/>
    </row>
    <row r="11" spans="1:16" x14ac:dyDescent="0.25">
      <c r="C11" t="s">
        <v>13</v>
      </c>
      <c r="D11" t="s">
        <v>376</v>
      </c>
      <c r="E11" s="19" cm="1">
        <f t="array" ref="E11">IF(INDEX($G11:$P11,$E$6)="",$G11,INDEX($G11:$P11,$E$6))</f>
        <v>365</v>
      </c>
      <c r="F11" s="57" t="s">
        <v>493</v>
      </c>
      <c r="G11" s="44">
        <v>365</v>
      </c>
      <c r="H11" s="44"/>
      <c r="I11" s="44"/>
      <c r="J11" s="44"/>
      <c r="K11" s="44"/>
      <c r="L11" s="44"/>
      <c r="M11" s="44"/>
      <c r="N11" s="44"/>
      <c r="O11" s="44"/>
      <c r="P11" s="44"/>
    </row>
    <row r="12" spans="1:16" x14ac:dyDescent="0.25">
      <c r="C12" t="s">
        <v>494</v>
      </c>
      <c r="D12" t="s">
        <v>2</v>
      </c>
      <c r="E12" s="31" cm="1">
        <f t="array" ref="E12">IF(INDEX($G12:$P12,$E$6)="",$G12,INDEX($G12:$P12,$E$6))</f>
        <v>0.09</v>
      </c>
      <c r="F12" s="58" t="s">
        <v>1714</v>
      </c>
      <c r="G12" s="45">
        <v>0.09</v>
      </c>
      <c r="H12" s="45"/>
      <c r="I12" s="45"/>
      <c r="J12" s="45"/>
      <c r="K12" s="45"/>
      <c r="L12" s="45"/>
      <c r="M12" s="45"/>
      <c r="N12" s="45"/>
      <c r="O12" s="45"/>
      <c r="P12" s="45"/>
    </row>
    <row r="13" x14ac:dyDescent="0.25">
      <c r="C13" t="s">
        <v>495</v>
      </c>
      <c r="D13" t="s">
        <v>2</v>
      </c>
      <c r="E13" s="31" cm="1">
        <f t="array" ref="E13">IF(INDEX($G13:$P13,$E$6)="",$G13,INDEX($G13:$P13,$E$6))</f>
        <v>0.08</v>
      </c>
      <c r="F13" s="58" t="inlineStr">
        <is>
          <t xml:space="preserve">Monthly charge on the negative cumulative equity position. Linked to the single discount rate (Inputs row 253 ← Control Panel section c), per decision 02-Oct-26 (Open_Items #10). Previously 8.9% typed.</t>
        </is>
      </c>
      <c r="G13" s="485">
        <f>G$253</f>
        <v>0.08</v>
      </c>
      <c r="H13" s="45" t="str">
        <f>H$253</f>
        <v/>
      </c>
      <c r="I13" s="45" t="str">
        <f>I$253</f>
        <v/>
      </c>
      <c r="J13" s="45"/>
      <c r="K13" s="45"/>
      <c r="L13" s="45"/>
      <c r="M13" s="45" t="str">
        <f>H13</f>
        <v/>
      </c>
      <c r="N13" s="45" t="str">
        <f>I13</f>
        <v/>
      </c>
      <c r="O13" s="45"/>
      <c r="P13" s="45"/>
    </row>
    <row r="14" spans="1:16" x14ac:dyDescent="0.25">
      <c r="C14" t="s">
        <v>1712</v>
      </c>
      <c r="D14" t="s">
        <v>29</v>
      </c>
      <c r="E14" s="31" cm="1">
        <f t="array" ref="E14">IF(INDEX($G14:$P14,$E$6)="",$G14,INDEX($G14:$P14,$E$6))</f>
        <v>1</v>
      </c>
      <c r="F14" s="58" t="s">
        <v>1713</v>
      </c>
      <c r="G14" s="45">
        <v>1</v>
      </c>
      <c r="H14" s="45"/>
      <c r="I14" s="45"/>
      <c r="J14" s="45"/>
      <c r="K14" s="45"/>
      <c r="L14" s="45"/>
      <c r="M14" s="45"/>
      <c r="N14" s="45"/>
      <c r="O14" s="45"/>
      <c r="P14" s="45"/>
    </row>
    <row r="15" spans="1:16" x14ac:dyDescent="0.25">
      <c r="B15" t="s">
        <v>4</v>
      </c>
      <c r="C15" s="43" t="s">
        <v>496</v>
      </c>
      <c r="D15" s="43"/>
      <c r="E15" s="43"/>
      <c r="F15" s="56"/>
      <c r="G15" s="43"/>
      <c r="H15" s="43"/>
      <c r="I15" s="43"/>
      <c r="J15" s="43"/>
      <c r="K15" s="43"/>
      <c r="L15" s="43"/>
      <c r="M15" s="43"/>
      <c r="N15" s="43"/>
      <c r="O15" s="43"/>
      <c r="P15" s="43"/>
    </row>
    <row r="16" spans="1:16" x14ac:dyDescent="0.25">
      <c r="C16" t="s">
        <v>497</v>
      </c>
      <c r="D16" t="s">
        <v>22</v>
      </c>
      <c r="E16" s="19" cm="1">
        <f t="array" ref="E16">IF(INDEX($G16:$P16,$E$6)="",$G16,INDEX($G16:$P16,$E$6))</f>
        <v>200</v>
      </c>
      <c r="F16" s="57" t="s">
        <v>498</v>
      </c>
      <c r="G16" s="464">
        <f>'Control Panel'!$E$74</f>
        <v>200</v>
      </c>
      <c r="H16" s="44"/>
      <c r="I16" s="44"/>
      <c r="J16" s="44"/>
      <c r="K16" s="44">
        <v>280</v>
      </c>
      <c r="L16" s="44"/>
      <c r="M16" s="44"/>
      <c r="N16" s="44"/>
      <c r="O16" s="44"/>
      <c r="P16" s="44"/>
    </row>
    <row r="17" spans="2:16" x14ac:dyDescent="0.25">
      <c r="C17" t="s">
        <v>499</v>
      </c>
      <c r="D17" t="s">
        <v>2</v>
      </c>
      <c r="E17" s="31" cm="1">
        <f t="array" ref="E17">IF(INDEX($G17:$P17,$E$6)="",$G17,INDEX($G17:$P17,$E$6))</f>
        <v>1</v>
      </c>
      <c r="F17" s="58" t="s">
        <v>500</v>
      </c>
      <c r="G17" s="45">
        <v>1</v>
      </c>
      <c r="H17" s="45"/>
      <c r="I17" s="45"/>
      <c r="J17" s="45"/>
      <c r="K17" s="45"/>
      <c r="L17" s="45"/>
      <c r="M17" s="45"/>
      <c r="N17" s="45"/>
      <c r="O17" s="45"/>
      <c r="P17" s="45"/>
    </row>
    <row r="18" spans="2:16" x14ac:dyDescent="0.25">
      <c r="C18" t="s">
        <v>25</v>
      </c>
      <c r="D18" t="s">
        <v>22</v>
      </c>
      <c r="E18" s="494">
        <f>E16*E17</f>
        <v>200</v>
      </c>
      <c r="F18" s="57"/>
      <c r="G18" s="19"/>
      <c r="H18" s="19"/>
      <c r="I18" s="19"/>
      <c r="J18" s="19"/>
      <c r="K18" s="19"/>
      <c r="L18" s="19"/>
      <c r="M18" s="19"/>
      <c r="N18" s="19"/>
      <c r="O18" s="19"/>
      <c r="P18" s="19"/>
    </row>
    <row r="19" spans="2:16" x14ac:dyDescent="0.25">
      <c r="C19" t="s">
        <v>26</v>
      </c>
      <c r="D19" t="s">
        <v>22</v>
      </c>
      <c r="E19" s="19">
        <f>E16-E18</f>
        <v>0</v>
      </c>
      <c r="F19" s="57" t="s">
        <v>501</v>
      </c>
      <c r="G19" s="19"/>
      <c r="H19" s="19"/>
      <c r="I19" s="19"/>
      <c r="J19" s="19"/>
      <c r="K19" s="19"/>
      <c r="L19" s="19"/>
      <c r="M19" s="19"/>
      <c r="N19" s="19"/>
      <c r="O19" s="19"/>
      <c r="P19" s="19"/>
    </row>
    <row r="20" x14ac:dyDescent="0.25">
      <c r="C20" t="s">
        <v>1246</v>
      </c>
      <c r="D20" t="s">
        <v>22</v>
      </c>
      <c r="E20" s="19" cm="1">
        <f t="array" ref="E20">IF(INDEX($G20:$P20,$E$6)="",$G20,INDEX($G20:$P20,$E$6))</f>
        <v>90</v>
      </c>
      <c r="F20" s="57" t="s">
        <v>1247</v>
      </c>
      <c r="G20" s="464">
        <f>Tender!$J$41</f>
        <v>90</v>
      </c>
      <c r="H20" s="44"/>
      <c r="I20" s="44"/>
      <c r="J20" s="44"/>
      <c r="K20" s="44"/>
      <c r="L20" s="44"/>
      <c r="M20" s="44"/>
      <c r="N20" s="44"/>
      <c r="O20" s="44"/>
      <c r="P20" s="44"/>
    </row>
    <row r="21" x14ac:dyDescent="0.25">
      <c r="C21" t="s">
        <v>1248</v>
      </c>
      <c r="D21" t="s">
        <v>1249</v>
      </c>
      <c r="E21" s="19" cm="1">
        <f t="array" ref="E21">IF(INDEX($G21:$P21,$E$6)="",$G21,INDEX($G21:$P21,$E$6))</f>
        <v>4</v>
      </c>
      <c r="F21" s="57" t="inlineStr">
        <is>
          <t xml:space="preserve">Storage hours at rated power – linked to Tender J16 (active tender strategy; 4 h in every strategy, Munka1 0.25C)</t>
        </is>
      </c>
      <c r="G21" s="535">
        <f>Tender!$J$16</f>
        <v>4</v>
      </c>
      <c r="H21" s="44"/>
      <c r="I21" s="44"/>
      <c r="J21" s="44"/>
      <c r="K21" s="44"/>
      <c r="L21" s="44"/>
      <c r="M21" s="44"/>
      <c r="N21" s="44"/>
      <c r="O21" s="44"/>
      <c r="P21" s="44"/>
    </row>
    <row r="22" spans="2:16" x14ac:dyDescent="0.25">
      <c r="C22" t="s">
        <v>1250</v>
      </c>
      <c r="D22" t="s">
        <v>378</v>
      </c>
      <c r="E22" s="19">
        <f>E20*E21</f>
        <v>360</v>
      </c>
      <c r="F22" s="57" t="s">
        <v>1251</v>
      </c>
      <c r="G22" s="19"/>
      <c r="H22" s="19"/>
      <c r="I22" s="19"/>
      <c r="J22" s="19"/>
      <c r="K22" s="19"/>
      <c r="L22" s="19"/>
      <c r="M22" s="19"/>
      <c r="N22" s="19"/>
      <c r="O22" s="19"/>
      <c r="P22" s="19"/>
    </row>
    <row r="23" spans="2:16" x14ac:dyDescent="0.25">
      <c r="C23" t="s">
        <v>1252</v>
      </c>
      <c r="D23" t="s">
        <v>378</v>
      </c>
      <c r="E23" s="19">
        <f>E22*E17</f>
        <v>360</v>
      </c>
      <c r="F23" s="57" t="s">
        <v>1253</v>
      </c>
      <c r="G23" s="19"/>
      <c r="H23" s="19"/>
      <c r="I23" s="19"/>
      <c r="J23" s="19"/>
      <c r="K23" s="19"/>
      <c r="L23" s="19"/>
      <c r="M23" s="19"/>
      <c r="N23" s="19"/>
      <c r="O23" s="19"/>
      <c r="P23" s="19"/>
    </row>
    <row r="24" spans="2:16" x14ac:dyDescent="0.25">
      <c r="C24" t="s">
        <v>502</v>
      </c>
      <c r="D24" t="s">
        <v>844</v>
      </c>
      <c r="E24" s="1" cm="1">
        <f t="array" ref="E24">IF(INDEX($G24:$P24,$E$6)="",$G24,INDEX($G24:$P24,$E$6))</f>
        <v>250</v>
      </c>
      <c r="F24" s="59" t="s">
        <v>503</v>
      </c>
      <c r="G24" s="466">
        <f>'Control Panel'!$E$75</f>
        <v>250</v>
      </c>
      <c r="H24" s="46"/>
      <c r="I24" s="46"/>
      <c r="J24" s="46"/>
      <c r="K24" s="46">
        <v>295</v>
      </c>
      <c r="L24" s="46"/>
      <c r="M24" s="46"/>
      <c r="N24" s="46"/>
      <c r="O24" s="46"/>
      <c r="P24" s="46"/>
    </row>
    <row r="25" spans="2:16" x14ac:dyDescent="0.25">
      <c r="C25" t="s">
        <v>504</v>
      </c>
      <c r="D25" t="s">
        <v>844</v>
      </c>
      <c r="E25" s="1" cm="1">
        <f t="array" ref="E25">IF(INDEX($G25:$P25,$E$6)="",$G25,INDEX($G25:$P25,$E$6))</f>
        <v>150</v>
      </c>
      <c r="F25" s="59" t="s">
        <v>503</v>
      </c>
      <c r="G25" s="46">
        <v>150</v>
      </c>
      <c r="H25" s="46"/>
      <c r="I25" s="46"/>
      <c r="J25" s="46"/>
      <c r="K25" s="46"/>
      <c r="L25" s="46"/>
      <c r="M25" s="46"/>
      <c r="N25" s="46"/>
      <c r="O25" s="46"/>
      <c r="P25" s="46"/>
    </row>
    <row r="26" spans="2:16" x14ac:dyDescent="0.25">
      <c r="C26" t="s">
        <v>505</v>
      </c>
      <c r="D26" t="s">
        <v>844</v>
      </c>
      <c r="E26" s="1" cm="1">
        <f t="array" ref="E26">IF(INDEX($G26:$P26,$E$6)="",$G26,INDEX($G26:$P26,$E$6))</f>
        <v>500</v>
      </c>
      <c r="F26" s="59" t="s">
        <v>506</v>
      </c>
      <c r="G26" s="46">
        <v>500</v>
      </c>
      <c r="H26" s="46"/>
      <c r="I26" s="46"/>
      <c r="J26" s="46"/>
      <c r="K26" s="46"/>
      <c r="L26" s="46"/>
      <c r="M26" s="46"/>
      <c r="N26" s="46"/>
      <c r="O26" s="46"/>
      <c r="P26" s="46"/>
    </row>
    <row r="27" spans="2:16" x14ac:dyDescent="0.25">
      <c r="C27" t="s">
        <v>507</v>
      </c>
      <c r="D27" t="s">
        <v>15</v>
      </c>
      <c r="E27" s="34" cm="1">
        <f t="array" ref="E27">IF(INDEX($G27:$P27,$E$6)="",$G27,INDEX($G27:$P27,$E$6))</f>
        <v>46234</v>
      </c>
      <c r="F27" s="60" t="s">
        <v>508</v>
      </c>
      <c r="G27" s="47">
        <v>46234</v>
      </c>
      <c r="H27" s="47"/>
      <c r="I27" s="47"/>
      <c r="J27" s="47"/>
      <c r="K27" s="47"/>
      <c r="L27" s="47"/>
      <c r="M27" s="47"/>
      <c r="N27" s="47"/>
      <c r="O27" s="47"/>
      <c r="P27" s="47"/>
    </row>
    <row r="28" x14ac:dyDescent="0.25">
      <c r="C28" t="s">
        <v>509</v>
      </c>
      <c r="D28" t="s">
        <v>16</v>
      </c>
      <c r="E28" s="24" cm="1">
        <f t="array" ref="E28">IF(INDEX($G28:$P28,$E$6)="",$G28,INDEX($G28:$P28,$E$6))</f>
        <v>9</v>
      </c>
      <c r="F28" s="61" t="str">
        <f>"RTB + "&amp;E28&amp;" months = RtB sale (BORA Devex proposal; was 3). RTB "&amp;DAY(E56)&amp;"/"&amp;TEXT(MONTH(E56),"00")&amp;"/"&amp;YEAR(E56)&amp;" → sale "&amp;DAY(E58)&amp;"/"&amp;TEXT(MONTH(E58),"00")&amp;"/"&amp;YEAR(E58)</f>
        <v>RTB + 9 months = RtB sale (BORA Devex proposal; was 3). RTB 30/06/2029 → sale 31/03/2030</v>
      </c>
      <c r="G28" s="467">
        <f>'Control Panel'!$E$88</f>
        <v>9</v>
      </c>
      <c r="H28" s="467" t="str">
        <f>IF('Control Panel'!$F$88="","",'Control Panel'!$F$88)</f>
        <v/>
      </c>
      <c r="I28" s="467" t="str">
        <f>IF('Control Panel'!$G$88="","",'Control Panel'!$G$88)</f>
        <v/>
      </c>
      <c r="J28" s="49"/>
      <c r="K28" s="49"/>
      <c r="L28" s="49"/>
      <c r="M28" s="49" t="str">
        <f>H28</f>
        <v/>
      </c>
      <c r="N28" s="49" t="str">
        <f>I28</f>
        <v/>
      </c>
      <c r="O28" s="49"/>
      <c r="P28" s="49"/>
    </row>
    <row r="29" x14ac:dyDescent="0.25">
      <c r="C29" t="s">
        <v>2510</v>
      </c>
      <c r="D29" t="s">
        <v>22</v>
      </c>
      <c r="E29" s="494">
        <f>IF(E281=0,E18,E18*E297/E281)</f>
        <v>261</v>
      </c>
      <c r="F29" s="57" t="inlineStr">
        <is>
          <t xml:space="preserve">Net successful MW (E18) × gross / net ratio of the project (row 297 ÷ row 281). Drives bid / performance bonds, turbine &amp; BOP capex, generation, opex, decommissioning, the COD sale price and the developer success fee (DSA, DSA on installed MW per BORA_Devex – user 09-Oct-26). Grid fees, TSO bond and the RTB premium stay on net MW (E18; premium: switch row 149).</t>
        </is>
      </c>
      <c r="G29" s="19"/>
      <c r="H29" s="19"/>
      <c r="I29" s="19"/>
      <c r="J29" s="19"/>
      <c r="K29" s="19"/>
      <c r="L29" s="19"/>
      <c r="M29" s="19"/>
      <c r="N29" s="19"/>
      <c r="O29" s="19"/>
      <c r="P29" s="19"/>
    </row>
    <row r="30" spans="2:16" x14ac:dyDescent="0.25">
      <c r="B30" t="s">
        <v>4</v>
      </c>
      <c r="C30" s="43" t="s">
        <v>510</v>
      </c>
      <c r="D30" s="43"/>
      <c r="E30" s="43"/>
      <c r="F30" s="56"/>
      <c r="G30" s="43"/>
      <c r="H30" s="43"/>
      <c r="I30" s="43"/>
      <c r="J30" s="43"/>
      <c r="K30" s="43"/>
      <c r="L30" s="43"/>
      <c r="M30" s="43"/>
      <c r="N30" s="43"/>
      <c r="O30" s="43"/>
      <c r="P30" s="43"/>
    </row>
    <row r="31" spans="2:16" x14ac:dyDescent="0.25">
      <c r="C31" t="s">
        <v>511</v>
      </c>
      <c r="D31" t="s">
        <v>29</v>
      </c>
      <c r="E31" s="24" cm="1">
        <f t="array" ref="E31">IF(INDEX($G31:$P31,$E$6)="",$G31,INDEX($G31:$P31,$E$6))</f>
        <v>1</v>
      </c>
      <c r="F31" s="61" t="s">
        <v>512</v>
      </c>
      <c r="G31" s="467">
        <f>'Control Panel'!$E$76</f>
        <v>1</v>
      </c>
      <c r="H31" s="49"/>
      <c r="I31" s="49"/>
      <c r="J31" s="49"/>
      <c r="K31" s="49">
        <v>1</v>
      </c>
      <c r="L31" s="49"/>
      <c r="M31" s="49"/>
      <c r="N31" s="49"/>
      <c r="O31" s="49"/>
      <c r="P31" s="49"/>
    </row>
    <row r="32" spans="2:16" x14ac:dyDescent="0.25">
      <c r="C32" t="s">
        <v>513</v>
      </c>
      <c r="D32" t="s">
        <v>2</v>
      </c>
      <c r="E32" s="31" cm="1">
        <f t="array" ref="E32">IF(INDEX($G32:$P32,$E$6)="",$G32,INDEX($G32:$P32,$E$6))</f>
        <v>0.7</v>
      </c>
      <c r="F32" s="58"/>
      <c r="G32" s="468">
        <f>'Control Panel'!$E$77</f>
        <v>0.7</v>
      </c>
      <c r="H32" s="45"/>
      <c r="I32" s="45"/>
      <c r="J32" s="45"/>
      <c r="K32" s="45"/>
      <c r="L32" s="45"/>
      <c r="M32" s="45"/>
      <c r="N32" s="45"/>
      <c r="O32" s="45"/>
      <c r="P32" s="45"/>
    </row>
    <row r="33" spans="2:16" x14ac:dyDescent="0.25">
      <c r="C33" t="s">
        <v>514</v>
      </c>
      <c r="D33" t="s">
        <v>2</v>
      </c>
      <c r="E33" s="31">
        <f>IF(E31=1,E32,1)</f>
        <v>0.7</v>
      </c>
      <c r="F33" s="58"/>
      <c r="G33" s="31"/>
      <c r="H33" s="31"/>
      <c r="I33" s="31"/>
      <c r="J33" s="31"/>
      <c r="K33" s="31"/>
      <c r="L33" s="31"/>
      <c r="M33" s="31"/>
      <c r="N33" s="31"/>
      <c r="O33" s="31"/>
      <c r="P33" s="31"/>
    </row>
    <row r="34" spans="2:16" x14ac:dyDescent="0.25">
      <c r="C34" t="s">
        <v>515</v>
      </c>
      <c r="D34" t="s">
        <v>2</v>
      </c>
      <c r="E34" s="31">
        <f>1-E33</f>
        <v>0.30000000000000004</v>
      </c>
      <c r="F34" s="58"/>
      <c r="G34" s="31"/>
      <c r="H34" s="31"/>
      <c r="I34" s="31"/>
      <c r="J34" s="31"/>
      <c r="K34" s="31"/>
      <c r="L34" s="31"/>
      <c r="M34" s="31"/>
      <c r="N34" s="31"/>
      <c r="O34" s="31"/>
      <c r="P34" s="31"/>
    </row>
    <row r="35" spans="2:16" x14ac:dyDescent="0.25">
      <c r="C35" t="s">
        <v>516</v>
      </c>
      <c r="D35" t="s">
        <v>29</v>
      </c>
      <c r="E35" s="24" cm="1">
        <f t="array" ref="E35">IF(INDEX($G35:$P35,$E$6)="",$G35,INDEX($G35:$P35,$E$6))</f>
        <v>0</v>
      </c>
      <c r="F35" s="61" t="s">
        <v>517</v>
      </c>
      <c r="G35" s="49">
        <v>0</v>
      </c>
      <c r="H35" s="49"/>
      <c r="I35" s="49"/>
      <c r="J35" s="49"/>
      <c r="K35" s="49"/>
      <c r="L35" s="49"/>
      <c r="M35" s="49"/>
      <c r="N35" s="49"/>
      <c r="O35" s="49"/>
      <c r="P35" s="49"/>
    </row>
    <row r="36" x14ac:dyDescent="0.25">
      <c r="C36" t="s">
        <v>518</v>
      </c>
      <c r="D36" t="s">
        <v>845</v>
      </c>
      <c r="E36" s="20" cm="1">
        <f t="array" ref="E36">IF(INDEX($G36:$P36,$E$6)="",$G36,INDEX($G36:$P36,$E$6))</f>
        <v>2.5</v>
      </c>
      <c r="F36" s="62" t="inlineStr">
        <is>
          <t xml:space="preserve">DSA on installed MW per BORA_Devex – user 09-Oct-26: accrues pro rata to the sale on the installed wind MW (E29, BORA_Devex V37 = 2 500 €/MW × V6); settled at exit from proceeds (not funded to RTB). Cap E37 per the same MW.</t>
        </is>
      </c>
      <c r="G36" s="50">
        <v>2.5</v>
      </c>
      <c r="H36" s="50"/>
      <c r="I36" s="50"/>
      <c r="J36" s="50"/>
      <c r="K36" s="50"/>
      <c r="L36" s="50"/>
      <c r="M36" s="50"/>
      <c r="N36" s="50"/>
      <c r="O36" s="50"/>
      <c r="P36" s="50"/>
    </row>
    <row r="37" spans="2:16" x14ac:dyDescent="0.25">
      <c r="C37" t="s">
        <v>43</v>
      </c>
      <c r="D37" t="s">
        <v>845</v>
      </c>
      <c r="E37" s="20" cm="1">
        <f t="array" ref="E37">IF(INDEX($G37:$P37,$E$6)="",$G37,INDEX($G37:$P37,$E$6))</f>
        <v>10</v>
      </c>
      <c r="F37" s="62"/>
      <c r="G37" s="50">
        <v>10</v>
      </c>
      <c r="H37" s="50"/>
      <c r="I37" s="50"/>
      <c r="J37" s="50"/>
      <c r="K37" s="50"/>
      <c r="L37" s="50"/>
      <c r="M37" s="50"/>
      <c r="N37" s="50"/>
      <c r="O37" s="50"/>
      <c r="P37" s="50"/>
    </row>
    <row r="38" spans="2:16" x14ac:dyDescent="0.25">
      <c r="C38" t="s">
        <v>520</v>
      </c>
      <c r="D38" t="s">
        <v>29</v>
      </c>
      <c r="E38" s="24">
        <f>E31</f>
        <v>1</v>
      </c>
      <c r="F38" s="61" t="s">
        <v>521</v>
      </c>
      <c r="G38" s="24"/>
      <c r="H38" s="24"/>
      <c r="I38" s="24"/>
      <c r="J38" s="24"/>
      <c r="K38" s="24"/>
      <c r="L38" s="24"/>
      <c r="M38" s="24"/>
      <c r="N38" s="24"/>
      <c r="O38" s="24"/>
      <c r="P38" s="24"/>
    </row>
    <row r="39" spans="2:16" x14ac:dyDescent="0.25">
      <c r="F39" s="40"/>
    </row>
    <row r="40" spans="2:16" x14ac:dyDescent="0.25">
      <c r="B40" t="s">
        <v>4</v>
      </c>
      <c r="C40" s="43" t="s">
        <v>1880</v>
      </c>
      <c r="D40" s="43"/>
      <c r="E40" s="43"/>
      <c r="F40" s="56"/>
      <c r="G40" s="43"/>
      <c r="H40" s="43"/>
      <c r="I40" s="43"/>
      <c r="J40" s="43"/>
      <c r="K40" s="43"/>
      <c r="L40" s="43"/>
      <c r="M40" s="43"/>
      <c r="N40" s="43"/>
      <c r="O40" s="43"/>
      <c r="P40" s="43"/>
    </row>
    <row r="41" spans="2:16" outlineLevel="1" x14ac:dyDescent="0.25">
      <c r="C41" t="s">
        <v>522</v>
      </c>
      <c r="D41" t="s">
        <v>845</v>
      </c>
      <c r="E41" s="20" cm="1">
        <f t="array" ref="E41">IF(INDEX($G41:$P41,$E$6)="",$G41,INDEX($G41:$P41,$E$6))</f>
        <v>0</v>
      </c>
      <c r="F41" s="62" t="s">
        <v>1881</v>
      </c>
      <c r="G41" s="50"/>
      <c r="H41" s="50"/>
      <c r="I41" s="50"/>
      <c r="J41" s="50"/>
      <c r="K41" s="50"/>
      <c r="L41" s="50"/>
      <c r="M41" s="50"/>
      <c r="N41" s="50"/>
      <c r="O41" s="50"/>
      <c r="P41" s="50"/>
    </row>
    <row r="42" spans="2:16" outlineLevel="1" x14ac:dyDescent="0.25">
      <c r="C42" t="s">
        <v>523</v>
      </c>
      <c r="D42" t="s">
        <v>845</v>
      </c>
      <c r="E42" s="20" cm="1">
        <f t="array" ref="E42">IF(INDEX($G42:$P42,$E$6)="",$G42,INDEX($G42:$P42,$E$6))</f>
        <v>0</v>
      </c>
      <c r="F42" s="62"/>
      <c r="G42" s="50"/>
      <c r="H42" s="50"/>
      <c r="I42" s="50"/>
      <c r="J42" s="50"/>
      <c r="K42" s="50"/>
      <c r="L42" s="50"/>
      <c r="M42" s="50"/>
      <c r="N42" s="50"/>
      <c r="O42" s="50"/>
      <c r="P42" s="50"/>
    </row>
    <row r="43" spans="2:16" outlineLevel="1" x14ac:dyDescent="0.25">
      <c r="C43" t="s">
        <v>524</v>
      </c>
      <c r="D43" t="s">
        <v>845</v>
      </c>
      <c r="E43" s="20" cm="1">
        <f t="array" ref="E43">IF(INDEX($G43:$P43,$E$6)="",$G43,INDEX($G43:$P43,$E$6))</f>
        <v>0</v>
      </c>
      <c r="F43" s="62"/>
      <c r="G43" s="50"/>
      <c r="H43" s="50"/>
      <c r="I43" s="50"/>
      <c r="J43" s="50"/>
      <c r="K43" s="50"/>
      <c r="L43" s="50"/>
      <c r="M43" s="50"/>
      <c r="N43" s="50"/>
      <c r="O43" s="50"/>
      <c r="P43" s="50"/>
    </row>
    <row r="44" spans="2:16" outlineLevel="1" x14ac:dyDescent="0.25">
      <c r="C44" t="s">
        <v>525</v>
      </c>
      <c r="D44" t="s">
        <v>845</v>
      </c>
      <c r="E44" s="20" cm="1">
        <f t="array" ref="E44">IF(INDEX($G44:$P44,$E$6)="",$G44,INDEX($G44:$P44,$E$6))</f>
        <v>0</v>
      </c>
      <c r="F44" s="62"/>
      <c r="G44" s="50"/>
      <c r="H44" s="50"/>
      <c r="I44" s="50"/>
      <c r="J44" s="50"/>
      <c r="K44" s="50"/>
      <c r="L44" s="50"/>
      <c r="M44" s="50"/>
      <c r="N44" s="50"/>
      <c r="O44" s="50"/>
      <c r="P44" s="50"/>
    </row>
    <row r="45" spans="2:16" outlineLevel="1" x14ac:dyDescent="0.25">
      <c r="C45" t="s">
        <v>526</v>
      </c>
      <c r="D45" t="s">
        <v>845</v>
      </c>
      <c r="E45" s="20" cm="1">
        <f t="array" ref="E45">IF(INDEX($G45:$P45,$E$6)="",$G45,INDEX($G45:$P45,$E$6))</f>
        <v>0</v>
      </c>
      <c r="F45" s="62"/>
      <c r="G45" s="50"/>
      <c r="H45" s="50"/>
      <c r="I45" s="50"/>
      <c r="J45" s="50"/>
      <c r="K45" s="50"/>
      <c r="L45" s="50"/>
      <c r="M45" s="50"/>
      <c r="N45" s="50"/>
      <c r="O45" s="50"/>
      <c r="P45" s="50"/>
    </row>
    <row r="46" spans="2:16" outlineLevel="1" x14ac:dyDescent="0.25">
      <c r="C46" t="s">
        <v>527</v>
      </c>
      <c r="D46" t="s">
        <v>845</v>
      </c>
      <c r="E46" s="20" cm="1">
        <f t="array" ref="E46">IF(INDEX($G46:$P46,$E$6)="",$G46,INDEX($G46:$P46,$E$6))</f>
        <v>0</v>
      </c>
      <c r="F46" s="62"/>
      <c r="G46" s="50"/>
      <c r="H46" s="50"/>
      <c r="I46" s="50"/>
      <c r="J46" s="50"/>
      <c r="K46" s="50"/>
      <c r="L46" s="50"/>
      <c r="M46" s="50"/>
      <c r="N46" s="50"/>
      <c r="O46" s="50"/>
      <c r="P46" s="50"/>
    </row>
    <row r="47" spans="2:16" outlineLevel="1" x14ac:dyDescent="0.25">
      <c r="C47" t="s">
        <v>45</v>
      </c>
      <c r="D47" t="s">
        <v>845</v>
      </c>
      <c r="E47" s="20">
        <f>SUM(E41:E46)</f>
        <v>0</v>
      </c>
      <c r="F47" s="62"/>
      <c r="G47" s="20"/>
      <c r="H47" s="20"/>
      <c r="I47" s="20"/>
      <c r="J47" s="20"/>
      <c r="K47" s="20"/>
      <c r="L47" s="20"/>
      <c r="M47" s="20"/>
      <c r="N47" s="20"/>
      <c r="O47" s="20"/>
      <c r="P47" s="20"/>
    </row>
    <row r="48" spans="2:16" outlineLevel="1" x14ac:dyDescent="0.25">
      <c r="C48" t="s">
        <v>528</v>
      </c>
      <c r="D48" t="s">
        <v>844</v>
      </c>
      <c r="E48" s="1">
        <f>E47*E16</f>
        <v>0</v>
      </c>
      <c r="F48" s="59" t="s">
        <v>529</v>
      </c>
      <c r="G48" s="1"/>
      <c r="H48" s="1"/>
      <c r="I48" s="1"/>
      <c r="J48" s="1"/>
      <c r="K48" s="1"/>
      <c r="L48" s="1"/>
      <c r="M48" s="1"/>
      <c r="N48" s="1"/>
      <c r="O48" s="1"/>
      <c r="P48" s="1"/>
    </row>
    <row r="49" spans="2:16" x14ac:dyDescent="0.25">
      <c r="C49" t="s">
        <v>530</v>
      </c>
      <c r="D49" t="s">
        <v>16</v>
      </c>
      <c r="E49" s="24" cm="1">
        <f t="array" ref="E49">IF(INDEX($G49:$P49,$E$6)="",$G49,INDEX($G49:$P49,$E$6))</f>
        <v>0</v>
      </c>
      <c r="F49" s="61" t="s">
        <v>1690</v>
      </c>
      <c r="G49" s="49">
        <v>0</v>
      </c>
      <c r="H49" s="49"/>
      <c r="I49" s="49"/>
      <c r="J49" s="49"/>
      <c r="K49" s="49"/>
      <c r="L49" s="49"/>
      <c r="M49" s="49"/>
      <c r="N49" s="49"/>
      <c r="O49" s="49"/>
      <c r="P49" s="49"/>
    </row>
    <row r="50" spans="2:16" x14ac:dyDescent="0.25">
      <c r="C50" t="s">
        <v>531</v>
      </c>
      <c r="D50" t="s">
        <v>16</v>
      </c>
      <c r="E50" s="24" cm="1">
        <f t="array" ref="E50">IF(INDEX($G50:$P50,$E$6)="",$G50,INDEX($G50:$P50,$E$6))</f>
        <v>6</v>
      </c>
      <c r="F50" s="61"/>
      <c r="G50" s="49">
        <v>6</v>
      </c>
      <c r="H50" s="49"/>
      <c r="I50" s="49"/>
      <c r="J50" s="49"/>
      <c r="K50" s="49"/>
      <c r="L50" s="49"/>
      <c r="M50" s="49"/>
      <c r="N50" s="49"/>
      <c r="O50" s="49"/>
      <c r="P50" s="49"/>
    </row>
    <row r="51" spans="2:16" x14ac:dyDescent="0.25">
      <c r="C51" t="s">
        <v>532</v>
      </c>
      <c r="D51" t="s">
        <v>16</v>
      </c>
      <c r="E51" s="24" cm="1">
        <f t="array" ref="E51">IF(INDEX($G51:$P51,$E$6)="",$G51,INDEX($G51:$P51,$E$6))</f>
        <v>6</v>
      </c>
      <c r="F51" s="61"/>
      <c r="G51" s="49">
        <v>6</v>
      </c>
      <c r="H51" s="49"/>
      <c r="I51" s="49"/>
      <c r="J51" s="49"/>
      <c r="K51" s="49"/>
      <c r="L51" s="49"/>
      <c r="M51" s="49"/>
      <c r="N51" s="49"/>
      <c r="O51" s="49"/>
      <c r="P51" s="49"/>
    </row>
    <row r="52" spans="2:16" x14ac:dyDescent="0.25">
      <c r="C52" t="s">
        <v>533</v>
      </c>
      <c r="D52" t="s">
        <v>16</v>
      </c>
      <c r="E52" s="24" cm="1">
        <f t="array" ref="E52">IF(INDEX($G52:$P52,$E$6)="",$G52,INDEX($G52:$P52,$E$6))</f>
        <v>6</v>
      </c>
      <c r="F52" s="61"/>
      <c r="G52" s="49">
        <v>6</v>
      </c>
      <c r="H52" s="49"/>
      <c r="I52" s="49"/>
      <c r="J52" s="49"/>
      <c r="K52" s="49"/>
      <c r="L52" s="49"/>
      <c r="M52" s="49"/>
      <c r="N52" s="49"/>
      <c r="O52" s="49"/>
      <c r="P52" s="49"/>
    </row>
    <row r="53" spans="2:16" x14ac:dyDescent="0.25">
      <c r="C53" t="s">
        <v>534</v>
      </c>
      <c r="D53" t="s">
        <v>16</v>
      </c>
      <c r="E53" s="24" cm="1">
        <f t="array" ref="E53">IF(INDEX($G53:$P53,$E$6)="",$G53,INDEX($G53:$P53,$E$6))</f>
        <v>7</v>
      </c>
      <c r="F53" s="61"/>
      <c r="G53" s="49">
        <v>7</v>
      </c>
      <c r="H53" s="49"/>
      <c r="I53" s="49"/>
      <c r="J53" s="49"/>
      <c r="K53" s="49"/>
      <c r="L53" s="49"/>
      <c r="M53" s="49"/>
      <c r="N53" s="49"/>
      <c r="O53" s="49"/>
      <c r="P53" s="49"/>
    </row>
    <row r="54" spans="2:16" x14ac:dyDescent="0.25">
      <c r="C54" t="s">
        <v>535</v>
      </c>
      <c r="D54" t="s">
        <v>16</v>
      </c>
      <c r="E54" s="24" cm="1">
        <f t="array" ref="E54">IF(INDEX($G54:$P54,$E$6)="",$G54,INDEX($G54:$P54,$E$6))</f>
        <v>7</v>
      </c>
      <c r="F54" s="61"/>
      <c r="G54" s="49">
        <v>7</v>
      </c>
      <c r="H54" s="49"/>
      <c r="I54" s="49"/>
      <c r="J54" s="49"/>
      <c r="K54" s="49"/>
      <c r="L54" s="49"/>
      <c r="M54" s="49"/>
      <c r="N54" s="49"/>
      <c r="O54" s="49"/>
      <c r="P54" s="49"/>
    </row>
    <row r="55" x14ac:dyDescent="0.25">
      <c r="C55" t="s">
        <v>536</v>
      </c>
      <c r="D55" t="s">
        <v>16</v>
      </c>
      <c r="E55" s="24">
        <f>IF(E298="",SUM(E49:E54),(YEAR(E298)-YEAR(E27))*12+MONTH(E298)-MONTH(E27)-E152-E153)</f>
        <v>35</v>
      </c>
      <c r="F55" s="61" t="inlineStr">
        <is>
          <t xml:space="preserve">Milestone sum, or derived from the COD override (Inputs row 298 ← Control Panel section c; Bora Sep-2031)</t>
        </is>
      </c>
      <c r="G55" s="24"/>
      <c r="H55" s="24"/>
      <c r="I55" s="24"/>
      <c r="J55" s="24"/>
      <c r="K55" s="24"/>
      <c r="L55" s="24"/>
      <c r="M55" s="24"/>
      <c r="N55" s="24"/>
      <c r="O55" s="24"/>
      <c r="P55" s="24"/>
    </row>
    <row r="56" spans="2:16" x14ac:dyDescent="0.25">
      <c r="C56" t="s">
        <v>224</v>
      </c>
      <c r="D56" t="s">
        <v>15</v>
      </c>
      <c r="E56" s="34">
        <f>EOMONTH(E27,E55)</f>
        <v>47299</v>
      </c>
      <c r="F56" s="175"/>
      <c r="G56" s="34"/>
      <c r="H56" s="34"/>
      <c r="I56" s="34"/>
      <c r="J56" s="34"/>
      <c r="K56" s="34"/>
      <c r="L56" s="34"/>
      <c r="M56" s="34"/>
      <c r="N56" s="34"/>
      <c r="O56" s="34"/>
      <c r="P56" s="34"/>
    </row>
    <row r="57" spans="2:16" x14ac:dyDescent="0.25">
      <c r="C57" t="s">
        <v>537</v>
      </c>
      <c r="D57" t="s">
        <v>16</v>
      </c>
      <c r="E57" s="24">
        <f>E55+E28</f>
        <v>44</v>
      </c>
      <c r="F57" s="61"/>
      <c r="G57" s="24"/>
      <c r="H57" s="24"/>
      <c r="I57" s="24"/>
      <c r="J57" s="24"/>
      <c r="K57" s="24"/>
      <c r="L57" s="24"/>
      <c r="M57" s="24"/>
      <c r="N57" s="24"/>
      <c r="O57" s="24"/>
      <c r="P57" s="24"/>
    </row>
    <row r="58" spans="2:16" x14ac:dyDescent="0.25">
      <c r="C58" t="s">
        <v>538</v>
      </c>
      <c r="D58" t="s">
        <v>15</v>
      </c>
      <c r="E58" s="34">
        <f>EOMONTH(E27,E57)</f>
        <v>47573</v>
      </c>
      <c r="F58" s="60"/>
      <c r="G58" s="34"/>
      <c r="H58" s="34"/>
      <c r="I58" s="34"/>
      <c r="J58" s="34"/>
      <c r="K58" s="34"/>
      <c r="L58" s="34"/>
      <c r="M58" s="34"/>
      <c r="N58" s="34"/>
      <c r="O58" s="34"/>
      <c r="P58" s="34"/>
    </row>
    <row r="59" spans="2:16" x14ac:dyDescent="0.25">
      <c r="F59" s="40"/>
    </row>
    <row r="60" spans="2:16" x14ac:dyDescent="0.25">
      <c r="B60" t="s">
        <v>4</v>
      </c>
      <c r="C60" s="43" t="s">
        <v>539</v>
      </c>
      <c r="D60" s="43"/>
      <c r="E60" s="43"/>
      <c r="F60" s="56"/>
      <c r="G60" s="43"/>
      <c r="H60" s="43"/>
      <c r="I60" s="43"/>
      <c r="J60" s="43"/>
      <c r="K60" s="43"/>
      <c r="L60" s="43"/>
      <c r="M60" s="43"/>
      <c r="N60" s="43"/>
      <c r="O60" s="43"/>
      <c r="P60" s="43"/>
    </row>
    <row r="61" spans="2:16" x14ac:dyDescent="0.25">
      <c r="C61" t="s">
        <v>540</v>
      </c>
      <c r="D61" t="s">
        <v>365</v>
      </c>
      <c r="E61" s="31" cm="1">
        <f t="array" ref="E61">IF(INDEX($G61:$P61,$E$6)="",$G61,INDEX($G61:$P61,$E$6))</f>
        <v>0.12</v>
      </c>
      <c r="F61" s="58" t="s">
        <v>541</v>
      </c>
      <c r="G61" s="45">
        <v>0.12</v>
      </c>
      <c r="H61" s="45"/>
      <c r="I61" s="45"/>
      <c r="J61" s="45"/>
      <c r="K61" s="45"/>
      <c r="L61" s="45"/>
      <c r="M61" s="45"/>
      <c r="N61" s="45"/>
      <c r="O61" s="45"/>
      <c r="P61" s="45"/>
    </row>
    <row r="62" spans="2:16" x14ac:dyDescent="0.25">
      <c r="C62" t="s">
        <v>542</v>
      </c>
      <c r="D62" t="s">
        <v>365</v>
      </c>
      <c r="E62" s="31" cm="1">
        <f t="array" ref="E62">IF(INDEX($G62:$P62,$E$6)="",$G62,INDEX($G62:$P62,$E$6))</f>
        <v>0.2</v>
      </c>
      <c r="F62" s="58" t="s">
        <v>543</v>
      </c>
      <c r="G62" s="45">
        <v>0.2</v>
      </c>
      <c r="H62" s="45"/>
      <c r="I62" s="45"/>
      <c r="J62" s="45"/>
      <c r="K62" s="45"/>
      <c r="L62" s="45"/>
      <c r="M62" s="45"/>
      <c r="N62" s="45"/>
      <c r="O62" s="45"/>
      <c r="P62" s="45"/>
    </row>
    <row r="63" spans="2:16" x14ac:dyDescent="0.25">
      <c r="C63" t="s">
        <v>544</v>
      </c>
      <c r="D63" t="s">
        <v>4</v>
      </c>
      <c r="E63" s="3" cm="1">
        <f t="array" ref="E63">IF(INDEX($G63:$P63,$E$6)="",$G63,INDEX($G63:$P63,$E$6))</f>
        <v>2</v>
      </c>
      <c r="F63" s="63" t="s">
        <v>545</v>
      </c>
      <c r="G63" s="51">
        <v>2</v>
      </c>
      <c r="H63" s="51"/>
      <c r="I63" s="51"/>
      <c r="J63" s="51"/>
      <c r="K63" s="51"/>
      <c r="L63" s="51"/>
      <c r="M63" s="51"/>
      <c r="N63" s="51"/>
      <c r="O63" s="51"/>
      <c r="P63" s="51"/>
    </row>
    <row r="64" x14ac:dyDescent="0.25">
      <c r="C64" t="inlineStr">
        <is>
          <t xml:space="preserve">Interest pause start (no accrual after this date until the pause end, row 73)</t>
        </is>
      </c>
      <c r="D64" t="s">
        <v>15</v>
      </c>
      <c r="E64" s="212" cm="1">
        <f t="array" ref="E64">IF(INDEX($G64:$P64,$E$6)="",$G64,INDEX($G64:$P64,$E$6))</f>
        <v>47299</v>
      </c>
      <c r="F64" s="63" t="str">
        <f>"Interest pause "&amp;TEXT(DAY(E64),"00")&amp;"/"&amp;TEXT(MONTH(E64),"00")&amp;"/"&amp;YEAR(E64)&amp;" – "&amp;TEXT(DAY(E73),"00")&amp;"/"&amp;TEXT(MONTH(E73),"00")&amp;"/"&amp;YEAR(E73)&amp;": no accrual in between (user 09-Oct-26)"</f>
        <v>Interest pause 30/06/2029 – 01/01/2030: no accrual in between (user 09-Oct-26)</v>
      </c>
      <c r="G64" s="211">
        <f>DATE(2029,6,30)</f>
        <v>47299</v>
      </c>
      <c r="H64" s="51"/>
      <c r="I64" s="51"/>
      <c r="J64" s="51"/>
      <c r="K64" s="51"/>
      <c r="L64" s="51"/>
      <c r="M64" s="51"/>
      <c r="N64" s="51"/>
      <c r="O64" s="51"/>
      <c r="P64" s="51"/>
    </row>
    <row r="65" spans="2:16" x14ac:dyDescent="0.25">
      <c r="C65" t="s">
        <v>1588</v>
      </c>
      <c r="D65" t="s">
        <v>365</v>
      </c>
      <c r="E65" s="213" cm="1">
        <f t="array" ref="E65">IF(INDEX($G65:$P65,$E$6)="",$G65,INDEX($G65:$P65,$E$6))</f>
        <v>0.06</v>
      </c>
      <c r="F65" s="63" t="s">
        <v>1589</v>
      </c>
      <c r="G65" s="45">
        <v>0.06</v>
      </c>
      <c r="H65" s="51"/>
      <c r="I65" s="51"/>
      <c r="J65" s="51"/>
      <c r="K65" s="51"/>
      <c r="L65" s="51"/>
      <c r="M65" s="51"/>
      <c r="N65" s="51"/>
      <c r="O65" s="51"/>
      <c r="P65" s="51"/>
    </row>
    <row r="66" x14ac:dyDescent="0.25">
      <c r="C66" t="s">
        <v>1601</v>
      </c>
      <c r="D66" t="s">
        <v>29</v>
      </c>
      <c r="E66" s="86" cm="1">
        <f t="array" ref="E66">IF(INDEX($G66:$P66,$E$6)="",$G66,INDEX($G66:$P66,$E$6))</f>
        <v>1</v>
      </c>
      <c r="F66" s="63" t="inlineStr">
        <is>
          <t xml:space="preserve">1 = flat 2× principal in the memo loan schedule (rows 126 / 130); 0 = 20 % compounding topped up to 2×. The waterfall claim (MOIC G131 / G280) always follows BORA_Devex column P: MAX(20 % growth to the exit excl. the pause, 2×) – 2× while the growth is below 2×.</t>
        </is>
      </c>
      <c r="G66" s="49">
        <v>1</v>
      </c>
      <c r="H66" s="51"/>
      <c r="I66" s="51"/>
      <c r="J66" s="51"/>
      <c r="K66" s="51"/>
      <c r="L66" s="51"/>
      <c r="M66" s="51"/>
      <c r="N66" s="51"/>
      <c r="O66" s="51"/>
      <c r="P66" s="51"/>
    </row>
    <row r="67" spans="2:16" x14ac:dyDescent="0.25">
      <c r="C67" t="s">
        <v>1882</v>
      </c>
      <c r="D67" t="s">
        <v>29</v>
      </c>
      <c r="E67" s="86" cm="1">
        <f t="array" ref="E67">IF(INDEX($G67:$P67,$E$6)="",$G67,INDEX($G67:$P67,$E$6))</f>
        <v>1</v>
      </c>
      <c r="F67" s="179" t="s">
        <v>1708</v>
      </c>
      <c r="G67" s="49">
        <v>1</v>
      </c>
      <c r="H67" s="51"/>
      <c r="I67" s="51"/>
      <c r="J67" s="51"/>
      <c r="K67" s="51"/>
      <c r="L67" s="51"/>
      <c r="M67" s="51"/>
      <c r="N67" s="51"/>
      <c r="O67" s="51"/>
      <c r="P67" s="51"/>
    </row>
    <row r="68" spans="2:16" x14ac:dyDescent="0.25">
      <c r="C68" t="s">
        <v>1605</v>
      </c>
      <c r="D68" t="s">
        <v>2</v>
      </c>
      <c r="E68" s="213" cm="1">
        <f t="array" ref="E68">IF(INDEX($G68:$P68,$E$6)="",$G68,INDEX($G68:$P68,$E$6))</f>
        <v>0.1</v>
      </c>
      <c r="F68" s="63" t="s">
        <v>1608</v>
      </c>
      <c r="G68" s="45">
        <v>0.1</v>
      </c>
      <c r="H68" s="51"/>
      <c r="I68" s="51"/>
      <c r="J68" s="51"/>
      <c r="K68" s="51"/>
      <c r="L68" s="51"/>
      <c r="M68" s="51"/>
      <c r="N68" s="51"/>
      <c r="O68" s="51"/>
      <c r="P68" s="51"/>
    </row>
    <row r="69" spans="2:16" x14ac:dyDescent="0.25">
      <c r="C69" t="s">
        <v>1606</v>
      </c>
      <c r="D69" t="s">
        <v>29</v>
      </c>
      <c r="E69" s="86" cm="1">
        <f t="array" ref="E69">IF(INDEX($G69:$P69,$E$6)="",$G69,INDEX($G69:$P69,$E$6))</f>
        <v>1</v>
      </c>
      <c r="F69" s="63" t="s">
        <v>1609</v>
      </c>
      <c r="G69" s="49">
        <v>1</v>
      </c>
      <c r="H69" s="51"/>
      <c r="I69" s="51"/>
      <c r="J69" s="51"/>
      <c r="K69" s="51"/>
      <c r="L69" s="51"/>
      <c r="M69" s="51"/>
      <c r="N69" s="51"/>
      <c r="O69" s="51"/>
      <c r="P69" s="51"/>
    </row>
    <row r="70" spans="2:16" x14ac:dyDescent="0.25">
      <c r="C70" t="s">
        <v>1607</v>
      </c>
      <c r="D70" t="s">
        <v>15</v>
      </c>
      <c r="E70" s="212" cm="1">
        <f t="array" ref="E70">IF(INDEX($G70:$P70,$E$6)="",$G70,INDEX($G70:$P70,$E$6))</f>
        <v>46321</v>
      </c>
      <c r="F70" s="63" t="s">
        <v>1610</v>
      </c>
      <c r="G70" s="211">
        <f>DATE(2026,10,26)</f>
        <v>46321</v>
      </c>
      <c r="H70" s="51"/>
      <c r="I70" s="51"/>
      <c r="J70" s="51"/>
      <c r="K70" s="51"/>
      <c r="L70" s="51"/>
      <c r="M70" s="51"/>
      <c r="N70" s="51"/>
      <c r="O70" s="51"/>
      <c r="P70" s="51"/>
    </row>
    <row r="71" spans="2:16" x14ac:dyDescent="0.25">
      <c r="C71" t="s">
        <v>1663</v>
      </c>
      <c r="D71" t="s">
        <v>29</v>
      </c>
      <c r="E71" s="86" cm="1">
        <f t="array" ref="E71">IF(INDEX($G71:$P71,$E$6)="",$G71,INDEX($G71:$P71,$E$6))</f>
        <v>0</v>
      </c>
      <c r="F71" s="63" t="s">
        <v>1665</v>
      </c>
      <c r="G71" s="49">
        <v>0</v>
      </c>
      <c r="H71" s="51"/>
      <c r="I71" s="51"/>
      <c r="J71" s="51"/>
      <c r="K71" s="51"/>
      <c r="L71" s="51"/>
      <c r="M71" s="51"/>
      <c r="N71" s="51"/>
      <c r="O71" s="51"/>
      <c r="P71" s="51"/>
    </row>
    <row r="72" spans="2:16" x14ac:dyDescent="0.25">
      <c r="C72" t="s">
        <v>1664</v>
      </c>
      <c r="D72" t="s">
        <v>365</v>
      </c>
      <c r="E72" s="213" cm="1">
        <f t="array" ref="E72">IF(INDEX($G72:$P72,$E$6)="",$G72,INDEX($G72:$P72,$E$6))</f>
        <v>0.08</v>
      </c>
      <c r="F72" s="63" t="s">
        <v>1680</v>
      </c>
      <c r="G72" s="213">
        <f>$E$13</f>
        <v>0.08</v>
      </c>
      <c r="H72" s="51"/>
      <c r="I72" s="51"/>
      <c r="J72" s="51"/>
      <c r="K72" s="51"/>
      <c r="L72" s="51"/>
      <c r="M72" s="51"/>
      <c r="N72" s="51"/>
      <c r="O72" s="51"/>
      <c r="P72" s="51"/>
    </row>
    <row r="73" x14ac:dyDescent="0.25">
      <c r="C73" t="inlineStr">
        <is>
          <t xml:space="preserve">Interest pause end (accrual resumes on this date; user 09-Oct-26)</t>
        </is>
      </c>
      <c r="D73" t="inlineStr">
        <is>
          <t xml:space="preserve">Date</t>
        </is>
      </c>
      <c r="E73" s="212">
        <f>IF(INDEX($G73:$P73,$E$6)="",$G73,INDEX($G73:$P73,$E$6))</f>
        <v>47484</v>
      </c>
      <c r="F73" s="63" t="inlineStr">
        <is>
          <t xml:space="preserve">Every interest / return accrual (securities 6 % / 12 %, participation fee, devex and land 20 % with the 2× minimum, shareholder-loan and guarantee interest) pauses from row 64 to here, then runs on to the exit date (RtB sale E58; COD sale E155). Not paused: success fee (BORA_Devex X37 = V37), bank guarantee fees. Exact while the pause ends on 1 January (each year keeps one stub); a pause ending mid-year splits that year into two simple stubs – cross-term r²·a·b/365², ≈ +0.8 % on a 20 % line for half a year each side – so a zero-length pause is not exactly the continuous accrual.</t>
        </is>
      </c>
      <c r="G73" s="211">
        <f>DATE(2030,1,1)</f>
        <v>47484</v>
      </c>
    </row>
    <row r="74" spans="2:16" x14ac:dyDescent="0.25">
      <c r="B74" t="s">
        <v>4</v>
      </c>
      <c r="C74" s="43" t="s">
        <v>546</v>
      </c>
      <c r="D74" s="43"/>
      <c r="E74" s="43"/>
      <c r="F74" s="56"/>
      <c r="G74" s="43"/>
      <c r="H74" s="43"/>
      <c r="I74" s="43"/>
      <c r="J74" s="43"/>
      <c r="K74" s="43"/>
      <c r="L74" s="43"/>
      <c r="M74" s="43"/>
      <c r="N74" s="43"/>
      <c r="O74" s="43"/>
      <c r="P74" s="43"/>
    </row>
    <row r="75" spans="2:16" x14ac:dyDescent="0.25">
      <c r="C75" t="s">
        <v>1261</v>
      </c>
      <c r="D75" t="s">
        <v>840</v>
      </c>
      <c r="E75" s="25" cm="1">
        <f t="array" ref="E75">IF(INDEX($G75:$P75,$E$6)="",$G75,INDEX($G75:$P75,$E$6))</f>
        <v>406</v>
      </c>
      <c r="F75" s="59" t="s">
        <v>1262</v>
      </c>
      <c r="G75" s="114">
        <v>406</v>
      </c>
      <c r="H75" s="46"/>
      <c r="I75" s="46"/>
      <c r="J75" s="46"/>
      <c r="K75" s="46"/>
      <c r="L75" s="46"/>
      <c r="M75" s="46"/>
      <c r="N75" s="46"/>
      <c r="O75" s="46"/>
      <c r="P75" s="46"/>
    </row>
    <row r="76" spans="2:16" x14ac:dyDescent="0.25">
      <c r="C76" t="s">
        <v>547</v>
      </c>
      <c r="D76" t="s">
        <v>548</v>
      </c>
      <c r="E76" s="22" cm="1">
        <f t="array" ref="E76">IF(INDEX($G76:$P76,$E$6)="",$G76,INDEX($G76:$P76,$E$6))</f>
        <v>0.005</v>
      </c>
      <c r="F76" s="64" t="s">
        <v>1759</v>
      </c>
      <c r="G76" s="52">
        <v>5.0000000000000001E-3</v>
      </c>
      <c r="H76" s="52"/>
      <c r="I76" s="52"/>
      <c r="J76" s="52"/>
      <c r="K76" s="52"/>
      <c r="L76" s="52"/>
      <c r="M76" s="52"/>
      <c r="N76" s="52"/>
      <c r="O76" s="52"/>
      <c r="P76" s="52"/>
    </row>
    <row r="77" spans="2:16" x14ac:dyDescent="0.25">
      <c r="C77" t="s">
        <v>549</v>
      </c>
      <c r="D77" t="s">
        <v>548</v>
      </c>
      <c r="E77" s="22" cm="1">
        <f t="array" ref="E77">IF(INDEX($G77:$P77,$E$6)="",$G77,INDEX($G77:$P77,$E$6))</f>
        <v>0.025</v>
      </c>
      <c r="F77" s="64"/>
      <c r="G77" s="52">
        <v>2.5000000000000001E-2</v>
      </c>
      <c r="H77" s="52"/>
      <c r="I77" s="52"/>
      <c r="J77" s="52"/>
      <c r="K77" s="52"/>
      <c r="L77" s="52"/>
      <c r="M77" s="52"/>
      <c r="N77" s="52"/>
      <c r="O77" s="52"/>
      <c r="P77" s="52"/>
    </row>
    <row r="78" x14ac:dyDescent="0.25">
      <c r="C78" t="s">
        <v>550</v>
      </c>
      <c r="D78" t="s">
        <v>548</v>
      </c>
      <c r="E78" s="22" cm="1">
        <f t="array" ref="E78">IF(INDEX($G78:$P78,$E$6)="",$G78,INDEX($G78:$P78,$E$6))</f>
        <v>0</v>
      </c>
      <c r="F78" s="64" t="inlineStr">
        <is>
          <t xml:space="preserve">0 – no supplementary security (kiegészítő biztosíték) in this procedure: GYIK 70 (user 09-Oct-26; removed 07-Oct-26, was 5 %). Deposits rows 13–17 stay at 0; the Bora reconciliation excludes the source's supplementary lines (Deposits E50).</t>
        </is>
      </c>
      <c r="G78" s="52">
        <v>0</v>
      </c>
      <c r="H78" s="52"/>
      <c r="I78" s="52"/>
      <c r="J78" s="52"/>
      <c r="K78" s="52"/>
      <c r="L78" s="52"/>
      <c r="M78" s="52"/>
      <c r="N78" s="52"/>
      <c r="O78" s="52"/>
      <c r="P78" s="52"/>
    </row>
    <row r="79" spans="2:16" x14ac:dyDescent="0.25">
      <c r="C79" t="s">
        <v>551</v>
      </c>
      <c r="D79" t="s">
        <v>2</v>
      </c>
      <c r="E79" s="31" cm="1">
        <f t="array" ref="E79">IF(INDEX($G79:$P79,$E$6)="",$G79,INDEX($G79:$P79,$E$6))</f>
        <v>0.4</v>
      </c>
      <c r="F79" s="58" t="s">
        <v>552</v>
      </c>
      <c r="G79" s="45">
        <v>0.4</v>
      </c>
      <c r="H79" s="45"/>
      <c r="I79" s="45"/>
      <c r="J79" s="45"/>
      <c r="K79" s="45"/>
      <c r="L79" s="45"/>
      <c r="M79" s="45"/>
      <c r="N79" s="45"/>
      <c r="O79" s="45"/>
      <c r="P79" s="45"/>
    </row>
    <row r="80" spans="2:16" x14ac:dyDescent="0.25">
      <c r="C80" t="s">
        <v>553</v>
      </c>
      <c r="D80" t="s">
        <v>2</v>
      </c>
      <c r="E80" s="31" cm="1">
        <f t="array" ref="E80">IF(INDEX($G80:$P80,$E$6)="",$G80,INDEX($G80:$P80,$E$6))</f>
        <v>0.2</v>
      </c>
      <c r="F80" s="58"/>
      <c r="G80" s="45">
        <v>0.2</v>
      </c>
      <c r="H80" s="45"/>
      <c r="I80" s="45"/>
      <c r="J80" s="45"/>
      <c r="K80" s="45"/>
      <c r="L80" s="45"/>
      <c r="M80" s="45"/>
      <c r="N80" s="45"/>
      <c r="O80" s="45"/>
      <c r="P80" s="45"/>
    </row>
    <row r="81" spans="2:16" x14ac:dyDescent="0.25">
      <c r="C81" t="s">
        <v>554</v>
      </c>
      <c r="D81" t="s">
        <v>841</v>
      </c>
      <c r="E81" s="25" cm="1">
        <f t="array" ref="E81">IF(INDEX($G81:$P81,$E$6)="",$G81,INDEX($G81:$P81,$E$6))</f>
        <v>3</v>
      </c>
      <c r="F81" s="59" t="s">
        <v>1102</v>
      </c>
      <c r="G81" s="114">
        <v>3</v>
      </c>
      <c r="H81" s="46"/>
      <c r="I81" s="46"/>
      <c r="J81" s="46"/>
      <c r="K81" s="46"/>
      <c r="L81" s="46"/>
      <c r="M81" s="46"/>
      <c r="N81" s="46"/>
      <c r="O81" s="46"/>
      <c r="P81" s="46"/>
    </row>
    <row r="82" x14ac:dyDescent="0.25">
      <c r="C82" t="inlineStr">
        <is>
          <t xml:space="preserve">Number of separate bids (fee is per bid)</t>
        </is>
      </c>
      <c r="D82" t="s">
        <v>7</v>
      </c>
      <c r="E82" s="24" cm="1">
        <f t="array" ref="E82">IF(INDEX($G82:$P82,$E$6)="",$G82,INDEX($G82:$P82,$E$6))</f>
        <v>2</v>
      </c>
      <c r="F82" s="61" t="s">
        <v>1157</v>
      </c>
      <c r="G82" s="467">
        <f>'Control Panel'!$E$80</f>
        <v>2</v>
      </c>
      <c r="H82" s="46"/>
      <c r="I82" s="46"/>
      <c r="J82" s="46"/>
      <c r="K82" s="46"/>
      <c r="L82" s="46"/>
      <c r="M82" s="46"/>
      <c r="N82" s="46"/>
      <c r="O82" s="46"/>
      <c r="P82" s="46"/>
    </row>
    <row r="83" spans="2:16" x14ac:dyDescent="0.25">
      <c r="C83" t="s">
        <v>555</v>
      </c>
      <c r="D83" t="s">
        <v>840</v>
      </c>
      <c r="E83" s="25" cm="1">
        <f t="array" ref="E83">IF(INDEX($G83:$P83,$E$6)="",$G83,INDEX($G83:$P83,$E$6))</f>
        <v>4.5</v>
      </c>
      <c r="F83" s="59" t="s">
        <v>1268</v>
      </c>
      <c r="G83" s="114">
        <v>4.5</v>
      </c>
      <c r="H83" s="46"/>
      <c r="I83" s="46"/>
      <c r="J83" s="46"/>
      <c r="K83" s="46"/>
      <c r="L83" s="46"/>
      <c r="M83" s="46"/>
      <c r="N83" s="46"/>
      <c r="O83" s="46"/>
      <c r="P83" s="46"/>
    </row>
    <row r="84" x14ac:dyDescent="0.25">
      <c r="C84" t="s">
        <v>1266</v>
      </c>
      <c r="D84" t="s">
        <v>840</v>
      </c>
      <c r="E84" s="25" cm="1">
        <f t="array" ref="E84">IF(INDEX($G84:$P84,$E$6)="",$G84,INDEX($G84:$P84,$E$6))</f>
        <v>2.54172902</v>
      </c>
      <c r="F84" s="59" t="inlineStr">
        <is>
          <t xml:space="preserve">BORA_Devex_20261002_BG row 19 (unchanged since 25-Sep): direct connection fee 508,345,804 HUF (k€ 1,374 at 370 HUF/EUR in the example); expressed per MW so it scales with capacity. Paid on the connection fee date.</t>
        </is>
      </c>
      <c r="G84" s="469">
        <f>'Control Panel'!$E$82/1000000/'Control Panel'!$E$74</f>
        <v>2.54172902</v>
      </c>
      <c r="H84" s="46"/>
      <c r="I84" s="46"/>
      <c r="J84" s="46"/>
      <c r="K84" s="46"/>
      <c r="L84" s="46"/>
      <c r="M84" s="46"/>
      <c r="N84" s="46"/>
      <c r="O84" s="46"/>
      <c r="P84" s="46"/>
    </row>
    <row r="85" x14ac:dyDescent="0.25">
      <c r="C85" t="s">
        <v>556</v>
      </c>
      <c r="D85" t="s">
        <v>840</v>
      </c>
      <c r="E85" s="25" cm="1">
        <f t="array" ref="E85">IF(INDEX($G85:$P85,$E$6)="",$G85,INDEX($G85:$P85,$E$6))</f>
        <v>73.071306</v>
      </c>
      <c r="F85" s="59" t="inlineStr">
        <is>
          <t xml:space="preserve">BORA_Devex_20261002_BG row 18: 73,071,306 HUF/MW (unchanged), booked net of the TSO bond. The example applies it to its 260 MW wind capacity (V6; k€ 48,915); the model to the net MVA (Inputs E18) – Bora 200 MVA: k€ 37,573 at 365 HUF/EUR.</t>
        </is>
      </c>
      <c r="G85" s="469">
        <f>'Control Panel'!$E$81/1000000</f>
        <v>73.071306</v>
      </c>
      <c r="H85" s="46"/>
      <c r="I85" s="46"/>
      <c r="J85" s="46"/>
      <c r="K85" s="46"/>
      <c r="L85" s="46"/>
      <c r="M85" s="46"/>
      <c r="N85" s="46"/>
      <c r="O85" s="46"/>
      <c r="P85" s="46"/>
    </row>
    <row r="86" spans="2:16" x14ac:dyDescent="0.25">
      <c r="C86" t="s">
        <v>557</v>
      </c>
      <c r="D86" t="s">
        <v>22</v>
      </c>
      <c r="E86" s="19" cm="1">
        <f t="array" ref="E86">IF(INDEX($G86:$P86,$E$6)="",$G86,INDEX($G86:$P86,$E$6))</f>
        <v>200</v>
      </c>
      <c r="F86" s="57" t="s">
        <v>558</v>
      </c>
      <c r="G86" s="44">
        <v>200</v>
      </c>
      <c r="H86" s="44"/>
      <c r="I86" s="44"/>
      <c r="J86" s="44"/>
      <c r="K86" s="44"/>
      <c r="L86" s="44"/>
      <c r="M86" s="44"/>
      <c r="N86" s="44"/>
      <c r="O86" s="44"/>
      <c r="P86" s="44"/>
    </row>
    <row r="87" spans="2:16" x14ac:dyDescent="0.25">
      <c r="C87" t="s">
        <v>559</v>
      </c>
      <c r="D87" t="s">
        <v>726</v>
      </c>
      <c r="E87" s="20" cm="1">
        <f t="array" ref="E87">IF(INDEX($G87:$P87,$E$6)="",$G87,INDEX($G87:$P87,$E$6))</f>
        <v>22797.61</v>
      </c>
      <c r="F87" s="59" t="s">
        <v>560</v>
      </c>
      <c r="G87" s="50">
        <v>22797.61</v>
      </c>
      <c r="H87" s="46"/>
      <c r="I87" s="46"/>
      <c r="J87" s="46"/>
      <c r="K87" s="46"/>
      <c r="L87" s="46"/>
      <c r="M87" s="46"/>
      <c r="N87" s="46"/>
      <c r="O87" s="46"/>
      <c r="P87" s="46"/>
    </row>
    <row r="88" spans="2:16" x14ac:dyDescent="0.25">
      <c r="C88" t="s">
        <v>561</v>
      </c>
      <c r="D88" t="s">
        <v>726</v>
      </c>
      <c r="E88" s="20" cm="1">
        <f t="array" ref="E88">IF(INDEX($G88:$P88,$E$6)="",$G88,INDEX($G88:$P88,$E$6))</f>
        <v>21291.61</v>
      </c>
      <c r="F88" s="59" t="s">
        <v>560</v>
      </c>
      <c r="G88" s="50">
        <v>21291.61</v>
      </c>
      <c r="H88" s="46"/>
      <c r="I88" s="46"/>
      <c r="J88" s="46"/>
      <c r="K88" s="46"/>
      <c r="L88" s="46"/>
      <c r="M88" s="46"/>
      <c r="N88" s="46"/>
      <c r="O88" s="46"/>
      <c r="P88" s="46"/>
    </row>
    <row r="89" spans="2:16" x14ac:dyDescent="0.25">
      <c r="C89" t="s">
        <v>1254</v>
      </c>
      <c r="D89" t="s">
        <v>1255</v>
      </c>
      <c r="E89" s="25" cm="1">
        <f t="array" ref="E89">IF(INDEX($G89:$P89,$E$6)="",$G89,INDEX($G89:$P89,$E$6))</f>
        <v>200</v>
      </c>
      <c r="F89" s="59" t="s">
        <v>1256</v>
      </c>
      <c r="G89" s="114">
        <v>200</v>
      </c>
      <c r="H89" s="46"/>
      <c r="I89" s="46"/>
      <c r="J89" s="46"/>
      <c r="K89" s="46"/>
      <c r="L89" s="46"/>
      <c r="M89" s="46"/>
      <c r="N89" s="46"/>
      <c r="O89" s="46"/>
      <c r="P89" s="46"/>
    </row>
    <row r="90" x14ac:dyDescent="0.25">
      <c r="C90" t="s">
        <v>1257</v>
      </c>
      <c r="D90" t="s">
        <v>4</v>
      </c>
      <c r="E90" s="25" cm="1">
        <f t="array" ref="E90">IF(INDEX($G90:$P90,$E$6)="",$G90,INDEX($G90:$P90,$E$6))</f>
        <v>1.5</v>
      </c>
      <c r="F90" s="59" t="inlineStr">
        <is>
          <t xml:space="preserve">Applies to the performance bond only, as in the BORA Devex file (I7 = 2.5% × base × uplift − bid bond). Linked to Tender J17 (ÖSZ-6 of the active strategy: S0 100% / S1 150% / S2 160% / S3 200% / S4 210%). The bid bond stays at 0.5% of the base and is credited against the performance bond.</t>
        </is>
      </c>
      <c r="G90" s="533">
        <f>Tender!$J$17</f>
        <v>1.5</v>
      </c>
      <c r="H90" s="46"/>
      <c r="I90" s="46"/>
      <c r="J90" s="46"/>
      <c r="K90" s="46"/>
      <c r="L90" s="46"/>
      <c r="M90" s="46"/>
      <c r="N90" s="46"/>
      <c r="O90" s="46"/>
      <c r="P90" s="46"/>
    </row>
    <row r="91" spans="2:16" x14ac:dyDescent="0.25">
      <c r="C91" t="s">
        <v>1258</v>
      </c>
      <c r="D91" t="s">
        <v>726</v>
      </c>
      <c r="E91" s="19">
        <f>E16*IF(E18=0,1,E29/E18)*E75+E22*E89</f>
        <v>177966</v>
      </c>
      <c r="F91" s="57" t="s">
        <v>2518</v>
      </c>
      <c r="G91" s="19"/>
      <c r="H91" s="19"/>
      <c r="I91" s="19"/>
      <c r="J91" s="19"/>
      <c r="K91" s="19"/>
      <c r="L91" s="19"/>
      <c r="M91" s="19"/>
      <c r="N91" s="19"/>
      <c r="O91" s="19"/>
      <c r="P91" s="19"/>
    </row>
    <row r="92" spans="2:16" x14ac:dyDescent="0.25">
      <c r="C92" t="s">
        <v>1259</v>
      </c>
      <c r="D92" t="s">
        <v>726</v>
      </c>
      <c r="E92" s="19">
        <f>E29*E75+E23*E89</f>
        <v>177966</v>
      </c>
      <c r="F92" s="57" t="s">
        <v>1260</v>
      </c>
      <c r="G92" s="19"/>
      <c r="H92" s="19"/>
      <c r="I92" s="19"/>
      <c r="J92" s="19"/>
      <c r="K92" s="19"/>
      <c r="L92" s="19"/>
      <c r="M92" s="19"/>
      <c r="N92" s="19"/>
      <c r="O92" s="19"/>
      <c r="P92" s="19"/>
    </row>
    <row r="93" x14ac:dyDescent="0.25"/>
    <row r="94" spans="2:16" x14ac:dyDescent="0.25">
      <c r="B94" t="s">
        <v>4</v>
      </c>
      <c r="C94" s="43" t="s">
        <v>562</v>
      </c>
      <c r="D94" s="43"/>
      <c r="E94" s="43"/>
      <c r="F94" s="56"/>
      <c r="G94" s="43"/>
      <c r="H94" s="43"/>
      <c r="I94" s="43"/>
      <c r="J94" s="43"/>
      <c r="K94" s="43"/>
      <c r="L94" s="43"/>
      <c r="M94" s="43"/>
      <c r="N94" s="43"/>
      <c r="O94" s="43"/>
      <c r="P94" s="43"/>
    </row>
    <row r="95" spans="2:16" x14ac:dyDescent="0.25">
      <c r="C95" t="s">
        <v>563</v>
      </c>
      <c r="D95" t="s">
        <v>15</v>
      </c>
      <c r="E95" s="34" cm="1">
        <f t="array" ref="E95">IF(INDEX($G95:$P95,$E$6)="",$G95,INDEX($G95:$P95,$E$6))</f>
        <v>46325</v>
      </c>
      <c r="F95" s="60" t="s">
        <v>1100</v>
      </c>
      <c r="G95" s="47">
        <f>DATE(2026,10,30)</f>
        <v>46325</v>
      </c>
      <c r="H95" s="47"/>
      <c r="I95" s="47"/>
      <c r="J95" s="47"/>
      <c r="K95" s="47"/>
      <c r="L95" s="47"/>
      <c r="M95" s="47"/>
      <c r="N95" s="47"/>
      <c r="O95" s="47"/>
      <c r="P95" s="47"/>
    </row>
    <row r="96" spans="2:16" x14ac:dyDescent="0.25">
      <c r="C96" t="s">
        <v>564</v>
      </c>
      <c r="D96" t="s">
        <v>15</v>
      </c>
      <c r="E96" s="34" cm="1">
        <f t="array" ref="E96">IF(INDEX($G96:$P96,$E$6)="",$G96,INDEX($G96:$P96,$E$6))</f>
        <v>46369</v>
      </c>
      <c r="F96" s="60" t="s">
        <v>1101</v>
      </c>
      <c r="G96" s="47">
        <f>DATE(2026,12,13)</f>
        <v>46369</v>
      </c>
      <c r="H96" s="47"/>
      <c r="I96" s="47"/>
      <c r="J96" s="47"/>
      <c r="K96" s="47"/>
      <c r="L96" s="47"/>
      <c r="M96" s="47"/>
      <c r="N96" s="47"/>
      <c r="O96" s="47"/>
      <c r="P96" s="47"/>
    </row>
    <row r="97" spans="2:16" x14ac:dyDescent="0.25">
      <c r="C97" t="s">
        <v>565</v>
      </c>
      <c r="D97" t="s">
        <v>15</v>
      </c>
      <c r="E97" s="34" cm="1">
        <f t="array" ref="E97">IF(INDEX($G97:$P97,$E$6)="",$G97,INDEX($G97:$P97,$E$6))</f>
        <v>46386</v>
      </c>
      <c r="F97" s="60" t="s">
        <v>1117</v>
      </c>
      <c r="G97" s="47">
        <f>DATE(2026,12,30)</f>
        <v>46386</v>
      </c>
      <c r="H97" s="47"/>
      <c r="I97" s="47"/>
      <c r="J97" s="47"/>
      <c r="K97" s="47"/>
      <c r="L97" s="47"/>
      <c r="M97" s="47"/>
      <c r="N97" s="47"/>
      <c r="O97" s="47"/>
      <c r="P97" s="47"/>
    </row>
    <row r="98" spans="2:16" x14ac:dyDescent="0.25">
      <c r="C98" t="s">
        <v>566</v>
      </c>
      <c r="D98" t="s">
        <v>15</v>
      </c>
      <c r="E98" s="34" cm="1">
        <f t="array" ref="E98">IF(INDEX($G98:$P98,$E$6)="",$G98,INDEX($G98:$P98,$E$6))</f>
        <v>46478</v>
      </c>
      <c r="F98" s="60"/>
      <c r="G98" s="47">
        <v>46478</v>
      </c>
      <c r="H98" s="47"/>
      <c r="I98" s="47"/>
      <c r="J98" s="47"/>
      <c r="K98" s="47"/>
      <c r="L98" s="47"/>
      <c r="M98" s="47"/>
      <c r="N98" s="47"/>
      <c r="O98" s="47"/>
      <c r="P98" s="47"/>
    </row>
    <row r="99" spans="2:16" x14ac:dyDescent="0.25">
      <c r="C99" t="s">
        <v>567</v>
      </c>
      <c r="D99" t="s">
        <v>15</v>
      </c>
      <c r="E99" s="34" cm="1">
        <f t="array" ref="E99">IF(INDEX($G99:$P99,$E$6)="",$G99,INDEX($G99:$P99,$E$6))</f>
        <v>47126</v>
      </c>
      <c r="F99" s="60" t="s">
        <v>568</v>
      </c>
      <c r="G99" s="47">
        <f>DATE(2029,1,8)</f>
        <v>47126</v>
      </c>
      <c r="H99" s="47"/>
      <c r="I99" s="47"/>
      <c r="J99" s="47"/>
      <c r="K99" s="47"/>
      <c r="L99" s="47"/>
      <c r="M99" s="47"/>
      <c r="N99" s="47"/>
      <c r="O99" s="47"/>
      <c r="P99" s="47"/>
    </row>
    <row r="100" spans="2:16" x14ac:dyDescent="0.25">
      <c r="C100" t="s">
        <v>569</v>
      </c>
      <c r="D100" t="s">
        <v>15</v>
      </c>
      <c r="E100" s="34" cm="1">
        <f t="array" ref="E100">IF(INDEX($G100:$P100,$E$6)="",$G100,INDEX($G100:$P100,$E$6))</f>
        <v>46825</v>
      </c>
      <c r="F100" s="60" t="s">
        <v>570</v>
      </c>
      <c r="G100" s="47">
        <v>46825</v>
      </c>
      <c r="H100" s="47"/>
      <c r="I100" s="47"/>
      <c r="J100" s="47"/>
      <c r="K100" s="47"/>
      <c r="L100" s="47"/>
      <c r="M100" s="47"/>
      <c r="N100" s="47"/>
      <c r="O100" s="47"/>
      <c r="P100" s="47"/>
    </row>
    <row r="101" spans="2:16" x14ac:dyDescent="0.25">
      <c r="C101" t="s">
        <v>1298</v>
      </c>
      <c r="D101" t="s">
        <v>15</v>
      </c>
      <c r="E101" s="34" cm="1">
        <f t="array" ref="E101">IF(INDEX($G101:$P101,$E$6)="",$G101,INDEX($G101:$P101,$E$6))</f>
        <v>47848</v>
      </c>
      <c r="F101" s="60" t="s">
        <v>1691</v>
      </c>
      <c r="G101" s="47">
        <v>47848</v>
      </c>
      <c r="H101" s="47"/>
      <c r="I101" s="47"/>
      <c r="J101" s="47"/>
      <c r="K101" s="47"/>
      <c r="L101" s="47"/>
      <c r="M101" s="47"/>
      <c r="N101" s="47"/>
      <c r="O101" s="47"/>
      <c r="P101" s="47"/>
    </row>
    <row r="102" spans="2:16" x14ac:dyDescent="0.25">
      <c r="C102" t="s">
        <v>571</v>
      </c>
      <c r="D102" t="s">
        <v>469</v>
      </c>
      <c r="E102" s="24" cm="1">
        <f t="array" ref="E102">IF(INDEX($G102:$P102,$E$6)="",$G102,INDEX($G102:$P102,$E$6))</f>
        <v>17</v>
      </c>
      <c r="F102" s="61"/>
      <c r="G102" s="49">
        <v>17</v>
      </c>
      <c r="H102" s="49"/>
      <c r="I102" s="49"/>
      <c r="J102" s="49"/>
      <c r="K102" s="49"/>
      <c r="L102" s="49"/>
      <c r="M102" s="49"/>
      <c r="N102" s="49"/>
      <c r="O102" s="49"/>
      <c r="P102" s="49"/>
    </row>
    <row r="103" spans="2:16" x14ac:dyDescent="0.25">
      <c r="C103" t="s">
        <v>572</v>
      </c>
      <c r="D103" t="s">
        <v>470</v>
      </c>
      <c r="E103" s="24" cm="1">
        <f t="array" ref="E103">IF(INDEX($G103:$P103,$E$6)="",$G103,INDEX($G103:$P103,$E$6))</f>
        <v>23</v>
      </c>
      <c r="F103" s="61"/>
      <c r="G103" s="49">
        <v>23</v>
      </c>
      <c r="H103" s="49"/>
      <c r="I103" s="49"/>
      <c r="J103" s="49"/>
      <c r="K103" s="49"/>
      <c r="L103" s="49"/>
      <c r="M103" s="49"/>
      <c r="N103" s="49"/>
      <c r="O103" s="49"/>
      <c r="P103" s="49"/>
    </row>
    <row r="104" x14ac:dyDescent="0.25">
      <c r="C104" t="inlineStr">
        <is>
          <t xml:space="preserve">First April payment after MGT acceptance (dates the supplementary instalments – nil, GYIK 70)</t>
        </is>
      </c>
      <c r="D104" t="s">
        <v>15</v>
      </c>
      <c r="E104" s="34">
        <f>IF(DATE(YEAR(E98),4,E103)&gt;=E98,DATE(YEAR(E98),4,E103),DATE(YEAR(E98)+1,4,E103))</f>
        <v>46500</v>
      </c>
      <c r="F104" s="60"/>
      <c r="G104" s="34"/>
      <c r="H104" s="34"/>
      <c r="I104" s="34"/>
      <c r="J104" s="34"/>
      <c r="K104" s="34"/>
      <c r="L104" s="34"/>
      <c r="M104" s="34"/>
      <c r="N104" s="34"/>
      <c r="O104" s="34"/>
      <c r="P104" s="34"/>
    </row>
    <row r="105" spans="2:16" x14ac:dyDescent="0.25">
      <c r="F105" s="40"/>
    </row>
    <row r="106" spans="2:16" x14ac:dyDescent="0.25">
      <c r="B106" t="s">
        <v>4</v>
      </c>
      <c r="C106" s="43" t="s">
        <v>574</v>
      </c>
      <c r="D106" s="43"/>
      <c r="E106" s="43"/>
      <c r="F106" s="56"/>
      <c r="G106" s="43"/>
      <c r="H106" s="43"/>
      <c r="I106" s="43"/>
      <c r="J106" s="43"/>
      <c r="K106" s="43"/>
      <c r="L106" s="43"/>
      <c r="M106" s="43"/>
      <c r="N106" s="43"/>
      <c r="O106" s="43"/>
      <c r="P106" s="43"/>
    </row>
    <row r="107" spans="2:16" x14ac:dyDescent="0.25">
      <c r="C107" t="s">
        <v>575</v>
      </c>
      <c r="D107" t="s">
        <v>29</v>
      </c>
      <c r="E107" s="24" cm="1">
        <f t="array" ref="E107">IF(INDEX($G107:$P107,$E$6)="",$G107,INDEX($G107:$P107,$E$6))</f>
        <v>1</v>
      </c>
      <c r="F107" s="61" t="s">
        <v>576</v>
      </c>
      <c r="G107" s="49">
        <v>1</v>
      </c>
      <c r="H107" s="49"/>
      <c r="I107" s="49"/>
      <c r="J107" s="49"/>
      <c r="K107" s="49"/>
      <c r="L107" s="49"/>
      <c r="M107" s="49"/>
      <c r="N107" s="49"/>
      <c r="O107" s="49"/>
      <c r="P107" s="49"/>
    </row>
    <row r="108" spans="2:16" x14ac:dyDescent="0.25">
      <c r="C108" t="s">
        <v>577</v>
      </c>
      <c r="D108" t="s">
        <v>2</v>
      </c>
      <c r="E108" s="31" cm="1">
        <f t="array" ref="E108">IF(INDEX($G108:$P108,$E$6)="",$G108,INDEX($G108:$P108,$E$6))</f>
        <v>0.5</v>
      </c>
      <c r="F108" s="58"/>
      <c r="G108" s="45">
        <v>0.5</v>
      </c>
      <c r="H108" s="45"/>
      <c r="I108" s="45"/>
      <c r="J108" s="45"/>
      <c r="K108" s="45"/>
      <c r="L108" s="45"/>
      <c r="M108" s="45"/>
      <c r="N108" s="45"/>
      <c r="O108" s="45"/>
      <c r="P108" s="45"/>
    </row>
    <row r="109" spans="2:16" x14ac:dyDescent="0.25">
      <c r="C109" t="s">
        <v>578</v>
      </c>
      <c r="D109" t="s">
        <v>29</v>
      </c>
      <c r="E109" s="54" cm="1">
        <f t="array" ref="E109">IF(INDEX($G109:$P109,$E$6)="",$G109,INDEX($G109:$P109,$E$6))</f>
        <v>0</v>
      </c>
      <c r="F109" s="61" t="s">
        <v>579</v>
      </c>
      <c r="G109" s="49">
        <v>0</v>
      </c>
      <c r="H109" s="49"/>
      <c r="I109" s="49"/>
      <c r="J109" s="49"/>
      <c r="K109" s="49"/>
      <c r="L109" s="49"/>
      <c r="M109" s="49"/>
      <c r="N109" s="49"/>
      <c r="O109" s="49"/>
      <c r="P109" s="49"/>
    </row>
    <row r="110" spans="2:16" x14ac:dyDescent="0.25">
      <c r="C110" t="s">
        <v>580</v>
      </c>
      <c r="D110" t="s">
        <v>29</v>
      </c>
      <c r="E110" s="24" cm="1">
        <f t="array" ref="E110">IF(INDEX($G110:$P110,$E$6)="",$G110,INDEX($G110:$P110,$E$6))</f>
        <v>1</v>
      </c>
      <c r="F110" s="61" t="s">
        <v>581</v>
      </c>
      <c r="G110" s="49">
        <v>1</v>
      </c>
      <c r="H110" s="49"/>
      <c r="I110" s="49"/>
      <c r="J110" s="49"/>
      <c r="K110" s="49"/>
      <c r="L110" s="49"/>
      <c r="M110" s="49"/>
      <c r="N110" s="49"/>
      <c r="O110" s="49"/>
      <c r="P110" s="49"/>
    </row>
    <row r="111" spans="2:16" x14ac:dyDescent="0.25">
      <c r="C111" t="s">
        <v>582</v>
      </c>
      <c r="D111" t="s">
        <v>2</v>
      </c>
      <c r="E111" s="22" cm="1">
        <f t="array" ref="E111">IF(INDEX($G111:$P111,$E$6)="",$G111,INDEX($G111:$P111,$E$6))</f>
        <v>0.03</v>
      </c>
      <c r="F111" s="64" t="s">
        <v>1692</v>
      </c>
      <c r="G111" s="52">
        <v>0.03</v>
      </c>
      <c r="H111" s="52"/>
      <c r="I111" s="52"/>
      <c r="J111" s="52"/>
      <c r="K111" s="52"/>
      <c r="L111" s="52"/>
      <c r="M111" s="52"/>
      <c r="N111" s="52"/>
      <c r="O111" s="52"/>
      <c r="P111" s="52"/>
    </row>
    <row r="112" spans="2:16" x14ac:dyDescent="0.25">
      <c r="C112" t="s">
        <v>583</v>
      </c>
      <c r="D112" t="s">
        <v>9</v>
      </c>
      <c r="E112" cm="1" t="str">
        <f t="array" ref="E112">IF(INDEX($G112:$P112,$E$6)="",$G112,INDEX($G112:$P112,$E$6))</f>
        <v>1M EURIBOR Jul-26</v>
      </c>
      <c r="F112" s="40" t="s">
        <v>584</v>
      </c>
      <c r="G112" s="53" t="s">
        <v>38</v>
      </c>
      <c r="H112" s="53"/>
      <c r="I112" s="53"/>
      <c r="J112" s="53"/>
      <c r="K112" s="53"/>
      <c r="L112" s="53"/>
      <c r="M112" s="53"/>
      <c r="N112" s="53"/>
      <c r="O112" s="53"/>
      <c r="P112" s="53"/>
    </row>
    <row r="113" spans="2:16" x14ac:dyDescent="0.25">
      <c r="C113" t="s">
        <v>1231</v>
      </c>
      <c r="D113" t="s">
        <v>365</v>
      </c>
      <c r="E113" s="22" cm="1">
        <f t="array" ref="E113">IF(INDEX($G113:$P113,$E$6)="",$G113,INDEX($G113:$P113,$E$6))</f>
        <v>0.06</v>
      </c>
      <c r="F113" s="64" t="s">
        <v>1693</v>
      </c>
      <c r="G113" s="52">
        <v>0.06</v>
      </c>
      <c r="H113" s="52"/>
      <c r="I113" s="52"/>
      <c r="J113" s="52"/>
      <c r="K113" s="52"/>
      <c r="L113" s="52"/>
      <c r="M113" s="52"/>
      <c r="N113" s="52"/>
      <c r="O113" s="52"/>
      <c r="P113" s="52"/>
    </row>
    <row r="114" spans="2:16" x14ac:dyDescent="0.25">
      <c r="C114" t="s">
        <v>1232</v>
      </c>
      <c r="D114" t="s">
        <v>29</v>
      </c>
      <c r="E114" s="24" cm="1">
        <f t="array" ref="E114">IF(INDEX($G114:$P114,$E$6)="",$G114,INDEX($G114:$P114,$E$6))</f>
        <v>1</v>
      </c>
      <c r="F114" s="61" t="s">
        <v>1694</v>
      </c>
      <c r="G114" s="49">
        <v>1</v>
      </c>
      <c r="H114" s="49"/>
      <c r="I114" s="49"/>
      <c r="J114" s="49"/>
      <c r="K114" s="49"/>
      <c r="L114" s="49"/>
      <c r="M114" s="49"/>
      <c r="N114" s="49"/>
      <c r="O114" s="49"/>
      <c r="P114" s="49"/>
    </row>
    <row r="115" spans="2:16" x14ac:dyDescent="0.25">
      <c r="F115" s="40"/>
    </row>
    <row r="116" spans="2:16" x14ac:dyDescent="0.25">
      <c r="B116" t="s">
        <v>4</v>
      </c>
      <c r="C116" s="43" t="s">
        <v>585</v>
      </c>
      <c r="D116" s="43"/>
      <c r="E116" s="43"/>
      <c r="F116" s="56"/>
      <c r="G116" s="43"/>
      <c r="H116" s="43"/>
      <c r="I116" s="43"/>
      <c r="J116" s="43"/>
      <c r="K116" s="43"/>
      <c r="L116" s="43"/>
      <c r="M116" s="43"/>
      <c r="N116" s="43"/>
      <c r="O116" s="43"/>
      <c r="P116" s="43"/>
    </row>
    <row r="117" spans="2:16" x14ac:dyDescent="0.25">
      <c r="C117" t="s">
        <v>463</v>
      </c>
      <c r="D117" t="s">
        <v>29</v>
      </c>
      <c r="E117" s="24" cm="1">
        <f t="array" ref="E117">IF(INDEX($G117:$P117,$E$6)="",$G117,INDEX($G117:$P117,$E$6))</f>
        <v>1</v>
      </c>
      <c r="F117" s="61" t="s">
        <v>586</v>
      </c>
      <c r="G117" s="49">
        <v>1</v>
      </c>
      <c r="H117" s="49"/>
      <c r="I117" s="49"/>
      <c r="J117" s="49"/>
      <c r="K117" s="49"/>
      <c r="L117" s="49"/>
      <c r="M117" s="49"/>
      <c r="N117" s="49"/>
      <c r="O117" s="49"/>
      <c r="P117" s="49"/>
    </row>
    <row r="118" spans="2:16" x14ac:dyDescent="0.25">
      <c r="C118" t="s">
        <v>464</v>
      </c>
      <c r="D118" t="s">
        <v>29</v>
      </c>
      <c r="E118" s="24" cm="1">
        <f t="array" ref="E118">IF(INDEX($G118:$P118,$E$6)="",$G118,INDEX($G118:$P118,$E$6))</f>
        <v>0</v>
      </c>
      <c r="F118" s="61"/>
      <c r="G118" s="49">
        <v>0</v>
      </c>
      <c r="H118" s="49"/>
      <c r="I118" s="49"/>
      <c r="J118" s="49"/>
      <c r="K118" s="49"/>
      <c r="L118" s="49">
        <v>1</v>
      </c>
      <c r="M118" s="49"/>
      <c r="N118" s="49"/>
      <c r="O118" s="49"/>
      <c r="P118" s="49"/>
    </row>
    <row r="119" spans="2:16" x14ac:dyDescent="0.25">
      <c r="C119" t="s">
        <v>465</v>
      </c>
      <c r="D119" t="s">
        <v>29</v>
      </c>
      <c r="E119" s="24" cm="1">
        <f t="array" ref="E119">IF(INDEX($G119:$P119,$E$6)="",$G119,INDEX($G119:$P119,$E$6))</f>
        <v>0</v>
      </c>
      <c r="F119" s="61"/>
      <c r="G119" s="49">
        <v>0</v>
      </c>
      <c r="H119" s="49"/>
      <c r="I119" s="49"/>
      <c r="J119" s="49"/>
      <c r="K119" s="49"/>
      <c r="L119" s="49">
        <v>1</v>
      </c>
      <c r="M119" s="49"/>
      <c r="N119" s="49"/>
      <c r="O119" s="49"/>
      <c r="P119" s="49"/>
    </row>
    <row r="120" spans="2:16" x14ac:dyDescent="0.25">
      <c r="C120" t="s">
        <v>466</v>
      </c>
      <c r="D120" t="s">
        <v>29</v>
      </c>
      <c r="E120" s="24" cm="1">
        <f t="array" ref="E120">IF(INDEX($G120:$P120,$E$6)="",$G120,INDEX($G120:$P120,$E$6))</f>
        <v>1</v>
      </c>
      <c r="F120" s="61"/>
      <c r="G120" s="49">
        <v>1</v>
      </c>
      <c r="H120" s="49"/>
      <c r="I120" s="49"/>
      <c r="J120" s="49"/>
      <c r="K120" s="49"/>
      <c r="L120" s="49">
        <v>1</v>
      </c>
      <c r="M120" s="49"/>
      <c r="N120" s="49"/>
      <c r="O120" s="49"/>
      <c r="P120" s="49"/>
    </row>
    <row r="121" spans="2:16" x14ac:dyDescent="0.25">
      <c r="C121" t="s">
        <v>1267</v>
      </c>
      <c r="D121" t="s">
        <v>29</v>
      </c>
      <c r="E121" s="24" cm="1">
        <f t="array" ref="E121">IF(INDEX($G121:$P121,$E$6)="",$G121,INDEX($G121:$P121,$E$6))</f>
        <v>1</v>
      </c>
      <c r="F121" s="61"/>
      <c r="G121" s="49">
        <v>1</v>
      </c>
      <c r="H121" s="49"/>
      <c r="I121" s="49"/>
      <c r="J121" s="49"/>
      <c r="K121" s="49"/>
      <c r="L121" s="49">
        <v>1</v>
      </c>
      <c r="M121" s="49"/>
      <c r="N121" s="49"/>
      <c r="O121" s="49"/>
      <c r="P121" s="49"/>
    </row>
    <row r="122" spans="2:16" x14ac:dyDescent="0.25">
      <c r="C122" t="s">
        <v>587</v>
      </c>
      <c r="D122" t="s">
        <v>29</v>
      </c>
      <c r="E122" s="24" cm="1">
        <f t="array" ref="E122">IF(INDEX($G122:$P122,$E$6)="",$G122,INDEX($G122:$P122,$E$6))</f>
        <v>0</v>
      </c>
      <c r="F122" s="61"/>
      <c r="G122" s="49">
        <v>0</v>
      </c>
      <c r="H122" s="49"/>
      <c r="I122" s="49"/>
      <c r="J122" s="49"/>
      <c r="K122" s="49"/>
      <c r="L122" s="49">
        <v>1</v>
      </c>
      <c r="M122" s="49"/>
      <c r="N122" s="49"/>
      <c r="O122" s="49"/>
      <c r="P122" s="49"/>
    </row>
    <row r="123" spans="2:16" x14ac:dyDescent="0.25">
      <c r="C123" t="s">
        <v>588</v>
      </c>
      <c r="D123" t="s">
        <v>29</v>
      </c>
      <c r="E123" s="24" cm="1">
        <f t="array" ref="E123">IF(INDEX($G123:$P123,$E$6)="",$G123,INDEX($G123:$P123,$E$6))</f>
        <v>0</v>
      </c>
      <c r="F123" s="61"/>
      <c r="G123" s="49">
        <v>0</v>
      </c>
      <c r="H123" s="49"/>
      <c r="I123" s="49"/>
      <c r="J123" s="49"/>
      <c r="K123" s="49"/>
      <c r="L123" s="49">
        <v>1</v>
      </c>
      <c r="M123" s="49"/>
      <c r="N123" s="49"/>
      <c r="O123" s="49"/>
      <c r="P123" s="49"/>
    </row>
    <row r="124" spans="2:16" x14ac:dyDescent="0.25">
      <c r="C124" t="s">
        <v>589</v>
      </c>
      <c r="D124" t="s">
        <v>29</v>
      </c>
      <c r="E124" s="24" cm="1">
        <f t="array" ref="E124">IF(INDEX($G124:$P124,$E$6)="",$G124,INDEX($G124:$P124,$E$6))</f>
        <v>0</v>
      </c>
      <c r="F124" s="61"/>
      <c r="G124" s="49">
        <v>0</v>
      </c>
      <c r="H124" s="49"/>
      <c r="I124" s="49"/>
      <c r="J124" s="49"/>
      <c r="K124" s="49"/>
      <c r="L124" s="49">
        <v>1</v>
      </c>
      <c r="M124" s="49"/>
      <c r="N124" s="49"/>
      <c r="O124" s="49"/>
      <c r="P124" s="49"/>
    </row>
    <row r="125" spans="2:16" x14ac:dyDescent="0.25">
      <c r="C125" t="s">
        <v>590</v>
      </c>
      <c r="D125" t="s">
        <v>29</v>
      </c>
      <c r="E125" s="24" cm="1">
        <f t="array" ref="E125">IF(INDEX($G125:$P125,$E$6)="",$G125,INDEX($G125:$P125,$E$6))</f>
        <v>0</v>
      </c>
      <c r="F125" s="61"/>
      <c r="G125" s="49">
        <v>0</v>
      </c>
      <c r="H125" s="49"/>
      <c r="I125" s="49"/>
      <c r="J125" s="49"/>
      <c r="K125" s="49"/>
      <c r="L125" s="49">
        <v>1</v>
      </c>
      <c r="M125" s="49"/>
      <c r="N125" s="49"/>
      <c r="O125" s="49"/>
      <c r="P125" s="49"/>
    </row>
    <row r="126" spans="2:16" x14ac:dyDescent="0.25">
      <c r="C126" t="s">
        <v>591</v>
      </c>
      <c r="D126" t="s">
        <v>29</v>
      </c>
      <c r="E126" s="24" cm="1">
        <f t="array" ref="E126">IF(INDEX($G126:$P126,$E$6)="",$G126,INDEX($G126:$P126,$E$6))</f>
        <v>1</v>
      </c>
      <c r="F126" s="61"/>
      <c r="G126" s="49">
        <v>1</v>
      </c>
      <c r="H126" s="49"/>
      <c r="I126" s="49"/>
      <c r="J126" s="49"/>
      <c r="K126" s="49"/>
      <c r="L126" s="49">
        <v>1</v>
      </c>
      <c r="M126" s="49"/>
      <c r="N126" s="49"/>
      <c r="O126" s="49"/>
      <c r="P126" s="49"/>
    </row>
    <row r="127" spans="2:16" x14ac:dyDescent="0.25">
      <c r="F127" s="40"/>
    </row>
    <row r="128" spans="2:16" x14ac:dyDescent="0.25">
      <c r="B128" t="s">
        <v>4</v>
      </c>
      <c r="C128" s="43" t="s">
        <v>592</v>
      </c>
      <c r="D128" s="43"/>
      <c r="E128" s="43"/>
      <c r="F128" s="56"/>
      <c r="G128" s="43"/>
      <c r="H128" s="43"/>
      <c r="I128" s="43"/>
      <c r="J128" s="43"/>
      <c r="K128" s="43"/>
      <c r="L128" s="43"/>
      <c r="M128" s="43"/>
      <c r="N128" s="43"/>
      <c r="O128" s="43"/>
      <c r="P128" s="43"/>
    </row>
    <row r="129" spans="2:16" x14ac:dyDescent="0.25">
      <c r="C129" t="s">
        <v>463</v>
      </c>
      <c r="D129" t="s">
        <v>2</v>
      </c>
      <c r="E129" s="31" cm="1">
        <f t="array" ref="E129">IF(INDEX($G129:$P129,$E$6)="",$G129,INDEX($G129:$P129,$E$6))</f>
        <v>0</v>
      </c>
      <c r="F129" s="58" t="s">
        <v>593</v>
      </c>
      <c r="G129" s="45">
        <v>0</v>
      </c>
      <c r="H129" s="45"/>
      <c r="I129" s="45"/>
      <c r="J129" s="45"/>
      <c r="K129" s="45"/>
      <c r="L129" s="45"/>
      <c r="M129" s="45"/>
      <c r="N129" s="45"/>
      <c r="O129" s="45"/>
      <c r="P129" s="45"/>
    </row>
    <row r="130" spans="2:16" x14ac:dyDescent="0.25">
      <c r="C130" t="s">
        <v>464</v>
      </c>
      <c r="D130" t="s">
        <v>2</v>
      </c>
      <c r="E130" s="31" cm="1">
        <f t="array" ref="E130">IF(INDEX($G130:$P130,$E$6)="",$G130,INDEX($G130:$P130,$E$6))</f>
        <v>1</v>
      </c>
      <c r="F130" s="58"/>
      <c r="G130" s="45">
        <v>1</v>
      </c>
      <c r="H130" s="45"/>
      <c r="I130" s="45"/>
      <c r="J130" s="45">
        <v>0</v>
      </c>
      <c r="K130" s="45"/>
      <c r="L130" s="45"/>
      <c r="M130" s="45"/>
      <c r="N130" s="45"/>
      <c r="O130" s="45"/>
      <c r="P130" s="45"/>
    </row>
    <row r="131" spans="2:16" x14ac:dyDescent="0.25">
      <c r="C131" t="s">
        <v>465</v>
      </c>
      <c r="D131" t="s">
        <v>2</v>
      </c>
      <c r="E131" s="31" cm="1">
        <f t="array" ref="E131">IF(INDEX($G131:$P131,$E$6)="",$G131,INDEX($G131:$P131,$E$6))</f>
        <v>1</v>
      </c>
      <c r="F131" s="58"/>
      <c r="G131" s="45">
        <v>1</v>
      </c>
      <c r="H131" s="45"/>
      <c r="I131" s="45"/>
      <c r="J131" s="45">
        <v>0</v>
      </c>
      <c r="K131" s="45"/>
      <c r="L131" s="45"/>
      <c r="M131" s="45"/>
      <c r="N131" s="45"/>
      <c r="O131" s="45"/>
      <c r="P131" s="45"/>
    </row>
    <row r="132" spans="2:16" x14ac:dyDescent="0.25">
      <c r="C132" t="s">
        <v>466</v>
      </c>
      <c r="D132" t="s">
        <v>2</v>
      </c>
      <c r="E132" s="31" cm="1">
        <f t="array" ref="E132">IF(INDEX($G132:$P132,$E$6)="",$G132,INDEX($G132:$P132,$E$6))</f>
        <v>1</v>
      </c>
      <c r="F132" s="58"/>
      <c r="G132" s="45">
        <v>1</v>
      </c>
      <c r="H132" s="45"/>
      <c r="I132" s="45"/>
      <c r="J132" s="45">
        <v>0</v>
      </c>
      <c r="K132" s="45"/>
      <c r="L132" s="45"/>
      <c r="M132" s="45"/>
      <c r="N132" s="45"/>
      <c r="O132" s="45"/>
      <c r="P132" s="45"/>
    </row>
    <row r="133" spans="2:16" x14ac:dyDescent="0.25">
      <c r="C133" t="s">
        <v>1267</v>
      </c>
      <c r="D133" t="s">
        <v>2</v>
      </c>
      <c r="E133" s="31" cm="1">
        <f t="array" ref="E133">IF(INDEX($G133:$P133,$E$6)="",$G133,INDEX($G133:$P133,$E$6))</f>
        <v>1</v>
      </c>
      <c r="F133" s="58"/>
      <c r="G133" s="45">
        <v>1</v>
      </c>
      <c r="H133" s="45"/>
      <c r="I133" s="45"/>
      <c r="J133" s="45">
        <v>0</v>
      </c>
      <c r="K133" s="45"/>
      <c r="L133" s="45"/>
      <c r="M133" s="45"/>
      <c r="N133" s="45"/>
      <c r="O133" s="45"/>
      <c r="P133" s="45"/>
    </row>
    <row r="134" spans="2:16" x14ac:dyDescent="0.25">
      <c r="C134" t="s">
        <v>587</v>
      </c>
      <c r="D134" t="s">
        <v>2</v>
      </c>
      <c r="E134" s="31" cm="1">
        <f t="array" ref="E134">IF(INDEX($G134:$P134,$E$6)="",$G134,INDEX($G134:$P134,$E$6))</f>
        <v>1</v>
      </c>
      <c r="F134" s="58"/>
      <c r="G134" s="45">
        <v>1</v>
      </c>
      <c r="H134" s="45"/>
      <c r="I134" s="45"/>
      <c r="J134" s="45">
        <v>0</v>
      </c>
      <c r="K134" s="45"/>
      <c r="L134" s="45"/>
      <c r="M134" s="45"/>
      <c r="N134" s="45"/>
      <c r="O134" s="45"/>
      <c r="P134" s="45"/>
    </row>
    <row r="135" spans="2:16" x14ac:dyDescent="0.25">
      <c r="C135" t="s">
        <v>588</v>
      </c>
      <c r="D135" t="s">
        <v>2</v>
      </c>
      <c r="E135" s="31" cm="1">
        <f t="array" ref="E135">IF(INDEX($G135:$P135,$E$6)="",$G135,INDEX($G135:$P135,$E$6))</f>
        <v>1</v>
      </c>
      <c r="F135" s="58"/>
      <c r="G135" s="45">
        <v>1</v>
      </c>
      <c r="H135" s="45"/>
      <c r="I135" s="45"/>
      <c r="J135" s="45">
        <v>0</v>
      </c>
      <c r="K135" s="45"/>
      <c r="L135" s="45"/>
      <c r="M135" s="45"/>
      <c r="N135" s="45"/>
      <c r="O135" s="45"/>
      <c r="P135" s="45"/>
    </row>
    <row r="136" spans="2:16" x14ac:dyDescent="0.25">
      <c r="C136" t="s">
        <v>589</v>
      </c>
      <c r="D136" t="s">
        <v>2</v>
      </c>
      <c r="E136" s="31" cm="1">
        <f t="array" ref="E136">IF(INDEX($G136:$P136,$E$6)="",$G136,INDEX($G136:$P136,$E$6))</f>
        <v>1</v>
      </c>
      <c r="F136" s="58"/>
      <c r="G136" s="45">
        <v>1</v>
      </c>
      <c r="H136" s="45"/>
      <c r="I136" s="45"/>
      <c r="J136" s="45">
        <v>0</v>
      </c>
      <c r="K136" s="45"/>
      <c r="L136" s="45"/>
      <c r="M136" s="45"/>
      <c r="N136" s="45"/>
      <c r="O136" s="45"/>
      <c r="P136" s="45"/>
    </row>
    <row r="137" spans="2:16" x14ac:dyDescent="0.25">
      <c r="C137" t="s">
        <v>590</v>
      </c>
      <c r="D137" t="s">
        <v>2</v>
      </c>
      <c r="E137" s="31" cm="1">
        <f t="array" ref="E137">IF(INDEX($G137:$P137,$E$6)="",$G137,INDEX($G137:$P137,$E$6))</f>
        <v>1</v>
      </c>
      <c r="F137" s="58"/>
      <c r="G137" s="45">
        <v>1</v>
      </c>
      <c r="H137" s="45"/>
      <c r="I137" s="45"/>
      <c r="J137" s="45">
        <v>0</v>
      </c>
      <c r="K137" s="45"/>
      <c r="L137" s="45"/>
      <c r="M137" s="45"/>
      <c r="N137" s="45"/>
      <c r="O137" s="45"/>
      <c r="P137" s="45"/>
    </row>
    <row r="138" spans="2:16" x14ac:dyDescent="0.25">
      <c r="C138" t="s">
        <v>591</v>
      </c>
      <c r="D138" t="s">
        <v>2</v>
      </c>
      <c r="E138" s="55" cm="1">
        <f t="array" ref="E138">IF(INDEX($G138:$P138,$E$6)="",$G138,INDEX($G138:$P138,$E$6))</f>
        <v>1</v>
      </c>
      <c r="F138" s="58" t="s">
        <v>594</v>
      </c>
      <c r="G138" s="45">
        <v>1</v>
      </c>
      <c r="H138" s="45"/>
      <c r="I138" s="45"/>
      <c r="J138" s="45">
        <v>0</v>
      </c>
      <c r="K138" s="45"/>
      <c r="L138" s="45"/>
      <c r="M138" s="45"/>
      <c r="N138" s="45"/>
      <c r="O138" s="45"/>
      <c r="P138" s="45"/>
    </row>
    <row r="139" spans="2:16" x14ac:dyDescent="0.25">
      <c r="F139" s="40"/>
    </row>
    <row r="140" spans="2:16" x14ac:dyDescent="0.25">
      <c r="B140" t="s">
        <v>4</v>
      </c>
      <c r="C140" s="43" t="s">
        <v>595</v>
      </c>
      <c r="D140" s="43"/>
      <c r="E140" s="43"/>
      <c r="F140" s="56"/>
      <c r="G140" s="43"/>
      <c r="H140" s="43"/>
      <c r="I140" s="43"/>
      <c r="J140" s="43"/>
      <c r="K140" s="43"/>
      <c r="L140" s="43"/>
      <c r="M140" s="43"/>
      <c r="N140" s="43"/>
      <c r="O140" s="43"/>
      <c r="P140" s="43"/>
    </row>
    <row r="141" spans="2:16" x14ac:dyDescent="0.25">
      <c r="C141" t="s">
        <v>596</v>
      </c>
      <c r="D141" t="s">
        <v>845</v>
      </c>
      <c r="E141" s="20" cm="1">
        <f t="array" ref="E141">IF(INDEX($G141:$P141,$E$6)="",$G141,INDEX($G141:$P141,$E$6))</f>
        <v>150</v>
      </c>
      <c r="F141" s="62" t="s">
        <v>2230</v>
      </c>
      <c r="G141" s="472">
        <f>'Control Panel'!$E$85</f>
        <v>150</v>
      </c>
      <c r="H141" s="472" t="str">
        <f>IF('Control Panel'!$F$85="","",'Control Panel'!$F$85)</f>
        <v/>
      </c>
      <c r="I141" s="472" t="str">
        <f>IF('Control Panel'!$G$85="","",'Control Panel'!$G$85)</f>
        <v/>
      </c>
      <c r="J141" s="50"/>
      <c r="K141" s="50"/>
      <c r="L141" s="50"/>
      <c r="M141" s="50" t="str">
        <f>H141</f>
        <v/>
      </c>
      <c r="N141" s="50" t="str">
        <f>I141</f>
        <v/>
      </c>
      <c r="O141" s="50"/>
      <c r="P141" s="50"/>
    </row>
    <row r="142" spans="2:16" x14ac:dyDescent="0.25">
      <c r="C142" t="s">
        <v>597</v>
      </c>
      <c r="D142" t="s">
        <v>845</v>
      </c>
      <c r="E142" s="20" cm="1">
        <f t="array" ref="E142">IF(INDEX($G142:$P142,$E$6)="",$G142,INDEX($G142:$P142,$E$6))</f>
        <v>50</v>
      </c>
      <c r="F142" s="62" t="s">
        <v>769</v>
      </c>
      <c r="G142" s="50">
        <v>50</v>
      </c>
      <c r="H142" s="50"/>
      <c r="I142" s="50"/>
      <c r="J142" s="50"/>
      <c r="K142" s="50"/>
      <c r="L142" s="50"/>
      <c r="M142" s="50"/>
      <c r="N142" s="50"/>
      <c r="O142" s="50"/>
      <c r="P142" s="50"/>
    </row>
    <row r="143" spans="2:16" x14ac:dyDescent="0.25">
      <c r="C143" t="s">
        <v>598</v>
      </c>
      <c r="D143" t="s">
        <v>845</v>
      </c>
      <c r="E143" s="20" cm="1">
        <f t="array" ref="E143">IF(INDEX($G143:$P143,$E$6)="",$G143,INDEX($G143:$P143,$E$6))</f>
        <v>75</v>
      </c>
      <c r="F143" s="62"/>
      <c r="G143" s="50">
        <v>75</v>
      </c>
      <c r="H143" s="50"/>
      <c r="I143" s="50"/>
      <c r="J143" s="50"/>
      <c r="K143" s="50"/>
      <c r="L143" s="50"/>
      <c r="M143" s="50"/>
      <c r="N143" s="50"/>
      <c r="O143" s="50"/>
      <c r="P143" s="50"/>
    </row>
    <row r="144" spans="2:16" x14ac:dyDescent="0.25">
      <c r="C144" t="s">
        <v>599</v>
      </c>
      <c r="D144" t="s">
        <v>845</v>
      </c>
      <c r="E144" s="20" cm="1">
        <f t="array" ref="E144">IF(INDEX($G144:$P144,$E$6)="",$G144,INDEX($G144:$P144,$E$6))</f>
        <v>100</v>
      </c>
      <c r="F144" s="62"/>
      <c r="G144" s="50">
        <v>100</v>
      </c>
      <c r="H144" s="50"/>
      <c r="I144" s="50"/>
      <c r="J144" s="50"/>
      <c r="K144" s="50"/>
      <c r="L144" s="50"/>
      <c r="M144" s="50"/>
      <c r="N144" s="50"/>
      <c r="O144" s="50"/>
      <c r="P144" s="50"/>
    </row>
    <row r="145" spans="3:16" x14ac:dyDescent="0.25">
      <c r="C145" t="s">
        <v>600</v>
      </c>
      <c r="D145" t="s">
        <v>845</v>
      </c>
      <c r="E145" s="20" cm="1">
        <f t="array" ref="E145">IF(INDEX($G145:$P145,$E$6)="",$G145,INDEX($G145:$P145,$E$6))</f>
        <v>125</v>
      </c>
      <c r="F145" s="62"/>
      <c r="G145" s="50">
        <v>125</v>
      </c>
      <c r="H145" s="50"/>
      <c r="I145" s="50"/>
      <c r="J145" s="50"/>
      <c r="K145" s="50"/>
      <c r="L145" s="50"/>
      <c r="M145" s="50"/>
      <c r="N145" s="50"/>
      <c r="O145" s="50"/>
      <c r="P145" s="50"/>
    </row>
    <row r="146" spans="3:16" x14ac:dyDescent="0.25">
      <c r="C146" t="s">
        <v>601</v>
      </c>
      <c r="D146" t="s">
        <v>845</v>
      </c>
      <c r="E146" s="20" cm="1">
        <f t="array" ref="E146">IF(INDEX($G146:$P146,$E$6)="",$G146,INDEX($G146:$P146,$E$6))</f>
        <v>150</v>
      </c>
      <c r="F146" s="62"/>
      <c r="G146" s="50">
        <v>150</v>
      </c>
      <c r="H146" s="50"/>
      <c r="I146" s="50"/>
      <c r="J146" s="50"/>
      <c r="K146" s="50"/>
      <c r="L146" s="50"/>
      <c r="M146" s="50"/>
      <c r="N146" s="50"/>
      <c r="O146" s="50"/>
      <c r="P146" s="50"/>
    </row>
    <row r="147" spans="3:16" x14ac:dyDescent="0.25">
      <c r="C147" t="s">
        <v>602</v>
      </c>
      <c r="D147" t="s">
        <v>845</v>
      </c>
      <c r="E147" s="20" cm="1">
        <f t="array" ref="E147">IF(INDEX($G147:$P147,$E$6)="",$G147,INDEX($G147:$P147,$E$6))</f>
        <v>175</v>
      </c>
      <c r="F147" s="62"/>
      <c r="G147" s="50">
        <v>175</v>
      </c>
      <c r="H147" s="50"/>
      <c r="I147" s="50"/>
      <c r="J147" s="50"/>
      <c r="K147" s="50"/>
      <c r="L147" s="50"/>
      <c r="M147" s="50"/>
      <c r="N147" s="50"/>
      <c r="O147" s="50"/>
      <c r="P147" s="50"/>
    </row>
    <row r="148" spans="3:16" x14ac:dyDescent="0.25">
      <c r="C148" t="s">
        <v>603</v>
      </c>
      <c r="D148" t="s">
        <v>845</v>
      </c>
      <c r="E148" s="20" cm="1">
        <f t="array" ref="E148">IF(INDEX($G148:$P148,$E$6)="",$G148,INDEX($G148:$P148,$E$6))</f>
        <v>200</v>
      </c>
      <c r="F148" s="62"/>
      <c r="G148" s="50">
        <v>200</v>
      </c>
      <c r="H148" s="50"/>
      <c r="I148" s="50"/>
      <c r="J148" s="50"/>
      <c r="K148" s="50"/>
      <c r="L148" s="50"/>
      <c r="M148" s="50"/>
      <c r="N148" s="50"/>
      <c r="O148" s="50"/>
      <c r="P148" s="50"/>
    </row>
    <row r="149">
      <c r="C149" t="inlineStr">
        <is>
          <t xml:space="preserve">RtB premium MW basis (0 = net connection MVA E18 – default, user 06-Oct-26; 1 = installed wind MW E29, as BORA_Devex V34 – user 09-Oct-26)</t>
        </is>
      </c>
      <c r="D149" t="inlineStr">
        <is>
          <t xml:space="preserve">Switch</t>
        </is>
      </c>
      <c r="E149" s="86">
        <f>IF(INDEX($G149:$P149,$E$6)="",$G149,INDEX($G149:$P149,$E$6))</f>
        <v>0</v>
      </c>
      <c r="F149" s="57" t="str">
        <f>IF(E149=1,"FLAG – RtB premium on the installed wind MW (E29), not the connection MVA","Premium on the net connection MVA (E18) – user decision 06-Oct-26")</f>
        <v>Premium on the net connection MVA (E18) – user decision 06-Oct-26</v>
      </c>
      <c r="G149" s="472">
        <f>'Control Panel'!$E$86</f>
        <v>0</v>
      </c>
    </row>
    <row r="150">
      <c r="C150" t="inlineStr">
        <is>
          <t xml:space="preserve">RtB premium MW (basis per row 149) – drives every premium × MW</t>
        </is>
      </c>
      <c r="D150" t="inlineStr">
        <is>
          <t xml:space="preserve">MW</t>
        </is>
      </c>
      <c r="E150" s="494">
        <f>IF(E149=1,E29,E18)</f>
        <v>200</v>
      </c>
      <c r="F150" s="57" t="inlineStr">
        <is>
          <t xml:space="preserve">MOIC G143 and H226:N226, HTM E227:E243 / G221:G222, Tender gross / effective premium.</t>
        </is>
      </c>
    </row>
    <row r="151" spans="3:16" x14ac:dyDescent="0.25">
      <c r="C151" s="43" t="s">
        <v>855</v>
      </c>
      <c r="D151" s="43"/>
      <c r="E151" s="43"/>
      <c r="F151" s="56"/>
      <c r="G151" s="43"/>
      <c r="H151" s="43"/>
      <c r="I151" s="43"/>
      <c r="J151" s="43"/>
      <c r="K151" s="43"/>
      <c r="L151" s="43"/>
      <c r="M151" s="43"/>
      <c r="N151" s="43"/>
      <c r="O151" s="43"/>
      <c r="P151" s="43"/>
    </row>
    <row r="152" x14ac:dyDescent="0.25">
      <c r="C152" t="s">
        <v>225</v>
      </c>
      <c r="D152" t="s">
        <v>16</v>
      </c>
      <c r="E152" s="24" cm="1">
        <f t="array" ref="E152">IF(INDEX($G152:$P152,$E$6)="",$G152,INDEX($G152:$P152,$E$6))</f>
        <v>3</v>
      </c>
      <c r="F152" s="40" t="str">
        <f>"RTB "&amp;DAY(E56)&amp;"/"&amp;TEXT(MONTH(E56),"00")&amp;"/"&amp;YEAR(E56)&amp;" (E56) → NTP "&amp;DAY(E154)&amp;"/"&amp;TEXT(MONTH(E154),"00")&amp;"/"&amp;YEAR(E154)&amp;" after this lag."</f>
        <v>RTB 30/06/2029 (E56) → NTP 30/09/2029 after this lag.</v>
      </c>
      <c r="G152" s="516">
        <f>'Control Panel'!$E$93</f>
        <v>3</v>
      </c>
      <c r="H152" s="49"/>
      <c r="I152" s="49"/>
      <c r="J152" s="49"/>
      <c r="K152" s="49"/>
      <c r="L152" s="49"/>
      <c r="M152" s="49"/>
      <c r="N152" s="49"/>
      <c r="O152" s="49"/>
      <c r="P152" s="49"/>
    </row>
    <row r="153" spans="3:16" x14ac:dyDescent="0.25">
      <c r="C153" t="s">
        <v>856</v>
      </c>
      <c r="D153" t="s">
        <v>16</v>
      </c>
      <c r="E153" s="24" cm="1">
        <f t="array" ref="E153">IF(INDEX($G153:$P153,$E$6)="",$G153,INDEX($G153:$P153,$E$6))</f>
        <v>24</v>
      </c>
      <c r="F153" s="40" t="s">
        <v>2254</v>
      </c>
      <c r="G153" s="467">
        <f>'Control Panel'!$E$92</f>
        <v>24</v>
      </c>
      <c r="H153" s="467" t="str">
        <f>IF('Control Panel'!$F$92="","",'Control Panel'!$F$92)</f>
        <v/>
      </c>
      <c r="I153" s="467" t="str">
        <f>IF('Control Panel'!$G$92="","",'Control Panel'!$G$92)</f>
        <v/>
      </c>
      <c r="J153" s="49"/>
      <c r="K153" s="49"/>
      <c r="L153" s="49"/>
      <c r="M153" s="49" t="str">
        <f>H153</f>
        <v/>
      </c>
      <c r="N153" s="49" t="str">
        <f>I153</f>
        <v/>
      </c>
      <c r="O153" s="49"/>
      <c r="P153" s="49"/>
    </row>
    <row r="154" spans="3:16" x14ac:dyDescent="0.25">
      <c r="C154" t="s">
        <v>857</v>
      </c>
      <c r="D154" t="s">
        <v>15</v>
      </c>
      <c r="E154" s="34">
        <f>EOMONTH($E$56,E152)</f>
        <v>47391</v>
      </c>
      <c r="F154" s="40"/>
    </row>
    <row r="155" spans="3:16" x14ac:dyDescent="0.25">
      <c r="C155" t="s">
        <v>858</v>
      </c>
      <c r="D155" t="s">
        <v>15</v>
      </c>
      <c r="E155" s="34">
        <f>EOMONTH(E154,E153)</f>
        <v>48121</v>
      </c>
      <c r="F155" s="40" t="s">
        <v>1696</v>
      </c>
    </row>
    <row r="156" spans="3:16" x14ac:dyDescent="0.25">
      <c r="C156" t="s">
        <v>859</v>
      </c>
      <c r="D156" t="s">
        <v>613</v>
      </c>
      <c r="E156" s="24">
        <f>YEAR(E155)+1</f>
        <v>2032</v>
      </c>
      <c r="F156" s="40" t="s">
        <v>1321</v>
      </c>
    </row>
    <row r="157" spans="3:16" x14ac:dyDescent="0.25">
      <c r="C157" t="s">
        <v>226</v>
      </c>
      <c r="D157" t="s">
        <v>227</v>
      </c>
      <c r="E157" s="24" cm="1">
        <f t="array" ref="E157">IF(INDEX($G157:$P157,$E$6)="",$G157,INDEX($G157:$P157,$E$6))</f>
        <v>30</v>
      </c>
      <c r="F157" s="40" t="s">
        <v>1322</v>
      </c>
      <c r="G157" s="467">
        <f>'Control Panel'!$E$94</f>
        <v>30</v>
      </c>
      <c r="H157" s="467" t="str">
        <f>IF('Control Panel'!$F$94="","",'Control Panel'!$F$94)</f>
        <v/>
      </c>
      <c r="I157" s="467" t="str">
        <f>IF('Control Panel'!$G$94="","",'Control Panel'!$G$94)</f>
        <v/>
      </c>
      <c r="J157" s="49"/>
      <c r="K157" s="49"/>
      <c r="L157" s="49"/>
      <c r="M157" s="49" t="str">
        <f>H157</f>
        <v/>
      </c>
      <c r="N157" s="49" t="str">
        <f>I157</f>
        <v/>
      </c>
      <c r="O157" s="49"/>
      <c r="P157" s="49"/>
    </row>
    <row r="158" spans="3:16" x14ac:dyDescent="0.25">
      <c r="C158" t="s">
        <v>1323</v>
      </c>
      <c r="D158" t="s">
        <v>613</v>
      </c>
      <c r="E158" s="24">
        <f>YEAR(E155)+E157</f>
        <v>2061</v>
      </c>
      <c r="F158" s="40"/>
    </row>
    <row r="159" spans="3:16" x14ac:dyDescent="0.25">
      <c r="C159" t="s">
        <v>1333</v>
      </c>
      <c r="D159" t="s">
        <v>57</v>
      </c>
      <c r="E159" t="str">
        <f>IF(E158&lt;=HTM!$AQ$5,"OK","EXTEND GRID")</f>
        <v>OK</v>
      </c>
      <c r="F159" s="40"/>
    </row>
    <row r="161" spans="3:16" x14ac:dyDescent="0.25">
      <c r="C161" s="43" t="s">
        <v>860</v>
      </c>
      <c r="D161" s="43"/>
      <c r="E161" s="43"/>
      <c r="F161" s="56"/>
      <c r="G161" s="43"/>
      <c r="H161" s="43"/>
      <c r="I161" s="43"/>
      <c r="J161" s="43"/>
      <c r="K161" s="43"/>
      <c r="L161" s="43"/>
      <c r="M161" s="43"/>
      <c r="N161" s="43"/>
      <c r="O161" s="43"/>
      <c r="P161" s="43"/>
    </row>
    <row r="162" spans="3:16" x14ac:dyDescent="0.25">
      <c r="C162" t="s">
        <v>861</v>
      </c>
      <c r="D162" t="s">
        <v>845</v>
      </c>
      <c r="E162" s="89" cm="1">
        <f t="array" ref="E162">IF(INDEX($G162:$P162,$E$6)="",$G162,INDEX($G162:$P162,$E$6))</f>
        <v>950</v>
      </c>
      <c r="F162" s="40" t="s">
        <v>2340</v>
      </c>
      <c r="G162" s="473">
        <f>'Control Panel'!$E$101</f>
        <v>950</v>
      </c>
      <c r="H162" s="473">
        <f>IF('Control Panel'!$F$101="","",'Control Panel'!$F$101)</f>
        <v>950</v>
      </c>
      <c r="I162" s="473">
        <f>IF('Control Panel'!$G$101="","",'Control Panel'!$G$101)</f>
        <v>500</v>
      </c>
      <c r="J162" s="118"/>
      <c r="K162" s="118"/>
      <c r="L162" s="118"/>
      <c r="M162" s="118">
        <f>H162</f>
        <v>950</v>
      </c>
      <c r="N162" s="118">
        <f>I162</f>
        <v>500</v>
      </c>
      <c r="O162" s="118"/>
      <c r="P162" s="118"/>
    </row>
    <row r="163" spans="3:16" x14ac:dyDescent="0.25">
      <c r="C163" t="s">
        <v>275</v>
      </c>
      <c r="D163" t="s">
        <v>845</v>
      </c>
      <c r="E163" s="89" cm="1">
        <f t="array" ref="E163">IF(INDEX($G163:$P163,$E$6)="",$G163,INDEX($G163:$P163,$E$6))</f>
        <v>80</v>
      </c>
      <c r="F163" s="40" t="s">
        <v>862</v>
      </c>
      <c r="G163" s="473">
        <f>'Control Panel'!$E$102</f>
        <v>80</v>
      </c>
      <c r="H163" s="473" t="str">
        <f>IF('Control Panel'!$F$102="","",'Control Panel'!$F$102)</f>
        <v/>
      </c>
      <c r="I163" s="473" t="str">
        <f>IF('Control Panel'!$G$102="","",'Control Panel'!$G$102)</f>
        <v/>
      </c>
      <c r="J163" s="118"/>
      <c r="K163" s="118"/>
      <c r="L163" s="118"/>
      <c r="M163" s="118" t="str">
        <f>H163</f>
        <v/>
      </c>
      <c r="N163" s="118" t="str">
        <f>I163</f>
        <v/>
      </c>
      <c r="O163" s="118"/>
      <c r="P163" s="118"/>
    </row>
    <row r="164" spans="3:16" x14ac:dyDescent="0.25">
      <c r="C164" t="s">
        <v>276</v>
      </c>
      <c r="D164" t="s">
        <v>845</v>
      </c>
      <c r="E164" s="89" cm="1">
        <f t="array" ref="E164">IF(INDEX($G164:$P164,$E$6)="",$G164,INDEX($G164:$P164,$E$6))</f>
        <v>90</v>
      </c>
      <c r="F164" s="40" t="s">
        <v>862</v>
      </c>
      <c r="G164" s="473">
        <f>'Control Panel'!$E$103</f>
        <v>90</v>
      </c>
      <c r="H164" s="473" t="str">
        <f>IF('Control Panel'!$F$103="","",'Control Panel'!$F$103)</f>
        <v/>
      </c>
      <c r="I164" s="473" t="str">
        <f>IF('Control Panel'!$G$103="","",'Control Panel'!$G$103)</f>
        <v/>
      </c>
      <c r="J164" s="118"/>
      <c r="K164" s="118"/>
      <c r="L164" s="118"/>
      <c r="M164" s="118" t="str">
        <f>H164</f>
        <v/>
      </c>
      <c r="N164" s="118" t="str">
        <f>I164</f>
        <v/>
      </c>
      <c r="O164" s="118"/>
      <c r="P164" s="118"/>
    </row>
    <row r="165" spans="3:16" x14ac:dyDescent="0.25">
      <c r="C165" t="s">
        <v>863</v>
      </c>
      <c r="D165" t="s">
        <v>845</v>
      </c>
      <c r="E165" s="89" cm="1">
        <f t="array" ref="E165">IF(INDEX($G165:$P165,$E$6)="",$G165,INDEX($G165:$P165,$E$6))</f>
        <v>70</v>
      </c>
      <c r="F165" s="40" t="s">
        <v>862</v>
      </c>
      <c r="G165" s="473">
        <f>'Control Panel'!$E$104</f>
        <v>70</v>
      </c>
      <c r="H165" s="473" t="str">
        <f>IF('Control Panel'!$F$104="","",'Control Panel'!$F$104)</f>
        <v/>
      </c>
      <c r="I165" s="473" t="str">
        <f>IF('Control Panel'!$G$104="","",'Control Panel'!$G$104)</f>
        <v/>
      </c>
      <c r="J165" s="118"/>
      <c r="K165" s="118"/>
      <c r="L165" s="118"/>
      <c r="M165" s="118" t="str">
        <f>H165</f>
        <v/>
      </c>
      <c r="N165" s="118" t="str">
        <f>I165</f>
        <v/>
      </c>
      <c r="O165" s="118"/>
      <c r="P165" s="118"/>
    </row>
    <row r="166" spans="3:16" x14ac:dyDescent="0.25">
      <c r="C166" t="s">
        <v>864</v>
      </c>
      <c r="D166" t="s">
        <v>845</v>
      </c>
      <c r="E166" s="89" cm="1">
        <f t="array" ref="E166">IF(INDEX($G166:$P166,$E$6)="",$G166,INDEX($G166:$P166,$E$6))</f>
        <v>60</v>
      </c>
      <c r="F166" s="40" t="s">
        <v>862</v>
      </c>
      <c r="G166" s="473">
        <f>'Control Panel'!$E$105</f>
        <v>60</v>
      </c>
      <c r="H166" s="473" t="str">
        <f>IF('Control Panel'!$F$105="","",'Control Panel'!$F$105)</f>
        <v/>
      </c>
      <c r="I166" s="473" t="str">
        <f>IF('Control Panel'!$G$105="","",'Control Panel'!$G$105)</f>
        <v/>
      </c>
      <c r="J166" s="118"/>
      <c r="K166" s="118"/>
      <c r="L166" s="118"/>
      <c r="M166" s="118" t="str">
        <f>H166</f>
        <v/>
      </c>
      <c r="N166" s="118" t="str">
        <f>I166</f>
        <v/>
      </c>
      <c r="O166" s="118"/>
      <c r="P166" s="118"/>
    </row>
    <row r="167" x14ac:dyDescent="0.25">
      <c r="C167" t="s">
        <v>2255</v>
      </c>
      <c r="D167" t="s">
        <v>844</v>
      </c>
      <c r="E167" s="19" cm="1">
        <f t="array" ref="E167">IF(INDEX($G167:$P167,$E$6)="",$G167,INDEX($G167:$P167,$E$6))</f>
        <v>12000</v>
      </c>
      <c r="F167" s="40" t="inlineStr">
        <is>
          <t xml:space="preserve">ESTIMATE. 132 kV connection works and substation incl. generator transformer – route length to be confirmed. Chinese cases (3 / 8): non-EU transformer, lower by Tender E29 (10%).</t>
        </is>
      </c>
      <c r="G167" s="35">
        <v>12000</v>
      </c>
      <c r="H167" s="35"/>
      <c r="I167" s="535">
        <f>$G167*(1-Tender!$E$29)</f>
        <v>10800</v>
      </c>
      <c r="J167" s="35"/>
      <c r="K167" s="35"/>
      <c r="L167" s="35"/>
      <c r="M167" s="35"/>
      <c r="N167" s="535">
        <f>$G167*(1-Tender!$E$29)</f>
        <v>10800</v>
      </c>
      <c r="O167" s="35"/>
      <c r="P167" s="35"/>
    </row>
    <row r="168" x14ac:dyDescent="0.25">
      <c r="C168" t="s">
        <v>1279</v>
      </c>
      <c r="D168" t="s">
        <v>1280</v>
      </c>
      <c r="E168" s="19" cm="1">
        <f t="array" ref="E168">IF(INDEX($G168:$P168,$E$6)="",$G168,INDEX($G168:$P168,$E$6))</f>
        <v>200</v>
      </c>
      <c r="F168" s="40" t="s">
        <v>1699</v>
      </c>
      <c r="G168" s="511">
        <f>'Control Panel'!$E$106</f>
        <v>200</v>
      </c>
      <c r="H168" s="35"/>
      <c r="I168" s="35"/>
      <c r="J168" s="35"/>
      <c r="K168" s="35"/>
      <c r="L168" s="35"/>
      <c r="M168" s="35"/>
      <c r="N168" s="35"/>
      <c r="O168" s="35"/>
      <c r="P168" s="35"/>
    </row>
    <row r="169" x14ac:dyDescent="0.25">
      <c r="C169" t="s">
        <v>865</v>
      </c>
      <c r="D169" t="s">
        <v>845</v>
      </c>
      <c r="E169" s="89" cm="1">
        <f t="array" ref="E169">IF(INDEX($G169:$P169,$E$6)="",$G169,INDEX($G169:$P169,$E$6))</f>
        <v>40</v>
      </c>
      <c r="F169" s="40" t="s">
        <v>862</v>
      </c>
      <c r="G169" s="511">
        <f>'Control Panel'!$E$107</f>
        <v>40</v>
      </c>
      <c r="H169" s="118"/>
      <c r="I169" s="118"/>
      <c r="J169" s="118"/>
      <c r="K169" s="118"/>
      <c r="L169" s="118"/>
      <c r="M169" s="118"/>
      <c r="N169" s="118"/>
      <c r="O169" s="118"/>
      <c r="P169" s="118"/>
    </row>
    <row r="170" spans="3:16" x14ac:dyDescent="0.25">
      <c r="C170" t="s">
        <v>866</v>
      </c>
      <c r="D170" t="s">
        <v>845</v>
      </c>
      <c r="E170" s="89" cm="1">
        <f t="array" ref="E170">IF(INDEX($G170:$P170,$E$6)="",$G170,INDEX($G170:$P170,$E$6))</f>
        <v>15</v>
      </c>
      <c r="F170" s="40" t="s">
        <v>867</v>
      </c>
      <c r="G170" s="118">
        <v>15</v>
      </c>
      <c r="H170" s="118"/>
      <c r="I170" s="118"/>
      <c r="J170" s="118"/>
      <c r="K170" s="118"/>
      <c r="L170" s="118"/>
      <c r="M170" s="118"/>
      <c r="N170" s="118"/>
      <c r="O170" s="118"/>
      <c r="P170" s="118"/>
    </row>
    <row r="171" spans="3:16" x14ac:dyDescent="0.25">
      <c r="C171" t="s">
        <v>868</v>
      </c>
      <c r="D171" t="s">
        <v>2</v>
      </c>
      <c r="E171" s="31" cm="1">
        <f t="array" ref="E171">IF(INDEX($G171:$P171,$E$6)="",$G171,INDEX($G171:$P171,$E$6))</f>
        <v>0.05</v>
      </c>
      <c r="F171" s="40" t="s">
        <v>862</v>
      </c>
      <c r="G171" s="36">
        <v>0.05</v>
      </c>
      <c r="H171" s="36"/>
      <c r="I171" s="36"/>
      <c r="J171" s="36"/>
      <c r="K171" s="36"/>
      <c r="L171" s="36"/>
      <c r="M171" s="36"/>
      <c r="N171" s="36"/>
      <c r="O171" s="36"/>
      <c r="P171" s="36"/>
    </row>
    <row r="172" spans="3:16" x14ac:dyDescent="0.25">
      <c r="C172" t="s">
        <v>869</v>
      </c>
      <c r="D172" t="s">
        <v>844</v>
      </c>
      <c r="E172" s="19">
        <f>Deposits!$M$18+Deposits!$M$12</f>
        <v>38966.046586301374</v>
      </c>
      <c r="F172" s="40" t="s">
        <v>1276</v>
      </c>
    </row>
    <row r="173" spans="3:16" x14ac:dyDescent="0.25">
      <c r="C173" t="s">
        <v>870</v>
      </c>
      <c r="D173" t="s">
        <v>845</v>
      </c>
      <c r="E173" s="89">
        <f>(SUM(E162:E166)+E169+E170)*(1+E171)*E29/E18+E167*(1+E171)/E18+E168*E20/E18</f>
        <v>1941.17625</v>
      </c>
      <c r="F173" s="40" t="s">
        <v>2519</v>
      </c>
    </row>
    <row r="174" spans="3:16" x14ac:dyDescent="0.25">
      <c r="C174" t="s">
        <v>871</v>
      </c>
      <c r="D174" t="s">
        <v>845</v>
      </c>
      <c r="E174" s="89">
        <f>E173+E172/E18</f>
        <v>2136.006482931507</v>
      </c>
      <c r="F174" s="40" t="s">
        <v>872</v>
      </c>
    </row>
    <row r="175" spans="3:16" x14ac:dyDescent="0.25">
      <c r="C175" t="s">
        <v>873</v>
      </c>
      <c r="D175" t="s">
        <v>845</v>
      </c>
      <c r="E175" s="89" cm="1">
        <f t="array" ref="E175">IF(INDEX($G175:$P175,$E$6)="",$G175,INDEX($G175:$P175,$E$6))</f>
        <v>30</v>
      </c>
      <c r="F175" s="40" t="s">
        <v>862</v>
      </c>
      <c r="G175" s="118">
        <v>30</v>
      </c>
      <c r="H175" s="118"/>
      <c r="I175" s="118"/>
      <c r="J175" s="118"/>
      <c r="K175" s="118"/>
      <c r="L175" s="118"/>
      <c r="M175" s="118"/>
      <c r="N175" s="118"/>
      <c r="O175" s="118"/>
      <c r="P175" s="118"/>
    </row>
    <row r="176" spans="3:16" x14ac:dyDescent="0.25">
      <c r="C176" t="s">
        <v>874</v>
      </c>
      <c r="D176" t="s">
        <v>845</v>
      </c>
      <c r="E176" s="89" cm="1">
        <f t="array" ref="E176">IF(INDEX($G176:$P176,$E$6)="",$G176,INDEX($G176:$P176,$E$6))</f>
        <v>0</v>
      </c>
      <c r="F176" s="40" t="s">
        <v>875</v>
      </c>
      <c r="G176" s="119">
        <v>0</v>
      </c>
      <c r="H176" s="119"/>
      <c r="I176" s="119"/>
      <c r="J176" s="119"/>
      <c r="K176" s="119"/>
      <c r="L176" s="119"/>
      <c r="M176" s="119"/>
      <c r="N176" s="119"/>
      <c r="O176" s="119"/>
      <c r="P176" s="119"/>
    </row>
    <row r="178" spans="3:16" x14ac:dyDescent="0.25">
      <c r="C178" s="43" t="s">
        <v>876</v>
      </c>
      <c r="D178" s="43"/>
      <c r="E178" s="43"/>
      <c r="F178" s="56"/>
      <c r="G178" s="43"/>
      <c r="H178" s="43"/>
      <c r="I178" s="43"/>
      <c r="J178" s="43"/>
      <c r="K178" s="43"/>
      <c r="L178" s="43"/>
      <c r="M178" s="43"/>
      <c r="N178" s="43"/>
      <c r="O178" s="43"/>
      <c r="P178" s="43"/>
    </row>
    <row r="179" spans="3:16" x14ac:dyDescent="0.25">
      <c r="C179" t="s">
        <v>877</v>
      </c>
      <c r="D179" t="s">
        <v>878</v>
      </c>
      <c r="E179" s="19" cm="1">
        <f t="array" ref="E179">IF(INDEX($G179:$P179,$E$6)="",$G179,INDEX($G179:$P179,$E$6))</f>
        <v>2460</v>
      </c>
      <c r="F179" s="40" t="s">
        <v>879</v>
      </c>
      <c r="G179" s="464">
        <f>'Control Panel'!$E$109</f>
        <v>2460</v>
      </c>
      <c r="H179" s="464" t="str">
        <f>IF('Control Panel'!$F$109="","",'Control Panel'!$F$109)</f>
        <v/>
      </c>
      <c r="I179" s="464" t="str">
        <f>IF('Control Panel'!$G$109="","",'Control Panel'!$G$109)</f>
        <v/>
      </c>
      <c r="J179" s="44"/>
      <c r="K179" s="44"/>
      <c r="L179" s="44"/>
      <c r="M179" s="44" t="str">
        <f>H179</f>
        <v/>
      </c>
      <c r="N179" s="44" t="str">
        <f>I179</f>
        <v/>
      </c>
      <c r="O179" s="44"/>
      <c r="P179" s="44"/>
    </row>
    <row r="180" spans="3:16" x14ac:dyDescent="0.25">
      <c r="C180" t="s">
        <v>880</v>
      </c>
      <c r="D180" t="s">
        <v>2</v>
      </c>
      <c r="E180" s="31" cm="1">
        <f t="array" ref="E180">IF(INDEX($G180:$P180,$E$6)="",$G180,INDEX($G180:$P180,$E$6))</f>
        <v>0</v>
      </c>
      <c r="F180" s="40" t="s">
        <v>881</v>
      </c>
      <c r="G180" s="468">
        <f>'Control Panel'!$E$110</f>
        <v>0</v>
      </c>
      <c r="H180" s="468" t="str">
        <f>IF('Control Panel'!$F$110="","",'Control Panel'!$F$110)</f>
        <v/>
      </c>
      <c r="I180" s="468" t="str">
        <f>IF('Control Panel'!$G$110="","",'Control Panel'!$G$110)</f>
        <v/>
      </c>
      <c r="J180" s="45"/>
      <c r="K180" s="45"/>
      <c r="L180" s="45"/>
      <c r="M180" s="45" t="str">
        <f>H180</f>
        <v/>
      </c>
      <c r="N180" s="45" t="str">
        <f>I180</f>
        <v/>
      </c>
      <c r="O180" s="45"/>
      <c r="P180" s="45"/>
    </row>
    <row r="181" spans="3:16" x14ac:dyDescent="0.25">
      <c r="C181" t="s">
        <v>366</v>
      </c>
      <c r="D181" t="s">
        <v>2</v>
      </c>
      <c r="E181" s="31" cm="1">
        <f t="array" ref="E181">IF(INDEX($G181:$P181,$E$6)="",$G181,INDEX($G181:$P181,$E$6))</f>
        <v>0.02</v>
      </c>
      <c r="F181" s="40" t="s">
        <v>862</v>
      </c>
      <c r="G181" s="474">
        <f>'Control Panel'!$E$111</f>
        <v>0.02</v>
      </c>
      <c r="H181" s="474" t="str">
        <f>IF('Control Panel'!$F$111="","",'Control Panel'!$F$111)</f>
        <v/>
      </c>
      <c r="I181" s="474" t="str">
        <f>IF('Control Panel'!$G$111="","",'Control Panel'!$G$111)</f>
        <v/>
      </c>
      <c r="J181" s="36"/>
      <c r="K181" s="36"/>
      <c r="L181" s="36"/>
      <c r="M181" s="36" t="str">
        <f>H181</f>
        <v/>
      </c>
      <c r="N181" s="36" t="str">
        <f>I181</f>
        <v/>
      </c>
      <c r="O181" s="36"/>
      <c r="P181" s="36"/>
    </row>
    <row r="182" spans="3:16" x14ac:dyDescent="0.25">
      <c r="C182" t="s">
        <v>364</v>
      </c>
      <c r="D182" t="s">
        <v>365</v>
      </c>
      <c r="E182" s="31" cm="1">
        <f t="array" ref="E182">IF(INDEX($G182:$P182,$E$6)="",$G182,INDEX($G182:$P182,$E$6))</f>
        <v>0.003</v>
      </c>
      <c r="F182" s="40" t="s">
        <v>882</v>
      </c>
      <c r="G182" s="474">
        <f>'Control Panel'!$E$112</f>
        <v>0.003</v>
      </c>
      <c r="H182" s="474" t="str">
        <f>IF('Control Panel'!$F$112="","",'Control Panel'!$F$112)</f>
        <v/>
      </c>
      <c r="I182" s="474" t="str">
        <f>IF('Control Panel'!$G$112="","",'Control Panel'!$G$112)</f>
        <v/>
      </c>
      <c r="J182" s="36"/>
      <c r="K182" s="36"/>
      <c r="L182" s="36"/>
      <c r="M182" s="36" t="str">
        <f>H182</f>
        <v/>
      </c>
      <c r="N182" s="36" t="str">
        <f>I182</f>
        <v/>
      </c>
      <c r="O182" s="36"/>
      <c r="P182" s="36"/>
    </row>
    <row r="183" spans="3:16" x14ac:dyDescent="0.25">
      <c r="C183" t="s">
        <v>883</v>
      </c>
      <c r="D183" t="s">
        <v>4</v>
      </c>
      <c r="E183" s="71" cm="1">
        <f t="array" ref="E183">IF(INDEX($G183:$P183,$E$6)="",$G183,INDEX($G183:$P183,$E$6))</f>
        <v>1</v>
      </c>
      <c r="F183" s="40" t="s">
        <v>884</v>
      </c>
      <c r="G183" s="120">
        <v>1</v>
      </c>
      <c r="H183" s="120"/>
      <c r="I183" s="120"/>
      <c r="J183" s="120"/>
      <c r="K183" s="120"/>
      <c r="L183" s="120"/>
      <c r="M183" s="120"/>
      <c r="N183" s="120"/>
      <c r="O183" s="120"/>
      <c r="P183" s="120"/>
    </row>
    <row r="184" spans="3:16" x14ac:dyDescent="0.25">
      <c r="C184" t="s">
        <v>1928</v>
      </c>
      <c r="D184" t="s">
        <v>4</v>
      </c>
      <c r="E184" s="71" cm="1">
        <f t="array" ref="E184">IF(INDEX($G184:$P184,$E$6)="",$G184,INDEX($G184:$P184,$E$6))</f>
        <v>1</v>
      </c>
      <c r="F184" s="40" t="s">
        <v>1929</v>
      </c>
      <c r="G184" s="475">
        <f>'Control Panel'!$E$115</f>
        <v>1</v>
      </c>
      <c r="H184" s="475" t="str">
        <f>IF('Control Panel'!$F$115="","",'Control Panel'!$F$115)</f>
        <v/>
      </c>
      <c r="I184" s="475" t="str">
        <f>IF('Control Panel'!$G$115="","",'Control Panel'!$G$115)</f>
        <v/>
      </c>
      <c r="J184" s="120"/>
      <c r="K184" s="120"/>
      <c r="L184" s="120"/>
      <c r="M184" s="120" t="str">
        <f>H184</f>
        <v/>
      </c>
      <c r="N184" s="120" t="str">
        <f>I184</f>
        <v/>
      </c>
      <c r="O184" s="120"/>
      <c r="P184" s="120"/>
    </row>
    <row r="185" spans="3:16" x14ac:dyDescent="0.25">
      <c r="C185" s="43" t="s">
        <v>885</v>
      </c>
      <c r="D185" s="43"/>
      <c r="E185" s="43"/>
      <c r="F185" s="56"/>
      <c r="G185" s="43"/>
      <c r="H185" s="43"/>
      <c r="I185" s="43"/>
      <c r="J185" s="43"/>
      <c r="K185" s="43"/>
      <c r="L185" s="43"/>
      <c r="M185" s="43"/>
      <c r="N185" s="43"/>
      <c r="O185" s="43"/>
      <c r="P185" s="43"/>
    </row>
    <row r="186" spans="3:16" x14ac:dyDescent="0.25">
      <c r="C186" t="s">
        <v>886</v>
      </c>
      <c r="D186" t="s">
        <v>29</v>
      </c>
      <c r="E186" s="24" cm="1">
        <f t="array" ref="E186">IF(INDEX($G186:$P186,$E$6)="",$G186,INDEX($G186:$P186,$E$6))</f>
        <v>1</v>
      </c>
      <c r="F186" s="40" t="s">
        <v>1224</v>
      </c>
      <c r="G186" s="121">
        <v>1</v>
      </c>
      <c r="H186" s="121"/>
      <c r="I186" s="121"/>
      <c r="J186" s="121"/>
      <c r="K186" s="121"/>
      <c r="L186" s="121"/>
      <c r="M186" s="121"/>
      <c r="N186" s="121"/>
      <c r="O186" s="121"/>
      <c r="P186" s="121"/>
    </row>
    <row r="187" spans="3:16" x14ac:dyDescent="0.25">
      <c r="C187" t="s">
        <v>887</v>
      </c>
      <c r="D187" t="s">
        <v>377</v>
      </c>
      <c r="E187" s="89" cm="1">
        <f t="array" ref="E187">IF(INDEX($G187:$P187,$E$6)="",$G187,INDEX($G187:$P187,$E$6))</f>
        <v>100</v>
      </c>
      <c r="F187" s="40" t="s">
        <v>888</v>
      </c>
      <c r="G187" s="118">
        <v>100</v>
      </c>
      <c r="H187" s="118"/>
      <c r="I187" s="118"/>
      <c r="J187" s="118"/>
      <c r="K187" s="118"/>
      <c r="L187" s="118"/>
      <c r="M187" s="118"/>
      <c r="N187" s="118"/>
      <c r="O187" s="118"/>
      <c r="P187" s="118"/>
    </row>
    <row r="188" spans="3:16" x14ac:dyDescent="0.25">
      <c r="C188" t="s">
        <v>889</v>
      </c>
      <c r="D188" t="s">
        <v>365</v>
      </c>
      <c r="E188" s="31" cm="1">
        <f t="array" ref="E188">IF(INDEX($G188:$P188,$E$6)="",$G188,INDEX($G188:$P188,$E$6))</f>
        <v>0.02</v>
      </c>
      <c r="F188" s="40" t="s">
        <v>862</v>
      </c>
      <c r="G188" s="36">
        <v>0.02</v>
      </c>
      <c r="H188" s="36"/>
      <c r="I188" s="36"/>
      <c r="J188" s="36"/>
      <c r="K188" s="36"/>
      <c r="L188" s="36"/>
      <c r="M188" s="36"/>
      <c r="N188" s="36"/>
      <c r="O188" s="36"/>
      <c r="P188" s="36"/>
    </row>
    <row r="189" spans="3:16" x14ac:dyDescent="0.25">
      <c r="C189" t="s">
        <v>890</v>
      </c>
      <c r="D189" t="s">
        <v>2</v>
      </c>
      <c r="E189" s="31" cm="1">
        <f t="array" ref="E189">IF(INDEX($G189:$P189,$E$6)="",$G189,INDEX($G189:$P189,$E$6))</f>
        <v>0.85</v>
      </c>
      <c r="F189" s="40" t="s">
        <v>891</v>
      </c>
      <c r="G189" s="36">
        <v>0.85</v>
      </c>
      <c r="H189" s="36"/>
      <c r="I189" s="36"/>
      <c r="J189" s="36"/>
      <c r="K189" s="36"/>
      <c r="L189" s="36"/>
      <c r="M189" s="36"/>
      <c r="N189" s="36"/>
      <c r="O189" s="36"/>
      <c r="P189" s="36"/>
    </row>
    <row r="190" x14ac:dyDescent="0.25">
      <c r="C190" t="s">
        <v>892</v>
      </c>
      <c r="D190" t="s">
        <v>2</v>
      </c>
      <c r="E190" s="31" cm="1">
        <f t="array" ref="E190">IF(INDEX($G190:$P190,$E$6)="",$G190,INDEX($G190:$P190,$E$6))</f>
        <v>1</v>
      </c>
      <c r="F190" s="40" t="s">
        <v>893</v>
      </c>
      <c r="G190" s="468">
        <f>'Control Panel'!$E$116</f>
        <v>1</v>
      </c>
      <c r="H190" s="468">
        <f>IF('Control Panel'!$F$116="","",'Control Panel'!$F$116)</f>
        <v>0</v>
      </c>
      <c r="I190" s="468">
        <f>IF('Control Panel'!$G$116="","",'Control Panel'!$G$116)</f>
        <v>0</v>
      </c>
      <c r="J190" s="45"/>
      <c r="K190" s="45"/>
      <c r="L190" s="45"/>
      <c r="M190" s="486">
        <f>H190</f>
        <v>0</v>
      </c>
      <c r="N190" s="486">
        <f>I190</f>
        <v>0</v>
      </c>
      <c r="O190" s="45"/>
      <c r="P190" s="45"/>
    </row>
    <row r="191" spans="3:16" x14ac:dyDescent="0.25">
      <c r="C191" t="s">
        <v>894</v>
      </c>
      <c r="D191" t="s">
        <v>377</v>
      </c>
      <c r="E191" s="89" cm="1">
        <f t="array" ref="E191">IF(INDEX($G191:$P191,$E$6)="",$G191,INDEX($G191:$P191,$E$6))</f>
        <v>90</v>
      </c>
      <c r="F191" s="40" t="s">
        <v>862</v>
      </c>
      <c r="G191" s="473">
        <f>'Control Panel'!$E$117</f>
        <v>90</v>
      </c>
      <c r="H191" s="473" t="str">
        <f>IF('Control Panel'!$F$117="","",'Control Panel'!$F$117)</f>
        <v/>
      </c>
      <c r="I191" s="473" t="str">
        <f>IF('Control Panel'!$G$117="","",'Control Panel'!$G$117)</f>
        <v/>
      </c>
      <c r="J191" s="118"/>
      <c r="K191" s="118"/>
      <c r="L191" s="118"/>
      <c r="M191" s="534">
        <f>'Control Panel'!$E$117</f>
        <v>90</v>
      </c>
      <c r="N191" s="534">
        <f>'Control Panel'!$E$117</f>
        <v>90</v>
      </c>
      <c r="O191" s="118"/>
      <c r="P191" s="118"/>
    </row>
    <row r="192" spans="3:16" x14ac:dyDescent="0.25">
      <c r="C192" t="s">
        <v>895</v>
      </c>
      <c r="D192" t="s">
        <v>365</v>
      </c>
      <c r="E192" s="31" cm="1">
        <f t="array" ref="E192">IF(INDEX($G192:$P192,$E$6)="",$G192,INDEX($G192:$P192,$E$6))</f>
        <v>0.01</v>
      </c>
      <c r="F192" s="40"/>
      <c r="G192" s="468">
        <f>'Control Panel'!$E$118</f>
        <v>0.01</v>
      </c>
      <c r="H192" s="468" t="str">
        <f>IF('Control Panel'!$F$118="","",'Control Panel'!$F$118)</f>
        <v/>
      </c>
      <c r="I192" s="468" t="str">
        <f>IF('Control Panel'!$G$118="","",'Control Panel'!$G$118)</f>
        <v/>
      </c>
      <c r="J192" s="45"/>
      <c r="K192" s="45"/>
      <c r="L192" s="45"/>
      <c r="M192" s="45" t="str">
        <f>H192</f>
        <v/>
      </c>
      <c r="N192" s="45" t="str">
        <f>I192</f>
        <v/>
      </c>
      <c r="O192" s="45"/>
      <c r="P192" s="45"/>
    </row>
    <row r="193" spans="3:16" x14ac:dyDescent="0.25">
      <c r="C193" t="s">
        <v>896</v>
      </c>
      <c r="D193" t="s">
        <v>227</v>
      </c>
      <c r="E193" s="24" cm="1">
        <f t="array" ref="E193">IF(INDEX($G193:$P193,$E$6)="",$G193,INDEX($G193:$P193,$E$6))</f>
        <v>10</v>
      </c>
      <c r="F193" s="40" t="s">
        <v>897</v>
      </c>
      <c r="G193" s="467">
        <f>'Control Panel'!$E$119</f>
        <v>10</v>
      </c>
      <c r="H193" s="467" t="str">
        <f>IF('Control Panel'!$F$119="","",'Control Panel'!$F$119)</f>
        <v/>
      </c>
      <c r="I193" s="467" t="str">
        <f>IF('Control Panel'!$G$119="","",'Control Panel'!$G$119)</f>
        <v/>
      </c>
      <c r="J193" s="49"/>
      <c r="K193" s="49"/>
      <c r="L193" s="49"/>
      <c r="M193" s="49" t="str">
        <f>H193</f>
        <v/>
      </c>
      <c r="N193" s="49" t="str">
        <f>I193</f>
        <v/>
      </c>
      <c r="O193" s="49"/>
      <c r="P193" s="49"/>
    </row>
    <row r="194" spans="3:16" x14ac:dyDescent="0.25">
      <c r="C194" t="s">
        <v>898</v>
      </c>
      <c r="D194" t="s">
        <v>377</v>
      </c>
      <c r="E194" s="89" cm="1">
        <f t="array" ref="E194">IF(INDEX($G194:$P194,$E$6)="",$G194,INDEX($G194:$P194,$E$6))</f>
        <v>4</v>
      </c>
      <c r="F194" s="40" t="s">
        <v>899</v>
      </c>
      <c r="G194" s="118">
        <v>4</v>
      </c>
      <c r="H194" s="118"/>
      <c r="I194" s="118"/>
      <c r="J194" s="118"/>
      <c r="K194" s="118"/>
      <c r="L194" s="118"/>
      <c r="M194" s="118"/>
      <c r="N194" s="118"/>
      <c r="O194" s="118"/>
      <c r="P194" s="118"/>
    </row>
    <row r="195" spans="3:16" x14ac:dyDescent="0.25">
      <c r="C195" t="s">
        <v>900</v>
      </c>
      <c r="D195" t="s">
        <v>377</v>
      </c>
      <c r="E195" s="89" cm="1">
        <f t="array" ref="E195">IF(INDEX($G195:$P195,$E$6)="",$G195,INDEX($G195:$P195,$E$6))</f>
        <v>1</v>
      </c>
      <c r="F195" s="40" t="s">
        <v>862</v>
      </c>
      <c r="G195" s="118">
        <v>1</v>
      </c>
      <c r="H195" s="118"/>
      <c r="I195" s="118"/>
      <c r="J195" s="118"/>
      <c r="K195" s="118"/>
      <c r="L195" s="118"/>
      <c r="M195" s="118"/>
      <c r="N195" s="118"/>
      <c r="O195" s="118"/>
      <c r="P195" s="118"/>
    </row>
    <row r="196" spans="3:16" x14ac:dyDescent="0.25">
      <c r="C196" t="s">
        <v>367</v>
      </c>
      <c r="D196" t="s">
        <v>368</v>
      </c>
      <c r="E196" s="22" cm="1">
        <f t="array" ref="E196">IF(INDEX($G196:$P196,$E$6)="",$G196,INDEX($G196:$P196,$E$6))</f>
        <v>0.001</v>
      </c>
      <c r="F196" s="40"/>
      <c r="G196" s="52">
        <v>1E-3</v>
      </c>
      <c r="H196" s="52"/>
      <c r="I196" s="52"/>
      <c r="J196" s="52"/>
      <c r="K196" s="52"/>
      <c r="L196" s="52"/>
      <c r="M196" s="52"/>
      <c r="N196" s="52"/>
      <c r="O196" s="52"/>
      <c r="P196" s="52"/>
    </row>
    <row r="197" x14ac:dyDescent="0.25">
      <c r="C197" t="s">
        <v>901</v>
      </c>
      <c r="D197" t="s">
        <v>29</v>
      </c>
      <c r="E197" s="24" cm="1">
        <f t="array" ref="E197">IF(INDEX($G197:$P197,$E$6)="",$G197,INDEX($G197:$P197,$E$6))</f>
        <v>0</v>
      </c>
      <c r="F197" s="40" t="inlineStr">
        <is>
          <t xml:space="preserve">FLAG – default 0: each SPV is ≤ 50 MW, so the 31% levy on generators &gt; 50 MW should not bite. Switch on the Control Panel (section c). Confirm with tax adviser.</t>
        </is>
      </c>
      <c r="G197" s="481">
        <f>'Control Panel'!$E$131</f>
        <v>0</v>
      </c>
      <c r="H197" s="481" t="str">
        <f>IF('Control Panel'!$F$131="","",'Control Panel'!$F$131)</f>
        <v/>
      </c>
      <c r="I197" s="481" t="str">
        <f>IF('Control Panel'!$G$131="","",'Control Panel'!$G$131)</f>
        <v/>
      </c>
      <c r="J197" s="121"/>
      <c r="K197" s="121"/>
      <c r="L197" s="121"/>
      <c r="M197" s="121" t="str">
        <f>H197</f>
        <v/>
      </c>
      <c r="N197" s="121" t="str">
        <f>I197</f>
        <v/>
      </c>
      <c r="O197" s="121"/>
      <c r="P197" s="121"/>
    </row>
    <row r="198" spans="3:16" x14ac:dyDescent="0.25">
      <c r="C198" t="s">
        <v>902</v>
      </c>
      <c r="D198" t="s">
        <v>2</v>
      </c>
      <c r="E198" s="31" cm="1">
        <f t="array" ref="E198">IF(INDEX($G198:$P198,$E$6)="",$G198,INDEX($G198:$P198,$E$6))</f>
        <v>0.31</v>
      </c>
      <c r="F198" s="40"/>
      <c r="G198" s="45">
        <v>0.31</v>
      </c>
      <c r="H198" s="45"/>
      <c r="I198" s="45"/>
      <c r="J198" s="45"/>
      <c r="K198" s="45"/>
      <c r="L198" s="45"/>
      <c r="M198" s="45"/>
      <c r="N198" s="45"/>
      <c r="O198" s="45"/>
      <c r="P198" s="45"/>
    </row>
    <row r="199" spans="3:16" x14ac:dyDescent="0.25">
      <c r="C199" t="s">
        <v>1892</v>
      </c>
      <c r="D199" t="s">
        <v>29</v>
      </c>
      <c r="E199" s="24" cm="1">
        <f t="array" ref="E199">IF(INDEX($G199:$P199,$E$6)="",$G199,INDEX($G199:$P199,$E$6))</f>
        <v>2</v>
      </c>
      <c r="F199" s="40" t="s">
        <v>1893</v>
      </c>
      <c r="G199" s="467">
        <f>'Control Panel'!$E$114</f>
        <v>2</v>
      </c>
      <c r="H199" s="467">
        <f>IF('Control Panel'!$F$114="","",'Control Panel'!$F$114)</f>
        <v>2</v>
      </c>
      <c r="I199" s="467">
        <f>IF('Control Panel'!$G$114="","",'Control Panel'!$G$114)</f>
        <v>2</v>
      </c>
      <c r="J199" s="49"/>
      <c r="K199" s="49"/>
      <c r="L199" s="49"/>
      <c r="M199" s="49">
        <f>H199</f>
        <v>2</v>
      </c>
      <c r="N199" s="49">
        <f>I199</f>
        <v>2</v>
      </c>
      <c r="O199" s="49"/>
      <c r="P199" s="49"/>
    </row>
    <row r="200" spans="3:16" x14ac:dyDescent="0.25">
      <c r="C200" s="43" t="s">
        <v>903</v>
      </c>
      <c r="D200" s="43"/>
      <c r="E200" s="43"/>
      <c r="F200" s="56"/>
      <c r="G200" s="43"/>
      <c r="H200" s="43"/>
      <c r="I200" s="43"/>
      <c r="J200" s="43"/>
      <c r="K200" s="43"/>
      <c r="L200" s="43"/>
      <c r="M200" s="43"/>
      <c r="N200" s="43"/>
      <c r="O200" s="43"/>
      <c r="P200" s="43"/>
    </row>
    <row r="201" spans="3:16" x14ac:dyDescent="0.25">
      <c r="C201" t="s">
        <v>904</v>
      </c>
      <c r="D201" t="s">
        <v>905</v>
      </c>
      <c r="E201" s="89" cm="1">
        <f t="array" ref="E201">IF(INDEX($G201:$P201,$E$6)="",$G201,INDEX($G201:$P201,$E$6))</f>
        <v>12</v>
      </c>
      <c r="F201" s="40" t="s">
        <v>2339</v>
      </c>
      <c r="G201" s="473">
        <f>'Control Panel'!$E$121</f>
        <v>12</v>
      </c>
      <c r="H201" s="473" t="str">
        <f>IF('Control Panel'!$F$121="","",'Control Panel'!$F$121)</f>
        <v/>
      </c>
      <c r="I201" s="473" t="str">
        <f>IF('Control Panel'!$G$121="","",'Control Panel'!$G$121)</f>
        <v/>
      </c>
      <c r="J201" s="118"/>
      <c r="K201" s="118"/>
      <c r="L201" s="118"/>
      <c r="M201" s="118" t="str">
        <f>H201</f>
        <v/>
      </c>
      <c r="N201" s="118" t="str">
        <f>I201</f>
        <v/>
      </c>
      <c r="O201" s="118"/>
      <c r="P201" s="118"/>
    </row>
    <row r="202" spans="3:16" x14ac:dyDescent="0.25">
      <c r="C202" t="s">
        <v>370</v>
      </c>
      <c r="D202" t="s">
        <v>905</v>
      </c>
      <c r="E202" s="89" cm="1">
        <f t="array" ref="E202">IF(INDEX($G202:$P202,$E$6)="",$G202,INDEX($G202:$P202,$E$6))</f>
        <v>3</v>
      </c>
      <c r="F202" s="40" t="s">
        <v>862</v>
      </c>
      <c r="G202" s="473">
        <f>'Control Panel'!$E$122</f>
        <v>3</v>
      </c>
      <c r="H202" s="473" t="str">
        <f>IF('Control Panel'!$F$122="","",'Control Panel'!$F$122)</f>
        <v/>
      </c>
      <c r="I202" s="473" t="str">
        <f>IF('Control Panel'!$G$122="","",'Control Panel'!$G$122)</f>
        <v/>
      </c>
      <c r="J202" s="118"/>
      <c r="K202" s="118"/>
      <c r="L202" s="118"/>
      <c r="M202" s="118" t="str">
        <f>H202</f>
        <v/>
      </c>
      <c r="N202" s="118" t="str">
        <f>I202</f>
        <v/>
      </c>
      <c r="O202" s="118"/>
      <c r="P202" s="118"/>
    </row>
    <row r="203" spans="3:16" x14ac:dyDescent="0.25">
      <c r="C203" t="s">
        <v>906</v>
      </c>
      <c r="D203" t="s">
        <v>905</v>
      </c>
      <c r="E203" s="89" cm="1">
        <f t="array" ref="E203">IF(INDEX($G203:$P203,$E$6)="",$G203,INDEX($G203:$P203,$E$6))</f>
        <v>3</v>
      </c>
      <c r="F203" s="40" t="s">
        <v>907</v>
      </c>
      <c r="G203" s="473">
        <f>'Control Panel'!$E$123</f>
        <v>3</v>
      </c>
      <c r="H203" s="473" t="str">
        <f>IF('Control Panel'!$F$123="","",'Control Panel'!$F$123)</f>
        <v/>
      </c>
      <c r="I203" s="473" t="str">
        <f>IF('Control Panel'!$G$123="","",'Control Panel'!$G$123)</f>
        <v/>
      </c>
      <c r="J203" s="118"/>
      <c r="K203" s="118"/>
      <c r="L203" s="118"/>
      <c r="M203" s="118" t="str">
        <f>H203</f>
        <v/>
      </c>
      <c r="N203" s="118" t="str">
        <f>I203</f>
        <v/>
      </c>
      <c r="O203" s="118"/>
      <c r="P203" s="118"/>
    </row>
    <row r="204" spans="3:16" x14ac:dyDescent="0.25">
      <c r="C204" t="s">
        <v>371</v>
      </c>
      <c r="D204" t="s">
        <v>905</v>
      </c>
      <c r="E204" s="89" cm="1">
        <f t="array" ref="E204">IF(INDEX($G204:$P204,$E$6)="",$G204,INDEX($G204:$P204,$E$6))</f>
        <v>2.5</v>
      </c>
      <c r="F204" s="40" t="s">
        <v>862</v>
      </c>
      <c r="G204" s="118">
        <v>2.5</v>
      </c>
      <c r="H204" s="118"/>
      <c r="I204" s="118"/>
      <c r="J204" s="118"/>
      <c r="K204" s="118"/>
      <c r="L204" s="118"/>
      <c r="M204" s="118"/>
      <c r="N204" s="118"/>
      <c r="O204" s="118"/>
      <c r="P204" s="118"/>
    </row>
    <row r="205" spans="3:16" x14ac:dyDescent="0.25">
      <c r="C205" t="s">
        <v>372</v>
      </c>
      <c r="D205" t="s">
        <v>905</v>
      </c>
      <c r="E205" s="89" cm="1">
        <f t="array" ref="E205">IF(INDEX($G205:$P205,$E$6)="",$G205,INDEX($G205:$P205,$E$6))</f>
        <v>1.5</v>
      </c>
      <c r="F205" s="40" t="s">
        <v>862</v>
      </c>
      <c r="G205" s="118">
        <v>1.5</v>
      </c>
      <c r="H205" s="118"/>
      <c r="I205" s="118"/>
      <c r="J205" s="118"/>
      <c r="K205" s="118"/>
      <c r="L205" s="118"/>
      <c r="M205" s="118"/>
      <c r="N205" s="118"/>
      <c r="O205" s="118"/>
      <c r="P205" s="118"/>
    </row>
    <row r="206" spans="3:16" x14ac:dyDescent="0.25">
      <c r="C206" t="s">
        <v>908</v>
      </c>
      <c r="D206" t="s">
        <v>905</v>
      </c>
      <c r="E206" s="89" cm="1">
        <f t="array" ref="E206">IF(INDEX($G206:$P206,$E$6)="",$G206,INDEX($G206:$P206,$E$6))</f>
        <v>3</v>
      </c>
      <c r="F206" s="40" t="s">
        <v>909</v>
      </c>
      <c r="G206" s="118">
        <v>3</v>
      </c>
      <c r="H206" s="118"/>
      <c r="I206" s="118"/>
      <c r="J206" s="118"/>
      <c r="K206" s="118"/>
      <c r="L206" s="118"/>
      <c r="M206" s="118"/>
      <c r="N206" s="118"/>
      <c r="O206" s="118"/>
      <c r="P206" s="118"/>
    </row>
    <row r="207" spans="3:16" x14ac:dyDescent="0.25">
      <c r="C207" t="s">
        <v>910</v>
      </c>
      <c r="D207" t="s">
        <v>911</v>
      </c>
      <c r="E207" s="19" cm="1">
        <f t="array" ref="E207">IF(INDEX($G207:$P207,$E$6)="",$G207,INDEX($G207:$P207,$E$6))</f>
        <v>150</v>
      </c>
      <c r="F207" s="40" t="s">
        <v>862</v>
      </c>
      <c r="G207" s="35">
        <v>150</v>
      </c>
      <c r="H207" s="35"/>
      <c r="I207" s="35"/>
      <c r="J207" s="35"/>
      <c r="K207" s="35"/>
      <c r="L207" s="35"/>
      <c r="M207" s="35"/>
      <c r="N207" s="35"/>
      <c r="O207" s="35"/>
      <c r="P207" s="35"/>
    </row>
    <row r="208" spans="3:16" x14ac:dyDescent="0.25">
      <c r="C208" t="s">
        <v>912</v>
      </c>
      <c r="D208" t="s">
        <v>2</v>
      </c>
      <c r="E208" s="31" cm="1">
        <f t="array" ref="E208">IF(INDEX($G208:$P208,$E$6)="",$G208,INDEX($G208:$P208,$E$6))</f>
        <v>0.05</v>
      </c>
      <c r="F208" s="40" t="s">
        <v>862</v>
      </c>
      <c r="G208" s="36">
        <v>0.05</v>
      </c>
      <c r="H208" s="36"/>
      <c r="I208" s="36"/>
      <c r="J208" s="36"/>
      <c r="K208" s="36"/>
      <c r="L208" s="36"/>
      <c r="M208" s="36"/>
      <c r="N208" s="36"/>
      <c r="O208" s="36"/>
      <c r="P208" s="36"/>
    </row>
    <row r="209" spans="3:16" x14ac:dyDescent="0.25">
      <c r="C209" t="s">
        <v>913</v>
      </c>
      <c r="D209" t="s">
        <v>365</v>
      </c>
      <c r="E209" s="31" cm="1">
        <f t="array" ref="E209">IF(INDEX($G209:$P209,$E$6)="",$G209,INDEX($G209:$P209,$E$6))</f>
        <v>0.025</v>
      </c>
      <c r="F209" s="40" t="s">
        <v>914</v>
      </c>
      <c r="G209" s="474">
        <f>'Control Panel'!$E$124</f>
        <v>0.025</v>
      </c>
      <c r="H209" s="474" t="str">
        <f>IF('Control Panel'!$F$124="","",'Control Panel'!$F$124)</f>
        <v/>
      </c>
      <c r="I209" s="474" t="str">
        <f>IF('Control Panel'!$G$124="","",'Control Panel'!$G$124)</f>
        <v/>
      </c>
      <c r="J209" s="36"/>
      <c r="K209" s="36"/>
      <c r="L209" s="36"/>
      <c r="M209" s="36" t="str">
        <f>H209</f>
        <v/>
      </c>
      <c r="N209" s="36" t="str">
        <f>I209</f>
        <v/>
      </c>
      <c r="O209" s="36"/>
      <c r="P209" s="36"/>
    </row>
    <row r="210" spans="3:16" x14ac:dyDescent="0.25">
      <c r="C210" t="s">
        <v>375</v>
      </c>
      <c r="D210" t="s">
        <v>368</v>
      </c>
      <c r="E210" s="22" cm="1">
        <f t="array" ref="E210">IF(INDEX($G210:$P210,$E$6)="",$G210,INDEX($G210:$P210,$E$6))</f>
        <v>0.02</v>
      </c>
      <c r="F210" s="40" t="s">
        <v>915</v>
      </c>
      <c r="G210" s="122">
        <v>0.02</v>
      </c>
      <c r="H210" s="122"/>
      <c r="I210" s="122"/>
      <c r="J210" s="122"/>
      <c r="K210" s="122"/>
      <c r="L210" s="122"/>
      <c r="M210" s="122"/>
      <c r="N210" s="122"/>
      <c r="O210" s="122"/>
      <c r="P210" s="122"/>
    </row>
    <row r="212" spans="3:16" x14ac:dyDescent="0.25">
      <c r="C212" s="43" t="s">
        <v>916</v>
      </c>
      <c r="D212" s="43"/>
      <c r="E212" s="43"/>
      <c r="F212" s="56"/>
      <c r="G212" s="43"/>
      <c r="H212" s="43"/>
      <c r="I212" s="43"/>
      <c r="J212" s="43"/>
      <c r="K212" s="43"/>
      <c r="L212" s="43"/>
      <c r="M212" s="43"/>
      <c r="N212" s="43"/>
      <c r="O212" s="43"/>
      <c r="P212" s="43"/>
    </row>
    <row r="213" spans="3:16" x14ac:dyDescent="0.25">
      <c r="C213" t="s">
        <v>917</v>
      </c>
      <c r="D213" t="s">
        <v>227</v>
      </c>
      <c r="E213" s="24" cm="1">
        <f t="array" ref="E213">IF(INDEX($G213:$P213,$E$6)="",$G213,INDEX($G213:$P213,$E$6))</f>
        <v>20</v>
      </c>
      <c r="F213" s="40" t="s">
        <v>918</v>
      </c>
      <c r="G213" s="121">
        <v>20</v>
      </c>
      <c r="H213" s="121"/>
      <c r="I213" s="121"/>
      <c r="J213" s="121"/>
      <c r="K213" s="121"/>
      <c r="L213" s="121"/>
      <c r="M213" s="121"/>
      <c r="N213" s="121"/>
      <c r="O213" s="121"/>
      <c r="P213" s="121"/>
    </row>
    <row r="214" spans="3:16" x14ac:dyDescent="0.25">
      <c r="C214" t="s">
        <v>919</v>
      </c>
      <c r="D214" t="s">
        <v>2</v>
      </c>
      <c r="E214" s="31" cm="1">
        <f t="array" ref="E214">IF(INDEX($G214:$P214,$E$6)="",$G214,INDEX($G214:$P214,$E$6))</f>
        <v>0.5</v>
      </c>
      <c r="F214" s="40" t="s">
        <v>920</v>
      </c>
      <c r="G214" s="45">
        <v>0.5</v>
      </c>
      <c r="H214" s="45"/>
      <c r="I214" s="45"/>
      <c r="J214" s="45"/>
      <c r="K214" s="45"/>
      <c r="L214" s="45"/>
      <c r="M214" s="45"/>
      <c r="N214" s="45"/>
      <c r="O214" s="45"/>
      <c r="P214" s="45"/>
    </row>
    <row r="216" spans="3:16" x14ac:dyDescent="0.25">
      <c r="C216" s="43" t="s">
        <v>921</v>
      </c>
      <c r="D216" s="43"/>
      <c r="E216" s="43"/>
      <c r="F216" s="56"/>
      <c r="G216" s="43"/>
      <c r="H216" s="43"/>
      <c r="I216" s="43"/>
      <c r="J216" s="43"/>
      <c r="K216" s="43"/>
      <c r="L216" s="43"/>
      <c r="M216" s="43"/>
      <c r="N216" s="43"/>
      <c r="O216" s="43"/>
      <c r="P216" s="43"/>
    </row>
    <row r="217" x14ac:dyDescent="0.25">
      <c r="C217" t="s">
        <v>922</v>
      </c>
      <c r="D217" t="s">
        <v>2</v>
      </c>
      <c r="E217" s="31" cm="1">
        <f t="array" ref="E217">IF(INDEX($G217:$P217,$E$6)="",$G217,INDEX($G217:$P217,$E$6))</f>
        <v>0.55</v>
      </c>
      <c r="F217" s="40" t="s">
        <v>923</v>
      </c>
      <c r="G217" s="474">
        <f>'Control Panel'!$E$126</f>
        <v>0.55</v>
      </c>
      <c r="H217" s="474">
        <f>IF('Control Panel'!$F$126="","",'Control Panel'!$F$126)</f>
        <v>0.6</v>
      </c>
      <c r="I217" s="474">
        <f>IF('Control Panel'!$G$126="","",'Control Panel'!$G$126)</f>
        <v>0.5</v>
      </c>
      <c r="J217" s="36"/>
      <c r="K217" s="36"/>
      <c r="L217" s="36"/>
      <c r="M217" s="486">
        <f>H217</f>
        <v>0.6</v>
      </c>
      <c r="N217" s="486">
        <f>I217</f>
        <v>0.5</v>
      </c>
      <c r="O217" s="36"/>
      <c r="P217" s="36"/>
    </row>
    <row r="218" spans="3:16" x14ac:dyDescent="0.25">
      <c r="C218" t="s">
        <v>924</v>
      </c>
      <c r="D218" t="s">
        <v>2</v>
      </c>
      <c r="E218" s="31" cm="1">
        <f t="array" ref="E218">IF(INDEX($G218:$P218,$E$6)="",$G218,INDEX($G218:$P218,$E$6))</f>
        <v>0.05</v>
      </c>
      <c r="F218" s="40" t="s">
        <v>925</v>
      </c>
      <c r="G218" s="474">
        <f>'Control Panel'!$E$127</f>
        <v>0.05</v>
      </c>
      <c r="H218" s="474" t="str">
        <f>IF('Control Panel'!$F$127="","",'Control Panel'!$F$127)</f>
        <v/>
      </c>
      <c r="I218" s="474" t="str">
        <f>IF('Control Panel'!$G$127="","",'Control Panel'!$G$127)</f>
        <v/>
      </c>
      <c r="J218" s="36"/>
      <c r="K218" s="36"/>
      <c r="L218" s="36"/>
      <c r="M218" s="486" t="str">
        <f>H218</f>
        <v/>
      </c>
      <c r="N218" s="486" t="str">
        <f>I218</f>
        <v/>
      </c>
      <c r="O218" s="36"/>
      <c r="P218" s="36"/>
    </row>
    <row r="219" spans="3:16" x14ac:dyDescent="0.25">
      <c r="C219" t="s">
        <v>926</v>
      </c>
      <c r="D219" t="s">
        <v>927</v>
      </c>
      <c r="E219" s="31" cm="1">
        <f t="array" ref="E219">IF(INDEX($G219:$P219,$E$6)="",$G219,INDEX($G219:$P219,$E$6))</f>
        <v>0.0175</v>
      </c>
      <c r="F219" s="40" t="s">
        <v>862</v>
      </c>
      <c r="G219" s="36">
        <v>1.7500000000000002E-2</v>
      </c>
      <c r="H219" s="36"/>
      <c r="I219" s="36"/>
      <c r="J219" s="36"/>
      <c r="K219" s="36"/>
      <c r="L219" s="36"/>
      <c r="M219" s="36"/>
      <c r="N219" s="36"/>
      <c r="O219" s="36"/>
      <c r="P219" s="36"/>
    </row>
    <row r="220" x14ac:dyDescent="0.25">
      <c r="C220" t="s">
        <v>2257</v>
      </c>
      <c r="D220" t="s">
        <v>227</v>
      </c>
      <c r="E220" s="24" cm="1">
        <f t="array" ref="E220">IF(INDEX($G220:$P220,$E$6)="",$G220,INDEX($G220:$P220,$E$6))</f>
        <v>10</v>
      </c>
      <c r="F220" s="40" t="s">
        <v>1324</v>
      </c>
      <c r="G220" s="516">
        <f>'Control Panel'!$E$129</f>
        <v>10</v>
      </c>
      <c r="H220" s="121"/>
      <c r="I220" s="121"/>
      <c r="J220" s="121"/>
      <c r="K220" s="121"/>
      <c r="L220" s="121"/>
      <c r="M220" s="121"/>
      <c r="N220" s="121"/>
      <c r="O220" s="121"/>
      <c r="P220" s="121"/>
    </row>
    <row r="221" spans="3:16" x14ac:dyDescent="0.25">
      <c r="C221" t="s">
        <v>928</v>
      </c>
      <c r="D221" t="s">
        <v>29</v>
      </c>
      <c r="E221" s="24" cm="1">
        <f t="array" ref="E221">IF(INDEX($G221:$P221,$E$6)="",$G221,INDEX($G221:$P221,$E$6))</f>
        <v>1</v>
      </c>
      <c r="F221" s="40"/>
      <c r="G221" s="49">
        <v>1</v>
      </c>
      <c r="H221" s="49"/>
      <c r="I221" s="49"/>
      <c r="J221" s="49"/>
      <c r="K221" s="49"/>
      <c r="L221" s="49"/>
      <c r="M221" s="49"/>
      <c r="N221" s="49"/>
      <c r="O221" s="49"/>
      <c r="P221" s="49"/>
    </row>
    <row r="222" spans="3:16" x14ac:dyDescent="0.25">
      <c r="C222" t="s">
        <v>2373</v>
      </c>
      <c r="D222" t="s">
        <v>365</v>
      </c>
      <c r="E222" s="31" cm="1">
        <f t="array" ref="E222">IF(INDEX($G222:$P222,$E$6)="",$G222,INDEX($G222:$P222,$E$6))</f>
        <v>0.009</v>
      </c>
      <c r="F222" s="40" t="s">
        <v>2379</v>
      </c>
      <c r="G222" s="474">
        <f>'Control Panel'!$E$128</f>
        <v>0.009</v>
      </c>
      <c r="H222" s="474" t="str">
        <f>IF('Control Panel'!$F$128="","",'Control Panel'!$F$128)</f>
        <v/>
      </c>
      <c r="I222" s="474" t="str">
        <f>IF('Control Panel'!$G$128="","",'Control Panel'!$G$128)</f>
        <v/>
      </c>
      <c r="J222" s="36"/>
      <c r="K222" s="36"/>
      <c r="L222" s="36"/>
      <c r="M222" s="486" t="str">
        <f>H222</f>
        <v/>
      </c>
      <c r="N222" s="486" t="str">
        <f>I222</f>
        <v/>
      </c>
      <c r="O222" s="36"/>
      <c r="P222" s="36"/>
    </row>
    <row r="223" spans="3:16" x14ac:dyDescent="0.25">
      <c r="C223" s="43" t="s">
        <v>929</v>
      </c>
      <c r="D223" s="43"/>
      <c r="E223" s="43"/>
      <c r="F223" s="56"/>
      <c r="G223" s="43"/>
      <c r="H223" s="43"/>
      <c r="I223" s="43"/>
      <c r="J223" s="43"/>
      <c r="K223" s="43"/>
      <c r="L223" s="43"/>
      <c r="M223" s="500"/>
      <c r="N223" s="500"/>
      <c r="O223" s="43"/>
      <c r="P223" s="43"/>
    </row>
    <row r="224" x14ac:dyDescent="0.25">
      <c r="C224" t="s">
        <v>930</v>
      </c>
      <c r="D224" t="s">
        <v>2</v>
      </c>
      <c r="E224" s="31" cm="1">
        <f t="array" ref="E224">IF(INDEX($G224:$P224,$E$6)="",$G224,INDEX($G224:$P224,$E$6))</f>
        <v>0.08</v>
      </c>
      <c r="F224" s="40" t="inlineStr">
        <is>
          <t xml:space="preserve">Linked to the single discount rate (Inputs row 253 ← Control Panel section c), per decision 02-Oct-26 (Open_Items #10). Previously 7% typed.</t>
        </is>
      </c>
      <c r="G224" s="486">
        <f t="shared" ref="G224:I225" si="1">G$253</f>
        <v>0.08</v>
      </c>
      <c r="H224" s="36" t="str">
        <f t="shared" si="1"/>
        <v/>
      </c>
      <c r="I224" s="36" t="str">
        <f t="shared" si="1"/>
        <v/>
      </c>
      <c r="J224" s="36"/>
      <c r="K224" s="36"/>
      <c r="L224" s="36"/>
      <c r="M224" s="486" t="str">
        <f>H224</f>
        <v/>
      </c>
      <c r="N224" s="486" t="str">
        <f>I224</f>
        <v/>
      </c>
      <c r="O224" s="36"/>
      <c r="P224" s="36"/>
    </row>
    <row r="225" x14ac:dyDescent="0.25">
      <c r="C225" t="s">
        <v>931</v>
      </c>
      <c r="D225" t="s">
        <v>2</v>
      </c>
      <c r="E225" s="31" cm="1">
        <f t="array" ref="E225">IF(INDEX($G225:$P225,$E$6)="",$G225,INDEX($G225:$P225,$E$6))</f>
        <v>0.08</v>
      </c>
      <c r="F225" s="40" t="inlineStr">
        <is>
          <t xml:space="preserve">Linked to the single discount rate (Inputs row 253 ← Control Panel section c), per decision 02-Oct-26 (Open_Items #10). Previously 10% typed.</t>
        </is>
      </c>
      <c r="G225" s="486">
        <f t="shared" si="1"/>
        <v>0.08</v>
      </c>
      <c r="H225" s="36" t="str">
        <f t="shared" si="1"/>
        <v/>
      </c>
      <c r="I225" s="36" t="str">
        <f t="shared" si="1"/>
        <v/>
      </c>
      <c r="J225" s="36"/>
      <c r="K225" s="36"/>
      <c r="L225" s="36"/>
      <c r="M225" s="486" t="str">
        <f>H225</f>
        <v/>
      </c>
      <c r="N225" s="486" t="str">
        <f>I225</f>
        <v/>
      </c>
      <c r="O225" s="36"/>
      <c r="P225" s="36"/>
    </row>
    <row r="226" spans="3:16" x14ac:dyDescent="0.25">
      <c r="C226" t="s">
        <v>932</v>
      </c>
      <c r="D226" t="s">
        <v>29</v>
      </c>
      <c r="E226" s="24" cm="1">
        <f t="array" ref="E226">IF(INDEX($G226:$P226,$E$6)="",$G226,INDEX($G226:$P226,$E$6))</f>
        <v>1</v>
      </c>
      <c r="F226" s="40" t="s">
        <v>933</v>
      </c>
      <c r="G226" s="49">
        <v>1</v>
      </c>
      <c r="H226" s="49"/>
      <c r="I226" s="49"/>
      <c r="J226" s="49"/>
      <c r="K226" s="49"/>
      <c r="L226" s="49"/>
      <c r="M226" s="49"/>
      <c r="N226" s="49"/>
      <c r="O226" s="49"/>
      <c r="P226" s="49"/>
    </row>
    <row r="227" spans="3:16" x14ac:dyDescent="0.25">
      <c r="C227" t="s">
        <v>1302</v>
      </c>
      <c r="D227" t="s">
        <v>29</v>
      </c>
      <c r="E227" s="24" cm="1">
        <f t="array" ref="E227">IF(INDEX($G227:$P227,$E$6)="",$G227,INDEX($G227:$P227,$E$6))</f>
        <v>0</v>
      </c>
      <c r="F227" s="40" t="s">
        <v>934</v>
      </c>
      <c r="G227" s="49">
        <v>0</v>
      </c>
      <c r="H227" s="49"/>
      <c r="I227" s="49"/>
      <c r="J227" s="49"/>
      <c r="K227" s="49"/>
      <c r="L227" s="49"/>
      <c r="M227" s="49"/>
      <c r="N227" s="49"/>
      <c r="O227" s="49"/>
      <c r="P227" s="49"/>
    </row>
    <row r="228" spans="3:16" x14ac:dyDescent="0.25">
      <c r="C228" t="s">
        <v>1281</v>
      </c>
      <c r="D228" t="s">
        <v>29</v>
      </c>
      <c r="E228" s="24" cm="1">
        <f t="array" ref="E228">IF(INDEX($G228:$P228,$E$6)="",$G228,INDEX($G228:$P228,$E$6))</f>
        <v>1</v>
      </c>
      <c r="F228" s="40" t="s">
        <v>1282</v>
      </c>
      <c r="G228" s="49">
        <v>1</v>
      </c>
      <c r="H228" s="49"/>
      <c r="I228" s="49"/>
      <c r="J228" s="49"/>
      <c r="K228" s="49"/>
      <c r="L228" s="49"/>
      <c r="M228" s="49">
        <v>0</v>
      </c>
      <c r="N228" s="49">
        <v>0</v>
      </c>
      <c r="O228" s="49"/>
      <c r="P228" s="49"/>
    </row>
    <row r="229" spans="3:16" x14ac:dyDescent="0.25">
      <c r="C229" t="s">
        <v>1284</v>
      </c>
      <c r="D229" t="s">
        <v>2</v>
      </c>
      <c r="E229" s="31" cm="1">
        <f t="array" ref="E229">IF(INDEX($G229:$P229,$E$6)="",$G229,INDEX($G229:$P229,$E$6))</f>
        <v>0.2213175</v>
      </c>
      <c r="F229" s="40" t="s">
        <v>1296</v>
      </c>
      <c r="G229" s="45">
        <v>0.2213175</v>
      </c>
      <c r="H229" s="49"/>
      <c r="I229" s="49"/>
      <c r="J229" s="49"/>
      <c r="K229" s="49"/>
      <c r="L229" s="49"/>
      <c r="M229" s="49"/>
      <c r="N229" s="49"/>
      <c r="O229" s="49"/>
      <c r="P229" s="49"/>
    </row>
    <row r="230" x14ac:dyDescent="0.25">
      <c r="C230" t="s">
        <v>2531</v>
      </c>
      <c r="D230" t="s">
        <v>2532</v>
      </c>
      <c r="E230" s="31" cm="1">
        <f t="array" ref="E230">IF(INDEX($G230:$P230,$E$6)="",N($G230),INDEX($G230:$P230,$E$6))</f>
        <v>0</v>
      </c>
      <c r="F230" s="40" t="inlineStr">
        <is>
          <t xml:space="preserve">Cases 7 / 8: price per GROSS installed MW (Inputs E29), user 07-Oct-26; linked to Tender J46:J47 (active strategy, net of the clipping estimate). HTM row 340 adds the post-COD promise price adjustment (Tender E219); senior debt and sale costs (E26) are deducted from the price.</t>
        </is>
      </c>
      <c r="G230" s="45"/>
      <c r="H230" s="49"/>
      <c r="I230" s="49"/>
      <c r="J230" s="49"/>
      <c r="K230" s="49"/>
      <c r="L230" s="49"/>
      <c r="M230" s="535">
        <f>Tender!$J$46</f>
        <v>2336.044375</v>
      </c>
      <c r="N230" s="535">
        <f>Tender!$J$47</f>
        <v>2002.32375</v>
      </c>
      <c r="O230" s="49"/>
      <c r="P230" s="49"/>
    </row>
    <row r="231" spans="3:16" x14ac:dyDescent="0.25">
      <c r="C231" t="s">
        <v>2534</v>
      </c>
      <c r="D231" t="s">
        <v>29</v>
      </c>
      <c r="E231" s="31" cm="1">
        <f t="array" ref="E231">IF(INDEX($G231:$P231,$E$6)="",$G231,INDEX($G231:$P231,$E$6))</f>
        <v>0</v>
      </c>
      <c r="F231" s="40" t="s">
        <v>2535</v>
      </c>
      <c r="G231" s="45">
        <v>0</v>
      </c>
      <c r="H231" s="49"/>
      <c r="I231" s="49"/>
      <c r="J231" s="49"/>
      <c r="K231" s="49"/>
      <c r="L231" s="49"/>
      <c r="M231" s="49"/>
      <c r="N231" s="49"/>
      <c r="O231" s="49"/>
      <c r="P231" s="49"/>
    </row>
    <row r="232" spans="3:16" x14ac:dyDescent="0.25">
      <c r="C232" s="43" t="s">
        <v>1103</v>
      </c>
      <c r="D232" s="43"/>
      <c r="E232" s="43"/>
      <c r="F232" s="56"/>
      <c r="G232" s="43"/>
      <c r="H232" s="43"/>
      <c r="I232" s="43"/>
      <c r="J232" s="43"/>
      <c r="K232" s="43"/>
      <c r="L232" s="43"/>
      <c r="M232" s="43"/>
      <c r="N232" s="43"/>
      <c r="O232" s="43"/>
      <c r="P232" s="43"/>
    </row>
    <row r="233" x14ac:dyDescent="0.25">
      <c r="C233" t="s">
        <v>1104</v>
      </c>
      <c r="D233" t="s">
        <v>845</v>
      </c>
      <c r="E233" s="141" cm="1">
        <f t="array" ref="E233">IF(INDEX($G233:$P233,$E$6)="",$G233,INDEX($G233:$P233,$E$6))</f>
        <v>20</v>
      </c>
      <c r="F233" s="40" t="s">
        <v>1309</v>
      </c>
      <c r="G233" s="473">
        <f>Tender!$J$12</f>
        <v>20</v>
      </c>
      <c r="H233" s="474" t="str">
        <f>""</f>
        <v/>
      </c>
      <c r="I233" s="474" t="str">
        <f>""</f>
        <v/>
      </c>
      <c r="J233" s="36"/>
      <c r="K233" s="36"/>
      <c r="L233" s="36"/>
      <c r="M233" s="36" t="str">
        <f>H233</f>
        <v/>
      </c>
      <c r="N233" s="36" t="str">
        <f>I233</f>
        <v/>
      </c>
      <c r="O233" s="36"/>
      <c r="P233" s="36"/>
    </row>
    <row r="234" x14ac:dyDescent="0.25">
      <c r="C234" t="s">
        <v>1105</v>
      </c>
      <c r="D234" t="s">
        <v>1106</v>
      </c>
      <c r="E234" s="142" cm="1">
        <f t="array" ref="E234">IF(INDEX($G234:$P234,$E$6)="",$G234,INDEX($G234:$P234,$E$6))</f>
        <v>2</v>
      </c>
      <c r="F234" s="40" t="s">
        <v>1310</v>
      </c>
      <c r="G234" s="487">
        <f>Tender!$J$13</f>
        <v>2</v>
      </c>
      <c r="H234" s="474" t="str">
        <f>""</f>
        <v/>
      </c>
      <c r="I234" s="474" t="str">
        <f>""</f>
        <v/>
      </c>
      <c r="J234" s="36"/>
      <c r="K234" s="36"/>
      <c r="L234" s="36"/>
      <c r="M234" s="36" t="str">
        <f>H234</f>
        <v/>
      </c>
      <c r="N234" s="36" t="str">
        <f>I234</f>
        <v/>
      </c>
      <c r="O234" s="36"/>
      <c r="P234" s="36"/>
    </row>
    <row r="235" spans="3:16" x14ac:dyDescent="0.25">
      <c r="C235" t="s">
        <v>1107</v>
      </c>
      <c r="D235" t="s">
        <v>1108</v>
      </c>
      <c r="E235" s="2" cm="1">
        <f t="array" ref="E235">IF(INDEX($G235:$P235,$E$6)="",$G235,INDEX($G235:$P235,$E$6))</f>
        <v>0.25</v>
      </c>
      <c r="F235" s="40" t="s">
        <v>1311</v>
      </c>
      <c r="G235" s="140">
        <v>0.25</v>
      </c>
      <c r="H235" s="36"/>
      <c r="I235" s="36"/>
      <c r="J235" s="36"/>
      <c r="K235" s="36"/>
      <c r="L235" s="36"/>
      <c r="M235" s="36"/>
      <c r="N235" s="36"/>
      <c r="O235" s="36"/>
      <c r="P235" s="36"/>
    </row>
    <row r="236" spans="3:16" x14ac:dyDescent="0.25">
      <c r="C236" t="s">
        <v>1109</v>
      </c>
      <c r="D236" t="s">
        <v>15</v>
      </c>
      <c r="E236" s="34" cm="1">
        <f t="array" ref="E236">IF(INDEX($G236:$P236,$E$6)="",$G236,INDEX($G236:$P236,$E$6))</f>
        <v>47484</v>
      </c>
      <c r="F236" s="40" t="s">
        <v>1697</v>
      </c>
      <c r="G236" s="32">
        <f>DATE(2030,1,1)</f>
        <v>47484</v>
      </c>
      <c r="H236" s="36"/>
      <c r="I236" s="36"/>
      <c r="J236" s="36"/>
      <c r="K236" s="36"/>
      <c r="L236" s="36"/>
      <c r="M236" s="36"/>
      <c r="N236" s="36"/>
      <c r="O236" s="36"/>
      <c r="P236" s="36"/>
    </row>
    <row r="237" spans="3:16" x14ac:dyDescent="0.25">
      <c r="C237" t="s">
        <v>1110</v>
      </c>
      <c r="D237" t="s">
        <v>15</v>
      </c>
      <c r="E237" s="34" cm="1">
        <f t="array" ref="E237">IF(INDEX($G237:$P237,$E$6)="",$G237,INDEX($G237:$P237,$E$6))</f>
        <v>47756</v>
      </c>
      <c r="F237" s="40" t="s">
        <v>1698</v>
      </c>
      <c r="G237" s="32">
        <f>DATE(2030,9,30)</f>
        <v>47756</v>
      </c>
      <c r="H237" s="36"/>
      <c r="I237" s="36"/>
      <c r="J237" s="36"/>
      <c r="K237" s="36"/>
      <c r="L237" s="36"/>
      <c r="M237" s="36"/>
      <c r="N237" s="36"/>
      <c r="O237" s="36"/>
      <c r="P237" s="36"/>
    </row>
    <row r="238" spans="3:16" x14ac:dyDescent="0.25">
      <c r="C238" t="s">
        <v>1111</v>
      </c>
      <c r="D238" t="s">
        <v>15</v>
      </c>
      <c r="E238" s="34" cm="1">
        <f t="array" ref="E238">IF(INDEX($G238:$P238,$E$6)="",$G238,INDEX($G238:$P238,$E$6))</f>
        <v>48487</v>
      </c>
      <c r="F238" s="40" t="s">
        <v>1112</v>
      </c>
      <c r="G238" s="32">
        <f>DATE(2032,9,30)</f>
        <v>48487</v>
      </c>
      <c r="H238" s="36"/>
      <c r="I238" s="36"/>
      <c r="J238" s="36"/>
      <c r="K238" s="36"/>
      <c r="L238" s="36"/>
      <c r="M238" s="36"/>
      <c r="N238" s="36"/>
      <c r="O238" s="36"/>
      <c r="P238" s="36"/>
    </row>
    <row r="239" x14ac:dyDescent="0.25">
      <c r="C239" t="inlineStr">
        <is>
          <t xml:space="preserve">Capacity offered at Bora's node (Szombathely OVIT, Annex 1)</t>
        </is>
      </c>
      <c r="D239" t="s">
        <v>1114</v>
      </c>
      <c r="E239" s="24" cm="1">
        <f t="array" ref="E239">IF(INDEX($G239:$P239,$E$6)="",$G239,INDEX($G239:$P239,$E$6))</f>
        <v>200</v>
      </c>
      <c r="F239" s="40" t="inlineStr">
        <is>
          <t xml:space="preserve">INFO – no 400 kV node in the tender; BORA bids into the Szombathely OVIT node (200 MVA) – confirmed 29-Sep-2026.</t>
        </is>
      </c>
      <c r="G239" s="121">
        <v>200</v>
      </c>
      <c r="H239" s="36"/>
      <c r="I239" s="36"/>
      <c r="J239" s="36"/>
      <c r="K239" s="36"/>
      <c r="L239" s="36"/>
      <c r="M239" s="36"/>
      <c r="N239" s="36"/>
      <c r="O239" s="36"/>
      <c r="P239" s="36"/>
    </row>
    <row r="240" spans="3:16" x14ac:dyDescent="0.25">
      <c r="C240" t="s">
        <v>1115</v>
      </c>
      <c r="D240" t="s">
        <v>57</v>
      </c>
      <c r="E240" s="139" t="str">
        <f>IF(E155&gt;=E237,"OK","COD TOO EARLY")</f>
        <v>OK</v>
      </c>
    </row>
    <row r="241" spans="2:16" x14ac:dyDescent="0.25">
      <c r="C241" t="s">
        <v>1116</v>
      </c>
      <c r="D241" t="s">
        <v>57</v>
      </c>
      <c r="E241" s="139" t="str">
        <f>IF(E155&lt;=E238,"OK","COD TOO LATE")</f>
        <v>OK</v>
      </c>
    </row>
    <row r="243" spans="2:16" x14ac:dyDescent="0.25">
      <c r="B243" t="s">
        <v>4</v>
      </c>
      <c r="C243" s="43" t="s">
        <v>1312</v>
      </c>
      <c r="D243" s="43"/>
      <c r="E243" s="43"/>
      <c r="F243" s="56"/>
      <c r="G243" s="43"/>
      <c r="H243" s="43"/>
      <c r="I243" s="43"/>
      <c r="J243" s="43"/>
      <c r="K243" s="43"/>
      <c r="L243" s="43"/>
      <c r="M243" s="43"/>
      <c r="N243" s="43"/>
      <c r="O243" s="43"/>
      <c r="P243" s="43"/>
    </row>
    <row r="244" spans="2:16" x14ac:dyDescent="0.25">
      <c r="C244" t="s">
        <v>1313</v>
      </c>
      <c r="D244" t="s">
        <v>2</v>
      </c>
      <c r="E244" s="31" cm="1">
        <f t="array" ref="E244">IF(INDEX($G244:$P244,$E$6)="",$G244,INDEX($G244:$P244,$E$6))</f>
        <v>0</v>
      </c>
      <c r="F244" s="62" t="s">
        <v>1700</v>
      </c>
      <c r="G244" s="45">
        <v>0</v>
      </c>
      <c r="H244" s="50"/>
      <c r="I244" s="50"/>
      <c r="J244" s="50"/>
      <c r="K244" s="50"/>
      <c r="L244" s="50"/>
      <c r="M244" s="50"/>
      <c r="N244" s="50"/>
      <c r="O244" s="50"/>
      <c r="P244" s="50"/>
    </row>
    <row r="245" spans="2:16" x14ac:dyDescent="0.25">
      <c r="C245" t="s">
        <v>1314</v>
      </c>
      <c r="D245" t="s">
        <v>2</v>
      </c>
      <c r="E245" s="31" cm="1">
        <f t="array" ref="E245">IF(INDEX($G245:$P245,$E$6)="",$G245,INDEX($G245:$P245,$E$6))</f>
        <v>0.3</v>
      </c>
      <c r="F245" s="62"/>
      <c r="G245" s="45">
        <v>0.3</v>
      </c>
      <c r="H245" s="50"/>
      <c r="I245" s="50"/>
      <c r="J245" s="50"/>
      <c r="K245" s="50"/>
      <c r="L245" s="50"/>
      <c r="M245" s="50"/>
      <c r="N245" s="50"/>
      <c r="O245" s="50"/>
      <c r="P245" s="50"/>
    </row>
    <row r="246" spans="2:16" x14ac:dyDescent="0.25">
      <c r="C246" t="s">
        <v>1315</v>
      </c>
      <c r="D246" t="s">
        <v>2</v>
      </c>
      <c r="E246" s="31" cm="1">
        <f t="array" ref="E246">IF(INDEX($G246:$P246,$E$6)="",$G246,INDEX($G246:$P246,$E$6))</f>
        <v>0.4</v>
      </c>
      <c r="F246" s="62"/>
      <c r="G246" s="45">
        <v>0.4</v>
      </c>
      <c r="H246" s="50"/>
      <c r="I246" s="50"/>
      <c r="J246" s="50"/>
      <c r="K246" s="50"/>
      <c r="L246" s="50"/>
      <c r="M246" s="50"/>
      <c r="N246" s="50"/>
      <c r="O246" s="50"/>
      <c r="P246" s="50"/>
    </row>
    <row r="247" spans="2:16" x14ac:dyDescent="0.25">
      <c r="C247" t="s">
        <v>1316</v>
      </c>
      <c r="D247" t="s">
        <v>2</v>
      </c>
      <c r="E247" s="31" cm="1">
        <f t="array" ref="E247">IF(INDEX($G247:$P247,$E$6)="",$G247,INDEX($G247:$P247,$E$6))</f>
        <v>0.5</v>
      </c>
      <c r="F247" s="62"/>
      <c r="G247" s="45">
        <v>0.5</v>
      </c>
      <c r="H247" s="50"/>
      <c r="I247" s="50"/>
      <c r="J247" s="50"/>
      <c r="K247" s="50"/>
      <c r="L247" s="50"/>
      <c r="M247" s="50"/>
      <c r="N247" s="50"/>
      <c r="O247" s="50"/>
      <c r="P247" s="50"/>
    </row>
    <row r="248" spans="2:16" x14ac:dyDescent="0.25">
      <c r="C248" t="s">
        <v>1317</v>
      </c>
      <c r="D248" t="s">
        <v>2</v>
      </c>
      <c r="E248" s="31" cm="1">
        <f t="array" ref="E248">IF(INDEX($G248:$P248,$E$6)="",$G248,INDEX($G248:$P248,$E$6))</f>
        <v>0.55</v>
      </c>
      <c r="F248" s="62"/>
      <c r="G248" s="45">
        <v>0.55000000000000004</v>
      </c>
      <c r="H248" s="50"/>
      <c r="I248" s="50"/>
      <c r="J248" s="50"/>
      <c r="K248" s="50"/>
      <c r="L248" s="50"/>
      <c r="M248" s="50"/>
      <c r="N248" s="50"/>
      <c r="O248" s="50"/>
      <c r="P248" s="50"/>
    </row>
    <row r="249" spans="2:16" x14ac:dyDescent="0.25">
      <c r="C249" t="s">
        <v>1318</v>
      </c>
      <c r="D249" t="s">
        <v>2</v>
      </c>
      <c r="E249" s="31" cm="1">
        <f t="array" ref="E249">IF(INDEX($G249:$P249,$E$6)="",$G249,INDEX($G249:$P249,$E$6))</f>
        <v>0.6</v>
      </c>
      <c r="F249" s="62"/>
      <c r="G249" s="45">
        <v>0.6</v>
      </c>
      <c r="H249" s="50"/>
      <c r="I249" s="50"/>
      <c r="J249" s="50"/>
      <c r="K249" s="50"/>
      <c r="L249" s="50"/>
      <c r="M249" s="50"/>
      <c r="N249" s="50"/>
      <c r="O249" s="50"/>
      <c r="P249" s="50"/>
    </row>
    <row r="250" spans="2:16" x14ac:dyDescent="0.25">
      <c r="C250" t="s">
        <v>1319</v>
      </c>
      <c r="D250" t="s">
        <v>2</v>
      </c>
      <c r="E250" s="31" cm="1">
        <f t="array" ref="E250">IF(INDEX($G250:$P250,$E$6)="",$G250,INDEX($G250:$P250,$E$6))</f>
        <v>0.7</v>
      </c>
      <c r="F250" s="62"/>
      <c r="G250" s="45">
        <v>0.7</v>
      </c>
      <c r="H250" s="50"/>
      <c r="I250" s="50"/>
      <c r="J250" s="50"/>
      <c r="K250" s="50"/>
      <c r="L250" s="50"/>
      <c r="M250" s="50"/>
      <c r="N250" s="50"/>
      <c r="O250" s="50"/>
      <c r="P250" s="50"/>
    </row>
    <row r="251" spans="2:16" x14ac:dyDescent="0.25">
      <c r="C251" t="s">
        <v>1320</v>
      </c>
      <c r="D251" t="s">
        <v>4</v>
      </c>
      <c r="E251" s="3" cm="1">
        <f t="array" ref="E251">IF(INDEX($G251:$P251,$E$6)="",$G251,INDEX($G251:$P251,$E$6))</f>
        <v>1.5</v>
      </c>
      <c r="F251" s="62" t="s">
        <v>1438</v>
      </c>
      <c r="G251" s="177">
        <v>1.5</v>
      </c>
      <c r="H251" s="50"/>
      <c r="I251" s="50"/>
      <c r="J251" s="50"/>
      <c r="K251" s="50"/>
      <c r="L251" s="50"/>
      <c r="M251" s="50"/>
      <c r="N251" s="50"/>
      <c r="O251" s="50"/>
      <c r="P251" s="50"/>
    </row>
    <row r="252" spans="2:16" x14ac:dyDescent="0.25">
      <c r="C252" t="s">
        <v>1366</v>
      </c>
      <c r="D252" t="s">
        <v>2</v>
      </c>
      <c r="E252" s="31" cm="1">
        <f t="array" ref="E252">IF(INDEX($G252:$P252,$E$6)="",$G252,INDEX($G252:$P252,$E$6))</f>
        <v>0.11</v>
      </c>
      <c r="F252" s="179" t="s">
        <v>1439</v>
      </c>
      <c r="G252" s="36">
        <v>0.11</v>
      </c>
      <c r="H252" s="50"/>
      <c r="I252" s="50"/>
      <c r="J252" s="50"/>
      <c r="K252" s="50"/>
      <c r="L252" s="50"/>
      <c r="M252" s="50"/>
      <c r="N252" s="50"/>
      <c r="O252" s="50"/>
      <c r="P252" s="50"/>
    </row>
    <row r="253" spans="2:16" x14ac:dyDescent="0.25">
      <c r="C253" t="s">
        <v>1433</v>
      </c>
      <c r="D253" t="s">
        <v>2</v>
      </c>
      <c r="E253" s="31" cm="1">
        <f t="array" ref="E253">IF(INDEX($G253:$P253,$E$6)="",$G253,INDEX($G253:$P253,$E$6))</f>
        <v>0.08</v>
      </c>
      <c r="F253" s="179" t="s">
        <v>1434</v>
      </c>
      <c r="G253" s="474">
        <f>'Control Panel'!$E$130</f>
        <v>0.08</v>
      </c>
      <c r="H253" s="472" t="str">
        <f>IF('Control Panel'!$F$130="","",'Control Panel'!$F$130)</f>
        <v/>
      </c>
      <c r="I253" s="472" t="str">
        <f>IF('Control Panel'!$G$130="","",'Control Panel'!$G$130)</f>
        <v/>
      </c>
      <c r="J253" s="50"/>
      <c r="K253" s="50"/>
      <c r="L253" s="50"/>
      <c r="M253" s="50" t="str">
        <f>H253</f>
        <v/>
      </c>
      <c r="N253" s="50" t="str">
        <f>I253</f>
        <v/>
      </c>
      <c r="O253" s="50"/>
      <c r="P253" s="50"/>
    </row>
    <row r="255" spans="2:16" x14ac:dyDescent="0.25">
      <c r="B255" t="s">
        <v>4</v>
      </c>
      <c r="C255" s="43" t="s">
        <v>1494</v>
      </c>
      <c r="D255" s="43"/>
      <c r="E255" s="43"/>
      <c r="F255" s="56"/>
      <c r="G255" s="43"/>
      <c r="H255" s="43"/>
      <c r="I255" s="43"/>
      <c r="J255" s="43"/>
      <c r="K255" s="43"/>
      <c r="L255" s="43"/>
      <c r="M255" s="43"/>
      <c r="N255" s="43"/>
      <c r="O255" s="43"/>
      <c r="P255" s="43"/>
    </row>
    <row r="256" spans="2:16" x14ac:dyDescent="0.25">
      <c r="C256" t="s">
        <v>463</v>
      </c>
      <c r="D256" t="s">
        <v>2</v>
      </c>
      <c r="E256" s="2" cm="1">
        <f t="array" ref="E256">IF(INDEX($G256:$P256,$E$6)="",$G256,INDEX($G256:$P256,$E$6))</f>
        <v>0</v>
      </c>
      <c r="F256" s="58" t="s">
        <v>1435</v>
      </c>
      <c r="G256" s="140">
        <v>0</v>
      </c>
      <c r="H256" s="45"/>
      <c r="I256" s="45"/>
      <c r="J256" s="45"/>
      <c r="K256" s="45"/>
      <c r="L256" s="45"/>
      <c r="M256" s="45"/>
      <c r="N256" s="45"/>
      <c r="O256" s="45"/>
      <c r="P256" s="45"/>
    </row>
    <row r="257" spans="2:16" x14ac:dyDescent="0.25">
      <c r="C257" t="s">
        <v>464</v>
      </c>
      <c r="D257" t="s">
        <v>2</v>
      </c>
      <c r="E257" s="2" cm="1">
        <f t="array" ref="E257">IF(INDEX($G257:$P257,$E$6)="",$G257,INDEX($G257:$P257,$E$6))</f>
        <v>0</v>
      </c>
      <c r="F257" s="58" t="s">
        <v>1436</v>
      </c>
      <c r="G257" s="140">
        <v>0</v>
      </c>
      <c r="H257" s="45"/>
      <c r="I257" s="45"/>
      <c r="J257" s="45"/>
      <c r="K257" s="45"/>
      <c r="L257" s="45"/>
      <c r="M257" s="45"/>
      <c r="N257" s="45"/>
      <c r="O257" s="45"/>
      <c r="P257" s="45"/>
    </row>
    <row r="258" spans="2:16" x14ac:dyDescent="0.25">
      <c r="C258" t="s">
        <v>465</v>
      </c>
      <c r="D258" t="s">
        <v>2</v>
      </c>
      <c r="E258" s="2" cm="1">
        <f t="array" ref="E258">IF(INDEX($G258:$P258,$E$6)="",$G258,INDEX($G258:$P258,$E$6))</f>
        <v>0</v>
      </c>
      <c r="F258" s="58" t="s">
        <v>1437</v>
      </c>
      <c r="G258" s="140">
        <v>0</v>
      </c>
      <c r="H258" s="45"/>
      <c r="I258" s="45"/>
      <c r="J258" s="45"/>
      <c r="K258" s="45"/>
      <c r="L258" s="45"/>
      <c r="M258" s="45"/>
      <c r="N258" s="45"/>
      <c r="O258" s="45"/>
      <c r="P258" s="45"/>
    </row>
    <row r="259" spans="2:16" x14ac:dyDescent="0.25">
      <c r="C259" t="s">
        <v>466</v>
      </c>
      <c r="D259" t="s">
        <v>2</v>
      </c>
      <c r="E259" s="2" cm="1">
        <f t="array" ref="E259">IF(INDEX($G259:$P259,$E$6)="",$G259,INDEX($G259:$P259,$E$6))</f>
        <v>1</v>
      </c>
      <c r="F259" s="58" t="s">
        <v>1748</v>
      </c>
      <c r="G259" s="186">
        <v>1</v>
      </c>
      <c r="H259" s="45"/>
      <c r="I259" s="45"/>
      <c r="J259" s="45"/>
      <c r="K259" s="45"/>
      <c r="L259" s="45"/>
      <c r="M259" s="45"/>
      <c r="N259" s="45"/>
      <c r="O259" s="45"/>
      <c r="P259" s="45"/>
    </row>
    <row r="260" spans="2:16" x14ac:dyDescent="0.25">
      <c r="C260" t="s">
        <v>1267</v>
      </c>
      <c r="D260" t="s">
        <v>2</v>
      </c>
      <c r="E260" s="2" cm="1">
        <f t="array" ref="E260">IF(INDEX($G260:$P260,$E$6)="",$G260,INDEX($G260:$P260,$E$6))</f>
        <v>1</v>
      </c>
      <c r="F260" s="58" t="s">
        <v>1495</v>
      </c>
      <c r="G260" s="186">
        <v>1</v>
      </c>
      <c r="H260" s="45"/>
      <c r="I260" s="45"/>
      <c r="J260" s="45"/>
      <c r="K260" s="45"/>
      <c r="L260" s="45"/>
      <c r="M260" s="45"/>
      <c r="N260" s="45"/>
      <c r="O260" s="45"/>
      <c r="P260" s="45"/>
    </row>
    <row r="261" spans="2:16" x14ac:dyDescent="0.25">
      <c r="C261" t="s">
        <v>587</v>
      </c>
      <c r="D261" t="s">
        <v>2</v>
      </c>
      <c r="E261" s="2" cm="1">
        <f t="array" ref="E261">IF(INDEX($G261:$P261,$E$6)="",$G261,INDEX($G261:$P261,$E$6))</f>
        <v>1</v>
      </c>
      <c r="F261" s="58" t="s">
        <v>1749</v>
      </c>
      <c r="G261" s="140">
        <v>1</v>
      </c>
      <c r="H261" s="45"/>
      <c r="I261" s="45"/>
      <c r="J261" s="45"/>
      <c r="K261" s="45"/>
      <c r="L261" s="45"/>
      <c r="M261" s="45"/>
      <c r="N261" s="45"/>
      <c r="O261" s="45"/>
      <c r="P261" s="45"/>
    </row>
    <row r="262" spans="2:16" x14ac:dyDescent="0.25">
      <c r="C262" t="s">
        <v>588</v>
      </c>
      <c r="D262" t="s">
        <v>2</v>
      </c>
      <c r="E262" s="2" cm="1">
        <f t="array" ref="E262">IF(INDEX($G262:$P262,$E$6)="",$G262,INDEX($G262:$P262,$E$6))</f>
        <v>1</v>
      </c>
      <c r="F262" s="58" t="s">
        <v>1749</v>
      </c>
      <c r="G262" s="140">
        <v>1</v>
      </c>
      <c r="H262" s="45"/>
      <c r="I262" s="45"/>
      <c r="J262" s="45"/>
      <c r="K262" s="45"/>
      <c r="L262" s="45"/>
      <c r="M262" s="45"/>
      <c r="N262" s="45"/>
      <c r="O262" s="45"/>
      <c r="P262" s="45"/>
    </row>
    <row r="263" spans="2:16" x14ac:dyDescent="0.25">
      <c r="C263" t="s">
        <v>589</v>
      </c>
      <c r="D263" t="s">
        <v>2</v>
      </c>
      <c r="E263" s="2" cm="1">
        <f t="array" ref="E263">IF(INDEX($G263:$P263,$E$6)="",$G263,INDEX($G263:$P263,$E$6))</f>
        <v>1</v>
      </c>
      <c r="F263" s="58" t="s">
        <v>1749</v>
      </c>
      <c r="G263" s="140">
        <v>1</v>
      </c>
      <c r="H263" s="45"/>
      <c r="I263" s="45"/>
      <c r="J263" s="45"/>
      <c r="K263" s="45"/>
      <c r="L263" s="45"/>
      <c r="M263" s="45"/>
      <c r="N263" s="45"/>
      <c r="O263" s="45"/>
      <c r="P263" s="45"/>
    </row>
    <row r="264" spans="2:16" x14ac:dyDescent="0.25">
      <c r="C264" t="s">
        <v>590</v>
      </c>
      <c r="D264" t="s">
        <v>2</v>
      </c>
      <c r="E264" s="2" cm="1">
        <f t="array" ref="E264">IF(INDEX($G264:$P264,$E$6)="",$G264,INDEX($G264:$P264,$E$6))</f>
        <v>1</v>
      </c>
      <c r="F264" s="58" t="s">
        <v>1749</v>
      </c>
      <c r="G264" s="140">
        <v>1</v>
      </c>
      <c r="H264" s="45"/>
      <c r="I264" s="45"/>
      <c r="J264" s="45"/>
      <c r="K264" s="45"/>
      <c r="L264" s="45"/>
      <c r="M264" s="45"/>
      <c r="N264" s="45"/>
      <c r="O264" s="45"/>
      <c r="P264" s="45"/>
    </row>
    <row r="265" spans="2:16" x14ac:dyDescent="0.25">
      <c r="C265" t="s">
        <v>591</v>
      </c>
      <c r="D265" t="s">
        <v>2</v>
      </c>
      <c r="E265" s="184" cm="1">
        <f t="array" ref="E265">IF(INDEX($G265:$P265,$E$6)="",$G265,INDEX($G265:$P265,$E$6))</f>
        <v>1</v>
      </c>
      <c r="F265" s="58" t="s">
        <v>1495</v>
      </c>
      <c r="G265" s="186">
        <v>1</v>
      </c>
      <c r="H265" s="45"/>
      <c r="I265" s="45"/>
      <c r="J265" s="45"/>
      <c r="K265" s="45"/>
      <c r="L265" s="45"/>
      <c r="M265" s="45"/>
      <c r="N265" s="45"/>
      <c r="O265" s="45"/>
      <c r="P265" s="45"/>
    </row>
    <row r="267" spans="2:16" x14ac:dyDescent="0.25">
      <c r="B267" t="s">
        <v>4</v>
      </c>
      <c r="C267" s="43" t="s">
        <v>1498</v>
      </c>
      <c r="D267" s="43"/>
      <c r="E267" s="43"/>
      <c r="F267" s="56"/>
      <c r="G267" s="43"/>
      <c r="H267" s="43"/>
      <c r="I267" s="43"/>
      <c r="J267" s="43"/>
      <c r="K267" s="43"/>
      <c r="L267" s="43"/>
      <c r="M267" s="43"/>
      <c r="N267" s="43"/>
      <c r="O267" s="43"/>
      <c r="P267" s="43"/>
    </row>
    <row r="268" spans="2:16" x14ac:dyDescent="0.25">
      <c r="C268" t="s">
        <v>1499</v>
      </c>
      <c r="D268" t="s">
        <v>1500</v>
      </c>
      <c r="E268" s="24" cm="1">
        <f t="array" ref="E268">IF(INDEX($G268:$P268,$E$6)="",$G268,INDEX($G268:$P268,$E$6))</f>
        <v>6</v>
      </c>
      <c r="F268" s="179" t="s">
        <v>1501</v>
      </c>
      <c r="G268" s="187">
        <v>6</v>
      </c>
      <c r="H268" s="50"/>
      <c r="I268" s="50"/>
      <c r="J268" s="50"/>
      <c r="K268" s="50"/>
      <c r="L268" s="50"/>
      <c r="M268" s="50"/>
      <c r="N268" s="50"/>
      <c r="O268" s="50"/>
      <c r="P268" s="50"/>
    </row>
    <row r="269" spans="2:16" x14ac:dyDescent="0.25">
      <c r="C269" t="s">
        <v>1502</v>
      </c>
      <c r="D269" t="s">
        <v>2</v>
      </c>
      <c r="E269" s="2" cm="1">
        <f t="array" ref="E269">IF(INDEX($G269:$P269,$E$6)="",$G269,INDEX($G269:$P269,$E$6))</f>
        <v>0.5</v>
      </c>
      <c r="F269" s="179" t="s">
        <v>1503</v>
      </c>
      <c r="G269" s="186">
        <v>0.5</v>
      </c>
      <c r="H269" s="50"/>
      <c r="I269" s="50"/>
      <c r="J269" s="50"/>
      <c r="K269" s="50"/>
      <c r="L269" s="50"/>
      <c r="M269" s="50"/>
      <c r="N269" s="50"/>
      <c r="O269" s="50"/>
      <c r="P269" s="50"/>
    </row>
    <row r="270" spans="2:16" x14ac:dyDescent="0.25">
      <c r="C270" t="s">
        <v>1504</v>
      </c>
      <c r="D270" t="s">
        <v>1505</v>
      </c>
      <c r="E270" s="24" cm="1">
        <f t="array" ref="E270">IF(INDEX($G270:$P270,$E$6)="",$G270,INDEX($G270:$P270,$E$6))</f>
        <v>5</v>
      </c>
      <c r="F270" s="179" t="s">
        <v>1506</v>
      </c>
      <c r="G270" s="187">
        <v>5</v>
      </c>
      <c r="H270" s="50"/>
      <c r="I270" s="50"/>
      <c r="J270" s="50"/>
      <c r="K270" s="50"/>
      <c r="L270" s="50"/>
      <c r="M270" s="50"/>
      <c r="N270" s="50"/>
      <c r="O270" s="50"/>
      <c r="P270" s="50"/>
    </row>
    <row r="271" spans="2:16" x14ac:dyDescent="0.25">
      <c r="G271" s="188"/>
      <c r="H271" s="50"/>
      <c r="I271" s="50"/>
      <c r="J271" s="50"/>
      <c r="K271" s="50"/>
      <c r="L271" s="50"/>
      <c r="M271" s="50"/>
      <c r="N271" s="50"/>
      <c r="O271" s="50"/>
      <c r="P271" s="50"/>
    </row>
    <row r="272" spans="2:16" x14ac:dyDescent="0.25">
      <c r="C272" t="s">
        <v>1507</v>
      </c>
      <c r="D272" t="s">
        <v>4</v>
      </c>
      <c r="E272" s="3" cm="1">
        <f t="array" ref="E272">IF(INDEX($G272:$P272,$E$6)="",$G272,INDEX($G272:$P272,$E$6))</f>
        <v>0.9</v>
      </c>
      <c r="F272" s="179" t="s">
        <v>1508</v>
      </c>
      <c r="G272" s="189">
        <v>0.9</v>
      </c>
      <c r="H272" s="50"/>
      <c r="I272" s="50"/>
      <c r="J272" s="50"/>
      <c r="K272" s="50"/>
      <c r="L272" s="50"/>
      <c r="M272" s="50"/>
      <c r="N272" s="50"/>
      <c r="O272" s="50"/>
      <c r="P272" s="50"/>
    </row>
    <row r="273" spans="3:16" x14ac:dyDescent="0.25">
      <c r="C273" t="s">
        <v>1509</v>
      </c>
      <c r="D273" t="s">
        <v>1510</v>
      </c>
      <c r="E273" s="24" cm="1">
        <f t="array" ref="E273">IF(INDEX($G273:$P273,$E$6)="",$G273,INDEX($G273:$P273,$E$6))</f>
        <v>1</v>
      </c>
      <c r="F273" s="179" t="s">
        <v>1511</v>
      </c>
      <c r="G273" s="187">
        <v>1</v>
      </c>
      <c r="H273" s="50"/>
      <c r="I273" s="50"/>
      <c r="J273" s="50"/>
      <c r="K273" s="50"/>
      <c r="L273" s="50"/>
      <c r="M273" s="50"/>
      <c r="N273" s="50"/>
      <c r="O273" s="50"/>
      <c r="P273" s="50"/>
    </row>
    <row r="274" spans="3:16" x14ac:dyDescent="0.25">
      <c r="C274" t="s">
        <v>1512</v>
      </c>
      <c r="D274" t="s">
        <v>4</v>
      </c>
      <c r="E274" s="3" cm="1">
        <f t="array" ref="E274">IF(INDEX($G274:$P274,$E$6)="",$G274,INDEX($G274:$P274,$E$6))</f>
        <v>1.05</v>
      </c>
      <c r="F274" s="179" t="s">
        <v>1513</v>
      </c>
      <c r="G274" s="189">
        <v>1.05</v>
      </c>
      <c r="H274" s="50"/>
      <c r="I274" s="50"/>
      <c r="J274" s="50"/>
      <c r="K274" s="50"/>
      <c r="L274" s="50"/>
      <c r="M274" s="50"/>
      <c r="N274" s="50"/>
      <c r="O274" s="50"/>
      <c r="P274" s="50"/>
    </row>
    <row r="277" x14ac:dyDescent="0.25">
      <c r="C277" s="6" t="inlineStr">
        <is>
          <t xml:space="preserve">M. Project inputs – grid node fees from MEKH/MAVIR Kapacitás pályázati kiírás 2026, Annex 1 (1. melléklet)</t>
        </is>
      </c>
      <c r="E277" s="3"/>
      <c r="F277" s="179"/>
      <c r="G277" s="189"/>
      <c r="H277" s="50"/>
      <c r="I277" s="50"/>
      <c r="J277" s="50"/>
    </row>
    <row r="278" x14ac:dyDescent="0.25">
      <c r="C278" s="6" t="s">
        <v>5</v>
      </c>
      <c r="D278" s="6" t="s">
        <v>0</v>
      </c>
      <c r="E278" s="6" t="inlineStr">
        <is>
          <t xml:space="preserve">Model value</t>
        </is>
      </c>
      <c r="F278" s="6" t="s">
        <v>2000</v>
      </c>
      <c r="G278" s="6" t="inlineStr">
        <is>
          <t xml:space="preserve">Bora (input / link)</t>
        </is>
      </c>
    </row>
    <row r="279" spans="3:16" x14ac:dyDescent="0.25">
      <c r="C279" t="s">
        <v>2005</v>
      </c>
      <c r="D279" t="s">
        <v>9</v>
      </c>
      <c r="E279" cm="1" t="str">
        <f t="array" ref="E279">$G279</f>
        <v>Bora</v>
      </c>
      <c r="F279" s="40"/>
      <c r="G279" s="53" t="s">
        <v>2001</v>
      </c>
    </row>
    <row r="280" spans="3:16" x14ac:dyDescent="0.25">
      <c r="C280" t="s">
        <v>2006</v>
      </c>
      <c r="D280" t="s">
        <v>9</v>
      </c>
      <c r="E280" cm="1" t="str">
        <f t="array" ref="E280">$G280</f>
        <v>Szombathely OVIT (SZHO B 132.00)</v>
      </c>
      <c r="F280" s="40" t="s">
        <v>2007</v>
      </c>
      <c r="G280" s="463" t="str">
        <f>'Control Panel'!$E$73</f>
        <v>Szombathely OVIT (SZHO B 132.00)</v>
      </c>
    </row>
    <row r="281" spans="3:16" x14ac:dyDescent="0.25">
      <c r="C281" t="s">
        <v>2514</v>
      </c>
      <c r="D281" t="s">
        <v>22</v>
      </c>
      <c r="E281" s="19" cm="1">
        <f t="array" ref="E281">$G281</f>
        <v>200</v>
      </c>
      <c r="F281" s="57" t="s">
        <v>2515</v>
      </c>
      <c r="G281" s="464">
        <f>'Control Panel'!$E$74</f>
        <v>200</v>
      </c>
    </row>
    <row r="282" x14ac:dyDescent="0.25">
      <c r="C282" t="s">
        <v>2012</v>
      </c>
      <c r="D282" t="s">
        <v>22</v>
      </c>
      <c r="E282" s="19" cm="1">
        <f t="array" ref="E282">$G282</f>
        <v>90</v>
      </c>
      <c r="F282" s="57" t="inlineStr">
        <is>
          <t xml:space="preserve">Munka1: Bora 90 MW; 4 h duration (row 21) – active tender strategy (Tender J41)</t>
        </is>
      </c>
      <c r="G282" s="464">
        <f>Tender!$J$41</f>
        <v>90</v>
      </c>
    </row>
    <row r="283" x14ac:dyDescent="0.25">
      <c r="C283" t="s">
        <v>502</v>
      </c>
      <c r="D283" t="s">
        <v>844</v>
      </c>
      <c r="E283" s="19" cm="1">
        <f t="array" ref="E283">$G283</f>
        <v>250</v>
      </c>
      <c r="F283" s="57" t="inlineStr">
        <is>
          <t xml:space="preserve">Bora 250 k€</t>
        </is>
      </c>
      <c r="G283" s="464">
        <f>'Control Panel'!$E$75</f>
        <v>250</v>
      </c>
    </row>
    <row r="284" x14ac:dyDescent="0.25">
      <c r="C284" t="s">
        <v>2013</v>
      </c>
      <c r="D284" t="s">
        <v>29</v>
      </c>
      <c r="E284" cm="1">
        <f t="array" ref="E284">$G284</f>
        <v>1</v>
      </c>
      <c r="F284" s="40" t="inlineStr">
        <is>
          <t xml:space="preserve">Bora: 70/30 JV with the developer</t>
        </is>
      </c>
      <c r="G284" s="463">
        <f>'Control Panel'!$E$76</f>
        <v>1</v>
      </c>
    </row>
    <row r="285" x14ac:dyDescent="0.25">
      <c r="C285" t="s">
        <v>513</v>
      </c>
      <c r="D285" t="s">
        <v>2</v>
      </c>
      <c r="E285" s="2" cm="1">
        <f t="array" ref="E285">$G285</f>
        <v>0.7</v>
      </c>
      <c r="F285" s="351" t="inlineStr">
        <is>
          <t xml:space="preserve">Bora 70/30</t>
        </is>
      </c>
      <c r="G285" s="465">
        <f>'Control Panel'!$E$77</f>
        <v>0.7</v>
      </c>
    </row>
    <row r="286" spans="3:16" x14ac:dyDescent="0.25">
      <c r="C286" t="s">
        <v>2015</v>
      </c>
      <c r="D286" t="s">
        <v>29</v>
      </c>
      <c r="E286" cm="1">
        <f t="array" ref="E286">$G286</f>
        <v>1</v>
      </c>
      <c r="F286" s="40" t="s">
        <v>2016</v>
      </c>
      <c r="G286" s="463">
        <f>'Control Panel'!$E$78</f>
        <v>1</v>
      </c>
    </row>
    <row r="287" x14ac:dyDescent="0.25">
      <c r="C287" t="s">
        <v>2017</v>
      </c>
      <c r="D287" t="s">
        <v>7</v>
      </c>
      <c r="E287" cm="1">
        <f t="array" ref="E287">$G287</f>
        <v>2</v>
      </c>
      <c r="F287" s="40" t="inlineStr">
        <is>
          <t xml:space="preserve">Participation fee per bid</t>
        </is>
      </c>
      <c r="G287" s="463">
        <f>'Control Panel'!$E$80</f>
        <v>2</v>
      </c>
    </row>
    <row r="288" spans="3:16" x14ac:dyDescent="0.25">
      <c r="C288" t="s">
        <v>2019</v>
      </c>
      <c r="D288" t="s">
        <v>2020</v>
      </c>
      <c r="E288" s="19" cm="1">
        <f t="array" ref="E288">$G288</f>
        <v>73071306</v>
      </c>
      <c r="F288" s="57" t="s">
        <v>2021</v>
      </c>
      <c r="G288" s="464">
        <f>'Control Panel'!$E$81</f>
        <v>73071306</v>
      </c>
    </row>
    <row r="289" x14ac:dyDescent="0.25">
      <c r="C289" t="s">
        <v>2022</v>
      </c>
      <c r="D289" t="s">
        <v>2023</v>
      </c>
      <c r="E289" s="19" cm="1">
        <f t="array" ref="E289">$G289</f>
        <v>508345804</v>
      </c>
      <c r="F289" s="57" t="inlineStr">
        <is>
          <t xml:space="preserve">Annex 1 (TMÁ per connection point)</t>
        </is>
      </c>
      <c r="G289" s="464">
        <f>'Control Panel'!$E$82</f>
        <v>508345804</v>
      </c>
    </row>
    <row r="290" spans="3:10" x14ac:dyDescent="0.25">
      <c r="C290" t="s">
        <v>2025</v>
      </c>
      <c r="D290" t="s">
        <v>840</v>
      </c>
      <c r="E290" s="349" cm="1">
        <f t="array" ref="E290">$G290</f>
        <v>73.071306</v>
      </c>
      <c r="F290" s="352" t="s">
        <v>2026</v>
      </c>
      <c r="G290" s="349">
        <f>G288/1000000</f>
        <v>73.071306</v>
      </c>
    </row>
    <row r="291" spans="3:10" x14ac:dyDescent="0.25">
      <c r="C291" t="s">
        <v>2027</v>
      </c>
      <c r="D291" t="s">
        <v>840</v>
      </c>
      <c r="E291" s="349" cm="1">
        <f t="array" ref="E291">$G291</f>
        <v>2.54172902</v>
      </c>
      <c r="F291" s="352" t="s">
        <v>2028</v>
      </c>
      <c r="G291" s="349">
        <f>G289/1000000/G281</f>
        <v>2.54172902</v>
      </c>
    </row>
    <row r="292" x14ac:dyDescent="0.25">
      <c r="C292" t="s">
        <v>2029</v>
      </c>
      <c r="D292" t="s">
        <v>844</v>
      </c>
      <c r="E292" s="19" cm="1">
        <f t="array" ref="E292">$G292</f>
        <v>3137.845921749919</v>
      </c>
      <c r="F292" s="57" t="inlineStr">
        <is>
          <t xml:space="preserve">Bora = unscaled BORA Devex total (factor 1)</t>
        </is>
      </c>
      <c r="G292" s="30">
        <f t="array" ref="G292">Inputs!G293+Inputs!$E$68*(Inputs!G295+SUMPRODUCT(Devex_FEP!$L$5:$L$37,Devex_FEP!$J$5:$J$37*(1-Devex_FEP!$G$5:$G$37))+Deposits!$O$7)</f>
        <v>3137.845921749919</v>
      </c>
    </row>
    <row r="293" spans="3:10" x14ac:dyDescent="0.25">
      <c r="C293" t="s">
        <v>2030</v>
      </c>
      <c r="D293" t="s">
        <v>844</v>
      </c>
      <c r="E293" s="19" cm="1">
        <f t="array" ref="E293">$G293</f>
        <v>2855.638260121346</v>
      </c>
      <c r="F293" s="57" t="s">
        <v>2034</v>
      </c>
      <c r="G293" s="19">
        <f>SUM(Devex_FEP!$L$5:$L$37)</f>
        <v>2855.638260121346</v>
      </c>
    </row>
    <row r="294" spans="3:10" x14ac:dyDescent="0.25">
      <c r="C294" t="s">
        <v>2031</v>
      </c>
      <c r="D294" t="s">
        <v>4</v>
      </c>
      <c r="E294" s="350" cm="1">
        <f t="array" ref="E294">$G294</f>
        <v>1</v>
      </c>
      <c r="F294" s="353" t="s">
        <v>2037</v>
      </c>
      <c r="G294" s="350" cm="1">
        <f t="array" ref="G294">(G292-$E$68*Deposits!$O$7)/(G293+$E$68*(G295+SUMPRODUCT(Devex_FEP!$L$5:$L$37,Devex_FEP!$J$5:$J$37*(1-Devex_FEP!$G$5:$G$37))))</f>
        <v>1</v>
      </c>
    </row>
    <row r="295" spans="3:10" x14ac:dyDescent="0.25">
      <c r="C295" t="s">
        <v>2035</v>
      </c>
      <c r="D295" t="s">
        <v>844</v>
      </c>
      <c r="E295" s="19" cm="1">
        <f t="array" ref="E295">$G295</f>
        <v>2380.258530391616</v>
      </c>
      <c r="F295" s="57" t="s">
        <v>2036</v>
      </c>
      <c r="G295" s="19">
        <f>SUMPRODUCT(Devex_FEP!$L$5:$L$37,Devex_FEP!$G$5:$G$37)</f>
        <v>2380.258530391616</v>
      </c>
    </row>
    <row r="296" x14ac:dyDescent="0.25">
      <c r="C296" t="s">
        <v>2038</v>
      </c>
      <c r="D296" t="s">
        <v>475</v>
      </c>
      <c r="F296" s="40" t="inlineStr">
        <is>
          <t xml:space="preserve">Bora reconciles to the BORA csatlakozási table (Deposits E29 / E32)</t>
        </is>
      </c>
    </row>
    <row r="297" x14ac:dyDescent="0.25">
      <c r="C297" t="s">
        <v>2512</v>
      </c>
      <c r="D297" t="s">
        <v>22</v>
      </c>
      <c r="E297" s="19" cm="1">
        <f t="array" ref="E297">$G297</f>
        <v>261</v>
      </c>
      <c r="F297" s="57" t="inlineStr">
        <is>
          <t xml:space="preserve">Munka1 (Management Summary r3): installed wind of the active tender strategy (Tender J40)</t>
        </is>
      </c>
      <c r="G297" s="464">
        <f>Tender!$J$40</f>
        <v>261</v>
      </c>
    </row>
    <row r="298" spans="3:10" x14ac:dyDescent="0.25">
      <c r="C298" t="s">
        <v>2524</v>
      </c>
      <c r="D298" t="s">
        <v>15</v>
      </c>
      <c r="E298" s="497" cm="1">
        <f t="array" ref="E298">IF($G298="","",$G298)</f>
        <v>48121</v>
      </c>
      <c r="F298" s="498" t="s">
        <v>2525</v>
      </c>
      <c r="G298" s="499">
        <f>IF('Control Panel'!$E$91="","",'Control Panel'!$E$91)</f>
        <v>48121</v>
      </c>
    </row>
  </sheetData>
  <dataValidations count="1">
    <dataValidation type="date" operator="greaterThanOrEqual" allowBlank="1" showErrorMessage="1" errorTitle="Interest pause" error="The pause end must not be before the pause start (G64)." sqref="G73">
      <formula1>G64</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4B13F-AFF1-4973-B4EF-6C6DE94A36C4}">
  <sheetPr codeName="Sheet5">
    <tabColor rgb="FF0070C0"/>
  </sheetPr>
  <dimension ref="A1:BP73"/>
  <sheetViews>
    <sheetView showGridLines="0" topLeftCell="C12" workbookViewId="0">
      <selection activeCell="H23" sqref="H23:H31"/>
    </sheetView>
  </sheetViews>
  <sheetFormatPr defaultRowHeight="15" x14ac:dyDescent="0.25"/>
  <cols>
    <col min="1" max="2" width="2.7109375" customWidth="1"/>
    <col min="3" max="3" width="57.140625" customWidth="1"/>
    <col min="4" max="18" width="18.140625" customWidth="1"/>
    <col min="19" max="68" width="11.42578125" customWidth="1"/>
  </cols>
  <sheetData>
    <row r="1" spans="1:68" ht="18.75" x14ac:dyDescent="0.3">
      <c r="A1" s="38" t="s">
        <v>471</v>
      </c>
    </row>
    <row r="2" spans="1:68" x14ac:dyDescent="0.25">
      <c r="A2" s="40" t="s">
        <v>604</v>
      </c>
    </row>
    <row r="4" spans="1:68" x14ac:dyDescent="0.25">
      <c r="B4" t="s">
        <v>4</v>
      </c>
      <c r="C4" s="43" t="s">
        <v>2231</v>
      </c>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row>
    <row r="5" spans="1:68" x14ac:dyDescent="0.25">
      <c r="C5" t="s">
        <v>605</v>
      </c>
      <c r="G5" t="s">
        <v>606</v>
      </c>
      <c r="H5">
        <f>MOIC!H4</f>
        <v>0</v>
      </c>
      <c r="I5">
        <f>MOIC!I4</f>
        <v>1</v>
      </c>
      <c r="J5">
        <f>MOIC!J4</f>
        <v>2</v>
      </c>
      <c r="K5">
        <f>MOIC!K4</f>
        <v>3</v>
      </c>
      <c r="L5">
        <f>MOIC!L4</f>
        <v>4</v>
      </c>
      <c r="M5">
        <f>MOIC!M4</f>
        <v>5</v>
      </c>
      <c r="N5">
        <f>MOIC!N4</f>
        <v>6</v>
      </c>
      <c r="O5">
        <f>MOIC!O4</f>
        <v>7</v>
      </c>
      <c r="P5">
        <f>MOIC!P4</f>
        <v>8</v>
      </c>
      <c r="Q5">
        <f>MOIC!Q4</f>
        <v>9</v>
      </c>
      <c r="R5">
        <f>MOIC!R4</f>
        <v>10</v>
      </c>
      <c r="S5">
        <f>MOIC!S4</f>
        <v>11</v>
      </c>
      <c r="T5">
        <f>MOIC!T4</f>
        <v>12</v>
      </c>
      <c r="U5">
        <f>MOIC!U4</f>
        <v>13</v>
      </c>
      <c r="V5">
        <f>MOIC!V4</f>
        <v>14</v>
      </c>
      <c r="W5">
        <f>MOIC!W4</f>
        <v>15</v>
      </c>
      <c r="X5">
        <f>MOIC!X4</f>
        <v>16</v>
      </c>
      <c r="Y5">
        <f>MOIC!Y4</f>
        <v>17</v>
      </c>
      <c r="Z5">
        <f>MOIC!Z4</f>
        <v>18</v>
      </c>
      <c r="AA5">
        <f>MOIC!AA4</f>
        <v>19</v>
      </c>
      <c r="AB5">
        <f>MOIC!AB4</f>
        <v>20</v>
      </c>
      <c r="AC5">
        <f>MOIC!AC4</f>
        <v>21</v>
      </c>
      <c r="AD5">
        <f>MOIC!AD4</f>
        <v>22</v>
      </c>
      <c r="AE5">
        <f>MOIC!AE4</f>
        <v>23</v>
      </c>
      <c r="AF5">
        <f>MOIC!AF4</f>
        <v>24</v>
      </c>
      <c r="AG5">
        <f>MOIC!AG4</f>
        <v>25</v>
      </c>
      <c r="AH5">
        <f>MOIC!AH4</f>
        <v>26</v>
      </c>
      <c r="AI5">
        <f>MOIC!AI4</f>
        <v>27</v>
      </c>
      <c r="AJ5">
        <f>MOIC!AJ4</f>
        <v>28</v>
      </c>
      <c r="AK5">
        <f>MOIC!AK4</f>
        <v>29</v>
      </c>
      <c r="AL5">
        <f>MOIC!AL4</f>
        <v>30</v>
      </c>
      <c r="AM5">
        <f>MOIC!AM4</f>
        <v>31</v>
      </c>
      <c r="AN5">
        <f>MOIC!AN4</f>
        <v>32</v>
      </c>
      <c r="AO5">
        <f>MOIC!AO4</f>
        <v>33</v>
      </c>
      <c r="AP5">
        <f>MOIC!AP4</f>
        <v>34</v>
      </c>
      <c r="AQ5">
        <f>MOIC!AQ4</f>
        <v>35</v>
      </c>
      <c r="AR5">
        <f>MOIC!AR4</f>
        <v>36</v>
      </c>
      <c r="AS5">
        <f>MOIC!AS4</f>
        <v>37</v>
      </c>
      <c r="AT5">
        <f>MOIC!AT4</f>
        <v>38</v>
      </c>
      <c r="AU5">
        <f>MOIC!AU4</f>
        <v>39</v>
      </c>
      <c r="AV5">
        <f>MOIC!AV4</f>
        <v>40</v>
      </c>
      <c r="AW5">
        <f>MOIC!AW4</f>
        <v>41</v>
      </c>
      <c r="AX5">
        <f>MOIC!AX4</f>
        <v>42</v>
      </c>
      <c r="AY5">
        <f>MOIC!AY4</f>
        <v>43</v>
      </c>
      <c r="AZ5">
        <f>MOIC!AZ4</f>
        <v>44</v>
      </c>
      <c r="BA5">
        <f>MOIC!BA4</f>
        <v>45</v>
      </c>
      <c r="BB5">
        <f>MOIC!BB4</f>
        <v>46</v>
      </c>
      <c r="BC5">
        <f>MOIC!BC4</f>
        <v>47</v>
      </c>
      <c r="BD5">
        <f>MOIC!BD4</f>
        <v>48</v>
      </c>
      <c r="BE5">
        <f>MOIC!BE4</f>
        <v>49</v>
      </c>
      <c r="BF5">
        <f>MOIC!BF4</f>
        <v>50</v>
      </c>
      <c r="BG5">
        <f>MOIC!BG4</f>
        <v>51</v>
      </c>
      <c r="BH5">
        <f>MOIC!BH4</f>
        <v>52</v>
      </c>
      <c r="BI5">
        <f>MOIC!BI4</f>
        <v>53</v>
      </c>
      <c r="BJ5">
        <f>MOIC!BJ4</f>
        <v>54</v>
      </c>
      <c r="BK5">
        <f>MOIC!BK4</f>
        <v>55</v>
      </c>
      <c r="BL5">
        <f>MOIC!BL4</f>
        <v>56</v>
      </c>
      <c r="BM5">
        <f>MOIC!BM4</f>
        <v>57</v>
      </c>
      <c r="BN5">
        <f>MOIC!BN4</f>
        <v>58</v>
      </c>
      <c r="BO5">
        <f>MOIC!BO4</f>
        <v>59</v>
      </c>
      <c r="BP5">
        <f>MOIC!BP4</f>
        <v>60</v>
      </c>
    </row>
    <row r="6" spans="1:68" x14ac:dyDescent="0.25">
      <c r="C6" t="s">
        <v>234</v>
      </c>
      <c r="D6" t="s">
        <v>15</v>
      </c>
      <c r="H6" s="65">
        <f>MOIC!H5</f>
        <v>46234</v>
      </c>
      <c r="I6" s="65">
        <f>MOIC!I5</f>
        <v>46265</v>
      </c>
      <c r="J6" s="65">
        <f>MOIC!J5</f>
        <v>46295</v>
      </c>
      <c r="K6" s="65">
        <f>MOIC!K5</f>
        <v>46326</v>
      </c>
      <c r="L6" s="65">
        <f>MOIC!L5</f>
        <v>46356</v>
      </c>
      <c r="M6" s="65">
        <f>MOIC!M5</f>
        <v>46387</v>
      </c>
      <c r="N6" s="65">
        <f>MOIC!N5</f>
        <v>46418</v>
      </c>
      <c r="O6" s="65">
        <f>MOIC!O5</f>
        <v>46446</v>
      </c>
      <c r="P6" s="65">
        <f>MOIC!P5</f>
        <v>46477</v>
      </c>
      <c r="Q6" s="65">
        <f>MOIC!Q5</f>
        <v>46507</v>
      </c>
      <c r="R6" s="65">
        <f>MOIC!R5</f>
        <v>46538</v>
      </c>
      <c r="S6" s="65">
        <f>MOIC!S5</f>
        <v>46568</v>
      </c>
      <c r="T6" s="65">
        <f>MOIC!T5</f>
        <v>46599</v>
      </c>
      <c r="U6" s="65">
        <f>MOIC!U5</f>
        <v>46630</v>
      </c>
      <c r="V6" s="65">
        <f>MOIC!V5</f>
        <v>46660</v>
      </c>
      <c r="W6" s="65">
        <f>MOIC!W5</f>
        <v>46691</v>
      </c>
      <c r="X6" s="65">
        <f>MOIC!X5</f>
        <v>46721</v>
      </c>
      <c r="Y6" s="65">
        <f>MOIC!Y5</f>
        <v>46752</v>
      </c>
      <c r="Z6" s="65">
        <f>MOIC!Z5</f>
        <v>46783</v>
      </c>
      <c r="AA6" s="65">
        <f>MOIC!AA5</f>
        <v>46812</v>
      </c>
      <c r="AB6" s="65">
        <f>MOIC!AB5</f>
        <v>46843</v>
      </c>
      <c r="AC6" s="65">
        <f>MOIC!AC5</f>
        <v>46873</v>
      </c>
      <c r="AD6" s="65">
        <f>MOIC!AD5</f>
        <v>46904</v>
      </c>
      <c r="AE6" s="65">
        <f>MOIC!AE5</f>
        <v>46934</v>
      </c>
      <c r="AF6" s="65">
        <f>MOIC!AF5</f>
        <v>46965</v>
      </c>
      <c r="AG6" s="65">
        <f>MOIC!AG5</f>
        <v>46996</v>
      </c>
      <c r="AH6" s="65">
        <f>MOIC!AH5</f>
        <v>47026</v>
      </c>
      <c r="AI6" s="65">
        <f>MOIC!AI5</f>
        <v>47057</v>
      </c>
      <c r="AJ6" s="65">
        <f>MOIC!AJ5</f>
        <v>47087</v>
      </c>
      <c r="AK6" s="65">
        <f>MOIC!AK5</f>
        <v>47118</v>
      </c>
      <c r="AL6" s="65">
        <f>MOIC!AL5</f>
        <v>47149</v>
      </c>
      <c r="AM6" s="65">
        <f>MOIC!AM5</f>
        <v>47177</v>
      </c>
      <c r="AN6" s="65">
        <f>MOIC!AN5</f>
        <v>47208</v>
      </c>
      <c r="AO6" s="65">
        <f>MOIC!AO5</f>
        <v>47238</v>
      </c>
      <c r="AP6" s="65">
        <f>MOIC!AP5</f>
        <v>47269</v>
      </c>
      <c r="AQ6" s="65">
        <f>MOIC!AQ5</f>
        <v>47299</v>
      </c>
      <c r="AR6" s="65">
        <f>MOIC!AR5</f>
        <v>47330</v>
      </c>
      <c r="AS6" s="65">
        <f>MOIC!AS5</f>
        <v>47361</v>
      </c>
      <c r="AT6" s="65">
        <f>MOIC!AT5</f>
        <v>47391</v>
      </c>
      <c r="AU6" s="65">
        <f>MOIC!AU5</f>
        <v>47422</v>
      </c>
      <c r="AV6" s="65">
        <f>MOIC!AV5</f>
        <v>47452</v>
      </c>
      <c r="AW6" s="65">
        <f>MOIC!AW5</f>
        <v>47483</v>
      </c>
      <c r="AX6" s="65">
        <f>MOIC!AX5</f>
        <v>47514</v>
      </c>
      <c r="AY6" s="65">
        <f>MOIC!AY5</f>
        <v>47542</v>
      </c>
      <c r="AZ6" s="65">
        <f>MOIC!AZ5</f>
        <v>47573</v>
      </c>
      <c r="BA6" s="65">
        <f>MOIC!BA5</f>
        <v>47603</v>
      </c>
      <c r="BB6" s="65">
        <f>MOIC!BB5</f>
        <v>47634</v>
      </c>
      <c r="BC6" s="65">
        <f>MOIC!BC5</f>
        <v>47664</v>
      </c>
      <c r="BD6" s="65">
        <f>MOIC!BD5</f>
        <v>47695</v>
      </c>
      <c r="BE6" s="65">
        <f>MOIC!BE5</f>
        <v>47726</v>
      </c>
      <c r="BF6" s="65">
        <f>MOIC!BF5</f>
        <v>47756</v>
      </c>
      <c r="BG6" s="65">
        <f>MOIC!BG5</f>
        <v>47787</v>
      </c>
      <c r="BH6" s="65">
        <f>MOIC!BH5</f>
        <v>47817</v>
      </c>
      <c r="BI6" s="65">
        <f>MOIC!BI5</f>
        <v>47848</v>
      </c>
      <c r="BJ6" s="65">
        <f>MOIC!BJ5</f>
        <v>47879</v>
      </c>
      <c r="BK6" s="65">
        <f>MOIC!BK5</f>
        <v>47907</v>
      </c>
      <c r="BL6" s="65">
        <f>MOIC!BL5</f>
        <v>47938</v>
      </c>
      <c r="BM6" s="65">
        <f>MOIC!BM5</f>
        <v>47968</v>
      </c>
      <c r="BN6" s="65">
        <f>MOIC!BN5</f>
        <v>47999</v>
      </c>
      <c r="BO6" s="65">
        <f>MOIC!BO5</f>
        <v>48029</v>
      </c>
      <c r="BP6" s="65">
        <f>MOIC!BP5</f>
        <v>48060</v>
      </c>
    </row>
    <row r="7" spans="1:68" x14ac:dyDescent="0.25">
      <c r="C7" t="s">
        <v>607</v>
      </c>
      <c r="D7" t="s">
        <v>365</v>
      </c>
      <c r="E7" s="29" t="str">
        <f>Inputs!E112</f>
        <v>1M EURIBOR Jul-26</v>
      </c>
      <c r="H7" s="66">
        <f>INDEX(H$9:H$11,MATCH($E$7,$C$9:$C$11,0))</f>
        <v>0.02204</v>
      </c>
      <c r="I7" s="66">
        <f t="shared" ref="I7:BP7" si="0">INDEX(I$9:I$11,MATCH($E$7,$C$9:$C$11,0))</f>
        <v>0.0230337</v>
      </c>
      <c r="J7" s="66">
        <f t="shared" si="0"/>
        <v>0.0239429</v>
      </c>
      <c r="K7" s="66">
        <f t="shared" si="0"/>
        <v>0.0248091</v>
      </c>
      <c r="L7" s="66">
        <f t="shared" si="0"/>
        <v>0.0256369</v>
      </c>
      <c r="M7" s="66">
        <f t="shared" si="0"/>
        <v>0.0263515</v>
      </c>
      <c r="N7" s="66">
        <f t="shared" si="0"/>
        <v>0.0270143</v>
      </c>
      <c r="O7" s="66">
        <f t="shared" si="0"/>
        <v>0.0274756</v>
      </c>
      <c r="P7" s="66">
        <f t="shared" si="0"/>
        <v>0.0278202</v>
      </c>
      <c r="Q7" s="66">
        <f t="shared" si="0"/>
        <v>0.0280983</v>
      </c>
      <c r="R7" s="66">
        <f t="shared" si="0"/>
        <v>0.0282812</v>
      </c>
      <c r="S7" s="66">
        <f t="shared" si="0"/>
        <v>0.0283804</v>
      </c>
      <c r="T7" s="66">
        <f t="shared" si="0"/>
        <v>0.0284156</v>
      </c>
      <c r="U7" s="66">
        <f t="shared" si="0"/>
        <v>0.0283978</v>
      </c>
      <c r="V7" s="66">
        <f t="shared" si="0"/>
        <v>0.0283387</v>
      </c>
      <c r="W7" s="66">
        <f t="shared" si="0"/>
        <v>0.0282487</v>
      </c>
      <c r="X7" s="66">
        <f t="shared" si="0"/>
        <v>0.0281543</v>
      </c>
      <c r="Y7" s="66">
        <f t="shared" si="0"/>
        <v>0.028056</v>
      </c>
      <c r="Z7" s="66">
        <f t="shared" si="0"/>
        <v>0.0279639</v>
      </c>
      <c r="AA7" s="66">
        <f t="shared" si="0"/>
        <v>0.0278951</v>
      </c>
      <c r="AB7" s="66">
        <f t="shared" si="0"/>
        <v>0.0278436</v>
      </c>
      <c r="AC7" s="66">
        <f t="shared" si="0"/>
        <v>0.0278026</v>
      </c>
      <c r="AD7" s="66">
        <f t="shared" si="0"/>
        <v>0.0277784</v>
      </c>
      <c r="AE7" s="66">
        <f t="shared" si="0"/>
        <v>0.027765</v>
      </c>
      <c r="AF7" s="66">
        <f t="shared" si="0"/>
        <v>0.0277628</v>
      </c>
      <c r="AG7" s="66">
        <f t="shared" si="0"/>
        <v>0.0277702</v>
      </c>
      <c r="AH7" s="66">
        <f t="shared" si="0"/>
        <v>0.0277875</v>
      </c>
      <c r="AI7" s="66">
        <f t="shared" si="0"/>
        <v>0.0278085</v>
      </c>
      <c r="AJ7" s="66">
        <f t="shared" si="0"/>
        <v>0.0278372</v>
      </c>
      <c r="AK7" s="66">
        <f t="shared" si="0"/>
        <v>0.0278735</v>
      </c>
      <c r="AL7" s="66">
        <f t="shared" si="0"/>
        <v>0.0278735</v>
      </c>
      <c r="AM7" s="66">
        <f t="shared" si="0"/>
        <v>0.0278735</v>
      </c>
      <c r="AN7" s="66">
        <f t="shared" si="0"/>
        <v>0.0278735</v>
      </c>
      <c r="AO7" s="66">
        <f t="shared" si="0"/>
        <v>0.0278735</v>
      </c>
      <c r="AP7" s="66">
        <f t="shared" si="0"/>
        <v>0.0278735</v>
      </c>
      <c r="AQ7" s="66">
        <f t="shared" si="0"/>
        <v>0.0278735</v>
      </c>
      <c r="AR7" s="66">
        <f t="shared" si="0"/>
        <v>0.0278735</v>
      </c>
      <c r="AS7" s="66">
        <f t="shared" si="0"/>
        <v>0.0278735</v>
      </c>
      <c r="AT7" s="66">
        <f t="shared" si="0"/>
        <v>0.0278735</v>
      </c>
      <c r="AU7" s="66">
        <f t="shared" si="0"/>
        <v>0.0278735</v>
      </c>
      <c r="AV7" s="66">
        <f t="shared" si="0"/>
        <v>0.0278735</v>
      </c>
      <c r="AW7" s="66">
        <f t="shared" si="0"/>
        <v>0.0278735</v>
      </c>
      <c r="AX7" s="66">
        <f t="shared" si="0"/>
        <v>0.0278735</v>
      </c>
      <c r="AY7" s="66">
        <f t="shared" si="0"/>
        <v>0.0278735</v>
      </c>
      <c r="AZ7" s="66">
        <f t="shared" si="0"/>
        <v>0.0278735</v>
      </c>
      <c r="BA7" s="66">
        <f t="shared" si="0"/>
        <v>0.0278735</v>
      </c>
      <c r="BB7" s="66">
        <f t="shared" si="0"/>
        <v>0.0278735</v>
      </c>
      <c r="BC7" s="66">
        <f t="shared" si="0"/>
        <v>0.0278735</v>
      </c>
      <c r="BD7" s="66">
        <f t="shared" si="0"/>
        <v>0.0278735</v>
      </c>
      <c r="BE7" s="66">
        <f t="shared" si="0"/>
        <v>0.0278735</v>
      </c>
      <c r="BF7" s="66">
        <f t="shared" si="0"/>
        <v>0.0278735</v>
      </c>
      <c r="BG7" s="66">
        <f t="shared" si="0"/>
        <v>0.0278735</v>
      </c>
      <c r="BH7" s="66">
        <f t="shared" si="0"/>
        <v>0.0278735</v>
      </c>
      <c r="BI7" s="66">
        <f t="shared" si="0"/>
        <v>0.0278735</v>
      </c>
      <c r="BJ7" s="66">
        <f t="shared" si="0"/>
        <v>0.0278735</v>
      </c>
      <c r="BK7" s="66">
        <f t="shared" si="0"/>
        <v>0.0278735</v>
      </c>
      <c r="BL7" s="66">
        <f t="shared" si="0"/>
        <v>0.0278735</v>
      </c>
      <c r="BM7" s="66">
        <f t="shared" si="0"/>
        <v>0.0278735</v>
      </c>
      <c r="BN7" s="66">
        <f t="shared" si="0"/>
        <v>0.0278735</v>
      </c>
      <c r="BO7" s="66">
        <f t="shared" si="0"/>
        <v>0.0278735</v>
      </c>
      <c r="BP7" s="66">
        <f t="shared" si="0"/>
        <v>0.0278735</v>
      </c>
    </row>
    <row r="8" spans="1:68" x14ac:dyDescent="0.25">
      <c r="C8" s="6" t="s">
        <v>608</v>
      </c>
      <c r="D8" s="6" t="s">
        <v>0</v>
      </c>
      <c r="E8" s="6" t="s">
        <v>120</v>
      </c>
      <c r="F8" s="6" t="s">
        <v>475</v>
      </c>
      <c r="G8" s="6"/>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row>
    <row r="9" spans="1:68" x14ac:dyDescent="0.25">
      <c r="C9" t="s">
        <v>30</v>
      </c>
      <c r="D9" t="s">
        <v>365</v>
      </c>
      <c r="E9" t="s">
        <v>31</v>
      </c>
      <c r="F9" t="s">
        <v>609</v>
      </c>
      <c r="H9" s="68">
        <v>1.9E-2</v>
      </c>
      <c r="I9" s="68">
        <v>1.8800000000000001E-2</v>
      </c>
      <c r="J9" s="68">
        <v>1.8599999999999998E-2</v>
      </c>
      <c r="K9" s="68">
        <v>1.84E-2</v>
      </c>
      <c r="L9" s="68">
        <v>1.8200000000000001E-2</v>
      </c>
      <c r="M9" s="68">
        <v>1.8100000000000002E-2</v>
      </c>
      <c r="N9" s="68">
        <v>1.7999999999999999E-2</v>
      </c>
      <c r="O9" s="68">
        <v>1.7999999999999999E-2</v>
      </c>
      <c r="P9" s="68">
        <v>1.7999999999999999E-2</v>
      </c>
      <c r="Q9" s="68">
        <v>1.7999999999999999E-2</v>
      </c>
      <c r="R9" s="68">
        <v>1.7999999999999999E-2</v>
      </c>
      <c r="S9" s="68">
        <v>1.8100000000000002E-2</v>
      </c>
      <c r="T9" s="68">
        <v>1.8200000000000001E-2</v>
      </c>
      <c r="U9" s="68">
        <v>1.83E-2</v>
      </c>
      <c r="V9" s="68">
        <v>1.8499999999999999E-2</v>
      </c>
      <c r="W9" s="68">
        <v>1.8599999999999998E-2</v>
      </c>
      <c r="X9" s="68">
        <v>1.8800000000000001E-2</v>
      </c>
      <c r="Y9" s="68">
        <v>1.9E-2</v>
      </c>
      <c r="Z9" s="68">
        <v>1.9199999999999998E-2</v>
      </c>
      <c r="AA9" s="68">
        <v>1.9199999999999998E-2</v>
      </c>
      <c r="AB9" s="68">
        <v>1.9199999999999998E-2</v>
      </c>
      <c r="AC9" s="68">
        <v>1.9199999999999998E-2</v>
      </c>
      <c r="AD9" s="68">
        <v>1.9199999999999998E-2</v>
      </c>
      <c r="AE9" s="68">
        <v>1.9199999999999998E-2</v>
      </c>
      <c r="AF9" s="68">
        <v>1.9199999999999998E-2</v>
      </c>
      <c r="AG9" s="68">
        <v>1.9199999999999998E-2</v>
      </c>
      <c r="AH9" s="68">
        <v>1.9199999999999998E-2</v>
      </c>
      <c r="AI9" s="68">
        <v>1.9199999999999998E-2</v>
      </c>
      <c r="AJ9" s="68">
        <v>1.9199999999999998E-2</v>
      </c>
      <c r="AK9" s="68">
        <v>1.9199999999999998E-2</v>
      </c>
      <c r="AL9" s="68">
        <v>1.9199999999999998E-2</v>
      </c>
      <c r="AM9" s="68">
        <v>1.9199999999999998E-2</v>
      </c>
      <c r="AN9" s="68">
        <v>1.9199999999999998E-2</v>
      </c>
      <c r="AO9" s="68">
        <v>1.9199999999999998E-2</v>
      </c>
      <c r="AP9" s="68">
        <v>1.9199999999999998E-2</v>
      </c>
      <c r="AQ9" s="68">
        <v>1.9199999999999998E-2</v>
      </c>
      <c r="AR9" s="68">
        <v>1.9199999999999998E-2</v>
      </c>
      <c r="AS9" s="68">
        <v>1.9199999999999998E-2</v>
      </c>
      <c r="AT9" s="68">
        <v>1.9199999999999998E-2</v>
      </c>
      <c r="AU9" s="68">
        <v>1.9199999999999998E-2</v>
      </c>
      <c r="AV9" s="68">
        <v>1.9199999999999998E-2</v>
      </c>
      <c r="AW9" s="68">
        <v>1.9199999999999998E-2</v>
      </c>
      <c r="AX9" s="68">
        <v>1.9199999999999998E-2</v>
      </c>
      <c r="AY9" s="68">
        <v>1.9199999999999998E-2</v>
      </c>
      <c r="AZ9" s="68">
        <v>1.9199999999999998E-2</v>
      </c>
      <c r="BA9" s="68">
        <v>1.9199999999999998E-2</v>
      </c>
      <c r="BB9" s="68">
        <v>1.9199999999999998E-2</v>
      </c>
      <c r="BC9" s="68">
        <v>1.9199999999999998E-2</v>
      </c>
      <c r="BD9" s="68">
        <v>1.9199999999999998E-2</v>
      </c>
      <c r="BE9" s="68">
        <v>1.9199999999999998E-2</v>
      </c>
      <c r="BF9" s="68">
        <v>1.9199999999999998E-2</v>
      </c>
      <c r="BG9" s="68">
        <v>1.9199999999999998E-2</v>
      </c>
      <c r="BH9" s="68">
        <v>1.9199999999999998E-2</v>
      </c>
      <c r="BI9" s="68">
        <v>1.9199999999999998E-2</v>
      </c>
      <c r="BJ9" s="68">
        <v>1.9199999999999998E-2</v>
      </c>
      <c r="BK9" s="66">
        <f t="shared" ref="BK9:BP11" si="1">BJ9</f>
        <v>0.0192</v>
      </c>
      <c r="BL9" s="66">
        <f t="shared" si="1"/>
        <v>0.0192</v>
      </c>
      <c r="BM9" s="66">
        <f t="shared" si="1"/>
        <v>0.0192</v>
      </c>
      <c r="BN9" s="66">
        <f t="shared" si="1"/>
        <v>0.0192</v>
      </c>
      <c r="BO9" s="66">
        <f t="shared" si="1"/>
        <v>0.0192</v>
      </c>
      <c r="BP9" s="66">
        <f t="shared" si="1"/>
        <v>0.0192</v>
      </c>
    </row>
    <row r="10" spans="1:68" x14ac:dyDescent="0.25">
      <c r="C10" t="s">
        <v>34</v>
      </c>
      <c r="D10" t="s">
        <v>365</v>
      </c>
      <c r="E10" t="s">
        <v>39</v>
      </c>
      <c r="F10" t="s">
        <v>609</v>
      </c>
      <c r="H10" s="68">
        <v>1.891E-2</v>
      </c>
      <c r="I10" s="68">
        <v>1.8853200000000001E-2</v>
      </c>
      <c r="J10" s="68">
        <v>1.8794600000000002E-2</v>
      </c>
      <c r="K10" s="68">
        <v>1.8743099999999999E-2</v>
      </c>
      <c r="L10" s="68">
        <v>1.86996E-2</v>
      </c>
      <c r="M10" s="68">
        <v>1.86559E-2</v>
      </c>
      <c r="N10" s="68">
        <v>1.86267E-2</v>
      </c>
      <c r="O10" s="68">
        <v>1.8604599999999999E-2</v>
      </c>
      <c r="P10" s="68">
        <v>1.8593599999999998E-2</v>
      </c>
      <c r="Q10" s="68">
        <v>1.8594599999999999E-2</v>
      </c>
      <c r="R10" s="68">
        <v>1.86079E-2</v>
      </c>
      <c r="S10" s="68">
        <v>1.8634299999999999E-2</v>
      </c>
      <c r="T10" s="68">
        <v>1.8672999999999999E-2</v>
      </c>
      <c r="U10" s="68">
        <v>1.8724999999999999E-2</v>
      </c>
      <c r="V10" s="68">
        <v>1.8793500000000001E-2</v>
      </c>
      <c r="W10" s="68">
        <v>1.8877600000000001E-2</v>
      </c>
      <c r="X10" s="68">
        <v>1.8967299999999999E-2</v>
      </c>
      <c r="Y10" s="68">
        <v>1.9086599999999999E-2</v>
      </c>
      <c r="Z10" s="68">
        <v>1.9210499999999998E-2</v>
      </c>
      <c r="AA10" s="68">
        <v>1.9210499999999998E-2</v>
      </c>
      <c r="AB10" s="68">
        <v>1.9210499999999998E-2</v>
      </c>
      <c r="AC10" s="68">
        <v>1.9210499999999998E-2</v>
      </c>
      <c r="AD10" s="68">
        <v>1.9210499999999998E-2</v>
      </c>
      <c r="AE10" s="68">
        <v>1.9210499999999998E-2</v>
      </c>
      <c r="AF10" s="68">
        <v>1.9210499999999998E-2</v>
      </c>
      <c r="AG10" s="68">
        <v>1.9210499999999998E-2</v>
      </c>
      <c r="AH10" s="68">
        <v>1.9210499999999998E-2</v>
      </c>
      <c r="AI10" s="68">
        <v>1.9210499999999998E-2</v>
      </c>
      <c r="AJ10" s="68">
        <v>1.9210499999999998E-2</v>
      </c>
      <c r="AK10" s="68">
        <v>1.9210499999999998E-2</v>
      </c>
      <c r="AL10" s="68">
        <v>1.9210499999999998E-2</v>
      </c>
      <c r="AM10" s="68">
        <v>1.9210499999999998E-2</v>
      </c>
      <c r="AN10" s="68">
        <v>1.9210499999999998E-2</v>
      </c>
      <c r="AO10" s="68">
        <v>1.9210499999999998E-2</v>
      </c>
      <c r="AP10" s="68">
        <v>1.9210499999999998E-2</v>
      </c>
      <c r="AQ10" s="68">
        <v>1.9210499999999998E-2</v>
      </c>
      <c r="AR10" s="68">
        <v>1.9210499999999998E-2</v>
      </c>
      <c r="AS10" s="68">
        <v>1.9210499999999998E-2</v>
      </c>
      <c r="AT10" s="68">
        <v>1.9210499999999998E-2</v>
      </c>
      <c r="AU10" s="68">
        <v>1.9210499999999998E-2</v>
      </c>
      <c r="AV10" s="68">
        <v>1.9210499999999998E-2</v>
      </c>
      <c r="AW10" s="68">
        <v>1.9210499999999998E-2</v>
      </c>
      <c r="AX10" s="68">
        <v>1.9210499999999998E-2</v>
      </c>
      <c r="AY10" s="68">
        <v>1.9210499999999998E-2</v>
      </c>
      <c r="AZ10" s="68">
        <v>1.9210499999999998E-2</v>
      </c>
      <c r="BA10" s="68">
        <v>1.9210499999999998E-2</v>
      </c>
      <c r="BB10" s="68">
        <v>1.9210499999999998E-2</v>
      </c>
      <c r="BC10" s="68">
        <v>1.9210499999999998E-2</v>
      </c>
      <c r="BD10" s="68">
        <v>1.9210499999999998E-2</v>
      </c>
      <c r="BE10" s="68">
        <v>1.9210499999999998E-2</v>
      </c>
      <c r="BF10" s="68">
        <v>1.9210499999999998E-2</v>
      </c>
      <c r="BG10" s="68">
        <v>1.9210499999999998E-2</v>
      </c>
      <c r="BH10" s="68">
        <v>1.9210499999999998E-2</v>
      </c>
      <c r="BI10" s="68">
        <v>1.9210499999999998E-2</v>
      </c>
      <c r="BJ10" s="68">
        <v>1.9210499999999998E-2</v>
      </c>
      <c r="BK10" s="66">
        <f t="shared" si="1"/>
        <v>0.0192105</v>
      </c>
      <c r="BL10" s="66">
        <f t="shared" si="1"/>
        <v>0.0192105</v>
      </c>
      <c r="BM10" s="66">
        <f t="shared" si="1"/>
        <v>0.0192105</v>
      </c>
      <c r="BN10" s="66">
        <f t="shared" si="1"/>
        <v>0.0192105</v>
      </c>
      <c r="BO10" s="66">
        <f t="shared" si="1"/>
        <v>0.0192105</v>
      </c>
      <c r="BP10" s="66">
        <f t="shared" si="1"/>
        <v>0.0192105</v>
      </c>
    </row>
    <row r="11" spans="1:68" x14ac:dyDescent="0.25">
      <c r="C11" t="s">
        <v>38</v>
      </c>
      <c r="D11" t="s">
        <v>365</v>
      </c>
      <c r="E11" t="s">
        <v>40</v>
      </c>
      <c r="F11" t="s">
        <v>609</v>
      </c>
      <c r="H11" s="68">
        <v>2.2040000000000001E-2</v>
      </c>
      <c r="I11" s="68">
        <v>2.3033700000000001E-2</v>
      </c>
      <c r="J11" s="68">
        <v>2.39429E-2</v>
      </c>
      <c r="K11" s="68">
        <v>2.4809100000000001E-2</v>
      </c>
      <c r="L11" s="68">
        <v>2.5636900000000001E-2</v>
      </c>
      <c r="M11" s="68">
        <v>2.63515E-2</v>
      </c>
      <c r="N11" s="68">
        <v>2.7014300000000002E-2</v>
      </c>
      <c r="O11" s="68">
        <v>2.7475599999999999E-2</v>
      </c>
      <c r="P11" s="68">
        <v>2.78202E-2</v>
      </c>
      <c r="Q11" s="68">
        <v>2.80983E-2</v>
      </c>
      <c r="R11" s="68">
        <v>2.8281199999999999E-2</v>
      </c>
      <c r="S11" s="68">
        <v>2.83804E-2</v>
      </c>
      <c r="T11" s="68">
        <v>2.8415599999999999E-2</v>
      </c>
      <c r="U11" s="68">
        <v>2.8397800000000001E-2</v>
      </c>
      <c r="V11" s="68">
        <v>2.8338700000000001E-2</v>
      </c>
      <c r="W11" s="68">
        <v>2.8248700000000002E-2</v>
      </c>
      <c r="X11" s="68">
        <v>2.81543E-2</v>
      </c>
      <c r="Y11" s="68">
        <v>2.8056000000000001E-2</v>
      </c>
      <c r="Z11" s="68">
        <v>2.79639E-2</v>
      </c>
      <c r="AA11" s="68">
        <v>2.7895099999999999E-2</v>
      </c>
      <c r="AB11" s="68">
        <v>2.78436E-2</v>
      </c>
      <c r="AC11" s="68">
        <v>2.78026E-2</v>
      </c>
      <c r="AD11" s="68">
        <v>2.7778400000000002E-2</v>
      </c>
      <c r="AE11" s="68">
        <v>2.7765000000000001E-2</v>
      </c>
      <c r="AF11" s="68">
        <v>2.7762800000000001E-2</v>
      </c>
      <c r="AG11" s="68">
        <v>2.7770199999999998E-2</v>
      </c>
      <c r="AH11" s="68">
        <v>2.77875E-2</v>
      </c>
      <c r="AI11" s="68">
        <v>2.78085E-2</v>
      </c>
      <c r="AJ11" s="68">
        <v>2.7837199999999999E-2</v>
      </c>
      <c r="AK11" s="68">
        <v>2.7873499999999999E-2</v>
      </c>
      <c r="AL11" s="68">
        <v>2.7873499999999999E-2</v>
      </c>
      <c r="AM11" s="68">
        <v>2.7873499999999999E-2</v>
      </c>
      <c r="AN11" s="68">
        <v>2.7873499999999999E-2</v>
      </c>
      <c r="AO11" s="68">
        <v>2.7873499999999999E-2</v>
      </c>
      <c r="AP11" s="68">
        <v>2.7873499999999999E-2</v>
      </c>
      <c r="AQ11" s="68">
        <v>2.7873499999999999E-2</v>
      </c>
      <c r="AR11" s="68">
        <v>2.7873499999999999E-2</v>
      </c>
      <c r="AS11" s="68">
        <v>2.7873499999999999E-2</v>
      </c>
      <c r="AT11" s="68">
        <v>2.7873499999999999E-2</v>
      </c>
      <c r="AU11" s="68">
        <v>2.7873499999999999E-2</v>
      </c>
      <c r="AV11" s="68">
        <v>2.7873499999999999E-2</v>
      </c>
      <c r="AW11" s="68">
        <v>2.7873499999999999E-2</v>
      </c>
      <c r="AX11" s="68">
        <v>2.7873499999999999E-2</v>
      </c>
      <c r="AY11" s="68">
        <v>2.7873499999999999E-2</v>
      </c>
      <c r="AZ11" s="68">
        <v>2.7873499999999999E-2</v>
      </c>
      <c r="BA11" s="68">
        <v>2.7873499999999999E-2</v>
      </c>
      <c r="BB11" s="68">
        <v>2.7873499999999999E-2</v>
      </c>
      <c r="BC11" s="68">
        <v>2.7873499999999999E-2</v>
      </c>
      <c r="BD11" s="68">
        <v>2.7873499999999999E-2</v>
      </c>
      <c r="BE11" s="68">
        <v>2.7873499999999999E-2</v>
      </c>
      <c r="BF11" s="68">
        <v>2.7873499999999999E-2</v>
      </c>
      <c r="BG11" s="68">
        <v>2.7873499999999999E-2</v>
      </c>
      <c r="BH11" s="68">
        <v>2.7873499999999999E-2</v>
      </c>
      <c r="BI11" s="68">
        <v>2.7873499999999999E-2</v>
      </c>
      <c r="BJ11" s="68">
        <v>2.7873499999999999E-2</v>
      </c>
      <c r="BK11" s="66">
        <f t="shared" si="1"/>
        <v>0.0278735</v>
      </c>
      <c r="BL11" s="66">
        <f t="shared" si="1"/>
        <v>0.0278735</v>
      </c>
      <c r="BM11" s="66">
        <f t="shared" si="1"/>
        <v>0.0278735</v>
      </c>
      <c r="BN11" s="66">
        <f t="shared" si="1"/>
        <v>0.0278735</v>
      </c>
      <c r="BO11" s="66">
        <f t="shared" si="1"/>
        <v>0.0278735</v>
      </c>
      <c r="BP11" s="66">
        <f t="shared" si="1"/>
        <v>0.0278735</v>
      </c>
    </row>
    <row r="14" spans="1:68" x14ac:dyDescent="0.25">
      <c r="B14" t="s">
        <v>4</v>
      </c>
      <c r="C14" s="43" t="s">
        <v>1219</v>
      </c>
      <c r="D14" s="42"/>
      <c r="E14" s="42"/>
      <c r="F14" s="42"/>
      <c r="G14" s="42"/>
      <c r="H14" s="42"/>
      <c r="I14" s="42"/>
      <c r="J14" s="42"/>
      <c r="K14" s="42"/>
      <c r="L14" s="42"/>
      <c r="M14" s="42"/>
      <c r="N14" s="42"/>
      <c r="O14" s="42"/>
      <c r="P14" s="42"/>
    </row>
    <row r="15" spans="1:68" x14ac:dyDescent="0.25">
      <c r="C15" s="40" t="s">
        <v>1220</v>
      </c>
    </row>
    <row r="16" spans="1:68" x14ac:dyDescent="0.25">
      <c r="C16" t="s">
        <v>610</v>
      </c>
      <c r="D16" t="s">
        <v>29</v>
      </c>
      <c r="E16" s="240">
        <f>Inputs!E199</f>
        <v>2</v>
      </c>
      <c r="F16" t="s">
        <v>1221</v>
      </c>
    </row>
    <row r="17" spans="3:18" x14ac:dyDescent="0.25">
      <c r="C17" t="s">
        <v>611</v>
      </c>
      <c r="D17" t="s">
        <v>12</v>
      </c>
      <c r="E17" s="69" t="s">
        <v>1212</v>
      </c>
      <c r="F17" t="s">
        <v>1222</v>
      </c>
    </row>
    <row r="18" spans="3:18" x14ac:dyDescent="0.25">
      <c r="C18" t="s">
        <v>612</v>
      </c>
      <c r="D18" t="s">
        <v>12</v>
      </c>
      <c r="E18" s="69" t="s">
        <v>1213</v>
      </c>
      <c r="F18" t="s">
        <v>1223</v>
      </c>
    </row>
    <row r="19" spans="3:18" x14ac:dyDescent="0.25">
      <c r="C19" t="s">
        <v>1214</v>
      </c>
      <c r="D19" t="s">
        <v>365</v>
      </c>
      <c r="E19" s="172">
        <v>0.02</v>
      </c>
      <c r="F19" t="s">
        <v>1215</v>
      </c>
      <c r="G19" s="173">
        <v>2025</v>
      </c>
    </row>
    <row r="20" spans="3:18" ht="45" x14ac:dyDescent="0.25">
      <c r="C20" s="41" t="s">
        <v>613</v>
      </c>
      <c r="D20" s="41" t="s">
        <v>614</v>
      </c>
      <c r="E20" s="41" t="s">
        <v>615</v>
      </c>
      <c r="F20" s="41" t="s">
        <v>616</v>
      </c>
      <c r="G20" s="41" t="s">
        <v>617</v>
      </c>
      <c r="H20" s="41" t="s">
        <v>618</v>
      </c>
      <c r="I20" s="41" t="s">
        <v>619</v>
      </c>
      <c r="J20" s="41" t="s">
        <v>1216</v>
      </c>
      <c r="K20" s="41" t="s">
        <v>1217</v>
      </c>
      <c r="L20" s="41" t="s">
        <v>620</v>
      </c>
      <c r="M20" s="72" t="s">
        <v>1204</v>
      </c>
      <c r="N20" s="72" t="s">
        <v>1205</v>
      </c>
      <c r="O20" s="72" t="s">
        <v>1206</v>
      </c>
      <c r="P20" s="72" t="s">
        <v>1207</v>
      </c>
      <c r="Q20" s="72" t="s">
        <v>1208</v>
      </c>
      <c r="R20" s="72" t="s">
        <v>1209</v>
      </c>
    </row>
    <row r="21" spans="3:18" x14ac:dyDescent="0.25">
      <c r="C21" s="39"/>
      <c r="D21" s="39" t="s">
        <v>377</v>
      </c>
      <c r="E21" s="39" t="s">
        <v>377</v>
      </c>
      <c r="F21" s="39" t="s">
        <v>377</v>
      </c>
      <c r="G21" s="39" t="s">
        <v>377</v>
      </c>
      <c r="H21" s="39" t="s">
        <v>377</v>
      </c>
      <c r="I21" s="39" t="s">
        <v>377</v>
      </c>
      <c r="J21" s="39" t="s">
        <v>1218</v>
      </c>
      <c r="K21" s="39" t="s">
        <v>1218</v>
      </c>
      <c r="L21" s="39" t="s">
        <v>2</v>
      </c>
      <c r="M21" s="39" t="s">
        <v>1210</v>
      </c>
      <c r="N21" s="39" t="s">
        <v>1210</v>
      </c>
      <c r="O21" s="39" t="s">
        <v>1210</v>
      </c>
      <c r="P21" s="39" t="s">
        <v>1211</v>
      </c>
      <c r="Q21" s="39" t="s">
        <v>1211</v>
      </c>
      <c r="R21" s="39" t="s">
        <v>1211</v>
      </c>
    </row>
    <row r="22" spans="3:18" x14ac:dyDescent="0.25">
      <c r="C22">
        <v>2027</v>
      </c>
      <c r="D22" s="70">
        <v>73.88</v>
      </c>
      <c r="E22" s="70">
        <v>119.34</v>
      </c>
      <c r="F22" s="70">
        <v>184.66</v>
      </c>
      <c r="G22" s="70">
        <v>76.680000000000007</v>
      </c>
      <c r="H22" s="70">
        <v>124.38</v>
      </c>
      <c r="I22" s="70">
        <v>190.39</v>
      </c>
      <c r="J22" s="71" cm="1">
        <f t="array" ref="J22">IF(INDEX(D22:F22,$E$16)="","",INDEX(D22:F22,$E$16)*(1+$E$19)^($C22-$G$19))</f>
        <v>124.161336</v>
      </c>
      <c r="K22" s="71" cm="1">
        <f t="array" ref="K22">IF(INDEX(G22:I22,$E$16)="","",INDEX(G22:I22,$E$16)*(1+$E$19)^($C22-$G$19))</f>
        <v>129.40495199999998</v>
      </c>
      <c r="L22" s="31">
        <f t="shared" ref="L22:L66" si="2">IF(OR(J22="",K22="",J22=0),"",K22/J22)</f>
        <v>1.042232277526395</v>
      </c>
      <c r="M22" s="172">
        <v>4.8000000000000001E-2</v>
      </c>
      <c r="N22" s="172">
        <v>3.9E-2</v>
      </c>
      <c r="O22" s="172">
        <v>1.4999999999999999E-2</v>
      </c>
      <c r="P22" s="70">
        <v>80.72</v>
      </c>
      <c r="Q22" s="70">
        <v>129.58000000000001</v>
      </c>
      <c r="R22" s="70">
        <v>193.34</v>
      </c>
    </row>
    <row r="23" spans="3:18" x14ac:dyDescent="0.25">
      <c r="C23">
        <v>2028</v>
      </c>
      <c r="D23" s="70">
        <v>70.400000000000006</v>
      </c>
      <c r="E23" s="70">
        <v>110</v>
      </c>
      <c r="F23" s="70">
        <v>160.02000000000001</v>
      </c>
      <c r="G23" s="70">
        <v>75.08</v>
      </c>
      <c r="H23" s="70">
        <v>114.23</v>
      </c>
      <c r="I23" s="70">
        <v>164.62</v>
      </c>
      <c r="J23" s="71" cm="1">
        <f t="array" ref="J23">IF(INDEX(D23:F23,$E$16)="","",INDEX(D23:F23,$E$16)*(1+$E$19)^($C23-$G$19))</f>
        <v>116.73288000000002</v>
      </c>
      <c r="K23" s="71" cm="1">
        <f t="array" ref="K23">IF(INDEX(G23:I23,$E$16)="","",INDEX(G23:I23,$E$16)*(1+$E$19)^($C23-$G$19))</f>
        <v>121.22178984000003</v>
      </c>
      <c r="L23" s="31">
        <f t="shared" si="2"/>
        <v>1.0384545454545455</v>
      </c>
      <c r="M23" s="172">
        <v>3.5000000000000003E-2</v>
      </c>
      <c r="N23" s="172">
        <v>3.4000000000000002E-2</v>
      </c>
      <c r="O23" s="172">
        <v>1.3999999999999999E-2</v>
      </c>
      <c r="P23" s="70">
        <v>78</v>
      </c>
      <c r="Q23" s="70">
        <v>118.43</v>
      </c>
      <c r="R23" s="70">
        <v>166.96</v>
      </c>
    </row>
    <row r="24" spans="3:18" x14ac:dyDescent="0.25">
      <c r="C24">
        <v>2029</v>
      </c>
      <c r="D24" s="70">
        <v>67.2</v>
      </c>
      <c r="E24" s="70">
        <v>103.08</v>
      </c>
      <c r="F24" s="70">
        <v>147.54</v>
      </c>
      <c r="G24" s="70">
        <v>69.52</v>
      </c>
      <c r="H24" s="70">
        <v>105.66</v>
      </c>
      <c r="I24" s="70">
        <v>150.51</v>
      </c>
      <c r="J24" s="71" cm="1">
        <f t="array" ref="J24">IF(INDEX(D24:F24,$E$16)="","",INDEX(D24:F24,$E$16)*(1+$E$19)^($C24-$G$19))</f>
        <v>111.5771070528</v>
      </c>
      <c r="K24" s="71" cm="1">
        <f t="array" ref="K24">IF(INDEX(G24:I24,$E$16)="","",INDEX(G24:I24,$E$16)*(1+$E$19)^($C24-$G$19))</f>
        <v>114.36978202559999</v>
      </c>
      <c r="L24" s="31">
        <f t="shared" si="2"/>
        <v>1.0250291036088475</v>
      </c>
      <c r="M24" s="172">
        <v>0.03</v>
      </c>
      <c r="N24" s="172">
        <v>3.2000000000000001E-2</v>
      </c>
      <c r="O24" s="172">
        <v>0.01</v>
      </c>
      <c r="P24" s="70">
        <v>71.91</v>
      </c>
      <c r="Q24" s="70">
        <v>109.41</v>
      </c>
      <c r="R24" s="70">
        <v>152.07</v>
      </c>
    </row>
    <row r="25" spans="3:18" x14ac:dyDescent="0.25">
      <c r="C25">
        <v>2030</v>
      </c>
      <c r="D25" s="70">
        <v>67.66</v>
      </c>
      <c r="E25" s="70">
        <v>94.89</v>
      </c>
      <c r="F25" s="70">
        <v>131.78</v>
      </c>
      <c r="G25" s="70">
        <v>69.45</v>
      </c>
      <c r="H25" s="70">
        <v>97.72</v>
      </c>
      <c r="I25" s="70">
        <v>135.02000000000001</v>
      </c>
      <c r="J25" s="71" cm="1">
        <f t="array" ref="J25">IF(INDEX(D25:F25,$E$16)="","",INDEX(D25:F25,$E$16)*(1+$E$19)^($C25-$G$19))</f>
        <v>104.766227415648</v>
      </c>
      <c r="K25" s="71" cm="1">
        <f t="array" ref="K25">IF(INDEX(G25:I25,$E$16)="","",INDEX(G25:I25,$E$16)*(1+$E$19)^($C25-$G$19))</f>
        <v>107.890776088704</v>
      </c>
      <c r="L25" s="31">
        <f t="shared" si="2"/>
        <v>1.0298240067446516</v>
      </c>
      <c r="M25" s="172">
        <v>2.7000000000000003E-2</v>
      </c>
      <c r="N25" s="172">
        <v>2.1000000000000001E-2</v>
      </c>
      <c r="O25" s="172">
        <v>6.0000000000000001E-3</v>
      </c>
      <c r="P25" s="70">
        <v>71.569999999999993</v>
      </c>
      <c r="Q25" s="70">
        <v>99.99</v>
      </c>
      <c r="R25" s="70">
        <v>135.96</v>
      </c>
    </row>
    <row r="26" spans="3:18" x14ac:dyDescent="0.25">
      <c r="C26">
        <v>2031</v>
      </c>
      <c r="D26" s="70">
        <v>68.83</v>
      </c>
      <c r="E26" s="70">
        <v>98.51</v>
      </c>
      <c r="F26" s="70">
        <v>132.57</v>
      </c>
      <c r="G26" s="70">
        <v>71.22</v>
      </c>
      <c r="H26" s="70">
        <v>102.77</v>
      </c>
      <c r="I26" s="70">
        <v>135.86000000000001</v>
      </c>
      <c r="J26" s="71" cm="1">
        <f t="array" ref="J26">IF(INDEX(D26:F26,$E$16)="","",INDEX(D26:F26,$E$16)*(1+$E$19)^($C26-$G$19))</f>
        <v>110.93825992169666</v>
      </c>
      <c r="K26" s="71" cm="1">
        <f t="array" ref="K26">IF(INDEX(G26:I26,$E$16)="","",INDEX(G26:I26,$E$16)*(1+$E$19)^($C26-$G$19))</f>
        <v>115.73571182776128</v>
      </c>
      <c r="L26" s="31">
        <f t="shared" si="2"/>
        <v>1.0432443406760734</v>
      </c>
      <c r="M26" s="172">
        <v>1.4999999999999999E-2</v>
      </c>
      <c r="N26" s="172">
        <v>2.6000000000000002E-2</v>
      </c>
      <c r="O26" s="172">
        <v>5.0000000000000001E-3</v>
      </c>
      <c r="P26" s="70">
        <v>72.37</v>
      </c>
      <c r="Q26" s="70">
        <v>105.75</v>
      </c>
      <c r="R26" s="70">
        <v>136.51</v>
      </c>
    </row>
    <row r="27" spans="3:18" x14ac:dyDescent="0.25">
      <c r="C27">
        <v>2032</v>
      </c>
      <c r="D27" s="70">
        <v>66.42</v>
      </c>
      <c r="E27" s="70">
        <v>96.1</v>
      </c>
      <c r="F27" s="70">
        <v>123.49</v>
      </c>
      <c r="G27" s="70">
        <v>68.56</v>
      </c>
      <c r="H27" s="70">
        <v>99.64</v>
      </c>
      <c r="I27" s="70">
        <v>126.56</v>
      </c>
      <c r="J27" s="71" cm="1">
        <f t="array" ref="J27">IF(INDEX(D27:F27,$E$16)="","",INDEX(D27:F27,$E$16)*(1+$E$19)^($C27-$G$19))</f>
        <v>110.3886926610958</v>
      </c>
      <c r="K27" s="71" cm="1">
        <f t="array" ref="K27">IF(INDEX(G27:I27,$E$16)="","",INDEX(G27:I27,$E$16)*(1+$E$19)^($C27-$G$19))</f>
        <v>114.45503992457427</v>
      </c>
      <c r="L27" s="31">
        <f t="shared" si="2"/>
        <v>1.0368366285119668</v>
      </c>
      <c r="M27" s="172">
        <v>5.0000000000000001E-3</v>
      </c>
      <c r="N27" s="172">
        <v>1.3999999999999999E-2</v>
      </c>
      <c r="O27" s="172">
        <v>5.0000000000000001E-3</v>
      </c>
      <c r="P27" s="70">
        <v>68.92</v>
      </c>
      <c r="Q27" s="70">
        <v>101.17</v>
      </c>
      <c r="R27" s="70">
        <v>127.15</v>
      </c>
    </row>
    <row r="28" spans="3:18" x14ac:dyDescent="0.25">
      <c r="C28">
        <v>2033</v>
      </c>
      <c r="D28" s="70">
        <v>66.19</v>
      </c>
      <c r="E28" s="70">
        <v>96.72</v>
      </c>
      <c r="F28" s="70">
        <v>122.89</v>
      </c>
      <c r="G28" s="70">
        <v>68.19</v>
      </c>
      <c r="H28" s="70">
        <v>100.09</v>
      </c>
      <c r="I28" s="70">
        <v>126.03</v>
      </c>
      <c r="J28" s="71" cm="1">
        <f t="array" ref="J28">IF(INDEX(D28:F28,$E$16)="","",INDEX(D28:F28,$E$16)*(1+$E$19)^($C28-$G$19))</f>
        <v>113.32289533053914</v>
      </c>
      <c r="K28" s="71" cm="1">
        <f t="array" ref="K28">IF(INDEX(G28:I28,$E$16)="","",INDEX(G28:I28,$E$16)*(1+$E$19)^($C28-$G$19))</f>
        <v>117.27138744451678</v>
      </c>
      <c r="L28" s="31">
        <f t="shared" si="2"/>
        <v>1.0348428453267162</v>
      </c>
      <c r="M28" s="172">
        <v>4.0000000000000001E-3</v>
      </c>
      <c r="N28" s="172">
        <v>1.7000000000000001E-2</v>
      </c>
      <c r="O28" s="172">
        <v>2E-3</v>
      </c>
      <c r="P28" s="70">
        <v>68.45</v>
      </c>
      <c r="Q28" s="70">
        <v>101.91</v>
      </c>
      <c r="R28" s="70">
        <v>126.36</v>
      </c>
    </row>
    <row r="29" spans="3:18" x14ac:dyDescent="0.25">
      <c r="C29">
        <v>2034</v>
      </c>
      <c r="D29" s="70">
        <v>62.4</v>
      </c>
      <c r="E29" s="70">
        <v>93.13</v>
      </c>
      <c r="F29" s="70">
        <v>116.85</v>
      </c>
      <c r="G29" s="70">
        <v>64.510000000000005</v>
      </c>
      <c r="H29" s="70">
        <v>96.3</v>
      </c>
      <c r="I29" s="70">
        <v>119.86</v>
      </c>
      <c r="J29" s="71" cm="1">
        <f t="array" ref="J29">IF(INDEX(D29:F29,$E$16)="","",INDEX(D29:F29,$E$16)*(1+$E$19)^($C29-$G$19))</f>
        <v>111.29897091579582</v>
      </c>
      <c r="K29" s="71" cm="1">
        <f t="array" ref="K29">IF(INDEX(G29:I29,$E$16)="","",INDEX(G29:I29,$E$16)*(1+$E$19)^($C29-$G$19))</f>
        <v>115.08741435832854</v>
      </c>
      <c r="L29" s="31">
        <f t="shared" si="2"/>
        <v>1.0340384408890797</v>
      </c>
      <c r="M29" s="172">
        <v>2E-3</v>
      </c>
      <c r="N29" s="172">
        <v>4.0000000000000001E-3</v>
      </c>
      <c r="O29" s="172">
        <v>1E-3</v>
      </c>
      <c r="P29" s="70">
        <v>64.650000000000006</v>
      </c>
      <c r="Q29" s="70">
        <v>96.69</v>
      </c>
      <c r="R29" s="70">
        <v>119.95</v>
      </c>
    </row>
    <row r="30" spans="3:18" x14ac:dyDescent="0.25">
      <c r="C30">
        <v>2035</v>
      </c>
      <c r="D30" s="70">
        <v>61.87</v>
      </c>
      <c r="E30" s="70">
        <v>92.97</v>
      </c>
      <c r="F30" s="70">
        <v>115.61</v>
      </c>
      <c r="G30" s="70">
        <v>63.86</v>
      </c>
      <c r="H30" s="70">
        <v>96.08</v>
      </c>
      <c r="I30" s="70">
        <v>118.57</v>
      </c>
      <c r="J30" s="71" cm="1">
        <f t="array" ref="J30">IF(INDEX(D30:F30,$E$16)="","",INDEX(D30:F30,$E$16)*(1+$E$19)^($C30-$G$19))</f>
        <v>113.32991122691259</v>
      </c>
      <c r="K30" s="71" cm="1">
        <f t="array" ref="K30">IF(INDEX(G30:I30,$E$16)="","",INDEX(G30:I30,$E$16)*(1+$E$19)^($C30-$G$19))</f>
        <v>117.12098387309628</v>
      </c>
      <c r="L30" s="31">
        <f t="shared" si="2"/>
        <v>1.0334516510702376</v>
      </c>
      <c r="M30" s="172">
        <v>3.0000000000000001E-3</v>
      </c>
      <c r="N30" s="172">
        <v>1E-3</v>
      </c>
      <c r="O30" s="172">
        <v>1E-3</v>
      </c>
      <c r="P30" s="70">
        <v>64.06</v>
      </c>
      <c r="Q30" s="70">
        <v>96.21</v>
      </c>
      <c r="R30" s="70">
        <v>118.67</v>
      </c>
    </row>
    <row r="31" spans="3:18" x14ac:dyDescent="0.25">
      <c r="C31">
        <v>2036</v>
      </c>
      <c r="D31" s="70">
        <v>62.29</v>
      </c>
      <c r="E31" s="70">
        <v>93.04</v>
      </c>
      <c r="F31" s="70">
        <v>116.98</v>
      </c>
      <c r="G31" s="70">
        <v>64.209999999999994</v>
      </c>
      <c r="H31" s="70">
        <v>96.19</v>
      </c>
      <c r="I31" s="70">
        <v>120.17</v>
      </c>
      <c r="J31" s="71" cm="1">
        <f t="array" ref="J31">IF(INDEX(D31:F31,$E$16)="","",INDEX(D31:F31,$E$16)*(1+$E$19)^($C31-$G$19))</f>
        <v>115.68354565303848</v>
      </c>
      <c r="K31" s="71" cm="1">
        <f t="array" ref="K31">IF(INDEX(G31:I31,$E$16)="","",INDEX(G31:I31,$E$16)*(1+$E$19)^($C31-$G$19))</f>
        <v>119.60017472448162</v>
      </c>
      <c r="L31" s="31">
        <f t="shared" si="2"/>
        <v>1.0338564058469475</v>
      </c>
      <c r="M31" s="172">
        <v>0</v>
      </c>
      <c r="N31" s="172">
        <v>1E-3</v>
      </c>
      <c r="O31" s="172">
        <v>0</v>
      </c>
      <c r="P31" s="70">
        <v>64.209999999999994</v>
      </c>
      <c r="Q31" s="70">
        <v>96.26</v>
      </c>
      <c r="R31" s="70">
        <v>120.17</v>
      </c>
    </row>
    <row r="32" spans="3:18" x14ac:dyDescent="0.25">
      <c r="C32">
        <v>2037</v>
      </c>
      <c r="D32" s="70">
        <v>64.78</v>
      </c>
      <c r="E32" s="70">
        <v>96.63</v>
      </c>
      <c r="F32" s="70">
        <v>121.54</v>
      </c>
      <c r="G32" s="70">
        <v>66.78</v>
      </c>
      <c r="H32" s="70">
        <v>99.52</v>
      </c>
      <c r="I32" s="70">
        <v>124.51</v>
      </c>
      <c r="J32" s="71" cm="1">
        <f t="array" ref="J32">IF(INDEX(D32:F32,$E$16)="","",INDEX(D32:F32,$E$16)*(1+$E$19)^($C32-$G$19))</f>
        <v>122.55020460857877</v>
      </c>
      <c r="K32" s="71" cm="1">
        <f t="array" ref="K32">IF(INDEX(G32:I32,$E$16)="","",INDEX(G32:I32,$E$16)*(1+$E$19)^($C32-$G$19))</f>
        <v>126.21542339486452</v>
      </c>
      <c r="L32" s="31">
        <f t="shared" si="2"/>
        <v>1.02990789609852</v>
      </c>
      <c r="M32" s="172">
        <v>0</v>
      </c>
      <c r="N32" s="172">
        <v>1E-3</v>
      </c>
      <c r="O32" s="172">
        <v>0</v>
      </c>
      <c r="P32" s="70">
        <v>66.78</v>
      </c>
      <c r="Q32" s="70">
        <v>99.59</v>
      </c>
      <c r="R32" s="70">
        <v>124.51</v>
      </c>
    </row>
    <row r="33" spans="3:18" x14ac:dyDescent="0.25">
      <c r="C33">
        <v>2038</v>
      </c>
      <c r="D33" s="70">
        <v>64.13</v>
      </c>
      <c r="E33" s="70">
        <v>95.76</v>
      </c>
      <c r="F33" s="70">
        <v>121.06</v>
      </c>
      <c r="G33" s="70">
        <v>66.099999999999994</v>
      </c>
      <c r="H33" s="70">
        <v>98.19</v>
      </c>
      <c r="I33" s="70">
        <v>123.84</v>
      </c>
      <c r="J33" s="71" cm="1">
        <f t="array" ref="J33">IF(INDEX(D33:F33,$E$16)="","",INDEX(D33:F33,$E$16)*(1+$E$19)^($C33-$G$19))</f>
        <v>123.87577093225556</v>
      </c>
      <c r="K33" s="71" cm="1">
        <f t="array" ref="K33">IF(INDEX(G33:I33,$E$16)="","",INDEX(G33:I33,$E$16)*(1+$E$19)^($C33-$G$19))</f>
        <v>127.01923504425828</v>
      </c>
      <c r="L33" s="31">
        <f t="shared" si="2"/>
        <v>1.025375939849624</v>
      </c>
      <c r="M33" s="172">
        <v>0</v>
      </c>
      <c r="N33" s="172">
        <v>0</v>
      </c>
      <c r="O33" s="172">
        <v>0</v>
      </c>
      <c r="P33" s="70">
        <v>66.099999999999994</v>
      </c>
      <c r="Q33" s="70">
        <v>98.22</v>
      </c>
      <c r="R33" s="70">
        <v>123.84</v>
      </c>
    </row>
    <row r="34" spans="3:18" x14ac:dyDescent="0.25">
      <c r="C34">
        <v>2039</v>
      </c>
      <c r="D34" s="70">
        <v>63.62</v>
      </c>
      <c r="E34" s="70">
        <v>95.26</v>
      </c>
      <c r="F34" s="70">
        <v>120.23</v>
      </c>
      <c r="G34" s="70">
        <v>65.569999999999993</v>
      </c>
      <c r="H34" s="70">
        <v>97.68</v>
      </c>
      <c r="I34" s="70">
        <v>123.04</v>
      </c>
      <c r="J34" s="71" cm="1">
        <f t="array" ref="J34">IF(INDEX(D34:F34,$E$16)="","",INDEX(D34:F34,$E$16)*(1+$E$19)^($C34-$G$19))</f>
        <v>125.69354696936922</v>
      </c>
      <c r="K34" s="71" cm="1">
        <f t="array" ref="K34">IF(INDEX(G34:I34,$E$16)="","",INDEX(G34:I34,$E$16)*(1+$E$19)^($C34-$G$19))</f>
        <v>128.88668557598137</v>
      </c>
      <c r="L34" s="31">
        <f t="shared" si="2"/>
        <v>1.0254041570438799</v>
      </c>
      <c r="M34" s="172">
        <v>0</v>
      </c>
      <c r="N34" s="172">
        <v>1E-3</v>
      </c>
      <c r="O34" s="172">
        <v>0</v>
      </c>
      <c r="P34" s="70">
        <v>65.569999999999993</v>
      </c>
      <c r="Q34" s="70">
        <v>97.76</v>
      </c>
      <c r="R34" s="70">
        <v>123.06</v>
      </c>
    </row>
    <row r="35" spans="3:18" x14ac:dyDescent="0.25">
      <c r="C35">
        <v>2040</v>
      </c>
      <c r="D35" s="70">
        <v>62.43</v>
      </c>
      <c r="E35" s="70">
        <v>93.94</v>
      </c>
      <c r="F35" s="70">
        <v>118.78</v>
      </c>
      <c r="G35" s="70">
        <v>64.41</v>
      </c>
      <c r="H35" s="70">
        <v>96.54</v>
      </c>
      <c r="I35" s="70">
        <v>121.65</v>
      </c>
      <c r="J35" s="71" cm="1">
        <f t="array" ref="J35">IF(INDEX(D35:F35,$E$16)="","",INDEX(D35:F35,$E$16)*(1+$E$19)^($C35-$G$19))</f>
        <v>126.43087170216876</v>
      </c>
      <c r="K35" s="71" cm="1">
        <f t="array" ref="K35">IF(INDEX(G35:I35,$E$16)="","",INDEX(G35:I35,$E$16)*(1+$E$19)^($C35-$G$19))</f>
        <v>129.9301293818115</v>
      </c>
      <c r="L35" s="31">
        <f t="shared" si="2"/>
        <v>1.027677240791995</v>
      </c>
      <c r="M35" s="172">
        <v>0</v>
      </c>
      <c r="N35" s="172">
        <v>1E-3</v>
      </c>
      <c r="O35" s="172">
        <v>0</v>
      </c>
      <c r="P35" s="70">
        <v>64.430000000000007</v>
      </c>
      <c r="Q35" s="70">
        <v>96.61</v>
      </c>
      <c r="R35" s="70">
        <v>121.65</v>
      </c>
    </row>
    <row r="36" spans="3:18" x14ac:dyDescent="0.25">
      <c r="C36">
        <v>2041</v>
      </c>
      <c r="D36" s="70">
        <v>61.25</v>
      </c>
      <c r="E36" s="70">
        <v>92.79</v>
      </c>
      <c r="F36" s="70">
        <v>116.93</v>
      </c>
      <c r="G36" s="70">
        <v>63.39</v>
      </c>
      <c r="H36" s="70">
        <v>95.35</v>
      </c>
      <c r="I36" s="70">
        <v>119.59</v>
      </c>
      <c r="J36" s="71" cm="1">
        <f t="array" ref="J36">IF(INDEX(D36:F36,$E$16)="","",INDEX(D36:F36,$E$16)*(1+$E$19)^($C36-$G$19))</f>
        <v>127.38078557535795</v>
      </c>
      <c r="K36" s="71" cm="1">
        <f t="array" ref="K36">IF(INDEX(G36:I36,$E$16)="","",INDEX(G36:I36,$E$16)*(1+$E$19)^($C36-$G$19))</f>
        <v>130.8951169803899</v>
      </c>
      <c r="L36" s="31">
        <f t="shared" si="2"/>
        <v>1.0275891798685202</v>
      </c>
      <c r="M36" s="172">
        <v>0</v>
      </c>
      <c r="N36" s="172">
        <v>0</v>
      </c>
      <c r="O36" s="172">
        <v>0</v>
      </c>
      <c r="P36" s="70">
        <v>63.4</v>
      </c>
      <c r="Q36" s="70">
        <v>95.39</v>
      </c>
      <c r="R36" s="70">
        <v>119.59</v>
      </c>
    </row>
    <row r="37" spans="3:18" x14ac:dyDescent="0.25">
      <c r="C37">
        <v>2042</v>
      </c>
      <c r="D37" s="70">
        <v>61.49</v>
      </c>
      <c r="E37" s="70">
        <v>93.62</v>
      </c>
      <c r="F37" s="70">
        <v>118.97</v>
      </c>
      <c r="G37" s="70">
        <v>63.61</v>
      </c>
      <c r="H37" s="70">
        <v>96.15</v>
      </c>
      <c r="I37" s="70">
        <v>121.62</v>
      </c>
      <c r="J37" s="71" cm="1">
        <f t="array" ref="J37">IF(INDEX(D37:F37,$E$16)="","",INDEX(D37:F37,$E$16)*(1+$E$19)^($C37-$G$19))</f>
        <v>131.09060166479483</v>
      </c>
      <c r="K37" s="71" cm="1">
        <f t="array" ref="K37">IF(INDEX(G37:I37,$E$16)="","",INDEX(G37:I37,$E$16)*(1+$E$19)^($C37-$G$19))</f>
        <v>134.63321245535167</v>
      </c>
      <c r="L37" s="31">
        <f t="shared" si="2"/>
        <v>1.0270241401409954</v>
      </c>
      <c r="M37" s="172">
        <v>0</v>
      </c>
      <c r="N37" s="172">
        <v>1E-3</v>
      </c>
      <c r="O37" s="172">
        <v>0</v>
      </c>
      <c r="P37" s="70">
        <v>63.61</v>
      </c>
      <c r="Q37" s="70">
        <v>96.21</v>
      </c>
      <c r="R37" s="70">
        <v>121.65</v>
      </c>
    </row>
    <row r="38" spans="3:18" x14ac:dyDescent="0.25">
      <c r="C38">
        <v>2043</v>
      </c>
      <c r="D38" s="70">
        <v>61.04</v>
      </c>
      <c r="E38" s="70">
        <v>93.93</v>
      </c>
      <c r="F38" s="70">
        <v>119.85</v>
      </c>
      <c r="G38" s="70">
        <v>63.2</v>
      </c>
      <c r="H38" s="70">
        <v>96.35</v>
      </c>
      <c r="I38" s="70">
        <v>122.31</v>
      </c>
      <c r="J38" s="71" cm="1">
        <f t="array" ref="J38">IF(INDEX(D38:F38,$E$16)="","",INDEX(D38:F38,$E$16)*(1+$E$19)^($C38-$G$19))</f>
        <v>134.15517003483936</v>
      </c>
      <c r="K38" s="71" cm="1">
        <f t="array" ref="K38">IF(INDEX(G38:I38,$E$16)="","",INDEX(G38:I38,$E$16)*(1+$E$19)^($C38-$G$19))</f>
        <v>137.61152595397394</v>
      </c>
      <c r="L38" s="31">
        <f t="shared" si="2"/>
        <v>1.0257638667092515</v>
      </c>
      <c r="M38" s="172">
        <v>0</v>
      </c>
      <c r="N38" s="172">
        <v>1E-3</v>
      </c>
      <c r="O38" s="172">
        <v>0</v>
      </c>
      <c r="P38" s="70">
        <v>63.21</v>
      </c>
      <c r="Q38" s="70">
        <v>96.47</v>
      </c>
      <c r="R38" s="70">
        <v>122.31</v>
      </c>
    </row>
    <row r="39" spans="3:18" x14ac:dyDescent="0.25">
      <c r="C39">
        <v>2044</v>
      </c>
      <c r="D39" s="70">
        <v>60.1</v>
      </c>
      <c r="E39" s="70">
        <v>93.16</v>
      </c>
      <c r="F39" s="70">
        <v>119.77</v>
      </c>
      <c r="G39" s="70">
        <v>62.18</v>
      </c>
      <c r="H39" s="70">
        <v>95.6</v>
      </c>
      <c r="I39" s="70">
        <v>121.66</v>
      </c>
      <c r="J39" s="71" cm="1">
        <f t="array" ref="J39">IF(INDEX(D39:F39,$E$16)="","",INDEX(D39:F39,$E$16)*(1+$E$19)^($C39-$G$19))</f>
        <v>135.71652883268973</v>
      </c>
      <c r="K39" s="71" cm="1">
        <f t="array" ref="K39">IF(INDEX(G39:I39,$E$16)="","",INDEX(G39:I39,$E$16)*(1+$E$19)^($C39-$G$19))</f>
        <v>139.27114809365756</v>
      </c>
      <c r="L39" s="31">
        <f t="shared" si="2"/>
        <v>1.0261914984972091</v>
      </c>
      <c r="M39" s="172">
        <v>0</v>
      </c>
      <c r="N39" s="172">
        <v>0</v>
      </c>
      <c r="O39" s="172">
        <v>0</v>
      </c>
      <c r="P39" s="70">
        <v>62.21</v>
      </c>
      <c r="Q39" s="70">
        <v>95.65</v>
      </c>
      <c r="R39" s="70">
        <v>121.66</v>
      </c>
    </row>
    <row r="40" spans="3:18" x14ac:dyDescent="0.25">
      <c r="C40">
        <v>2045</v>
      </c>
      <c r="D40" s="70">
        <v>60.8</v>
      </c>
      <c r="E40" s="70">
        <v>94.99</v>
      </c>
      <c r="F40" s="70">
        <v>123.03</v>
      </c>
      <c r="G40" s="70">
        <v>62.87</v>
      </c>
      <c r="H40" s="70">
        <v>97.18</v>
      </c>
      <c r="I40" s="70">
        <v>124.23</v>
      </c>
      <c r="J40" s="71" cm="1">
        <f t="array" ref="J40">IF(INDEX(D40:F40,$E$16)="","",INDEX(D40:F40,$E$16)*(1+$E$19)^($C40-$G$19))</f>
        <v>141.1501431439839</v>
      </c>
      <c r="K40" s="71" cm="1">
        <f t="array" ref="K40">IF(INDEX(G40:I40,$E$16)="","",INDEX(G40:I40,$E$16)*(1+$E$19)^($C40-$G$19))</f>
        <v>144.40436794117653</v>
      </c>
      <c r="L40" s="31">
        <f t="shared" si="2"/>
        <v>1.0230550584272031</v>
      </c>
      <c r="M40" s="172">
        <v>0</v>
      </c>
      <c r="N40" s="172">
        <v>0</v>
      </c>
      <c r="O40" s="172">
        <v>0</v>
      </c>
      <c r="P40" s="70">
        <v>62.87</v>
      </c>
      <c r="Q40" s="70">
        <v>97.21</v>
      </c>
      <c r="R40" s="70">
        <v>124.23</v>
      </c>
    </row>
    <row r="41" spans="3:18" x14ac:dyDescent="0.25">
      <c r="C41">
        <v>2046</v>
      </c>
      <c r="D41" s="70">
        <v>60.04</v>
      </c>
      <c r="E41" s="70">
        <v>95.37</v>
      </c>
      <c r="F41" s="70">
        <v>123.78</v>
      </c>
      <c r="G41" s="70">
        <v>61.93</v>
      </c>
      <c r="H41" s="70">
        <v>97.34</v>
      </c>
      <c r="I41" s="70">
        <v>124.08</v>
      </c>
      <c r="J41" s="71" cm="1">
        <f t="array" ref="J41">IF(INDEX(D41:F41,$E$16)="","",INDEX(D41:F41,$E$16)*(1+$E$19)^($C41-$G$19))</f>
        <v>144.5490992175448</v>
      </c>
      <c r="K41" s="71" cm="1">
        <f t="array" ref="K41">IF(INDEX(G41:I41,$E$16)="","",INDEX(G41:I41,$E$16)*(1+$E$19)^($C41-$G$19))</f>
        <v>147.53496191502373</v>
      </c>
      <c r="L41" s="31">
        <f t="shared" si="2"/>
        <v>1.0206563908986055</v>
      </c>
      <c r="M41" s="172">
        <v>0</v>
      </c>
      <c r="N41" s="172">
        <v>0</v>
      </c>
      <c r="O41" s="172">
        <v>0</v>
      </c>
      <c r="P41" s="70">
        <v>61.93</v>
      </c>
      <c r="Q41" s="70">
        <v>97.34</v>
      </c>
      <c r="R41" s="70">
        <v>124.08</v>
      </c>
    </row>
    <row r="42" spans="3:18" x14ac:dyDescent="0.25">
      <c r="C42">
        <v>2047</v>
      </c>
      <c r="D42" s="70">
        <v>59.52</v>
      </c>
      <c r="E42" s="70">
        <v>95.19</v>
      </c>
      <c r="F42" s="70">
        <v>124.41</v>
      </c>
      <c r="G42" s="70">
        <v>61.33</v>
      </c>
      <c r="H42" s="70">
        <v>97.12</v>
      </c>
      <c r="I42" s="70">
        <v>124.15</v>
      </c>
      <c r="J42" s="71" cm="1">
        <f t="array" ref="J42">IF(INDEX(D42:F42,$E$16)="","",INDEX(D42:F42,$E$16)*(1+$E$19)^($C42-$G$19))</f>
        <v>147.16180486115604</v>
      </c>
      <c r="K42" s="71" cm="1">
        <f t="array" ref="K42">IF(INDEX(G42:I42,$E$16)="","",INDEX(G42:I42,$E$16)*(1+$E$19)^($C42-$G$19))</f>
        <v>150.1455456257535</v>
      </c>
      <c r="L42" s="31">
        <f t="shared" si="2"/>
        <v>1.0202752389956928</v>
      </c>
      <c r="M42" s="172">
        <v>0</v>
      </c>
      <c r="N42" s="172">
        <v>0</v>
      </c>
      <c r="O42" s="172">
        <v>0</v>
      </c>
      <c r="P42" s="70">
        <v>61.33</v>
      </c>
      <c r="Q42" s="70">
        <v>97.12</v>
      </c>
      <c r="R42" s="70">
        <v>124.15</v>
      </c>
    </row>
    <row r="43" spans="3:18" x14ac:dyDescent="0.25">
      <c r="C43">
        <v>2048</v>
      </c>
      <c r="D43" s="70">
        <v>58.44</v>
      </c>
      <c r="E43" s="70">
        <v>93.3</v>
      </c>
      <c r="F43" s="70">
        <v>123.24</v>
      </c>
      <c r="G43" s="70">
        <v>60.24</v>
      </c>
      <c r="H43" s="70">
        <v>95.36</v>
      </c>
      <c r="I43" s="70">
        <v>122.51</v>
      </c>
      <c r="J43" s="71" cm="1">
        <f t="array" ref="J43">IF(INDEX(D43:F43,$E$16)="","",INDEX(D43:F43,$E$16)*(1+$E$19)^($C43-$G$19))</f>
        <v>147.12470134905743</v>
      </c>
      <c r="K43" s="71" cm="1">
        <f t="array" ref="K43">IF(INDEX(G43:I43,$E$16)="","",INDEX(G43:I43,$E$16)*(1+$E$19)^($C43-$G$19))</f>
        <v>150.37311383329174</v>
      </c>
      <c r="L43" s="31">
        <f t="shared" si="2"/>
        <v>1.022079314040729</v>
      </c>
      <c r="M43" s="172">
        <v>0</v>
      </c>
      <c r="N43" s="172">
        <v>0</v>
      </c>
      <c r="O43" s="172">
        <v>0</v>
      </c>
      <c r="P43" s="70">
        <v>60.24</v>
      </c>
      <c r="Q43" s="70">
        <v>95.36</v>
      </c>
      <c r="R43" s="70">
        <v>122.51</v>
      </c>
    </row>
    <row r="44" spans="3:18" x14ac:dyDescent="0.25">
      <c r="C44">
        <v>2049</v>
      </c>
      <c r="D44" s="70">
        <v>57.91</v>
      </c>
      <c r="E44" s="70">
        <v>93.51</v>
      </c>
      <c r="F44" s="70">
        <v>124.49</v>
      </c>
      <c r="G44" s="70">
        <v>59.59</v>
      </c>
      <c r="H44" s="70">
        <v>95.45</v>
      </c>
      <c r="I44" s="70">
        <v>122.99</v>
      </c>
      <c r="J44" s="71" cm="1">
        <f t="array" ref="J44">IF(INDEX(D44:F44,$E$16)="","",INDEX(D44:F44,$E$16)*(1+$E$19)^($C44-$G$19))</f>
        <v>150.4049671984284</v>
      </c>
      <c r="K44" s="71" cm="1">
        <f t="array" ref="K44">IF(INDEX(G44:I44,$E$16)="","",INDEX(G44:I44,$E$16)*(1+$E$19)^($C44-$G$19))</f>
        <v>153.52533546241034</v>
      </c>
      <c r="L44" s="31">
        <f t="shared" si="2"/>
        <v>1.0207464442305636</v>
      </c>
      <c r="M44" s="172">
        <v>0</v>
      </c>
      <c r="N44" s="172">
        <v>0</v>
      </c>
      <c r="O44" s="172">
        <v>0</v>
      </c>
      <c r="P44" s="70">
        <v>59.59</v>
      </c>
      <c r="Q44" s="70">
        <v>95.45</v>
      </c>
      <c r="R44" s="70">
        <v>122.99</v>
      </c>
    </row>
    <row r="45" spans="3:18" x14ac:dyDescent="0.25">
      <c r="C45">
        <v>2050</v>
      </c>
      <c r="D45" s="70">
        <v>56.56</v>
      </c>
      <c r="E45" s="70">
        <v>92.38</v>
      </c>
      <c r="F45" s="70">
        <v>122.91</v>
      </c>
      <c r="G45" s="70">
        <v>58.15</v>
      </c>
      <c r="H45" s="70">
        <v>94.24</v>
      </c>
      <c r="I45" s="70">
        <v>120.71</v>
      </c>
      <c r="J45" s="71" cm="1">
        <f t="array" ref="J45">IF(INDEX(D45:F45,$E$16)="","",INDEX(D45:F45,$E$16)*(1+$E$19)^($C45-$G$19))</f>
        <v>151.5591817686518</v>
      </c>
      <c r="K45" s="71" cm="1">
        <f t="array" ref="K45">IF(INDEX(G45:I45,$E$16)="","",INDEX(G45:I45,$E$16)*(1+$E$19)^($C45-$G$19))</f>
        <v>154.6107089183562</v>
      </c>
      <c r="L45" s="31">
        <f t="shared" si="2"/>
        <v>1.0201342281879195</v>
      </c>
      <c r="M45" s="172">
        <v>0</v>
      </c>
      <c r="N45" s="172">
        <v>0</v>
      </c>
      <c r="O45" s="172">
        <v>0</v>
      </c>
      <c r="P45" s="70">
        <v>58.15</v>
      </c>
      <c r="Q45" s="70">
        <v>94.24</v>
      </c>
      <c r="R45" s="70">
        <v>120.71</v>
      </c>
    </row>
    <row r="46" spans="3:18" x14ac:dyDescent="0.25">
      <c r="C46">
        <v>2051</v>
      </c>
      <c r="D46" s="70">
        <v>56.08</v>
      </c>
      <c r="E46" s="70">
        <v>91.45</v>
      </c>
      <c r="F46" s="70">
        <v>119.47</v>
      </c>
      <c r="G46" s="70">
        <v>57.56</v>
      </c>
      <c r="H46" s="70">
        <v>93.24</v>
      </c>
      <c r="I46" s="70">
        <v>116.32</v>
      </c>
      <c r="J46" s="71" cm="1">
        <f t="array" ref="J46">IF(INDEX(D46:F46,$E$16)="","",INDEX(D46:F46,$E$16)*(1+$E$19)^($C46-$G$19))</f>
        <v>153.0340865576756</v>
      </c>
      <c r="K46" s="71" cm="1">
        <f t="array" ref="K46">IF(INDEX(G46:I46,$E$16)="","",INDEX(G46:I46,$E$16)*(1+$E$19)^($C46-$G$19))</f>
        <v>156.0295049823693</v>
      </c>
      <c r="L46" s="31">
        <f t="shared" si="2"/>
        <v>1.0195735374521595</v>
      </c>
      <c r="M46" s="172">
        <v>0</v>
      </c>
      <c r="N46" s="172">
        <v>0</v>
      </c>
      <c r="O46" s="172">
        <v>0</v>
      </c>
      <c r="P46" s="70">
        <v>57.56</v>
      </c>
      <c r="Q46" s="70">
        <v>93.24</v>
      </c>
      <c r="R46" s="70">
        <v>116.32</v>
      </c>
    </row>
    <row r="47" spans="3:18" x14ac:dyDescent="0.25">
      <c r="C47">
        <v>2052</v>
      </c>
      <c r="D47" s="70">
        <v>55.19</v>
      </c>
      <c r="E47" s="70">
        <v>89.7</v>
      </c>
      <c r="F47" s="70">
        <v>114.97</v>
      </c>
      <c r="G47" s="70">
        <v>56.62</v>
      </c>
      <c r="H47" s="70">
        <v>91.63</v>
      </c>
      <c r="I47" s="70">
        <v>111.42</v>
      </c>
      <c r="J47" s="71" cm="1">
        <f t="array" ref="J47">IF(INDEX(D47:F47,$E$16)="","",INDEX(D47:F47,$E$16)*(1+$E$19)^($C47-$G$19))</f>
        <v>153.1077169547072</v>
      </c>
      <c r="K47" s="71" cm="1">
        <f t="array" ref="K47">IF(INDEX(G47:I47,$E$16)="","",INDEX(G47:I47,$E$16)*(1+$E$19)^($C47-$G$19))</f>
        <v>156.40200785462451</v>
      </c>
      <c r="L47" s="31">
        <f t="shared" si="2"/>
        <v>1.0215161649944258</v>
      </c>
      <c r="M47" s="172">
        <v>0</v>
      </c>
      <c r="N47" s="172">
        <v>0</v>
      </c>
      <c r="O47" s="172">
        <v>0</v>
      </c>
      <c r="P47" s="70">
        <v>56.62</v>
      </c>
      <c r="Q47" s="70">
        <v>91.63</v>
      </c>
      <c r="R47" s="70">
        <v>111.42</v>
      </c>
    </row>
    <row r="48" spans="3:18" x14ac:dyDescent="0.25">
      <c r="C48">
        <v>2053</v>
      </c>
      <c r="D48" s="70">
        <v>55.76</v>
      </c>
      <c r="E48" s="70">
        <v>90.71</v>
      </c>
      <c r="F48" s="70">
        <v>114.94</v>
      </c>
      <c r="G48" s="70">
        <v>57.05</v>
      </c>
      <c r="H48" s="70">
        <v>92.47</v>
      </c>
      <c r="I48" s="70">
        <v>110.46</v>
      </c>
      <c r="J48" s="71" cm="1">
        <f t="array" ref="J48">IF(INDEX(D48:F48,$E$16)="","",INDEX(D48:F48,$E$16)*(1+$E$19)^($C48-$G$19))</f>
        <v>157.928305742037</v>
      </c>
      <c r="K48" s="71" cm="1">
        <f t="array" ref="K48">IF(INDEX(G48:I48,$E$16)="","",INDEX(G48:I48,$E$16)*(1+$E$19)^($C48-$G$19))</f>
        <v>160.99250834490311</v>
      </c>
      <c r="L48" s="31">
        <f t="shared" si="2"/>
        <v>1.0194024914562894</v>
      </c>
      <c r="M48" s="172">
        <v>0</v>
      </c>
      <c r="N48" s="172">
        <v>0</v>
      </c>
      <c r="O48" s="172">
        <v>0</v>
      </c>
      <c r="P48" s="70">
        <v>57.05</v>
      </c>
      <c r="Q48" s="70">
        <v>92.47</v>
      </c>
      <c r="R48" s="70">
        <v>110.46</v>
      </c>
    </row>
    <row r="49" spans="3:18" x14ac:dyDescent="0.25">
      <c r="C49">
        <v>2054</v>
      </c>
      <c r="D49" s="70">
        <v>56.35</v>
      </c>
      <c r="E49" s="70">
        <v>90.37</v>
      </c>
      <c r="F49" s="70">
        <v>113.41</v>
      </c>
      <c r="G49" s="70">
        <v>57.42</v>
      </c>
      <c r="H49" s="70">
        <v>92</v>
      </c>
      <c r="I49" s="70">
        <v>108.05</v>
      </c>
      <c r="J49" s="71" cm="1">
        <f t="array" ref="J49">IF(INDEX(D49:F49,$E$16)="","",INDEX(D49:F49,$E$16)*(1+$E$19)^($C49-$G$19))</f>
        <v>160.48308466217665</v>
      </c>
      <c r="K49" s="71" cm="1">
        <f t="array" ref="K49">IF(INDEX(G49:I49,$E$16)="","",INDEX(G49:I49,$E$16)*(1+$E$19)^($C49-$G$19))</f>
        <v>163.3777115073614</v>
      </c>
      <c r="L49" s="31">
        <f t="shared" si="2"/>
        <v>1.0180369591678653</v>
      </c>
      <c r="M49" s="172">
        <v>0</v>
      </c>
      <c r="N49" s="172">
        <v>0</v>
      </c>
      <c r="O49" s="172">
        <v>0</v>
      </c>
      <c r="P49" s="70">
        <v>57.42</v>
      </c>
      <c r="Q49" s="70">
        <v>92</v>
      </c>
      <c r="R49" s="70">
        <v>108.05</v>
      </c>
    </row>
    <row r="50" spans="3:18" x14ac:dyDescent="0.25">
      <c r="C50">
        <v>2055</v>
      </c>
      <c r="D50" s="70">
        <v>56.08</v>
      </c>
      <c r="E50" s="70">
        <v>90.08</v>
      </c>
      <c r="F50" s="70">
        <v>112.26</v>
      </c>
      <c r="G50" s="70">
        <v>57.1</v>
      </c>
      <c r="H50" s="70">
        <v>91.57</v>
      </c>
      <c r="I50" s="70">
        <v>105.99</v>
      </c>
      <c r="J50" s="71" cm="1">
        <f t="array" ref="J50">IF(INDEX(D50:F50,$E$16)="","",INDEX(D50:F50,$E$16)*(1+$E$19)^($C50-$G$19))</f>
        <v>163.1674514960302</v>
      </c>
      <c r="K50" s="71" cm="1">
        <f t="array" ref="K50">IF(INDEX(G50:I50,$E$16)="","",INDEX(G50:I50,$E$16)*(1+$E$19)^($C50-$G$19))</f>
        <v>165.86638025634417</v>
      </c>
      <c r="L50" s="31">
        <f t="shared" si="2"/>
        <v>1.0165408525754882</v>
      </c>
      <c r="M50" s="172">
        <v>0</v>
      </c>
      <c r="N50" s="172">
        <v>0</v>
      </c>
      <c r="O50" s="172">
        <v>0</v>
      </c>
      <c r="P50" s="70">
        <v>57.1</v>
      </c>
      <c r="Q50" s="70">
        <v>91.57</v>
      </c>
      <c r="R50" s="70">
        <v>105.99</v>
      </c>
    </row>
    <row r="51" spans="3:18" x14ac:dyDescent="0.25">
      <c r="C51">
        <v>2056</v>
      </c>
      <c r="D51" s="70">
        <v>55.72</v>
      </c>
      <c r="E51" s="70">
        <v>88.97</v>
      </c>
      <c r="F51" s="70">
        <v>110.84</v>
      </c>
      <c r="G51" s="70">
        <v>56.66</v>
      </c>
      <c r="H51" s="70">
        <v>90.42</v>
      </c>
      <c r="I51" s="70">
        <v>104.33</v>
      </c>
      <c r="J51" s="71" cm="1">
        <f t="array" ref="J51">IF(INDEX(D51:F51,$E$16)="","",INDEX(D51:F51,$E$16)*(1+$E$19)^($C51-$G$19))</f>
        <v>164.37997694042897</v>
      </c>
      <c r="K51" s="71" cm="1">
        <f t="array" ref="K51">IF(INDEX(G51:I51,$E$16)="","",INDEX(G51:I51,$E$16)*(1+$E$19)^($C51-$G$19))</f>
        <v>167.05898072331786</v>
      </c>
      <c r="L51" s="31">
        <f t="shared" si="2"/>
        <v>1.0162976284140723</v>
      </c>
      <c r="M51" s="172">
        <v>0</v>
      </c>
      <c r="N51" s="172">
        <v>0</v>
      </c>
      <c r="O51" s="172">
        <v>0</v>
      </c>
      <c r="P51" s="70">
        <v>56.66</v>
      </c>
      <c r="Q51" s="70">
        <v>90.42</v>
      </c>
      <c r="R51" s="70">
        <v>104.33</v>
      </c>
    </row>
    <row r="52" spans="3:18" x14ac:dyDescent="0.25">
      <c r="C52">
        <v>2057</v>
      </c>
      <c r="D52" s="70">
        <v>56.33</v>
      </c>
      <c r="E52" s="70">
        <v>89.89</v>
      </c>
      <c r="F52" s="70">
        <v>111.7</v>
      </c>
      <c r="G52" s="70">
        <v>57.09</v>
      </c>
      <c r="H52" s="70">
        <v>91.11</v>
      </c>
      <c r="I52" s="70">
        <v>104.42</v>
      </c>
      <c r="J52" s="71" cm="1">
        <f t="array" ref="J52">IF(INDEX(D52:F52,$E$16)="","",INDEX(D52:F52,$E$16)*(1+$E$19)^($C52-$G$19))</f>
        <v>169.4013538239706</v>
      </c>
      <c r="K52" s="71" cm="1">
        <f t="array" ref="K52">IF(INDEX(G52:I52,$E$16)="","",INDEX(G52:I52,$E$16)*(1+$E$19)^($C52-$G$19))</f>
        <v>171.70049334633399</v>
      </c>
      <c r="L52" s="31">
        <f t="shared" si="2"/>
        <v>1.013572143731227</v>
      </c>
      <c r="M52" s="172">
        <v>0</v>
      </c>
      <c r="N52" s="172">
        <v>0</v>
      </c>
      <c r="O52" s="172">
        <v>0</v>
      </c>
      <c r="P52" s="70">
        <v>57.09</v>
      </c>
      <c r="Q52" s="70">
        <v>91.11</v>
      </c>
      <c r="R52" s="70">
        <v>104.42</v>
      </c>
    </row>
    <row r="53" spans="3:18" x14ac:dyDescent="0.25">
      <c r="C53">
        <v>2058</v>
      </c>
      <c r="D53" s="70">
        <v>58.04</v>
      </c>
      <c r="E53" s="70">
        <v>92.13</v>
      </c>
      <c r="F53" s="70">
        <v>112.88</v>
      </c>
      <c r="G53" s="70">
        <v>58.6</v>
      </c>
      <c r="H53" s="70">
        <v>92.89</v>
      </c>
      <c r="I53" s="70">
        <v>104.37</v>
      </c>
      <c r="J53" s="71" cm="1">
        <f t="array" ref="J53">IF(INDEX(D53:F53,$E$16)="","",INDEX(D53:F53,$E$16)*(1+$E$19)^($C53-$G$19))</f>
        <v>177.09517924528268</v>
      </c>
      <c r="K53" s="71" cm="1">
        <f t="array" ref="K53">IF(INDEX(G53:I53,$E$16)="","",INDEX(G53:I53,$E$16)*(1+$E$19)^($C53-$G$19))</f>
        <v>178.55607511227947</v>
      </c>
      <c r="L53" s="31">
        <f t="shared" si="2"/>
        <v>1.0082492130684901</v>
      </c>
      <c r="M53" s="172">
        <v>0</v>
      </c>
      <c r="N53" s="172">
        <v>0</v>
      </c>
      <c r="O53" s="172">
        <v>0</v>
      </c>
      <c r="P53" s="70">
        <v>58.6</v>
      </c>
      <c r="Q53" s="70">
        <v>92.89</v>
      </c>
      <c r="R53" s="70">
        <v>104.37</v>
      </c>
    </row>
    <row r="54" spans="3:18" x14ac:dyDescent="0.25">
      <c r="C54">
        <v>2059</v>
      </c>
      <c r="D54" s="70">
        <v>58.19</v>
      </c>
      <c r="E54" s="70">
        <v>93.73</v>
      </c>
      <c r="F54" s="70">
        <v>112.93</v>
      </c>
      <c r="G54" s="70">
        <v>58.71</v>
      </c>
      <c r="H54" s="70">
        <v>94.29</v>
      </c>
      <c r="I54" s="70">
        <v>104.57</v>
      </c>
      <c r="J54" s="71" cm="1">
        <f t="array" ref="J54">IF(INDEX(D54:F54,$E$16)="","",INDEX(D54:F54,$E$16)*(1+$E$19)^($C54-$G$19))</f>
        <v>183.77416448142358</v>
      </c>
      <c r="K54" s="71" cm="1">
        <f t="array" ref="K54">IF(INDEX(G54:I54,$E$16)="","",INDEX(G54:I54,$E$16)*(1+$E$19)^($C54-$G$19))</f>
        <v>184.8721430593559</v>
      </c>
      <c r="L54" s="31">
        <f t="shared" si="2"/>
        <v>1.0059746079163554</v>
      </c>
      <c r="M54" s="172">
        <v>0</v>
      </c>
      <c r="N54" s="172">
        <v>0</v>
      </c>
      <c r="O54" s="172">
        <v>0</v>
      </c>
      <c r="P54" s="70">
        <v>58.71</v>
      </c>
      <c r="Q54" s="70">
        <v>94.29</v>
      </c>
      <c r="R54" s="70">
        <v>104.57</v>
      </c>
    </row>
    <row r="55" spans="3:18" x14ac:dyDescent="0.25">
      <c r="C55">
        <v>2060</v>
      </c>
      <c r="D55" s="70">
        <v>57.56</v>
      </c>
      <c r="E55" s="70">
        <v>92.71</v>
      </c>
      <c r="F55" s="70">
        <v>111.08</v>
      </c>
      <c r="G55" s="70">
        <v>58.1</v>
      </c>
      <c r="H55" s="70">
        <v>93.36</v>
      </c>
      <c r="I55" s="70">
        <v>103</v>
      </c>
      <c r="J55" s="71" cm="1">
        <f t="array" ref="J55">IF(INDEX(D55:F55,$E$16)="","",INDEX(D55:F55,$E$16)*(1+$E$19)^($C55-$G$19))</f>
        <v>185.40976042733632</v>
      </c>
      <c r="K55" s="71" cm="1">
        <f t="array" ref="K55">IF(INDEX(G55:I55,$E$16)="","",INDEX(G55:I55,$E$16)*(1+$E$19)^($C55-$G$19))</f>
        <v>186.70968863656694</v>
      </c>
      <c r="L55" s="31">
        <f t="shared" si="2"/>
        <v>1.0070111099126309</v>
      </c>
      <c r="M55" s="172">
        <v>0</v>
      </c>
      <c r="N55" s="172">
        <v>0</v>
      </c>
      <c r="O55" s="172">
        <v>0</v>
      </c>
      <c r="P55" s="70">
        <v>58.1</v>
      </c>
      <c r="Q55" s="70">
        <v>93.36</v>
      </c>
      <c r="R55" s="70">
        <v>103</v>
      </c>
    </row>
    <row r="56" spans="3:18" x14ac:dyDescent="0.25">
      <c r="C56">
        <v>2061</v>
      </c>
      <c r="D56" s="70"/>
      <c r="E56" s="70"/>
      <c r="F56" s="70"/>
      <c r="G56" s="70"/>
      <c r="H56" s="70"/>
      <c r="I56" s="70"/>
      <c r="J56" s="71" cm="1" t="str">
        <f t="array" ref="J56">IF(INDEX(D56:F56,$E$16)="","",INDEX(D56:F56,$E$16)*(1+$E$19)^($C56-$G$19))</f>
        <v/>
      </c>
      <c r="K56" s="71" cm="1" t="str">
        <f t="array" ref="K56">IF(INDEX(G56:I56,$E$16)="","",INDEX(G56:I56,$E$16)*(1+$E$19)^($C56-$G$19))</f>
        <v/>
      </c>
      <c r="L56" s="31" t="str">
        <f t="shared" si="2"/>
        <v/>
      </c>
      <c r="M56" s="172"/>
      <c r="N56" s="172"/>
      <c r="O56" s="172"/>
      <c r="P56" s="70"/>
      <c r="Q56" s="70"/>
      <c r="R56" s="70"/>
    </row>
    <row r="57" spans="3:18" x14ac:dyDescent="0.25">
      <c r="C57">
        <v>2062</v>
      </c>
      <c r="D57" s="70"/>
      <c r="E57" s="70"/>
      <c r="F57" s="70"/>
      <c r="G57" s="70"/>
      <c r="H57" s="70"/>
      <c r="I57" s="70"/>
      <c r="J57" s="71" cm="1" t="str">
        <f t="array" ref="J57">IF(INDEX(D57:F57,$E$16)="","",INDEX(D57:F57,$E$16)*(1+$E$19)^($C57-$G$19))</f>
        <v/>
      </c>
      <c r="K57" s="71" cm="1" t="str">
        <f t="array" ref="K57">IF(INDEX(G57:I57,$E$16)="","",INDEX(G57:I57,$E$16)*(1+$E$19)^($C57-$G$19))</f>
        <v/>
      </c>
      <c r="L57" s="31" t="str">
        <f t="shared" si="2"/>
        <v/>
      </c>
      <c r="M57" s="172"/>
      <c r="N57" s="172"/>
      <c r="O57" s="172"/>
      <c r="P57" s="70"/>
      <c r="Q57" s="70"/>
      <c r="R57" s="70"/>
    </row>
    <row r="58" spans="3:18" x14ac:dyDescent="0.25">
      <c r="C58">
        <v>2063</v>
      </c>
      <c r="D58" s="70"/>
      <c r="E58" s="70"/>
      <c r="F58" s="70"/>
      <c r="G58" s="70"/>
      <c r="H58" s="70"/>
      <c r="I58" s="70"/>
      <c r="J58" s="71" cm="1" t="str">
        <f t="array" ref="J58">IF(INDEX(D58:F58,$E$16)="","",INDEX(D58:F58,$E$16)*(1+$E$19)^($C58-$G$19))</f>
        <v/>
      </c>
      <c r="K58" s="71" cm="1" t="str">
        <f t="array" ref="K58">IF(INDEX(G58:I58,$E$16)="","",INDEX(G58:I58,$E$16)*(1+$E$19)^($C58-$G$19))</f>
        <v/>
      </c>
      <c r="L58" s="31" t="str">
        <f t="shared" si="2"/>
        <v/>
      </c>
      <c r="M58" s="172"/>
      <c r="N58" s="172"/>
      <c r="O58" s="172"/>
      <c r="P58" s="70"/>
      <c r="Q58" s="70"/>
      <c r="R58" s="70"/>
    </row>
    <row r="59" spans="3:18" x14ac:dyDescent="0.25">
      <c r="C59">
        <v>2064</v>
      </c>
      <c r="D59" s="70"/>
      <c r="E59" s="70"/>
      <c r="F59" s="70"/>
      <c r="G59" s="70"/>
      <c r="H59" s="70"/>
      <c r="I59" s="70"/>
      <c r="J59" s="71" cm="1" t="str">
        <f t="array" ref="J59">IF(INDEX(D59:F59,$E$16)="","",INDEX(D59:F59,$E$16)*(1+$E$19)^($C59-$G$19))</f>
        <v/>
      </c>
      <c r="K59" s="71" cm="1" t="str">
        <f t="array" ref="K59">IF(INDEX(G59:I59,$E$16)="","",INDEX(G59:I59,$E$16)*(1+$E$19)^($C59-$G$19))</f>
        <v/>
      </c>
      <c r="L59" s="31" t="str">
        <f t="shared" si="2"/>
        <v/>
      </c>
      <c r="M59" s="172"/>
      <c r="N59" s="172"/>
      <c r="O59" s="172"/>
      <c r="P59" s="70"/>
      <c r="Q59" s="70"/>
      <c r="R59" s="70"/>
    </row>
    <row r="60" spans="3:18" x14ac:dyDescent="0.25">
      <c r="C60">
        <v>2065</v>
      </c>
      <c r="D60" s="70"/>
      <c r="E60" s="70"/>
      <c r="F60" s="70"/>
      <c r="G60" s="70"/>
      <c r="H60" s="70"/>
      <c r="I60" s="70"/>
      <c r="J60" s="71" cm="1" t="str">
        <f t="array" ref="J60">IF(INDEX(D60:F60,$E$16)="","",INDEX(D60:F60,$E$16)*(1+$E$19)^($C60-$G$19))</f>
        <v/>
      </c>
      <c r="K60" s="71" cm="1" t="str">
        <f t="array" ref="K60">IF(INDEX(G60:I60,$E$16)="","",INDEX(G60:I60,$E$16)*(1+$E$19)^($C60-$G$19))</f>
        <v/>
      </c>
      <c r="L60" s="31" t="str">
        <f t="shared" si="2"/>
        <v/>
      </c>
      <c r="M60" s="172"/>
      <c r="N60" s="172"/>
      <c r="O60" s="172"/>
      <c r="P60" s="70"/>
      <c r="Q60" s="70"/>
      <c r="R60" s="70"/>
    </row>
    <row r="61" spans="3:18" x14ac:dyDescent="0.25">
      <c r="C61">
        <v>2066</v>
      </c>
      <c r="D61" s="70"/>
      <c r="E61" s="70"/>
      <c r="F61" s="70"/>
      <c r="G61" s="70"/>
      <c r="H61" s="70"/>
      <c r="I61" s="70"/>
      <c r="J61" s="71" cm="1" t="str">
        <f t="array" ref="J61">IF(INDEX(D61:F61,$E$16)="","",INDEX(D61:F61,$E$16)*(1+$E$19)^($C61-$G$19))</f>
        <v/>
      </c>
      <c r="K61" s="71" cm="1" t="str">
        <f t="array" ref="K61">IF(INDEX(G61:I61,$E$16)="","",INDEX(G61:I61,$E$16)*(1+$E$19)^($C61-$G$19))</f>
        <v/>
      </c>
      <c r="L61" s="31" t="str">
        <f t="shared" si="2"/>
        <v/>
      </c>
      <c r="M61" s="172"/>
      <c r="N61" s="172"/>
      <c r="O61" s="172"/>
      <c r="P61" s="70"/>
      <c r="Q61" s="70"/>
      <c r="R61" s="70"/>
    </row>
    <row r="62" spans="3:18" x14ac:dyDescent="0.25">
      <c r="C62">
        <v>2067</v>
      </c>
      <c r="D62" s="70"/>
      <c r="E62" s="70"/>
      <c r="F62" s="70"/>
      <c r="G62" s="70"/>
      <c r="H62" s="70"/>
      <c r="I62" s="70"/>
      <c r="J62" s="71" cm="1" t="str">
        <f t="array" ref="J62">IF(INDEX(D62:F62,$E$16)="","",INDEX(D62:F62,$E$16)*(1+$E$19)^($C62-$G$19))</f>
        <v/>
      </c>
      <c r="K62" s="71" cm="1" t="str">
        <f t="array" ref="K62">IF(INDEX(G62:I62,$E$16)="","",INDEX(G62:I62,$E$16)*(1+$E$19)^($C62-$G$19))</f>
        <v/>
      </c>
      <c r="L62" s="31" t="str">
        <f t="shared" si="2"/>
        <v/>
      </c>
      <c r="M62" s="172"/>
      <c r="N62" s="172"/>
      <c r="O62" s="172"/>
      <c r="P62" s="70"/>
      <c r="Q62" s="70"/>
      <c r="R62" s="70"/>
    </row>
    <row r="63" spans="3:18" x14ac:dyDescent="0.25">
      <c r="C63">
        <v>2068</v>
      </c>
      <c r="D63" s="70"/>
      <c r="E63" s="70"/>
      <c r="F63" s="70"/>
      <c r="G63" s="70"/>
      <c r="H63" s="70"/>
      <c r="I63" s="70"/>
      <c r="J63" s="71" cm="1" t="str">
        <f t="array" ref="J63">IF(INDEX(D63:F63,$E$16)="","",INDEX(D63:F63,$E$16)*(1+$E$19)^($C63-$G$19))</f>
        <v/>
      </c>
      <c r="K63" s="71" cm="1" t="str">
        <f t="array" ref="K63">IF(INDEX(G63:I63,$E$16)="","",INDEX(G63:I63,$E$16)*(1+$E$19)^($C63-$G$19))</f>
        <v/>
      </c>
      <c r="L63" s="31" t="str">
        <f t="shared" si="2"/>
        <v/>
      </c>
      <c r="M63" s="172"/>
      <c r="N63" s="172"/>
      <c r="O63" s="172"/>
      <c r="P63" s="70"/>
      <c r="Q63" s="70"/>
      <c r="R63" s="70"/>
    </row>
    <row r="64" spans="3:18" x14ac:dyDescent="0.25">
      <c r="C64">
        <v>2069</v>
      </c>
      <c r="D64" s="70"/>
      <c r="E64" s="70"/>
      <c r="F64" s="70"/>
      <c r="G64" s="70"/>
      <c r="H64" s="70"/>
      <c r="I64" s="70"/>
      <c r="J64" s="71" cm="1" t="str">
        <f t="array" ref="J64">IF(INDEX(D64:F64,$E$16)="","",INDEX(D64:F64,$E$16)*(1+$E$19)^($C64-$G$19))</f>
        <v/>
      </c>
      <c r="K64" s="71" cm="1" t="str">
        <f t="array" ref="K64">IF(INDEX(G64:I64,$E$16)="","",INDEX(G64:I64,$E$16)*(1+$E$19)^($C64-$G$19))</f>
        <v/>
      </c>
      <c r="L64" s="31" t="str">
        <f t="shared" si="2"/>
        <v/>
      </c>
      <c r="M64" s="172"/>
      <c r="N64" s="172"/>
      <c r="O64" s="172"/>
      <c r="P64" s="70"/>
      <c r="Q64" s="70"/>
      <c r="R64" s="70"/>
    </row>
    <row r="65" spans="3:18" x14ac:dyDescent="0.25">
      <c r="C65">
        <v>2070</v>
      </c>
      <c r="D65" s="70"/>
      <c r="E65" s="70"/>
      <c r="F65" s="70"/>
      <c r="G65" s="70"/>
      <c r="H65" s="70"/>
      <c r="I65" s="70"/>
      <c r="J65" s="71" cm="1" t="str">
        <f t="array" ref="J65">IF(INDEX(D65:F65,$E$16)="","",INDEX(D65:F65,$E$16)*(1+$E$19)^($C65-$G$19))</f>
        <v/>
      </c>
      <c r="K65" s="71" cm="1" t="str">
        <f t="array" ref="K65">IF(INDEX(G65:I65,$E$16)="","",INDEX(G65:I65,$E$16)*(1+$E$19)^($C65-$G$19))</f>
        <v/>
      </c>
      <c r="L65" s="31" t="str">
        <f t="shared" si="2"/>
        <v/>
      </c>
      <c r="M65" s="172"/>
      <c r="N65" s="172"/>
      <c r="O65" s="172"/>
      <c r="P65" s="70"/>
      <c r="Q65" s="70"/>
      <c r="R65" s="70"/>
    </row>
    <row r="66" spans="3:18" x14ac:dyDescent="0.25">
      <c r="C66">
        <v>2071</v>
      </c>
      <c r="D66" s="70"/>
      <c r="E66" s="70"/>
      <c r="F66" s="70"/>
      <c r="G66" s="70"/>
      <c r="H66" s="70"/>
      <c r="I66" s="70"/>
      <c r="J66" s="71" cm="1" t="str">
        <f t="array" ref="J66">IF(INDEX(D66:F66,$E$16)="","",INDEX(D66:F66,$E$16)*(1+$E$19)^($C66-$G$19))</f>
        <v/>
      </c>
      <c r="K66" s="71" cm="1" t="str">
        <f t="array" ref="K66">IF(INDEX(G66:I66,$E$16)="","",INDEX(G66:I66,$E$16)*(1+$E$19)^($C66-$G$19))</f>
        <v/>
      </c>
      <c r="L66" s="31" t="str">
        <f t="shared" si="2"/>
        <v/>
      </c>
      <c r="M66" s="172"/>
      <c r="N66" s="172"/>
      <c r="O66" s="172"/>
      <c r="P66" s="70"/>
      <c r="Q66" s="70"/>
      <c r="R66" s="70"/>
    </row>
    <row r="68" spans="3:18" x14ac:dyDescent="0.25">
      <c r="C68" s="43" t="s">
        <v>1064</v>
      </c>
      <c r="D68" s="42"/>
      <c r="E68" s="42"/>
      <c r="F68" s="42"/>
      <c r="G68" s="42"/>
      <c r="H68" s="42"/>
      <c r="I68" s="42"/>
      <c r="J68" s="42"/>
      <c r="K68" s="42"/>
      <c r="L68" s="42"/>
      <c r="M68" s="42"/>
    </row>
    <row r="69" spans="3:18" x14ac:dyDescent="0.25">
      <c r="C69" t="s">
        <v>2232</v>
      </c>
      <c r="D69" t="s">
        <v>613</v>
      </c>
      <c r="E69">
        <f>YEAR(Inputs!E101)+1</f>
        <v>2031</v>
      </c>
    </row>
    <row r="70" spans="3:18" x14ac:dyDescent="0.25">
      <c r="C70" t="s">
        <v>621</v>
      </c>
      <c r="D70" t="s">
        <v>377</v>
      </c>
      <c r="E70" s="71">
        <f>IFERROR(IF(INDEX($J$22:$J$66,MATCH(E69,$C$22:$C$66,0))="","",INDEX($J$22:$J$66,MATCH(E69,$C$22:$C$66,0))),"")</f>
        <v>110.93825992169666</v>
      </c>
    </row>
    <row r="71" spans="3:18" x14ac:dyDescent="0.25">
      <c r="C71" t="s">
        <v>622</v>
      </c>
      <c r="D71" t="s">
        <v>377</v>
      </c>
      <c r="E71" s="71">
        <f>IFERROR(IF(INDEX($K$22:$K$66,MATCH(E69,$C$22:$C$66,0))="","",INDEX($K$22:$K$66,MATCH(E69,$C$22:$C$66,0))),"")</f>
        <v>115.73571182776128</v>
      </c>
    </row>
    <row r="72" spans="3:18" x14ac:dyDescent="0.25">
      <c r="C72" t="s">
        <v>623</v>
      </c>
      <c r="D72" t="s">
        <v>2</v>
      </c>
      <c r="E72" s="31">
        <f>IF(COUNT($L$22:$L$66)=0,"",AVERAGE($L$22:$L$66))</f>
        <v>1.0247019278860345</v>
      </c>
    </row>
    <row r="73" spans="3:18" x14ac:dyDescent="0.25">
      <c r="C73" t="s">
        <v>624</v>
      </c>
      <c r="D73" t="s">
        <v>365</v>
      </c>
      <c r="E73" s="31" cm="1">
        <f t="array" ref="E73">IF(COUNT($J$22:$J$66)&lt;2,"",(LOOKUP(9.99E+307,$J$22:$J$66)/INDEX($J$22:$J$66,MATCH(TRUE,INDEX($J$22:$J$66&lt;&gt;"",0),0)))^(1/(COUNT($J$22:$J$66)-1))-1)</f>
        <v>0.012225230073321214</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51D1-F5EF-4FCD-92C9-89B26F705E29}">
  <sheetPr codeName="Sheet6">
    <tabColor rgb="FF0070C0"/>
  </sheetPr>
  <dimension ref="A1:AH50"/>
  <sheetViews>
    <sheetView showGridLines="0" topLeftCell="A7" workbookViewId="0">
      <selection activeCell="O9" sqref="O9"/>
    </sheetView>
  </sheetViews>
  <sheetFormatPr defaultRowHeight="15" x14ac:dyDescent="0.25"/>
  <cols>
    <col min="1" max="2" width="2.7109375" customWidth="1"/>
    <col min="3" max="3" width="57.140625" customWidth="1"/>
    <col min="4" max="4" width="41.85546875" customWidth="1"/>
    <col min="5" max="5" width="28.5703125" customWidth="1"/>
    <col min="6" max="6" width="19.42578125" bestFit="1" customWidth="1"/>
    <col min="7" max="20" width="18.140625" customWidth="1"/>
    <col min="23" max="23" width="28.5703125" customWidth="1"/>
    <col min="24" max="25" width="18.140625" customWidth="1"/>
  </cols>
  <sheetData>
    <row r="1" spans="1:25" ht="18.75" x14ac:dyDescent="0.3">
      <c r="A1" s="38" t="s">
        <v>471</v>
      </c>
    </row>
    <row r="2" spans="1:25" x14ac:dyDescent="0.25">
      <c r="A2" s="40" t="s">
        <v>625</v>
      </c>
    </row>
    <row r="3" spans="1:25" x14ac:dyDescent="0.25">
      <c r="A3" s="40" t="s">
        <v>626</v>
      </c>
    </row>
    <row r="5" ht="45" customHeight="1" x14ac:dyDescent="0.25">
      <c r="C5" s="72" t="s">
        <v>627</v>
      </c>
      <c r="D5" s="72" t="s">
        <v>628</v>
      </c>
      <c r="E5" s="72" t="s">
        <v>461</v>
      </c>
      <c r="F5" s="72" t="s">
        <v>629</v>
      </c>
      <c r="G5" s="72" t="s">
        <v>630</v>
      </c>
      <c r="H5" s="72" t="s">
        <v>631</v>
      </c>
      <c r="I5" s="72" t="s">
        <v>632</v>
      </c>
      <c r="J5" s="72" t="s">
        <v>633</v>
      </c>
      <c r="K5" s="72" t="s">
        <v>462</v>
      </c>
      <c r="L5" s="72" t="s">
        <v>634</v>
      </c>
      <c r="M5" s="72" t="s">
        <v>633</v>
      </c>
      <c r="N5" s="72" t="s">
        <v>635</v>
      </c>
      <c r="O5" s="72" t="s">
        <v>636</v>
      </c>
      <c r="P5" s="72" t="s">
        <v>637</v>
      </c>
      <c r="Q5" s="72" t="s">
        <v>638</v>
      </c>
      <c r="R5" s="72" t="s">
        <v>639</v>
      </c>
      <c r="S5" s="72" t="s">
        <v>1271</v>
      </c>
      <c r="T5" s="72" t="s">
        <v>1272</v>
      </c>
      <c r="U5" s="72" t="s">
        <v>1497</v>
      </c>
      <c r="W5" s="72" t="s">
        <v>2382</v>
      </c>
      <c r="X5" s="72" t="inlineStr">
        <is>
          <t xml:space="preserve">FEP accrual factor to the RtB sale, pause excluded (= Z × AB)</t>
        </is>
      </c>
      <c r="Y5" s="72" t="inlineStr">
        <is>
          <t xml:space="preserve">FEP-convention interest to the RtB sale (pause excluded)</t>
        </is>
      </c>
      <c r="Z5" s="72" t="inlineStr">
        <is>
          <t xml:space="preserve">Segment 1 to the RtB sale: payment → MIN(sale, pause start) (row 6)</t>
        </is>
      </c>
      <c r="AA5" s="72" t="inlineStr">
        <is>
          <t xml:space="preserve">Segment 2 start = MAX(payment, pause end) (row 6 = Inputs E73)</t>
        </is>
      </c>
      <c r="AB5" s="72" t="inlineStr">
        <is>
          <t xml:space="preserve">Segment 2 to the RtB sale (row 6 = Inputs E58)</t>
        </is>
      </c>
      <c r="AC5" s="72" t="inlineStr">
        <is>
          <t xml:space="preserve">Segment 1 to the COD sale: payment → MIN(COD, pause start)</t>
        </is>
      </c>
      <c r="AD5" s="72" t="inlineStr">
        <is>
          <t xml:space="preserve">Segment 2 to the COD sale (row 6 = Inputs E155)</t>
        </is>
      </c>
      <c r="AE5" s="72" t="inlineStr">
        <is>
          <t xml:space="preserve">FEP accrual factor to the COD sale (= AC × AD)</t>
        </is>
      </c>
      <c r="AF5" s="72" t="inlineStr">
        <is>
          <t xml:space="preserve">FEP-convention interest to the COD sale (HTM row 367)</t>
        </is>
      </c>
      <c r="AG5" s="72" t="inlineStr">
        <is>
          <t xml:space="preserve">Memo: accrual days to the RtB sale excl. the pause (both ends counted, as the Devex stubs)</t>
        </is>
      </c>
      <c r="AH5" s="72" t="inlineStr">
        <is>
          <t xml:space="preserve">Memo: accrual days to the COD sale excl. the pause</t>
        </is>
      </c>
    </row>
    <row r="6" x14ac:dyDescent="0.25">
      <c r="C6" s="39"/>
      <c r="D6" s="39"/>
      <c r="E6" s="39"/>
      <c r="F6" s="39" t="s">
        <v>842</v>
      </c>
      <c r="G6" s="39" t="s">
        <v>22</v>
      </c>
      <c r="H6" s="39" t="s">
        <v>726</v>
      </c>
      <c r="I6" s="39" t="s">
        <v>726</v>
      </c>
      <c r="J6" s="39" t="s">
        <v>726</v>
      </c>
      <c r="K6" s="39" t="s">
        <v>15</v>
      </c>
      <c r="L6" s="39" t="s">
        <v>7</v>
      </c>
      <c r="M6" s="39" t="s">
        <v>844</v>
      </c>
      <c r="N6" s="39" t="s">
        <v>21</v>
      </c>
      <c r="O6" s="39" t="s">
        <v>844</v>
      </c>
      <c r="P6" s="39" t="s">
        <v>29</v>
      </c>
      <c r="Q6" s="39" t="s">
        <v>2</v>
      </c>
      <c r="R6" s="39"/>
      <c r="S6" s="39" t="s">
        <v>726</v>
      </c>
      <c r="T6" s="39" t="s">
        <v>726</v>
      </c>
      <c r="U6" s="39" t="s">
        <v>2</v>
      </c>
      <c r="W6" s="39" t="s">
        <v>2</v>
      </c>
      <c r="X6" s="39" t="s">
        <v>4</v>
      </c>
      <c r="Y6" s="39" t="s">
        <v>844</v>
      </c>
      <c r="Z6" s="83">
        <f>MIN(Inputs!$E$58,Inputs!$E$64)</f>
        <v>47299</v>
      </c>
      <c r="AA6" s="83">
        <f>Inputs!$E$73</f>
        <v>47484</v>
      </c>
      <c r="AB6" s="83">
        <f>Inputs!$E$58</f>
        <v>47573</v>
      </c>
      <c r="AC6" s="83">
        <f>MIN(Inputs!$E$155,Inputs!$E$64)</f>
        <v>47299</v>
      </c>
      <c r="AD6" s="83">
        <f>Inputs!$E$155</f>
        <v>48121</v>
      </c>
      <c r="AE6" s="39" t="inlineStr">
        <is>
          <t xml:space="preserve">x</t>
        </is>
      </c>
      <c r="AF6" s="39" t="inlineStr">
        <is>
          <t xml:space="preserve">k€</t>
        </is>
      </c>
      <c r="AG6" s="39" t="inlineStr">
        <is>
          <t xml:space="preserve">days</t>
        </is>
      </c>
      <c r="AH6" s="39" t="inlineStr">
        <is>
          <t xml:space="preserve">days</t>
        </is>
      </c>
    </row>
    <row r="7" x14ac:dyDescent="0.25">
      <c r="C7" s="74" t="s">
        <v>463</v>
      </c>
      <c r="D7" s="74" t="s">
        <v>640</v>
      </c>
      <c r="E7" s="74" t="s">
        <v>1158</v>
      </c>
      <c r="F7" s="115">
        <f>Inputs!$E$81</f>
        <v>3</v>
      </c>
      <c r="G7" s="30">
        <f>Inputs!$E$82</f>
        <v>2</v>
      </c>
      <c r="H7" s="21">
        <f>F7*G7</f>
        <v>6</v>
      </c>
      <c r="I7" s="21">
        <v>0</v>
      </c>
      <c r="J7" s="21">
        <f t="shared" ref="J7:J18" si="0">H7+I7</f>
        <v>6</v>
      </c>
      <c r="K7" s="83">
        <f>Inputs!$E$95</f>
        <v>46325</v>
      </c>
      <c r="L7" s="86">
        <f>IF(K7="","",(YEAR(K7)-YEAR(Inputs!$E$27))*12+MONTH(K7)-MONTH(Inputs!$E$27))</f>
        <v>3</v>
      </c>
      <c r="M7" s="21">
        <f>J7*1000/Inputs!$E$11</f>
        <v>16.438356164383563</v>
      </c>
      <c r="N7" s="86">
        <f>IF(L7="",0,IF(L7&gt;Inputs!$E$57,1,0))</f>
        <v>0</v>
      </c>
      <c r="O7" s="21">
        <f>M7*IF(N7=1,Inputs!$E$109,1)</f>
        <v>16.438356164383563</v>
      </c>
      <c r="P7" s="84">
        <f>Inputs!$E$117</f>
        <v>1</v>
      </c>
      <c r="Q7" s="176">
        <f>Inputs!$E$129</f>
        <v>0</v>
      </c>
      <c r="R7" s="87" t="s">
        <v>641</v>
      </c>
      <c r="S7" s="48">
        <v>0</v>
      </c>
      <c r="T7" s="20">
        <v>0</v>
      </c>
      <c r="U7" s="176">
        <f>Inputs!$E$256</f>
        <v>0</v>
      </c>
      <c r="W7" s="31">
        <f>IF(P7=1,Inputs!$E$61,Inputs!$E$65)</f>
        <v>0.12</v>
      </c>
      <c r="X7" s="488">
        <f>Z7*AB7</f>
        <v>1.3967127116279088</v>
      </c>
      <c r="Y7" s="20">
        <f>O7*(X7-1)</f>
        <v>6.5213048486779535</v>
      </c>
      <c r="Z7" s="488">
        <f>IF($K7&gt;Z$6,1,(1+$W7*(DATE(YEAR($K7),12,31)-$K7+1)/365)*(1+$W7)^(YEAR(Z$6)-YEAR($K7)-1)*(1+$W7*(Z$6-DATE(YEAR(Z$6),1,1)+1)/365))</f>
        <v>1.3565730168818169</v>
      </c>
      <c r="AA7" s="83">
        <f>MAX($K7,AA$6)</f>
        <v>47484</v>
      </c>
      <c r="AB7" s="488">
        <f>IF(AB$6&lt;$AA7,1,(1+$W7*(DATE(YEAR($AA7),12,31)-$AA7+1)/365)*(1+$W7)^(YEAR(AB$6)-YEAR($AA7)-1)*(1+$W7*(AB$6-DATE(YEAR(AB$6),1,1)+1)/365))</f>
        <v>1.0295890410958903</v>
      </c>
      <c r="AC7" s="488">
        <f>IF($K7&gt;AC$6,1,(1+$W7*(DATE(YEAR($K7),12,31)-$K7+1)/365)*(1+$W7)^(YEAR(AC$6)-YEAR($K7)-1)*(1+$W7*(AC$6-DATE(YEAR(AC$6),1,1)+1)/365))</f>
        <v>1.3565730168818169</v>
      </c>
      <c r="AD7" s="488">
        <f>IF(AD$6&lt;$AA7,1,(1+$W7*(DATE(YEAR($AA7),12,31)-$AA7+1)/365)*(1+$W7)^(YEAR(AD$6)-YEAR($AA7)-1)*(1+$W7*(AD$6-DATE(YEAR(AD$6),1,1)+1)/365))</f>
        <v>1.2205238356164385</v>
      </c>
      <c r="AE7" s="488">
        <f>AC7*AD7</f>
        <v>1.6557297018583588</v>
      </c>
      <c r="AF7" s="20">
        <f>O7*(AE7-1)</f>
        <v>10.779118386712748</v>
      </c>
      <c r="AG7" s="24">
        <f>MAX(0,Z$6-$K7+1)+MAX(0,AB$6-AA7+1)</f>
        <v>1065</v>
      </c>
      <c r="AH7" s="24">
        <f>MAX(0,AC$6-$K7+1)+MAX(0,AD$6-AA7+1)</f>
        <v>1613</v>
      </c>
    </row>
    <row r="8" x14ac:dyDescent="0.25">
      <c r="C8" s="74" t="s">
        <v>464</v>
      </c>
      <c r="D8" s="74" t="s">
        <v>54</v>
      </c>
      <c r="E8" s="74" t="s">
        <v>1263</v>
      </c>
      <c r="F8" s="229">
        <f>Inputs!$E$76</f>
        <v>0.005</v>
      </c>
      <c r="G8" s="30">
        <f>Inputs!$E$91</f>
        <v>177966</v>
      </c>
      <c r="H8" s="21">
        <f>F8*G8</f>
        <v>889.83</v>
      </c>
      <c r="I8" s="21">
        <v>0</v>
      </c>
      <c r="J8" s="21">
        <f t="shared" si="0"/>
        <v>889.83</v>
      </c>
      <c r="K8" s="83">
        <f>Inputs!$E$95</f>
        <v>46325</v>
      </c>
      <c r="L8" s="86">
        <f>IF(K8="","",(YEAR(K8)-YEAR(Inputs!$E$27))*12+MONTH(K8)-MONTH(Inputs!$E$27))</f>
        <v>3</v>
      </c>
      <c r="M8" s="21">
        <f>J8*1000/Inputs!$E$11</f>
        <v>2437.890410958904</v>
      </c>
      <c r="N8" s="86">
        <f>IF(L8="",0,IF(L8&gt;Inputs!$E$57,1,0))</f>
        <v>0</v>
      </c>
      <c r="O8" s="21">
        <f>M8*IF(N8=1,Inputs!$E$109,1)</f>
        <v>2437.890410958904</v>
      </c>
      <c r="P8" s="84">
        <f>Inputs!$E$118</f>
        <v>0</v>
      </c>
      <c r="Q8" s="176">
        <f>Inputs!$E$130</f>
        <v>1</v>
      </c>
      <c r="R8" s="87" t="s">
        <v>642</v>
      </c>
      <c r="S8" s="20">
        <f>J8</f>
        <v>889.83</v>
      </c>
      <c r="T8" s="20">
        <f t="shared" ref="T8:T16" si="1">J8</f>
        <v>889.83</v>
      </c>
      <c r="U8" s="176">
        <f>Inputs!$E$257</f>
        <v>0</v>
      </c>
      <c r="W8" s="31">
        <f>IF(P8=1,Inputs!$E$61,Inputs!$E$65)</f>
        <v>0.06</v>
      </c>
      <c r="X8" s="488">
        <f>Z8*AB8</f>
        <v>1.1863083426758452</v>
      </c>
      <c r="Y8" s="20">
        <f t="shared" ref="Y8:Y18" si="2">O8*(X8-1)</f>
        <v>454.1993220910885</v>
      </c>
      <c r="Z8" s="488">
        <f>IF($K8&gt;Z$6,1,(1+$W8*(DATE(YEAR($K8),12,31)-$K8+1)/365)*(1+$W8)^(YEAR(Z$6)-YEAR($K8)-1)*(1+$W8*(Z$6-DATE(YEAR(Z$6),1,1)+1)/365))</f>
        <v>1.1690133506389944</v>
      </c>
      <c r="AA8" s="83">
        <f>MAX($K8,AA$6)</f>
        <v>47484</v>
      </c>
      <c r="AB8" s="488">
        <f>IF(AB$6&lt;$AA8,1,(1+$W8*(DATE(YEAR($AA8),12,31)-$AA8+1)/365)*(1+$W8)^(YEAR(AB$6)-YEAR($AA8)-1)*(1+$W8*(AB$6-DATE(YEAR(AB$6),1,1)+1)/365))</f>
        <v>1.0147945205479452</v>
      </c>
      <c r="AC8" s="488">
        <f>IF($K8&gt;AC$6,1,(1+$W8*(DATE(YEAR($K8),12,31)-$K8+1)/365)*(1+$W8)^(YEAR(AC$6)-YEAR($K8)-1)*(1+$W8*(AC$6-DATE(YEAR(AC$6),1,1)+1)/365))</f>
        <v>1.1690133506389944</v>
      </c>
      <c r="AD8" s="488">
        <f>IF(AD$6&lt;$AA8,1,(1+$W8*(DATE(YEAR($AA8),12,31)-$AA8+1)/365)*(1+$W8)^(YEAR(AD$6)-YEAR($AA8)-1)*(1+$W8*(AD$6-DATE(YEAR(AD$6),1,1)+1)/365))</f>
        <v>1.1075693150684933</v>
      </c>
      <c r="AE8" s="488">
        <f>AC8*AD8</f>
        <v>1.2947633160731553</v>
      </c>
      <c r="AF8" s="20">
        <f>O8*(AE8-1)</f>
        <v>718.6006617571938</v>
      </c>
      <c r="AG8" s="24">
        <f>MAX(0,Z$6-$K8+1)+MAX(0,AB$6-AA8+1)</f>
        <v>1065</v>
      </c>
      <c r="AH8" s="24">
        <f>MAX(0,AC$6-$K8+1)+MAX(0,AD$6-AA8+1)</f>
        <v>1613</v>
      </c>
    </row>
    <row r="9" x14ac:dyDescent="0.25">
      <c r="C9" s="74" t="s">
        <v>643</v>
      </c>
      <c r="D9" s="74" t="s">
        <v>644</v>
      </c>
      <c r="E9" s="74" t="s">
        <v>1264</v>
      </c>
      <c r="F9" s="229">
        <f>F8</f>
        <v>0.005</v>
      </c>
      <c r="G9" s="30">
        <f>Inputs!$E$19*Inputs!$E$75*IF(Inputs!$E$18=0,1,Inputs!$E$29/Inputs!$E$18)</f>
        <v>0</v>
      </c>
      <c r="H9" s="21">
        <f>-F9*G9*Inputs!$E$110</f>
        <v>-0</v>
      </c>
      <c r="I9" s="21">
        <v>0</v>
      </c>
      <c r="J9" s="21">
        <f t="shared" si="0"/>
        <v>0</v>
      </c>
      <c r="K9" s="33">
        <f>Inputs!$E$96</f>
        <v>46369</v>
      </c>
      <c r="L9" s="86">
        <f>IF(K9="","",(YEAR(K9)-YEAR(Inputs!$E$27))*12+MONTH(K9)-MONTH(Inputs!$E$27))</f>
        <v>5</v>
      </c>
      <c r="M9" s="21">
        <f>J9*1000/Inputs!$E$11</f>
        <v>0</v>
      </c>
      <c r="N9" s="86">
        <f>IF(L9="",0,IF(L9&gt;Inputs!$E$57,1,0))</f>
        <v>0</v>
      </c>
      <c r="O9" s="21">
        <f>M9*IF(N9=1,Inputs!$E$109,1)</f>
        <v>0</v>
      </c>
      <c r="P9" s="84">
        <f>P8</f>
        <v>0</v>
      </c>
      <c r="Q9" s="176">
        <f>Q8</f>
        <v>1</v>
      </c>
      <c r="R9" s="87" t="s">
        <v>645</v>
      </c>
      <c r="S9" s="20">
        <f>J9</f>
        <v>0</v>
      </c>
      <c r="T9" s="20">
        <f t="shared" si="1"/>
        <v>0</v>
      </c>
      <c r="U9" s="176">
        <f>U8</f>
        <v>0</v>
      </c>
      <c r="W9" s="31">
        <f>IF(P9=1,Inputs!$E$61,Inputs!$E$65)</f>
        <v>0.06</v>
      </c>
      <c r="X9" s="488">
        <f>Z9*AB9</f>
        <v>1.177815870132149</v>
      </c>
      <c r="Y9" s="20">
        <f t="shared" si="2"/>
        <v>0</v>
      </c>
      <c r="Z9" s="488">
        <f>IF($K9&gt;Z$6,1,(1+$W9*(DATE(YEAR($K9),12,31)-$K9+1)/365)*(1+$W9)^(YEAR(Z$6)-YEAR($K9)-1)*(1+$W9*(Z$6-DATE(YEAR(Z$6),1,1)+1)/365))</f>
        <v>1.1606446884401578</v>
      </c>
      <c r="AA9" s="83">
        <f>MAX($K9,AA$6)</f>
        <v>47484</v>
      </c>
      <c r="AB9" s="488">
        <f>IF(AB$6&lt;$AA9,1,(1+$W9*(DATE(YEAR($AA9),12,31)-$AA9+1)/365)*(1+$W9)^(YEAR(AB$6)-YEAR($AA9)-1)*(1+$W9*(AB$6-DATE(YEAR(AB$6),1,1)+1)/365))</f>
        <v>1.0147945205479452</v>
      </c>
      <c r="AC9" s="488">
        <f>IF($K9&gt;AC$6,1,(1+$W9*(DATE(YEAR($K9),12,31)-$K9+1)/365)*(1+$W9)^(YEAR(AC$6)-YEAR($K9)-1)*(1+$W9*(AC$6-DATE(YEAR(AC$6),1,1)+1)/365))</f>
        <v>1.1606446884401578</v>
      </c>
      <c r="AD9" s="488">
        <f>IF(AD$6&lt;$AA9,1,(1+$W9*(DATE(YEAR($AA9),12,31)-$AA9+1)/365)*(1+$W9)^(YEAR(AD$6)-YEAR($AA9)-1)*(1+$W9*(AD$6-DATE(YEAR(AD$6),1,1)+1)/365))</f>
        <v>1.1075693150684933</v>
      </c>
      <c r="AE9" s="488">
        <f>AC9*AD9</f>
        <v>1.2854944426135504</v>
      </c>
      <c r="AF9" s="20">
        <f>O9*(AE9-1)</f>
        <v>0</v>
      </c>
      <c r="AG9" s="24">
        <f>MAX(0,Z$6-$K9+1)+MAX(0,AB$6-AA9+1)</f>
        <v>1021</v>
      </c>
      <c r="AH9" s="24">
        <f>MAX(0,AC$6-$K9+1)+MAX(0,AD$6-AA9+1)</f>
        <v>1569</v>
      </c>
    </row>
    <row r="10" x14ac:dyDescent="0.25">
      <c r="C10" s="74" t="s">
        <v>465</v>
      </c>
      <c r="D10" s="74" t="s">
        <v>55</v>
      </c>
      <c r="E10" s="74" t="s">
        <v>1265</v>
      </c>
      <c r="F10" s="229">
        <f>Inputs!$E$77*Inputs!$E$90</f>
        <v>0.037500000000000006</v>
      </c>
      <c r="G10" s="30">
        <f>Inputs!$E$92</f>
        <v>177966</v>
      </c>
      <c r="H10" s="21">
        <f>F10*G10</f>
        <v>6673.725000000001</v>
      </c>
      <c r="I10" s="21">
        <f>-$H$8*Inputs!$E$107</f>
        <v>-889.83</v>
      </c>
      <c r="J10" s="21">
        <f t="shared" si="0"/>
        <v>5783.895000000001</v>
      </c>
      <c r="K10" s="33">
        <f>Inputs!$E$96+Inputs!$E$102</f>
        <v>46386</v>
      </c>
      <c r="L10" s="86">
        <f>IF(K10="","",(YEAR(K10)-YEAR(Inputs!$E$27))*12+MONTH(K10)-MONTH(Inputs!$E$27))</f>
        <v>5</v>
      </c>
      <c r="M10" s="21">
        <f>J10*1000/Inputs!$E$11</f>
        <v>15846.28767123288</v>
      </c>
      <c r="N10" s="86">
        <f>IF(L10="",0,IF(L10&gt;Inputs!$E$57,1,0))</f>
        <v>0</v>
      </c>
      <c r="O10" s="21">
        <f>M10*IF(N10=1,Inputs!$E$109,1)</f>
        <v>15846.28767123288</v>
      </c>
      <c r="P10" s="84">
        <f>Inputs!$E$119</f>
        <v>0</v>
      </c>
      <c r="Q10" s="176">
        <f>Inputs!$E$131</f>
        <v>1</v>
      </c>
      <c r="R10" s="87" t="s">
        <v>642</v>
      </c>
      <c r="S10" s="20">
        <f>J10+J8</f>
        <v>6673.725000000001</v>
      </c>
      <c r="T10" s="20">
        <f t="shared" si="1"/>
        <v>5783.895000000001</v>
      </c>
      <c r="U10" s="176">
        <f>Inputs!$E$258</f>
        <v>0</v>
      </c>
      <c r="W10" s="31">
        <f>IF(P10=1,Inputs!$E$61,Inputs!$E$65)</f>
        <v>0.06</v>
      </c>
      <c r="X10" s="488">
        <f>Z10*AB10</f>
        <v>1.1745346875584484</v>
      </c>
      <c r="Y10" s="20">
        <f t="shared" si="2"/>
        <v>2765.726867659923</v>
      </c>
      <c r="Z10" s="488">
        <f>IF($K10&gt;Z$6,1,(1+$W10*(DATE(YEAR($K10),12,31)-$K10+1)/365)*(1+$W10)^(YEAR(Z$6)-YEAR($K10)-1)*(1+$W10*(Z$6-DATE(YEAR(Z$6),1,1)+1)/365))</f>
        <v>1.1574113416815164</v>
      </c>
      <c r="AA10" s="83">
        <f>MAX($K10,AA$6)</f>
        <v>47484</v>
      </c>
      <c r="AB10" s="488">
        <f>IF(AB$6&lt;$AA10,1,(1+$W10*(DATE(YEAR($AA10),12,31)-$AA10+1)/365)*(1+$W10)^(YEAR(AB$6)-YEAR($AA10)-1)*(1+$W10*(AB$6-DATE(YEAR(AB$6),1,1)+1)/365))</f>
        <v>1.0147945205479452</v>
      </c>
      <c r="AC10" s="488">
        <f>IF($K10&gt;AC$6,1,(1+$W10*(DATE(YEAR($K10),12,31)-$K10+1)/365)*(1+$W10)^(YEAR(AC$6)-YEAR($K10)-1)*(1+$W10*(AC$6-DATE(YEAR(AC$6),1,1)+1)/365))</f>
        <v>1.1574113416815164</v>
      </c>
      <c r="AD10" s="488">
        <f>IF(AD$6&lt;$AA10,1,(1+$W10*(DATE(YEAR($AA10),12,31)-$AA10+1)/365)*(1+$W10)^(YEAR(AD$6)-YEAR($AA10)-1)*(1+$W10*(AD$6-DATE(YEAR(AD$6),1,1)+1)/365))</f>
        <v>1.1075693150684933</v>
      </c>
      <c r="AE10" s="488">
        <f>AC10*AD10</f>
        <v>1.281913286958703</v>
      </c>
      <c r="AF10" s="20">
        <f>O10*(AE10-1)</f>
        <v>4467.279043490434</v>
      </c>
      <c r="AG10" s="24">
        <f>MAX(0,Z$6-$K10+1)+MAX(0,AB$6-AA10+1)</f>
        <v>1004</v>
      </c>
      <c r="AH10" s="24">
        <f>MAX(0,AC$6-$K10+1)+MAX(0,AD$6-AA10+1)</f>
        <v>1552</v>
      </c>
    </row>
    <row r="11" x14ac:dyDescent="0.25">
      <c r="C11" s="74" t="s">
        <v>466</v>
      </c>
      <c r="D11" s="74" t="s">
        <v>647</v>
      </c>
      <c r="E11" s="74" t="s">
        <v>646</v>
      </c>
      <c r="F11" s="115">
        <f>Inputs!$E$83</f>
        <v>4.5</v>
      </c>
      <c r="G11" s="30">
        <f>Inputs!$E$18</f>
        <v>200</v>
      </c>
      <c r="H11" s="21">
        <f>F11*G11</f>
        <v>900</v>
      </c>
      <c r="I11" s="21">
        <v>0</v>
      </c>
      <c r="J11" s="21">
        <f t="shared" si="0"/>
        <v>900</v>
      </c>
      <c r="K11" s="33">
        <f>Inputs!$E$97</f>
        <v>46386</v>
      </c>
      <c r="L11" s="86">
        <f>IF(K11="","",(YEAR(K11)-YEAR(Inputs!$E$27))*12+MONTH(K11)-MONTH(Inputs!$E$27))</f>
        <v>5</v>
      </c>
      <c r="M11" s="21">
        <f>J11*1000/Inputs!$E$11</f>
        <v>2465.753424657534</v>
      </c>
      <c r="N11" s="86">
        <f>IF(L11="",0,IF(L11&gt;Inputs!$E$57,1,0))</f>
        <v>0</v>
      </c>
      <c r="O11" s="21">
        <f>M11*IF(N11=1,Inputs!$E$109,1)</f>
        <v>2465.753424657534</v>
      </c>
      <c r="P11" s="84">
        <f>Inputs!$E$120</f>
        <v>1</v>
      </c>
      <c r="Q11" s="176">
        <f>Inputs!$E$132</f>
        <v>1</v>
      </c>
      <c r="R11" s="87" t="s">
        <v>642</v>
      </c>
      <c r="S11" s="20">
        <f t="shared" ref="S11:S16" si="3">J11</f>
        <v>900</v>
      </c>
      <c r="T11" s="20">
        <f t="shared" si="1"/>
        <v>900</v>
      </c>
      <c r="U11" s="176">
        <f>Inputs!$E$259</f>
        <v>1</v>
      </c>
      <c r="W11" s="31">
        <f>IF(P11=1,Inputs!$E$61,Inputs!$E$65)</f>
        <v>0.12</v>
      </c>
      <c r="X11" s="488">
        <f>Z11*AB11</f>
        <v>1.369270321008636</v>
      </c>
      <c r="Y11" s="20">
        <f t="shared" si="2"/>
        <v>910.5295586514314</v>
      </c>
      <c r="Z11" s="488">
        <f>IF($K11&gt;Z$6,1,(1+$W11*(DATE(YEAR($K11),12,31)-$K11+1)/365)*(1+$W11)^(YEAR(Z$6)-YEAR($K11)-1)*(1+$W11*(Z$6-DATE(YEAR(Z$6),1,1)+1)/365))</f>
        <v>1.3299192846411714</v>
      </c>
      <c r="AA11" s="83">
        <f>MAX($K11,AA$6)</f>
        <v>47484</v>
      </c>
      <c r="AB11" s="488">
        <f>IF(AB$6&lt;$AA11,1,(1+$W11*(DATE(YEAR($AA11),12,31)-$AA11+1)/365)*(1+$W11)^(YEAR(AB$6)-YEAR($AA11)-1)*(1+$W11*(AB$6-DATE(YEAR(AB$6),1,1)+1)/365))</f>
        <v>1.0295890410958903</v>
      </c>
      <c r="AC11" s="488">
        <f>IF($K11&gt;AC$6,1,(1+$W11*(DATE(YEAR($K11),12,31)-$K11+1)/365)*(1+$W11)^(YEAR(AC$6)-YEAR($K11)-1)*(1+$W11*(AC$6-DATE(YEAR(AC$6),1,1)+1)/365))</f>
        <v>1.3299192846411714</v>
      </c>
      <c r="AD11" s="488">
        <f>IF(AD$6&lt;$AA11,1,(1+$W11*(DATE(YEAR($AA11),12,31)-$AA11+1)/365)*(1+$W11)^(YEAR(AD$6)-YEAR($AA11)-1)*(1+$W11*(AD$6-DATE(YEAR(AD$6),1,1)+1)/365))</f>
        <v>1.2205238356164385</v>
      </c>
      <c r="AE11" s="488">
        <f>AC11*AD11</f>
        <v>1.6231981863505125</v>
      </c>
      <c r="AF11" s="20">
        <f>O11*(AE11-1)</f>
        <v>1536.6530622341404</v>
      </c>
      <c r="AG11" s="24">
        <f>MAX(0,Z$6-$K11+1)+MAX(0,AB$6-AA11+1)</f>
        <v>1004</v>
      </c>
      <c r="AH11" s="24">
        <f>MAX(0,AC$6-$K11+1)+MAX(0,AD$6-AA11+1)</f>
        <v>1552</v>
      </c>
    </row>
    <row r="12" x14ac:dyDescent="0.25">
      <c r="C12" s="74" t="s">
        <v>1267</v>
      </c>
      <c r="D12" s="74" t="s">
        <v>1269</v>
      </c>
      <c r="E12" s="74" t="s">
        <v>1270</v>
      </c>
      <c r="F12" s="115">
        <f>Inputs!$E$84</f>
        <v>2.54172902</v>
      </c>
      <c r="G12" s="30">
        <f>Inputs!$E$18</f>
        <v>200</v>
      </c>
      <c r="H12" s="21">
        <f>F12*G12</f>
        <v>508.345804</v>
      </c>
      <c r="I12" s="21">
        <v>0</v>
      </c>
      <c r="J12" s="21">
        <f t="shared" si="0"/>
        <v>508.345804</v>
      </c>
      <c r="K12" s="33">
        <f>Inputs!$E$99</f>
        <v>47126</v>
      </c>
      <c r="L12" s="86">
        <f>IF(K12="","",(YEAR(K12)-YEAR(Inputs!$E$27))*12+MONTH(K12)-MONTH(Inputs!$E$27))</f>
        <v>30</v>
      </c>
      <c r="M12" s="21">
        <f>J12*1000/Inputs!$E$11</f>
        <v>1392.7282301369862</v>
      </c>
      <c r="N12" s="86">
        <f>IF(L12="",0,IF(L12&gt;Inputs!$E$57,1,0))</f>
        <v>0</v>
      </c>
      <c r="O12" s="21">
        <f>M12*IF(N12=1,Inputs!$E$109,1)</f>
        <v>1392.7282301369862</v>
      </c>
      <c r="P12" s="84">
        <f>Inputs!$E$121</f>
        <v>1</v>
      </c>
      <c r="Q12" s="176">
        <f>Inputs!$E$133</f>
        <v>1</v>
      </c>
      <c r="R12" s="87" t="s">
        <v>655</v>
      </c>
      <c r="S12" s="20">
        <f t="shared" si="3"/>
        <v>508.345804</v>
      </c>
      <c r="T12" s="20">
        <f t="shared" si="1"/>
        <v>508.345804</v>
      </c>
      <c r="U12" s="176">
        <f>Inputs!$E$260</f>
        <v>1</v>
      </c>
      <c r="W12" s="31">
        <f>IF(P12=1,Inputs!$E$61,Inputs!$E$65)</f>
        <v>0.12</v>
      </c>
      <c r="X12" s="488">
        <f>Z12*AB12</f>
        <v>1.088615154772156</v>
      </c>
      <c r="Y12" s="20">
        <f t="shared" si="2"/>
        <v>123.41682766914006</v>
      </c>
      <c r="Z12" s="488">
        <f>IF($K12&gt;Z$6,1,(1+$W12*(DATE(YEAR($K12),12,31)-$K12+1)/365)*(1+$W12)^(YEAR(Z$6)-YEAR($K12)-1)*(1+$W12*(Z$6-DATE(YEAR(Z$6),1,1)+1)/365))</f>
        <v>1.0573297804466126</v>
      </c>
      <c r="AA12" s="83">
        <f>MAX($K12,AA$6)</f>
        <v>47484</v>
      </c>
      <c r="AB12" s="488">
        <f>IF(AB$6&lt;$AA12,1,(1+$W12*(DATE(YEAR($AA12),12,31)-$AA12+1)/365)*(1+$W12)^(YEAR(AB$6)-YEAR($AA12)-1)*(1+$W12*(AB$6-DATE(YEAR(AB$6),1,1)+1)/365))</f>
        <v>1.0295890410958903</v>
      </c>
      <c r="AC12" s="488">
        <f>IF($K12&gt;AC$6,1,(1+$W12*(DATE(YEAR($K12),12,31)-$K12+1)/365)*(1+$W12)^(YEAR(AC$6)-YEAR($K12)-1)*(1+$W12*(AC$6-DATE(YEAR(AC$6),1,1)+1)/365))</f>
        <v>1.0573297804466126</v>
      </c>
      <c r="AD12" s="488">
        <f>IF(AD$6&lt;$AA12,1,(1+$W12*(DATE(YEAR($AA12),12,31)-$AA12+1)/365)*(1+$W12)^(YEAR(AD$6)-YEAR($AA12)-1)*(1+$W12*(AD$6-DATE(YEAR(AD$6),1,1)+1)/365))</f>
        <v>1.2205238356164385</v>
      </c>
      <c r="AE12" s="488">
        <f>AC12*AD12</f>
        <v>1.2904961991421864</v>
      </c>
      <c r="AF12" s="20">
        <f>O12*(AE12-1)</f>
        <v>404.5822572928187</v>
      </c>
      <c r="AG12" s="24">
        <f>MAX(0,Z$6-$K12+1)+MAX(0,AB$6-AA12+1)</f>
        <v>264</v>
      </c>
      <c r="AH12" s="24">
        <f>MAX(0,AC$6-$K12+1)+MAX(0,AD$6-AA12+1)</f>
        <v>812</v>
      </c>
    </row>
    <row r="13" x14ac:dyDescent="0.25">
      <c r="C13" s="74" t="s">
        <v>587</v>
      </c>
      <c r="D13" s="74" t="s">
        <v>648</v>
      </c>
      <c r="E13" s="74" t="s">
        <v>646</v>
      </c>
      <c r="F13" s="115">
        <f>Inputs!$E$75*Inputs!$E$78*Inputs!$E$79</f>
        <v>0</v>
      </c>
      <c r="G13" s="30">
        <f>Inputs!$E$29</f>
        <v>261</v>
      </c>
      <c r="H13" s="21">
        <f>F13*G13</f>
        <v>0</v>
      </c>
      <c r="I13" s="21">
        <f>-H13*Inputs!$E$108*(K13&gt;Inputs!$E$100)</f>
        <v>-0</v>
      </c>
      <c r="J13" s="21">
        <f t="shared" si="0"/>
        <v>0</v>
      </c>
      <c r="K13" s="33">
        <f>Inputs!$E$104</f>
        <v>46500</v>
      </c>
      <c r="L13" s="86">
        <f>IF(K13="","",(YEAR(K13)-YEAR(Inputs!$E$27))*12+MONTH(K13)-MONTH(Inputs!$E$27))</f>
        <v>9</v>
      </c>
      <c r="M13" s="21">
        <f>J13*1000/Inputs!$E$11</f>
        <v>0</v>
      </c>
      <c r="N13" s="86">
        <f>IF(L13="",0,IF(L13&gt;Inputs!$E$57,1,0))</f>
        <v>0</v>
      </c>
      <c r="O13" s="21">
        <f>M13*IF(N13=1,Inputs!$E$109,1)</f>
        <v>0</v>
      </c>
      <c r="P13" s="84">
        <f>Inputs!$E$122</f>
        <v>0</v>
      </c>
      <c r="Q13" s="176">
        <f>Inputs!$E$134</f>
        <v>1</v>
      </c>
      <c r="R13" s="87" t="s">
        <v>642</v>
      </c>
      <c r="S13" s="20">
        <f t="shared" si="3"/>
        <v>0</v>
      </c>
      <c r="T13" s="20">
        <f t="shared" si="1"/>
        <v>0</v>
      </c>
      <c r="U13" s="176">
        <f>Inputs!$E$261</f>
        <v>1</v>
      </c>
      <c r="W13" s="31">
        <f>IF(P13=1,Inputs!$E$61,Inputs!$E$65)</f>
        <v>0.06</v>
      </c>
      <c r="X13" s="488">
        <f>Z13*AB13</f>
        <v>1.1537550784956996</v>
      </c>
      <c r="Y13" s="20">
        <f t="shared" si="2"/>
        <v>0</v>
      </c>
      <c r="Z13" s="488">
        <f>IF($K13&gt;Z$6,1,(1+$W13*(DATE(YEAR($K13),12,31)-$K13+1)/365)*(1+$W13)^(YEAR(Z$6)-YEAR($K13)-1)*(1+$W13*(Z$6-DATE(YEAR(Z$6),1,1)+1)/365))</f>
        <v>1.1369346750835052</v>
      </c>
      <c r="AA13" s="83">
        <f>MAX($K13,AA$6)</f>
        <v>47484</v>
      </c>
      <c r="AB13" s="488">
        <f>IF(AB$6&lt;$AA13,1,(1+$W13*(DATE(YEAR($AA13),12,31)-$AA13+1)/365)*(1+$W13)^(YEAR(AB$6)-YEAR($AA13)-1)*(1+$W13*(AB$6-DATE(YEAR(AB$6),1,1)+1)/365))</f>
        <v>1.0147945205479452</v>
      </c>
      <c r="AC13" s="488">
        <f>IF($K13&gt;AC$6,1,(1+$W13*(DATE(YEAR($K13),12,31)-$K13+1)/365)*(1+$W13)^(YEAR(AC$6)-YEAR($K13)-1)*(1+$W13*(AC$6-DATE(YEAR(AC$6),1,1)+1)/365))</f>
        <v>1.1369346750835052</v>
      </c>
      <c r="AD13" s="488">
        <f>IF(AD$6&lt;$AA13,1,(1+$W13*(DATE(YEAR($AA13),12,31)-$AA13+1)/365)*(1+$W13)^(YEAR(AD$6)-YEAR($AA13)-1)*(1+$W13*(AD$6-DATE(YEAR(AD$6),1,1)+1)/365))</f>
        <v>1.1075693150684933</v>
      </c>
      <c r="AE13" s="488">
        <f>AC13*AD13</f>
        <v>1.2592339593598578</v>
      </c>
      <c r="AF13" s="20">
        <f>O13*(AE13-1)</f>
        <v>0</v>
      </c>
      <c r="AG13" s="24">
        <f>MAX(0,Z$6-$K13+1)+MAX(0,AB$6-AA13+1)</f>
        <v>890</v>
      </c>
      <c r="AH13" s="24">
        <f>MAX(0,AC$6-$K13+1)+MAX(0,AD$6-AA13+1)</f>
        <v>1438</v>
      </c>
    </row>
    <row r="14" x14ac:dyDescent="0.25">
      <c r="C14" s="74" t="s">
        <v>588</v>
      </c>
      <c r="D14" s="74" t="s">
        <v>649</v>
      </c>
      <c r="E14" s="74" t="s">
        <v>646</v>
      </c>
      <c r="F14" s="115">
        <f>Inputs!$E$75*Inputs!$E$78*Inputs!$E$80</f>
        <v>0</v>
      </c>
      <c r="G14" s="30">
        <f>Inputs!$E$29</f>
        <v>261</v>
      </c>
      <c r="H14" s="21">
        <f>F14*G14</f>
        <v>0</v>
      </c>
      <c r="I14" s="21">
        <f>-H14*Inputs!$E$108*(K14&gt;Inputs!$E$100)</f>
        <v>-0</v>
      </c>
      <c r="J14" s="21">
        <f t="shared" si="0"/>
        <v>0</v>
      </c>
      <c r="K14" s="33">
        <f>EDATE(Inputs!$E$104,12)</f>
        <v>46866</v>
      </c>
      <c r="L14" s="86">
        <f>IF(K14="","",(YEAR(K14)-YEAR(Inputs!$E$27))*12+MONTH(K14)-MONTH(Inputs!$E$27))</f>
        <v>21</v>
      </c>
      <c r="M14" s="21">
        <f>J14*1000/Inputs!$E$11</f>
        <v>0</v>
      </c>
      <c r="N14" s="86">
        <f>IF(L14="",0,IF(L14&gt;Inputs!$E$57,1,0))</f>
        <v>0</v>
      </c>
      <c r="O14" s="21">
        <f>M14*IF(N14=1,Inputs!$E$109,1)</f>
        <v>0</v>
      </c>
      <c r="P14" s="84">
        <f>Inputs!$E$123</f>
        <v>0</v>
      </c>
      <c r="Q14" s="176">
        <f>Inputs!$E$135</f>
        <v>1</v>
      </c>
      <c r="R14" s="87" t="s">
        <v>642</v>
      </c>
      <c r="S14" s="20">
        <f t="shared" si="3"/>
        <v>0</v>
      </c>
      <c r="T14" s="20">
        <f t="shared" si="1"/>
        <v>0</v>
      </c>
      <c r="U14" s="176">
        <f>Inputs!$E$262</f>
        <v>1</v>
      </c>
      <c r="W14" s="31">
        <f>IF(P14=1,Inputs!$E$61,Inputs!$E$65)</f>
        <v>0.06</v>
      </c>
      <c r="X14" s="488">
        <f>Z14*AB14</f>
        <v>1.088448187260094</v>
      </c>
      <c r="Y14" s="20">
        <f t="shared" si="2"/>
        <v>0</v>
      </c>
      <c r="Z14" s="488">
        <f>IF($K14&gt;Z$6,1,(1+$W14*(DATE(YEAR($K14),12,31)-$K14+1)/365)*(1+$W14)^(YEAR(Z$6)-YEAR($K14)-1)*(1+$W14*(Z$6-DATE(YEAR(Z$6),1,1)+1)/365))</f>
        <v>1.0725798821542503</v>
      </c>
      <c r="AA14" s="83">
        <f>MAX($K14,AA$6)</f>
        <v>47484</v>
      </c>
      <c r="AB14" s="488">
        <f>IF(AB$6&lt;$AA14,1,(1+$W14*(DATE(YEAR($AA14),12,31)-$AA14+1)/365)*(1+$W14)^(YEAR(AB$6)-YEAR($AA14)-1)*(1+$W14*(AB$6-DATE(YEAR(AB$6),1,1)+1)/365))</f>
        <v>1.0147945205479452</v>
      </c>
      <c r="AC14" s="488">
        <f>IF($K14&gt;AC$6,1,(1+$W14*(DATE(YEAR($K14),12,31)-$K14+1)/365)*(1+$W14)^(YEAR(AC$6)-YEAR($K14)-1)*(1+$W14*(AC$6-DATE(YEAR(AC$6),1,1)+1)/365))</f>
        <v>1.0725798821542503</v>
      </c>
      <c r="AD14" s="488">
        <f>IF(AD$6&lt;$AA14,1,(1+$W14*(DATE(YEAR($AA14),12,31)-$AA14+1)/365)*(1+$W14)^(YEAR(AD$6)-YEAR($AA14)-1)*(1+$W14*(AD$6-DATE(YEAR(AD$6),1,1)+1)/365))</f>
        <v>1.1075693150684933</v>
      </c>
      <c r="AE14" s="488">
        <f>AC14*AD14</f>
        <v>1.1879565654338282</v>
      </c>
      <c r="AF14" s="20">
        <f>O14*(AE14-1)</f>
        <v>0</v>
      </c>
      <c r="AG14" s="24">
        <f>MAX(0,Z$6-$K14+1)+MAX(0,AB$6-AA14+1)</f>
        <v>524</v>
      </c>
      <c r="AH14" s="24">
        <f>MAX(0,AC$6-$K14+1)+MAX(0,AD$6-AA14+1)</f>
        <v>1072</v>
      </c>
    </row>
    <row r="15" x14ac:dyDescent="0.25">
      <c r="C15" s="74" t="s">
        <v>467</v>
      </c>
      <c r="D15" s="74" t="s">
        <v>650</v>
      </c>
      <c r="E15" s="74" t="s">
        <v>651</v>
      </c>
      <c r="F15" s="115"/>
      <c r="G15" s="30"/>
      <c r="H15" s="21">
        <v>0</v>
      </c>
      <c r="I15" s="21">
        <f>-Inputs!$E$108*((K13&lt;=Inputs!$E$100)*J13+(K14&lt;=Inputs!$E$100)*J14+(K16&lt;=Inputs!$E$100)*J16+(K17&lt;=Inputs!$E$100)*J17)</f>
        <v>-0</v>
      </c>
      <c r="J15" s="21">
        <f t="shared" si="0"/>
        <v>0</v>
      </c>
      <c r="K15" s="33">
        <f>Inputs!$E$100</f>
        <v>46825</v>
      </c>
      <c r="L15" s="86">
        <f>IF(K15="","",(YEAR(K15)-YEAR(Inputs!$E$27))*12+MONTH(K15)-MONTH(Inputs!$E$27))</f>
        <v>20</v>
      </c>
      <c r="M15" s="21">
        <f>J15*1000/Inputs!$E$11</f>
        <v>0</v>
      </c>
      <c r="N15" s="86">
        <f>IF(L15="",0,IF(L15&gt;Inputs!$E$57,1,0))</f>
        <v>0</v>
      </c>
      <c r="O15" s="21">
        <f>M15*IF(N15=1,Inputs!$E$109,1)</f>
        <v>0</v>
      </c>
      <c r="P15" s="84">
        <f>P13</f>
        <v>0</v>
      </c>
      <c r="Q15" s="176">
        <f>Q13</f>
        <v>1</v>
      </c>
      <c r="R15" s="87" t="s">
        <v>645</v>
      </c>
      <c r="S15" s="20">
        <f t="shared" si="3"/>
        <v>0</v>
      </c>
      <c r="T15" s="20">
        <f t="shared" si="1"/>
        <v>0</v>
      </c>
      <c r="U15" s="176">
        <f>U13</f>
        <v>1</v>
      </c>
      <c r="W15" s="31">
        <f>IF(P15=1,Inputs!$E$61,Inputs!$E$65)</f>
        <v>0.06</v>
      </c>
      <c r="X15" s="488">
        <f>Z15*AB15</f>
        <v>1.0954911209774378</v>
      </c>
      <c r="Y15" s="20">
        <f t="shared" si="2"/>
        <v>0</v>
      </c>
      <c r="Z15" s="488">
        <f>IF($K15&gt;Z$6,1,(1+$W15*(DATE(YEAR($K15),12,31)-$K15+1)/365)*(1+$W15)^(YEAR(Z$6)-YEAR($K15)-1)*(1+$W15*(Z$6-DATE(YEAR(Z$6),1,1)+1)/365))</f>
        <v>1.0795201381122161</v>
      </c>
      <c r="AA15" s="83">
        <f>MAX($K15,AA$6)</f>
        <v>47484</v>
      </c>
      <c r="AB15" s="488">
        <f>IF(AB$6&lt;$AA15,1,(1+$W15*(DATE(YEAR($AA15),12,31)-$AA15+1)/365)*(1+$W15)^(YEAR(AB$6)-YEAR($AA15)-1)*(1+$W15*(AB$6-DATE(YEAR(AB$6),1,1)+1)/365))</f>
        <v>1.0147945205479452</v>
      </c>
      <c r="AC15" s="488">
        <f>IF($K15&gt;AC$6,1,(1+$W15*(DATE(YEAR($K15),12,31)-$K15+1)/365)*(1+$W15)^(YEAR(AC$6)-YEAR($K15)-1)*(1+$W15*(AC$6-DATE(YEAR(AC$6),1,1)+1)/365))</f>
        <v>1.0795201381122161</v>
      </c>
      <c r="AD15" s="488">
        <f>IF(AD$6&lt;$AA15,1,(1+$W15*(DATE(YEAR($AA15),12,31)-$AA15+1)/365)*(1+$W15)^(YEAR(AD$6)-YEAR($AA15)-1)*(1+$W15*(AD$6-DATE(YEAR(AD$6),1,1)+1)/365))</f>
        <v>1.1075693150684933</v>
      </c>
      <c r="AE15" s="488">
        <f>AC15*AD15</f>
        <v>1.1956433799715926</v>
      </c>
      <c r="AF15" s="20">
        <f>O15*(AE15-1)</f>
        <v>0</v>
      </c>
      <c r="AG15" s="24">
        <f>MAX(0,Z$6-$K15+1)+MAX(0,AB$6-AA15+1)</f>
        <v>565</v>
      </c>
      <c r="AH15" s="24">
        <f>MAX(0,AC$6-$K15+1)+MAX(0,AD$6-AA15+1)</f>
        <v>1113</v>
      </c>
    </row>
    <row r="16" x14ac:dyDescent="0.25">
      <c r="C16" s="74" t="s">
        <v>589</v>
      </c>
      <c r="D16" s="74" t="s">
        <v>652</v>
      </c>
      <c r="E16" s="74" t="s">
        <v>646</v>
      </c>
      <c r="F16" s="115">
        <f>Inputs!$E$75*Inputs!$E$78*Inputs!$E$80</f>
        <v>0</v>
      </c>
      <c r="G16" s="30">
        <f>Inputs!$E$29</f>
        <v>261</v>
      </c>
      <c r="H16" s="21">
        <f>F16*G16</f>
        <v>0</v>
      </c>
      <c r="I16" s="21">
        <f>-H16*Inputs!$E$108*(K16&gt;Inputs!$E$100)</f>
        <v>-0</v>
      </c>
      <c r="J16" s="21">
        <f t="shared" si="0"/>
        <v>0</v>
      </c>
      <c r="K16" s="33">
        <f>EDATE(Inputs!$E$104,24)</f>
        <v>47231</v>
      </c>
      <c r="L16" s="86">
        <f>IF(K16="","",(YEAR(K16)-YEAR(Inputs!$E$27))*12+MONTH(K16)-MONTH(Inputs!$E$27))</f>
        <v>33</v>
      </c>
      <c r="M16" s="21">
        <f>J16*1000/Inputs!$E$11</f>
        <v>0</v>
      </c>
      <c r="N16" s="86">
        <f>IF(L16="",0,IF(L16&gt;Inputs!$E$57,1,0))</f>
        <v>0</v>
      </c>
      <c r="O16" s="21">
        <f>M16*IF(N16=1,Inputs!$E$109,1)</f>
        <v>0</v>
      </c>
      <c r="P16" s="84">
        <f>Inputs!$E$124</f>
        <v>0</v>
      </c>
      <c r="Q16" s="176">
        <f>Inputs!$E$136</f>
        <v>1</v>
      </c>
      <c r="R16" s="87" t="s">
        <v>642</v>
      </c>
      <c r="S16" s="20">
        <f t="shared" si="3"/>
        <v>0</v>
      </c>
      <c r="T16" s="20">
        <f t="shared" si="1"/>
        <v>0</v>
      </c>
      <c r="U16" s="176">
        <f>Inputs!$E$263</f>
        <v>1</v>
      </c>
      <c r="W16" s="31">
        <f>IF(P16=1,Inputs!$E$61,Inputs!$E$65)</f>
        <v>0.06</v>
      </c>
      <c r="X16" s="488">
        <f>Z16*AB16</f>
        <v>1.0268379125095224</v>
      </c>
      <c r="Y16" s="20">
        <f t="shared" si="2"/>
        <v>0</v>
      </c>
      <c r="Z16" s="488">
        <f>IF($K16&gt;Z$6,1,(1+$W16*(DATE(YEAR($K16),12,31)-$K16+1)/365)*(1+$W16)^(YEAR(Z$6)-YEAR($K16)-1)*(1+$W16*(Z$6-DATE(YEAR(Z$6),1,1)+1)/365))</f>
        <v>1.011867813353066</v>
      </c>
      <c r="AA16" s="83">
        <f>MAX($K16,AA$6)</f>
        <v>47484</v>
      </c>
      <c r="AB16" s="488">
        <f>IF(AB$6&lt;$AA16,1,(1+$W16*(DATE(YEAR($AA16),12,31)-$AA16+1)/365)*(1+$W16)^(YEAR(AB$6)-YEAR($AA16)-1)*(1+$W16*(AB$6-DATE(YEAR(AB$6),1,1)+1)/365))</f>
        <v>1.0147945205479452</v>
      </c>
      <c r="AC16" s="488">
        <f>IF($K16&gt;AC$6,1,(1+$W16*(DATE(YEAR($K16),12,31)-$K16+1)/365)*(1+$W16)^(YEAR(AC$6)-YEAR($K16)-1)*(1+$W16*(AC$6-DATE(YEAR(AC$6),1,1)+1)/365))</f>
        <v>1.011867813353066</v>
      </c>
      <c r="AD16" s="488">
        <f>IF(AD$6&lt;$AA16,1,(1+$W16*(DATE(YEAR($AA16),12,31)-$AA16+1)/365)*(1+$W16)^(YEAR(AD$6)-YEAR($AA16)-1)*(1+$W16*(AD$6-DATE(YEAR(AD$6),1,1)+1)/365))</f>
        <v>1.1075693150684933</v>
      </c>
      <c r="AE16" s="488">
        <f>AC16*AD16</f>
        <v>1.1207137409753094</v>
      </c>
      <c r="AF16" s="20">
        <f>O16*(AE16-1)</f>
        <v>0</v>
      </c>
      <c r="AG16" s="24">
        <f>MAX(0,Z$6-$K16+1)+MAX(0,AB$6-AA16+1)</f>
        <v>159</v>
      </c>
      <c r="AH16" s="24">
        <f>MAX(0,AC$6-$K16+1)+MAX(0,AD$6-AA16+1)</f>
        <v>707</v>
      </c>
    </row>
    <row r="17" x14ac:dyDescent="0.25">
      <c r="C17" s="74" t="s">
        <v>590</v>
      </c>
      <c r="D17" s="74" t="s">
        <v>653</v>
      </c>
      <c r="E17" s="74" t="s">
        <v>646</v>
      </c>
      <c r="F17" s="115">
        <f>Inputs!$E$75*Inputs!$E$78*Inputs!$E$80</f>
        <v>0</v>
      </c>
      <c r="G17" s="30">
        <f>Inputs!$E$29</f>
        <v>261</v>
      </c>
      <c r="H17" s="21">
        <f>F17*G17</f>
        <v>0</v>
      </c>
      <c r="I17" s="21">
        <f>-H17*Inputs!$E$108*(K17&gt;Inputs!$E$100)</f>
        <v>-0</v>
      </c>
      <c r="J17" s="21">
        <f t="shared" si="0"/>
        <v>0</v>
      </c>
      <c r="K17" s="33">
        <f>EDATE(Inputs!$E$104,36)</f>
        <v>47596</v>
      </c>
      <c r="L17" s="86">
        <f>IF(K17="","",(YEAR(K17)-YEAR(Inputs!$E$27))*12+MONTH(K17)-MONTH(Inputs!$E$27))</f>
        <v>45</v>
      </c>
      <c r="M17" s="21">
        <f>J17*1000/Inputs!$E$11</f>
        <v>0</v>
      </c>
      <c r="N17" s="86">
        <f>IF(L17="",0,IF(L17&gt;Inputs!$E$57,1,0))</f>
        <v>1</v>
      </c>
      <c r="O17" s="21">
        <f>M17*IF(N17=1,Inputs!$E$109,1)</f>
        <v>0</v>
      </c>
      <c r="P17" s="84">
        <f>Inputs!$E$125</f>
        <v>0</v>
      </c>
      <c r="Q17" s="176">
        <f>Inputs!$E$137</f>
        <v>1</v>
      </c>
      <c r="R17" s="87" t="s">
        <v>642</v>
      </c>
      <c r="S17" s="20">
        <v>0</v>
      </c>
      <c r="T17" s="20">
        <v>0</v>
      </c>
      <c r="U17" s="176">
        <f>Inputs!$E$264</f>
        <v>1</v>
      </c>
      <c r="W17" s="31">
        <f>IF(P17=1,Inputs!$E$61,Inputs!$E$65)</f>
        <v>0.06</v>
      </c>
      <c r="X17" s="488">
        <f>Z17*AB17</f>
        <v>1</v>
      </c>
      <c r="Y17" s="20">
        <f t="shared" si="2"/>
        <v>0</v>
      </c>
      <c r="Z17" s="488">
        <f>IF($K17&gt;Z$6,1,(1+$W17*(DATE(YEAR($K17),12,31)-$K17+1)/365)*(1+$W17)^(YEAR(Z$6)-YEAR($K17)-1)*(1+$W17*(Z$6-DATE(YEAR(Z$6),1,1)+1)/365))</f>
        <v>1</v>
      </c>
      <c r="AA17" s="83">
        <f>MAX($K17,AA$6)</f>
        <v>47596</v>
      </c>
      <c r="AB17" s="488">
        <f>IF(AB$6&lt;$AA17,1,(1+$W17*(DATE(YEAR($AA17),12,31)-$AA17+1)/365)*(1+$W17)^(YEAR(AB$6)-YEAR($AA17)-1)*(1+$W17*(AB$6-DATE(YEAR(AB$6),1,1)+1)/365))</f>
        <v>1</v>
      </c>
      <c r="AC17" s="488">
        <f>IF($K17&gt;AC$6,1,(1+$W17*(DATE(YEAR($K17),12,31)-$K17+1)/365)*(1+$W17)^(YEAR(AC$6)-YEAR($K17)-1)*(1+$W17*(AC$6-DATE(YEAR(AC$6),1,1)+1)/365))</f>
        <v>1</v>
      </c>
      <c r="AD17" s="488">
        <f>IF(AD$6&lt;$AA17,1,(1+$W17*(DATE(YEAR($AA17),12,31)-$AA17+1)/365)*(1+$W17)^(YEAR(AD$6)-YEAR($AA17)-1)*(1+$W17*(AD$6-DATE(YEAR(AD$6),1,1)+1)/365))</f>
        <v>1.0883321328579472</v>
      </c>
      <c r="AE17" s="488">
        <f>AC17*AD17</f>
        <v>1.0883321328579472</v>
      </c>
      <c r="AF17" s="20">
        <f>O17*(AE17-1)</f>
        <v>0</v>
      </c>
      <c r="AG17" s="24">
        <f>MAX(0,Z$6-$K17+1)+MAX(0,AB$6-AA17+1)</f>
        <v>0</v>
      </c>
      <c r="AH17" s="24">
        <f>MAX(0,AC$6-$K17+1)+MAX(0,AD$6-AA17+1)</f>
        <v>526</v>
      </c>
    </row>
    <row r="18" x14ac:dyDescent="0.25">
      <c r="C18" s="74" t="s">
        <v>468</v>
      </c>
      <c r="D18" s="74" t="s">
        <v>654</v>
      </c>
      <c r="E18" s="74" t="s">
        <v>646</v>
      </c>
      <c r="F18" s="115">
        <f>Inputs!$E$85</f>
        <v>73.071306</v>
      </c>
      <c r="G18" s="30">
        <f>Inputs!$E$18</f>
        <v>200</v>
      </c>
      <c r="H18" s="21">
        <f>F18*G18</f>
        <v>14614.2612</v>
      </c>
      <c r="I18" s="21">
        <f>-J11</f>
        <v>-900</v>
      </c>
      <c r="J18" s="21">
        <f t="shared" si="0"/>
        <v>13714.2612</v>
      </c>
      <c r="K18" s="33">
        <f>Inputs!$E$99</f>
        <v>47126</v>
      </c>
      <c r="L18" s="86">
        <f>IF(K18="","",(YEAR(K18)-YEAR(Inputs!$E$27))*12+MONTH(K18)-MONTH(Inputs!$E$27))</f>
        <v>30</v>
      </c>
      <c r="M18" s="21">
        <f>J18*1000/Inputs!$E$11</f>
        <v>37573.31835616439</v>
      </c>
      <c r="N18" s="86">
        <f>IF(L18="",0,IF(L18&gt;Inputs!$E$57,1,0))</f>
        <v>0</v>
      </c>
      <c r="O18" s="21">
        <f>M18*IF(N18=1,Inputs!$E$109,1)</f>
        <v>37573.31835616439</v>
      </c>
      <c r="P18" s="84">
        <f>Inputs!$E$126</f>
        <v>1</v>
      </c>
      <c r="Q18" s="176">
        <f>Inputs!$E$138</f>
        <v>1</v>
      </c>
      <c r="R18" s="87" t="s">
        <v>655</v>
      </c>
      <c r="S18" s="20">
        <f>J18+J11</f>
        <v>14614.2612</v>
      </c>
      <c r="T18" s="20">
        <f>J18</f>
        <v>13714.2612</v>
      </c>
      <c r="U18" s="176">
        <f>Inputs!$E$265</f>
        <v>1</v>
      </c>
      <c r="W18" s="31">
        <f>IF(P18=1,Inputs!$E$61,Inputs!$E$65)</f>
        <v>0.12</v>
      </c>
      <c r="X18" s="488">
        <f>Z18*AB18</f>
        <v>1.088615154772156</v>
      </c>
      <c r="Y18" s="20">
        <f t="shared" si="2"/>
        <v>3329.5654214350006</v>
      </c>
      <c r="Z18" s="488">
        <f>IF($K18&gt;Z$6,1,(1+$W18*(DATE(YEAR($K18),12,31)-$K18+1)/365)*(1+$W18)^(YEAR(Z$6)-YEAR($K18)-1)*(1+$W18*(Z$6-DATE(YEAR(Z$6),1,1)+1)/365))</f>
        <v>1.0573297804466126</v>
      </c>
      <c r="AA18" s="83">
        <f>MAX($K18,AA$6)</f>
        <v>47484</v>
      </c>
      <c r="AB18" s="488">
        <f>IF(AB$6&lt;$AA18,1,(1+$W18*(DATE(YEAR($AA18),12,31)-$AA18+1)/365)*(1+$W18)^(YEAR(AB$6)-YEAR($AA18)-1)*(1+$W18*(AB$6-DATE(YEAR(AB$6),1,1)+1)/365))</f>
        <v>1.0295890410958903</v>
      </c>
      <c r="AC18" s="488">
        <f>IF($K18&gt;AC$6,1,(1+$W18*(DATE(YEAR($K18),12,31)-$K18+1)/365)*(1+$W18)^(YEAR(AC$6)-YEAR($K18)-1)*(1+$W18*(AC$6-DATE(YEAR(AC$6),1,1)+1)/365))</f>
        <v>1.0573297804466126</v>
      </c>
      <c r="AD18" s="488">
        <f>IF(AD$6&lt;$AA18,1,(1+$W18*(DATE(YEAR($AA18),12,31)-$AA18+1)/365)*(1+$W18)^(YEAR(AD$6)-YEAR($AA18)-1)*(1+$W18*(AD$6-DATE(YEAR(AD$6),1,1)+1)/365))</f>
        <v>1.2205238356164385</v>
      </c>
      <c r="AE18" s="488">
        <f>AC18*AD18</f>
        <v>1.2904961991421864</v>
      </c>
      <c r="AF18" s="20">
        <f>O18*(AE18-1)</f>
        <v>10914.906171625098</v>
      </c>
      <c r="AG18" s="24">
        <f>MAX(0,Z$6-$K18+1)+MAX(0,AB$6-AA18+1)</f>
        <v>264</v>
      </c>
      <c r="AH18" s="24">
        <f>MAX(0,AC$6-$K18+1)+MAX(0,AD$6-AA18+1)</f>
        <v>812</v>
      </c>
    </row>
    <row r="19" spans="2:25" x14ac:dyDescent="0.25">
      <c r="C19" s="75" t="s">
        <v>17</v>
      </c>
      <c r="D19" s="75"/>
      <c r="E19" s="75"/>
      <c r="F19" s="76"/>
      <c r="G19" s="76"/>
      <c r="H19" s="80">
        <f>SUM(H7:H18)</f>
        <v>23592.162004</v>
      </c>
      <c r="I19" s="80">
        <f>SUM(I7:I18)</f>
        <v>-1789.83</v>
      </c>
      <c r="J19" s="80">
        <f>SUM(J7:J18)</f>
        <v>21802.332004000004</v>
      </c>
      <c r="K19" s="78"/>
      <c r="L19" s="79"/>
      <c r="M19" s="80">
        <f>SUM(M7:M18)</f>
        <v>59732.416449315075</v>
      </c>
      <c r="N19" s="79"/>
      <c r="O19" s="80">
        <f>SUM(O7:O18)</f>
        <v>59732.416449315075</v>
      </c>
      <c r="P19" s="79"/>
      <c r="Q19" s="81"/>
      <c r="R19" s="75"/>
      <c r="S19" s="80">
        <f>SUM(S7:S18)</f>
        <v>23586.162004</v>
      </c>
      <c r="T19" s="80">
        <f>SUM(T7:T18)</f>
        <v>21796.332004000004</v>
      </c>
      <c r="U19" s="81"/>
      <c r="Y19" s="95">
        <f>SUM(Y7:Y18)</f>
        <v>7589.959302355262</v>
      </c>
    </row>
    <row r="21" x14ac:dyDescent="0.25">
      <c r="B21" t="s">
        <v>4</v>
      </c>
      <c r="C21" s="88" t="s">
        <v>656</v>
      </c>
      <c r="D21" s="42"/>
      <c r="E21" s="42"/>
      <c r="F21" s="42"/>
      <c r="G21" s="42"/>
      <c r="H21" s="42"/>
      <c r="I21" s="42"/>
      <c r="J21" s="42"/>
      <c r="K21" s="42"/>
      <c r="L21" s="42"/>
      <c r="M21" s="42"/>
      <c r="N21" s="42"/>
      <c r="O21" s="42"/>
      <c r="P21" s="42"/>
      <c r="Q21" s="42"/>
      <c r="R21" s="42"/>
      <c r="S21" s="42"/>
      <c r="T21" s="42"/>
      <c r="W21" s="6" t="inlineStr">
        <is>
          <t xml:space="preserve">FEP-convention interest by type (BORA Devex method; to the exit date, interest pause excluded) – column Y to the RtB sale, column AF to the COD sale</t>
        </is>
      </c>
      <c r="AF21" s="6" t="inlineStr">
        <is>
          <t xml:space="preserve">To the COD sale</t>
        </is>
      </c>
    </row>
    <row r="22" x14ac:dyDescent="0.25">
      <c r="C22" t="s">
        <v>657</v>
      </c>
      <c r="D22" t="s">
        <v>726</v>
      </c>
      <c r="E22" s="20">
        <f>H19</f>
        <v>23592.162004</v>
      </c>
      <c r="W22" t="s">
        <v>2386</v>
      </c>
      <c r="Y22" s="20">
        <f>SUMIFS(Y7:Y18,P7:P18,0)</f>
        <v>3219.9261897510114</v>
      </c>
      <c r="AF22" s="20">
        <f>SUMIFS(AF7:AF18,P7:P18,0)</f>
        <v>5185.8797052476275</v>
      </c>
    </row>
    <row r="23" x14ac:dyDescent="0.25">
      <c r="C23" t="s">
        <v>658</v>
      </c>
      <c r="D23" t="s">
        <v>726</v>
      </c>
      <c r="E23" s="20">
        <f>J19</f>
        <v>21802.332004000004</v>
      </c>
      <c r="W23" t="s">
        <v>2387</v>
      </c>
      <c r="Y23" s="20">
        <f>SUMIFS(Y7:Y18,P7:P18,1,R7:R18,"&lt;&gt;Fee")</f>
        <v>4363.511807755573</v>
      </c>
      <c r="AF23" s="20">
        <f>SUMIFS(AF7:AF18,P7:P18,1,R7:R18,"&lt;&gt;Fee")</f>
        <v>12856.141491152057</v>
      </c>
    </row>
    <row r="24" x14ac:dyDescent="0.25">
      <c r="C24" t="s">
        <v>658</v>
      </c>
      <c r="D24" t="s">
        <v>844</v>
      </c>
      <c r="E24" s="89">
        <f>M19</f>
        <v>59732.416449315075</v>
      </c>
      <c r="W24" t="s">
        <v>2388</v>
      </c>
      <c r="Y24" s="20">
        <f>SUMIFS(Y7:Y18,R7:R18,"Fee")</f>
        <v>6.5213048486779535</v>
      </c>
      <c r="AF24" s="20">
        <f>SUMIFS(AF7:AF18,R7:R18,"Fee")</f>
        <v>10.779118386712748</v>
      </c>
    </row>
    <row r="25" spans="2:25" x14ac:dyDescent="0.25">
      <c r="C25" t="s">
        <v>1160</v>
      </c>
      <c r="D25" t="s">
        <v>844</v>
      </c>
      <c r="E25" s="89">
        <f>O19</f>
        <v>59732.416449315075</v>
      </c>
    </row>
    <row r="26" spans="2:25" x14ac:dyDescent="0.25">
      <c r="C26" t="s">
        <v>659</v>
      </c>
      <c r="D26" t="s">
        <v>844</v>
      </c>
      <c r="E26" s="89">
        <f>SUMPRODUCT(O7:O18,P7:P18)</f>
        <v>41448.2383671233</v>
      </c>
    </row>
    <row r="27" spans="2:25" x14ac:dyDescent="0.25">
      <c r="C27" t="s">
        <v>660</v>
      </c>
      <c r="D27" t="s">
        <v>844</v>
      </c>
      <c r="E27" s="89" cm="1">
        <f t="array" ref="E27">SUMPRODUCT(O7:O18,1-P7:P18)</f>
        <v>18284.178082191786</v>
      </c>
    </row>
    <row r="28" spans="2:25" x14ac:dyDescent="0.25">
      <c r="C28" t="s">
        <v>1273</v>
      </c>
      <c r="D28" t="s">
        <v>726</v>
      </c>
      <c r="E28" s="20">
        <f>S19</f>
        <v>23586.162004</v>
      </c>
    </row>
    <row r="29" x14ac:dyDescent="0.25">
      <c r="C29" t="inlineStr">
        <is>
          <t xml:space="preserve">Source gross total (excl. the source's supplementary security, row 50 – GYIK 70)</t>
        </is>
      </c>
      <c r="D29" t="s">
        <v>726</v>
      </c>
      <c r="E29" s="20">
        <f>Inputs!$E$87-$E$50</f>
        <v>21173.61</v>
      </c>
    </row>
    <row r="30" spans="2:25" x14ac:dyDescent="0.25">
      <c r="C30" t="s">
        <v>662</v>
      </c>
      <c r="D30" t="s">
        <v>726</v>
      </c>
      <c r="E30" s="20">
        <f>E28-E29</f>
        <v>2412.552004000001</v>
      </c>
    </row>
    <row r="31" spans="2:25" x14ac:dyDescent="0.25">
      <c r="C31" t="s">
        <v>1274</v>
      </c>
      <c r="D31" t="s">
        <v>726</v>
      </c>
      <c r="E31" s="20">
        <f>T19</f>
        <v>21796.332004000004</v>
      </c>
    </row>
    <row r="32" x14ac:dyDescent="0.25">
      <c r="C32" t="inlineStr">
        <is>
          <t xml:space="preserve">Source payable total (excl. the source's supplementary security, row 50 – GYIK 70)</t>
        </is>
      </c>
      <c r="D32" t="s">
        <v>726</v>
      </c>
      <c r="E32" s="20">
        <f>Inputs!$E$88-$E$50</f>
        <v>19667.61</v>
      </c>
    </row>
    <row r="33" spans="3:5" x14ac:dyDescent="0.25">
      <c r="C33" t="s">
        <v>664</v>
      </c>
      <c r="D33" t="s">
        <v>726</v>
      </c>
      <c r="E33" s="20">
        <f>E31-E32</f>
        <v>2128.722004000003</v>
      </c>
    </row>
    <row r="34" x14ac:dyDescent="0.25">
      <c r="C34" s="6" t="s">
        <v>665</v>
      </c>
      <c r="D34" s="6" t="s">
        <v>57</v>
      </c>
      <c r="E34" s="6" t="str">
        <f>IF(E47&gt;0,"n/a – inputs differ from BORA_Devex source",E48)</f>
        <v>n/a – inputs differ from BORA_Devex source</v>
      </c>
    </row>
    <row r="35" spans="3:5" x14ac:dyDescent="0.25">
      <c r="C35" s="40" t="s">
        <v>1275</v>
      </c>
    </row>
    <row r="37">
      <c r="C37" s="88" t="inlineStr">
        <is>
          <t xml:space="preserve">Bora source-driver test – Deposits E34 reads n/a when a Bora driver differs from the BORA_Devex source (1 = differs)</t>
        </is>
      </c>
    </row>
    <row r="38">
      <c r="C38" t="inlineStr">
        <is>
          <t xml:space="preserve">Tender capacity (Inputs E16) vs source reference capacity (E86)</t>
        </is>
      </c>
      <c r="D38" t="inlineStr">
        <is>
          <t xml:space="preserve">1 / 0</t>
        </is>
      </c>
      <c r="E38" s="24">
        <f>IF(Inputs!$E$16&lt;&gt;Inputs!$E$86,1,0)</f>
        <v>0</v>
      </c>
    </row>
    <row r="39">
      <c r="C39" t="inlineStr">
        <is>
          <t xml:space="preserve">Successful net capacity (Inputs E18) vs reference capacity (E86)</t>
        </is>
      </c>
      <c r="D39" t="inlineStr">
        <is>
          <t xml:space="preserve">1 / 0</t>
        </is>
      </c>
      <c r="E39" s="24">
        <f>IF(Inputs!$E$18&lt;&gt;Inputs!$E$86,1,0)</f>
        <v>0</v>
      </c>
    </row>
    <row r="40">
      <c r="C40" t="inlineStr">
        <is>
          <t xml:space="preserve">Gross installed wind (Inputs E29) vs reference capacity (E86) – the source has no overbuild</t>
        </is>
      </c>
      <c r="D40" t="inlineStr">
        <is>
          <t xml:space="preserve">1 / 0</t>
        </is>
      </c>
      <c r="E40" s="24">
        <f>IF(Inputs!$E$29&lt;&gt;Inputs!$E$86,1,0)</f>
        <v>1</v>
      </c>
    </row>
    <row r="41">
      <c r="C41" t="inlineStr">
        <is>
          <t xml:space="preserve">BESS MW (Inputs E20) vs BORA_Devex AF9</t>
        </is>
      </c>
      <c r="D41" t="inlineStr">
        <is>
          <t xml:space="preserve">1 / 0</t>
        </is>
      </c>
      <c r="E41" s="24">
        <f>IF(Inputs!$E$20&lt;&gt;BORA_Devex!$AF$9,1,0)</f>
        <v>1</v>
      </c>
    </row>
    <row r="42">
      <c r="C42" t="inlineStr">
        <is>
          <t xml:space="preserve">BESS MWh (Inputs E22) vs BORA_Devex AF10</t>
        </is>
      </c>
      <c r="D42" t="inlineStr">
        <is>
          <t xml:space="preserve">1 / 0</t>
        </is>
      </c>
      <c r="E42" s="24">
        <f>IF(Inputs!$E$22&lt;&gt;BORA_Devex!$AF$10,1,0)</f>
        <v>1</v>
      </c>
    </row>
    <row r="43">
      <c r="C43" t="inlineStr">
        <is>
          <t xml:space="preserve">Performance bond uplift (F10 / F8) vs source (I6 + I7) / I6</t>
        </is>
      </c>
      <c r="D43" t="inlineStr">
        <is>
          <t xml:space="preserve">1 / 0</t>
        </is>
      </c>
      <c r="E43" s="24">
        <f>IF(ABS(F10/F8-(BORA_Devex!$I$6+BORA_Devex!$I$7)/BORA_Devex!$I$6)&gt;Tender!$E$33,1,0)</f>
        <v>0</v>
      </c>
    </row>
    <row r="44">
      <c r="C44" t="inlineStr">
        <is>
          <t xml:space="preserve">Direct connection fee (H12) vs source I19 (HUF → mHUF)</t>
        </is>
      </c>
      <c r="D44" t="inlineStr">
        <is>
          <t xml:space="preserve">1 / 0</t>
        </is>
      </c>
      <c r="E44" s="24">
        <f>IF(ABS(H12-BORA_Devex!$I$19/10^6)&gt;Tender!$E$32,1,0)</f>
        <v>0</v>
      </c>
    </row>
    <row r="45">
      <c r="C45" t="inlineStr">
        <is>
          <t xml:space="preserve">Indirect fee + TSO bond (H18) vs source (I8 + I18) (HUF → mHUF)</t>
        </is>
      </c>
      <c r="D45" t="inlineStr">
        <is>
          <t xml:space="preserve">1 / 0</t>
        </is>
      </c>
      <c r="E45" s="24">
        <f>IF(ABS(H18-(BORA_Devex!$I$8+BORA_Devex!$I$18)/10^6)&gt;Tender!$E$32,1,0)</f>
        <v>0</v>
      </c>
    </row>
    <row r="46">
      <c r="C46" t="inlineStr">
        <is>
          <t xml:space="preserve">Supplementary security in the model (H13:H17) – none in this procedure (GYIK 70); source totals restated without it (row 50)</t>
        </is>
      </c>
      <c r="D46" t="inlineStr">
        <is>
          <t xml:space="preserve">1 / 0</t>
        </is>
      </c>
      <c r="E46" s="24">
        <f>IF(SUMPRODUCT(ABS(H13:H17))&gt;Tender!$E$32,1,0)</f>
        <v>0</v>
      </c>
    </row>
    <row r="47">
      <c r="C47" s="6" t="inlineStr">
        <is>
          <t xml:space="preserve">Bora drivers differing from the BORA_Devex source</t>
        </is>
      </c>
      <c r="D47" t="inlineStr">
        <is>
          <t xml:space="preserve">#</t>
        </is>
      </c>
      <c r="E47" s="24">
        <f>SUM(E38:E46)</f>
        <v>3</v>
      </c>
    </row>
    <row r="48">
      <c r="C48" s="6" t="inlineStr">
        <is>
          <t xml:space="preserve">Reconciliation test – gross and payable differences (E30, E33) within the tolerance</t>
        </is>
      </c>
      <c r="D48" t="inlineStr">
        <is>
          <t xml:space="preserve">Status</t>
        </is>
      </c>
      <c r="E48" s="6" t="str">
        <f>IF(AND(ABS(E30)&lt;Tender!$E$32,ABS(E33)&lt;Tender!$E$32),"OK","FAIL")</f>
        <v>FAIL</v>
      </c>
    </row>
    <row r="50">
      <c r="C50" t="inlineStr">
        <is>
          <t xml:space="preserve">Source supplementary security (BORA_Devex I9:I13; Bora only) – void in this procedure (GYIK 70), excluded from the source totals E29 / E32</t>
        </is>
      </c>
      <c r="D50" t="inlineStr">
        <is>
          <t xml:space="preserve">mHUF</t>
        </is>
      </c>
      <c r="E50" s="20">
        <f>SUM(BORA_Devex!$I$9:$I$13)/10^6</f>
        <v>1624</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8023-ED9A-42A1-8A2A-5504D47EA0CC}">
  <sheetPr codeName="Sheet7">
    <tabColor rgb="FF000000"/>
  </sheetPr>
  <dimension ref="A1:BP286"/>
  <sheetViews>
    <sheetView showGridLines="0" workbookViewId="0">
      <pane xSplit="7" ySplit="9" topLeftCell="H22" activePane="bottomRight" state="frozen"/>
      <selection pane="topRight" activeCell="H1" sqref="H1"/>
      <selection pane="bottomLeft" activeCell="A10" sqref="A10"/>
      <selection pane="bottomRight" activeCell="G186" sqref="G186"/>
    </sheetView>
  </sheetViews>
  <sheetFormatPr defaultRowHeight="15" outlineLevelRow="1" x14ac:dyDescent="0.25"/>
  <cols>
    <col min="1" max="2" width="2.7109375" customWidth="1"/>
    <col min="3" max="3" width="62.85546875" customWidth="1"/>
    <col min="4" max="4" width="10.42578125" customWidth="1"/>
    <col min="5" max="6" width="13.28515625" customWidth="1"/>
    <col min="7" max="7" width="18.140625" customWidth="1"/>
    <col min="8" max="68" width="13" customWidth="1"/>
  </cols>
  <sheetData>
    <row r="1" spans="1:68" ht="18.75" x14ac:dyDescent="0.3">
      <c r="A1" s="38" t="str">
        <f>Inputs!A1</f>
        <v>HUN Onshore Wind – MOIC model v5</v>
      </c>
    </row>
    <row r="2" spans="1:68" x14ac:dyDescent="0.25">
      <c r="A2" s="40" t="s">
        <v>666</v>
      </c>
    </row>
    <row r="3" spans="1:68" x14ac:dyDescent="0.25">
      <c r="A3" s="40" t="s">
        <v>667</v>
      </c>
    </row>
    <row r="4" spans="1:68" x14ac:dyDescent="0.25">
      <c r="C4" s="91" t="s">
        <v>605</v>
      </c>
      <c r="D4" s="91" t="s">
        <v>7</v>
      </c>
      <c r="E4" s="91"/>
      <c r="F4" s="91"/>
      <c r="G4" s="91"/>
      <c r="H4" s="93">
        <v>0</v>
      </c>
      <c r="I4" s="93">
        <f t="shared" ref="I4:AN4" si="0">H4+1</f>
        <v>1</v>
      </c>
      <c r="J4" s="93">
        <f t="shared" si="0"/>
        <v>2</v>
      </c>
      <c r="K4" s="93">
        <f t="shared" si="0"/>
        <v>3</v>
      </c>
      <c r="L4" s="93">
        <f t="shared" si="0"/>
        <v>4</v>
      </c>
      <c r="M4" s="93">
        <f t="shared" si="0"/>
        <v>5</v>
      </c>
      <c r="N4" s="93">
        <f t="shared" si="0"/>
        <v>6</v>
      </c>
      <c r="O4" s="93">
        <f t="shared" si="0"/>
        <v>7</v>
      </c>
      <c r="P4" s="93">
        <f t="shared" si="0"/>
        <v>8</v>
      </c>
      <c r="Q4" s="93">
        <f t="shared" si="0"/>
        <v>9</v>
      </c>
      <c r="R4" s="93">
        <f t="shared" si="0"/>
        <v>10</v>
      </c>
      <c r="S4" s="93">
        <f t="shared" si="0"/>
        <v>11</v>
      </c>
      <c r="T4" s="93">
        <f t="shared" si="0"/>
        <v>12</v>
      </c>
      <c r="U4" s="93">
        <f t="shared" si="0"/>
        <v>13</v>
      </c>
      <c r="V4" s="93">
        <f t="shared" si="0"/>
        <v>14</v>
      </c>
      <c r="W4" s="93">
        <f t="shared" si="0"/>
        <v>15</v>
      </c>
      <c r="X4" s="93">
        <f t="shared" si="0"/>
        <v>16</v>
      </c>
      <c r="Y4" s="93">
        <f t="shared" si="0"/>
        <v>17</v>
      </c>
      <c r="Z4" s="93">
        <f t="shared" si="0"/>
        <v>18</v>
      </c>
      <c r="AA4" s="93">
        <f t="shared" si="0"/>
        <v>19</v>
      </c>
      <c r="AB4" s="93">
        <f t="shared" si="0"/>
        <v>20</v>
      </c>
      <c r="AC4" s="93">
        <f t="shared" si="0"/>
        <v>21</v>
      </c>
      <c r="AD4" s="93">
        <f t="shared" si="0"/>
        <v>22</v>
      </c>
      <c r="AE4" s="93">
        <f t="shared" si="0"/>
        <v>23</v>
      </c>
      <c r="AF4" s="93">
        <f t="shared" si="0"/>
        <v>24</v>
      </c>
      <c r="AG4" s="93">
        <f t="shared" si="0"/>
        <v>25</v>
      </c>
      <c r="AH4" s="93">
        <f t="shared" si="0"/>
        <v>26</v>
      </c>
      <c r="AI4" s="93">
        <f t="shared" si="0"/>
        <v>27</v>
      </c>
      <c r="AJ4" s="93">
        <f t="shared" si="0"/>
        <v>28</v>
      </c>
      <c r="AK4" s="93">
        <f t="shared" si="0"/>
        <v>29</v>
      </c>
      <c r="AL4" s="93">
        <f t="shared" si="0"/>
        <v>30</v>
      </c>
      <c r="AM4" s="93">
        <f t="shared" si="0"/>
        <v>31</v>
      </c>
      <c r="AN4" s="93">
        <f t="shared" si="0"/>
        <v>32</v>
      </c>
      <c r="AO4" s="93">
        <f t="shared" ref="AO4:BP4" si="1">AN4+1</f>
        <v>33</v>
      </c>
      <c r="AP4" s="93">
        <f t="shared" si="1"/>
        <v>34</v>
      </c>
      <c r="AQ4" s="93">
        <f t="shared" si="1"/>
        <v>35</v>
      </c>
      <c r="AR4" s="93">
        <f t="shared" si="1"/>
        <v>36</v>
      </c>
      <c r="AS4" s="93">
        <f t="shared" si="1"/>
        <v>37</v>
      </c>
      <c r="AT4" s="93">
        <f t="shared" si="1"/>
        <v>38</v>
      </c>
      <c r="AU4" s="93">
        <f t="shared" si="1"/>
        <v>39</v>
      </c>
      <c r="AV4" s="93">
        <f t="shared" si="1"/>
        <v>40</v>
      </c>
      <c r="AW4" s="93">
        <f t="shared" si="1"/>
        <v>41</v>
      </c>
      <c r="AX4" s="93">
        <f t="shared" si="1"/>
        <v>42</v>
      </c>
      <c r="AY4" s="93">
        <f t="shared" si="1"/>
        <v>43</v>
      </c>
      <c r="AZ4" s="93">
        <f t="shared" si="1"/>
        <v>44</v>
      </c>
      <c r="BA4" s="93">
        <f t="shared" si="1"/>
        <v>45</v>
      </c>
      <c r="BB4" s="93">
        <f t="shared" si="1"/>
        <v>46</v>
      </c>
      <c r="BC4" s="93">
        <f t="shared" si="1"/>
        <v>47</v>
      </c>
      <c r="BD4" s="93">
        <f t="shared" si="1"/>
        <v>48</v>
      </c>
      <c r="BE4" s="93">
        <f t="shared" si="1"/>
        <v>49</v>
      </c>
      <c r="BF4" s="93">
        <f t="shared" si="1"/>
        <v>50</v>
      </c>
      <c r="BG4" s="93">
        <f t="shared" si="1"/>
        <v>51</v>
      </c>
      <c r="BH4" s="93">
        <f t="shared" si="1"/>
        <v>52</v>
      </c>
      <c r="BI4" s="93">
        <f t="shared" si="1"/>
        <v>53</v>
      </c>
      <c r="BJ4" s="93">
        <f t="shared" si="1"/>
        <v>54</v>
      </c>
      <c r="BK4" s="93">
        <f t="shared" si="1"/>
        <v>55</v>
      </c>
      <c r="BL4" s="93">
        <f t="shared" si="1"/>
        <v>56</v>
      </c>
      <c r="BM4" s="93">
        <f t="shared" si="1"/>
        <v>57</v>
      </c>
      <c r="BN4" s="93">
        <f t="shared" si="1"/>
        <v>58</v>
      </c>
      <c r="BO4" s="93">
        <f t="shared" si="1"/>
        <v>59</v>
      </c>
      <c r="BP4" s="93">
        <f t="shared" si="1"/>
        <v>60</v>
      </c>
    </row>
    <row r="5" spans="1:68" x14ac:dyDescent="0.25">
      <c r="C5" s="91" t="s">
        <v>234</v>
      </c>
      <c r="D5" s="91" t="s">
        <v>15</v>
      </c>
      <c r="E5" s="91"/>
      <c r="F5" s="91"/>
      <c r="G5" s="91"/>
      <c r="H5" s="105">
        <f>Inputs!$E$27</f>
        <v>46234</v>
      </c>
      <c r="I5" s="92">
        <f t="shared" ref="I5:AN5" si="2">EOMONTH(H5,1)</f>
        <v>46265</v>
      </c>
      <c r="J5" s="92">
        <f t="shared" si="2"/>
        <v>46295</v>
      </c>
      <c r="K5" s="92">
        <f t="shared" si="2"/>
        <v>46326</v>
      </c>
      <c r="L5" s="92">
        <f t="shared" si="2"/>
        <v>46356</v>
      </c>
      <c r="M5" s="92">
        <f t="shared" si="2"/>
        <v>46387</v>
      </c>
      <c r="N5" s="92">
        <f t="shared" si="2"/>
        <v>46418</v>
      </c>
      <c r="O5" s="92">
        <f t="shared" si="2"/>
        <v>46446</v>
      </c>
      <c r="P5" s="92">
        <f t="shared" si="2"/>
        <v>46477</v>
      </c>
      <c r="Q5" s="92">
        <f t="shared" si="2"/>
        <v>46507</v>
      </c>
      <c r="R5" s="92">
        <f t="shared" si="2"/>
        <v>46538</v>
      </c>
      <c r="S5" s="92">
        <f t="shared" si="2"/>
        <v>46568</v>
      </c>
      <c r="T5" s="92">
        <f t="shared" si="2"/>
        <v>46599</v>
      </c>
      <c r="U5" s="92">
        <f t="shared" si="2"/>
        <v>46630</v>
      </c>
      <c r="V5" s="92">
        <f t="shared" si="2"/>
        <v>46660</v>
      </c>
      <c r="W5" s="92">
        <f t="shared" si="2"/>
        <v>46691</v>
      </c>
      <c r="X5" s="92">
        <f t="shared" si="2"/>
        <v>46721</v>
      </c>
      <c r="Y5" s="92">
        <f t="shared" si="2"/>
        <v>46752</v>
      </c>
      <c r="Z5" s="92">
        <f t="shared" si="2"/>
        <v>46783</v>
      </c>
      <c r="AA5" s="92">
        <f t="shared" si="2"/>
        <v>46812</v>
      </c>
      <c r="AB5" s="92">
        <f t="shared" si="2"/>
        <v>46843</v>
      </c>
      <c r="AC5" s="92">
        <f t="shared" si="2"/>
        <v>46873</v>
      </c>
      <c r="AD5" s="92">
        <f t="shared" si="2"/>
        <v>46904</v>
      </c>
      <c r="AE5" s="92">
        <f t="shared" si="2"/>
        <v>46934</v>
      </c>
      <c r="AF5" s="92">
        <f t="shared" si="2"/>
        <v>46965</v>
      </c>
      <c r="AG5" s="92">
        <f t="shared" si="2"/>
        <v>46996</v>
      </c>
      <c r="AH5" s="92">
        <f t="shared" si="2"/>
        <v>47026</v>
      </c>
      <c r="AI5" s="92">
        <f t="shared" si="2"/>
        <v>47057</v>
      </c>
      <c r="AJ5" s="92">
        <f t="shared" si="2"/>
        <v>47087</v>
      </c>
      <c r="AK5" s="92">
        <f t="shared" si="2"/>
        <v>47118</v>
      </c>
      <c r="AL5" s="92">
        <f t="shared" si="2"/>
        <v>47149</v>
      </c>
      <c r="AM5" s="92">
        <f t="shared" si="2"/>
        <v>47177</v>
      </c>
      <c r="AN5" s="92">
        <f t="shared" si="2"/>
        <v>47208</v>
      </c>
      <c r="AO5" s="92">
        <f t="shared" ref="AO5:BP5" si="3">EOMONTH(AN5,1)</f>
        <v>47238</v>
      </c>
      <c r="AP5" s="92">
        <f t="shared" si="3"/>
        <v>47269</v>
      </c>
      <c r="AQ5" s="92">
        <f t="shared" si="3"/>
        <v>47299</v>
      </c>
      <c r="AR5" s="92">
        <f t="shared" si="3"/>
        <v>47330</v>
      </c>
      <c r="AS5" s="92">
        <f t="shared" si="3"/>
        <v>47361</v>
      </c>
      <c r="AT5" s="92">
        <f t="shared" si="3"/>
        <v>47391</v>
      </c>
      <c r="AU5" s="92">
        <f t="shared" si="3"/>
        <v>47422</v>
      </c>
      <c r="AV5" s="92">
        <f t="shared" si="3"/>
        <v>47452</v>
      </c>
      <c r="AW5" s="92">
        <f t="shared" si="3"/>
        <v>47483</v>
      </c>
      <c r="AX5" s="92">
        <f t="shared" si="3"/>
        <v>47514</v>
      </c>
      <c r="AY5" s="92">
        <f t="shared" si="3"/>
        <v>47542</v>
      </c>
      <c r="AZ5" s="92">
        <f t="shared" si="3"/>
        <v>47573</v>
      </c>
      <c r="BA5" s="92">
        <f t="shared" si="3"/>
        <v>47603</v>
      </c>
      <c r="BB5" s="92">
        <f t="shared" si="3"/>
        <v>47634</v>
      </c>
      <c r="BC5" s="92">
        <f t="shared" si="3"/>
        <v>47664</v>
      </c>
      <c r="BD5" s="92">
        <f t="shared" si="3"/>
        <v>47695</v>
      </c>
      <c r="BE5" s="92">
        <f t="shared" si="3"/>
        <v>47726</v>
      </c>
      <c r="BF5" s="92">
        <f t="shared" si="3"/>
        <v>47756</v>
      </c>
      <c r="BG5" s="92">
        <f t="shared" si="3"/>
        <v>47787</v>
      </c>
      <c r="BH5" s="92">
        <f t="shared" si="3"/>
        <v>47817</v>
      </c>
      <c r="BI5" s="92">
        <f t="shared" si="3"/>
        <v>47848</v>
      </c>
      <c r="BJ5" s="92">
        <f t="shared" si="3"/>
        <v>47879</v>
      </c>
      <c r="BK5" s="92">
        <f t="shared" si="3"/>
        <v>47907</v>
      </c>
      <c r="BL5" s="92">
        <f t="shared" si="3"/>
        <v>47938</v>
      </c>
      <c r="BM5" s="92">
        <f t="shared" si="3"/>
        <v>47968</v>
      </c>
      <c r="BN5" s="92">
        <f t="shared" si="3"/>
        <v>47999</v>
      </c>
      <c r="BO5" s="92">
        <f t="shared" si="3"/>
        <v>48029</v>
      </c>
      <c r="BP5" s="92">
        <f t="shared" si="3"/>
        <v>48060</v>
      </c>
    </row>
    <row r="6" spans="1:68" x14ac:dyDescent="0.25">
      <c r="C6" s="90" t="s">
        <v>20</v>
      </c>
      <c r="D6" s="90" t="s">
        <v>21</v>
      </c>
      <c r="E6" s="90"/>
      <c r="F6" s="90"/>
      <c r="G6" s="90"/>
      <c r="H6" s="94">
        <f>N(H$4=Inputs!$E$55)</f>
        <v>0</v>
      </c>
      <c r="I6" s="94">
        <f>N(I$4=Inputs!$E$55)</f>
        <v>0</v>
      </c>
      <c r="J6" s="94">
        <f>N(J$4=Inputs!$E$55)</f>
        <v>0</v>
      </c>
      <c r="K6" s="94">
        <f>N(K$4=Inputs!$E$55)</f>
        <v>0</v>
      </c>
      <c r="L6" s="94">
        <f>N(L$4=Inputs!$E$55)</f>
        <v>0</v>
      </c>
      <c r="M6" s="94">
        <f>N(M$4=Inputs!$E$55)</f>
        <v>0</v>
      </c>
      <c r="N6" s="94">
        <f>N(N$4=Inputs!$E$55)</f>
        <v>0</v>
      </c>
      <c r="O6" s="94">
        <f>N(O$4=Inputs!$E$55)</f>
        <v>0</v>
      </c>
      <c r="P6" s="94">
        <f>N(P$4=Inputs!$E$55)</f>
        <v>0</v>
      </c>
      <c r="Q6" s="94">
        <f>N(Q$4=Inputs!$E$55)</f>
        <v>0</v>
      </c>
      <c r="R6" s="94">
        <f>N(R$4=Inputs!$E$55)</f>
        <v>0</v>
      </c>
      <c r="S6" s="94">
        <f>N(S$4=Inputs!$E$55)</f>
        <v>0</v>
      </c>
      <c r="T6" s="94">
        <f>N(T$4=Inputs!$E$55)</f>
        <v>0</v>
      </c>
      <c r="U6" s="94">
        <f>N(U$4=Inputs!$E$55)</f>
        <v>0</v>
      </c>
      <c r="V6" s="94">
        <f>N(V$4=Inputs!$E$55)</f>
        <v>0</v>
      </c>
      <c r="W6" s="94">
        <f>N(W$4=Inputs!$E$55)</f>
        <v>0</v>
      </c>
      <c r="X6" s="94">
        <f>N(X$4=Inputs!$E$55)</f>
        <v>0</v>
      </c>
      <c r="Y6" s="94">
        <f>N(Y$4=Inputs!$E$55)</f>
        <v>0</v>
      </c>
      <c r="Z6" s="94">
        <f>N(Z$4=Inputs!$E$55)</f>
        <v>0</v>
      </c>
      <c r="AA6" s="94">
        <f>N(AA$4=Inputs!$E$55)</f>
        <v>0</v>
      </c>
      <c r="AB6" s="94">
        <f>N(AB$4=Inputs!$E$55)</f>
        <v>0</v>
      </c>
      <c r="AC6" s="94">
        <f>N(AC$4=Inputs!$E$55)</f>
        <v>0</v>
      </c>
      <c r="AD6" s="94">
        <f>N(AD$4=Inputs!$E$55)</f>
        <v>0</v>
      </c>
      <c r="AE6" s="94">
        <f>N(AE$4=Inputs!$E$55)</f>
        <v>0</v>
      </c>
      <c r="AF6" s="94">
        <f>N(AF$4=Inputs!$E$55)</f>
        <v>0</v>
      </c>
      <c r="AG6" s="94">
        <f>N(AG$4=Inputs!$E$55)</f>
        <v>0</v>
      </c>
      <c r="AH6" s="94">
        <f>N(AH$4=Inputs!$E$55)</f>
        <v>0</v>
      </c>
      <c r="AI6" s="94">
        <f>N(AI$4=Inputs!$E$55)</f>
        <v>0</v>
      </c>
      <c r="AJ6" s="94">
        <f>N(AJ$4=Inputs!$E$55)</f>
        <v>0</v>
      </c>
      <c r="AK6" s="94">
        <f>N(AK$4=Inputs!$E$55)</f>
        <v>0</v>
      </c>
      <c r="AL6" s="94">
        <f>N(AL$4=Inputs!$E$55)</f>
        <v>0</v>
      </c>
      <c r="AM6" s="94">
        <f>N(AM$4=Inputs!$E$55)</f>
        <v>0</v>
      </c>
      <c r="AN6" s="94">
        <f>N(AN$4=Inputs!$E$55)</f>
        <v>0</v>
      </c>
      <c r="AO6" s="94">
        <f>N(AO$4=Inputs!$E$55)</f>
        <v>0</v>
      </c>
      <c r="AP6" s="94">
        <f>N(AP$4=Inputs!$E$55)</f>
        <v>0</v>
      </c>
      <c r="AQ6" s="94">
        <f>N(AQ$4=Inputs!$E$55)</f>
        <v>1</v>
      </c>
      <c r="AR6" s="94">
        <f>N(AR$4=Inputs!$E$55)</f>
        <v>0</v>
      </c>
      <c r="AS6" s="94">
        <f>N(AS$4=Inputs!$E$55)</f>
        <v>0</v>
      </c>
      <c r="AT6" s="94">
        <f>N(AT$4=Inputs!$E$55)</f>
        <v>0</v>
      </c>
      <c r="AU6" s="94">
        <f>N(AU$4=Inputs!$E$55)</f>
        <v>0</v>
      </c>
      <c r="AV6" s="94">
        <f>N(AV$4=Inputs!$E$55)</f>
        <v>0</v>
      </c>
      <c r="AW6" s="94">
        <f>N(AW$4=Inputs!$E$55)</f>
        <v>0</v>
      </c>
      <c r="AX6" s="94">
        <f>N(AX$4=Inputs!$E$55)</f>
        <v>0</v>
      </c>
      <c r="AY6" s="94">
        <f>N(AY$4=Inputs!$E$55)</f>
        <v>0</v>
      </c>
      <c r="AZ6" s="94">
        <f>N(AZ$4=Inputs!$E$55)</f>
        <v>0</v>
      </c>
      <c r="BA6" s="94">
        <f>N(BA$4=Inputs!$E$55)</f>
        <v>0</v>
      </c>
      <c r="BB6" s="94">
        <f>N(BB$4=Inputs!$E$55)</f>
        <v>0</v>
      </c>
      <c r="BC6" s="94">
        <f>N(BC$4=Inputs!$E$55)</f>
        <v>0</v>
      </c>
      <c r="BD6" s="94">
        <f>N(BD$4=Inputs!$E$55)</f>
        <v>0</v>
      </c>
      <c r="BE6" s="94">
        <f>N(BE$4=Inputs!$E$55)</f>
        <v>0</v>
      </c>
      <c r="BF6" s="94">
        <f>N(BF$4=Inputs!$E$55)</f>
        <v>0</v>
      </c>
      <c r="BG6" s="94">
        <f>N(BG$4=Inputs!$E$55)</f>
        <v>0</v>
      </c>
      <c r="BH6" s="94">
        <f>N(BH$4=Inputs!$E$55)</f>
        <v>0</v>
      </c>
      <c r="BI6" s="94">
        <f>N(BI$4=Inputs!$E$55)</f>
        <v>0</v>
      </c>
      <c r="BJ6" s="94">
        <f>N(BJ$4=Inputs!$E$55)</f>
        <v>0</v>
      </c>
      <c r="BK6" s="94">
        <f>N(BK$4=Inputs!$E$55)</f>
        <v>0</v>
      </c>
      <c r="BL6" s="94">
        <f>N(BL$4=Inputs!$E$55)</f>
        <v>0</v>
      </c>
      <c r="BM6" s="94">
        <f>N(BM$4=Inputs!$E$55)</f>
        <v>0</v>
      </c>
      <c r="BN6" s="94">
        <f>N(BN$4=Inputs!$E$55)</f>
        <v>0</v>
      </c>
      <c r="BO6" s="94">
        <f>N(BO$4=Inputs!$E$55)</f>
        <v>0</v>
      </c>
      <c r="BP6" s="94">
        <f>N(BP$4=Inputs!$E$55)</f>
        <v>0</v>
      </c>
    </row>
    <row r="7" spans="1:68" x14ac:dyDescent="0.25">
      <c r="C7" s="90" t="s">
        <v>49</v>
      </c>
      <c r="D7" s="90" t="s">
        <v>21</v>
      </c>
      <c r="E7" s="90"/>
      <c r="F7" s="90"/>
      <c r="G7" s="90"/>
      <c r="H7" s="94">
        <f>N(H$4=Inputs!$E$57)</f>
        <v>0</v>
      </c>
      <c r="I7" s="94">
        <f>N(I$4=Inputs!$E$57)</f>
        <v>0</v>
      </c>
      <c r="J7" s="94">
        <f>N(J$4=Inputs!$E$57)</f>
        <v>0</v>
      </c>
      <c r="K7" s="94">
        <f>N(K$4=Inputs!$E$57)</f>
        <v>0</v>
      </c>
      <c r="L7" s="94">
        <f>N(L$4=Inputs!$E$57)</f>
        <v>0</v>
      </c>
      <c r="M7" s="94">
        <f>N(M$4=Inputs!$E$57)</f>
        <v>0</v>
      </c>
      <c r="N7" s="94">
        <f>N(N$4=Inputs!$E$57)</f>
        <v>0</v>
      </c>
      <c r="O7" s="94">
        <f>N(O$4=Inputs!$E$57)</f>
        <v>0</v>
      </c>
      <c r="P7" s="94">
        <f>N(P$4=Inputs!$E$57)</f>
        <v>0</v>
      </c>
      <c r="Q7" s="94">
        <f>N(Q$4=Inputs!$E$57)</f>
        <v>0</v>
      </c>
      <c r="R7" s="94">
        <f>N(R$4=Inputs!$E$57)</f>
        <v>0</v>
      </c>
      <c r="S7" s="94">
        <f>N(S$4=Inputs!$E$57)</f>
        <v>0</v>
      </c>
      <c r="T7" s="94">
        <f>N(T$4=Inputs!$E$57)</f>
        <v>0</v>
      </c>
      <c r="U7" s="94">
        <f>N(U$4=Inputs!$E$57)</f>
        <v>0</v>
      </c>
      <c r="V7" s="94">
        <f>N(V$4=Inputs!$E$57)</f>
        <v>0</v>
      </c>
      <c r="W7" s="94">
        <f>N(W$4=Inputs!$E$57)</f>
        <v>0</v>
      </c>
      <c r="X7" s="94">
        <f>N(X$4=Inputs!$E$57)</f>
        <v>0</v>
      </c>
      <c r="Y7" s="94">
        <f>N(Y$4=Inputs!$E$57)</f>
        <v>0</v>
      </c>
      <c r="Z7" s="94">
        <f>N(Z$4=Inputs!$E$57)</f>
        <v>0</v>
      </c>
      <c r="AA7" s="94">
        <f>N(AA$4=Inputs!$E$57)</f>
        <v>0</v>
      </c>
      <c r="AB7" s="94">
        <f>N(AB$4=Inputs!$E$57)</f>
        <v>0</v>
      </c>
      <c r="AC7" s="94">
        <f>N(AC$4=Inputs!$E$57)</f>
        <v>0</v>
      </c>
      <c r="AD7" s="94">
        <f>N(AD$4=Inputs!$E$57)</f>
        <v>0</v>
      </c>
      <c r="AE7" s="94">
        <f>N(AE$4=Inputs!$E$57)</f>
        <v>0</v>
      </c>
      <c r="AF7" s="94">
        <f>N(AF$4=Inputs!$E$57)</f>
        <v>0</v>
      </c>
      <c r="AG7" s="94">
        <f>N(AG$4=Inputs!$E$57)</f>
        <v>0</v>
      </c>
      <c r="AH7" s="94">
        <f>N(AH$4=Inputs!$E$57)</f>
        <v>0</v>
      </c>
      <c r="AI7" s="94">
        <f>N(AI$4=Inputs!$E$57)</f>
        <v>0</v>
      </c>
      <c r="AJ7" s="94">
        <f>N(AJ$4=Inputs!$E$57)</f>
        <v>0</v>
      </c>
      <c r="AK7" s="94">
        <f>N(AK$4=Inputs!$E$57)</f>
        <v>0</v>
      </c>
      <c r="AL7" s="94">
        <f>N(AL$4=Inputs!$E$57)</f>
        <v>0</v>
      </c>
      <c r="AM7" s="94">
        <f>N(AM$4=Inputs!$E$57)</f>
        <v>0</v>
      </c>
      <c r="AN7" s="94">
        <f>N(AN$4=Inputs!$E$57)</f>
        <v>0</v>
      </c>
      <c r="AO7" s="94">
        <f>N(AO$4=Inputs!$E$57)</f>
        <v>0</v>
      </c>
      <c r="AP7" s="94">
        <f>N(AP$4=Inputs!$E$57)</f>
        <v>0</v>
      </c>
      <c r="AQ7" s="94">
        <f>N(AQ$4=Inputs!$E$57)</f>
        <v>0</v>
      </c>
      <c r="AR7" s="94">
        <f>N(AR$4=Inputs!$E$57)</f>
        <v>0</v>
      </c>
      <c r="AS7" s="94">
        <f>N(AS$4=Inputs!$E$57)</f>
        <v>0</v>
      </c>
      <c r="AT7" s="94">
        <f>N(AT$4=Inputs!$E$57)</f>
        <v>0</v>
      </c>
      <c r="AU7" s="94">
        <f>N(AU$4=Inputs!$E$57)</f>
        <v>0</v>
      </c>
      <c r="AV7" s="94">
        <f>N(AV$4=Inputs!$E$57)</f>
        <v>0</v>
      </c>
      <c r="AW7" s="94">
        <f>N(AW$4=Inputs!$E$57)</f>
        <v>0</v>
      </c>
      <c r="AX7" s="94">
        <f>N(AX$4=Inputs!$E$57)</f>
        <v>0</v>
      </c>
      <c r="AY7" s="94">
        <f>N(AY$4=Inputs!$E$57)</f>
        <v>0</v>
      </c>
      <c r="AZ7" s="94">
        <f>N(AZ$4=Inputs!$E$57)</f>
        <v>1</v>
      </c>
      <c r="BA7" s="94">
        <f>N(BA$4=Inputs!$E$57)</f>
        <v>0</v>
      </c>
      <c r="BB7" s="94">
        <f>N(BB$4=Inputs!$E$57)</f>
        <v>0</v>
      </c>
      <c r="BC7" s="94">
        <f>N(BC$4=Inputs!$E$57)</f>
        <v>0</v>
      </c>
      <c r="BD7" s="94">
        <f>N(BD$4=Inputs!$E$57)</f>
        <v>0</v>
      </c>
      <c r="BE7" s="94">
        <f>N(BE$4=Inputs!$E$57)</f>
        <v>0</v>
      </c>
      <c r="BF7" s="94">
        <f>N(BF$4=Inputs!$E$57)</f>
        <v>0</v>
      </c>
      <c r="BG7" s="94">
        <f>N(BG$4=Inputs!$E$57)</f>
        <v>0</v>
      </c>
      <c r="BH7" s="94">
        <f>N(BH$4=Inputs!$E$57)</f>
        <v>0</v>
      </c>
      <c r="BI7" s="94">
        <f>N(BI$4=Inputs!$E$57)</f>
        <v>0</v>
      </c>
      <c r="BJ7" s="94">
        <f>N(BJ$4=Inputs!$E$57)</f>
        <v>0</v>
      </c>
      <c r="BK7" s="94">
        <f>N(BK$4=Inputs!$E$57)</f>
        <v>0</v>
      </c>
      <c r="BL7" s="94">
        <f>N(BL$4=Inputs!$E$57)</f>
        <v>0</v>
      </c>
      <c r="BM7" s="94">
        <f>N(BM$4=Inputs!$E$57)</f>
        <v>0</v>
      </c>
      <c r="BN7" s="94">
        <f>N(BN$4=Inputs!$E$57)</f>
        <v>0</v>
      </c>
      <c r="BO7" s="94">
        <f>N(BO$4=Inputs!$E$57)</f>
        <v>0</v>
      </c>
      <c r="BP7" s="94">
        <f>N(BP$4=Inputs!$E$57)</f>
        <v>0</v>
      </c>
    </row>
    <row r="8" spans="1:68" x14ac:dyDescent="0.25">
      <c r="C8" s="90" t="s">
        <v>668</v>
      </c>
      <c r="D8" s="90" t="s">
        <v>21</v>
      </c>
      <c r="E8" s="90"/>
      <c r="F8" s="90"/>
      <c r="G8" s="90"/>
      <c r="H8" s="94">
        <f>N(H$4&lt;=Inputs!$E$55)</f>
        <v>1</v>
      </c>
      <c r="I8" s="94">
        <f>N(I$4&lt;=Inputs!$E$55)</f>
        <v>1</v>
      </c>
      <c r="J8" s="94">
        <f>N(J$4&lt;=Inputs!$E$55)</f>
        <v>1</v>
      </c>
      <c r="K8" s="94">
        <f>N(K$4&lt;=Inputs!$E$55)</f>
        <v>1</v>
      </c>
      <c r="L8" s="94">
        <f>N(L$4&lt;=Inputs!$E$55)</f>
        <v>1</v>
      </c>
      <c r="M8" s="94">
        <f>N(M$4&lt;=Inputs!$E$55)</f>
        <v>1</v>
      </c>
      <c r="N8" s="94">
        <f>N(N$4&lt;=Inputs!$E$55)</f>
        <v>1</v>
      </c>
      <c r="O8" s="94">
        <f>N(O$4&lt;=Inputs!$E$55)</f>
        <v>1</v>
      </c>
      <c r="P8" s="94">
        <f>N(P$4&lt;=Inputs!$E$55)</f>
        <v>1</v>
      </c>
      <c r="Q8" s="94">
        <f>N(Q$4&lt;=Inputs!$E$55)</f>
        <v>1</v>
      </c>
      <c r="R8" s="94">
        <f>N(R$4&lt;=Inputs!$E$55)</f>
        <v>1</v>
      </c>
      <c r="S8" s="94">
        <f>N(S$4&lt;=Inputs!$E$55)</f>
        <v>1</v>
      </c>
      <c r="T8" s="94">
        <f>N(T$4&lt;=Inputs!$E$55)</f>
        <v>1</v>
      </c>
      <c r="U8" s="94">
        <f>N(U$4&lt;=Inputs!$E$55)</f>
        <v>1</v>
      </c>
      <c r="V8" s="94">
        <f>N(V$4&lt;=Inputs!$E$55)</f>
        <v>1</v>
      </c>
      <c r="W8" s="94">
        <f>N(W$4&lt;=Inputs!$E$55)</f>
        <v>1</v>
      </c>
      <c r="X8" s="94">
        <f>N(X$4&lt;=Inputs!$E$55)</f>
        <v>1</v>
      </c>
      <c r="Y8" s="94">
        <f>N(Y$4&lt;=Inputs!$E$55)</f>
        <v>1</v>
      </c>
      <c r="Z8" s="94">
        <f>N(Z$4&lt;=Inputs!$E$55)</f>
        <v>1</v>
      </c>
      <c r="AA8" s="94">
        <f>N(AA$4&lt;=Inputs!$E$55)</f>
        <v>1</v>
      </c>
      <c r="AB8" s="94">
        <f>N(AB$4&lt;=Inputs!$E$55)</f>
        <v>1</v>
      </c>
      <c r="AC8" s="94">
        <f>N(AC$4&lt;=Inputs!$E$55)</f>
        <v>1</v>
      </c>
      <c r="AD8" s="94">
        <f>N(AD$4&lt;=Inputs!$E$55)</f>
        <v>1</v>
      </c>
      <c r="AE8" s="94">
        <f>N(AE$4&lt;=Inputs!$E$55)</f>
        <v>1</v>
      </c>
      <c r="AF8" s="94">
        <f>N(AF$4&lt;=Inputs!$E$55)</f>
        <v>1</v>
      </c>
      <c r="AG8" s="94">
        <f>N(AG$4&lt;=Inputs!$E$55)</f>
        <v>1</v>
      </c>
      <c r="AH8" s="94">
        <f>N(AH$4&lt;=Inputs!$E$55)</f>
        <v>1</v>
      </c>
      <c r="AI8" s="94">
        <f>N(AI$4&lt;=Inputs!$E$55)</f>
        <v>1</v>
      </c>
      <c r="AJ8" s="94">
        <f>N(AJ$4&lt;=Inputs!$E$55)</f>
        <v>1</v>
      </c>
      <c r="AK8" s="94">
        <f>N(AK$4&lt;=Inputs!$E$55)</f>
        <v>1</v>
      </c>
      <c r="AL8" s="94">
        <f>N(AL$4&lt;=Inputs!$E$55)</f>
        <v>1</v>
      </c>
      <c r="AM8" s="94">
        <f>N(AM$4&lt;=Inputs!$E$55)</f>
        <v>1</v>
      </c>
      <c r="AN8" s="94">
        <f>N(AN$4&lt;=Inputs!$E$55)</f>
        <v>1</v>
      </c>
      <c r="AO8" s="94">
        <f>N(AO$4&lt;=Inputs!$E$55)</f>
        <v>1</v>
      </c>
      <c r="AP8" s="94">
        <f>N(AP$4&lt;=Inputs!$E$55)</f>
        <v>1</v>
      </c>
      <c r="AQ8" s="94">
        <f>N(AQ$4&lt;=Inputs!$E$55)</f>
        <v>1</v>
      </c>
      <c r="AR8" s="94">
        <f>N(AR$4&lt;=Inputs!$E$55)</f>
        <v>0</v>
      </c>
      <c r="AS8" s="94">
        <f>N(AS$4&lt;=Inputs!$E$55)</f>
        <v>0</v>
      </c>
      <c r="AT8" s="94">
        <f>N(AT$4&lt;=Inputs!$E$55)</f>
        <v>0</v>
      </c>
      <c r="AU8" s="94">
        <f>N(AU$4&lt;=Inputs!$E$55)</f>
        <v>0</v>
      </c>
      <c r="AV8" s="94">
        <f>N(AV$4&lt;=Inputs!$E$55)</f>
        <v>0</v>
      </c>
      <c r="AW8" s="94">
        <f>N(AW$4&lt;=Inputs!$E$55)</f>
        <v>0</v>
      </c>
      <c r="AX8" s="94">
        <f>N(AX$4&lt;=Inputs!$E$55)</f>
        <v>0</v>
      </c>
      <c r="AY8" s="94">
        <f>N(AY$4&lt;=Inputs!$E$55)</f>
        <v>0</v>
      </c>
      <c r="AZ8" s="94">
        <f>N(AZ$4&lt;=Inputs!$E$55)</f>
        <v>0</v>
      </c>
      <c r="BA8" s="94">
        <f>N(BA$4&lt;=Inputs!$E$55)</f>
        <v>0</v>
      </c>
      <c r="BB8" s="94">
        <f>N(BB$4&lt;=Inputs!$E$55)</f>
        <v>0</v>
      </c>
      <c r="BC8" s="94">
        <f>N(BC$4&lt;=Inputs!$E$55)</f>
        <v>0</v>
      </c>
      <c r="BD8" s="94">
        <f>N(BD$4&lt;=Inputs!$E$55)</f>
        <v>0</v>
      </c>
      <c r="BE8" s="94">
        <f>N(BE$4&lt;=Inputs!$E$55)</f>
        <v>0</v>
      </c>
      <c r="BF8" s="94">
        <f>N(BF$4&lt;=Inputs!$E$55)</f>
        <v>0</v>
      </c>
      <c r="BG8" s="94">
        <f>N(BG$4&lt;=Inputs!$E$55)</f>
        <v>0</v>
      </c>
      <c r="BH8" s="94">
        <f>N(BH$4&lt;=Inputs!$E$55)</f>
        <v>0</v>
      </c>
      <c r="BI8" s="94">
        <f>N(BI$4&lt;=Inputs!$E$55)</f>
        <v>0</v>
      </c>
      <c r="BJ8" s="94">
        <f>N(BJ$4&lt;=Inputs!$E$55)</f>
        <v>0</v>
      </c>
      <c r="BK8" s="94">
        <f>N(BK$4&lt;=Inputs!$E$55)</f>
        <v>0</v>
      </c>
      <c r="BL8" s="94">
        <f>N(BL$4&lt;=Inputs!$E$55)</f>
        <v>0</v>
      </c>
      <c r="BM8" s="94">
        <f>N(BM$4&lt;=Inputs!$E$55)</f>
        <v>0</v>
      </c>
      <c r="BN8" s="94">
        <f>N(BN$4&lt;=Inputs!$E$55)</f>
        <v>0</v>
      </c>
      <c r="BO8" s="94">
        <f>N(BO$4&lt;=Inputs!$E$55)</f>
        <v>0</v>
      </c>
      <c r="BP8" s="94">
        <f>N(BP$4&lt;=Inputs!$E$55)</f>
        <v>0</v>
      </c>
    </row>
    <row r="9" spans="1:68" x14ac:dyDescent="0.25">
      <c r="C9" s="90" t="s">
        <v>669</v>
      </c>
      <c r="D9" s="90" t="s">
        <v>21</v>
      </c>
      <c r="E9" s="90"/>
      <c r="F9" s="90"/>
      <c r="G9" s="90"/>
      <c r="H9" s="94">
        <f>N(H$4&lt;=Inputs!$E$57)</f>
        <v>1</v>
      </c>
      <c r="I9" s="94">
        <f>N(I$4&lt;=Inputs!$E$57)</f>
        <v>1</v>
      </c>
      <c r="J9" s="94">
        <f>N(J$4&lt;=Inputs!$E$57)</f>
        <v>1</v>
      </c>
      <c r="K9" s="94">
        <f>N(K$4&lt;=Inputs!$E$57)</f>
        <v>1</v>
      </c>
      <c r="L9" s="94">
        <f>N(L$4&lt;=Inputs!$E$57)</f>
        <v>1</v>
      </c>
      <c r="M9" s="94">
        <f>N(M$4&lt;=Inputs!$E$57)</f>
        <v>1</v>
      </c>
      <c r="N9" s="94">
        <f>N(N$4&lt;=Inputs!$E$57)</f>
        <v>1</v>
      </c>
      <c r="O9" s="94">
        <f>N(O$4&lt;=Inputs!$E$57)</f>
        <v>1</v>
      </c>
      <c r="P9" s="94">
        <f>N(P$4&lt;=Inputs!$E$57)</f>
        <v>1</v>
      </c>
      <c r="Q9" s="94">
        <f>N(Q$4&lt;=Inputs!$E$57)</f>
        <v>1</v>
      </c>
      <c r="R9" s="94">
        <f>N(R$4&lt;=Inputs!$E$57)</f>
        <v>1</v>
      </c>
      <c r="S9" s="94">
        <f>N(S$4&lt;=Inputs!$E$57)</f>
        <v>1</v>
      </c>
      <c r="T9" s="94">
        <f>N(T$4&lt;=Inputs!$E$57)</f>
        <v>1</v>
      </c>
      <c r="U9" s="94">
        <f>N(U$4&lt;=Inputs!$E$57)</f>
        <v>1</v>
      </c>
      <c r="V9" s="94">
        <f>N(V$4&lt;=Inputs!$E$57)</f>
        <v>1</v>
      </c>
      <c r="W9" s="94">
        <f>N(W$4&lt;=Inputs!$E$57)</f>
        <v>1</v>
      </c>
      <c r="X9" s="94">
        <f>N(X$4&lt;=Inputs!$E$57)</f>
        <v>1</v>
      </c>
      <c r="Y9" s="94">
        <f>N(Y$4&lt;=Inputs!$E$57)</f>
        <v>1</v>
      </c>
      <c r="Z9" s="94">
        <f>N(Z$4&lt;=Inputs!$E$57)</f>
        <v>1</v>
      </c>
      <c r="AA9" s="94">
        <f>N(AA$4&lt;=Inputs!$E$57)</f>
        <v>1</v>
      </c>
      <c r="AB9" s="94">
        <f>N(AB$4&lt;=Inputs!$E$57)</f>
        <v>1</v>
      </c>
      <c r="AC9" s="94">
        <f>N(AC$4&lt;=Inputs!$E$57)</f>
        <v>1</v>
      </c>
      <c r="AD9" s="94">
        <f>N(AD$4&lt;=Inputs!$E$57)</f>
        <v>1</v>
      </c>
      <c r="AE9" s="94">
        <f>N(AE$4&lt;=Inputs!$E$57)</f>
        <v>1</v>
      </c>
      <c r="AF9" s="94">
        <f>N(AF$4&lt;=Inputs!$E$57)</f>
        <v>1</v>
      </c>
      <c r="AG9" s="94">
        <f>N(AG$4&lt;=Inputs!$E$57)</f>
        <v>1</v>
      </c>
      <c r="AH9" s="94">
        <f>N(AH$4&lt;=Inputs!$E$57)</f>
        <v>1</v>
      </c>
      <c r="AI9" s="94">
        <f>N(AI$4&lt;=Inputs!$E$57)</f>
        <v>1</v>
      </c>
      <c r="AJ9" s="94">
        <f>N(AJ$4&lt;=Inputs!$E$57)</f>
        <v>1</v>
      </c>
      <c r="AK9" s="94">
        <f>N(AK$4&lt;=Inputs!$E$57)</f>
        <v>1</v>
      </c>
      <c r="AL9" s="94">
        <f>N(AL$4&lt;=Inputs!$E$57)</f>
        <v>1</v>
      </c>
      <c r="AM9" s="94">
        <f>N(AM$4&lt;=Inputs!$E$57)</f>
        <v>1</v>
      </c>
      <c r="AN9" s="94">
        <f>N(AN$4&lt;=Inputs!$E$57)</f>
        <v>1</v>
      </c>
      <c r="AO9" s="94">
        <f>N(AO$4&lt;=Inputs!$E$57)</f>
        <v>1</v>
      </c>
      <c r="AP9" s="94">
        <f>N(AP$4&lt;=Inputs!$E$57)</f>
        <v>1</v>
      </c>
      <c r="AQ9" s="94">
        <f>N(AQ$4&lt;=Inputs!$E$57)</f>
        <v>1</v>
      </c>
      <c r="AR9" s="94">
        <f>N(AR$4&lt;=Inputs!$E$57)</f>
        <v>1</v>
      </c>
      <c r="AS9" s="94">
        <f>N(AS$4&lt;=Inputs!$E$57)</f>
        <v>1</v>
      </c>
      <c r="AT9" s="94">
        <f>N(AT$4&lt;=Inputs!$E$57)</f>
        <v>1</v>
      </c>
      <c r="AU9" s="94">
        <f>N(AU$4&lt;=Inputs!$E$57)</f>
        <v>1</v>
      </c>
      <c r="AV9" s="94">
        <f>N(AV$4&lt;=Inputs!$E$57)</f>
        <v>1</v>
      </c>
      <c r="AW9" s="94">
        <f>N(AW$4&lt;=Inputs!$E$57)</f>
        <v>1</v>
      </c>
      <c r="AX9" s="94">
        <f>N(AX$4&lt;=Inputs!$E$57)</f>
        <v>1</v>
      </c>
      <c r="AY9" s="94">
        <f>N(AY$4&lt;=Inputs!$E$57)</f>
        <v>1</v>
      </c>
      <c r="AZ9" s="94">
        <f>N(AZ$4&lt;=Inputs!$E$57)</f>
        <v>1</v>
      </c>
      <c r="BA9" s="94">
        <f>N(BA$4&lt;=Inputs!$E$57)</f>
        <v>0</v>
      </c>
      <c r="BB9" s="94">
        <f>N(BB$4&lt;=Inputs!$E$57)</f>
        <v>0</v>
      </c>
      <c r="BC9" s="94">
        <f>N(BC$4&lt;=Inputs!$E$57)</f>
        <v>0</v>
      </c>
      <c r="BD9" s="94">
        <f>N(BD$4&lt;=Inputs!$E$57)</f>
        <v>0</v>
      </c>
      <c r="BE9" s="94">
        <f>N(BE$4&lt;=Inputs!$E$57)</f>
        <v>0</v>
      </c>
      <c r="BF9" s="94">
        <f>N(BF$4&lt;=Inputs!$E$57)</f>
        <v>0</v>
      </c>
      <c r="BG9" s="94">
        <f>N(BG$4&lt;=Inputs!$E$57)</f>
        <v>0</v>
      </c>
      <c r="BH9" s="94">
        <f>N(BH$4&lt;=Inputs!$E$57)</f>
        <v>0</v>
      </c>
      <c r="BI9" s="94">
        <f>N(BI$4&lt;=Inputs!$E$57)</f>
        <v>0</v>
      </c>
      <c r="BJ9" s="94">
        <f>N(BJ$4&lt;=Inputs!$E$57)</f>
        <v>0</v>
      </c>
      <c r="BK9" s="94">
        <f>N(BK$4&lt;=Inputs!$E$57)</f>
        <v>0</v>
      </c>
      <c r="BL9" s="94">
        <f>N(BL$4&lt;=Inputs!$E$57)</f>
        <v>0</v>
      </c>
      <c r="BM9" s="94">
        <f>N(BM$4&lt;=Inputs!$E$57)</f>
        <v>0</v>
      </c>
      <c r="BN9" s="94">
        <f>N(BN$4&lt;=Inputs!$E$57)</f>
        <v>0</v>
      </c>
      <c r="BO9" s="94">
        <f>N(BO$4&lt;=Inputs!$E$57)</f>
        <v>0</v>
      </c>
      <c r="BP9" s="94">
        <f>N(BP$4&lt;=Inputs!$E$57)</f>
        <v>0</v>
      </c>
    </row>
    <row r="10" x14ac:dyDescent="0.25">
      <c r="C10" s="90" t="inlineStr">
        <is>
          <t xml:space="preserve">Interest accrual flag (month ≤ pause start Inputs E64, or after the pause end E73)</t>
        </is>
      </c>
      <c r="D10" s="90" t="s">
        <v>21</v>
      </c>
      <c r="E10" s="90"/>
      <c r="F10" s="90"/>
      <c r="G10" s="90"/>
      <c r="H10" s="94">
        <f>N(OR(H$5&lt;=Inputs!$E$64,H$5&gt;Inputs!$E$73))</f>
        <v>1</v>
      </c>
      <c r="I10" s="94">
        <f>N(OR(I$5&lt;=Inputs!$E$64,I$5&gt;Inputs!$E$73))</f>
        <v>1</v>
      </c>
      <c r="J10" s="94">
        <f>N(OR(J$5&lt;=Inputs!$E$64,J$5&gt;Inputs!$E$73))</f>
        <v>1</v>
      </c>
      <c r="K10" s="94">
        <f>N(OR(K$5&lt;=Inputs!$E$64,K$5&gt;Inputs!$E$73))</f>
        <v>1</v>
      </c>
      <c r="L10" s="94">
        <f>N(OR(L$5&lt;=Inputs!$E$64,L$5&gt;Inputs!$E$73))</f>
        <v>1</v>
      </c>
      <c r="M10" s="94">
        <f>N(OR(M$5&lt;=Inputs!$E$64,M$5&gt;Inputs!$E$73))</f>
        <v>1</v>
      </c>
      <c r="N10" s="94">
        <f>N(OR(N$5&lt;=Inputs!$E$64,N$5&gt;Inputs!$E$73))</f>
        <v>1</v>
      </c>
      <c r="O10" s="94">
        <f>N(OR(O$5&lt;=Inputs!$E$64,O$5&gt;Inputs!$E$73))</f>
        <v>1</v>
      </c>
      <c r="P10" s="94">
        <f>N(OR(P$5&lt;=Inputs!$E$64,P$5&gt;Inputs!$E$73))</f>
        <v>1</v>
      </c>
      <c r="Q10" s="94">
        <f>N(OR(Q$5&lt;=Inputs!$E$64,Q$5&gt;Inputs!$E$73))</f>
        <v>1</v>
      </c>
      <c r="R10" s="94">
        <f>N(OR(R$5&lt;=Inputs!$E$64,R$5&gt;Inputs!$E$73))</f>
        <v>1</v>
      </c>
      <c r="S10" s="94">
        <f>N(OR(S$5&lt;=Inputs!$E$64,S$5&gt;Inputs!$E$73))</f>
        <v>1</v>
      </c>
      <c r="T10" s="94">
        <f>N(OR(T$5&lt;=Inputs!$E$64,T$5&gt;Inputs!$E$73))</f>
        <v>1</v>
      </c>
      <c r="U10" s="94">
        <f>N(OR(U$5&lt;=Inputs!$E$64,U$5&gt;Inputs!$E$73))</f>
        <v>1</v>
      </c>
      <c r="V10" s="94">
        <f>N(OR(V$5&lt;=Inputs!$E$64,V$5&gt;Inputs!$E$73))</f>
        <v>1</v>
      </c>
      <c r="W10" s="94">
        <f>N(OR(W$5&lt;=Inputs!$E$64,W$5&gt;Inputs!$E$73))</f>
        <v>1</v>
      </c>
      <c r="X10" s="94">
        <f>N(OR(X$5&lt;=Inputs!$E$64,X$5&gt;Inputs!$E$73))</f>
        <v>1</v>
      </c>
      <c r="Y10" s="94">
        <f>N(OR(Y$5&lt;=Inputs!$E$64,Y$5&gt;Inputs!$E$73))</f>
        <v>1</v>
      </c>
      <c r="Z10" s="94">
        <f>N(OR(Z$5&lt;=Inputs!$E$64,Z$5&gt;Inputs!$E$73))</f>
        <v>1</v>
      </c>
      <c r="AA10" s="94">
        <f>N(OR(AA$5&lt;=Inputs!$E$64,AA$5&gt;Inputs!$E$73))</f>
        <v>1</v>
      </c>
      <c r="AB10" s="94">
        <f>N(OR(AB$5&lt;=Inputs!$E$64,AB$5&gt;Inputs!$E$73))</f>
        <v>1</v>
      </c>
      <c r="AC10" s="94">
        <f>N(OR(AC$5&lt;=Inputs!$E$64,AC$5&gt;Inputs!$E$73))</f>
        <v>1</v>
      </c>
      <c r="AD10" s="94">
        <f>N(OR(AD$5&lt;=Inputs!$E$64,AD$5&gt;Inputs!$E$73))</f>
        <v>1</v>
      </c>
      <c r="AE10" s="94">
        <f>N(OR(AE$5&lt;=Inputs!$E$64,AE$5&gt;Inputs!$E$73))</f>
        <v>1</v>
      </c>
      <c r="AF10" s="94">
        <f>N(OR(AF$5&lt;=Inputs!$E$64,AF$5&gt;Inputs!$E$73))</f>
        <v>1</v>
      </c>
      <c r="AG10" s="94">
        <f>N(OR(AG$5&lt;=Inputs!$E$64,AG$5&gt;Inputs!$E$73))</f>
        <v>1</v>
      </c>
      <c r="AH10" s="94">
        <f>N(OR(AH$5&lt;=Inputs!$E$64,AH$5&gt;Inputs!$E$73))</f>
        <v>1</v>
      </c>
      <c r="AI10" s="94">
        <f>N(OR(AI$5&lt;=Inputs!$E$64,AI$5&gt;Inputs!$E$73))</f>
        <v>1</v>
      </c>
      <c r="AJ10" s="94">
        <f>N(OR(AJ$5&lt;=Inputs!$E$64,AJ$5&gt;Inputs!$E$73))</f>
        <v>1</v>
      </c>
      <c r="AK10" s="94">
        <f>N(OR(AK$5&lt;=Inputs!$E$64,AK$5&gt;Inputs!$E$73))</f>
        <v>1</v>
      </c>
      <c r="AL10" s="94">
        <f>N(OR(AL$5&lt;=Inputs!$E$64,AL$5&gt;Inputs!$E$73))</f>
        <v>1</v>
      </c>
      <c r="AM10" s="94">
        <f>N(OR(AM$5&lt;=Inputs!$E$64,AM$5&gt;Inputs!$E$73))</f>
        <v>1</v>
      </c>
      <c r="AN10" s="94">
        <f>N(OR(AN$5&lt;=Inputs!$E$64,AN$5&gt;Inputs!$E$73))</f>
        <v>1</v>
      </c>
      <c r="AO10" s="94">
        <f>N(OR(AO$5&lt;=Inputs!$E$64,AO$5&gt;Inputs!$E$73))</f>
        <v>1</v>
      </c>
      <c r="AP10" s="94">
        <f>N(OR(AP$5&lt;=Inputs!$E$64,AP$5&gt;Inputs!$E$73))</f>
        <v>1</v>
      </c>
      <c r="AQ10" s="94">
        <f>N(OR(AQ$5&lt;=Inputs!$E$64,AQ$5&gt;Inputs!$E$73))</f>
        <v>1</v>
      </c>
      <c r="AR10" s="94">
        <f>N(OR(AR$5&lt;=Inputs!$E$64,AR$5&gt;Inputs!$E$73))</f>
        <v>0</v>
      </c>
      <c r="AS10" s="94">
        <f>N(OR(AS$5&lt;=Inputs!$E$64,AS$5&gt;Inputs!$E$73))</f>
        <v>0</v>
      </c>
      <c r="AT10" s="94">
        <f>N(OR(AT$5&lt;=Inputs!$E$64,AT$5&gt;Inputs!$E$73))</f>
        <v>0</v>
      </c>
      <c r="AU10" s="94">
        <f>N(OR(AU$5&lt;=Inputs!$E$64,AU$5&gt;Inputs!$E$73))</f>
        <v>0</v>
      </c>
      <c r="AV10" s="94">
        <f>N(OR(AV$5&lt;=Inputs!$E$64,AV$5&gt;Inputs!$E$73))</f>
        <v>0</v>
      </c>
      <c r="AW10" s="94">
        <f>N(OR(AW$5&lt;=Inputs!$E$64,AW$5&gt;Inputs!$E$73))</f>
        <v>0</v>
      </c>
      <c r="AX10" s="94">
        <f>N(OR(AX$5&lt;=Inputs!$E$64,AX$5&gt;Inputs!$E$73))</f>
        <v>1</v>
      </c>
      <c r="AY10" s="94">
        <f>N(OR(AY$5&lt;=Inputs!$E$64,AY$5&gt;Inputs!$E$73))</f>
        <v>1</v>
      </c>
      <c r="AZ10" s="94">
        <f>N(OR(AZ$5&lt;=Inputs!$E$64,AZ$5&gt;Inputs!$E$73))</f>
        <v>1</v>
      </c>
      <c r="BA10" s="94">
        <f>N(OR(BA$5&lt;=Inputs!$E$64,BA$5&gt;Inputs!$E$73))</f>
        <v>1</v>
      </c>
      <c r="BB10" s="94">
        <f>N(OR(BB$5&lt;=Inputs!$E$64,BB$5&gt;Inputs!$E$73))</f>
        <v>1</v>
      </c>
      <c r="BC10" s="94">
        <f>N(OR(BC$5&lt;=Inputs!$E$64,BC$5&gt;Inputs!$E$73))</f>
        <v>1</v>
      </c>
      <c r="BD10" s="94">
        <f>N(OR(BD$5&lt;=Inputs!$E$64,BD$5&gt;Inputs!$E$73))</f>
        <v>1</v>
      </c>
      <c r="BE10" s="94">
        <f>N(OR(BE$5&lt;=Inputs!$E$64,BE$5&gt;Inputs!$E$73))</f>
        <v>1</v>
      </c>
      <c r="BF10" s="94">
        <f>N(OR(BF$5&lt;=Inputs!$E$64,BF$5&gt;Inputs!$E$73))</f>
        <v>1</v>
      </c>
      <c r="BG10" s="94">
        <f>N(OR(BG$5&lt;=Inputs!$E$64,BG$5&gt;Inputs!$E$73))</f>
        <v>1</v>
      </c>
      <c r="BH10" s="94">
        <f>N(OR(BH$5&lt;=Inputs!$E$64,BH$5&gt;Inputs!$E$73))</f>
        <v>1</v>
      </c>
      <c r="BI10" s="94">
        <f>N(OR(BI$5&lt;=Inputs!$E$64,BI$5&gt;Inputs!$E$73))</f>
        <v>1</v>
      </c>
      <c r="BJ10" s="94">
        <f>N(OR(BJ$5&lt;=Inputs!$E$64,BJ$5&gt;Inputs!$E$73))</f>
        <v>1</v>
      </c>
      <c r="BK10" s="94">
        <f>N(OR(BK$5&lt;=Inputs!$E$64,BK$5&gt;Inputs!$E$73))</f>
        <v>1</v>
      </c>
      <c r="BL10" s="94">
        <f>N(OR(BL$5&lt;=Inputs!$E$64,BL$5&gt;Inputs!$E$73))</f>
        <v>1</v>
      </c>
      <c r="BM10" s="94">
        <f>N(OR(BM$5&lt;=Inputs!$E$64,BM$5&gt;Inputs!$E$73))</f>
        <v>1</v>
      </c>
      <c r="BN10" s="94">
        <f>N(OR(BN$5&lt;=Inputs!$E$64,BN$5&gt;Inputs!$E$73))</f>
        <v>1</v>
      </c>
      <c r="BO10" s="94">
        <f>N(OR(BO$5&lt;=Inputs!$E$64,BO$5&gt;Inputs!$E$73))</f>
        <v>1</v>
      </c>
      <c r="BP10" s="94">
        <f>N(OR(BP$5&lt;=Inputs!$E$64,BP$5&gt;Inputs!$E$73))</f>
        <v>1</v>
      </c>
    </row>
    <row r="11" spans="1:68" x14ac:dyDescent="0.25">
      <c r="C11" s="43" t="s">
        <v>1883</v>
      </c>
      <c r="D11" s="43"/>
      <c r="E11" s="43" t="s">
        <v>670</v>
      </c>
      <c r="F11" s="43" t="s">
        <v>846</v>
      </c>
      <c r="G11" s="43" t="s">
        <v>17</v>
      </c>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row>
    <row r="12" spans="1:68" outlineLevel="1" x14ac:dyDescent="0.25">
      <c r="C12" s="29" t="str">
        <f>Inputs!C41</f>
        <v>Milestone 1 devex</v>
      </c>
      <c r="D12" t="s">
        <v>844</v>
      </c>
      <c r="E12" s="24">
        <f>Inputs!E49</f>
        <v>0</v>
      </c>
      <c r="F12" s="20">
        <f>Inputs!E41*Inputs!$E$16</f>
        <v>0</v>
      </c>
      <c r="G12" s="20">
        <f t="shared" ref="G12:G18" si="4">SUM(H12:BP12)</f>
        <v>0</v>
      </c>
      <c r="H12" s="20">
        <f t="shared" ref="H12:Q17" si="5">IF(H$4=$E12,$F12,0)</f>
        <v>0</v>
      </c>
      <c r="I12" s="20">
        <f t="shared" si="5"/>
        <v>0</v>
      </c>
      <c r="J12" s="20">
        <f t="shared" si="5"/>
        <v>0</v>
      </c>
      <c r="K12" s="20">
        <f t="shared" si="5"/>
        <v>0</v>
      </c>
      <c r="L12" s="20">
        <f t="shared" si="5"/>
        <v>0</v>
      </c>
      <c r="M12" s="20">
        <f t="shared" si="5"/>
        <v>0</v>
      </c>
      <c r="N12" s="20">
        <f t="shared" si="5"/>
        <v>0</v>
      </c>
      <c r="O12" s="20">
        <f t="shared" si="5"/>
        <v>0</v>
      </c>
      <c r="P12" s="20">
        <f t="shared" si="5"/>
        <v>0</v>
      </c>
      <c r="Q12" s="20">
        <f t="shared" si="5"/>
        <v>0</v>
      </c>
      <c r="R12" s="20">
        <f t="shared" ref="R12:AA17" si="6">IF(R$4=$E12,$F12,0)</f>
        <v>0</v>
      </c>
      <c r="S12" s="20">
        <f t="shared" si="6"/>
        <v>0</v>
      </c>
      <c r="T12" s="20">
        <f t="shared" si="6"/>
        <v>0</v>
      </c>
      <c r="U12" s="20">
        <f t="shared" si="6"/>
        <v>0</v>
      </c>
      <c r="V12" s="20">
        <f t="shared" si="6"/>
        <v>0</v>
      </c>
      <c r="W12" s="20">
        <f t="shared" si="6"/>
        <v>0</v>
      </c>
      <c r="X12" s="20">
        <f t="shared" si="6"/>
        <v>0</v>
      </c>
      <c r="Y12" s="20">
        <f t="shared" si="6"/>
        <v>0</v>
      </c>
      <c r="Z12" s="20">
        <f t="shared" si="6"/>
        <v>0</v>
      </c>
      <c r="AA12" s="20">
        <f t="shared" si="6"/>
        <v>0</v>
      </c>
      <c r="AB12" s="20">
        <f t="shared" ref="AB12:AK17" si="7">IF(AB$4=$E12,$F12,0)</f>
        <v>0</v>
      </c>
      <c r="AC12" s="20">
        <f t="shared" si="7"/>
        <v>0</v>
      </c>
      <c r="AD12" s="20">
        <f t="shared" si="7"/>
        <v>0</v>
      </c>
      <c r="AE12" s="20">
        <f t="shared" si="7"/>
        <v>0</v>
      </c>
      <c r="AF12" s="20">
        <f t="shared" si="7"/>
        <v>0</v>
      </c>
      <c r="AG12" s="20">
        <f t="shared" si="7"/>
        <v>0</v>
      </c>
      <c r="AH12" s="20">
        <f t="shared" si="7"/>
        <v>0</v>
      </c>
      <c r="AI12" s="20">
        <f t="shared" si="7"/>
        <v>0</v>
      </c>
      <c r="AJ12" s="20">
        <f t="shared" si="7"/>
        <v>0</v>
      </c>
      <c r="AK12" s="20">
        <f t="shared" si="7"/>
        <v>0</v>
      </c>
      <c r="AL12" s="20">
        <f t="shared" ref="AL12:AU17" si="8">IF(AL$4=$E12,$F12,0)</f>
        <v>0</v>
      </c>
      <c r="AM12" s="20">
        <f t="shared" si="8"/>
        <v>0</v>
      </c>
      <c r="AN12" s="20">
        <f t="shared" si="8"/>
        <v>0</v>
      </c>
      <c r="AO12" s="20">
        <f t="shared" si="8"/>
        <v>0</v>
      </c>
      <c r="AP12" s="20">
        <f t="shared" si="8"/>
        <v>0</v>
      </c>
      <c r="AQ12" s="20">
        <f t="shared" si="8"/>
        <v>0</v>
      </c>
      <c r="AR12" s="20">
        <f t="shared" si="8"/>
        <v>0</v>
      </c>
      <c r="AS12" s="20">
        <f t="shared" si="8"/>
        <v>0</v>
      </c>
      <c r="AT12" s="20">
        <f t="shared" si="8"/>
        <v>0</v>
      </c>
      <c r="AU12" s="20">
        <f t="shared" si="8"/>
        <v>0</v>
      </c>
      <c r="AV12" s="20">
        <f t="shared" ref="AV12:BE17" si="9">IF(AV$4=$E12,$F12,0)</f>
        <v>0</v>
      </c>
      <c r="AW12" s="20">
        <f t="shared" si="9"/>
        <v>0</v>
      </c>
      <c r="AX12" s="20">
        <f t="shared" si="9"/>
        <v>0</v>
      </c>
      <c r="AY12" s="20">
        <f t="shared" si="9"/>
        <v>0</v>
      </c>
      <c r="AZ12" s="20">
        <f t="shared" si="9"/>
        <v>0</v>
      </c>
      <c r="BA12" s="20">
        <f t="shared" si="9"/>
        <v>0</v>
      </c>
      <c r="BB12" s="20">
        <f t="shared" si="9"/>
        <v>0</v>
      </c>
      <c r="BC12" s="20">
        <f t="shared" si="9"/>
        <v>0</v>
      </c>
      <c r="BD12" s="20">
        <f t="shared" si="9"/>
        <v>0</v>
      </c>
      <c r="BE12" s="20">
        <f t="shared" si="9"/>
        <v>0</v>
      </c>
      <c r="BF12" s="20">
        <f t="shared" ref="BF12:BP17" si="10">IF(BF$4=$E12,$F12,0)</f>
        <v>0</v>
      </c>
      <c r="BG12" s="20">
        <f t="shared" si="10"/>
        <v>0</v>
      </c>
      <c r="BH12" s="20">
        <f t="shared" si="10"/>
        <v>0</v>
      </c>
      <c r="BI12" s="20">
        <f t="shared" si="10"/>
        <v>0</v>
      </c>
      <c r="BJ12" s="20">
        <f t="shared" si="10"/>
        <v>0</v>
      </c>
      <c r="BK12" s="20">
        <f t="shared" si="10"/>
        <v>0</v>
      </c>
      <c r="BL12" s="20">
        <f t="shared" si="10"/>
        <v>0</v>
      </c>
      <c r="BM12" s="20">
        <f t="shared" si="10"/>
        <v>0</v>
      </c>
      <c r="BN12" s="20">
        <f t="shared" si="10"/>
        <v>0</v>
      </c>
      <c r="BO12" s="20">
        <f t="shared" si="10"/>
        <v>0</v>
      </c>
      <c r="BP12" s="20">
        <f t="shared" si="10"/>
        <v>0</v>
      </c>
    </row>
    <row r="13" spans="1:68" outlineLevel="1" x14ac:dyDescent="0.25">
      <c r="C13" s="29" t="str">
        <f>Inputs!C42</f>
        <v>Milestone 2 devex</v>
      </c>
      <c r="D13" t="s">
        <v>844</v>
      </c>
      <c r="E13" s="24">
        <f>E12+Inputs!E50</f>
        <v>6</v>
      </c>
      <c r="F13" s="20">
        <f>Inputs!E42*Inputs!$E$16</f>
        <v>0</v>
      </c>
      <c r="G13" s="20">
        <f t="shared" si="4"/>
        <v>0</v>
      </c>
      <c r="H13" s="20">
        <f t="shared" si="5"/>
        <v>0</v>
      </c>
      <c r="I13" s="20">
        <f t="shared" si="5"/>
        <v>0</v>
      </c>
      <c r="J13" s="20">
        <f t="shared" si="5"/>
        <v>0</v>
      </c>
      <c r="K13" s="20">
        <f t="shared" si="5"/>
        <v>0</v>
      </c>
      <c r="L13" s="20">
        <f t="shared" si="5"/>
        <v>0</v>
      </c>
      <c r="M13" s="20">
        <f t="shared" si="5"/>
        <v>0</v>
      </c>
      <c r="N13" s="20">
        <f t="shared" si="5"/>
        <v>0</v>
      </c>
      <c r="O13" s="20">
        <f t="shared" si="5"/>
        <v>0</v>
      </c>
      <c r="P13" s="20">
        <f t="shared" si="5"/>
        <v>0</v>
      </c>
      <c r="Q13" s="20">
        <f t="shared" si="5"/>
        <v>0</v>
      </c>
      <c r="R13" s="20">
        <f t="shared" si="6"/>
        <v>0</v>
      </c>
      <c r="S13" s="20">
        <f t="shared" si="6"/>
        <v>0</v>
      </c>
      <c r="T13" s="20">
        <f t="shared" si="6"/>
        <v>0</v>
      </c>
      <c r="U13" s="20">
        <f t="shared" si="6"/>
        <v>0</v>
      </c>
      <c r="V13" s="20">
        <f t="shared" si="6"/>
        <v>0</v>
      </c>
      <c r="W13" s="20">
        <f t="shared" si="6"/>
        <v>0</v>
      </c>
      <c r="X13" s="20">
        <f t="shared" si="6"/>
        <v>0</v>
      </c>
      <c r="Y13" s="20">
        <f t="shared" si="6"/>
        <v>0</v>
      </c>
      <c r="Z13" s="20">
        <f t="shared" si="6"/>
        <v>0</v>
      </c>
      <c r="AA13" s="20">
        <f t="shared" si="6"/>
        <v>0</v>
      </c>
      <c r="AB13" s="20">
        <f t="shared" si="7"/>
        <v>0</v>
      </c>
      <c r="AC13" s="20">
        <f t="shared" si="7"/>
        <v>0</v>
      </c>
      <c r="AD13" s="20">
        <f t="shared" si="7"/>
        <v>0</v>
      </c>
      <c r="AE13" s="20">
        <f t="shared" si="7"/>
        <v>0</v>
      </c>
      <c r="AF13" s="20">
        <f t="shared" si="7"/>
        <v>0</v>
      </c>
      <c r="AG13" s="20">
        <f t="shared" si="7"/>
        <v>0</v>
      </c>
      <c r="AH13" s="20">
        <f t="shared" si="7"/>
        <v>0</v>
      </c>
      <c r="AI13" s="20">
        <f t="shared" si="7"/>
        <v>0</v>
      </c>
      <c r="AJ13" s="20">
        <f t="shared" si="7"/>
        <v>0</v>
      </c>
      <c r="AK13" s="20">
        <f t="shared" si="7"/>
        <v>0</v>
      </c>
      <c r="AL13" s="20">
        <f t="shared" si="8"/>
        <v>0</v>
      </c>
      <c r="AM13" s="20">
        <f t="shared" si="8"/>
        <v>0</v>
      </c>
      <c r="AN13" s="20">
        <f t="shared" si="8"/>
        <v>0</v>
      </c>
      <c r="AO13" s="20">
        <f t="shared" si="8"/>
        <v>0</v>
      </c>
      <c r="AP13" s="20">
        <f t="shared" si="8"/>
        <v>0</v>
      </c>
      <c r="AQ13" s="20">
        <f t="shared" si="8"/>
        <v>0</v>
      </c>
      <c r="AR13" s="20">
        <f t="shared" si="8"/>
        <v>0</v>
      </c>
      <c r="AS13" s="20">
        <f t="shared" si="8"/>
        <v>0</v>
      </c>
      <c r="AT13" s="20">
        <f t="shared" si="8"/>
        <v>0</v>
      </c>
      <c r="AU13" s="20">
        <f t="shared" si="8"/>
        <v>0</v>
      </c>
      <c r="AV13" s="20">
        <f t="shared" si="9"/>
        <v>0</v>
      </c>
      <c r="AW13" s="20">
        <f t="shared" si="9"/>
        <v>0</v>
      </c>
      <c r="AX13" s="20">
        <f t="shared" si="9"/>
        <v>0</v>
      </c>
      <c r="AY13" s="20">
        <f t="shared" si="9"/>
        <v>0</v>
      </c>
      <c r="AZ13" s="20">
        <f t="shared" si="9"/>
        <v>0</v>
      </c>
      <c r="BA13" s="20">
        <f t="shared" si="9"/>
        <v>0</v>
      </c>
      <c r="BB13" s="20">
        <f t="shared" si="9"/>
        <v>0</v>
      </c>
      <c r="BC13" s="20">
        <f t="shared" si="9"/>
        <v>0</v>
      </c>
      <c r="BD13" s="20">
        <f t="shared" si="9"/>
        <v>0</v>
      </c>
      <c r="BE13" s="20">
        <f t="shared" si="9"/>
        <v>0</v>
      </c>
      <c r="BF13" s="20">
        <f t="shared" si="10"/>
        <v>0</v>
      </c>
      <c r="BG13" s="20">
        <f t="shared" si="10"/>
        <v>0</v>
      </c>
      <c r="BH13" s="20">
        <f t="shared" si="10"/>
        <v>0</v>
      </c>
      <c r="BI13" s="20">
        <f t="shared" si="10"/>
        <v>0</v>
      </c>
      <c r="BJ13" s="20">
        <f t="shared" si="10"/>
        <v>0</v>
      </c>
      <c r="BK13" s="20">
        <f t="shared" si="10"/>
        <v>0</v>
      </c>
      <c r="BL13" s="20">
        <f t="shared" si="10"/>
        <v>0</v>
      </c>
      <c r="BM13" s="20">
        <f t="shared" si="10"/>
        <v>0</v>
      </c>
      <c r="BN13" s="20">
        <f t="shared" si="10"/>
        <v>0</v>
      </c>
      <c r="BO13" s="20">
        <f t="shared" si="10"/>
        <v>0</v>
      </c>
      <c r="BP13" s="20">
        <f t="shared" si="10"/>
        <v>0</v>
      </c>
    </row>
    <row r="14" spans="1:68" outlineLevel="1" x14ac:dyDescent="0.25">
      <c r="C14" s="29" t="str">
        <f>Inputs!C43</f>
        <v>Milestone 3 devex</v>
      </c>
      <c r="D14" t="s">
        <v>844</v>
      </c>
      <c r="E14" s="24">
        <f>E13+Inputs!E51</f>
        <v>12</v>
      </c>
      <c r="F14" s="20">
        <f>Inputs!E43*Inputs!$E$16</f>
        <v>0</v>
      </c>
      <c r="G14" s="20">
        <f t="shared" si="4"/>
        <v>0</v>
      </c>
      <c r="H14" s="20">
        <f t="shared" si="5"/>
        <v>0</v>
      </c>
      <c r="I14" s="20">
        <f t="shared" si="5"/>
        <v>0</v>
      </c>
      <c r="J14" s="20">
        <f t="shared" si="5"/>
        <v>0</v>
      </c>
      <c r="K14" s="20">
        <f t="shared" si="5"/>
        <v>0</v>
      </c>
      <c r="L14" s="20">
        <f t="shared" si="5"/>
        <v>0</v>
      </c>
      <c r="M14" s="20">
        <f t="shared" si="5"/>
        <v>0</v>
      </c>
      <c r="N14" s="20">
        <f t="shared" si="5"/>
        <v>0</v>
      </c>
      <c r="O14" s="20">
        <f t="shared" si="5"/>
        <v>0</v>
      </c>
      <c r="P14" s="20">
        <f t="shared" si="5"/>
        <v>0</v>
      </c>
      <c r="Q14" s="20">
        <f t="shared" si="5"/>
        <v>0</v>
      </c>
      <c r="R14" s="20">
        <f t="shared" si="6"/>
        <v>0</v>
      </c>
      <c r="S14" s="20">
        <f t="shared" si="6"/>
        <v>0</v>
      </c>
      <c r="T14" s="20">
        <f t="shared" si="6"/>
        <v>0</v>
      </c>
      <c r="U14" s="20">
        <f t="shared" si="6"/>
        <v>0</v>
      </c>
      <c r="V14" s="20">
        <f t="shared" si="6"/>
        <v>0</v>
      </c>
      <c r="W14" s="20">
        <f t="shared" si="6"/>
        <v>0</v>
      </c>
      <c r="X14" s="20">
        <f t="shared" si="6"/>
        <v>0</v>
      </c>
      <c r="Y14" s="20">
        <f t="shared" si="6"/>
        <v>0</v>
      </c>
      <c r="Z14" s="20">
        <f t="shared" si="6"/>
        <v>0</v>
      </c>
      <c r="AA14" s="20">
        <f t="shared" si="6"/>
        <v>0</v>
      </c>
      <c r="AB14" s="20">
        <f t="shared" si="7"/>
        <v>0</v>
      </c>
      <c r="AC14" s="20">
        <f t="shared" si="7"/>
        <v>0</v>
      </c>
      <c r="AD14" s="20">
        <f t="shared" si="7"/>
        <v>0</v>
      </c>
      <c r="AE14" s="20">
        <f t="shared" si="7"/>
        <v>0</v>
      </c>
      <c r="AF14" s="20">
        <f t="shared" si="7"/>
        <v>0</v>
      </c>
      <c r="AG14" s="20">
        <f t="shared" si="7"/>
        <v>0</v>
      </c>
      <c r="AH14" s="20">
        <f t="shared" si="7"/>
        <v>0</v>
      </c>
      <c r="AI14" s="20">
        <f t="shared" si="7"/>
        <v>0</v>
      </c>
      <c r="AJ14" s="20">
        <f t="shared" si="7"/>
        <v>0</v>
      </c>
      <c r="AK14" s="20">
        <f t="shared" si="7"/>
        <v>0</v>
      </c>
      <c r="AL14" s="20">
        <f t="shared" si="8"/>
        <v>0</v>
      </c>
      <c r="AM14" s="20">
        <f t="shared" si="8"/>
        <v>0</v>
      </c>
      <c r="AN14" s="20">
        <f t="shared" si="8"/>
        <v>0</v>
      </c>
      <c r="AO14" s="20">
        <f t="shared" si="8"/>
        <v>0</v>
      </c>
      <c r="AP14" s="20">
        <f t="shared" si="8"/>
        <v>0</v>
      </c>
      <c r="AQ14" s="20">
        <f t="shared" si="8"/>
        <v>0</v>
      </c>
      <c r="AR14" s="20">
        <f t="shared" si="8"/>
        <v>0</v>
      </c>
      <c r="AS14" s="20">
        <f t="shared" si="8"/>
        <v>0</v>
      </c>
      <c r="AT14" s="20">
        <f t="shared" si="8"/>
        <v>0</v>
      </c>
      <c r="AU14" s="20">
        <f t="shared" si="8"/>
        <v>0</v>
      </c>
      <c r="AV14" s="20">
        <f t="shared" si="9"/>
        <v>0</v>
      </c>
      <c r="AW14" s="20">
        <f t="shared" si="9"/>
        <v>0</v>
      </c>
      <c r="AX14" s="20">
        <f t="shared" si="9"/>
        <v>0</v>
      </c>
      <c r="AY14" s="20">
        <f t="shared" si="9"/>
        <v>0</v>
      </c>
      <c r="AZ14" s="20">
        <f t="shared" si="9"/>
        <v>0</v>
      </c>
      <c r="BA14" s="20">
        <f t="shared" si="9"/>
        <v>0</v>
      </c>
      <c r="BB14" s="20">
        <f t="shared" si="9"/>
        <v>0</v>
      </c>
      <c r="BC14" s="20">
        <f t="shared" si="9"/>
        <v>0</v>
      </c>
      <c r="BD14" s="20">
        <f t="shared" si="9"/>
        <v>0</v>
      </c>
      <c r="BE14" s="20">
        <f t="shared" si="9"/>
        <v>0</v>
      </c>
      <c r="BF14" s="20">
        <f t="shared" si="10"/>
        <v>0</v>
      </c>
      <c r="BG14" s="20">
        <f t="shared" si="10"/>
        <v>0</v>
      </c>
      <c r="BH14" s="20">
        <f t="shared" si="10"/>
        <v>0</v>
      </c>
      <c r="BI14" s="20">
        <f t="shared" si="10"/>
        <v>0</v>
      </c>
      <c r="BJ14" s="20">
        <f t="shared" si="10"/>
        <v>0</v>
      </c>
      <c r="BK14" s="20">
        <f t="shared" si="10"/>
        <v>0</v>
      </c>
      <c r="BL14" s="20">
        <f t="shared" si="10"/>
        <v>0</v>
      </c>
      <c r="BM14" s="20">
        <f t="shared" si="10"/>
        <v>0</v>
      </c>
      <c r="BN14" s="20">
        <f t="shared" si="10"/>
        <v>0</v>
      </c>
      <c r="BO14" s="20">
        <f t="shared" si="10"/>
        <v>0</v>
      </c>
      <c r="BP14" s="20">
        <f t="shared" si="10"/>
        <v>0</v>
      </c>
    </row>
    <row r="15" spans="1:68" outlineLevel="1" x14ac:dyDescent="0.25">
      <c r="C15" s="29" t="str">
        <f>Inputs!C44</f>
        <v>Milestone 4 devex</v>
      </c>
      <c r="D15" t="s">
        <v>844</v>
      </c>
      <c r="E15" s="24">
        <f>E14+Inputs!E52</f>
        <v>18</v>
      </c>
      <c r="F15" s="20">
        <f>Inputs!E44*Inputs!$E$16</f>
        <v>0</v>
      </c>
      <c r="G15" s="20">
        <f t="shared" si="4"/>
        <v>0</v>
      </c>
      <c r="H15" s="20">
        <f t="shared" si="5"/>
        <v>0</v>
      </c>
      <c r="I15" s="20">
        <f t="shared" si="5"/>
        <v>0</v>
      </c>
      <c r="J15" s="20">
        <f t="shared" si="5"/>
        <v>0</v>
      </c>
      <c r="K15" s="20">
        <f t="shared" si="5"/>
        <v>0</v>
      </c>
      <c r="L15" s="20">
        <f t="shared" si="5"/>
        <v>0</v>
      </c>
      <c r="M15" s="20">
        <f t="shared" si="5"/>
        <v>0</v>
      </c>
      <c r="N15" s="20">
        <f t="shared" si="5"/>
        <v>0</v>
      </c>
      <c r="O15" s="20">
        <f t="shared" si="5"/>
        <v>0</v>
      </c>
      <c r="P15" s="20">
        <f t="shared" si="5"/>
        <v>0</v>
      </c>
      <c r="Q15" s="20">
        <f t="shared" si="5"/>
        <v>0</v>
      </c>
      <c r="R15" s="20">
        <f t="shared" si="6"/>
        <v>0</v>
      </c>
      <c r="S15" s="20">
        <f t="shared" si="6"/>
        <v>0</v>
      </c>
      <c r="T15" s="20">
        <f t="shared" si="6"/>
        <v>0</v>
      </c>
      <c r="U15" s="20">
        <f t="shared" si="6"/>
        <v>0</v>
      </c>
      <c r="V15" s="20">
        <f t="shared" si="6"/>
        <v>0</v>
      </c>
      <c r="W15" s="20">
        <f t="shared" si="6"/>
        <v>0</v>
      </c>
      <c r="X15" s="20">
        <f t="shared" si="6"/>
        <v>0</v>
      </c>
      <c r="Y15" s="20">
        <f t="shared" si="6"/>
        <v>0</v>
      </c>
      <c r="Z15" s="20">
        <f t="shared" si="6"/>
        <v>0</v>
      </c>
      <c r="AA15" s="20">
        <f t="shared" si="6"/>
        <v>0</v>
      </c>
      <c r="AB15" s="20">
        <f t="shared" si="7"/>
        <v>0</v>
      </c>
      <c r="AC15" s="20">
        <f t="shared" si="7"/>
        <v>0</v>
      </c>
      <c r="AD15" s="20">
        <f t="shared" si="7"/>
        <v>0</v>
      </c>
      <c r="AE15" s="20">
        <f t="shared" si="7"/>
        <v>0</v>
      </c>
      <c r="AF15" s="20">
        <f t="shared" si="7"/>
        <v>0</v>
      </c>
      <c r="AG15" s="20">
        <f t="shared" si="7"/>
        <v>0</v>
      </c>
      <c r="AH15" s="20">
        <f t="shared" si="7"/>
        <v>0</v>
      </c>
      <c r="AI15" s="20">
        <f t="shared" si="7"/>
        <v>0</v>
      </c>
      <c r="AJ15" s="20">
        <f t="shared" si="7"/>
        <v>0</v>
      </c>
      <c r="AK15" s="20">
        <f t="shared" si="7"/>
        <v>0</v>
      </c>
      <c r="AL15" s="20">
        <f t="shared" si="8"/>
        <v>0</v>
      </c>
      <c r="AM15" s="20">
        <f t="shared" si="8"/>
        <v>0</v>
      </c>
      <c r="AN15" s="20">
        <f t="shared" si="8"/>
        <v>0</v>
      </c>
      <c r="AO15" s="20">
        <f t="shared" si="8"/>
        <v>0</v>
      </c>
      <c r="AP15" s="20">
        <f t="shared" si="8"/>
        <v>0</v>
      </c>
      <c r="AQ15" s="20">
        <f t="shared" si="8"/>
        <v>0</v>
      </c>
      <c r="AR15" s="20">
        <f t="shared" si="8"/>
        <v>0</v>
      </c>
      <c r="AS15" s="20">
        <f t="shared" si="8"/>
        <v>0</v>
      </c>
      <c r="AT15" s="20">
        <f t="shared" si="8"/>
        <v>0</v>
      </c>
      <c r="AU15" s="20">
        <f t="shared" si="8"/>
        <v>0</v>
      </c>
      <c r="AV15" s="20">
        <f t="shared" si="9"/>
        <v>0</v>
      </c>
      <c r="AW15" s="20">
        <f t="shared" si="9"/>
        <v>0</v>
      </c>
      <c r="AX15" s="20">
        <f t="shared" si="9"/>
        <v>0</v>
      </c>
      <c r="AY15" s="20">
        <f t="shared" si="9"/>
        <v>0</v>
      </c>
      <c r="AZ15" s="20">
        <f t="shared" si="9"/>
        <v>0</v>
      </c>
      <c r="BA15" s="20">
        <f t="shared" si="9"/>
        <v>0</v>
      </c>
      <c r="BB15" s="20">
        <f t="shared" si="9"/>
        <v>0</v>
      </c>
      <c r="BC15" s="20">
        <f t="shared" si="9"/>
        <v>0</v>
      </c>
      <c r="BD15" s="20">
        <f t="shared" si="9"/>
        <v>0</v>
      </c>
      <c r="BE15" s="20">
        <f t="shared" si="9"/>
        <v>0</v>
      </c>
      <c r="BF15" s="20">
        <f t="shared" si="10"/>
        <v>0</v>
      </c>
      <c r="BG15" s="20">
        <f t="shared" si="10"/>
        <v>0</v>
      </c>
      <c r="BH15" s="20">
        <f t="shared" si="10"/>
        <v>0</v>
      </c>
      <c r="BI15" s="20">
        <f t="shared" si="10"/>
        <v>0</v>
      </c>
      <c r="BJ15" s="20">
        <f t="shared" si="10"/>
        <v>0</v>
      </c>
      <c r="BK15" s="20">
        <f t="shared" si="10"/>
        <v>0</v>
      </c>
      <c r="BL15" s="20">
        <f t="shared" si="10"/>
        <v>0</v>
      </c>
      <c r="BM15" s="20">
        <f t="shared" si="10"/>
        <v>0</v>
      </c>
      <c r="BN15" s="20">
        <f t="shared" si="10"/>
        <v>0</v>
      </c>
      <c r="BO15" s="20">
        <f t="shared" si="10"/>
        <v>0</v>
      </c>
      <c r="BP15" s="20">
        <f t="shared" si="10"/>
        <v>0</v>
      </c>
    </row>
    <row r="16" spans="1:68" outlineLevel="1" x14ac:dyDescent="0.25">
      <c r="C16" s="29" t="str">
        <f>Inputs!C45</f>
        <v>Milestone 5 devex</v>
      </c>
      <c r="D16" t="s">
        <v>844</v>
      </c>
      <c r="E16" s="24">
        <f>E15+Inputs!E53</f>
        <v>25</v>
      </c>
      <c r="F16" s="20">
        <f>Inputs!E45*Inputs!$E$16</f>
        <v>0</v>
      </c>
      <c r="G16" s="20">
        <f t="shared" si="4"/>
        <v>0</v>
      </c>
      <c r="H16" s="20">
        <f t="shared" si="5"/>
        <v>0</v>
      </c>
      <c r="I16" s="20">
        <f t="shared" si="5"/>
        <v>0</v>
      </c>
      <c r="J16" s="20">
        <f t="shared" si="5"/>
        <v>0</v>
      </c>
      <c r="K16" s="20">
        <f t="shared" si="5"/>
        <v>0</v>
      </c>
      <c r="L16" s="20">
        <f t="shared" si="5"/>
        <v>0</v>
      </c>
      <c r="M16" s="20">
        <f t="shared" si="5"/>
        <v>0</v>
      </c>
      <c r="N16" s="20">
        <f t="shared" si="5"/>
        <v>0</v>
      </c>
      <c r="O16" s="20">
        <f t="shared" si="5"/>
        <v>0</v>
      </c>
      <c r="P16" s="20">
        <f t="shared" si="5"/>
        <v>0</v>
      </c>
      <c r="Q16" s="20">
        <f t="shared" si="5"/>
        <v>0</v>
      </c>
      <c r="R16" s="20">
        <f t="shared" si="6"/>
        <v>0</v>
      </c>
      <c r="S16" s="20">
        <f t="shared" si="6"/>
        <v>0</v>
      </c>
      <c r="T16" s="20">
        <f t="shared" si="6"/>
        <v>0</v>
      </c>
      <c r="U16" s="20">
        <f t="shared" si="6"/>
        <v>0</v>
      </c>
      <c r="V16" s="20">
        <f t="shared" si="6"/>
        <v>0</v>
      </c>
      <c r="W16" s="20">
        <f t="shared" si="6"/>
        <v>0</v>
      </c>
      <c r="X16" s="20">
        <f t="shared" si="6"/>
        <v>0</v>
      </c>
      <c r="Y16" s="20">
        <f t="shared" si="6"/>
        <v>0</v>
      </c>
      <c r="Z16" s="20">
        <f t="shared" si="6"/>
        <v>0</v>
      </c>
      <c r="AA16" s="20">
        <f t="shared" si="6"/>
        <v>0</v>
      </c>
      <c r="AB16" s="20">
        <f t="shared" si="7"/>
        <v>0</v>
      </c>
      <c r="AC16" s="20">
        <f t="shared" si="7"/>
        <v>0</v>
      </c>
      <c r="AD16" s="20">
        <f t="shared" si="7"/>
        <v>0</v>
      </c>
      <c r="AE16" s="20">
        <f t="shared" si="7"/>
        <v>0</v>
      </c>
      <c r="AF16" s="20">
        <f t="shared" si="7"/>
        <v>0</v>
      </c>
      <c r="AG16" s="20">
        <f t="shared" si="7"/>
        <v>0</v>
      </c>
      <c r="AH16" s="20">
        <f t="shared" si="7"/>
        <v>0</v>
      </c>
      <c r="AI16" s="20">
        <f t="shared" si="7"/>
        <v>0</v>
      </c>
      <c r="AJ16" s="20">
        <f t="shared" si="7"/>
        <v>0</v>
      </c>
      <c r="AK16" s="20">
        <f t="shared" si="7"/>
        <v>0</v>
      </c>
      <c r="AL16" s="20">
        <f t="shared" si="8"/>
        <v>0</v>
      </c>
      <c r="AM16" s="20">
        <f t="shared" si="8"/>
        <v>0</v>
      </c>
      <c r="AN16" s="20">
        <f t="shared" si="8"/>
        <v>0</v>
      </c>
      <c r="AO16" s="20">
        <f t="shared" si="8"/>
        <v>0</v>
      </c>
      <c r="AP16" s="20">
        <f t="shared" si="8"/>
        <v>0</v>
      </c>
      <c r="AQ16" s="20">
        <f t="shared" si="8"/>
        <v>0</v>
      </c>
      <c r="AR16" s="20">
        <f t="shared" si="8"/>
        <v>0</v>
      </c>
      <c r="AS16" s="20">
        <f t="shared" si="8"/>
        <v>0</v>
      </c>
      <c r="AT16" s="20">
        <f t="shared" si="8"/>
        <v>0</v>
      </c>
      <c r="AU16" s="20">
        <f t="shared" si="8"/>
        <v>0</v>
      </c>
      <c r="AV16" s="20">
        <f t="shared" si="9"/>
        <v>0</v>
      </c>
      <c r="AW16" s="20">
        <f t="shared" si="9"/>
        <v>0</v>
      </c>
      <c r="AX16" s="20">
        <f t="shared" si="9"/>
        <v>0</v>
      </c>
      <c r="AY16" s="20">
        <f t="shared" si="9"/>
        <v>0</v>
      </c>
      <c r="AZ16" s="20">
        <f t="shared" si="9"/>
        <v>0</v>
      </c>
      <c r="BA16" s="20">
        <f t="shared" si="9"/>
        <v>0</v>
      </c>
      <c r="BB16" s="20">
        <f t="shared" si="9"/>
        <v>0</v>
      </c>
      <c r="BC16" s="20">
        <f t="shared" si="9"/>
        <v>0</v>
      </c>
      <c r="BD16" s="20">
        <f t="shared" si="9"/>
        <v>0</v>
      </c>
      <c r="BE16" s="20">
        <f t="shared" si="9"/>
        <v>0</v>
      </c>
      <c r="BF16" s="20">
        <f t="shared" si="10"/>
        <v>0</v>
      </c>
      <c r="BG16" s="20">
        <f t="shared" si="10"/>
        <v>0</v>
      </c>
      <c r="BH16" s="20">
        <f t="shared" si="10"/>
        <v>0</v>
      </c>
      <c r="BI16" s="20">
        <f t="shared" si="10"/>
        <v>0</v>
      </c>
      <c r="BJ16" s="20">
        <f t="shared" si="10"/>
        <v>0</v>
      </c>
      <c r="BK16" s="20">
        <f t="shared" si="10"/>
        <v>0</v>
      </c>
      <c r="BL16" s="20">
        <f t="shared" si="10"/>
        <v>0</v>
      </c>
      <c r="BM16" s="20">
        <f t="shared" si="10"/>
        <v>0</v>
      </c>
      <c r="BN16" s="20">
        <f t="shared" si="10"/>
        <v>0</v>
      </c>
      <c r="BO16" s="20">
        <f t="shared" si="10"/>
        <v>0</v>
      </c>
      <c r="BP16" s="20">
        <f t="shared" si="10"/>
        <v>0</v>
      </c>
    </row>
    <row r="17" spans="3:68" outlineLevel="1" x14ac:dyDescent="0.25">
      <c r="C17" s="29" t="str">
        <f>Inputs!C46</f>
        <v>Milestone 6 devex</v>
      </c>
      <c r="D17" t="s">
        <v>844</v>
      </c>
      <c r="E17" s="24">
        <f>E16+Inputs!E54</f>
        <v>32</v>
      </c>
      <c r="F17" s="20">
        <f>Inputs!E46*Inputs!$E$16</f>
        <v>0</v>
      </c>
      <c r="G17" s="20">
        <f t="shared" si="4"/>
        <v>0</v>
      </c>
      <c r="H17" s="20">
        <f t="shared" si="5"/>
        <v>0</v>
      </c>
      <c r="I17" s="20">
        <f t="shared" si="5"/>
        <v>0</v>
      </c>
      <c r="J17" s="20">
        <f t="shared" si="5"/>
        <v>0</v>
      </c>
      <c r="K17" s="20">
        <f t="shared" si="5"/>
        <v>0</v>
      </c>
      <c r="L17" s="20">
        <f t="shared" si="5"/>
        <v>0</v>
      </c>
      <c r="M17" s="20">
        <f t="shared" si="5"/>
        <v>0</v>
      </c>
      <c r="N17" s="20">
        <f t="shared" si="5"/>
        <v>0</v>
      </c>
      <c r="O17" s="20">
        <f t="shared" si="5"/>
        <v>0</v>
      </c>
      <c r="P17" s="20">
        <f t="shared" si="5"/>
        <v>0</v>
      </c>
      <c r="Q17" s="20">
        <f t="shared" si="5"/>
        <v>0</v>
      </c>
      <c r="R17" s="20">
        <f t="shared" si="6"/>
        <v>0</v>
      </c>
      <c r="S17" s="20">
        <f t="shared" si="6"/>
        <v>0</v>
      </c>
      <c r="T17" s="20">
        <f t="shared" si="6"/>
        <v>0</v>
      </c>
      <c r="U17" s="20">
        <f t="shared" si="6"/>
        <v>0</v>
      </c>
      <c r="V17" s="20">
        <f t="shared" si="6"/>
        <v>0</v>
      </c>
      <c r="W17" s="20">
        <f t="shared" si="6"/>
        <v>0</v>
      </c>
      <c r="X17" s="20">
        <f t="shared" si="6"/>
        <v>0</v>
      </c>
      <c r="Y17" s="20">
        <f t="shared" si="6"/>
        <v>0</v>
      </c>
      <c r="Z17" s="20">
        <f t="shared" si="6"/>
        <v>0</v>
      </c>
      <c r="AA17" s="20">
        <f t="shared" si="6"/>
        <v>0</v>
      </c>
      <c r="AB17" s="20">
        <f t="shared" si="7"/>
        <v>0</v>
      </c>
      <c r="AC17" s="20">
        <f t="shared" si="7"/>
        <v>0</v>
      </c>
      <c r="AD17" s="20">
        <f t="shared" si="7"/>
        <v>0</v>
      </c>
      <c r="AE17" s="20">
        <f t="shared" si="7"/>
        <v>0</v>
      </c>
      <c r="AF17" s="20">
        <f t="shared" si="7"/>
        <v>0</v>
      </c>
      <c r="AG17" s="20">
        <f t="shared" si="7"/>
        <v>0</v>
      </c>
      <c r="AH17" s="20">
        <f t="shared" si="7"/>
        <v>0</v>
      </c>
      <c r="AI17" s="20">
        <f t="shared" si="7"/>
        <v>0</v>
      </c>
      <c r="AJ17" s="20">
        <f t="shared" si="7"/>
        <v>0</v>
      </c>
      <c r="AK17" s="20">
        <f t="shared" si="7"/>
        <v>0</v>
      </c>
      <c r="AL17" s="20">
        <f t="shared" si="8"/>
        <v>0</v>
      </c>
      <c r="AM17" s="20">
        <f t="shared" si="8"/>
        <v>0</v>
      </c>
      <c r="AN17" s="20">
        <f t="shared" si="8"/>
        <v>0</v>
      </c>
      <c r="AO17" s="20">
        <f t="shared" si="8"/>
        <v>0</v>
      </c>
      <c r="AP17" s="20">
        <f t="shared" si="8"/>
        <v>0</v>
      </c>
      <c r="AQ17" s="20">
        <f t="shared" si="8"/>
        <v>0</v>
      </c>
      <c r="AR17" s="20">
        <f t="shared" si="8"/>
        <v>0</v>
      </c>
      <c r="AS17" s="20">
        <f t="shared" si="8"/>
        <v>0</v>
      </c>
      <c r="AT17" s="20">
        <f t="shared" si="8"/>
        <v>0</v>
      </c>
      <c r="AU17" s="20">
        <f t="shared" si="8"/>
        <v>0</v>
      </c>
      <c r="AV17" s="20">
        <f t="shared" si="9"/>
        <v>0</v>
      </c>
      <c r="AW17" s="20">
        <f t="shared" si="9"/>
        <v>0</v>
      </c>
      <c r="AX17" s="20">
        <f t="shared" si="9"/>
        <v>0</v>
      </c>
      <c r="AY17" s="20">
        <f t="shared" si="9"/>
        <v>0</v>
      </c>
      <c r="AZ17" s="20">
        <f t="shared" si="9"/>
        <v>0</v>
      </c>
      <c r="BA17" s="20">
        <f t="shared" si="9"/>
        <v>0</v>
      </c>
      <c r="BB17" s="20">
        <f t="shared" si="9"/>
        <v>0</v>
      </c>
      <c r="BC17" s="20">
        <f t="shared" si="9"/>
        <v>0</v>
      </c>
      <c r="BD17" s="20">
        <f t="shared" si="9"/>
        <v>0</v>
      </c>
      <c r="BE17" s="20">
        <f t="shared" si="9"/>
        <v>0</v>
      </c>
      <c r="BF17" s="20">
        <f t="shared" si="10"/>
        <v>0</v>
      </c>
      <c r="BG17" s="20">
        <f t="shared" si="10"/>
        <v>0</v>
      </c>
      <c r="BH17" s="20">
        <f t="shared" si="10"/>
        <v>0</v>
      </c>
      <c r="BI17" s="20">
        <f t="shared" si="10"/>
        <v>0</v>
      </c>
      <c r="BJ17" s="20">
        <f t="shared" si="10"/>
        <v>0</v>
      </c>
      <c r="BK17" s="20">
        <f t="shared" si="10"/>
        <v>0</v>
      </c>
      <c r="BL17" s="20">
        <f t="shared" si="10"/>
        <v>0</v>
      </c>
      <c r="BM17" s="20">
        <f t="shared" si="10"/>
        <v>0</v>
      </c>
      <c r="BN17" s="20">
        <f t="shared" si="10"/>
        <v>0</v>
      </c>
      <c r="BO17" s="20">
        <f t="shared" si="10"/>
        <v>0</v>
      </c>
      <c r="BP17" s="20">
        <f t="shared" si="10"/>
        <v>0</v>
      </c>
    </row>
    <row r="18" spans="3:68" x14ac:dyDescent="0.25">
      <c r="C18" s="6" t="s">
        <v>1878</v>
      </c>
      <c r="D18" s="6" t="s">
        <v>844</v>
      </c>
      <c r="E18" s="95"/>
      <c r="F18" s="95"/>
      <c r="G18" s="95">
        <f t="shared" si="4"/>
        <v>2662.4661920201893</v>
      </c>
      <c r="H18" s="95">
        <f>SUMIFS(Devex_FEP!$H$5:$H$38,Devex_FEP!$I$5:$I$38,H$4)</f>
        <v>0</v>
      </c>
      <c r="I18" s="95">
        <f>SUMIFS(Devex_FEP!$H$5:$H$38,Devex_FEP!$I$5:$I$38,I$4)</f>
        <v>0</v>
      </c>
      <c r="J18" s="95">
        <f>SUMIFS(Devex_FEP!$H$5:$H$38,Devex_FEP!$I$5:$I$38,J$4)</f>
        <v>0</v>
      </c>
      <c r="K18" s="95">
        <f>SUMIFS(Devex_FEP!$H$5:$H$38,Devex_FEP!$I$5:$I$38,K$4)</f>
        <v>177.24324324324326</v>
      </c>
      <c r="L18" s="95">
        <f>SUMIFS(Devex_FEP!$H$5:$H$38,Devex_FEP!$I$5:$I$38,L$4)</f>
        <v>0</v>
      </c>
      <c r="M18" s="95">
        <f>SUMIFS(Devex_FEP!$H$5:$H$38,Devex_FEP!$I$5:$I$38,M$4)</f>
        <v>0</v>
      </c>
      <c r="N18" s="95">
        <f>SUMIFS(Devex_FEP!$H$5:$H$38,Devex_FEP!$I$5:$I$38,N$4)</f>
        <v>9.72972972972973</v>
      </c>
      <c r="O18" s="95">
        <f>SUMIFS(Devex_FEP!$H$5:$H$38,Devex_FEP!$I$5:$I$38,O$4)</f>
        <v>0</v>
      </c>
      <c r="P18" s="95">
        <f>SUMIFS(Devex_FEP!$H$5:$H$38,Devex_FEP!$I$5:$I$38,P$4)</f>
        <v>398</v>
      </c>
      <c r="Q18" s="95">
        <f>SUMIFS(Devex_FEP!$H$5:$H$38,Devex_FEP!$I$5:$I$38,Q$4)</f>
        <v>0</v>
      </c>
      <c r="R18" s="95">
        <f>SUMIFS(Devex_FEP!$H$5:$H$38,Devex_FEP!$I$5:$I$38,R$4)</f>
        <v>0</v>
      </c>
      <c r="S18" s="95">
        <f>SUMIFS(Devex_FEP!$H$5:$H$38,Devex_FEP!$I$5:$I$38,S$4)</f>
        <v>43.24324324324324</v>
      </c>
      <c r="T18" s="95">
        <f>SUMIFS(Devex_FEP!$H$5:$H$38,Devex_FEP!$I$5:$I$38,T$4)</f>
        <v>43.24324324324324</v>
      </c>
      <c r="U18" s="95">
        <f>SUMIFS(Devex_FEP!$H$5:$H$38,Devex_FEP!$I$5:$I$38,U$4)</f>
        <v>0</v>
      </c>
      <c r="V18" s="95">
        <f>SUMIFS(Devex_FEP!$H$5:$H$38,Devex_FEP!$I$5:$I$38,V$4)</f>
        <v>0</v>
      </c>
      <c r="W18" s="95">
        <f>SUMIFS(Devex_FEP!$H$5:$H$38,Devex_FEP!$I$5:$I$38,W$4)</f>
        <v>0</v>
      </c>
      <c r="X18" s="95">
        <f>SUMIFS(Devex_FEP!$H$5:$H$38,Devex_FEP!$I$5:$I$38,X$4)</f>
        <v>40.54054054054054</v>
      </c>
      <c r="Y18" s="95">
        <f>SUMIFS(Devex_FEP!$H$5:$H$38,Devex_FEP!$I$5:$I$38,Y$4)</f>
        <v>142.6810810810811</v>
      </c>
      <c r="Z18" s="95">
        <f>SUMIFS(Devex_FEP!$H$5:$H$38,Devex_FEP!$I$5:$I$38,Z$4)</f>
        <v>954.7439327082184</v>
      </c>
      <c r="AA18" s="95">
        <f>SUMIFS(Devex_FEP!$H$5:$H$38,Devex_FEP!$I$5:$I$38,AA$4)</f>
        <v>229.72972972972974</v>
      </c>
      <c r="AB18" s="95">
        <f>SUMIFS(Devex_FEP!$H$5:$H$38,Devex_FEP!$I$5:$I$38,AB$4)</f>
        <v>88.13513513513513</v>
      </c>
      <c r="AC18" s="95">
        <f>SUMIFS(Devex_FEP!$H$5:$H$38,Devex_FEP!$I$5:$I$38,AC$4)</f>
        <v>0.10810810810810811</v>
      </c>
      <c r="AD18" s="95">
        <f>SUMIFS(Devex_FEP!$H$5:$H$38,Devex_FEP!$I$5:$I$38,AD$4)</f>
        <v>0</v>
      </c>
      <c r="AE18" s="95">
        <f>SUMIFS(Devex_FEP!$H$5:$H$38,Devex_FEP!$I$5:$I$38,AE$4)</f>
        <v>4.5</v>
      </c>
      <c r="AF18" s="95">
        <f>SUMIFS(Devex_FEP!$H$5:$H$38,Devex_FEP!$I$5:$I$38,AF$4)</f>
        <v>0</v>
      </c>
      <c r="AG18" s="95">
        <f>SUMIFS(Devex_FEP!$H$5:$H$38,Devex_FEP!$I$5:$I$38,AG$4)</f>
        <v>161.8740571428571</v>
      </c>
      <c r="AH18" s="95">
        <f>SUMIFS(Devex_FEP!$H$5:$H$38,Devex_FEP!$I$5:$I$38,AH$4)</f>
        <v>0</v>
      </c>
      <c r="AI18" s="95">
        <f>SUMIFS(Devex_FEP!$H$5:$H$38,Devex_FEP!$I$5:$I$38,AI$4)</f>
        <v>0</v>
      </c>
      <c r="AJ18" s="95">
        <f>SUMIFS(Devex_FEP!$H$5:$H$38,Devex_FEP!$I$5:$I$38,AJ$4)</f>
        <v>32.432432432432435</v>
      </c>
      <c r="AK18" s="95">
        <f>SUMIFS(Devex_FEP!$H$5:$H$38,Devex_FEP!$I$5:$I$38,AK$4)</f>
        <v>282.20766162857296</v>
      </c>
      <c r="AL18" s="95">
        <f>SUMIFS(Devex_FEP!$H$5:$H$38,Devex_FEP!$I$5:$I$38,AL$4)</f>
        <v>54.054054054054056</v>
      </c>
      <c r="AM18" s="95">
        <f>SUMIFS(Devex_FEP!$H$5:$H$38,Devex_FEP!$I$5:$I$38,AM$4)</f>
        <v>0</v>
      </c>
      <c r="AN18" s="95">
        <f>SUMIFS(Devex_FEP!$H$5:$H$38,Devex_FEP!$I$5:$I$38,AN$4)</f>
        <v>0</v>
      </c>
      <c r="AO18" s="95">
        <f>SUMIFS(Devex_FEP!$H$5:$H$38,Devex_FEP!$I$5:$I$38,AO$4)</f>
        <v>0</v>
      </c>
      <c r="AP18" s="95">
        <f>SUMIFS(Devex_FEP!$H$5:$H$38,Devex_FEP!$I$5:$I$38,AP$4)</f>
        <v>0</v>
      </c>
      <c r="AQ18" s="95">
        <f>SUMIFS(Devex_FEP!$H$5:$H$38,Devex_FEP!$I$5:$I$38,AQ$4)</f>
        <v>0</v>
      </c>
      <c r="AR18" s="95">
        <f>SUMIFS(Devex_FEP!$H$5:$H$38,Devex_FEP!$I$5:$I$38,AR$4)</f>
        <v>0</v>
      </c>
      <c r="AS18" s="95">
        <f>SUMIFS(Devex_FEP!$H$5:$H$38,Devex_FEP!$I$5:$I$38,AS$4)</f>
        <v>0</v>
      </c>
      <c r="AT18" s="95">
        <f>SUMIFS(Devex_FEP!$H$5:$H$38,Devex_FEP!$I$5:$I$38,AT$4)</f>
        <v>0</v>
      </c>
      <c r="AU18" s="95">
        <f>SUMIFS(Devex_FEP!$H$5:$H$38,Devex_FEP!$I$5:$I$38,AU$4)</f>
        <v>0</v>
      </c>
      <c r="AV18" s="95">
        <f>SUMIFS(Devex_FEP!$H$5:$H$38,Devex_FEP!$I$5:$I$38,AV$4)</f>
        <v>0</v>
      </c>
      <c r="AW18" s="95">
        <f>SUMIFS(Devex_FEP!$H$5:$H$38,Devex_FEP!$I$5:$I$38,AW$4)</f>
        <v>0</v>
      </c>
      <c r="AX18" s="95">
        <f>SUMIFS(Devex_FEP!$H$5:$H$38,Devex_FEP!$I$5:$I$38,AX$4)</f>
        <v>0</v>
      </c>
      <c r="AY18" s="95">
        <f>SUMIFS(Devex_FEP!$H$5:$H$38,Devex_FEP!$I$5:$I$38,AY$4)</f>
        <v>0</v>
      </c>
      <c r="AZ18" s="95">
        <f>SUMIFS(Devex_FEP!$H$5:$H$38,Devex_FEP!$I$5:$I$38,AZ$4)</f>
        <v>0</v>
      </c>
      <c r="BA18" s="95">
        <f>SUMIFS(Devex_FEP!$H$5:$H$38,Devex_FEP!$I$5:$I$38,BA$4)</f>
        <v>0</v>
      </c>
      <c r="BB18" s="95">
        <f>SUMIFS(Devex_FEP!$H$5:$H$38,Devex_FEP!$I$5:$I$38,BB$4)</f>
        <v>0</v>
      </c>
      <c r="BC18" s="95">
        <f>SUMIFS(Devex_FEP!$H$5:$H$38,Devex_FEP!$I$5:$I$38,BC$4)</f>
        <v>0</v>
      </c>
      <c r="BD18" s="95">
        <f>SUMIFS(Devex_FEP!$H$5:$H$38,Devex_FEP!$I$5:$I$38,BD$4)</f>
        <v>0</v>
      </c>
      <c r="BE18" s="95">
        <f>SUMIFS(Devex_FEP!$H$5:$H$38,Devex_FEP!$I$5:$I$38,BE$4)</f>
        <v>0</v>
      </c>
      <c r="BF18" s="95">
        <f>SUMIFS(Devex_FEP!$H$5:$H$38,Devex_FEP!$I$5:$I$38,BF$4)</f>
        <v>0</v>
      </c>
      <c r="BG18" s="95">
        <f>SUMIFS(Devex_FEP!$H$5:$H$38,Devex_FEP!$I$5:$I$38,BG$4)</f>
        <v>0</v>
      </c>
      <c r="BH18" s="95">
        <f>SUMIFS(Devex_FEP!$H$5:$H$38,Devex_FEP!$I$5:$I$38,BH$4)</f>
        <v>0</v>
      </c>
      <c r="BI18" s="95">
        <f>SUMIFS(Devex_FEP!$H$5:$H$38,Devex_FEP!$I$5:$I$38,BI$4)</f>
        <v>0</v>
      </c>
      <c r="BJ18" s="95">
        <f>SUMIFS(Devex_FEP!$H$5:$H$38,Devex_FEP!$I$5:$I$38,BJ$4)</f>
        <v>0</v>
      </c>
      <c r="BK18" s="95">
        <f>SUMIFS(Devex_FEP!$H$5:$H$38,Devex_FEP!$I$5:$I$38,BK$4)</f>
        <v>0</v>
      </c>
      <c r="BL18" s="95">
        <f>SUMIFS(Devex_FEP!$H$5:$H$38,Devex_FEP!$I$5:$I$38,BL$4)</f>
        <v>0</v>
      </c>
      <c r="BM18" s="95">
        <f>SUMIFS(Devex_FEP!$H$5:$H$38,Devex_FEP!$I$5:$I$38,BM$4)</f>
        <v>0</v>
      </c>
      <c r="BN18" s="95">
        <f>SUMIFS(Devex_FEP!$H$5:$H$38,Devex_FEP!$I$5:$I$38,BN$4)</f>
        <v>0</v>
      </c>
      <c r="BO18" s="95">
        <f>SUMIFS(Devex_FEP!$H$5:$H$38,Devex_FEP!$I$5:$I$38,BO$4)</f>
        <v>0</v>
      </c>
      <c r="BP18" s="95">
        <f>SUMIFS(Devex_FEP!$H$5:$H$38,Devex_FEP!$I$5:$I$38,BP$4)</f>
        <v>0</v>
      </c>
    </row>
    <row r="19" spans="3:68" x14ac:dyDescent="0.25">
      <c r="C19" t="s">
        <v>671</v>
      </c>
      <c r="D19" t="s">
        <v>844</v>
      </c>
      <c r="E19" s="20"/>
      <c r="F19" s="20"/>
      <c r="G19" s="20"/>
      <c r="H19" s="20">
        <f>H18</f>
        <v>0</v>
      </c>
      <c r="I19" s="20">
        <f t="shared" ref="I19:AN19" si="11">H19+I18</f>
        <v>0</v>
      </c>
      <c r="J19" s="20">
        <f t="shared" si="11"/>
        <v>0</v>
      </c>
      <c r="K19" s="20">
        <f t="shared" si="11"/>
        <v>177.24324324324326</v>
      </c>
      <c r="L19" s="20">
        <f t="shared" si="11"/>
        <v>177.24324324324326</v>
      </c>
      <c r="M19" s="20">
        <f t="shared" si="11"/>
        <v>177.24324324324326</v>
      </c>
      <c r="N19" s="20">
        <f t="shared" si="11"/>
        <v>186.972972972973</v>
      </c>
      <c r="O19" s="20">
        <f t="shared" si="11"/>
        <v>186.972972972973</v>
      </c>
      <c r="P19" s="20">
        <f t="shared" si="11"/>
        <v>584.972972972973</v>
      </c>
      <c r="Q19" s="20">
        <f t="shared" si="11"/>
        <v>584.972972972973</v>
      </c>
      <c r="R19" s="20">
        <f t="shared" si="11"/>
        <v>584.972972972973</v>
      </c>
      <c r="S19" s="20">
        <f t="shared" si="11"/>
        <v>628.2162162162163</v>
      </c>
      <c r="T19" s="20">
        <f t="shared" si="11"/>
        <v>671.4594594594595</v>
      </c>
      <c r="U19" s="20">
        <f t="shared" si="11"/>
        <v>671.4594594594595</v>
      </c>
      <c r="V19" s="20">
        <f t="shared" si="11"/>
        <v>671.4594594594595</v>
      </c>
      <c r="W19" s="20">
        <f t="shared" si="11"/>
        <v>671.4594594594595</v>
      </c>
      <c r="X19" s="20">
        <f t="shared" si="11"/>
        <v>712</v>
      </c>
      <c r="Y19" s="20">
        <f t="shared" si="11"/>
        <v>854.6810810810811</v>
      </c>
      <c r="Z19" s="20">
        <f t="shared" si="11"/>
        <v>1809.4250137892996</v>
      </c>
      <c r="AA19" s="20">
        <f t="shared" si="11"/>
        <v>2039.1547435190294</v>
      </c>
      <c r="AB19" s="20">
        <f t="shared" si="11"/>
        <v>2127.2898786541646</v>
      </c>
      <c r="AC19" s="20">
        <f t="shared" si="11"/>
        <v>2127.3979867622725</v>
      </c>
      <c r="AD19" s="20">
        <f t="shared" si="11"/>
        <v>2127.3979867622725</v>
      </c>
      <c r="AE19" s="20">
        <f t="shared" si="11"/>
        <v>2131.8979867622725</v>
      </c>
      <c r="AF19" s="20">
        <f t="shared" si="11"/>
        <v>2131.8979867622725</v>
      </c>
      <c r="AG19" s="20">
        <f t="shared" si="11"/>
        <v>2293.7720439051295</v>
      </c>
      <c r="AH19" s="20">
        <f t="shared" si="11"/>
        <v>2293.7720439051295</v>
      </c>
      <c r="AI19" s="20">
        <f t="shared" si="11"/>
        <v>2293.7720439051295</v>
      </c>
      <c r="AJ19" s="20">
        <f t="shared" si="11"/>
        <v>2326.204476337562</v>
      </c>
      <c r="AK19" s="20">
        <f t="shared" si="11"/>
        <v>2608.412137966135</v>
      </c>
      <c r="AL19" s="20">
        <f t="shared" si="11"/>
        <v>2662.4661920201893</v>
      </c>
      <c r="AM19" s="20">
        <f t="shared" si="11"/>
        <v>2662.4661920201893</v>
      </c>
      <c r="AN19" s="20">
        <f t="shared" si="11"/>
        <v>2662.4661920201893</v>
      </c>
      <c r="AO19" s="20">
        <f t="shared" ref="AO19:BP19" si="12">AN19+AO18</f>
        <v>2662.4661920201893</v>
      </c>
      <c r="AP19" s="20">
        <f t="shared" si="12"/>
        <v>2662.4661920201893</v>
      </c>
      <c r="AQ19" s="20">
        <f t="shared" si="12"/>
        <v>2662.4661920201893</v>
      </c>
      <c r="AR19" s="20">
        <f t="shared" si="12"/>
        <v>2662.4661920201893</v>
      </c>
      <c r="AS19" s="20">
        <f t="shared" si="12"/>
        <v>2662.4661920201893</v>
      </c>
      <c r="AT19" s="20">
        <f t="shared" si="12"/>
        <v>2662.4661920201893</v>
      </c>
      <c r="AU19" s="20">
        <f t="shared" si="12"/>
        <v>2662.4661920201893</v>
      </c>
      <c r="AV19" s="20">
        <f t="shared" si="12"/>
        <v>2662.4661920201893</v>
      </c>
      <c r="AW19" s="20">
        <f t="shared" si="12"/>
        <v>2662.4661920201893</v>
      </c>
      <c r="AX19" s="20">
        <f t="shared" si="12"/>
        <v>2662.4661920201893</v>
      </c>
      <c r="AY19" s="20">
        <f t="shared" si="12"/>
        <v>2662.4661920201893</v>
      </c>
      <c r="AZ19" s="20">
        <f t="shared" si="12"/>
        <v>2662.4661920201893</v>
      </c>
      <c r="BA19" s="20">
        <f t="shared" si="12"/>
        <v>2662.4661920201893</v>
      </c>
      <c r="BB19" s="20">
        <f t="shared" si="12"/>
        <v>2662.4661920201893</v>
      </c>
      <c r="BC19" s="20">
        <f t="shared" si="12"/>
        <v>2662.4661920201893</v>
      </c>
      <c r="BD19" s="20">
        <f t="shared" si="12"/>
        <v>2662.4661920201893</v>
      </c>
      <c r="BE19" s="20">
        <f t="shared" si="12"/>
        <v>2662.4661920201893</v>
      </c>
      <c r="BF19" s="20">
        <f t="shared" si="12"/>
        <v>2662.4661920201893</v>
      </c>
      <c r="BG19" s="20">
        <f t="shared" si="12"/>
        <v>2662.4661920201893</v>
      </c>
      <c r="BH19" s="20">
        <f t="shared" si="12"/>
        <v>2662.4661920201893</v>
      </c>
      <c r="BI19" s="20">
        <f t="shared" si="12"/>
        <v>2662.4661920201893</v>
      </c>
      <c r="BJ19" s="20">
        <f t="shared" si="12"/>
        <v>2662.4661920201893</v>
      </c>
      <c r="BK19" s="20">
        <f t="shared" si="12"/>
        <v>2662.4661920201893</v>
      </c>
      <c r="BL19" s="20">
        <f t="shared" si="12"/>
        <v>2662.4661920201893</v>
      </c>
      <c r="BM19" s="20">
        <f t="shared" si="12"/>
        <v>2662.4661920201893</v>
      </c>
      <c r="BN19" s="20">
        <f t="shared" si="12"/>
        <v>2662.4661920201893</v>
      </c>
      <c r="BO19" s="20">
        <f t="shared" si="12"/>
        <v>2662.4661920201893</v>
      </c>
      <c r="BP19" s="20">
        <f t="shared" si="12"/>
        <v>2662.4661920201893</v>
      </c>
    </row>
    <row r="20" spans="3:68" x14ac:dyDescent="0.25">
      <c r="C20" s="6" t="s">
        <v>1704</v>
      </c>
      <c r="D20" s="6" t="s">
        <v>844</v>
      </c>
      <c r="E20" s="95"/>
      <c r="F20" s="95"/>
      <c r="G20" s="95">
        <f>SUM(H20:BP20)</f>
        <v>425.3797297297297</v>
      </c>
      <c r="H20" s="95">
        <f>IF(Inputs!$E$67=1,SUMIFS(Devex_FEP!$K$5:$K$38,Devex_FEP!$I$5:$I$38,H$4),0)</f>
        <v>0</v>
      </c>
      <c r="I20" s="95">
        <f>IF(Inputs!$E$67=1,SUMIFS(Devex_FEP!$K$5:$K$38,Devex_FEP!$I$5:$I$38,I$4),0)</f>
        <v>0</v>
      </c>
      <c r="J20" s="95">
        <f>IF(Inputs!$E$67=1,SUMIFS(Devex_FEP!$K$5:$K$38,Devex_FEP!$I$5:$I$38,J$4),0)</f>
        <v>0</v>
      </c>
      <c r="K20" s="95">
        <f>IF(Inputs!$E$67=1,SUMIFS(Devex_FEP!$K$5:$K$38,Devex_FEP!$I$5:$I$38,K$4),0)</f>
        <v>0</v>
      </c>
      <c r="L20" s="95">
        <f>IF(Inputs!$E$67=1,SUMIFS(Devex_FEP!$K$5:$K$38,Devex_FEP!$I$5:$I$38,L$4),0)</f>
        <v>0</v>
      </c>
      <c r="M20" s="95">
        <f>IF(Inputs!$E$67=1,SUMIFS(Devex_FEP!$K$5:$K$38,Devex_FEP!$I$5:$I$38,M$4),0)</f>
        <v>0</v>
      </c>
      <c r="N20" s="95">
        <f>IF(Inputs!$E$67=1,SUMIFS(Devex_FEP!$K$5:$K$38,Devex_FEP!$I$5:$I$38,N$4),0)</f>
        <v>0</v>
      </c>
      <c r="O20" s="95">
        <f>IF(Inputs!$E$67=1,SUMIFS(Devex_FEP!$K$5:$K$38,Devex_FEP!$I$5:$I$38,O$4),0)</f>
        <v>178.89324324324323</v>
      </c>
      <c r="P20" s="95">
        <f>IF(Inputs!$E$67=1,SUMIFS(Devex_FEP!$K$5:$K$38,Devex_FEP!$I$5:$I$38,P$4),0)</f>
        <v>0</v>
      </c>
      <c r="Q20" s="95">
        <f>IF(Inputs!$E$67=1,SUMIFS(Devex_FEP!$K$5:$K$38,Devex_FEP!$I$5:$I$38,Q$4),0)</f>
        <v>0</v>
      </c>
      <c r="R20" s="95">
        <f>IF(Inputs!$E$67=1,SUMIFS(Devex_FEP!$K$5:$K$38,Devex_FEP!$I$5:$I$38,R$4),0)</f>
        <v>0</v>
      </c>
      <c r="S20" s="95">
        <f>IF(Inputs!$E$67=1,SUMIFS(Devex_FEP!$K$5:$K$38,Devex_FEP!$I$5:$I$38,S$4),0)</f>
        <v>0</v>
      </c>
      <c r="T20" s="95">
        <f>IF(Inputs!$E$67=1,SUMIFS(Devex_FEP!$K$5:$K$38,Devex_FEP!$I$5:$I$38,T$4),0)</f>
        <v>0</v>
      </c>
      <c r="U20" s="95">
        <f>IF(Inputs!$E$67=1,SUMIFS(Devex_FEP!$K$5:$K$38,Devex_FEP!$I$5:$I$38,U$4),0)</f>
        <v>0</v>
      </c>
      <c r="V20" s="95">
        <f>IF(Inputs!$E$67=1,SUMIFS(Devex_FEP!$K$5:$K$38,Devex_FEP!$I$5:$I$38,V$4),0)</f>
        <v>0</v>
      </c>
      <c r="W20" s="95">
        <f>IF(Inputs!$E$67=1,SUMIFS(Devex_FEP!$K$5:$K$38,Devex_FEP!$I$5:$I$38,W$4),0)</f>
        <v>0</v>
      </c>
      <c r="X20" s="95">
        <f>IF(Inputs!$E$67=1,SUMIFS(Devex_FEP!$K$5:$K$38,Devex_FEP!$I$5:$I$38,X$4),0)</f>
        <v>0</v>
      </c>
      <c r="Y20" s="95">
        <f>IF(Inputs!$E$67=1,SUMIFS(Devex_FEP!$K$5:$K$38,Devex_FEP!$I$5:$I$38,Y$4),0)</f>
        <v>0</v>
      </c>
      <c r="Z20" s="95">
        <f>IF(Inputs!$E$67=1,SUMIFS(Devex_FEP!$K$5:$K$38,Devex_FEP!$I$5:$I$38,Z$4),0)</f>
        <v>0</v>
      </c>
      <c r="AA20" s="95">
        <f>IF(Inputs!$E$67=1,SUMIFS(Devex_FEP!$K$5:$K$38,Devex_FEP!$I$5:$I$38,AA$4),0)</f>
        <v>0</v>
      </c>
      <c r="AB20" s="95">
        <f>IF(Inputs!$E$67=1,SUMIFS(Devex_FEP!$K$5:$K$38,Devex_FEP!$I$5:$I$38,AB$4),0)</f>
        <v>0</v>
      </c>
      <c r="AC20" s="95">
        <f>IF(Inputs!$E$67=1,SUMIFS(Devex_FEP!$K$5:$K$38,Devex_FEP!$I$5:$I$38,AC$4),0)</f>
        <v>0</v>
      </c>
      <c r="AD20" s="95">
        <f>IF(Inputs!$E$67=1,SUMIFS(Devex_FEP!$K$5:$K$38,Devex_FEP!$I$5:$I$38,AD$4),0)</f>
        <v>0</v>
      </c>
      <c r="AE20" s="95">
        <f>IF(Inputs!$E$67=1,SUMIFS(Devex_FEP!$K$5:$K$38,Devex_FEP!$I$5:$I$38,AE$4),0)</f>
        <v>0</v>
      </c>
      <c r="AF20" s="95">
        <f>IF(Inputs!$E$67=1,SUMIFS(Devex_FEP!$K$5:$K$38,Devex_FEP!$I$5:$I$38,AF$4),0)</f>
        <v>0</v>
      </c>
      <c r="AG20" s="95">
        <f>IF(Inputs!$E$67=1,SUMIFS(Devex_FEP!$K$5:$K$38,Devex_FEP!$I$5:$I$38,AG$4),0)</f>
        <v>0</v>
      </c>
      <c r="AH20" s="95">
        <f>IF(Inputs!$E$67=1,SUMIFS(Devex_FEP!$K$5:$K$38,Devex_FEP!$I$5:$I$38,AH$4),0)</f>
        <v>0</v>
      </c>
      <c r="AI20" s="95">
        <f>IF(Inputs!$E$67=1,SUMIFS(Devex_FEP!$K$5:$K$38,Devex_FEP!$I$5:$I$38,AI$4),0)</f>
        <v>0</v>
      </c>
      <c r="AJ20" s="95">
        <f>IF(Inputs!$E$67=1,SUMIFS(Devex_FEP!$K$5:$K$38,Devex_FEP!$I$5:$I$38,AJ$4),0)</f>
        <v>0</v>
      </c>
      <c r="AK20" s="95">
        <f>IF(Inputs!$E$67=1,SUMIFS(Devex_FEP!$K$5:$K$38,Devex_FEP!$I$5:$I$38,AK$4),0)</f>
        <v>0</v>
      </c>
      <c r="AL20" s="95">
        <f>IF(Inputs!$E$67=1,SUMIFS(Devex_FEP!$K$5:$K$38,Devex_FEP!$I$5:$I$38,AL$4),0)</f>
        <v>0</v>
      </c>
      <c r="AM20" s="95">
        <f>IF(Inputs!$E$67=1,SUMIFS(Devex_FEP!$K$5:$K$38,Devex_FEP!$I$5:$I$38,AM$4),0)</f>
        <v>0</v>
      </c>
      <c r="AN20" s="95">
        <f>IF(Inputs!$E$67=1,SUMIFS(Devex_FEP!$K$5:$K$38,Devex_FEP!$I$5:$I$38,AN$4),0)</f>
        <v>246.48648648648648</v>
      </c>
      <c r="AO20" s="95">
        <f>IF(Inputs!$E$67=1,SUMIFS(Devex_FEP!$K$5:$K$38,Devex_FEP!$I$5:$I$38,AO$4),0)</f>
        <v>0</v>
      </c>
      <c r="AP20" s="95">
        <f>IF(Inputs!$E$67=1,SUMIFS(Devex_FEP!$K$5:$K$38,Devex_FEP!$I$5:$I$38,AP$4),0)</f>
        <v>0</v>
      </c>
      <c r="AQ20" s="95">
        <f>IF(Inputs!$E$67=1,SUMIFS(Devex_FEP!$K$5:$K$38,Devex_FEP!$I$5:$I$38,AQ$4),0)</f>
        <v>0</v>
      </c>
      <c r="AR20" s="95">
        <f>IF(Inputs!$E$67=1,SUMIFS(Devex_FEP!$K$5:$K$38,Devex_FEP!$I$5:$I$38,AR$4),0)</f>
        <v>0</v>
      </c>
      <c r="AS20" s="95">
        <f>IF(Inputs!$E$67=1,SUMIFS(Devex_FEP!$K$5:$K$38,Devex_FEP!$I$5:$I$38,AS$4),0)</f>
        <v>0</v>
      </c>
      <c r="AT20" s="95">
        <f>IF(Inputs!$E$67=1,SUMIFS(Devex_FEP!$K$5:$K$38,Devex_FEP!$I$5:$I$38,AT$4),0)</f>
        <v>0</v>
      </c>
      <c r="AU20" s="95">
        <f>IF(Inputs!$E$67=1,SUMIFS(Devex_FEP!$K$5:$K$38,Devex_FEP!$I$5:$I$38,AU$4),0)</f>
        <v>0</v>
      </c>
      <c r="AV20" s="95">
        <f>IF(Inputs!$E$67=1,SUMIFS(Devex_FEP!$K$5:$K$38,Devex_FEP!$I$5:$I$38,AV$4),0)</f>
        <v>0</v>
      </c>
      <c r="AW20" s="95">
        <f>IF(Inputs!$E$67=1,SUMIFS(Devex_FEP!$K$5:$K$38,Devex_FEP!$I$5:$I$38,AW$4),0)</f>
        <v>0</v>
      </c>
      <c r="AX20" s="95">
        <f>IF(Inputs!$E$67=1,SUMIFS(Devex_FEP!$K$5:$K$38,Devex_FEP!$I$5:$I$38,AX$4),0)</f>
        <v>0</v>
      </c>
      <c r="AY20" s="95">
        <f>IF(Inputs!$E$67=1,SUMIFS(Devex_FEP!$K$5:$K$38,Devex_FEP!$I$5:$I$38,AY$4),0)</f>
        <v>0</v>
      </c>
      <c r="AZ20" s="95">
        <f>IF(Inputs!$E$67=1,SUMIFS(Devex_FEP!$K$5:$K$38,Devex_FEP!$I$5:$I$38,AZ$4),0)</f>
        <v>0</v>
      </c>
      <c r="BA20" s="95">
        <f>IF(Inputs!$E$67=1,SUMIFS(Devex_FEP!$K$5:$K$38,Devex_FEP!$I$5:$I$38,BA$4),0)</f>
        <v>0</v>
      </c>
      <c r="BB20" s="95">
        <f>IF(Inputs!$E$67=1,SUMIFS(Devex_FEP!$K$5:$K$38,Devex_FEP!$I$5:$I$38,BB$4),0)</f>
        <v>0</v>
      </c>
      <c r="BC20" s="95">
        <f>IF(Inputs!$E$67=1,SUMIFS(Devex_FEP!$K$5:$K$38,Devex_FEP!$I$5:$I$38,BC$4),0)</f>
        <v>0</v>
      </c>
      <c r="BD20" s="95">
        <f>IF(Inputs!$E$67=1,SUMIFS(Devex_FEP!$K$5:$K$38,Devex_FEP!$I$5:$I$38,BD$4),0)</f>
        <v>0</v>
      </c>
      <c r="BE20" s="95">
        <f>IF(Inputs!$E$67=1,SUMIFS(Devex_FEP!$K$5:$K$38,Devex_FEP!$I$5:$I$38,BE$4),0)</f>
        <v>0</v>
      </c>
      <c r="BF20" s="95">
        <f>IF(Inputs!$E$67=1,SUMIFS(Devex_FEP!$K$5:$K$38,Devex_FEP!$I$5:$I$38,BF$4),0)</f>
        <v>0</v>
      </c>
      <c r="BG20" s="95">
        <f>IF(Inputs!$E$67=1,SUMIFS(Devex_FEP!$K$5:$K$38,Devex_FEP!$I$5:$I$38,BG$4),0)</f>
        <v>0</v>
      </c>
      <c r="BH20" s="95">
        <f>IF(Inputs!$E$67=1,SUMIFS(Devex_FEP!$K$5:$K$38,Devex_FEP!$I$5:$I$38,BH$4),0)</f>
        <v>0</v>
      </c>
      <c r="BI20" s="95">
        <f>IF(Inputs!$E$67=1,SUMIFS(Devex_FEP!$K$5:$K$38,Devex_FEP!$I$5:$I$38,BI$4),0)</f>
        <v>0</v>
      </c>
      <c r="BJ20" s="95">
        <f>IF(Inputs!$E$67=1,SUMIFS(Devex_FEP!$K$5:$K$38,Devex_FEP!$I$5:$I$38,BJ$4),0)</f>
        <v>0</v>
      </c>
      <c r="BK20" s="95">
        <f>IF(Inputs!$E$67=1,SUMIFS(Devex_FEP!$K$5:$K$38,Devex_FEP!$I$5:$I$38,BK$4),0)</f>
        <v>0</v>
      </c>
      <c r="BL20" s="95">
        <f>IF(Inputs!$E$67=1,SUMIFS(Devex_FEP!$K$5:$K$38,Devex_FEP!$I$5:$I$38,BL$4),0)</f>
        <v>0</v>
      </c>
      <c r="BM20" s="95">
        <f>IF(Inputs!$E$67=1,SUMIFS(Devex_FEP!$K$5:$K$38,Devex_FEP!$I$5:$I$38,BM$4),0)</f>
        <v>0</v>
      </c>
      <c r="BN20" s="95">
        <f>IF(Inputs!$E$67=1,SUMIFS(Devex_FEP!$K$5:$K$38,Devex_FEP!$I$5:$I$38,BN$4),0)</f>
        <v>0</v>
      </c>
      <c r="BO20" s="95">
        <f>IF(Inputs!$E$67=1,SUMIFS(Devex_FEP!$K$5:$K$38,Devex_FEP!$I$5:$I$38,BO$4),0)</f>
        <v>0</v>
      </c>
      <c r="BP20" s="95">
        <f>IF(Inputs!$E$67=1,SUMIFS(Devex_FEP!$K$5:$K$38,Devex_FEP!$I$5:$I$38,BP$4),0)</f>
        <v>0</v>
      </c>
    </row>
    <row r="21" x14ac:dyDescent="0.25">
      <c r="C21" s="43" t="inlineStr">
        <is>
          <t xml:space="preserve">2. Developer success fee / DSA – 2.5 k€/MW p.a. pro rata (30/360) from signing (Inputs E70) to sale, capped at Inputs E37, × installed wind MW (Inputs E29) – DSA on installed MW per BORA_Devex – user 09-Oct-26</t>
        </is>
      </c>
      <c r="D21" s="43"/>
      <c r="E21" s="96"/>
      <c r="F21" s="96"/>
      <c r="G21" s="96"/>
      <c r="H21" s="96"/>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row>
    <row r="22" spans="3:68" x14ac:dyDescent="0.25">
      <c r="C22" t="s">
        <v>32</v>
      </c>
      <c r="D22" t="s">
        <v>845</v>
      </c>
      <c r="E22" s="20"/>
      <c r="F22" s="20"/>
      <c r="G22" s="20"/>
      <c r="H22" s="20">
        <v>0</v>
      </c>
      <c r="I22" s="20">
        <f t="shared" ref="I22:AN22" si="13">H24</f>
        <v>0</v>
      </c>
      <c r="J22" s="20">
        <f t="shared" si="13"/>
        <v>0</v>
      </c>
      <c r="K22" s="20">
        <f t="shared" si="13"/>
        <v>0</v>
      </c>
      <c r="L22" s="20">
        <f t="shared" si="13"/>
        <v>0.034722222222222224</v>
      </c>
      <c r="M22" s="20">
        <f t="shared" si="13"/>
        <v>0.2361111111111111</v>
      </c>
      <c r="N22" s="20">
        <f t="shared" si="13"/>
        <v>0.4513888888888889</v>
      </c>
      <c r="O22" s="20">
        <f t="shared" si="13"/>
        <v>0.6597222222222222</v>
      </c>
      <c r="P22" s="20">
        <f t="shared" si="13"/>
        <v>0.8472222222222223</v>
      </c>
      <c r="Q22" s="20">
        <f t="shared" si="13"/>
        <v>1.0763888888888888</v>
      </c>
      <c r="R22" s="20">
        <f t="shared" si="13"/>
        <v>1.2777777777777777</v>
      </c>
      <c r="S22" s="20">
        <f t="shared" si="13"/>
        <v>1.4930555555555556</v>
      </c>
      <c r="T22" s="20">
        <f t="shared" si="13"/>
        <v>1.6944444444444446</v>
      </c>
      <c r="U22" s="20">
        <f t="shared" si="13"/>
        <v>1.909722222222222</v>
      </c>
      <c r="V22" s="20">
        <f t="shared" si="13"/>
        <v>2.1180555555555554</v>
      </c>
      <c r="W22" s="20">
        <f t="shared" si="13"/>
        <v>2.3194444444444446</v>
      </c>
      <c r="X22" s="20">
        <f t="shared" si="13"/>
        <v>2.5347222222222223</v>
      </c>
      <c r="Y22" s="20">
        <f t="shared" si="13"/>
        <v>2.7361111111111116</v>
      </c>
      <c r="Z22" s="20">
        <f t="shared" si="13"/>
        <v>2.951388888888889</v>
      </c>
      <c r="AA22" s="20">
        <f t="shared" si="13"/>
        <v>3.1597222222222223</v>
      </c>
      <c r="AB22" s="20">
        <f t="shared" si="13"/>
        <v>3.3541666666666665</v>
      </c>
      <c r="AC22" s="20">
        <f t="shared" si="13"/>
        <v>3.576388888888889</v>
      </c>
      <c r="AD22" s="20">
        <f t="shared" si="13"/>
        <v>3.7777777777777777</v>
      </c>
      <c r="AE22" s="20">
        <f t="shared" si="13"/>
        <v>3.993055555555556</v>
      </c>
      <c r="AF22" s="20">
        <f t="shared" si="13"/>
        <v>4.194444444444445</v>
      </c>
      <c r="AG22" s="20">
        <f t="shared" si="13"/>
        <v>4.409722222222222</v>
      </c>
      <c r="AH22" s="20">
        <f t="shared" si="13"/>
        <v>4.618055555555555</v>
      </c>
      <c r="AI22" s="20">
        <f t="shared" si="13"/>
        <v>4.819444444444445</v>
      </c>
      <c r="AJ22" s="20">
        <f t="shared" si="13"/>
        <v>5.034722222222222</v>
      </c>
      <c r="AK22" s="20">
        <f t="shared" si="13"/>
        <v>5.236111111111112</v>
      </c>
      <c r="AL22" s="20">
        <f t="shared" si="13"/>
        <v>5.451388888888888</v>
      </c>
      <c r="AM22" s="20">
        <f t="shared" si="13"/>
        <v>5.659722222222222</v>
      </c>
      <c r="AN22" s="20">
        <f t="shared" si="13"/>
        <v>5.847222222222222</v>
      </c>
      <c r="AO22" s="20">
        <f t="shared" ref="AO22:BP22" si="14">AN24</f>
        <v>6.076388888888888</v>
      </c>
      <c r="AP22" s="20">
        <f t="shared" si="14"/>
        <v>6.277777777777778</v>
      </c>
      <c r="AQ22" s="20">
        <f t="shared" si="14"/>
        <v>6.493055555555555</v>
      </c>
      <c r="AR22" s="20">
        <f t="shared" si="14"/>
        <v>6.694444444444444</v>
      </c>
      <c r="AS22" s="20">
        <f t="shared" si="14"/>
        <v>6.909722222222222</v>
      </c>
      <c r="AT22" s="20">
        <f t="shared" si="14"/>
        <v>7.118055555555555</v>
      </c>
      <c r="AU22" s="20">
        <f t="shared" si="14"/>
        <v>7.319444444444444</v>
      </c>
      <c r="AV22" s="20">
        <f t="shared" si="14"/>
        <v>7.534722222222222</v>
      </c>
      <c r="AW22" s="20">
        <f t="shared" si="14"/>
        <v>7.736111111111112</v>
      </c>
      <c r="AX22" s="20">
        <f t="shared" si="14"/>
        <v>7.951388888888888</v>
      </c>
      <c r="AY22" s="20">
        <f t="shared" si="14"/>
        <v>8.159722222222221</v>
      </c>
      <c r="AZ22" s="20">
        <f t="shared" si="14"/>
        <v>8.347222222222223</v>
      </c>
      <c r="BA22" s="20">
        <f t="shared" si="14"/>
        <v>8.57638888888889</v>
      </c>
      <c r="BB22" s="20">
        <f t="shared" si="14"/>
        <v>8.57638888888889</v>
      </c>
      <c r="BC22" s="20">
        <f t="shared" si="14"/>
        <v>8.57638888888889</v>
      </c>
      <c r="BD22" s="20">
        <f t="shared" si="14"/>
        <v>8.57638888888889</v>
      </c>
      <c r="BE22" s="20">
        <f t="shared" si="14"/>
        <v>8.57638888888889</v>
      </c>
      <c r="BF22" s="20">
        <f t="shared" si="14"/>
        <v>8.57638888888889</v>
      </c>
      <c r="BG22" s="20">
        <f t="shared" si="14"/>
        <v>8.57638888888889</v>
      </c>
      <c r="BH22" s="20">
        <f t="shared" si="14"/>
        <v>8.57638888888889</v>
      </c>
      <c r="BI22" s="20">
        <f t="shared" si="14"/>
        <v>8.57638888888889</v>
      </c>
      <c r="BJ22" s="20">
        <f t="shared" si="14"/>
        <v>8.57638888888889</v>
      </c>
      <c r="BK22" s="20">
        <f t="shared" si="14"/>
        <v>8.57638888888889</v>
      </c>
      <c r="BL22" s="20">
        <f t="shared" si="14"/>
        <v>8.57638888888889</v>
      </c>
      <c r="BM22" s="20">
        <f t="shared" si="14"/>
        <v>8.57638888888889</v>
      </c>
      <c r="BN22" s="20">
        <f t="shared" si="14"/>
        <v>8.57638888888889</v>
      </c>
      <c r="BO22" s="20">
        <f t="shared" si="14"/>
        <v>8.57638888888889</v>
      </c>
      <c r="BP22" s="20">
        <f t="shared" si="14"/>
        <v>8.57638888888889</v>
      </c>
    </row>
    <row r="23" spans="3:68" x14ac:dyDescent="0.25">
      <c r="C23" t="s">
        <v>44</v>
      </c>
      <c r="D23" t="s">
        <v>845</v>
      </c>
      <c r="E23" s="20"/>
      <c r="F23" s="20"/>
      <c r="G23" s="20"/>
      <c r="H23" s="20">
        <f>Inputs!$E$38*MAX(0,MIN(Inputs!$E$37,Inputs!$E$36*N(H$5&gt;=Inputs!$E$70)*YEARFRAC(Inputs!$E$70,MIN(H$5,Inputs!$E$58)))-H22)</f>
        <v>0</v>
      </c>
      <c r="I23" s="20">
        <f>Inputs!$E$38*MAX(0,MIN(Inputs!$E$37,Inputs!$E$36*N(I$5&gt;=Inputs!$E$70)*YEARFRAC(Inputs!$E$70,MIN(I$5,Inputs!$E$58)))-I22)</f>
        <v>0</v>
      </c>
      <c r="J23" s="20">
        <f>Inputs!$E$38*MAX(0,MIN(Inputs!$E$37,Inputs!$E$36*N(J$5&gt;=Inputs!$E$70)*YEARFRAC(Inputs!$E$70,MIN(J$5,Inputs!$E$58)))-J22)</f>
        <v>0</v>
      </c>
      <c r="K23" s="20">
        <f>Inputs!$E$38*MAX(0,MIN(Inputs!$E$37,Inputs!$E$36*N(K$5&gt;=Inputs!$E$70)*YEARFRAC(Inputs!$E$70,MIN(K$5,Inputs!$E$58)))-K22)</f>
        <v>0.034722222222222224</v>
      </c>
      <c r="L23" s="20">
        <f>Inputs!$E$38*MAX(0,MIN(Inputs!$E$37,Inputs!$E$36*N(L$5&gt;=Inputs!$E$70)*YEARFRAC(Inputs!$E$70,MIN(L$5,Inputs!$E$58)))-L22)</f>
        <v>0.2013888888888889</v>
      </c>
      <c r="M23" s="20">
        <f>Inputs!$E$38*MAX(0,MIN(Inputs!$E$37,Inputs!$E$36*N(M$5&gt;=Inputs!$E$70)*YEARFRAC(Inputs!$E$70,MIN(M$5,Inputs!$E$58)))-M22)</f>
        <v>0.2152777777777778</v>
      </c>
      <c r="N23" s="20">
        <f>Inputs!$E$38*MAX(0,MIN(Inputs!$E$37,Inputs!$E$36*N(N$5&gt;=Inputs!$E$70)*YEARFRAC(Inputs!$E$70,MIN(N$5,Inputs!$E$58)))-N22)</f>
        <v>0.20833333333333331</v>
      </c>
      <c r="O23" s="20">
        <f>Inputs!$E$38*MAX(0,MIN(Inputs!$E$37,Inputs!$E$36*N(O$5&gt;=Inputs!$E$70)*YEARFRAC(Inputs!$E$70,MIN(O$5,Inputs!$E$58)))-O22)</f>
        <v>0.1875000000000001</v>
      </c>
      <c r="P23" s="20">
        <f>Inputs!$E$38*MAX(0,MIN(Inputs!$E$37,Inputs!$E$36*N(P$5&gt;=Inputs!$E$70)*YEARFRAC(Inputs!$E$70,MIN(P$5,Inputs!$E$58)))-P22)</f>
        <v>0.22916666666666652</v>
      </c>
      <c r="Q23" s="20">
        <f>Inputs!$E$38*MAX(0,MIN(Inputs!$E$37,Inputs!$E$36*N(Q$5&gt;=Inputs!$E$70)*YEARFRAC(Inputs!$E$70,MIN(Q$5,Inputs!$E$58)))-Q22)</f>
        <v>0.20138888888888884</v>
      </c>
      <c r="R23" s="20">
        <f>Inputs!$E$38*MAX(0,MIN(Inputs!$E$37,Inputs!$E$36*N(R$5&gt;=Inputs!$E$70)*YEARFRAC(Inputs!$E$70,MIN(R$5,Inputs!$E$58)))-R22)</f>
        <v>0.2152777777777779</v>
      </c>
      <c r="S23" s="20">
        <f>Inputs!$E$38*MAX(0,MIN(Inputs!$E$37,Inputs!$E$36*N(S$5&gt;=Inputs!$E$70)*YEARFRAC(Inputs!$E$70,MIN(S$5,Inputs!$E$58)))-S22)</f>
        <v>0.20138888888888906</v>
      </c>
      <c r="T23" s="20">
        <f>Inputs!$E$38*MAX(0,MIN(Inputs!$E$37,Inputs!$E$36*N(T$5&gt;=Inputs!$E$70)*YEARFRAC(Inputs!$E$70,MIN(T$5,Inputs!$E$58)))-T22)</f>
        <v>0.21527777777777746</v>
      </c>
      <c r="U23" s="20">
        <f>Inputs!$E$38*MAX(0,MIN(Inputs!$E$37,Inputs!$E$36*N(U$5&gt;=Inputs!$E$70)*YEARFRAC(Inputs!$E$70,MIN(U$5,Inputs!$E$58)))-U22)</f>
        <v>0.20833333333333326</v>
      </c>
      <c r="V23" s="20">
        <f>Inputs!$E$38*MAX(0,MIN(Inputs!$E$37,Inputs!$E$36*N(V$5&gt;=Inputs!$E$70)*YEARFRAC(Inputs!$E$70,MIN(V$5,Inputs!$E$58)))-V22)</f>
        <v>0.20138888888888928</v>
      </c>
      <c r="W23" s="20">
        <f>Inputs!$E$38*MAX(0,MIN(Inputs!$E$37,Inputs!$E$36*N(W$5&gt;=Inputs!$E$70)*YEARFRAC(Inputs!$E$70,MIN(W$5,Inputs!$E$58)))-W22)</f>
        <v>0.21527777777777768</v>
      </c>
      <c r="X23" s="20">
        <f>Inputs!$E$38*MAX(0,MIN(Inputs!$E$37,Inputs!$E$36*N(X$5&gt;=Inputs!$E$70)*YEARFRAC(Inputs!$E$70,MIN(X$5,Inputs!$E$58)))-X22)</f>
        <v>0.20138888888888928</v>
      </c>
      <c r="Y23" s="20">
        <f>Inputs!$E$38*MAX(0,MIN(Inputs!$E$37,Inputs!$E$36*N(Y$5&gt;=Inputs!$E$70)*YEARFRAC(Inputs!$E$70,MIN(Y$5,Inputs!$E$58)))-Y22)</f>
        <v>0.21527777777777724</v>
      </c>
      <c r="Z23" s="20">
        <f>Inputs!$E$38*MAX(0,MIN(Inputs!$E$37,Inputs!$E$36*N(Z$5&gt;=Inputs!$E$70)*YEARFRAC(Inputs!$E$70,MIN(Z$5,Inputs!$E$58)))-Z22)</f>
        <v>0.20833333333333348</v>
      </c>
      <c r="AA23" s="20">
        <f>Inputs!$E$38*MAX(0,MIN(Inputs!$E$37,Inputs!$E$36*N(AA$5&gt;=Inputs!$E$70)*YEARFRAC(Inputs!$E$70,MIN(AA$5,Inputs!$E$58)))-AA22)</f>
        <v>0.1944444444444442</v>
      </c>
      <c r="AB23" s="20">
        <f>Inputs!$E$38*MAX(0,MIN(Inputs!$E$37,Inputs!$E$36*N(AB$5&gt;=Inputs!$E$70)*YEARFRAC(Inputs!$E$70,MIN(AB$5,Inputs!$E$58)))-AB22)</f>
        <v>0.22222222222222232</v>
      </c>
      <c r="AC23" s="20">
        <f>Inputs!$E$38*MAX(0,MIN(Inputs!$E$37,Inputs!$E$36*N(AC$5&gt;=Inputs!$E$70)*YEARFRAC(Inputs!$E$70,MIN(AC$5,Inputs!$E$58)))-AC22)</f>
        <v>0.20138888888888884</v>
      </c>
      <c r="AD23" s="20">
        <f>Inputs!$E$38*MAX(0,MIN(Inputs!$E$37,Inputs!$E$36*N(AD$5&gt;=Inputs!$E$70)*YEARFRAC(Inputs!$E$70,MIN(AD$5,Inputs!$E$58)))-AD22)</f>
        <v>0.21527777777777812</v>
      </c>
      <c r="AE23" s="20">
        <f>Inputs!$E$38*MAX(0,MIN(Inputs!$E$37,Inputs!$E$36*N(AE$5&gt;=Inputs!$E$70)*YEARFRAC(Inputs!$E$70,MIN(AE$5,Inputs!$E$58)))-AE22)</f>
        <v>0.20138888888888884</v>
      </c>
      <c r="AF23" s="20">
        <f>Inputs!$E$38*MAX(0,MIN(Inputs!$E$37,Inputs!$E$36*N(AF$5&gt;=Inputs!$E$70)*YEARFRAC(Inputs!$E$70,MIN(AF$5,Inputs!$E$58)))-AF22)</f>
        <v>0.21527777777777768</v>
      </c>
      <c r="AG23" s="20">
        <f>Inputs!$E$38*MAX(0,MIN(Inputs!$E$37,Inputs!$E$36*N(AG$5&gt;=Inputs!$E$70)*YEARFRAC(Inputs!$E$70,MIN(AG$5,Inputs!$E$58)))-AG22)</f>
        <v>0.20833333333333304</v>
      </c>
      <c r="AH23" s="20">
        <f>Inputs!$E$38*MAX(0,MIN(Inputs!$E$37,Inputs!$E$36*N(AH$5&gt;=Inputs!$E$70)*YEARFRAC(Inputs!$E$70,MIN(AH$5,Inputs!$E$58)))-AH22)</f>
        <v>0.20138888888888928</v>
      </c>
      <c r="AI23" s="20">
        <f>Inputs!$E$38*MAX(0,MIN(Inputs!$E$37,Inputs!$E$36*N(AI$5&gt;=Inputs!$E$70)*YEARFRAC(Inputs!$E$70,MIN(AI$5,Inputs!$E$58)))-AI22)</f>
        <v>0.21527777777777768</v>
      </c>
      <c r="AJ23" s="20">
        <f>Inputs!$E$38*MAX(0,MIN(Inputs!$E$37,Inputs!$E$36*N(AJ$5&gt;=Inputs!$E$70)*YEARFRAC(Inputs!$E$70,MIN(AJ$5,Inputs!$E$58)))-AJ22)</f>
        <v>0.20138888888888928</v>
      </c>
      <c r="AK23" s="20">
        <f>Inputs!$E$38*MAX(0,MIN(Inputs!$E$37,Inputs!$E$36*N(AK$5&gt;=Inputs!$E$70)*YEARFRAC(Inputs!$E$70,MIN(AK$5,Inputs!$E$58)))-AK22)</f>
        <v>0.2152777777777768</v>
      </c>
      <c r="AL23" s="20">
        <f>Inputs!$E$38*MAX(0,MIN(Inputs!$E$37,Inputs!$E$36*N(AL$5&gt;=Inputs!$E$70)*YEARFRAC(Inputs!$E$70,MIN(AL$5,Inputs!$E$58)))-AL22)</f>
        <v>0.20833333333333393</v>
      </c>
      <c r="AM23" s="20">
        <f>Inputs!$E$38*MAX(0,MIN(Inputs!$E$37,Inputs!$E$36*N(AM$5&gt;=Inputs!$E$70)*YEARFRAC(Inputs!$E$70,MIN(AM$5,Inputs!$E$58)))-AM22)</f>
        <v>0.1875</v>
      </c>
      <c r="AN23" s="20">
        <f>Inputs!$E$38*MAX(0,MIN(Inputs!$E$37,Inputs!$E$36*N(AN$5&gt;=Inputs!$E$70)*YEARFRAC(Inputs!$E$70,MIN(AN$5,Inputs!$E$58)))-AN22)</f>
        <v>0.22916666666666607</v>
      </c>
      <c r="AO23" s="20">
        <f>Inputs!$E$38*MAX(0,MIN(Inputs!$E$37,Inputs!$E$36*N(AO$5&gt;=Inputs!$E$70)*YEARFRAC(Inputs!$E$70,MIN(AO$5,Inputs!$E$58)))-AO22)</f>
        <v>0.20138888888888928</v>
      </c>
      <c r="AP23" s="20">
        <f>Inputs!$E$38*MAX(0,MIN(Inputs!$E$37,Inputs!$E$36*N(AP$5&gt;=Inputs!$E$70)*YEARFRAC(Inputs!$E$70,MIN(AP$5,Inputs!$E$58)))-AP22)</f>
        <v>0.21527777777777768</v>
      </c>
      <c r="AQ23" s="20">
        <f>Inputs!$E$38*MAX(0,MIN(Inputs!$E$37,Inputs!$E$36*N(AQ$5&gt;=Inputs!$E$70)*YEARFRAC(Inputs!$E$70,MIN(AQ$5,Inputs!$E$58)))-AQ22)</f>
        <v>0.2013888888888884</v>
      </c>
      <c r="AR23" s="20">
        <f>Inputs!$E$38*MAX(0,MIN(Inputs!$E$37,Inputs!$E$36*N(AR$5&gt;=Inputs!$E$70)*YEARFRAC(Inputs!$E$70,MIN(AR$5,Inputs!$E$58)))-AR22)</f>
        <v>0.21527777777777857</v>
      </c>
      <c r="AS23" s="20">
        <f>Inputs!$E$38*MAX(0,MIN(Inputs!$E$37,Inputs!$E$36*N(AS$5&gt;=Inputs!$E$70)*YEARFRAC(Inputs!$E$70,MIN(AS$5,Inputs!$E$58)))-AS22)</f>
        <v>0.20833333333333304</v>
      </c>
      <c r="AT23" s="20">
        <f>Inputs!$E$38*MAX(0,MIN(Inputs!$E$37,Inputs!$E$36*N(AT$5&gt;=Inputs!$E$70)*YEARFRAC(Inputs!$E$70,MIN(AT$5,Inputs!$E$58)))-AT22)</f>
        <v>0.2013888888888884</v>
      </c>
      <c r="AU23" s="20">
        <f>Inputs!$E$38*MAX(0,MIN(Inputs!$E$37,Inputs!$E$36*N(AU$5&gt;=Inputs!$E$70)*YEARFRAC(Inputs!$E$70,MIN(AU$5,Inputs!$E$58)))-AU22)</f>
        <v>0.21527777777777857</v>
      </c>
      <c r="AV23" s="20">
        <f>Inputs!$E$38*MAX(0,MIN(Inputs!$E$37,Inputs!$E$36*N(AV$5&gt;=Inputs!$E$70)*YEARFRAC(Inputs!$E$70,MIN(AV$5,Inputs!$E$58)))-AV22)</f>
        <v>0.20138888888888928</v>
      </c>
      <c r="AW23" s="20">
        <f>Inputs!$E$38*MAX(0,MIN(Inputs!$E$37,Inputs!$E$36*N(AW$5&gt;=Inputs!$E$70)*YEARFRAC(Inputs!$E$70,MIN(AW$5,Inputs!$E$58)))-AW22)</f>
        <v>0.2152777777777768</v>
      </c>
      <c r="AX23" s="20">
        <f>Inputs!$E$38*MAX(0,MIN(Inputs!$E$37,Inputs!$E$36*N(AX$5&gt;=Inputs!$E$70)*YEARFRAC(Inputs!$E$70,MIN(AX$5,Inputs!$E$58)))-AX22)</f>
        <v>0.20833333333333304</v>
      </c>
      <c r="AY23" s="20">
        <f>Inputs!$E$38*MAX(0,MIN(Inputs!$E$37,Inputs!$E$36*N(AY$5&gt;=Inputs!$E$70)*YEARFRAC(Inputs!$E$70,MIN(AY$5,Inputs!$E$58)))-AY22)</f>
        <v>0.18750000000000178</v>
      </c>
      <c r="AZ23" s="20">
        <f>Inputs!$E$38*MAX(0,MIN(Inputs!$E$37,Inputs!$E$36*N(AZ$5&gt;=Inputs!$E$70)*YEARFRAC(Inputs!$E$70,MIN(AZ$5,Inputs!$E$58)))-AZ22)</f>
        <v>0.22916666666666607</v>
      </c>
      <c r="BA23" s="20">
        <f>Inputs!$E$38*MAX(0,MIN(Inputs!$E$37,Inputs!$E$36*N(BA$5&gt;=Inputs!$E$70)*YEARFRAC(Inputs!$E$70,MIN(BA$5,Inputs!$E$58)))-BA22)</f>
        <v>0</v>
      </c>
      <c r="BB23" s="20">
        <f>Inputs!$E$38*MAX(0,MIN(Inputs!$E$37,Inputs!$E$36*N(BB$5&gt;=Inputs!$E$70)*YEARFRAC(Inputs!$E$70,MIN(BB$5,Inputs!$E$58)))-BB22)</f>
        <v>0</v>
      </c>
      <c r="BC23" s="20">
        <f>Inputs!$E$38*MAX(0,MIN(Inputs!$E$37,Inputs!$E$36*N(BC$5&gt;=Inputs!$E$70)*YEARFRAC(Inputs!$E$70,MIN(BC$5,Inputs!$E$58)))-BC22)</f>
        <v>0</v>
      </c>
      <c r="BD23" s="20">
        <f>Inputs!$E$38*MAX(0,MIN(Inputs!$E$37,Inputs!$E$36*N(BD$5&gt;=Inputs!$E$70)*YEARFRAC(Inputs!$E$70,MIN(BD$5,Inputs!$E$58)))-BD22)</f>
        <v>0</v>
      </c>
      <c r="BE23" s="20">
        <f>Inputs!$E$38*MAX(0,MIN(Inputs!$E$37,Inputs!$E$36*N(BE$5&gt;=Inputs!$E$70)*YEARFRAC(Inputs!$E$70,MIN(BE$5,Inputs!$E$58)))-BE22)</f>
        <v>0</v>
      </c>
      <c r="BF23" s="20">
        <f>Inputs!$E$38*MAX(0,MIN(Inputs!$E$37,Inputs!$E$36*N(BF$5&gt;=Inputs!$E$70)*YEARFRAC(Inputs!$E$70,MIN(BF$5,Inputs!$E$58)))-BF22)</f>
        <v>0</v>
      </c>
      <c r="BG23" s="20">
        <f>Inputs!$E$38*MAX(0,MIN(Inputs!$E$37,Inputs!$E$36*N(BG$5&gt;=Inputs!$E$70)*YEARFRAC(Inputs!$E$70,MIN(BG$5,Inputs!$E$58)))-BG22)</f>
        <v>0</v>
      </c>
      <c r="BH23" s="20">
        <f>Inputs!$E$38*MAX(0,MIN(Inputs!$E$37,Inputs!$E$36*N(BH$5&gt;=Inputs!$E$70)*YEARFRAC(Inputs!$E$70,MIN(BH$5,Inputs!$E$58)))-BH22)</f>
        <v>0</v>
      </c>
      <c r="BI23" s="20">
        <f>Inputs!$E$38*MAX(0,MIN(Inputs!$E$37,Inputs!$E$36*N(BI$5&gt;=Inputs!$E$70)*YEARFRAC(Inputs!$E$70,MIN(BI$5,Inputs!$E$58)))-BI22)</f>
        <v>0</v>
      </c>
      <c r="BJ23" s="20">
        <f>Inputs!$E$38*MAX(0,MIN(Inputs!$E$37,Inputs!$E$36*N(BJ$5&gt;=Inputs!$E$70)*YEARFRAC(Inputs!$E$70,MIN(BJ$5,Inputs!$E$58)))-BJ22)</f>
        <v>0</v>
      </c>
      <c r="BK23" s="20">
        <f>Inputs!$E$38*MAX(0,MIN(Inputs!$E$37,Inputs!$E$36*N(BK$5&gt;=Inputs!$E$70)*YEARFRAC(Inputs!$E$70,MIN(BK$5,Inputs!$E$58)))-BK22)</f>
        <v>0</v>
      </c>
      <c r="BL23" s="20">
        <f>Inputs!$E$38*MAX(0,MIN(Inputs!$E$37,Inputs!$E$36*N(BL$5&gt;=Inputs!$E$70)*YEARFRAC(Inputs!$E$70,MIN(BL$5,Inputs!$E$58)))-BL22)</f>
        <v>0</v>
      </c>
      <c r="BM23" s="20">
        <f>Inputs!$E$38*MAX(0,MIN(Inputs!$E$37,Inputs!$E$36*N(BM$5&gt;=Inputs!$E$70)*YEARFRAC(Inputs!$E$70,MIN(BM$5,Inputs!$E$58)))-BM22)</f>
        <v>0</v>
      </c>
      <c r="BN23" s="20">
        <f>Inputs!$E$38*MAX(0,MIN(Inputs!$E$37,Inputs!$E$36*N(BN$5&gt;=Inputs!$E$70)*YEARFRAC(Inputs!$E$70,MIN(BN$5,Inputs!$E$58)))-BN22)</f>
        <v>0</v>
      </c>
      <c r="BO23" s="20">
        <f>Inputs!$E$38*MAX(0,MIN(Inputs!$E$37,Inputs!$E$36*N(BO$5&gt;=Inputs!$E$70)*YEARFRAC(Inputs!$E$70,MIN(BO$5,Inputs!$E$58)))-BO22)</f>
        <v>0</v>
      </c>
      <c r="BP23" s="20">
        <f>Inputs!$E$38*MAX(0,MIN(Inputs!$E$37,Inputs!$E$36*N(BP$5&gt;=Inputs!$E$70)*YEARFRAC(Inputs!$E$70,MIN(BP$5,Inputs!$E$58)))-BP22)</f>
        <v>0</v>
      </c>
    </row>
    <row r="24" spans="3:68" x14ac:dyDescent="0.25">
      <c r="C24" t="s">
        <v>33</v>
      </c>
      <c r="D24" t="s">
        <v>845</v>
      </c>
      <c r="E24" s="20"/>
      <c r="F24" s="20"/>
      <c r="G24" s="20"/>
      <c r="H24" s="20">
        <f t="shared" ref="H24:AM24" si="15">H22+H23</f>
        <v>0</v>
      </c>
      <c r="I24" s="20">
        <f t="shared" si="15"/>
        <v>0</v>
      </c>
      <c r="J24" s="20">
        <f t="shared" si="15"/>
        <v>0</v>
      </c>
      <c r="K24" s="20">
        <f t="shared" si="15"/>
        <v>0.034722222222222224</v>
      </c>
      <c r="L24" s="20">
        <f t="shared" si="15"/>
        <v>0.2361111111111111</v>
      </c>
      <c r="M24" s="20">
        <f t="shared" si="15"/>
        <v>0.4513888888888889</v>
      </c>
      <c r="N24" s="20">
        <f t="shared" si="15"/>
        <v>0.6597222222222222</v>
      </c>
      <c r="O24" s="20">
        <f t="shared" si="15"/>
        <v>0.8472222222222223</v>
      </c>
      <c r="P24" s="20">
        <f t="shared" si="15"/>
        <v>1.0763888888888888</v>
      </c>
      <c r="Q24" s="20">
        <f t="shared" si="15"/>
        <v>1.2777777777777777</v>
      </c>
      <c r="R24" s="20">
        <f t="shared" si="15"/>
        <v>1.4930555555555556</v>
      </c>
      <c r="S24" s="20">
        <f t="shared" si="15"/>
        <v>1.6944444444444446</v>
      </c>
      <c r="T24" s="20">
        <f t="shared" si="15"/>
        <v>1.909722222222222</v>
      </c>
      <c r="U24" s="20">
        <f t="shared" si="15"/>
        <v>2.1180555555555554</v>
      </c>
      <c r="V24" s="20">
        <f t="shared" si="15"/>
        <v>2.3194444444444446</v>
      </c>
      <c r="W24" s="20">
        <f t="shared" si="15"/>
        <v>2.5347222222222223</v>
      </c>
      <c r="X24" s="20">
        <f t="shared" si="15"/>
        <v>2.7361111111111116</v>
      </c>
      <c r="Y24" s="20">
        <f t="shared" si="15"/>
        <v>2.951388888888889</v>
      </c>
      <c r="Z24" s="20">
        <f t="shared" si="15"/>
        <v>3.1597222222222223</v>
      </c>
      <c r="AA24" s="20">
        <f t="shared" si="15"/>
        <v>3.3541666666666665</v>
      </c>
      <c r="AB24" s="20">
        <f t="shared" si="15"/>
        <v>3.576388888888889</v>
      </c>
      <c r="AC24" s="20">
        <f t="shared" si="15"/>
        <v>3.7777777777777777</v>
      </c>
      <c r="AD24" s="20">
        <f t="shared" si="15"/>
        <v>3.993055555555556</v>
      </c>
      <c r="AE24" s="20">
        <f t="shared" si="15"/>
        <v>4.194444444444445</v>
      </c>
      <c r="AF24" s="20">
        <f t="shared" si="15"/>
        <v>4.409722222222222</v>
      </c>
      <c r="AG24" s="20">
        <f t="shared" si="15"/>
        <v>4.618055555555555</v>
      </c>
      <c r="AH24" s="20">
        <f t="shared" si="15"/>
        <v>4.819444444444445</v>
      </c>
      <c r="AI24" s="20">
        <f t="shared" si="15"/>
        <v>5.034722222222222</v>
      </c>
      <c r="AJ24" s="20">
        <f t="shared" si="15"/>
        <v>5.236111111111112</v>
      </c>
      <c r="AK24" s="20">
        <f t="shared" si="15"/>
        <v>5.451388888888888</v>
      </c>
      <c r="AL24" s="20">
        <f t="shared" si="15"/>
        <v>5.659722222222222</v>
      </c>
      <c r="AM24" s="20">
        <f t="shared" si="15"/>
        <v>5.847222222222222</v>
      </c>
      <c r="AN24" s="20">
        <f t="shared" ref="AN24:BP24" si="16">AN22+AN23</f>
        <v>6.076388888888888</v>
      </c>
      <c r="AO24" s="20">
        <f t="shared" si="16"/>
        <v>6.277777777777778</v>
      </c>
      <c r="AP24" s="20">
        <f t="shared" si="16"/>
        <v>6.493055555555555</v>
      </c>
      <c r="AQ24" s="20">
        <f t="shared" si="16"/>
        <v>6.694444444444444</v>
      </c>
      <c r="AR24" s="20">
        <f t="shared" si="16"/>
        <v>6.909722222222222</v>
      </c>
      <c r="AS24" s="20">
        <f t="shared" si="16"/>
        <v>7.118055555555555</v>
      </c>
      <c r="AT24" s="20">
        <f t="shared" si="16"/>
        <v>7.319444444444444</v>
      </c>
      <c r="AU24" s="20">
        <f t="shared" si="16"/>
        <v>7.534722222222222</v>
      </c>
      <c r="AV24" s="20">
        <f t="shared" si="16"/>
        <v>7.736111111111112</v>
      </c>
      <c r="AW24" s="20">
        <f t="shared" si="16"/>
        <v>7.951388888888888</v>
      </c>
      <c r="AX24" s="20">
        <f t="shared" si="16"/>
        <v>8.159722222222221</v>
      </c>
      <c r="AY24" s="20">
        <f t="shared" si="16"/>
        <v>8.347222222222223</v>
      </c>
      <c r="AZ24" s="20">
        <f t="shared" si="16"/>
        <v>8.57638888888889</v>
      </c>
      <c r="BA24" s="20">
        <f t="shared" si="16"/>
        <v>8.57638888888889</v>
      </c>
      <c r="BB24" s="20">
        <f t="shared" si="16"/>
        <v>8.57638888888889</v>
      </c>
      <c r="BC24" s="20">
        <f t="shared" si="16"/>
        <v>8.57638888888889</v>
      </c>
      <c r="BD24" s="20">
        <f t="shared" si="16"/>
        <v>8.57638888888889</v>
      </c>
      <c r="BE24" s="20">
        <f t="shared" si="16"/>
        <v>8.57638888888889</v>
      </c>
      <c r="BF24" s="20">
        <f t="shared" si="16"/>
        <v>8.57638888888889</v>
      </c>
      <c r="BG24" s="20">
        <f t="shared" si="16"/>
        <v>8.57638888888889</v>
      </c>
      <c r="BH24" s="20">
        <f t="shared" si="16"/>
        <v>8.57638888888889</v>
      </c>
      <c r="BI24" s="20">
        <f t="shared" si="16"/>
        <v>8.57638888888889</v>
      </c>
      <c r="BJ24" s="20">
        <f t="shared" si="16"/>
        <v>8.57638888888889</v>
      </c>
      <c r="BK24" s="20">
        <f t="shared" si="16"/>
        <v>8.57638888888889</v>
      </c>
      <c r="BL24" s="20">
        <f t="shared" si="16"/>
        <v>8.57638888888889</v>
      </c>
      <c r="BM24" s="20">
        <f t="shared" si="16"/>
        <v>8.57638888888889</v>
      </c>
      <c r="BN24" s="20">
        <f t="shared" si="16"/>
        <v>8.57638888888889</v>
      </c>
      <c r="BO24" s="20">
        <f t="shared" si="16"/>
        <v>8.57638888888889</v>
      </c>
      <c r="BP24" s="20">
        <f t="shared" si="16"/>
        <v>8.57638888888889</v>
      </c>
    </row>
    <row r="25" x14ac:dyDescent="0.25">
      <c r="C25" s="6" t="s">
        <v>672</v>
      </c>
      <c r="D25" s="6" t="s">
        <v>844</v>
      </c>
      <c r="E25" s="95"/>
      <c r="F25" s="95"/>
      <c r="G25" s="95">
        <f>SUM(H25:BP25)</f>
        <v>2238.4375</v>
      </c>
      <c r="H25" s="95">
        <f>H$7*H24*Inputs!$E$29</f>
        <v>0</v>
      </c>
      <c r="I25" s="95">
        <f>I$7*I24*Inputs!$E$29</f>
        <v>0</v>
      </c>
      <c r="J25" s="95">
        <f>J$7*J24*Inputs!$E$29</f>
        <v>0</v>
      </c>
      <c r="K25" s="95">
        <f>K$7*K24*Inputs!$E$29</f>
        <v>0</v>
      </c>
      <c r="L25" s="95">
        <f>L$7*L24*Inputs!$E$29</f>
        <v>0</v>
      </c>
      <c r="M25" s="95">
        <f>M$7*M24*Inputs!$E$29</f>
        <v>0</v>
      </c>
      <c r="N25" s="95">
        <f>N$7*N24*Inputs!$E$29</f>
        <v>0</v>
      </c>
      <c r="O25" s="95">
        <f>O$7*O24*Inputs!$E$29</f>
        <v>0</v>
      </c>
      <c r="P25" s="95">
        <f>P$7*P24*Inputs!$E$29</f>
        <v>0</v>
      </c>
      <c r="Q25" s="95">
        <f>Q$7*Q24*Inputs!$E$29</f>
        <v>0</v>
      </c>
      <c r="R25" s="95">
        <f>R$7*R24*Inputs!$E$29</f>
        <v>0</v>
      </c>
      <c r="S25" s="95">
        <f>S$7*S24*Inputs!$E$29</f>
        <v>0</v>
      </c>
      <c r="T25" s="95">
        <f>T$7*T24*Inputs!$E$29</f>
        <v>0</v>
      </c>
      <c r="U25" s="95">
        <f>U$7*U24*Inputs!$E$29</f>
        <v>0</v>
      </c>
      <c r="V25" s="95">
        <f>V$7*V24*Inputs!$E$29</f>
        <v>0</v>
      </c>
      <c r="W25" s="95">
        <f>W$7*W24*Inputs!$E$29</f>
        <v>0</v>
      </c>
      <c r="X25" s="95">
        <f>X$7*X24*Inputs!$E$29</f>
        <v>0</v>
      </c>
      <c r="Y25" s="95">
        <f>Y$7*Y24*Inputs!$E$29</f>
        <v>0</v>
      </c>
      <c r="Z25" s="95">
        <f>Z$7*Z24*Inputs!$E$29</f>
        <v>0</v>
      </c>
      <c r="AA25" s="95">
        <f>AA$7*AA24*Inputs!$E$29</f>
        <v>0</v>
      </c>
      <c r="AB25" s="95">
        <f>AB$7*AB24*Inputs!$E$29</f>
        <v>0</v>
      </c>
      <c r="AC25" s="95">
        <f>AC$7*AC24*Inputs!$E$29</f>
        <v>0</v>
      </c>
      <c r="AD25" s="95">
        <f>AD$7*AD24*Inputs!$E$29</f>
        <v>0</v>
      </c>
      <c r="AE25" s="95">
        <f>AE$7*AE24*Inputs!$E$29</f>
        <v>0</v>
      </c>
      <c r="AF25" s="95">
        <f>AF$7*AF24*Inputs!$E$29</f>
        <v>0</v>
      </c>
      <c r="AG25" s="95">
        <f>AG$7*AG24*Inputs!$E$29</f>
        <v>0</v>
      </c>
      <c r="AH25" s="95">
        <f>AH$7*AH24*Inputs!$E$29</f>
        <v>0</v>
      </c>
      <c r="AI25" s="95">
        <f>AI$7*AI24*Inputs!$E$29</f>
        <v>0</v>
      </c>
      <c r="AJ25" s="95">
        <f>AJ$7*AJ24*Inputs!$E$29</f>
        <v>0</v>
      </c>
      <c r="AK25" s="95">
        <f>AK$7*AK24*Inputs!$E$29</f>
        <v>0</v>
      </c>
      <c r="AL25" s="95">
        <f>AL$7*AL24*Inputs!$E$29</f>
        <v>0</v>
      </c>
      <c r="AM25" s="95">
        <f>AM$7*AM24*Inputs!$E$29</f>
        <v>0</v>
      </c>
      <c r="AN25" s="95">
        <f>AN$7*AN24*Inputs!$E$29</f>
        <v>0</v>
      </c>
      <c r="AO25" s="95">
        <f>AO$7*AO24*Inputs!$E$29</f>
        <v>0</v>
      </c>
      <c r="AP25" s="95">
        <f>AP$7*AP24*Inputs!$E$29</f>
        <v>0</v>
      </c>
      <c r="AQ25" s="95">
        <f>AQ$7*AQ24*Inputs!$E$29</f>
        <v>0</v>
      </c>
      <c r="AR25" s="95">
        <f>AR$7*AR24*Inputs!$E$29</f>
        <v>0</v>
      </c>
      <c r="AS25" s="95">
        <f>AS$7*AS24*Inputs!$E$29</f>
        <v>0</v>
      </c>
      <c r="AT25" s="95">
        <f>AT$7*AT24*Inputs!$E$29</f>
        <v>0</v>
      </c>
      <c r="AU25" s="95">
        <f>AU$7*AU24*Inputs!$E$29</f>
        <v>0</v>
      </c>
      <c r="AV25" s="95">
        <f>AV$7*AV24*Inputs!$E$29</f>
        <v>0</v>
      </c>
      <c r="AW25" s="95">
        <f>AW$7*AW24*Inputs!$E$29</f>
        <v>0</v>
      </c>
      <c r="AX25" s="95">
        <f>AX$7*AX24*Inputs!$E$29</f>
        <v>0</v>
      </c>
      <c r="AY25" s="95">
        <f>AY$7*AY24*Inputs!$E$29</f>
        <v>0</v>
      </c>
      <c r="AZ25" s="95">
        <f>AZ$7*AZ24*Inputs!$E$29</f>
        <v>2238.4375</v>
      </c>
      <c r="BA25" s="95">
        <f>BA$7*BA24*Inputs!$E$29</f>
        <v>0</v>
      </c>
      <c r="BB25" s="95">
        <f>BB$7*BB24*Inputs!$E$29</f>
        <v>0</v>
      </c>
      <c r="BC25" s="95">
        <f>BC$7*BC24*Inputs!$E$29</f>
        <v>0</v>
      </c>
      <c r="BD25" s="95">
        <f>BD$7*BD24*Inputs!$E$29</f>
        <v>0</v>
      </c>
      <c r="BE25" s="95">
        <f>BE$7*BE24*Inputs!$E$29</f>
        <v>0</v>
      </c>
      <c r="BF25" s="95">
        <f>BF$7*BF24*Inputs!$E$29</f>
        <v>0</v>
      </c>
      <c r="BG25" s="95">
        <f>BG$7*BG24*Inputs!$E$29</f>
        <v>0</v>
      </c>
      <c r="BH25" s="95">
        <f>BH$7*BH24*Inputs!$E$29</f>
        <v>0</v>
      </c>
      <c r="BI25" s="95">
        <f>BI$7*BI24*Inputs!$E$29</f>
        <v>0</v>
      </c>
      <c r="BJ25" s="95">
        <f>BJ$7*BJ24*Inputs!$E$29</f>
        <v>0</v>
      </c>
      <c r="BK25" s="95">
        <f>BK$7*BK24*Inputs!$E$29</f>
        <v>0</v>
      </c>
      <c r="BL25" s="95">
        <f>BL$7*BL24*Inputs!$E$29</f>
        <v>0</v>
      </c>
      <c r="BM25" s="95">
        <f>BM$7*BM24*Inputs!$E$29</f>
        <v>0</v>
      </c>
      <c r="BN25" s="95">
        <f>BN$7*BN24*Inputs!$E$29</f>
        <v>0</v>
      </c>
      <c r="BO25" s="95">
        <f>BO$7*BO24*Inputs!$E$29</f>
        <v>0</v>
      </c>
      <c r="BP25" s="95">
        <f>BP$7*BP24*Inputs!$E$29</f>
        <v>0</v>
      </c>
    </row>
    <row r="26" spans="3:68" x14ac:dyDescent="0.25">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row>
    <row r="27" spans="3:68" x14ac:dyDescent="0.25">
      <c r="C27" s="43" t="s">
        <v>673</v>
      </c>
      <c r="D27" s="43"/>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row>
    <row r="28" spans="3:68" x14ac:dyDescent="0.25">
      <c r="C28" s="103" t="str">
        <f>Deposits!C7</f>
        <v>Részvételi díj</v>
      </c>
      <c r="D28" t="s">
        <v>844</v>
      </c>
      <c r="E28" s="20"/>
      <c r="F28" s="20"/>
      <c r="G28" s="20">
        <f t="shared" ref="G28:G40" si="17">SUM(H28:BP28)</f>
        <v>16.438356164383563</v>
      </c>
      <c r="H28" s="85">
        <f>IF(H$4=Deposits!$L$7,Deposits!$O$7,0)</f>
        <v>0</v>
      </c>
      <c r="I28" s="85">
        <f>IF(I$4=Deposits!$L$7,Deposits!$O$7,0)</f>
        <v>0</v>
      </c>
      <c r="J28" s="85">
        <f>IF(J$4=Deposits!$L$7,Deposits!$O$7,0)</f>
        <v>0</v>
      </c>
      <c r="K28" s="85">
        <f>IF(K$4=Deposits!$L$7,Deposits!$O$7,0)</f>
        <v>16.438356164383563</v>
      </c>
      <c r="L28" s="85">
        <f>IF(L$4=Deposits!$L$7,Deposits!$O$7,0)</f>
        <v>0</v>
      </c>
      <c r="M28" s="85">
        <f>IF(M$4=Deposits!$L$7,Deposits!$O$7,0)</f>
        <v>0</v>
      </c>
      <c r="N28" s="85">
        <f>IF(N$4=Deposits!$L$7,Deposits!$O$7,0)</f>
        <v>0</v>
      </c>
      <c r="O28" s="85">
        <f>IF(O$4=Deposits!$L$7,Deposits!$O$7,0)</f>
        <v>0</v>
      </c>
      <c r="P28" s="85">
        <f>IF(P$4=Deposits!$L$7,Deposits!$O$7,0)</f>
        <v>0</v>
      </c>
      <c r="Q28" s="85">
        <f>IF(Q$4=Deposits!$L$7,Deposits!$O$7,0)</f>
        <v>0</v>
      </c>
      <c r="R28" s="85">
        <f>IF(R$4=Deposits!$L$7,Deposits!$O$7,0)</f>
        <v>0</v>
      </c>
      <c r="S28" s="85">
        <f>IF(S$4=Deposits!$L$7,Deposits!$O$7,0)</f>
        <v>0</v>
      </c>
      <c r="T28" s="85">
        <f>IF(T$4=Deposits!$L$7,Deposits!$O$7,0)</f>
        <v>0</v>
      </c>
      <c r="U28" s="85">
        <f>IF(U$4=Deposits!$L$7,Deposits!$O$7,0)</f>
        <v>0</v>
      </c>
      <c r="V28" s="85">
        <f>IF(V$4=Deposits!$L$7,Deposits!$O$7,0)</f>
        <v>0</v>
      </c>
      <c r="W28" s="85">
        <f>IF(W$4=Deposits!$L$7,Deposits!$O$7,0)</f>
        <v>0</v>
      </c>
      <c r="X28" s="85">
        <f>IF(X$4=Deposits!$L$7,Deposits!$O$7,0)</f>
        <v>0</v>
      </c>
      <c r="Y28" s="85">
        <f>IF(Y$4=Deposits!$L$7,Deposits!$O$7,0)</f>
        <v>0</v>
      </c>
      <c r="Z28" s="85">
        <f>IF(Z$4=Deposits!$L$7,Deposits!$O$7,0)</f>
        <v>0</v>
      </c>
      <c r="AA28" s="85">
        <f>IF(AA$4=Deposits!$L$7,Deposits!$O$7,0)</f>
        <v>0</v>
      </c>
      <c r="AB28" s="85">
        <f>IF(AB$4=Deposits!$L$7,Deposits!$O$7,0)</f>
        <v>0</v>
      </c>
      <c r="AC28" s="85">
        <f>IF(AC$4=Deposits!$L$7,Deposits!$O$7,0)</f>
        <v>0</v>
      </c>
      <c r="AD28" s="85">
        <f>IF(AD$4=Deposits!$L$7,Deposits!$O$7,0)</f>
        <v>0</v>
      </c>
      <c r="AE28" s="85">
        <f>IF(AE$4=Deposits!$L$7,Deposits!$O$7,0)</f>
        <v>0</v>
      </c>
      <c r="AF28" s="85">
        <f>IF(AF$4=Deposits!$L$7,Deposits!$O$7,0)</f>
        <v>0</v>
      </c>
      <c r="AG28" s="85">
        <f>IF(AG$4=Deposits!$L$7,Deposits!$O$7,0)</f>
        <v>0</v>
      </c>
      <c r="AH28" s="85">
        <f>IF(AH$4=Deposits!$L$7,Deposits!$O$7,0)</f>
        <v>0</v>
      </c>
      <c r="AI28" s="85">
        <f>IF(AI$4=Deposits!$L$7,Deposits!$O$7,0)</f>
        <v>0</v>
      </c>
      <c r="AJ28" s="85">
        <f>IF(AJ$4=Deposits!$L$7,Deposits!$O$7,0)</f>
        <v>0</v>
      </c>
      <c r="AK28" s="85">
        <f>IF(AK$4=Deposits!$L$7,Deposits!$O$7,0)</f>
        <v>0</v>
      </c>
      <c r="AL28" s="85">
        <f>IF(AL$4=Deposits!$L$7,Deposits!$O$7,0)</f>
        <v>0</v>
      </c>
      <c r="AM28" s="85">
        <f>IF(AM$4=Deposits!$L$7,Deposits!$O$7,0)</f>
        <v>0</v>
      </c>
      <c r="AN28" s="85">
        <f>IF(AN$4=Deposits!$L$7,Deposits!$O$7,0)</f>
        <v>0</v>
      </c>
      <c r="AO28" s="85">
        <f>IF(AO$4=Deposits!$L$7,Deposits!$O$7,0)</f>
        <v>0</v>
      </c>
      <c r="AP28" s="85">
        <f>IF(AP$4=Deposits!$L$7,Deposits!$O$7,0)</f>
        <v>0</v>
      </c>
      <c r="AQ28" s="85">
        <f>IF(AQ$4=Deposits!$L$7,Deposits!$O$7,0)</f>
        <v>0</v>
      </c>
      <c r="AR28" s="85">
        <f>IF(AR$4=Deposits!$L$7,Deposits!$O$7,0)</f>
        <v>0</v>
      </c>
      <c r="AS28" s="85">
        <f>IF(AS$4=Deposits!$L$7,Deposits!$O$7,0)</f>
        <v>0</v>
      </c>
      <c r="AT28" s="85">
        <f>IF(AT$4=Deposits!$L$7,Deposits!$O$7,0)</f>
        <v>0</v>
      </c>
      <c r="AU28" s="85">
        <f>IF(AU$4=Deposits!$L$7,Deposits!$O$7,0)</f>
        <v>0</v>
      </c>
      <c r="AV28" s="85">
        <f>IF(AV$4=Deposits!$L$7,Deposits!$O$7,0)</f>
        <v>0</v>
      </c>
      <c r="AW28" s="85">
        <f>IF(AW$4=Deposits!$L$7,Deposits!$O$7,0)</f>
        <v>0</v>
      </c>
      <c r="AX28" s="85">
        <f>IF(AX$4=Deposits!$L$7,Deposits!$O$7,0)</f>
        <v>0</v>
      </c>
      <c r="AY28" s="85">
        <f>IF(AY$4=Deposits!$L$7,Deposits!$O$7,0)</f>
        <v>0</v>
      </c>
      <c r="AZ28" s="85">
        <f>IF(AZ$4=Deposits!$L$7,Deposits!$O$7,0)</f>
        <v>0</v>
      </c>
      <c r="BA28" s="85">
        <f>IF(BA$4=Deposits!$L$7,Deposits!$O$7,0)</f>
        <v>0</v>
      </c>
      <c r="BB28" s="85">
        <f>IF(BB$4=Deposits!$L$7,Deposits!$O$7,0)</f>
        <v>0</v>
      </c>
      <c r="BC28" s="85">
        <f>IF(BC$4=Deposits!$L$7,Deposits!$O$7,0)</f>
        <v>0</v>
      </c>
      <c r="BD28" s="85">
        <f>IF(BD$4=Deposits!$L$7,Deposits!$O$7,0)</f>
        <v>0</v>
      </c>
      <c r="BE28" s="85">
        <f>IF(BE$4=Deposits!$L$7,Deposits!$O$7,0)</f>
        <v>0</v>
      </c>
      <c r="BF28" s="85">
        <f>IF(BF$4=Deposits!$L$7,Deposits!$O$7,0)</f>
        <v>0</v>
      </c>
      <c r="BG28" s="85">
        <f>IF(BG$4=Deposits!$L$7,Deposits!$O$7,0)</f>
        <v>0</v>
      </c>
      <c r="BH28" s="85">
        <f>IF(BH$4=Deposits!$L$7,Deposits!$O$7,0)</f>
        <v>0</v>
      </c>
      <c r="BI28" s="85">
        <f>IF(BI$4=Deposits!$L$7,Deposits!$O$7,0)</f>
        <v>0</v>
      </c>
      <c r="BJ28" s="85">
        <f>IF(BJ$4=Deposits!$L$7,Deposits!$O$7,0)</f>
        <v>0</v>
      </c>
      <c r="BK28" s="85">
        <f>IF(BK$4=Deposits!$L$7,Deposits!$O$7,0)</f>
        <v>0</v>
      </c>
      <c r="BL28" s="85">
        <f>IF(BL$4=Deposits!$L$7,Deposits!$O$7,0)</f>
        <v>0</v>
      </c>
      <c r="BM28" s="85">
        <f>IF(BM$4=Deposits!$L$7,Deposits!$O$7,0)</f>
        <v>0</v>
      </c>
      <c r="BN28" s="85">
        <f>IF(BN$4=Deposits!$L$7,Deposits!$O$7,0)</f>
        <v>0</v>
      </c>
      <c r="BO28" s="85">
        <f>IF(BO$4=Deposits!$L$7,Deposits!$O$7,0)</f>
        <v>0</v>
      </c>
      <c r="BP28" s="85">
        <f>IF(BP$4=Deposits!$L$7,Deposits!$O$7,0)</f>
        <v>0</v>
      </c>
    </row>
    <row r="29" spans="3:68" x14ac:dyDescent="0.25">
      <c r="C29" s="103" t="str">
        <f>Deposits!C8</f>
        <v>Ajánlati biztosíték</v>
      </c>
      <c r="D29" t="s">
        <v>844</v>
      </c>
      <c r="E29" s="20"/>
      <c r="F29" s="20"/>
      <c r="G29" s="20">
        <f t="shared" si="17"/>
        <v>2437.890410958904</v>
      </c>
      <c r="H29" s="85">
        <f>IF(H$4=Deposits!$L$8,Deposits!$O$8,0)</f>
        <v>0</v>
      </c>
      <c r="I29" s="85">
        <f>IF(I$4=Deposits!$L$8,Deposits!$O$8,0)</f>
        <v>0</v>
      </c>
      <c r="J29" s="85">
        <f>IF(J$4=Deposits!$L$8,Deposits!$O$8,0)</f>
        <v>0</v>
      </c>
      <c r="K29" s="85">
        <f>IF(K$4=Deposits!$L$8,Deposits!$O$8,0)</f>
        <v>2437.890410958904</v>
      </c>
      <c r="L29" s="85">
        <f>IF(L$4=Deposits!$L$8,Deposits!$O$8,0)</f>
        <v>0</v>
      </c>
      <c r="M29" s="85">
        <f>IF(M$4=Deposits!$L$8,Deposits!$O$8,0)</f>
        <v>0</v>
      </c>
      <c r="N29" s="85">
        <f>IF(N$4=Deposits!$L$8,Deposits!$O$8,0)</f>
        <v>0</v>
      </c>
      <c r="O29" s="85">
        <f>IF(O$4=Deposits!$L$8,Deposits!$O$8,0)</f>
        <v>0</v>
      </c>
      <c r="P29" s="85">
        <f>IF(P$4=Deposits!$L$8,Deposits!$O$8,0)</f>
        <v>0</v>
      </c>
      <c r="Q29" s="85">
        <f>IF(Q$4=Deposits!$L$8,Deposits!$O$8,0)</f>
        <v>0</v>
      </c>
      <c r="R29" s="85">
        <f>IF(R$4=Deposits!$L$8,Deposits!$O$8,0)</f>
        <v>0</v>
      </c>
      <c r="S29" s="85">
        <f>IF(S$4=Deposits!$L$8,Deposits!$O$8,0)</f>
        <v>0</v>
      </c>
      <c r="T29" s="85">
        <f>IF(T$4=Deposits!$L$8,Deposits!$O$8,0)</f>
        <v>0</v>
      </c>
      <c r="U29" s="85">
        <f>IF(U$4=Deposits!$L$8,Deposits!$O$8,0)</f>
        <v>0</v>
      </c>
      <c r="V29" s="85">
        <f>IF(V$4=Deposits!$L$8,Deposits!$O$8,0)</f>
        <v>0</v>
      </c>
      <c r="W29" s="85">
        <f>IF(W$4=Deposits!$L$8,Deposits!$O$8,0)</f>
        <v>0</v>
      </c>
      <c r="X29" s="85">
        <f>IF(X$4=Deposits!$L$8,Deposits!$O$8,0)</f>
        <v>0</v>
      </c>
      <c r="Y29" s="85">
        <f>IF(Y$4=Deposits!$L$8,Deposits!$O$8,0)</f>
        <v>0</v>
      </c>
      <c r="Z29" s="85">
        <f>IF(Z$4=Deposits!$L$8,Deposits!$O$8,0)</f>
        <v>0</v>
      </c>
      <c r="AA29" s="85">
        <f>IF(AA$4=Deposits!$L$8,Deposits!$O$8,0)</f>
        <v>0</v>
      </c>
      <c r="AB29" s="85">
        <f>IF(AB$4=Deposits!$L$8,Deposits!$O$8,0)</f>
        <v>0</v>
      </c>
      <c r="AC29" s="85">
        <f>IF(AC$4=Deposits!$L$8,Deposits!$O$8,0)</f>
        <v>0</v>
      </c>
      <c r="AD29" s="85">
        <f>IF(AD$4=Deposits!$L$8,Deposits!$O$8,0)</f>
        <v>0</v>
      </c>
      <c r="AE29" s="85">
        <f>IF(AE$4=Deposits!$L$8,Deposits!$O$8,0)</f>
        <v>0</v>
      </c>
      <c r="AF29" s="85">
        <f>IF(AF$4=Deposits!$L$8,Deposits!$O$8,0)</f>
        <v>0</v>
      </c>
      <c r="AG29" s="85">
        <f>IF(AG$4=Deposits!$L$8,Deposits!$O$8,0)</f>
        <v>0</v>
      </c>
      <c r="AH29" s="85">
        <f>IF(AH$4=Deposits!$L$8,Deposits!$O$8,0)</f>
        <v>0</v>
      </c>
      <c r="AI29" s="85">
        <f>IF(AI$4=Deposits!$L$8,Deposits!$O$8,0)</f>
        <v>0</v>
      </c>
      <c r="AJ29" s="85">
        <f>IF(AJ$4=Deposits!$L$8,Deposits!$O$8,0)</f>
        <v>0</v>
      </c>
      <c r="AK29" s="85">
        <f>IF(AK$4=Deposits!$L$8,Deposits!$O$8,0)</f>
        <v>0</v>
      </c>
      <c r="AL29" s="85">
        <f>IF(AL$4=Deposits!$L$8,Deposits!$O$8,0)</f>
        <v>0</v>
      </c>
      <c r="AM29" s="85">
        <f>IF(AM$4=Deposits!$L$8,Deposits!$O$8,0)</f>
        <v>0</v>
      </c>
      <c r="AN29" s="85">
        <f>IF(AN$4=Deposits!$L$8,Deposits!$O$8,0)</f>
        <v>0</v>
      </c>
      <c r="AO29" s="85">
        <f>IF(AO$4=Deposits!$L$8,Deposits!$O$8,0)</f>
        <v>0</v>
      </c>
      <c r="AP29" s="85">
        <f>IF(AP$4=Deposits!$L$8,Deposits!$O$8,0)</f>
        <v>0</v>
      </c>
      <c r="AQ29" s="85">
        <f>IF(AQ$4=Deposits!$L$8,Deposits!$O$8,0)</f>
        <v>0</v>
      </c>
      <c r="AR29" s="85">
        <f>IF(AR$4=Deposits!$L$8,Deposits!$O$8,0)</f>
        <v>0</v>
      </c>
      <c r="AS29" s="85">
        <f>IF(AS$4=Deposits!$L$8,Deposits!$O$8,0)</f>
        <v>0</v>
      </c>
      <c r="AT29" s="85">
        <f>IF(AT$4=Deposits!$L$8,Deposits!$O$8,0)</f>
        <v>0</v>
      </c>
      <c r="AU29" s="85">
        <f>IF(AU$4=Deposits!$L$8,Deposits!$O$8,0)</f>
        <v>0</v>
      </c>
      <c r="AV29" s="85">
        <f>IF(AV$4=Deposits!$L$8,Deposits!$O$8,0)</f>
        <v>0</v>
      </c>
      <c r="AW29" s="85">
        <f>IF(AW$4=Deposits!$L$8,Deposits!$O$8,0)</f>
        <v>0</v>
      </c>
      <c r="AX29" s="85">
        <f>IF(AX$4=Deposits!$L$8,Deposits!$O$8,0)</f>
        <v>0</v>
      </c>
      <c r="AY29" s="85">
        <f>IF(AY$4=Deposits!$L$8,Deposits!$O$8,0)</f>
        <v>0</v>
      </c>
      <c r="AZ29" s="85">
        <f>IF(AZ$4=Deposits!$L$8,Deposits!$O$8,0)</f>
        <v>0</v>
      </c>
      <c r="BA29" s="85">
        <f>IF(BA$4=Deposits!$L$8,Deposits!$O$8,0)</f>
        <v>0</v>
      </c>
      <c r="BB29" s="85">
        <f>IF(BB$4=Deposits!$L$8,Deposits!$O$8,0)</f>
        <v>0</v>
      </c>
      <c r="BC29" s="85">
        <f>IF(BC$4=Deposits!$L$8,Deposits!$O$8,0)</f>
        <v>0</v>
      </c>
      <c r="BD29" s="85">
        <f>IF(BD$4=Deposits!$L$8,Deposits!$O$8,0)</f>
        <v>0</v>
      </c>
      <c r="BE29" s="85">
        <f>IF(BE$4=Deposits!$L$8,Deposits!$O$8,0)</f>
        <v>0</v>
      </c>
      <c r="BF29" s="85">
        <f>IF(BF$4=Deposits!$L$8,Deposits!$O$8,0)</f>
        <v>0</v>
      </c>
      <c r="BG29" s="85">
        <f>IF(BG$4=Deposits!$L$8,Deposits!$O$8,0)</f>
        <v>0</v>
      </c>
      <c r="BH29" s="85">
        <f>IF(BH$4=Deposits!$L$8,Deposits!$O$8,0)</f>
        <v>0</v>
      </c>
      <c r="BI29" s="85">
        <f>IF(BI$4=Deposits!$L$8,Deposits!$O$8,0)</f>
        <v>0</v>
      </c>
      <c r="BJ29" s="85">
        <f>IF(BJ$4=Deposits!$L$8,Deposits!$O$8,0)</f>
        <v>0</v>
      </c>
      <c r="BK29" s="85">
        <f>IF(BK$4=Deposits!$L$8,Deposits!$O$8,0)</f>
        <v>0</v>
      </c>
      <c r="BL29" s="85">
        <f>IF(BL$4=Deposits!$L$8,Deposits!$O$8,0)</f>
        <v>0</v>
      </c>
      <c r="BM29" s="85">
        <f>IF(BM$4=Deposits!$L$8,Deposits!$O$8,0)</f>
        <v>0</v>
      </c>
      <c r="BN29" s="85">
        <f>IF(BN$4=Deposits!$L$8,Deposits!$O$8,0)</f>
        <v>0</v>
      </c>
      <c r="BO29" s="85">
        <f>IF(BO$4=Deposits!$L$8,Deposits!$O$8,0)</f>
        <v>0</v>
      </c>
      <c r="BP29" s="85">
        <f>IF(BP$4=Deposits!$L$8,Deposits!$O$8,0)</f>
        <v>0</v>
      </c>
    </row>
    <row r="30" spans="3:68" x14ac:dyDescent="0.25">
      <c r="C30" s="103" t="str">
        <f>Deposits!C9</f>
        <v>Ajánlati biztosíték visszatérítés – sikertelen kapacitás</v>
      </c>
      <c r="D30" t="s">
        <v>844</v>
      </c>
      <c r="E30" s="20"/>
      <c r="F30" s="20"/>
      <c r="G30" s="20">
        <f t="shared" si="17"/>
        <v>0</v>
      </c>
      <c r="H30" s="85">
        <f>IF(H$4=Deposits!$L$9,Deposits!$O$9,0)</f>
        <v>0</v>
      </c>
      <c r="I30" s="85">
        <f>IF(I$4=Deposits!$L$9,Deposits!$O$9,0)</f>
        <v>0</v>
      </c>
      <c r="J30" s="85">
        <f>IF(J$4=Deposits!$L$9,Deposits!$O$9,0)</f>
        <v>0</v>
      </c>
      <c r="K30" s="85">
        <f>IF(K$4=Deposits!$L$9,Deposits!$O$9,0)</f>
        <v>0</v>
      </c>
      <c r="L30" s="85">
        <f>IF(L$4=Deposits!$L$9,Deposits!$O$9,0)</f>
        <v>0</v>
      </c>
      <c r="M30" s="85">
        <f>IF(M$4=Deposits!$L$9,Deposits!$O$9,0)</f>
        <v>0</v>
      </c>
      <c r="N30" s="85">
        <f>IF(N$4=Deposits!$L$9,Deposits!$O$9,0)</f>
        <v>0</v>
      </c>
      <c r="O30" s="85">
        <f>IF(O$4=Deposits!$L$9,Deposits!$O$9,0)</f>
        <v>0</v>
      </c>
      <c r="P30" s="85">
        <f>IF(P$4=Deposits!$L$9,Deposits!$O$9,0)</f>
        <v>0</v>
      </c>
      <c r="Q30" s="85">
        <f>IF(Q$4=Deposits!$L$9,Deposits!$O$9,0)</f>
        <v>0</v>
      </c>
      <c r="R30" s="85">
        <f>IF(R$4=Deposits!$L$9,Deposits!$O$9,0)</f>
        <v>0</v>
      </c>
      <c r="S30" s="85">
        <f>IF(S$4=Deposits!$L$9,Deposits!$O$9,0)</f>
        <v>0</v>
      </c>
      <c r="T30" s="85">
        <f>IF(T$4=Deposits!$L$9,Deposits!$O$9,0)</f>
        <v>0</v>
      </c>
      <c r="U30" s="85">
        <f>IF(U$4=Deposits!$L$9,Deposits!$O$9,0)</f>
        <v>0</v>
      </c>
      <c r="V30" s="85">
        <f>IF(V$4=Deposits!$L$9,Deposits!$O$9,0)</f>
        <v>0</v>
      </c>
      <c r="W30" s="85">
        <f>IF(W$4=Deposits!$L$9,Deposits!$O$9,0)</f>
        <v>0</v>
      </c>
      <c r="X30" s="85">
        <f>IF(X$4=Deposits!$L$9,Deposits!$O$9,0)</f>
        <v>0</v>
      </c>
      <c r="Y30" s="85">
        <f>IF(Y$4=Deposits!$L$9,Deposits!$O$9,0)</f>
        <v>0</v>
      </c>
      <c r="Z30" s="85">
        <f>IF(Z$4=Deposits!$L$9,Deposits!$O$9,0)</f>
        <v>0</v>
      </c>
      <c r="AA30" s="85">
        <f>IF(AA$4=Deposits!$L$9,Deposits!$O$9,0)</f>
        <v>0</v>
      </c>
      <c r="AB30" s="85">
        <f>IF(AB$4=Deposits!$L$9,Deposits!$O$9,0)</f>
        <v>0</v>
      </c>
      <c r="AC30" s="85">
        <f>IF(AC$4=Deposits!$L$9,Deposits!$O$9,0)</f>
        <v>0</v>
      </c>
      <c r="AD30" s="85">
        <f>IF(AD$4=Deposits!$L$9,Deposits!$O$9,0)</f>
        <v>0</v>
      </c>
      <c r="AE30" s="85">
        <f>IF(AE$4=Deposits!$L$9,Deposits!$O$9,0)</f>
        <v>0</v>
      </c>
      <c r="AF30" s="85">
        <f>IF(AF$4=Deposits!$L$9,Deposits!$O$9,0)</f>
        <v>0</v>
      </c>
      <c r="AG30" s="85">
        <f>IF(AG$4=Deposits!$L$9,Deposits!$O$9,0)</f>
        <v>0</v>
      </c>
      <c r="AH30" s="85">
        <f>IF(AH$4=Deposits!$L$9,Deposits!$O$9,0)</f>
        <v>0</v>
      </c>
      <c r="AI30" s="85">
        <f>IF(AI$4=Deposits!$L$9,Deposits!$O$9,0)</f>
        <v>0</v>
      </c>
      <c r="AJ30" s="85">
        <f>IF(AJ$4=Deposits!$L$9,Deposits!$O$9,0)</f>
        <v>0</v>
      </c>
      <c r="AK30" s="85">
        <f>IF(AK$4=Deposits!$L$9,Deposits!$O$9,0)</f>
        <v>0</v>
      </c>
      <c r="AL30" s="85">
        <f>IF(AL$4=Deposits!$L$9,Deposits!$O$9,0)</f>
        <v>0</v>
      </c>
      <c r="AM30" s="85">
        <f>IF(AM$4=Deposits!$L$9,Deposits!$O$9,0)</f>
        <v>0</v>
      </c>
      <c r="AN30" s="85">
        <f>IF(AN$4=Deposits!$L$9,Deposits!$O$9,0)</f>
        <v>0</v>
      </c>
      <c r="AO30" s="85">
        <f>IF(AO$4=Deposits!$L$9,Deposits!$O$9,0)</f>
        <v>0</v>
      </c>
      <c r="AP30" s="85">
        <f>IF(AP$4=Deposits!$L$9,Deposits!$O$9,0)</f>
        <v>0</v>
      </c>
      <c r="AQ30" s="85">
        <f>IF(AQ$4=Deposits!$L$9,Deposits!$O$9,0)</f>
        <v>0</v>
      </c>
      <c r="AR30" s="85">
        <f>IF(AR$4=Deposits!$L$9,Deposits!$O$9,0)</f>
        <v>0</v>
      </c>
      <c r="AS30" s="85">
        <f>IF(AS$4=Deposits!$L$9,Deposits!$O$9,0)</f>
        <v>0</v>
      </c>
      <c r="AT30" s="85">
        <f>IF(AT$4=Deposits!$L$9,Deposits!$O$9,0)</f>
        <v>0</v>
      </c>
      <c r="AU30" s="85">
        <f>IF(AU$4=Deposits!$L$9,Deposits!$O$9,0)</f>
        <v>0</v>
      </c>
      <c r="AV30" s="85">
        <f>IF(AV$4=Deposits!$L$9,Deposits!$O$9,0)</f>
        <v>0</v>
      </c>
      <c r="AW30" s="85">
        <f>IF(AW$4=Deposits!$L$9,Deposits!$O$9,0)</f>
        <v>0</v>
      </c>
      <c r="AX30" s="85">
        <f>IF(AX$4=Deposits!$L$9,Deposits!$O$9,0)</f>
        <v>0</v>
      </c>
      <c r="AY30" s="85">
        <f>IF(AY$4=Deposits!$L$9,Deposits!$O$9,0)</f>
        <v>0</v>
      </c>
      <c r="AZ30" s="85">
        <f>IF(AZ$4=Deposits!$L$9,Deposits!$O$9,0)</f>
        <v>0</v>
      </c>
      <c r="BA30" s="85">
        <f>IF(BA$4=Deposits!$L$9,Deposits!$O$9,0)</f>
        <v>0</v>
      </c>
      <c r="BB30" s="85">
        <f>IF(BB$4=Deposits!$L$9,Deposits!$O$9,0)</f>
        <v>0</v>
      </c>
      <c r="BC30" s="85">
        <f>IF(BC$4=Deposits!$L$9,Deposits!$O$9,0)</f>
        <v>0</v>
      </c>
      <c r="BD30" s="85">
        <f>IF(BD$4=Deposits!$L$9,Deposits!$O$9,0)</f>
        <v>0</v>
      </c>
      <c r="BE30" s="85">
        <f>IF(BE$4=Deposits!$L$9,Deposits!$O$9,0)</f>
        <v>0</v>
      </c>
      <c r="BF30" s="85">
        <f>IF(BF$4=Deposits!$L$9,Deposits!$O$9,0)</f>
        <v>0</v>
      </c>
      <c r="BG30" s="85">
        <f>IF(BG$4=Deposits!$L$9,Deposits!$O$9,0)</f>
        <v>0</v>
      </c>
      <c r="BH30" s="85">
        <f>IF(BH$4=Deposits!$L$9,Deposits!$O$9,0)</f>
        <v>0</v>
      </c>
      <c r="BI30" s="85">
        <f>IF(BI$4=Deposits!$L$9,Deposits!$O$9,0)</f>
        <v>0</v>
      </c>
      <c r="BJ30" s="85">
        <f>IF(BJ$4=Deposits!$L$9,Deposits!$O$9,0)</f>
        <v>0</v>
      </c>
      <c r="BK30" s="85">
        <f>IF(BK$4=Deposits!$L$9,Deposits!$O$9,0)</f>
        <v>0</v>
      </c>
      <c r="BL30" s="85">
        <f>IF(BL$4=Deposits!$L$9,Deposits!$O$9,0)</f>
        <v>0</v>
      </c>
      <c r="BM30" s="85">
        <f>IF(BM$4=Deposits!$L$9,Deposits!$O$9,0)</f>
        <v>0</v>
      </c>
      <c r="BN30" s="85">
        <f>IF(BN$4=Deposits!$L$9,Deposits!$O$9,0)</f>
        <v>0</v>
      </c>
      <c r="BO30" s="85">
        <f>IF(BO$4=Deposits!$L$9,Deposits!$O$9,0)</f>
        <v>0</v>
      </c>
      <c r="BP30" s="85">
        <f>IF(BP$4=Deposits!$L$9,Deposits!$O$9,0)</f>
        <v>0</v>
      </c>
    </row>
    <row r="31" spans="3:68" x14ac:dyDescent="0.25">
      <c r="C31" s="103" t="str">
        <f>Deposits!C10</f>
        <v>Teljesítési biztosíték</v>
      </c>
      <c r="D31" t="s">
        <v>844</v>
      </c>
      <c r="E31" s="20"/>
      <c r="F31" s="20"/>
      <c r="G31" s="20">
        <f t="shared" si="17"/>
        <v>15846.28767123288</v>
      </c>
      <c r="H31" s="85">
        <f>IF(H$4=Deposits!$L$10,Deposits!$O$10,0)</f>
        <v>0</v>
      </c>
      <c r="I31" s="85">
        <f>IF(I$4=Deposits!$L$10,Deposits!$O$10,0)</f>
        <v>0</v>
      </c>
      <c r="J31" s="85">
        <f>IF(J$4=Deposits!$L$10,Deposits!$O$10,0)</f>
        <v>0</v>
      </c>
      <c r="K31" s="85">
        <f>IF(K$4=Deposits!$L$10,Deposits!$O$10,0)</f>
        <v>0</v>
      </c>
      <c r="L31" s="85">
        <f>IF(L$4=Deposits!$L$10,Deposits!$O$10,0)</f>
        <v>0</v>
      </c>
      <c r="M31" s="85">
        <f>IF(M$4=Deposits!$L$10,Deposits!$O$10,0)</f>
        <v>15846.28767123288</v>
      </c>
      <c r="N31" s="85">
        <f>IF(N$4=Deposits!$L$10,Deposits!$O$10,0)</f>
        <v>0</v>
      </c>
      <c r="O31" s="85">
        <f>IF(O$4=Deposits!$L$10,Deposits!$O$10,0)</f>
        <v>0</v>
      </c>
      <c r="P31" s="85">
        <f>IF(P$4=Deposits!$L$10,Deposits!$O$10,0)</f>
        <v>0</v>
      </c>
      <c r="Q31" s="85">
        <f>IF(Q$4=Deposits!$L$10,Deposits!$O$10,0)</f>
        <v>0</v>
      </c>
      <c r="R31" s="85">
        <f>IF(R$4=Deposits!$L$10,Deposits!$O$10,0)</f>
        <v>0</v>
      </c>
      <c r="S31" s="85">
        <f>IF(S$4=Deposits!$L$10,Deposits!$O$10,0)</f>
        <v>0</v>
      </c>
      <c r="T31" s="85">
        <f>IF(T$4=Deposits!$L$10,Deposits!$O$10,0)</f>
        <v>0</v>
      </c>
      <c r="U31" s="85">
        <f>IF(U$4=Deposits!$L$10,Deposits!$O$10,0)</f>
        <v>0</v>
      </c>
      <c r="V31" s="85">
        <f>IF(V$4=Deposits!$L$10,Deposits!$O$10,0)</f>
        <v>0</v>
      </c>
      <c r="W31" s="85">
        <f>IF(W$4=Deposits!$L$10,Deposits!$O$10,0)</f>
        <v>0</v>
      </c>
      <c r="X31" s="85">
        <f>IF(X$4=Deposits!$L$10,Deposits!$O$10,0)</f>
        <v>0</v>
      </c>
      <c r="Y31" s="85">
        <f>IF(Y$4=Deposits!$L$10,Deposits!$O$10,0)</f>
        <v>0</v>
      </c>
      <c r="Z31" s="85">
        <f>IF(Z$4=Deposits!$L$10,Deposits!$O$10,0)</f>
        <v>0</v>
      </c>
      <c r="AA31" s="85">
        <f>IF(AA$4=Deposits!$L$10,Deposits!$O$10,0)</f>
        <v>0</v>
      </c>
      <c r="AB31" s="85">
        <f>IF(AB$4=Deposits!$L$10,Deposits!$O$10,0)</f>
        <v>0</v>
      </c>
      <c r="AC31" s="85">
        <f>IF(AC$4=Deposits!$L$10,Deposits!$O$10,0)</f>
        <v>0</v>
      </c>
      <c r="AD31" s="85">
        <f>IF(AD$4=Deposits!$L$10,Deposits!$O$10,0)</f>
        <v>0</v>
      </c>
      <c r="AE31" s="85">
        <f>IF(AE$4=Deposits!$L$10,Deposits!$O$10,0)</f>
        <v>0</v>
      </c>
      <c r="AF31" s="85">
        <f>IF(AF$4=Deposits!$L$10,Deposits!$O$10,0)</f>
        <v>0</v>
      </c>
      <c r="AG31" s="85">
        <f>IF(AG$4=Deposits!$L$10,Deposits!$O$10,0)</f>
        <v>0</v>
      </c>
      <c r="AH31" s="85">
        <f>IF(AH$4=Deposits!$L$10,Deposits!$O$10,0)</f>
        <v>0</v>
      </c>
      <c r="AI31" s="85">
        <f>IF(AI$4=Deposits!$L$10,Deposits!$O$10,0)</f>
        <v>0</v>
      </c>
      <c r="AJ31" s="85">
        <f>IF(AJ$4=Deposits!$L$10,Deposits!$O$10,0)</f>
        <v>0</v>
      </c>
      <c r="AK31" s="85">
        <f>IF(AK$4=Deposits!$L$10,Deposits!$O$10,0)</f>
        <v>0</v>
      </c>
      <c r="AL31" s="85">
        <f>IF(AL$4=Deposits!$L$10,Deposits!$O$10,0)</f>
        <v>0</v>
      </c>
      <c r="AM31" s="85">
        <f>IF(AM$4=Deposits!$L$10,Deposits!$O$10,0)</f>
        <v>0</v>
      </c>
      <c r="AN31" s="85">
        <f>IF(AN$4=Deposits!$L$10,Deposits!$O$10,0)</f>
        <v>0</v>
      </c>
      <c r="AO31" s="85">
        <f>IF(AO$4=Deposits!$L$10,Deposits!$O$10,0)</f>
        <v>0</v>
      </c>
      <c r="AP31" s="85">
        <f>IF(AP$4=Deposits!$L$10,Deposits!$O$10,0)</f>
        <v>0</v>
      </c>
      <c r="AQ31" s="85">
        <f>IF(AQ$4=Deposits!$L$10,Deposits!$O$10,0)</f>
        <v>0</v>
      </c>
      <c r="AR31" s="85">
        <f>IF(AR$4=Deposits!$L$10,Deposits!$O$10,0)</f>
        <v>0</v>
      </c>
      <c r="AS31" s="85">
        <f>IF(AS$4=Deposits!$L$10,Deposits!$O$10,0)</f>
        <v>0</v>
      </c>
      <c r="AT31" s="85">
        <f>IF(AT$4=Deposits!$L$10,Deposits!$O$10,0)</f>
        <v>0</v>
      </c>
      <c r="AU31" s="85">
        <f>IF(AU$4=Deposits!$L$10,Deposits!$O$10,0)</f>
        <v>0</v>
      </c>
      <c r="AV31" s="85">
        <f>IF(AV$4=Deposits!$L$10,Deposits!$O$10,0)</f>
        <v>0</v>
      </c>
      <c r="AW31" s="85">
        <f>IF(AW$4=Deposits!$L$10,Deposits!$O$10,0)</f>
        <v>0</v>
      </c>
      <c r="AX31" s="85">
        <f>IF(AX$4=Deposits!$L$10,Deposits!$O$10,0)</f>
        <v>0</v>
      </c>
      <c r="AY31" s="85">
        <f>IF(AY$4=Deposits!$L$10,Deposits!$O$10,0)</f>
        <v>0</v>
      </c>
      <c r="AZ31" s="85">
        <f>IF(AZ$4=Deposits!$L$10,Deposits!$O$10,0)</f>
        <v>0</v>
      </c>
      <c r="BA31" s="85">
        <f>IF(BA$4=Deposits!$L$10,Deposits!$O$10,0)</f>
        <v>0</v>
      </c>
      <c r="BB31" s="85">
        <f>IF(BB$4=Deposits!$L$10,Deposits!$O$10,0)</f>
        <v>0</v>
      </c>
      <c r="BC31" s="85">
        <f>IF(BC$4=Deposits!$L$10,Deposits!$O$10,0)</f>
        <v>0</v>
      </c>
      <c r="BD31" s="85">
        <f>IF(BD$4=Deposits!$L$10,Deposits!$O$10,0)</f>
        <v>0</v>
      </c>
      <c r="BE31" s="85">
        <f>IF(BE$4=Deposits!$L$10,Deposits!$O$10,0)</f>
        <v>0</v>
      </c>
      <c r="BF31" s="85">
        <f>IF(BF$4=Deposits!$L$10,Deposits!$O$10,0)</f>
        <v>0</v>
      </c>
      <c r="BG31" s="85">
        <f>IF(BG$4=Deposits!$L$10,Deposits!$O$10,0)</f>
        <v>0</v>
      </c>
      <c r="BH31" s="85">
        <f>IF(BH$4=Deposits!$L$10,Deposits!$O$10,0)</f>
        <v>0</v>
      </c>
      <c r="BI31" s="85">
        <f>IF(BI$4=Deposits!$L$10,Deposits!$O$10,0)</f>
        <v>0</v>
      </c>
      <c r="BJ31" s="85">
        <f>IF(BJ$4=Deposits!$L$10,Deposits!$O$10,0)</f>
        <v>0</v>
      </c>
      <c r="BK31" s="85">
        <f>IF(BK$4=Deposits!$L$10,Deposits!$O$10,0)</f>
        <v>0</v>
      </c>
      <c r="BL31" s="85">
        <f>IF(BL$4=Deposits!$L$10,Deposits!$O$10,0)</f>
        <v>0</v>
      </c>
      <c r="BM31" s="85">
        <f>IF(BM$4=Deposits!$L$10,Deposits!$O$10,0)</f>
        <v>0</v>
      </c>
      <c r="BN31" s="85">
        <f>IF(BN$4=Deposits!$L$10,Deposits!$O$10,0)</f>
        <v>0</v>
      </c>
      <c r="BO31" s="85">
        <f>IF(BO$4=Deposits!$L$10,Deposits!$O$10,0)</f>
        <v>0</v>
      </c>
      <c r="BP31" s="85">
        <f>IF(BP$4=Deposits!$L$10,Deposits!$O$10,0)</f>
        <v>0</v>
      </c>
    </row>
    <row r="32" spans="3:68" x14ac:dyDescent="0.25">
      <c r="C32" s="103" t="str">
        <f>Deposits!C11</f>
        <v>Igénybejelentési biztosíték</v>
      </c>
      <c r="D32" t="s">
        <v>844</v>
      </c>
      <c r="E32" s="20"/>
      <c r="F32" s="20"/>
      <c r="G32" s="20">
        <f t="shared" si="17"/>
        <v>2465.753424657534</v>
      </c>
      <c r="H32" s="85">
        <f>IF(H$4=Deposits!$L$11,Deposits!$O$11,0)</f>
        <v>0</v>
      </c>
      <c r="I32" s="85">
        <f>IF(I$4=Deposits!$L$11,Deposits!$O$11,0)</f>
        <v>0</v>
      </c>
      <c r="J32" s="85">
        <f>IF(J$4=Deposits!$L$11,Deposits!$O$11,0)</f>
        <v>0</v>
      </c>
      <c r="K32" s="85">
        <f>IF(K$4=Deposits!$L$11,Deposits!$O$11,0)</f>
        <v>0</v>
      </c>
      <c r="L32" s="85">
        <f>IF(L$4=Deposits!$L$11,Deposits!$O$11,0)</f>
        <v>0</v>
      </c>
      <c r="M32" s="85">
        <f>IF(M$4=Deposits!$L$11,Deposits!$O$11,0)</f>
        <v>2465.753424657534</v>
      </c>
      <c r="N32" s="85">
        <f>IF(N$4=Deposits!$L$11,Deposits!$O$11,0)</f>
        <v>0</v>
      </c>
      <c r="O32" s="85">
        <f>IF(O$4=Deposits!$L$11,Deposits!$O$11,0)</f>
        <v>0</v>
      </c>
      <c r="P32" s="85">
        <f>IF(P$4=Deposits!$L$11,Deposits!$O$11,0)</f>
        <v>0</v>
      </c>
      <c r="Q32" s="85">
        <f>IF(Q$4=Deposits!$L$11,Deposits!$O$11,0)</f>
        <v>0</v>
      </c>
      <c r="R32" s="85">
        <f>IF(R$4=Deposits!$L$11,Deposits!$O$11,0)</f>
        <v>0</v>
      </c>
      <c r="S32" s="85">
        <f>IF(S$4=Deposits!$L$11,Deposits!$O$11,0)</f>
        <v>0</v>
      </c>
      <c r="T32" s="85">
        <f>IF(T$4=Deposits!$L$11,Deposits!$O$11,0)</f>
        <v>0</v>
      </c>
      <c r="U32" s="85">
        <f>IF(U$4=Deposits!$L$11,Deposits!$O$11,0)</f>
        <v>0</v>
      </c>
      <c r="V32" s="85">
        <f>IF(V$4=Deposits!$L$11,Deposits!$O$11,0)</f>
        <v>0</v>
      </c>
      <c r="W32" s="85">
        <f>IF(W$4=Deposits!$L$11,Deposits!$O$11,0)</f>
        <v>0</v>
      </c>
      <c r="X32" s="85">
        <f>IF(X$4=Deposits!$L$11,Deposits!$O$11,0)</f>
        <v>0</v>
      </c>
      <c r="Y32" s="85">
        <f>IF(Y$4=Deposits!$L$11,Deposits!$O$11,0)</f>
        <v>0</v>
      </c>
      <c r="Z32" s="85">
        <f>IF(Z$4=Deposits!$L$11,Deposits!$O$11,0)</f>
        <v>0</v>
      </c>
      <c r="AA32" s="85">
        <f>IF(AA$4=Deposits!$L$11,Deposits!$O$11,0)</f>
        <v>0</v>
      </c>
      <c r="AB32" s="85">
        <f>IF(AB$4=Deposits!$L$11,Deposits!$O$11,0)</f>
        <v>0</v>
      </c>
      <c r="AC32" s="85">
        <f>IF(AC$4=Deposits!$L$11,Deposits!$O$11,0)</f>
        <v>0</v>
      </c>
      <c r="AD32" s="85">
        <f>IF(AD$4=Deposits!$L$11,Deposits!$O$11,0)</f>
        <v>0</v>
      </c>
      <c r="AE32" s="85">
        <f>IF(AE$4=Deposits!$L$11,Deposits!$O$11,0)</f>
        <v>0</v>
      </c>
      <c r="AF32" s="85">
        <f>IF(AF$4=Deposits!$L$11,Deposits!$O$11,0)</f>
        <v>0</v>
      </c>
      <c r="AG32" s="85">
        <f>IF(AG$4=Deposits!$L$11,Deposits!$O$11,0)</f>
        <v>0</v>
      </c>
      <c r="AH32" s="85">
        <f>IF(AH$4=Deposits!$L$11,Deposits!$O$11,0)</f>
        <v>0</v>
      </c>
      <c r="AI32" s="85">
        <f>IF(AI$4=Deposits!$L$11,Deposits!$O$11,0)</f>
        <v>0</v>
      </c>
      <c r="AJ32" s="85">
        <f>IF(AJ$4=Deposits!$L$11,Deposits!$O$11,0)</f>
        <v>0</v>
      </c>
      <c r="AK32" s="85">
        <f>IF(AK$4=Deposits!$L$11,Deposits!$O$11,0)</f>
        <v>0</v>
      </c>
      <c r="AL32" s="85">
        <f>IF(AL$4=Deposits!$L$11,Deposits!$O$11,0)</f>
        <v>0</v>
      </c>
      <c r="AM32" s="85">
        <f>IF(AM$4=Deposits!$L$11,Deposits!$O$11,0)</f>
        <v>0</v>
      </c>
      <c r="AN32" s="85">
        <f>IF(AN$4=Deposits!$L$11,Deposits!$O$11,0)</f>
        <v>0</v>
      </c>
      <c r="AO32" s="85">
        <f>IF(AO$4=Deposits!$L$11,Deposits!$O$11,0)</f>
        <v>0</v>
      </c>
      <c r="AP32" s="85">
        <f>IF(AP$4=Deposits!$L$11,Deposits!$O$11,0)</f>
        <v>0</v>
      </c>
      <c r="AQ32" s="85">
        <f>IF(AQ$4=Deposits!$L$11,Deposits!$O$11,0)</f>
        <v>0</v>
      </c>
      <c r="AR32" s="85">
        <f>IF(AR$4=Deposits!$L$11,Deposits!$O$11,0)</f>
        <v>0</v>
      </c>
      <c r="AS32" s="85">
        <f>IF(AS$4=Deposits!$L$11,Deposits!$O$11,0)</f>
        <v>0</v>
      </c>
      <c r="AT32" s="85">
        <f>IF(AT$4=Deposits!$L$11,Deposits!$O$11,0)</f>
        <v>0</v>
      </c>
      <c r="AU32" s="85">
        <f>IF(AU$4=Deposits!$L$11,Deposits!$O$11,0)</f>
        <v>0</v>
      </c>
      <c r="AV32" s="85">
        <f>IF(AV$4=Deposits!$L$11,Deposits!$O$11,0)</f>
        <v>0</v>
      </c>
      <c r="AW32" s="85">
        <f>IF(AW$4=Deposits!$L$11,Deposits!$O$11,0)</f>
        <v>0</v>
      </c>
      <c r="AX32" s="85">
        <f>IF(AX$4=Deposits!$L$11,Deposits!$O$11,0)</f>
        <v>0</v>
      </c>
      <c r="AY32" s="85">
        <f>IF(AY$4=Deposits!$L$11,Deposits!$O$11,0)</f>
        <v>0</v>
      </c>
      <c r="AZ32" s="85">
        <f>IF(AZ$4=Deposits!$L$11,Deposits!$O$11,0)</f>
        <v>0</v>
      </c>
      <c r="BA32" s="85">
        <f>IF(BA$4=Deposits!$L$11,Deposits!$O$11,0)</f>
        <v>0</v>
      </c>
      <c r="BB32" s="85">
        <f>IF(BB$4=Deposits!$L$11,Deposits!$O$11,0)</f>
        <v>0</v>
      </c>
      <c r="BC32" s="85">
        <f>IF(BC$4=Deposits!$L$11,Deposits!$O$11,0)</f>
        <v>0</v>
      </c>
      <c r="BD32" s="85">
        <f>IF(BD$4=Deposits!$L$11,Deposits!$O$11,0)</f>
        <v>0</v>
      </c>
      <c r="BE32" s="85">
        <f>IF(BE$4=Deposits!$L$11,Deposits!$O$11,0)</f>
        <v>0</v>
      </c>
      <c r="BF32" s="85">
        <f>IF(BF$4=Deposits!$L$11,Deposits!$O$11,0)</f>
        <v>0</v>
      </c>
      <c r="BG32" s="85">
        <f>IF(BG$4=Deposits!$L$11,Deposits!$O$11,0)</f>
        <v>0</v>
      </c>
      <c r="BH32" s="85">
        <f>IF(BH$4=Deposits!$L$11,Deposits!$O$11,0)</f>
        <v>0</v>
      </c>
      <c r="BI32" s="85">
        <f>IF(BI$4=Deposits!$L$11,Deposits!$O$11,0)</f>
        <v>0</v>
      </c>
      <c r="BJ32" s="85">
        <f>IF(BJ$4=Deposits!$L$11,Deposits!$O$11,0)</f>
        <v>0</v>
      </c>
      <c r="BK32" s="85">
        <f>IF(BK$4=Deposits!$L$11,Deposits!$O$11,0)</f>
        <v>0</v>
      </c>
      <c r="BL32" s="85">
        <f>IF(BL$4=Deposits!$L$11,Deposits!$O$11,0)</f>
        <v>0</v>
      </c>
      <c r="BM32" s="85">
        <f>IF(BM$4=Deposits!$L$11,Deposits!$O$11,0)</f>
        <v>0</v>
      </c>
      <c r="BN32" s="85">
        <f>IF(BN$4=Deposits!$L$11,Deposits!$O$11,0)</f>
        <v>0</v>
      </c>
      <c r="BO32" s="85">
        <f>IF(BO$4=Deposits!$L$11,Deposits!$O$11,0)</f>
        <v>0</v>
      </c>
      <c r="BP32" s="85">
        <f>IF(BP$4=Deposits!$L$11,Deposits!$O$11,0)</f>
        <v>0</v>
      </c>
    </row>
    <row r="33" spans="3:68" x14ac:dyDescent="0.25">
      <c r="C33" s="103" t="str">
        <f>Deposits!C12</f>
        <v>Csatlakozási díj – közvetlen</v>
      </c>
      <c r="D33" t="s">
        <v>844</v>
      </c>
      <c r="E33" s="20"/>
      <c r="F33" s="20"/>
      <c r="G33" s="20">
        <f t="shared" si="17"/>
        <v>1392.7282301369862</v>
      </c>
      <c r="H33" s="85">
        <f>IF(H$4=Deposits!$L$12,Deposits!$O$12,0)</f>
        <v>0</v>
      </c>
      <c r="I33" s="85">
        <f>IF(I$4=Deposits!$L$12,Deposits!$O$12,0)</f>
        <v>0</v>
      </c>
      <c r="J33" s="85">
        <f>IF(J$4=Deposits!$L$12,Deposits!$O$12,0)</f>
        <v>0</v>
      </c>
      <c r="K33" s="85">
        <f>IF(K$4=Deposits!$L$12,Deposits!$O$12,0)</f>
        <v>0</v>
      </c>
      <c r="L33" s="85">
        <f>IF(L$4=Deposits!$L$12,Deposits!$O$12,0)</f>
        <v>0</v>
      </c>
      <c r="M33" s="85">
        <f>IF(M$4=Deposits!$L$12,Deposits!$O$12,0)</f>
        <v>0</v>
      </c>
      <c r="N33" s="85">
        <f>IF(N$4=Deposits!$L$12,Deposits!$O$12,0)</f>
        <v>0</v>
      </c>
      <c r="O33" s="85">
        <f>IF(O$4=Deposits!$L$12,Deposits!$O$12,0)</f>
        <v>0</v>
      </c>
      <c r="P33" s="85">
        <f>IF(P$4=Deposits!$L$12,Deposits!$O$12,0)</f>
        <v>0</v>
      </c>
      <c r="Q33" s="85">
        <f>IF(Q$4=Deposits!$L$12,Deposits!$O$12,0)</f>
        <v>0</v>
      </c>
      <c r="R33" s="85">
        <f>IF(R$4=Deposits!$L$12,Deposits!$O$12,0)</f>
        <v>0</v>
      </c>
      <c r="S33" s="85">
        <f>IF(S$4=Deposits!$L$12,Deposits!$O$12,0)</f>
        <v>0</v>
      </c>
      <c r="T33" s="85">
        <f>IF(T$4=Deposits!$L$12,Deposits!$O$12,0)</f>
        <v>0</v>
      </c>
      <c r="U33" s="85">
        <f>IF(U$4=Deposits!$L$12,Deposits!$O$12,0)</f>
        <v>0</v>
      </c>
      <c r="V33" s="85">
        <f>IF(V$4=Deposits!$L$12,Deposits!$O$12,0)</f>
        <v>0</v>
      </c>
      <c r="W33" s="85">
        <f>IF(W$4=Deposits!$L$12,Deposits!$O$12,0)</f>
        <v>0</v>
      </c>
      <c r="X33" s="85">
        <f>IF(X$4=Deposits!$L$12,Deposits!$O$12,0)</f>
        <v>0</v>
      </c>
      <c r="Y33" s="85">
        <f>IF(Y$4=Deposits!$L$12,Deposits!$O$12,0)</f>
        <v>0</v>
      </c>
      <c r="Z33" s="85">
        <f>IF(Z$4=Deposits!$L$12,Deposits!$O$12,0)</f>
        <v>0</v>
      </c>
      <c r="AA33" s="85">
        <f>IF(AA$4=Deposits!$L$12,Deposits!$O$12,0)</f>
        <v>0</v>
      </c>
      <c r="AB33" s="85">
        <f>IF(AB$4=Deposits!$L$12,Deposits!$O$12,0)</f>
        <v>0</v>
      </c>
      <c r="AC33" s="85">
        <f>IF(AC$4=Deposits!$L$12,Deposits!$O$12,0)</f>
        <v>0</v>
      </c>
      <c r="AD33" s="85">
        <f>IF(AD$4=Deposits!$L$12,Deposits!$O$12,0)</f>
        <v>0</v>
      </c>
      <c r="AE33" s="85">
        <f>IF(AE$4=Deposits!$L$12,Deposits!$O$12,0)</f>
        <v>0</v>
      </c>
      <c r="AF33" s="85">
        <f>IF(AF$4=Deposits!$L$12,Deposits!$O$12,0)</f>
        <v>0</v>
      </c>
      <c r="AG33" s="85">
        <f>IF(AG$4=Deposits!$L$12,Deposits!$O$12,0)</f>
        <v>0</v>
      </c>
      <c r="AH33" s="85">
        <f>IF(AH$4=Deposits!$L$12,Deposits!$O$12,0)</f>
        <v>0</v>
      </c>
      <c r="AI33" s="85">
        <f>IF(AI$4=Deposits!$L$12,Deposits!$O$12,0)</f>
        <v>0</v>
      </c>
      <c r="AJ33" s="85">
        <f>IF(AJ$4=Deposits!$L$12,Deposits!$O$12,0)</f>
        <v>0</v>
      </c>
      <c r="AK33" s="85">
        <f>IF(AK$4=Deposits!$L$12,Deposits!$O$12,0)</f>
        <v>0</v>
      </c>
      <c r="AL33" s="85">
        <f>IF(AL$4=Deposits!$L$12,Deposits!$O$12,0)</f>
        <v>1392.7282301369862</v>
      </c>
      <c r="AM33" s="85">
        <f>IF(AM$4=Deposits!$L$12,Deposits!$O$12,0)</f>
        <v>0</v>
      </c>
      <c r="AN33" s="85">
        <f>IF(AN$4=Deposits!$L$12,Deposits!$O$12,0)</f>
        <v>0</v>
      </c>
      <c r="AO33" s="85">
        <f>IF(AO$4=Deposits!$L$12,Deposits!$O$12,0)</f>
        <v>0</v>
      </c>
      <c r="AP33" s="85">
        <f>IF(AP$4=Deposits!$L$12,Deposits!$O$12,0)</f>
        <v>0</v>
      </c>
      <c r="AQ33" s="85">
        <f>IF(AQ$4=Deposits!$L$12,Deposits!$O$12,0)</f>
        <v>0</v>
      </c>
      <c r="AR33" s="85">
        <f>IF(AR$4=Deposits!$L$12,Deposits!$O$12,0)</f>
        <v>0</v>
      </c>
      <c r="AS33" s="85">
        <f>IF(AS$4=Deposits!$L$12,Deposits!$O$12,0)</f>
        <v>0</v>
      </c>
      <c r="AT33" s="85">
        <f>IF(AT$4=Deposits!$L$12,Deposits!$O$12,0)</f>
        <v>0</v>
      </c>
      <c r="AU33" s="85">
        <f>IF(AU$4=Deposits!$L$12,Deposits!$O$12,0)</f>
        <v>0</v>
      </c>
      <c r="AV33" s="85">
        <f>IF(AV$4=Deposits!$L$12,Deposits!$O$12,0)</f>
        <v>0</v>
      </c>
      <c r="AW33" s="85">
        <f>IF(AW$4=Deposits!$L$12,Deposits!$O$12,0)</f>
        <v>0</v>
      </c>
      <c r="AX33" s="85">
        <f>IF(AX$4=Deposits!$L$12,Deposits!$O$12,0)</f>
        <v>0</v>
      </c>
      <c r="AY33" s="85">
        <f>IF(AY$4=Deposits!$L$12,Deposits!$O$12,0)</f>
        <v>0</v>
      </c>
      <c r="AZ33" s="85">
        <f>IF(AZ$4=Deposits!$L$12,Deposits!$O$12,0)</f>
        <v>0</v>
      </c>
      <c r="BA33" s="85">
        <f>IF(BA$4=Deposits!$L$12,Deposits!$O$12,0)</f>
        <v>0</v>
      </c>
      <c r="BB33" s="85">
        <f>IF(BB$4=Deposits!$L$12,Deposits!$O$12,0)</f>
        <v>0</v>
      </c>
      <c r="BC33" s="85">
        <f>IF(BC$4=Deposits!$L$12,Deposits!$O$12,0)</f>
        <v>0</v>
      </c>
      <c r="BD33" s="85">
        <f>IF(BD$4=Deposits!$L$12,Deposits!$O$12,0)</f>
        <v>0</v>
      </c>
      <c r="BE33" s="85">
        <f>IF(BE$4=Deposits!$L$12,Deposits!$O$12,0)</f>
        <v>0</v>
      </c>
      <c r="BF33" s="85">
        <f>IF(BF$4=Deposits!$L$12,Deposits!$O$12,0)</f>
        <v>0</v>
      </c>
      <c r="BG33" s="85">
        <f>IF(BG$4=Deposits!$L$12,Deposits!$O$12,0)</f>
        <v>0</v>
      </c>
      <c r="BH33" s="85">
        <f>IF(BH$4=Deposits!$L$12,Deposits!$O$12,0)</f>
        <v>0</v>
      </c>
      <c r="BI33" s="85">
        <f>IF(BI$4=Deposits!$L$12,Deposits!$O$12,0)</f>
        <v>0</v>
      </c>
      <c r="BJ33" s="85">
        <f>IF(BJ$4=Deposits!$L$12,Deposits!$O$12,0)</f>
        <v>0</v>
      </c>
      <c r="BK33" s="85">
        <f>IF(BK$4=Deposits!$L$12,Deposits!$O$12,0)</f>
        <v>0</v>
      </c>
      <c r="BL33" s="85">
        <f>IF(BL$4=Deposits!$L$12,Deposits!$O$12,0)</f>
        <v>0</v>
      </c>
      <c r="BM33" s="85">
        <f>IF(BM$4=Deposits!$L$12,Deposits!$O$12,0)</f>
        <v>0</v>
      </c>
      <c r="BN33" s="85">
        <f>IF(BN$4=Deposits!$L$12,Deposits!$O$12,0)</f>
        <v>0</v>
      </c>
      <c r="BO33" s="85">
        <f>IF(BO$4=Deposits!$L$12,Deposits!$O$12,0)</f>
        <v>0</v>
      </c>
      <c r="BP33" s="85">
        <f>IF(BP$4=Deposits!$L$12,Deposits!$O$12,0)</f>
        <v>0</v>
      </c>
    </row>
    <row r="34" spans="3:68" x14ac:dyDescent="0.25">
      <c r="C34" s="103" t="str">
        <f>Deposits!C13</f>
        <v>Kiegészítő biztosíték 1. részlet</v>
      </c>
      <c r="D34" t="s">
        <v>844</v>
      </c>
      <c r="E34" s="20"/>
      <c r="F34" s="20"/>
      <c r="G34" s="20">
        <f t="shared" si="17"/>
        <v>0</v>
      </c>
      <c r="H34" s="85">
        <f>IF(H$4=Deposits!$L$13,Deposits!$O$13,0)</f>
        <v>0</v>
      </c>
      <c r="I34" s="85">
        <f>IF(I$4=Deposits!$L$13,Deposits!$O$13,0)</f>
        <v>0</v>
      </c>
      <c r="J34" s="85">
        <f>IF(J$4=Deposits!$L$13,Deposits!$O$13,0)</f>
        <v>0</v>
      </c>
      <c r="K34" s="85">
        <f>IF(K$4=Deposits!$L$13,Deposits!$O$13,0)</f>
        <v>0</v>
      </c>
      <c r="L34" s="85">
        <f>IF(L$4=Deposits!$L$13,Deposits!$O$13,0)</f>
        <v>0</v>
      </c>
      <c r="M34" s="85">
        <f>IF(M$4=Deposits!$L$13,Deposits!$O$13,0)</f>
        <v>0</v>
      </c>
      <c r="N34" s="85">
        <f>IF(N$4=Deposits!$L$13,Deposits!$O$13,0)</f>
        <v>0</v>
      </c>
      <c r="O34" s="85">
        <f>IF(O$4=Deposits!$L$13,Deposits!$O$13,0)</f>
        <v>0</v>
      </c>
      <c r="P34" s="85">
        <f>IF(P$4=Deposits!$L$13,Deposits!$O$13,0)</f>
        <v>0</v>
      </c>
      <c r="Q34" s="85">
        <f>IF(Q$4=Deposits!$L$13,Deposits!$O$13,0)</f>
        <v>0</v>
      </c>
      <c r="R34" s="85">
        <f>IF(R$4=Deposits!$L$13,Deposits!$O$13,0)</f>
        <v>0</v>
      </c>
      <c r="S34" s="85">
        <f>IF(S$4=Deposits!$L$13,Deposits!$O$13,0)</f>
        <v>0</v>
      </c>
      <c r="T34" s="85">
        <f>IF(T$4=Deposits!$L$13,Deposits!$O$13,0)</f>
        <v>0</v>
      </c>
      <c r="U34" s="85">
        <f>IF(U$4=Deposits!$L$13,Deposits!$O$13,0)</f>
        <v>0</v>
      </c>
      <c r="V34" s="85">
        <f>IF(V$4=Deposits!$L$13,Deposits!$O$13,0)</f>
        <v>0</v>
      </c>
      <c r="W34" s="85">
        <f>IF(W$4=Deposits!$L$13,Deposits!$O$13,0)</f>
        <v>0</v>
      </c>
      <c r="X34" s="85">
        <f>IF(X$4=Deposits!$L$13,Deposits!$O$13,0)</f>
        <v>0</v>
      </c>
      <c r="Y34" s="85">
        <f>IF(Y$4=Deposits!$L$13,Deposits!$O$13,0)</f>
        <v>0</v>
      </c>
      <c r="Z34" s="85">
        <f>IF(Z$4=Deposits!$L$13,Deposits!$O$13,0)</f>
        <v>0</v>
      </c>
      <c r="AA34" s="85">
        <f>IF(AA$4=Deposits!$L$13,Deposits!$O$13,0)</f>
        <v>0</v>
      </c>
      <c r="AB34" s="85">
        <f>IF(AB$4=Deposits!$L$13,Deposits!$O$13,0)</f>
        <v>0</v>
      </c>
      <c r="AC34" s="85">
        <f>IF(AC$4=Deposits!$L$13,Deposits!$O$13,0)</f>
        <v>0</v>
      </c>
      <c r="AD34" s="85">
        <f>IF(AD$4=Deposits!$L$13,Deposits!$O$13,0)</f>
        <v>0</v>
      </c>
      <c r="AE34" s="85">
        <f>IF(AE$4=Deposits!$L$13,Deposits!$O$13,0)</f>
        <v>0</v>
      </c>
      <c r="AF34" s="85">
        <f>IF(AF$4=Deposits!$L$13,Deposits!$O$13,0)</f>
        <v>0</v>
      </c>
      <c r="AG34" s="85">
        <f>IF(AG$4=Deposits!$L$13,Deposits!$O$13,0)</f>
        <v>0</v>
      </c>
      <c r="AH34" s="85">
        <f>IF(AH$4=Deposits!$L$13,Deposits!$O$13,0)</f>
        <v>0</v>
      </c>
      <c r="AI34" s="85">
        <f>IF(AI$4=Deposits!$L$13,Deposits!$O$13,0)</f>
        <v>0</v>
      </c>
      <c r="AJ34" s="85">
        <f>IF(AJ$4=Deposits!$L$13,Deposits!$O$13,0)</f>
        <v>0</v>
      </c>
      <c r="AK34" s="85">
        <f>IF(AK$4=Deposits!$L$13,Deposits!$O$13,0)</f>
        <v>0</v>
      </c>
      <c r="AL34" s="85">
        <f>IF(AL$4=Deposits!$L$13,Deposits!$O$13,0)</f>
        <v>0</v>
      </c>
      <c r="AM34" s="85">
        <f>IF(AM$4=Deposits!$L$13,Deposits!$O$13,0)</f>
        <v>0</v>
      </c>
      <c r="AN34" s="85">
        <f>IF(AN$4=Deposits!$L$13,Deposits!$O$13,0)</f>
        <v>0</v>
      </c>
      <c r="AO34" s="85">
        <f>IF(AO$4=Deposits!$L$13,Deposits!$O$13,0)</f>
        <v>0</v>
      </c>
      <c r="AP34" s="85">
        <f>IF(AP$4=Deposits!$L$13,Deposits!$O$13,0)</f>
        <v>0</v>
      </c>
      <c r="AQ34" s="85">
        <f>IF(AQ$4=Deposits!$L$13,Deposits!$O$13,0)</f>
        <v>0</v>
      </c>
      <c r="AR34" s="85">
        <f>IF(AR$4=Deposits!$L$13,Deposits!$O$13,0)</f>
        <v>0</v>
      </c>
      <c r="AS34" s="85">
        <f>IF(AS$4=Deposits!$L$13,Deposits!$O$13,0)</f>
        <v>0</v>
      </c>
      <c r="AT34" s="85">
        <f>IF(AT$4=Deposits!$L$13,Deposits!$O$13,0)</f>
        <v>0</v>
      </c>
      <c r="AU34" s="85">
        <f>IF(AU$4=Deposits!$L$13,Deposits!$O$13,0)</f>
        <v>0</v>
      </c>
      <c r="AV34" s="85">
        <f>IF(AV$4=Deposits!$L$13,Deposits!$O$13,0)</f>
        <v>0</v>
      </c>
      <c r="AW34" s="85">
        <f>IF(AW$4=Deposits!$L$13,Deposits!$O$13,0)</f>
        <v>0</v>
      </c>
      <c r="AX34" s="85">
        <f>IF(AX$4=Deposits!$L$13,Deposits!$O$13,0)</f>
        <v>0</v>
      </c>
      <c r="AY34" s="85">
        <f>IF(AY$4=Deposits!$L$13,Deposits!$O$13,0)</f>
        <v>0</v>
      </c>
      <c r="AZ34" s="85">
        <f>IF(AZ$4=Deposits!$L$13,Deposits!$O$13,0)</f>
        <v>0</v>
      </c>
      <c r="BA34" s="85">
        <f>IF(BA$4=Deposits!$L$13,Deposits!$O$13,0)</f>
        <v>0</v>
      </c>
      <c r="BB34" s="85">
        <f>IF(BB$4=Deposits!$L$13,Deposits!$O$13,0)</f>
        <v>0</v>
      </c>
      <c r="BC34" s="85">
        <f>IF(BC$4=Deposits!$L$13,Deposits!$O$13,0)</f>
        <v>0</v>
      </c>
      <c r="BD34" s="85">
        <f>IF(BD$4=Deposits!$L$13,Deposits!$O$13,0)</f>
        <v>0</v>
      </c>
      <c r="BE34" s="85">
        <f>IF(BE$4=Deposits!$L$13,Deposits!$O$13,0)</f>
        <v>0</v>
      </c>
      <c r="BF34" s="85">
        <f>IF(BF$4=Deposits!$L$13,Deposits!$O$13,0)</f>
        <v>0</v>
      </c>
      <c r="BG34" s="85">
        <f>IF(BG$4=Deposits!$L$13,Deposits!$O$13,0)</f>
        <v>0</v>
      </c>
      <c r="BH34" s="85">
        <f>IF(BH$4=Deposits!$L$13,Deposits!$O$13,0)</f>
        <v>0</v>
      </c>
      <c r="BI34" s="85">
        <f>IF(BI$4=Deposits!$L$13,Deposits!$O$13,0)</f>
        <v>0</v>
      </c>
      <c r="BJ34" s="85">
        <f>IF(BJ$4=Deposits!$L$13,Deposits!$O$13,0)</f>
        <v>0</v>
      </c>
      <c r="BK34" s="85">
        <f>IF(BK$4=Deposits!$L$13,Deposits!$O$13,0)</f>
        <v>0</v>
      </c>
      <c r="BL34" s="85">
        <f>IF(BL$4=Deposits!$L$13,Deposits!$O$13,0)</f>
        <v>0</v>
      </c>
      <c r="BM34" s="85">
        <f>IF(BM$4=Deposits!$L$13,Deposits!$O$13,0)</f>
        <v>0</v>
      </c>
      <c r="BN34" s="85">
        <f>IF(BN$4=Deposits!$L$13,Deposits!$O$13,0)</f>
        <v>0</v>
      </c>
      <c r="BO34" s="85">
        <f>IF(BO$4=Deposits!$L$13,Deposits!$O$13,0)</f>
        <v>0</v>
      </c>
      <c r="BP34" s="85">
        <f>IF(BP$4=Deposits!$L$13,Deposits!$O$13,0)</f>
        <v>0</v>
      </c>
    </row>
    <row r="35" spans="3:68" x14ac:dyDescent="0.25">
      <c r="C35" s="103" t="str">
        <f>Deposits!C14</f>
        <v>Kiegészítő biztosíték 2. részlet</v>
      </c>
      <c r="D35" t="s">
        <v>844</v>
      </c>
      <c r="E35" s="20"/>
      <c r="F35" s="20"/>
      <c r="G35" s="20">
        <f t="shared" si="17"/>
        <v>0</v>
      </c>
      <c r="H35" s="85">
        <f>IF(H$4=Deposits!$L$14,Deposits!$O$14,0)</f>
        <v>0</v>
      </c>
      <c r="I35" s="85">
        <f>IF(I$4=Deposits!$L$14,Deposits!$O$14,0)</f>
        <v>0</v>
      </c>
      <c r="J35" s="85">
        <f>IF(J$4=Deposits!$L$14,Deposits!$O$14,0)</f>
        <v>0</v>
      </c>
      <c r="K35" s="85">
        <f>IF(K$4=Deposits!$L$14,Deposits!$O$14,0)</f>
        <v>0</v>
      </c>
      <c r="L35" s="85">
        <f>IF(L$4=Deposits!$L$14,Deposits!$O$14,0)</f>
        <v>0</v>
      </c>
      <c r="M35" s="85">
        <f>IF(M$4=Deposits!$L$14,Deposits!$O$14,0)</f>
        <v>0</v>
      </c>
      <c r="N35" s="85">
        <f>IF(N$4=Deposits!$L$14,Deposits!$O$14,0)</f>
        <v>0</v>
      </c>
      <c r="O35" s="85">
        <f>IF(O$4=Deposits!$L$14,Deposits!$O$14,0)</f>
        <v>0</v>
      </c>
      <c r="P35" s="85">
        <f>IF(P$4=Deposits!$L$14,Deposits!$O$14,0)</f>
        <v>0</v>
      </c>
      <c r="Q35" s="85">
        <f>IF(Q$4=Deposits!$L$14,Deposits!$O$14,0)</f>
        <v>0</v>
      </c>
      <c r="R35" s="85">
        <f>IF(R$4=Deposits!$L$14,Deposits!$O$14,0)</f>
        <v>0</v>
      </c>
      <c r="S35" s="85">
        <f>IF(S$4=Deposits!$L$14,Deposits!$O$14,0)</f>
        <v>0</v>
      </c>
      <c r="T35" s="85">
        <f>IF(T$4=Deposits!$L$14,Deposits!$O$14,0)</f>
        <v>0</v>
      </c>
      <c r="U35" s="85">
        <f>IF(U$4=Deposits!$L$14,Deposits!$O$14,0)</f>
        <v>0</v>
      </c>
      <c r="V35" s="85">
        <f>IF(V$4=Deposits!$L$14,Deposits!$O$14,0)</f>
        <v>0</v>
      </c>
      <c r="W35" s="85">
        <f>IF(W$4=Deposits!$L$14,Deposits!$O$14,0)</f>
        <v>0</v>
      </c>
      <c r="X35" s="85">
        <f>IF(X$4=Deposits!$L$14,Deposits!$O$14,0)</f>
        <v>0</v>
      </c>
      <c r="Y35" s="85">
        <f>IF(Y$4=Deposits!$L$14,Deposits!$O$14,0)</f>
        <v>0</v>
      </c>
      <c r="Z35" s="85">
        <f>IF(Z$4=Deposits!$L$14,Deposits!$O$14,0)</f>
        <v>0</v>
      </c>
      <c r="AA35" s="85">
        <f>IF(AA$4=Deposits!$L$14,Deposits!$O$14,0)</f>
        <v>0</v>
      </c>
      <c r="AB35" s="85">
        <f>IF(AB$4=Deposits!$L$14,Deposits!$O$14,0)</f>
        <v>0</v>
      </c>
      <c r="AC35" s="85">
        <f>IF(AC$4=Deposits!$L$14,Deposits!$O$14,0)</f>
        <v>0</v>
      </c>
      <c r="AD35" s="85">
        <f>IF(AD$4=Deposits!$L$14,Deposits!$O$14,0)</f>
        <v>0</v>
      </c>
      <c r="AE35" s="85">
        <f>IF(AE$4=Deposits!$L$14,Deposits!$O$14,0)</f>
        <v>0</v>
      </c>
      <c r="AF35" s="85">
        <f>IF(AF$4=Deposits!$L$14,Deposits!$O$14,0)</f>
        <v>0</v>
      </c>
      <c r="AG35" s="85">
        <f>IF(AG$4=Deposits!$L$14,Deposits!$O$14,0)</f>
        <v>0</v>
      </c>
      <c r="AH35" s="85">
        <f>IF(AH$4=Deposits!$L$14,Deposits!$O$14,0)</f>
        <v>0</v>
      </c>
      <c r="AI35" s="85">
        <f>IF(AI$4=Deposits!$L$14,Deposits!$O$14,0)</f>
        <v>0</v>
      </c>
      <c r="AJ35" s="85">
        <f>IF(AJ$4=Deposits!$L$14,Deposits!$O$14,0)</f>
        <v>0</v>
      </c>
      <c r="AK35" s="85">
        <f>IF(AK$4=Deposits!$L$14,Deposits!$O$14,0)</f>
        <v>0</v>
      </c>
      <c r="AL35" s="85">
        <f>IF(AL$4=Deposits!$L$14,Deposits!$O$14,0)</f>
        <v>0</v>
      </c>
      <c r="AM35" s="85">
        <f>IF(AM$4=Deposits!$L$14,Deposits!$O$14,0)</f>
        <v>0</v>
      </c>
      <c r="AN35" s="85">
        <f>IF(AN$4=Deposits!$L$14,Deposits!$O$14,0)</f>
        <v>0</v>
      </c>
      <c r="AO35" s="85">
        <f>IF(AO$4=Deposits!$L$14,Deposits!$O$14,0)</f>
        <v>0</v>
      </c>
      <c r="AP35" s="85">
        <f>IF(AP$4=Deposits!$L$14,Deposits!$O$14,0)</f>
        <v>0</v>
      </c>
      <c r="AQ35" s="85">
        <f>IF(AQ$4=Deposits!$L$14,Deposits!$O$14,0)</f>
        <v>0</v>
      </c>
      <c r="AR35" s="85">
        <f>IF(AR$4=Deposits!$L$14,Deposits!$O$14,0)</f>
        <v>0</v>
      </c>
      <c r="AS35" s="85">
        <f>IF(AS$4=Deposits!$L$14,Deposits!$O$14,0)</f>
        <v>0</v>
      </c>
      <c r="AT35" s="85">
        <f>IF(AT$4=Deposits!$L$14,Deposits!$O$14,0)</f>
        <v>0</v>
      </c>
      <c r="AU35" s="85">
        <f>IF(AU$4=Deposits!$L$14,Deposits!$O$14,0)</f>
        <v>0</v>
      </c>
      <c r="AV35" s="85">
        <f>IF(AV$4=Deposits!$L$14,Deposits!$O$14,0)</f>
        <v>0</v>
      </c>
      <c r="AW35" s="85">
        <f>IF(AW$4=Deposits!$L$14,Deposits!$O$14,0)</f>
        <v>0</v>
      </c>
      <c r="AX35" s="85">
        <f>IF(AX$4=Deposits!$L$14,Deposits!$O$14,0)</f>
        <v>0</v>
      </c>
      <c r="AY35" s="85">
        <f>IF(AY$4=Deposits!$L$14,Deposits!$O$14,0)</f>
        <v>0</v>
      </c>
      <c r="AZ35" s="85">
        <f>IF(AZ$4=Deposits!$L$14,Deposits!$O$14,0)</f>
        <v>0</v>
      </c>
      <c r="BA35" s="85">
        <f>IF(BA$4=Deposits!$L$14,Deposits!$O$14,0)</f>
        <v>0</v>
      </c>
      <c r="BB35" s="85">
        <f>IF(BB$4=Deposits!$L$14,Deposits!$O$14,0)</f>
        <v>0</v>
      </c>
      <c r="BC35" s="85">
        <f>IF(BC$4=Deposits!$L$14,Deposits!$O$14,0)</f>
        <v>0</v>
      </c>
      <c r="BD35" s="85">
        <f>IF(BD$4=Deposits!$L$14,Deposits!$O$14,0)</f>
        <v>0</v>
      </c>
      <c r="BE35" s="85">
        <f>IF(BE$4=Deposits!$L$14,Deposits!$O$14,0)</f>
        <v>0</v>
      </c>
      <c r="BF35" s="85">
        <f>IF(BF$4=Deposits!$L$14,Deposits!$O$14,0)</f>
        <v>0</v>
      </c>
      <c r="BG35" s="85">
        <f>IF(BG$4=Deposits!$L$14,Deposits!$O$14,0)</f>
        <v>0</v>
      </c>
      <c r="BH35" s="85">
        <f>IF(BH$4=Deposits!$L$14,Deposits!$O$14,0)</f>
        <v>0</v>
      </c>
      <c r="BI35" s="85">
        <f>IF(BI$4=Deposits!$L$14,Deposits!$O$14,0)</f>
        <v>0</v>
      </c>
      <c r="BJ35" s="85">
        <f>IF(BJ$4=Deposits!$L$14,Deposits!$O$14,0)</f>
        <v>0</v>
      </c>
      <c r="BK35" s="85">
        <f>IF(BK$4=Deposits!$L$14,Deposits!$O$14,0)</f>
        <v>0</v>
      </c>
      <c r="BL35" s="85">
        <f>IF(BL$4=Deposits!$L$14,Deposits!$O$14,0)</f>
        <v>0</v>
      </c>
      <c r="BM35" s="85">
        <f>IF(BM$4=Deposits!$L$14,Deposits!$O$14,0)</f>
        <v>0</v>
      </c>
      <c r="BN35" s="85">
        <f>IF(BN$4=Deposits!$L$14,Deposits!$O$14,0)</f>
        <v>0</v>
      </c>
      <c r="BO35" s="85">
        <f>IF(BO$4=Deposits!$L$14,Deposits!$O$14,0)</f>
        <v>0</v>
      </c>
      <c r="BP35" s="85">
        <f>IF(BP$4=Deposits!$L$14,Deposits!$O$14,0)</f>
        <v>0</v>
      </c>
    </row>
    <row r="36" spans="3:68" x14ac:dyDescent="0.25">
      <c r="C36" s="103" t="str">
        <f>Deposits!C15</f>
        <v>Kiegészítő biztosíték visszautalás építési engedély megszerzésekor</v>
      </c>
      <c r="D36" t="s">
        <v>844</v>
      </c>
      <c r="E36" s="20"/>
      <c r="F36" s="20"/>
      <c r="G36" s="20">
        <f t="shared" si="17"/>
        <v>0</v>
      </c>
      <c r="H36" s="85">
        <f>IF(H$4=Deposits!$L$15,Deposits!$O$15,0)</f>
        <v>0</v>
      </c>
      <c r="I36" s="85">
        <f>IF(I$4=Deposits!$L$15,Deposits!$O$15,0)</f>
        <v>0</v>
      </c>
      <c r="J36" s="85">
        <f>IF(J$4=Deposits!$L$15,Deposits!$O$15,0)</f>
        <v>0</v>
      </c>
      <c r="K36" s="85">
        <f>IF(K$4=Deposits!$L$15,Deposits!$O$15,0)</f>
        <v>0</v>
      </c>
      <c r="L36" s="85">
        <f>IF(L$4=Deposits!$L$15,Deposits!$O$15,0)</f>
        <v>0</v>
      </c>
      <c r="M36" s="85">
        <f>IF(M$4=Deposits!$L$15,Deposits!$O$15,0)</f>
        <v>0</v>
      </c>
      <c r="N36" s="85">
        <f>IF(N$4=Deposits!$L$15,Deposits!$O$15,0)</f>
        <v>0</v>
      </c>
      <c r="O36" s="85">
        <f>IF(O$4=Deposits!$L$15,Deposits!$O$15,0)</f>
        <v>0</v>
      </c>
      <c r="P36" s="85">
        <f>IF(P$4=Deposits!$L$15,Deposits!$O$15,0)</f>
        <v>0</v>
      </c>
      <c r="Q36" s="85">
        <f>IF(Q$4=Deposits!$L$15,Deposits!$O$15,0)</f>
        <v>0</v>
      </c>
      <c r="R36" s="85">
        <f>IF(R$4=Deposits!$L$15,Deposits!$O$15,0)</f>
        <v>0</v>
      </c>
      <c r="S36" s="85">
        <f>IF(S$4=Deposits!$L$15,Deposits!$O$15,0)</f>
        <v>0</v>
      </c>
      <c r="T36" s="85">
        <f>IF(T$4=Deposits!$L$15,Deposits!$O$15,0)</f>
        <v>0</v>
      </c>
      <c r="U36" s="85">
        <f>IF(U$4=Deposits!$L$15,Deposits!$O$15,0)</f>
        <v>0</v>
      </c>
      <c r="V36" s="85">
        <f>IF(V$4=Deposits!$L$15,Deposits!$O$15,0)</f>
        <v>0</v>
      </c>
      <c r="W36" s="85">
        <f>IF(W$4=Deposits!$L$15,Deposits!$O$15,0)</f>
        <v>0</v>
      </c>
      <c r="X36" s="85">
        <f>IF(X$4=Deposits!$L$15,Deposits!$O$15,0)</f>
        <v>0</v>
      </c>
      <c r="Y36" s="85">
        <f>IF(Y$4=Deposits!$L$15,Deposits!$O$15,0)</f>
        <v>0</v>
      </c>
      <c r="Z36" s="85">
        <f>IF(Z$4=Deposits!$L$15,Deposits!$O$15,0)</f>
        <v>0</v>
      </c>
      <c r="AA36" s="85">
        <f>IF(AA$4=Deposits!$L$15,Deposits!$O$15,0)</f>
        <v>0</v>
      </c>
      <c r="AB36" s="85">
        <f>IF(AB$4=Deposits!$L$15,Deposits!$O$15,0)</f>
        <v>0</v>
      </c>
      <c r="AC36" s="85">
        <f>IF(AC$4=Deposits!$L$15,Deposits!$O$15,0)</f>
        <v>0</v>
      </c>
      <c r="AD36" s="85">
        <f>IF(AD$4=Deposits!$L$15,Deposits!$O$15,0)</f>
        <v>0</v>
      </c>
      <c r="AE36" s="85">
        <f>IF(AE$4=Deposits!$L$15,Deposits!$O$15,0)</f>
        <v>0</v>
      </c>
      <c r="AF36" s="85">
        <f>IF(AF$4=Deposits!$L$15,Deposits!$O$15,0)</f>
        <v>0</v>
      </c>
      <c r="AG36" s="85">
        <f>IF(AG$4=Deposits!$L$15,Deposits!$O$15,0)</f>
        <v>0</v>
      </c>
      <c r="AH36" s="85">
        <f>IF(AH$4=Deposits!$L$15,Deposits!$O$15,0)</f>
        <v>0</v>
      </c>
      <c r="AI36" s="85">
        <f>IF(AI$4=Deposits!$L$15,Deposits!$O$15,0)</f>
        <v>0</v>
      </c>
      <c r="AJ36" s="85">
        <f>IF(AJ$4=Deposits!$L$15,Deposits!$O$15,0)</f>
        <v>0</v>
      </c>
      <c r="AK36" s="85">
        <f>IF(AK$4=Deposits!$L$15,Deposits!$O$15,0)</f>
        <v>0</v>
      </c>
      <c r="AL36" s="85">
        <f>IF(AL$4=Deposits!$L$15,Deposits!$O$15,0)</f>
        <v>0</v>
      </c>
      <c r="AM36" s="85">
        <f>IF(AM$4=Deposits!$L$15,Deposits!$O$15,0)</f>
        <v>0</v>
      </c>
      <c r="AN36" s="85">
        <f>IF(AN$4=Deposits!$L$15,Deposits!$O$15,0)</f>
        <v>0</v>
      </c>
      <c r="AO36" s="85">
        <f>IF(AO$4=Deposits!$L$15,Deposits!$O$15,0)</f>
        <v>0</v>
      </c>
      <c r="AP36" s="85">
        <f>IF(AP$4=Deposits!$L$15,Deposits!$O$15,0)</f>
        <v>0</v>
      </c>
      <c r="AQ36" s="85">
        <f>IF(AQ$4=Deposits!$L$15,Deposits!$O$15,0)</f>
        <v>0</v>
      </c>
      <c r="AR36" s="85">
        <f>IF(AR$4=Deposits!$L$15,Deposits!$O$15,0)</f>
        <v>0</v>
      </c>
      <c r="AS36" s="85">
        <f>IF(AS$4=Deposits!$L$15,Deposits!$O$15,0)</f>
        <v>0</v>
      </c>
      <c r="AT36" s="85">
        <f>IF(AT$4=Deposits!$L$15,Deposits!$O$15,0)</f>
        <v>0</v>
      </c>
      <c r="AU36" s="85">
        <f>IF(AU$4=Deposits!$L$15,Deposits!$O$15,0)</f>
        <v>0</v>
      </c>
      <c r="AV36" s="85">
        <f>IF(AV$4=Deposits!$L$15,Deposits!$O$15,0)</f>
        <v>0</v>
      </c>
      <c r="AW36" s="85">
        <f>IF(AW$4=Deposits!$L$15,Deposits!$O$15,0)</f>
        <v>0</v>
      </c>
      <c r="AX36" s="85">
        <f>IF(AX$4=Deposits!$L$15,Deposits!$O$15,0)</f>
        <v>0</v>
      </c>
      <c r="AY36" s="85">
        <f>IF(AY$4=Deposits!$L$15,Deposits!$O$15,0)</f>
        <v>0</v>
      </c>
      <c r="AZ36" s="85">
        <f>IF(AZ$4=Deposits!$L$15,Deposits!$O$15,0)</f>
        <v>0</v>
      </c>
      <c r="BA36" s="85">
        <f>IF(BA$4=Deposits!$L$15,Deposits!$O$15,0)</f>
        <v>0</v>
      </c>
      <c r="BB36" s="85">
        <f>IF(BB$4=Deposits!$L$15,Deposits!$O$15,0)</f>
        <v>0</v>
      </c>
      <c r="BC36" s="85">
        <f>IF(BC$4=Deposits!$L$15,Deposits!$O$15,0)</f>
        <v>0</v>
      </c>
      <c r="BD36" s="85">
        <f>IF(BD$4=Deposits!$L$15,Deposits!$O$15,0)</f>
        <v>0</v>
      </c>
      <c r="BE36" s="85">
        <f>IF(BE$4=Deposits!$L$15,Deposits!$O$15,0)</f>
        <v>0</v>
      </c>
      <c r="BF36" s="85">
        <f>IF(BF$4=Deposits!$L$15,Deposits!$O$15,0)</f>
        <v>0</v>
      </c>
      <c r="BG36" s="85">
        <f>IF(BG$4=Deposits!$L$15,Deposits!$O$15,0)</f>
        <v>0</v>
      </c>
      <c r="BH36" s="85">
        <f>IF(BH$4=Deposits!$L$15,Deposits!$O$15,0)</f>
        <v>0</v>
      </c>
      <c r="BI36" s="85">
        <f>IF(BI$4=Deposits!$L$15,Deposits!$O$15,0)</f>
        <v>0</v>
      </c>
      <c r="BJ36" s="85">
        <f>IF(BJ$4=Deposits!$L$15,Deposits!$O$15,0)</f>
        <v>0</v>
      </c>
      <c r="BK36" s="85">
        <f>IF(BK$4=Deposits!$L$15,Deposits!$O$15,0)</f>
        <v>0</v>
      </c>
      <c r="BL36" s="85">
        <f>IF(BL$4=Deposits!$L$15,Deposits!$O$15,0)</f>
        <v>0</v>
      </c>
      <c r="BM36" s="85">
        <f>IF(BM$4=Deposits!$L$15,Deposits!$O$15,0)</f>
        <v>0</v>
      </c>
      <c r="BN36" s="85">
        <f>IF(BN$4=Deposits!$L$15,Deposits!$O$15,0)</f>
        <v>0</v>
      </c>
      <c r="BO36" s="85">
        <f>IF(BO$4=Deposits!$L$15,Deposits!$O$15,0)</f>
        <v>0</v>
      </c>
      <c r="BP36" s="85">
        <f>IF(BP$4=Deposits!$L$15,Deposits!$O$15,0)</f>
        <v>0</v>
      </c>
    </row>
    <row r="37" spans="3:68" x14ac:dyDescent="0.25">
      <c r="C37" s="103" t="str">
        <f>Deposits!C16</f>
        <v>Kiegészítő biztosíték 3. részlet</v>
      </c>
      <c r="D37" t="s">
        <v>844</v>
      </c>
      <c r="E37" s="20"/>
      <c r="F37" s="20"/>
      <c r="G37" s="20">
        <f t="shared" si="17"/>
        <v>0</v>
      </c>
      <c r="H37" s="85">
        <f>IF(H$4=Deposits!$L$16,Deposits!$O$16,0)</f>
        <v>0</v>
      </c>
      <c r="I37" s="85">
        <f>IF(I$4=Deposits!$L$16,Deposits!$O$16,0)</f>
        <v>0</v>
      </c>
      <c r="J37" s="85">
        <f>IF(J$4=Deposits!$L$16,Deposits!$O$16,0)</f>
        <v>0</v>
      </c>
      <c r="K37" s="85">
        <f>IF(K$4=Deposits!$L$16,Deposits!$O$16,0)</f>
        <v>0</v>
      </c>
      <c r="L37" s="85">
        <f>IF(L$4=Deposits!$L$16,Deposits!$O$16,0)</f>
        <v>0</v>
      </c>
      <c r="M37" s="85">
        <f>IF(M$4=Deposits!$L$16,Deposits!$O$16,0)</f>
        <v>0</v>
      </c>
      <c r="N37" s="85">
        <f>IF(N$4=Deposits!$L$16,Deposits!$O$16,0)</f>
        <v>0</v>
      </c>
      <c r="O37" s="85">
        <f>IF(O$4=Deposits!$L$16,Deposits!$O$16,0)</f>
        <v>0</v>
      </c>
      <c r="P37" s="85">
        <f>IF(P$4=Deposits!$L$16,Deposits!$O$16,0)</f>
        <v>0</v>
      </c>
      <c r="Q37" s="85">
        <f>IF(Q$4=Deposits!$L$16,Deposits!$O$16,0)</f>
        <v>0</v>
      </c>
      <c r="R37" s="85">
        <f>IF(R$4=Deposits!$L$16,Deposits!$O$16,0)</f>
        <v>0</v>
      </c>
      <c r="S37" s="85">
        <f>IF(S$4=Deposits!$L$16,Deposits!$O$16,0)</f>
        <v>0</v>
      </c>
      <c r="T37" s="85">
        <f>IF(T$4=Deposits!$L$16,Deposits!$O$16,0)</f>
        <v>0</v>
      </c>
      <c r="U37" s="85">
        <f>IF(U$4=Deposits!$L$16,Deposits!$O$16,0)</f>
        <v>0</v>
      </c>
      <c r="V37" s="85">
        <f>IF(V$4=Deposits!$L$16,Deposits!$O$16,0)</f>
        <v>0</v>
      </c>
      <c r="W37" s="85">
        <f>IF(W$4=Deposits!$L$16,Deposits!$O$16,0)</f>
        <v>0</v>
      </c>
      <c r="X37" s="85">
        <f>IF(X$4=Deposits!$L$16,Deposits!$O$16,0)</f>
        <v>0</v>
      </c>
      <c r="Y37" s="85">
        <f>IF(Y$4=Deposits!$L$16,Deposits!$O$16,0)</f>
        <v>0</v>
      </c>
      <c r="Z37" s="85">
        <f>IF(Z$4=Deposits!$L$16,Deposits!$O$16,0)</f>
        <v>0</v>
      </c>
      <c r="AA37" s="85">
        <f>IF(AA$4=Deposits!$L$16,Deposits!$O$16,0)</f>
        <v>0</v>
      </c>
      <c r="AB37" s="85">
        <f>IF(AB$4=Deposits!$L$16,Deposits!$O$16,0)</f>
        <v>0</v>
      </c>
      <c r="AC37" s="85">
        <f>IF(AC$4=Deposits!$L$16,Deposits!$O$16,0)</f>
        <v>0</v>
      </c>
      <c r="AD37" s="85">
        <f>IF(AD$4=Deposits!$L$16,Deposits!$O$16,0)</f>
        <v>0</v>
      </c>
      <c r="AE37" s="85">
        <f>IF(AE$4=Deposits!$L$16,Deposits!$O$16,0)</f>
        <v>0</v>
      </c>
      <c r="AF37" s="85">
        <f>IF(AF$4=Deposits!$L$16,Deposits!$O$16,0)</f>
        <v>0</v>
      </c>
      <c r="AG37" s="85">
        <f>IF(AG$4=Deposits!$L$16,Deposits!$O$16,0)</f>
        <v>0</v>
      </c>
      <c r="AH37" s="85">
        <f>IF(AH$4=Deposits!$L$16,Deposits!$O$16,0)</f>
        <v>0</v>
      </c>
      <c r="AI37" s="85">
        <f>IF(AI$4=Deposits!$L$16,Deposits!$O$16,0)</f>
        <v>0</v>
      </c>
      <c r="AJ37" s="85">
        <f>IF(AJ$4=Deposits!$L$16,Deposits!$O$16,0)</f>
        <v>0</v>
      </c>
      <c r="AK37" s="85">
        <f>IF(AK$4=Deposits!$L$16,Deposits!$O$16,0)</f>
        <v>0</v>
      </c>
      <c r="AL37" s="85">
        <f>IF(AL$4=Deposits!$L$16,Deposits!$O$16,0)</f>
        <v>0</v>
      </c>
      <c r="AM37" s="85">
        <f>IF(AM$4=Deposits!$L$16,Deposits!$O$16,0)</f>
        <v>0</v>
      </c>
      <c r="AN37" s="85">
        <f>IF(AN$4=Deposits!$L$16,Deposits!$O$16,0)</f>
        <v>0</v>
      </c>
      <c r="AO37" s="85">
        <f>IF(AO$4=Deposits!$L$16,Deposits!$O$16,0)</f>
        <v>0</v>
      </c>
      <c r="AP37" s="85">
        <f>IF(AP$4=Deposits!$L$16,Deposits!$O$16,0)</f>
        <v>0</v>
      </c>
      <c r="AQ37" s="85">
        <f>IF(AQ$4=Deposits!$L$16,Deposits!$O$16,0)</f>
        <v>0</v>
      </c>
      <c r="AR37" s="85">
        <f>IF(AR$4=Deposits!$L$16,Deposits!$O$16,0)</f>
        <v>0</v>
      </c>
      <c r="AS37" s="85">
        <f>IF(AS$4=Deposits!$L$16,Deposits!$O$16,0)</f>
        <v>0</v>
      </c>
      <c r="AT37" s="85">
        <f>IF(AT$4=Deposits!$L$16,Deposits!$O$16,0)</f>
        <v>0</v>
      </c>
      <c r="AU37" s="85">
        <f>IF(AU$4=Deposits!$L$16,Deposits!$O$16,0)</f>
        <v>0</v>
      </c>
      <c r="AV37" s="85">
        <f>IF(AV$4=Deposits!$L$16,Deposits!$O$16,0)</f>
        <v>0</v>
      </c>
      <c r="AW37" s="85">
        <f>IF(AW$4=Deposits!$L$16,Deposits!$O$16,0)</f>
        <v>0</v>
      </c>
      <c r="AX37" s="85">
        <f>IF(AX$4=Deposits!$L$16,Deposits!$O$16,0)</f>
        <v>0</v>
      </c>
      <c r="AY37" s="85">
        <f>IF(AY$4=Deposits!$L$16,Deposits!$O$16,0)</f>
        <v>0</v>
      </c>
      <c r="AZ37" s="85">
        <f>IF(AZ$4=Deposits!$L$16,Deposits!$O$16,0)</f>
        <v>0</v>
      </c>
      <c r="BA37" s="85">
        <f>IF(BA$4=Deposits!$L$16,Deposits!$O$16,0)</f>
        <v>0</v>
      </c>
      <c r="BB37" s="85">
        <f>IF(BB$4=Deposits!$L$16,Deposits!$O$16,0)</f>
        <v>0</v>
      </c>
      <c r="BC37" s="85">
        <f>IF(BC$4=Deposits!$L$16,Deposits!$O$16,0)</f>
        <v>0</v>
      </c>
      <c r="BD37" s="85">
        <f>IF(BD$4=Deposits!$L$16,Deposits!$O$16,0)</f>
        <v>0</v>
      </c>
      <c r="BE37" s="85">
        <f>IF(BE$4=Deposits!$L$16,Deposits!$O$16,0)</f>
        <v>0</v>
      </c>
      <c r="BF37" s="85">
        <f>IF(BF$4=Deposits!$L$16,Deposits!$O$16,0)</f>
        <v>0</v>
      </c>
      <c r="BG37" s="85">
        <f>IF(BG$4=Deposits!$L$16,Deposits!$O$16,0)</f>
        <v>0</v>
      </c>
      <c r="BH37" s="85">
        <f>IF(BH$4=Deposits!$L$16,Deposits!$O$16,0)</f>
        <v>0</v>
      </c>
      <c r="BI37" s="85">
        <f>IF(BI$4=Deposits!$L$16,Deposits!$O$16,0)</f>
        <v>0</v>
      </c>
      <c r="BJ37" s="85">
        <f>IF(BJ$4=Deposits!$L$16,Deposits!$O$16,0)</f>
        <v>0</v>
      </c>
      <c r="BK37" s="85">
        <f>IF(BK$4=Deposits!$L$16,Deposits!$O$16,0)</f>
        <v>0</v>
      </c>
      <c r="BL37" s="85">
        <f>IF(BL$4=Deposits!$L$16,Deposits!$O$16,0)</f>
        <v>0</v>
      </c>
      <c r="BM37" s="85">
        <f>IF(BM$4=Deposits!$L$16,Deposits!$O$16,0)</f>
        <v>0</v>
      </c>
      <c r="BN37" s="85">
        <f>IF(BN$4=Deposits!$L$16,Deposits!$O$16,0)</f>
        <v>0</v>
      </c>
      <c r="BO37" s="85">
        <f>IF(BO$4=Deposits!$L$16,Deposits!$O$16,0)</f>
        <v>0</v>
      </c>
      <c r="BP37" s="85">
        <f>IF(BP$4=Deposits!$L$16,Deposits!$O$16,0)</f>
        <v>0</v>
      </c>
    </row>
    <row r="38" spans="3:68" x14ac:dyDescent="0.25">
      <c r="C38" s="103" t="str">
        <f>Deposits!C17</f>
        <v>Kiegészítő biztosíték 4. részlet</v>
      </c>
      <c r="D38" t="s">
        <v>844</v>
      </c>
      <c r="E38" s="20"/>
      <c r="F38" s="20"/>
      <c r="G38" s="20">
        <f t="shared" si="17"/>
        <v>0</v>
      </c>
      <c r="H38" s="85">
        <f>IF(H$4=Deposits!$L$17,Deposits!$O$17,0)</f>
        <v>0</v>
      </c>
      <c r="I38" s="85">
        <f>IF(I$4=Deposits!$L$17,Deposits!$O$17,0)</f>
        <v>0</v>
      </c>
      <c r="J38" s="85">
        <f>IF(J$4=Deposits!$L$17,Deposits!$O$17,0)</f>
        <v>0</v>
      </c>
      <c r="K38" s="85">
        <f>IF(K$4=Deposits!$L$17,Deposits!$O$17,0)</f>
        <v>0</v>
      </c>
      <c r="L38" s="85">
        <f>IF(L$4=Deposits!$L$17,Deposits!$O$17,0)</f>
        <v>0</v>
      </c>
      <c r="M38" s="85">
        <f>IF(M$4=Deposits!$L$17,Deposits!$O$17,0)</f>
        <v>0</v>
      </c>
      <c r="N38" s="85">
        <f>IF(N$4=Deposits!$L$17,Deposits!$O$17,0)</f>
        <v>0</v>
      </c>
      <c r="O38" s="85">
        <f>IF(O$4=Deposits!$L$17,Deposits!$O$17,0)</f>
        <v>0</v>
      </c>
      <c r="P38" s="85">
        <f>IF(P$4=Deposits!$L$17,Deposits!$O$17,0)</f>
        <v>0</v>
      </c>
      <c r="Q38" s="85">
        <f>IF(Q$4=Deposits!$L$17,Deposits!$O$17,0)</f>
        <v>0</v>
      </c>
      <c r="R38" s="85">
        <f>IF(R$4=Deposits!$L$17,Deposits!$O$17,0)</f>
        <v>0</v>
      </c>
      <c r="S38" s="85">
        <f>IF(S$4=Deposits!$L$17,Deposits!$O$17,0)</f>
        <v>0</v>
      </c>
      <c r="T38" s="85">
        <f>IF(T$4=Deposits!$L$17,Deposits!$O$17,0)</f>
        <v>0</v>
      </c>
      <c r="U38" s="85">
        <f>IF(U$4=Deposits!$L$17,Deposits!$O$17,0)</f>
        <v>0</v>
      </c>
      <c r="V38" s="85">
        <f>IF(V$4=Deposits!$L$17,Deposits!$O$17,0)</f>
        <v>0</v>
      </c>
      <c r="W38" s="85">
        <f>IF(W$4=Deposits!$L$17,Deposits!$O$17,0)</f>
        <v>0</v>
      </c>
      <c r="X38" s="85">
        <f>IF(X$4=Deposits!$L$17,Deposits!$O$17,0)</f>
        <v>0</v>
      </c>
      <c r="Y38" s="85">
        <f>IF(Y$4=Deposits!$L$17,Deposits!$O$17,0)</f>
        <v>0</v>
      </c>
      <c r="Z38" s="85">
        <f>IF(Z$4=Deposits!$L$17,Deposits!$O$17,0)</f>
        <v>0</v>
      </c>
      <c r="AA38" s="85">
        <f>IF(AA$4=Deposits!$L$17,Deposits!$O$17,0)</f>
        <v>0</v>
      </c>
      <c r="AB38" s="85">
        <f>IF(AB$4=Deposits!$L$17,Deposits!$O$17,0)</f>
        <v>0</v>
      </c>
      <c r="AC38" s="85">
        <f>IF(AC$4=Deposits!$L$17,Deposits!$O$17,0)</f>
        <v>0</v>
      </c>
      <c r="AD38" s="85">
        <f>IF(AD$4=Deposits!$L$17,Deposits!$O$17,0)</f>
        <v>0</v>
      </c>
      <c r="AE38" s="85">
        <f>IF(AE$4=Deposits!$L$17,Deposits!$O$17,0)</f>
        <v>0</v>
      </c>
      <c r="AF38" s="85">
        <f>IF(AF$4=Deposits!$L$17,Deposits!$O$17,0)</f>
        <v>0</v>
      </c>
      <c r="AG38" s="85">
        <f>IF(AG$4=Deposits!$L$17,Deposits!$O$17,0)</f>
        <v>0</v>
      </c>
      <c r="AH38" s="85">
        <f>IF(AH$4=Deposits!$L$17,Deposits!$O$17,0)</f>
        <v>0</v>
      </c>
      <c r="AI38" s="85">
        <f>IF(AI$4=Deposits!$L$17,Deposits!$O$17,0)</f>
        <v>0</v>
      </c>
      <c r="AJ38" s="85">
        <f>IF(AJ$4=Deposits!$L$17,Deposits!$O$17,0)</f>
        <v>0</v>
      </c>
      <c r="AK38" s="85">
        <f>IF(AK$4=Deposits!$L$17,Deposits!$O$17,0)</f>
        <v>0</v>
      </c>
      <c r="AL38" s="85">
        <f>IF(AL$4=Deposits!$L$17,Deposits!$O$17,0)</f>
        <v>0</v>
      </c>
      <c r="AM38" s="85">
        <f>IF(AM$4=Deposits!$L$17,Deposits!$O$17,0)</f>
        <v>0</v>
      </c>
      <c r="AN38" s="85">
        <f>IF(AN$4=Deposits!$L$17,Deposits!$O$17,0)</f>
        <v>0</v>
      </c>
      <c r="AO38" s="85">
        <f>IF(AO$4=Deposits!$L$17,Deposits!$O$17,0)</f>
        <v>0</v>
      </c>
      <c r="AP38" s="85">
        <f>IF(AP$4=Deposits!$L$17,Deposits!$O$17,0)</f>
        <v>0</v>
      </c>
      <c r="AQ38" s="85">
        <f>IF(AQ$4=Deposits!$L$17,Deposits!$O$17,0)</f>
        <v>0</v>
      </c>
      <c r="AR38" s="85">
        <f>IF(AR$4=Deposits!$L$17,Deposits!$O$17,0)</f>
        <v>0</v>
      </c>
      <c r="AS38" s="85">
        <f>IF(AS$4=Deposits!$L$17,Deposits!$O$17,0)</f>
        <v>0</v>
      </c>
      <c r="AT38" s="85">
        <f>IF(AT$4=Deposits!$L$17,Deposits!$O$17,0)</f>
        <v>0</v>
      </c>
      <c r="AU38" s="85">
        <f>IF(AU$4=Deposits!$L$17,Deposits!$O$17,0)</f>
        <v>0</v>
      </c>
      <c r="AV38" s="85">
        <f>IF(AV$4=Deposits!$L$17,Deposits!$O$17,0)</f>
        <v>0</v>
      </c>
      <c r="AW38" s="85">
        <f>IF(AW$4=Deposits!$L$17,Deposits!$O$17,0)</f>
        <v>0</v>
      </c>
      <c r="AX38" s="85">
        <f>IF(AX$4=Deposits!$L$17,Deposits!$O$17,0)</f>
        <v>0</v>
      </c>
      <c r="AY38" s="85">
        <f>IF(AY$4=Deposits!$L$17,Deposits!$O$17,0)</f>
        <v>0</v>
      </c>
      <c r="AZ38" s="85">
        <f>IF(AZ$4=Deposits!$L$17,Deposits!$O$17,0)</f>
        <v>0</v>
      </c>
      <c r="BA38" s="85">
        <f>IF(BA$4=Deposits!$L$17,Deposits!$O$17,0)</f>
        <v>0</v>
      </c>
      <c r="BB38" s="85">
        <f>IF(BB$4=Deposits!$L$17,Deposits!$O$17,0)</f>
        <v>0</v>
      </c>
      <c r="BC38" s="85">
        <f>IF(BC$4=Deposits!$L$17,Deposits!$O$17,0)</f>
        <v>0</v>
      </c>
      <c r="BD38" s="85">
        <f>IF(BD$4=Deposits!$L$17,Deposits!$O$17,0)</f>
        <v>0</v>
      </c>
      <c r="BE38" s="85">
        <f>IF(BE$4=Deposits!$L$17,Deposits!$O$17,0)</f>
        <v>0</v>
      </c>
      <c r="BF38" s="85">
        <f>IF(BF$4=Deposits!$L$17,Deposits!$O$17,0)</f>
        <v>0</v>
      </c>
      <c r="BG38" s="85">
        <f>IF(BG$4=Deposits!$L$17,Deposits!$O$17,0)</f>
        <v>0</v>
      </c>
      <c r="BH38" s="85">
        <f>IF(BH$4=Deposits!$L$17,Deposits!$O$17,0)</f>
        <v>0</v>
      </c>
      <c r="BI38" s="85">
        <f>IF(BI$4=Deposits!$L$17,Deposits!$O$17,0)</f>
        <v>0</v>
      </c>
      <c r="BJ38" s="85">
        <f>IF(BJ$4=Deposits!$L$17,Deposits!$O$17,0)</f>
        <v>0</v>
      </c>
      <c r="BK38" s="85">
        <f>IF(BK$4=Deposits!$L$17,Deposits!$O$17,0)</f>
        <v>0</v>
      </c>
      <c r="BL38" s="85">
        <f>IF(BL$4=Deposits!$L$17,Deposits!$O$17,0)</f>
        <v>0</v>
      </c>
      <c r="BM38" s="85">
        <f>IF(BM$4=Deposits!$L$17,Deposits!$O$17,0)</f>
        <v>0</v>
      </c>
      <c r="BN38" s="85">
        <f>IF(BN$4=Deposits!$L$17,Deposits!$O$17,0)</f>
        <v>0</v>
      </c>
      <c r="BO38" s="85">
        <f>IF(BO$4=Deposits!$L$17,Deposits!$O$17,0)</f>
        <v>0</v>
      </c>
      <c r="BP38" s="85">
        <f>IF(BP$4=Deposits!$L$17,Deposits!$O$17,0)</f>
        <v>0</v>
      </c>
    </row>
    <row r="39" spans="3:68" x14ac:dyDescent="0.25">
      <c r="C39" s="103" t="str">
        <f>Deposits!C18</f>
        <v>Csatlakozási díj – becsült összeg</v>
      </c>
      <c r="D39" t="s">
        <v>844</v>
      </c>
      <c r="E39" s="20"/>
      <c r="F39" s="20"/>
      <c r="G39" s="20">
        <f t="shared" si="17"/>
        <v>37573.31835616439</v>
      </c>
      <c r="H39" s="85">
        <f>IF(H$4=Deposits!$L$18,Deposits!$O$18,0)</f>
        <v>0</v>
      </c>
      <c r="I39" s="85">
        <f>IF(I$4=Deposits!$L$18,Deposits!$O$18,0)</f>
        <v>0</v>
      </c>
      <c r="J39" s="85">
        <f>IF(J$4=Deposits!$L$18,Deposits!$O$18,0)</f>
        <v>0</v>
      </c>
      <c r="K39" s="85">
        <f>IF(K$4=Deposits!$L$18,Deposits!$O$18,0)</f>
        <v>0</v>
      </c>
      <c r="L39" s="85">
        <f>IF(L$4=Deposits!$L$18,Deposits!$O$18,0)</f>
        <v>0</v>
      </c>
      <c r="M39" s="85">
        <f>IF(M$4=Deposits!$L$18,Deposits!$O$18,0)</f>
        <v>0</v>
      </c>
      <c r="N39" s="85">
        <f>IF(N$4=Deposits!$L$18,Deposits!$O$18,0)</f>
        <v>0</v>
      </c>
      <c r="O39" s="85">
        <f>IF(O$4=Deposits!$L$18,Deposits!$O$18,0)</f>
        <v>0</v>
      </c>
      <c r="P39" s="85">
        <f>IF(P$4=Deposits!$L$18,Deposits!$O$18,0)</f>
        <v>0</v>
      </c>
      <c r="Q39" s="85">
        <f>IF(Q$4=Deposits!$L$18,Deposits!$O$18,0)</f>
        <v>0</v>
      </c>
      <c r="R39" s="85">
        <f>IF(R$4=Deposits!$L$18,Deposits!$O$18,0)</f>
        <v>0</v>
      </c>
      <c r="S39" s="85">
        <f>IF(S$4=Deposits!$L$18,Deposits!$O$18,0)</f>
        <v>0</v>
      </c>
      <c r="T39" s="85">
        <f>IF(T$4=Deposits!$L$18,Deposits!$O$18,0)</f>
        <v>0</v>
      </c>
      <c r="U39" s="85">
        <f>IF(U$4=Deposits!$L$18,Deposits!$O$18,0)</f>
        <v>0</v>
      </c>
      <c r="V39" s="85">
        <f>IF(V$4=Deposits!$L$18,Deposits!$O$18,0)</f>
        <v>0</v>
      </c>
      <c r="W39" s="85">
        <f>IF(W$4=Deposits!$L$18,Deposits!$O$18,0)</f>
        <v>0</v>
      </c>
      <c r="X39" s="85">
        <f>IF(X$4=Deposits!$L$18,Deposits!$O$18,0)</f>
        <v>0</v>
      </c>
      <c r="Y39" s="85">
        <f>IF(Y$4=Deposits!$L$18,Deposits!$O$18,0)</f>
        <v>0</v>
      </c>
      <c r="Z39" s="85">
        <f>IF(Z$4=Deposits!$L$18,Deposits!$O$18,0)</f>
        <v>0</v>
      </c>
      <c r="AA39" s="85">
        <f>IF(AA$4=Deposits!$L$18,Deposits!$O$18,0)</f>
        <v>0</v>
      </c>
      <c r="AB39" s="85">
        <f>IF(AB$4=Deposits!$L$18,Deposits!$O$18,0)</f>
        <v>0</v>
      </c>
      <c r="AC39" s="85">
        <f>IF(AC$4=Deposits!$L$18,Deposits!$O$18,0)</f>
        <v>0</v>
      </c>
      <c r="AD39" s="85">
        <f>IF(AD$4=Deposits!$L$18,Deposits!$O$18,0)</f>
        <v>0</v>
      </c>
      <c r="AE39" s="85">
        <f>IF(AE$4=Deposits!$L$18,Deposits!$O$18,0)</f>
        <v>0</v>
      </c>
      <c r="AF39" s="85">
        <f>IF(AF$4=Deposits!$L$18,Deposits!$O$18,0)</f>
        <v>0</v>
      </c>
      <c r="AG39" s="85">
        <f>IF(AG$4=Deposits!$L$18,Deposits!$O$18,0)</f>
        <v>0</v>
      </c>
      <c r="AH39" s="85">
        <f>IF(AH$4=Deposits!$L$18,Deposits!$O$18,0)</f>
        <v>0</v>
      </c>
      <c r="AI39" s="85">
        <f>IF(AI$4=Deposits!$L$18,Deposits!$O$18,0)</f>
        <v>0</v>
      </c>
      <c r="AJ39" s="85">
        <f>IF(AJ$4=Deposits!$L$18,Deposits!$O$18,0)</f>
        <v>0</v>
      </c>
      <c r="AK39" s="85">
        <f>IF(AK$4=Deposits!$L$18,Deposits!$O$18,0)</f>
        <v>0</v>
      </c>
      <c r="AL39" s="85">
        <f>IF(AL$4=Deposits!$L$18,Deposits!$O$18,0)</f>
        <v>37573.31835616439</v>
      </c>
      <c r="AM39" s="85">
        <f>IF(AM$4=Deposits!$L$18,Deposits!$O$18,0)</f>
        <v>0</v>
      </c>
      <c r="AN39" s="85">
        <f>IF(AN$4=Deposits!$L$18,Deposits!$O$18,0)</f>
        <v>0</v>
      </c>
      <c r="AO39" s="85">
        <f>IF(AO$4=Deposits!$L$18,Deposits!$O$18,0)</f>
        <v>0</v>
      </c>
      <c r="AP39" s="85">
        <f>IF(AP$4=Deposits!$L$18,Deposits!$O$18,0)</f>
        <v>0</v>
      </c>
      <c r="AQ39" s="85">
        <f>IF(AQ$4=Deposits!$L$18,Deposits!$O$18,0)</f>
        <v>0</v>
      </c>
      <c r="AR39" s="85">
        <f>IF(AR$4=Deposits!$L$18,Deposits!$O$18,0)</f>
        <v>0</v>
      </c>
      <c r="AS39" s="85">
        <f>IF(AS$4=Deposits!$L$18,Deposits!$O$18,0)</f>
        <v>0</v>
      </c>
      <c r="AT39" s="85">
        <f>IF(AT$4=Deposits!$L$18,Deposits!$O$18,0)</f>
        <v>0</v>
      </c>
      <c r="AU39" s="85">
        <f>IF(AU$4=Deposits!$L$18,Deposits!$O$18,0)</f>
        <v>0</v>
      </c>
      <c r="AV39" s="85">
        <f>IF(AV$4=Deposits!$L$18,Deposits!$O$18,0)</f>
        <v>0</v>
      </c>
      <c r="AW39" s="85">
        <f>IF(AW$4=Deposits!$L$18,Deposits!$O$18,0)</f>
        <v>0</v>
      </c>
      <c r="AX39" s="85">
        <f>IF(AX$4=Deposits!$L$18,Deposits!$O$18,0)</f>
        <v>0</v>
      </c>
      <c r="AY39" s="85">
        <f>IF(AY$4=Deposits!$L$18,Deposits!$O$18,0)</f>
        <v>0</v>
      </c>
      <c r="AZ39" s="85">
        <f>IF(AZ$4=Deposits!$L$18,Deposits!$O$18,0)</f>
        <v>0</v>
      </c>
      <c r="BA39" s="85">
        <f>IF(BA$4=Deposits!$L$18,Deposits!$O$18,0)</f>
        <v>0</v>
      </c>
      <c r="BB39" s="85">
        <f>IF(BB$4=Deposits!$L$18,Deposits!$O$18,0)</f>
        <v>0</v>
      </c>
      <c r="BC39" s="85">
        <f>IF(BC$4=Deposits!$L$18,Deposits!$O$18,0)</f>
        <v>0</v>
      </c>
      <c r="BD39" s="85">
        <f>IF(BD$4=Deposits!$L$18,Deposits!$O$18,0)</f>
        <v>0</v>
      </c>
      <c r="BE39" s="85">
        <f>IF(BE$4=Deposits!$L$18,Deposits!$O$18,0)</f>
        <v>0</v>
      </c>
      <c r="BF39" s="85">
        <f>IF(BF$4=Deposits!$L$18,Deposits!$O$18,0)</f>
        <v>0</v>
      </c>
      <c r="BG39" s="85">
        <f>IF(BG$4=Deposits!$L$18,Deposits!$O$18,0)</f>
        <v>0</v>
      </c>
      <c r="BH39" s="85">
        <f>IF(BH$4=Deposits!$L$18,Deposits!$O$18,0)</f>
        <v>0</v>
      </c>
      <c r="BI39" s="85">
        <f>IF(BI$4=Deposits!$L$18,Deposits!$O$18,0)</f>
        <v>0</v>
      </c>
      <c r="BJ39" s="85">
        <f>IF(BJ$4=Deposits!$L$18,Deposits!$O$18,0)</f>
        <v>0</v>
      </c>
      <c r="BK39" s="85">
        <f>IF(BK$4=Deposits!$L$18,Deposits!$O$18,0)</f>
        <v>0</v>
      </c>
      <c r="BL39" s="85">
        <f>IF(BL$4=Deposits!$L$18,Deposits!$O$18,0)</f>
        <v>0</v>
      </c>
      <c r="BM39" s="85">
        <f>IF(BM$4=Deposits!$L$18,Deposits!$O$18,0)</f>
        <v>0</v>
      </c>
      <c r="BN39" s="85">
        <f>IF(BN$4=Deposits!$L$18,Deposits!$O$18,0)</f>
        <v>0</v>
      </c>
      <c r="BO39" s="85">
        <f>IF(BO$4=Deposits!$L$18,Deposits!$O$18,0)</f>
        <v>0</v>
      </c>
      <c r="BP39" s="85">
        <f>IF(BP$4=Deposits!$L$18,Deposits!$O$18,0)</f>
        <v>0</v>
      </c>
    </row>
    <row r="40" spans="3:68" x14ac:dyDescent="0.25">
      <c r="C40" s="6" t="s">
        <v>674</v>
      </c>
      <c r="D40" s="6" t="s">
        <v>844</v>
      </c>
      <c r="E40" s="95"/>
      <c r="F40" s="95"/>
      <c r="G40" s="95">
        <f t="shared" si="17"/>
        <v>59732.416449315075</v>
      </c>
      <c r="H40" s="95">
        <f t="shared" ref="H40:AM40" si="18">SUM(H28:H39)</f>
        <v>0</v>
      </c>
      <c r="I40" s="95">
        <f t="shared" si="18"/>
        <v>0</v>
      </c>
      <c r="J40" s="95">
        <f t="shared" si="18"/>
        <v>0</v>
      </c>
      <c r="K40" s="95">
        <f t="shared" si="18"/>
        <v>2454.3287671232874</v>
      </c>
      <c r="L40" s="95">
        <f t="shared" si="18"/>
        <v>0</v>
      </c>
      <c r="M40" s="95">
        <f t="shared" si="18"/>
        <v>18312.041095890414</v>
      </c>
      <c r="N40" s="95">
        <f t="shared" si="18"/>
        <v>0</v>
      </c>
      <c r="O40" s="95">
        <f t="shared" si="18"/>
        <v>0</v>
      </c>
      <c r="P40" s="95">
        <f t="shared" si="18"/>
        <v>0</v>
      </c>
      <c r="Q40" s="95">
        <f t="shared" si="18"/>
        <v>0</v>
      </c>
      <c r="R40" s="95">
        <f t="shared" si="18"/>
        <v>0</v>
      </c>
      <c r="S40" s="95">
        <f t="shared" si="18"/>
        <v>0</v>
      </c>
      <c r="T40" s="95">
        <f t="shared" si="18"/>
        <v>0</v>
      </c>
      <c r="U40" s="95">
        <f t="shared" si="18"/>
        <v>0</v>
      </c>
      <c r="V40" s="95">
        <f t="shared" si="18"/>
        <v>0</v>
      </c>
      <c r="W40" s="95">
        <f t="shared" si="18"/>
        <v>0</v>
      </c>
      <c r="X40" s="95">
        <f t="shared" si="18"/>
        <v>0</v>
      </c>
      <c r="Y40" s="95">
        <f t="shared" si="18"/>
        <v>0</v>
      </c>
      <c r="Z40" s="95">
        <f t="shared" si="18"/>
        <v>0</v>
      </c>
      <c r="AA40" s="95">
        <f t="shared" si="18"/>
        <v>0</v>
      </c>
      <c r="AB40" s="95">
        <f t="shared" si="18"/>
        <v>0</v>
      </c>
      <c r="AC40" s="95">
        <f t="shared" si="18"/>
        <v>0</v>
      </c>
      <c r="AD40" s="95">
        <f t="shared" si="18"/>
        <v>0</v>
      </c>
      <c r="AE40" s="95">
        <f t="shared" si="18"/>
        <v>0</v>
      </c>
      <c r="AF40" s="95">
        <f t="shared" si="18"/>
        <v>0</v>
      </c>
      <c r="AG40" s="95">
        <f t="shared" si="18"/>
        <v>0</v>
      </c>
      <c r="AH40" s="95">
        <f t="shared" si="18"/>
        <v>0</v>
      </c>
      <c r="AI40" s="95">
        <f t="shared" si="18"/>
        <v>0</v>
      </c>
      <c r="AJ40" s="95">
        <f t="shared" si="18"/>
        <v>0</v>
      </c>
      <c r="AK40" s="95">
        <f t="shared" si="18"/>
        <v>0</v>
      </c>
      <c r="AL40" s="95">
        <f t="shared" si="18"/>
        <v>38966.046586301374</v>
      </c>
      <c r="AM40" s="95">
        <f t="shared" si="18"/>
        <v>0</v>
      </c>
      <c r="AN40" s="95">
        <f t="shared" ref="AN40:BP40" si="19">SUM(AN28:AN39)</f>
        <v>0</v>
      </c>
      <c r="AO40" s="95">
        <f t="shared" si="19"/>
        <v>0</v>
      </c>
      <c r="AP40" s="95">
        <f t="shared" si="19"/>
        <v>0</v>
      </c>
      <c r="AQ40" s="95">
        <f t="shared" si="19"/>
        <v>0</v>
      </c>
      <c r="AR40" s="95">
        <f t="shared" si="19"/>
        <v>0</v>
      </c>
      <c r="AS40" s="95">
        <f t="shared" si="19"/>
        <v>0</v>
      </c>
      <c r="AT40" s="95">
        <f t="shared" si="19"/>
        <v>0</v>
      </c>
      <c r="AU40" s="95">
        <f t="shared" si="19"/>
        <v>0</v>
      </c>
      <c r="AV40" s="95">
        <f t="shared" si="19"/>
        <v>0</v>
      </c>
      <c r="AW40" s="95">
        <f t="shared" si="19"/>
        <v>0</v>
      </c>
      <c r="AX40" s="95">
        <f t="shared" si="19"/>
        <v>0</v>
      </c>
      <c r="AY40" s="95">
        <f t="shared" si="19"/>
        <v>0</v>
      </c>
      <c r="AZ40" s="95">
        <f t="shared" si="19"/>
        <v>0</v>
      </c>
      <c r="BA40" s="95">
        <f t="shared" si="19"/>
        <v>0</v>
      </c>
      <c r="BB40" s="95">
        <f t="shared" si="19"/>
        <v>0</v>
      </c>
      <c r="BC40" s="95">
        <f t="shared" si="19"/>
        <v>0</v>
      </c>
      <c r="BD40" s="95">
        <f t="shared" si="19"/>
        <v>0</v>
      </c>
      <c r="BE40" s="95">
        <f t="shared" si="19"/>
        <v>0</v>
      </c>
      <c r="BF40" s="95">
        <f t="shared" si="19"/>
        <v>0</v>
      </c>
      <c r="BG40" s="95">
        <f t="shared" si="19"/>
        <v>0</v>
      </c>
      <c r="BH40" s="95">
        <f t="shared" si="19"/>
        <v>0</v>
      </c>
      <c r="BI40" s="95">
        <f t="shared" si="19"/>
        <v>0</v>
      </c>
      <c r="BJ40" s="95">
        <f t="shared" si="19"/>
        <v>0</v>
      </c>
      <c r="BK40" s="95">
        <f t="shared" si="19"/>
        <v>0</v>
      </c>
      <c r="BL40" s="95">
        <f t="shared" si="19"/>
        <v>0</v>
      </c>
      <c r="BM40" s="95">
        <f t="shared" si="19"/>
        <v>0</v>
      </c>
      <c r="BN40" s="95">
        <f t="shared" si="19"/>
        <v>0</v>
      </c>
      <c r="BO40" s="95">
        <f t="shared" si="19"/>
        <v>0</v>
      </c>
      <c r="BP40" s="95">
        <f t="shared" si="19"/>
        <v>0</v>
      </c>
    </row>
    <row r="41" spans="3:68" x14ac:dyDescent="0.25">
      <c r="C41" t="s">
        <v>41</v>
      </c>
      <c r="D41" t="s">
        <v>844</v>
      </c>
      <c r="E41" s="20"/>
      <c r="F41" s="20"/>
      <c r="G41" s="20"/>
      <c r="H41" s="20">
        <f>H40</f>
        <v>0</v>
      </c>
      <c r="I41" s="20">
        <f t="shared" ref="I41:AN41" si="20">H41+I40</f>
        <v>0</v>
      </c>
      <c r="J41" s="20">
        <f t="shared" si="20"/>
        <v>0</v>
      </c>
      <c r="K41" s="20">
        <f t="shared" si="20"/>
        <v>2454.3287671232874</v>
      </c>
      <c r="L41" s="20">
        <f t="shared" si="20"/>
        <v>2454.3287671232874</v>
      </c>
      <c r="M41" s="20">
        <f t="shared" si="20"/>
        <v>20766.3698630137</v>
      </c>
      <c r="N41" s="20">
        <f t="shared" si="20"/>
        <v>20766.3698630137</v>
      </c>
      <c r="O41" s="20">
        <f t="shared" si="20"/>
        <v>20766.3698630137</v>
      </c>
      <c r="P41" s="20">
        <f t="shared" si="20"/>
        <v>20766.3698630137</v>
      </c>
      <c r="Q41" s="20">
        <f t="shared" si="20"/>
        <v>20766.3698630137</v>
      </c>
      <c r="R41" s="20">
        <f t="shared" si="20"/>
        <v>20766.3698630137</v>
      </c>
      <c r="S41" s="20">
        <f t="shared" si="20"/>
        <v>20766.3698630137</v>
      </c>
      <c r="T41" s="20">
        <f t="shared" si="20"/>
        <v>20766.3698630137</v>
      </c>
      <c r="U41" s="20">
        <f t="shared" si="20"/>
        <v>20766.3698630137</v>
      </c>
      <c r="V41" s="20">
        <f t="shared" si="20"/>
        <v>20766.3698630137</v>
      </c>
      <c r="W41" s="20">
        <f t="shared" si="20"/>
        <v>20766.3698630137</v>
      </c>
      <c r="X41" s="20">
        <f t="shared" si="20"/>
        <v>20766.3698630137</v>
      </c>
      <c r="Y41" s="20">
        <f t="shared" si="20"/>
        <v>20766.3698630137</v>
      </c>
      <c r="Z41" s="20">
        <f t="shared" si="20"/>
        <v>20766.3698630137</v>
      </c>
      <c r="AA41" s="20">
        <f t="shared" si="20"/>
        <v>20766.3698630137</v>
      </c>
      <c r="AB41" s="20">
        <f t="shared" si="20"/>
        <v>20766.3698630137</v>
      </c>
      <c r="AC41" s="20">
        <f t="shared" si="20"/>
        <v>20766.3698630137</v>
      </c>
      <c r="AD41" s="20">
        <f t="shared" si="20"/>
        <v>20766.3698630137</v>
      </c>
      <c r="AE41" s="20">
        <f t="shared" si="20"/>
        <v>20766.3698630137</v>
      </c>
      <c r="AF41" s="20">
        <f t="shared" si="20"/>
        <v>20766.3698630137</v>
      </c>
      <c r="AG41" s="20">
        <f t="shared" si="20"/>
        <v>20766.3698630137</v>
      </c>
      <c r="AH41" s="20">
        <f t="shared" si="20"/>
        <v>20766.3698630137</v>
      </c>
      <c r="AI41" s="20">
        <f t="shared" si="20"/>
        <v>20766.3698630137</v>
      </c>
      <c r="AJ41" s="20">
        <f t="shared" si="20"/>
        <v>20766.3698630137</v>
      </c>
      <c r="AK41" s="20">
        <f t="shared" si="20"/>
        <v>20766.3698630137</v>
      </c>
      <c r="AL41" s="20">
        <f t="shared" si="20"/>
        <v>59732.416449315075</v>
      </c>
      <c r="AM41" s="20">
        <f t="shared" si="20"/>
        <v>59732.416449315075</v>
      </c>
      <c r="AN41" s="20">
        <f t="shared" si="20"/>
        <v>59732.416449315075</v>
      </c>
      <c r="AO41" s="20">
        <f t="shared" ref="AO41:BP41" si="21">AN41+AO40</f>
        <v>59732.416449315075</v>
      </c>
      <c r="AP41" s="20">
        <f t="shared" si="21"/>
        <v>59732.416449315075</v>
      </c>
      <c r="AQ41" s="20">
        <f t="shared" si="21"/>
        <v>59732.416449315075</v>
      </c>
      <c r="AR41" s="20">
        <f t="shared" si="21"/>
        <v>59732.416449315075</v>
      </c>
      <c r="AS41" s="20">
        <f t="shared" si="21"/>
        <v>59732.416449315075</v>
      </c>
      <c r="AT41" s="20">
        <f t="shared" si="21"/>
        <v>59732.416449315075</v>
      </c>
      <c r="AU41" s="20">
        <f t="shared" si="21"/>
        <v>59732.416449315075</v>
      </c>
      <c r="AV41" s="20">
        <f t="shared" si="21"/>
        <v>59732.416449315075</v>
      </c>
      <c r="AW41" s="20">
        <f t="shared" si="21"/>
        <v>59732.416449315075</v>
      </c>
      <c r="AX41" s="20">
        <f t="shared" si="21"/>
        <v>59732.416449315075</v>
      </c>
      <c r="AY41" s="20">
        <f t="shared" si="21"/>
        <v>59732.416449315075</v>
      </c>
      <c r="AZ41" s="20">
        <f t="shared" si="21"/>
        <v>59732.416449315075</v>
      </c>
      <c r="BA41" s="20">
        <f t="shared" si="21"/>
        <v>59732.416449315075</v>
      </c>
      <c r="BB41" s="20">
        <f t="shared" si="21"/>
        <v>59732.416449315075</v>
      </c>
      <c r="BC41" s="20">
        <f t="shared" si="21"/>
        <v>59732.416449315075</v>
      </c>
      <c r="BD41" s="20">
        <f t="shared" si="21"/>
        <v>59732.416449315075</v>
      </c>
      <c r="BE41" s="20">
        <f t="shared" si="21"/>
        <v>59732.416449315075</v>
      </c>
      <c r="BF41" s="20">
        <f t="shared" si="21"/>
        <v>59732.416449315075</v>
      </c>
      <c r="BG41" s="20">
        <f t="shared" si="21"/>
        <v>59732.416449315075</v>
      </c>
      <c r="BH41" s="20">
        <f t="shared" si="21"/>
        <v>59732.416449315075</v>
      </c>
      <c r="BI41" s="20">
        <f t="shared" si="21"/>
        <v>59732.416449315075</v>
      </c>
      <c r="BJ41" s="20">
        <f t="shared" si="21"/>
        <v>59732.416449315075</v>
      </c>
      <c r="BK41" s="20">
        <f t="shared" si="21"/>
        <v>59732.416449315075</v>
      </c>
      <c r="BL41" s="20">
        <f t="shared" si="21"/>
        <v>59732.416449315075</v>
      </c>
      <c r="BM41" s="20">
        <f t="shared" si="21"/>
        <v>59732.416449315075</v>
      </c>
      <c r="BN41" s="20">
        <f t="shared" si="21"/>
        <v>59732.416449315075</v>
      </c>
      <c r="BO41" s="20">
        <f t="shared" si="21"/>
        <v>59732.416449315075</v>
      </c>
      <c r="BP41" s="20">
        <f t="shared" si="21"/>
        <v>59732.416449315075</v>
      </c>
    </row>
    <row r="42" spans="3:68" x14ac:dyDescent="0.25">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row>
    <row r="43" spans="3:68" x14ac:dyDescent="0.25">
      <c r="C43" s="43" t="s">
        <v>675</v>
      </c>
      <c r="D43" s="43"/>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row>
    <row r="44" spans="3:68" x14ac:dyDescent="0.25">
      <c r="C44" s="74" t="str">
        <f t="shared" ref="C44:C55" si="22">C28</f>
        <v>Részvételi díj</v>
      </c>
      <c r="D44" t="s">
        <v>844</v>
      </c>
      <c r="E44" s="20"/>
      <c r="F44" s="20"/>
      <c r="G44" s="20">
        <f t="shared" ref="G44:G56" si="23">SUM(H44:BP44)</f>
        <v>16.438356164383563</v>
      </c>
      <c r="H44" s="20">
        <f>H28*Deposits!$P$7</f>
        <v>0</v>
      </c>
      <c r="I44" s="20">
        <f>I28*Deposits!$P$7</f>
        <v>0</v>
      </c>
      <c r="J44" s="20">
        <f>J28*Deposits!$P$7</f>
        <v>0</v>
      </c>
      <c r="K44" s="20">
        <f>K28*Deposits!$P$7</f>
        <v>16.438356164383563</v>
      </c>
      <c r="L44" s="20">
        <f>L28*Deposits!$P$7</f>
        <v>0</v>
      </c>
      <c r="M44" s="20">
        <f>M28*Deposits!$P$7</f>
        <v>0</v>
      </c>
      <c r="N44" s="20">
        <f>N28*Deposits!$P$7</f>
        <v>0</v>
      </c>
      <c r="O44" s="20">
        <f>O28*Deposits!$P$7</f>
        <v>0</v>
      </c>
      <c r="P44" s="20">
        <f>P28*Deposits!$P$7</f>
        <v>0</v>
      </c>
      <c r="Q44" s="20">
        <f>Q28*Deposits!$P$7</f>
        <v>0</v>
      </c>
      <c r="R44" s="20">
        <f>R28*Deposits!$P$7</f>
        <v>0</v>
      </c>
      <c r="S44" s="20">
        <f>S28*Deposits!$P$7</f>
        <v>0</v>
      </c>
      <c r="T44" s="20">
        <f>T28*Deposits!$P$7</f>
        <v>0</v>
      </c>
      <c r="U44" s="20">
        <f>U28*Deposits!$P$7</f>
        <v>0</v>
      </c>
      <c r="V44" s="20">
        <f>V28*Deposits!$P$7</f>
        <v>0</v>
      </c>
      <c r="W44" s="20">
        <f>W28*Deposits!$P$7</f>
        <v>0</v>
      </c>
      <c r="X44" s="20">
        <f>X28*Deposits!$P$7</f>
        <v>0</v>
      </c>
      <c r="Y44" s="20">
        <f>Y28*Deposits!$P$7</f>
        <v>0</v>
      </c>
      <c r="Z44" s="20">
        <f>Z28*Deposits!$P$7</f>
        <v>0</v>
      </c>
      <c r="AA44" s="20">
        <f>AA28*Deposits!$P$7</f>
        <v>0</v>
      </c>
      <c r="AB44" s="20">
        <f>AB28*Deposits!$P$7</f>
        <v>0</v>
      </c>
      <c r="AC44" s="20">
        <f>AC28*Deposits!$P$7</f>
        <v>0</v>
      </c>
      <c r="AD44" s="20">
        <f>AD28*Deposits!$P$7</f>
        <v>0</v>
      </c>
      <c r="AE44" s="20">
        <f>AE28*Deposits!$P$7</f>
        <v>0</v>
      </c>
      <c r="AF44" s="20">
        <f>AF28*Deposits!$P$7</f>
        <v>0</v>
      </c>
      <c r="AG44" s="20">
        <f>AG28*Deposits!$P$7</f>
        <v>0</v>
      </c>
      <c r="AH44" s="20">
        <f>AH28*Deposits!$P$7</f>
        <v>0</v>
      </c>
      <c r="AI44" s="20">
        <f>AI28*Deposits!$P$7</f>
        <v>0</v>
      </c>
      <c r="AJ44" s="20">
        <f>AJ28*Deposits!$P$7</f>
        <v>0</v>
      </c>
      <c r="AK44" s="20">
        <f>AK28*Deposits!$P$7</f>
        <v>0</v>
      </c>
      <c r="AL44" s="20">
        <f>AL28*Deposits!$P$7</f>
        <v>0</v>
      </c>
      <c r="AM44" s="20">
        <f>AM28*Deposits!$P$7</f>
        <v>0</v>
      </c>
      <c r="AN44" s="20">
        <f>AN28*Deposits!$P$7</f>
        <v>0</v>
      </c>
      <c r="AO44" s="20">
        <f>AO28*Deposits!$P$7</f>
        <v>0</v>
      </c>
      <c r="AP44" s="20">
        <f>AP28*Deposits!$P$7</f>
        <v>0</v>
      </c>
      <c r="AQ44" s="20">
        <f>AQ28*Deposits!$P$7</f>
        <v>0</v>
      </c>
      <c r="AR44" s="20">
        <f>AR28*Deposits!$P$7</f>
        <v>0</v>
      </c>
      <c r="AS44" s="20">
        <f>AS28*Deposits!$P$7</f>
        <v>0</v>
      </c>
      <c r="AT44" s="20">
        <f>AT28*Deposits!$P$7</f>
        <v>0</v>
      </c>
      <c r="AU44" s="20">
        <f>AU28*Deposits!$P$7</f>
        <v>0</v>
      </c>
      <c r="AV44" s="20">
        <f>AV28*Deposits!$P$7</f>
        <v>0</v>
      </c>
      <c r="AW44" s="20">
        <f>AW28*Deposits!$P$7</f>
        <v>0</v>
      </c>
      <c r="AX44" s="20">
        <f>AX28*Deposits!$P$7</f>
        <v>0</v>
      </c>
      <c r="AY44" s="20">
        <f>AY28*Deposits!$P$7</f>
        <v>0</v>
      </c>
      <c r="AZ44" s="20">
        <f>AZ28*Deposits!$P$7</f>
        <v>0</v>
      </c>
      <c r="BA44" s="20">
        <f>BA28*Deposits!$P$7</f>
        <v>0</v>
      </c>
      <c r="BB44" s="20">
        <f>BB28*Deposits!$P$7</f>
        <v>0</v>
      </c>
      <c r="BC44" s="20">
        <f>BC28*Deposits!$P$7</f>
        <v>0</v>
      </c>
      <c r="BD44" s="20">
        <f>BD28*Deposits!$P$7</f>
        <v>0</v>
      </c>
      <c r="BE44" s="20">
        <f>BE28*Deposits!$P$7</f>
        <v>0</v>
      </c>
      <c r="BF44" s="20">
        <f>BF28*Deposits!$P$7</f>
        <v>0</v>
      </c>
      <c r="BG44" s="20">
        <f>BG28*Deposits!$P$7</f>
        <v>0</v>
      </c>
      <c r="BH44" s="20">
        <f>BH28*Deposits!$P$7</f>
        <v>0</v>
      </c>
      <c r="BI44" s="20">
        <f>BI28*Deposits!$P$7</f>
        <v>0</v>
      </c>
      <c r="BJ44" s="20">
        <f>BJ28*Deposits!$P$7</f>
        <v>0</v>
      </c>
      <c r="BK44" s="20">
        <f>BK28*Deposits!$P$7</f>
        <v>0</v>
      </c>
      <c r="BL44" s="20">
        <f>BL28*Deposits!$P$7</f>
        <v>0</v>
      </c>
      <c r="BM44" s="20">
        <f>BM28*Deposits!$P$7</f>
        <v>0</v>
      </c>
      <c r="BN44" s="20">
        <f>BN28*Deposits!$P$7</f>
        <v>0</v>
      </c>
      <c r="BO44" s="20">
        <f>BO28*Deposits!$P$7</f>
        <v>0</v>
      </c>
      <c r="BP44" s="20">
        <f>BP28*Deposits!$P$7</f>
        <v>0</v>
      </c>
    </row>
    <row r="45" spans="3:68" x14ac:dyDescent="0.25">
      <c r="C45" s="74" t="str">
        <f t="shared" si="22"/>
        <v>Ajánlati biztosíték</v>
      </c>
      <c r="D45" t="s">
        <v>844</v>
      </c>
      <c r="E45" s="20"/>
      <c r="F45" s="20"/>
      <c r="G45" s="20">
        <f t="shared" si="23"/>
        <v>0</v>
      </c>
      <c r="H45" s="20">
        <f>H29*Deposits!$P$8</f>
        <v>0</v>
      </c>
      <c r="I45" s="20">
        <f>I29*Deposits!$P$8</f>
        <v>0</v>
      </c>
      <c r="J45" s="20">
        <f>J29*Deposits!$P$8</f>
        <v>0</v>
      </c>
      <c r="K45" s="20">
        <f>K29*Deposits!$P$8</f>
        <v>0</v>
      </c>
      <c r="L45" s="20">
        <f>L29*Deposits!$P$8</f>
        <v>0</v>
      </c>
      <c r="M45" s="20">
        <f>M29*Deposits!$P$8</f>
        <v>0</v>
      </c>
      <c r="N45" s="20">
        <f>N29*Deposits!$P$8</f>
        <v>0</v>
      </c>
      <c r="O45" s="20">
        <f>O29*Deposits!$P$8</f>
        <v>0</v>
      </c>
      <c r="P45" s="20">
        <f>P29*Deposits!$P$8</f>
        <v>0</v>
      </c>
      <c r="Q45" s="20">
        <f>Q29*Deposits!$P$8</f>
        <v>0</v>
      </c>
      <c r="R45" s="20">
        <f>R29*Deposits!$P$8</f>
        <v>0</v>
      </c>
      <c r="S45" s="20">
        <f>S29*Deposits!$P$8</f>
        <v>0</v>
      </c>
      <c r="T45" s="20">
        <f>T29*Deposits!$P$8</f>
        <v>0</v>
      </c>
      <c r="U45" s="20">
        <f>U29*Deposits!$P$8</f>
        <v>0</v>
      </c>
      <c r="V45" s="20">
        <f>V29*Deposits!$P$8</f>
        <v>0</v>
      </c>
      <c r="W45" s="20">
        <f>W29*Deposits!$P$8</f>
        <v>0</v>
      </c>
      <c r="X45" s="20">
        <f>X29*Deposits!$P$8</f>
        <v>0</v>
      </c>
      <c r="Y45" s="20">
        <f>Y29*Deposits!$P$8</f>
        <v>0</v>
      </c>
      <c r="Z45" s="20">
        <f>Z29*Deposits!$P$8</f>
        <v>0</v>
      </c>
      <c r="AA45" s="20">
        <f>AA29*Deposits!$P$8</f>
        <v>0</v>
      </c>
      <c r="AB45" s="20">
        <f>AB29*Deposits!$P$8</f>
        <v>0</v>
      </c>
      <c r="AC45" s="20">
        <f>AC29*Deposits!$P$8</f>
        <v>0</v>
      </c>
      <c r="AD45" s="20">
        <f>AD29*Deposits!$P$8</f>
        <v>0</v>
      </c>
      <c r="AE45" s="20">
        <f>AE29*Deposits!$P$8</f>
        <v>0</v>
      </c>
      <c r="AF45" s="20">
        <f>AF29*Deposits!$P$8</f>
        <v>0</v>
      </c>
      <c r="AG45" s="20">
        <f>AG29*Deposits!$P$8</f>
        <v>0</v>
      </c>
      <c r="AH45" s="20">
        <f>AH29*Deposits!$P$8</f>
        <v>0</v>
      </c>
      <c r="AI45" s="20">
        <f>AI29*Deposits!$P$8</f>
        <v>0</v>
      </c>
      <c r="AJ45" s="20">
        <f>AJ29*Deposits!$P$8</f>
        <v>0</v>
      </c>
      <c r="AK45" s="20">
        <f>AK29*Deposits!$P$8</f>
        <v>0</v>
      </c>
      <c r="AL45" s="20">
        <f>AL29*Deposits!$P$8</f>
        <v>0</v>
      </c>
      <c r="AM45" s="20">
        <f>AM29*Deposits!$P$8</f>
        <v>0</v>
      </c>
      <c r="AN45" s="20">
        <f>AN29*Deposits!$P$8</f>
        <v>0</v>
      </c>
      <c r="AO45" s="20">
        <f>AO29*Deposits!$P$8</f>
        <v>0</v>
      </c>
      <c r="AP45" s="20">
        <f>AP29*Deposits!$P$8</f>
        <v>0</v>
      </c>
      <c r="AQ45" s="20">
        <f>AQ29*Deposits!$P$8</f>
        <v>0</v>
      </c>
      <c r="AR45" s="20">
        <f>AR29*Deposits!$P$8</f>
        <v>0</v>
      </c>
      <c r="AS45" s="20">
        <f>AS29*Deposits!$P$8</f>
        <v>0</v>
      </c>
      <c r="AT45" s="20">
        <f>AT29*Deposits!$P$8</f>
        <v>0</v>
      </c>
      <c r="AU45" s="20">
        <f>AU29*Deposits!$P$8</f>
        <v>0</v>
      </c>
      <c r="AV45" s="20">
        <f>AV29*Deposits!$P$8</f>
        <v>0</v>
      </c>
      <c r="AW45" s="20">
        <f>AW29*Deposits!$P$8</f>
        <v>0</v>
      </c>
      <c r="AX45" s="20">
        <f>AX29*Deposits!$P$8</f>
        <v>0</v>
      </c>
      <c r="AY45" s="20">
        <f>AY29*Deposits!$P$8</f>
        <v>0</v>
      </c>
      <c r="AZ45" s="20">
        <f>AZ29*Deposits!$P$8</f>
        <v>0</v>
      </c>
      <c r="BA45" s="20">
        <f>BA29*Deposits!$P$8</f>
        <v>0</v>
      </c>
      <c r="BB45" s="20">
        <f>BB29*Deposits!$P$8</f>
        <v>0</v>
      </c>
      <c r="BC45" s="20">
        <f>BC29*Deposits!$P$8</f>
        <v>0</v>
      </c>
      <c r="BD45" s="20">
        <f>BD29*Deposits!$P$8</f>
        <v>0</v>
      </c>
      <c r="BE45" s="20">
        <f>BE29*Deposits!$P$8</f>
        <v>0</v>
      </c>
      <c r="BF45" s="20">
        <f>BF29*Deposits!$P$8</f>
        <v>0</v>
      </c>
      <c r="BG45" s="20">
        <f>BG29*Deposits!$P$8</f>
        <v>0</v>
      </c>
      <c r="BH45" s="20">
        <f>BH29*Deposits!$P$8</f>
        <v>0</v>
      </c>
      <c r="BI45" s="20">
        <f>BI29*Deposits!$P$8</f>
        <v>0</v>
      </c>
      <c r="BJ45" s="20">
        <f>BJ29*Deposits!$P$8</f>
        <v>0</v>
      </c>
      <c r="BK45" s="20">
        <f>BK29*Deposits!$P$8</f>
        <v>0</v>
      </c>
      <c r="BL45" s="20">
        <f>BL29*Deposits!$P$8</f>
        <v>0</v>
      </c>
      <c r="BM45" s="20">
        <f>BM29*Deposits!$P$8</f>
        <v>0</v>
      </c>
      <c r="BN45" s="20">
        <f>BN29*Deposits!$P$8</f>
        <v>0</v>
      </c>
      <c r="BO45" s="20">
        <f>BO29*Deposits!$P$8</f>
        <v>0</v>
      </c>
      <c r="BP45" s="20">
        <f>BP29*Deposits!$P$8</f>
        <v>0</v>
      </c>
    </row>
    <row r="46" spans="3:68" x14ac:dyDescent="0.25">
      <c r="C46" s="74" t="str">
        <f t="shared" si="22"/>
        <v>Ajánlati biztosíték visszatérítés – sikertelen kapacitás</v>
      </c>
      <c r="D46" t="s">
        <v>844</v>
      </c>
      <c r="E46" s="20"/>
      <c r="F46" s="20"/>
      <c r="G46" s="20">
        <f t="shared" si="23"/>
        <v>0</v>
      </c>
      <c r="H46" s="20">
        <f>H30*Deposits!$P$9</f>
        <v>0</v>
      </c>
      <c r="I46" s="20">
        <f>I30*Deposits!$P$9</f>
        <v>0</v>
      </c>
      <c r="J46" s="20">
        <f>J30*Deposits!$P$9</f>
        <v>0</v>
      </c>
      <c r="K46" s="20">
        <f>K30*Deposits!$P$9</f>
        <v>0</v>
      </c>
      <c r="L46" s="20">
        <f>L30*Deposits!$P$9</f>
        <v>0</v>
      </c>
      <c r="M46" s="20">
        <f>M30*Deposits!$P$9</f>
        <v>0</v>
      </c>
      <c r="N46" s="20">
        <f>N30*Deposits!$P$9</f>
        <v>0</v>
      </c>
      <c r="O46" s="20">
        <f>O30*Deposits!$P$9</f>
        <v>0</v>
      </c>
      <c r="P46" s="20">
        <f>P30*Deposits!$P$9</f>
        <v>0</v>
      </c>
      <c r="Q46" s="20">
        <f>Q30*Deposits!$P$9</f>
        <v>0</v>
      </c>
      <c r="R46" s="20">
        <f>R30*Deposits!$P$9</f>
        <v>0</v>
      </c>
      <c r="S46" s="20">
        <f>S30*Deposits!$P$9</f>
        <v>0</v>
      </c>
      <c r="T46" s="20">
        <f>T30*Deposits!$P$9</f>
        <v>0</v>
      </c>
      <c r="U46" s="20">
        <f>U30*Deposits!$P$9</f>
        <v>0</v>
      </c>
      <c r="V46" s="20">
        <f>V30*Deposits!$P$9</f>
        <v>0</v>
      </c>
      <c r="W46" s="20">
        <f>W30*Deposits!$P$9</f>
        <v>0</v>
      </c>
      <c r="X46" s="20">
        <f>X30*Deposits!$P$9</f>
        <v>0</v>
      </c>
      <c r="Y46" s="20">
        <f>Y30*Deposits!$P$9</f>
        <v>0</v>
      </c>
      <c r="Z46" s="20">
        <f>Z30*Deposits!$P$9</f>
        <v>0</v>
      </c>
      <c r="AA46" s="20">
        <f>AA30*Deposits!$P$9</f>
        <v>0</v>
      </c>
      <c r="AB46" s="20">
        <f>AB30*Deposits!$P$9</f>
        <v>0</v>
      </c>
      <c r="AC46" s="20">
        <f>AC30*Deposits!$P$9</f>
        <v>0</v>
      </c>
      <c r="AD46" s="20">
        <f>AD30*Deposits!$P$9</f>
        <v>0</v>
      </c>
      <c r="AE46" s="20">
        <f>AE30*Deposits!$P$9</f>
        <v>0</v>
      </c>
      <c r="AF46" s="20">
        <f>AF30*Deposits!$P$9</f>
        <v>0</v>
      </c>
      <c r="AG46" s="20">
        <f>AG30*Deposits!$P$9</f>
        <v>0</v>
      </c>
      <c r="AH46" s="20">
        <f>AH30*Deposits!$P$9</f>
        <v>0</v>
      </c>
      <c r="AI46" s="20">
        <f>AI30*Deposits!$P$9</f>
        <v>0</v>
      </c>
      <c r="AJ46" s="20">
        <f>AJ30*Deposits!$P$9</f>
        <v>0</v>
      </c>
      <c r="AK46" s="20">
        <f>AK30*Deposits!$P$9</f>
        <v>0</v>
      </c>
      <c r="AL46" s="20">
        <f>AL30*Deposits!$P$9</f>
        <v>0</v>
      </c>
      <c r="AM46" s="20">
        <f>AM30*Deposits!$P$9</f>
        <v>0</v>
      </c>
      <c r="AN46" s="20">
        <f>AN30*Deposits!$P$9</f>
        <v>0</v>
      </c>
      <c r="AO46" s="20">
        <f>AO30*Deposits!$P$9</f>
        <v>0</v>
      </c>
      <c r="AP46" s="20">
        <f>AP30*Deposits!$P$9</f>
        <v>0</v>
      </c>
      <c r="AQ46" s="20">
        <f>AQ30*Deposits!$P$9</f>
        <v>0</v>
      </c>
      <c r="AR46" s="20">
        <f>AR30*Deposits!$P$9</f>
        <v>0</v>
      </c>
      <c r="AS46" s="20">
        <f>AS30*Deposits!$P$9</f>
        <v>0</v>
      </c>
      <c r="AT46" s="20">
        <f>AT30*Deposits!$P$9</f>
        <v>0</v>
      </c>
      <c r="AU46" s="20">
        <f>AU30*Deposits!$P$9</f>
        <v>0</v>
      </c>
      <c r="AV46" s="20">
        <f>AV30*Deposits!$P$9</f>
        <v>0</v>
      </c>
      <c r="AW46" s="20">
        <f>AW30*Deposits!$P$9</f>
        <v>0</v>
      </c>
      <c r="AX46" s="20">
        <f>AX30*Deposits!$P$9</f>
        <v>0</v>
      </c>
      <c r="AY46" s="20">
        <f>AY30*Deposits!$P$9</f>
        <v>0</v>
      </c>
      <c r="AZ46" s="20">
        <f>AZ30*Deposits!$P$9</f>
        <v>0</v>
      </c>
      <c r="BA46" s="20">
        <f>BA30*Deposits!$P$9</f>
        <v>0</v>
      </c>
      <c r="BB46" s="20">
        <f>BB30*Deposits!$P$9</f>
        <v>0</v>
      </c>
      <c r="BC46" s="20">
        <f>BC30*Deposits!$P$9</f>
        <v>0</v>
      </c>
      <c r="BD46" s="20">
        <f>BD30*Deposits!$P$9</f>
        <v>0</v>
      </c>
      <c r="BE46" s="20">
        <f>BE30*Deposits!$P$9</f>
        <v>0</v>
      </c>
      <c r="BF46" s="20">
        <f>BF30*Deposits!$P$9</f>
        <v>0</v>
      </c>
      <c r="BG46" s="20">
        <f>BG30*Deposits!$P$9</f>
        <v>0</v>
      </c>
      <c r="BH46" s="20">
        <f>BH30*Deposits!$P$9</f>
        <v>0</v>
      </c>
      <c r="BI46" s="20">
        <f>BI30*Deposits!$P$9</f>
        <v>0</v>
      </c>
      <c r="BJ46" s="20">
        <f>BJ30*Deposits!$P$9</f>
        <v>0</v>
      </c>
      <c r="BK46" s="20">
        <f>BK30*Deposits!$P$9</f>
        <v>0</v>
      </c>
      <c r="BL46" s="20">
        <f>BL30*Deposits!$P$9</f>
        <v>0</v>
      </c>
      <c r="BM46" s="20">
        <f>BM30*Deposits!$P$9</f>
        <v>0</v>
      </c>
      <c r="BN46" s="20">
        <f>BN30*Deposits!$P$9</f>
        <v>0</v>
      </c>
      <c r="BO46" s="20">
        <f>BO30*Deposits!$P$9</f>
        <v>0</v>
      </c>
      <c r="BP46" s="20">
        <f>BP30*Deposits!$P$9</f>
        <v>0</v>
      </c>
    </row>
    <row r="47" spans="3:68" x14ac:dyDescent="0.25">
      <c r="C47" s="74" t="str">
        <f t="shared" si="22"/>
        <v>Teljesítési biztosíték</v>
      </c>
      <c r="D47" t="s">
        <v>844</v>
      </c>
      <c r="E47" s="20"/>
      <c r="F47" s="20"/>
      <c r="G47" s="20">
        <f t="shared" si="23"/>
        <v>0</v>
      </c>
      <c r="H47" s="20">
        <f>H31*Deposits!$P$10</f>
        <v>0</v>
      </c>
      <c r="I47" s="20">
        <f>I31*Deposits!$P$10</f>
        <v>0</v>
      </c>
      <c r="J47" s="20">
        <f>J31*Deposits!$P$10</f>
        <v>0</v>
      </c>
      <c r="K47" s="20">
        <f>K31*Deposits!$P$10</f>
        <v>0</v>
      </c>
      <c r="L47" s="20">
        <f>L31*Deposits!$P$10</f>
        <v>0</v>
      </c>
      <c r="M47" s="20">
        <f>M31*Deposits!$P$10</f>
        <v>0</v>
      </c>
      <c r="N47" s="20">
        <f>N31*Deposits!$P$10</f>
        <v>0</v>
      </c>
      <c r="O47" s="20">
        <f>O31*Deposits!$P$10</f>
        <v>0</v>
      </c>
      <c r="P47" s="20">
        <f>P31*Deposits!$P$10</f>
        <v>0</v>
      </c>
      <c r="Q47" s="20">
        <f>Q31*Deposits!$P$10</f>
        <v>0</v>
      </c>
      <c r="R47" s="20">
        <f>R31*Deposits!$P$10</f>
        <v>0</v>
      </c>
      <c r="S47" s="20">
        <f>S31*Deposits!$P$10</f>
        <v>0</v>
      </c>
      <c r="T47" s="20">
        <f>T31*Deposits!$P$10</f>
        <v>0</v>
      </c>
      <c r="U47" s="20">
        <f>U31*Deposits!$P$10</f>
        <v>0</v>
      </c>
      <c r="V47" s="20">
        <f>V31*Deposits!$P$10</f>
        <v>0</v>
      </c>
      <c r="W47" s="20">
        <f>W31*Deposits!$P$10</f>
        <v>0</v>
      </c>
      <c r="X47" s="20">
        <f>X31*Deposits!$P$10</f>
        <v>0</v>
      </c>
      <c r="Y47" s="20">
        <f>Y31*Deposits!$P$10</f>
        <v>0</v>
      </c>
      <c r="Z47" s="20">
        <f>Z31*Deposits!$P$10</f>
        <v>0</v>
      </c>
      <c r="AA47" s="20">
        <f>AA31*Deposits!$P$10</f>
        <v>0</v>
      </c>
      <c r="AB47" s="20">
        <f>AB31*Deposits!$P$10</f>
        <v>0</v>
      </c>
      <c r="AC47" s="20">
        <f>AC31*Deposits!$P$10</f>
        <v>0</v>
      </c>
      <c r="AD47" s="20">
        <f>AD31*Deposits!$P$10</f>
        <v>0</v>
      </c>
      <c r="AE47" s="20">
        <f>AE31*Deposits!$P$10</f>
        <v>0</v>
      </c>
      <c r="AF47" s="20">
        <f>AF31*Deposits!$P$10</f>
        <v>0</v>
      </c>
      <c r="AG47" s="20">
        <f>AG31*Deposits!$P$10</f>
        <v>0</v>
      </c>
      <c r="AH47" s="20">
        <f>AH31*Deposits!$P$10</f>
        <v>0</v>
      </c>
      <c r="AI47" s="20">
        <f>AI31*Deposits!$P$10</f>
        <v>0</v>
      </c>
      <c r="AJ47" s="20">
        <f>AJ31*Deposits!$P$10</f>
        <v>0</v>
      </c>
      <c r="AK47" s="20">
        <f>AK31*Deposits!$P$10</f>
        <v>0</v>
      </c>
      <c r="AL47" s="20">
        <f>AL31*Deposits!$P$10</f>
        <v>0</v>
      </c>
      <c r="AM47" s="20">
        <f>AM31*Deposits!$P$10</f>
        <v>0</v>
      </c>
      <c r="AN47" s="20">
        <f>AN31*Deposits!$P$10</f>
        <v>0</v>
      </c>
      <c r="AO47" s="20">
        <f>AO31*Deposits!$P$10</f>
        <v>0</v>
      </c>
      <c r="AP47" s="20">
        <f>AP31*Deposits!$P$10</f>
        <v>0</v>
      </c>
      <c r="AQ47" s="20">
        <f>AQ31*Deposits!$P$10</f>
        <v>0</v>
      </c>
      <c r="AR47" s="20">
        <f>AR31*Deposits!$P$10</f>
        <v>0</v>
      </c>
      <c r="AS47" s="20">
        <f>AS31*Deposits!$P$10</f>
        <v>0</v>
      </c>
      <c r="AT47" s="20">
        <f>AT31*Deposits!$P$10</f>
        <v>0</v>
      </c>
      <c r="AU47" s="20">
        <f>AU31*Deposits!$P$10</f>
        <v>0</v>
      </c>
      <c r="AV47" s="20">
        <f>AV31*Deposits!$P$10</f>
        <v>0</v>
      </c>
      <c r="AW47" s="20">
        <f>AW31*Deposits!$P$10</f>
        <v>0</v>
      </c>
      <c r="AX47" s="20">
        <f>AX31*Deposits!$P$10</f>
        <v>0</v>
      </c>
      <c r="AY47" s="20">
        <f>AY31*Deposits!$P$10</f>
        <v>0</v>
      </c>
      <c r="AZ47" s="20">
        <f>AZ31*Deposits!$P$10</f>
        <v>0</v>
      </c>
      <c r="BA47" s="20">
        <f>BA31*Deposits!$P$10</f>
        <v>0</v>
      </c>
      <c r="BB47" s="20">
        <f>BB31*Deposits!$P$10</f>
        <v>0</v>
      </c>
      <c r="BC47" s="20">
        <f>BC31*Deposits!$P$10</f>
        <v>0</v>
      </c>
      <c r="BD47" s="20">
        <f>BD31*Deposits!$P$10</f>
        <v>0</v>
      </c>
      <c r="BE47" s="20">
        <f>BE31*Deposits!$P$10</f>
        <v>0</v>
      </c>
      <c r="BF47" s="20">
        <f>BF31*Deposits!$P$10</f>
        <v>0</v>
      </c>
      <c r="BG47" s="20">
        <f>BG31*Deposits!$P$10</f>
        <v>0</v>
      </c>
      <c r="BH47" s="20">
        <f>BH31*Deposits!$P$10</f>
        <v>0</v>
      </c>
      <c r="BI47" s="20">
        <f>BI31*Deposits!$P$10</f>
        <v>0</v>
      </c>
      <c r="BJ47" s="20">
        <f>BJ31*Deposits!$P$10</f>
        <v>0</v>
      </c>
      <c r="BK47" s="20">
        <f>BK31*Deposits!$P$10</f>
        <v>0</v>
      </c>
      <c r="BL47" s="20">
        <f>BL31*Deposits!$P$10</f>
        <v>0</v>
      </c>
      <c r="BM47" s="20">
        <f>BM31*Deposits!$P$10</f>
        <v>0</v>
      </c>
      <c r="BN47" s="20">
        <f>BN31*Deposits!$P$10</f>
        <v>0</v>
      </c>
      <c r="BO47" s="20">
        <f>BO31*Deposits!$P$10</f>
        <v>0</v>
      </c>
      <c r="BP47" s="20">
        <f>BP31*Deposits!$P$10</f>
        <v>0</v>
      </c>
    </row>
    <row r="48" spans="3:68" x14ac:dyDescent="0.25">
      <c r="C48" s="74" t="str">
        <f t="shared" si="22"/>
        <v>Igénybejelentési biztosíték</v>
      </c>
      <c r="D48" t="s">
        <v>844</v>
      </c>
      <c r="E48" s="20"/>
      <c r="F48" s="20"/>
      <c r="G48" s="20">
        <f t="shared" si="23"/>
        <v>2465.753424657534</v>
      </c>
      <c r="H48" s="20">
        <f>H32*Deposits!$P$11</f>
        <v>0</v>
      </c>
      <c r="I48" s="20">
        <f>I32*Deposits!$P$11</f>
        <v>0</v>
      </c>
      <c r="J48" s="20">
        <f>J32*Deposits!$P$11</f>
        <v>0</v>
      </c>
      <c r="K48" s="20">
        <f>K32*Deposits!$P$11</f>
        <v>0</v>
      </c>
      <c r="L48" s="20">
        <f>L32*Deposits!$P$11</f>
        <v>0</v>
      </c>
      <c r="M48" s="20">
        <f>M32*Deposits!$P$11</f>
        <v>2465.753424657534</v>
      </c>
      <c r="N48" s="20">
        <f>N32*Deposits!$P$11</f>
        <v>0</v>
      </c>
      <c r="O48" s="20">
        <f>O32*Deposits!$P$11</f>
        <v>0</v>
      </c>
      <c r="P48" s="20">
        <f>P32*Deposits!$P$11</f>
        <v>0</v>
      </c>
      <c r="Q48" s="20">
        <f>Q32*Deposits!$P$11</f>
        <v>0</v>
      </c>
      <c r="R48" s="20">
        <f>R32*Deposits!$P$11</f>
        <v>0</v>
      </c>
      <c r="S48" s="20">
        <f>S32*Deposits!$P$11</f>
        <v>0</v>
      </c>
      <c r="T48" s="20">
        <f>T32*Deposits!$P$11</f>
        <v>0</v>
      </c>
      <c r="U48" s="20">
        <f>U32*Deposits!$P$11</f>
        <v>0</v>
      </c>
      <c r="V48" s="20">
        <f>V32*Deposits!$P$11</f>
        <v>0</v>
      </c>
      <c r="W48" s="20">
        <f>W32*Deposits!$P$11</f>
        <v>0</v>
      </c>
      <c r="X48" s="20">
        <f>X32*Deposits!$P$11</f>
        <v>0</v>
      </c>
      <c r="Y48" s="20">
        <f>Y32*Deposits!$P$11</f>
        <v>0</v>
      </c>
      <c r="Z48" s="20">
        <f>Z32*Deposits!$P$11</f>
        <v>0</v>
      </c>
      <c r="AA48" s="20">
        <f>AA32*Deposits!$P$11</f>
        <v>0</v>
      </c>
      <c r="AB48" s="20">
        <f>AB32*Deposits!$P$11</f>
        <v>0</v>
      </c>
      <c r="AC48" s="20">
        <f>AC32*Deposits!$P$11</f>
        <v>0</v>
      </c>
      <c r="AD48" s="20">
        <f>AD32*Deposits!$P$11</f>
        <v>0</v>
      </c>
      <c r="AE48" s="20">
        <f>AE32*Deposits!$P$11</f>
        <v>0</v>
      </c>
      <c r="AF48" s="20">
        <f>AF32*Deposits!$P$11</f>
        <v>0</v>
      </c>
      <c r="AG48" s="20">
        <f>AG32*Deposits!$P$11</f>
        <v>0</v>
      </c>
      <c r="AH48" s="20">
        <f>AH32*Deposits!$P$11</f>
        <v>0</v>
      </c>
      <c r="AI48" s="20">
        <f>AI32*Deposits!$P$11</f>
        <v>0</v>
      </c>
      <c r="AJ48" s="20">
        <f>AJ32*Deposits!$P$11</f>
        <v>0</v>
      </c>
      <c r="AK48" s="20">
        <f>AK32*Deposits!$P$11</f>
        <v>0</v>
      </c>
      <c r="AL48" s="20">
        <f>AL32*Deposits!$P$11</f>
        <v>0</v>
      </c>
      <c r="AM48" s="20">
        <f>AM32*Deposits!$P$11</f>
        <v>0</v>
      </c>
      <c r="AN48" s="20">
        <f>AN32*Deposits!$P$11</f>
        <v>0</v>
      </c>
      <c r="AO48" s="20">
        <f>AO32*Deposits!$P$11</f>
        <v>0</v>
      </c>
      <c r="AP48" s="20">
        <f>AP32*Deposits!$P$11</f>
        <v>0</v>
      </c>
      <c r="AQ48" s="20">
        <f>AQ32*Deposits!$P$11</f>
        <v>0</v>
      </c>
      <c r="AR48" s="20">
        <f>AR32*Deposits!$P$11</f>
        <v>0</v>
      </c>
      <c r="AS48" s="20">
        <f>AS32*Deposits!$P$11</f>
        <v>0</v>
      </c>
      <c r="AT48" s="20">
        <f>AT32*Deposits!$P$11</f>
        <v>0</v>
      </c>
      <c r="AU48" s="20">
        <f>AU32*Deposits!$P$11</f>
        <v>0</v>
      </c>
      <c r="AV48" s="20">
        <f>AV32*Deposits!$P$11</f>
        <v>0</v>
      </c>
      <c r="AW48" s="20">
        <f>AW32*Deposits!$P$11</f>
        <v>0</v>
      </c>
      <c r="AX48" s="20">
        <f>AX32*Deposits!$P$11</f>
        <v>0</v>
      </c>
      <c r="AY48" s="20">
        <f>AY32*Deposits!$P$11</f>
        <v>0</v>
      </c>
      <c r="AZ48" s="20">
        <f>AZ32*Deposits!$P$11</f>
        <v>0</v>
      </c>
      <c r="BA48" s="20">
        <f>BA32*Deposits!$P$11</f>
        <v>0</v>
      </c>
      <c r="BB48" s="20">
        <f>BB32*Deposits!$P$11</f>
        <v>0</v>
      </c>
      <c r="BC48" s="20">
        <f>BC32*Deposits!$P$11</f>
        <v>0</v>
      </c>
      <c r="BD48" s="20">
        <f>BD32*Deposits!$P$11</f>
        <v>0</v>
      </c>
      <c r="BE48" s="20">
        <f>BE32*Deposits!$P$11</f>
        <v>0</v>
      </c>
      <c r="BF48" s="20">
        <f>BF32*Deposits!$P$11</f>
        <v>0</v>
      </c>
      <c r="BG48" s="20">
        <f>BG32*Deposits!$P$11</f>
        <v>0</v>
      </c>
      <c r="BH48" s="20">
        <f>BH32*Deposits!$P$11</f>
        <v>0</v>
      </c>
      <c r="BI48" s="20">
        <f>BI32*Deposits!$P$11</f>
        <v>0</v>
      </c>
      <c r="BJ48" s="20">
        <f>BJ32*Deposits!$P$11</f>
        <v>0</v>
      </c>
      <c r="BK48" s="20">
        <f>BK32*Deposits!$P$11</f>
        <v>0</v>
      </c>
      <c r="BL48" s="20">
        <f>BL32*Deposits!$P$11</f>
        <v>0</v>
      </c>
      <c r="BM48" s="20">
        <f>BM32*Deposits!$P$11</f>
        <v>0</v>
      </c>
      <c r="BN48" s="20">
        <f>BN32*Deposits!$P$11</f>
        <v>0</v>
      </c>
      <c r="BO48" s="20">
        <f>BO32*Deposits!$P$11</f>
        <v>0</v>
      </c>
      <c r="BP48" s="20">
        <f>BP32*Deposits!$P$11</f>
        <v>0</v>
      </c>
    </row>
    <row r="49" spans="3:68" x14ac:dyDescent="0.25">
      <c r="C49" s="74" t="str">
        <f t="shared" si="22"/>
        <v>Csatlakozási díj – közvetlen</v>
      </c>
      <c r="D49" t="s">
        <v>844</v>
      </c>
      <c r="E49" s="20"/>
      <c r="F49" s="20"/>
      <c r="G49" s="20">
        <f t="shared" si="23"/>
        <v>1392.7282301369862</v>
      </c>
      <c r="H49" s="20">
        <f>H33*Deposits!$P$12</f>
        <v>0</v>
      </c>
      <c r="I49" s="20">
        <f>I33*Deposits!$P$12</f>
        <v>0</v>
      </c>
      <c r="J49" s="20">
        <f>J33*Deposits!$P$12</f>
        <v>0</v>
      </c>
      <c r="K49" s="20">
        <f>K33*Deposits!$P$12</f>
        <v>0</v>
      </c>
      <c r="L49" s="20">
        <f>L33*Deposits!$P$12</f>
        <v>0</v>
      </c>
      <c r="M49" s="20">
        <f>M33*Deposits!$P$12</f>
        <v>0</v>
      </c>
      <c r="N49" s="20">
        <f>N33*Deposits!$P$12</f>
        <v>0</v>
      </c>
      <c r="O49" s="20">
        <f>O33*Deposits!$P$12</f>
        <v>0</v>
      </c>
      <c r="P49" s="20">
        <f>P33*Deposits!$P$12</f>
        <v>0</v>
      </c>
      <c r="Q49" s="20">
        <f>Q33*Deposits!$P$12</f>
        <v>0</v>
      </c>
      <c r="R49" s="20">
        <f>R33*Deposits!$P$12</f>
        <v>0</v>
      </c>
      <c r="S49" s="20">
        <f>S33*Deposits!$P$12</f>
        <v>0</v>
      </c>
      <c r="T49" s="20">
        <f>T33*Deposits!$P$12</f>
        <v>0</v>
      </c>
      <c r="U49" s="20">
        <f>U33*Deposits!$P$12</f>
        <v>0</v>
      </c>
      <c r="V49" s="20">
        <f>V33*Deposits!$P$12</f>
        <v>0</v>
      </c>
      <c r="W49" s="20">
        <f>W33*Deposits!$P$12</f>
        <v>0</v>
      </c>
      <c r="X49" s="20">
        <f>X33*Deposits!$P$12</f>
        <v>0</v>
      </c>
      <c r="Y49" s="20">
        <f>Y33*Deposits!$P$12</f>
        <v>0</v>
      </c>
      <c r="Z49" s="20">
        <f>Z33*Deposits!$P$12</f>
        <v>0</v>
      </c>
      <c r="AA49" s="20">
        <f>AA33*Deposits!$P$12</f>
        <v>0</v>
      </c>
      <c r="AB49" s="20">
        <f>AB33*Deposits!$P$12</f>
        <v>0</v>
      </c>
      <c r="AC49" s="20">
        <f>AC33*Deposits!$P$12</f>
        <v>0</v>
      </c>
      <c r="AD49" s="20">
        <f>AD33*Deposits!$P$12</f>
        <v>0</v>
      </c>
      <c r="AE49" s="20">
        <f>AE33*Deposits!$P$12</f>
        <v>0</v>
      </c>
      <c r="AF49" s="20">
        <f>AF33*Deposits!$P$12</f>
        <v>0</v>
      </c>
      <c r="AG49" s="20">
        <f>AG33*Deposits!$P$12</f>
        <v>0</v>
      </c>
      <c r="AH49" s="20">
        <f>AH33*Deposits!$P$12</f>
        <v>0</v>
      </c>
      <c r="AI49" s="20">
        <f>AI33*Deposits!$P$12</f>
        <v>0</v>
      </c>
      <c r="AJ49" s="20">
        <f>AJ33*Deposits!$P$12</f>
        <v>0</v>
      </c>
      <c r="AK49" s="20">
        <f>AK33*Deposits!$P$12</f>
        <v>0</v>
      </c>
      <c r="AL49" s="20">
        <f>AL33*Deposits!$P$12</f>
        <v>1392.7282301369862</v>
      </c>
      <c r="AM49" s="20">
        <f>AM33*Deposits!$P$12</f>
        <v>0</v>
      </c>
      <c r="AN49" s="20">
        <f>AN33*Deposits!$P$12</f>
        <v>0</v>
      </c>
      <c r="AO49" s="20">
        <f>AO33*Deposits!$P$12</f>
        <v>0</v>
      </c>
      <c r="AP49" s="20">
        <f>AP33*Deposits!$P$12</f>
        <v>0</v>
      </c>
      <c r="AQ49" s="20">
        <f>AQ33*Deposits!$P$12</f>
        <v>0</v>
      </c>
      <c r="AR49" s="20">
        <f>AR33*Deposits!$P$12</f>
        <v>0</v>
      </c>
      <c r="AS49" s="20">
        <f>AS33*Deposits!$P$12</f>
        <v>0</v>
      </c>
      <c r="AT49" s="20">
        <f>AT33*Deposits!$P$12</f>
        <v>0</v>
      </c>
      <c r="AU49" s="20">
        <f>AU33*Deposits!$P$12</f>
        <v>0</v>
      </c>
      <c r="AV49" s="20">
        <f>AV33*Deposits!$P$12</f>
        <v>0</v>
      </c>
      <c r="AW49" s="20">
        <f>AW33*Deposits!$P$12</f>
        <v>0</v>
      </c>
      <c r="AX49" s="20">
        <f>AX33*Deposits!$P$12</f>
        <v>0</v>
      </c>
      <c r="AY49" s="20">
        <f>AY33*Deposits!$P$12</f>
        <v>0</v>
      </c>
      <c r="AZ49" s="20">
        <f>AZ33*Deposits!$P$12</f>
        <v>0</v>
      </c>
      <c r="BA49" s="20">
        <f>BA33*Deposits!$P$12</f>
        <v>0</v>
      </c>
      <c r="BB49" s="20">
        <f>BB33*Deposits!$P$12</f>
        <v>0</v>
      </c>
      <c r="BC49" s="20">
        <f>BC33*Deposits!$P$12</f>
        <v>0</v>
      </c>
      <c r="BD49" s="20">
        <f>BD33*Deposits!$P$12</f>
        <v>0</v>
      </c>
      <c r="BE49" s="20">
        <f>BE33*Deposits!$P$12</f>
        <v>0</v>
      </c>
      <c r="BF49" s="20">
        <f>BF33*Deposits!$P$12</f>
        <v>0</v>
      </c>
      <c r="BG49" s="20">
        <f>BG33*Deposits!$P$12</f>
        <v>0</v>
      </c>
      <c r="BH49" s="20">
        <f>BH33*Deposits!$P$12</f>
        <v>0</v>
      </c>
      <c r="BI49" s="20">
        <f>BI33*Deposits!$P$12</f>
        <v>0</v>
      </c>
      <c r="BJ49" s="20">
        <f>BJ33*Deposits!$P$12</f>
        <v>0</v>
      </c>
      <c r="BK49" s="20">
        <f>BK33*Deposits!$P$12</f>
        <v>0</v>
      </c>
      <c r="BL49" s="20">
        <f>BL33*Deposits!$P$12</f>
        <v>0</v>
      </c>
      <c r="BM49" s="20">
        <f>BM33*Deposits!$P$12</f>
        <v>0</v>
      </c>
      <c r="BN49" s="20">
        <f>BN33*Deposits!$P$12</f>
        <v>0</v>
      </c>
      <c r="BO49" s="20">
        <f>BO33*Deposits!$P$12</f>
        <v>0</v>
      </c>
      <c r="BP49" s="20">
        <f>BP33*Deposits!$P$12</f>
        <v>0</v>
      </c>
    </row>
    <row r="50" spans="3:68" x14ac:dyDescent="0.25">
      <c r="C50" s="74" t="str">
        <f t="shared" si="22"/>
        <v>Kiegészítő biztosíték 1. részlet</v>
      </c>
      <c r="D50" t="s">
        <v>844</v>
      </c>
      <c r="E50" s="20"/>
      <c r="F50" s="20"/>
      <c r="G50" s="20">
        <f t="shared" si="23"/>
        <v>0</v>
      </c>
      <c r="H50" s="20">
        <f>H34*Deposits!$P$13</f>
        <v>0</v>
      </c>
      <c r="I50" s="20">
        <f>I34*Deposits!$P$13</f>
        <v>0</v>
      </c>
      <c r="J50" s="20">
        <f>J34*Deposits!$P$13</f>
        <v>0</v>
      </c>
      <c r="K50" s="20">
        <f>K34*Deposits!$P$13</f>
        <v>0</v>
      </c>
      <c r="L50" s="20">
        <f>L34*Deposits!$P$13</f>
        <v>0</v>
      </c>
      <c r="M50" s="20">
        <f>M34*Deposits!$P$13</f>
        <v>0</v>
      </c>
      <c r="N50" s="20">
        <f>N34*Deposits!$P$13</f>
        <v>0</v>
      </c>
      <c r="O50" s="20">
        <f>O34*Deposits!$P$13</f>
        <v>0</v>
      </c>
      <c r="P50" s="20">
        <f>P34*Deposits!$P$13</f>
        <v>0</v>
      </c>
      <c r="Q50" s="20">
        <f>Q34*Deposits!$P$13</f>
        <v>0</v>
      </c>
      <c r="R50" s="20">
        <f>R34*Deposits!$P$13</f>
        <v>0</v>
      </c>
      <c r="S50" s="20">
        <f>S34*Deposits!$P$13</f>
        <v>0</v>
      </c>
      <c r="T50" s="20">
        <f>T34*Deposits!$P$13</f>
        <v>0</v>
      </c>
      <c r="U50" s="20">
        <f>U34*Deposits!$P$13</f>
        <v>0</v>
      </c>
      <c r="V50" s="20">
        <f>V34*Deposits!$P$13</f>
        <v>0</v>
      </c>
      <c r="W50" s="20">
        <f>W34*Deposits!$P$13</f>
        <v>0</v>
      </c>
      <c r="X50" s="20">
        <f>X34*Deposits!$P$13</f>
        <v>0</v>
      </c>
      <c r="Y50" s="20">
        <f>Y34*Deposits!$P$13</f>
        <v>0</v>
      </c>
      <c r="Z50" s="20">
        <f>Z34*Deposits!$P$13</f>
        <v>0</v>
      </c>
      <c r="AA50" s="20">
        <f>AA34*Deposits!$P$13</f>
        <v>0</v>
      </c>
      <c r="AB50" s="20">
        <f>AB34*Deposits!$P$13</f>
        <v>0</v>
      </c>
      <c r="AC50" s="20">
        <f>AC34*Deposits!$P$13</f>
        <v>0</v>
      </c>
      <c r="AD50" s="20">
        <f>AD34*Deposits!$P$13</f>
        <v>0</v>
      </c>
      <c r="AE50" s="20">
        <f>AE34*Deposits!$P$13</f>
        <v>0</v>
      </c>
      <c r="AF50" s="20">
        <f>AF34*Deposits!$P$13</f>
        <v>0</v>
      </c>
      <c r="AG50" s="20">
        <f>AG34*Deposits!$P$13</f>
        <v>0</v>
      </c>
      <c r="AH50" s="20">
        <f>AH34*Deposits!$P$13</f>
        <v>0</v>
      </c>
      <c r="AI50" s="20">
        <f>AI34*Deposits!$P$13</f>
        <v>0</v>
      </c>
      <c r="AJ50" s="20">
        <f>AJ34*Deposits!$P$13</f>
        <v>0</v>
      </c>
      <c r="AK50" s="20">
        <f>AK34*Deposits!$P$13</f>
        <v>0</v>
      </c>
      <c r="AL50" s="20">
        <f>AL34*Deposits!$P$13</f>
        <v>0</v>
      </c>
      <c r="AM50" s="20">
        <f>AM34*Deposits!$P$13</f>
        <v>0</v>
      </c>
      <c r="AN50" s="20">
        <f>AN34*Deposits!$P$13</f>
        <v>0</v>
      </c>
      <c r="AO50" s="20">
        <f>AO34*Deposits!$P$13</f>
        <v>0</v>
      </c>
      <c r="AP50" s="20">
        <f>AP34*Deposits!$P$13</f>
        <v>0</v>
      </c>
      <c r="AQ50" s="20">
        <f>AQ34*Deposits!$P$13</f>
        <v>0</v>
      </c>
      <c r="AR50" s="20">
        <f>AR34*Deposits!$P$13</f>
        <v>0</v>
      </c>
      <c r="AS50" s="20">
        <f>AS34*Deposits!$P$13</f>
        <v>0</v>
      </c>
      <c r="AT50" s="20">
        <f>AT34*Deposits!$P$13</f>
        <v>0</v>
      </c>
      <c r="AU50" s="20">
        <f>AU34*Deposits!$P$13</f>
        <v>0</v>
      </c>
      <c r="AV50" s="20">
        <f>AV34*Deposits!$P$13</f>
        <v>0</v>
      </c>
      <c r="AW50" s="20">
        <f>AW34*Deposits!$P$13</f>
        <v>0</v>
      </c>
      <c r="AX50" s="20">
        <f>AX34*Deposits!$P$13</f>
        <v>0</v>
      </c>
      <c r="AY50" s="20">
        <f>AY34*Deposits!$P$13</f>
        <v>0</v>
      </c>
      <c r="AZ50" s="20">
        <f>AZ34*Deposits!$P$13</f>
        <v>0</v>
      </c>
      <c r="BA50" s="20">
        <f>BA34*Deposits!$P$13</f>
        <v>0</v>
      </c>
      <c r="BB50" s="20">
        <f>BB34*Deposits!$P$13</f>
        <v>0</v>
      </c>
      <c r="BC50" s="20">
        <f>BC34*Deposits!$P$13</f>
        <v>0</v>
      </c>
      <c r="BD50" s="20">
        <f>BD34*Deposits!$P$13</f>
        <v>0</v>
      </c>
      <c r="BE50" s="20">
        <f>BE34*Deposits!$P$13</f>
        <v>0</v>
      </c>
      <c r="BF50" s="20">
        <f>BF34*Deposits!$P$13</f>
        <v>0</v>
      </c>
      <c r="BG50" s="20">
        <f>BG34*Deposits!$P$13</f>
        <v>0</v>
      </c>
      <c r="BH50" s="20">
        <f>BH34*Deposits!$P$13</f>
        <v>0</v>
      </c>
      <c r="BI50" s="20">
        <f>BI34*Deposits!$P$13</f>
        <v>0</v>
      </c>
      <c r="BJ50" s="20">
        <f>BJ34*Deposits!$P$13</f>
        <v>0</v>
      </c>
      <c r="BK50" s="20">
        <f>BK34*Deposits!$P$13</f>
        <v>0</v>
      </c>
      <c r="BL50" s="20">
        <f>BL34*Deposits!$P$13</f>
        <v>0</v>
      </c>
      <c r="BM50" s="20">
        <f>BM34*Deposits!$P$13</f>
        <v>0</v>
      </c>
      <c r="BN50" s="20">
        <f>BN34*Deposits!$P$13</f>
        <v>0</v>
      </c>
      <c r="BO50" s="20">
        <f>BO34*Deposits!$P$13</f>
        <v>0</v>
      </c>
      <c r="BP50" s="20">
        <f>BP34*Deposits!$P$13</f>
        <v>0</v>
      </c>
    </row>
    <row r="51" spans="3:68" x14ac:dyDescent="0.25">
      <c r="C51" s="74" t="str">
        <f t="shared" si="22"/>
        <v>Kiegészítő biztosíték 2. részlet</v>
      </c>
      <c r="D51" t="s">
        <v>844</v>
      </c>
      <c r="E51" s="20"/>
      <c r="F51" s="20"/>
      <c r="G51" s="20">
        <f t="shared" si="23"/>
        <v>0</v>
      </c>
      <c r="H51" s="20">
        <f>H35*Deposits!$P$14</f>
        <v>0</v>
      </c>
      <c r="I51" s="20">
        <f>I35*Deposits!$P$14</f>
        <v>0</v>
      </c>
      <c r="J51" s="20">
        <f>J35*Deposits!$P$14</f>
        <v>0</v>
      </c>
      <c r="K51" s="20">
        <f>K35*Deposits!$P$14</f>
        <v>0</v>
      </c>
      <c r="L51" s="20">
        <f>L35*Deposits!$P$14</f>
        <v>0</v>
      </c>
      <c r="M51" s="20">
        <f>M35*Deposits!$P$14</f>
        <v>0</v>
      </c>
      <c r="N51" s="20">
        <f>N35*Deposits!$P$14</f>
        <v>0</v>
      </c>
      <c r="O51" s="20">
        <f>O35*Deposits!$P$14</f>
        <v>0</v>
      </c>
      <c r="P51" s="20">
        <f>P35*Deposits!$P$14</f>
        <v>0</v>
      </c>
      <c r="Q51" s="20">
        <f>Q35*Deposits!$P$14</f>
        <v>0</v>
      </c>
      <c r="R51" s="20">
        <f>R35*Deposits!$P$14</f>
        <v>0</v>
      </c>
      <c r="S51" s="20">
        <f>S35*Deposits!$P$14</f>
        <v>0</v>
      </c>
      <c r="T51" s="20">
        <f>T35*Deposits!$P$14</f>
        <v>0</v>
      </c>
      <c r="U51" s="20">
        <f>U35*Deposits!$P$14</f>
        <v>0</v>
      </c>
      <c r="V51" s="20">
        <f>V35*Deposits!$P$14</f>
        <v>0</v>
      </c>
      <c r="W51" s="20">
        <f>W35*Deposits!$P$14</f>
        <v>0</v>
      </c>
      <c r="X51" s="20">
        <f>X35*Deposits!$P$14</f>
        <v>0</v>
      </c>
      <c r="Y51" s="20">
        <f>Y35*Deposits!$P$14</f>
        <v>0</v>
      </c>
      <c r="Z51" s="20">
        <f>Z35*Deposits!$P$14</f>
        <v>0</v>
      </c>
      <c r="AA51" s="20">
        <f>AA35*Deposits!$P$14</f>
        <v>0</v>
      </c>
      <c r="AB51" s="20">
        <f>AB35*Deposits!$P$14</f>
        <v>0</v>
      </c>
      <c r="AC51" s="20">
        <f>AC35*Deposits!$P$14</f>
        <v>0</v>
      </c>
      <c r="AD51" s="20">
        <f>AD35*Deposits!$P$14</f>
        <v>0</v>
      </c>
      <c r="AE51" s="20">
        <f>AE35*Deposits!$P$14</f>
        <v>0</v>
      </c>
      <c r="AF51" s="20">
        <f>AF35*Deposits!$P$14</f>
        <v>0</v>
      </c>
      <c r="AG51" s="20">
        <f>AG35*Deposits!$P$14</f>
        <v>0</v>
      </c>
      <c r="AH51" s="20">
        <f>AH35*Deposits!$P$14</f>
        <v>0</v>
      </c>
      <c r="AI51" s="20">
        <f>AI35*Deposits!$P$14</f>
        <v>0</v>
      </c>
      <c r="AJ51" s="20">
        <f>AJ35*Deposits!$P$14</f>
        <v>0</v>
      </c>
      <c r="AK51" s="20">
        <f>AK35*Deposits!$P$14</f>
        <v>0</v>
      </c>
      <c r="AL51" s="20">
        <f>AL35*Deposits!$P$14</f>
        <v>0</v>
      </c>
      <c r="AM51" s="20">
        <f>AM35*Deposits!$P$14</f>
        <v>0</v>
      </c>
      <c r="AN51" s="20">
        <f>AN35*Deposits!$P$14</f>
        <v>0</v>
      </c>
      <c r="AO51" s="20">
        <f>AO35*Deposits!$P$14</f>
        <v>0</v>
      </c>
      <c r="AP51" s="20">
        <f>AP35*Deposits!$P$14</f>
        <v>0</v>
      </c>
      <c r="AQ51" s="20">
        <f>AQ35*Deposits!$P$14</f>
        <v>0</v>
      </c>
      <c r="AR51" s="20">
        <f>AR35*Deposits!$P$14</f>
        <v>0</v>
      </c>
      <c r="AS51" s="20">
        <f>AS35*Deposits!$P$14</f>
        <v>0</v>
      </c>
      <c r="AT51" s="20">
        <f>AT35*Deposits!$P$14</f>
        <v>0</v>
      </c>
      <c r="AU51" s="20">
        <f>AU35*Deposits!$P$14</f>
        <v>0</v>
      </c>
      <c r="AV51" s="20">
        <f>AV35*Deposits!$P$14</f>
        <v>0</v>
      </c>
      <c r="AW51" s="20">
        <f>AW35*Deposits!$P$14</f>
        <v>0</v>
      </c>
      <c r="AX51" s="20">
        <f>AX35*Deposits!$P$14</f>
        <v>0</v>
      </c>
      <c r="AY51" s="20">
        <f>AY35*Deposits!$P$14</f>
        <v>0</v>
      </c>
      <c r="AZ51" s="20">
        <f>AZ35*Deposits!$P$14</f>
        <v>0</v>
      </c>
      <c r="BA51" s="20">
        <f>BA35*Deposits!$P$14</f>
        <v>0</v>
      </c>
      <c r="BB51" s="20">
        <f>BB35*Deposits!$P$14</f>
        <v>0</v>
      </c>
      <c r="BC51" s="20">
        <f>BC35*Deposits!$P$14</f>
        <v>0</v>
      </c>
      <c r="BD51" s="20">
        <f>BD35*Deposits!$P$14</f>
        <v>0</v>
      </c>
      <c r="BE51" s="20">
        <f>BE35*Deposits!$P$14</f>
        <v>0</v>
      </c>
      <c r="BF51" s="20">
        <f>BF35*Deposits!$P$14</f>
        <v>0</v>
      </c>
      <c r="BG51" s="20">
        <f>BG35*Deposits!$P$14</f>
        <v>0</v>
      </c>
      <c r="BH51" s="20">
        <f>BH35*Deposits!$P$14</f>
        <v>0</v>
      </c>
      <c r="BI51" s="20">
        <f>BI35*Deposits!$P$14</f>
        <v>0</v>
      </c>
      <c r="BJ51" s="20">
        <f>BJ35*Deposits!$P$14</f>
        <v>0</v>
      </c>
      <c r="BK51" s="20">
        <f>BK35*Deposits!$P$14</f>
        <v>0</v>
      </c>
      <c r="BL51" s="20">
        <f>BL35*Deposits!$P$14</f>
        <v>0</v>
      </c>
      <c r="BM51" s="20">
        <f>BM35*Deposits!$P$14</f>
        <v>0</v>
      </c>
      <c r="BN51" s="20">
        <f>BN35*Deposits!$P$14</f>
        <v>0</v>
      </c>
      <c r="BO51" s="20">
        <f>BO35*Deposits!$P$14</f>
        <v>0</v>
      </c>
      <c r="BP51" s="20">
        <f>BP35*Deposits!$P$14</f>
        <v>0</v>
      </c>
    </row>
    <row r="52" spans="3:68" x14ac:dyDescent="0.25">
      <c r="C52" s="74" t="str">
        <f t="shared" si="22"/>
        <v>Kiegészítő biztosíték visszautalás építési engedély megszerzésekor</v>
      </c>
      <c r="D52" t="s">
        <v>844</v>
      </c>
      <c r="E52" s="20"/>
      <c r="F52" s="20"/>
      <c r="G52" s="20">
        <f t="shared" si="23"/>
        <v>0</v>
      </c>
      <c r="H52" s="20">
        <f>H36*Deposits!$P$15</f>
        <v>0</v>
      </c>
      <c r="I52" s="20">
        <f>I36*Deposits!$P$15</f>
        <v>0</v>
      </c>
      <c r="J52" s="20">
        <f>J36*Deposits!$P$15</f>
        <v>0</v>
      </c>
      <c r="K52" s="20">
        <f>K36*Deposits!$P$15</f>
        <v>0</v>
      </c>
      <c r="L52" s="20">
        <f>L36*Deposits!$P$15</f>
        <v>0</v>
      </c>
      <c r="M52" s="20">
        <f>M36*Deposits!$P$15</f>
        <v>0</v>
      </c>
      <c r="N52" s="20">
        <f>N36*Deposits!$P$15</f>
        <v>0</v>
      </c>
      <c r="O52" s="20">
        <f>O36*Deposits!$P$15</f>
        <v>0</v>
      </c>
      <c r="P52" s="20">
        <f>P36*Deposits!$P$15</f>
        <v>0</v>
      </c>
      <c r="Q52" s="20">
        <f>Q36*Deposits!$P$15</f>
        <v>0</v>
      </c>
      <c r="R52" s="20">
        <f>R36*Deposits!$P$15</f>
        <v>0</v>
      </c>
      <c r="S52" s="20">
        <f>S36*Deposits!$P$15</f>
        <v>0</v>
      </c>
      <c r="T52" s="20">
        <f>T36*Deposits!$P$15</f>
        <v>0</v>
      </c>
      <c r="U52" s="20">
        <f>U36*Deposits!$P$15</f>
        <v>0</v>
      </c>
      <c r="V52" s="20">
        <f>V36*Deposits!$P$15</f>
        <v>0</v>
      </c>
      <c r="W52" s="20">
        <f>W36*Deposits!$P$15</f>
        <v>0</v>
      </c>
      <c r="X52" s="20">
        <f>X36*Deposits!$P$15</f>
        <v>0</v>
      </c>
      <c r="Y52" s="20">
        <f>Y36*Deposits!$P$15</f>
        <v>0</v>
      </c>
      <c r="Z52" s="20">
        <f>Z36*Deposits!$P$15</f>
        <v>0</v>
      </c>
      <c r="AA52" s="20">
        <f>AA36*Deposits!$P$15</f>
        <v>0</v>
      </c>
      <c r="AB52" s="20">
        <f>AB36*Deposits!$P$15</f>
        <v>0</v>
      </c>
      <c r="AC52" s="20">
        <f>AC36*Deposits!$P$15</f>
        <v>0</v>
      </c>
      <c r="AD52" s="20">
        <f>AD36*Deposits!$P$15</f>
        <v>0</v>
      </c>
      <c r="AE52" s="20">
        <f>AE36*Deposits!$P$15</f>
        <v>0</v>
      </c>
      <c r="AF52" s="20">
        <f>AF36*Deposits!$P$15</f>
        <v>0</v>
      </c>
      <c r="AG52" s="20">
        <f>AG36*Deposits!$P$15</f>
        <v>0</v>
      </c>
      <c r="AH52" s="20">
        <f>AH36*Deposits!$P$15</f>
        <v>0</v>
      </c>
      <c r="AI52" s="20">
        <f>AI36*Deposits!$P$15</f>
        <v>0</v>
      </c>
      <c r="AJ52" s="20">
        <f>AJ36*Deposits!$P$15</f>
        <v>0</v>
      </c>
      <c r="AK52" s="20">
        <f>AK36*Deposits!$P$15</f>
        <v>0</v>
      </c>
      <c r="AL52" s="20">
        <f>AL36*Deposits!$P$15</f>
        <v>0</v>
      </c>
      <c r="AM52" s="20">
        <f>AM36*Deposits!$P$15</f>
        <v>0</v>
      </c>
      <c r="AN52" s="20">
        <f>AN36*Deposits!$P$15</f>
        <v>0</v>
      </c>
      <c r="AO52" s="20">
        <f>AO36*Deposits!$P$15</f>
        <v>0</v>
      </c>
      <c r="AP52" s="20">
        <f>AP36*Deposits!$P$15</f>
        <v>0</v>
      </c>
      <c r="AQ52" s="20">
        <f>AQ36*Deposits!$P$15</f>
        <v>0</v>
      </c>
      <c r="AR52" s="20">
        <f>AR36*Deposits!$P$15</f>
        <v>0</v>
      </c>
      <c r="AS52" s="20">
        <f>AS36*Deposits!$P$15</f>
        <v>0</v>
      </c>
      <c r="AT52" s="20">
        <f>AT36*Deposits!$P$15</f>
        <v>0</v>
      </c>
      <c r="AU52" s="20">
        <f>AU36*Deposits!$P$15</f>
        <v>0</v>
      </c>
      <c r="AV52" s="20">
        <f>AV36*Deposits!$P$15</f>
        <v>0</v>
      </c>
      <c r="AW52" s="20">
        <f>AW36*Deposits!$P$15</f>
        <v>0</v>
      </c>
      <c r="AX52" s="20">
        <f>AX36*Deposits!$P$15</f>
        <v>0</v>
      </c>
      <c r="AY52" s="20">
        <f>AY36*Deposits!$P$15</f>
        <v>0</v>
      </c>
      <c r="AZ52" s="20">
        <f>AZ36*Deposits!$P$15</f>
        <v>0</v>
      </c>
      <c r="BA52" s="20">
        <f>BA36*Deposits!$P$15</f>
        <v>0</v>
      </c>
      <c r="BB52" s="20">
        <f>BB36*Deposits!$P$15</f>
        <v>0</v>
      </c>
      <c r="BC52" s="20">
        <f>BC36*Deposits!$P$15</f>
        <v>0</v>
      </c>
      <c r="BD52" s="20">
        <f>BD36*Deposits!$P$15</f>
        <v>0</v>
      </c>
      <c r="BE52" s="20">
        <f>BE36*Deposits!$P$15</f>
        <v>0</v>
      </c>
      <c r="BF52" s="20">
        <f>BF36*Deposits!$P$15</f>
        <v>0</v>
      </c>
      <c r="BG52" s="20">
        <f>BG36*Deposits!$P$15</f>
        <v>0</v>
      </c>
      <c r="BH52" s="20">
        <f>BH36*Deposits!$P$15</f>
        <v>0</v>
      </c>
      <c r="BI52" s="20">
        <f>BI36*Deposits!$P$15</f>
        <v>0</v>
      </c>
      <c r="BJ52" s="20">
        <f>BJ36*Deposits!$P$15</f>
        <v>0</v>
      </c>
      <c r="BK52" s="20">
        <f>BK36*Deposits!$P$15</f>
        <v>0</v>
      </c>
      <c r="BL52" s="20">
        <f>BL36*Deposits!$P$15</f>
        <v>0</v>
      </c>
      <c r="BM52" s="20">
        <f>BM36*Deposits!$P$15</f>
        <v>0</v>
      </c>
      <c r="BN52" s="20">
        <f>BN36*Deposits!$P$15</f>
        <v>0</v>
      </c>
      <c r="BO52" s="20">
        <f>BO36*Deposits!$P$15</f>
        <v>0</v>
      </c>
      <c r="BP52" s="20">
        <f>BP36*Deposits!$P$15</f>
        <v>0</v>
      </c>
    </row>
    <row r="53" spans="3:68" x14ac:dyDescent="0.25">
      <c r="C53" s="74" t="str">
        <f t="shared" si="22"/>
        <v>Kiegészítő biztosíték 3. részlet</v>
      </c>
      <c r="D53" t="s">
        <v>844</v>
      </c>
      <c r="E53" s="20"/>
      <c r="F53" s="20"/>
      <c r="G53" s="20">
        <f t="shared" si="23"/>
        <v>0</v>
      </c>
      <c r="H53" s="20">
        <f>H37*Deposits!$P$16</f>
        <v>0</v>
      </c>
      <c r="I53" s="20">
        <f>I37*Deposits!$P$16</f>
        <v>0</v>
      </c>
      <c r="J53" s="20">
        <f>J37*Deposits!$P$16</f>
        <v>0</v>
      </c>
      <c r="K53" s="20">
        <f>K37*Deposits!$P$16</f>
        <v>0</v>
      </c>
      <c r="L53" s="20">
        <f>L37*Deposits!$P$16</f>
        <v>0</v>
      </c>
      <c r="M53" s="20">
        <f>M37*Deposits!$P$16</f>
        <v>0</v>
      </c>
      <c r="N53" s="20">
        <f>N37*Deposits!$P$16</f>
        <v>0</v>
      </c>
      <c r="O53" s="20">
        <f>O37*Deposits!$P$16</f>
        <v>0</v>
      </c>
      <c r="P53" s="20">
        <f>P37*Deposits!$P$16</f>
        <v>0</v>
      </c>
      <c r="Q53" s="20">
        <f>Q37*Deposits!$P$16</f>
        <v>0</v>
      </c>
      <c r="R53" s="20">
        <f>R37*Deposits!$P$16</f>
        <v>0</v>
      </c>
      <c r="S53" s="20">
        <f>S37*Deposits!$P$16</f>
        <v>0</v>
      </c>
      <c r="T53" s="20">
        <f>T37*Deposits!$P$16</f>
        <v>0</v>
      </c>
      <c r="U53" s="20">
        <f>U37*Deposits!$P$16</f>
        <v>0</v>
      </c>
      <c r="V53" s="20">
        <f>V37*Deposits!$P$16</f>
        <v>0</v>
      </c>
      <c r="W53" s="20">
        <f>W37*Deposits!$P$16</f>
        <v>0</v>
      </c>
      <c r="X53" s="20">
        <f>X37*Deposits!$P$16</f>
        <v>0</v>
      </c>
      <c r="Y53" s="20">
        <f>Y37*Deposits!$P$16</f>
        <v>0</v>
      </c>
      <c r="Z53" s="20">
        <f>Z37*Deposits!$P$16</f>
        <v>0</v>
      </c>
      <c r="AA53" s="20">
        <f>AA37*Deposits!$P$16</f>
        <v>0</v>
      </c>
      <c r="AB53" s="20">
        <f>AB37*Deposits!$P$16</f>
        <v>0</v>
      </c>
      <c r="AC53" s="20">
        <f>AC37*Deposits!$P$16</f>
        <v>0</v>
      </c>
      <c r="AD53" s="20">
        <f>AD37*Deposits!$P$16</f>
        <v>0</v>
      </c>
      <c r="AE53" s="20">
        <f>AE37*Deposits!$P$16</f>
        <v>0</v>
      </c>
      <c r="AF53" s="20">
        <f>AF37*Deposits!$P$16</f>
        <v>0</v>
      </c>
      <c r="AG53" s="20">
        <f>AG37*Deposits!$P$16</f>
        <v>0</v>
      </c>
      <c r="AH53" s="20">
        <f>AH37*Deposits!$P$16</f>
        <v>0</v>
      </c>
      <c r="AI53" s="20">
        <f>AI37*Deposits!$P$16</f>
        <v>0</v>
      </c>
      <c r="AJ53" s="20">
        <f>AJ37*Deposits!$P$16</f>
        <v>0</v>
      </c>
      <c r="AK53" s="20">
        <f>AK37*Deposits!$P$16</f>
        <v>0</v>
      </c>
      <c r="AL53" s="20">
        <f>AL37*Deposits!$P$16</f>
        <v>0</v>
      </c>
      <c r="AM53" s="20">
        <f>AM37*Deposits!$P$16</f>
        <v>0</v>
      </c>
      <c r="AN53" s="20">
        <f>AN37*Deposits!$P$16</f>
        <v>0</v>
      </c>
      <c r="AO53" s="20">
        <f>AO37*Deposits!$P$16</f>
        <v>0</v>
      </c>
      <c r="AP53" s="20">
        <f>AP37*Deposits!$P$16</f>
        <v>0</v>
      </c>
      <c r="AQ53" s="20">
        <f>AQ37*Deposits!$P$16</f>
        <v>0</v>
      </c>
      <c r="AR53" s="20">
        <f>AR37*Deposits!$P$16</f>
        <v>0</v>
      </c>
      <c r="AS53" s="20">
        <f>AS37*Deposits!$P$16</f>
        <v>0</v>
      </c>
      <c r="AT53" s="20">
        <f>AT37*Deposits!$P$16</f>
        <v>0</v>
      </c>
      <c r="AU53" s="20">
        <f>AU37*Deposits!$P$16</f>
        <v>0</v>
      </c>
      <c r="AV53" s="20">
        <f>AV37*Deposits!$P$16</f>
        <v>0</v>
      </c>
      <c r="AW53" s="20">
        <f>AW37*Deposits!$P$16</f>
        <v>0</v>
      </c>
      <c r="AX53" s="20">
        <f>AX37*Deposits!$P$16</f>
        <v>0</v>
      </c>
      <c r="AY53" s="20">
        <f>AY37*Deposits!$P$16</f>
        <v>0</v>
      </c>
      <c r="AZ53" s="20">
        <f>AZ37*Deposits!$P$16</f>
        <v>0</v>
      </c>
      <c r="BA53" s="20">
        <f>BA37*Deposits!$P$16</f>
        <v>0</v>
      </c>
      <c r="BB53" s="20">
        <f>BB37*Deposits!$P$16</f>
        <v>0</v>
      </c>
      <c r="BC53" s="20">
        <f>BC37*Deposits!$P$16</f>
        <v>0</v>
      </c>
      <c r="BD53" s="20">
        <f>BD37*Deposits!$P$16</f>
        <v>0</v>
      </c>
      <c r="BE53" s="20">
        <f>BE37*Deposits!$P$16</f>
        <v>0</v>
      </c>
      <c r="BF53" s="20">
        <f>BF37*Deposits!$P$16</f>
        <v>0</v>
      </c>
      <c r="BG53" s="20">
        <f>BG37*Deposits!$P$16</f>
        <v>0</v>
      </c>
      <c r="BH53" s="20">
        <f>BH37*Deposits!$P$16</f>
        <v>0</v>
      </c>
      <c r="BI53" s="20">
        <f>BI37*Deposits!$P$16</f>
        <v>0</v>
      </c>
      <c r="BJ53" s="20">
        <f>BJ37*Deposits!$P$16</f>
        <v>0</v>
      </c>
      <c r="BK53" s="20">
        <f>BK37*Deposits!$P$16</f>
        <v>0</v>
      </c>
      <c r="BL53" s="20">
        <f>BL37*Deposits!$P$16</f>
        <v>0</v>
      </c>
      <c r="BM53" s="20">
        <f>BM37*Deposits!$P$16</f>
        <v>0</v>
      </c>
      <c r="BN53" s="20">
        <f>BN37*Deposits!$P$16</f>
        <v>0</v>
      </c>
      <c r="BO53" s="20">
        <f>BO37*Deposits!$P$16</f>
        <v>0</v>
      </c>
      <c r="BP53" s="20">
        <f>BP37*Deposits!$P$16</f>
        <v>0</v>
      </c>
    </row>
    <row r="54" spans="3:68" x14ac:dyDescent="0.25">
      <c r="C54" s="74" t="str">
        <f t="shared" si="22"/>
        <v>Kiegészítő biztosíték 4. részlet</v>
      </c>
      <c r="D54" t="s">
        <v>844</v>
      </c>
      <c r="E54" s="20"/>
      <c r="F54" s="20"/>
      <c r="G54" s="20">
        <f t="shared" si="23"/>
        <v>0</v>
      </c>
      <c r="H54" s="20">
        <f>H38*Deposits!$P$17</f>
        <v>0</v>
      </c>
      <c r="I54" s="20">
        <f>I38*Deposits!$P$17</f>
        <v>0</v>
      </c>
      <c r="J54" s="20">
        <f>J38*Deposits!$P$17</f>
        <v>0</v>
      </c>
      <c r="K54" s="20">
        <f>K38*Deposits!$P$17</f>
        <v>0</v>
      </c>
      <c r="L54" s="20">
        <f>L38*Deposits!$P$17</f>
        <v>0</v>
      </c>
      <c r="M54" s="20">
        <f>M38*Deposits!$P$17</f>
        <v>0</v>
      </c>
      <c r="N54" s="20">
        <f>N38*Deposits!$P$17</f>
        <v>0</v>
      </c>
      <c r="O54" s="20">
        <f>O38*Deposits!$P$17</f>
        <v>0</v>
      </c>
      <c r="P54" s="20">
        <f>P38*Deposits!$P$17</f>
        <v>0</v>
      </c>
      <c r="Q54" s="20">
        <f>Q38*Deposits!$P$17</f>
        <v>0</v>
      </c>
      <c r="R54" s="20">
        <f>R38*Deposits!$P$17</f>
        <v>0</v>
      </c>
      <c r="S54" s="20">
        <f>S38*Deposits!$P$17</f>
        <v>0</v>
      </c>
      <c r="T54" s="20">
        <f>T38*Deposits!$P$17</f>
        <v>0</v>
      </c>
      <c r="U54" s="20">
        <f>U38*Deposits!$P$17</f>
        <v>0</v>
      </c>
      <c r="V54" s="20">
        <f>V38*Deposits!$P$17</f>
        <v>0</v>
      </c>
      <c r="W54" s="20">
        <f>W38*Deposits!$P$17</f>
        <v>0</v>
      </c>
      <c r="X54" s="20">
        <f>X38*Deposits!$P$17</f>
        <v>0</v>
      </c>
      <c r="Y54" s="20">
        <f>Y38*Deposits!$P$17</f>
        <v>0</v>
      </c>
      <c r="Z54" s="20">
        <f>Z38*Deposits!$P$17</f>
        <v>0</v>
      </c>
      <c r="AA54" s="20">
        <f>AA38*Deposits!$P$17</f>
        <v>0</v>
      </c>
      <c r="AB54" s="20">
        <f>AB38*Deposits!$P$17</f>
        <v>0</v>
      </c>
      <c r="AC54" s="20">
        <f>AC38*Deposits!$P$17</f>
        <v>0</v>
      </c>
      <c r="AD54" s="20">
        <f>AD38*Deposits!$P$17</f>
        <v>0</v>
      </c>
      <c r="AE54" s="20">
        <f>AE38*Deposits!$P$17</f>
        <v>0</v>
      </c>
      <c r="AF54" s="20">
        <f>AF38*Deposits!$P$17</f>
        <v>0</v>
      </c>
      <c r="AG54" s="20">
        <f>AG38*Deposits!$P$17</f>
        <v>0</v>
      </c>
      <c r="AH54" s="20">
        <f>AH38*Deposits!$P$17</f>
        <v>0</v>
      </c>
      <c r="AI54" s="20">
        <f>AI38*Deposits!$P$17</f>
        <v>0</v>
      </c>
      <c r="AJ54" s="20">
        <f>AJ38*Deposits!$P$17</f>
        <v>0</v>
      </c>
      <c r="AK54" s="20">
        <f>AK38*Deposits!$P$17</f>
        <v>0</v>
      </c>
      <c r="AL54" s="20">
        <f>AL38*Deposits!$P$17</f>
        <v>0</v>
      </c>
      <c r="AM54" s="20">
        <f>AM38*Deposits!$P$17</f>
        <v>0</v>
      </c>
      <c r="AN54" s="20">
        <f>AN38*Deposits!$P$17</f>
        <v>0</v>
      </c>
      <c r="AO54" s="20">
        <f>AO38*Deposits!$P$17</f>
        <v>0</v>
      </c>
      <c r="AP54" s="20">
        <f>AP38*Deposits!$P$17</f>
        <v>0</v>
      </c>
      <c r="AQ54" s="20">
        <f>AQ38*Deposits!$P$17</f>
        <v>0</v>
      </c>
      <c r="AR54" s="20">
        <f>AR38*Deposits!$P$17</f>
        <v>0</v>
      </c>
      <c r="AS54" s="20">
        <f>AS38*Deposits!$P$17</f>
        <v>0</v>
      </c>
      <c r="AT54" s="20">
        <f>AT38*Deposits!$P$17</f>
        <v>0</v>
      </c>
      <c r="AU54" s="20">
        <f>AU38*Deposits!$P$17</f>
        <v>0</v>
      </c>
      <c r="AV54" s="20">
        <f>AV38*Deposits!$P$17</f>
        <v>0</v>
      </c>
      <c r="AW54" s="20">
        <f>AW38*Deposits!$P$17</f>
        <v>0</v>
      </c>
      <c r="AX54" s="20">
        <f>AX38*Deposits!$P$17</f>
        <v>0</v>
      </c>
      <c r="AY54" s="20">
        <f>AY38*Deposits!$P$17</f>
        <v>0</v>
      </c>
      <c r="AZ54" s="20">
        <f>AZ38*Deposits!$P$17</f>
        <v>0</v>
      </c>
      <c r="BA54" s="20">
        <f>BA38*Deposits!$P$17</f>
        <v>0</v>
      </c>
      <c r="BB54" s="20">
        <f>BB38*Deposits!$P$17</f>
        <v>0</v>
      </c>
      <c r="BC54" s="20">
        <f>BC38*Deposits!$P$17</f>
        <v>0</v>
      </c>
      <c r="BD54" s="20">
        <f>BD38*Deposits!$P$17</f>
        <v>0</v>
      </c>
      <c r="BE54" s="20">
        <f>BE38*Deposits!$P$17</f>
        <v>0</v>
      </c>
      <c r="BF54" s="20">
        <f>BF38*Deposits!$P$17</f>
        <v>0</v>
      </c>
      <c r="BG54" s="20">
        <f>BG38*Deposits!$P$17</f>
        <v>0</v>
      </c>
      <c r="BH54" s="20">
        <f>BH38*Deposits!$P$17</f>
        <v>0</v>
      </c>
      <c r="BI54" s="20">
        <f>BI38*Deposits!$P$17</f>
        <v>0</v>
      </c>
      <c r="BJ54" s="20">
        <f>BJ38*Deposits!$P$17</f>
        <v>0</v>
      </c>
      <c r="BK54" s="20">
        <f>BK38*Deposits!$P$17</f>
        <v>0</v>
      </c>
      <c r="BL54" s="20">
        <f>BL38*Deposits!$P$17</f>
        <v>0</v>
      </c>
      <c r="BM54" s="20">
        <f>BM38*Deposits!$P$17</f>
        <v>0</v>
      </c>
      <c r="BN54" s="20">
        <f>BN38*Deposits!$P$17</f>
        <v>0</v>
      </c>
      <c r="BO54" s="20">
        <f>BO38*Deposits!$P$17</f>
        <v>0</v>
      </c>
      <c r="BP54" s="20">
        <f>BP38*Deposits!$P$17</f>
        <v>0</v>
      </c>
    </row>
    <row r="55" spans="3:68" x14ac:dyDescent="0.25">
      <c r="C55" s="74" t="str">
        <f t="shared" si="22"/>
        <v>Csatlakozási díj – becsült összeg</v>
      </c>
      <c r="D55" t="s">
        <v>844</v>
      </c>
      <c r="E55" s="20"/>
      <c r="F55" s="20"/>
      <c r="G55" s="20">
        <f t="shared" si="23"/>
        <v>37573.31835616439</v>
      </c>
      <c r="H55" s="20">
        <f>H39*Deposits!$P$18</f>
        <v>0</v>
      </c>
      <c r="I55" s="20">
        <f>I39*Deposits!$P$18</f>
        <v>0</v>
      </c>
      <c r="J55" s="20">
        <f>J39*Deposits!$P$18</f>
        <v>0</v>
      </c>
      <c r="K55" s="20">
        <f>K39*Deposits!$P$18</f>
        <v>0</v>
      </c>
      <c r="L55" s="20">
        <f>L39*Deposits!$P$18</f>
        <v>0</v>
      </c>
      <c r="M55" s="20">
        <f>M39*Deposits!$P$18</f>
        <v>0</v>
      </c>
      <c r="N55" s="20">
        <f>N39*Deposits!$P$18</f>
        <v>0</v>
      </c>
      <c r="O55" s="20">
        <f>O39*Deposits!$P$18</f>
        <v>0</v>
      </c>
      <c r="P55" s="20">
        <f>P39*Deposits!$P$18</f>
        <v>0</v>
      </c>
      <c r="Q55" s="20">
        <f>Q39*Deposits!$P$18</f>
        <v>0</v>
      </c>
      <c r="R55" s="20">
        <f>R39*Deposits!$P$18</f>
        <v>0</v>
      </c>
      <c r="S55" s="20">
        <f>S39*Deposits!$P$18</f>
        <v>0</v>
      </c>
      <c r="T55" s="20">
        <f>T39*Deposits!$P$18</f>
        <v>0</v>
      </c>
      <c r="U55" s="20">
        <f>U39*Deposits!$P$18</f>
        <v>0</v>
      </c>
      <c r="V55" s="20">
        <f>V39*Deposits!$P$18</f>
        <v>0</v>
      </c>
      <c r="W55" s="20">
        <f>W39*Deposits!$P$18</f>
        <v>0</v>
      </c>
      <c r="X55" s="20">
        <f>X39*Deposits!$P$18</f>
        <v>0</v>
      </c>
      <c r="Y55" s="20">
        <f>Y39*Deposits!$P$18</f>
        <v>0</v>
      </c>
      <c r="Z55" s="20">
        <f>Z39*Deposits!$P$18</f>
        <v>0</v>
      </c>
      <c r="AA55" s="20">
        <f>AA39*Deposits!$P$18</f>
        <v>0</v>
      </c>
      <c r="AB55" s="20">
        <f>AB39*Deposits!$P$18</f>
        <v>0</v>
      </c>
      <c r="AC55" s="20">
        <f>AC39*Deposits!$P$18</f>
        <v>0</v>
      </c>
      <c r="AD55" s="20">
        <f>AD39*Deposits!$P$18</f>
        <v>0</v>
      </c>
      <c r="AE55" s="20">
        <f>AE39*Deposits!$P$18</f>
        <v>0</v>
      </c>
      <c r="AF55" s="20">
        <f>AF39*Deposits!$P$18</f>
        <v>0</v>
      </c>
      <c r="AG55" s="20">
        <f>AG39*Deposits!$P$18</f>
        <v>0</v>
      </c>
      <c r="AH55" s="20">
        <f>AH39*Deposits!$P$18</f>
        <v>0</v>
      </c>
      <c r="AI55" s="20">
        <f>AI39*Deposits!$P$18</f>
        <v>0</v>
      </c>
      <c r="AJ55" s="20">
        <f>AJ39*Deposits!$P$18</f>
        <v>0</v>
      </c>
      <c r="AK55" s="20">
        <f>AK39*Deposits!$P$18</f>
        <v>0</v>
      </c>
      <c r="AL55" s="20">
        <f>AL39*Deposits!$P$18</f>
        <v>37573.31835616439</v>
      </c>
      <c r="AM55" s="20">
        <f>AM39*Deposits!$P$18</f>
        <v>0</v>
      </c>
      <c r="AN55" s="20">
        <f>AN39*Deposits!$P$18</f>
        <v>0</v>
      </c>
      <c r="AO55" s="20">
        <f>AO39*Deposits!$P$18</f>
        <v>0</v>
      </c>
      <c r="AP55" s="20">
        <f>AP39*Deposits!$P$18</f>
        <v>0</v>
      </c>
      <c r="AQ55" s="20">
        <f>AQ39*Deposits!$P$18</f>
        <v>0</v>
      </c>
      <c r="AR55" s="20">
        <f>AR39*Deposits!$P$18</f>
        <v>0</v>
      </c>
      <c r="AS55" s="20">
        <f>AS39*Deposits!$P$18</f>
        <v>0</v>
      </c>
      <c r="AT55" s="20">
        <f>AT39*Deposits!$P$18</f>
        <v>0</v>
      </c>
      <c r="AU55" s="20">
        <f>AU39*Deposits!$P$18</f>
        <v>0</v>
      </c>
      <c r="AV55" s="20">
        <f>AV39*Deposits!$P$18</f>
        <v>0</v>
      </c>
      <c r="AW55" s="20">
        <f>AW39*Deposits!$P$18</f>
        <v>0</v>
      </c>
      <c r="AX55" s="20">
        <f>AX39*Deposits!$P$18</f>
        <v>0</v>
      </c>
      <c r="AY55" s="20">
        <f>AY39*Deposits!$P$18</f>
        <v>0</v>
      </c>
      <c r="AZ55" s="20">
        <f>AZ39*Deposits!$P$18</f>
        <v>0</v>
      </c>
      <c r="BA55" s="20">
        <f>BA39*Deposits!$P$18</f>
        <v>0</v>
      </c>
      <c r="BB55" s="20">
        <f>BB39*Deposits!$P$18</f>
        <v>0</v>
      </c>
      <c r="BC55" s="20">
        <f>BC39*Deposits!$P$18</f>
        <v>0</v>
      </c>
      <c r="BD55" s="20">
        <f>BD39*Deposits!$P$18</f>
        <v>0</v>
      </c>
      <c r="BE55" s="20">
        <f>BE39*Deposits!$P$18</f>
        <v>0</v>
      </c>
      <c r="BF55" s="20">
        <f>BF39*Deposits!$P$18</f>
        <v>0</v>
      </c>
      <c r="BG55" s="20">
        <f>BG39*Deposits!$P$18</f>
        <v>0</v>
      </c>
      <c r="BH55" s="20">
        <f>BH39*Deposits!$P$18</f>
        <v>0</v>
      </c>
      <c r="BI55" s="20">
        <f>BI39*Deposits!$P$18</f>
        <v>0</v>
      </c>
      <c r="BJ55" s="20">
        <f>BJ39*Deposits!$P$18</f>
        <v>0</v>
      </c>
      <c r="BK55" s="20">
        <f>BK39*Deposits!$P$18</f>
        <v>0</v>
      </c>
      <c r="BL55" s="20">
        <f>BL39*Deposits!$P$18</f>
        <v>0</v>
      </c>
      <c r="BM55" s="20">
        <f>BM39*Deposits!$P$18</f>
        <v>0</v>
      </c>
      <c r="BN55" s="20">
        <f>BN39*Deposits!$P$18</f>
        <v>0</v>
      </c>
      <c r="BO55" s="20">
        <f>BO39*Deposits!$P$18</f>
        <v>0</v>
      </c>
      <c r="BP55" s="20">
        <f>BP39*Deposits!$P$18</f>
        <v>0</v>
      </c>
    </row>
    <row r="56" spans="3:68" x14ac:dyDescent="0.25">
      <c r="C56" s="6" t="s">
        <v>676</v>
      </c>
      <c r="D56" s="6" t="s">
        <v>844</v>
      </c>
      <c r="E56" s="95"/>
      <c r="F56" s="95"/>
      <c r="G56" s="95">
        <f t="shared" si="23"/>
        <v>41448.23836712329</v>
      </c>
      <c r="H56" s="95">
        <f t="shared" ref="H56:AM56" si="24">SUM(H44:H55)</f>
        <v>0</v>
      </c>
      <c r="I56" s="95">
        <f t="shared" si="24"/>
        <v>0</v>
      </c>
      <c r="J56" s="95">
        <f t="shared" si="24"/>
        <v>0</v>
      </c>
      <c r="K56" s="95">
        <f t="shared" si="24"/>
        <v>16.438356164383563</v>
      </c>
      <c r="L56" s="95">
        <f t="shared" si="24"/>
        <v>0</v>
      </c>
      <c r="M56" s="95">
        <f t="shared" si="24"/>
        <v>2465.753424657534</v>
      </c>
      <c r="N56" s="95">
        <f t="shared" si="24"/>
        <v>0</v>
      </c>
      <c r="O56" s="95">
        <f t="shared" si="24"/>
        <v>0</v>
      </c>
      <c r="P56" s="95">
        <f t="shared" si="24"/>
        <v>0</v>
      </c>
      <c r="Q56" s="95">
        <f t="shared" si="24"/>
        <v>0</v>
      </c>
      <c r="R56" s="95">
        <f t="shared" si="24"/>
        <v>0</v>
      </c>
      <c r="S56" s="95">
        <f t="shared" si="24"/>
        <v>0</v>
      </c>
      <c r="T56" s="95">
        <f t="shared" si="24"/>
        <v>0</v>
      </c>
      <c r="U56" s="95">
        <f t="shared" si="24"/>
        <v>0</v>
      </c>
      <c r="V56" s="95">
        <f t="shared" si="24"/>
        <v>0</v>
      </c>
      <c r="W56" s="95">
        <f t="shared" si="24"/>
        <v>0</v>
      </c>
      <c r="X56" s="95">
        <f t="shared" si="24"/>
        <v>0</v>
      </c>
      <c r="Y56" s="95">
        <f t="shared" si="24"/>
        <v>0</v>
      </c>
      <c r="Z56" s="95">
        <f t="shared" si="24"/>
        <v>0</v>
      </c>
      <c r="AA56" s="95">
        <f t="shared" si="24"/>
        <v>0</v>
      </c>
      <c r="AB56" s="95">
        <f t="shared" si="24"/>
        <v>0</v>
      </c>
      <c r="AC56" s="95">
        <f t="shared" si="24"/>
        <v>0</v>
      </c>
      <c r="AD56" s="95">
        <f t="shared" si="24"/>
        <v>0</v>
      </c>
      <c r="AE56" s="95">
        <f t="shared" si="24"/>
        <v>0</v>
      </c>
      <c r="AF56" s="95">
        <f t="shared" si="24"/>
        <v>0</v>
      </c>
      <c r="AG56" s="95">
        <f t="shared" si="24"/>
        <v>0</v>
      </c>
      <c r="AH56" s="95">
        <f t="shared" si="24"/>
        <v>0</v>
      </c>
      <c r="AI56" s="95">
        <f t="shared" si="24"/>
        <v>0</v>
      </c>
      <c r="AJ56" s="95">
        <f t="shared" si="24"/>
        <v>0</v>
      </c>
      <c r="AK56" s="95">
        <f t="shared" si="24"/>
        <v>0</v>
      </c>
      <c r="AL56" s="95">
        <f t="shared" si="24"/>
        <v>38966.046586301374</v>
      </c>
      <c r="AM56" s="95">
        <f t="shared" si="24"/>
        <v>0</v>
      </c>
      <c r="AN56" s="95">
        <f t="shared" ref="AN56:BP56" si="25">SUM(AN44:AN55)</f>
        <v>0</v>
      </c>
      <c r="AO56" s="95">
        <f t="shared" si="25"/>
        <v>0</v>
      </c>
      <c r="AP56" s="95">
        <f t="shared" si="25"/>
        <v>0</v>
      </c>
      <c r="AQ56" s="95">
        <f t="shared" si="25"/>
        <v>0</v>
      </c>
      <c r="AR56" s="95">
        <f t="shared" si="25"/>
        <v>0</v>
      </c>
      <c r="AS56" s="95">
        <f t="shared" si="25"/>
        <v>0</v>
      </c>
      <c r="AT56" s="95">
        <f t="shared" si="25"/>
        <v>0</v>
      </c>
      <c r="AU56" s="95">
        <f t="shared" si="25"/>
        <v>0</v>
      </c>
      <c r="AV56" s="95">
        <f t="shared" si="25"/>
        <v>0</v>
      </c>
      <c r="AW56" s="95">
        <f t="shared" si="25"/>
        <v>0</v>
      </c>
      <c r="AX56" s="95">
        <f t="shared" si="25"/>
        <v>0</v>
      </c>
      <c r="AY56" s="95">
        <f t="shared" si="25"/>
        <v>0</v>
      </c>
      <c r="AZ56" s="95">
        <f t="shared" si="25"/>
        <v>0</v>
      </c>
      <c r="BA56" s="95">
        <f t="shared" si="25"/>
        <v>0</v>
      </c>
      <c r="BB56" s="95">
        <f t="shared" si="25"/>
        <v>0</v>
      </c>
      <c r="BC56" s="95">
        <f t="shared" si="25"/>
        <v>0</v>
      </c>
      <c r="BD56" s="95">
        <f t="shared" si="25"/>
        <v>0</v>
      </c>
      <c r="BE56" s="95">
        <f t="shared" si="25"/>
        <v>0</v>
      </c>
      <c r="BF56" s="95">
        <f t="shared" si="25"/>
        <v>0</v>
      </c>
      <c r="BG56" s="95">
        <f t="shared" si="25"/>
        <v>0</v>
      </c>
      <c r="BH56" s="95">
        <f t="shared" si="25"/>
        <v>0</v>
      </c>
      <c r="BI56" s="95">
        <f t="shared" si="25"/>
        <v>0</v>
      </c>
      <c r="BJ56" s="95">
        <f t="shared" si="25"/>
        <v>0</v>
      </c>
      <c r="BK56" s="95">
        <f t="shared" si="25"/>
        <v>0</v>
      </c>
      <c r="BL56" s="95">
        <f t="shared" si="25"/>
        <v>0</v>
      </c>
      <c r="BM56" s="95">
        <f t="shared" si="25"/>
        <v>0</v>
      </c>
      <c r="BN56" s="95">
        <f t="shared" si="25"/>
        <v>0</v>
      </c>
      <c r="BO56" s="95">
        <f t="shared" si="25"/>
        <v>0</v>
      </c>
      <c r="BP56" s="95">
        <f t="shared" si="25"/>
        <v>0</v>
      </c>
    </row>
    <row r="57" spans="3:68" x14ac:dyDescent="0.25">
      <c r="C57" t="s">
        <v>677</v>
      </c>
      <c r="D57" t="s">
        <v>844</v>
      </c>
      <c r="E57" s="20"/>
      <c r="F57" s="20"/>
      <c r="G57" s="20">
        <f>MAX(H57:BP57)</f>
        <v>41448.23836712329</v>
      </c>
      <c r="H57" s="20">
        <f>H56</f>
        <v>0</v>
      </c>
      <c r="I57" s="20">
        <f t="shared" ref="I57:AN57" si="26">H57+I56</f>
        <v>0</v>
      </c>
      <c r="J57" s="20">
        <f t="shared" si="26"/>
        <v>0</v>
      </c>
      <c r="K57" s="20">
        <f t="shared" si="26"/>
        <v>16.438356164383563</v>
      </c>
      <c r="L57" s="20">
        <f t="shared" si="26"/>
        <v>16.438356164383563</v>
      </c>
      <c r="M57" s="20">
        <f t="shared" si="26"/>
        <v>2482.1917808219177</v>
      </c>
      <c r="N57" s="20">
        <f t="shared" si="26"/>
        <v>2482.1917808219177</v>
      </c>
      <c r="O57" s="20">
        <f t="shared" si="26"/>
        <v>2482.1917808219177</v>
      </c>
      <c r="P57" s="20">
        <f t="shared" si="26"/>
        <v>2482.1917808219177</v>
      </c>
      <c r="Q57" s="20">
        <f t="shared" si="26"/>
        <v>2482.1917808219177</v>
      </c>
      <c r="R57" s="20">
        <f t="shared" si="26"/>
        <v>2482.1917808219177</v>
      </c>
      <c r="S57" s="20">
        <f t="shared" si="26"/>
        <v>2482.1917808219177</v>
      </c>
      <c r="T57" s="20">
        <f t="shared" si="26"/>
        <v>2482.1917808219177</v>
      </c>
      <c r="U57" s="20">
        <f t="shared" si="26"/>
        <v>2482.1917808219177</v>
      </c>
      <c r="V57" s="20">
        <f t="shared" si="26"/>
        <v>2482.1917808219177</v>
      </c>
      <c r="W57" s="20">
        <f t="shared" si="26"/>
        <v>2482.1917808219177</v>
      </c>
      <c r="X57" s="20">
        <f t="shared" si="26"/>
        <v>2482.1917808219177</v>
      </c>
      <c r="Y57" s="20">
        <f t="shared" si="26"/>
        <v>2482.1917808219177</v>
      </c>
      <c r="Z57" s="20">
        <f t="shared" si="26"/>
        <v>2482.1917808219177</v>
      </c>
      <c r="AA57" s="20">
        <f t="shared" si="26"/>
        <v>2482.1917808219177</v>
      </c>
      <c r="AB57" s="20">
        <f t="shared" si="26"/>
        <v>2482.1917808219177</v>
      </c>
      <c r="AC57" s="20">
        <f t="shared" si="26"/>
        <v>2482.1917808219177</v>
      </c>
      <c r="AD57" s="20">
        <f t="shared" si="26"/>
        <v>2482.1917808219177</v>
      </c>
      <c r="AE57" s="20">
        <f t="shared" si="26"/>
        <v>2482.1917808219177</v>
      </c>
      <c r="AF57" s="20">
        <f t="shared" si="26"/>
        <v>2482.1917808219177</v>
      </c>
      <c r="AG57" s="20">
        <f t="shared" si="26"/>
        <v>2482.1917808219177</v>
      </c>
      <c r="AH57" s="20">
        <f t="shared" si="26"/>
        <v>2482.1917808219177</v>
      </c>
      <c r="AI57" s="20">
        <f t="shared" si="26"/>
        <v>2482.1917808219177</v>
      </c>
      <c r="AJ57" s="20">
        <f t="shared" si="26"/>
        <v>2482.1917808219177</v>
      </c>
      <c r="AK57" s="20">
        <f t="shared" si="26"/>
        <v>2482.1917808219177</v>
      </c>
      <c r="AL57" s="20">
        <f t="shared" si="26"/>
        <v>41448.23836712329</v>
      </c>
      <c r="AM57" s="20">
        <f t="shared" si="26"/>
        <v>41448.23836712329</v>
      </c>
      <c r="AN57" s="20">
        <f t="shared" si="26"/>
        <v>41448.23836712329</v>
      </c>
      <c r="AO57" s="20">
        <f t="shared" ref="AO57:BP57" si="27">AN57+AO56</f>
        <v>41448.23836712329</v>
      </c>
      <c r="AP57" s="20">
        <f t="shared" si="27"/>
        <v>41448.23836712329</v>
      </c>
      <c r="AQ57" s="20">
        <f t="shared" si="27"/>
        <v>41448.23836712329</v>
      </c>
      <c r="AR57" s="20">
        <f t="shared" si="27"/>
        <v>41448.23836712329</v>
      </c>
      <c r="AS57" s="20">
        <f t="shared" si="27"/>
        <v>41448.23836712329</v>
      </c>
      <c r="AT57" s="20">
        <f t="shared" si="27"/>
        <v>41448.23836712329</v>
      </c>
      <c r="AU57" s="20">
        <f t="shared" si="27"/>
        <v>41448.23836712329</v>
      </c>
      <c r="AV57" s="20">
        <f t="shared" si="27"/>
        <v>41448.23836712329</v>
      </c>
      <c r="AW57" s="20">
        <f t="shared" si="27"/>
        <v>41448.23836712329</v>
      </c>
      <c r="AX57" s="20">
        <f t="shared" si="27"/>
        <v>41448.23836712329</v>
      </c>
      <c r="AY57" s="20">
        <f t="shared" si="27"/>
        <v>41448.23836712329</v>
      </c>
      <c r="AZ57" s="20">
        <f t="shared" si="27"/>
        <v>41448.23836712329</v>
      </c>
      <c r="BA57" s="20">
        <f t="shared" si="27"/>
        <v>41448.23836712329</v>
      </c>
      <c r="BB57" s="20">
        <f t="shared" si="27"/>
        <v>41448.23836712329</v>
      </c>
      <c r="BC57" s="20">
        <f t="shared" si="27"/>
        <v>41448.23836712329</v>
      </c>
      <c r="BD57" s="20">
        <f t="shared" si="27"/>
        <v>41448.23836712329</v>
      </c>
      <c r="BE57" s="20">
        <f t="shared" si="27"/>
        <v>41448.23836712329</v>
      </c>
      <c r="BF57" s="20">
        <f t="shared" si="27"/>
        <v>41448.23836712329</v>
      </c>
      <c r="BG57" s="20">
        <f t="shared" si="27"/>
        <v>41448.23836712329</v>
      </c>
      <c r="BH57" s="20">
        <f t="shared" si="27"/>
        <v>41448.23836712329</v>
      </c>
      <c r="BI57" s="20">
        <f t="shared" si="27"/>
        <v>41448.23836712329</v>
      </c>
      <c r="BJ57" s="20">
        <f t="shared" si="27"/>
        <v>41448.23836712329</v>
      </c>
      <c r="BK57" s="20">
        <f t="shared" si="27"/>
        <v>41448.23836712329</v>
      </c>
      <c r="BL57" s="20">
        <f t="shared" si="27"/>
        <v>41448.23836712329</v>
      </c>
      <c r="BM57" s="20">
        <f t="shared" si="27"/>
        <v>41448.23836712329</v>
      </c>
      <c r="BN57" s="20">
        <f t="shared" si="27"/>
        <v>41448.23836712329</v>
      </c>
      <c r="BO57" s="20">
        <f t="shared" si="27"/>
        <v>41448.23836712329</v>
      </c>
      <c r="BP57" s="20">
        <f t="shared" si="27"/>
        <v>41448.23836712329</v>
      </c>
    </row>
    <row r="58" spans="3:68" x14ac:dyDescent="0.25">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row>
    <row r="59" spans="3:68" x14ac:dyDescent="0.25">
      <c r="C59" s="43" t="s">
        <v>678</v>
      </c>
      <c r="D59" s="43"/>
      <c r="E59" s="96"/>
      <c r="F59" s="96"/>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row>
    <row r="60" spans="3:68" x14ac:dyDescent="0.25">
      <c r="C60" s="74" t="str">
        <f t="shared" ref="C60:C71" si="28">C28</f>
        <v>Részvételi díj</v>
      </c>
      <c r="D60" t="s">
        <v>844</v>
      </c>
      <c r="E60" s="20"/>
      <c r="F60" s="20"/>
      <c r="G60" s="20">
        <f t="shared" ref="G60:G72" si="29">SUM(H60:BP60)</f>
        <v>0</v>
      </c>
      <c r="H60" s="20">
        <f>H28*(1-Deposits!$P$7)</f>
        <v>0</v>
      </c>
      <c r="I60" s="20">
        <f>I28*(1-Deposits!$P$7)</f>
        <v>0</v>
      </c>
      <c r="J60" s="20">
        <f>J28*(1-Deposits!$P$7)</f>
        <v>0</v>
      </c>
      <c r="K60" s="20">
        <f>K28*(1-Deposits!$P$7)</f>
        <v>0</v>
      </c>
      <c r="L60" s="20">
        <f>L28*(1-Deposits!$P$7)</f>
        <v>0</v>
      </c>
      <c r="M60" s="20">
        <f>M28*(1-Deposits!$P$7)</f>
        <v>0</v>
      </c>
      <c r="N60" s="20">
        <f>N28*(1-Deposits!$P$7)</f>
        <v>0</v>
      </c>
      <c r="O60" s="20">
        <f>O28*(1-Deposits!$P$7)</f>
        <v>0</v>
      </c>
      <c r="P60" s="20">
        <f>P28*(1-Deposits!$P$7)</f>
        <v>0</v>
      </c>
      <c r="Q60" s="20">
        <f>Q28*(1-Deposits!$P$7)</f>
        <v>0</v>
      </c>
      <c r="R60" s="20">
        <f>R28*(1-Deposits!$P$7)</f>
        <v>0</v>
      </c>
      <c r="S60" s="20">
        <f>S28*(1-Deposits!$P$7)</f>
        <v>0</v>
      </c>
      <c r="T60" s="20">
        <f>T28*(1-Deposits!$P$7)</f>
        <v>0</v>
      </c>
      <c r="U60" s="20">
        <f>U28*(1-Deposits!$P$7)</f>
        <v>0</v>
      </c>
      <c r="V60" s="20">
        <f>V28*(1-Deposits!$P$7)</f>
        <v>0</v>
      </c>
      <c r="W60" s="20">
        <f>W28*(1-Deposits!$P$7)</f>
        <v>0</v>
      </c>
      <c r="X60" s="20">
        <f>X28*(1-Deposits!$P$7)</f>
        <v>0</v>
      </c>
      <c r="Y60" s="20">
        <f>Y28*(1-Deposits!$P$7)</f>
        <v>0</v>
      </c>
      <c r="Z60" s="20">
        <f>Z28*(1-Deposits!$P$7)</f>
        <v>0</v>
      </c>
      <c r="AA60" s="20">
        <f>AA28*(1-Deposits!$P$7)</f>
        <v>0</v>
      </c>
      <c r="AB60" s="20">
        <f>AB28*(1-Deposits!$P$7)</f>
        <v>0</v>
      </c>
      <c r="AC60" s="20">
        <f>AC28*(1-Deposits!$P$7)</f>
        <v>0</v>
      </c>
      <c r="AD60" s="20">
        <f>AD28*(1-Deposits!$P$7)</f>
        <v>0</v>
      </c>
      <c r="AE60" s="20">
        <f>AE28*(1-Deposits!$P$7)</f>
        <v>0</v>
      </c>
      <c r="AF60" s="20">
        <f>AF28*(1-Deposits!$P$7)</f>
        <v>0</v>
      </c>
      <c r="AG60" s="20">
        <f>AG28*(1-Deposits!$P$7)</f>
        <v>0</v>
      </c>
      <c r="AH60" s="20">
        <f>AH28*(1-Deposits!$P$7)</f>
        <v>0</v>
      </c>
      <c r="AI60" s="20">
        <f>AI28*(1-Deposits!$P$7)</f>
        <v>0</v>
      </c>
      <c r="AJ60" s="20">
        <f>AJ28*(1-Deposits!$P$7)</f>
        <v>0</v>
      </c>
      <c r="AK60" s="20">
        <f>AK28*(1-Deposits!$P$7)</f>
        <v>0</v>
      </c>
      <c r="AL60" s="20">
        <f>AL28*(1-Deposits!$P$7)</f>
        <v>0</v>
      </c>
      <c r="AM60" s="20">
        <f>AM28*(1-Deposits!$P$7)</f>
        <v>0</v>
      </c>
      <c r="AN60" s="20">
        <f>AN28*(1-Deposits!$P$7)</f>
        <v>0</v>
      </c>
      <c r="AO60" s="20">
        <f>AO28*(1-Deposits!$P$7)</f>
        <v>0</v>
      </c>
      <c r="AP60" s="20">
        <f>AP28*(1-Deposits!$P$7)</f>
        <v>0</v>
      </c>
      <c r="AQ60" s="20">
        <f>AQ28*(1-Deposits!$P$7)</f>
        <v>0</v>
      </c>
      <c r="AR60" s="20">
        <f>AR28*(1-Deposits!$P$7)</f>
        <v>0</v>
      </c>
      <c r="AS60" s="20">
        <f>AS28*(1-Deposits!$P$7)</f>
        <v>0</v>
      </c>
      <c r="AT60" s="20">
        <f>AT28*(1-Deposits!$P$7)</f>
        <v>0</v>
      </c>
      <c r="AU60" s="20">
        <f>AU28*(1-Deposits!$P$7)</f>
        <v>0</v>
      </c>
      <c r="AV60" s="20">
        <f>AV28*(1-Deposits!$P$7)</f>
        <v>0</v>
      </c>
      <c r="AW60" s="20">
        <f>AW28*(1-Deposits!$P$7)</f>
        <v>0</v>
      </c>
      <c r="AX60" s="20">
        <f>AX28*(1-Deposits!$P$7)</f>
        <v>0</v>
      </c>
      <c r="AY60" s="20">
        <f>AY28*(1-Deposits!$P$7)</f>
        <v>0</v>
      </c>
      <c r="AZ60" s="20">
        <f>AZ28*(1-Deposits!$P$7)</f>
        <v>0</v>
      </c>
      <c r="BA60" s="20">
        <f>BA28*(1-Deposits!$P$7)</f>
        <v>0</v>
      </c>
      <c r="BB60" s="20">
        <f>BB28*(1-Deposits!$P$7)</f>
        <v>0</v>
      </c>
      <c r="BC60" s="20">
        <f>BC28*(1-Deposits!$P$7)</f>
        <v>0</v>
      </c>
      <c r="BD60" s="20">
        <f>BD28*(1-Deposits!$P$7)</f>
        <v>0</v>
      </c>
      <c r="BE60" s="20">
        <f>BE28*(1-Deposits!$P$7)</f>
        <v>0</v>
      </c>
      <c r="BF60" s="20">
        <f>BF28*(1-Deposits!$P$7)</f>
        <v>0</v>
      </c>
      <c r="BG60" s="20">
        <f>BG28*(1-Deposits!$P$7)</f>
        <v>0</v>
      </c>
      <c r="BH60" s="20">
        <f>BH28*(1-Deposits!$P$7)</f>
        <v>0</v>
      </c>
      <c r="BI60" s="20">
        <f>BI28*(1-Deposits!$P$7)</f>
        <v>0</v>
      </c>
      <c r="BJ60" s="20">
        <f>BJ28*(1-Deposits!$P$7)</f>
        <v>0</v>
      </c>
      <c r="BK60" s="20">
        <f>BK28*(1-Deposits!$P$7)</f>
        <v>0</v>
      </c>
      <c r="BL60" s="20">
        <f>BL28*(1-Deposits!$P$7)</f>
        <v>0</v>
      </c>
      <c r="BM60" s="20">
        <f>BM28*(1-Deposits!$P$7)</f>
        <v>0</v>
      </c>
      <c r="BN60" s="20">
        <f>BN28*(1-Deposits!$P$7)</f>
        <v>0</v>
      </c>
      <c r="BO60" s="20">
        <f>BO28*(1-Deposits!$P$7)</f>
        <v>0</v>
      </c>
      <c r="BP60" s="20">
        <f>BP28*(1-Deposits!$P$7)</f>
        <v>0</v>
      </c>
    </row>
    <row r="61" spans="3:68" x14ac:dyDescent="0.25">
      <c r="C61" s="74" t="str">
        <f t="shared" si="28"/>
        <v>Ajánlati biztosíték</v>
      </c>
      <c r="D61" t="s">
        <v>844</v>
      </c>
      <c r="E61" s="20"/>
      <c r="F61" s="20"/>
      <c r="G61" s="20">
        <f t="shared" si="29"/>
        <v>2437.890410958904</v>
      </c>
      <c r="H61" s="20">
        <f>H29*(1-Deposits!$P$8)</f>
        <v>0</v>
      </c>
      <c r="I61" s="20">
        <f>I29*(1-Deposits!$P$8)</f>
        <v>0</v>
      </c>
      <c r="J61" s="20">
        <f>J29*(1-Deposits!$P$8)</f>
        <v>0</v>
      </c>
      <c r="K61" s="20">
        <f>K29*(1-Deposits!$P$8)</f>
        <v>2437.890410958904</v>
      </c>
      <c r="L61" s="20">
        <f>L29*(1-Deposits!$P$8)</f>
        <v>0</v>
      </c>
      <c r="M61" s="20">
        <f>M29*(1-Deposits!$P$8)</f>
        <v>0</v>
      </c>
      <c r="N61" s="20">
        <f>N29*(1-Deposits!$P$8)</f>
        <v>0</v>
      </c>
      <c r="O61" s="20">
        <f>O29*(1-Deposits!$P$8)</f>
        <v>0</v>
      </c>
      <c r="P61" s="20">
        <f>P29*(1-Deposits!$P$8)</f>
        <v>0</v>
      </c>
      <c r="Q61" s="20">
        <f>Q29*(1-Deposits!$P$8)</f>
        <v>0</v>
      </c>
      <c r="R61" s="20">
        <f>R29*(1-Deposits!$P$8)</f>
        <v>0</v>
      </c>
      <c r="S61" s="20">
        <f>S29*(1-Deposits!$P$8)</f>
        <v>0</v>
      </c>
      <c r="T61" s="20">
        <f>T29*(1-Deposits!$P$8)</f>
        <v>0</v>
      </c>
      <c r="U61" s="20">
        <f>U29*(1-Deposits!$P$8)</f>
        <v>0</v>
      </c>
      <c r="V61" s="20">
        <f>V29*(1-Deposits!$P$8)</f>
        <v>0</v>
      </c>
      <c r="W61" s="20">
        <f>W29*(1-Deposits!$P$8)</f>
        <v>0</v>
      </c>
      <c r="X61" s="20">
        <f>X29*(1-Deposits!$P$8)</f>
        <v>0</v>
      </c>
      <c r="Y61" s="20">
        <f>Y29*(1-Deposits!$P$8)</f>
        <v>0</v>
      </c>
      <c r="Z61" s="20">
        <f>Z29*(1-Deposits!$P$8)</f>
        <v>0</v>
      </c>
      <c r="AA61" s="20">
        <f>AA29*(1-Deposits!$P$8)</f>
        <v>0</v>
      </c>
      <c r="AB61" s="20">
        <f>AB29*(1-Deposits!$P$8)</f>
        <v>0</v>
      </c>
      <c r="AC61" s="20">
        <f>AC29*(1-Deposits!$P$8)</f>
        <v>0</v>
      </c>
      <c r="AD61" s="20">
        <f>AD29*(1-Deposits!$P$8)</f>
        <v>0</v>
      </c>
      <c r="AE61" s="20">
        <f>AE29*(1-Deposits!$P$8)</f>
        <v>0</v>
      </c>
      <c r="AF61" s="20">
        <f>AF29*(1-Deposits!$P$8)</f>
        <v>0</v>
      </c>
      <c r="AG61" s="20">
        <f>AG29*(1-Deposits!$P$8)</f>
        <v>0</v>
      </c>
      <c r="AH61" s="20">
        <f>AH29*(1-Deposits!$P$8)</f>
        <v>0</v>
      </c>
      <c r="AI61" s="20">
        <f>AI29*(1-Deposits!$P$8)</f>
        <v>0</v>
      </c>
      <c r="AJ61" s="20">
        <f>AJ29*(1-Deposits!$P$8)</f>
        <v>0</v>
      </c>
      <c r="AK61" s="20">
        <f>AK29*(1-Deposits!$P$8)</f>
        <v>0</v>
      </c>
      <c r="AL61" s="20">
        <f>AL29*(1-Deposits!$P$8)</f>
        <v>0</v>
      </c>
      <c r="AM61" s="20">
        <f>AM29*(1-Deposits!$P$8)</f>
        <v>0</v>
      </c>
      <c r="AN61" s="20">
        <f>AN29*(1-Deposits!$P$8)</f>
        <v>0</v>
      </c>
      <c r="AO61" s="20">
        <f>AO29*(1-Deposits!$P$8)</f>
        <v>0</v>
      </c>
      <c r="AP61" s="20">
        <f>AP29*(1-Deposits!$P$8)</f>
        <v>0</v>
      </c>
      <c r="AQ61" s="20">
        <f>AQ29*(1-Deposits!$P$8)</f>
        <v>0</v>
      </c>
      <c r="AR61" s="20">
        <f>AR29*(1-Deposits!$P$8)</f>
        <v>0</v>
      </c>
      <c r="AS61" s="20">
        <f>AS29*(1-Deposits!$P$8)</f>
        <v>0</v>
      </c>
      <c r="AT61" s="20">
        <f>AT29*(1-Deposits!$P$8)</f>
        <v>0</v>
      </c>
      <c r="AU61" s="20">
        <f>AU29*(1-Deposits!$P$8)</f>
        <v>0</v>
      </c>
      <c r="AV61" s="20">
        <f>AV29*(1-Deposits!$P$8)</f>
        <v>0</v>
      </c>
      <c r="AW61" s="20">
        <f>AW29*(1-Deposits!$P$8)</f>
        <v>0</v>
      </c>
      <c r="AX61" s="20">
        <f>AX29*(1-Deposits!$P$8)</f>
        <v>0</v>
      </c>
      <c r="AY61" s="20">
        <f>AY29*(1-Deposits!$P$8)</f>
        <v>0</v>
      </c>
      <c r="AZ61" s="20">
        <f>AZ29*(1-Deposits!$P$8)</f>
        <v>0</v>
      </c>
      <c r="BA61" s="20">
        <f>BA29*(1-Deposits!$P$8)</f>
        <v>0</v>
      </c>
      <c r="BB61" s="20">
        <f>BB29*(1-Deposits!$P$8)</f>
        <v>0</v>
      </c>
      <c r="BC61" s="20">
        <f>BC29*(1-Deposits!$P$8)</f>
        <v>0</v>
      </c>
      <c r="BD61" s="20">
        <f>BD29*(1-Deposits!$P$8)</f>
        <v>0</v>
      </c>
      <c r="BE61" s="20">
        <f>BE29*(1-Deposits!$P$8)</f>
        <v>0</v>
      </c>
      <c r="BF61" s="20">
        <f>BF29*(1-Deposits!$P$8)</f>
        <v>0</v>
      </c>
      <c r="BG61" s="20">
        <f>BG29*(1-Deposits!$P$8)</f>
        <v>0</v>
      </c>
      <c r="BH61" s="20">
        <f>BH29*(1-Deposits!$P$8)</f>
        <v>0</v>
      </c>
      <c r="BI61" s="20">
        <f>BI29*(1-Deposits!$P$8)</f>
        <v>0</v>
      </c>
      <c r="BJ61" s="20">
        <f>BJ29*(1-Deposits!$P$8)</f>
        <v>0</v>
      </c>
      <c r="BK61" s="20">
        <f>BK29*(1-Deposits!$P$8)</f>
        <v>0</v>
      </c>
      <c r="BL61" s="20">
        <f>BL29*(1-Deposits!$P$8)</f>
        <v>0</v>
      </c>
      <c r="BM61" s="20">
        <f>BM29*(1-Deposits!$P$8)</f>
        <v>0</v>
      </c>
      <c r="BN61" s="20">
        <f>BN29*(1-Deposits!$P$8)</f>
        <v>0</v>
      </c>
      <c r="BO61" s="20">
        <f>BO29*(1-Deposits!$P$8)</f>
        <v>0</v>
      </c>
      <c r="BP61" s="20">
        <f>BP29*(1-Deposits!$P$8)</f>
        <v>0</v>
      </c>
    </row>
    <row r="62" spans="3:68" x14ac:dyDescent="0.25">
      <c r="C62" s="74" t="str">
        <f t="shared" si="28"/>
        <v>Ajánlati biztosíték visszatérítés – sikertelen kapacitás</v>
      </c>
      <c r="D62" t="s">
        <v>844</v>
      </c>
      <c r="E62" s="20"/>
      <c r="F62" s="20"/>
      <c r="G62" s="20">
        <f t="shared" si="29"/>
        <v>0</v>
      </c>
      <c r="H62" s="20">
        <f>H30*(1-Deposits!$P$9)</f>
        <v>0</v>
      </c>
      <c r="I62" s="20">
        <f>I30*(1-Deposits!$P$9)</f>
        <v>0</v>
      </c>
      <c r="J62" s="20">
        <f>J30*(1-Deposits!$P$9)</f>
        <v>0</v>
      </c>
      <c r="K62" s="20">
        <f>K30*(1-Deposits!$P$9)</f>
        <v>0</v>
      </c>
      <c r="L62" s="20">
        <f>L30*(1-Deposits!$P$9)</f>
        <v>0</v>
      </c>
      <c r="M62" s="20">
        <f>M30*(1-Deposits!$P$9)</f>
        <v>0</v>
      </c>
      <c r="N62" s="20">
        <f>N30*(1-Deposits!$P$9)</f>
        <v>0</v>
      </c>
      <c r="O62" s="20">
        <f>O30*(1-Deposits!$P$9)</f>
        <v>0</v>
      </c>
      <c r="P62" s="20">
        <f>P30*(1-Deposits!$P$9)</f>
        <v>0</v>
      </c>
      <c r="Q62" s="20">
        <f>Q30*(1-Deposits!$P$9)</f>
        <v>0</v>
      </c>
      <c r="R62" s="20">
        <f>R30*(1-Deposits!$P$9)</f>
        <v>0</v>
      </c>
      <c r="S62" s="20">
        <f>S30*(1-Deposits!$P$9)</f>
        <v>0</v>
      </c>
      <c r="T62" s="20">
        <f>T30*(1-Deposits!$P$9)</f>
        <v>0</v>
      </c>
      <c r="U62" s="20">
        <f>U30*(1-Deposits!$P$9)</f>
        <v>0</v>
      </c>
      <c r="V62" s="20">
        <f>V30*(1-Deposits!$P$9)</f>
        <v>0</v>
      </c>
      <c r="W62" s="20">
        <f>W30*(1-Deposits!$P$9)</f>
        <v>0</v>
      </c>
      <c r="X62" s="20">
        <f>X30*(1-Deposits!$P$9)</f>
        <v>0</v>
      </c>
      <c r="Y62" s="20">
        <f>Y30*(1-Deposits!$P$9)</f>
        <v>0</v>
      </c>
      <c r="Z62" s="20">
        <f>Z30*(1-Deposits!$P$9)</f>
        <v>0</v>
      </c>
      <c r="AA62" s="20">
        <f>AA30*(1-Deposits!$P$9)</f>
        <v>0</v>
      </c>
      <c r="AB62" s="20">
        <f>AB30*(1-Deposits!$P$9)</f>
        <v>0</v>
      </c>
      <c r="AC62" s="20">
        <f>AC30*(1-Deposits!$P$9)</f>
        <v>0</v>
      </c>
      <c r="AD62" s="20">
        <f>AD30*(1-Deposits!$P$9)</f>
        <v>0</v>
      </c>
      <c r="AE62" s="20">
        <f>AE30*(1-Deposits!$P$9)</f>
        <v>0</v>
      </c>
      <c r="AF62" s="20">
        <f>AF30*(1-Deposits!$P$9)</f>
        <v>0</v>
      </c>
      <c r="AG62" s="20">
        <f>AG30*(1-Deposits!$P$9)</f>
        <v>0</v>
      </c>
      <c r="AH62" s="20">
        <f>AH30*(1-Deposits!$P$9)</f>
        <v>0</v>
      </c>
      <c r="AI62" s="20">
        <f>AI30*(1-Deposits!$P$9)</f>
        <v>0</v>
      </c>
      <c r="AJ62" s="20">
        <f>AJ30*(1-Deposits!$P$9)</f>
        <v>0</v>
      </c>
      <c r="AK62" s="20">
        <f>AK30*(1-Deposits!$P$9)</f>
        <v>0</v>
      </c>
      <c r="AL62" s="20">
        <f>AL30*(1-Deposits!$P$9)</f>
        <v>0</v>
      </c>
      <c r="AM62" s="20">
        <f>AM30*(1-Deposits!$P$9)</f>
        <v>0</v>
      </c>
      <c r="AN62" s="20">
        <f>AN30*(1-Deposits!$P$9)</f>
        <v>0</v>
      </c>
      <c r="AO62" s="20">
        <f>AO30*(1-Deposits!$P$9)</f>
        <v>0</v>
      </c>
      <c r="AP62" s="20">
        <f>AP30*(1-Deposits!$P$9)</f>
        <v>0</v>
      </c>
      <c r="AQ62" s="20">
        <f>AQ30*(1-Deposits!$P$9)</f>
        <v>0</v>
      </c>
      <c r="AR62" s="20">
        <f>AR30*(1-Deposits!$P$9)</f>
        <v>0</v>
      </c>
      <c r="AS62" s="20">
        <f>AS30*(1-Deposits!$P$9)</f>
        <v>0</v>
      </c>
      <c r="AT62" s="20">
        <f>AT30*(1-Deposits!$P$9)</f>
        <v>0</v>
      </c>
      <c r="AU62" s="20">
        <f>AU30*(1-Deposits!$P$9)</f>
        <v>0</v>
      </c>
      <c r="AV62" s="20">
        <f>AV30*(1-Deposits!$P$9)</f>
        <v>0</v>
      </c>
      <c r="AW62" s="20">
        <f>AW30*(1-Deposits!$P$9)</f>
        <v>0</v>
      </c>
      <c r="AX62" s="20">
        <f>AX30*(1-Deposits!$P$9)</f>
        <v>0</v>
      </c>
      <c r="AY62" s="20">
        <f>AY30*(1-Deposits!$P$9)</f>
        <v>0</v>
      </c>
      <c r="AZ62" s="20">
        <f>AZ30*(1-Deposits!$P$9)</f>
        <v>0</v>
      </c>
      <c r="BA62" s="20">
        <f>BA30*(1-Deposits!$P$9)</f>
        <v>0</v>
      </c>
      <c r="BB62" s="20">
        <f>BB30*(1-Deposits!$P$9)</f>
        <v>0</v>
      </c>
      <c r="BC62" s="20">
        <f>BC30*(1-Deposits!$P$9)</f>
        <v>0</v>
      </c>
      <c r="BD62" s="20">
        <f>BD30*(1-Deposits!$P$9)</f>
        <v>0</v>
      </c>
      <c r="BE62" s="20">
        <f>BE30*(1-Deposits!$P$9)</f>
        <v>0</v>
      </c>
      <c r="BF62" s="20">
        <f>BF30*(1-Deposits!$P$9)</f>
        <v>0</v>
      </c>
      <c r="BG62" s="20">
        <f>BG30*(1-Deposits!$P$9)</f>
        <v>0</v>
      </c>
      <c r="BH62" s="20">
        <f>BH30*(1-Deposits!$P$9)</f>
        <v>0</v>
      </c>
      <c r="BI62" s="20">
        <f>BI30*(1-Deposits!$P$9)</f>
        <v>0</v>
      </c>
      <c r="BJ62" s="20">
        <f>BJ30*(1-Deposits!$P$9)</f>
        <v>0</v>
      </c>
      <c r="BK62" s="20">
        <f>BK30*(1-Deposits!$P$9)</f>
        <v>0</v>
      </c>
      <c r="BL62" s="20">
        <f>BL30*(1-Deposits!$P$9)</f>
        <v>0</v>
      </c>
      <c r="BM62" s="20">
        <f>BM30*(1-Deposits!$P$9)</f>
        <v>0</v>
      </c>
      <c r="BN62" s="20">
        <f>BN30*(1-Deposits!$P$9)</f>
        <v>0</v>
      </c>
      <c r="BO62" s="20">
        <f>BO30*(1-Deposits!$P$9)</f>
        <v>0</v>
      </c>
      <c r="BP62" s="20">
        <f>BP30*(1-Deposits!$P$9)</f>
        <v>0</v>
      </c>
    </row>
    <row r="63" spans="3:68" x14ac:dyDescent="0.25">
      <c r="C63" s="74" t="str">
        <f t="shared" si="28"/>
        <v>Teljesítési biztosíték</v>
      </c>
      <c r="D63" t="s">
        <v>844</v>
      </c>
      <c r="E63" s="20"/>
      <c r="F63" s="20"/>
      <c r="G63" s="20">
        <f t="shared" si="29"/>
        <v>15846.28767123288</v>
      </c>
      <c r="H63" s="20">
        <f>H31*(1-Deposits!$P$10)</f>
        <v>0</v>
      </c>
      <c r="I63" s="20">
        <f>I31*(1-Deposits!$P$10)</f>
        <v>0</v>
      </c>
      <c r="J63" s="20">
        <f>J31*(1-Deposits!$P$10)</f>
        <v>0</v>
      </c>
      <c r="K63" s="20">
        <f>K31*(1-Deposits!$P$10)</f>
        <v>0</v>
      </c>
      <c r="L63" s="20">
        <f>L31*(1-Deposits!$P$10)</f>
        <v>0</v>
      </c>
      <c r="M63" s="20">
        <f>M31*(1-Deposits!$P$10)</f>
        <v>15846.28767123288</v>
      </c>
      <c r="N63" s="20">
        <f>N31*(1-Deposits!$P$10)</f>
        <v>0</v>
      </c>
      <c r="O63" s="20">
        <f>O31*(1-Deposits!$P$10)</f>
        <v>0</v>
      </c>
      <c r="P63" s="20">
        <f>P31*(1-Deposits!$P$10)</f>
        <v>0</v>
      </c>
      <c r="Q63" s="20">
        <f>Q31*(1-Deposits!$P$10)</f>
        <v>0</v>
      </c>
      <c r="R63" s="20">
        <f>R31*(1-Deposits!$P$10)</f>
        <v>0</v>
      </c>
      <c r="S63" s="20">
        <f>S31*(1-Deposits!$P$10)</f>
        <v>0</v>
      </c>
      <c r="T63" s="20">
        <f>T31*(1-Deposits!$P$10)</f>
        <v>0</v>
      </c>
      <c r="U63" s="20">
        <f>U31*(1-Deposits!$P$10)</f>
        <v>0</v>
      </c>
      <c r="V63" s="20">
        <f>V31*(1-Deposits!$P$10)</f>
        <v>0</v>
      </c>
      <c r="W63" s="20">
        <f>W31*(1-Deposits!$P$10)</f>
        <v>0</v>
      </c>
      <c r="X63" s="20">
        <f>X31*(1-Deposits!$P$10)</f>
        <v>0</v>
      </c>
      <c r="Y63" s="20">
        <f>Y31*(1-Deposits!$P$10)</f>
        <v>0</v>
      </c>
      <c r="Z63" s="20">
        <f>Z31*(1-Deposits!$P$10)</f>
        <v>0</v>
      </c>
      <c r="AA63" s="20">
        <f>AA31*(1-Deposits!$P$10)</f>
        <v>0</v>
      </c>
      <c r="AB63" s="20">
        <f>AB31*(1-Deposits!$P$10)</f>
        <v>0</v>
      </c>
      <c r="AC63" s="20">
        <f>AC31*(1-Deposits!$P$10)</f>
        <v>0</v>
      </c>
      <c r="AD63" s="20">
        <f>AD31*(1-Deposits!$P$10)</f>
        <v>0</v>
      </c>
      <c r="AE63" s="20">
        <f>AE31*(1-Deposits!$P$10)</f>
        <v>0</v>
      </c>
      <c r="AF63" s="20">
        <f>AF31*(1-Deposits!$P$10)</f>
        <v>0</v>
      </c>
      <c r="AG63" s="20">
        <f>AG31*(1-Deposits!$P$10)</f>
        <v>0</v>
      </c>
      <c r="AH63" s="20">
        <f>AH31*(1-Deposits!$P$10)</f>
        <v>0</v>
      </c>
      <c r="AI63" s="20">
        <f>AI31*(1-Deposits!$P$10)</f>
        <v>0</v>
      </c>
      <c r="AJ63" s="20">
        <f>AJ31*(1-Deposits!$P$10)</f>
        <v>0</v>
      </c>
      <c r="AK63" s="20">
        <f>AK31*(1-Deposits!$P$10)</f>
        <v>0</v>
      </c>
      <c r="AL63" s="20">
        <f>AL31*(1-Deposits!$P$10)</f>
        <v>0</v>
      </c>
      <c r="AM63" s="20">
        <f>AM31*(1-Deposits!$P$10)</f>
        <v>0</v>
      </c>
      <c r="AN63" s="20">
        <f>AN31*(1-Deposits!$P$10)</f>
        <v>0</v>
      </c>
      <c r="AO63" s="20">
        <f>AO31*(1-Deposits!$P$10)</f>
        <v>0</v>
      </c>
      <c r="AP63" s="20">
        <f>AP31*(1-Deposits!$P$10)</f>
        <v>0</v>
      </c>
      <c r="AQ63" s="20">
        <f>AQ31*(1-Deposits!$P$10)</f>
        <v>0</v>
      </c>
      <c r="AR63" s="20">
        <f>AR31*(1-Deposits!$P$10)</f>
        <v>0</v>
      </c>
      <c r="AS63" s="20">
        <f>AS31*(1-Deposits!$P$10)</f>
        <v>0</v>
      </c>
      <c r="AT63" s="20">
        <f>AT31*(1-Deposits!$P$10)</f>
        <v>0</v>
      </c>
      <c r="AU63" s="20">
        <f>AU31*(1-Deposits!$P$10)</f>
        <v>0</v>
      </c>
      <c r="AV63" s="20">
        <f>AV31*(1-Deposits!$P$10)</f>
        <v>0</v>
      </c>
      <c r="AW63" s="20">
        <f>AW31*(1-Deposits!$P$10)</f>
        <v>0</v>
      </c>
      <c r="AX63" s="20">
        <f>AX31*(1-Deposits!$P$10)</f>
        <v>0</v>
      </c>
      <c r="AY63" s="20">
        <f>AY31*(1-Deposits!$P$10)</f>
        <v>0</v>
      </c>
      <c r="AZ63" s="20">
        <f>AZ31*(1-Deposits!$P$10)</f>
        <v>0</v>
      </c>
      <c r="BA63" s="20">
        <f>BA31*(1-Deposits!$P$10)</f>
        <v>0</v>
      </c>
      <c r="BB63" s="20">
        <f>BB31*(1-Deposits!$P$10)</f>
        <v>0</v>
      </c>
      <c r="BC63" s="20">
        <f>BC31*(1-Deposits!$P$10)</f>
        <v>0</v>
      </c>
      <c r="BD63" s="20">
        <f>BD31*(1-Deposits!$P$10)</f>
        <v>0</v>
      </c>
      <c r="BE63" s="20">
        <f>BE31*(1-Deposits!$P$10)</f>
        <v>0</v>
      </c>
      <c r="BF63" s="20">
        <f>BF31*(1-Deposits!$P$10)</f>
        <v>0</v>
      </c>
      <c r="BG63" s="20">
        <f>BG31*(1-Deposits!$P$10)</f>
        <v>0</v>
      </c>
      <c r="BH63" s="20">
        <f>BH31*(1-Deposits!$P$10)</f>
        <v>0</v>
      </c>
      <c r="BI63" s="20">
        <f>BI31*(1-Deposits!$P$10)</f>
        <v>0</v>
      </c>
      <c r="BJ63" s="20">
        <f>BJ31*(1-Deposits!$P$10)</f>
        <v>0</v>
      </c>
      <c r="BK63" s="20">
        <f>BK31*(1-Deposits!$P$10)</f>
        <v>0</v>
      </c>
      <c r="BL63" s="20">
        <f>BL31*(1-Deposits!$P$10)</f>
        <v>0</v>
      </c>
      <c r="BM63" s="20">
        <f>BM31*(1-Deposits!$P$10)</f>
        <v>0</v>
      </c>
      <c r="BN63" s="20">
        <f>BN31*(1-Deposits!$P$10)</f>
        <v>0</v>
      </c>
      <c r="BO63" s="20">
        <f>BO31*(1-Deposits!$P$10)</f>
        <v>0</v>
      </c>
      <c r="BP63" s="20">
        <f>BP31*(1-Deposits!$P$10)</f>
        <v>0</v>
      </c>
    </row>
    <row r="64" spans="3:68" x14ac:dyDescent="0.25">
      <c r="C64" s="74" t="str">
        <f t="shared" si="28"/>
        <v>Igénybejelentési biztosíték</v>
      </c>
      <c r="D64" t="s">
        <v>844</v>
      </c>
      <c r="E64" s="20"/>
      <c r="F64" s="20"/>
      <c r="G64" s="20">
        <f t="shared" si="29"/>
        <v>0</v>
      </c>
      <c r="H64" s="20">
        <f>H32*(1-Deposits!$P$11)</f>
        <v>0</v>
      </c>
      <c r="I64" s="20">
        <f>I32*(1-Deposits!$P$11)</f>
        <v>0</v>
      </c>
      <c r="J64" s="20">
        <f>J32*(1-Deposits!$P$11)</f>
        <v>0</v>
      </c>
      <c r="K64" s="20">
        <f>K32*(1-Deposits!$P$11)</f>
        <v>0</v>
      </c>
      <c r="L64" s="20">
        <f>L32*(1-Deposits!$P$11)</f>
        <v>0</v>
      </c>
      <c r="M64" s="20">
        <f>M32*(1-Deposits!$P$11)</f>
        <v>0</v>
      </c>
      <c r="N64" s="20">
        <f>N32*(1-Deposits!$P$11)</f>
        <v>0</v>
      </c>
      <c r="O64" s="20">
        <f>O32*(1-Deposits!$P$11)</f>
        <v>0</v>
      </c>
      <c r="P64" s="20">
        <f>P32*(1-Deposits!$P$11)</f>
        <v>0</v>
      </c>
      <c r="Q64" s="20">
        <f>Q32*(1-Deposits!$P$11)</f>
        <v>0</v>
      </c>
      <c r="R64" s="20">
        <f>R32*(1-Deposits!$P$11)</f>
        <v>0</v>
      </c>
      <c r="S64" s="20">
        <f>S32*(1-Deposits!$P$11)</f>
        <v>0</v>
      </c>
      <c r="T64" s="20">
        <f>T32*(1-Deposits!$P$11)</f>
        <v>0</v>
      </c>
      <c r="U64" s="20">
        <f>U32*(1-Deposits!$P$11)</f>
        <v>0</v>
      </c>
      <c r="V64" s="20">
        <f>V32*(1-Deposits!$P$11)</f>
        <v>0</v>
      </c>
      <c r="W64" s="20">
        <f>W32*(1-Deposits!$P$11)</f>
        <v>0</v>
      </c>
      <c r="X64" s="20">
        <f>X32*(1-Deposits!$P$11)</f>
        <v>0</v>
      </c>
      <c r="Y64" s="20">
        <f>Y32*(1-Deposits!$P$11)</f>
        <v>0</v>
      </c>
      <c r="Z64" s="20">
        <f>Z32*(1-Deposits!$P$11)</f>
        <v>0</v>
      </c>
      <c r="AA64" s="20">
        <f>AA32*(1-Deposits!$P$11)</f>
        <v>0</v>
      </c>
      <c r="AB64" s="20">
        <f>AB32*(1-Deposits!$P$11)</f>
        <v>0</v>
      </c>
      <c r="AC64" s="20">
        <f>AC32*(1-Deposits!$P$11)</f>
        <v>0</v>
      </c>
      <c r="AD64" s="20">
        <f>AD32*(1-Deposits!$P$11)</f>
        <v>0</v>
      </c>
      <c r="AE64" s="20">
        <f>AE32*(1-Deposits!$P$11)</f>
        <v>0</v>
      </c>
      <c r="AF64" s="20">
        <f>AF32*(1-Deposits!$P$11)</f>
        <v>0</v>
      </c>
      <c r="AG64" s="20">
        <f>AG32*(1-Deposits!$P$11)</f>
        <v>0</v>
      </c>
      <c r="AH64" s="20">
        <f>AH32*(1-Deposits!$P$11)</f>
        <v>0</v>
      </c>
      <c r="AI64" s="20">
        <f>AI32*(1-Deposits!$P$11)</f>
        <v>0</v>
      </c>
      <c r="AJ64" s="20">
        <f>AJ32*(1-Deposits!$P$11)</f>
        <v>0</v>
      </c>
      <c r="AK64" s="20">
        <f>AK32*(1-Deposits!$P$11)</f>
        <v>0</v>
      </c>
      <c r="AL64" s="20">
        <f>AL32*(1-Deposits!$P$11)</f>
        <v>0</v>
      </c>
      <c r="AM64" s="20">
        <f>AM32*(1-Deposits!$P$11)</f>
        <v>0</v>
      </c>
      <c r="AN64" s="20">
        <f>AN32*(1-Deposits!$P$11)</f>
        <v>0</v>
      </c>
      <c r="AO64" s="20">
        <f>AO32*(1-Deposits!$P$11)</f>
        <v>0</v>
      </c>
      <c r="AP64" s="20">
        <f>AP32*(1-Deposits!$P$11)</f>
        <v>0</v>
      </c>
      <c r="AQ64" s="20">
        <f>AQ32*(1-Deposits!$P$11)</f>
        <v>0</v>
      </c>
      <c r="AR64" s="20">
        <f>AR32*(1-Deposits!$P$11)</f>
        <v>0</v>
      </c>
      <c r="AS64" s="20">
        <f>AS32*(1-Deposits!$P$11)</f>
        <v>0</v>
      </c>
      <c r="AT64" s="20">
        <f>AT32*(1-Deposits!$P$11)</f>
        <v>0</v>
      </c>
      <c r="AU64" s="20">
        <f>AU32*(1-Deposits!$P$11)</f>
        <v>0</v>
      </c>
      <c r="AV64" s="20">
        <f>AV32*(1-Deposits!$P$11)</f>
        <v>0</v>
      </c>
      <c r="AW64" s="20">
        <f>AW32*(1-Deposits!$P$11)</f>
        <v>0</v>
      </c>
      <c r="AX64" s="20">
        <f>AX32*(1-Deposits!$P$11)</f>
        <v>0</v>
      </c>
      <c r="AY64" s="20">
        <f>AY32*(1-Deposits!$P$11)</f>
        <v>0</v>
      </c>
      <c r="AZ64" s="20">
        <f>AZ32*(1-Deposits!$P$11)</f>
        <v>0</v>
      </c>
      <c r="BA64" s="20">
        <f>BA32*(1-Deposits!$P$11)</f>
        <v>0</v>
      </c>
      <c r="BB64" s="20">
        <f>BB32*(1-Deposits!$P$11)</f>
        <v>0</v>
      </c>
      <c r="BC64" s="20">
        <f>BC32*(1-Deposits!$P$11)</f>
        <v>0</v>
      </c>
      <c r="BD64" s="20">
        <f>BD32*(1-Deposits!$P$11)</f>
        <v>0</v>
      </c>
      <c r="BE64" s="20">
        <f>BE32*(1-Deposits!$P$11)</f>
        <v>0</v>
      </c>
      <c r="BF64" s="20">
        <f>BF32*(1-Deposits!$P$11)</f>
        <v>0</v>
      </c>
      <c r="BG64" s="20">
        <f>BG32*(1-Deposits!$P$11)</f>
        <v>0</v>
      </c>
      <c r="BH64" s="20">
        <f>BH32*(1-Deposits!$P$11)</f>
        <v>0</v>
      </c>
      <c r="BI64" s="20">
        <f>BI32*(1-Deposits!$P$11)</f>
        <v>0</v>
      </c>
      <c r="BJ64" s="20">
        <f>BJ32*(1-Deposits!$P$11)</f>
        <v>0</v>
      </c>
      <c r="BK64" s="20">
        <f>BK32*(1-Deposits!$P$11)</f>
        <v>0</v>
      </c>
      <c r="BL64" s="20">
        <f>BL32*(1-Deposits!$P$11)</f>
        <v>0</v>
      </c>
      <c r="BM64" s="20">
        <f>BM32*(1-Deposits!$P$11)</f>
        <v>0</v>
      </c>
      <c r="BN64" s="20">
        <f>BN32*(1-Deposits!$P$11)</f>
        <v>0</v>
      </c>
      <c r="BO64" s="20">
        <f>BO32*(1-Deposits!$P$11)</f>
        <v>0</v>
      </c>
      <c r="BP64" s="20">
        <f>BP32*(1-Deposits!$P$11)</f>
        <v>0</v>
      </c>
    </row>
    <row r="65" spans="3:68" x14ac:dyDescent="0.25">
      <c r="C65" s="74" t="str">
        <f t="shared" si="28"/>
        <v>Csatlakozási díj – közvetlen</v>
      </c>
      <c r="D65" t="s">
        <v>844</v>
      </c>
      <c r="E65" s="20"/>
      <c r="F65" s="20"/>
      <c r="G65" s="20">
        <f t="shared" si="29"/>
        <v>0</v>
      </c>
      <c r="H65" s="20">
        <f>H33*(1-Deposits!$P$12)</f>
        <v>0</v>
      </c>
      <c r="I65" s="20">
        <f>I33*(1-Deposits!$P$12)</f>
        <v>0</v>
      </c>
      <c r="J65" s="20">
        <f>J33*(1-Deposits!$P$12)</f>
        <v>0</v>
      </c>
      <c r="K65" s="20">
        <f>K33*(1-Deposits!$P$12)</f>
        <v>0</v>
      </c>
      <c r="L65" s="20">
        <f>L33*(1-Deposits!$P$12)</f>
        <v>0</v>
      </c>
      <c r="M65" s="20">
        <f>M33*(1-Deposits!$P$12)</f>
        <v>0</v>
      </c>
      <c r="N65" s="20">
        <f>N33*(1-Deposits!$P$12)</f>
        <v>0</v>
      </c>
      <c r="O65" s="20">
        <f>O33*(1-Deposits!$P$12)</f>
        <v>0</v>
      </c>
      <c r="P65" s="20">
        <f>P33*(1-Deposits!$P$12)</f>
        <v>0</v>
      </c>
      <c r="Q65" s="20">
        <f>Q33*(1-Deposits!$P$12)</f>
        <v>0</v>
      </c>
      <c r="R65" s="20">
        <f>R33*(1-Deposits!$P$12)</f>
        <v>0</v>
      </c>
      <c r="S65" s="20">
        <f>S33*(1-Deposits!$P$12)</f>
        <v>0</v>
      </c>
      <c r="T65" s="20">
        <f>T33*(1-Deposits!$P$12)</f>
        <v>0</v>
      </c>
      <c r="U65" s="20">
        <f>U33*(1-Deposits!$P$12)</f>
        <v>0</v>
      </c>
      <c r="V65" s="20">
        <f>V33*(1-Deposits!$P$12)</f>
        <v>0</v>
      </c>
      <c r="W65" s="20">
        <f>W33*(1-Deposits!$P$12)</f>
        <v>0</v>
      </c>
      <c r="X65" s="20">
        <f>X33*(1-Deposits!$P$12)</f>
        <v>0</v>
      </c>
      <c r="Y65" s="20">
        <f>Y33*(1-Deposits!$P$12)</f>
        <v>0</v>
      </c>
      <c r="Z65" s="20">
        <f>Z33*(1-Deposits!$P$12)</f>
        <v>0</v>
      </c>
      <c r="AA65" s="20">
        <f>AA33*(1-Deposits!$P$12)</f>
        <v>0</v>
      </c>
      <c r="AB65" s="20">
        <f>AB33*(1-Deposits!$P$12)</f>
        <v>0</v>
      </c>
      <c r="AC65" s="20">
        <f>AC33*(1-Deposits!$P$12)</f>
        <v>0</v>
      </c>
      <c r="AD65" s="20">
        <f>AD33*(1-Deposits!$P$12)</f>
        <v>0</v>
      </c>
      <c r="AE65" s="20">
        <f>AE33*(1-Deposits!$P$12)</f>
        <v>0</v>
      </c>
      <c r="AF65" s="20">
        <f>AF33*(1-Deposits!$P$12)</f>
        <v>0</v>
      </c>
      <c r="AG65" s="20">
        <f>AG33*(1-Deposits!$P$12)</f>
        <v>0</v>
      </c>
      <c r="AH65" s="20">
        <f>AH33*(1-Deposits!$P$12)</f>
        <v>0</v>
      </c>
      <c r="AI65" s="20">
        <f>AI33*(1-Deposits!$P$12)</f>
        <v>0</v>
      </c>
      <c r="AJ65" s="20">
        <f>AJ33*(1-Deposits!$P$12)</f>
        <v>0</v>
      </c>
      <c r="AK65" s="20">
        <f>AK33*(1-Deposits!$P$12)</f>
        <v>0</v>
      </c>
      <c r="AL65" s="20">
        <f>AL33*(1-Deposits!$P$12)</f>
        <v>0</v>
      </c>
      <c r="AM65" s="20">
        <f>AM33*(1-Deposits!$P$12)</f>
        <v>0</v>
      </c>
      <c r="AN65" s="20">
        <f>AN33*(1-Deposits!$P$12)</f>
        <v>0</v>
      </c>
      <c r="AO65" s="20">
        <f>AO33*(1-Deposits!$P$12)</f>
        <v>0</v>
      </c>
      <c r="AP65" s="20">
        <f>AP33*(1-Deposits!$P$12)</f>
        <v>0</v>
      </c>
      <c r="AQ65" s="20">
        <f>AQ33*(1-Deposits!$P$12)</f>
        <v>0</v>
      </c>
      <c r="AR65" s="20">
        <f>AR33*(1-Deposits!$P$12)</f>
        <v>0</v>
      </c>
      <c r="AS65" s="20">
        <f>AS33*(1-Deposits!$P$12)</f>
        <v>0</v>
      </c>
      <c r="AT65" s="20">
        <f>AT33*(1-Deposits!$P$12)</f>
        <v>0</v>
      </c>
      <c r="AU65" s="20">
        <f>AU33*(1-Deposits!$P$12)</f>
        <v>0</v>
      </c>
      <c r="AV65" s="20">
        <f>AV33*(1-Deposits!$P$12)</f>
        <v>0</v>
      </c>
      <c r="AW65" s="20">
        <f>AW33*(1-Deposits!$P$12)</f>
        <v>0</v>
      </c>
      <c r="AX65" s="20">
        <f>AX33*(1-Deposits!$P$12)</f>
        <v>0</v>
      </c>
      <c r="AY65" s="20">
        <f>AY33*(1-Deposits!$P$12)</f>
        <v>0</v>
      </c>
      <c r="AZ65" s="20">
        <f>AZ33*(1-Deposits!$P$12)</f>
        <v>0</v>
      </c>
      <c r="BA65" s="20">
        <f>BA33*(1-Deposits!$P$12)</f>
        <v>0</v>
      </c>
      <c r="BB65" s="20">
        <f>BB33*(1-Deposits!$P$12)</f>
        <v>0</v>
      </c>
      <c r="BC65" s="20">
        <f>BC33*(1-Deposits!$P$12)</f>
        <v>0</v>
      </c>
      <c r="BD65" s="20">
        <f>BD33*(1-Deposits!$P$12)</f>
        <v>0</v>
      </c>
      <c r="BE65" s="20">
        <f>BE33*(1-Deposits!$P$12)</f>
        <v>0</v>
      </c>
      <c r="BF65" s="20">
        <f>BF33*(1-Deposits!$P$12)</f>
        <v>0</v>
      </c>
      <c r="BG65" s="20">
        <f>BG33*(1-Deposits!$P$12)</f>
        <v>0</v>
      </c>
      <c r="BH65" s="20">
        <f>BH33*(1-Deposits!$P$12)</f>
        <v>0</v>
      </c>
      <c r="BI65" s="20">
        <f>BI33*(1-Deposits!$P$12)</f>
        <v>0</v>
      </c>
      <c r="BJ65" s="20">
        <f>BJ33*(1-Deposits!$P$12)</f>
        <v>0</v>
      </c>
      <c r="BK65" s="20">
        <f>BK33*(1-Deposits!$P$12)</f>
        <v>0</v>
      </c>
      <c r="BL65" s="20">
        <f>BL33*(1-Deposits!$P$12)</f>
        <v>0</v>
      </c>
      <c r="BM65" s="20">
        <f>BM33*(1-Deposits!$P$12)</f>
        <v>0</v>
      </c>
      <c r="BN65" s="20">
        <f>BN33*(1-Deposits!$P$12)</f>
        <v>0</v>
      </c>
      <c r="BO65" s="20">
        <f>BO33*(1-Deposits!$P$12)</f>
        <v>0</v>
      </c>
      <c r="BP65" s="20">
        <f>BP33*(1-Deposits!$P$12)</f>
        <v>0</v>
      </c>
    </row>
    <row r="66" spans="3:68" x14ac:dyDescent="0.25">
      <c r="C66" s="74" t="str">
        <f t="shared" si="28"/>
        <v>Kiegészítő biztosíték 1. részlet</v>
      </c>
      <c r="D66" t="s">
        <v>844</v>
      </c>
      <c r="E66" s="20"/>
      <c r="F66" s="20"/>
      <c r="G66" s="20">
        <f t="shared" si="29"/>
        <v>0</v>
      </c>
      <c r="H66" s="20">
        <f>H34*(1-Deposits!$P$13)</f>
        <v>0</v>
      </c>
      <c r="I66" s="20">
        <f>I34*(1-Deposits!$P$13)</f>
        <v>0</v>
      </c>
      <c r="J66" s="20">
        <f>J34*(1-Deposits!$P$13)</f>
        <v>0</v>
      </c>
      <c r="K66" s="20">
        <f>K34*(1-Deposits!$P$13)</f>
        <v>0</v>
      </c>
      <c r="L66" s="20">
        <f>L34*(1-Deposits!$P$13)</f>
        <v>0</v>
      </c>
      <c r="M66" s="20">
        <f>M34*(1-Deposits!$P$13)</f>
        <v>0</v>
      </c>
      <c r="N66" s="20">
        <f>N34*(1-Deposits!$P$13)</f>
        <v>0</v>
      </c>
      <c r="O66" s="20">
        <f>O34*(1-Deposits!$P$13)</f>
        <v>0</v>
      </c>
      <c r="P66" s="20">
        <f>P34*(1-Deposits!$P$13)</f>
        <v>0</v>
      </c>
      <c r="Q66" s="20">
        <f>Q34*(1-Deposits!$P$13)</f>
        <v>0</v>
      </c>
      <c r="R66" s="20">
        <f>R34*(1-Deposits!$P$13)</f>
        <v>0</v>
      </c>
      <c r="S66" s="20">
        <f>S34*(1-Deposits!$P$13)</f>
        <v>0</v>
      </c>
      <c r="T66" s="20">
        <f>T34*(1-Deposits!$P$13)</f>
        <v>0</v>
      </c>
      <c r="U66" s="20">
        <f>U34*(1-Deposits!$P$13)</f>
        <v>0</v>
      </c>
      <c r="V66" s="20">
        <f>V34*(1-Deposits!$P$13)</f>
        <v>0</v>
      </c>
      <c r="W66" s="20">
        <f>W34*(1-Deposits!$P$13)</f>
        <v>0</v>
      </c>
      <c r="X66" s="20">
        <f>X34*(1-Deposits!$P$13)</f>
        <v>0</v>
      </c>
      <c r="Y66" s="20">
        <f>Y34*(1-Deposits!$P$13)</f>
        <v>0</v>
      </c>
      <c r="Z66" s="20">
        <f>Z34*(1-Deposits!$P$13)</f>
        <v>0</v>
      </c>
      <c r="AA66" s="20">
        <f>AA34*(1-Deposits!$P$13)</f>
        <v>0</v>
      </c>
      <c r="AB66" s="20">
        <f>AB34*(1-Deposits!$P$13)</f>
        <v>0</v>
      </c>
      <c r="AC66" s="20">
        <f>AC34*(1-Deposits!$P$13)</f>
        <v>0</v>
      </c>
      <c r="AD66" s="20">
        <f>AD34*(1-Deposits!$P$13)</f>
        <v>0</v>
      </c>
      <c r="AE66" s="20">
        <f>AE34*(1-Deposits!$P$13)</f>
        <v>0</v>
      </c>
      <c r="AF66" s="20">
        <f>AF34*(1-Deposits!$P$13)</f>
        <v>0</v>
      </c>
      <c r="AG66" s="20">
        <f>AG34*(1-Deposits!$P$13)</f>
        <v>0</v>
      </c>
      <c r="AH66" s="20">
        <f>AH34*(1-Deposits!$P$13)</f>
        <v>0</v>
      </c>
      <c r="AI66" s="20">
        <f>AI34*(1-Deposits!$P$13)</f>
        <v>0</v>
      </c>
      <c r="AJ66" s="20">
        <f>AJ34*(1-Deposits!$P$13)</f>
        <v>0</v>
      </c>
      <c r="AK66" s="20">
        <f>AK34*(1-Deposits!$P$13)</f>
        <v>0</v>
      </c>
      <c r="AL66" s="20">
        <f>AL34*(1-Deposits!$P$13)</f>
        <v>0</v>
      </c>
      <c r="AM66" s="20">
        <f>AM34*(1-Deposits!$P$13)</f>
        <v>0</v>
      </c>
      <c r="AN66" s="20">
        <f>AN34*(1-Deposits!$P$13)</f>
        <v>0</v>
      </c>
      <c r="AO66" s="20">
        <f>AO34*(1-Deposits!$P$13)</f>
        <v>0</v>
      </c>
      <c r="AP66" s="20">
        <f>AP34*(1-Deposits!$P$13)</f>
        <v>0</v>
      </c>
      <c r="AQ66" s="20">
        <f>AQ34*(1-Deposits!$P$13)</f>
        <v>0</v>
      </c>
      <c r="AR66" s="20">
        <f>AR34*(1-Deposits!$P$13)</f>
        <v>0</v>
      </c>
      <c r="AS66" s="20">
        <f>AS34*(1-Deposits!$P$13)</f>
        <v>0</v>
      </c>
      <c r="AT66" s="20">
        <f>AT34*(1-Deposits!$P$13)</f>
        <v>0</v>
      </c>
      <c r="AU66" s="20">
        <f>AU34*(1-Deposits!$P$13)</f>
        <v>0</v>
      </c>
      <c r="AV66" s="20">
        <f>AV34*(1-Deposits!$P$13)</f>
        <v>0</v>
      </c>
      <c r="AW66" s="20">
        <f>AW34*(1-Deposits!$P$13)</f>
        <v>0</v>
      </c>
      <c r="AX66" s="20">
        <f>AX34*(1-Deposits!$P$13)</f>
        <v>0</v>
      </c>
      <c r="AY66" s="20">
        <f>AY34*(1-Deposits!$P$13)</f>
        <v>0</v>
      </c>
      <c r="AZ66" s="20">
        <f>AZ34*(1-Deposits!$P$13)</f>
        <v>0</v>
      </c>
      <c r="BA66" s="20">
        <f>BA34*(1-Deposits!$P$13)</f>
        <v>0</v>
      </c>
      <c r="BB66" s="20">
        <f>BB34*(1-Deposits!$P$13)</f>
        <v>0</v>
      </c>
      <c r="BC66" s="20">
        <f>BC34*(1-Deposits!$P$13)</f>
        <v>0</v>
      </c>
      <c r="BD66" s="20">
        <f>BD34*(1-Deposits!$P$13)</f>
        <v>0</v>
      </c>
      <c r="BE66" s="20">
        <f>BE34*(1-Deposits!$P$13)</f>
        <v>0</v>
      </c>
      <c r="BF66" s="20">
        <f>BF34*(1-Deposits!$P$13)</f>
        <v>0</v>
      </c>
      <c r="BG66" s="20">
        <f>BG34*(1-Deposits!$P$13)</f>
        <v>0</v>
      </c>
      <c r="BH66" s="20">
        <f>BH34*(1-Deposits!$P$13)</f>
        <v>0</v>
      </c>
      <c r="BI66" s="20">
        <f>BI34*(1-Deposits!$P$13)</f>
        <v>0</v>
      </c>
      <c r="BJ66" s="20">
        <f>BJ34*(1-Deposits!$P$13)</f>
        <v>0</v>
      </c>
      <c r="BK66" s="20">
        <f>BK34*(1-Deposits!$P$13)</f>
        <v>0</v>
      </c>
      <c r="BL66" s="20">
        <f>BL34*(1-Deposits!$P$13)</f>
        <v>0</v>
      </c>
      <c r="BM66" s="20">
        <f>BM34*(1-Deposits!$P$13)</f>
        <v>0</v>
      </c>
      <c r="BN66" s="20">
        <f>BN34*(1-Deposits!$P$13)</f>
        <v>0</v>
      </c>
      <c r="BO66" s="20">
        <f>BO34*(1-Deposits!$P$13)</f>
        <v>0</v>
      </c>
      <c r="BP66" s="20">
        <f>BP34*(1-Deposits!$P$13)</f>
        <v>0</v>
      </c>
    </row>
    <row r="67" spans="3:68" x14ac:dyDescent="0.25">
      <c r="C67" s="74" t="str">
        <f t="shared" si="28"/>
        <v>Kiegészítő biztosíték 2. részlet</v>
      </c>
      <c r="D67" t="s">
        <v>844</v>
      </c>
      <c r="E67" s="20"/>
      <c r="F67" s="20"/>
      <c r="G67" s="20">
        <f t="shared" si="29"/>
        <v>0</v>
      </c>
      <c r="H67" s="20">
        <f>H35*(1-Deposits!$P$14)</f>
        <v>0</v>
      </c>
      <c r="I67" s="20">
        <f>I35*(1-Deposits!$P$14)</f>
        <v>0</v>
      </c>
      <c r="J67" s="20">
        <f>J35*(1-Deposits!$P$14)</f>
        <v>0</v>
      </c>
      <c r="K67" s="20">
        <f>K35*(1-Deposits!$P$14)</f>
        <v>0</v>
      </c>
      <c r="L67" s="20">
        <f>L35*(1-Deposits!$P$14)</f>
        <v>0</v>
      </c>
      <c r="M67" s="20">
        <f>M35*(1-Deposits!$P$14)</f>
        <v>0</v>
      </c>
      <c r="N67" s="20">
        <f>N35*(1-Deposits!$P$14)</f>
        <v>0</v>
      </c>
      <c r="O67" s="20">
        <f>O35*(1-Deposits!$P$14)</f>
        <v>0</v>
      </c>
      <c r="P67" s="20">
        <f>P35*(1-Deposits!$P$14)</f>
        <v>0</v>
      </c>
      <c r="Q67" s="20">
        <f>Q35*(1-Deposits!$P$14)</f>
        <v>0</v>
      </c>
      <c r="R67" s="20">
        <f>R35*(1-Deposits!$P$14)</f>
        <v>0</v>
      </c>
      <c r="S67" s="20">
        <f>S35*(1-Deposits!$P$14)</f>
        <v>0</v>
      </c>
      <c r="T67" s="20">
        <f>T35*(1-Deposits!$P$14)</f>
        <v>0</v>
      </c>
      <c r="U67" s="20">
        <f>U35*(1-Deposits!$P$14)</f>
        <v>0</v>
      </c>
      <c r="V67" s="20">
        <f>V35*(1-Deposits!$P$14)</f>
        <v>0</v>
      </c>
      <c r="W67" s="20">
        <f>W35*(1-Deposits!$P$14)</f>
        <v>0</v>
      </c>
      <c r="X67" s="20">
        <f>X35*(1-Deposits!$P$14)</f>
        <v>0</v>
      </c>
      <c r="Y67" s="20">
        <f>Y35*(1-Deposits!$P$14)</f>
        <v>0</v>
      </c>
      <c r="Z67" s="20">
        <f>Z35*(1-Deposits!$P$14)</f>
        <v>0</v>
      </c>
      <c r="AA67" s="20">
        <f>AA35*(1-Deposits!$P$14)</f>
        <v>0</v>
      </c>
      <c r="AB67" s="20">
        <f>AB35*(1-Deposits!$P$14)</f>
        <v>0</v>
      </c>
      <c r="AC67" s="20">
        <f>AC35*(1-Deposits!$P$14)</f>
        <v>0</v>
      </c>
      <c r="AD67" s="20">
        <f>AD35*(1-Deposits!$P$14)</f>
        <v>0</v>
      </c>
      <c r="AE67" s="20">
        <f>AE35*(1-Deposits!$P$14)</f>
        <v>0</v>
      </c>
      <c r="AF67" s="20">
        <f>AF35*(1-Deposits!$P$14)</f>
        <v>0</v>
      </c>
      <c r="AG67" s="20">
        <f>AG35*(1-Deposits!$P$14)</f>
        <v>0</v>
      </c>
      <c r="AH67" s="20">
        <f>AH35*(1-Deposits!$P$14)</f>
        <v>0</v>
      </c>
      <c r="AI67" s="20">
        <f>AI35*(1-Deposits!$P$14)</f>
        <v>0</v>
      </c>
      <c r="AJ67" s="20">
        <f>AJ35*(1-Deposits!$P$14)</f>
        <v>0</v>
      </c>
      <c r="AK67" s="20">
        <f>AK35*(1-Deposits!$P$14)</f>
        <v>0</v>
      </c>
      <c r="AL67" s="20">
        <f>AL35*(1-Deposits!$P$14)</f>
        <v>0</v>
      </c>
      <c r="AM67" s="20">
        <f>AM35*(1-Deposits!$P$14)</f>
        <v>0</v>
      </c>
      <c r="AN67" s="20">
        <f>AN35*(1-Deposits!$P$14)</f>
        <v>0</v>
      </c>
      <c r="AO67" s="20">
        <f>AO35*(1-Deposits!$P$14)</f>
        <v>0</v>
      </c>
      <c r="AP67" s="20">
        <f>AP35*(1-Deposits!$P$14)</f>
        <v>0</v>
      </c>
      <c r="AQ67" s="20">
        <f>AQ35*(1-Deposits!$P$14)</f>
        <v>0</v>
      </c>
      <c r="AR67" s="20">
        <f>AR35*(1-Deposits!$P$14)</f>
        <v>0</v>
      </c>
      <c r="AS67" s="20">
        <f>AS35*(1-Deposits!$P$14)</f>
        <v>0</v>
      </c>
      <c r="AT67" s="20">
        <f>AT35*(1-Deposits!$P$14)</f>
        <v>0</v>
      </c>
      <c r="AU67" s="20">
        <f>AU35*(1-Deposits!$P$14)</f>
        <v>0</v>
      </c>
      <c r="AV67" s="20">
        <f>AV35*(1-Deposits!$P$14)</f>
        <v>0</v>
      </c>
      <c r="AW67" s="20">
        <f>AW35*(1-Deposits!$P$14)</f>
        <v>0</v>
      </c>
      <c r="AX67" s="20">
        <f>AX35*(1-Deposits!$P$14)</f>
        <v>0</v>
      </c>
      <c r="AY67" s="20">
        <f>AY35*(1-Deposits!$P$14)</f>
        <v>0</v>
      </c>
      <c r="AZ67" s="20">
        <f>AZ35*(1-Deposits!$P$14)</f>
        <v>0</v>
      </c>
      <c r="BA67" s="20">
        <f>BA35*(1-Deposits!$P$14)</f>
        <v>0</v>
      </c>
      <c r="BB67" s="20">
        <f>BB35*(1-Deposits!$P$14)</f>
        <v>0</v>
      </c>
      <c r="BC67" s="20">
        <f>BC35*(1-Deposits!$P$14)</f>
        <v>0</v>
      </c>
      <c r="BD67" s="20">
        <f>BD35*(1-Deposits!$P$14)</f>
        <v>0</v>
      </c>
      <c r="BE67" s="20">
        <f>BE35*(1-Deposits!$P$14)</f>
        <v>0</v>
      </c>
      <c r="BF67" s="20">
        <f>BF35*(1-Deposits!$P$14)</f>
        <v>0</v>
      </c>
      <c r="BG67" s="20">
        <f>BG35*(1-Deposits!$P$14)</f>
        <v>0</v>
      </c>
      <c r="BH67" s="20">
        <f>BH35*(1-Deposits!$P$14)</f>
        <v>0</v>
      </c>
      <c r="BI67" s="20">
        <f>BI35*(1-Deposits!$P$14)</f>
        <v>0</v>
      </c>
      <c r="BJ67" s="20">
        <f>BJ35*(1-Deposits!$P$14)</f>
        <v>0</v>
      </c>
      <c r="BK67" s="20">
        <f>BK35*(1-Deposits!$P$14)</f>
        <v>0</v>
      </c>
      <c r="BL67" s="20">
        <f>BL35*(1-Deposits!$P$14)</f>
        <v>0</v>
      </c>
      <c r="BM67" s="20">
        <f>BM35*(1-Deposits!$P$14)</f>
        <v>0</v>
      </c>
      <c r="BN67" s="20">
        <f>BN35*(1-Deposits!$P$14)</f>
        <v>0</v>
      </c>
      <c r="BO67" s="20">
        <f>BO35*(1-Deposits!$P$14)</f>
        <v>0</v>
      </c>
      <c r="BP67" s="20">
        <f>BP35*(1-Deposits!$P$14)</f>
        <v>0</v>
      </c>
    </row>
    <row r="68" spans="3:68" x14ac:dyDescent="0.25">
      <c r="C68" s="74" t="str">
        <f t="shared" si="28"/>
        <v>Kiegészítő biztosíték visszautalás építési engedély megszerzésekor</v>
      </c>
      <c r="D68" t="s">
        <v>844</v>
      </c>
      <c r="E68" s="20"/>
      <c r="F68" s="20"/>
      <c r="G68" s="20">
        <f t="shared" si="29"/>
        <v>0</v>
      </c>
      <c r="H68" s="20">
        <f>H36*(1-Deposits!$P$15)</f>
        <v>0</v>
      </c>
      <c r="I68" s="20">
        <f>I36*(1-Deposits!$P$15)</f>
        <v>0</v>
      </c>
      <c r="J68" s="20">
        <f>J36*(1-Deposits!$P$15)</f>
        <v>0</v>
      </c>
      <c r="K68" s="20">
        <f>K36*(1-Deposits!$P$15)</f>
        <v>0</v>
      </c>
      <c r="L68" s="20">
        <f>L36*(1-Deposits!$P$15)</f>
        <v>0</v>
      </c>
      <c r="M68" s="20">
        <f>M36*(1-Deposits!$P$15)</f>
        <v>0</v>
      </c>
      <c r="N68" s="20">
        <f>N36*(1-Deposits!$P$15)</f>
        <v>0</v>
      </c>
      <c r="O68" s="20">
        <f>O36*(1-Deposits!$P$15)</f>
        <v>0</v>
      </c>
      <c r="P68" s="20">
        <f>P36*(1-Deposits!$P$15)</f>
        <v>0</v>
      </c>
      <c r="Q68" s="20">
        <f>Q36*(1-Deposits!$P$15)</f>
        <v>0</v>
      </c>
      <c r="R68" s="20">
        <f>R36*(1-Deposits!$P$15)</f>
        <v>0</v>
      </c>
      <c r="S68" s="20">
        <f>S36*(1-Deposits!$P$15)</f>
        <v>0</v>
      </c>
      <c r="T68" s="20">
        <f>T36*(1-Deposits!$P$15)</f>
        <v>0</v>
      </c>
      <c r="U68" s="20">
        <f>U36*(1-Deposits!$P$15)</f>
        <v>0</v>
      </c>
      <c r="V68" s="20">
        <f>V36*(1-Deposits!$P$15)</f>
        <v>0</v>
      </c>
      <c r="W68" s="20">
        <f>W36*(1-Deposits!$P$15)</f>
        <v>0</v>
      </c>
      <c r="X68" s="20">
        <f>X36*(1-Deposits!$P$15)</f>
        <v>0</v>
      </c>
      <c r="Y68" s="20">
        <f>Y36*(1-Deposits!$P$15)</f>
        <v>0</v>
      </c>
      <c r="Z68" s="20">
        <f>Z36*(1-Deposits!$P$15)</f>
        <v>0</v>
      </c>
      <c r="AA68" s="20">
        <f>AA36*(1-Deposits!$P$15)</f>
        <v>0</v>
      </c>
      <c r="AB68" s="20">
        <f>AB36*(1-Deposits!$P$15)</f>
        <v>0</v>
      </c>
      <c r="AC68" s="20">
        <f>AC36*(1-Deposits!$P$15)</f>
        <v>0</v>
      </c>
      <c r="AD68" s="20">
        <f>AD36*(1-Deposits!$P$15)</f>
        <v>0</v>
      </c>
      <c r="AE68" s="20">
        <f>AE36*(1-Deposits!$P$15)</f>
        <v>0</v>
      </c>
      <c r="AF68" s="20">
        <f>AF36*(1-Deposits!$P$15)</f>
        <v>0</v>
      </c>
      <c r="AG68" s="20">
        <f>AG36*(1-Deposits!$P$15)</f>
        <v>0</v>
      </c>
      <c r="AH68" s="20">
        <f>AH36*(1-Deposits!$P$15)</f>
        <v>0</v>
      </c>
      <c r="AI68" s="20">
        <f>AI36*(1-Deposits!$P$15)</f>
        <v>0</v>
      </c>
      <c r="AJ68" s="20">
        <f>AJ36*(1-Deposits!$P$15)</f>
        <v>0</v>
      </c>
      <c r="AK68" s="20">
        <f>AK36*(1-Deposits!$P$15)</f>
        <v>0</v>
      </c>
      <c r="AL68" s="20">
        <f>AL36*(1-Deposits!$P$15)</f>
        <v>0</v>
      </c>
      <c r="AM68" s="20">
        <f>AM36*(1-Deposits!$P$15)</f>
        <v>0</v>
      </c>
      <c r="AN68" s="20">
        <f>AN36*(1-Deposits!$P$15)</f>
        <v>0</v>
      </c>
      <c r="AO68" s="20">
        <f>AO36*(1-Deposits!$P$15)</f>
        <v>0</v>
      </c>
      <c r="AP68" s="20">
        <f>AP36*(1-Deposits!$P$15)</f>
        <v>0</v>
      </c>
      <c r="AQ68" s="20">
        <f>AQ36*(1-Deposits!$P$15)</f>
        <v>0</v>
      </c>
      <c r="AR68" s="20">
        <f>AR36*(1-Deposits!$P$15)</f>
        <v>0</v>
      </c>
      <c r="AS68" s="20">
        <f>AS36*(1-Deposits!$P$15)</f>
        <v>0</v>
      </c>
      <c r="AT68" s="20">
        <f>AT36*(1-Deposits!$P$15)</f>
        <v>0</v>
      </c>
      <c r="AU68" s="20">
        <f>AU36*(1-Deposits!$P$15)</f>
        <v>0</v>
      </c>
      <c r="AV68" s="20">
        <f>AV36*(1-Deposits!$P$15)</f>
        <v>0</v>
      </c>
      <c r="AW68" s="20">
        <f>AW36*(1-Deposits!$P$15)</f>
        <v>0</v>
      </c>
      <c r="AX68" s="20">
        <f>AX36*(1-Deposits!$P$15)</f>
        <v>0</v>
      </c>
      <c r="AY68" s="20">
        <f>AY36*(1-Deposits!$P$15)</f>
        <v>0</v>
      </c>
      <c r="AZ68" s="20">
        <f>AZ36*(1-Deposits!$P$15)</f>
        <v>0</v>
      </c>
      <c r="BA68" s="20">
        <f>BA36*(1-Deposits!$P$15)</f>
        <v>0</v>
      </c>
      <c r="BB68" s="20">
        <f>BB36*(1-Deposits!$P$15)</f>
        <v>0</v>
      </c>
      <c r="BC68" s="20">
        <f>BC36*(1-Deposits!$P$15)</f>
        <v>0</v>
      </c>
      <c r="BD68" s="20">
        <f>BD36*(1-Deposits!$P$15)</f>
        <v>0</v>
      </c>
      <c r="BE68" s="20">
        <f>BE36*(1-Deposits!$P$15)</f>
        <v>0</v>
      </c>
      <c r="BF68" s="20">
        <f>BF36*(1-Deposits!$P$15)</f>
        <v>0</v>
      </c>
      <c r="BG68" s="20">
        <f>BG36*(1-Deposits!$P$15)</f>
        <v>0</v>
      </c>
      <c r="BH68" s="20">
        <f>BH36*(1-Deposits!$P$15)</f>
        <v>0</v>
      </c>
      <c r="BI68" s="20">
        <f>BI36*(1-Deposits!$P$15)</f>
        <v>0</v>
      </c>
      <c r="BJ68" s="20">
        <f>BJ36*(1-Deposits!$P$15)</f>
        <v>0</v>
      </c>
      <c r="BK68" s="20">
        <f>BK36*(1-Deposits!$P$15)</f>
        <v>0</v>
      </c>
      <c r="BL68" s="20">
        <f>BL36*(1-Deposits!$P$15)</f>
        <v>0</v>
      </c>
      <c r="BM68" s="20">
        <f>BM36*(1-Deposits!$P$15)</f>
        <v>0</v>
      </c>
      <c r="BN68" s="20">
        <f>BN36*(1-Deposits!$P$15)</f>
        <v>0</v>
      </c>
      <c r="BO68" s="20">
        <f>BO36*(1-Deposits!$P$15)</f>
        <v>0</v>
      </c>
      <c r="BP68" s="20">
        <f>BP36*(1-Deposits!$P$15)</f>
        <v>0</v>
      </c>
    </row>
    <row r="69" spans="3:68" x14ac:dyDescent="0.25">
      <c r="C69" s="74" t="str">
        <f t="shared" si="28"/>
        <v>Kiegészítő biztosíték 3. részlet</v>
      </c>
      <c r="D69" t="s">
        <v>844</v>
      </c>
      <c r="E69" s="20"/>
      <c r="F69" s="20"/>
      <c r="G69" s="20">
        <f t="shared" si="29"/>
        <v>0</v>
      </c>
      <c r="H69" s="20">
        <f>H37*(1-Deposits!$P$16)</f>
        <v>0</v>
      </c>
      <c r="I69" s="20">
        <f>I37*(1-Deposits!$P$16)</f>
        <v>0</v>
      </c>
      <c r="J69" s="20">
        <f>J37*(1-Deposits!$P$16)</f>
        <v>0</v>
      </c>
      <c r="K69" s="20">
        <f>K37*(1-Deposits!$P$16)</f>
        <v>0</v>
      </c>
      <c r="L69" s="20">
        <f>L37*(1-Deposits!$P$16)</f>
        <v>0</v>
      </c>
      <c r="M69" s="20">
        <f>M37*(1-Deposits!$P$16)</f>
        <v>0</v>
      </c>
      <c r="N69" s="20">
        <f>N37*(1-Deposits!$P$16)</f>
        <v>0</v>
      </c>
      <c r="O69" s="20">
        <f>O37*(1-Deposits!$P$16)</f>
        <v>0</v>
      </c>
      <c r="P69" s="20">
        <f>P37*(1-Deposits!$P$16)</f>
        <v>0</v>
      </c>
      <c r="Q69" s="20">
        <f>Q37*(1-Deposits!$P$16)</f>
        <v>0</v>
      </c>
      <c r="R69" s="20">
        <f>R37*(1-Deposits!$P$16)</f>
        <v>0</v>
      </c>
      <c r="S69" s="20">
        <f>S37*(1-Deposits!$P$16)</f>
        <v>0</v>
      </c>
      <c r="T69" s="20">
        <f>T37*(1-Deposits!$P$16)</f>
        <v>0</v>
      </c>
      <c r="U69" s="20">
        <f>U37*(1-Deposits!$P$16)</f>
        <v>0</v>
      </c>
      <c r="V69" s="20">
        <f>V37*(1-Deposits!$P$16)</f>
        <v>0</v>
      </c>
      <c r="W69" s="20">
        <f>W37*(1-Deposits!$P$16)</f>
        <v>0</v>
      </c>
      <c r="X69" s="20">
        <f>X37*(1-Deposits!$P$16)</f>
        <v>0</v>
      </c>
      <c r="Y69" s="20">
        <f>Y37*(1-Deposits!$P$16)</f>
        <v>0</v>
      </c>
      <c r="Z69" s="20">
        <f>Z37*(1-Deposits!$P$16)</f>
        <v>0</v>
      </c>
      <c r="AA69" s="20">
        <f>AA37*(1-Deposits!$P$16)</f>
        <v>0</v>
      </c>
      <c r="AB69" s="20">
        <f>AB37*(1-Deposits!$P$16)</f>
        <v>0</v>
      </c>
      <c r="AC69" s="20">
        <f>AC37*(1-Deposits!$P$16)</f>
        <v>0</v>
      </c>
      <c r="AD69" s="20">
        <f>AD37*(1-Deposits!$P$16)</f>
        <v>0</v>
      </c>
      <c r="AE69" s="20">
        <f>AE37*(1-Deposits!$P$16)</f>
        <v>0</v>
      </c>
      <c r="AF69" s="20">
        <f>AF37*(1-Deposits!$P$16)</f>
        <v>0</v>
      </c>
      <c r="AG69" s="20">
        <f>AG37*(1-Deposits!$P$16)</f>
        <v>0</v>
      </c>
      <c r="AH69" s="20">
        <f>AH37*(1-Deposits!$P$16)</f>
        <v>0</v>
      </c>
      <c r="AI69" s="20">
        <f>AI37*(1-Deposits!$P$16)</f>
        <v>0</v>
      </c>
      <c r="AJ69" s="20">
        <f>AJ37*(1-Deposits!$P$16)</f>
        <v>0</v>
      </c>
      <c r="AK69" s="20">
        <f>AK37*(1-Deposits!$P$16)</f>
        <v>0</v>
      </c>
      <c r="AL69" s="20">
        <f>AL37*(1-Deposits!$P$16)</f>
        <v>0</v>
      </c>
      <c r="AM69" s="20">
        <f>AM37*(1-Deposits!$P$16)</f>
        <v>0</v>
      </c>
      <c r="AN69" s="20">
        <f>AN37*(1-Deposits!$P$16)</f>
        <v>0</v>
      </c>
      <c r="AO69" s="20">
        <f>AO37*(1-Deposits!$P$16)</f>
        <v>0</v>
      </c>
      <c r="AP69" s="20">
        <f>AP37*(1-Deposits!$P$16)</f>
        <v>0</v>
      </c>
      <c r="AQ69" s="20">
        <f>AQ37*(1-Deposits!$P$16)</f>
        <v>0</v>
      </c>
      <c r="AR69" s="20">
        <f>AR37*(1-Deposits!$P$16)</f>
        <v>0</v>
      </c>
      <c r="AS69" s="20">
        <f>AS37*(1-Deposits!$P$16)</f>
        <v>0</v>
      </c>
      <c r="AT69" s="20">
        <f>AT37*(1-Deposits!$P$16)</f>
        <v>0</v>
      </c>
      <c r="AU69" s="20">
        <f>AU37*(1-Deposits!$P$16)</f>
        <v>0</v>
      </c>
      <c r="AV69" s="20">
        <f>AV37*(1-Deposits!$P$16)</f>
        <v>0</v>
      </c>
      <c r="AW69" s="20">
        <f>AW37*(1-Deposits!$P$16)</f>
        <v>0</v>
      </c>
      <c r="AX69" s="20">
        <f>AX37*(1-Deposits!$P$16)</f>
        <v>0</v>
      </c>
      <c r="AY69" s="20">
        <f>AY37*(1-Deposits!$P$16)</f>
        <v>0</v>
      </c>
      <c r="AZ69" s="20">
        <f>AZ37*(1-Deposits!$P$16)</f>
        <v>0</v>
      </c>
      <c r="BA69" s="20">
        <f>BA37*(1-Deposits!$P$16)</f>
        <v>0</v>
      </c>
      <c r="BB69" s="20">
        <f>BB37*(1-Deposits!$P$16)</f>
        <v>0</v>
      </c>
      <c r="BC69" s="20">
        <f>BC37*(1-Deposits!$P$16)</f>
        <v>0</v>
      </c>
      <c r="BD69" s="20">
        <f>BD37*(1-Deposits!$P$16)</f>
        <v>0</v>
      </c>
      <c r="BE69" s="20">
        <f>BE37*(1-Deposits!$P$16)</f>
        <v>0</v>
      </c>
      <c r="BF69" s="20">
        <f>BF37*(1-Deposits!$P$16)</f>
        <v>0</v>
      </c>
      <c r="BG69" s="20">
        <f>BG37*(1-Deposits!$P$16)</f>
        <v>0</v>
      </c>
      <c r="BH69" s="20">
        <f>BH37*(1-Deposits!$P$16)</f>
        <v>0</v>
      </c>
      <c r="BI69" s="20">
        <f>BI37*(1-Deposits!$P$16)</f>
        <v>0</v>
      </c>
      <c r="BJ69" s="20">
        <f>BJ37*(1-Deposits!$P$16)</f>
        <v>0</v>
      </c>
      <c r="BK69" s="20">
        <f>BK37*(1-Deposits!$P$16)</f>
        <v>0</v>
      </c>
      <c r="BL69" s="20">
        <f>BL37*(1-Deposits!$P$16)</f>
        <v>0</v>
      </c>
      <c r="BM69" s="20">
        <f>BM37*(1-Deposits!$P$16)</f>
        <v>0</v>
      </c>
      <c r="BN69" s="20">
        <f>BN37*(1-Deposits!$P$16)</f>
        <v>0</v>
      </c>
      <c r="BO69" s="20">
        <f>BO37*(1-Deposits!$P$16)</f>
        <v>0</v>
      </c>
      <c r="BP69" s="20">
        <f>BP37*(1-Deposits!$P$16)</f>
        <v>0</v>
      </c>
    </row>
    <row r="70" spans="3:68" x14ac:dyDescent="0.25">
      <c r="C70" s="74" t="str">
        <f t="shared" si="28"/>
        <v>Kiegészítő biztosíték 4. részlet</v>
      </c>
      <c r="D70" t="s">
        <v>844</v>
      </c>
      <c r="E70" s="20"/>
      <c r="F70" s="20"/>
      <c r="G70" s="20">
        <f t="shared" si="29"/>
        <v>0</v>
      </c>
      <c r="H70" s="20">
        <f>H38*(1-Deposits!$P$17)</f>
        <v>0</v>
      </c>
      <c r="I70" s="20">
        <f>I38*(1-Deposits!$P$17)</f>
        <v>0</v>
      </c>
      <c r="J70" s="20">
        <f>J38*(1-Deposits!$P$17)</f>
        <v>0</v>
      </c>
      <c r="K70" s="20">
        <f>K38*(1-Deposits!$P$17)</f>
        <v>0</v>
      </c>
      <c r="L70" s="20">
        <f>L38*(1-Deposits!$P$17)</f>
        <v>0</v>
      </c>
      <c r="M70" s="20">
        <f>M38*(1-Deposits!$P$17)</f>
        <v>0</v>
      </c>
      <c r="N70" s="20">
        <f>N38*(1-Deposits!$P$17)</f>
        <v>0</v>
      </c>
      <c r="O70" s="20">
        <f>O38*(1-Deposits!$P$17)</f>
        <v>0</v>
      </c>
      <c r="P70" s="20">
        <f>P38*(1-Deposits!$P$17)</f>
        <v>0</v>
      </c>
      <c r="Q70" s="20">
        <f>Q38*(1-Deposits!$P$17)</f>
        <v>0</v>
      </c>
      <c r="R70" s="20">
        <f>R38*(1-Deposits!$P$17)</f>
        <v>0</v>
      </c>
      <c r="S70" s="20">
        <f>S38*(1-Deposits!$P$17)</f>
        <v>0</v>
      </c>
      <c r="T70" s="20">
        <f>T38*(1-Deposits!$P$17)</f>
        <v>0</v>
      </c>
      <c r="U70" s="20">
        <f>U38*(1-Deposits!$P$17)</f>
        <v>0</v>
      </c>
      <c r="V70" s="20">
        <f>V38*(1-Deposits!$P$17)</f>
        <v>0</v>
      </c>
      <c r="W70" s="20">
        <f>W38*(1-Deposits!$P$17)</f>
        <v>0</v>
      </c>
      <c r="X70" s="20">
        <f>X38*(1-Deposits!$P$17)</f>
        <v>0</v>
      </c>
      <c r="Y70" s="20">
        <f>Y38*(1-Deposits!$P$17)</f>
        <v>0</v>
      </c>
      <c r="Z70" s="20">
        <f>Z38*(1-Deposits!$P$17)</f>
        <v>0</v>
      </c>
      <c r="AA70" s="20">
        <f>AA38*(1-Deposits!$P$17)</f>
        <v>0</v>
      </c>
      <c r="AB70" s="20">
        <f>AB38*(1-Deposits!$P$17)</f>
        <v>0</v>
      </c>
      <c r="AC70" s="20">
        <f>AC38*(1-Deposits!$P$17)</f>
        <v>0</v>
      </c>
      <c r="AD70" s="20">
        <f>AD38*(1-Deposits!$P$17)</f>
        <v>0</v>
      </c>
      <c r="AE70" s="20">
        <f>AE38*(1-Deposits!$P$17)</f>
        <v>0</v>
      </c>
      <c r="AF70" s="20">
        <f>AF38*(1-Deposits!$P$17)</f>
        <v>0</v>
      </c>
      <c r="AG70" s="20">
        <f>AG38*(1-Deposits!$P$17)</f>
        <v>0</v>
      </c>
      <c r="AH70" s="20">
        <f>AH38*(1-Deposits!$P$17)</f>
        <v>0</v>
      </c>
      <c r="AI70" s="20">
        <f>AI38*(1-Deposits!$P$17)</f>
        <v>0</v>
      </c>
      <c r="AJ70" s="20">
        <f>AJ38*(1-Deposits!$P$17)</f>
        <v>0</v>
      </c>
      <c r="AK70" s="20">
        <f>AK38*(1-Deposits!$P$17)</f>
        <v>0</v>
      </c>
      <c r="AL70" s="20">
        <f>AL38*(1-Deposits!$P$17)</f>
        <v>0</v>
      </c>
      <c r="AM70" s="20">
        <f>AM38*(1-Deposits!$P$17)</f>
        <v>0</v>
      </c>
      <c r="AN70" s="20">
        <f>AN38*(1-Deposits!$P$17)</f>
        <v>0</v>
      </c>
      <c r="AO70" s="20">
        <f>AO38*(1-Deposits!$P$17)</f>
        <v>0</v>
      </c>
      <c r="AP70" s="20">
        <f>AP38*(1-Deposits!$P$17)</f>
        <v>0</v>
      </c>
      <c r="AQ70" s="20">
        <f>AQ38*(1-Deposits!$P$17)</f>
        <v>0</v>
      </c>
      <c r="AR70" s="20">
        <f>AR38*(1-Deposits!$P$17)</f>
        <v>0</v>
      </c>
      <c r="AS70" s="20">
        <f>AS38*(1-Deposits!$P$17)</f>
        <v>0</v>
      </c>
      <c r="AT70" s="20">
        <f>AT38*(1-Deposits!$P$17)</f>
        <v>0</v>
      </c>
      <c r="AU70" s="20">
        <f>AU38*(1-Deposits!$P$17)</f>
        <v>0</v>
      </c>
      <c r="AV70" s="20">
        <f>AV38*(1-Deposits!$P$17)</f>
        <v>0</v>
      </c>
      <c r="AW70" s="20">
        <f>AW38*(1-Deposits!$P$17)</f>
        <v>0</v>
      </c>
      <c r="AX70" s="20">
        <f>AX38*(1-Deposits!$P$17)</f>
        <v>0</v>
      </c>
      <c r="AY70" s="20">
        <f>AY38*(1-Deposits!$P$17)</f>
        <v>0</v>
      </c>
      <c r="AZ70" s="20">
        <f>AZ38*(1-Deposits!$P$17)</f>
        <v>0</v>
      </c>
      <c r="BA70" s="20">
        <f>BA38*(1-Deposits!$P$17)</f>
        <v>0</v>
      </c>
      <c r="BB70" s="20">
        <f>BB38*(1-Deposits!$P$17)</f>
        <v>0</v>
      </c>
      <c r="BC70" s="20">
        <f>BC38*(1-Deposits!$P$17)</f>
        <v>0</v>
      </c>
      <c r="BD70" s="20">
        <f>BD38*(1-Deposits!$P$17)</f>
        <v>0</v>
      </c>
      <c r="BE70" s="20">
        <f>BE38*(1-Deposits!$P$17)</f>
        <v>0</v>
      </c>
      <c r="BF70" s="20">
        <f>BF38*(1-Deposits!$P$17)</f>
        <v>0</v>
      </c>
      <c r="BG70" s="20">
        <f>BG38*(1-Deposits!$P$17)</f>
        <v>0</v>
      </c>
      <c r="BH70" s="20">
        <f>BH38*(1-Deposits!$P$17)</f>
        <v>0</v>
      </c>
      <c r="BI70" s="20">
        <f>BI38*(1-Deposits!$P$17)</f>
        <v>0</v>
      </c>
      <c r="BJ70" s="20">
        <f>BJ38*(1-Deposits!$P$17)</f>
        <v>0</v>
      </c>
      <c r="BK70" s="20">
        <f>BK38*(1-Deposits!$P$17)</f>
        <v>0</v>
      </c>
      <c r="BL70" s="20">
        <f>BL38*(1-Deposits!$P$17)</f>
        <v>0</v>
      </c>
      <c r="BM70" s="20">
        <f>BM38*(1-Deposits!$P$17)</f>
        <v>0</v>
      </c>
      <c r="BN70" s="20">
        <f>BN38*(1-Deposits!$P$17)</f>
        <v>0</v>
      </c>
      <c r="BO70" s="20">
        <f>BO38*(1-Deposits!$P$17)</f>
        <v>0</v>
      </c>
      <c r="BP70" s="20">
        <f>BP38*(1-Deposits!$P$17)</f>
        <v>0</v>
      </c>
    </row>
    <row r="71" spans="3:68" x14ac:dyDescent="0.25">
      <c r="C71" s="74" t="str">
        <f t="shared" si="28"/>
        <v>Csatlakozási díj – becsült összeg</v>
      </c>
      <c r="D71" t="s">
        <v>844</v>
      </c>
      <c r="E71" s="20"/>
      <c r="F71" s="20"/>
      <c r="G71" s="20">
        <f t="shared" si="29"/>
        <v>0</v>
      </c>
      <c r="H71" s="20">
        <f>H39*(1-Deposits!$P$18)</f>
        <v>0</v>
      </c>
      <c r="I71" s="20">
        <f>I39*(1-Deposits!$P$18)</f>
        <v>0</v>
      </c>
      <c r="J71" s="20">
        <f>J39*(1-Deposits!$P$18)</f>
        <v>0</v>
      </c>
      <c r="K71" s="20">
        <f>K39*(1-Deposits!$P$18)</f>
        <v>0</v>
      </c>
      <c r="L71" s="20">
        <f>L39*(1-Deposits!$P$18)</f>
        <v>0</v>
      </c>
      <c r="M71" s="20">
        <f>M39*(1-Deposits!$P$18)</f>
        <v>0</v>
      </c>
      <c r="N71" s="20">
        <f>N39*(1-Deposits!$P$18)</f>
        <v>0</v>
      </c>
      <c r="O71" s="20">
        <f>O39*(1-Deposits!$P$18)</f>
        <v>0</v>
      </c>
      <c r="P71" s="20">
        <f>P39*(1-Deposits!$P$18)</f>
        <v>0</v>
      </c>
      <c r="Q71" s="20">
        <f>Q39*(1-Deposits!$P$18)</f>
        <v>0</v>
      </c>
      <c r="R71" s="20">
        <f>R39*(1-Deposits!$P$18)</f>
        <v>0</v>
      </c>
      <c r="S71" s="20">
        <f>S39*(1-Deposits!$P$18)</f>
        <v>0</v>
      </c>
      <c r="T71" s="20">
        <f>T39*(1-Deposits!$P$18)</f>
        <v>0</v>
      </c>
      <c r="U71" s="20">
        <f>U39*(1-Deposits!$P$18)</f>
        <v>0</v>
      </c>
      <c r="V71" s="20">
        <f>V39*(1-Deposits!$P$18)</f>
        <v>0</v>
      </c>
      <c r="W71" s="20">
        <f>W39*(1-Deposits!$P$18)</f>
        <v>0</v>
      </c>
      <c r="X71" s="20">
        <f>X39*(1-Deposits!$P$18)</f>
        <v>0</v>
      </c>
      <c r="Y71" s="20">
        <f>Y39*(1-Deposits!$P$18)</f>
        <v>0</v>
      </c>
      <c r="Z71" s="20">
        <f>Z39*(1-Deposits!$P$18)</f>
        <v>0</v>
      </c>
      <c r="AA71" s="20">
        <f>AA39*(1-Deposits!$P$18)</f>
        <v>0</v>
      </c>
      <c r="AB71" s="20">
        <f>AB39*(1-Deposits!$P$18)</f>
        <v>0</v>
      </c>
      <c r="AC71" s="20">
        <f>AC39*(1-Deposits!$P$18)</f>
        <v>0</v>
      </c>
      <c r="AD71" s="20">
        <f>AD39*(1-Deposits!$P$18)</f>
        <v>0</v>
      </c>
      <c r="AE71" s="20">
        <f>AE39*(1-Deposits!$P$18)</f>
        <v>0</v>
      </c>
      <c r="AF71" s="20">
        <f>AF39*(1-Deposits!$P$18)</f>
        <v>0</v>
      </c>
      <c r="AG71" s="20">
        <f>AG39*(1-Deposits!$P$18)</f>
        <v>0</v>
      </c>
      <c r="AH71" s="20">
        <f>AH39*(1-Deposits!$P$18)</f>
        <v>0</v>
      </c>
      <c r="AI71" s="20">
        <f>AI39*(1-Deposits!$P$18)</f>
        <v>0</v>
      </c>
      <c r="AJ71" s="20">
        <f>AJ39*(1-Deposits!$P$18)</f>
        <v>0</v>
      </c>
      <c r="AK71" s="20">
        <f>AK39*(1-Deposits!$P$18)</f>
        <v>0</v>
      </c>
      <c r="AL71" s="20">
        <f>AL39*(1-Deposits!$P$18)</f>
        <v>0</v>
      </c>
      <c r="AM71" s="20">
        <f>AM39*(1-Deposits!$P$18)</f>
        <v>0</v>
      </c>
      <c r="AN71" s="20">
        <f>AN39*(1-Deposits!$P$18)</f>
        <v>0</v>
      </c>
      <c r="AO71" s="20">
        <f>AO39*(1-Deposits!$P$18)</f>
        <v>0</v>
      </c>
      <c r="AP71" s="20">
        <f>AP39*(1-Deposits!$P$18)</f>
        <v>0</v>
      </c>
      <c r="AQ71" s="20">
        <f>AQ39*(1-Deposits!$P$18)</f>
        <v>0</v>
      </c>
      <c r="AR71" s="20">
        <f>AR39*(1-Deposits!$P$18)</f>
        <v>0</v>
      </c>
      <c r="AS71" s="20">
        <f>AS39*(1-Deposits!$P$18)</f>
        <v>0</v>
      </c>
      <c r="AT71" s="20">
        <f>AT39*(1-Deposits!$P$18)</f>
        <v>0</v>
      </c>
      <c r="AU71" s="20">
        <f>AU39*(1-Deposits!$P$18)</f>
        <v>0</v>
      </c>
      <c r="AV71" s="20">
        <f>AV39*(1-Deposits!$P$18)</f>
        <v>0</v>
      </c>
      <c r="AW71" s="20">
        <f>AW39*(1-Deposits!$P$18)</f>
        <v>0</v>
      </c>
      <c r="AX71" s="20">
        <f>AX39*(1-Deposits!$P$18)</f>
        <v>0</v>
      </c>
      <c r="AY71" s="20">
        <f>AY39*(1-Deposits!$P$18)</f>
        <v>0</v>
      </c>
      <c r="AZ71" s="20">
        <f>AZ39*(1-Deposits!$P$18)</f>
        <v>0</v>
      </c>
      <c r="BA71" s="20">
        <f>BA39*(1-Deposits!$P$18)</f>
        <v>0</v>
      </c>
      <c r="BB71" s="20">
        <f>BB39*(1-Deposits!$P$18)</f>
        <v>0</v>
      </c>
      <c r="BC71" s="20">
        <f>BC39*(1-Deposits!$P$18)</f>
        <v>0</v>
      </c>
      <c r="BD71" s="20">
        <f>BD39*(1-Deposits!$P$18)</f>
        <v>0</v>
      </c>
      <c r="BE71" s="20">
        <f>BE39*(1-Deposits!$P$18)</f>
        <v>0</v>
      </c>
      <c r="BF71" s="20">
        <f>BF39*(1-Deposits!$P$18)</f>
        <v>0</v>
      </c>
      <c r="BG71" s="20">
        <f>BG39*(1-Deposits!$P$18)</f>
        <v>0</v>
      </c>
      <c r="BH71" s="20">
        <f>BH39*(1-Deposits!$P$18)</f>
        <v>0</v>
      </c>
      <c r="BI71" s="20">
        <f>BI39*(1-Deposits!$P$18)</f>
        <v>0</v>
      </c>
      <c r="BJ71" s="20">
        <f>BJ39*(1-Deposits!$P$18)</f>
        <v>0</v>
      </c>
      <c r="BK71" s="20">
        <f>BK39*(1-Deposits!$P$18)</f>
        <v>0</v>
      </c>
      <c r="BL71" s="20">
        <f>BL39*(1-Deposits!$P$18)</f>
        <v>0</v>
      </c>
      <c r="BM71" s="20">
        <f>BM39*(1-Deposits!$P$18)</f>
        <v>0</v>
      </c>
      <c r="BN71" s="20">
        <f>BN39*(1-Deposits!$P$18)</f>
        <v>0</v>
      </c>
      <c r="BO71" s="20">
        <f>BO39*(1-Deposits!$P$18)</f>
        <v>0</v>
      </c>
      <c r="BP71" s="20">
        <f>BP39*(1-Deposits!$P$18)</f>
        <v>0</v>
      </c>
    </row>
    <row r="72" spans="3:68" x14ac:dyDescent="0.25">
      <c r="C72" s="6" t="s">
        <v>679</v>
      </c>
      <c r="D72" s="6" t="s">
        <v>844</v>
      </c>
      <c r="E72" s="95"/>
      <c r="F72" s="95"/>
      <c r="G72" s="95">
        <f t="shared" si="29"/>
        <v>18284.178082191786</v>
      </c>
      <c r="H72" s="95">
        <f t="shared" ref="H72:AM72" si="30">SUM(H60:H71)</f>
        <v>0</v>
      </c>
      <c r="I72" s="95">
        <f t="shared" si="30"/>
        <v>0</v>
      </c>
      <c r="J72" s="95">
        <f t="shared" si="30"/>
        <v>0</v>
      </c>
      <c r="K72" s="95">
        <f t="shared" si="30"/>
        <v>2437.890410958904</v>
      </c>
      <c r="L72" s="95">
        <f t="shared" si="30"/>
        <v>0</v>
      </c>
      <c r="M72" s="95">
        <f t="shared" si="30"/>
        <v>15846.28767123288</v>
      </c>
      <c r="N72" s="95">
        <f t="shared" si="30"/>
        <v>0</v>
      </c>
      <c r="O72" s="95">
        <f t="shared" si="30"/>
        <v>0</v>
      </c>
      <c r="P72" s="95">
        <f t="shared" si="30"/>
        <v>0</v>
      </c>
      <c r="Q72" s="95">
        <f t="shared" si="30"/>
        <v>0</v>
      </c>
      <c r="R72" s="95">
        <f t="shared" si="30"/>
        <v>0</v>
      </c>
      <c r="S72" s="95">
        <f t="shared" si="30"/>
        <v>0</v>
      </c>
      <c r="T72" s="95">
        <f t="shared" si="30"/>
        <v>0</v>
      </c>
      <c r="U72" s="95">
        <f t="shared" si="30"/>
        <v>0</v>
      </c>
      <c r="V72" s="95">
        <f t="shared" si="30"/>
        <v>0</v>
      </c>
      <c r="W72" s="95">
        <f t="shared" si="30"/>
        <v>0</v>
      </c>
      <c r="X72" s="95">
        <f t="shared" si="30"/>
        <v>0</v>
      </c>
      <c r="Y72" s="95">
        <f t="shared" si="30"/>
        <v>0</v>
      </c>
      <c r="Z72" s="95">
        <f t="shared" si="30"/>
        <v>0</v>
      </c>
      <c r="AA72" s="95">
        <f t="shared" si="30"/>
        <v>0</v>
      </c>
      <c r="AB72" s="95">
        <f t="shared" si="30"/>
        <v>0</v>
      </c>
      <c r="AC72" s="95">
        <f t="shared" si="30"/>
        <v>0</v>
      </c>
      <c r="AD72" s="95">
        <f t="shared" si="30"/>
        <v>0</v>
      </c>
      <c r="AE72" s="95">
        <f t="shared" si="30"/>
        <v>0</v>
      </c>
      <c r="AF72" s="95">
        <f t="shared" si="30"/>
        <v>0</v>
      </c>
      <c r="AG72" s="95">
        <f t="shared" si="30"/>
        <v>0</v>
      </c>
      <c r="AH72" s="95">
        <f t="shared" si="30"/>
        <v>0</v>
      </c>
      <c r="AI72" s="95">
        <f t="shared" si="30"/>
        <v>0</v>
      </c>
      <c r="AJ72" s="95">
        <f t="shared" si="30"/>
        <v>0</v>
      </c>
      <c r="AK72" s="95">
        <f t="shared" si="30"/>
        <v>0</v>
      </c>
      <c r="AL72" s="95">
        <f t="shared" si="30"/>
        <v>0</v>
      </c>
      <c r="AM72" s="95">
        <f t="shared" si="30"/>
        <v>0</v>
      </c>
      <c r="AN72" s="95">
        <f t="shared" ref="AN72:BP72" si="31">SUM(AN60:AN71)</f>
        <v>0</v>
      </c>
      <c r="AO72" s="95">
        <f t="shared" si="31"/>
        <v>0</v>
      </c>
      <c r="AP72" s="95">
        <f t="shared" si="31"/>
        <v>0</v>
      </c>
      <c r="AQ72" s="95">
        <f t="shared" si="31"/>
        <v>0</v>
      </c>
      <c r="AR72" s="95">
        <f t="shared" si="31"/>
        <v>0</v>
      </c>
      <c r="AS72" s="95">
        <f t="shared" si="31"/>
        <v>0</v>
      </c>
      <c r="AT72" s="95">
        <f t="shared" si="31"/>
        <v>0</v>
      </c>
      <c r="AU72" s="95">
        <f t="shared" si="31"/>
        <v>0</v>
      </c>
      <c r="AV72" s="95">
        <f t="shared" si="31"/>
        <v>0</v>
      </c>
      <c r="AW72" s="95">
        <f t="shared" si="31"/>
        <v>0</v>
      </c>
      <c r="AX72" s="95">
        <f t="shared" si="31"/>
        <v>0</v>
      </c>
      <c r="AY72" s="95">
        <f t="shared" si="31"/>
        <v>0</v>
      </c>
      <c r="AZ72" s="95">
        <f t="shared" si="31"/>
        <v>0</v>
      </c>
      <c r="BA72" s="95">
        <f t="shared" si="31"/>
        <v>0</v>
      </c>
      <c r="BB72" s="95">
        <f t="shared" si="31"/>
        <v>0</v>
      </c>
      <c r="BC72" s="95">
        <f t="shared" si="31"/>
        <v>0</v>
      </c>
      <c r="BD72" s="95">
        <f t="shared" si="31"/>
        <v>0</v>
      </c>
      <c r="BE72" s="95">
        <f t="shared" si="31"/>
        <v>0</v>
      </c>
      <c r="BF72" s="95">
        <f t="shared" si="31"/>
        <v>0</v>
      </c>
      <c r="BG72" s="95">
        <f t="shared" si="31"/>
        <v>0</v>
      </c>
      <c r="BH72" s="95">
        <f t="shared" si="31"/>
        <v>0</v>
      </c>
      <c r="BI72" s="95">
        <f t="shared" si="31"/>
        <v>0</v>
      </c>
      <c r="BJ72" s="95">
        <f t="shared" si="31"/>
        <v>0</v>
      </c>
      <c r="BK72" s="95">
        <f t="shared" si="31"/>
        <v>0</v>
      </c>
      <c r="BL72" s="95">
        <f t="shared" si="31"/>
        <v>0</v>
      </c>
      <c r="BM72" s="95">
        <f t="shared" si="31"/>
        <v>0</v>
      </c>
      <c r="BN72" s="95">
        <f t="shared" si="31"/>
        <v>0</v>
      </c>
      <c r="BO72" s="95">
        <f t="shared" si="31"/>
        <v>0</v>
      </c>
      <c r="BP72" s="95">
        <f t="shared" si="31"/>
        <v>0</v>
      </c>
    </row>
    <row r="73" spans="3:68" x14ac:dyDescent="0.25">
      <c r="C73" t="s">
        <v>680</v>
      </c>
      <c r="D73" t="s">
        <v>844</v>
      </c>
      <c r="E73" s="20"/>
      <c r="F73" s="20"/>
      <c r="G73" s="20"/>
      <c r="H73" s="20">
        <v>0</v>
      </c>
      <c r="I73" s="20">
        <f t="shared" ref="I73:AN73" si="32">H76</f>
        <v>0</v>
      </c>
      <c r="J73" s="20">
        <f t="shared" si="32"/>
        <v>0</v>
      </c>
      <c r="K73" s="20">
        <f t="shared" si="32"/>
        <v>0</v>
      </c>
      <c r="L73" s="20">
        <f t="shared" si="32"/>
        <v>2437.890410958904</v>
      </c>
      <c r="M73" s="20">
        <f t="shared" si="32"/>
        <v>2437.890410958904</v>
      </c>
      <c r="N73" s="20">
        <f t="shared" si="32"/>
        <v>18284.178082191786</v>
      </c>
      <c r="O73" s="20">
        <f t="shared" si="32"/>
        <v>18284.178082191786</v>
      </c>
      <c r="P73" s="20">
        <f t="shared" si="32"/>
        <v>18284.178082191786</v>
      </c>
      <c r="Q73" s="20">
        <f t="shared" si="32"/>
        <v>18284.178082191786</v>
      </c>
      <c r="R73" s="20">
        <f t="shared" si="32"/>
        <v>18284.178082191786</v>
      </c>
      <c r="S73" s="20">
        <f t="shared" si="32"/>
        <v>18284.178082191786</v>
      </c>
      <c r="T73" s="20">
        <f t="shared" si="32"/>
        <v>18284.178082191786</v>
      </c>
      <c r="U73" s="20">
        <f t="shared" si="32"/>
        <v>18284.178082191786</v>
      </c>
      <c r="V73" s="20">
        <f t="shared" si="32"/>
        <v>18284.178082191786</v>
      </c>
      <c r="W73" s="20">
        <f t="shared" si="32"/>
        <v>18284.178082191786</v>
      </c>
      <c r="X73" s="20">
        <f t="shared" si="32"/>
        <v>18284.178082191786</v>
      </c>
      <c r="Y73" s="20">
        <f t="shared" si="32"/>
        <v>18284.178082191786</v>
      </c>
      <c r="Z73" s="20">
        <f t="shared" si="32"/>
        <v>18284.178082191786</v>
      </c>
      <c r="AA73" s="20">
        <f t="shared" si="32"/>
        <v>18284.178082191786</v>
      </c>
      <c r="AB73" s="20">
        <f t="shared" si="32"/>
        <v>18284.178082191786</v>
      </c>
      <c r="AC73" s="20">
        <f t="shared" si="32"/>
        <v>18284.178082191786</v>
      </c>
      <c r="AD73" s="20">
        <f t="shared" si="32"/>
        <v>18284.178082191786</v>
      </c>
      <c r="AE73" s="20">
        <f t="shared" si="32"/>
        <v>18284.178082191786</v>
      </c>
      <c r="AF73" s="20">
        <f t="shared" si="32"/>
        <v>18284.178082191786</v>
      </c>
      <c r="AG73" s="20">
        <f t="shared" si="32"/>
        <v>18284.178082191786</v>
      </c>
      <c r="AH73" s="20">
        <f t="shared" si="32"/>
        <v>18284.178082191786</v>
      </c>
      <c r="AI73" s="20">
        <f t="shared" si="32"/>
        <v>18284.178082191786</v>
      </c>
      <c r="AJ73" s="20">
        <f t="shared" si="32"/>
        <v>18284.178082191786</v>
      </c>
      <c r="AK73" s="20">
        <f t="shared" si="32"/>
        <v>18284.178082191786</v>
      </c>
      <c r="AL73" s="20">
        <f t="shared" si="32"/>
        <v>18284.178082191786</v>
      </c>
      <c r="AM73" s="20">
        <f t="shared" si="32"/>
        <v>18284.178082191786</v>
      </c>
      <c r="AN73" s="20">
        <f t="shared" si="32"/>
        <v>18284.178082191786</v>
      </c>
      <c r="AO73" s="20">
        <f t="shared" ref="AO73:BP73" si="33">AN76</f>
        <v>18284.178082191786</v>
      </c>
      <c r="AP73" s="20">
        <f t="shared" si="33"/>
        <v>18284.178082191786</v>
      </c>
      <c r="AQ73" s="20">
        <f t="shared" si="33"/>
        <v>18284.178082191786</v>
      </c>
      <c r="AR73" s="20">
        <f t="shared" si="33"/>
        <v>18284.178082191786</v>
      </c>
      <c r="AS73" s="20">
        <f t="shared" si="33"/>
        <v>18284.178082191786</v>
      </c>
      <c r="AT73" s="20">
        <f t="shared" si="33"/>
        <v>18284.178082191786</v>
      </c>
      <c r="AU73" s="20">
        <f t="shared" si="33"/>
        <v>18284.178082191786</v>
      </c>
      <c r="AV73" s="20">
        <f t="shared" si="33"/>
        <v>18284.178082191786</v>
      </c>
      <c r="AW73" s="20">
        <f t="shared" si="33"/>
        <v>18284.178082191786</v>
      </c>
      <c r="AX73" s="20">
        <f t="shared" si="33"/>
        <v>18284.178082191786</v>
      </c>
      <c r="AY73" s="20">
        <f t="shared" si="33"/>
        <v>18284.178082191786</v>
      </c>
      <c r="AZ73" s="20">
        <f t="shared" si="33"/>
        <v>18284.178082191786</v>
      </c>
      <c r="BA73" s="20">
        <f t="shared" si="33"/>
        <v>0</v>
      </c>
      <c r="BB73" s="20">
        <f t="shared" si="33"/>
        <v>0</v>
      </c>
      <c r="BC73" s="20">
        <f t="shared" si="33"/>
        <v>0</v>
      </c>
      <c r="BD73" s="20">
        <f t="shared" si="33"/>
        <v>0</v>
      </c>
      <c r="BE73" s="20">
        <f t="shared" si="33"/>
        <v>0</v>
      </c>
      <c r="BF73" s="20">
        <f t="shared" si="33"/>
        <v>0</v>
      </c>
      <c r="BG73" s="20">
        <f t="shared" si="33"/>
        <v>0</v>
      </c>
      <c r="BH73" s="20">
        <f t="shared" si="33"/>
        <v>0</v>
      </c>
      <c r="BI73" s="20">
        <f t="shared" si="33"/>
        <v>0</v>
      </c>
      <c r="BJ73" s="20">
        <f t="shared" si="33"/>
        <v>0</v>
      </c>
      <c r="BK73" s="20">
        <f t="shared" si="33"/>
        <v>0</v>
      </c>
      <c r="BL73" s="20">
        <f t="shared" si="33"/>
        <v>0</v>
      </c>
      <c r="BM73" s="20">
        <f t="shared" si="33"/>
        <v>0</v>
      </c>
      <c r="BN73" s="20">
        <f t="shared" si="33"/>
        <v>0</v>
      </c>
      <c r="BO73" s="20">
        <f t="shared" si="33"/>
        <v>0</v>
      </c>
      <c r="BP73" s="20">
        <f t="shared" si="33"/>
        <v>0</v>
      </c>
    </row>
    <row r="74" spans="3:68" x14ac:dyDescent="0.25">
      <c r="C74" t="s">
        <v>681</v>
      </c>
      <c r="D74" t="s">
        <v>844</v>
      </c>
      <c r="E74" s="20"/>
      <c r="F74" s="20"/>
      <c r="G74" s="20"/>
      <c r="H74" s="20">
        <f t="shared" ref="H74:AM74" si="34">H72</f>
        <v>0</v>
      </c>
      <c r="I74" s="20">
        <f t="shared" si="34"/>
        <v>0</v>
      </c>
      <c r="J74" s="20">
        <f t="shared" si="34"/>
        <v>0</v>
      </c>
      <c r="K74" s="20">
        <f t="shared" si="34"/>
        <v>2437.890410958904</v>
      </c>
      <c r="L74" s="20">
        <f t="shared" si="34"/>
        <v>0</v>
      </c>
      <c r="M74" s="20">
        <f t="shared" si="34"/>
        <v>15846.28767123288</v>
      </c>
      <c r="N74" s="20">
        <f t="shared" si="34"/>
        <v>0</v>
      </c>
      <c r="O74" s="20">
        <f t="shared" si="34"/>
        <v>0</v>
      </c>
      <c r="P74" s="20">
        <f t="shared" si="34"/>
        <v>0</v>
      </c>
      <c r="Q74" s="20">
        <f t="shared" si="34"/>
        <v>0</v>
      </c>
      <c r="R74" s="20">
        <f t="shared" si="34"/>
        <v>0</v>
      </c>
      <c r="S74" s="20">
        <f t="shared" si="34"/>
        <v>0</v>
      </c>
      <c r="T74" s="20">
        <f t="shared" si="34"/>
        <v>0</v>
      </c>
      <c r="U74" s="20">
        <f t="shared" si="34"/>
        <v>0</v>
      </c>
      <c r="V74" s="20">
        <f t="shared" si="34"/>
        <v>0</v>
      </c>
      <c r="W74" s="20">
        <f t="shared" si="34"/>
        <v>0</v>
      </c>
      <c r="X74" s="20">
        <f t="shared" si="34"/>
        <v>0</v>
      </c>
      <c r="Y74" s="20">
        <f t="shared" si="34"/>
        <v>0</v>
      </c>
      <c r="Z74" s="20">
        <f t="shared" si="34"/>
        <v>0</v>
      </c>
      <c r="AA74" s="20">
        <f t="shared" si="34"/>
        <v>0</v>
      </c>
      <c r="AB74" s="20">
        <f t="shared" si="34"/>
        <v>0</v>
      </c>
      <c r="AC74" s="20">
        <f t="shared" si="34"/>
        <v>0</v>
      </c>
      <c r="AD74" s="20">
        <f t="shared" si="34"/>
        <v>0</v>
      </c>
      <c r="AE74" s="20">
        <f t="shared" si="34"/>
        <v>0</v>
      </c>
      <c r="AF74" s="20">
        <f t="shared" si="34"/>
        <v>0</v>
      </c>
      <c r="AG74" s="20">
        <f t="shared" si="34"/>
        <v>0</v>
      </c>
      <c r="AH74" s="20">
        <f t="shared" si="34"/>
        <v>0</v>
      </c>
      <c r="AI74" s="20">
        <f t="shared" si="34"/>
        <v>0</v>
      </c>
      <c r="AJ74" s="20">
        <f t="shared" si="34"/>
        <v>0</v>
      </c>
      <c r="AK74" s="20">
        <f t="shared" si="34"/>
        <v>0</v>
      </c>
      <c r="AL74" s="20">
        <f t="shared" si="34"/>
        <v>0</v>
      </c>
      <c r="AM74" s="20">
        <f t="shared" si="34"/>
        <v>0</v>
      </c>
      <c r="AN74" s="20">
        <f t="shared" ref="AN74:BP74" si="35">AN72</f>
        <v>0</v>
      </c>
      <c r="AO74" s="20">
        <f t="shared" si="35"/>
        <v>0</v>
      </c>
      <c r="AP74" s="20">
        <f t="shared" si="35"/>
        <v>0</v>
      </c>
      <c r="AQ74" s="20">
        <f t="shared" si="35"/>
        <v>0</v>
      </c>
      <c r="AR74" s="20">
        <f t="shared" si="35"/>
        <v>0</v>
      </c>
      <c r="AS74" s="20">
        <f t="shared" si="35"/>
        <v>0</v>
      </c>
      <c r="AT74" s="20">
        <f t="shared" si="35"/>
        <v>0</v>
      </c>
      <c r="AU74" s="20">
        <f t="shared" si="35"/>
        <v>0</v>
      </c>
      <c r="AV74" s="20">
        <f t="shared" si="35"/>
        <v>0</v>
      </c>
      <c r="AW74" s="20">
        <f t="shared" si="35"/>
        <v>0</v>
      </c>
      <c r="AX74" s="20">
        <f t="shared" si="35"/>
        <v>0</v>
      </c>
      <c r="AY74" s="20">
        <f t="shared" si="35"/>
        <v>0</v>
      </c>
      <c r="AZ74" s="20">
        <f t="shared" si="35"/>
        <v>0</v>
      </c>
      <c r="BA74" s="20">
        <f t="shared" si="35"/>
        <v>0</v>
      </c>
      <c r="BB74" s="20">
        <f t="shared" si="35"/>
        <v>0</v>
      </c>
      <c r="BC74" s="20">
        <f t="shared" si="35"/>
        <v>0</v>
      </c>
      <c r="BD74" s="20">
        <f t="shared" si="35"/>
        <v>0</v>
      </c>
      <c r="BE74" s="20">
        <f t="shared" si="35"/>
        <v>0</v>
      </c>
      <c r="BF74" s="20">
        <f t="shared" si="35"/>
        <v>0</v>
      </c>
      <c r="BG74" s="20">
        <f t="shared" si="35"/>
        <v>0</v>
      </c>
      <c r="BH74" s="20">
        <f t="shared" si="35"/>
        <v>0</v>
      </c>
      <c r="BI74" s="20">
        <f t="shared" si="35"/>
        <v>0</v>
      </c>
      <c r="BJ74" s="20">
        <f t="shared" si="35"/>
        <v>0</v>
      </c>
      <c r="BK74" s="20">
        <f t="shared" si="35"/>
        <v>0</v>
      </c>
      <c r="BL74" s="20">
        <f t="shared" si="35"/>
        <v>0</v>
      </c>
      <c r="BM74" s="20">
        <f t="shared" si="35"/>
        <v>0</v>
      </c>
      <c r="BN74" s="20">
        <f t="shared" si="35"/>
        <v>0</v>
      </c>
      <c r="BO74" s="20">
        <f t="shared" si="35"/>
        <v>0</v>
      </c>
      <c r="BP74" s="20">
        <f t="shared" si="35"/>
        <v>0</v>
      </c>
    </row>
    <row r="75" spans="3:68" x14ac:dyDescent="0.25">
      <c r="C75" t="s">
        <v>682</v>
      </c>
      <c r="D75" t="s">
        <v>844</v>
      </c>
      <c r="E75" s="20"/>
      <c r="F75" s="20"/>
      <c r="G75" s="20">
        <f>SUM(H75:BP75)</f>
        <v>-18284.178082191786</v>
      </c>
      <c r="H75" s="20">
        <f t="shared" ref="H75:AM75" si="36">-H$7*(H73+H74)</f>
        <v>-0</v>
      </c>
      <c r="I75" s="20">
        <f t="shared" si="36"/>
        <v>-0</v>
      </c>
      <c r="J75" s="20">
        <f t="shared" si="36"/>
        <v>-0</v>
      </c>
      <c r="K75" s="20">
        <f t="shared" si="36"/>
        <v>-0</v>
      </c>
      <c r="L75" s="20">
        <f t="shared" si="36"/>
        <v>-0</v>
      </c>
      <c r="M75" s="20">
        <f t="shared" si="36"/>
        <v>-0</v>
      </c>
      <c r="N75" s="20">
        <f t="shared" si="36"/>
        <v>-0</v>
      </c>
      <c r="O75" s="20">
        <f t="shared" si="36"/>
        <v>-0</v>
      </c>
      <c r="P75" s="20">
        <f t="shared" si="36"/>
        <v>-0</v>
      </c>
      <c r="Q75" s="20">
        <f t="shared" si="36"/>
        <v>-0</v>
      </c>
      <c r="R75" s="20">
        <f t="shared" si="36"/>
        <v>-0</v>
      </c>
      <c r="S75" s="20">
        <f t="shared" si="36"/>
        <v>-0</v>
      </c>
      <c r="T75" s="20">
        <f t="shared" si="36"/>
        <v>-0</v>
      </c>
      <c r="U75" s="20">
        <f t="shared" si="36"/>
        <v>-0</v>
      </c>
      <c r="V75" s="20">
        <f t="shared" si="36"/>
        <v>-0</v>
      </c>
      <c r="W75" s="20">
        <f t="shared" si="36"/>
        <v>-0</v>
      </c>
      <c r="X75" s="20">
        <f t="shared" si="36"/>
        <v>-0</v>
      </c>
      <c r="Y75" s="20">
        <f t="shared" si="36"/>
        <v>-0</v>
      </c>
      <c r="Z75" s="20">
        <f t="shared" si="36"/>
        <v>-0</v>
      </c>
      <c r="AA75" s="20">
        <f t="shared" si="36"/>
        <v>-0</v>
      </c>
      <c r="AB75" s="20">
        <f t="shared" si="36"/>
        <v>-0</v>
      </c>
      <c r="AC75" s="20">
        <f t="shared" si="36"/>
        <v>-0</v>
      </c>
      <c r="AD75" s="20">
        <f t="shared" si="36"/>
        <v>-0</v>
      </c>
      <c r="AE75" s="20">
        <f t="shared" si="36"/>
        <v>-0</v>
      </c>
      <c r="AF75" s="20">
        <f t="shared" si="36"/>
        <v>-0</v>
      </c>
      <c r="AG75" s="20">
        <f t="shared" si="36"/>
        <v>-0</v>
      </c>
      <c r="AH75" s="20">
        <f t="shared" si="36"/>
        <v>-0</v>
      </c>
      <c r="AI75" s="20">
        <f t="shared" si="36"/>
        <v>-0</v>
      </c>
      <c r="AJ75" s="20">
        <f t="shared" si="36"/>
        <v>-0</v>
      </c>
      <c r="AK75" s="20">
        <f t="shared" si="36"/>
        <v>-0</v>
      </c>
      <c r="AL75" s="20">
        <f t="shared" si="36"/>
        <v>-0</v>
      </c>
      <c r="AM75" s="20">
        <f t="shared" si="36"/>
        <v>-0</v>
      </c>
      <c r="AN75" s="20">
        <f t="shared" ref="AN75:BP75" si="37">-AN$7*(AN73+AN74)</f>
        <v>-0</v>
      </c>
      <c r="AO75" s="20">
        <f t="shared" si="37"/>
        <v>-0</v>
      </c>
      <c r="AP75" s="20">
        <f t="shared" si="37"/>
        <v>-0</v>
      </c>
      <c r="AQ75" s="20">
        <f t="shared" si="37"/>
        <v>-0</v>
      </c>
      <c r="AR75" s="20">
        <f t="shared" si="37"/>
        <v>-0</v>
      </c>
      <c r="AS75" s="20">
        <f t="shared" si="37"/>
        <v>-0</v>
      </c>
      <c r="AT75" s="20">
        <f t="shared" si="37"/>
        <v>-0</v>
      </c>
      <c r="AU75" s="20">
        <f t="shared" si="37"/>
        <v>-0</v>
      </c>
      <c r="AV75" s="20">
        <f t="shared" si="37"/>
        <v>-0</v>
      </c>
      <c r="AW75" s="20">
        <f t="shared" si="37"/>
        <v>-0</v>
      </c>
      <c r="AX75" s="20">
        <f t="shared" si="37"/>
        <v>-0</v>
      </c>
      <c r="AY75" s="20">
        <f t="shared" si="37"/>
        <v>-0</v>
      </c>
      <c r="AZ75" s="20">
        <f t="shared" si="37"/>
        <v>-18284.178082191786</v>
      </c>
      <c r="BA75" s="20">
        <f t="shared" si="37"/>
        <v>-0</v>
      </c>
      <c r="BB75" s="20">
        <f t="shared" si="37"/>
        <v>-0</v>
      </c>
      <c r="BC75" s="20">
        <f t="shared" si="37"/>
        <v>-0</v>
      </c>
      <c r="BD75" s="20">
        <f t="shared" si="37"/>
        <v>-0</v>
      </c>
      <c r="BE75" s="20">
        <f t="shared" si="37"/>
        <v>-0</v>
      </c>
      <c r="BF75" s="20">
        <f t="shared" si="37"/>
        <v>-0</v>
      </c>
      <c r="BG75" s="20">
        <f t="shared" si="37"/>
        <v>-0</v>
      </c>
      <c r="BH75" s="20">
        <f t="shared" si="37"/>
        <v>-0</v>
      </c>
      <c r="BI75" s="20">
        <f t="shared" si="37"/>
        <v>-0</v>
      </c>
      <c r="BJ75" s="20">
        <f t="shared" si="37"/>
        <v>-0</v>
      </c>
      <c r="BK75" s="20">
        <f t="shared" si="37"/>
        <v>-0</v>
      </c>
      <c r="BL75" s="20">
        <f t="shared" si="37"/>
        <v>-0</v>
      </c>
      <c r="BM75" s="20">
        <f t="shared" si="37"/>
        <v>-0</v>
      </c>
      <c r="BN75" s="20">
        <f t="shared" si="37"/>
        <v>-0</v>
      </c>
      <c r="BO75" s="20">
        <f t="shared" si="37"/>
        <v>-0</v>
      </c>
      <c r="BP75" s="20">
        <f t="shared" si="37"/>
        <v>-0</v>
      </c>
    </row>
    <row r="76" spans="3:68" x14ac:dyDescent="0.25">
      <c r="C76" t="s">
        <v>683</v>
      </c>
      <c r="D76" t="s">
        <v>844</v>
      </c>
      <c r="E76" s="20"/>
      <c r="F76" s="20"/>
      <c r="G76" s="20">
        <f>MAX(H76:BP76)</f>
        <v>18284.178082191786</v>
      </c>
      <c r="H76" s="20">
        <f t="shared" ref="H76:AM76" si="38">H73+H74+H75</f>
        <v>0</v>
      </c>
      <c r="I76" s="20">
        <f t="shared" si="38"/>
        <v>0</v>
      </c>
      <c r="J76" s="20">
        <f t="shared" si="38"/>
        <v>0</v>
      </c>
      <c r="K76" s="20">
        <f t="shared" si="38"/>
        <v>2437.890410958904</v>
      </c>
      <c r="L76" s="20">
        <f t="shared" si="38"/>
        <v>2437.890410958904</v>
      </c>
      <c r="M76" s="20">
        <f t="shared" si="38"/>
        <v>18284.178082191786</v>
      </c>
      <c r="N76" s="20">
        <f t="shared" si="38"/>
        <v>18284.178082191786</v>
      </c>
      <c r="O76" s="20">
        <f t="shared" si="38"/>
        <v>18284.178082191786</v>
      </c>
      <c r="P76" s="20">
        <f t="shared" si="38"/>
        <v>18284.178082191786</v>
      </c>
      <c r="Q76" s="20">
        <f t="shared" si="38"/>
        <v>18284.178082191786</v>
      </c>
      <c r="R76" s="20">
        <f t="shared" si="38"/>
        <v>18284.178082191786</v>
      </c>
      <c r="S76" s="20">
        <f t="shared" si="38"/>
        <v>18284.178082191786</v>
      </c>
      <c r="T76" s="20">
        <f t="shared" si="38"/>
        <v>18284.178082191786</v>
      </c>
      <c r="U76" s="20">
        <f t="shared" si="38"/>
        <v>18284.178082191786</v>
      </c>
      <c r="V76" s="20">
        <f t="shared" si="38"/>
        <v>18284.178082191786</v>
      </c>
      <c r="W76" s="20">
        <f t="shared" si="38"/>
        <v>18284.178082191786</v>
      </c>
      <c r="X76" s="20">
        <f t="shared" si="38"/>
        <v>18284.178082191786</v>
      </c>
      <c r="Y76" s="20">
        <f t="shared" si="38"/>
        <v>18284.178082191786</v>
      </c>
      <c r="Z76" s="20">
        <f t="shared" si="38"/>
        <v>18284.178082191786</v>
      </c>
      <c r="AA76" s="20">
        <f t="shared" si="38"/>
        <v>18284.178082191786</v>
      </c>
      <c r="AB76" s="20">
        <f t="shared" si="38"/>
        <v>18284.178082191786</v>
      </c>
      <c r="AC76" s="20">
        <f t="shared" si="38"/>
        <v>18284.178082191786</v>
      </c>
      <c r="AD76" s="20">
        <f t="shared" si="38"/>
        <v>18284.178082191786</v>
      </c>
      <c r="AE76" s="20">
        <f t="shared" si="38"/>
        <v>18284.178082191786</v>
      </c>
      <c r="AF76" s="20">
        <f t="shared" si="38"/>
        <v>18284.178082191786</v>
      </c>
      <c r="AG76" s="20">
        <f t="shared" si="38"/>
        <v>18284.178082191786</v>
      </c>
      <c r="AH76" s="20">
        <f t="shared" si="38"/>
        <v>18284.178082191786</v>
      </c>
      <c r="AI76" s="20">
        <f t="shared" si="38"/>
        <v>18284.178082191786</v>
      </c>
      <c r="AJ76" s="20">
        <f t="shared" si="38"/>
        <v>18284.178082191786</v>
      </c>
      <c r="AK76" s="20">
        <f t="shared" si="38"/>
        <v>18284.178082191786</v>
      </c>
      <c r="AL76" s="20">
        <f t="shared" si="38"/>
        <v>18284.178082191786</v>
      </c>
      <c r="AM76" s="20">
        <f t="shared" si="38"/>
        <v>18284.178082191786</v>
      </c>
      <c r="AN76" s="20">
        <f t="shared" ref="AN76:BP76" si="39">AN73+AN74+AN75</f>
        <v>18284.178082191786</v>
      </c>
      <c r="AO76" s="20">
        <f t="shared" si="39"/>
        <v>18284.178082191786</v>
      </c>
      <c r="AP76" s="20">
        <f t="shared" si="39"/>
        <v>18284.178082191786</v>
      </c>
      <c r="AQ76" s="20">
        <f t="shared" si="39"/>
        <v>18284.178082191786</v>
      </c>
      <c r="AR76" s="20">
        <f t="shared" si="39"/>
        <v>18284.178082191786</v>
      </c>
      <c r="AS76" s="20">
        <f t="shared" si="39"/>
        <v>18284.178082191786</v>
      </c>
      <c r="AT76" s="20">
        <f t="shared" si="39"/>
        <v>18284.178082191786</v>
      </c>
      <c r="AU76" s="20">
        <f t="shared" si="39"/>
        <v>18284.178082191786</v>
      </c>
      <c r="AV76" s="20">
        <f t="shared" si="39"/>
        <v>18284.178082191786</v>
      </c>
      <c r="AW76" s="20">
        <f t="shared" si="39"/>
        <v>18284.178082191786</v>
      </c>
      <c r="AX76" s="20">
        <f t="shared" si="39"/>
        <v>18284.178082191786</v>
      </c>
      <c r="AY76" s="20">
        <f t="shared" si="39"/>
        <v>18284.178082191786</v>
      </c>
      <c r="AZ76" s="20">
        <f t="shared" si="39"/>
        <v>0</v>
      </c>
      <c r="BA76" s="20">
        <f t="shared" si="39"/>
        <v>0</v>
      </c>
      <c r="BB76" s="20">
        <f t="shared" si="39"/>
        <v>0</v>
      </c>
      <c r="BC76" s="20">
        <f t="shared" si="39"/>
        <v>0</v>
      </c>
      <c r="BD76" s="20">
        <f t="shared" si="39"/>
        <v>0</v>
      </c>
      <c r="BE76" s="20">
        <f t="shared" si="39"/>
        <v>0</v>
      </c>
      <c r="BF76" s="20">
        <f t="shared" si="39"/>
        <v>0</v>
      </c>
      <c r="BG76" s="20">
        <f t="shared" si="39"/>
        <v>0</v>
      </c>
      <c r="BH76" s="20">
        <f t="shared" si="39"/>
        <v>0</v>
      </c>
      <c r="BI76" s="20">
        <f t="shared" si="39"/>
        <v>0</v>
      </c>
      <c r="BJ76" s="20">
        <f t="shared" si="39"/>
        <v>0</v>
      </c>
      <c r="BK76" s="20">
        <f t="shared" si="39"/>
        <v>0</v>
      </c>
      <c r="BL76" s="20">
        <f t="shared" si="39"/>
        <v>0</v>
      </c>
      <c r="BM76" s="20">
        <f t="shared" si="39"/>
        <v>0</v>
      </c>
      <c r="BN76" s="20">
        <f t="shared" si="39"/>
        <v>0</v>
      </c>
      <c r="BO76" s="20">
        <f t="shared" si="39"/>
        <v>0</v>
      </c>
      <c r="BP76" s="20">
        <f t="shared" si="39"/>
        <v>0</v>
      </c>
    </row>
    <row r="77" spans="3:68" x14ac:dyDescent="0.25">
      <c r="C77" t="s">
        <v>684</v>
      </c>
      <c r="D77" t="s">
        <v>365</v>
      </c>
      <c r="E77" s="20"/>
      <c r="F77" s="20"/>
      <c r="G77" s="20"/>
      <c r="H77" s="104">
        <f>Curves!H7</f>
        <v>0.02204</v>
      </c>
      <c r="I77" s="104">
        <f>Curves!I7</f>
        <v>0.0230337</v>
      </c>
      <c r="J77" s="104">
        <f>Curves!J7</f>
        <v>0.0239429</v>
      </c>
      <c r="K77" s="104">
        <f>Curves!K7</f>
        <v>0.0248091</v>
      </c>
      <c r="L77" s="104">
        <f>Curves!L7</f>
        <v>0.0256369</v>
      </c>
      <c r="M77" s="104">
        <f>Curves!M7</f>
        <v>0.0263515</v>
      </c>
      <c r="N77" s="104">
        <f>Curves!N7</f>
        <v>0.0270143</v>
      </c>
      <c r="O77" s="104">
        <f>Curves!O7</f>
        <v>0.0274756</v>
      </c>
      <c r="P77" s="104">
        <f>Curves!P7</f>
        <v>0.0278202</v>
      </c>
      <c r="Q77" s="104">
        <f>Curves!Q7</f>
        <v>0.0280983</v>
      </c>
      <c r="R77" s="104">
        <f>Curves!R7</f>
        <v>0.0282812</v>
      </c>
      <c r="S77" s="104">
        <f>Curves!S7</f>
        <v>0.0283804</v>
      </c>
      <c r="T77" s="104">
        <f>Curves!T7</f>
        <v>0.0284156</v>
      </c>
      <c r="U77" s="104">
        <f>Curves!U7</f>
        <v>0.0283978</v>
      </c>
      <c r="V77" s="104">
        <f>Curves!V7</f>
        <v>0.0283387</v>
      </c>
      <c r="W77" s="104">
        <f>Curves!W7</f>
        <v>0.0282487</v>
      </c>
      <c r="X77" s="104">
        <f>Curves!X7</f>
        <v>0.0281543</v>
      </c>
      <c r="Y77" s="104">
        <f>Curves!Y7</f>
        <v>0.028056</v>
      </c>
      <c r="Z77" s="104">
        <f>Curves!Z7</f>
        <v>0.0279639</v>
      </c>
      <c r="AA77" s="104">
        <f>Curves!AA7</f>
        <v>0.0278951</v>
      </c>
      <c r="AB77" s="104">
        <f>Curves!AB7</f>
        <v>0.0278436</v>
      </c>
      <c r="AC77" s="104">
        <f>Curves!AC7</f>
        <v>0.0278026</v>
      </c>
      <c r="AD77" s="104">
        <f>Curves!AD7</f>
        <v>0.0277784</v>
      </c>
      <c r="AE77" s="104">
        <f>Curves!AE7</f>
        <v>0.027765</v>
      </c>
      <c r="AF77" s="104">
        <f>Curves!AF7</f>
        <v>0.0277628</v>
      </c>
      <c r="AG77" s="104">
        <f>Curves!AG7</f>
        <v>0.0277702</v>
      </c>
      <c r="AH77" s="104">
        <f>Curves!AH7</f>
        <v>0.0277875</v>
      </c>
      <c r="AI77" s="104">
        <f>Curves!AI7</f>
        <v>0.0278085</v>
      </c>
      <c r="AJ77" s="104">
        <f>Curves!AJ7</f>
        <v>0.0278372</v>
      </c>
      <c r="AK77" s="104">
        <f>Curves!AK7</f>
        <v>0.0278735</v>
      </c>
      <c r="AL77" s="104">
        <f>Curves!AL7</f>
        <v>0.0278735</v>
      </c>
      <c r="AM77" s="104">
        <f>Curves!AM7</f>
        <v>0.0278735</v>
      </c>
      <c r="AN77" s="104">
        <f>Curves!AN7</f>
        <v>0.0278735</v>
      </c>
      <c r="AO77" s="104">
        <f>Curves!AO7</f>
        <v>0.0278735</v>
      </c>
      <c r="AP77" s="104">
        <f>Curves!AP7</f>
        <v>0.0278735</v>
      </c>
      <c r="AQ77" s="104">
        <f>Curves!AQ7</f>
        <v>0.0278735</v>
      </c>
      <c r="AR77" s="104">
        <f>Curves!AR7</f>
        <v>0.0278735</v>
      </c>
      <c r="AS77" s="104">
        <f>Curves!AS7</f>
        <v>0.0278735</v>
      </c>
      <c r="AT77" s="104">
        <f>Curves!AT7</f>
        <v>0.0278735</v>
      </c>
      <c r="AU77" s="104">
        <f>Curves!AU7</f>
        <v>0.0278735</v>
      </c>
      <c r="AV77" s="104">
        <f>Curves!AV7</f>
        <v>0.0278735</v>
      </c>
      <c r="AW77" s="104">
        <f>Curves!AW7</f>
        <v>0.0278735</v>
      </c>
      <c r="AX77" s="104">
        <f>Curves!AX7</f>
        <v>0.0278735</v>
      </c>
      <c r="AY77" s="104">
        <f>Curves!AY7</f>
        <v>0.0278735</v>
      </c>
      <c r="AZ77" s="104">
        <f>Curves!AZ7</f>
        <v>0.0278735</v>
      </c>
      <c r="BA77" s="104">
        <f>Curves!BA7</f>
        <v>0.0278735</v>
      </c>
      <c r="BB77" s="104">
        <f>Curves!BB7</f>
        <v>0.0278735</v>
      </c>
      <c r="BC77" s="104">
        <f>Curves!BC7</f>
        <v>0.0278735</v>
      </c>
      <c r="BD77" s="104">
        <f>Curves!BD7</f>
        <v>0.0278735</v>
      </c>
      <c r="BE77" s="104">
        <f>Curves!BE7</f>
        <v>0.0278735</v>
      </c>
      <c r="BF77" s="104">
        <f>Curves!BF7</f>
        <v>0.0278735</v>
      </c>
      <c r="BG77" s="104">
        <f>Curves!BG7</f>
        <v>0.0278735</v>
      </c>
      <c r="BH77" s="104">
        <f>Curves!BH7</f>
        <v>0.0278735</v>
      </c>
      <c r="BI77" s="104">
        <f>Curves!BI7</f>
        <v>0.0278735</v>
      </c>
      <c r="BJ77" s="104">
        <f>Curves!BJ7</f>
        <v>0.0278735</v>
      </c>
      <c r="BK77" s="104">
        <f>Curves!BK7</f>
        <v>0.0278735</v>
      </c>
      <c r="BL77" s="104">
        <f>Curves!BL7</f>
        <v>0.0278735</v>
      </c>
      <c r="BM77" s="104">
        <f>Curves!BM7</f>
        <v>0.0278735</v>
      </c>
      <c r="BN77" s="104">
        <f>Curves!BN7</f>
        <v>0.0278735</v>
      </c>
      <c r="BO77" s="104">
        <f>Curves!BO7</f>
        <v>0.0278735</v>
      </c>
      <c r="BP77" s="104">
        <f>Curves!BP7</f>
        <v>0.0278735</v>
      </c>
    </row>
    <row r="78" spans="3:68" x14ac:dyDescent="0.25">
      <c r="C78" t="s">
        <v>1233</v>
      </c>
      <c r="D78" t="s">
        <v>365</v>
      </c>
      <c r="E78" s="20"/>
      <c r="F78" s="20"/>
      <c r="G78" s="20"/>
      <c r="H78" s="66">
        <f>IF(Inputs!$E$114=1,Inputs!$E$113,H77+Inputs!$E$111)</f>
        <v>0.06</v>
      </c>
      <c r="I78" s="66">
        <f>IF(Inputs!$E$114=1,Inputs!$E$113,I77+Inputs!$E$111)</f>
        <v>0.06</v>
      </c>
      <c r="J78" s="66">
        <f>IF(Inputs!$E$114=1,Inputs!$E$113,J77+Inputs!$E$111)</f>
        <v>0.06</v>
      </c>
      <c r="K78" s="66">
        <f>IF(Inputs!$E$114=1,Inputs!$E$113,K77+Inputs!$E$111)</f>
        <v>0.06</v>
      </c>
      <c r="L78" s="66">
        <f>IF(Inputs!$E$114=1,Inputs!$E$113,L77+Inputs!$E$111)</f>
        <v>0.06</v>
      </c>
      <c r="M78" s="66">
        <f>IF(Inputs!$E$114=1,Inputs!$E$113,M77+Inputs!$E$111)</f>
        <v>0.06</v>
      </c>
      <c r="N78" s="66">
        <f>IF(Inputs!$E$114=1,Inputs!$E$113,N77+Inputs!$E$111)</f>
        <v>0.06</v>
      </c>
      <c r="O78" s="66">
        <f>IF(Inputs!$E$114=1,Inputs!$E$113,O77+Inputs!$E$111)</f>
        <v>0.06</v>
      </c>
      <c r="P78" s="66">
        <f>IF(Inputs!$E$114=1,Inputs!$E$113,P77+Inputs!$E$111)</f>
        <v>0.06</v>
      </c>
      <c r="Q78" s="66">
        <f>IF(Inputs!$E$114=1,Inputs!$E$113,Q77+Inputs!$E$111)</f>
        <v>0.06</v>
      </c>
      <c r="R78" s="66">
        <f>IF(Inputs!$E$114=1,Inputs!$E$113,R77+Inputs!$E$111)</f>
        <v>0.06</v>
      </c>
      <c r="S78" s="66">
        <f>IF(Inputs!$E$114=1,Inputs!$E$113,S77+Inputs!$E$111)</f>
        <v>0.06</v>
      </c>
      <c r="T78" s="66">
        <f>IF(Inputs!$E$114=1,Inputs!$E$113,T77+Inputs!$E$111)</f>
        <v>0.06</v>
      </c>
      <c r="U78" s="66">
        <f>IF(Inputs!$E$114=1,Inputs!$E$113,U77+Inputs!$E$111)</f>
        <v>0.06</v>
      </c>
      <c r="V78" s="66">
        <f>IF(Inputs!$E$114=1,Inputs!$E$113,V77+Inputs!$E$111)</f>
        <v>0.06</v>
      </c>
      <c r="W78" s="66">
        <f>IF(Inputs!$E$114=1,Inputs!$E$113,W77+Inputs!$E$111)</f>
        <v>0.06</v>
      </c>
      <c r="X78" s="66">
        <f>IF(Inputs!$E$114=1,Inputs!$E$113,X77+Inputs!$E$111)</f>
        <v>0.06</v>
      </c>
      <c r="Y78" s="66">
        <f>IF(Inputs!$E$114=1,Inputs!$E$113,Y77+Inputs!$E$111)</f>
        <v>0.06</v>
      </c>
      <c r="Z78" s="66">
        <f>IF(Inputs!$E$114=1,Inputs!$E$113,Z77+Inputs!$E$111)</f>
        <v>0.06</v>
      </c>
      <c r="AA78" s="66">
        <f>IF(Inputs!$E$114=1,Inputs!$E$113,AA77+Inputs!$E$111)</f>
        <v>0.06</v>
      </c>
      <c r="AB78" s="66">
        <f>IF(Inputs!$E$114=1,Inputs!$E$113,AB77+Inputs!$E$111)</f>
        <v>0.06</v>
      </c>
      <c r="AC78" s="66">
        <f>IF(Inputs!$E$114=1,Inputs!$E$113,AC77+Inputs!$E$111)</f>
        <v>0.06</v>
      </c>
      <c r="AD78" s="66">
        <f>IF(Inputs!$E$114=1,Inputs!$E$113,AD77+Inputs!$E$111)</f>
        <v>0.06</v>
      </c>
      <c r="AE78" s="66">
        <f>IF(Inputs!$E$114=1,Inputs!$E$113,AE77+Inputs!$E$111)</f>
        <v>0.06</v>
      </c>
      <c r="AF78" s="66">
        <f>IF(Inputs!$E$114=1,Inputs!$E$113,AF77+Inputs!$E$111)</f>
        <v>0.06</v>
      </c>
      <c r="AG78" s="66">
        <f>IF(Inputs!$E$114=1,Inputs!$E$113,AG77+Inputs!$E$111)</f>
        <v>0.06</v>
      </c>
      <c r="AH78" s="66">
        <f>IF(Inputs!$E$114=1,Inputs!$E$113,AH77+Inputs!$E$111)</f>
        <v>0.06</v>
      </c>
      <c r="AI78" s="66">
        <f>IF(Inputs!$E$114=1,Inputs!$E$113,AI77+Inputs!$E$111)</f>
        <v>0.06</v>
      </c>
      <c r="AJ78" s="66">
        <f>IF(Inputs!$E$114=1,Inputs!$E$113,AJ77+Inputs!$E$111)</f>
        <v>0.06</v>
      </c>
      <c r="AK78" s="66">
        <f>IF(Inputs!$E$114=1,Inputs!$E$113,AK77+Inputs!$E$111)</f>
        <v>0.06</v>
      </c>
      <c r="AL78" s="66">
        <f>IF(Inputs!$E$114=1,Inputs!$E$113,AL77+Inputs!$E$111)</f>
        <v>0.06</v>
      </c>
      <c r="AM78" s="66">
        <f>IF(Inputs!$E$114=1,Inputs!$E$113,AM77+Inputs!$E$111)</f>
        <v>0.06</v>
      </c>
      <c r="AN78" s="66">
        <f>IF(Inputs!$E$114=1,Inputs!$E$113,AN77+Inputs!$E$111)</f>
        <v>0.06</v>
      </c>
      <c r="AO78" s="66">
        <f>IF(Inputs!$E$114=1,Inputs!$E$113,AO77+Inputs!$E$111)</f>
        <v>0.06</v>
      </c>
      <c r="AP78" s="66">
        <f>IF(Inputs!$E$114=1,Inputs!$E$113,AP77+Inputs!$E$111)</f>
        <v>0.06</v>
      </c>
      <c r="AQ78" s="66">
        <f>IF(Inputs!$E$114=1,Inputs!$E$113,AQ77+Inputs!$E$111)</f>
        <v>0.06</v>
      </c>
      <c r="AR78" s="66">
        <f>IF(Inputs!$E$114=1,Inputs!$E$113,AR77+Inputs!$E$111)</f>
        <v>0.06</v>
      </c>
      <c r="AS78" s="66">
        <f>IF(Inputs!$E$114=1,Inputs!$E$113,AS77+Inputs!$E$111)</f>
        <v>0.06</v>
      </c>
      <c r="AT78" s="66">
        <f>IF(Inputs!$E$114=1,Inputs!$E$113,AT77+Inputs!$E$111)</f>
        <v>0.06</v>
      </c>
      <c r="AU78" s="66">
        <f>IF(Inputs!$E$114=1,Inputs!$E$113,AU77+Inputs!$E$111)</f>
        <v>0.06</v>
      </c>
      <c r="AV78" s="66">
        <f>IF(Inputs!$E$114=1,Inputs!$E$113,AV77+Inputs!$E$111)</f>
        <v>0.06</v>
      </c>
      <c r="AW78" s="66">
        <f>IF(Inputs!$E$114=1,Inputs!$E$113,AW77+Inputs!$E$111)</f>
        <v>0.06</v>
      </c>
      <c r="AX78" s="66">
        <f>IF(Inputs!$E$114=1,Inputs!$E$113,AX77+Inputs!$E$111)</f>
        <v>0.06</v>
      </c>
      <c r="AY78" s="66">
        <f>IF(Inputs!$E$114=1,Inputs!$E$113,AY77+Inputs!$E$111)</f>
        <v>0.06</v>
      </c>
      <c r="AZ78" s="66">
        <f>IF(Inputs!$E$114=1,Inputs!$E$113,AZ77+Inputs!$E$111)</f>
        <v>0.06</v>
      </c>
      <c r="BA78" s="66">
        <f>IF(Inputs!$E$114=1,Inputs!$E$113,BA77+Inputs!$E$111)</f>
        <v>0.06</v>
      </c>
      <c r="BB78" s="66">
        <f>IF(Inputs!$E$114=1,Inputs!$E$113,BB77+Inputs!$E$111)</f>
        <v>0.06</v>
      </c>
      <c r="BC78" s="66">
        <f>IF(Inputs!$E$114=1,Inputs!$E$113,BC77+Inputs!$E$111)</f>
        <v>0.06</v>
      </c>
      <c r="BD78" s="66">
        <f>IF(Inputs!$E$114=1,Inputs!$E$113,BD77+Inputs!$E$111)</f>
        <v>0.06</v>
      </c>
      <c r="BE78" s="66">
        <f>IF(Inputs!$E$114=1,Inputs!$E$113,BE77+Inputs!$E$111)</f>
        <v>0.06</v>
      </c>
      <c r="BF78" s="66">
        <f>IF(Inputs!$E$114=1,Inputs!$E$113,BF77+Inputs!$E$111)</f>
        <v>0.06</v>
      </c>
      <c r="BG78" s="66">
        <f>IF(Inputs!$E$114=1,Inputs!$E$113,BG77+Inputs!$E$111)</f>
        <v>0.06</v>
      </c>
      <c r="BH78" s="66">
        <f>IF(Inputs!$E$114=1,Inputs!$E$113,BH77+Inputs!$E$111)</f>
        <v>0.06</v>
      </c>
      <c r="BI78" s="66">
        <f>IF(Inputs!$E$114=1,Inputs!$E$113,BI77+Inputs!$E$111)</f>
        <v>0.06</v>
      </c>
      <c r="BJ78" s="66">
        <f>IF(Inputs!$E$114=1,Inputs!$E$113,BJ77+Inputs!$E$111)</f>
        <v>0.06</v>
      </c>
      <c r="BK78" s="66">
        <f>IF(Inputs!$E$114=1,Inputs!$E$113,BK77+Inputs!$E$111)</f>
        <v>0.06</v>
      </c>
      <c r="BL78" s="66">
        <f>IF(Inputs!$E$114=1,Inputs!$E$113,BL77+Inputs!$E$111)</f>
        <v>0.06</v>
      </c>
      <c r="BM78" s="66">
        <f>IF(Inputs!$E$114=1,Inputs!$E$113,BM77+Inputs!$E$111)</f>
        <v>0.06</v>
      </c>
      <c r="BN78" s="66">
        <f>IF(Inputs!$E$114=1,Inputs!$E$113,BN77+Inputs!$E$111)</f>
        <v>0.06</v>
      </c>
      <c r="BO78" s="66">
        <f>IF(Inputs!$E$114=1,Inputs!$E$113,BO77+Inputs!$E$111)</f>
        <v>0.06</v>
      </c>
      <c r="BP78" s="66">
        <f>IF(Inputs!$E$114=1,Inputs!$E$113,BP77+Inputs!$E$111)</f>
        <v>0.06</v>
      </c>
    </row>
    <row r="79" spans="3:68" x14ac:dyDescent="0.25">
      <c r="C79" s="6" t="s">
        <v>685</v>
      </c>
      <c r="D79" s="6" t="s">
        <v>844</v>
      </c>
      <c r="E79" s="95"/>
      <c r="F79" s="95"/>
      <c r="G79" s="95">
        <f>SUM(H79:BP79)</f>
        <v>3681.2145205479455</v>
      </c>
      <c r="H79" s="95">
        <f t="shared" ref="H79:AM79" si="40">(H73+H74)*H78/12</f>
        <v>0</v>
      </c>
      <c r="I79" s="95">
        <f t="shared" si="40"/>
        <v>0</v>
      </c>
      <c r="J79" s="95">
        <f t="shared" si="40"/>
        <v>0</v>
      </c>
      <c r="K79" s="95">
        <f t="shared" si="40"/>
        <v>12.18945205479452</v>
      </c>
      <c r="L79" s="95">
        <f t="shared" si="40"/>
        <v>12.18945205479452</v>
      </c>
      <c r="M79" s="95">
        <f t="shared" si="40"/>
        <v>91.42089041095892</v>
      </c>
      <c r="N79" s="95">
        <f t="shared" si="40"/>
        <v>91.42089041095892</v>
      </c>
      <c r="O79" s="95">
        <f t="shared" si="40"/>
        <v>91.42089041095892</v>
      </c>
      <c r="P79" s="95">
        <f t="shared" si="40"/>
        <v>91.42089041095892</v>
      </c>
      <c r="Q79" s="95">
        <f t="shared" si="40"/>
        <v>91.42089041095892</v>
      </c>
      <c r="R79" s="95">
        <f t="shared" si="40"/>
        <v>91.42089041095892</v>
      </c>
      <c r="S79" s="95">
        <f t="shared" si="40"/>
        <v>91.42089041095892</v>
      </c>
      <c r="T79" s="95">
        <f t="shared" si="40"/>
        <v>91.42089041095892</v>
      </c>
      <c r="U79" s="95">
        <f t="shared" si="40"/>
        <v>91.42089041095892</v>
      </c>
      <c r="V79" s="95">
        <f t="shared" si="40"/>
        <v>91.42089041095892</v>
      </c>
      <c r="W79" s="95">
        <f t="shared" si="40"/>
        <v>91.42089041095892</v>
      </c>
      <c r="X79" s="95">
        <f t="shared" si="40"/>
        <v>91.42089041095892</v>
      </c>
      <c r="Y79" s="95">
        <f t="shared" si="40"/>
        <v>91.42089041095892</v>
      </c>
      <c r="Z79" s="95">
        <f t="shared" si="40"/>
        <v>91.42089041095892</v>
      </c>
      <c r="AA79" s="95">
        <f t="shared" si="40"/>
        <v>91.42089041095892</v>
      </c>
      <c r="AB79" s="95">
        <f t="shared" si="40"/>
        <v>91.42089041095892</v>
      </c>
      <c r="AC79" s="95">
        <f t="shared" si="40"/>
        <v>91.42089041095892</v>
      </c>
      <c r="AD79" s="95">
        <f t="shared" si="40"/>
        <v>91.42089041095892</v>
      </c>
      <c r="AE79" s="95">
        <f t="shared" si="40"/>
        <v>91.42089041095892</v>
      </c>
      <c r="AF79" s="95">
        <f t="shared" si="40"/>
        <v>91.42089041095892</v>
      </c>
      <c r="AG79" s="95">
        <f t="shared" si="40"/>
        <v>91.42089041095892</v>
      </c>
      <c r="AH79" s="95">
        <f t="shared" si="40"/>
        <v>91.42089041095892</v>
      </c>
      <c r="AI79" s="95">
        <f t="shared" si="40"/>
        <v>91.42089041095892</v>
      </c>
      <c r="AJ79" s="95">
        <f t="shared" si="40"/>
        <v>91.42089041095892</v>
      </c>
      <c r="AK79" s="95">
        <f t="shared" si="40"/>
        <v>91.42089041095892</v>
      </c>
      <c r="AL79" s="95">
        <f t="shared" si="40"/>
        <v>91.42089041095892</v>
      </c>
      <c r="AM79" s="95">
        <f t="shared" si="40"/>
        <v>91.42089041095892</v>
      </c>
      <c r="AN79" s="95">
        <f t="shared" ref="AN79:BP79" si="41">(AN73+AN74)*AN78/12</f>
        <v>91.42089041095892</v>
      </c>
      <c r="AO79" s="95">
        <f t="shared" si="41"/>
        <v>91.42089041095892</v>
      </c>
      <c r="AP79" s="95">
        <f t="shared" si="41"/>
        <v>91.42089041095892</v>
      </c>
      <c r="AQ79" s="95">
        <f t="shared" si="41"/>
        <v>91.42089041095892</v>
      </c>
      <c r="AR79" s="95">
        <f t="shared" si="41"/>
        <v>91.42089041095892</v>
      </c>
      <c r="AS79" s="95">
        <f t="shared" si="41"/>
        <v>91.42089041095892</v>
      </c>
      <c r="AT79" s="95">
        <f t="shared" si="41"/>
        <v>91.42089041095892</v>
      </c>
      <c r="AU79" s="95">
        <f t="shared" si="41"/>
        <v>91.42089041095892</v>
      </c>
      <c r="AV79" s="95">
        <f t="shared" si="41"/>
        <v>91.42089041095892</v>
      </c>
      <c r="AW79" s="95">
        <f t="shared" si="41"/>
        <v>91.42089041095892</v>
      </c>
      <c r="AX79" s="95">
        <f t="shared" si="41"/>
        <v>91.42089041095892</v>
      </c>
      <c r="AY79" s="95">
        <f t="shared" si="41"/>
        <v>91.42089041095892</v>
      </c>
      <c r="AZ79" s="95">
        <f t="shared" si="41"/>
        <v>91.42089041095892</v>
      </c>
      <c r="BA79" s="95">
        <f t="shared" si="41"/>
        <v>0</v>
      </c>
      <c r="BB79" s="95">
        <f t="shared" si="41"/>
        <v>0</v>
      </c>
      <c r="BC79" s="95">
        <f t="shared" si="41"/>
        <v>0</v>
      </c>
      <c r="BD79" s="95">
        <f t="shared" si="41"/>
        <v>0</v>
      </c>
      <c r="BE79" s="95">
        <f t="shared" si="41"/>
        <v>0</v>
      </c>
      <c r="BF79" s="95">
        <f t="shared" si="41"/>
        <v>0</v>
      </c>
      <c r="BG79" s="95">
        <f t="shared" si="41"/>
        <v>0</v>
      </c>
      <c r="BH79" s="95">
        <f t="shared" si="41"/>
        <v>0</v>
      </c>
      <c r="BI79" s="95">
        <f t="shared" si="41"/>
        <v>0</v>
      </c>
      <c r="BJ79" s="95">
        <f t="shared" si="41"/>
        <v>0</v>
      </c>
      <c r="BK79" s="95">
        <f t="shared" si="41"/>
        <v>0</v>
      </c>
      <c r="BL79" s="95">
        <f t="shared" si="41"/>
        <v>0</v>
      </c>
      <c r="BM79" s="95">
        <f t="shared" si="41"/>
        <v>0</v>
      </c>
      <c r="BN79" s="95">
        <f t="shared" si="41"/>
        <v>0</v>
      </c>
      <c r="BO79" s="95">
        <f t="shared" si="41"/>
        <v>0</v>
      </c>
      <c r="BP79" s="95">
        <f t="shared" si="41"/>
        <v>0</v>
      </c>
    </row>
    <row r="80" spans="3:68" x14ac:dyDescent="0.25">
      <c r="C80" t="s">
        <v>1592</v>
      </c>
      <c r="D80" t="s">
        <v>365</v>
      </c>
      <c r="E80" s="214">
        <f>Inputs!$E$65</f>
        <v>0.06</v>
      </c>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row>
    <row r="81" spans="3:68" x14ac:dyDescent="0.25">
      <c r="C81" t="s">
        <v>1593</v>
      </c>
      <c r="D81" t="s">
        <v>844</v>
      </c>
      <c r="E81" s="20"/>
      <c r="F81" s="20"/>
      <c r="G81" s="20"/>
      <c r="H81" s="20">
        <v>0</v>
      </c>
      <c r="I81" s="20">
        <f>H84</f>
        <v>0</v>
      </c>
      <c r="J81" s="20">
        <f t="shared" ref="J81:BP81" si="42">I84</f>
        <v>0</v>
      </c>
      <c r="K81" s="20">
        <f t="shared" si="42"/>
        <v>0</v>
      </c>
      <c r="L81" s="20">
        <f t="shared" si="42"/>
        <v>11.866554848107409</v>
      </c>
      <c r="M81" s="20">
        <f t="shared" si="42"/>
        <v>23.7908707519744</v>
      </c>
      <c r="N81" s="20">
        <f t="shared" si="42"/>
        <v>112.90583537915877</v>
      </c>
      <c r="O81" s="20">
        <f t="shared" si="42"/>
        <v>202.45457160279472</v>
      </c>
      <c r="P81" s="20">
        <f t="shared" si="42"/>
        <v>292.4391908280618</v>
      </c>
      <c r="Q81" s="20">
        <f t="shared" si="42"/>
        <v>382.861814737511</v>
      </c>
      <c r="R81" s="20">
        <f t="shared" si="42"/>
        <v>473.72457534109043</v>
      </c>
      <c r="S81" s="20">
        <f t="shared" si="42"/>
        <v>565.0296150264145</v>
      </c>
      <c r="T81" s="20">
        <f t="shared" si="42"/>
        <v>656.7790866092774</v>
      </c>
      <c r="U81" s="20">
        <f t="shared" si="42"/>
        <v>748.9751533844135</v>
      </c>
      <c r="V81" s="20">
        <f t="shared" si="42"/>
        <v>841.6199891765033</v>
      </c>
      <c r="W81" s="20">
        <f t="shared" si="42"/>
        <v>934.715778391429</v>
      </c>
      <c r="X81" s="20">
        <f t="shared" si="42"/>
        <v>1028.2647160677789</v>
      </c>
      <c r="Y81" s="20">
        <f t="shared" si="42"/>
        <v>1122.2690079286026</v>
      </c>
      <c r="Z81" s="20">
        <f t="shared" si="42"/>
        <v>1216.730870433418</v>
      </c>
      <c r="AA81" s="20">
        <f t="shared" si="42"/>
        <v>1311.6525308304722</v>
      </c>
      <c r="AB81" s="20">
        <f t="shared" si="42"/>
        <v>1407.0362272092552</v>
      </c>
      <c r="AC81" s="20">
        <f t="shared" si="42"/>
        <v>1502.8842085532715</v>
      </c>
      <c r="AD81" s="20">
        <f t="shared" si="42"/>
        <v>1599.1987347930658</v>
      </c>
      <c r="AE81" s="20">
        <f t="shared" si="42"/>
        <v>1695.9820768595093</v>
      </c>
      <c r="AF81" s="20">
        <f t="shared" si="42"/>
        <v>1793.2365167373441</v>
      </c>
      <c r="AG81" s="20">
        <f t="shared" si="42"/>
        <v>1890.9643475189885</v>
      </c>
      <c r="AH81" s="20">
        <f t="shared" si="42"/>
        <v>1989.1678734586037</v>
      </c>
      <c r="AI81" s="20">
        <f t="shared" si="42"/>
        <v>2087.849410026425</v>
      </c>
      <c r="AJ81" s="20">
        <f t="shared" si="42"/>
        <v>2187.011283963356</v>
      </c>
      <c r="AK81" s="20">
        <f t="shared" si="42"/>
        <v>2286.6558333358294</v>
      </c>
      <c r="AL81" s="20">
        <f t="shared" si="42"/>
        <v>2386.7854075909336</v>
      </c>
      <c r="AM81" s="20">
        <f t="shared" si="42"/>
        <v>2487.402367611811</v>
      </c>
      <c r="AN81" s="20">
        <f t="shared" si="42"/>
        <v>2588.509085773321</v>
      </c>
      <c r="AO81" s="20">
        <f t="shared" si="42"/>
        <v>2690.1079459979783</v>
      </c>
      <c r="AP81" s="20">
        <f t="shared" si="42"/>
        <v>2792.2013438121603</v>
      </c>
      <c r="AQ81" s="20">
        <f t="shared" si="42"/>
        <v>2894.7916864025906</v>
      </c>
      <c r="AR81" s="20">
        <f t="shared" si="42"/>
        <v>2997.8813926730954</v>
      </c>
      <c r="AS81" s="20">
        <f t="shared" si="42"/>
        <v>2997.8813926730954</v>
      </c>
      <c r="AT81" s="20">
        <f t="shared" si="42"/>
        <v>2997.8813926730954</v>
      </c>
      <c r="AU81" s="20">
        <f t="shared" si="42"/>
        <v>2997.8813926730954</v>
      </c>
      <c r="AV81" s="20">
        <f t="shared" si="42"/>
        <v>2997.8813926730954</v>
      </c>
      <c r="AW81" s="20">
        <f t="shared" si="42"/>
        <v>2997.8813926730954</v>
      </c>
      <c r="AX81" s="20">
        <f t="shared" si="42"/>
        <v>2997.8813926730954</v>
      </c>
      <c r="AY81" s="20">
        <f t="shared" si="42"/>
        <v>3101.4728933016386</v>
      </c>
      <c r="AZ81" s="20">
        <f t="shared" si="42"/>
        <v>3205.5686307976307</v>
      </c>
      <c r="BA81" s="20">
        <f t="shared" si="42"/>
        <v>0</v>
      </c>
      <c r="BB81" s="20">
        <f t="shared" si="42"/>
        <v>0</v>
      </c>
      <c r="BC81" s="20">
        <f t="shared" si="42"/>
        <v>0</v>
      </c>
      <c r="BD81" s="20">
        <f t="shared" si="42"/>
        <v>0</v>
      </c>
      <c r="BE81" s="20">
        <f t="shared" si="42"/>
        <v>0</v>
      </c>
      <c r="BF81" s="20">
        <f t="shared" si="42"/>
        <v>0</v>
      </c>
      <c r="BG81" s="20">
        <f t="shared" si="42"/>
        <v>0</v>
      </c>
      <c r="BH81" s="20">
        <f t="shared" si="42"/>
        <v>0</v>
      </c>
      <c r="BI81" s="20">
        <f t="shared" si="42"/>
        <v>0</v>
      </c>
      <c r="BJ81" s="20">
        <f t="shared" si="42"/>
        <v>0</v>
      </c>
      <c r="BK81" s="20">
        <f t="shared" si="42"/>
        <v>0</v>
      </c>
      <c r="BL81" s="20">
        <f t="shared" si="42"/>
        <v>0</v>
      </c>
      <c r="BM81" s="20">
        <f t="shared" si="42"/>
        <v>0</v>
      </c>
      <c r="BN81" s="20">
        <f t="shared" si="42"/>
        <v>0</v>
      </c>
      <c r="BO81" s="20">
        <f t="shared" si="42"/>
        <v>0</v>
      </c>
      <c r="BP81" s="20">
        <f t="shared" si="42"/>
        <v>0</v>
      </c>
    </row>
    <row r="82" x14ac:dyDescent="0.25">
      <c r="C82" t="inlineStr">
        <is>
          <t xml:space="preserve">Guarantee interest accrual (memo; accrual flag row 10 – interest pause excluded)</t>
        </is>
      </c>
      <c r="D82" t="s">
        <v>844</v>
      </c>
      <c r="E82" s="20"/>
      <c r="F82" s="20"/>
      <c r="G82" s="20">
        <f>SUM(H82:BP82)</f>
        <v>3310.17105955952</v>
      </c>
      <c r="H82" s="20">
        <f>IF(Inputs!$E$69=1,(1+$E$80)^(1/12)-1,$E$80/12)*(H73+H74+H81)*H$10</f>
        <v>0</v>
      </c>
      <c r="I82" s="20">
        <f>IF(Inputs!$E$69=1,(1+$E$80)^(1/12)-1,$E$80/12)*(I73+I74+I81)*I$10</f>
        <v>0</v>
      </c>
      <c r="J82" s="20">
        <f>IF(Inputs!$E$69=1,(1+$E$80)^(1/12)-1,$E$80/12)*(J73+J74+J81)*J$10</f>
        <v>0</v>
      </c>
      <c r="K82" s="20">
        <f>IF(Inputs!$E$69=1,(1+$E$80)^(1/12)-1,$E$80/12)*(K73+K74+K81)*K$10</f>
        <v>11.866554848107409</v>
      </c>
      <c r="L82" s="20">
        <f>IF(Inputs!$E$69=1,(1+$E$80)^(1/12)-1,$E$80/12)*(L73+L74+L81)*L$10</f>
        <v>11.92431590386699</v>
      </c>
      <c r="M82" s="20">
        <f>IF(Inputs!$E$69=1,(1+$E$80)^(1/12)-1,$E$80/12)*(M73+M74+M81)*M$10</f>
        <v>89.11496462718438</v>
      </c>
      <c r="N82" s="20">
        <f>IF(Inputs!$E$69=1,(1+$E$80)^(1/12)-1,$E$80/12)*(N73+N74+N81)*N$10</f>
        <v>89.54873622363596</v>
      </c>
      <c r="O82" s="20">
        <f>IF(Inputs!$E$69=1,(1+$E$80)^(1/12)-1,$E$80/12)*(O73+O74+O81)*O$10</f>
        <v>89.98461922526707</v>
      </c>
      <c r="P82" s="20">
        <f>IF(Inputs!$E$69=1,(1+$E$80)^(1/12)-1,$E$80/12)*(P73+P74+P81)*P$10</f>
        <v>90.4226239094492</v>
      </c>
      <c r="Q82" s="20">
        <f>IF(Inputs!$E$69=1,(1+$E$80)^(1/12)-1,$E$80/12)*(Q73+Q74+Q81)*Q$10</f>
        <v>90.86276060357945</v>
      </c>
      <c r="R82" s="20">
        <f>IF(Inputs!$E$69=1,(1+$E$80)^(1/12)-1,$E$80/12)*(R73+R74+R81)*R$10</f>
        <v>91.30503968532402</v>
      </c>
      <c r="S82" s="20">
        <f>IF(Inputs!$E$69=1,(1+$E$80)^(1/12)-1,$E$80/12)*(S73+S74+S81)*S$10</f>
        <v>91.749471582863</v>
      </c>
      <c r="T82" s="20">
        <f>IF(Inputs!$E$69=1,(1+$E$80)^(1/12)-1,$E$80/12)*(T73+T74+T81)*T$10</f>
        <v>92.19606677513607</v>
      </c>
      <c r="U82" s="20">
        <f>IF(Inputs!$E$69=1,(1+$E$80)^(1/12)-1,$E$80/12)*(U73+U74+U81)*U$10</f>
        <v>92.6448357920898</v>
      </c>
      <c r="V82" s="20">
        <f>IF(Inputs!$E$69=1,(1+$E$80)^(1/12)-1,$E$80/12)*(V73+V74+V81)*V$10</f>
        <v>93.0957892149257</v>
      </c>
      <c r="W82" s="20">
        <f>IF(Inputs!$E$69=1,(1+$E$80)^(1/12)-1,$E$80/12)*(W73+W74+W81)*W$10</f>
        <v>93.54893767634988</v>
      </c>
      <c r="X82" s="20">
        <f>IF(Inputs!$E$69=1,(1+$E$80)^(1/12)-1,$E$80/12)*(X73+X74+X81)*X$10</f>
        <v>94.00429186082364</v>
      </c>
      <c r="Y82" s="20">
        <f>IF(Inputs!$E$69=1,(1+$E$80)^(1/12)-1,$E$80/12)*(Y73+Y74+Y81)*Y$10</f>
        <v>94.46186250481546</v>
      </c>
      <c r="Z82" s="20">
        <f>IF(Inputs!$E$69=1,(1+$E$80)^(1/12)-1,$E$80/12)*(Z73+Z74+Z81)*Z$10</f>
        <v>94.92166039705413</v>
      </c>
      <c r="AA82" s="20">
        <f>IF(Inputs!$E$69=1,(1+$E$80)^(1/12)-1,$E$80/12)*(AA73+AA74+AA81)*AA$10</f>
        <v>95.38369637878311</v>
      </c>
      <c r="AB82" s="20">
        <f>IF(Inputs!$E$69=1,(1+$E$80)^(1/12)-1,$E$80/12)*(AB73+AB74+AB81)*AB$10</f>
        <v>95.84798134401615</v>
      </c>
      <c r="AC82" s="20">
        <f>IF(Inputs!$E$69=1,(1+$E$80)^(1/12)-1,$E$80/12)*(AC73+AC74+AC81)*AC$10</f>
        <v>96.31452623979422</v>
      </c>
      <c r="AD82" s="20">
        <f>IF(Inputs!$E$69=1,(1+$E$80)^(1/12)-1,$E$80/12)*(AD73+AD74+AD81)*AD$10</f>
        <v>96.78334206644348</v>
      </c>
      <c r="AE82" s="20">
        <f>IF(Inputs!$E$69=1,(1+$E$80)^(1/12)-1,$E$80/12)*(AE73+AE74+AE81)*AE$10</f>
        <v>97.25443987783478</v>
      </c>
      <c r="AF82" s="20">
        <f>IF(Inputs!$E$69=1,(1+$E$80)^(1/12)-1,$E$80/12)*(AF73+AF74+AF81)*AF$10</f>
        <v>97.72783078164426</v>
      </c>
      <c r="AG82" s="20">
        <f>IF(Inputs!$E$69=1,(1+$E$80)^(1/12)-1,$E$80/12)*(AG73+AG74+AG81)*AG$10</f>
        <v>98.2035259396152</v>
      </c>
      <c r="AH82" s="20">
        <f>IF(Inputs!$E$69=1,(1+$E$80)^(1/12)-1,$E$80/12)*(AH73+AH74+AH81)*AH$10</f>
        <v>98.68153656782125</v>
      </c>
      <c r="AI82" s="20">
        <f>IF(Inputs!$E$69=1,(1+$E$80)^(1/12)-1,$E$80/12)*(AI73+AI74+AI81)*AI$10</f>
        <v>99.16187393693087</v>
      </c>
      <c r="AJ82" s="20">
        <f>IF(Inputs!$E$69=1,(1+$E$80)^(1/12)-1,$E$80/12)*(AJ73+AJ74+AJ81)*AJ$10</f>
        <v>99.64454937247305</v>
      </c>
      <c r="AK82" s="20">
        <f>IF(Inputs!$E$69=1,(1+$E$80)^(1/12)-1,$E$80/12)*(AK73+AK74+AK81)*AK$10</f>
        <v>100.1295742551044</v>
      </c>
      <c r="AL82" s="20">
        <f>IF(Inputs!$E$69=1,(1+$E$80)^(1/12)-1,$E$80/12)*(AL73+AL74+AL81)*AL$10</f>
        <v>100.61696002087739</v>
      </c>
      <c r="AM82" s="20">
        <f>IF(Inputs!$E$69=1,(1+$E$80)^(1/12)-1,$E$80/12)*(AM73+AM74+AM81)*AM$10</f>
        <v>101.10671816151012</v>
      </c>
      <c r="AN82" s="20">
        <f>IF(Inputs!$E$69=1,(1+$E$80)^(1/12)-1,$E$80/12)*(AN73+AN74+AN81)*AN$10</f>
        <v>101.59886022465716</v>
      </c>
      <c r="AO82" s="20">
        <f>IF(Inputs!$E$69=1,(1+$E$80)^(1/12)-1,$E$80/12)*(AO73+AO74+AO81)*AO$10</f>
        <v>102.09339781418188</v>
      </c>
      <c r="AP82" s="20">
        <f>IF(Inputs!$E$69=1,(1+$E$80)^(1/12)-1,$E$80/12)*(AP73+AP74+AP81)*AP$10</f>
        <v>102.59034259043011</v>
      </c>
      <c r="AQ82" s="20">
        <f>IF(Inputs!$E$69=1,(1+$E$80)^(1/12)-1,$E$80/12)*(AQ73+AQ74+AQ81)*AQ$10</f>
        <v>103.08970627050489</v>
      </c>
      <c r="AR82" s="20">
        <f>IF(Inputs!$E$69=1,(1+$E$80)^(1/12)-1,$E$80/12)*(AR73+AR74+AR81)*AR$10</f>
        <v>0</v>
      </c>
      <c r="AS82" s="20">
        <f>IF(Inputs!$E$69=1,(1+$E$80)^(1/12)-1,$E$80/12)*(AS73+AS74+AS81)*AS$10</f>
        <v>0</v>
      </c>
      <c r="AT82" s="20">
        <f>IF(Inputs!$E$69=1,(1+$E$80)^(1/12)-1,$E$80/12)*(AT73+AT74+AT81)*AT$10</f>
        <v>0</v>
      </c>
      <c r="AU82" s="20">
        <f>IF(Inputs!$E$69=1,(1+$E$80)^(1/12)-1,$E$80/12)*(AU73+AU74+AU81)*AU$10</f>
        <v>0</v>
      </c>
      <c r="AV82" s="20">
        <f>IF(Inputs!$E$69=1,(1+$E$80)^(1/12)-1,$E$80/12)*(AV73+AV74+AV81)*AV$10</f>
        <v>0</v>
      </c>
      <c r="AW82" s="20">
        <f>IF(Inputs!$E$69=1,(1+$E$80)^(1/12)-1,$E$80/12)*(AW73+AW74+AW81)*AW$10</f>
        <v>0</v>
      </c>
      <c r="AX82" s="20">
        <f>IF(Inputs!$E$69=1,(1+$E$80)^(1/12)-1,$E$80/12)*(AX73+AX74+AX81)*AX$10</f>
        <v>103.59150062854293</v>
      </c>
      <c r="AY82" s="20">
        <f>IF(Inputs!$E$69=1,(1+$E$80)^(1/12)-1,$E$80/12)*(AY73+AY74+AY81)*AY$10</f>
        <v>104.09573749599213</v>
      </c>
      <c r="AZ82" s="20">
        <f>IF(Inputs!$E$69=1,(1+$E$80)^(1/12)-1,$E$80/12)*(AZ73+AZ74+AZ81)*AZ$10</f>
        <v>104.60242876189055</v>
      </c>
      <c r="BA82" s="20">
        <f>IF(Inputs!$E$69=1,(1+$E$80)^(1/12)-1,$E$80/12)*(BA73+BA74+BA81)*BA$10</f>
        <v>0</v>
      </c>
      <c r="BB82" s="20">
        <f>IF(Inputs!$E$69=1,(1+$E$80)^(1/12)-1,$E$80/12)*(BB73+BB74+BB81)*BB$10</f>
        <v>0</v>
      </c>
      <c r="BC82" s="20">
        <f>IF(Inputs!$E$69=1,(1+$E$80)^(1/12)-1,$E$80/12)*(BC73+BC74+BC81)*BC$10</f>
        <v>0</v>
      </c>
      <c r="BD82" s="20">
        <f>IF(Inputs!$E$69=1,(1+$E$80)^(1/12)-1,$E$80/12)*(BD73+BD74+BD81)*BD$10</f>
        <v>0</v>
      </c>
      <c r="BE82" s="20">
        <f>IF(Inputs!$E$69=1,(1+$E$80)^(1/12)-1,$E$80/12)*(BE73+BE74+BE81)*BE$10</f>
        <v>0</v>
      </c>
      <c r="BF82" s="20">
        <f>IF(Inputs!$E$69=1,(1+$E$80)^(1/12)-1,$E$80/12)*(BF73+BF74+BF81)*BF$10</f>
        <v>0</v>
      </c>
      <c r="BG82" s="20">
        <f>IF(Inputs!$E$69=1,(1+$E$80)^(1/12)-1,$E$80/12)*(BG73+BG74+BG81)*BG$10</f>
        <v>0</v>
      </c>
      <c r="BH82" s="20">
        <f>IF(Inputs!$E$69=1,(1+$E$80)^(1/12)-1,$E$80/12)*(BH73+BH74+BH81)*BH$10</f>
        <v>0</v>
      </c>
      <c r="BI82" s="20">
        <f>IF(Inputs!$E$69=1,(1+$E$80)^(1/12)-1,$E$80/12)*(BI73+BI74+BI81)*BI$10</f>
        <v>0</v>
      </c>
      <c r="BJ82" s="20">
        <f>IF(Inputs!$E$69=1,(1+$E$80)^(1/12)-1,$E$80/12)*(BJ73+BJ74+BJ81)*BJ$10</f>
        <v>0</v>
      </c>
      <c r="BK82" s="20">
        <f>IF(Inputs!$E$69=1,(1+$E$80)^(1/12)-1,$E$80/12)*(BK73+BK74+BK81)*BK$10</f>
        <v>0</v>
      </c>
      <c r="BL82" s="20">
        <f>IF(Inputs!$E$69=1,(1+$E$80)^(1/12)-1,$E$80/12)*(BL73+BL74+BL81)*BL$10</f>
        <v>0</v>
      </c>
      <c r="BM82" s="20">
        <f>IF(Inputs!$E$69=1,(1+$E$80)^(1/12)-1,$E$80/12)*(BM73+BM74+BM81)*BM$10</f>
        <v>0</v>
      </c>
      <c r="BN82" s="20">
        <f>IF(Inputs!$E$69=1,(1+$E$80)^(1/12)-1,$E$80/12)*(BN73+BN74+BN81)*BN$10</f>
        <v>0</v>
      </c>
      <c r="BO82" s="20">
        <f>IF(Inputs!$E$69=1,(1+$E$80)^(1/12)-1,$E$80/12)*(BO73+BO74+BO81)*BO$10</f>
        <v>0</v>
      </c>
      <c r="BP82" s="20">
        <f>IF(Inputs!$E$69=1,(1+$E$80)^(1/12)-1,$E$80/12)*(BP73+BP74+BP81)*BP$10</f>
        <v>0</v>
      </c>
    </row>
    <row r="83" spans="3:68" x14ac:dyDescent="0.25">
      <c r="C83" t="s">
        <v>1595</v>
      </c>
      <c r="D83" t="s">
        <v>844</v>
      </c>
      <c r="E83" s="20"/>
      <c r="F83" s="20"/>
      <c r="G83" s="20">
        <f>SUM(H83:BP83)</f>
        <v>-3310.1710595595214</v>
      </c>
      <c r="H83" s="20">
        <f>-H$7*(H81+H82)</f>
        <v>-0</v>
      </c>
      <c r="I83" s="20">
        <f t="shared" ref="I83:BP83" si="43">-I$7*(I81+I82)</f>
        <v>-0</v>
      </c>
      <c r="J83" s="20">
        <f t="shared" si="43"/>
        <v>-0</v>
      </c>
      <c r="K83" s="20">
        <f t="shared" si="43"/>
        <v>-0</v>
      </c>
      <c r="L83" s="20">
        <f t="shared" si="43"/>
        <v>-0</v>
      </c>
      <c r="M83" s="20">
        <f t="shared" si="43"/>
        <v>-0</v>
      </c>
      <c r="N83" s="20">
        <f t="shared" si="43"/>
        <v>-0</v>
      </c>
      <c r="O83" s="20">
        <f t="shared" si="43"/>
        <v>-0</v>
      </c>
      <c r="P83" s="20">
        <f t="shared" si="43"/>
        <v>-0</v>
      </c>
      <c r="Q83" s="20">
        <f t="shared" si="43"/>
        <v>-0</v>
      </c>
      <c r="R83" s="20">
        <f t="shared" si="43"/>
        <v>-0</v>
      </c>
      <c r="S83" s="20">
        <f t="shared" si="43"/>
        <v>-0</v>
      </c>
      <c r="T83" s="20">
        <f t="shared" si="43"/>
        <v>-0</v>
      </c>
      <c r="U83" s="20">
        <f t="shared" si="43"/>
        <v>-0</v>
      </c>
      <c r="V83" s="20">
        <f t="shared" si="43"/>
        <v>-0</v>
      </c>
      <c r="W83" s="20">
        <f t="shared" si="43"/>
        <v>-0</v>
      </c>
      <c r="X83" s="20">
        <f t="shared" si="43"/>
        <v>-0</v>
      </c>
      <c r="Y83" s="20">
        <f t="shared" si="43"/>
        <v>-0</v>
      </c>
      <c r="Z83" s="20">
        <f t="shared" si="43"/>
        <v>-0</v>
      </c>
      <c r="AA83" s="20">
        <f t="shared" si="43"/>
        <v>-0</v>
      </c>
      <c r="AB83" s="20">
        <f t="shared" si="43"/>
        <v>-0</v>
      </c>
      <c r="AC83" s="20">
        <f t="shared" si="43"/>
        <v>-0</v>
      </c>
      <c r="AD83" s="20">
        <f t="shared" si="43"/>
        <v>-0</v>
      </c>
      <c r="AE83" s="20">
        <f t="shared" si="43"/>
        <v>-0</v>
      </c>
      <c r="AF83" s="20">
        <f t="shared" si="43"/>
        <v>-0</v>
      </c>
      <c r="AG83" s="20">
        <f t="shared" si="43"/>
        <v>-0</v>
      </c>
      <c r="AH83" s="20">
        <f t="shared" si="43"/>
        <v>-0</v>
      </c>
      <c r="AI83" s="20">
        <f t="shared" si="43"/>
        <v>-0</v>
      </c>
      <c r="AJ83" s="20">
        <f t="shared" si="43"/>
        <v>-0</v>
      </c>
      <c r="AK83" s="20">
        <f t="shared" si="43"/>
        <v>-0</v>
      </c>
      <c r="AL83" s="20">
        <f t="shared" si="43"/>
        <v>-0</v>
      </c>
      <c r="AM83" s="20">
        <f t="shared" si="43"/>
        <v>-0</v>
      </c>
      <c r="AN83" s="20">
        <f t="shared" si="43"/>
        <v>-0</v>
      </c>
      <c r="AO83" s="20">
        <f t="shared" si="43"/>
        <v>-0</v>
      </c>
      <c r="AP83" s="20">
        <f t="shared" si="43"/>
        <v>-0</v>
      </c>
      <c r="AQ83" s="20">
        <f t="shared" si="43"/>
        <v>-0</v>
      </c>
      <c r="AR83" s="20">
        <f t="shared" si="43"/>
        <v>-0</v>
      </c>
      <c r="AS83" s="20">
        <f t="shared" si="43"/>
        <v>-0</v>
      </c>
      <c r="AT83" s="20">
        <f t="shared" si="43"/>
        <v>-0</v>
      </c>
      <c r="AU83" s="20">
        <f t="shared" si="43"/>
        <v>-0</v>
      </c>
      <c r="AV83" s="20">
        <f t="shared" si="43"/>
        <v>-0</v>
      </c>
      <c r="AW83" s="20">
        <f t="shared" si="43"/>
        <v>-0</v>
      </c>
      <c r="AX83" s="20">
        <f t="shared" si="43"/>
        <v>-0</v>
      </c>
      <c r="AY83" s="20">
        <f t="shared" si="43"/>
        <v>-0</v>
      </c>
      <c r="AZ83" s="20">
        <f t="shared" si="43"/>
        <v>-3310.1710595595214</v>
      </c>
      <c r="BA83" s="20">
        <f t="shared" si="43"/>
        <v>-0</v>
      </c>
      <c r="BB83" s="20">
        <f t="shared" si="43"/>
        <v>-0</v>
      </c>
      <c r="BC83" s="20">
        <f t="shared" si="43"/>
        <v>-0</v>
      </c>
      <c r="BD83" s="20">
        <f t="shared" si="43"/>
        <v>-0</v>
      </c>
      <c r="BE83" s="20">
        <f t="shared" si="43"/>
        <v>-0</v>
      </c>
      <c r="BF83" s="20">
        <f t="shared" si="43"/>
        <v>-0</v>
      </c>
      <c r="BG83" s="20">
        <f t="shared" si="43"/>
        <v>-0</v>
      </c>
      <c r="BH83" s="20">
        <f t="shared" si="43"/>
        <v>-0</v>
      </c>
      <c r="BI83" s="20">
        <f t="shared" si="43"/>
        <v>-0</v>
      </c>
      <c r="BJ83" s="20">
        <f t="shared" si="43"/>
        <v>-0</v>
      </c>
      <c r="BK83" s="20">
        <f t="shared" si="43"/>
        <v>-0</v>
      </c>
      <c r="BL83" s="20">
        <f t="shared" si="43"/>
        <v>-0</v>
      </c>
      <c r="BM83" s="20">
        <f t="shared" si="43"/>
        <v>-0</v>
      </c>
      <c r="BN83" s="20">
        <f t="shared" si="43"/>
        <v>-0</v>
      </c>
      <c r="BO83" s="20">
        <f t="shared" si="43"/>
        <v>-0</v>
      </c>
      <c r="BP83" s="20">
        <f t="shared" si="43"/>
        <v>-0</v>
      </c>
    </row>
    <row r="84" spans="3:68" x14ac:dyDescent="0.25">
      <c r="C84" t="s">
        <v>1596</v>
      </c>
      <c r="D84" t="s">
        <v>844</v>
      </c>
      <c r="E84" s="20"/>
      <c r="F84" s="20"/>
      <c r="G84" s="20"/>
      <c r="H84" s="20">
        <f>SUM(H81:H83)</f>
        <v>0</v>
      </c>
      <c r="I84" s="20">
        <f t="shared" ref="I84:BP84" si="44">SUM(I81:I83)</f>
        <v>0</v>
      </c>
      <c r="J84" s="20">
        <f t="shared" si="44"/>
        <v>0</v>
      </c>
      <c r="K84" s="20">
        <f t="shared" si="44"/>
        <v>11.866554848107409</v>
      </c>
      <c r="L84" s="20">
        <f t="shared" si="44"/>
        <v>23.7908707519744</v>
      </c>
      <c r="M84" s="20">
        <f t="shared" si="44"/>
        <v>112.90583537915877</v>
      </c>
      <c r="N84" s="20">
        <f t="shared" si="44"/>
        <v>202.45457160279472</v>
      </c>
      <c r="O84" s="20">
        <f t="shared" si="44"/>
        <v>292.4391908280618</v>
      </c>
      <c r="P84" s="20">
        <f t="shared" si="44"/>
        <v>382.861814737511</v>
      </c>
      <c r="Q84" s="20">
        <f t="shared" si="44"/>
        <v>473.72457534109043</v>
      </c>
      <c r="R84" s="20">
        <f t="shared" si="44"/>
        <v>565.0296150264145</v>
      </c>
      <c r="S84" s="20">
        <f t="shared" si="44"/>
        <v>656.7790866092774</v>
      </c>
      <c r="T84" s="20">
        <f t="shared" si="44"/>
        <v>748.9751533844135</v>
      </c>
      <c r="U84" s="20">
        <f t="shared" si="44"/>
        <v>841.6199891765033</v>
      </c>
      <c r="V84" s="20">
        <f t="shared" si="44"/>
        <v>934.715778391429</v>
      </c>
      <c r="W84" s="20">
        <f t="shared" si="44"/>
        <v>1028.2647160677789</v>
      </c>
      <c r="X84" s="20">
        <f t="shared" si="44"/>
        <v>1122.2690079286026</v>
      </c>
      <c r="Y84" s="20">
        <f t="shared" si="44"/>
        <v>1216.730870433418</v>
      </c>
      <c r="Z84" s="20">
        <f t="shared" si="44"/>
        <v>1311.6525308304722</v>
      </c>
      <c r="AA84" s="20">
        <f t="shared" si="44"/>
        <v>1407.0362272092552</v>
      </c>
      <c r="AB84" s="20">
        <f t="shared" si="44"/>
        <v>1502.8842085532715</v>
      </c>
      <c r="AC84" s="20">
        <f t="shared" si="44"/>
        <v>1599.1987347930658</v>
      </c>
      <c r="AD84" s="20">
        <f t="shared" si="44"/>
        <v>1695.9820768595093</v>
      </c>
      <c r="AE84" s="20">
        <f t="shared" si="44"/>
        <v>1793.2365167373441</v>
      </c>
      <c r="AF84" s="20">
        <f t="shared" si="44"/>
        <v>1890.9643475189885</v>
      </c>
      <c r="AG84" s="20">
        <f t="shared" si="44"/>
        <v>1989.1678734586037</v>
      </c>
      <c r="AH84" s="20">
        <f t="shared" si="44"/>
        <v>2087.849410026425</v>
      </c>
      <c r="AI84" s="20">
        <f t="shared" si="44"/>
        <v>2187.011283963356</v>
      </c>
      <c r="AJ84" s="20">
        <f t="shared" si="44"/>
        <v>2286.6558333358294</v>
      </c>
      <c r="AK84" s="20">
        <f t="shared" si="44"/>
        <v>2386.7854075909336</v>
      </c>
      <c r="AL84" s="20">
        <f t="shared" si="44"/>
        <v>2487.402367611811</v>
      </c>
      <c r="AM84" s="20">
        <f t="shared" si="44"/>
        <v>2588.509085773321</v>
      </c>
      <c r="AN84" s="20">
        <f t="shared" si="44"/>
        <v>2690.1079459979783</v>
      </c>
      <c r="AO84" s="20">
        <f t="shared" si="44"/>
        <v>2792.2013438121603</v>
      </c>
      <c r="AP84" s="20">
        <f t="shared" si="44"/>
        <v>2894.7916864025906</v>
      </c>
      <c r="AQ84" s="20">
        <f t="shared" si="44"/>
        <v>2997.8813926730954</v>
      </c>
      <c r="AR84" s="20">
        <f t="shared" si="44"/>
        <v>2997.8813926730954</v>
      </c>
      <c r="AS84" s="20">
        <f t="shared" si="44"/>
        <v>2997.8813926730954</v>
      </c>
      <c r="AT84" s="20">
        <f t="shared" si="44"/>
        <v>2997.8813926730954</v>
      </c>
      <c r="AU84" s="20">
        <f t="shared" si="44"/>
        <v>2997.8813926730954</v>
      </c>
      <c r="AV84" s="20">
        <f t="shared" si="44"/>
        <v>2997.8813926730954</v>
      </c>
      <c r="AW84" s="20">
        <f t="shared" si="44"/>
        <v>2997.8813926730954</v>
      </c>
      <c r="AX84" s="20">
        <f t="shared" si="44"/>
        <v>3101.4728933016386</v>
      </c>
      <c r="AY84" s="20">
        <f t="shared" si="44"/>
        <v>3205.5686307976307</v>
      </c>
      <c r="AZ84" s="20">
        <f t="shared" si="44"/>
        <v>0</v>
      </c>
      <c r="BA84" s="20">
        <f t="shared" si="44"/>
        <v>0</v>
      </c>
      <c r="BB84" s="20">
        <f t="shared" si="44"/>
        <v>0</v>
      </c>
      <c r="BC84" s="20">
        <f t="shared" si="44"/>
        <v>0</v>
      </c>
      <c r="BD84" s="20">
        <f t="shared" si="44"/>
        <v>0</v>
      </c>
      <c r="BE84" s="20">
        <f t="shared" si="44"/>
        <v>0</v>
      </c>
      <c r="BF84" s="20">
        <f t="shared" si="44"/>
        <v>0</v>
      </c>
      <c r="BG84" s="20">
        <f t="shared" si="44"/>
        <v>0</v>
      </c>
      <c r="BH84" s="20">
        <f t="shared" si="44"/>
        <v>0</v>
      </c>
      <c r="BI84" s="20">
        <f t="shared" si="44"/>
        <v>0</v>
      </c>
      <c r="BJ84" s="20">
        <f t="shared" si="44"/>
        <v>0</v>
      </c>
      <c r="BK84" s="20">
        <f t="shared" si="44"/>
        <v>0</v>
      </c>
      <c r="BL84" s="20">
        <f t="shared" si="44"/>
        <v>0</v>
      </c>
      <c r="BM84" s="20">
        <f t="shared" si="44"/>
        <v>0</v>
      </c>
      <c r="BN84" s="20">
        <f t="shared" si="44"/>
        <v>0</v>
      </c>
      <c r="BO84" s="20">
        <f t="shared" si="44"/>
        <v>0</v>
      </c>
      <c r="BP84" s="20">
        <f t="shared" si="44"/>
        <v>0</v>
      </c>
    </row>
    <row r="85" spans="3:68" x14ac:dyDescent="0.25">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row>
    <row r="86" spans="3:68" x14ac:dyDescent="0.25">
      <c r="C86" s="43" t="s">
        <v>686</v>
      </c>
      <c r="D86" s="43"/>
      <c r="E86" s="96"/>
      <c r="F86" s="96"/>
      <c r="G86" s="96"/>
      <c r="H86" s="96"/>
      <c r="I86" s="96"/>
      <c r="J86" s="96"/>
      <c r="K86" s="96"/>
      <c r="L86" s="96"/>
      <c r="M86" s="96"/>
      <c r="N86" s="96"/>
      <c r="O86" s="96"/>
      <c r="P86" s="96"/>
      <c r="Q86" s="96"/>
      <c r="R86" s="96"/>
      <c r="S86" s="96"/>
      <c r="T86" s="96"/>
      <c r="U86" s="96"/>
      <c r="V86" s="96"/>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row>
    <row r="87" spans="3:68" x14ac:dyDescent="0.25">
      <c r="C87" s="74" t="str">
        <f t="shared" ref="C87:C98" si="45">C28</f>
        <v>Részvételi díj</v>
      </c>
      <c r="D87" t="s">
        <v>844</v>
      </c>
      <c r="E87" s="20"/>
      <c r="F87" s="20"/>
      <c r="G87" s="20">
        <f t="shared" ref="G87:G99" si="46">SUM(H87:BP87)</f>
        <v>0</v>
      </c>
      <c r="H87" s="20">
        <f>H$7*SUM($H44:H44)*Deposits!$Q$7</f>
        <v>0</v>
      </c>
      <c r="I87" s="20">
        <f>I$7*SUM($H44:I44)*Deposits!$Q$7</f>
        <v>0</v>
      </c>
      <c r="J87" s="20">
        <f>J$7*SUM($H44:J44)*Deposits!$Q$7</f>
        <v>0</v>
      </c>
      <c r="K87" s="20">
        <f>K$7*SUM($H44:K44)*Deposits!$Q$7</f>
        <v>0</v>
      </c>
      <c r="L87" s="20">
        <f>L$7*SUM($H44:L44)*Deposits!$Q$7</f>
        <v>0</v>
      </c>
      <c r="M87" s="20">
        <f>M$7*SUM($H44:M44)*Deposits!$Q$7</f>
        <v>0</v>
      </c>
      <c r="N87" s="20">
        <f>N$7*SUM($H44:N44)*Deposits!$Q$7</f>
        <v>0</v>
      </c>
      <c r="O87" s="20">
        <f>O$7*SUM($H44:O44)*Deposits!$Q$7</f>
        <v>0</v>
      </c>
      <c r="P87" s="20">
        <f>P$7*SUM($H44:P44)*Deposits!$Q$7</f>
        <v>0</v>
      </c>
      <c r="Q87" s="20">
        <f>Q$7*SUM($H44:Q44)*Deposits!$Q$7</f>
        <v>0</v>
      </c>
      <c r="R87" s="20">
        <f>R$7*SUM($H44:R44)*Deposits!$Q$7</f>
        <v>0</v>
      </c>
      <c r="S87" s="20">
        <f>S$7*SUM($H44:S44)*Deposits!$Q$7</f>
        <v>0</v>
      </c>
      <c r="T87" s="20">
        <f>T$7*SUM($H44:T44)*Deposits!$Q$7</f>
        <v>0</v>
      </c>
      <c r="U87" s="20">
        <f>U$7*SUM($H44:U44)*Deposits!$Q$7</f>
        <v>0</v>
      </c>
      <c r="V87" s="20">
        <f>V$7*SUM($H44:V44)*Deposits!$Q$7</f>
        <v>0</v>
      </c>
      <c r="W87" s="20">
        <f>W$7*SUM($H44:W44)*Deposits!$Q$7</f>
        <v>0</v>
      </c>
      <c r="X87" s="20">
        <f>X$7*SUM($H44:X44)*Deposits!$Q$7</f>
        <v>0</v>
      </c>
      <c r="Y87" s="20">
        <f>Y$7*SUM($H44:Y44)*Deposits!$Q$7</f>
        <v>0</v>
      </c>
      <c r="Z87" s="20">
        <f>Z$7*SUM($H44:Z44)*Deposits!$Q$7</f>
        <v>0</v>
      </c>
      <c r="AA87" s="20">
        <f>AA$7*SUM($H44:AA44)*Deposits!$Q$7</f>
        <v>0</v>
      </c>
      <c r="AB87" s="20">
        <f>AB$7*SUM($H44:AB44)*Deposits!$Q$7</f>
        <v>0</v>
      </c>
      <c r="AC87" s="20">
        <f>AC$7*SUM($H44:AC44)*Deposits!$Q$7</f>
        <v>0</v>
      </c>
      <c r="AD87" s="20">
        <f>AD$7*SUM($H44:AD44)*Deposits!$Q$7</f>
        <v>0</v>
      </c>
      <c r="AE87" s="20">
        <f>AE$7*SUM($H44:AE44)*Deposits!$Q$7</f>
        <v>0</v>
      </c>
      <c r="AF87" s="20">
        <f>AF$7*SUM($H44:AF44)*Deposits!$Q$7</f>
        <v>0</v>
      </c>
      <c r="AG87" s="20">
        <f>AG$7*SUM($H44:AG44)*Deposits!$Q$7</f>
        <v>0</v>
      </c>
      <c r="AH87" s="20">
        <f>AH$7*SUM($H44:AH44)*Deposits!$Q$7</f>
        <v>0</v>
      </c>
      <c r="AI87" s="20">
        <f>AI$7*SUM($H44:AI44)*Deposits!$Q$7</f>
        <v>0</v>
      </c>
      <c r="AJ87" s="20">
        <f>AJ$7*SUM($H44:AJ44)*Deposits!$Q$7</f>
        <v>0</v>
      </c>
      <c r="AK87" s="20">
        <f>AK$7*SUM($H44:AK44)*Deposits!$Q$7</f>
        <v>0</v>
      </c>
      <c r="AL87" s="20">
        <f>AL$7*SUM($H44:AL44)*Deposits!$Q$7</f>
        <v>0</v>
      </c>
      <c r="AM87" s="20">
        <f>AM$7*SUM($H44:AM44)*Deposits!$Q$7</f>
        <v>0</v>
      </c>
      <c r="AN87" s="20">
        <f>AN$7*SUM($H44:AN44)*Deposits!$Q$7</f>
        <v>0</v>
      </c>
      <c r="AO87" s="20">
        <f>AO$7*SUM($H44:AO44)*Deposits!$Q$7</f>
        <v>0</v>
      </c>
      <c r="AP87" s="20">
        <f>AP$7*SUM($H44:AP44)*Deposits!$Q$7</f>
        <v>0</v>
      </c>
      <c r="AQ87" s="20">
        <f>AQ$7*SUM($H44:AQ44)*Deposits!$Q$7</f>
        <v>0</v>
      </c>
      <c r="AR87" s="20">
        <f>AR$7*SUM($H44:AR44)*Deposits!$Q$7</f>
        <v>0</v>
      </c>
      <c r="AS87" s="20">
        <f>AS$7*SUM($H44:AS44)*Deposits!$Q$7</f>
        <v>0</v>
      </c>
      <c r="AT87" s="20">
        <f>AT$7*SUM($H44:AT44)*Deposits!$Q$7</f>
        <v>0</v>
      </c>
      <c r="AU87" s="20">
        <f>AU$7*SUM($H44:AU44)*Deposits!$Q$7</f>
        <v>0</v>
      </c>
      <c r="AV87" s="20">
        <f>AV$7*SUM($H44:AV44)*Deposits!$Q$7</f>
        <v>0</v>
      </c>
      <c r="AW87" s="20">
        <f>AW$7*SUM($H44:AW44)*Deposits!$Q$7</f>
        <v>0</v>
      </c>
      <c r="AX87" s="20">
        <f>AX$7*SUM($H44:AX44)*Deposits!$Q$7</f>
        <v>0</v>
      </c>
      <c r="AY87" s="20">
        <f>AY$7*SUM($H44:AY44)*Deposits!$Q$7</f>
        <v>0</v>
      </c>
      <c r="AZ87" s="20">
        <f>AZ$7*SUM($H44:AZ44)*Deposits!$Q$7</f>
        <v>0</v>
      </c>
      <c r="BA87" s="20">
        <f>BA$7*SUM($H44:BA44)*Deposits!$Q$7</f>
        <v>0</v>
      </c>
      <c r="BB87" s="20">
        <f>BB$7*SUM($H44:BB44)*Deposits!$Q$7</f>
        <v>0</v>
      </c>
      <c r="BC87" s="20">
        <f>BC$7*SUM($H44:BC44)*Deposits!$Q$7</f>
        <v>0</v>
      </c>
      <c r="BD87" s="20">
        <f>BD$7*SUM($H44:BD44)*Deposits!$Q$7</f>
        <v>0</v>
      </c>
      <c r="BE87" s="20">
        <f>BE$7*SUM($H44:BE44)*Deposits!$Q$7</f>
        <v>0</v>
      </c>
      <c r="BF87" s="20">
        <f>BF$7*SUM($H44:BF44)*Deposits!$Q$7</f>
        <v>0</v>
      </c>
      <c r="BG87" s="20">
        <f>BG$7*SUM($H44:BG44)*Deposits!$Q$7</f>
        <v>0</v>
      </c>
      <c r="BH87" s="20">
        <f>BH$7*SUM($H44:BH44)*Deposits!$Q$7</f>
        <v>0</v>
      </c>
      <c r="BI87" s="20">
        <f>BI$7*SUM($H44:BI44)*Deposits!$Q$7</f>
        <v>0</v>
      </c>
      <c r="BJ87" s="20">
        <f>BJ$7*SUM($H44:BJ44)*Deposits!$Q$7</f>
        <v>0</v>
      </c>
      <c r="BK87" s="20">
        <f>BK$7*SUM($H44:BK44)*Deposits!$Q$7</f>
        <v>0</v>
      </c>
      <c r="BL87" s="20">
        <f>BL$7*SUM($H44:BL44)*Deposits!$Q$7</f>
        <v>0</v>
      </c>
      <c r="BM87" s="20">
        <f>BM$7*SUM($H44:BM44)*Deposits!$Q$7</f>
        <v>0</v>
      </c>
      <c r="BN87" s="20">
        <f>BN$7*SUM($H44:BN44)*Deposits!$Q$7</f>
        <v>0</v>
      </c>
      <c r="BO87" s="20">
        <f>BO$7*SUM($H44:BO44)*Deposits!$Q$7</f>
        <v>0</v>
      </c>
      <c r="BP87" s="20">
        <f>BP$7*SUM($H44:BP44)*Deposits!$Q$7</f>
        <v>0</v>
      </c>
    </row>
    <row r="88" spans="3:68" x14ac:dyDescent="0.25">
      <c r="C88" s="74" t="str">
        <f t="shared" si="45"/>
        <v>Ajánlati biztosíték</v>
      </c>
      <c r="D88" t="s">
        <v>844</v>
      </c>
      <c r="E88" s="20"/>
      <c r="F88" s="20"/>
      <c r="G88" s="20">
        <f t="shared" si="46"/>
        <v>0</v>
      </c>
      <c r="H88" s="20">
        <f>H$7*SUM($H45:H45)*Deposits!$Q$8</f>
        <v>0</v>
      </c>
      <c r="I88" s="20">
        <f>I$7*SUM($H45:I45)*Deposits!$Q$8</f>
        <v>0</v>
      </c>
      <c r="J88" s="20">
        <f>J$7*SUM($H45:J45)*Deposits!$Q$8</f>
        <v>0</v>
      </c>
      <c r="K88" s="20">
        <f>K$7*SUM($H45:K45)*Deposits!$Q$8</f>
        <v>0</v>
      </c>
      <c r="L88" s="20">
        <f>L$7*SUM($H45:L45)*Deposits!$Q$8</f>
        <v>0</v>
      </c>
      <c r="M88" s="20">
        <f>M$7*SUM($H45:M45)*Deposits!$Q$8</f>
        <v>0</v>
      </c>
      <c r="N88" s="20">
        <f>N$7*SUM($H45:N45)*Deposits!$Q$8</f>
        <v>0</v>
      </c>
      <c r="O88" s="20">
        <f>O$7*SUM($H45:O45)*Deposits!$Q$8</f>
        <v>0</v>
      </c>
      <c r="P88" s="20">
        <f>P$7*SUM($H45:P45)*Deposits!$Q$8</f>
        <v>0</v>
      </c>
      <c r="Q88" s="20">
        <f>Q$7*SUM($H45:Q45)*Deposits!$Q$8</f>
        <v>0</v>
      </c>
      <c r="R88" s="20">
        <f>R$7*SUM($H45:R45)*Deposits!$Q$8</f>
        <v>0</v>
      </c>
      <c r="S88" s="20">
        <f>S$7*SUM($H45:S45)*Deposits!$Q$8</f>
        <v>0</v>
      </c>
      <c r="T88" s="20">
        <f>T$7*SUM($H45:T45)*Deposits!$Q$8</f>
        <v>0</v>
      </c>
      <c r="U88" s="20">
        <f>U$7*SUM($H45:U45)*Deposits!$Q$8</f>
        <v>0</v>
      </c>
      <c r="V88" s="20">
        <f>V$7*SUM($H45:V45)*Deposits!$Q$8</f>
        <v>0</v>
      </c>
      <c r="W88" s="20">
        <f>W$7*SUM($H45:W45)*Deposits!$Q$8</f>
        <v>0</v>
      </c>
      <c r="X88" s="20">
        <f>X$7*SUM($H45:X45)*Deposits!$Q$8</f>
        <v>0</v>
      </c>
      <c r="Y88" s="20">
        <f>Y$7*SUM($H45:Y45)*Deposits!$Q$8</f>
        <v>0</v>
      </c>
      <c r="Z88" s="20">
        <f>Z$7*SUM($H45:Z45)*Deposits!$Q$8</f>
        <v>0</v>
      </c>
      <c r="AA88" s="20">
        <f>AA$7*SUM($H45:AA45)*Deposits!$Q$8</f>
        <v>0</v>
      </c>
      <c r="AB88" s="20">
        <f>AB$7*SUM($H45:AB45)*Deposits!$Q$8</f>
        <v>0</v>
      </c>
      <c r="AC88" s="20">
        <f>AC$7*SUM($H45:AC45)*Deposits!$Q$8</f>
        <v>0</v>
      </c>
      <c r="AD88" s="20">
        <f>AD$7*SUM($H45:AD45)*Deposits!$Q$8</f>
        <v>0</v>
      </c>
      <c r="AE88" s="20">
        <f>AE$7*SUM($H45:AE45)*Deposits!$Q$8</f>
        <v>0</v>
      </c>
      <c r="AF88" s="20">
        <f>AF$7*SUM($H45:AF45)*Deposits!$Q$8</f>
        <v>0</v>
      </c>
      <c r="AG88" s="20">
        <f>AG$7*SUM($H45:AG45)*Deposits!$Q$8</f>
        <v>0</v>
      </c>
      <c r="AH88" s="20">
        <f>AH$7*SUM($H45:AH45)*Deposits!$Q$8</f>
        <v>0</v>
      </c>
      <c r="AI88" s="20">
        <f>AI$7*SUM($H45:AI45)*Deposits!$Q$8</f>
        <v>0</v>
      </c>
      <c r="AJ88" s="20">
        <f>AJ$7*SUM($H45:AJ45)*Deposits!$Q$8</f>
        <v>0</v>
      </c>
      <c r="AK88" s="20">
        <f>AK$7*SUM($H45:AK45)*Deposits!$Q$8</f>
        <v>0</v>
      </c>
      <c r="AL88" s="20">
        <f>AL$7*SUM($H45:AL45)*Deposits!$Q$8</f>
        <v>0</v>
      </c>
      <c r="AM88" s="20">
        <f>AM$7*SUM($H45:AM45)*Deposits!$Q$8</f>
        <v>0</v>
      </c>
      <c r="AN88" s="20">
        <f>AN$7*SUM($H45:AN45)*Deposits!$Q$8</f>
        <v>0</v>
      </c>
      <c r="AO88" s="20">
        <f>AO$7*SUM($H45:AO45)*Deposits!$Q$8</f>
        <v>0</v>
      </c>
      <c r="AP88" s="20">
        <f>AP$7*SUM($H45:AP45)*Deposits!$Q$8</f>
        <v>0</v>
      </c>
      <c r="AQ88" s="20">
        <f>AQ$7*SUM($H45:AQ45)*Deposits!$Q$8</f>
        <v>0</v>
      </c>
      <c r="AR88" s="20">
        <f>AR$7*SUM($H45:AR45)*Deposits!$Q$8</f>
        <v>0</v>
      </c>
      <c r="AS88" s="20">
        <f>AS$7*SUM($H45:AS45)*Deposits!$Q$8</f>
        <v>0</v>
      </c>
      <c r="AT88" s="20">
        <f>AT$7*SUM($H45:AT45)*Deposits!$Q$8</f>
        <v>0</v>
      </c>
      <c r="AU88" s="20">
        <f>AU$7*SUM($H45:AU45)*Deposits!$Q$8</f>
        <v>0</v>
      </c>
      <c r="AV88" s="20">
        <f>AV$7*SUM($H45:AV45)*Deposits!$Q$8</f>
        <v>0</v>
      </c>
      <c r="AW88" s="20">
        <f>AW$7*SUM($H45:AW45)*Deposits!$Q$8</f>
        <v>0</v>
      </c>
      <c r="AX88" s="20">
        <f>AX$7*SUM($H45:AX45)*Deposits!$Q$8</f>
        <v>0</v>
      </c>
      <c r="AY88" s="20">
        <f>AY$7*SUM($H45:AY45)*Deposits!$Q$8</f>
        <v>0</v>
      </c>
      <c r="AZ88" s="20">
        <f>AZ$7*SUM($H45:AZ45)*Deposits!$Q$8</f>
        <v>0</v>
      </c>
      <c r="BA88" s="20">
        <f>BA$7*SUM($H45:BA45)*Deposits!$Q$8</f>
        <v>0</v>
      </c>
      <c r="BB88" s="20">
        <f>BB$7*SUM($H45:BB45)*Deposits!$Q$8</f>
        <v>0</v>
      </c>
      <c r="BC88" s="20">
        <f>BC$7*SUM($H45:BC45)*Deposits!$Q$8</f>
        <v>0</v>
      </c>
      <c r="BD88" s="20">
        <f>BD$7*SUM($H45:BD45)*Deposits!$Q$8</f>
        <v>0</v>
      </c>
      <c r="BE88" s="20">
        <f>BE$7*SUM($H45:BE45)*Deposits!$Q$8</f>
        <v>0</v>
      </c>
      <c r="BF88" s="20">
        <f>BF$7*SUM($H45:BF45)*Deposits!$Q$8</f>
        <v>0</v>
      </c>
      <c r="BG88" s="20">
        <f>BG$7*SUM($H45:BG45)*Deposits!$Q$8</f>
        <v>0</v>
      </c>
      <c r="BH88" s="20">
        <f>BH$7*SUM($H45:BH45)*Deposits!$Q$8</f>
        <v>0</v>
      </c>
      <c r="BI88" s="20">
        <f>BI$7*SUM($H45:BI45)*Deposits!$Q$8</f>
        <v>0</v>
      </c>
      <c r="BJ88" s="20">
        <f>BJ$7*SUM($H45:BJ45)*Deposits!$Q$8</f>
        <v>0</v>
      </c>
      <c r="BK88" s="20">
        <f>BK$7*SUM($H45:BK45)*Deposits!$Q$8</f>
        <v>0</v>
      </c>
      <c r="BL88" s="20">
        <f>BL$7*SUM($H45:BL45)*Deposits!$Q$8</f>
        <v>0</v>
      </c>
      <c r="BM88" s="20">
        <f>BM$7*SUM($H45:BM45)*Deposits!$Q$8</f>
        <v>0</v>
      </c>
      <c r="BN88" s="20">
        <f>BN$7*SUM($H45:BN45)*Deposits!$Q$8</f>
        <v>0</v>
      </c>
      <c r="BO88" s="20">
        <f>BO$7*SUM($H45:BO45)*Deposits!$Q$8</f>
        <v>0</v>
      </c>
      <c r="BP88" s="20">
        <f>BP$7*SUM($H45:BP45)*Deposits!$Q$8</f>
        <v>0</v>
      </c>
    </row>
    <row r="89" spans="3:68" x14ac:dyDescent="0.25">
      <c r="C89" s="74" t="str">
        <f t="shared" si="45"/>
        <v>Ajánlati biztosíték visszatérítés – sikertelen kapacitás</v>
      </c>
      <c r="D89" t="s">
        <v>844</v>
      </c>
      <c r="E89" s="20"/>
      <c r="F89" s="20"/>
      <c r="G89" s="20">
        <f t="shared" si="46"/>
        <v>0</v>
      </c>
      <c r="H89" s="20">
        <f>H$7*SUM($H46:H46)*Deposits!$Q$9</f>
        <v>0</v>
      </c>
      <c r="I89" s="20">
        <f>I$7*SUM($H46:I46)*Deposits!$Q$9</f>
        <v>0</v>
      </c>
      <c r="J89" s="20">
        <f>J$7*SUM($H46:J46)*Deposits!$Q$9</f>
        <v>0</v>
      </c>
      <c r="K89" s="20">
        <f>K$7*SUM($H46:K46)*Deposits!$Q$9</f>
        <v>0</v>
      </c>
      <c r="L89" s="20">
        <f>L$7*SUM($H46:L46)*Deposits!$Q$9</f>
        <v>0</v>
      </c>
      <c r="M89" s="20">
        <f>M$7*SUM($H46:M46)*Deposits!$Q$9</f>
        <v>0</v>
      </c>
      <c r="N89" s="20">
        <f>N$7*SUM($H46:N46)*Deposits!$Q$9</f>
        <v>0</v>
      </c>
      <c r="O89" s="20">
        <f>O$7*SUM($H46:O46)*Deposits!$Q$9</f>
        <v>0</v>
      </c>
      <c r="P89" s="20">
        <f>P$7*SUM($H46:P46)*Deposits!$Q$9</f>
        <v>0</v>
      </c>
      <c r="Q89" s="20">
        <f>Q$7*SUM($H46:Q46)*Deposits!$Q$9</f>
        <v>0</v>
      </c>
      <c r="R89" s="20">
        <f>R$7*SUM($H46:R46)*Deposits!$Q$9</f>
        <v>0</v>
      </c>
      <c r="S89" s="20">
        <f>S$7*SUM($H46:S46)*Deposits!$Q$9</f>
        <v>0</v>
      </c>
      <c r="T89" s="20">
        <f>T$7*SUM($H46:T46)*Deposits!$Q$9</f>
        <v>0</v>
      </c>
      <c r="U89" s="20">
        <f>U$7*SUM($H46:U46)*Deposits!$Q$9</f>
        <v>0</v>
      </c>
      <c r="V89" s="20">
        <f>V$7*SUM($H46:V46)*Deposits!$Q$9</f>
        <v>0</v>
      </c>
      <c r="W89" s="20">
        <f>W$7*SUM($H46:W46)*Deposits!$Q$9</f>
        <v>0</v>
      </c>
      <c r="X89" s="20">
        <f>X$7*SUM($H46:X46)*Deposits!$Q$9</f>
        <v>0</v>
      </c>
      <c r="Y89" s="20">
        <f>Y$7*SUM($H46:Y46)*Deposits!$Q$9</f>
        <v>0</v>
      </c>
      <c r="Z89" s="20">
        <f>Z$7*SUM($H46:Z46)*Deposits!$Q$9</f>
        <v>0</v>
      </c>
      <c r="AA89" s="20">
        <f>AA$7*SUM($H46:AA46)*Deposits!$Q$9</f>
        <v>0</v>
      </c>
      <c r="AB89" s="20">
        <f>AB$7*SUM($H46:AB46)*Deposits!$Q$9</f>
        <v>0</v>
      </c>
      <c r="AC89" s="20">
        <f>AC$7*SUM($H46:AC46)*Deposits!$Q$9</f>
        <v>0</v>
      </c>
      <c r="AD89" s="20">
        <f>AD$7*SUM($H46:AD46)*Deposits!$Q$9</f>
        <v>0</v>
      </c>
      <c r="AE89" s="20">
        <f>AE$7*SUM($H46:AE46)*Deposits!$Q$9</f>
        <v>0</v>
      </c>
      <c r="AF89" s="20">
        <f>AF$7*SUM($H46:AF46)*Deposits!$Q$9</f>
        <v>0</v>
      </c>
      <c r="AG89" s="20">
        <f>AG$7*SUM($H46:AG46)*Deposits!$Q$9</f>
        <v>0</v>
      </c>
      <c r="AH89" s="20">
        <f>AH$7*SUM($H46:AH46)*Deposits!$Q$9</f>
        <v>0</v>
      </c>
      <c r="AI89" s="20">
        <f>AI$7*SUM($H46:AI46)*Deposits!$Q$9</f>
        <v>0</v>
      </c>
      <c r="AJ89" s="20">
        <f>AJ$7*SUM($H46:AJ46)*Deposits!$Q$9</f>
        <v>0</v>
      </c>
      <c r="AK89" s="20">
        <f>AK$7*SUM($H46:AK46)*Deposits!$Q$9</f>
        <v>0</v>
      </c>
      <c r="AL89" s="20">
        <f>AL$7*SUM($H46:AL46)*Deposits!$Q$9</f>
        <v>0</v>
      </c>
      <c r="AM89" s="20">
        <f>AM$7*SUM($H46:AM46)*Deposits!$Q$9</f>
        <v>0</v>
      </c>
      <c r="AN89" s="20">
        <f>AN$7*SUM($H46:AN46)*Deposits!$Q$9</f>
        <v>0</v>
      </c>
      <c r="AO89" s="20">
        <f>AO$7*SUM($H46:AO46)*Deposits!$Q$9</f>
        <v>0</v>
      </c>
      <c r="AP89" s="20">
        <f>AP$7*SUM($H46:AP46)*Deposits!$Q$9</f>
        <v>0</v>
      </c>
      <c r="AQ89" s="20">
        <f>AQ$7*SUM($H46:AQ46)*Deposits!$Q$9</f>
        <v>0</v>
      </c>
      <c r="AR89" s="20">
        <f>AR$7*SUM($H46:AR46)*Deposits!$Q$9</f>
        <v>0</v>
      </c>
      <c r="AS89" s="20">
        <f>AS$7*SUM($H46:AS46)*Deposits!$Q$9</f>
        <v>0</v>
      </c>
      <c r="AT89" s="20">
        <f>AT$7*SUM($H46:AT46)*Deposits!$Q$9</f>
        <v>0</v>
      </c>
      <c r="AU89" s="20">
        <f>AU$7*SUM($H46:AU46)*Deposits!$Q$9</f>
        <v>0</v>
      </c>
      <c r="AV89" s="20">
        <f>AV$7*SUM($H46:AV46)*Deposits!$Q$9</f>
        <v>0</v>
      </c>
      <c r="AW89" s="20">
        <f>AW$7*SUM($H46:AW46)*Deposits!$Q$9</f>
        <v>0</v>
      </c>
      <c r="AX89" s="20">
        <f>AX$7*SUM($H46:AX46)*Deposits!$Q$9</f>
        <v>0</v>
      </c>
      <c r="AY89" s="20">
        <f>AY$7*SUM($H46:AY46)*Deposits!$Q$9</f>
        <v>0</v>
      </c>
      <c r="AZ89" s="20">
        <f>AZ$7*SUM($H46:AZ46)*Deposits!$Q$9</f>
        <v>0</v>
      </c>
      <c r="BA89" s="20">
        <f>BA$7*SUM($H46:BA46)*Deposits!$Q$9</f>
        <v>0</v>
      </c>
      <c r="BB89" s="20">
        <f>BB$7*SUM($H46:BB46)*Deposits!$Q$9</f>
        <v>0</v>
      </c>
      <c r="BC89" s="20">
        <f>BC$7*SUM($H46:BC46)*Deposits!$Q$9</f>
        <v>0</v>
      </c>
      <c r="BD89" s="20">
        <f>BD$7*SUM($H46:BD46)*Deposits!$Q$9</f>
        <v>0</v>
      </c>
      <c r="BE89" s="20">
        <f>BE$7*SUM($H46:BE46)*Deposits!$Q$9</f>
        <v>0</v>
      </c>
      <c r="BF89" s="20">
        <f>BF$7*SUM($H46:BF46)*Deposits!$Q$9</f>
        <v>0</v>
      </c>
      <c r="BG89" s="20">
        <f>BG$7*SUM($H46:BG46)*Deposits!$Q$9</f>
        <v>0</v>
      </c>
      <c r="BH89" s="20">
        <f>BH$7*SUM($H46:BH46)*Deposits!$Q$9</f>
        <v>0</v>
      </c>
      <c r="BI89" s="20">
        <f>BI$7*SUM($H46:BI46)*Deposits!$Q$9</f>
        <v>0</v>
      </c>
      <c r="BJ89" s="20">
        <f>BJ$7*SUM($H46:BJ46)*Deposits!$Q$9</f>
        <v>0</v>
      </c>
      <c r="BK89" s="20">
        <f>BK$7*SUM($H46:BK46)*Deposits!$Q$9</f>
        <v>0</v>
      </c>
      <c r="BL89" s="20">
        <f>BL$7*SUM($H46:BL46)*Deposits!$Q$9</f>
        <v>0</v>
      </c>
      <c r="BM89" s="20">
        <f>BM$7*SUM($H46:BM46)*Deposits!$Q$9</f>
        <v>0</v>
      </c>
      <c r="BN89" s="20">
        <f>BN$7*SUM($H46:BN46)*Deposits!$Q$9</f>
        <v>0</v>
      </c>
      <c r="BO89" s="20">
        <f>BO$7*SUM($H46:BO46)*Deposits!$Q$9</f>
        <v>0</v>
      </c>
      <c r="BP89" s="20">
        <f>BP$7*SUM($H46:BP46)*Deposits!$Q$9</f>
        <v>0</v>
      </c>
    </row>
    <row r="90" spans="3:68" x14ac:dyDescent="0.25">
      <c r="C90" s="74" t="str">
        <f t="shared" si="45"/>
        <v>Teljesítési biztosíték</v>
      </c>
      <c r="D90" t="s">
        <v>844</v>
      </c>
      <c r="E90" s="20"/>
      <c r="F90" s="20"/>
      <c r="G90" s="20">
        <f t="shared" si="46"/>
        <v>0</v>
      </c>
      <c r="H90" s="20">
        <f>H$7*SUM($H47:H47)*Deposits!$Q$10</f>
        <v>0</v>
      </c>
      <c r="I90" s="20">
        <f>I$7*SUM($H47:I47)*Deposits!$Q$10</f>
        <v>0</v>
      </c>
      <c r="J90" s="20">
        <f>J$7*SUM($H47:J47)*Deposits!$Q$10</f>
        <v>0</v>
      </c>
      <c r="K90" s="20">
        <f>K$7*SUM($H47:K47)*Deposits!$Q$10</f>
        <v>0</v>
      </c>
      <c r="L90" s="20">
        <f>L$7*SUM($H47:L47)*Deposits!$Q$10</f>
        <v>0</v>
      </c>
      <c r="M90" s="20">
        <f>M$7*SUM($H47:M47)*Deposits!$Q$10</f>
        <v>0</v>
      </c>
      <c r="N90" s="20">
        <f>N$7*SUM($H47:N47)*Deposits!$Q$10</f>
        <v>0</v>
      </c>
      <c r="O90" s="20">
        <f>O$7*SUM($H47:O47)*Deposits!$Q$10</f>
        <v>0</v>
      </c>
      <c r="P90" s="20">
        <f>P$7*SUM($H47:P47)*Deposits!$Q$10</f>
        <v>0</v>
      </c>
      <c r="Q90" s="20">
        <f>Q$7*SUM($H47:Q47)*Deposits!$Q$10</f>
        <v>0</v>
      </c>
      <c r="R90" s="20">
        <f>R$7*SUM($H47:R47)*Deposits!$Q$10</f>
        <v>0</v>
      </c>
      <c r="S90" s="20">
        <f>S$7*SUM($H47:S47)*Deposits!$Q$10</f>
        <v>0</v>
      </c>
      <c r="T90" s="20">
        <f>T$7*SUM($H47:T47)*Deposits!$Q$10</f>
        <v>0</v>
      </c>
      <c r="U90" s="20">
        <f>U$7*SUM($H47:U47)*Deposits!$Q$10</f>
        <v>0</v>
      </c>
      <c r="V90" s="20">
        <f>V$7*SUM($H47:V47)*Deposits!$Q$10</f>
        <v>0</v>
      </c>
      <c r="W90" s="20">
        <f>W$7*SUM($H47:W47)*Deposits!$Q$10</f>
        <v>0</v>
      </c>
      <c r="X90" s="20">
        <f>X$7*SUM($H47:X47)*Deposits!$Q$10</f>
        <v>0</v>
      </c>
      <c r="Y90" s="20">
        <f>Y$7*SUM($H47:Y47)*Deposits!$Q$10</f>
        <v>0</v>
      </c>
      <c r="Z90" s="20">
        <f>Z$7*SUM($H47:Z47)*Deposits!$Q$10</f>
        <v>0</v>
      </c>
      <c r="AA90" s="20">
        <f>AA$7*SUM($H47:AA47)*Deposits!$Q$10</f>
        <v>0</v>
      </c>
      <c r="AB90" s="20">
        <f>AB$7*SUM($H47:AB47)*Deposits!$Q$10</f>
        <v>0</v>
      </c>
      <c r="AC90" s="20">
        <f>AC$7*SUM($H47:AC47)*Deposits!$Q$10</f>
        <v>0</v>
      </c>
      <c r="AD90" s="20">
        <f>AD$7*SUM($H47:AD47)*Deposits!$Q$10</f>
        <v>0</v>
      </c>
      <c r="AE90" s="20">
        <f>AE$7*SUM($H47:AE47)*Deposits!$Q$10</f>
        <v>0</v>
      </c>
      <c r="AF90" s="20">
        <f>AF$7*SUM($H47:AF47)*Deposits!$Q$10</f>
        <v>0</v>
      </c>
      <c r="AG90" s="20">
        <f>AG$7*SUM($H47:AG47)*Deposits!$Q$10</f>
        <v>0</v>
      </c>
      <c r="AH90" s="20">
        <f>AH$7*SUM($H47:AH47)*Deposits!$Q$10</f>
        <v>0</v>
      </c>
      <c r="AI90" s="20">
        <f>AI$7*SUM($H47:AI47)*Deposits!$Q$10</f>
        <v>0</v>
      </c>
      <c r="AJ90" s="20">
        <f>AJ$7*SUM($H47:AJ47)*Deposits!$Q$10</f>
        <v>0</v>
      </c>
      <c r="AK90" s="20">
        <f>AK$7*SUM($H47:AK47)*Deposits!$Q$10</f>
        <v>0</v>
      </c>
      <c r="AL90" s="20">
        <f>AL$7*SUM($H47:AL47)*Deposits!$Q$10</f>
        <v>0</v>
      </c>
      <c r="AM90" s="20">
        <f>AM$7*SUM($H47:AM47)*Deposits!$Q$10</f>
        <v>0</v>
      </c>
      <c r="AN90" s="20">
        <f>AN$7*SUM($H47:AN47)*Deposits!$Q$10</f>
        <v>0</v>
      </c>
      <c r="AO90" s="20">
        <f>AO$7*SUM($H47:AO47)*Deposits!$Q$10</f>
        <v>0</v>
      </c>
      <c r="AP90" s="20">
        <f>AP$7*SUM($H47:AP47)*Deposits!$Q$10</f>
        <v>0</v>
      </c>
      <c r="AQ90" s="20">
        <f>AQ$7*SUM($H47:AQ47)*Deposits!$Q$10</f>
        <v>0</v>
      </c>
      <c r="AR90" s="20">
        <f>AR$7*SUM($H47:AR47)*Deposits!$Q$10</f>
        <v>0</v>
      </c>
      <c r="AS90" s="20">
        <f>AS$7*SUM($H47:AS47)*Deposits!$Q$10</f>
        <v>0</v>
      </c>
      <c r="AT90" s="20">
        <f>AT$7*SUM($H47:AT47)*Deposits!$Q$10</f>
        <v>0</v>
      </c>
      <c r="AU90" s="20">
        <f>AU$7*SUM($H47:AU47)*Deposits!$Q$10</f>
        <v>0</v>
      </c>
      <c r="AV90" s="20">
        <f>AV$7*SUM($H47:AV47)*Deposits!$Q$10</f>
        <v>0</v>
      </c>
      <c r="AW90" s="20">
        <f>AW$7*SUM($H47:AW47)*Deposits!$Q$10</f>
        <v>0</v>
      </c>
      <c r="AX90" s="20">
        <f>AX$7*SUM($H47:AX47)*Deposits!$Q$10</f>
        <v>0</v>
      </c>
      <c r="AY90" s="20">
        <f>AY$7*SUM($H47:AY47)*Deposits!$Q$10</f>
        <v>0</v>
      </c>
      <c r="AZ90" s="20">
        <f>AZ$7*SUM($H47:AZ47)*Deposits!$Q$10</f>
        <v>0</v>
      </c>
      <c r="BA90" s="20">
        <f>BA$7*SUM($H47:BA47)*Deposits!$Q$10</f>
        <v>0</v>
      </c>
      <c r="BB90" s="20">
        <f>BB$7*SUM($H47:BB47)*Deposits!$Q$10</f>
        <v>0</v>
      </c>
      <c r="BC90" s="20">
        <f>BC$7*SUM($H47:BC47)*Deposits!$Q$10</f>
        <v>0</v>
      </c>
      <c r="BD90" s="20">
        <f>BD$7*SUM($H47:BD47)*Deposits!$Q$10</f>
        <v>0</v>
      </c>
      <c r="BE90" s="20">
        <f>BE$7*SUM($H47:BE47)*Deposits!$Q$10</f>
        <v>0</v>
      </c>
      <c r="BF90" s="20">
        <f>BF$7*SUM($H47:BF47)*Deposits!$Q$10</f>
        <v>0</v>
      </c>
      <c r="BG90" s="20">
        <f>BG$7*SUM($H47:BG47)*Deposits!$Q$10</f>
        <v>0</v>
      </c>
      <c r="BH90" s="20">
        <f>BH$7*SUM($H47:BH47)*Deposits!$Q$10</f>
        <v>0</v>
      </c>
      <c r="BI90" s="20">
        <f>BI$7*SUM($H47:BI47)*Deposits!$Q$10</f>
        <v>0</v>
      </c>
      <c r="BJ90" s="20">
        <f>BJ$7*SUM($H47:BJ47)*Deposits!$Q$10</f>
        <v>0</v>
      </c>
      <c r="BK90" s="20">
        <f>BK$7*SUM($H47:BK47)*Deposits!$Q$10</f>
        <v>0</v>
      </c>
      <c r="BL90" s="20">
        <f>BL$7*SUM($H47:BL47)*Deposits!$Q$10</f>
        <v>0</v>
      </c>
      <c r="BM90" s="20">
        <f>BM$7*SUM($H47:BM47)*Deposits!$Q$10</f>
        <v>0</v>
      </c>
      <c r="BN90" s="20">
        <f>BN$7*SUM($H47:BN47)*Deposits!$Q$10</f>
        <v>0</v>
      </c>
      <c r="BO90" s="20">
        <f>BO$7*SUM($H47:BO47)*Deposits!$Q$10</f>
        <v>0</v>
      </c>
      <c r="BP90" s="20">
        <f>BP$7*SUM($H47:BP47)*Deposits!$Q$10</f>
        <v>0</v>
      </c>
    </row>
    <row r="91" spans="3:68" x14ac:dyDescent="0.25">
      <c r="C91" s="74" t="str">
        <f t="shared" si="45"/>
        <v>Igénybejelentési biztosíték</v>
      </c>
      <c r="D91" t="s">
        <v>844</v>
      </c>
      <c r="E91" s="20"/>
      <c r="F91" s="20"/>
      <c r="G91" s="20">
        <f t="shared" si="46"/>
        <v>2465.753424657534</v>
      </c>
      <c r="H91" s="20">
        <f>H$7*SUM($H48:H48)*Deposits!$Q$11</f>
        <v>0</v>
      </c>
      <c r="I91" s="20">
        <f>I$7*SUM($H48:I48)*Deposits!$Q$11</f>
        <v>0</v>
      </c>
      <c r="J91" s="20">
        <f>J$7*SUM($H48:J48)*Deposits!$Q$11</f>
        <v>0</v>
      </c>
      <c r="K91" s="20">
        <f>K$7*SUM($H48:K48)*Deposits!$Q$11</f>
        <v>0</v>
      </c>
      <c r="L91" s="20">
        <f>L$7*SUM($H48:L48)*Deposits!$Q$11</f>
        <v>0</v>
      </c>
      <c r="M91" s="20">
        <f>M$7*SUM($H48:M48)*Deposits!$Q$11</f>
        <v>0</v>
      </c>
      <c r="N91" s="20">
        <f>N$7*SUM($H48:N48)*Deposits!$Q$11</f>
        <v>0</v>
      </c>
      <c r="O91" s="20">
        <f>O$7*SUM($H48:O48)*Deposits!$Q$11</f>
        <v>0</v>
      </c>
      <c r="P91" s="20">
        <f>P$7*SUM($H48:P48)*Deposits!$Q$11</f>
        <v>0</v>
      </c>
      <c r="Q91" s="20">
        <f>Q$7*SUM($H48:Q48)*Deposits!$Q$11</f>
        <v>0</v>
      </c>
      <c r="R91" s="20">
        <f>R$7*SUM($H48:R48)*Deposits!$Q$11</f>
        <v>0</v>
      </c>
      <c r="S91" s="20">
        <f>S$7*SUM($H48:S48)*Deposits!$Q$11</f>
        <v>0</v>
      </c>
      <c r="T91" s="20">
        <f>T$7*SUM($H48:T48)*Deposits!$Q$11</f>
        <v>0</v>
      </c>
      <c r="U91" s="20">
        <f>U$7*SUM($H48:U48)*Deposits!$Q$11</f>
        <v>0</v>
      </c>
      <c r="V91" s="20">
        <f>V$7*SUM($H48:V48)*Deposits!$Q$11</f>
        <v>0</v>
      </c>
      <c r="W91" s="20">
        <f>W$7*SUM($H48:W48)*Deposits!$Q$11</f>
        <v>0</v>
      </c>
      <c r="X91" s="20">
        <f>X$7*SUM($H48:X48)*Deposits!$Q$11</f>
        <v>0</v>
      </c>
      <c r="Y91" s="20">
        <f>Y$7*SUM($H48:Y48)*Deposits!$Q$11</f>
        <v>0</v>
      </c>
      <c r="Z91" s="20">
        <f>Z$7*SUM($H48:Z48)*Deposits!$Q$11</f>
        <v>0</v>
      </c>
      <c r="AA91" s="20">
        <f>AA$7*SUM($H48:AA48)*Deposits!$Q$11</f>
        <v>0</v>
      </c>
      <c r="AB91" s="20">
        <f>AB$7*SUM($H48:AB48)*Deposits!$Q$11</f>
        <v>0</v>
      </c>
      <c r="AC91" s="20">
        <f>AC$7*SUM($H48:AC48)*Deposits!$Q$11</f>
        <v>0</v>
      </c>
      <c r="AD91" s="20">
        <f>AD$7*SUM($H48:AD48)*Deposits!$Q$11</f>
        <v>0</v>
      </c>
      <c r="AE91" s="20">
        <f>AE$7*SUM($H48:AE48)*Deposits!$Q$11</f>
        <v>0</v>
      </c>
      <c r="AF91" s="20">
        <f>AF$7*SUM($H48:AF48)*Deposits!$Q$11</f>
        <v>0</v>
      </c>
      <c r="AG91" s="20">
        <f>AG$7*SUM($H48:AG48)*Deposits!$Q$11</f>
        <v>0</v>
      </c>
      <c r="AH91" s="20">
        <f>AH$7*SUM($H48:AH48)*Deposits!$Q$11</f>
        <v>0</v>
      </c>
      <c r="AI91" s="20">
        <f>AI$7*SUM($H48:AI48)*Deposits!$Q$11</f>
        <v>0</v>
      </c>
      <c r="AJ91" s="20">
        <f>AJ$7*SUM($H48:AJ48)*Deposits!$Q$11</f>
        <v>0</v>
      </c>
      <c r="AK91" s="20">
        <f>AK$7*SUM($H48:AK48)*Deposits!$Q$11</f>
        <v>0</v>
      </c>
      <c r="AL91" s="20">
        <f>AL$7*SUM($H48:AL48)*Deposits!$Q$11</f>
        <v>0</v>
      </c>
      <c r="AM91" s="20">
        <f>AM$7*SUM($H48:AM48)*Deposits!$Q$11</f>
        <v>0</v>
      </c>
      <c r="AN91" s="20">
        <f>AN$7*SUM($H48:AN48)*Deposits!$Q$11</f>
        <v>0</v>
      </c>
      <c r="AO91" s="20">
        <f>AO$7*SUM($H48:AO48)*Deposits!$Q$11</f>
        <v>0</v>
      </c>
      <c r="AP91" s="20">
        <f>AP$7*SUM($H48:AP48)*Deposits!$Q$11</f>
        <v>0</v>
      </c>
      <c r="AQ91" s="20">
        <f>AQ$7*SUM($H48:AQ48)*Deposits!$Q$11</f>
        <v>0</v>
      </c>
      <c r="AR91" s="20">
        <f>AR$7*SUM($H48:AR48)*Deposits!$Q$11</f>
        <v>0</v>
      </c>
      <c r="AS91" s="20">
        <f>AS$7*SUM($H48:AS48)*Deposits!$Q$11</f>
        <v>0</v>
      </c>
      <c r="AT91" s="20">
        <f>AT$7*SUM($H48:AT48)*Deposits!$Q$11</f>
        <v>0</v>
      </c>
      <c r="AU91" s="20">
        <f>AU$7*SUM($H48:AU48)*Deposits!$Q$11</f>
        <v>0</v>
      </c>
      <c r="AV91" s="20">
        <f>AV$7*SUM($H48:AV48)*Deposits!$Q$11</f>
        <v>0</v>
      </c>
      <c r="AW91" s="20">
        <f>AW$7*SUM($H48:AW48)*Deposits!$Q$11</f>
        <v>0</v>
      </c>
      <c r="AX91" s="20">
        <f>AX$7*SUM($H48:AX48)*Deposits!$Q$11</f>
        <v>0</v>
      </c>
      <c r="AY91" s="20">
        <f>AY$7*SUM($H48:AY48)*Deposits!$Q$11</f>
        <v>0</v>
      </c>
      <c r="AZ91" s="20">
        <f>AZ$7*SUM($H48:AZ48)*Deposits!$Q$11</f>
        <v>2465.753424657534</v>
      </c>
      <c r="BA91" s="20">
        <f>BA$7*SUM($H48:BA48)*Deposits!$Q$11</f>
        <v>0</v>
      </c>
      <c r="BB91" s="20">
        <f>BB$7*SUM($H48:BB48)*Deposits!$Q$11</f>
        <v>0</v>
      </c>
      <c r="BC91" s="20">
        <f>BC$7*SUM($H48:BC48)*Deposits!$Q$11</f>
        <v>0</v>
      </c>
      <c r="BD91" s="20">
        <f>BD$7*SUM($H48:BD48)*Deposits!$Q$11</f>
        <v>0</v>
      </c>
      <c r="BE91" s="20">
        <f>BE$7*SUM($H48:BE48)*Deposits!$Q$11</f>
        <v>0</v>
      </c>
      <c r="BF91" s="20">
        <f>BF$7*SUM($H48:BF48)*Deposits!$Q$11</f>
        <v>0</v>
      </c>
      <c r="BG91" s="20">
        <f>BG$7*SUM($H48:BG48)*Deposits!$Q$11</f>
        <v>0</v>
      </c>
      <c r="BH91" s="20">
        <f>BH$7*SUM($H48:BH48)*Deposits!$Q$11</f>
        <v>0</v>
      </c>
      <c r="BI91" s="20">
        <f>BI$7*SUM($H48:BI48)*Deposits!$Q$11</f>
        <v>0</v>
      </c>
      <c r="BJ91" s="20">
        <f>BJ$7*SUM($H48:BJ48)*Deposits!$Q$11</f>
        <v>0</v>
      </c>
      <c r="BK91" s="20">
        <f>BK$7*SUM($H48:BK48)*Deposits!$Q$11</f>
        <v>0</v>
      </c>
      <c r="BL91" s="20">
        <f>BL$7*SUM($H48:BL48)*Deposits!$Q$11</f>
        <v>0</v>
      </c>
      <c r="BM91" s="20">
        <f>BM$7*SUM($H48:BM48)*Deposits!$Q$11</f>
        <v>0</v>
      </c>
      <c r="BN91" s="20">
        <f>BN$7*SUM($H48:BN48)*Deposits!$Q$11</f>
        <v>0</v>
      </c>
      <c r="BO91" s="20">
        <f>BO$7*SUM($H48:BO48)*Deposits!$Q$11</f>
        <v>0</v>
      </c>
      <c r="BP91" s="20">
        <f>BP$7*SUM($H48:BP48)*Deposits!$Q$11</f>
        <v>0</v>
      </c>
    </row>
    <row r="92" spans="3:68" x14ac:dyDescent="0.25">
      <c r="C92" s="74" t="str">
        <f t="shared" si="45"/>
        <v>Csatlakozási díj – közvetlen</v>
      </c>
      <c r="D92" t="s">
        <v>844</v>
      </c>
      <c r="E92" s="20"/>
      <c r="F92" s="20"/>
      <c r="G92" s="20">
        <f t="shared" si="46"/>
        <v>1392.7282301369862</v>
      </c>
      <c r="H92" s="20">
        <f>H$7*SUM($H49:H49)*Deposits!$Q$12</f>
        <v>0</v>
      </c>
      <c r="I92" s="20">
        <f>I$7*SUM($H49:I49)*Deposits!$Q$12</f>
        <v>0</v>
      </c>
      <c r="J92" s="20">
        <f>J$7*SUM($H49:J49)*Deposits!$Q$12</f>
        <v>0</v>
      </c>
      <c r="K92" s="20">
        <f>K$7*SUM($H49:K49)*Deposits!$Q$12</f>
        <v>0</v>
      </c>
      <c r="L92" s="20">
        <f>L$7*SUM($H49:L49)*Deposits!$Q$12</f>
        <v>0</v>
      </c>
      <c r="M92" s="20">
        <f>M$7*SUM($H49:M49)*Deposits!$Q$12</f>
        <v>0</v>
      </c>
      <c r="N92" s="20">
        <f>N$7*SUM($H49:N49)*Deposits!$Q$12</f>
        <v>0</v>
      </c>
      <c r="O92" s="20">
        <f>O$7*SUM($H49:O49)*Deposits!$Q$12</f>
        <v>0</v>
      </c>
      <c r="P92" s="20">
        <f>P$7*SUM($H49:P49)*Deposits!$Q$12</f>
        <v>0</v>
      </c>
      <c r="Q92" s="20">
        <f>Q$7*SUM($H49:Q49)*Deposits!$Q$12</f>
        <v>0</v>
      </c>
      <c r="R92" s="20">
        <f>R$7*SUM($H49:R49)*Deposits!$Q$12</f>
        <v>0</v>
      </c>
      <c r="S92" s="20">
        <f>S$7*SUM($H49:S49)*Deposits!$Q$12</f>
        <v>0</v>
      </c>
      <c r="T92" s="20">
        <f>T$7*SUM($H49:T49)*Deposits!$Q$12</f>
        <v>0</v>
      </c>
      <c r="U92" s="20">
        <f>U$7*SUM($H49:U49)*Deposits!$Q$12</f>
        <v>0</v>
      </c>
      <c r="V92" s="20">
        <f>V$7*SUM($H49:V49)*Deposits!$Q$12</f>
        <v>0</v>
      </c>
      <c r="W92" s="20">
        <f>W$7*SUM($H49:W49)*Deposits!$Q$12</f>
        <v>0</v>
      </c>
      <c r="X92" s="20">
        <f>X$7*SUM($H49:X49)*Deposits!$Q$12</f>
        <v>0</v>
      </c>
      <c r="Y92" s="20">
        <f>Y$7*SUM($H49:Y49)*Deposits!$Q$12</f>
        <v>0</v>
      </c>
      <c r="Z92" s="20">
        <f>Z$7*SUM($H49:Z49)*Deposits!$Q$12</f>
        <v>0</v>
      </c>
      <c r="AA92" s="20">
        <f>AA$7*SUM($H49:AA49)*Deposits!$Q$12</f>
        <v>0</v>
      </c>
      <c r="AB92" s="20">
        <f>AB$7*SUM($H49:AB49)*Deposits!$Q$12</f>
        <v>0</v>
      </c>
      <c r="AC92" s="20">
        <f>AC$7*SUM($H49:AC49)*Deposits!$Q$12</f>
        <v>0</v>
      </c>
      <c r="AD92" s="20">
        <f>AD$7*SUM($H49:AD49)*Deposits!$Q$12</f>
        <v>0</v>
      </c>
      <c r="AE92" s="20">
        <f>AE$7*SUM($H49:AE49)*Deposits!$Q$12</f>
        <v>0</v>
      </c>
      <c r="AF92" s="20">
        <f>AF$7*SUM($H49:AF49)*Deposits!$Q$12</f>
        <v>0</v>
      </c>
      <c r="AG92" s="20">
        <f>AG$7*SUM($H49:AG49)*Deposits!$Q$12</f>
        <v>0</v>
      </c>
      <c r="AH92" s="20">
        <f>AH$7*SUM($H49:AH49)*Deposits!$Q$12</f>
        <v>0</v>
      </c>
      <c r="AI92" s="20">
        <f>AI$7*SUM($H49:AI49)*Deposits!$Q$12</f>
        <v>0</v>
      </c>
      <c r="AJ92" s="20">
        <f>AJ$7*SUM($H49:AJ49)*Deposits!$Q$12</f>
        <v>0</v>
      </c>
      <c r="AK92" s="20">
        <f>AK$7*SUM($H49:AK49)*Deposits!$Q$12</f>
        <v>0</v>
      </c>
      <c r="AL92" s="20">
        <f>AL$7*SUM($H49:AL49)*Deposits!$Q$12</f>
        <v>0</v>
      </c>
      <c r="AM92" s="20">
        <f>AM$7*SUM($H49:AM49)*Deposits!$Q$12</f>
        <v>0</v>
      </c>
      <c r="AN92" s="20">
        <f>AN$7*SUM($H49:AN49)*Deposits!$Q$12</f>
        <v>0</v>
      </c>
      <c r="AO92" s="20">
        <f>AO$7*SUM($H49:AO49)*Deposits!$Q$12</f>
        <v>0</v>
      </c>
      <c r="AP92" s="20">
        <f>AP$7*SUM($H49:AP49)*Deposits!$Q$12</f>
        <v>0</v>
      </c>
      <c r="AQ92" s="20">
        <f>AQ$7*SUM($H49:AQ49)*Deposits!$Q$12</f>
        <v>0</v>
      </c>
      <c r="AR92" s="20">
        <f>AR$7*SUM($H49:AR49)*Deposits!$Q$12</f>
        <v>0</v>
      </c>
      <c r="AS92" s="20">
        <f>AS$7*SUM($H49:AS49)*Deposits!$Q$12</f>
        <v>0</v>
      </c>
      <c r="AT92" s="20">
        <f>AT$7*SUM($H49:AT49)*Deposits!$Q$12</f>
        <v>0</v>
      </c>
      <c r="AU92" s="20">
        <f>AU$7*SUM($H49:AU49)*Deposits!$Q$12</f>
        <v>0</v>
      </c>
      <c r="AV92" s="20">
        <f>AV$7*SUM($H49:AV49)*Deposits!$Q$12</f>
        <v>0</v>
      </c>
      <c r="AW92" s="20">
        <f>AW$7*SUM($H49:AW49)*Deposits!$Q$12</f>
        <v>0</v>
      </c>
      <c r="AX92" s="20">
        <f>AX$7*SUM($H49:AX49)*Deposits!$Q$12</f>
        <v>0</v>
      </c>
      <c r="AY92" s="20">
        <f>AY$7*SUM($H49:AY49)*Deposits!$Q$12</f>
        <v>0</v>
      </c>
      <c r="AZ92" s="20">
        <f>AZ$7*SUM($H49:AZ49)*Deposits!$Q$12</f>
        <v>1392.7282301369862</v>
      </c>
      <c r="BA92" s="20">
        <f>BA$7*SUM($H49:BA49)*Deposits!$Q$12</f>
        <v>0</v>
      </c>
      <c r="BB92" s="20">
        <f>BB$7*SUM($H49:BB49)*Deposits!$Q$12</f>
        <v>0</v>
      </c>
      <c r="BC92" s="20">
        <f>BC$7*SUM($H49:BC49)*Deposits!$Q$12</f>
        <v>0</v>
      </c>
      <c r="BD92" s="20">
        <f>BD$7*SUM($H49:BD49)*Deposits!$Q$12</f>
        <v>0</v>
      </c>
      <c r="BE92" s="20">
        <f>BE$7*SUM($H49:BE49)*Deposits!$Q$12</f>
        <v>0</v>
      </c>
      <c r="BF92" s="20">
        <f>BF$7*SUM($H49:BF49)*Deposits!$Q$12</f>
        <v>0</v>
      </c>
      <c r="BG92" s="20">
        <f>BG$7*SUM($H49:BG49)*Deposits!$Q$12</f>
        <v>0</v>
      </c>
      <c r="BH92" s="20">
        <f>BH$7*SUM($H49:BH49)*Deposits!$Q$12</f>
        <v>0</v>
      </c>
      <c r="BI92" s="20">
        <f>BI$7*SUM($H49:BI49)*Deposits!$Q$12</f>
        <v>0</v>
      </c>
      <c r="BJ92" s="20">
        <f>BJ$7*SUM($H49:BJ49)*Deposits!$Q$12</f>
        <v>0</v>
      </c>
      <c r="BK92" s="20">
        <f>BK$7*SUM($H49:BK49)*Deposits!$Q$12</f>
        <v>0</v>
      </c>
      <c r="BL92" s="20">
        <f>BL$7*SUM($H49:BL49)*Deposits!$Q$12</f>
        <v>0</v>
      </c>
      <c r="BM92" s="20">
        <f>BM$7*SUM($H49:BM49)*Deposits!$Q$12</f>
        <v>0</v>
      </c>
      <c r="BN92" s="20">
        <f>BN$7*SUM($H49:BN49)*Deposits!$Q$12</f>
        <v>0</v>
      </c>
      <c r="BO92" s="20">
        <f>BO$7*SUM($H49:BO49)*Deposits!$Q$12</f>
        <v>0</v>
      </c>
      <c r="BP92" s="20">
        <f>BP$7*SUM($H49:BP49)*Deposits!$Q$12</f>
        <v>0</v>
      </c>
    </row>
    <row r="93" spans="3:68" x14ac:dyDescent="0.25">
      <c r="C93" s="74" t="str">
        <f t="shared" si="45"/>
        <v>Kiegészítő biztosíték 1. részlet</v>
      </c>
      <c r="D93" t="s">
        <v>844</v>
      </c>
      <c r="E93" s="20"/>
      <c r="F93" s="20"/>
      <c r="G93" s="20">
        <f t="shared" si="46"/>
        <v>0</v>
      </c>
      <c r="H93" s="20">
        <f>H$7*SUM($H50:H50)*Deposits!$Q$13</f>
        <v>0</v>
      </c>
      <c r="I93" s="20">
        <f>I$7*SUM($H50:I50)*Deposits!$Q$13</f>
        <v>0</v>
      </c>
      <c r="J93" s="20">
        <f>J$7*SUM($H50:J50)*Deposits!$Q$13</f>
        <v>0</v>
      </c>
      <c r="K93" s="20">
        <f>K$7*SUM($H50:K50)*Deposits!$Q$13</f>
        <v>0</v>
      </c>
      <c r="L93" s="20">
        <f>L$7*SUM($H50:L50)*Deposits!$Q$13</f>
        <v>0</v>
      </c>
      <c r="M93" s="20">
        <f>M$7*SUM($H50:M50)*Deposits!$Q$13</f>
        <v>0</v>
      </c>
      <c r="N93" s="20">
        <f>N$7*SUM($H50:N50)*Deposits!$Q$13</f>
        <v>0</v>
      </c>
      <c r="O93" s="20">
        <f>O$7*SUM($H50:O50)*Deposits!$Q$13</f>
        <v>0</v>
      </c>
      <c r="P93" s="20">
        <f>P$7*SUM($H50:P50)*Deposits!$Q$13</f>
        <v>0</v>
      </c>
      <c r="Q93" s="20">
        <f>Q$7*SUM($H50:Q50)*Deposits!$Q$13</f>
        <v>0</v>
      </c>
      <c r="R93" s="20">
        <f>R$7*SUM($H50:R50)*Deposits!$Q$13</f>
        <v>0</v>
      </c>
      <c r="S93" s="20">
        <f>S$7*SUM($H50:S50)*Deposits!$Q$13</f>
        <v>0</v>
      </c>
      <c r="T93" s="20">
        <f>T$7*SUM($H50:T50)*Deposits!$Q$13</f>
        <v>0</v>
      </c>
      <c r="U93" s="20">
        <f>U$7*SUM($H50:U50)*Deposits!$Q$13</f>
        <v>0</v>
      </c>
      <c r="V93" s="20">
        <f>V$7*SUM($H50:V50)*Deposits!$Q$13</f>
        <v>0</v>
      </c>
      <c r="W93" s="20">
        <f>W$7*SUM($H50:W50)*Deposits!$Q$13</f>
        <v>0</v>
      </c>
      <c r="X93" s="20">
        <f>X$7*SUM($H50:X50)*Deposits!$Q$13</f>
        <v>0</v>
      </c>
      <c r="Y93" s="20">
        <f>Y$7*SUM($H50:Y50)*Deposits!$Q$13</f>
        <v>0</v>
      </c>
      <c r="Z93" s="20">
        <f>Z$7*SUM($H50:Z50)*Deposits!$Q$13</f>
        <v>0</v>
      </c>
      <c r="AA93" s="20">
        <f>AA$7*SUM($H50:AA50)*Deposits!$Q$13</f>
        <v>0</v>
      </c>
      <c r="AB93" s="20">
        <f>AB$7*SUM($H50:AB50)*Deposits!$Q$13</f>
        <v>0</v>
      </c>
      <c r="AC93" s="20">
        <f>AC$7*SUM($H50:AC50)*Deposits!$Q$13</f>
        <v>0</v>
      </c>
      <c r="AD93" s="20">
        <f>AD$7*SUM($H50:AD50)*Deposits!$Q$13</f>
        <v>0</v>
      </c>
      <c r="AE93" s="20">
        <f>AE$7*SUM($H50:AE50)*Deposits!$Q$13</f>
        <v>0</v>
      </c>
      <c r="AF93" s="20">
        <f>AF$7*SUM($H50:AF50)*Deposits!$Q$13</f>
        <v>0</v>
      </c>
      <c r="AG93" s="20">
        <f>AG$7*SUM($H50:AG50)*Deposits!$Q$13</f>
        <v>0</v>
      </c>
      <c r="AH93" s="20">
        <f>AH$7*SUM($H50:AH50)*Deposits!$Q$13</f>
        <v>0</v>
      </c>
      <c r="AI93" s="20">
        <f>AI$7*SUM($H50:AI50)*Deposits!$Q$13</f>
        <v>0</v>
      </c>
      <c r="AJ93" s="20">
        <f>AJ$7*SUM($H50:AJ50)*Deposits!$Q$13</f>
        <v>0</v>
      </c>
      <c r="AK93" s="20">
        <f>AK$7*SUM($H50:AK50)*Deposits!$Q$13</f>
        <v>0</v>
      </c>
      <c r="AL93" s="20">
        <f>AL$7*SUM($H50:AL50)*Deposits!$Q$13</f>
        <v>0</v>
      </c>
      <c r="AM93" s="20">
        <f>AM$7*SUM($H50:AM50)*Deposits!$Q$13</f>
        <v>0</v>
      </c>
      <c r="AN93" s="20">
        <f>AN$7*SUM($H50:AN50)*Deposits!$Q$13</f>
        <v>0</v>
      </c>
      <c r="AO93" s="20">
        <f>AO$7*SUM($H50:AO50)*Deposits!$Q$13</f>
        <v>0</v>
      </c>
      <c r="AP93" s="20">
        <f>AP$7*SUM($H50:AP50)*Deposits!$Q$13</f>
        <v>0</v>
      </c>
      <c r="AQ93" s="20">
        <f>AQ$7*SUM($H50:AQ50)*Deposits!$Q$13</f>
        <v>0</v>
      </c>
      <c r="AR93" s="20">
        <f>AR$7*SUM($H50:AR50)*Deposits!$Q$13</f>
        <v>0</v>
      </c>
      <c r="AS93" s="20">
        <f>AS$7*SUM($H50:AS50)*Deposits!$Q$13</f>
        <v>0</v>
      </c>
      <c r="AT93" s="20">
        <f>AT$7*SUM($H50:AT50)*Deposits!$Q$13</f>
        <v>0</v>
      </c>
      <c r="AU93" s="20">
        <f>AU$7*SUM($H50:AU50)*Deposits!$Q$13</f>
        <v>0</v>
      </c>
      <c r="AV93" s="20">
        <f>AV$7*SUM($H50:AV50)*Deposits!$Q$13</f>
        <v>0</v>
      </c>
      <c r="AW93" s="20">
        <f>AW$7*SUM($H50:AW50)*Deposits!$Q$13</f>
        <v>0</v>
      </c>
      <c r="AX93" s="20">
        <f>AX$7*SUM($H50:AX50)*Deposits!$Q$13</f>
        <v>0</v>
      </c>
      <c r="AY93" s="20">
        <f>AY$7*SUM($H50:AY50)*Deposits!$Q$13</f>
        <v>0</v>
      </c>
      <c r="AZ93" s="20">
        <f>AZ$7*SUM($H50:AZ50)*Deposits!$Q$13</f>
        <v>0</v>
      </c>
      <c r="BA93" s="20">
        <f>BA$7*SUM($H50:BA50)*Deposits!$Q$13</f>
        <v>0</v>
      </c>
      <c r="BB93" s="20">
        <f>BB$7*SUM($H50:BB50)*Deposits!$Q$13</f>
        <v>0</v>
      </c>
      <c r="BC93" s="20">
        <f>BC$7*SUM($H50:BC50)*Deposits!$Q$13</f>
        <v>0</v>
      </c>
      <c r="BD93" s="20">
        <f>BD$7*SUM($H50:BD50)*Deposits!$Q$13</f>
        <v>0</v>
      </c>
      <c r="BE93" s="20">
        <f>BE$7*SUM($H50:BE50)*Deposits!$Q$13</f>
        <v>0</v>
      </c>
      <c r="BF93" s="20">
        <f>BF$7*SUM($H50:BF50)*Deposits!$Q$13</f>
        <v>0</v>
      </c>
      <c r="BG93" s="20">
        <f>BG$7*SUM($H50:BG50)*Deposits!$Q$13</f>
        <v>0</v>
      </c>
      <c r="BH93" s="20">
        <f>BH$7*SUM($H50:BH50)*Deposits!$Q$13</f>
        <v>0</v>
      </c>
      <c r="BI93" s="20">
        <f>BI$7*SUM($H50:BI50)*Deposits!$Q$13</f>
        <v>0</v>
      </c>
      <c r="BJ93" s="20">
        <f>BJ$7*SUM($H50:BJ50)*Deposits!$Q$13</f>
        <v>0</v>
      </c>
      <c r="BK93" s="20">
        <f>BK$7*SUM($H50:BK50)*Deposits!$Q$13</f>
        <v>0</v>
      </c>
      <c r="BL93" s="20">
        <f>BL$7*SUM($H50:BL50)*Deposits!$Q$13</f>
        <v>0</v>
      </c>
      <c r="BM93" s="20">
        <f>BM$7*SUM($H50:BM50)*Deposits!$Q$13</f>
        <v>0</v>
      </c>
      <c r="BN93" s="20">
        <f>BN$7*SUM($H50:BN50)*Deposits!$Q$13</f>
        <v>0</v>
      </c>
      <c r="BO93" s="20">
        <f>BO$7*SUM($H50:BO50)*Deposits!$Q$13</f>
        <v>0</v>
      </c>
      <c r="BP93" s="20">
        <f>BP$7*SUM($H50:BP50)*Deposits!$Q$13</f>
        <v>0</v>
      </c>
    </row>
    <row r="94" spans="3:68" x14ac:dyDescent="0.25">
      <c r="C94" s="74" t="str">
        <f t="shared" si="45"/>
        <v>Kiegészítő biztosíték 2. részlet</v>
      </c>
      <c r="D94" t="s">
        <v>844</v>
      </c>
      <c r="E94" s="20"/>
      <c r="F94" s="20"/>
      <c r="G94" s="20">
        <f t="shared" si="46"/>
        <v>0</v>
      </c>
      <c r="H94" s="20">
        <f>H$7*SUM($H51:H51)*Deposits!$Q$14</f>
        <v>0</v>
      </c>
      <c r="I94" s="20">
        <f>I$7*SUM($H51:I51)*Deposits!$Q$14</f>
        <v>0</v>
      </c>
      <c r="J94" s="20">
        <f>J$7*SUM($H51:J51)*Deposits!$Q$14</f>
        <v>0</v>
      </c>
      <c r="K94" s="20">
        <f>K$7*SUM($H51:K51)*Deposits!$Q$14</f>
        <v>0</v>
      </c>
      <c r="L94" s="20">
        <f>L$7*SUM($H51:L51)*Deposits!$Q$14</f>
        <v>0</v>
      </c>
      <c r="M94" s="20">
        <f>M$7*SUM($H51:M51)*Deposits!$Q$14</f>
        <v>0</v>
      </c>
      <c r="N94" s="20">
        <f>N$7*SUM($H51:N51)*Deposits!$Q$14</f>
        <v>0</v>
      </c>
      <c r="O94" s="20">
        <f>O$7*SUM($H51:O51)*Deposits!$Q$14</f>
        <v>0</v>
      </c>
      <c r="P94" s="20">
        <f>P$7*SUM($H51:P51)*Deposits!$Q$14</f>
        <v>0</v>
      </c>
      <c r="Q94" s="20">
        <f>Q$7*SUM($H51:Q51)*Deposits!$Q$14</f>
        <v>0</v>
      </c>
      <c r="R94" s="20">
        <f>R$7*SUM($H51:R51)*Deposits!$Q$14</f>
        <v>0</v>
      </c>
      <c r="S94" s="20">
        <f>S$7*SUM($H51:S51)*Deposits!$Q$14</f>
        <v>0</v>
      </c>
      <c r="T94" s="20">
        <f>T$7*SUM($H51:T51)*Deposits!$Q$14</f>
        <v>0</v>
      </c>
      <c r="U94" s="20">
        <f>U$7*SUM($H51:U51)*Deposits!$Q$14</f>
        <v>0</v>
      </c>
      <c r="V94" s="20">
        <f>V$7*SUM($H51:V51)*Deposits!$Q$14</f>
        <v>0</v>
      </c>
      <c r="W94" s="20">
        <f>W$7*SUM($H51:W51)*Deposits!$Q$14</f>
        <v>0</v>
      </c>
      <c r="X94" s="20">
        <f>X$7*SUM($H51:X51)*Deposits!$Q$14</f>
        <v>0</v>
      </c>
      <c r="Y94" s="20">
        <f>Y$7*SUM($H51:Y51)*Deposits!$Q$14</f>
        <v>0</v>
      </c>
      <c r="Z94" s="20">
        <f>Z$7*SUM($H51:Z51)*Deposits!$Q$14</f>
        <v>0</v>
      </c>
      <c r="AA94" s="20">
        <f>AA$7*SUM($H51:AA51)*Deposits!$Q$14</f>
        <v>0</v>
      </c>
      <c r="AB94" s="20">
        <f>AB$7*SUM($H51:AB51)*Deposits!$Q$14</f>
        <v>0</v>
      </c>
      <c r="AC94" s="20">
        <f>AC$7*SUM($H51:AC51)*Deposits!$Q$14</f>
        <v>0</v>
      </c>
      <c r="AD94" s="20">
        <f>AD$7*SUM($H51:AD51)*Deposits!$Q$14</f>
        <v>0</v>
      </c>
      <c r="AE94" s="20">
        <f>AE$7*SUM($H51:AE51)*Deposits!$Q$14</f>
        <v>0</v>
      </c>
      <c r="AF94" s="20">
        <f>AF$7*SUM($H51:AF51)*Deposits!$Q$14</f>
        <v>0</v>
      </c>
      <c r="AG94" s="20">
        <f>AG$7*SUM($H51:AG51)*Deposits!$Q$14</f>
        <v>0</v>
      </c>
      <c r="AH94" s="20">
        <f>AH$7*SUM($H51:AH51)*Deposits!$Q$14</f>
        <v>0</v>
      </c>
      <c r="AI94" s="20">
        <f>AI$7*SUM($H51:AI51)*Deposits!$Q$14</f>
        <v>0</v>
      </c>
      <c r="AJ94" s="20">
        <f>AJ$7*SUM($H51:AJ51)*Deposits!$Q$14</f>
        <v>0</v>
      </c>
      <c r="AK94" s="20">
        <f>AK$7*SUM($H51:AK51)*Deposits!$Q$14</f>
        <v>0</v>
      </c>
      <c r="AL94" s="20">
        <f>AL$7*SUM($H51:AL51)*Deposits!$Q$14</f>
        <v>0</v>
      </c>
      <c r="AM94" s="20">
        <f>AM$7*SUM($H51:AM51)*Deposits!$Q$14</f>
        <v>0</v>
      </c>
      <c r="AN94" s="20">
        <f>AN$7*SUM($H51:AN51)*Deposits!$Q$14</f>
        <v>0</v>
      </c>
      <c r="AO94" s="20">
        <f>AO$7*SUM($H51:AO51)*Deposits!$Q$14</f>
        <v>0</v>
      </c>
      <c r="AP94" s="20">
        <f>AP$7*SUM($H51:AP51)*Deposits!$Q$14</f>
        <v>0</v>
      </c>
      <c r="AQ94" s="20">
        <f>AQ$7*SUM($H51:AQ51)*Deposits!$Q$14</f>
        <v>0</v>
      </c>
      <c r="AR94" s="20">
        <f>AR$7*SUM($H51:AR51)*Deposits!$Q$14</f>
        <v>0</v>
      </c>
      <c r="AS94" s="20">
        <f>AS$7*SUM($H51:AS51)*Deposits!$Q$14</f>
        <v>0</v>
      </c>
      <c r="AT94" s="20">
        <f>AT$7*SUM($H51:AT51)*Deposits!$Q$14</f>
        <v>0</v>
      </c>
      <c r="AU94" s="20">
        <f>AU$7*SUM($H51:AU51)*Deposits!$Q$14</f>
        <v>0</v>
      </c>
      <c r="AV94" s="20">
        <f>AV$7*SUM($H51:AV51)*Deposits!$Q$14</f>
        <v>0</v>
      </c>
      <c r="AW94" s="20">
        <f>AW$7*SUM($H51:AW51)*Deposits!$Q$14</f>
        <v>0</v>
      </c>
      <c r="AX94" s="20">
        <f>AX$7*SUM($H51:AX51)*Deposits!$Q$14</f>
        <v>0</v>
      </c>
      <c r="AY94" s="20">
        <f>AY$7*SUM($H51:AY51)*Deposits!$Q$14</f>
        <v>0</v>
      </c>
      <c r="AZ94" s="20">
        <f>AZ$7*SUM($H51:AZ51)*Deposits!$Q$14</f>
        <v>0</v>
      </c>
      <c r="BA94" s="20">
        <f>BA$7*SUM($H51:BA51)*Deposits!$Q$14</f>
        <v>0</v>
      </c>
      <c r="BB94" s="20">
        <f>BB$7*SUM($H51:BB51)*Deposits!$Q$14</f>
        <v>0</v>
      </c>
      <c r="BC94" s="20">
        <f>BC$7*SUM($H51:BC51)*Deposits!$Q$14</f>
        <v>0</v>
      </c>
      <c r="BD94" s="20">
        <f>BD$7*SUM($H51:BD51)*Deposits!$Q$14</f>
        <v>0</v>
      </c>
      <c r="BE94" s="20">
        <f>BE$7*SUM($H51:BE51)*Deposits!$Q$14</f>
        <v>0</v>
      </c>
      <c r="BF94" s="20">
        <f>BF$7*SUM($H51:BF51)*Deposits!$Q$14</f>
        <v>0</v>
      </c>
      <c r="BG94" s="20">
        <f>BG$7*SUM($H51:BG51)*Deposits!$Q$14</f>
        <v>0</v>
      </c>
      <c r="BH94" s="20">
        <f>BH$7*SUM($H51:BH51)*Deposits!$Q$14</f>
        <v>0</v>
      </c>
      <c r="BI94" s="20">
        <f>BI$7*SUM($H51:BI51)*Deposits!$Q$14</f>
        <v>0</v>
      </c>
      <c r="BJ94" s="20">
        <f>BJ$7*SUM($H51:BJ51)*Deposits!$Q$14</f>
        <v>0</v>
      </c>
      <c r="BK94" s="20">
        <f>BK$7*SUM($H51:BK51)*Deposits!$Q$14</f>
        <v>0</v>
      </c>
      <c r="BL94" s="20">
        <f>BL$7*SUM($H51:BL51)*Deposits!$Q$14</f>
        <v>0</v>
      </c>
      <c r="BM94" s="20">
        <f>BM$7*SUM($H51:BM51)*Deposits!$Q$14</f>
        <v>0</v>
      </c>
      <c r="BN94" s="20">
        <f>BN$7*SUM($H51:BN51)*Deposits!$Q$14</f>
        <v>0</v>
      </c>
      <c r="BO94" s="20">
        <f>BO$7*SUM($H51:BO51)*Deposits!$Q$14</f>
        <v>0</v>
      </c>
      <c r="BP94" s="20">
        <f>BP$7*SUM($H51:BP51)*Deposits!$Q$14</f>
        <v>0</v>
      </c>
    </row>
    <row r="95" spans="3:68" x14ac:dyDescent="0.25">
      <c r="C95" s="74" t="str">
        <f t="shared" si="45"/>
        <v>Kiegészítő biztosíték visszautalás építési engedély megszerzésekor</v>
      </c>
      <c r="D95" t="s">
        <v>844</v>
      </c>
      <c r="E95" s="20"/>
      <c r="F95" s="20"/>
      <c r="G95" s="20">
        <f t="shared" si="46"/>
        <v>0</v>
      </c>
      <c r="H95" s="20">
        <f>H$7*SUM($H52:H52)*Deposits!$Q$15</f>
        <v>0</v>
      </c>
      <c r="I95" s="20">
        <f>I$7*SUM($H52:I52)*Deposits!$Q$15</f>
        <v>0</v>
      </c>
      <c r="J95" s="20">
        <f>J$7*SUM($H52:J52)*Deposits!$Q$15</f>
        <v>0</v>
      </c>
      <c r="K95" s="20">
        <f>K$7*SUM($H52:K52)*Deposits!$Q$15</f>
        <v>0</v>
      </c>
      <c r="L95" s="20">
        <f>L$7*SUM($H52:L52)*Deposits!$Q$15</f>
        <v>0</v>
      </c>
      <c r="M95" s="20">
        <f>M$7*SUM($H52:M52)*Deposits!$Q$15</f>
        <v>0</v>
      </c>
      <c r="N95" s="20">
        <f>N$7*SUM($H52:N52)*Deposits!$Q$15</f>
        <v>0</v>
      </c>
      <c r="O95" s="20">
        <f>O$7*SUM($H52:O52)*Deposits!$Q$15</f>
        <v>0</v>
      </c>
      <c r="P95" s="20">
        <f>P$7*SUM($H52:P52)*Deposits!$Q$15</f>
        <v>0</v>
      </c>
      <c r="Q95" s="20">
        <f>Q$7*SUM($H52:Q52)*Deposits!$Q$15</f>
        <v>0</v>
      </c>
      <c r="R95" s="20">
        <f>R$7*SUM($H52:R52)*Deposits!$Q$15</f>
        <v>0</v>
      </c>
      <c r="S95" s="20">
        <f>S$7*SUM($H52:S52)*Deposits!$Q$15</f>
        <v>0</v>
      </c>
      <c r="T95" s="20">
        <f>T$7*SUM($H52:T52)*Deposits!$Q$15</f>
        <v>0</v>
      </c>
      <c r="U95" s="20">
        <f>U$7*SUM($H52:U52)*Deposits!$Q$15</f>
        <v>0</v>
      </c>
      <c r="V95" s="20">
        <f>V$7*SUM($H52:V52)*Deposits!$Q$15</f>
        <v>0</v>
      </c>
      <c r="W95" s="20">
        <f>W$7*SUM($H52:W52)*Deposits!$Q$15</f>
        <v>0</v>
      </c>
      <c r="X95" s="20">
        <f>X$7*SUM($H52:X52)*Deposits!$Q$15</f>
        <v>0</v>
      </c>
      <c r="Y95" s="20">
        <f>Y$7*SUM($H52:Y52)*Deposits!$Q$15</f>
        <v>0</v>
      </c>
      <c r="Z95" s="20">
        <f>Z$7*SUM($H52:Z52)*Deposits!$Q$15</f>
        <v>0</v>
      </c>
      <c r="AA95" s="20">
        <f>AA$7*SUM($H52:AA52)*Deposits!$Q$15</f>
        <v>0</v>
      </c>
      <c r="AB95" s="20">
        <f>AB$7*SUM($H52:AB52)*Deposits!$Q$15</f>
        <v>0</v>
      </c>
      <c r="AC95" s="20">
        <f>AC$7*SUM($H52:AC52)*Deposits!$Q$15</f>
        <v>0</v>
      </c>
      <c r="AD95" s="20">
        <f>AD$7*SUM($H52:AD52)*Deposits!$Q$15</f>
        <v>0</v>
      </c>
      <c r="AE95" s="20">
        <f>AE$7*SUM($H52:AE52)*Deposits!$Q$15</f>
        <v>0</v>
      </c>
      <c r="AF95" s="20">
        <f>AF$7*SUM($H52:AF52)*Deposits!$Q$15</f>
        <v>0</v>
      </c>
      <c r="AG95" s="20">
        <f>AG$7*SUM($H52:AG52)*Deposits!$Q$15</f>
        <v>0</v>
      </c>
      <c r="AH95" s="20">
        <f>AH$7*SUM($H52:AH52)*Deposits!$Q$15</f>
        <v>0</v>
      </c>
      <c r="AI95" s="20">
        <f>AI$7*SUM($H52:AI52)*Deposits!$Q$15</f>
        <v>0</v>
      </c>
      <c r="AJ95" s="20">
        <f>AJ$7*SUM($H52:AJ52)*Deposits!$Q$15</f>
        <v>0</v>
      </c>
      <c r="AK95" s="20">
        <f>AK$7*SUM($H52:AK52)*Deposits!$Q$15</f>
        <v>0</v>
      </c>
      <c r="AL95" s="20">
        <f>AL$7*SUM($H52:AL52)*Deposits!$Q$15</f>
        <v>0</v>
      </c>
      <c r="AM95" s="20">
        <f>AM$7*SUM($H52:AM52)*Deposits!$Q$15</f>
        <v>0</v>
      </c>
      <c r="AN95" s="20">
        <f>AN$7*SUM($H52:AN52)*Deposits!$Q$15</f>
        <v>0</v>
      </c>
      <c r="AO95" s="20">
        <f>AO$7*SUM($H52:AO52)*Deposits!$Q$15</f>
        <v>0</v>
      </c>
      <c r="AP95" s="20">
        <f>AP$7*SUM($H52:AP52)*Deposits!$Q$15</f>
        <v>0</v>
      </c>
      <c r="AQ95" s="20">
        <f>AQ$7*SUM($H52:AQ52)*Deposits!$Q$15</f>
        <v>0</v>
      </c>
      <c r="AR95" s="20">
        <f>AR$7*SUM($H52:AR52)*Deposits!$Q$15</f>
        <v>0</v>
      </c>
      <c r="AS95" s="20">
        <f>AS$7*SUM($H52:AS52)*Deposits!$Q$15</f>
        <v>0</v>
      </c>
      <c r="AT95" s="20">
        <f>AT$7*SUM($H52:AT52)*Deposits!$Q$15</f>
        <v>0</v>
      </c>
      <c r="AU95" s="20">
        <f>AU$7*SUM($H52:AU52)*Deposits!$Q$15</f>
        <v>0</v>
      </c>
      <c r="AV95" s="20">
        <f>AV$7*SUM($H52:AV52)*Deposits!$Q$15</f>
        <v>0</v>
      </c>
      <c r="AW95" s="20">
        <f>AW$7*SUM($H52:AW52)*Deposits!$Q$15</f>
        <v>0</v>
      </c>
      <c r="AX95" s="20">
        <f>AX$7*SUM($H52:AX52)*Deposits!$Q$15</f>
        <v>0</v>
      </c>
      <c r="AY95" s="20">
        <f>AY$7*SUM($H52:AY52)*Deposits!$Q$15</f>
        <v>0</v>
      </c>
      <c r="AZ95" s="20">
        <f>AZ$7*SUM($H52:AZ52)*Deposits!$Q$15</f>
        <v>0</v>
      </c>
      <c r="BA95" s="20">
        <f>BA$7*SUM($H52:BA52)*Deposits!$Q$15</f>
        <v>0</v>
      </c>
      <c r="BB95" s="20">
        <f>BB$7*SUM($H52:BB52)*Deposits!$Q$15</f>
        <v>0</v>
      </c>
      <c r="BC95" s="20">
        <f>BC$7*SUM($H52:BC52)*Deposits!$Q$15</f>
        <v>0</v>
      </c>
      <c r="BD95" s="20">
        <f>BD$7*SUM($H52:BD52)*Deposits!$Q$15</f>
        <v>0</v>
      </c>
      <c r="BE95" s="20">
        <f>BE$7*SUM($H52:BE52)*Deposits!$Q$15</f>
        <v>0</v>
      </c>
      <c r="BF95" s="20">
        <f>BF$7*SUM($H52:BF52)*Deposits!$Q$15</f>
        <v>0</v>
      </c>
      <c r="BG95" s="20">
        <f>BG$7*SUM($H52:BG52)*Deposits!$Q$15</f>
        <v>0</v>
      </c>
      <c r="BH95" s="20">
        <f>BH$7*SUM($H52:BH52)*Deposits!$Q$15</f>
        <v>0</v>
      </c>
      <c r="BI95" s="20">
        <f>BI$7*SUM($H52:BI52)*Deposits!$Q$15</f>
        <v>0</v>
      </c>
      <c r="BJ95" s="20">
        <f>BJ$7*SUM($H52:BJ52)*Deposits!$Q$15</f>
        <v>0</v>
      </c>
      <c r="BK95" s="20">
        <f>BK$7*SUM($H52:BK52)*Deposits!$Q$15</f>
        <v>0</v>
      </c>
      <c r="BL95" s="20">
        <f>BL$7*SUM($H52:BL52)*Deposits!$Q$15</f>
        <v>0</v>
      </c>
      <c r="BM95" s="20">
        <f>BM$7*SUM($H52:BM52)*Deposits!$Q$15</f>
        <v>0</v>
      </c>
      <c r="BN95" s="20">
        <f>BN$7*SUM($H52:BN52)*Deposits!$Q$15</f>
        <v>0</v>
      </c>
      <c r="BO95" s="20">
        <f>BO$7*SUM($H52:BO52)*Deposits!$Q$15</f>
        <v>0</v>
      </c>
      <c r="BP95" s="20">
        <f>BP$7*SUM($H52:BP52)*Deposits!$Q$15</f>
        <v>0</v>
      </c>
    </row>
    <row r="96" spans="3:68" x14ac:dyDescent="0.25">
      <c r="C96" s="74" t="str">
        <f t="shared" si="45"/>
        <v>Kiegészítő biztosíték 3. részlet</v>
      </c>
      <c r="D96" t="s">
        <v>844</v>
      </c>
      <c r="E96" s="20"/>
      <c r="F96" s="20"/>
      <c r="G96" s="20">
        <f t="shared" si="46"/>
        <v>0</v>
      </c>
      <c r="H96" s="20">
        <f>H$7*SUM($H53:H53)*Deposits!$Q$16</f>
        <v>0</v>
      </c>
      <c r="I96" s="20">
        <f>I$7*SUM($H53:I53)*Deposits!$Q$16</f>
        <v>0</v>
      </c>
      <c r="J96" s="20">
        <f>J$7*SUM($H53:J53)*Deposits!$Q$16</f>
        <v>0</v>
      </c>
      <c r="K96" s="20">
        <f>K$7*SUM($H53:K53)*Deposits!$Q$16</f>
        <v>0</v>
      </c>
      <c r="L96" s="20">
        <f>L$7*SUM($H53:L53)*Deposits!$Q$16</f>
        <v>0</v>
      </c>
      <c r="M96" s="20">
        <f>M$7*SUM($H53:M53)*Deposits!$Q$16</f>
        <v>0</v>
      </c>
      <c r="N96" s="20">
        <f>N$7*SUM($H53:N53)*Deposits!$Q$16</f>
        <v>0</v>
      </c>
      <c r="O96" s="20">
        <f>O$7*SUM($H53:O53)*Deposits!$Q$16</f>
        <v>0</v>
      </c>
      <c r="P96" s="20">
        <f>P$7*SUM($H53:P53)*Deposits!$Q$16</f>
        <v>0</v>
      </c>
      <c r="Q96" s="20">
        <f>Q$7*SUM($H53:Q53)*Deposits!$Q$16</f>
        <v>0</v>
      </c>
      <c r="R96" s="20">
        <f>R$7*SUM($H53:R53)*Deposits!$Q$16</f>
        <v>0</v>
      </c>
      <c r="S96" s="20">
        <f>S$7*SUM($H53:S53)*Deposits!$Q$16</f>
        <v>0</v>
      </c>
      <c r="T96" s="20">
        <f>T$7*SUM($H53:T53)*Deposits!$Q$16</f>
        <v>0</v>
      </c>
      <c r="U96" s="20">
        <f>U$7*SUM($H53:U53)*Deposits!$Q$16</f>
        <v>0</v>
      </c>
      <c r="V96" s="20">
        <f>V$7*SUM($H53:V53)*Deposits!$Q$16</f>
        <v>0</v>
      </c>
      <c r="W96" s="20">
        <f>W$7*SUM($H53:W53)*Deposits!$Q$16</f>
        <v>0</v>
      </c>
      <c r="X96" s="20">
        <f>X$7*SUM($H53:X53)*Deposits!$Q$16</f>
        <v>0</v>
      </c>
      <c r="Y96" s="20">
        <f>Y$7*SUM($H53:Y53)*Deposits!$Q$16</f>
        <v>0</v>
      </c>
      <c r="Z96" s="20">
        <f>Z$7*SUM($H53:Z53)*Deposits!$Q$16</f>
        <v>0</v>
      </c>
      <c r="AA96" s="20">
        <f>AA$7*SUM($H53:AA53)*Deposits!$Q$16</f>
        <v>0</v>
      </c>
      <c r="AB96" s="20">
        <f>AB$7*SUM($H53:AB53)*Deposits!$Q$16</f>
        <v>0</v>
      </c>
      <c r="AC96" s="20">
        <f>AC$7*SUM($H53:AC53)*Deposits!$Q$16</f>
        <v>0</v>
      </c>
      <c r="AD96" s="20">
        <f>AD$7*SUM($H53:AD53)*Deposits!$Q$16</f>
        <v>0</v>
      </c>
      <c r="AE96" s="20">
        <f>AE$7*SUM($H53:AE53)*Deposits!$Q$16</f>
        <v>0</v>
      </c>
      <c r="AF96" s="20">
        <f>AF$7*SUM($H53:AF53)*Deposits!$Q$16</f>
        <v>0</v>
      </c>
      <c r="AG96" s="20">
        <f>AG$7*SUM($H53:AG53)*Deposits!$Q$16</f>
        <v>0</v>
      </c>
      <c r="AH96" s="20">
        <f>AH$7*SUM($H53:AH53)*Deposits!$Q$16</f>
        <v>0</v>
      </c>
      <c r="AI96" s="20">
        <f>AI$7*SUM($H53:AI53)*Deposits!$Q$16</f>
        <v>0</v>
      </c>
      <c r="AJ96" s="20">
        <f>AJ$7*SUM($H53:AJ53)*Deposits!$Q$16</f>
        <v>0</v>
      </c>
      <c r="AK96" s="20">
        <f>AK$7*SUM($H53:AK53)*Deposits!$Q$16</f>
        <v>0</v>
      </c>
      <c r="AL96" s="20">
        <f>AL$7*SUM($H53:AL53)*Deposits!$Q$16</f>
        <v>0</v>
      </c>
      <c r="AM96" s="20">
        <f>AM$7*SUM($H53:AM53)*Deposits!$Q$16</f>
        <v>0</v>
      </c>
      <c r="AN96" s="20">
        <f>AN$7*SUM($H53:AN53)*Deposits!$Q$16</f>
        <v>0</v>
      </c>
      <c r="AO96" s="20">
        <f>AO$7*SUM($H53:AO53)*Deposits!$Q$16</f>
        <v>0</v>
      </c>
      <c r="AP96" s="20">
        <f>AP$7*SUM($H53:AP53)*Deposits!$Q$16</f>
        <v>0</v>
      </c>
      <c r="AQ96" s="20">
        <f>AQ$7*SUM($H53:AQ53)*Deposits!$Q$16</f>
        <v>0</v>
      </c>
      <c r="AR96" s="20">
        <f>AR$7*SUM($H53:AR53)*Deposits!$Q$16</f>
        <v>0</v>
      </c>
      <c r="AS96" s="20">
        <f>AS$7*SUM($H53:AS53)*Deposits!$Q$16</f>
        <v>0</v>
      </c>
      <c r="AT96" s="20">
        <f>AT$7*SUM($H53:AT53)*Deposits!$Q$16</f>
        <v>0</v>
      </c>
      <c r="AU96" s="20">
        <f>AU$7*SUM($H53:AU53)*Deposits!$Q$16</f>
        <v>0</v>
      </c>
      <c r="AV96" s="20">
        <f>AV$7*SUM($H53:AV53)*Deposits!$Q$16</f>
        <v>0</v>
      </c>
      <c r="AW96" s="20">
        <f>AW$7*SUM($H53:AW53)*Deposits!$Q$16</f>
        <v>0</v>
      </c>
      <c r="AX96" s="20">
        <f>AX$7*SUM($H53:AX53)*Deposits!$Q$16</f>
        <v>0</v>
      </c>
      <c r="AY96" s="20">
        <f>AY$7*SUM($H53:AY53)*Deposits!$Q$16</f>
        <v>0</v>
      </c>
      <c r="AZ96" s="20">
        <f>AZ$7*SUM($H53:AZ53)*Deposits!$Q$16</f>
        <v>0</v>
      </c>
      <c r="BA96" s="20">
        <f>BA$7*SUM($H53:BA53)*Deposits!$Q$16</f>
        <v>0</v>
      </c>
      <c r="BB96" s="20">
        <f>BB$7*SUM($H53:BB53)*Deposits!$Q$16</f>
        <v>0</v>
      </c>
      <c r="BC96" s="20">
        <f>BC$7*SUM($H53:BC53)*Deposits!$Q$16</f>
        <v>0</v>
      </c>
      <c r="BD96" s="20">
        <f>BD$7*SUM($H53:BD53)*Deposits!$Q$16</f>
        <v>0</v>
      </c>
      <c r="BE96" s="20">
        <f>BE$7*SUM($H53:BE53)*Deposits!$Q$16</f>
        <v>0</v>
      </c>
      <c r="BF96" s="20">
        <f>BF$7*SUM($H53:BF53)*Deposits!$Q$16</f>
        <v>0</v>
      </c>
      <c r="BG96" s="20">
        <f>BG$7*SUM($H53:BG53)*Deposits!$Q$16</f>
        <v>0</v>
      </c>
      <c r="BH96" s="20">
        <f>BH$7*SUM($H53:BH53)*Deposits!$Q$16</f>
        <v>0</v>
      </c>
      <c r="BI96" s="20">
        <f>BI$7*SUM($H53:BI53)*Deposits!$Q$16</f>
        <v>0</v>
      </c>
      <c r="BJ96" s="20">
        <f>BJ$7*SUM($H53:BJ53)*Deposits!$Q$16</f>
        <v>0</v>
      </c>
      <c r="BK96" s="20">
        <f>BK$7*SUM($H53:BK53)*Deposits!$Q$16</f>
        <v>0</v>
      </c>
      <c r="BL96" s="20">
        <f>BL$7*SUM($H53:BL53)*Deposits!$Q$16</f>
        <v>0</v>
      </c>
      <c r="BM96" s="20">
        <f>BM$7*SUM($H53:BM53)*Deposits!$Q$16</f>
        <v>0</v>
      </c>
      <c r="BN96" s="20">
        <f>BN$7*SUM($H53:BN53)*Deposits!$Q$16</f>
        <v>0</v>
      </c>
      <c r="BO96" s="20">
        <f>BO$7*SUM($H53:BO53)*Deposits!$Q$16</f>
        <v>0</v>
      </c>
      <c r="BP96" s="20">
        <f>BP$7*SUM($H53:BP53)*Deposits!$Q$16</f>
        <v>0</v>
      </c>
    </row>
    <row r="97" spans="3:68" x14ac:dyDescent="0.25">
      <c r="C97" s="74" t="str">
        <f t="shared" si="45"/>
        <v>Kiegészítő biztosíték 4. részlet</v>
      </c>
      <c r="D97" t="s">
        <v>844</v>
      </c>
      <c r="E97" s="20"/>
      <c r="F97" s="20"/>
      <c r="G97" s="20">
        <f t="shared" si="46"/>
        <v>0</v>
      </c>
      <c r="H97" s="20">
        <f>H$7*SUM($H54:H54)*Deposits!$Q$17</f>
        <v>0</v>
      </c>
      <c r="I97" s="20">
        <f>I$7*SUM($H54:I54)*Deposits!$Q$17</f>
        <v>0</v>
      </c>
      <c r="J97" s="20">
        <f>J$7*SUM($H54:J54)*Deposits!$Q$17</f>
        <v>0</v>
      </c>
      <c r="K97" s="20">
        <f>K$7*SUM($H54:K54)*Deposits!$Q$17</f>
        <v>0</v>
      </c>
      <c r="L97" s="20">
        <f>L$7*SUM($H54:L54)*Deposits!$Q$17</f>
        <v>0</v>
      </c>
      <c r="M97" s="20">
        <f>M$7*SUM($H54:M54)*Deposits!$Q$17</f>
        <v>0</v>
      </c>
      <c r="N97" s="20">
        <f>N$7*SUM($H54:N54)*Deposits!$Q$17</f>
        <v>0</v>
      </c>
      <c r="O97" s="20">
        <f>O$7*SUM($H54:O54)*Deposits!$Q$17</f>
        <v>0</v>
      </c>
      <c r="P97" s="20">
        <f>P$7*SUM($H54:P54)*Deposits!$Q$17</f>
        <v>0</v>
      </c>
      <c r="Q97" s="20">
        <f>Q$7*SUM($H54:Q54)*Deposits!$Q$17</f>
        <v>0</v>
      </c>
      <c r="R97" s="20">
        <f>R$7*SUM($H54:R54)*Deposits!$Q$17</f>
        <v>0</v>
      </c>
      <c r="S97" s="20">
        <f>S$7*SUM($H54:S54)*Deposits!$Q$17</f>
        <v>0</v>
      </c>
      <c r="T97" s="20">
        <f>T$7*SUM($H54:T54)*Deposits!$Q$17</f>
        <v>0</v>
      </c>
      <c r="U97" s="20">
        <f>U$7*SUM($H54:U54)*Deposits!$Q$17</f>
        <v>0</v>
      </c>
      <c r="V97" s="20">
        <f>V$7*SUM($H54:V54)*Deposits!$Q$17</f>
        <v>0</v>
      </c>
      <c r="W97" s="20">
        <f>W$7*SUM($H54:W54)*Deposits!$Q$17</f>
        <v>0</v>
      </c>
      <c r="X97" s="20">
        <f>X$7*SUM($H54:X54)*Deposits!$Q$17</f>
        <v>0</v>
      </c>
      <c r="Y97" s="20">
        <f>Y$7*SUM($H54:Y54)*Deposits!$Q$17</f>
        <v>0</v>
      </c>
      <c r="Z97" s="20">
        <f>Z$7*SUM($H54:Z54)*Deposits!$Q$17</f>
        <v>0</v>
      </c>
      <c r="AA97" s="20">
        <f>AA$7*SUM($H54:AA54)*Deposits!$Q$17</f>
        <v>0</v>
      </c>
      <c r="AB97" s="20">
        <f>AB$7*SUM($H54:AB54)*Deposits!$Q$17</f>
        <v>0</v>
      </c>
      <c r="AC97" s="20">
        <f>AC$7*SUM($H54:AC54)*Deposits!$Q$17</f>
        <v>0</v>
      </c>
      <c r="AD97" s="20">
        <f>AD$7*SUM($H54:AD54)*Deposits!$Q$17</f>
        <v>0</v>
      </c>
      <c r="AE97" s="20">
        <f>AE$7*SUM($H54:AE54)*Deposits!$Q$17</f>
        <v>0</v>
      </c>
      <c r="AF97" s="20">
        <f>AF$7*SUM($H54:AF54)*Deposits!$Q$17</f>
        <v>0</v>
      </c>
      <c r="AG97" s="20">
        <f>AG$7*SUM($H54:AG54)*Deposits!$Q$17</f>
        <v>0</v>
      </c>
      <c r="AH97" s="20">
        <f>AH$7*SUM($H54:AH54)*Deposits!$Q$17</f>
        <v>0</v>
      </c>
      <c r="AI97" s="20">
        <f>AI$7*SUM($H54:AI54)*Deposits!$Q$17</f>
        <v>0</v>
      </c>
      <c r="AJ97" s="20">
        <f>AJ$7*SUM($H54:AJ54)*Deposits!$Q$17</f>
        <v>0</v>
      </c>
      <c r="AK97" s="20">
        <f>AK$7*SUM($H54:AK54)*Deposits!$Q$17</f>
        <v>0</v>
      </c>
      <c r="AL97" s="20">
        <f>AL$7*SUM($H54:AL54)*Deposits!$Q$17</f>
        <v>0</v>
      </c>
      <c r="AM97" s="20">
        <f>AM$7*SUM($H54:AM54)*Deposits!$Q$17</f>
        <v>0</v>
      </c>
      <c r="AN97" s="20">
        <f>AN$7*SUM($H54:AN54)*Deposits!$Q$17</f>
        <v>0</v>
      </c>
      <c r="AO97" s="20">
        <f>AO$7*SUM($H54:AO54)*Deposits!$Q$17</f>
        <v>0</v>
      </c>
      <c r="AP97" s="20">
        <f>AP$7*SUM($H54:AP54)*Deposits!$Q$17</f>
        <v>0</v>
      </c>
      <c r="AQ97" s="20">
        <f>AQ$7*SUM($H54:AQ54)*Deposits!$Q$17</f>
        <v>0</v>
      </c>
      <c r="AR97" s="20">
        <f>AR$7*SUM($H54:AR54)*Deposits!$Q$17</f>
        <v>0</v>
      </c>
      <c r="AS97" s="20">
        <f>AS$7*SUM($H54:AS54)*Deposits!$Q$17</f>
        <v>0</v>
      </c>
      <c r="AT97" s="20">
        <f>AT$7*SUM($H54:AT54)*Deposits!$Q$17</f>
        <v>0</v>
      </c>
      <c r="AU97" s="20">
        <f>AU$7*SUM($H54:AU54)*Deposits!$Q$17</f>
        <v>0</v>
      </c>
      <c r="AV97" s="20">
        <f>AV$7*SUM($H54:AV54)*Deposits!$Q$17</f>
        <v>0</v>
      </c>
      <c r="AW97" s="20">
        <f>AW$7*SUM($H54:AW54)*Deposits!$Q$17</f>
        <v>0</v>
      </c>
      <c r="AX97" s="20">
        <f>AX$7*SUM($H54:AX54)*Deposits!$Q$17</f>
        <v>0</v>
      </c>
      <c r="AY97" s="20">
        <f>AY$7*SUM($H54:AY54)*Deposits!$Q$17</f>
        <v>0</v>
      </c>
      <c r="AZ97" s="20">
        <f>AZ$7*SUM($H54:AZ54)*Deposits!$Q$17</f>
        <v>0</v>
      </c>
      <c r="BA97" s="20">
        <f>BA$7*SUM($H54:BA54)*Deposits!$Q$17</f>
        <v>0</v>
      </c>
      <c r="BB97" s="20">
        <f>BB$7*SUM($H54:BB54)*Deposits!$Q$17</f>
        <v>0</v>
      </c>
      <c r="BC97" s="20">
        <f>BC$7*SUM($H54:BC54)*Deposits!$Q$17</f>
        <v>0</v>
      </c>
      <c r="BD97" s="20">
        <f>BD$7*SUM($H54:BD54)*Deposits!$Q$17</f>
        <v>0</v>
      </c>
      <c r="BE97" s="20">
        <f>BE$7*SUM($H54:BE54)*Deposits!$Q$17</f>
        <v>0</v>
      </c>
      <c r="BF97" s="20">
        <f>BF$7*SUM($H54:BF54)*Deposits!$Q$17</f>
        <v>0</v>
      </c>
      <c r="BG97" s="20">
        <f>BG$7*SUM($H54:BG54)*Deposits!$Q$17</f>
        <v>0</v>
      </c>
      <c r="BH97" s="20">
        <f>BH$7*SUM($H54:BH54)*Deposits!$Q$17</f>
        <v>0</v>
      </c>
      <c r="BI97" s="20">
        <f>BI$7*SUM($H54:BI54)*Deposits!$Q$17</f>
        <v>0</v>
      </c>
      <c r="BJ97" s="20">
        <f>BJ$7*SUM($H54:BJ54)*Deposits!$Q$17</f>
        <v>0</v>
      </c>
      <c r="BK97" s="20">
        <f>BK$7*SUM($H54:BK54)*Deposits!$Q$17</f>
        <v>0</v>
      </c>
      <c r="BL97" s="20">
        <f>BL$7*SUM($H54:BL54)*Deposits!$Q$17</f>
        <v>0</v>
      </c>
      <c r="BM97" s="20">
        <f>BM$7*SUM($H54:BM54)*Deposits!$Q$17</f>
        <v>0</v>
      </c>
      <c r="BN97" s="20">
        <f>BN$7*SUM($H54:BN54)*Deposits!$Q$17</f>
        <v>0</v>
      </c>
      <c r="BO97" s="20">
        <f>BO$7*SUM($H54:BO54)*Deposits!$Q$17</f>
        <v>0</v>
      </c>
      <c r="BP97" s="20">
        <f>BP$7*SUM($H54:BP54)*Deposits!$Q$17</f>
        <v>0</v>
      </c>
    </row>
    <row r="98" spans="3:68" x14ac:dyDescent="0.25">
      <c r="C98" s="74" t="str">
        <f t="shared" si="45"/>
        <v>Csatlakozási díj – becsült összeg</v>
      </c>
      <c r="D98" t="s">
        <v>844</v>
      </c>
      <c r="E98" s="20"/>
      <c r="F98" s="20"/>
      <c r="G98" s="20">
        <f t="shared" si="46"/>
        <v>37573.31835616439</v>
      </c>
      <c r="H98" s="20">
        <f>H$7*SUM($H55:H55)*Deposits!$Q$18</f>
        <v>0</v>
      </c>
      <c r="I98" s="20">
        <f>I$7*SUM($H55:I55)*Deposits!$Q$18</f>
        <v>0</v>
      </c>
      <c r="J98" s="20">
        <f>J$7*SUM($H55:J55)*Deposits!$Q$18</f>
        <v>0</v>
      </c>
      <c r="K98" s="20">
        <f>K$7*SUM($H55:K55)*Deposits!$Q$18</f>
        <v>0</v>
      </c>
      <c r="L98" s="20">
        <f>L$7*SUM($H55:L55)*Deposits!$Q$18</f>
        <v>0</v>
      </c>
      <c r="M98" s="20">
        <f>M$7*SUM($H55:M55)*Deposits!$Q$18</f>
        <v>0</v>
      </c>
      <c r="N98" s="20">
        <f>N$7*SUM($H55:N55)*Deposits!$Q$18</f>
        <v>0</v>
      </c>
      <c r="O98" s="20">
        <f>O$7*SUM($H55:O55)*Deposits!$Q$18</f>
        <v>0</v>
      </c>
      <c r="P98" s="20">
        <f>P$7*SUM($H55:P55)*Deposits!$Q$18</f>
        <v>0</v>
      </c>
      <c r="Q98" s="20">
        <f>Q$7*SUM($H55:Q55)*Deposits!$Q$18</f>
        <v>0</v>
      </c>
      <c r="R98" s="20">
        <f>R$7*SUM($H55:R55)*Deposits!$Q$18</f>
        <v>0</v>
      </c>
      <c r="S98" s="20">
        <f>S$7*SUM($H55:S55)*Deposits!$Q$18</f>
        <v>0</v>
      </c>
      <c r="T98" s="20">
        <f>T$7*SUM($H55:T55)*Deposits!$Q$18</f>
        <v>0</v>
      </c>
      <c r="U98" s="20">
        <f>U$7*SUM($H55:U55)*Deposits!$Q$18</f>
        <v>0</v>
      </c>
      <c r="V98" s="20">
        <f>V$7*SUM($H55:V55)*Deposits!$Q$18</f>
        <v>0</v>
      </c>
      <c r="W98" s="20">
        <f>W$7*SUM($H55:W55)*Deposits!$Q$18</f>
        <v>0</v>
      </c>
      <c r="X98" s="20">
        <f>X$7*SUM($H55:X55)*Deposits!$Q$18</f>
        <v>0</v>
      </c>
      <c r="Y98" s="20">
        <f>Y$7*SUM($H55:Y55)*Deposits!$Q$18</f>
        <v>0</v>
      </c>
      <c r="Z98" s="20">
        <f>Z$7*SUM($H55:Z55)*Deposits!$Q$18</f>
        <v>0</v>
      </c>
      <c r="AA98" s="20">
        <f>AA$7*SUM($H55:AA55)*Deposits!$Q$18</f>
        <v>0</v>
      </c>
      <c r="AB98" s="20">
        <f>AB$7*SUM($H55:AB55)*Deposits!$Q$18</f>
        <v>0</v>
      </c>
      <c r="AC98" s="20">
        <f>AC$7*SUM($H55:AC55)*Deposits!$Q$18</f>
        <v>0</v>
      </c>
      <c r="AD98" s="20">
        <f>AD$7*SUM($H55:AD55)*Deposits!$Q$18</f>
        <v>0</v>
      </c>
      <c r="AE98" s="20">
        <f>AE$7*SUM($H55:AE55)*Deposits!$Q$18</f>
        <v>0</v>
      </c>
      <c r="AF98" s="20">
        <f>AF$7*SUM($H55:AF55)*Deposits!$Q$18</f>
        <v>0</v>
      </c>
      <c r="AG98" s="20">
        <f>AG$7*SUM($H55:AG55)*Deposits!$Q$18</f>
        <v>0</v>
      </c>
      <c r="AH98" s="20">
        <f>AH$7*SUM($H55:AH55)*Deposits!$Q$18</f>
        <v>0</v>
      </c>
      <c r="AI98" s="20">
        <f>AI$7*SUM($H55:AI55)*Deposits!$Q$18</f>
        <v>0</v>
      </c>
      <c r="AJ98" s="20">
        <f>AJ$7*SUM($H55:AJ55)*Deposits!$Q$18</f>
        <v>0</v>
      </c>
      <c r="AK98" s="20">
        <f>AK$7*SUM($H55:AK55)*Deposits!$Q$18</f>
        <v>0</v>
      </c>
      <c r="AL98" s="20">
        <f>AL$7*SUM($H55:AL55)*Deposits!$Q$18</f>
        <v>0</v>
      </c>
      <c r="AM98" s="20">
        <f>AM$7*SUM($H55:AM55)*Deposits!$Q$18</f>
        <v>0</v>
      </c>
      <c r="AN98" s="20">
        <f>AN$7*SUM($H55:AN55)*Deposits!$Q$18</f>
        <v>0</v>
      </c>
      <c r="AO98" s="20">
        <f>AO$7*SUM($H55:AO55)*Deposits!$Q$18</f>
        <v>0</v>
      </c>
      <c r="AP98" s="20">
        <f>AP$7*SUM($H55:AP55)*Deposits!$Q$18</f>
        <v>0</v>
      </c>
      <c r="AQ98" s="20">
        <f>AQ$7*SUM($H55:AQ55)*Deposits!$Q$18</f>
        <v>0</v>
      </c>
      <c r="AR98" s="20">
        <f>AR$7*SUM($H55:AR55)*Deposits!$Q$18</f>
        <v>0</v>
      </c>
      <c r="AS98" s="20">
        <f>AS$7*SUM($H55:AS55)*Deposits!$Q$18</f>
        <v>0</v>
      </c>
      <c r="AT98" s="20">
        <f>AT$7*SUM($H55:AT55)*Deposits!$Q$18</f>
        <v>0</v>
      </c>
      <c r="AU98" s="20">
        <f>AU$7*SUM($H55:AU55)*Deposits!$Q$18</f>
        <v>0</v>
      </c>
      <c r="AV98" s="20">
        <f>AV$7*SUM($H55:AV55)*Deposits!$Q$18</f>
        <v>0</v>
      </c>
      <c r="AW98" s="20">
        <f>AW$7*SUM($H55:AW55)*Deposits!$Q$18</f>
        <v>0</v>
      </c>
      <c r="AX98" s="20">
        <f>AX$7*SUM($H55:AX55)*Deposits!$Q$18</f>
        <v>0</v>
      </c>
      <c r="AY98" s="20">
        <f>AY$7*SUM($H55:AY55)*Deposits!$Q$18</f>
        <v>0</v>
      </c>
      <c r="AZ98" s="20">
        <f>AZ$7*SUM($H55:AZ55)*Deposits!$Q$18</f>
        <v>37573.31835616439</v>
      </c>
      <c r="BA98" s="20">
        <f>BA$7*SUM($H55:BA55)*Deposits!$Q$18</f>
        <v>0</v>
      </c>
      <c r="BB98" s="20">
        <f>BB$7*SUM($H55:BB55)*Deposits!$Q$18</f>
        <v>0</v>
      </c>
      <c r="BC98" s="20">
        <f>BC$7*SUM($H55:BC55)*Deposits!$Q$18</f>
        <v>0</v>
      </c>
      <c r="BD98" s="20">
        <f>BD$7*SUM($H55:BD55)*Deposits!$Q$18</f>
        <v>0</v>
      </c>
      <c r="BE98" s="20">
        <f>BE$7*SUM($H55:BE55)*Deposits!$Q$18</f>
        <v>0</v>
      </c>
      <c r="BF98" s="20">
        <f>BF$7*SUM($H55:BF55)*Deposits!$Q$18</f>
        <v>0</v>
      </c>
      <c r="BG98" s="20">
        <f>BG$7*SUM($H55:BG55)*Deposits!$Q$18</f>
        <v>0</v>
      </c>
      <c r="BH98" s="20">
        <f>BH$7*SUM($H55:BH55)*Deposits!$Q$18</f>
        <v>0</v>
      </c>
      <c r="BI98" s="20">
        <f>BI$7*SUM($H55:BI55)*Deposits!$Q$18</f>
        <v>0</v>
      </c>
      <c r="BJ98" s="20">
        <f>BJ$7*SUM($H55:BJ55)*Deposits!$Q$18</f>
        <v>0</v>
      </c>
      <c r="BK98" s="20">
        <f>BK$7*SUM($H55:BK55)*Deposits!$Q$18</f>
        <v>0</v>
      </c>
      <c r="BL98" s="20">
        <f>BL$7*SUM($H55:BL55)*Deposits!$Q$18</f>
        <v>0</v>
      </c>
      <c r="BM98" s="20">
        <f>BM$7*SUM($H55:BM55)*Deposits!$Q$18</f>
        <v>0</v>
      </c>
      <c r="BN98" s="20">
        <f>BN$7*SUM($H55:BN55)*Deposits!$Q$18</f>
        <v>0</v>
      </c>
      <c r="BO98" s="20">
        <f>BO$7*SUM($H55:BO55)*Deposits!$Q$18</f>
        <v>0</v>
      </c>
      <c r="BP98" s="20">
        <f>BP$7*SUM($H55:BP55)*Deposits!$Q$18</f>
        <v>0</v>
      </c>
    </row>
    <row r="99" spans="3:68" x14ac:dyDescent="0.25">
      <c r="C99" s="6" t="s">
        <v>687</v>
      </c>
      <c r="D99" s="6" t="s">
        <v>844</v>
      </c>
      <c r="E99" s="95"/>
      <c r="F99" s="95"/>
      <c r="G99" s="95">
        <f t="shared" si="46"/>
        <v>41431.80001095891</v>
      </c>
      <c r="H99" s="95">
        <f t="shared" ref="H99:AM99" si="47">SUM(H87:H98)</f>
        <v>0</v>
      </c>
      <c r="I99" s="95">
        <f t="shared" si="47"/>
        <v>0</v>
      </c>
      <c r="J99" s="95">
        <f t="shared" si="47"/>
        <v>0</v>
      </c>
      <c r="K99" s="95">
        <f t="shared" si="47"/>
        <v>0</v>
      </c>
      <c r="L99" s="95">
        <f t="shared" si="47"/>
        <v>0</v>
      </c>
      <c r="M99" s="95">
        <f t="shared" si="47"/>
        <v>0</v>
      </c>
      <c r="N99" s="95">
        <f t="shared" si="47"/>
        <v>0</v>
      </c>
      <c r="O99" s="95">
        <f t="shared" si="47"/>
        <v>0</v>
      </c>
      <c r="P99" s="95">
        <f t="shared" si="47"/>
        <v>0</v>
      </c>
      <c r="Q99" s="95">
        <f t="shared" si="47"/>
        <v>0</v>
      </c>
      <c r="R99" s="95">
        <f t="shared" si="47"/>
        <v>0</v>
      </c>
      <c r="S99" s="95">
        <f t="shared" si="47"/>
        <v>0</v>
      </c>
      <c r="T99" s="95">
        <f t="shared" si="47"/>
        <v>0</v>
      </c>
      <c r="U99" s="95">
        <f t="shared" si="47"/>
        <v>0</v>
      </c>
      <c r="V99" s="95">
        <f t="shared" si="47"/>
        <v>0</v>
      </c>
      <c r="W99" s="95">
        <f t="shared" si="47"/>
        <v>0</v>
      </c>
      <c r="X99" s="95">
        <f t="shared" si="47"/>
        <v>0</v>
      </c>
      <c r="Y99" s="95">
        <f t="shared" si="47"/>
        <v>0</v>
      </c>
      <c r="Z99" s="95">
        <f t="shared" si="47"/>
        <v>0</v>
      </c>
      <c r="AA99" s="95">
        <f t="shared" si="47"/>
        <v>0</v>
      </c>
      <c r="AB99" s="95">
        <f t="shared" si="47"/>
        <v>0</v>
      </c>
      <c r="AC99" s="95">
        <f t="shared" si="47"/>
        <v>0</v>
      </c>
      <c r="AD99" s="95">
        <f t="shared" si="47"/>
        <v>0</v>
      </c>
      <c r="AE99" s="95">
        <f t="shared" si="47"/>
        <v>0</v>
      </c>
      <c r="AF99" s="95">
        <f t="shared" si="47"/>
        <v>0</v>
      </c>
      <c r="AG99" s="95">
        <f t="shared" si="47"/>
        <v>0</v>
      </c>
      <c r="AH99" s="95">
        <f t="shared" si="47"/>
        <v>0</v>
      </c>
      <c r="AI99" s="95">
        <f t="shared" si="47"/>
        <v>0</v>
      </c>
      <c r="AJ99" s="95">
        <f t="shared" si="47"/>
        <v>0</v>
      </c>
      <c r="AK99" s="95">
        <f t="shared" si="47"/>
        <v>0</v>
      </c>
      <c r="AL99" s="95">
        <f t="shared" si="47"/>
        <v>0</v>
      </c>
      <c r="AM99" s="95">
        <f t="shared" si="47"/>
        <v>0</v>
      </c>
      <c r="AN99" s="95">
        <f t="shared" ref="AN99:BP99" si="48">SUM(AN87:AN98)</f>
        <v>0</v>
      </c>
      <c r="AO99" s="95">
        <f t="shared" si="48"/>
        <v>0</v>
      </c>
      <c r="AP99" s="95">
        <f t="shared" si="48"/>
        <v>0</v>
      </c>
      <c r="AQ99" s="95">
        <f t="shared" si="48"/>
        <v>0</v>
      </c>
      <c r="AR99" s="95">
        <f t="shared" si="48"/>
        <v>0</v>
      </c>
      <c r="AS99" s="95">
        <f t="shared" si="48"/>
        <v>0</v>
      </c>
      <c r="AT99" s="95">
        <f t="shared" si="48"/>
        <v>0</v>
      </c>
      <c r="AU99" s="95">
        <f t="shared" si="48"/>
        <v>0</v>
      </c>
      <c r="AV99" s="95">
        <f t="shared" si="48"/>
        <v>0</v>
      </c>
      <c r="AW99" s="95">
        <f t="shared" si="48"/>
        <v>0</v>
      </c>
      <c r="AX99" s="95">
        <f t="shared" si="48"/>
        <v>0</v>
      </c>
      <c r="AY99" s="95">
        <f t="shared" si="48"/>
        <v>0</v>
      </c>
      <c r="AZ99" s="95">
        <f t="shared" si="48"/>
        <v>41431.80001095891</v>
      </c>
      <c r="BA99" s="95">
        <f t="shared" si="48"/>
        <v>0</v>
      </c>
      <c r="BB99" s="95">
        <f t="shared" si="48"/>
        <v>0</v>
      </c>
      <c r="BC99" s="95">
        <f t="shared" si="48"/>
        <v>0</v>
      </c>
      <c r="BD99" s="95">
        <f t="shared" si="48"/>
        <v>0</v>
      </c>
      <c r="BE99" s="95">
        <f t="shared" si="48"/>
        <v>0</v>
      </c>
      <c r="BF99" s="95">
        <f t="shared" si="48"/>
        <v>0</v>
      </c>
      <c r="BG99" s="95">
        <f t="shared" si="48"/>
        <v>0</v>
      </c>
      <c r="BH99" s="95">
        <f t="shared" si="48"/>
        <v>0</v>
      </c>
      <c r="BI99" s="95">
        <f t="shared" si="48"/>
        <v>0</v>
      </c>
      <c r="BJ99" s="95">
        <f t="shared" si="48"/>
        <v>0</v>
      </c>
      <c r="BK99" s="95">
        <f t="shared" si="48"/>
        <v>0</v>
      </c>
      <c r="BL99" s="95">
        <f t="shared" si="48"/>
        <v>0</v>
      </c>
      <c r="BM99" s="95">
        <f t="shared" si="48"/>
        <v>0</v>
      </c>
      <c r="BN99" s="95">
        <f t="shared" si="48"/>
        <v>0</v>
      </c>
      <c r="BO99" s="95">
        <f t="shared" si="48"/>
        <v>0</v>
      </c>
      <c r="BP99" s="95">
        <f t="shared" si="48"/>
        <v>0</v>
      </c>
    </row>
    <row r="100" spans="3:68" x14ac:dyDescent="0.25">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row>
    <row r="101" spans="3:68" x14ac:dyDescent="0.25">
      <c r="C101" s="43" t="s">
        <v>1440</v>
      </c>
      <c r="D101" s="43"/>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c r="BP101" s="96"/>
    </row>
    <row r="102" spans="3:68" x14ac:dyDescent="0.25">
      <c r="C102" t="s">
        <v>2210</v>
      </c>
      <c r="D102" t="s">
        <v>844</v>
      </c>
      <c r="E102" s="20"/>
      <c r="F102" s="20"/>
      <c r="G102" s="20">
        <f>SUM(H102:BP102)</f>
        <v>41431.800010958905</v>
      </c>
      <c r="H102" s="20">
        <f>SUMPRODUCT(H44:H55,Deposits!$U$7:$U$18)</f>
        <v>0</v>
      </c>
      <c r="I102" s="20">
        <f>SUMPRODUCT(I44:I55,Deposits!$U$7:$U$18)</f>
        <v>0</v>
      </c>
      <c r="J102" s="20">
        <f>SUMPRODUCT(J44:J55,Deposits!$U$7:$U$18)</f>
        <v>0</v>
      </c>
      <c r="K102" s="20">
        <f>SUMPRODUCT(K44:K55,Deposits!$U$7:$U$18)</f>
        <v>0</v>
      </c>
      <c r="L102" s="20">
        <f>SUMPRODUCT(L44:L55,Deposits!$U$7:$U$18)</f>
        <v>0</v>
      </c>
      <c r="M102" s="20">
        <f>SUMPRODUCT(M44:M55,Deposits!$U$7:$U$18)</f>
        <v>2465.753424657534</v>
      </c>
      <c r="N102" s="20">
        <f>SUMPRODUCT(N44:N55,Deposits!$U$7:$U$18)</f>
        <v>0</v>
      </c>
      <c r="O102" s="20">
        <f>SUMPRODUCT(O44:O55,Deposits!$U$7:$U$18)</f>
        <v>0</v>
      </c>
      <c r="P102" s="20">
        <f>SUMPRODUCT(P44:P55,Deposits!$U$7:$U$18)</f>
        <v>0</v>
      </c>
      <c r="Q102" s="20">
        <f>SUMPRODUCT(Q44:Q55,Deposits!$U$7:$U$18)</f>
        <v>0</v>
      </c>
      <c r="R102" s="20">
        <f>SUMPRODUCT(R44:R55,Deposits!$U$7:$U$18)</f>
        <v>0</v>
      </c>
      <c r="S102" s="20">
        <f>SUMPRODUCT(S44:S55,Deposits!$U$7:$U$18)</f>
        <v>0</v>
      </c>
      <c r="T102" s="20">
        <f>SUMPRODUCT(T44:T55,Deposits!$U$7:$U$18)</f>
        <v>0</v>
      </c>
      <c r="U102" s="20">
        <f>SUMPRODUCT(U44:U55,Deposits!$U$7:$U$18)</f>
        <v>0</v>
      </c>
      <c r="V102" s="20">
        <f>SUMPRODUCT(V44:V55,Deposits!$U$7:$U$18)</f>
        <v>0</v>
      </c>
      <c r="W102" s="20">
        <f>SUMPRODUCT(W44:W55,Deposits!$U$7:$U$18)</f>
        <v>0</v>
      </c>
      <c r="X102" s="20">
        <f>SUMPRODUCT(X44:X55,Deposits!$U$7:$U$18)</f>
        <v>0</v>
      </c>
      <c r="Y102" s="20">
        <f>SUMPRODUCT(Y44:Y55,Deposits!$U$7:$U$18)</f>
        <v>0</v>
      </c>
      <c r="Z102" s="20">
        <f>SUMPRODUCT(Z44:Z55,Deposits!$U$7:$U$18)</f>
        <v>0</v>
      </c>
      <c r="AA102" s="20">
        <f>SUMPRODUCT(AA44:AA55,Deposits!$U$7:$U$18)</f>
        <v>0</v>
      </c>
      <c r="AB102" s="20">
        <f>SUMPRODUCT(AB44:AB55,Deposits!$U$7:$U$18)</f>
        <v>0</v>
      </c>
      <c r="AC102" s="20">
        <f>SUMPRODUCT(AC44:AC55,Deposits!$U$7:$U$18)</f>
        <v>0</v>
      </c>
      <c r="AD102" s="20">
        <f>SUMPRODUCT(AD44:AD55,Deposits!$U$7:$U$18)</f>
        <v>0</v>
      </c>
      <c r="AE102" s="20">
        <f>SUMPRODUCT(AE44:AE55,Deposits!$U$7:$U$18)</f>
        <v>0</v>
      </c>
      <c r="AF102" s="20">
        <f>SUMPRODUCT(AF44:AF55,Deposits!$U$7:$U$18)</f>
        <v>0</v>
      </c>
      <c r="AG102" s="20">
        <f>SUMPRODUCT(AG44:AG55,Deposits!$U$7:$U$18)</f>
        <v>0</v>
      </c>
      <c r="AH102" s="20">
        <f>SUMPRODUCT(AH44:AH55,Deposits!$U$7:$U$18)</f>
        <v>0</v>
      </c>
      <c r="AI102" s="20">
        <f>SUMPRODUCT(AI44:AI55,Deposits!$U$7:$U$18)</f>
        <v>0</v>
      </c>
      <c r="AJ102" s="20">
        <f>SUMPRODUCT(AJ44:AJ55,Deposits!$U$7:$U$18)</f>
        <v>0</v>
      </c>
      <c r="AK102" s="20">
        <f>SUMPRODUCT(AK44:AK55,Deposits!$U$7:$U$18)</f>
        <v>0</v>
      </c>
      <c r="AL102" s="20">
        <f>SUMPRODUCT(AL44:AL55,Deposits!$U$7:$U$18)</f>
        <v>38966.046586301374</v>
      </c>
      <c r="AM102" s="20">
        <f>SUMPRODUCT(AM44:AM55,Deposits!$U$7:$U$18)</f>
        <v>0</v>
      </c>
      <c r="AN102" s="20">
        <f>SUMPRODUCT(AN44:AN55,Deposits!$U$7:$U$18)</f>
        <v>0</v>
      </c>
      <c r="AO102" s="20">
        <f>SUMPRODUCT(AO44:AO55,Deposits!$U$7:$U$18)</f>
        <v>0</v>
      </c>
      <c r="AP102" s="20">
        <f>SUMPRODUCT(AP44:AP55,Deposits!$U$7:$U$18)</f>
        <v>0</v>
      </c>
      <c r="AQ102" s="20">
        <f>SUMPRODUCT(AQ44:AQ55,Deposits!$U$7:$U$18)</f>
        <v>0</v>
      </c>
      <c r="AR102" s="20">
        <f>SUMPRODUCT(AR44:AR55,Deposits!$U$7:$U$18)</f>
        <v>0</v>
      </c>
      <c r="AS102" s="20">
        <f>SUMPRODUCT(AS44:AS55,Deposits!$U$7:$U$18)</f>
        <v>0</v>
      </c>
      <c r="AT102" s="20">
        <f>SUMPRODUCT(AT44:AT55,Deposits!$U$7:$U$18)</f>
        <v>0</v>
      </c>
      <c r="AU102" s="20">
        <f>SUMPRODUCT(AU44:AU55,Deposits!$U$7:$U$18)</f>
        <v>0</v>
      </c>
      <c r="AV102" s="20">
        <f>SUMPRODUCT(AV44:AV55,Deposits!$U$7:$U$18)</f>
        <v>0</v>
      </c>
      <c r="AW102" s="20">
        <f>SUMPRODUCT(AW44:AW55,Deposits!$U$7:$U$18)</f>
        <v>0</v>
      </c>
      <c r="AX102" s="20">
        <f>SUMPRODUCT(AX44:AX55,Deposits!$U$7:$U$18)</f>
        <v>0</v>
      </c>
      <c r="AY102" s="20">
        <f>SUMPRODUCT(AY44:AY55,Deposits!$U$7:$U$18)</f>
        <v>0</v>
      </c>
      <c r="AZ102" s="20">
        <f>SUMPRODUCT(AZ44:AZ55,Deposits!$U$7:$U$18)</f>
        <v>0</v>
      </c>
      <c r="BA102" s="20">
        <f>SUMPRODUCT(BA44:BA55,Deposits!$U$7:$U$18)</f>
        <v>0</v>
      </c>
      <c r="BB102" s="20">
        <f>SUMPRODUCT(BB44:BB55,Deposits!$U$7:$U$18)</f>
        <v>0</v>
      </c>
      <c r="BC102" s="20">
        <f>SUMPRODUCT(BC44:BC55,Deposits!$U$7:$U$18)</f>
        <v>0</v>
      </c>
      <c r="BD102" s="20">
        <f>SUMPRODUCT(BD44:BD55,Deposits!$U$7:$U$18)</f>
        <v>0</v>
      </c>
      <c r="BE102" s="20">
        <f>SUMPRODUCT(BE44:BE55,Deposits!$U$7:$U$18)</f>
        <v>0</v>
      </c>
      <c r="BF102" s="20">
        <f>SUMPRODUCT(BF44:BF55,Deposits!$U$7:$U$18)</f>
        <v>0</v>
      </c>
      <c r="BG102" s="20">
        <f>SUMPRODUCT(BG44:BG55,Deposits!$U$7:$U$18)</f>
        <v>0</v>
      </c>
      <c r="BH102" s="20">
        <f>SUMPRODUCT(BH44:BH55,Deposits!$U$7:$U$18)</f>
        <v>0</v>
      </c>
      <c r="BI102" s="20">
        <f>SUMPRODUCT(BI44:BI55,Deposits!$U$7:$U$18)</f>
        <v>0</v>
      </c>
      <c r="BJ102" s="20">
        <f>SUMPRODUCT(BJ44:BJ55,Deposits!$U$7:$U$18)</f>
        <v>0</v>
      </c>
      <c r="BK102" s="20">
        <f>SUMPRODUCT(BK44:BK55,Deposits!$U$7:$U$18)</f>
        <v>0</v>
      </c>
      <c r="BL102" s="20">
        <f>SUMPRODUCT(BL44:BL55,Deposits!$U$7:$U$18)</f>
        <v>0</v>
      </c>
      <c r="BM102" s="20">
        <f>SUMPRODUCT(BM44:BM55,Deposits!$U$7:$U$18)</f>
        <v>0</v>
      </c>
      <c r="BN102" s="20">
        <f>SUMPRODUCT(BN44:BN55,Deposits!$U$7:$U$18)</f>
        <v>0</v>
      </c>
      <c r="BO102" s="20">
        <f>SUMPRODUCT(BO44:BO55,Deposits!$U$7:$U$18)</f>
        <v>0</v>
      </c>
      <c r="BP102" s="20">
        <f>SUMPRODUCT(BP44:BP55,Deposits!$U$7:$U$18)</f>
        <v>0</v>
      </c>
    </row>
    <row r="103" spans="3:68" x14ac:dyDescent="0.25">
      <c r="C103" t="s">
        <v>1441</v>
      </c>
      <c r="D103" t="s">
        <v>844</v>
      </c>
      <c r="E103" s="20"/>
      <c r="F103" s="20"/>
      <c r="G103" s="20">
        <f>SUM(H103:BP103)</f>
        <v>16.438356164383563</v>
      </c>
      <c r="H103" s="20">
        <f t="shared" ref="H103:AM103" si="49">H56-H102</f>
        <v>0</v>
      </c>
      <c r="I103" s="20">
        <f t="shared" si="49"/>
        <v>0</v>
      </c>
      <c r="J103" s="20">
        <f t="shared" si="49"/>
        <v>0</v>
      </c>
      <c r="K103" s="20">
        <f t="shared" si="49"/>
        <v>16.438356164383563</v>
      </c>
      <c r="L103" s="20">
        <f t="shared" si="49"/>
        <v>0</v>
      </c>
      <c r="M103" s="20">
        <f t="shared" si="49"/>
        <v>0</v>
      </c>
      <c r="N103" s="20">
        <f t="shared" si="49"/>
        <v>0</v>
      </c>
      <c r="O103" s="20">
        <f t="shared" si="49"/>
        <v>0</v>
      </c>
      <c r="P103" s="20">
        <f t="shared" si="49"/>
        <v>0</v>
      </c>
      <c r="Q103" s="20">
        <f t="shared" si="49"/>
        <v>0</v>
      </c>
      <c r="R103" s="20">
        <f t="shared" si="49"/>
        <v>0</v>
      </c>
      <c r="S103" s="20">
        <f t="shared" si="49"/>
        <v>0</v>
      </c>
      <c r="T103" s="20">
        <f t="shared" si="49"/>
        <v>0</v>
      </c>
      <c r="U103" s="20">
        <f t="shared" si="49"/>
        <v>0</v>
      </c>
      <c r="V103" s="20">
        <f t="shared" si="49"/>
        <v>0</v>
      </c>
      <c r="W103" s="20">
        <f t="shared" si="49"/>
        <v>0</v>
      </c>
      <c r="X103" s="20">
        <f t="shared" si="49"/>
        <v>0</v>
      </c>
      <c r="Y103" s="20">
        <f t="shared" si="49"/>
        <v>0</v>
      </c>
      <c r="Z103" s="20">
        <f t="shared" si="49"/>
        <v>0</v>
      </c>
      <c r="AA103" s="20">
        <f t="shared" si="49"/>
        <v>0</v>
      </c>
      <c r="AB103" s="20">
        <f t="shared" si="49"/>
        <v>0</v>
      </c>
      <c r="AC103" s="20">
        <f t="shared" si="49"/>
        <v>0</v>
      </c>
      <c r="AD103" s="20">
        <f t="shared" si="49"/>
        <v>0</v>
      </c>
      <c r="AE103" s="20">
        <f t="shared" si="49"/>
        <v>0</v>
      </c>
      <c r="AF103" s="20">
        <f t="shared" si="49"/>
        <v>0</v>
      </c>
      <c r="AG103" s="20">
        <f t="shared" si="49"/>
        <v>0</v>
      </c>
      <c r="AH103" s="20">
        <f t="shared" si="49"/>
        <v>0</v>
      </c>
      <c r="AI103" s="20">
        <f t="shared" si="49"/>
        <v>0</v>
      </c>
      <c r="AJ103" s="20">
        <f t="shared" si="49"/>
        <v>0</v>
      </c>
      <c r="AK103" s="20">
        <f t="shared" si="49"/>
        <v>0</v>
      </c>
      <c r="AL103" s="20">
        <f t="shared" si="49"/>
        <v>0</v>
      </c>
      <c r="AM103" s="20">
        <f t="shared" si="49"/>
        <v>0</v>
      </c>
      <c r="AN103" s="20">
        <f t="shared" ref="AN103:BP103" si="50">AN56-AN102</f>
        <v>0</v>
      </c>
      <c r="AO103" s="20">
        <f t="shared" si="50"/>
        <v>0</v>
      </c>
      <c r="AP103" s="20">
        <f t="shared" si="50"/>
        <v>0</v>
      </c>
      <c r="AQ103" s="20">
        <f t="shared" si="50"/>
        <v>0</v>
      </c>
      <c r="AR103" s="20">
        <f t="shared" si="50"/>
        <v>0</v>
      </c>
      <c r="AS103" s="20">
        <f t="shared" si="50"/>
        <v>0</v>
      </c>
      <c r="AT103" s="20">
        <f t="shared" si="50"/>
        <v>0</v>
      </c>
      <c r="AU103" s="20">
        <f t="shared" si="50"/>
        <v>0</v>
      </c>
      <c r="AV103" s="20">
        <f t="shared" si="50"/>
        <v>0</v>
      </c>
      <c r="AW103" s="20">
        <f t="shared" si="50"/>
        <v>0</v>
      </c>
      <c r="AX103" s="20">
        <f t="shared" si="50"/>
        <v>0</v>
      </c>
      <c r="AY103" s="20">
        <f t="shared" si="50"/>
        <v>0</v>
      </c>
      <c r="AZ103" s="20">
        <f t="shared" si="50"/>
        <v>0</v>
      </c>
      <c r="BA103" s="20">
        <f t="shared" si="50"/>
        <v>0</v>
      </c>
      <c r="BB103" s="20">
        <f t="shared" si="50"/>
        <v>0</v>
      </c>
      <c r="BC103" s="20">
        <f t="shared" si="50"/>
        <v>0</v>
      </c>
      <c r="BD103" s="20">
        <f t="shared" si="50"/>
        <v>0</v>
      </c>
      <c r="BE103" s="20">
        <f t="shared" si="50"/>
        <v>0</v>
      </c>
      <c r="BF103" s="20">
        <f t="shared" si="50"/>
        <v>0</v>
      </c>
      <c r="BG103" s="20">
        <f t="shared" si="50"/>
        <v>0</v>
      </c>
      <c r="BH103" s="20">
        <f t="shared" si="50"/>
        <v>0</v>
      </c>
      <c r="BI103" s="20">
        <f t="shared" si="50"/>
        <v>0</v>
      </c>
      <c r="BJ103" s="20">
        <f t="shared" si="50"/>
        <v>0</v>
      </c>
      <c r="BK103" s="20">
        <f t="shared" si="50"/>
        <v>0</v>
      </c>
      <c r="BL103" s="20">
        <f t="shared" si="50"/>
        <v>0</v>
      </c>
      <c r="BM103" s="20">
        <f t="shared" si="50"/>
        <v>0</v>
      </c>
      <c r="BN103" s="20">
        <f t="shared" si="50"/>
        <v>0</v>
      </c>
      <c r="BO103" s="20">
        <f t="shared" si="50"/>
        <v>0</v>
      </c>
      <c r="BP103" s="20">
        <f t="shared" si="50"/>
        <v>0</v>
      </c>
    </row>
    <row r="104" spans="3:68" x14ac:dyDescent="0.25">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row>
    <row r="105" spans="3:68" x14ac:dyDescent="0.25">
      <c r="C105" s="43" t="s">
        <v>688</v>
      </c>
      <c r="D105" s="43"/>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6"/>
      <c r="BJ105" s="96"/>
      <c r="BK105" s="96"/>
      <c r="BL105" s="96"/>
      <c r="BM105" s="96"/>
      <c r="BN105" s="96"/>
      <c r="BO105" s="96"/>
      <c r="BP105" s="96"/>
    </row>
    <row r="106" spans="3:68" x14ac:dyDescent="0.25">
      <c r="C106" t="s">
        <v>689</v>
      </c>
      <c r="D106" t="s">
        <v>2</v>
      </c>
      <c r="E106" s="31">
        <f>IF(Inputs!$E$35=1,Inputs!$E$33,1)</f>
        <v>1</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row>
    <row r="107" spans="3:68" x14ac:dyDescent="0.25">
      <c r="C107" t="s">
        <v>690</v>
      </c>
      <c r="D107" t="s">
        <v>2</v>
      </c>
      <c r="E107" s="31">
        <f>1-E106</f>
        <v>0</v>
      </c>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row>
    <row r="108" spans="3:68" x14ac:dyDescent="0.25">
      <c r="C108" s="6" t="s">
        <v>691</v>
      </c>
      <c r="D108" s="6"/>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c r="AE108" s="95"/>
      <c r="AF108" s="95"/>
      <c r="AG108" s="95"/>
      <c r="AH108" s="95"/>
      <c r="AI108" s="95"/>
      <c r="AJ108" s="95"/>
      <c r="AK108" s="95"/>
      <c r="AL108" s="95"/>
      <c r="AM108" s="95"/>
      <c r="AN108" s="95"/>
      <c r="AO108" s="95"/>
      <c r="AP108" s="95"/>
      <c r="AQ108" s="95"/>
      <c r="AR108" s="95"/>
      <c r="AS108" s="95"/>
      <c r="AT108" s="95"/>
      <c r="AU108" s="95"/>
      <c r="AV108" s="95"/>
      <c r="AW108" s="95"/>
      <c r="AX108" s="95"/>
      <c r="AY108" s="95"/>
      <c r="AZ108" s="95"/>
      <c r="BA108" s="95"/>
      <c r="BB108" s="95"/>
      <c r="BC108" s="95"/>
      <c r="BD108" s="95"/>
      <c r="BE108" s="95"/>
      <c r="BF108" s="95"/>
      <c r="BG108" s="95"/>
      <c r="BH108" s="95"/>
      <c r="BI108" s="95"/>
      <c r="BJ108" s="95"/>
      <c r="BK108" s="95"/>
      <c r="BL108" s="95"/>
      <c r="BM108" s="95"/>
      <c r="BN108" s="95"/>
      <c r="BO108" s="95"/>
      <c r="BP108" s="95"/>
    </row>
    <row r="109" spans="3:68" x14ac:dyDescent="0.25">
      <c r="C109" t="s">
        <v>32</v>
      </c>
      <c r="D109" t="s">
        <v>844</v>
      </c>
      <c r="E109" s="20"/>
      <c r="F109" s="20"/>
      <c r="G109" s="20"/>
      <c r="H109" s="20">
        <v>0</v>
      </c>
      <c r="I109" s="20">
        <f t="shared" ref="I109:AN109" si="51">H113</f>
        <v>0</v>
      </c>
      <c r="J109" s="20">
        <f t="shared" si="51"/>
        <v>0</v>
      </c>
      <c r="K109" s="20">
        <f t="shared" si="51"/>
        <v>0</v>
      </c>
      <c r="L109" s="20">
        <f t="shared" si="51"/>
        <v>0</v>
      </c>
      <c r="M109" s="20">
        <f t="shared" si="51"/>
        <v>0</v>
      </c>
      <c r="N109" s="20">
        <f t="shared" si="51"/>
        <v>2489.1504483318486</v>
      </c>
      <c r="O109" s="20">
        <f t="shared" si="51"/>
        <v>2512.769481519094</v>
      </c>
      <c r="P109" s="20">
        <f t="shared" si="51"/>
        <v>2536.612630821568</v>
      </c>
      <c r="Q109" s="20">
        <f t="shared" si="51"/>
        <v>2560.682022830682</v>
      </c>
      <c r="R109" s="20">
        <f t="shared" si="51"/>
        <v>2584.9798043166315</v>
      </c>
      <c r="S109" s="20">
        <f t="shared" si="51"/>
        <v>2609.508142419871</v>
      </c>
      <c r="T109" s="20">
        <f t="shared" si="51"/>
        <v>2634.269224844402</v>
      </c>
      <c r="U109" s="20">
        <f t="shared" si="51"/>
        <v>2659.265260052895</v>
      </c>
      <c r="V109" s="20">
        <f t="shared" si="51"/>
        <v>2684.498477463667</v>
      </c>
      <c r="W109" s="20">
        <f t="shared" si="51"/>
        <v>2709.971127649523</v>
      </c>
      <c r="X109" s="20">
        <f t="shared" si="51"/>
        <v>2735.685482538488</v>
      </c>
      <c r="Y109" s="20">
        <f t="shared" si="51"/>
        <v>2761.643835616441</v>
      </c>
      <c r="Z109" s="20">
        <f t="shared" si="51"/>
        <v>2787.848502131673</v>
      </c>
      <c r="AA109" s="20">
        <f t="shared" si="51"/>
        <v>2814.3018193013877</v>
      </c>
      <c r="AB109" s="20">
        <f t="shared" si="51"/>
        <v>2841.006146520159</v>
      </c>
      <c r="AC109" s="20">
        <f t="shared" si="51"/>
        <v>2867.963865570366</v>
      </c>
      <c r="AD109" s="20">
        <f t="shared" si="51"/>
        <v>2895.1773808346297</v>
      </c>
      <c r="AE109" s="20">
        <f t="shared" si="51"/>
        <v>2922.649119510258</v>
      </c>
      <c r="AF109" s="20">
        <f t="shared" si="51"/>
        <v>2950.3815318257325</v>
      </c>
      <c r="AG109" s="20">
        <f t="shared" si="51"/>
        <v>2978.377091259245</v>
      </c>
      <c r="AH109" s="20">
        <f t="shared" si="51"/>
        <v>3006.6382947593097</v>
      </c>
      <c r="AI109" s="20">
        <f t="shared" si="51"/>
        <v>3035.1676629674685</v>
      </c>
      <c r="AJ109" s="20">
        <f t="shared" si="51"/>
        <v>3063.967740443109</v>
      </c>
      <c r="AK109" s="20">
        <f t="shared" si="51"/>
        <v>3093.041095890416</v>
      </c>
      <c r="AL109" s="20">
        <f t="shared" si="51"/>
        <v>3122.390322387476</v>
      </c>
      <c r="AM109" s="20">
        <f t="shared" si="51"/>
        <v>42487.80537145566</v>
      </c>
      <c r="AN109" s="20">
        <f t="shared" si="51"/>
        <v>42890.96335887026</v>
      </c>
      <c r="AO109" s="20">
        <f t="shared" ref="AO109:BP109" si="52">AN113</f>
        <v>43297.94682894737</v>
      </c>
      <c r="AP109" s="20">
        <f t="shared" si="52"/>
        <v>43708.79208089984</v>
      </c>
      <c r="AQ109" s="20">
        <f t="shared" si="52"/>
        <v>44123.53575837624</v>
      </c>
      <c r="AR109" s="20">
        <f t="shared" si="52"/>
        <v>44542.21485272914</v>
      </c>
      <c r="AS109" s="20">
        <f t="shared" si="52"/>
        <v>44542.21485272914</v>
      </c>
      <c r="AT109" s="20">
        <f t="shared" si="52"/>
        <v>44542.21485272914</v>
      </c>
      <c r="AU109" s="20">
        <f t="shared" si="52"/>
        <v>44542.21485272914</v>
      </c>
      <c r="AV109" s="20">
        <f t="shared" si="52"/>
        <v>44542.21485272914</v>
      </c>
      <c r="AW109" s="20">
        <f t="shared" si="52"/>
        <v>44542.21485272914</v>
      </c>
      <c r="AX109" s="20">
        <f t="shared" si="52"/>
        <v>44542.21485272914</v>
      </c>
      <c r="AY109" s="20">
        <f t="shared" si="52"/>
        <v>44964.8667063144</v>
      </c>
      <c r="AZ109" s="20">
        <f t="shared" si="52"/>
        <v>45391.52901582175</v>
      </c>
      <c r="BA109" s="20">
        <f t="shared" si="52"/>
        <v>0</v>
      </c>
      <c r="BB109" s="20">
        <f t="shared" si="52"/>
        <v>0</v>
      </c>
      <c r="BC109" s="20">
        <f t="shared" si="52"/>
        <v>0</v>
      </c>
      <c r="BD109" s="20">
        <f t="shared" si="52"/>
        <v>0</v>
      </c>
      <c r="BE109" s="20">
        <f t="shared" si="52"/>
        <v>0</v>
      </c>
      <c r="BF109" s="20">
        <f t="shared" si="52"/>
        <v>0</v>
      </c>
      <c r="BG109" s="20">
        <f t="shared" si="52"/>
        <v>0</v>
      </c>
      <c r="BH109" s="20">
        <f t="shared" si="52"/>
        <v>0</v>
      </c>
      <c r="BI109" s="20">
        <f t="shared" si="52"/>
        <v>0</v>
      </c>
      <c r="BJ109" s="20">
        <f t="shared" si="52"/>
        <v>0</v>
      </c>
      <c r="BK109" s="20">
        <f t="shared" si="52"/>
        <v>0</v>
      </c>
      <c r="BL109" s="20">
        <f t="shared" si="52"/>
        <v>0</v>
      </c>
      <c r="BM109" s="20">
        <f t="shared" si="52"/>
        <v>0</v>
      </c>
      <c r="BN109" s="20">
        <f t="shared" si="52"/>
        <v>0</v>
      </c>
      <c r="BO109" s="20">
        <f t="shared" si="52"/>
        <v>0</v>
      </c>
      <c r="BP109" s="20">
        <f t="shared" si="52"/>
        <v>0</v>
      </c>
    </row>
    <row r="110" spans="3:68" x14ac:dyDescent="0.25">
      <c r="C110" t="s">
        <v>692</v>
      </c>
      <c r="D110" t="s">
        <v>844</v>
      </c>
      <c r="E110" s="20"/>
      <c r="F110" s="20"/>
      <c r="G110" s="20">
        <f>SUM(H110:BP110)</f>
        <v>41431.800010958905</v>
      </c>
      <c r="H110" s="20">
        <f t="shared" ref="H110:AM110" si="53">$E$106*H102</f>
        <v>0</v>
      </c>
      <c r="I110" s="20">
        <f t="shared" si="53"/>
        <v>0</v>
      </c>
      <c r="J110" s="20">
        <f t="shared" si="53"/>
        <v>0</v>
      </c>
      <c r="K110" s="20">
        <f t="shared" si="53"/>
        <v>0</v>
      </c>
      <c r="L110" s="20">
        <f t="shared" si="53"/>
        <v>0</v>
      </c>
      <c r="M110" s="20">
        <f t="shared" si="53"/>
        <v>2465.753424657534</v>
      </c>
      <c r="N110" s="20">
        <f t="shared" si="53"/>
        <v>0</v>
      </c>
      <c r="O110" s="20">
        <f t="shared" si="53"/>
        <v>0</v>
      </c>
      <c r="P110" s="20">
        <f t="shared" si="53"/>
        <v>0</v>
      </c>
      <c r="Q110" s="20">
        <f t="shared" si="53"/>
        <v>0</v>
      </c>
      <c r="R110" s="20">
        <f t="shared" si="53"/>
        <v>0</v>
      </c>
      <c r="S110" s="20">
        <f t="shared" si="53"/>
        <v>0</v>
      </c>
      <c r="T110" s="20">
        <f t="shared" si="53"/>
        <v>0</v>
      </c>
      <c r="U110" s="20">
        <f t="shared" si="53"/>
        <v>0</v>
      </c>
      <c r="V110" s="20">
        <f t="shared" si="53"/>
        <v>0</v>
      </c>
      <c r="W110" s="20">
        <f t="shared" si="53"/>
        <v>0</v>
      </c>
      <c r="X110" s="20">
        <f t="shared" si="53"/>
        <v>0</v>
      </c>
      <c r="Y110" s="20">
        <f t="shared" si="53"/>
        <v>0</v>
      </c>
      <c r="Z110" s="20">
        <f t="shared" si="53"/>
        <v>0</v>
      </c>
      <c r="AA110" s="20">
        <f t="shared" si="53"/>
        <v>0</v>
      </c>
      <c r="AB110" s="20">
        <f t="shared" si="53"/>
        <v>0</v>
      </c>
      <c r="AC110" s="20">
        <f t="shared" si="53"/>
        <v>0</v>
      </c>
      <c r="AD110" s="20">
        <f t="shared" si="53"/>
        <v>0</v>
      </c>
      <c r="AE110" s="20">
        <f t="shared" si="53"/>
        <v>0</v>
      </c>
      <c r="AF110" s="20">
        <f t="shared" si="53"/>
        <v>0</v>
      </c>
      <c r="AG110" s="20">
        <f t="shared" si="53"/>
        <v>0</v>
      </c>
      <c r="AH110" s="20">
        <f t="shared" si="53"/>
        <v>0</v>
      </c>
      <c r="AI110" s="20">
        <f t="shared" si="53"/>
        <v>0</v>
      </c>
      <c r="AJ110" s="20">
        <f t="shared" si="53"/>
        <v>0</v>
      </c>
      <c r="AK110" s="20">
        <f t="shared" si="53"/>
        <v>0</v>
      </c>
      <c r="AL110" s="20">
        <f t="shared" si="53"/>
        <v>38966.046586301374</v>
      </c>
      <c r="AM110" s="20">
        <f t="shared" si="53"/>
        <v>0</v>
      </c>
      <c r="AN110" s="20">
        <f t="shared" ref="AN110:BP110" si="54">$E$106*AN102</f>
        <v>0</v>
      </c>
      <c r="AO110" s="20">
        <f t="shared" si="54"/>
        <v>0</v>
      </c>
      <c r="AP110" s="20">
        <f t="shared" si="54"/>
        <v>0</v>
      </c>
      <c r="AQ110" s="20">
        <f t="shared" si="54"/>
        <v>0</v>
      </c>
      <c r="AR110" s="20">
        <f t="shared" si="54"/>
        <v>0</v>
      </c>
      <c r="AS110" s="20">
        <f t="shared" si="54"/>
        <v>0</v>
      </c>
      <c r="AT110" s="20">
        <f t="shared" si="54"/>
        <v>0</v>
      </c>
      <c r="AU110" s="20">
        <f t="shared" si="54"/>
        <v>0</v>
      </c>
      <c r="AV110" s="20">
        <f t="shared" si="54"/>
        <v>0</v>
      </c>
      <c r="AW110" s="20">
        <f t="shared" si="54"/>
        <v>0</v>
      </c>
      <c r="AX110" s="20">
        <f t="shared" si="54"/>
        <v>0</v>
      </c>
      <c r="AY110" s="20">
        <f t="shared" si="54"/>
        <v>0</v>
      </c>
      <c r="AZ110" s="20">
        <f t="shared" si="54"/>
        <v>0</v>
      </c>
      <c r="BA110" s="20">
        <f t="shared" si="54"/>
        <v>0</v>
      </c>
      <c r="BB110" s="20">
        <f t="shared" si="54"/>
        <v>0</v>
      </c>
      <c r="BC110" s="20">
        <f t="shared" si="54"/>
        <v>0</v>
      </c>
      <c r="BD110" s="20">
        <f t="shared" si="54"/>
        <v>0</v>
      </c>
      <c r="BE110" s="20">
        <f t="shared" si="54"/>
        <v>0</v>
      </c>
      <c r="BF110" s="20">
        <f t="shared" si="54"/>
        <v>0</v>
      </c>
      <c r="BG110" s="20">
        <f t="shared" si="54"/>
        <v>0</v>
      </c>
      <c r="BH110" s="20">
        <f t="shared" si="54"/>
        <v>0</v>
      </c>
      <c r="BI110" s="20">
        <f t="shared" si="54"/>
        <v>0</v>
      </c>
      <c r="BJ110" s="20">
        <f t="shared" si="54"/>
        <v>0</v>
      </c>
      <c r="BK110" s="20">
        <f t="shared" si="54"/>
        <v>0</v>
      </c>
      <c r="BL110" s="20">
        <f t="shared" si="54"/>
        <v>0</v>
      </c>
      <c r="BM110" s="20">
        <f t="shared" si="54"/>
        <v>0</v>
      </c>
      <c r="BN110" s="20">
        <f t="shared" si="54"/>
        <v>0</v>
      </c>
      <c r="BO110" s="20">
        <f t="shared" si="54"/>
        <v>0</v>
      </c>
      <c r="BP110" s="20">
        <f t="shared" si="54"/>
        <v>0</v>
      </c>
    </row>
    <row r="111" spans="3:68" x14ac:dyDescent="0.25">
      <c r="C111" t="s">
        <v>693</v>
      </c>
      <c r="D111" t="s">
        <v>844</v>
      </c>
      <c r="E111" s="31">
        <f>Inputs!$E$61</f>
        <v>0.12</v>
      </c>
      <c r="F111" s="20"/>
      <c r="G111" s="20">
        <f>SUM(H111:BP111)</f>
        <v>4390.439824678094</v>
      </c>
      <c r="H111" s="20">
        <f>IF(Inputs!$E$69=1,(1+$E$111)^(1/12)-1,$E$111/12)*(H109+H110)*H$10</f>
        <v>0</v>
      </c>
      <c r="I111" s="20">
        <f>IF(Inputs!$E$69=1,(1+$E$111)^(1/12)-1,$E$111/12)*(I109+I110)*I$10</f>
        <v>0</v>
      </c>
      <c r="J111" s="20">
        <f>IF(Inputs!$E$69=1,(1+$E$111)^(1/12)-1,$E$111/12)*(J109+J110)*J$10</f>
        <v>0</v>
      </c>
      <c r="K111" s="20">
        <f>IF(Inputs!$E$69=1,(1+$E$111)^(1/12)-1,$E$111/12)*(K109+K110)*K$10</f>
        <v>0</v>
      </c>
      <c r="L111" s="20">
        <f>IF(Inputs!$E$69=1,(1+$E$111)^(1/12)-1,$E$111/12)*(L109+L110)*L$10</f>
        <v>0</v>
      </c>
      <c r="M111" s="20">
        <f>IF(Inputs!$E$69=1,(1+$E$111)^(1/12)-1,$E$111/12)*(M109+M110)*M$10</f>
        <v>23.397023674314358</v>
      </c>
      <c r="N111" s="20">
        <f>IF(Inputs!$E$69=1,(1+$E$111)^(1/12)-1,$E$111/12)*(N109+N110)*N$10</f>
        <v>23.619033187245467</v>
      </c>
      <c r="O111" s="20">
        <f>IF(Inputs!$E$69=1,(1+$E$111)^(1/12)-1,$E$111/12)*(O109+O110)*O$10</f>
        <v>23.84314930247428</v>
      </c>
      <c r="P111" s="20">
        <f>IF(Inputs!$E$69=1,(1+$E$111)^(1/12)-1,$E$111/12)*(P109+P110)*P$10</f>
        <v>24.069392009113805</v>
      </c>
      <c r="Q111" s="20">
        <f>IF(Inputs!$E$69=1,(1+$E$111)^(1/12)-1,$E$111/12)*(Q109+Q110)*Q$10</f>
        <v>24.297781485949596</v>
      </c>
      <c r="R111" s="20">
        <f>IF(Inputs!$E$69=1,(1+$E$111)^(1/12)-1,$E$111/12)*(R109+R110)*R$10</f>
        <v>24.528338103239516</v>
      </c>
      <c r="S111" s="20">
        <f>IF(Inputs!$E$69=1,(1+$E$111)^(1/12)-1,$E$111/12)*(S109+S110)*S$10</f>
        <v>24.761082424530603</v>
      </c>
      <c r="T111" s="20">
        <f>IF(Inputs!$E$69=1,(1+$E$111)^(1/12)-1,$E$111/12)*(T109+T110)*T$10</f>
        <v>24.996035208493115</v>
      </c>
      <c r="U111" s="20">
        <f>IF(Inputs!$E$69=1,(1+$E$111)^(1/12)-1,$E$111/12)*(U109+U110)*U$10</f>
        <v>25.233217410772056</v>
      </c>
      <c r="V111" s="20">
        <f>IF(Inputs!$E$69=1,(1+$E$111)^(1/12)-1,$E$111/12)*(V109+V110)*V$10</f>
        <v>25.472650185856185</v>
      </c>
      <c r="W111" s="20">
        <f>IF(Inputs!$E$69=1,(1+$E$111)^(1/12)-1,$E$111/12)*(W109+W110)*W$10</f>
        <v>25.714354888964845</v>
      </c>
      <c r="X111" s="20">
        <f>IF(Inputs!$E$69=1,(1+$E$111)^(1/12)-1,$E$111/12)*(X109+X110)*X$10</f>
        <v>25.958353077952616</v>
      </c>
      <c r="Y111" s="20">
        <f>IF(Inputs!$E$69=1,(1+$E$111)^(1/12)-1,$E$111/12)*(Y109+Y110)*Y$10</f>
        <v>26.204666515232105</v>
      </c>
      <c r="Z111" s="20">
        <f>IF(Inputs!$E$69=1,(1+$E$111)^(1/12)-1,$E$111/12)*(Z109+Z110)*Z$10</f>
        <v>26.453317169714943</v>
      </c>
      <c r="AA111" s="20">
        <f>IF(Inputs!$E$69=1,(1+$E$111)^(1/12)-1,$E$111/12)*(AA109+AA110)*AA$10</f>
        <v>26.70432721877122</v>
      </c>
      <c r="AB111" s="20">
        <f>IF(Inputs!$E$69=1,(1+$E$111)^(1/12)-1,$E$111/12)*(AB109+AB110)*AB$10</f>
        <v>26.957719050207487</v>
      </c>
      <c r="AC111" s="20">
        <f>IF(Inputs!$E$69=1,(1+$E$111)^(1/12)-1,$E$111/12)*(AC109+AC110)*AC$10</f>
        <v>27.21351526426357</v>
      </c>
      <c r="AD111" s="20">
        <f>IF(Inputs!$E$69=1,(1+$E$111)^(1/12)-1,$E$111/12)*(AD109+AD110)*AD$10</f>
        <v>27.471738675628284</v>
      </c>
      <c r="AE111" s="20">
        <f>IF(Inputs!$E$69=1,(1+$E$111)^(1/12)-1,$E$111/12)*(AE109+AE110)*AE$10</f>
        <v>27.732412315474296</v>
      </c>
      <c r="AF111" s="20">
        <f>IF(Inputs!$E$69=1,(1+$E$111)^(1/12)-1,$E$111/12)*(AF109+AF110)*AF$10</f>
        <v>27.995559433512312</v>
      </c>
      <c r="AG111" s="20">
        <f>IF(Inputs!$E$69=1,(1+$E$111)^(1/12)-1,$E$111/12)*(AG109+AG110)*AG$10</f>
        <v>28.261203500064727</v>
      </c>
      <c r="AH111" s="20">
        <f>IF(Inputs!$E$69=1,(1+$E$111)^(1/12)-1,$E$111/12)*(AH109+AH110)*AH$10</f>
        <v>28.529368208158953</v>
      </c>
      <c r="AI111" s="20">
        <f>IF(Inputs!$E$69=1,(1+$E$111)^(1/12)-1,$E$111/12)*(AI109+AI110)*AI$10</f>
        <v>28.80007747564065</v>
      </c>
      <c r="AJ111" s="20">
        <f>IF(Inputs!$E$69=1,(1+$E$111)^(1/12)-1,$E$111/12)*(AJ109+AJ110)*AJ$10</f>
        <v>29.07335544730695</v>
      </c>
      <c r="AK111" s="20">
        <f>IF(Inputs!$E$69=1,(1+$E$111)^(1/12)-1,$E$111/12)*(AK109+AK110)*AK$10</f>
        <v>29.349226497059977</v>
      </c>
      <c r="AL111" s="20">
        <f>IF(Inputs!$E$69=1,(1+$E$111)^(1/12)-1,$E$111/12)*(AL109+AL110)*AL$10</f>
        <v>399.36846276681104</v>
      </c>
      <c r="AM111" s="20">
        <f>IF(Inputs!$E$69=1,(1+$E$111)^(1/12)-1,$E$111/12)*(AM109+AM110)*AM$10</f>
        <v>403.15798741460804</v>
      </c>
      <c r="AN111" s="20">
        <f>IF(Inputs!$E$69=1,(1+$E$111)^(1/12)-1,$E$111/12)*(AN109+AN110)*AN$10</f>
        <v>406.98347007710845</v>
      </c>
      <c r="AO111" s="20">
        <f>IF(Inputs!$E$69=1,(1+$E$111)^(1/12)-1,$E$111/12)*(AO109+AO110)*AO$10</f>
        <v>410.84525195246823</v>
      </c>
      <c r="AP111" s="20">
        <f>IF(Inputs!$E$69=1,(1+$E$111)^(1/12)-1,$E$111/12)*(AP109+AP110)*AP$10</f>
        <v>414.7436774764018</v>
      </c>
      <c r="AQ111" s="20">
        <f>IF(Inputs!$E$69=1,(1+$E$111)^(1/12)-1,$E$111/12)*(AQ109+AQ110)*AQ$10</f>
        <v>418.67909435290284</v>
      </c>
      <c r="AR111" s="20">
        <f>IF(Inputs!$E$69=1,(1+$E$111)^(1/12)-1,$E$111/12)*(AR109+AR110)*AR$10</f>
        <v>0</v>
      </c>
      <c r="AS111" s="20">
        <f>IF(Inputs!$E$69=1,(1+$E$111)^(1/12)-1,$E$111/12)*(AS109+AS110)*AS$10</f>
        <v>0</v>
      </c>
      <c r="AT111" s="20">
        <f>IF(Inputs!$E$69=1,(1+$E$111)^(1/12)-1,$E$111/12)*(AT109+AT110)*AT$10</f>
        <v>0</v>
      </c>
      <c r="AU111" s="20">
        <f>IF(Inputs!$E$69=1,(1+$E$111)^(1/12)-1,$E$111/12)*(AU109+AU110)*AU$10</f>
        <v>0</v>
      </c>
      <c r="AV111" s="20">
        <f>IF(Inputs!$E$69=1,(1+$E$111)^(1/12)-1,$E$111/12)*(AV109+AV110)*AV$10</f>
        <v>0</v>
      </c>
      <c r="AW111" s="20">
        <f>IF(Inputs!$E$69=1,(1+$E$111)^(1/12)-1,$E$111/12)*(AW109+AW110)*AW$10</f>
        <v>0</v>
      </c>
      <c r="AX111" s="20">
        <f>IF(Inputs!$E$69=1,(1+$E$111)^(1/12)-1,$E$111/12)*(AX109+AX110)*AX$10</f>
        <v>422.6518535852563</v>
      </c>
      <c r="AY111" s="20">
        <f>IF(Inputs!$E$69=1,(1+$E$111)^(1/12)-1,$E$111/12)*(AY109+AY110)*AY$10</f>
        <v>426.6623095073445</v>
      </c>
      <c r="AZ111" s="20">
        <f>IF(Inputs!$E$69=1,(1+$E$111)^(1/12)-1,$E$111/12)*(AZ109+AZ110)*AZ$10</f>
        <v>430.7108198152507</v>
      </c>
      <c r="BA111" s="20">
        <f>IF(Inputs!$E$69=1,(1+$E$111)^(1/12)-1,$E$111/12)*(BA109+BA110)*BA$10</f>
        <v>0</v>
      </c>
      <c r="BB111" s="20">
        <f>IF(Inputs!$E$69=1,(1+$E$111)^(1/12)-1,$E$111/12)*(BB109+BB110)*BB$10</f>
        <v>0</v>
      </c>
      <c r="BC111" s="20">
        <f>IF(Inputs!$E$69=1,(1+$E$111)^(1/12)-1,$E$111/12)*(BC109+BC110)*BC$10</f>
        <v>0</v>
      </c>
      <c r="BD111" s="20">
        <f>IF(Inputs!$E$69=1,(1+$E$111)^(1/12)-1,$E$111/12)*(BD109+BD110)*BD$10</f>
        <v>0</v>
      </c>
      <c r="BE111" s="20">
        <f>IF(Inputs!$E$69=1,(1+$E$111)^(1/12)-1,$E$111/12)*(BE109+BE110)*BE$10</f>
        <v>0</v>
      </c>
      <c r="BF111" s="20">
        <f>IF(Inputs!$E$69=1,(1+$E$111)^(1/12)-1,$E$111/12)*(BF109+BF110)*BF$10</f>
        <v>0</v>
      </c>
      <c r="BG111" s="20">
        <f>IF(Inputs!$E$69=1,(1+$E$111)^(1/12)-1,$E$111/12)*(BG109+BG110)*BG$10</f>
        <v>0</v>
      </c>
      <c r="BH111" s="20">
        <f>IF(Inputs!$E$69=1,(1+$E$111)^(1/12)-1,$E$111/12)*(BH109+BH110)*BH$10</f>
        <v>0</v>
      </c>
      <c r="BI111" s="20">
        <f>IF(Inputs!$E$69=1,(1+$E$111)^(1/12)-1,$E$111/12)*(BI109+BI110)*BI$10</f>
        <v>0</v>
      </c>
      <c r="BJ111" s="20">
        <f>IF(Inputs!$E$69=1,(1+$E$111)^(1/12)-1,$E$111/12)*(BJ109+BJ110)*BJ$10</f>
        <v>0</v>
      </c>
      <c r="BK111" s="20">
        <f>IF(Inputs!$E$69=1,(1+$E$111)^(1/12)-1,$E$111/12)*(BK109+BK110)*BK$10</f>
        <v>0</v>
      </c>
      <c r="BL111" s="20">
        <f>IF(Inputs!$E$69=1,(1+$E$111)^(1/12)-1,$E$111/12)*(BL109+BL110)*BL$10</f>
        <v>0</v>
      </c>
      <c r="BM111" s="20">
        <f>IF(Inputs!$E$69=1,(1+$E$111)^(1/12)-1,$E$111/12)*(BM109+BM110)*BM$10</f>
        <v>0</v>
      </c>
      <c r="BN111" s="20">
        <f>IF(Inputs!$E$69=1,(1+$E$111)^(1/12)-1,$E$111/12)*(BN109+BN110)*BN$10</f>
        <v>0</v>
      </c>
      <c r="BO111" s="20">
        <f>IF(Inputs!$E$69=1,(1+$E$111)^(1/12)-1,$E$111/12)*(BO109+BO110)*BO$10</f>
        <v>0</v>
      </c>
      <c r="BP111" s="20">
        <f>IF(Inputs!$E$69=1,(1+$E$111)^(1/12)-1,$E$111/12)*(BP109+BP110)*BP$10</f>
        <v>0</v>
      </c>
    </row>
    <row r="112" spans="3:68" x14ac:dyDescent="0.25">
      <c r="C112" t="s">
        <v>28</v>
      </c>
      <c r="D112" t="s">
        <v>844</v>
      </c>
      <c r="E112" s="20"/>
      <c r="F112" s="20"/>
      <c r="G112" s="20">
        <f>SUM(H112:BP112)</f>
        <v>-45822.239835636996</v>
      </c>
      <c r="H112" s="20">
        <f t="shared" ref="H112:AM112" si="55">-H$7*(H109+H110+H111)</f>
        <v>-0</v>
      </c>
      <c r="I112" s="20">
        <f t="shared" si="55"/>
        <v>-0</v>
      </c>
      <c r="J112" s="20">
        <f t="shared" si="55"/>
        <v>-0</v>
      </c>
      <c r="K112" s="20">
        <f t="shared" si="55"/>
        <v>-0</v>
      </c>
      <c r="L112" s="20">
        <f t="shared" si="55"/>
        <v>-0</v>
      </c>
      <c r="M112" s="20">
        <f t="shared" si="55"/>
        <v>-0</v>
      </c>
      <c r="N112" s="20">
        <f t="shared" si="55"/>
        <v>-0</v>
      </c>
      <c r="O112" s="20">
        <f t="shared" si="55"/>
        <v>-0</v>
      </c>
      <c r="P112" s="20">
        <f t="shared" si="55"/>
        <v>-0</v>
      </c>
      <c r="Q112" s="20">
        <f t="shared" si="55"/>
        <v>-0</v>
      </c>
      <c r="R112" s="20">
        <f t="shared" si="55"/>
        <v>-0</v>
      </c>
      <c r="S112" s="20">
        <f t="shared" si="55"/>
        <v>-0</v>
      </c>
      <c r="T112" s="20">
        <f t="shared" si="55"/>
        <v>-0</v>
      </c>
      <c r="U112" s="20">
        <f t="shared" si="55"/>
        <v>-0</v>
      </c>
      <c r="V112" s="20">
        <f t="shared" si="55"/>
        <v>-0</v>
      </c>
      <c r="W112" s="20">
        <f t="shared" si="55"/>
        <v>-0</v>
      </c>
      <c r="X112" s="20">
        <f t="shared" si="55"/>
        <v>-0</v>
      </c>
      <c r="Y112" s="20">
        <f t="shared" si="55"/>
        <v>-0</v>
      </c>
      <c r="Z112" s="20">
        <f t="shared" si="55"/>
        <v>-0</v>
      </c>
      <c r="AA112" s="20">
        <f t="shared" si="55"/>
        <v>-0</v>
      </c>
      <c r="AB112" s="20">
        <f t="shared" si="55"/>
        <v>-0</v>
      </c>
      <c r="AC112" s="20">
        <f t="shared" si="55"/>
        <v>-0</v>
      </c>
      <c r="AD112" s="20">
        <f t="shared" si="55"/>
        <v>-0</v>
      </c>
      <c r="AE112" s="20">
        <f t="shared" si="55"/>
        <v>-0</v>
      </c>
      <c r="AF112" s="20">
        <f t="shared" si="55"/>
        <v>-0</v>
      </c>
      <c r="AG112" s="20">
        <f t="shared" si="55"/>
        <v>-0</v>
      </c>
      <c r="AH112" s="20">
        <f t="shared" si="55"/>
        <v>-0</v>
      </c>
      <c r="AI112" s="20">
        <f t="shared" si="55"/>
        <v>-0</v>
      </c>
      <c r="AJ112" s="20">
        <f t="shared" si="55"/>
        <v>-0</v>
      </c>
      <c r="AK112" s="20">
        <f t="shared" si="55"/>
        <v>-0</v>
      </c>
      <c r="AL112" s="20">
        <f t="shared" si="55"/>
        <v>-0</v>
      </c>
      <c r="AM112" s="20">
        <f t="shared" si="55"/>
        <v>-0</v>
      </c>
      <c r="AN112" s="20">
        <f t="shared" ref="AN112:BP112" si="56">-AN$7*(AN109+AN110+AN111)</f>
        <v>-0</v>
      </c>
      <c r="AO112" s="20">
        <f t="shared" si="56"/>
        <v>-0</v>
      </c>
      <c r="AP112" s="20">
        <f t="shared" si="56"/>
        <v>-0</v>
      </c>
      <c r="AQ112" s="20">
        <f t="shared" si="56"/>
        <v>-0</v>
      </c>
      <c r="AR112" s="20">
        <f t="shared" si="56"/>
        <v>-0</v>
      </c>
      <c r="AS112" s="20">
        <f t="shared" si="56"/>
        <v>-0</v>
      </c>
      <c r="AT112" s="20">
        <f t="shared" si="56"/>
        <v>-0</v>
      </c>
      <c r="AU112" s="20">
        <f t="shared" si="56"/>
        <v>-0</v>
      </c>
      <c r="AV112" s="20">
        <f t="shared" si="56"/>
        <v>-0</v>
      </c>
      <c r="AW112" s="20">
        <f t="shared" si="56"/>
        <v>-0</v>
      </c>
      <c r="AX112" s="20">
        <f t="shared" si="56"/>
        <v>-0</v>
      </c>
      <c r="AY112" s="20">
        <f t="shared" si="56"/>
        <v>-0</v>
      </c>
      <c r="AZ112" s="20">
        <f t="shared" si="56"/>
        <v>-45822.239835636996</v>
      </c>
      <c r="BA112" s="20">
        <f t="shared" si="56"/>
        <v>-0</v>
      </c>
      <c r="BB112" s="20">
        <f t="shared" si="56"/>
        <v>-0</v>
      </c>
      <c r="BC112" s="20">
        <f t="shared" si="56"/>
        <v>-0</v>
      </c>
      <c r="BD112" s="20">
        <f t="shared" si="56"/>
        <v>-0</v>
      </c>
      <c r="BE112" s="20">
        <f t="shared" si="56"/>
        <v>-0</v>
      </c>
      <c r="BF112" s="20">
        <f t="shared" si="56"/>
        <v>-0</v>
      </c>
      <c r="BG112" s="20">
        <f t="shared" si="56"/>
        <v>-0</v>
      </c>
      <c r="BH112" s="20">
        <f t="shared" si="56"/>
        <v>-0</v>
      </c>
      <c r="BI112" s="20">
        <f t="shared" si="56"/>
        <v>-0</v>
      </c>
      <c r="BJ112" s="20">
        <f t="shared" si="56"/>
        <v>-0</v>
      </c>
      <c r="BK112" s="20">
        <f t="shared" si="56"/>
        <v>-0</v>
      </c>
      <c r="BL112" s="20">
        <f t="shared" si="56"/>
        <v>-0</v>
      </c>
      <c r="BM112" s="20">
        <f t="shared" si="56"/>
        <v>-0</v>
      </c>
      <c r="BN112" s="20">
        <f t="shared" si="56"/>
        <v>-0</v>
      </c>
      <c r="BO112" s="20">
        <f t="shared" si="56"/>
        <v>-0</v>
      </c>
      <c r="BP112" s="20">
        <f t="shared" si="56"/>
        <v>-0</v>
      </c>
    </row>
    <row r="113" spans="3:68" x14ac:dyDescent="0.25">
      <c r="C113" t="s">
        <v>33</v>
      </c>
      <c r="D113" t="s">
        <v>844</v>
      </c>
      <c r="E113" s="20"/>
      <c r="F113" s="20"/>
      <c r="G113" s="20"/>
      <c r="H113" s="20">
        <f t="shared" ref="H113:AM113" si="57">SUM(H109:H112)</f>
        <v>0</v>
      </c>
      <c r="I113" s="20">
        <f t="shared" si="57"/>
        <v>0</v>
      </c>
      <c r="J113" s="20">
        <f t="shared" si="57"/>
        <v>0</v>
      </c>
      <c r="K113" s="20">
        <f t="shared" si="57"/>
        <v>0</v>
      </c>
      <c r="L113" s="20">
        <f t="shared" si="57"/>
        <v>0</v>
      </c>
      <c r="M113" s="20">
        <f t="shared" si="57"/>
        <v>2489.1504483318486</v>
      </c>
      <c r="N113" s="20">
        <f t="shared" si="57"/>
        <v>2512.769481519094</v>
      </c>
      <c r="O113" s="20">
        <f t="shared" si="57"/>
        <v>2536.612630821568</v>
      </c>
      <c r="P113" s="20">
        <f t="shared" si="57"/>
        <v>2560.682022830682</v>
      </c>
      <c r="Q113" s="20">
        <f t="shared" si="57"/>
        <v>2584.9798043166315</v>
      </c>
      <c r="R113" s="20">
        <f t="shared" si="57"/>
        <v>2609.508142419871</v>
      </c>
      <c r="S113" s="20">
        <f t="shared" si="57"/>
        <v>2634.269224844402</v>
      </c>
      <c r="T113" s="20">
        <f t="shared" si="57"/>
        <v>2659.265260052895</v>
      </c>
      <c r="U113" s="20">
        <f t="shared" si="57"/>
        <v>2684.498477463667</v>
      </c>
      <c r="V113" s="20">
        <f t="shared" si="57"/>
        <v>2709.971127649523</v>
      </c>
      <c r="W113" s="20">
        <f t="shared" si="57"/>
        <v>2735.685482538488</v>
      </c>
      <c r="X113" s="20">
        <f t="shared" si="57"/>
        <v>2761.643835616441</v>
      </c>
      <c r="Y113" s="20">
        <f t="shared" si="57"/>
        <v>2787.848502131673</v>
      </c>
      <c r="Z113" s="20">
        <f t="shared" si="57"/>
        <v>2814.3018193013877</v>
      </c>
      <c r="AA113" s="20">
        <f t="shared" si="57"/>
        <v>2841.006146520159</v>
      </c>
      <c r="AB113" s="20">
        <f t="shared" si="57"/>
        <v>2867.963865570366</v>
      </c>
      <c r="AC113" s="20">
        <f t="shared" si="57"/>
        <v>2895.1773808346297</v>
      </c>
      <c r="AD113" s="20">
        <f t="shared" si="57"/>
        <v>2922.649119510258</v>
      </c>
      <c r="AE113" s="20">
        <f t="shared" si="57"/>
        <v>2950.3815318257325</v>
      </c>
      <c r="AF113" s="20">
        <f t="shared" si="57"/>
        <v>2978.377091259245</v>
      </c>
      <c r="AG113" s="20">
        <f t="shared" si="57"/>
        <v>3006.6382947593097</v>
      </c>
      <c r="AH113" s="20">
        <f t="shared" si="57"/>
        <v>3035.1676629674685</v>
      </c>
      <c r="AI113" s="20">
        <f t="shared" si="57"/>
        <v>3063.967740443109</v>
      </c>
      <c r="AJ113" s="20">
        <f t="shared" si="57"/>
        <v>3093.041095890416</v>
      </c>
      <c r="AK113" s="20">
        <f t="shared" si="57"/>
        <v>3122.390322387476</v>
      </c>
      <c r="AL113" s="20">
        <f t="shared" si="57"/>
        <v>42487.80537145566</v>
      </c>
      <c r="AM113" s="20">
        <f t="shared" si="57"/>
        <v>42890.96335887026</v>
      </c>
      <c r="AN113" s="20">
        <f t="shared" ref="AN113:BP113" si="58">SUM(AN109:AN112)</f>
        <v>43297.94682894737</v>
      </c>
      <c r="AO113" s="20">
        <f t="shared" si="58"/>
        <v>43708.79208089984</v>
      </c>
      <c r="AP113" s="20">
        <f t="shared" si="58"/>
        <v>44123.53575837624</v>
      </c>
      <c r="AQ113" s="20">
        <f t="shared" si="58"/>
        <v>44542.21485272914</v>
      </c>
      <c r="AR113" s="20">
        <f t="shared" si="58"/>
        <v>44542.21485272914</v>
      </c>
      <c r="AS113" s="20">
        <f t="shared" si="58"/>
        <v>44542.21485272914</v>
      </c>
      <c r="AT113" s="20">
        <f t="shared" si="58"/>
        <v>44542.21485272914</v>
      </c>
      <c r="AU113" s="20">
        <f t="shared" si="58"/>
        <v>44542.21485272914</v>
      </c>
      <c r="AV113" s="20">
        <f t="shared" si="58"/>
        <v>44542.21485272914</v>
      </c>
      <c r="AW113" s="20">
        <f t="shared" si="58"/>
        <v>44542.21485272914</v>
      </c>
      <c r="AX113" s="20">
        <f t="shared" si="58"/>
        <v>44964.8667063144</v>
      </c>
      <c r="AY113" s="20">
        <f t="shared" si="58"/>
        <v>45391.52901582175</v>
      </c>
      <c r="AZ113" s="20">
        <f t="shared" si="58"/>
        <v>0</v>
      </c>
      <c r="BA113" s="20">
        <f t="shared" si="58"/>
        <v>0</v>
      </c>
      <c r="BB113" s="20">
        <f t="shared" si="58"/>
        <v>0</v>
      </c>
      <c r="BC113" s="20">
        <f t="shared" si="58"/>
        <v>0</v>
      </c>
      <c r="BD113" s="20">
        <f t="shared" si="58"/>
        <v>0</v>
      </c>
      <c r="BE113" s="20">
        <f t="shared" si="58"/>
        <v>0</v>
      </c>
      <c r="BF113" s="20">
        <f t="shared" si="58"/>
        <v>0</v>
      </c>
      <c r="BG113" s="20">
        <f t="shared" si="58"/>
        <v>0</v>
      </c>
      <c r="BH113" s="20">
        <f t="shared" si="58"/>
        <v>0</v>
      </c>
      <c r="BI113" s="20">
        <f t="shared" si="58"/>
        <v>0</v>
      </c>
      <c r="BJ113" s="20">
        <f t="shared" si="58"/>
        <v>0</v>
      </c>
      <c r="BK113" s="20">
        <f t="shared" si="58"/>
        <v>0</v>
      </c>
      <c r="BL113" s="20">
        <f t="shared" si="58"/>
        <v>0</v>
      </c>
      <c r="BM113" s="20">
        <f t="shared" si="58"/>
        <v>0</v>
      </c>
      <c r="BN113" s="20">
        <f t="shared" si="58"/>
        <v>0</v>
      </c>
      <c r="BO113" s="20">
        <f t="shared" si="58"/>
        <v>0</v>
      </c>
      <c r="BP113" s="20">
        <f t="shared" si="58"/>
        <v>0</v>
      </c>
    </row>
    <row r="114" spans="3:68" x14ac:dyDescent="0.25">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row>
    <row r="115" spans="3:68" x14ac:dyDescent="0.25">
      <c r="C115" s="6" t="s">
        <v>694</v>
      </c>
      <c r="D115" s="6"/>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5"/>
      <c r="AS115" s="95"/>
      <c r="AT115" s="95"/>
      <c r="AU115" s="95"/>
      <c r="AV115" s="95"/>
      <c r="AW115" s="95"/>
      <c r="AX115" s="95"/>
      <c r="AY115" s="95"/>
      <c r="AZ115" s="95"/>
      <c r="BA115" s="95"/>
      <c r="BB115" s="95"/>
      <c r="BC115" s="95"/>
      <c r="BD115" s="95"/>
      <c r="BE115" s="95"/>
      <c r="BF115" s="95"/>
      <c r="BG115" s="95"/>
      <c r="BH115" s="95"/>
      <c r="BI115" s="95"/>
      <c r="BJ115" s="95"/>
      <c r="BK115" s="95"/>
      <c r="BL115" s="95"/>
      <c r="BM115" s="95"/>
      <c r="BN115" s="95"/>
      <c r="BO115" s="95"/>
      <c r="BP115" s="95"/>
    </row>
    <row r="116" spans="3:68" x14ac:dyDescent="0.25">
      <c r="C116" t="s">
        <v>32</v>
      </c>
      <c r="D116" t="s">
        <v>844</v>
      </c>
      <c r="E116" s="20"/>
      <c r="F116" s="20"/>
      <c r="G116" s="20"/>
      <c r="H116" s="20">
        <v>0</v>
      </c>
      <c r="I116" s="20">
        <f t="shared" ref="I116:AN116" si="59">H120</f>
        <v>0</v>
      </c>
      <c r="J116" s="20">
        <f t="shared" si="59"/>
        <v>0</v>
      </c>
      <c r="K116" s="20">
        <f t="shared" si="59"/>
        <v>0</v>
      </c>
      <c r="L116" s="20">
        <f t="shared" si="59"/>
        <v>0</v>
      </c>
      <c r="M116" s="20">
        <f t="shared" si="59"/>
        <v>0</v>
      </c>
      <c r="N116" s="20">
        <f t="shared" si="59"/>
        <v>0</v>
      </c>
      <c r="O116" s="20">
        <f t="shared" si="59"/>
        <v>0</v>
      </c>
      <c r="P116" s="20">
        <f t="shared" si="59"/>
        <v>0</v>
      </c>
      <c r="Q116" s="20">
        <f t="shared" si="59"/>
        <v>0</v>
      </c>
      <c r="R116" s="20">
        <f t="shared" si="59"/>
        <v>0</v>
      </c>
      <c r="S116" s="20">
        <f t="shared" si="59"/>
        <v>0</v>
      </c>
      <c r="T116" s="20">
        <f t="shared" si="59"/>
        <v>0</v>
      </c>
      <c r="U116" s="20">
        <f t="shared" si="59"/>
        <v>0</v>
      </c>
      <c r="V116" s="20">
        <f t="shared" si="59"/>
        <v>0</v>
      </c>
      <c r="W116" s="20">
        <f t="shared" si="59"/>
        <v>0</v>
      </c>
      <c r="X116" s="20">
        <f t="shared" si="59"/>
        <v>0</v>
      </c>
      <c r="Y116" s="20">
        <f t="shared" si="59"/>
        <v>0</v>
      </c>
      <c r="Z116" s="20">
        <f t="shared" si="59"/>
        <v>0</v>
      </c>
      <c r="AA116" s="20">
        <f t="shared" si="59"/>
        <v>0</v>
      </c>
      <c r="AB116" s="20">
        <f t="shared" si="59"/>
        <v>0</v>
      </c>
      <c r="AC116" s="20">
        <f t="shared" si="59"/>
        <v>0</v>
      </c>
      <c r="AD116" s="20">
        <f t="shared" si="59"/>
        <v>0</v>
      </c>
      <c r="AE116" s="20">
        <f t="shared" si="59"/>
        <v>0</v>
      </c>
      <c r="AF116" s="20">
        <f t="shared" si="59"/>
        <v>0</v>
      </c>
      <c r="AG116" s="20">
        <f t="shared" si="59"/>
        <v>0</v>
      </c>
      <c r="AH116" s="20">
        <f t="shared" si="59"/>
        <v>0</v>
      </c>
      <c r="AI116" s="20">
        <f t="shared" si="59"/>
        <v>0</v>
      </c>
      <c r="AJ116" s="20">
        <f t="shared" si="59"/>
        <v>0</v>
      </c>
      <c r="AK116" s="20">
        <f t="shared" si="59"/>
        <v>0</v>
      </c>
      <c r="AL116" s="20">
        <f t="shared" si="59"/>
        <v>0</v>
      </c>
      <c r="AM116" s="20">
        <f t="shared" si="59"/>
        <v>0</v>
      </c>
      <c r="AN116" s="20">
        <f t="shared" si="59"/>
        <v>0</v>
      </c>
      <c r="AO116" s="20">
        <f t="shared" ref="AO116:BP116" si="60">AN120</f>
        <v>0</v>
      </c>
      <c r="AP116" s="20">
        <f t="shared" si="60"/>
        <v>0</v>
      </c>
      <c r="AQ116" s="20">
        <f t="shared" si="60"/>
        <v>0</v>
      </c>
      <c r="AR116" s="20">
        <f t="shared" si="60"/>
        <v>0</v>
      </c>
      <c r="AS116" s="20">
        <f t="shared" si="60"/>
        <v>0</v>
      </c>
      <c r="AT116" s="20">
        <f t="shared" si="60"/>
        <v>0</v>
      </c>
      <c r="AU116" s="20">
        <f t="shared" si="60"/>
        <v>0</v>
      </c>
      <c r="AV116" s="20">
        <f t="shared" si="60"/>
        <v>0</v>
      </c>
      <c r="AW116" s="20">
        <f t="shared" si="60"/>
        <v>0</v>
      </c>
      <c r="AX116" s="20">
        <f t="shared" si="60"/>
        <v>0</v>
      </c>
      <c r="AY116" s="20">
        <f t="shared" si="60"/>
        <v>0</v>
      </c>
      <c r="AZ116" s="20">
        <f t="shared" si="60"/>
        <v>0</v>
      </c>
      <c r="BA116" s="20">
        <f t="shared" si="60"/>
        <v>0</v>
      </c>
      <c r="BB116" s="20">
        <f t="shared" si="60"/>
        <v>0</v>
      </c>
      <c r="BC116" s="20">
        <f t="shared" si="60"/>
        <v>0</v>
      </c>
      <c r="BD116" s="20">
        <f t="shared" si="60"/>
        <v>0</v>
      </c>
      <c r="BE116" s="20">
        <f t="shared" si="60"/>
        <v>0</v>
      </c>
      <c r="BF116" s="20">
        <f t="shared" si="60"/>
        <v>0</v>
      </c>
      <c r="BG116" s="20">
        <f t="shared" si="60"/>
        <v>0</v>
      </c>
      <c r="BH116" s="20">
        <f t="shared" si="60"/>
        <v>0</v>
      </c>
      <c r="BI116" s="20">
        <f t="shared" si="60"/>
        <v>0</v>
      </c>
      <c r="BJ116" s="20">
        <f t="shared" si="60"/>
        <v>0</v>
      </c>
      <c r="BK116" s="20">
        <f t="shared" si="60"/>
        <v>0</v>
      </c>
      <c r="BL116" s="20">
        <f t="shared" si="60"/>
        <v>0</v>
      </c>
      <c r="BM116" s="20">
        <f t="shared" si="60"/>
        <v>0</v>
      </c>
      <c r="BN116" s="20">
        <f t="shared" si="60"/>
        <v>0</v>
      </c>
      <c r="BO116" s="20">
        <f t="shared" si="60"/>
        <v>0</v>
      </c>
      <c r="BP116" s="20">
        <f t="shared" si="60"/>
        <v>0</v>
      </c>
    </row>
    <row r="117" spans="3:68" x14ac:dyDescent="0.25">
      <c r="C117" t="s">
        <v>692</v>
      </c>
      <c r="D117" t="s">
        <v>844</v>
      </c>
      <c r="E117" s="20"/>
      <c r="F117" s="20"/>
      <c r="G117" s="20">
        <f>SUM(H117:BP117)</f>
        <v>0</v>
      </c>
      <c r="H117" s="20">
        <f t="shared" ref="H117:AM117" si="61">$E$107*H102</f>
        <v>0</v>
      </c>
      <c r="I117" s="20">
        <f t="shared" si="61"/>
        <v>0</v>
      </c>
      <c r="J117" s="20">
        <f t="shared" si="61"/>
        <v>0</v>
      </c>
      <c r="K117" s="20">
        <f t="shared" si="61"/>
        <v>0</v>
      </c>
      <c r="L117" s="20">
        <f t="shared" si="61"/>
        <v>0</v>
      </c>
      <c r="M117" s="20">
        <f t="shared" si="61"/>
        <v>0</v>
      </c>
      <c r="N117" s="20">
        <f t="shared" si="61"/>
        <v>0</v>
      </c>
      <c r="O117" s="20">
        <f t="shared" si="61"/>
        <v>0</v>
      </c>
      <c r="P117" s="20">
        <f t="shared" si="61"/>
        <v>0</v>
      </c>
      <c r="Q117" s="20">
        <f t="shared" si="61"/>
        <v>0</v>
      </c>
      <c r="R117" s="20">
        <f t="shared" si="61"/>
        <v>0</v>
      </c>
      <c r="S117" s="20">
        <f t="shared" si="61"/>
        <v>0</v>
      </c>
      <c r="T117" s="20">
        <f t="shared" si="61"/>
        <v>0</v>
      </c>
      <c r="U117" s="20">
        <f t="shared" si="61"/>
        <v>0</v>
      </c>
      <c r="V117" s="20">
        <f t="shared" si="61"/>
        <v>0</v>
      </c>
      <c r="W117" s="20">
        <f t="shared" si="61"/>
        <v>0</v>
      </c>
      <c r="X117" s="20">
        <f t="shared" si="61"/>
        <v>0</v>
      </c>
      <c r="Y117" s="20">
        <f t="shared" si="61"/>
        <v>0</v>
      </c>
      <c r="Z117" s="20">
        <f t="shared" si="61"/>
        <v>0</v>
      </c>
      <c r="AA117" s="20">
        <f t="shared" si="61"/>
        <v>0</v>
      </c>
      <c r="AB117" s="20">
        <f t="shared" si="61"/>
        <v>0</v>
      </c>
      <c r="AC117" s="20">
        <f t="shared" si="61"/>
        <v>0</v>
      </c>
      <c r="AD117" s="20">
        <f t="shared" si="61"/>
        <v>0</v>
      </c>
      <c r="AE117" s="20">
        <f t="shared" si="61"/>
        <v>0</v>
      </c>
      <c r="AF117" s="20">
        <f t="shared" si="61"/>
        <v>0</v>
      </c>
      <c r="AG117" s="20">
        <f t="shared" si="61"/>
        <v>0</v>
      </c>
      <c r="AH117" s="20">
        <f t="shared" si="61"/>
        <v>0</v>
      </c>
      <c r="AI117" s="20">
        <f t="shared" si="61"/>
        <v>0</v>
      </c>
      <c r="AJ117" s="20">
        <f t="shared" si="61"/>
        <v>0</v>
      </c>
      <c r="AK117" s="20">
        <f t="shared" si="61"/>
        <v>0</v>
      </c>
      <c r="AL117" s="20">
        <f t="shared" si="61"/>
        <v>0</v>
      </c>
      <c r="AM117" s="20">
        <f t="shared" si="61"/>
        <v>0</v>
      </c>
      <c r="AN117" s="20">
        <f t="shared" ref="AN117:BP117" si="62">$E$107*AN102</f>
        <v>0</v>
      </c>
      <c r="AO117" s="20">
        <f t="shared" si="62"/>
        <v>0</v>
      </c>
      <c r="AP117" s="20">
        <f t="shared" si="62"/>
        <v>0</v>
      </c>
      <c r="AQ117" s="20">
        <f t="shared" si="62"/>
        <v>0</v>
      </c>
      <c r="AR117" s="20">
        <f t="shared" si="62"/>
        <v>0</v>
      </c>
      <c r="AS117" s="20">
        <f t="shared" si="62"/>
        <v>0</v>
      </c>
      <c r="AT117" s="20">
        <f t="shared" si="62"/>
        <v>0</v>
      </c>
      <c r="AU117" s="20">
        <f t="shared" si="62"/>
        <v>0</v>
      </c>
      <c r="AV117" s="20">
        <f t="shared" si="62"/>
        <v>0</v>
      </c>
      <c r="AW117" s="20">
        <f t="shared" si="62"/>
        <v>0</v>
      </c>
      <c r="AX117" s="20">
        <f t="shared" si="62"/>
        <v>0</v>
      </c>
      <c r="AY117" s="20">
        <f t="shared" si="62"/>
        <v>0</v>
      </c>
      <c r="AZ117" s="20">
        <f t="shared" si="62"/>
        <v>0</v>
      </c>
      <c r="BA117" s="20">
        <f t="shared" si="62"/>
        <v>0</v>
      </c>
      <c r="BB117" s="20">
        <f t="shared" si="62"/>
        <v>0</v>
      </c>
      <c r="BC117" s="20">
        <f t="shared" si="62"/>
        <v>0</v>
      </c>
      <c r="BD117" s="20">
        <f t="shared" si="62"/>
        <v>0</v>
      </c>
      <c r="BE117" s="20">
        <f t="shared" si="62"/>
        <v>0</v>
      </c>
      <c r="BF117" s="20">
        <f t="shared" si="62"/>
        <v>0</v>
      </c>
      <c r="BG117" s="20">
        <f t="shared" si="62"/>
        <v>0</v>
      </c>
      <c r="BH117" s="20">
        <f t="shared" si="62"/>
        <v>0</v>
      </c>
      <c r="BI117" s="20">
        <f t="shared" si="62"/>
        <v>0</v>
      </c>
      <c r="BJ117" s="20">
        <f t="shared" si="62"/>
        <v>0</v>
      </c>
      <c r="BK117" s="20">
        <f t="shared" si="62"/>
        <v>0</v>
      </c>
      <c r="BL117" s="20">
        <f t="shared" si="62"/>
        <v>0</v>
      </c>
      <c r="BM117" s="20">
        <f t="shared" si="62"/>
        <v>0</v>
      </c>
      <c r="BN117" s="20">
        <f t="shared" si="62"/>
        <v>0</v>
      </c>
      <c r="BO117" s="20">
        <f t="shared" si="62"/>
        <v>0</v>
      </c>
      <c r="BP117" s="20">
        <f t="shared" si="62"/>
        <v>0</v>
      </c>
    </row>
    <row r="118" spans="3:68" x14ac:dyDescent="0.25">
      <c r="C118" t="s">
        <v>693</v>
      </c>
      <c r="D118" t="s">
        <v>844</v>
      </c>
      <c r="E118" s="31">
        <f>Inputs!$E$61</f>
        <v>0.12</v>
      </c>
      <c r="F118" s="20"/>
      <c r="G118" s="20">
        <f>SUM(H118:BP118)</f>
        <v>0</v>
      </c>
      <c r="H118" s="20">
        <f>IF(Inputs!$E$69=1,(1+$E$118)^(1/12)-1,$E$118/12)*(H116+H117)*H$10</f>
        <v>0</v>
      </c>
      <c r="I118" s="20">
        <f>IF(Inputs!$E$69=1,(1+$E$118)^(1/12)-1,$E$118/12)*(I116+I117)*I$10</f>
        <v>0</v>
      </c>
      <c r="J118" s="20">
        <f>IF(Inputs!$E$69=1,(1+$E$118)^(1/12)-1,$E$118/12)*(J116+J117)*J$10</f>
        <v>0</v>
      </c>
      <c r="K118" s="20">
        <f>IF(Inputs!$E$69=1,(1+$E$118)^(1/12)-1,$E$118/12)*(K116+K117)*K$10</f>
        <v>0</v>
      </c>
      <c r="L118" s="20">
        <f>IF(Inputs!$E$69=1,(1+$E$118)^(1/12)-1,$E$118/12)*(L116+L117)*L$10</f>
        <v>0</v>
      </c>
      <c r="M118" s="20">
        <f>IF(Inputs!$E$69=1,(1+$E$118)^(1/12)-1,$E$118/12)*(M116+M117)*M$10</f>
        <v>0</v>
      </c>
      <c r="N118" s="20">
        <f>IF(Inputs!$E$69=1,(1+$E$118)^(1/12)-1,$E$118/12)*(N116+N117)*N$10</f>
        <v>0</v>
      </c>
      <c r="O118" s="20">
        <f>IF(Inputs!$E$69=1,(1+$E$118)^(1/12)-1,$E$118/12)*(O116+O117)*O$10</f>
        <v>0</v>
      </c>
      <c r="P118" s="20">
        <f>IF(Inputs!$E$69=1,(1+$E$118)^(1/12)-1,$E$118/12)*(P116+P117)*P$10</f>
        <v>0</v>
      </c>
      <c r="Q118" s="20">
        <f>IF(Inputs!$E$69=1,(1+$E$118)^(1/12)-1,$E$118/12)*(Q116+Q117)*Q$10</f>
        <v>0</v>
      </c>
      <c r="R118" s="20">
        <f>IF(Inputs!$E$69=1,(1+$E$118)^(1/12)-1,$E$118/12)*(R116+R117)*R$10</f>
        <v>0</v>
      </c>
      <c r="S118" s="20">
        <f>IF(Inputs!$E$69=1,(1+$E$118)^(1/12)-1,$E$118/12)*(S116+S117)*S$10</f>
        <v>0</v>
      </c>
      <c r="T118" s="20">
        <f>IF(Inputs!$E$69=1,(1+$E$118)^(1/12)-1,$E$118/12)*(T116+T117)*T$10</f>
        <v>0</v>
      </c>
      <c r="U118" s="20">
        <f>IF(Inputs!$E$69=1,(1+$E$118)^(1/12)-1,$E$118/12)*(U116+U117)*U$10</f>
        <v>0</v>
      </c>
      <c r="V118" s="20">
        <f>IF(Inputs!$E$69=1,(1+$E$118)^(1/12)-1,$E$118/12)*(V116+V117)*V$10</f>
        <v>0</v>
      </c>
      <c r="W118" s="20">
        <f>IF(Inputs!$E$69=1,(1+$E$118)^(1/12)-1,$E$118/12)*(W116+W117)*W$10</f>
        <v>0</v>
      </c>
      <c r="X118" s="20">
        <f>IF(Inputs!$E$69=1,(1+$E$118)^(1/12)-1,$E$118/12)*(X116+X117)*X$10</f>
        <v>0</v>
      </c>
      <c r="Y118" s="20">
        <f>IF(Inputs!$E$69=1,(1+$E$118)^(1/12)-1,$E$118/12)*(Y116+Y117)*Y$10</f>
        <v>0</v>
      </c>
      <c r="Z118" s="20">
        <f>IF(Inputs!$E$69=1,(1+$E$118)^(1/12)-1,$E$118/12)*(Z116+Z117)*Z$10</f>
        <v>0</v>
      </c>
      <c r="AA118" s="20">
        <f>IF(Inputs!$E$69=1,(1+$E$118)^(1/12)-1,$E$118/12)*(AA116+AA117)*AA$10</f>
        <v>0</v>
      </c>
      <c r="AB118" s="20">
        <f>IF(Inputs!$E$69=1,(1+$E$118)^(1/12)-1,$E$118/12)*(AB116+AB117)*AB$10</f>
        <v>0</v>
      </c>
      <c r="AC118" s="20">
        <f>IF(Inputs!$E$69=1,(1+$E$118)^(1/12)-1,$E$118/12)*(AC116+AC117)*AC$10</f>
        <v>0</v>
      </c>
      <c r="AD118" s="20">
        <f>IF(Inputs!$E$69=1,(1+$E$118)^(1/12)-1,$E$118/12)*(AD116+AD117)*AD$10</f>
        <v>0</v>
      </c>
      <c r="AE118" s="20">
        <f>IF(Inputs!$E$69=1,(1+$E$118)^(1/12)-1,$E$118/12)*(AE116+AE117)*AE$10</f>
        <v>0</v>
      </c>
      <c r="AF118" s="20">
        <f>IF(Inputs!$E$69=1,(1+$E$118)^(1/12)-1,$E$118/12)*(AF116+AF117)*AF$10</f>
        <v>0</v>
      </c>
      <c r="AG118" s="20">
        <f>IF(Inputs!$E$69=1,(1+$E$118)^(1/12)-1,$E$118/12)*(AG116+AG117)*AG$10</f>
        <v>0</v>
      </c>
      <c r="AH118" s="20">
        <f>IF(Inputs!$E$69=1,(1+$E$118)^(1/12)-1,$E$118/12)*(AH116+AH117)*AH$10</f>
        <v>0</v>
      </c>
      <c r="AI118" s="20">
        <f>IF(Inputs!$E$69=1,(1+$E$118)^(1/12)-1,$E$118/12)*(AI116+AI117)*AI$10</f>
        <v>0</v>
      </c>
      <c r="AJ118" s="20">
        <f>IF(Inputs!$E$69=1,(1+$E$118)^(1/12)-1,$E$118/12)*(AJ116+AJ117)*AJ$10</f>
        <v>0</v>
      </c>
      <c r="AK118" s="20">
        <f>IF(Inputs!$E$69=1,(1+$E$118)^(1/12)-1,$E$118/12)*(AK116+AK117)*AK$10</f>
        <v>0</v>
      </c>
      <c r="AL118" s="20">
        <f>IF(Inputs!$E$69=1,(1+$E$118)^(1/12)-1,$E$118/12)*(AL116+AL117)*AL$10</f>
        <v>0</v>
      </c>
      <c r="AM118" s="20">
        <f>IF(Inputs!$E$69=1,(1+$E$118)^(1/12)-1,$E$118/12)*(AM116+AM117)*AM$10</f>
        <v>0</v>
      </c>
      <c r="AN118" s="20">
        <f>IF(Inputs!$E$69=1,(1+$E$118)^(1/12)-1,$E$118/12)*(AN116+AN117)*AN$10</f>
        <v>0</v>
      </c>
      <c r="AO118" s="20">
        <f>IF(Inputs!$E$69=1,(1+$E$118)^(1/12)-1,$E$118/12)*(AO116+AO117)*AO$10</f>
        <v>0</v>
      </c>
      <c r="AP118" s="20">
        <f>IF(Inputs!$E$69=1,(1+$E$118)^(1/12)-1,$E$118/12)*(AP116+AP117)*AP$10</f>
        <v>0</v>
      </c>
      <c r="AQ118" s="20">
        <f>IF(Inputs!$E$69=1,(1+$E$118)^(1/12)-1,$E$118/12)*(AQ116+AQ117)*AQ$10</f>
        <v>0</v>
      </c>
      <c r="AR118" s="20">
        <f>IF(Inputs!$E$69=1,(1+$E$118)^(1/12)-1,$E$118/12)*(AR116+AR117)*AR$10</f>
        <v>0</v>
      </c>
      <c r="AS118" s="20">
        <f>IF(Inputs!$E$69=1,(1+$E$118)^(1/12)-1,$E$118/12)*(AS116+AS117)*AS$10</f>
        <v>0</v>
      </c>
      <c r="AT118" s="20">
        <f>IF(Inputs!$E$69=1,(1+$E$118)^(1/12)-1,$E$118/12)*(AT116+AT117)*AT$10</f>
        <v>0</v>
      </c>
      <c r="AU118" s="20">
        <f>IF(Inputs!$E$69=1,(1+$E$118)^(1/12)-1,$E$118/12)*(AU116+AU117)*AU$10</f>
        <v>0</v>
      </c>
      <c r="AV118" s="20">
        <f>IF(Inputs!$E$69=1,(1+$E$118)^(1/12)-1,$E$118/12)*(AV116+AV117)*AV$10</f>
        <v>0</v>
      </c>
      <c r="AW118" s="20">
        <f>IF(Inputs!$E$69=1,(1+$E$118)^(1/12)-1,$E$118/12)*(AW116+AW117)*AW$10</f>
        <v>0</v>
      </c>
      <c r="AX118" s="20">
        <f>IF(Inputs!$E$69=1,(1+$E$118)^(1/12)-1,$E$118/12)*(AX116+AX117)*AX$10</f>
        <v>0</v>
      </c>
      <c r="AY118" s="20">
        <f>IF(Inputs!$E$69=1,(1+$E$118)^(1/12)-1,$E$118/12)*(AY116+AY117)*AY$10</f>
        <v>0</v>
      </c>
      <c r="AZ118" s="20">
        <f>IF(Inputs!$E$69=1,(1+$E$118)^(1/12)-1,$E$118/12)*(AZ116+AZ117)*AZ$10</f>
        <v>0</v>
      </c>
      <c r="BA118" s="20">
        <f>IF(Inputs!$E$69=1,(1+$E$118)^(1/12)-1,$E$118/12)*(BA116+BA117)*BA$10</f>
        <v>0</v>
      </c>
      <c r="BB118" s="20">
        <f>IF(Inputs!$E$69=1,(1+$E$118)^(1/12)-1,$E$118/12)*(BB116+BB117)*BB$10</f>
        <v>0</v>
      </c>
      <c r="BC118" s="20">
        <f>IF(Inputs!$E$69=1,(1+$E$118)^(1/12)-1,$E$118/12)*(BC116+BC117)*BC$10</f>
        <v>0</v>
      </c>
      <c r="BD118" s="20">
        <f>IF(Inputs!$E$69=1,(1+$E$118)^(1/12)-1,$E$118/12)*(BD116+BD117)*BD$10</f>
        <v>0</v>
      </c>
      <c r="BE118" s="20">
        <f>IF(Inputs!$E$69=1,(1+$E$118)^(1/12)-1,$E$118/12)*(BE116+BE117)*BE$10</f>
        <v>0</v>
      </c>
      <c r="BF118" s="20">
        <f>IF(Inputs!$E$69=1,(1+$E$118)^(1/12)-1,$E$118/12)*(BF116+BF117)*BF$10</f>
        <v>0</v>
      </c>
      <c r="BG118" s="20">
        <f>IF(Inputs!$E$69=1,(1+$E$118)^(1/12)-1,$E$118/12)*(BG116+BG117)*BG$10</f>
        <v>0</v>
      </c>
      <c r="BH118" s="20">
        <f>IF(Inputs!$E$69=1,(1+$E$118)^(1/12)-1,$E$118/12)*(BH116+BH117)*BH$10</f>
        <v>0</v>
      </c>
      <c r="BI118" s="20">
        <f>IF(Inputs!$E$69=1,(1+$E$118)^(1/12)-1,$E$118/12)*(BI116+BI117)*BI$10</f>
        <v>0</v>
      </c>
      <c r="BJ118" s="20">
        <f>IF(Inputs!$E$69=1,(1+$E$118)^(1/12)-1,$E$118/12)*(BJ116+BJ117)*BJ$10</f>
        <v>0</v>
      </c>
      <c r="BK118" s="20">
        <f>IF(Inputs!$E$69=1,(1+$E$118)^(1/12)-1,$E$118/12)*(BK116+BK117)*BK$10</f>
        <v>0</v>
      </c>
      <c r="BL118" s="20">
        <f>IF(Inputs!$E$69=1,(1+$E$118)^(1/12)-1,$E$118/12)*(BL116+BL117)*BL$10</f>
        <v>0</v>
      </c>
      <c r="BM118" s="20">
        <f>IF(Inputs!$E$69=1,(1+$E$118)^(1/12)-1,$E$118/12)*(BM116+BM117)*BM$10</f>
        <v>0</v>
      </c>
      <c r="BN118" s="20">
        <f>IF(Inputs!$E$69=1,(1+$E$118)^(1/12)-1,$E$118/12)*(BN116+BN117)*BN$10</f>
        <v>0</v>
      </c>
      <c r="BO118" s="20">
        <f>IF(Inputs!$E$69=1,(1+$E$118)^(1/12)-1,$E$118/12)*(BO116+BO117)*BO$10</f>
        <v>0</v>
      </c>
      <c r="BP118" s="20">
        <f>IF(Inputs!$E$69=1,(1+$E$118)^(1/12)-1,$E$118/12)*(BP116+BP117)*BP$10</f>
        <v>0</v>
      </c>
    </row>
    <row r="119" spans="3:68" x14ac:dyDescent="0.25">
      <c r="C119" t="s">
        <v>28</v>
      </c>
      <c r="D119" t="s">
        <v>844</v>
      </c>
      <c r="E119" s="20"/>
      <c r="F119" s="20"/>
      <c r="G119" s="20">
        <f>SUM(H119:BP119)</f>
        <v>0</v>
      </c>
      <c r="H119" s="20">
        <f t="shared" ref="H119:AM119" si="63">-H$7*(H116+H117+H118)</f>
        <v>-0</v>
      </c>
      <c r="I119" s="20">
        <f t="shared" si="63"/>
        <v>-0</v>
      </c>
      <c r="J119" s="20">
        <f t="shared" si="63"/>
        <v>-0</v>
      </c>
      <c r="K119" s="20">
        <f t="shared" si="63"/>
        <v>-0</v>
      </c>
      <c r="L119" s="20">
        <f t="shared" si="63"/>
        <v>-0</v>
      </c>
      <c r="M119" s="20">
        <f t="shared" si="63"/>
        <v>-0</v>
      </c>
      <c r="N119" s="20">
        <f t="shared" si="63"/>
        <v>-0</v>
      </c>
      <c r="O119" s="20">
        <f t="shared" si="63"/>
        <v>-0</v>
      </c>
      <c r="P119" s="20">
        <f t="shared" si="63"/>
        <v>-0</v>
      </c>
      <c r="Q119" s="20">
        <f t="shared" si="63"/>
        <v>-0</v>
      </c>
      <c r="R119" s="20">
        <f t="shared" si="63"/>
        <v>-0</v>
      </c>
      <c r="S119" s="20">
        <f t="shared" si="63"/>
        <v>-0</v>
      </c>
      <c r="T119" s="20">
        <f t="shared" si="63"/>
        <v>-0</v>
      </c>
      <c r="U119" s="20">
        <f t="shared" si="63"/>
        <v>-0</v>
      </c>
      <c r="V119" s="20">
        <f t="shared" si="63"/>
        <v>-0</v>
      </c>
      <c r="W119" s="20">
        <f t="shared" si="63"/>
        <v>-0</v>
      </c>
      <c r="X119" s="20">
        <f t="shared" si="63"/>
        <v>-0</v>
      </c>
      <c r="Y119" s="20">
        <f t="shared" si="63"/>
        <v>-0</v>
      </c>
      <c r="Z119" s="20">
        <f t="shared" si="63"/>
        <v>-0</v>
      </c>
      <c r="AA119" s="20">
        <f t="shared" si="63"/>
        <v>-0</v>
      </c>
      <c r="AB119" s="20">
        <f t="shared" si="63"/>
        <v>-0</v>
      </c>
      <c r="AC119" s="20">
        <f t="shared" si="63"/>
        <v>-0</v>
      </c>
      <c r="AD119" s="20">
        <f t="shared" si="63"/>
        <v>-0</v>
      </c>
      <c r="AE119" s="20">
        <f t="shared" si="63"/>
        <v>-0</v>
      </c>
      <c r="AF119" s="20">
        <f t="shared" si="63"/>
        <v>-0</v>
      </c>
      <c r="AG119" s="20">
        <f t="shared" si="63"/>
        <v>-0</v>
      </c>
      <c r="AH119" s="20">
        <f t="shared" si="63"/>
        <v>-0</v>
      </c>
      <c r="AI119" s="20">
        <f t="shared" si="63"/>
        <v>-0</v>
      </c>
      <c r="AJ119" s="20">
        <f t="shared" si="63"/>
        <v>-0</v>
      </c>
      <c r="AK119" s="20">
        <f t="shared" si="63"/>
        <v>-0</v>
      </c>
      <c r="AL119" s="20">
        <f t="shared" si="63"/>
        <v>-0</v>
      </c>
      <c r="AM119" s="20">
        <f t="shared" si="63"/>
        <v>-0</v>
      </c>
      <c r="AN119" s="20">
        <f t="shared" ref="AN119:BP119" si="64">-AN$7*(AN116+AN117+AN118)</f>
        <v>-0</v>
      </c>
      <c r="AO119" s="20">
        <f t="shared" si="64"/>
        <v>-0</v>
      </c>
      <c r="AP119" s="20">
        <f t="shared" si="64"/>
        <v>-0</v>
      </c>
      <c r="AQ119" s="20">
        <f t="shared" si="64"/>
        <v>-0</v>
      </c>
      <c r="AR119" s="20">
        <f t="shared" si="64"/>
        <v>-0</v>
      </c>
      <c r="AS119" s="20">
        <f t="shared" si="64"/>
        <v>-0</v>
      </c>
      <c r="AT119" s="20">
        <f t="shared" si="64"/>
        <v>-0</v>
      </c>
      <c r="AU119" s="20">
        <f t="shared" si="64"/>
        <v>-0</v>
      </c>
      <c r="AV119" s="20">
        <f t="shared" si="64"/>
        <v>-0</v>
      </c>
      <c r="AW119" s="20">
        <f t="shared" si="64"/>
        <v>-0</v>
      </c>
      <c r="AX119" s="20">
        <f t="shared" si="64"/>
        <v>-0</v>
      </c>
      <c r="AY119" s="20">
        <f t="shared" si="64"/>
        <v>-0</v>
      </c>
      <c r="AZ119" s="20">
        <f t="shared" si="64"/>
        <v>-0</v>
      </c>
      <c r="BA119" s="20">
        <f t="shared" si="64"/>
        <v>-0</v>
      </c>
      <c r="BB119" s="20">
        <f t="shared" si="64"/>
        <v>-0</v>
      </c>
      <c r="BC119" s="20">
        <f t="shared" si="64"/>
        <v>-0</v>
      </c>
      <c r="BD119" s="20">
        <f t="shared" si="64"/>
        <v>-0</v>
      </c>
      <c r="BE119" s="20">
        <f t="shared" si="64"/>
        <v>-0</v>
      </c>
      <c r="BF119" s="20">
        <f t="shared" si="64"/>
        <v>-0</v>
      </c>
      <c r="BG119" s="20">
        <f t="shared" si="64"/>
        <v>-0</v>
      </c>
      <c r="BH119" s="20">
        <f t="shared" si="64"/>
        <v>-0</v>
      </c>
      <c r="BI119" s="20">
        <f t="shared" si="64"/>
        <v>-0</v>
      </c>
      <c r="BJ119" s="20">
        <f t="shared" si="64"/>
        <v>-0</v>
      </c>
      <c r="BK119" s="20">
        <f t="shared" si="64"/>
        <v>-0</v>
      </c>
      <c r="BL119" s="20">
        <f t="shared" si="64"/>
        <v>-0</v>
      </c>
      <c r="BM119" s="20">
        <f t="shared" si="64"/>
        <v>-0</v>
      </c>
      <c r="BN119" s="20">
        <f t="shared" si="64"/>
        <v>-0</v>
      </c>
      <c r="BO119" s="20">
        <f t="shared" si="64"/>
        <v>-0</v>
      </c>
      <c r="BP119" s="20">
        <f t="shared" si="64"/>
        <v>-0</v>
      </c>
    </row>
    <row r="120" spans="3:68" x14ac:dyDescent="0.25">
      <c r="C120" t="s">
        <v>33</v>
      </c>
      <c r="D120" t="s">
        <v>844</v>
      </c>
      <c r="E120" s="20"/>
      <c r="F120" s="20"/>
      <c r="G120" s="20"/>
      <c r="H120" s="20">
        <f t="shared" ref="H120:AM120" si="65">SUM(H116:H119)</f>
        <v>0</v>
      </c>
      <c r="I120" s="20">
        <f t="shared" si="65"/>
        <v>0</v>
      </c>
      <c r="J120" s="20">
        <f t="shared" si="65"/>
        <v>0</v>
      </c>
      <c r="K120" s="20">
        <f t="shared" si="65"/>
        <v>0</v>
      </c>
      <c r="L120" s="20">
        <f t="shared" si="65"/>
        <v>0</v>
      </c>
      <c r="M120" s="20">
        <f t="shared" si="65"/>
        <v>0</v>
      </c>
      <c r="N120" s="20">
        <f t="shared" si="65"/>
        <v>0</v>
      </c>
      <c r="O120" s="20">
        <f t="shared" si="65"/>
        <v>0</v>
      </c>
      <c r="P120" s="20">
        <f t="shared" si="65"/>
        <v>0</v>
      </c>
      <c r="Q120" s="20">
        <f t="shared" si="65"/>
        <v>0</v>
      </c>
      <c r="R120" s="20">
        <f t="shared" si="65"/>
        <v>0</v>
      </c>
      <c r="S120" s="20">
        <f t="shared" si="65"/>
        <v>0</v>
      </c>
      <c r="T120" s="20">
        <f t="shared" si="65"/>
        <v>0</v>
      </c>
      <c r="U120" s="20">
        <f t="shared" si="65"/>
        <v>0</v>
      </c>
      <c r="V120" s="20">
        <f t="shared" si="65"/>
        <v>0</v>
      </c>
      <c r="W120" s="20">
        <f t="shared" si="65"/>
        <v>0</v>
      </c>
      <c r="X120" s="20">
        <f t="shared" si="65"/>
        <v>0</v>
      </c>
      <c r="Y120" s="20">
        <f t="shared" si="65"/>
        <v>0</v>
      </c>
      <c r="Z120" s="20">
        <f t="shared" si="65"/>
        <v>0</v>
      </c>
      <c r="AA120" s="20">
        <f t="shared" si="65"/>
        <v>0</v>
      </c>
      <c r="AB120" s="20">
        <f t="shared" si="65"/>
        <v>0</v>
      </c>
      <c r="AC120" s="20">
        <f t="shared" si="65"/>
        <v>0</v>
      </c>
      <c r="AD120" s="20">
        <f t="shared" si="65"/>
        <v>0</v>
      </c>
      <c r="AE120" s="20">
        <f t="shared" si="65"/>
        <v>0</v>
      </c>
      <c r="AF120" s="20">
        <f t="shared" si="65"/>
        <v>0</v>
      </c>
      <c r="AG120" s="20">
        <f t="shared" si="65"/>
        <v>0</v>
      </c>
      <c r="AH120" s="20">
        <f t="shared" si="65"/>
        <v>0</v>
      </c>
      <c r="AI120" s="20">
        <f t="shared" si="65"/>
        <v>0</v>
      </c>
      <c r="AJ120" s="20">
        <f t="shared" si="65"/>
        <v>0</v>
      </c>
      <c r="AK120" s="20">
        <f t="shared" si="65"/>
        <v>0</v>
      </c>
      <c r="AL120" s="20">
        <f t="shared" si="65"/>
        <v>0</v>
      </c>
      <c r="AM120" s="20">
        <f t="shared" si="65"/>
        <v>0</v>
      </c>
      <c r="AN120" s="20">
        <f t="shared" ref="AN120:BP120" si="66">SUM(AN116:AN119)</f>
        <v>0</v>
      </c>
      <c r="AO120" s="20">
        <f t="shared" si="66"/>
        <v>0</v>
      </c>
      <c r="AP120" s="20">
        <f t="shared" si="66"/>
        <v>0</v>
      </c>
      <c r="AQ120" s="20">
        <f t="shared" si="66"/>
        <v>0</v>
      </c>
      <c r="AR120" s="20">
        <f t="shared" si="66"/>
        <v>0</v>
      </c>
      <c r="AS120" s="20">
        <f t="shared" si="66"/>
        <v>0</v>
      </c>
      <c r="AT120" s="20">
        <f t="shared" si="66"/>
        <v>0</v>
      </c>
      <c r="AU120" s="20">
        <f t="shared" si="66"/>
        <v>0</v>
      </c>
      <c r="AV120" s="20">
        <f t="shared" si="66"/>
        <v>0</v>
      </c>
      <c r="AW120" s="20">
        <f t="shared" si="66"/>
        <v>0</v>
      </c>
      <c r="AX120" s="20">
        <f t="shared" si="66"/>
        <v>0</v>
      </c>
      <c r="AY120" s="20">
        <f t="shared" si="66"/>
        <v>0</v>
      </c>
      <c r="AZ120" s="20">
        <f t="shared" si="66"/>
        <v>0</v>
      </c>
      <c r="BA120" s="20">
        <f t="shared" si="66"/>
        <v>0</v>
      </c>
      <c r="BB120" s="20">
        <f t="shared" si="66"/>
        <v>0</v>
      </c>
      <c r="BC120" s="20">
        <f t="shared" si="66"/>
        <v>0</v>
      </c>
      <c r="BD120" s="20">
        <f t="shared" si="66"/>
        <v>0</v>
      </c>
      <c r="BE120" s="20">
        <f t="shared" si="66"/>
        <v>0</v>
      </c>
      <c r="BF120" s="20">
        <f t="shared" si="66"/>
        <v>0</v>
      </c>
      <c r="BG120" s="20">
        <f t="shared" si="66"/>
        <v>0</v>
      </c>
      <c r="BH120" s="20">
        <f t="shared" si="66"/>
        <v>0</v>
      </c>
      <c r="BI120" s="20">
        <f t="shared" si="66"/>
        <v>0</v>
      </c>
      <c r="BJ120" s="20">
        <f t="shared" si="66"/>
        <v>0</v>
      </c>
      <c r="BK120" s="20">
        <f t="shared" si="66"/>
        <v>0</v>
      </c>
      <c r="BL120" s="20">
        <f t="shared" si="66"/>
        <v>0</v>
      </c>
      <c r="BM120" s="20">
        <f t="shared" si="66"/>
        <v>0</v>
      </c>
      <c r="BN120" s="20">
        <f t="shared" si="66"/>
        <v>0</v>
      </c>
      <c r="BO120" s="20">
        <f t="shared" si="66"/>
        <v>0</v>
      </c>
      <c r="BP120" s="20">
        <f t="shared" si="66"/>
        <v>0</v>
      </c>
    </row>
    <row r="121" spans="3:68" x14ac:dyDescent="0.25">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row>
    <row r="122" spans="3:68" x14ac:dyDescent="0.25">
      <c r="C122" s="6" t="s">
        <v>695</v>
      </c>
      <c r="D122" s="6"/>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c r="AF122" s="95"/>
      <c r="AG122" s="95"/>
      <c r="AH122" s="95"/>
      <c r="AI122" s="95"/>
      <c r="AJ122" s="95"/>
      <c r="AK122" s="95"/>
      <c r="AL122" s="95"/>
      <c r="AM122" s="95"/>
      <c r="AN122" s="95"/>
      <c r="AO122" s="95"/>
      <c r="AP122" s="95"/>
      <c r="AQ122" s="95"/>
      <c r="AR122" s="95"/>
      <c r="AS122" s="95"/>
      <c r="AT122" s="95"/>
      <c r="AU122" s="95"/>
      <c r="AV122" s="95"/>
      <c r="AW122" s="95"/>
      <c r="AX122" s="95"/>
      <c r="AY122" s="95"/>
      <c r="AZ122" s="95"/>
      <c r="BA122" s="95"/>
      <c r="BB122" s="95"/>
      <c r="BC122" s="95"/>
      <c r="BD122" s="95"/>
      <c r="BE122" s="95"/>
      <c r="BF122" s="95"/>
      <c r="BG122" s="95"/>
      <c r="BH122" s="95"/>
      <c r="BI122" s="95"/>
      <c r="BJ122" s="95"/>
      <c r="BK122" s="95"/>
      <c r="BL122" s="95"/>
      <c r="BM122" s="95"/>
      <c r="BN122" s="95"/>
      <c r="BO122" s="95"/>
      <c r="BP122" s="95"/>
    </row>
    <row r="123" spans="3:68" x14ac:dyDescent="0.25">
      <c r="C123" t="s">
        <v>32</v>
      </c>
      <c r="D123" t="s">
        <v>844</v>
      </c>
      <c r="E123" s="20"/>
      <c r="F123" s="20"/>
      <c r="G123" s="20"/>
      <c r="H123" s="20">
        <v>0</v>
      </c>
      <c r="I123" s="20">
        <f t="shared" ref="I123:AN123" si="67">H128</f>
        <v>0</v>
      </c>
      <c r="J123" s="20">
        <f t="shared" si="67"/>
        <v>0</v>
      </c>
      <c r="K123" s="20">
        <f t="shared" si="67"/>
        <v>0</v>
      </c>
      <c r="L123" s="20">
        <f t="shared" si="67"/>
        <v>193.68159940762683</v>
      </c>
      <c r="M123" s="20">
        <f t="shared" si="67"/>
        <v>193.68159940762683</v>
      </c>
      <c r="N123" s="20">
        <f t="shared" si="67"/>
        <v>193.68159940762683</v>
      </c>
      <c r="O123" s="20">
        <f t="shared" si="67"/>
        <v>203.41132913735657</v>
      </c>
      <c r="P123" s="20">
        <f t="shared" si="67"/>
        <v>382.3045723805998</v>
      </c>
      <c r="Q123" s="20">
        <f t="shared" si="67"/>
        <v>780.3045723805998</v>
      </c>
      <c r="R123" s="20">
        <f t="shared" si="67"/>
        <v>780.3045723805998</v>
      </c>
      <c r="S123" s="20">
        <f t="shared" si="67"/>
        <v>780.3045723805998</v>
      </c>
      <c r="T123" s="20">
        <f t="shared" si="67"/>
        <v>823.547815623843</v>
      </c>
      <c r="U123" s="20">
        <f t="shared" si="67"/>
        <v>866.7910588670862</v>
      </c>
      <c r="V123" s="20">
        <f t="shared" si="67"/>
        <v>866.7910588670862</v>
      </c>
      <c r="W123" s="20">
        <f t="shared" si="67"/>
        <v>866.7910588670862</v>
      </c>
      <c r="X123" s="20">
        <f t="shared" si="67"/>
        <v>866.7910588670862</v>
      </c>
      <c r="Y123" s="20">
        <f t="shared" si="67"/>
        <v>907.3315994076268</v>
      </c>
      <c r="Z123" s="20">
        <f t="shared" si="67"/>
        <v>1050.012680488708</v>
      </c>
      <c r="AA123" s="20">
        <f t="shared" si="67"/>
        <v>2004.7566131969263</v>
      </c>
      <c r="AB123" s="20">
        <f t="shared" si="67"/>
        <v>2234.486342926656</v>
      </c>
      <c r="AC123" s="20">
        <f t="shared" si="67"/>
        <v>2322.621478061791</v>
      </c>
      <c r="AD123" s="20">
        <f t="shared" si="67"/>
        <v>2322.729586169899</v>
      </c>
      <c r="AE123" s="20">
        <f t="shared" si="67"/>
        <v>2322.729586169899</v>
      </c>
      <c r="AF123" s="20">
        <f t="shared" si="67"/>
        <v>2327.229586169899</v>
      </c>
      <c r="AG123" s="20">
        <f t="shared" si="67"/>
        <v>2327.229586169899</v>
      </c>
      <c r="AH123" s="20">
        <f t="shared" si="67"/>
        <v>2489.103643312756</v>
      </c>
      <c r="AI123" s="20">
        <f t="shared" si="67"/>
        <v>2489.103643312756</v>
      </c>
      <c r="AJ123" s="20">
        <f t="shared" si="67"/>
        <v>2489.103643312756</v>
      </c>
      <c r="AK123" s="20">
        <f t="shared" si="67"/>
        <v>2521.5360757451886</v>
      </c>
      <c r="AL123" s="20">
        <f t="shared" si="67"/>
        <v>2803.7437373737616</v>
      </c>
      <c r="AM123" s="20">
        <f t="shared" si="67"/>
        <v>2857.797791427816</v>
      </c>
      <c r="AN123" s="20">
        <f t="shared" si="67"/>
        <v>2857.797791427816</v>
      </c>
      <c r="AO123" s="20">
        <f t="shared" ref="AO123:BP123" si="68">AN128</f>
        <v>3104.2842779143025</v>
      </c>
      <c r="AP123" s="20">
        <f t="shared" si="68"/>
        <v>3104.2842779143025</v>
      </c>
      <c r="AQ123" s="20">
        <f t="shared" si="68"/>
        <v>3104.2842779143025</v>
      </c>
      <c r="AR123" s="20">
        <f t="shared" si="68"/>
        <v>3104.2842779143025</v>
      </c>
      <c r="AS123" s="20">
        <f t="shared" si="68"/>
        <v>3104.2842779143025</v>
      </c>
      <c r="AT123" s="20">
        <f t="shared" si="68"/>
        <v>3104.2842779143025</v>
      </c>
      <c r="AU123" s="20">
        <f t="shared" si="68"/>
        <v>3104.2842779143025</v>
      </c>
      <c r="AV123" s="20">
        <f t="shared" si="68"/>
        <v>3104.2842779143025</v>
      </c>
      <c r="AW123" s="20">
        <f t="shared" si="68"/>
        <v>3104.2842779143025</v>
      </c>
      <c r="AX123" s="20">
        <f t="shared" si="68"/>
        <v>3104.2842779143025</v>
      </c>
      <c r="AY123" s="20">
        <f t="shared" si="68"/>
        <v>3104.2842779143025</v>
      </c>
      <c r="AZ123" s="20">
        <f t="shared" si="68"/>
        <v>3104.2842779143025</v>
      </c>
      <c r="BA123" s="20">
        <f t="shared" si="68"/>
        <v>0</v>
      </c>
      <c r="BB123" s="20">
        <f t="shared" si="68"/>
        <v>0</v>
      </c>
      <c r="BC123" s="20">
        <f t="shared" si="68"/>
        <v>0</v>
      </c>
      <c r="BD123" s="20">
        <f t="shared" si="68"/>
        <v>0</v>
      </c>
      <c r="BE123" s="20">
        <f t="shared" si="68"/>
        <v>0</v>
      </c>
      <c r="BF123" s="20">
        <f t="shared" si="68"/>
        <v>0</v>
      </c>
      <c r="BG123" s="20">
        <f t="shared" si="68"/>
        <v>0</v>
      </c>
      <c r="BH123" s="20">
        <f t="shared" si="68"/>
        <v>0</v>
      </c>
      <c r="BI123" s="20">
        <f t="shared" si="68"/>
        <v>0</v>
      </c>
      <c r="BJ123" s="20">
        <f t="shared" si="68"/>
        <v>0</v>
      </c>
      <c r="BK123" s="20">
        <f t="shared" si="68"/>
        <v>0</v>
      </c>
      <c r="BL123" s="20">
        <f t="shared" si="68"/>
        <v>0</v>
      </c>
      <c r="BM123" s="20">
        <f t="shared" si="68"/>
        <v>0</v>
      </c>
      <c r="BN123" s="20">
        <f t="shared" si="68"/>
        <v>0</v>
      </c>
      <c r="BO123" s="20">
        <f t="shared" si="68"/>
        <v>0</v>
      </c>
      <c r="BP123" s="20">
        <f t="shared" si="68"/>
        <v>0</v>
      </c>
    </row>
    <row r="124" spans="3:68" x14ac:dyDescent="0.25">
      <c r="C124" t="s">
        <v>696</v>
      </c>
      <c r="D124" t="s">
        <v>844</v>
      </c>
      <c r="E124" s="20"/>
      <c r="F124" s="20"/>
      <c r="G124" s="20">
        <f>SUM(H124:BP124)</f>
        <v>16.438356164383563</v>
      </c>
      <c r="H124" s="20">
        <f t="shared" ref="H124:AM124" si="69">$E$106*H103</f>
        <v>0</v>
      </c>
      <c r="I124" s="20">
        <f t="shared" si="69"/>
        <v>0</v>
      </c>
      <c r="J124" s="20">
        <f t="shared" si="69"/>
        <v>0</v>
      </c>
      <c r="K124" s="20">
        <f t="shared" si="69"/>
        <v>16.438356164383563</v>
      </c>
      <c r="L124" s="20">
        <f t="shared" si="69"/>
        <v>0</v>
      </c>
      <c r="M124" s="20">
        <f t="shared" si="69"/>
        <v>0</v>
      </c>
      <c r="N124" s="20">
        <f t="shared" si="69"/>
        <v>0</v>
      </c>
      <c r="O124" s="20">
        <f t="shared" si="69"/>
        <v>0</v>
      </c>
      <c r="P124" s="20">
        <f t="shared" si="69"/>
        <v>0</v>
      </c>
      <c r="Q124" s="20">
        <f t="shared" si="69"/>
        <v>0</v>
      </c>
      <c r="R124" s="20">
        <f t="shared" si="69"/>
        <v>0</v>
      </c>
      <c r="S124" s="20">
        <f t="shared" si="69"/>
        <v>0</v>
      </c>
      <c r="T124" s="20">
        <f t="shared" si="69"/>
        <v>0</v>
      </c>
      <c r="U124" s="20">
        <f t="shared" si="69"/>
        <v>0</v>
      </c>
      <c r="V124" s="20">
        <f t="shared" si="69"/>
        <v>0</v>
      </c>
      <c r="W124" s="20">
        <f t="shared" si="69"/>
        <v>0</v>
      </c>
      <c r="X124" s="20">
        <f t="shared" si="69"/>
        <v>0</v>
      </c>
      <c r="Y124" s="20">
        <f t="shared" si="69"/>
        <v>0</v>
      </c>
      <c r="Z124" s="20">
        <f t="shared" si="69"/>
        <v>0</v>
      </c>
      <c r="AA124" s="20">
        <f t="shared" si="69"/>
        <v>0</v>
      </c>
      <c r="AB124" s="20">
        <f t="shared" si="69"/>
        <v>0</v>
      </c>
      <c r="AC124" s="20">
        <f t="shared" si="69"/>
        <v>0</v>
      </c>
      <c r="AD124" s="20">
        <f t="shared" si="69"/>
        <v>0</v>
      </c>
      <c r="AE124" s="20">
        <f t="shared" si="69"/>
        <v>0</v>
      </c>
      <c r="AF124" s="20">
        <f t="shared" si="69"/>
        <v>0</v>
      </c>
      <c r="AG124" s="20">
        <f t="shared" si="69"/>
        <v>0</v>
      </c>
      <c r="AH124" s="20">
        <f t="shared" si="69"/>
        <v>0</v>
      </c>
      <c r="AI124" s="20">
        <f t="shared" si="69"/>
        <v>0</v>
      </c>
      <c r="AJ124" s="20">
        <f t="shared" si="69"/>
        <v>0</v>
      </c>
      <c r="AK124" s="20">
        <f t="shared" si="69"/>
        <v>0</v>
      </c>
      <c r="AL124" s="20">
        <f t="shared" si="69"/>
        <v>0</v>
      </c>
      <c r="AM124" s="20">
        <f t="shared" si="69"/>
        <v>0</v>
      </c>
      <c r="AN124" s="20">
        <f t="shared" ref="AN124:BP124" si="70">$E$106*AN103</f>
        <v>0</v>
      </c>
      <c r="AO124" s="20">
        <f t="shared" si="70"/>
        <v>0</v>
      </c>
      <c r="AP124" s="20">
        <f t="shared" si="70"/>
        <v>0</v>
      </c>
      <c r="AQ124" s="20">
        <f t="shared" si="70"/>
        <v>0</v>
      </c>
      <c r="AR124" s="20">
        <f t="shared" si="70"/>
        <v>0</v>
      </c>
      <c r="AS124" s="20">
        <f t="shared" si="70"/>
        <v>0</v>
      </c>
      <c r="AT124" s="20">
        <f t="shared" si="70"/>
        <v>0</v>
      </c>
      <c r="AU124" s="20">
        <f t="shared" si="70"/>
        <v>0</v>
      </c>
      <c r="AV124" s="20">
        <f t="shared" si="70"/>
        <v>0</v>
      </c>
      <c r="AW124" s="20">
        <f t="shared" si="70"/>
        <v>0</v>
      </c>
      <c r="AX124" s="20">
        <f t="shared" si="70"/>
        <v>0</v>
      </c>
      <c r="AY124" s="20">
        <f t="shared" si="70"/>
        <v>0</v>
      </c>
      <c r="AZ124" s="20">
        <f t="shared" si="70"/>
        <v>0</v>
      </c>
      <c r="BA124" s="20">
        <f t="shared" si="70"/>
        <v>0</v>
      </c>
      <c r="BB124" s="20">
        <f t="shared" si="70"/>
        <v>0</v>
      </c>
      <c r="BC124" s="20">
        <f t="shared" si="70"/>
        <v>0</v>
      </c>
      <c r="BD124" s="20">
        <f t="shared" si="70"/>
        <v>0</v>
      </c>
      <c r="BE124" s="20">
        <f t="shared" si="70"/>
        <v>0</v>
      </c>
      <c r="BF124" s="20">
        <f t="shared" si="70"/>
        <v>0</v>
      </c>
      <c r="BG124" s="20">
        <f t="shared" si="70"/>
        <v>0</v>
      </c>
      <c r="BH124" s="20">
        <f t="shared" si="70"/>
        <v>0</v>
      </c>
      <c r="BI124" s="20">
        <f t="shared" si="70"/>
        <v>0</v>
      </c>
      <c r="BJ124" s="20">
        <f t="shared" si="70"/>
        <v>0</v>
      </c>
      <c r="BK124" s="20">
        <f t="shared" si="70"/>
        <v>0</v>
      </c>
      <c r="BL124" s="20">
        <f t="shared" si="70"/>
        <v>0</v>
      </c>
      <c r="BM124" s="20">
        <f t="shared" si="70"/>
        <v>0</v>
      </c>
      <c r="BN124" s="20">
        <f t="shared" si="70"/>
        <v>0</v>
      </c>
      <c r="BO124" s="20">
        <f t="shared" si="70"/>
        <v>0</v>
      </c>
      <c r="BP124" s="20">
        <f t="shared" si="70"/>
        <v>0</v>
      </c>
    </row>
    <row r="125" spans="3:68" x14ac:dyDescent="0.25">
      <c r="C125" t="s">
        <v>1705</v>
      </c>
      <c r="D125" t="s">
        <v>844</v>
      </c>
      <c r="E125" s="20"/>
      <c r="F125" s="20"/>
      <c r="G125" s="20">
        <f>SUM(H125:BP125)</f>
        <v>3087.845921749919</v>
      </c>
      <c r="H125" s="20">
        <f>$E$106*(H18+H20)</f>
        <v>0</v>
      </c>
      <c r="I125" s="20">
        <f t="shared" ref="I125:BP125" si="71">$E$106*(I18+I20)</f>
        <v>0</v>
      </c>
      <c r="J125" s="20">
        <f t="shared" si="71"/>
        <v>0</v>
      </c>
      <c r="K125" s="20">
        <f t="shared" si="71"/>
        <v>177.24324324324326</v>
      </c>
      <c r="L125" s="20">
        <f t="shared" si="71"/>
        <v>0</v>
      </c>
      <c r="M125" s="20">
        <f t="shared" si="71"/>
        <v>0</v>
      </c>
      <c r="N125" s="20">
        <f t="shared" si="71"/>
        <v>9.72972972972973</v>
      </c>
      <c r="O125" s="20">
        <f t="shared" si="71"/>
        <v>178.89324324324323</v>
      </c>
      <c r="P125" s="20">
        <f t="shared" si="71"/>
        <v>398</v>
      </c>
      <c r="Q125" s="20">
        <f t="shared" si="71"/>
        <v>0</v>
      </c>
      <c r="R125" s="20">
        <f t="shared" si="71"/>
        <v>0</v>
      </c>
      <c r="S125" s="20">
        <f t="shared" si="71"/>
        <v>43.24324324324324</v>
      </c>
      <c r="T125" s="20">
        <f t="shared" si="71"/>
        <v>43.24324324324324</v>
      </c>
      <c r="U125" s="20">
        <f t="shared" si="71"/>
        <v>0</v>
      </c>
      <c r="V125" s="20">
        <f t="shared" si="71"/>
        <v>0</v>
      </c>
      <c r="W125" s="20">
        <f t="shared" si="71"/>
        <v>0</v>
      </c>
      <c r="X125" s="20">
        <f t="shared" si="71"/>
        <v>40.54054054054054</v>
      </c>
      <c r="Y125" s="20">
        <f t="shared" si="71"/>
        <v>142.6810810810811</v>
      </c>
      <c r="Z125" s="20">
        <f t="shared" si="71"/>
        <v>954.7439327082184</v>
      </c>
      <c r="AA125" s="20">
        <f t="shared" si="71"/>
        <v>229.72972972972974</v>
      </c>
      <c r="AB125" s="20">
        <f t="shared" si="71"/>
        <v>88.13513513513513</v>
      </c>
      <c r="AC125" s="20">
        <f t="shared" si="71"/>
        <v>0.10810810810810811</v>
      </c>
      <c r="AD125" s="20">
        <f t="shared" si="71"/>
        <v>0</v>
      </c>
      <c r="AE125" s="20">
        <f t="shared" si="71"/>
        <v>4.5</v>
      </c>
      <c r="AF125" s="20">
        <f t="shared" si="71"/>
        <v>0</v>
      </c>
      <c r="AG125" s="20">
        <f t="shared" si="71"/>
        <v>161.8740571428571</v>
      </c>
      <c r="AH125" s="20">
        <f t="shared" si="71"/>
        <v>0</v>
      </c>
      <c r="AI125" s="20">
        <f t="shared" si="71"/>
        <v>0</v>
      </c>
      <c r="AJ125" s="20">
        <f t="shared" si="71"/>
        <v>32.432432432432435</v>
      </c>
      <c r="AK125" s="20">
        <f t="shared" si="71"/>
        <v>282.20766162857296</v>
      </c>
      <c r="AL125" s="20">
        <f t="shared" si="71"/>
        <v>54.054054054054056</v>
      </c>
      <c r="AM125" s="20">
        <f t="shared" si="71"/>
        <v>0</v>
      </c>
      <c r="AN125" s="20">
        <f t="shared" si="71"/>
        <v>246.48648648648648</v>
      </c>
      <c r="AO125" s="20">
        <f t="shared" si="71"/>
        <v>0</v>
      </c>
      <c r="AP125" s="20">
        <f t="shared" si="71"/>
        <v>0</v>
      </c>
      <c r="AQ125" s="20">
        <f t="shared" si="71"/>
        <v>0</v>
      </c>
      <c r="AR125" s="20">
        <f t="shared" si="71"/>
        <v>0</v>
      </c>
      <c r="AS125" s="20">
        <f t="shared" si="71"/>
        <v>0</v>
      </c>
      <c r="AT125" s="20">
        <f t="shared" si="71"/>
        <v>0</v>
      </c>
      <c r="AU125" s="20">
        <f t="shared" si="71"/>
        <v>0</v>
      </c>
      <c r="AV125" s="20">
        <f t="shared" si="71"/>
        <v>0</v>
      </c>
      <c r="AW125" s="20">
        <f t="shared" si="71"/>
        <v>0</v>
      </c>
      <c r="AX125" s="20">
        <f t="shared" si="71"/>
        <v>0</v>
      </c>
      <c r="AY125" s="20">
        <f t="shared" si="71"/>
        <v>0</v>
      </c>
      <c r="AZ125" s="20">
        <f t="shared" si="71"/>
        <v>0</v>
      </c>
      <c r="BA125" s="20">
        <f t="shared" si="71"/>
        <v>0</v>
      </c>
      <c r="BB125" s="20">
        <f t="shared" si="71"/>
        <v>0</v>
      </c>
      <c r="BC125" s="20">
        <f t="shared" si="71"/>
        <v>0</v>
      </c>
      <c r="BD125" s="20">
        <f t="shared" si="71"/>
        <v>0</v>
      </c>
      <c r="BE125" s="20">
        <f t="shared" si="71"/>
        <v>0</v>
      </c>
      <c r="BF125" s="20">
        <f t="shared" si="71"/>
        <v>0</v>
      </c>
      <c r="BG125" s="20">
        <f t="shared" si="71"/>
        <v>0</v>
      </c>
      <c r="BH125" s="20">
        <f t="shared" si="71"/>
        <v>0</v>
      </c>
      <c r="BI125" s="20">
        <f t="shared" si="71"/>
        <v>0</v>
      </c>
      <c r="BJ125" s="20">
        <f t="shared" si="71"/>
        <v>0</v>
      </c>
      <c r="BK125" s="20">
        <f t="shared" si="71"/>
        <v>0</v>
      </c>
      <c r="BL125" s="20">
        <f t="shared" si="71"/>
        <v>0</v>
      </c>
      <c r="BM125" s="20">
        <f t="shared" si="71"/>
        <v>0</v>
      </c>
      <c r="BN125" s="20">
        <f t="shared" si="71"/>
        <v>0</v>
      </c>
      <c r="BO125" s="20">
        <f t="shared" si="71"/>
        <v>0</v>
      </c>
      <c r="BP125" s="20">
        <f t="shared" si="71"/>
        <v>0</v>
      </c>
    </row>
    <row r="126" spans="3:68" x14ac:dyDescent="0.25">
      <c r="C126" t="s">
        <v>693</v>
      </c>
      <c r="D126" t="s">
        <v>844</v>
      </c>
      <c r="E126" s="31">
        <f>Inputs!$E$62</f>
        <v>0.2</v>
      </c>
      <c r="F126" s="20"/>
      <c r="G126" s="20">
        <f>SUM(H126:BP126)</f>
        <v>0</v>
      </c>
      <c r="H126" s="20">
        <f>IF(Inputs!$E$69=1,(1+$E$126)^(1/12)-1,$E$126/12)*SUM(H123:H125)*H$10*(1-Inputs!$E$66)</f>
        <v>0</v>
      </c>
      <c r="I126" s="20">
        <f>IF(Inputs!$E$69=1,(1+$E$126)^(1/12)-1,$E$126/12)*SUM(I123:I125)*I$10*(1-Inputs!$E$66)</f>
        <v>0</v>
      </c>
      <c r="J126" s="20">
        <f>IF(Inputs!$E$69=1,(1+$E$126)^(1/12)-1,$E$126/12)*SUM(J123:J125)*J$10*(1-Inputs!$E$66)</f>
        <v>0</v>
      </c>
      <c r="K126" s="20">
        <f>IF(Inputs!$E$69=1,(1+$E$126)^(1/12)-1,$E$126/12)*SUM(K123:K125)*K$10*(1-Inputs!$E$66)</f>
        <v>0</v>
      </c>
      <c r="L126" s="20">
        <f>IF(Inputs!$E$69=1,(1+$E$126)^(1/12)-1,$E$126/12)*SUM(L123:L125)*L$10*(1-Inputs!$E$66)</f>
        <v>0</v>
      </c>
      <c r="M126" s="20">
        <f>IF(Inputs!$E$69=1,(1+$E$126)^(1/12)-1,$E$126/12)*SUM(M123:M125)*M$10*(1-Inputs!$E$66)</f>
        <v>0</v>
      </c>
      <c r="N126" s="20">
        <f>IF(Inputs!$E$69=1,(1+$E$126)^(1/12)-1,$E$126/12)*SUM(N123:N125)*N$10*(1-Inputs!$E$66)</f>
        <v>0</v>
      </c>
      <c r="O126" s="20">
        <f>IF(Inputs!$E$69=1,(1+$E$126)^(1/12)-1,$E$126/12)*SUM(O123:O125)*O$10*(1-Inputs!$E$66)</f>
        <v>0</v>
      </c>
      <c r="P126" s="20">
        <f>IF(Inputs!$E$69=1,(1+$E$126)^(1/12)-1,$E$126/12)*SUM(P123:P125)*P$10*(1-Inputs!$E$66)</f>
        <v>0</v>
      </c>
      <c r="Q126" s="20">
        <f>IF(Inputs!$E$69=1,(1+$E$126)^(1/12)-1,$E$126/12)*SUM(Q123:Q125)*Q$10*(1-Inputs!$E$66)</f>
        <v>0</v>
      </c>
      <c r="R126" s="20">
        <f>IF(Inputs!$E$69=1,(1+$E$126)^(1/12)-1,$E$126/12)*SUM(R123:R125)*R$10*(1-Inputs!$E$66)</f>
        <v>0</v>
      </c>
      <c r="S126" s="20">
        <f>IF(Inputs!$E$69=1,(1+$E$126)^(1/12)-1,$E$126/12)*SUM(S123:S125)*S$10*(1-Inputs!$E$66)</f>
        <v>0</v>
      </c>
      <c r="T126" s="20">
        <f>IF(Inputs!$E$69=1,(1+$E$126)^(1/12)-1,$E$126/12)*SUM(T123:T125)*T$10*(1-Inputs!$E$66)</f>
        <v>0</v>
      </c>
      <c r="U126" s="20">
        <f>IF(Inputs!$E$69=1,(1+$E$126)^(1/12)-1,$E$126/12)*SUM(U123:U125)*U$10*(1-Inputs!$E$66)</f>
        <v>0</v>
      </c>
      <c r="V126" s="20">
        <f>IF(Inputs!$E$69=1,(1+$E$126)^(1/12)-1,$E$126/12)*SUM(V123:V125)*V$10*(1-Inputs!$E$66)</f>
        <v>0</v>
      </c>
      <c r="W126" s="20">
        <f>IF(Inputs!$E$69=1,(1+$E$126)^(1/12)-1,$E$126/12)*SUM(W123:W125)*W$10*(1-Inputs!$E$66)</f>
        <v>0</v>
      </c>
      <c r="X126" s="20">
        <f>IF(Inputs!$E$69=1,(1+$E$126)^(1/12)-1,$E$126/12)*SUM(X123:X125)*X$10*(1-Inputs!$E$66)</f>
        <v>0</v>
      </c>
      <c r="Y126" s="20">
        <f>IF(Inputs!$E$69=1,(1+$E$126)^(1/12)-1,$E$126/12)*SUM(Y123:Y125)*Y$10*(1-Inputs!$E$66)</f>
        <v>0</v>
      </c>
      <c r="Z126" s="20">
        <f>IF(Inputs!$E$69=1,(1+$E$126)^(1/12)-1,$E$126/12)*SUM(Z123:Z125)*Z$10*(1-Inputs!$E$66)</f>
        <v>0</v>
      </c>
      <c r="AA126" s="20">
        <f>IF(Inputs!$E$69=1,(1+$E$126)^(1/12)-1,$E$126/12)*SUM(AA123:AA125)*AA$10*(1-Inputs!$E$66)</f>
        <v>0</v>
      </c>
      <c r="AB126" s="20">
        <f>IF(Inputs!$E$69=1,(1+$E$126)^(1/12)-1,$E$126/12)*SUM(AB123:AB125)*AB$10*(1-Inputs!$E$66)</f>
        <v>0</v>
      </c>
      <c r="AC126" s="20">
        <f>IF(Inputs!$E$69=1,(1+$E$126)^(1/12)-1,$E$126/12)*SUM(AC123:AC125)*AC$10*(1-Inputs!$E$66)</f>
        <v>0</v>
      </c>
      <c r="AD126" s="20">
        <f>IF(Inputs!$E$69=1,(1+$E$126)^(1/12)-1,$E$126/12)*SUM(AD123:AD125)*AD$10*(1-Inputs!$E$66)</f>
        <v>0</v>
      </c>
      <c r="AE126" s="20">
        <f>IF(Inputs!$E$69=1,(1+$E$126)^(1/12)-1,$E$126/12)*SUM(AE123:AE125)*AE$10*(1-Inputs!$E$66)</f>
        <v>0</v>
      </c>
      <c r="AF126" s="20">
        <f>IF(Inputs!$E$69=1,(1+$E$126)^(1/12)-1,$E$126/12)*SUM(AF123:AF125)*AF$10*(1-Inputs!$E$66)</f>
        <v>0</v>
      </c>
      <c r="AG126" s="20">
        <f>IF(Inputs!$E$69=1,(1+$E$126)^(1/12)-1,$E$126/12)*SUM(AG123:AG125)*AG$10*(1-Inputs!$E$66)</f>
        <v>0</v>
      </c>
      <c r="AH126" s="20">
        <f>IF(Inputs!$E$69=1,(1+$E$126)^(1/12)-1,$E$126/12)*SUM(AH123:AH125)*AH$10*(1-Inputs!$E$66)</f>
        <v>0</v>
      </c>
      <c r="AI126" s="20">
        <f>IF(Inputs!$E$69=1,(1+$E$126)^(1/12)-1,$E$126/12)*SUM(AI123:AI125)*AI$10*(1-Inputs!$E$66)</f>
        <v>0</v>
      </c>
      <c r="AJ126" s="20">
        <f>IF(Inputs!$E$69=1,(1+$E$126)^(1/12)-1,$E$126/12)*SUM(AJ123:AJ125)*AJ$10*(1-Inputs!$E$66)</f>
        <v>0</v>
      </c>
      <c r="AK126" s="20">
        <f>IF(Inputs!$E$69=1,(1+$E$126)^(1/12)-1,$E$126/12)*SUM(AK123:AK125)*AK$10*(1-Inputs!$E$66)</f>
        <v>0</v>
      </c>
      <c r="AL126" s="20">
        <f>IF(Inputs!$E$69=1,(1+$E$126)^(1/12)-1,$E$126/12)*SUM(AL123:AL125)*AL$10*(1-Inputs!$E$66)</f>
        <v>0</v>
      </c>
      <c r="AM126" s="20">
        <f>IF(Inputs!$E$69=1,(1+$E$126)^(1/12)-1,$E$126/12)*SUM(AM123:AM125)*AM$10*(1-Inputs!$E$66)</f>
        <v>0</v>
      </c>
      <c r="AN126" s="20">
        <f>IF(Inputs!$E$69=1,(1+$E$126)^(1/12)-1,$E$126/12)*SUM(AN123:AN125)*AN$10*(1-Inputs!$E$66)</f>
        <v>0</v>
      </c>
      <c r="AO126" s="20">
        <f>IF(Inputs!$E$69=1,(1+$E$126)^(1/12)-1,$E$126/12)*SUM(AO123:AO125)*AO$10*(1-Inputs!$E$66)</f>
        <v>0</v>
      </c>
      <c r="AP126" s="20">
        <f>IF(Inputs!$E$69=1,(1+$E$126)^(1/12)-1,$E$126/12)*SUM(AP123:AP125)*AP$10*(1-Inputs!$E$66)</f>
        <v>0</v>
      </c>
      <c r="AQ126" s="20">
        <f>IF(Inputs!$E$69=1,(1+$E$126)^(1/12)-1,$E$126/12)*SUM(AQ123:AQ125)*AQ$10*(1-Inputs!$E$66)</f>
        <v>0</v>
      </c>
      <c r="AR126" s="20">
        <f>IF(Inputs!$E$69=1,(1+$E$126)^(1/12)-1,$E$126/12)*SUM(AR123:AR125)*AR$10*(1-Inputs!$E$66)</f>
        <v>0</v>
      </c>
      <c r="AS126" s="20">
        <f>IF(Inputs!$E$69=1,(1+$E$126)^(1/12)-1,$E$126/12)*SUM(AS123:AS125)*AS$10*(1-Inputs!$E$66)</f>
        <v>0</v>
      </c>
      <c r="AT126" s="20">
        <f>IF(Inputs!$E$69=1,(1+$E$126)^(1/12)-1,$E$126/12)*SUM(AT123:AT125)*AT$10*(1-Inputs!$E$66)</f>
        <v>0</v>
      </c>
      <c r="AU126" s="20">
        <f>IF(Inputs!$E$69=1,(1+$E$126)^(1/12)-1,$E$126/12)*SUM(AU123:AU125)*AU$10*(1-Inputs!$E$66)</f>
        <v>0</v>
      </c>
      <c r="AV126" s="20">
        <f>IF(Inputs!$E$69=1,(1+$E$126)^(1/12)-1,$E$126/12)*SUM(AV123:AV125)*AV$10*(1-Inputs!$E$66)</f>
        <v>0</v>
      </c>
      <c r="AW126" s="20">
        <f>IF(Inputs!$E$69=1,(1+$E$126)^(1/12)-1,$E$126/12)*SUM(AW123:AW125)*AW$10*(1-Inputs!$E$66)</f>
        <v>0</v>
      </c>
      <c r="AX126" s="20">
        <f>IF(Inputs!$E$69=1,(1+$E$126)^(1/12)-1,$E$126/12)*SUM(AX123:AX125)*AX$10*(1-Inputs!$E$66)</f>
        <v>0</v>
      </c>
      <c r="AY126" s="20">
        <f>IF(Inputs!$E$69=1,(1+$E$126)^(1/12)-1,$E$126/12)*SUM(AY123:AY125)*AY$10*(1-Inputs!$E$66)</f>
        <v>0</v>
      </c>
      <c r="AZ126" s="20">
        <f>IF(Inputs!$E$69=1,(1+$E$126)^(1/12)-1,$E$126/12)*SUM(AZ123:AZ125)*AZ$10*(1-Inputs!$E$66)</f>
        <v>0</v>
      </c>
      <c r="BA126" s="20">
        <f>IF(Inputs!$E$69=1,(1+$E$126)^(1/12)-1,$E$126/12)*SUM(BA123:BA125)*BA$10*(1-Inputs!$E$66)</f>
        <v>0</v>
      </c>
      <c r="BB126" s="20">
        <f>IF(Inputs!$E$69=1,(1+$E$126)^(1/12)-1,$E$126/12)*SUM(BB123:BB125)*BB$10*(1-Inputs!$E$66)</f>
        <v>0</v>
      </c>
      <c r="BC126" s="20">
        <f>IF(Inputs!$E$69=1,(1+$E$126)^(1/12)-1,$E$126/12)*SUM(BC123:BC125)*BC$10*(1-Inputs!$E$66)</f>
        <v>0</v>
      </c>
      <c r="BD126" s="20">
        <f>IF(Inputs!$E$69=1,(1+$E$126)^(1/12)-1,$E$126/12)*SUM(BD123:BD125)*BD$10*(1-Inputs!$E$66)</f>
        <v>0</v>
      </c>
      <c r="BE126" s="20">
        <f>IF(Inputs!$E$69=1,(1+$E$126)^(1/12)-1,$E$126/12)*SUM(BE123:BE125)*BE$10*(1-Inputs!$E$66)</f>
        <v>0</v>
      </c>
      <c r="BF126" s="20">
        <f>IF(Inputs!$E$69=1,(1+$E$126)^(1/12)-1,$E$126/12)*SUM(BF123:BF125)*BF$10*(1-Inputs!$E$66)</f>
        <v>0</v>
      </c>
      <c r="BG126" s="20">
        <f>IF(Inputs!$E$69=1,(1+$E$126)^(1/12)-1,$E$126/12)*SUM(BG123:BG125)*BG$10*(1-Inputs!$E$66)</f>
        <v>0</v>
      </c>
      <c r="BH126" s="20">
        <f>IF(Inputs!$E$69=1,(1+$E$126)^(1/12)-1,$E$126/12)*SUM(BH123:BH125)*BH$10*(1-Inputs!$E$66)</f>
        <v>0</v>
      </c>
      <c r="BI126" s="20">
        <f>IF(Inputs!$E$69=1,(1+$E$126)^(1/12)-1,$E$126/12)*SUM(BI123:BI125)*BI$10*(1-Inputs!$E$66)</f>
        <v>0</v>
      </c>
      <c r="BJ126" s="20">
        <f>IF(Inputs!$E$69=1,(1+$E$126)^(1/12)-1,$E$126/12)*SUM(BJ123:BJ125)*BJ$10*(1-Inputs!$E$66)</f>
        <v>0</v>
      </c>
      <c r="BK126" s="20">
        <f>IF(Inputs!$E$69=1,(1+$E$126)^(1/12)-1,$E$126/12)*SUM(BK123:BK125)*BK$10*(1-Inputs!$E$66)</f>
        <v>0</v>
      </c>
      <c r="BL126" s="20">
        <f>IF(Inputs!$E$69=1,(1+$E$126)^(1/12)-1,$E$126/12)*SUM(BL123:BL125)*BL$10*(1-Inputs!$E$66)</f>
        <v>0</v>
      </c>
      <c r="BM126" s="20">
        <f>IF(Inputs!$E$69=1,(1+$E$126)^(1/12)-1,$E$126/12)*SUM(BM123:BM125)*BM$10*(1-Inputs!$E$66)</f>
        <v>0</v>
      </c>
      <c r="BN126" s="20">
        <f>IF(Inputs!$E$69=1,(1+$E$126)^(1/12)-1,$E$126/12)*SUM(BN123:BN125)*BN$10*(1-Inputs!$E$66)</f>
        <v>0</v>
      </c>
      <c r="BO126" s="20">
        <f>IF(Inputs!$E$69=1,(1+$E$126)^(1/12)-1,$E$126/12)*SUM(BO123:BO125)*BO$10*(1-Inputs!$E$66)</f>
        <v>0</v>
      </c>
      <c r="BP126" s="20">
        <f>IF(Inputs!$E$69=1,(1+$E$126)^(1/12)-1,$E$126/12)*SUM(BP123:BP125)*BP$10*(1-Inputs!$E$66)</f>
        <v>0</v>
      </c>
    </row>
    <row r="127" spans="3:68" x14ac:dyDescent="0.25">
      <c r="C127" t="s">
        <v>28</v>
      </c>
      <c r="D127" t="s">
        <v>844</v>
      </c>
      <c r="E127" s="20"/>
      <c r="F127" s="20"/>
      <c r="G127" s="20">
        <f>SUM(H127:BP127)</f>
        <v>-3104.2842779143025</v>
      </c>
      <c r="H127" s="20">
        <f t="shared" ref="H127:AM127" si="72">-H$7*SUM(H123:H126)</f>
        <v>-0</v>
      </c>
      <c r="I127" s="20">
        <f t="shared" si="72"/>
        <v>-0</v>
      </c>
      <c r="J127" s="20">
        <f t="shared" si="72"/>
        <v>-0</v>
      </c>
      <c r="K127" s="20">
        <f t="shared" si="72"/>
        <v>-0</v>
      </c>
      <c r="L127" s="20">
        <f t="shared" si="72"/>
        <v>-0</v>
      </c>
      <c r="M127" s="20">
        <f t="shared" si="72"/>
        <v>-0</v>
      </c>
      <c r="N127" s="20">
        <f t="shared" si="72"/>
        <v>-0</v>
      </c>
      <c r="O127" s="20">
        <f t="shared" si="72"/>
        <v>-0</v>
      </c>
      <c r="P127" s="20">
        <f t="shared" si="72"/>
        <v>-0</v>
      </c>
      <c r="Q127" s="20">
        <f t="shared" si="72"/>
        <v>-0</v>
      </c>
      <c r="R127" s="20">
        <f t="shared" si="72"/>
        <v>-0</v>
      </c>
      <c r="S127" s="20">
        <f t="shared" si="72"/>
        <v>-0</v>
      </c>
      <c r="T127" s="20">
        <f t="shared" si="72"/>
        <v>-0</v>
      </c>
      <c r="U127" s="20">
        <f t="shared" si="72"/>
        <v>-0</v>
      </c>
      <c r="V127" s="20">
        <f t="shared" si="72"/>
        <v>-0</v>
      </c>
      <c r="W127" s="20">
        <f t="shared" si="72"/>
        <v>-0</v>
      </c>
      <c r="X127" s="20">
        <f t="shared" si="72"/>
        <v>-0</v>
      </c>
      <c r="Y127" s="20">
        <f t="shared" si="72"/>
        <v>-0</v>
      </c>
      <c r="Z127" s="20">
        <f t="shared" si="72"/>
        <v>-0</v>
      </c>
      <c r="AA127" s="20">
        <f t="shared" si="72"/>
        <v>-0</v>
      </c>
      <c r="AB127" s="20">
        <f t="shared" si="72"/>
        <v>-0</v>
      </c>
      <c r="AC127" s="20">
        <f t="shared" si="72"/>
        <v>-0</v>
      </c>
      <c r="AD127" s="20">
        <f t="shared" si="72"/>
        <v>-0</v>
      </c>
      <c r="AE127" s="20">
        <f t="shared" si="72"/>
        <v>-0</v>
      </c>
      <c r="AF127" s="20">
        <f t="shared" si="72"/>
        <v>-0</v>
      </c>
      <c r="AG127" s="20">
        <f t="shared" si="72"/>
        <v>-0</v>
      </c>
      <c r="AH127" s="20">
        <f t="shared" si="72"/>
        <v>-0</v>
      </c>
      <c r="AI127" s="20">
        <f t="shared" si="72"/>
        <v>-0</v>
      </c>
      <c r="AJ127" s="20">
        <f t="shared" si="72"/>
        <v>-0</v>
      </c>
      <c r="AK127" s="20">
        <f t="shared" si="72"/>
        <v>-0</v>
      </c>
      <c r="AL127" s="20">
        <f t="shared" si="72"/>
        <v>-0</v>
      </c>
      <c r="AM127" s="20">
        <f t="shared" si="72"/>
        <v>-0</v>
      </c>
      <c r="AN127" s="20">
        <f t="shared" ref="AN127:BP127" si="73">-AN$7*SUM(AN123:AN126)</f>
        <v>-0</v>
      </c>
      <c r="AO127" s="20">
        <f t="shared" si="73"/>
        <v>-0</v>
      </c>
      <c r="AP127" s="20">
        <f t="shared" si="73"/>
        <v>-0</v>
      </c>
      <c r="AQ127" s="20">
        <f t="shared" si="73"/>
        <v>-0</v>
      </c>
      <c r="AR127" s="20">
        <f t="shared" si="73"/>
        <v>-0</v>
      </c>
      <c r="AS127" s="20">
        <f t="shared" si="73"/>
        <v>-0</v>
      </c>
      <c r="AT127" s="20">
        <f t="shared" si="73"/>
        <v>-0</v>
      </c>
      <c r="AU127" s="20">
        <f t="shared" si="73"/>
        <v>-0</v>
      </c>
      <c r="AV127" s="20">
        <f t="shared" si="73"/>
        <v>-0</v>
      </c>
      <c r="AW127" s="20">
        <f t="shared" si="73"/>
        <v>-0</v>
      </c>
      <c r="AX127" s="20">
        <f t="shared" si="73"/>
        <v>-0</v>
      </c>
      <c r="AY127" s="20">
        <f t="shared" si="73"/>
        <v>-0</v>
      </c>
      <c r="AZ127" s="20">
        <f t="shared" si="73"/>
        <v>-3104.2842779143025</v>
      </c>
      <c r="BA127" s="20">
        <f t="shared" si="73"/>
        <v>-0</v>
      </c>
      <c r="BB127" s="20">
        <f t="shared" si="73"/>
        <v>-0</v>
      </c>
      <c r="BC127" s="20">
        <f t="shared" si="73"/>
        <v>-0</v>
      </c>
      <c r="BD127" s="20">
        <f t="shared" si="73"/>
        <v>-0</v>
      </c>
      <c r="BE127" s="20">
        <f t="shared" si="73"/>
        <v>-0</v>
      </c>
      <c r="BF127" s="20">
        <f t="shared" si="73"/>
        <v>-0</v>
      </c>
      <c r="BG127" s="20">
        <f t="shared" si="73"/>
        <v>-0</v>
      </c>
      <c r="BH127" s="20">
        <f t="shared" si="73"/>
        <v>-0</v>
      </c>
      <c r="BI127" s="20">
        <f t="shared" si="73"/>
        <v>-0</v>
      </c>
      <c r="BJ127" s="20">
        <f t="shared" si="73"/>
        <v>-0</v>
      </c>
      <c r="BK127" s="20">
        <f t="shared" si="73"/>
        <v>-0</v>
      </c>
      <c r="BL127" s="20">
        <f t="shared" si="73"/>
        <v>-0</v>
      </c>
      <c r="BM127" s="20">
        <f t="shared" si="73"/>
        <v>-0</v>
      </c>
      <c r="BN127" s="20">
        <f t="shared" si="73"/>
        <v>-0</v>
      </c>
      <c r="BO127" s="20">
        <f t="shared" si="73"/>
        <v>-0</v>
      </c>
      <c r="BP127" s="20">
        <f t="shared" si="73"/>
        <v>-0</v>
      </c>
    </row>
    <row r="128" spans="3:68" x14ac:dyDescent="0.25">
      <c r="C128" t="s">
        <v>33</v>
      </c>
      <c r="D128" t="s">
        <v>844</v>
      </c>
      <c r="E128" s="20"/>
      <c r="F128" s="20"/>
      <c r="G128" s="20"/>
      <c r="H128" s="20">
        <f t="shared" ref="H128:AM128" si="74">SUM(H123:H127)</f>
        <v>0</v>
      </c>
      <c r="I128" s="20">
        <f t="shared" si="74"/>
        <v>0</v>
      </c>
      <c r="J128" s="20">
        <f t="shared" si="74"/>
        <v>0</v>
      </c>
      <c r="K128" s="20">
        <f t="shared" si="74"/>
        <v>193.68159940762683</v>
      </c>
      <c r="L128" s="20">
        <f t="shared" si="74"/>
        <v>193.68159940762683</v>
      </c>
      <c r="M128" s="20">
        <f t="shared" si="74"/>
        <v>193.68159940762683</v>
      </c>
      <c r="N128" s="20">
        <f t="shared" si="74"/>
        <v>203.41132913735657</v>
      </c>
      <c r="O128" s="20">
        <f t="shared" si="74"/>
        <v>382.3045723805998</v>
      </c>
      <c r="P128" s="20">
        <f t="shared" si="74"/>
        <v>780.3045723805998</v>
      </c>
      <c r="Q128" s="20">
        <f t="shared" si="74"/>
        <v>780.3045723805998</v>
      </c>
      <c r="R128" s="20">
        <f t="shared" si="74"/>
        <v>780.3045723805998</v>
      </c>
      <c r="S128" s="20">
        <f t="shared" si="74"/>
        <v>823.547815623843</v>
      </c>
      <c r="T128" s="20">
        <f t="shared" si="74"/>
        <v>866.7910588670862</v>
      </c>
      <c r="U128" s="20">
        <f t="shared" si="74"/>
        <v>866.7910588670862</v>
      </c>
      <c r="V128" s="20">
        <f t="shared" si="74"/>
        <v>866.7910588670862</v>
      </c>
      <c r="W128" s="20">
        <f t="shared" si="74"/>
        <v>866.7910588670862</v>
      </c>
      <c r="X128" s="20">
        <f t="shared" si="74"/>
        <v>907.3315994076268</v>
      </c>
      <c r="Y128" s="20">
        <f t="shared" si="74"/>
        <v>1050.012680488708</v>
      </c>
      <c r="Z128" s="20">
        <f t="shared" si="74"/>
        <v>2004.7566131969263</v>
      </c>
      <c r="AA128" s="20">
        <f t="shared" si="74"/>
        <v>2234.486342926656</v>
      </c>
      <c r="AB128" s="20">
        <f t="shared" si="74"/>
        <v>2322.621478061791</v>
      </c>
      <c r="AC128" s="20">
        <f t="shared" si="74"/>
        <v>2322.729586169899</v>
      </c>
      <c r="AD128" s="20">
        <f t="shared" si="74"/>
        <v>2322.729586169899</v>
      </c>
      <c r="AE128" s="20">
        <f t="shared" si="74"/>
        <v>2327.229586169899</v>
      </c>
      <c r="AF128" s="20">
        <f t="shared" si="74"/>
        <v>2327.229586169899</v>
      </c>
      <c r="AG128" s="20">
        <f t="shared" si="74"/>
        <v>2489.103643312756</v>
      </c>
      <c r="AH128" s="20">
        <f t="shared" si="74"/>
        <v>2489.103643312756</v>
      </c>
      <c r="AI128" s="20">
        <f t="shared" si="74"/>
        <v>2489.103643312756</v>
      </c>
      <c r="AJ128" s="20">
        <f t="shared" si="74"/>
        <v>2521.5360757451886</v>
      </c>
      <c r="AK128" s="20">
        <f t="shared" si="74"/>
        <v>2803.7437373737616</v>
      </c>
      <c r="AL128" s="20">
        <f t="shared" si="74"/>
        <v>2857.797791427816</v>
      </c>
      <c r="AM128" s="20">
        <f t="shared" si="74"/>
        <v>2857.797791427816</v>
      </c>
      <c r="AN128" s="20">
        <f t="shared" ref="AN128:BP128" si="75">SUM(AN123:AN127)</f>
        <v>3104.2842779143025</v>
      </c>
      <c r="AO128" s="20">
        <f t="shared" si="75"/>
        <v>3104.2842779143025</v>
      </c>
      <c r="AP128" s="20">
        <f t="shared" si="75"/>
        <v>3104.2842779143025</v>
      </c>
      <c r="AQ128" s="20">
        <f t="shared" si="75"/>
        <v>3104.2842779143025</v>
      </c>
      <c r="AR128" s="20">
        <f t="shared" si="75"/>
        <v>3104.2842779143025</v>
      </c>
      <c r="AS128" s="20">
        <f t="shared" si="75"/>
        <v>3104.2842779143025</v>
      </c>
      <c r="AT128" s="20">
        <f t="shared" si="75"/>
        <v>3104.2842779143025</v>
      </c>
      <c r="AU128" s="20">
        <f t="shared" si="75"/>
        <v>3104.2842779143025</v>
      </c>
      <c r="AV128" s="20">
        <f t="shared" si="75"/>
        <v>3104.2842779143025</v>
      </c>
      <c r="AW128" s="20">
        <f t="shared" si="75"/>
        <v>3104.2842779143025</v>
      </c>
      <c r="AX128" s="20">
        <f t="shared" si="75"/>
        <v>3104.2842779143025</v>
      </c>
      <c r="AY128" s="20">
        <f t="shared" si="75"/>
        <v>3104.2842779143025</v>
      </c>
      <c r="AZ128" s="20">
        <f t="shared" si="75"/>
        <v>0</v>
      </c>
      <c r="BA128" s="20">
        <f t="shared" si="75"/>
        <v>0</v>
      </c>
      <c r="BB128" s="20">
        <f t="shared" si="75"/>
        <v>0</v>
      </c>
      <c r="BC128" s="20">
        <f t="shared" si="75"/>
        <v>0</v>
      </c>
      <c r="BD128" s="20">
        <f t="shared" si="75"/>
        <v>0</v>
      </c>
      <c r="BE128" s="20">
        <f t="shared" si="75"/>
        <v>0</v>
      </c>
      <c r="BF128" s="20">
        <f t="shared" si="75"/>
        <v>0</v>
      </c>
      <c r="BG128" s="20">
        <f t="shared" si="75"/>
        <v>0</v>
      </c>
      <c r="BH128" s="20">
        <f t="shared" si="75"/>
        <v>0</v>
      </c>
      <c r="BI128" s="20">
        <f t="shared" si="75"/>
        <v>0</v>
      </c>
      <c r="BJ128" s="20">
        <f t="shared" si="75"/>
        <v>0</v>
      </c>
      <c r="BK128" s="20">
        <f t="shared" si="75"/>
        <v>0</v>
      </c>
      <c r="BL128" s="20">
        <f t="shared" si="75"/>
        <v>0</v>
      </c>
      <c r="BM128" s="20">
        <f t="shared" si="75"/>
        <v>0</v>
      </c>
      <c r="BN128" s="20">
        <f t="shared" si="75"/>
        <v>0</v>
      </c>
      <c r="BO128" s="20">
        <f t="shared" si="75"/>
        <v>0</v>
      </c>
      <c r="BP128" s="20">
        <f t="shared" si="75"/>
        <v>0</v>
      </c>
    </row>
    <row r="129" spans="3:68" x14ac:dyDescent="0.25">
      <c r="C129" t="s">
        <v>697</v>
      </c>
      <c r="D129" t="s">
        <v>844</v>
      </c>
      <c r="E129" s="20"/>
      <c r="F129" s="20"/>
      <c r="G129" s="20"/>
      <c r="H129" s="20">
        <f>H124+H125</f>
        <v>0</v>
      </c>
      <c r="I129" s="20">
        <f t="shared" ref="I129:AN129" si="76">H129+I124+I125</f>
        <v>0</v>
      </c>
      <c r="J129" s="20">
        <f t="shared" si="76"/>
        <v>0</v>
      </c>
      <c r="K129" s="20">
        <f t="shared" si="76"/>
        <v>193.68159940762683</v>
      </c>
      <c r="L129" s="20">
        <f t="shared" si="76"/>
        <v>193.68159940762683</v>
      </c>
      <c r="M129" s="20">
        <f t="shared" si="76"/>
        <v>193.68159940762683</v>
      </c>
      <c r="N129" s="20">
        <f t="shared" si="76"/>
        <v>203.41132913735657</v>
      </c>
      <c r="O129" s="20">
        <f t="shared" si="76"/>
        <v>382.3045723805998</v>
      </c>
      <c r="P129" s="20">
        <f t="shared" si="76"/>
        <v>780.3045723805998</v>
      </c>
      <c r="Q129" s="20">
        <f t="shared" si="76"/>
        <v>780.3045723805998</v>
      </c>
      <c r="R129" s="20">
        <f t="shared" si="76"/>
        <v>780.3045723805998</v>
      </c>
      <c r="S129" s="20">
        <f t="shared" si="76"/>
        <v>823.547815623843</v>
      </c>
      <c r="T129" s="20">
        <f t="shared" si="76"/>
        <v>866.7910588670862</v>
      </c>
      <c r="U129" s="20">
        <f t="shared" si="76"/>
        <v>866.7910588670862</v>
      </c>
      <c r="V129" s="20">
        <f t="shared" si="76"/>
        <v>866.7910588670862</v>
      </c>
      <c r="W129" s="20">
        <f t="shared" si="76"/>
        <v>866.7910588670862</v>
      </c>
      <c r="X129" s="20">
        <f t="shared" si="76"/>
        <v>907.3315994076268</v>
      </c>
      <c r="Y129" s="20">
        <f t="shared" si="76"/>
        <v>1050.012680488708</v>
      </c>
      <c r="Z129" s="20">
        <f t="shared" si="76"/>
        <v>2004.7566131969263</v>
      </c>
      <c r="AA129" s="20">
        <f t="shared" si="76"/>
        <v>2234.486342926656</v>
      </c>
      <c r="AB129" s="20">
        <f t="shared" si="76"/>
        <v>2322.621478061791</v>
      </c>
      <c r="AC129" s="20">
        <f t="shared" si="76"/>
        <v>2322.729586169899</v>
      </c>
      <c r="AD129" s="20">
        <f t="shared" si="76"/>
        <v>2322.729586169899</v>
      </c>
      <c r="AE129" s="20">
        <f t="shared" si="76"/>
        <v>2327.229586169899</v>
      </c>
      <c r="AF129" s="20">
        <f t="shared" si="76"/>
        <v>2327.229586169899</v>
      </c>
      <c r="AG129" s="20">
        <f t="shared" si="76"/>
        <v>2489.103643312756</v>
      </c>
      <c r="AH129" s="20">
        <f t="shared" si="76"/>
        <v>2489.103643312756</v>
      </c>
      <c r="AI129" s="20">
        <f t="shared" si="76"/>
        <v>2489.103643312756</v>
      </c>
      <c r="AJ129" s="20">
        <f t="shared" si="76"/>
        <v>2521.5360757451886</v>
      </c>
      <c r="AK129" s="20">
        <f t="shared" si="76"/>
        <v>2803.7437373737616</v>
      </c>
      <c r="AL129" s="20">
        <f t="shared" si="76"/>
        <v>2857.797791427816</v>
      </c>
      <c r="AM129" s="20">
        <f t="shared" si="76"/>
        <v>2857.797791427816</v>
      </c>
      <c r="AN129" s="20">
        <f t="shared" si="76"/>
        <v>3104.2842779143025</v>
      </c>
      <c r="AO129" s="20">
        <f t="shared" ref="AO129:BP129" si="77">AN129+AO124+AO125</f>
        <v>3104.2842779143025</v>
      </c>
      <c r="AP129" s="20">
        <f t="shared" si="77"/>
        <v>3104.2842779143025</v>
      </c>
      <c r="AQ129" s="20">
        <f t="shared" si="77"/>
        <v>3104.2842779143025</v>
      </c>
      <c r="AR129" s="20">
        <f t="shared" si="77"/>
        <v>3104.2842779143025</v>
      </c>
      <c r="AS129" s="20">
        <f t="shared" si="77"/>
        <v>3104.2842779143025</v>
      </c>
      <c r="AT129" s="20">
        <f t="shared" si="77"/>
        <v>3104.2842779143025</v>
      </c>
      <c r="AU129" s="20">
        <f t="shared" si="77"/>
        <v>3104.2842779143025</v>
      </c>
      <c r="AV129" s="20">
        <f t="shared" si="77"/>
        <v>3104.2842779143025</v>
      </c>
      <c r="AW129" s="20">
        <f t="shared" si="77"/>
        <v>3104.2842779143025</v>
      </c>
      <c r="AX129" s="20">
        <f t="shared" si="77"/>
        <v>3104.2842779143025</v>
      </c>
      <c r="AY129" s="20">
        <f t="shared" si="77"/>
        <v>3104.2842779143025</v>
      </c>
      <c r="AZ129" s="20">
        <f t="shared" si="77"/>
        <v>3104.2842779143025</v>
      </c>
      <c r="BA129" s="20">
        <f t="shared" si="77"/>
        <v>3104.2842779143025</v>
      </c>
      <c r="BB129" s="20">
        <f t="shared" si="77"/>
        <v>3104.2842779143025</v>
      </c>
      <c r="BC129" s="20">
        <f t="shared" si="77"/>
        <v>3104.2842779143025</v>
      </c>
      <c r="BD129" s="20">
        <f t="shared" si="77"/>
        <v>3104.2842779143025</v>
      </c>
      <c r="BE129" s="20">
        <f t="shared" si="77"/>
        <v>3104.2842779143025</v>
      </c>
      <c r="BF129" s="20">
        <f t="shared" si="77"/>
        <v>3104.2842779143025</v>
      </c>
      <c r="BG129" s="20">
        <f t="shared" si="77"/>
        <v>3104.2842779143025</v>
      </c>
      <c r="BH129" s="20">
        <f t="shared" si="77"/>
        <v>3104.2842779143025</v>
      </c>
      <c r="BI129" s="20">
        <f t="shared" si="77"/>
        <v>3104.2842779143025</v>
      </c>
      <c r="BJ129" s="20">
        <f t="shared" si="77"/>
        <v>3104.2842779143025</v>
      </c>
      <c r="BK129" s="20">
        <f t="shared" si="77"/>
        <v>3104.2842779143025</v>
      </c>
      <c r="BL129" s="20">
        <f t="shared" si="77"/>
        <v>3104.2842779143025</v>
      </c>
      <c r="BM129" s="20">
        <f t="shared" si="77"/>
        <v>3104.2842779143025</v>
      </c>
      <c r="BN129" s="20">
        <f t="shared" si="77"/>
        <v>3104.2842779143025</v>
      </c>
      <c r="BO129" s="20">
        <f t="shared" si="77"/>
        <v>3104.2842779143025</v>
      </c>
      <c r="BP129" s="20">
        <f t="shared" si="77"/>
        <v>3104.2842779143025</v>
      </c>
    </row>
    <row r="130" spans="3:68" x14ac:dyDescent="0.25">
      <c r="C130" t="s">
        <v>1603</v>
      </c>
      <c r="D130" t="s">
        <v>844</v>
      </c>
      <c r="E130" s="3">
        <f>Inputs!$E$63</f>
        <v>2</v>
      </c>
      <c r="F130" s="20"/>
      <c r="G130" s="20">
        <f>SUM(H130:BP130)</f>
        <v>3104.2842779143025</v>
      </c>
      <c r="H130" s="20">
        <f t="shared" ref="H130:AM130" si="78">H$7*MAX($E$130*H129-SUM(H123:H126),0)</f>
        <v>0</v>
      </c>
      <c r="I130" s="20">
        <f t="shared" si="78"/>
        <v>0</v>
      </c>
      <c r="J130" s="20">
        <f t="shared" si="78"/>
        <v>0</v>
      </c>
      <c r="K130" s="20">
        <f t="shared" si="78"/>
        <v>0</v>
      </c>
      <c r="L130" s="20">
        <f t="shared" si="78"/>
        <v>0</v>
      </c>
      <c r="M130" s="20">
        <f t="shared" si="78"/>
        <v>0</v>
      </c>
      <c r="N130" s="20">
        <f t="shared" si="78"/>
        <v>0</v>
      </c>
      <c r="O130" s="20">
        <f t="shared" si="78"/>
        <v>0</v>
      </c>
      <c r="P130" s="20">
        <f t="shared" si="78"/>
        <v>0</v>
      </c>
      <c r="Q130" s="20">
        <f t="shared" si="78"/>
        <v>0</v>
      </c>
      <c r="R130" s="20">
        <f t="shared" si="78"/>
        <v>0</v>
      </c>
      <c r="S130" s="20">
        <f t="shared" si="78"/>
        <v>0</v>
      </c>
      <c r="T130" s="20">
        <f t="shared" si="78"/>
        <v>0</v>
      </c>
      <c r="U130" s="20">
        <f t="shared" si="78"/>
        <v>0</v>
      </c>
      <c r="V130" s="20">
        <f t="shared" si="78"/>
        <v>0</v>
      </c>
      <c r="W130" s="20">
        <f t="shared" si="78"/>
        <v>0</v>
      </c>
      <c r="X130" s="20">
        <f t="shared" si="78"/>
        <v>0</v>
      </c>
      <c r="Y130" s="20">
        <f t="shared" si="78"/>
        <v>0</v>
      </c>
      <c r="Z130" s="20">
        <f t="shared" si="78"/>
        <v>0</v>
      </c>
      <c r="AA130" s="20">
        <f t="shared" si="78"/>
        <v>0</v>
      </c>
      <c r="AB130" s="20">
        <f t="shared" si="78"/>
        <v>0</v>
      </c>
      <c r="AC130" s="20">
        <f t="shared" si="78"/>
        <v>0</v>
      </c>
      <c r="AD130" s="20">
        <f t="shared" si="78"/>
        <v>0</v>
      </c>
      <c r="AE130" s="20">
        <f t="shared" si="78"/>
        <v>0</v>
      </c>
      <c r="AF130" s="20">
        <f t="shared" si="78"/>
        <v>0</v>
      </c>
      <c r="AG130" s="20">
        <f t="shared" si="78"/>
        <v>0</v>
      </c>
      <c r="AH130" s="20">
        <f t="shared" si="78"/>
        <v>0</v>
      </c>
      <c r="AI130" s="20">
        <f t="shared" si="78"/>
        <v>0</v>
      </c>
      <c r="AJ130" s="20">
        <f t="shared" si="78"/>
        <v>0</v>
      </c>
      <c r="AK130" s="20">
        <f t="shared" si="78"/>
        <v>0</v>
      </c>
      <c r="AL130" s="20">
        <f t="shared" si="78"/>
        <v>0</v>
      </c>
      <c r="AM130" s="20">
        <f t="shared" si="78"/>
        <v>0</v>
      </c>
      <c r="AN130" s="20">
        <f t="shared" ref="AN130:BP130" si="79">AN$7*MAX($E$130*AN129-SUM(AN123:AN126),0)</f>
        <v>0</v>
      </c>
      <c r="AO130" s="20">
        <f t="shared" si="79"/>
        <v>0</v>
      </c>
      <c r="AP130" s="20">
        <f t="shared" si="79"/>
        <v>0</v>
      </c>
      <c r="AQ130" s="20">
        <f t="shared" si="79"/>
        <v>0</v>
      </c>
      <c r="AR130" s="20">
        <f t="shared" si="79"/>
        <v>0</v>
      </c>
      <c r="AS130" s="20">
        <f t="shared" si="79"/>
        <v>0</v>
      </c>
      <c r="AT130" s="20">
        <f t="shared" si="79"/>
        <v>0</v>
      </c>
      <c r="AU130" s="20">
        <f t="shared" si="79"/>
        <v>0</v>
      </c>
      <c r="AV130" s="20">
        <f t="shared" si="79"/>
        <v>0</v>
      </c>
      <c r="AW130" s="20">
        <f t="shared" si="79"/>
        <v>0</v>
      </c>
      <c r="AX130" s="20">
        <f t="shared" si="79"/>
        <v>0</v>
      </c>
      <c r="AY130" s="20">
        <f t="shared" si="79"/>
        <v>0</v>
      </c>
      <c r="AZ130" s="20">
        <f t="shared" si="79"/>
        <v>3104.2842779143025</v>
      </c>
      <c r="BA130" s="20">
        <f t="shared" si="79"/>
        <v>0</v>
      </c>
      <c r="BB130" s="20">
        <f t="shared" si="79"/>
        <v>0</v>
      </c>
      <c r="BC130" s="20">
        <f t="shared" si="79"/>
        <v>0</v>
      </c>
      <c r="BD130" s="20">
        <f t="shared" si="79"/>
        <v>0</v>
      </c>
      <c r="BE130" s="20">
        <f t="shared" si="79"/>
        <v>0</v>
      </c>
      <c r="BF130" s="20">
        <f t="shared" si="79"/>
        <v>0</v>
      </c>
      <c r="BG130" s="20">
        <f t="shared" si="79"/>
        <v>0</v>
      </c>
      <c r="BH130" s="20">
        <f t="shared" si="79"/>
        <v>0</v>
      </c>
      <c r="BI130" s="20">
        <f t="shared" si="79"/>
        <v>0</v>
      </c>
      <c r="BJ130" s="20">
        <f t="shared" si="79"/>
        <v>0</v>
      </c>
      <c r="BK130" s="20">
        <f t="shared" si="79"/>
        <v>0</v>
      </c>
      <c r="BL130" s="20">
        <f t="shared" si="79"/>
        <v>0</v>
      </c>
      <c r="BM130" s="20">
        <f t="shared" si="79"/>
        <v>0</v>
      </c>
      <c r="BN130" s="20">
        <f t="shared" si="79"/>
        <v>0</v>
      </c>
      <c r="BO130" s="20">
        <f t="shared" si="79"/>
        <v>0</v>
      </c>
      <c r="BP130" s="20">
        <f t="shared" si="79"/>
        <v>0</v>
      </c>
    </row>
    <row r="131" x14ac:dyDescent="0.25">
      <c r="C131" t="inlineStr">
        <is>
          <t xml:space="preserve">FEP-convention multiple on devex / land principal – BORA_Devex column P per line at its payment date (Devex_FEP S): MAX(20 % to the RtB sale excl. the pause, 2×), principal-weighted per month</t>
        </is>
      </c>
      <c r="D131" t="s">
        <v>4</v>
      </c>
      <c r="E131" s="20">
        <f>Inputs!$E$63</f>
        <v>2</v>
      </c>
      <c r="F131" s="20"/>
      <c r="G131" s="1" cm="1">
        <f t="array" ref="G131">SUMPRODUCT(H125:BP125,H131:BP131-1,N(+H$4:BP$4&lt;=Inputs!$E$57))+SUMPRODUCT(H135:BP135,H131:BP131-1,N(+H$4:BP$4&lt;=Inputs!$E$57))</f>
        <v>3087.845921749919</v>
      </c>
      <c r="H131" s="3">
        <f>IFERROR(SUMPRODUCT((Devex_FEP!$I$5:$I$38=H$4)*Devex_FEP!$M$5:$M$38*Devex_FEP!$S$5:$S$38)/SUMPRODUCT((Devex_FEP!$I$5:$I$38=H$4)*Devex_FEP!$M$5:$M$38),$E$131)</f>
        <v>2</v>
      </c>
      <c r="I131" s="3">
        <f>IFERROR(SUMPRODUCT((Devex_FEP!$I$5:$I$38=I$4)*Devex_FEP!$M$5:$M$38*Devex_FEP!$S$5:$S$38)/SUMPRODUCT((Devex_FEP!$I$5:$I$38=I$4)*Devex_FEP!$M$5:$M$38),$E$131)</f>
        <v>2</v>
      </c>
      <c r="J131" s="3">
        <f>IFERROR(SUMPRODUCT((Devex_FEP!$I$5:$I$38=J$4)*Devex_FEP!$M$5:$M$38*Devex_FEP!$S$5:$S$38)/SUMPRODUCT((Devex_FEP!$I$5:$I$38=J$4)*Devex_FEP!$M$5:$M$38),$E$131)</f>
        <v>2</v>
      </c>
      <c r="K131" s="3">
        <f>IFERROR(SUMPRODUCT((Devex_FEP!$I$5:$I$38=K$4)*Devex_FEP!$M$5:$M$38*Devex_FEP!$S$5:$S$38)/SUMPRODUCT((Devex_FEP!$I$5:$I$38=K$4)*Devex_FEP!$M$5:$M$38),$E$131)</f>
        <v>2</v>
      </c>
      <c r="L131" s="3">
        <f>IFERROR(SUMPRODUCT((Devex_FEP!$I$5:$I$38=L$4)*Devex_FEP!$M$5:$M$38*Devex_FEP!$S$5:$S$38)/SUMPRODUCT((Devex_FEP!$I$5:$I$38=L$4)*Devex_FEP!$M$5:$M$38),$E$131)</f>
        <v>2</v>
      </c>
      <c r="M131" s="3">
        <f>IFERROR(SUMPRODUCT((Devex_FEP!$I$5:$I$38=M$4)*Devex_FEP!$M$5:$M$38*Devex_FEP!$S$5:$S$38)/SUMPRODUCT((Devex_FEP!$I$5:$I$38=M$4)*Devex_FEP!$M$5:$M$38),$E$131)</f>
        <v>2</v>
      </c>
      <c r="N131" s="3">
        <f>IFERROR(SUMPRODUCT((Devex_FEP!$I$5:$I$38=N$4)*Devex_FEP!$M$5:$M$38*Devex_FEP!$S$5:$S$38)/SUMPRODUCT((Devex_FEP!$I$5:$I$38=N$4)*Devex_FEP!$M$5:$M$38),$E$131)</f>
        <v>2</v>
      </c>
      <c r="O131" s="3">
        <f>IFERROR(SUMPRODUCT((Devex_FEP!$I$5:$I$38=O$4)*Devex_FEP!$M$5:$M$38*Devex_FEP!$S$5:$S$38)/SUMPRODUCT((Devex_FEP!$I$5:$I$38=O$4)*Devex_FEP!$M$5:$M$38),$E$131)</f>
        <v>2</v>
      </c>
      <c r="P131" s="3">
        <f>IFERROR(SUMPRODUCT((Devex_FEP!$I$5:$I$38=P$4)*Devex_FEP!$M$5:$M$38*Devex_FEP!$S$5:$S$38)/SUMPRODUCT((Devex_FEP!$I$5:$I$38=P$4)*Devex_FEP!$M$5:$M$38),$E$131)</f>
        <v>2</v>
      </c>
      <c r="Q131" s="3">
        <f>IFERROR(SUMPRODUCT((Devex_FEP!$I$5:$I$38=Q$4)*Devex_FEP!$M$5:$M$38*Devex_FEP!$S$5:$S$38)/SUMPRODUCT((Devex_FEP!$I$5:$I$38=Q$4)*Devex_FEP!$M$5:$M$38),$E$131)</f>
        <v>2</v>
      </c>
      <c r="R131" s="3">
        <f>IFERROR(SUMPRODUCT((Devex_FEP!$I$5:$I$38=R$4)*Devex_FEP!$M$5:$M$38*Devex_FEP!$S$5:$S$38)/SUMPRODUCT((Devex_FEP!$I$5:$I$38=R$4)*Devex_FEP!$M$5:$M$38),$E$131)</f>
        <v>2</v>
      </c>
      <c r="S131" s="3">
        <f>IFERROR(SUMPRODUCT((Devex_FEP!$I$5:$I$38=S$4)*Devex_FEP!$M$5:$M$38*Devex_FEP!$S$5:$S$38)/SUMPRODUCT((Devex_FEP!$I$5:$I$38=S$4)*Devex_FEP!$M$5:$M$38),$E$131)</f>
        <v>2</v>
      </c>
      <c r="T131" s="3">
        <f>IFERROR(SUMPRODUCT((Devex_FEP!$I$5:$I$38=T$4)*Devex_FEP!$M$5:$M$38*Devex_FEP!$S$5:$S$38)/SUMPRODUCT((Devex_FEP!$I$5:$I$38=T$4)*Devex_FEP!$M$5:$M$38),$E$131)</f>
        <v>2</v>
      </c>
      <c r="U131" s="3">
        <f>IFERROR(SUMPRODUCT((Devex_FEP!$I$5:$I$38=U$4)*Devex_FEP!$M$5:$M$38*Devex_FEP!$S$5:$S$38)/SUMPRODUCT((Devex_FEP!$I$5:$I$38=U$4)*Devex_FEP!$M$5:$M$38),$E$131)</f>
        <v>2</v>
      </c>
      <c r="V131" s="3">
        <f>IFERROR(SUMPRODUCT((Devex_FEP!$I$5:$I$38=V$4)*Devex_FEP!$M$5:$M$38*Devex_FEP!$S$5:$S$38)/SUMPRODUCT((Devex_FEP!$I$5:$I$38=V$4)*Devex_FEP!$M$5:$M$38),$E$131)</f>
        <v>2</v>
      </c>
      <c r="W131" s="3">
        <f>IFERROR(SUMPRODUCT((Devex_FEP!$I$5:$I$38=W$4)*Devex_FEP!$M$5:$M$38*Devex_FEP!$S$5:$S$38)/SUMPRODUCT((Devex_FEP!$I$5:$I$38=W$4)*Devex_FEP!$M$5:$M$38),$E$131)</f>
        <v>2</v>
      </c>
      <c r="X131" s="3">
        <f>IFERROR(SUMPRODUCT((Devex_FEP!$I$5:$I$38=X$4)*Devex_FEP!$M$5:$M$38*Devex_FEP!$S$5:$S$38)/SUMPRODUCT((Devex_FEP!$I$5:$I$38=X$4)*Devex_FEP!$M$5:$M$38),$E$131)</f>
        <v>2</v>
      </c>
      <c r="Y131" s="3">
        <f>IFERROR(SUMPRODUCT((Devex_FEP!$I$5:$I$38=Y$4)*Devex_FEP!$M$5:$M$38*Devex_FEP!$S$5:$S$38)/SUMPRODUCT((Devex_FEP!$I$5:$I$38=Y$4)*Devex_FEP!$M$5:$M$38),$E$131)</f>
        <v>2</v>
      </c>
      <c r="Z131" s="3">
        <f>IFERROR(SUMPRODUCT((Devex_FEP!$I$5:$I$38=Z$4)*Devex_FEP!$M$5:$M$38*Devex_FEP!$S$5:$S$38)/SUMPRODUCT((Devex_FEP!$I$5:$I$38=Z$4)*Devex_FEP!$M$5:$M$38),$E$131)</f>
        <v>2</v>
      </c>
      <c r="AA131" s="3">
        <f>IFERROR(SUMPRODUCT((Devex_FEP!$I$5:$I$38=AA$4)*Devex_FEP!$M$5:$M$38*Devex_FEP!$S$5:$S$38)/SUMPRODUCT((Devex_FEP!$I$5:$I$38=AA$4)*Devex_FEP!$M$5:$M$38),$E$131)</f>
        <v>2</v>
      </c>
      <c r="AB131" s="3">
        <f>IFERROR(SUMPRODUCT((Devex_FEP!$I$5:$I$38=AB$4)*Devex_FEP!$M$5:$M$38*Devex_FEP!$S$5:$S$38)/SUMPRODUCT((Devex_FEP!$I$5:$I$38=AB$4)*Devex_FEP!$M$5:$M$38),$E$131)</f>
        <v>2</v>
      </c>
      <c r="AC131" s="3">
        <f>IFERROR(SUMPRODUCT((Devex_FEP!$I$5:$I$38=AC$4)*Devex_FEP!$M$5:$M$38*Devex_FEP!$S$5:$S$38)/SUMPRODUCT((Devex_FEP!$I$5:$I$38=AC$4)*Devex_FEP!$M$5:$M$38),$E$131)</f>
        <v>2</v>
      </c>
      <c r="AD131" s="3">
        <f>IFERROR(SUMPRODUCT((Devex_FEP!$I$5:$I$38=AD$4)*Devex_FEP!$M$5:$M$38*Devex_FEP!$S$5:$S$38)/SUMPRODUCT((Devex_FEP!$I$5:$I$38=AD$4)*Devex_FEP!$M$5:$M$38),$E$131)</f>
        <v>2</v>
      </c>
      <c r="AE131" s="3">
        <f>IFERROR(SUMPRODUCT((Devex_FEP!$I$5:$I$38=AE$4)*Devex_FEP!$M$5:$M$38*Devex_FEP!$S$5:$S$38)/SUMPRODUCT((Devex_FEP!$I$5:$I$38=AE$4)*Devex_FEP!$M$5:$M$38),$E$131)</f>
        <v>2</v>
      </c>
      <c r="AF131" s="3">
        <f>IFERROR(SUMPRODUCT((Devex_FEP!$I$5:$I$38=AF$4)*Devex_FEP!$M$5:$M$38*Devex_FEP!$S$5:$S$38)/SUMPRODUCT((Devex_FEP!$I$5:$I$38=AF$4)*Devex_FEP!$M$5:$M$38),$E$131)</f>
        <v>2</v>
      </c>
      <c r="AG131" s="3">
        <f>IFERROR(SUMPRODUCT((Devex_FEP!$I$5:$I$38=AG$4)*Devex_FEP!$M$5:$M$38*Devex_FEP!$S$5:$S$38)/SUMPRODUCT((Devex_FEP!$I$5:$I$38=AG$4)*Devex_FEP!$M$5:$M$38),$E$131)</f>
        <v>2</v>
      </c>
      <c r="AH131" s="3">
        <f>IFERROR(SUMPRODUCT((Devex_FEP!$I$5:$I$38=AH$4)*Devex_FEP!$M$5:$M$38*Devex_FEP!$S$5:$S$38)/SUMPRODUCT((Devex_FEP!$I$5:$I$38=AH$4)*Devex_FEP!$M$5:$M$38),$E$131)</f>
        <v>2</v>
      </c>
      <c r="AI131" s="3">
        <f>IFERROR(SUMPRODUCT((Devex_FEP!$I$5:$I$38=AI$4)*Devex_FEP!$M$5:$M$38*Devex_FEP!$S$5:$S$38)/SUMPRODUCT((Devex_FEP!$I$5:$I$38=AI$4)*Devex_FEP!$M$5:$M$38),$E$131)</f>
        <v>2</v>
      </c>
      <c r="AJ131" s="3">
        <f>IFERROR(SUMPRODUCT((Devex_FEP!$I$5:$I$38=AJ$4)*Devex_FEP!$M$5:$M$38*Devex_FEP!$S$5:$S$38)/SUMPRODUCT((Devex_FEP!$I$5:$I$38=AJ$4)*Devex_FEP!$M$5:$M$38),$E$131)</f>
        <v>2</v>
      </c>
      <c r="AK131" s="3">
        <f>IFERROR(SUMPRODUCT((Devex_FEP!$I$5:$I$38=AK$4)*Devex_FEP!$M$5:$M$38*Devex_FEP!$S$5:$S$38)/SUMPRODUCT((Devex_FEP!$I$5:$I$38=AK$4)*Devex_FEP!$M$5:$M$38),$E$131)</f>
        <v>2</v>
      </c>
      <c r="AL131" s="3">
        <f>IFERROR(SUMPRODUCT((Devex_FEP!$I$5:$I$38=AL$4)*Devex_FEP!$M$5:$M$38*Devex_FEP!$S$5:$S$38)/SUMPRODUCT((Devex_FEP!$I$5:$I$38=AL$4)*Devex_FEP!$M$5:$M$38),$E$131)</f>
        <v>2</v>
      </c>
      <c r="AM131" s="3">
        <f>IFERROR(SUMPRODUCT((Devex_FEP!$I$5:$I$38=AM$4)*Devex_FEP!$M$5:$M$38*Devex_FEP!$S$5:$S$38)/SUMPRODUCT((Devex_FEP!$I$5:$I$38=AM$4)*Devex_FEP!$M$5:$M$38),$E$131)</f>
        <v>2</v>
      </c>
      <c r="AN131" s="3">
        <f>IFERROR(SUMPRODUCT((Devex_FEP!$I$5:$I$38=AN$4)*Devex_FEP!$M$5:$M$38*Devex_FEP!$S$5:$S$38)/SUMPRODUCT((Devex_FEP!$I$5:$I$38=AN$4)*Devex_FEP!$M$5:$M$38),$E$131)</f>
        <v>2</v>
      </c>
      <c r="AO131" s="3">
        <f>IFERROR(SUMPRODUCT((Devex_FEP!$I$5:$I$38=AO$4)*Devex_FEP!$M$5:$M$38*Devex_FEP!$S$5:$S$38)/SUMPRODUCT((Devex_FEP!$I$5:$I$38=AO$4)*Devex_FEP!$M$5:$M$38),$E$131)</f>
        <v>2</v>
      </c>
      <c r="AP131" s="3">
        <f>IFERROR(SUMPRODUCT((Devex_FEP!$I$5:$I$38=AP$4)*Devex_FEP!$M$5:$M$38*Devex_FEP!$S$5:$S$38)/SUMPRODUCT((Devex_FEP!$I$5:$I$38=AP$4)*Devex_FEP!$M$5:$M$38),$E$131)</f>
        <v>2</v>
      </c>
      <c r="AQ131" s="3">
        <f>IFERROR(SUMPRODUCT((Devex_FEP!$I$5:$I$38=AQ$4)*Devex_FEP!$M$5:$M$38*Devex_FEP!$S$5:$S$38)/SUMPRODUCT((Devex_FEP!$I$5:$I$38=AQ$4)*Devex_FEP!$M$5:$M$38),$E$131)</f>
        <v>2</v>
      </c>
      <c r="AR131" s="3">
        <f>IFERROR(SUMPRODUCT((Devex_FEP!$I$5:$I$38=AR$4)*Devex_FEP!$M$5:$M$38*Devex_FEP!$S$5:$S$38)/SUMPRODUCT((Devex_FEP!$I$5:$I$38=AR$4)*Devex_FEP!$M$5:$M$38),$E$131)</f>
        <v>2</v>
      </c>
      <c r="AS131" s="3">
        <f>IFERROR(SUMPRODUCT((Devex_FEP!$I$5:$I$38=AS$4)*Devex_FEP!$M$5:$M$38*Devex_FEP!$S$5:$S$38)/SUMPRODUCT((Devex_FEP!$I$5:$I$38=AS$4)*Devex_FEP!$M$5:$M$38),$E$131)</f>
        <v>2</v>
      </c>
      <c r="AT131" s="3">
        <f>IFERROR(SUMPRODUCT((Devex_FEP!$I$5:$I$38=AT$4)*Devex_FEP!$M$5:$M$38*Devex_FEP!$S$5:$S$38)/SUMPRODUCT((Devex_FEP!$I$5:$I$38=AT$4)*Devex_FEP!$M$5:$M$38),$E$131)</f>
        <v>2</v>
      </c>
      <c r="AU131" s="3">
        <f>IFERROR(SUMPRODUCT((Devex_FEP!$I$5:$I$38=AU$4)*Devex_FEP!$M$5:$M$38*Devex_FEP!$S$5:$S$38)/SUMPRODUCT((Devex_FEP!$I$5:$I$38=AU$4)*Devex_FEP!$M$5:$M$38),$E$131)</f>
        <v>2</v>
      </c>
      <c r="AV131" s="3">
        <f>IFERROR(SUMPRODUCT((Devex_FEP!$I$5:$I$38=AV$4)*Devex_FEP!$M$5:$M$38*Devex_FEP!$S$5:$S$38)/SUMPRODUCT((Devex_FEP!$I$5:$I$38=AV$4)*Devex_FEP!$M$5:$M$38),$E$131)</f>
        <v>2</v>
      </c>
      <c r="AW131" s="3">
        <f>IFERROR(SUMPRODUCT((Devex_FEP!$I$5:$I$38=AW$4)*Devex_FEP!$M$5:$M$38*Devex_FEP!$S$5:$S$38)/SUMPRODUCT((Devex_FEP!$I$5:$I$38=AW$4)*Devex_FEP!$M$5:$M$38),$E$131)</f>
        <v>2</v>
      </c>
      <c r="AX131" s="3">
        <f>IFERROR(SUMPRODUCT((Devex_FEP!$I$5:$I$38=AX$4)*Devex_FEP!$M$5:$M$38*Devex_FEP!$S$5:$S$38)/SUMPRODUCT((Devex_FEP!$I$5:$I$38=AX$4)*Devex_FEP!$M$5:$M$38),$E$131)</f>
        <v>2</v>
      </c>
      <c r="AY131" s="3">
        <f>IFERROR(SUMPRODUCT((Devex_FEP!$I$5:$I$38=AY$4)*Devex_FEP!$M$5:$M$38*Devex_FEP!$S$5:$S$38)/SUMPRODUCT((Devex_FEP!$I$5:$I$38=AY$4)*Devex_FEP!$M$5:$M$38),$E$131)</f>
        <v>2</v>
      </c>
      <c r="AZ131" s="3">
        <f>IFERROR(SUMPRODUCT((Devex_FEP!$I$5:$I$38=AZ$4)*Devex_FEP!$M$5:$M$38*Devex_FEP!$S$5:$S$38)/SUMPRODUCT((Devex_FEP!$I$5:$I$38=AZ$4)*Devex_FEP!$M$5:$M$38),$E$131)</f>
        <v>2</v>
      </c>
      <c r="BA131" s="3">
        <f>IFERROR(SUMPRODUCT((Devex_FEP!$I$5:$I$38=BA$4)*Devex_FEP!$M$5:$M$38*Devex_FEP!$S$5:$S$38)/SUMPRODUCT((Devex_FEP!$I$5:$I$38=BA$4)*Devex_FEP!$M$5:$M$38),$E$131)</f>
        <v>2</v>
      </c>
      <c r="BB131" s="3">
        <f>IFERROR(SUMPRODUCT((Devex_FEP!$I$5:$I$38=BB$4)*Devex_FEP!$M$5:$M$38*Devex_FEP!$S$5:$S$38)/SUMPRODUCT((Devex_FEP!$I$5:$I$38=BB$4)*Devex_FEP!$M$5:$M$38),$E$131)</f>
        <v>2</v>
      </c>
      <c r="BC131" s="3">
        <f>IFERROR(SUMPRODUCT((Devex_FEP!$I$5:$I$38=BC$4)*Devex_FEP!$M$5:$M$38*Devex_FEP!$S$5:$S$38)/SUMPRODUCT((Devex_FEP!$I$5:$I$38=BC$4)*Devex_FEP!$M$5:$M$38),$E$131)</f>
        <v>2</v>
      </c>
      <c r="BD131" s="3">
        <f>IFERROR(SUMPRODUCT((Devex_FEP!$I$5:$I$38=BD$4)*Devex_FEP!$M$5:$M$38*Devex_FEP!$S$5:$S$38)/SUMPRODUCT((Devex_FEP!$I$5:$I$38=BD$4)*Devex_FEP!$M$5:$M$38),$E$131)</f>
        <v>2</v>
      </c>
      <c r="BE131" s="3">
        <f>IFERROR(SUMPRODUCT((Devex_FEP!$I$5:$I$38=BE$4)*Devex_FEP!$M$5:$M$38*Devex_FEP!$S$5:$S$38)/SUMPRODUCT((Devex_FEP!$I$5:$I$38=BE$4)*Devex_FEP!$M$5:$M$38),$E$131)</f>
        <v>2</v>
      </c>
      <c r="BF131" s="3">
        <f>IFERROR(SUMPRODUCT((Devex_FEP!$I$5:$I$38=BF$4)*Devex_FEP!$M$5:$M$38*Devex_FEP!$S$5:$S$38)/SUMPRODUCT((Devex_FEP!$I$5:$I$38=BF$4)*Devex_FEP!$M$5:$M$38),$E$131)</f>
        <v>2</v>
      </c>
      <c r="BG131" s="3">
        <f>IFERROR(SUMPRODUCT((Devex_FEP!$I$5:$I$38=BG$4)*Devex_FEP!$M$5:$M$38*Devex_FEP!$S$5:$S$38)/SUMPRODUCT((Devex_FEP!$I$5:$I$38=BG$4)*Devex_FEP!$M$5:$M$38),$E$131)</f>
        <v>2</v>
      </c>
      <c r="BH131" s="3">
        <f>IFERROR(SUMPRODUCT((Devex_FEP!$I$5:$I$38=BH$4)*Devex_FEP!$M$5:$M$38*Devex_FEP!$S$5:$S$38)/SUMPRODUCT((Devex_FEP!$I$5:$I$38=BH$4)*Devex_FEP!$M$5:$M$38),$E$131)</f>
        <v>2</v>
      </c>
      <c r="BI131" s="3">
        <f>IFERROR(SUMPRODUCT((Devex_FEP!$I$5:$I$38=BI$4)*Devex_FEP!$M$5:$M$38*Devex_FEP!$S$5:$S$38)/SUMPRODUCT((Devex_FEP!$I$5:$I$38=BI$4)*Devex_FEP!$M$5:$M$38),$E$131)</f>
        <v>2</v>
      </c>
      <c r="BJ131" s="3">
        <f>IFERROR(SUMPRODUCT((Devex_FEP!$I$5:$I$38=BJ$4)*Devex_FEP!$M$5:$M$38*Devex_FEP!$S$5:$S$38)/SUMPRODUCT((Devex_FEP!$I$5:$I$38=BJ$4)*Devex_FEP!$M$5:$M$38),$E$131)</f>
        <v>2</v>
      </c>
      <c r="BK131" s="3">
        <f>IFERROR(SUMPRODUCT((Devex_FEP!$I$5:$I$38=BK$4)*Devex_FEP!$M$5:$M$38*Devex_FEP!$S$5:$S$38)/SUMPRODUCT((Devex_FEP!$I$5:$I$38=BK$4)*Devex_FEP!$M$5:$M$38),$E$131)</f>
        <v>2</v>
      </c>
      <c r="BL131" s="3">
        <f>IFERROR(SUMPRODUCT((Devex_FEP!$I$5:$I$38=BL$4)*Devex_FEP!$M$5:$M$38*Devex_FEP!$S$5:$S$38)/SUMPRODUCT((Devex_FEP!$I$5:$I$38=BL$4)*Devex_FEP!$M$5:$M$38),$E$131)</f>
        <v>2</v>
      </c>
      <c r="BM131" s="3">
        <f>IFERROR(SUMPRODUCT((Devex_FEP!$I$5:$I$38=BM$4)*Devex_FEP!$M$5:$M$38*Devex_FEP!$S$5:$S$38)/SUMPRODUCT((Devex_FEP!$I$5:$I$38=BM$4)*Devex_FEP!$M$5:$M$38),$E$131)</f>
        <v>2</v>
      </c>
      <c r="BN131" s="3">
        <f>IFERROR(SUMPRODUCT((Devex_FEP!$I$5:$I$38=BN$4)*Devex_FEP!$M$5:$M$38*Devex_FEP!$S$5:$S$38)/SUMPRODUCT((Devex_FEP!$I$5:$I$38=BN$4)*Devex_FEP!$M$5:$M$38),$E$131)</f>
        <v>2</v>
      </c>
      <c r="BO131" s="3">
        <f>IFERROR(SUMPRODUCT((Devex_FEP!$I$5:$I$38=BO$4)*Devex_FEP!$M$5:$M$38*Devex_FEP!$S$5:$S$38)/SUMPRODUCT((Devex_FEP!$I$5:$I$38=BO$4)*Devex_FEP!$M$5:$M$38),$E$131)</f>
        <v>2</v>
      </c>
      <c r="BP131" s="3">
        <f>IFERROR(SUMPRODUCT((Devex_FEP!$I$5:$I$38=BP$4)*Devex_FEP!$M$5:$M$38*Devex_FEP!$S$5:$S$38)/SUMPRODUCT((Devex_FEP!$I$5:$I$38=BP$4)*Devex_FEP!$M$5:$M$38),$E$131)</f>
        <v>2</v>
      </c>
    </row>
    <row r="132" spans="3:68" x14ac:dyDescent="0.25">
      <c r="C132" s="6" t="s">
        <v>699</v>
      </c>
      <c r="D132" s="6"/>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c r="AF132" s="95"/>
      <c r="AG132" s="95"/>
      <c r="AH132" s="95"/>
      <c r="AI132" s="95"/>
      <c r="AJ132" s="95"/>
      <c r="AK132" s="95"/>
      <c r="AL132" s="95"/>
      <c r="AM132" s="95"/>
      <c r="AN132" s="95"/>
      <c r="AO132" s="95"/>
      <c r="AP132" s="95"/>
      <c r="AQ132" s="95"/>
      <c r="AR132" s="95"/>
      <c r="AS132" s="95"/>
      <c r="AT132" s="95"/>
      <c r="AU132" s="95"/>
      <c r="AV132" s="95"/>
      <c r="AW132" s="95"/>
      <c r="AX132" s="95"/>
      <c r="AY132" s="95"/>
      <c r="AZ132" s="95"/>
      <c r="BA132" s="95"/>
      <c r="BB132" s="95"/>
      <c r="BC132" s="95"/>
      <c r="BD132" s="95"/>
      <c r="BE132" s="95"/>
      <c r="BF132" s="95"/>
      <c r="BG132" s="95"/>
      <c r="BH132" s="95"/>
      <c r="BI132" s="95"/>
      <c r="BJ132" s="95"/>
      <c r="BK132" s="95"/>
      <c r="BL132" s="95"/>
      <c r="BM132" s="95"/>
      <c r="BN132" s="95"/>
      <c r="BO132" s="95"/>
      <c r="BP132" s="95"/>
    </row>
    <row r="133" spans="3:68" x14ac:dyDescent="0.25">
      <c r="C133" t="s">
        <v>32</v>
      </c>
      <c r="D133" t="s">
        <v>844</v>
      </c>
      <c r="E133" s="20"/>
      <c r="F133" s="20"/>
      <c r="G133" s="20"/>
      <c r="H133" s="20">
        <v>0</v>
      </c>
      <c r="I133" s="20">
        <f t="shared" ref="I133:AN133" si="80">H138</f>
        <v>0</v>
      </c>
      <c r="J133" s="20">
        <f t="shared" si="80"/>
        <v>0</v>
      </c>
      <c r="K133" s="20">
        <f t="shared" si="80"/>
        <v>0</v>
      </c>
      <c r="L133" s="20">
        <f t="shared" si="80"/>
        <v>0</v>
      </c>
      <c r="M133" s="20">
        <f t="shared" si="80"/>
        <v>0</v>
      </c>
      <c r="N133" s="20">
        <f t="shared" si="80"/>
        <v>0</v>
      </c>
      <c r="O133" s="20">
        <f t="shared" si="80"/>
        <v>0</v>
      </c>
      <c r="P133" s="20">
        <f t="shared" si="80"/>
        <v>0</v>
      </c>
      <c r="Q133" s="20">
        <f t="shared" si="80"/>
        <v>0</v>
      </c>
      <c r="R133" s="20">
        <f t="shared" si="80"/>
        <v>0</v>
      </c>
      <c r="S133" s="20">
        <f t="shared" si="80"/>
        <v>0</v>
      </c>
      <c r="T133" s="20">
        <f t="shared" si="80"/>
        <v>0</v>
      </c>
      <c r="U133" s="20">
        <f t="shared" si="80"/>
        <v>0</v>
      </c>
      <c r="V133" s="20">
        <f t="shared" si="80"/>
        <v>0</v>
      </c>
      <c r="W133" s="20">
        <f t="shared" si="80"/>
        <v>0</v>
      </c>
      <c r="X133" s="20">
        <f t="shared" si="80"/>
        <v>0</v>
      </c>
      <c r="Y133" s="20">
        <f t="shared" si="80"/>
        <v>0</v>
      </c>
      <c r="Z133" s="20">
        <f t="shared" si="80"/>
        <v>0</v>
      </c>
      <c r="AA133" s="20">
        <f t="shared" si="80"/>
        <v>0</v>
      </c>
      <c r="AB133" s="20">
        <f t="shared" si="80"/>
        <v>0</v>
      </c>
      <c r="AC133" s="20">
        <f t="shared" si="80"/>
        <v>0</v>
      </c>
      <c r="AD133" s="20">
        <f t="shared" si="80"/>
        <v>0</v>
      </c>
      <c r="AE133" s="20">
        <f t="shared" si="80"/>
        <v>0</v>
      </c>
      <c r="AF133" s="20">
        <f t="shared" si="80"/>
        <v>0</v>
      </c>
      <c r="AG133" s="20">
        <f t="shared" si="80"/>
        <v>0</v>
      </c>
      <c r="AH133" s="20">
        <f t="shared" si="80"/>
        <v>0</v>
      </c>
      <c r="AI133" s="20">
        <f t="shared" si="80"/>
        <v>0</v>
      </c>
      <c r="AJ133" s="20">
        <f t="shared" si="80"/>
        <v>0</v>
      </c>
      <c r="AK133" s="20">
        <f t="shared" si="80"/>
        <v>0</v>
      </c>
      <c r="AL133" s="20">
        <f t="shared" si="80"/>
        <v>0</v>
      </c>
      <c r="AM133" s="20">
        <f t="shared" si="80"/>
        <v>0</v>
      </c>
      <c r="AN133" s="20">
        <f t="shared" si="80"/>
        <v>0</v>
      </c>
      <c r="AO133" s="20">
        <f t="shared" ref="AO133:BP133" si="81">AN138</f>
        <v>0</v>
      </c>
      <c r="AP133" s="20">
        <f t="shared" si="81"/>
        <v>0</v>
      </c>
      <c r="AQ133" s="20">
        <f t="shared" si="81"/>
        <v>0</v>
      </c>
      <c r="AR133" s="20">
        <f t="shared" si="81"/>
        <v>0</v>
      </c>
      <c r="AS133" s="20">
        <f t="shared" si="81"/>
        <v>0</v>
      </c>
      <c r="AT133" s="20">
        <f t="shared" si="81"/>
        <v>0</v>
      </c>
      <c r="AU133" s="20">
        <f t="shared" si="81"/>
        <v>0</v>
      </c>
      <c r="AV133" s="20">
        <f t="shared" si="81"/>
        <v>0</v>
      </c>
      <c r="AW133" s="20">
        <f t="shared" si="81"/>
        <v>0</v>
      </c>
      <c r="AX133" s="20">
        <f t="shared" si="81"/>
        <v>0</v>
      </c>
      <c r="AY133" s="20">
        <f t="shared" si="81"/>
        <v>0</v>
      </c>
      <c r="AZ133" s="20">
        <f t="shared" si="81"/>
        <v>0</v>
      </c>
      <c r="BA133" s="20">
        <f t="shared" si="81"/>
        <v>0</v>
      </c>
      <c r="BB133" s="20">
        <f t="shared" si="81"/>
        <v>0</v>
      </c>
      <c r="BC133" s="20">
        <f t="shared" si="81"/>
        <v>0</v>
      </c>
      <c r="BD133" s="20">
        <f t="shared" si="81"/>
        <v>0</v>
      </c>
      <c r="BE133" s="20">
        <f t="shared" si="81"/>
        <v>0</v>
      </c>
      <c r="BF133" s="20">
        <f t="shared" si="81"/>
        <v>0</v>
      </c>
      <c r="BG133" s="20">
        <f t="shared" si="81"/>
        <v>0</v>
      </c>
      <c r="BH133" s="20">
        <f t="shared" si="81"/>
        <v>0</v>
      </c>
      <c r="BI133" s="20">
        <f t="shared" si="81"/>
        <v>0</v>
      </c>
      <c r="BJ133" s="20">
        <f t="shared" si="81"/>
        <v>0</v>
      </c>
      <c r="BK133" s="20">
        <f t="shared" si="81"/>
        <v>0</v>
      </c>
      <c r="BL133" s="20">
        <f t="shared" si="81"/>
        <v>0</v>
      </c>
      <c r="BM133" s="20">
        <f t="shared" si="81"/>
        <v>0</v>
      </c>
      <c r="BN133" s="20">
        <f t="shared" si="81"/>
        <v>0</v>
      </c>
      <c r="BO133" s="20">
        <f t="shared" si="81"/>
        <v>0</v>
      </c>
      <c r="BP133" s="20">
        <f t="shared" si="81"/>
        <v>0</v>
      </c>
    </row>
    <row r="134" spans="3:68" x14ac:dyDescent="0.25">
      <c r="C134" t="s">
        <v>696</v>
      </c>
      <c r="D134" t="s">
        <v>844</v>
      </c>
      <c r="E134" s="20"/>
      <c r="F134" s="20"/>
      <c r="G134" s="20">
        <f>SUM(H134:BP134)</f>
        <v>0</v>
      </c>
      <c r="H134" s="20">
        <f t="shared" ref="H134:AM134" si="82">$E$107*H103</f>
        <v>0</v>
      </c>
      <c r="I134" s="20">
        <f t="shared" si="82"/>
        <v>0</v>
      </c>
      <c r="J134" s="20">
        <f t="shared" si="82"/>
        <v>0</v>
      </c>
      <c r="K134" s="20">
        <f t="shared" si="82"/>
        <v>0</v>
      </c>
      <c r="L134" s="20">
        <f t="shared" si="82"/>
        <v>0</v>
      </c>
      <c r="M134" s="20">
        <f t="shared" si="82"/>
        <v>0</v>
      </c>
      <c r="N134" s="20">
        <f t="shared" si="82"/>
        <v>0</v>
      </c>
      <c r="O134" s="20">
        <f t="shared" si="82"/>
        <v>0</v>
      </c>
      <c r="P134" s="20">
        <f t="shared" si="82"/>
        <v>0</v>
      </c>
      <c r="Q134" s="20">
        <f t="shared" si="82"/>
        <v>0</v>
      </c>
      <c r="R134" s="20">
        <f t="shared" si="82"/>
        <v>0</v>
      </c>
      <c r="S134" s="20">
        <f t="shared" si="82"/>
        <v>0</v>
      </c>
      <c r="T134" s="20">
        <f t="shared" si="82"/>
        <v>0</v>
      </c>
      <c r="U134" s="20">
        <f t="shared" si="82"/>
        <v>0</v>
      </c>
      <c r="V134" s="20">
        <f t="shared" si="82"/>
        <v>0</v>
      </c>
      <c r="W134" s="20">
        <f t="shared" si="82"/>
        <v>0</v>
      </c>
      <c r="X134" s="20">
        <f t="shared" si="82"/>
        <v>0</v>
      </c>
      <c r="Y134" s="20">
        <f t="shared" si="82"/>
        <v>0</v>
      </c>
      <c r="Z134" s="20">
        <f t="shared" si="82"/>
        <v>0</v>
      </c>
      <c r="AA134" s="20">
        <f t="shared" si="82"/>
        <v>0</v>
      </c>
      <c r="AB134" s="20">
        <f t="shared" si="82"/>
        <v>0</v>
      </c>
      <c r="AC134" s="20">
        <f t="shared" si="82"/>
        <v>0</v>
      </c>
      <c r="AD134" s="20">
        <f t="shared" si="82"/>
        <v>0</v>
      </c>
      <c r="AE134" s="20">
        <f t="shared" si="82"/>
        <v>0</v>
      </c>
      <c r="AF134" s="20">
        <f t="shared" si="82"/>
        <v>0</v>
      </c>
      <c r="AG134" s="20">
        <f t="shared" si="82"/>
        <v>0</v>
      </c>
      <c r="AH134" s="20">
        <f t="shared" si="82"/>
        <v>0</v>
      </c>
      <c r="AI134" s="20">
        <f t="shared" si="82"/>
        <v>0</v>
      </c>
      <c r="AJ134" s="20">
        <f t="shared" si="82"/>
        <v>0</v>
      </c>
      <c r="AK134" s="20">
        <f t="shared" si="82"/>
        <v>0</v>
      </c>
      <c r="AL134" s="20">
        <f t="shared" si="82"/>
        <v>0</v>
      </c>
      <c r="AM134" s="20">
        <f t="shared" si="82"/>
        <v>0</v>
      </c>
      <c r="AN134" s="20">
        <f t="shared" ref="AN134:BP134" si="83">$E$107*AN103</f>
        <v>0</v>
      </c>
      <c r="AO134" s="20">
        <f t="shared" si="83"/>
        <v>0</v>
      </c>
      <c r="AP134" s="20">
        <f t="shared" si="83"/>
        <v>0</v>
      </c>
      <c r="AQ134" s="20">
        <f t="shared" si="83"/>
        <v>0</v>
      </c>
      <c r="AR134" s="20">
        <f t="shared" si="83"/>
        <v>0</v>
      </c>
      <c r="AS134" s="20">
        <f t="shared" si="83"/>
        <v>0</v>
      </c>
      <c r="AT134" s="20">
        <f t="shared" si="83"/>
        <v>0</v>
      </c>
      <c r="AU134" s="20">
        <f t="shared" si="83"/>
        <v>0</v>
      </c>
      <c r="AV134" s="20">
        <f t="shared" si="83"/>
        <v>0</v>
      </c>
      <c r="AW134" s="20">
        <f t="shared" si="83"/>
        <v>0</v>
      </c>
      <c r="AX134" s="20">
        <f t="shared" si="83"/>
        <v>0</v>
      </c>
      <c r="AY134" s="20">
        <f t="shared" si="83"/>
        <v>0</v>
      </c>
      <c r="AZ134" s="20">
        <f t="shared" si="83"/>
        <v>0</v>
      </c>
      <c r="BA134" s="20">
        <f t="shared" si="83"/>
        <v>0</v>
      </c>
      <c r="BB134" s="20">
        <f t="shared" si="83"/>
        <v>0</v>
      </c>
      <c r="BC134" s="20">
        <f t="shared" si="83"/>
        <v>0</v>
      </c>
      <c r="BD134" s="20">
        <f t="shared" si="83"/>
        <v>0</v>
      </c>
      <c r="BE134" s="20">
        <f t="shared" si="83"/>
        <v>0</v>
      </c>
      <c r="BF134" s="20">
        <f t="shared" si="83"/>
        <v>0</v>
      </c>
      <c r="BG134" s="20">
        <f t="shared" si="83"/>
        <v>0</v>
      </c>
      <c r="BH134" s="20">
        <f t="shared" si="83"/>
        <v>0</v>
      </c>
      <c r="BI134" s="20">
        <f t="shared" si="83"/>
        <v>0</v>
      </c>
      <c r="BJ134" s="20">
        <f t="shared" si="83"/>
        <v>0</v>
      </c>
      <c r="BK134" s="20">
        <f t="shared" si="83"/>
        <v>0</v>
      </c>
      <c r="BL134" s="20">
        <f t="shared" si="83"/>
        <v>0</v>
      </c>
      <c r="BM134" s="20">
        <f t="shared" si="83"/>
        <v>0</v>
      </c>
      <c r="BN134" s="20">
        <f t="shared" si="83"/>
        <v>0</v>
      </c>
      <c r="BO134" s="20">
        <f t="shared" si="83"/>
        <v>0</v>
      </c>
      <c r="BP134" s="20">
        <f t="shared" si="83"/>
        <v>0</v>
      </c>
    </row>
    <row r="135" spans="3:68" x14ac:dyDescent="0.25">
      <c r="C135" t="s">
        <v>1705</v>
      </c>
      <c r="D135" t="s">
        <v>844</v>
      </c>
      <c r="E135" s="20"/>
      <c r="F135" s="20"/>
      <c r="G135" s="20">
        <f>SUM(H135:BP135)</f>
        <v>0</v>
      </c>
      <c r="H135" s="20">
        <f>$E$107*(H18+H20)</f>
        <v>0</v>
      </c>
      <c r="I135" s="20">
        <f t="shared" ref="I135:BP135" si="84">$E$107*(I18+I20)</f>
        <v>0</v>
      </c>
      <c r="J135" s="20">
        <f t="shared" si="84"/>
        <v>0</v>
      </c>
      <c r="K135" s="20">
        <f t="shared" si="84"/>
        <v>0</v>
      </c>
      <c r="L135" s="20">
        <f t="shared" si="84"/>
        <v>0</v>
      </c>
      <c r="M135" s="20">
        <f t="shared" si="84"/>
        <v>0</v>
      </c>
      <c r="N135" s="20">
        <f t="shared" si="84"/>
        <v>0</v>
      </c>
      <c r="O135" s="20">
        <f t="shared" si="84"/>
        <v>0</v>
      </c>
      <c r="P135" s="20">
        <f t="shared" si="84"/>
        <v>0</v>
      </c>
      <c r="Q135" s="20">
        <f t="shared" si="84"/>
        <v>0</v>
      </c>
      <c r="R135" s="20">
        <f t="shared" si="84"/>
        <v>0</v>
      </c>
      <c r="S135" s="20">
        <f t="shared" si="84"/>
        <v>0</v>
      </c>
      <c r="T135" s="20">
        <f t="shared" si="84"/>
        <v>0</v>
      </c>
      <c r="U135" s="20">
        <f t="shared" si="84"/>
        <v>0</v>
      </c>
      <c r="V135" s="20">
        <f t="shared" si="84"/>
        <v>0</v>
      </c>
      <c r="W135" s="20">
        <f t="shared" si="84"/>
        <v>0</v>
      </c>
      <c r="X135" s="20">
        <f t="shared" si="84"/>
        <v>0</v>
      </c>
      <c r="Y135" s="20">
        <f t="shared" si="84"/>
        <v>0</v>
      </c>
      <c r="Z135" s="20">
        <f t="shared" si="84"/>
        <v>0</v>
      </c>
      <c r="AA135" s="20">
        <f t="shared" si="84"/>
        <v>0</v>
      </c>
      <c r="AB135" s="20">
        <f t="shared" si="84"/>
        <v>0</v>
      </c>
      <c r="AC135" s="20">
        <f t="shared" si="84"/>
        <v>0</v>
      </c>
      <c r="AD135" s="20">
        <f t="shared" si="84"/>
        <v>0</v>
      </c>
      <c r="AE135" s="20">
        <f t="shared" si="84"/>
        <v>0</v>
      </c>
      <c r="AF135" s="20">
        <f t="shared" si="84"/>
        <v>0</v>
      </c>
      <c r="AG135" s="20">
        <f t="shared" si="84"/>
        <v>0</v>
      </c>
      <c r="AH135" s="20">
        <f t="shared" si="84"/>
        <v>0</v>
      </c>
      <c r="AI135" s="20">
        <f t="shared" si="84"/>
        <v>0</v>
      </c>
      <c r="AJ135" s="20">
        <f t="shared" si="84"/>
        <v>0</v>
      </c>
      <c r="AK135" s="20">
        <f t="shared" si="84"/>
        <v>0</v>
      </c>
      <c r="AL135" s="20">
        <f t="shared" si="84"/>
        <v>0</v>
      </c>
      <c r="AM135" s="20">
        <f t="shared" si="84"/>
        <v>0</v>
      </c>
      <c r="AN135" s="20">
        <f t="shared" si="84"/>
        <v>0</v>
      </c>
      <c r="AO135" s="20">
        <f t="shared" si="84"/>
        <v>0</v>
      </c>
      <c r="AP135" s="20">
        <f t="shared" si="84"/>
        <v>0</v>
      </c>
      <c r="AQ135" s="20">
        <f t="shared" si="84"/>
        <v>0</v>
      </c>
      <c r="AR135" s="20">
        <f t="shared" si="84"/>
        <v>0</v>
      </c>
      <c r="AS135" s="20">
        <f t="shared" si="84"/>
        <v>0</v>
      </c>
      <c r="AT135" s="20">
        <f t="shared" si="84"/>
        <v>0</v>
      </c>
      <c r="AU135" s="20">
        <f t="shared" si="84"/>
        <v>0</v>
      </c>
      <c r="AV135" s="20">
        <f t="shared" si="84"/>
        <v>0</v>
      </c>
      <c r="AW135" s="20">
        <f t="shared" si="84"/>
        <v>0</v>
      </c>
      <c r="AX135" s="20">
        <f t="shared" si="84"/>
        <v>0</v>
      </c>
      <c r="AY135" s="20">
        <f t="shared" si="84"/>
        <v>0</v>
      </c>
      <c r="AZ135" s="20">
        <f t="shared" si="84"/>
        <v>0</v>
      </c>
      <c r="BA135" s="20">
        <f t="shared" si="84"/>
        <v>0</v>
      </c>
      <c r="BB135" s="20">
        <f t="shared" si="84"/>
        <v>0</v>
      </c>
      <c r="BC135" s="20">
        <f t="shared" si="84"/>
        <v>0</v>
      </c>
      <c r="BD135" s="20">
        <f t="shared" si="84"/>
        <v>0</v>
      </c>
      <c r="BE135" s="20">
        <f t="shared" si="84"/>
        <v>0</v>
      </c>
      <c r="BF135" s="20">
        <f t="shared" si="84"/>
        <v>0</v>
      </c>
      <c r="BG135" s="20">
        <f t="shared" si="84"/>
        <v>0</v>
      </c>
      <c r="BH135" s="20">
        <f t="shared" si="84"/>
        <v>0</v>
      </c>
      <c r="BI135" s="20">
        <f t="shared" si="84"/>
        <v>0</v>
      </c>
      <c r="BJ135" s="20">
        <f t="shared" si="84"/>
        <v>0</v>
      </c>
      <c r="BK135" s="20">
        <f t="shared" si="84"/>
        <v>0</v>
      </c>
      <c r="BL135" s="20">
        <f t="shared" si="84"/>
        <v>0</v>
      </c>
      <c r="BM135" s="20">
        <f t="shared" si="84"/>
        <v>0</v>
      </c>
      <c r="BN135" s="20">
        <f t="shared" si="84"/>
        <v>0</v>
      </c>
      <c r="BO135" s="20">
        <f t="shared" si="84"/>
        <v>0</v>
      </c>
      <c r="BP135" s="20">
        <f t="shared" si="84"/>
        <v>0</v>
      </c>
    </row>
    <row r="136" spans="3:68" x14ac:dyDescent="0.25">
      <c r="C136" t="s">
        <v>693</v>
      </c>
      <c r="D136" t="s">
        <v>844</v>
      </c>
      <c r="E136" s="31">
        <f>Inputs!$E$62</f>
        <v>0.2</v>
      </c>
      <c r="F136" s="20"/>
      <c r="G136" s="20">
        <f>SUM(H136:BP136)</f>
        <v>0</v>
      </c>
      <c r="H136" s="20">
        <f>IF(Inputs!$E$69=1,(1+$E$136)^(1/12)-1,$E$136/12)*SUM(H133:H135)*H$10*(1-Inputs!$E$66)</f>
        <v>0</v>
      </c>
      <c r="I136" s="20">
        <f>IF(Inputs!$E$69=1,(1+$E$136)^(1/12)-1,$E$136/12)*SUM(I133:I135)*I$10*(1-Inputs!$E$66)</f>
        <v>0</v>
      </c>
      <c r="J136" s="20">
        <f>IF(Inputs!$E$69=1,(1+$E$136)^(1/12)-1,$E$136/12)*SUM(J133:J135)*J$10*(1-Inputs!$E$66)</f>
        <v>0</v>
      </c>
      <c r="K136" s="20">
        <f>IF(Inputs!$E$69=1,(1+$E$136)^(1/12)-1,$E$136/12)*SUM(K133:K135)*K$10*(1-Inputs!$E$66)</f>
        <v>0</v>
      </c>
      <c r="L136" s="20">
        <f>IF(Inputs!$E$69=1,(1+$E$136)^(1/12)-1,$E$136/12)*SUM(L133:L135)*L$10*(1-Inputs!$E$66)</f>
        <v>0</v>
      </c>
      <c r="M136" s="20">
        <f>IF(Inputs!$E$69=1,(1+$E$136)^(1/12)-1,$E$136/12)*SUM(M133:M135)*M$10*(1-Inputs!$E$66)</f>
        <v>0</v>
      </c>
      <c r="N136" s="20">
        <f>IF(Inputs!$E$69=1,(1+$E$136)^(1/12)-1,$E$136/12)*SUM(N133:N135)*N$10*(1-Inputs!$E$66)</f>
        <v>0</v>
      </c>
      <c r="O136" s="20">
        <f>IF(Inputs!$E$69=1,(1+$E$136)^(1/12)-1,$E$136/12)*SUM(O133:O135)*O$10*(1-Inputs!$E$66)</f>
        <v>0</v>
      </c>
      <c r="P136" s="20">
        <f>IF(Inputs!$E$69=1,(1+$E$136)^(1/12)-1,$E$136/12)*SUM(P133:P135)*P$10*(1-Inputs!$E$66)</f>
        <v>0</v>
      </c>
      <c r="Q136" s="20">
        <f>IF(Inputs!$E$69=1,(1+$E$136)^(1/12)-1,$E$136/12)*SUM(Q133:Q135)*Q$10*(1-Inputs!$E$66)</f>
        <v>0</v>
      </c>
      <c r="R136" s="20">
        <f>IF(Inputs!$E$69=1,(1+$E$136)^(1/12)-1,$E$136/12)*SUM(R133:R135)*R$10*(1-Inputs!$E$66)</f>
        <v>0</v>
      </c>
      <c r="S136" s="20">
        <f>IF(Inputs!$E$69=1,(1+$E$136)^(1/12)-1,$E$136/12)*SUM(S133:S135)*S$10*(1-Inputs!$E$66)</f>
        <v>0</v>
      </c>
      <c r="T136" s="20">
        <f>IF(Inputs!$E$69=1,(1+$E$136)^(1/12)-1,$E$136/12)*SUM(T133:T135)*T$10*(1-Inputs!$E$66)</f>
        <v>0</v>
      </c>
      <c r="U136" s="20">
        <f>IF(Inputs!$E$69=1,(1+$E$136)^(1/12)-1,$E$136/12)*SUM(U133:U135)*U$10*(1-Inputs!$E$66)</f>
        <v>0</v>
      </c>
      <c r="V136" s="20">
        <f>IF(Inputs!$E$69=1,(1+$E$136)^(1/12)-1,$E$136/12)*SUM(V133:V135)*V$10*(1-Inputs!$E$66)</f>
        <v>0</v>
      </c>
      <c r="W136" s="20">
        <f>IF(Inputs!$E$69=1,(1+$E$136)^(1/12)-1,$E$136/12)*SUM(W133:W135)*W$10*(1-Inputs!$E$66)</f>
        <v>0</v>
      </c>
      <c r="X136" s="20">
        <f>IF(Inputs!$E$69=1,(1+$E$136)^(1/12)-1,$E$136/12)*SUM(X133:X135)*X$10*(1-Inputs!$E$66)</f>
        <v>0</v>
      </c>
      <c r="Y136" s="20">
        <f>IF(Inputs!$E$69=1,(1+$E$136)^(1/12)-1,$E$136/12)*SUM(Y133:Y135)*Y$10*(1-Inputs!$E$66)</f>
        <v>0</v>
      </c>
      <c r="Z136" s="20">
        <f>IF(Inputs!$E$69=1,(1+$E$136)^(1/12)-1,$E$136/12)*SUM(Z133:Z135)*Z$10*(1-Inputs!$E$66)</f>
        <v>0</v>
      </c>
      <c r="AA136" s="20">
        <f>IF(Inputs!$E$69=1,(1+$E$136)^(1/12)-1,$E$136/12)*SUM(AA133:AA135)*AA$10*(1-Inputs!$E$66)</f>
        <v>0</v>
      </c>
      <c r="AB136" s="20">
        <f>IF(Inputs!$E$69=1,(1+$E$136)^(1/12)-1,$E$136/12)*SUM(AB133:AB135)*AB$10*(1-Inputs!$E$66)</f>
        <v>0</v>
      </c>
      <c r="AC136" s="20">
        <f>IF(Inputs!$E$69=1,(1+$E$136)^(1/12)-1,$E$136/12)*SUM(AC133:AC135)*AC$10*(1-Inputs!$E$66)</f>
        <v>0</v>
      </c>
      <c r="AD136" s="20">
        <f>IF(Inputs!$E$69=1,(1+$E$136)^(1/12)-1,$E$136/12)*SUM(AD133:AD135)*AD$10*(1-Inputs!$E$66)</f>
        <v>0</v>
      </c>
      <c r="AE136" s="20">
        <f>IF(Inputs!$E$69=1,(1+$E$136)^(1/12)-1,$E$136/12)*SUM(AE133:AE135)*AE$10*(1-Inputs!$E$66)</f>
        <v>0</v>
      </c>
      <c r="AF136" s="20">
        <f>IF(Inputs!$E$69=1,(1+$E$136)^(1/12)-1,$E$136/12)*SUM(AF133:AF135)*AF$10*(1-Inputs!$E$66)</f>
        <v>0</v>
      </c>
      <c r="AG136" s="20">
        <f>IF(Inputs!$E$69=1,(1+$E$136)^(1/12)-1,$E$136/12)*SUM(AG133:AG135)*AG$10*(1-Inputs!$E$66)</f>
        <v>0</v>
      </c>
      <c r="AH136" s="20">
        <f>IF(Inputs!$E$69=1,(1+$E$136)^(1/12)-1,$E$136/12)*SUM(AH133:AH135)*AH$10*(1-Inputs!$E$66)</f>
        <v>0</v>
      </c>
      <c r="AI136" s="20">
        <f>IF(Inputs!$E$69=1,(1+$E$136)^(1/12)-1,$E$136/12)*SUM(AI133:AI135)*AI$10*(1-Inputs!$E$66)</f>
        <v>0</v>
      </c>
      <c r="AJ136" s="20">
        <f>IF(Inputs!$E$69=1,(1+$E$136)^(1/12)-1,$E$136/12)*SUM(AJ133:AJ135)*AJ$10*(1-Inputs!$E$66)</f>
        <v>0</v>
      </c>
      <c r="AK136" s="20">
        <f>IF(Inputs!$E$69=1,(1+$E$136)^(1/12)-1,$E$136/12)*SUM(AK133:AK135)*AK$10*(1-Inputs!$E$66)</f>
        <v>0</v>
      </c>
      <c r="AL136" s="20">
        <f>IF(Inputs!$E$69=1,(1+$E$136)^(1/12)-1,$E$136/12)*SUM(AL133:AL135)*AL$10*(1-Inputs!$E$66)</f>
        <v>0</v>
      </c>
      <c r="AM136" s="20">
        <f>IF(Inputs!$E$69=1,(1+$E$136)^(1/12)-1,$E$136/12)*SUM(AM133:AM135)*AM$10*(1-Inputs!$E$66)</f>
        <v>0</v>
      </c>
      <c r="AN136" s="20">
        <f>IF(Inputs!$E$69=1,(1+$E$136)^(1/12)-1,$E$136/12)*SUM(AN133:AN135)*AN$10*(1-Inputs!$E$66)</f>
        <v>0</v>
      </c>
      <c r="AO136" s="20">
        <f>IF(Inputs!$E$69=1,(1+$E$136)^(1/12)-1,$E$136/12)*SUM(AO133:AO135)*AO$10*(1-Inputs!$E$66)</f>
        <v>0</v>
      </c>
      <c r="AP136" s="20">
        <f>IF(Inputs!$E$69=1,(1+$E$136)^(1/12)-1,$E$136/12)*SUM(AP133:AP135)*AP$10*(1-Inputs!$E$66)</f>
        <v>0</v>
      </c>
      <c r="AQ136" s="20">
        <f>IF(Inputs!$E$69=1,(1+$E$136)^(1/12)-1,$E$136/12)*SUM(AQ133:AQ135)*AQ$10*(1-Inputs!$E$66)</f>
        <v>0</v>
      </c>
      <c r="AR136" s="20">
        <f>IF(Inputs!$E$69=1,(1+$E$136)^(1/12)-1,$E$136/12)*SUM(AR133:AR135)*AR$10*(1-Inputs!$E$66)</f>
        <v>0</v>
      </c>
      <c r="AS136" s="20">
        <f>IF(Inputs!$E$69=1,(1+$E$136)^(1/12)-1,$E$136/12)*SUM(AS133:AS135)*AS$10*(1-Inputs!$E$66)</f>
        <v>0</v>
      </c>
      <c r="AT136" s="20">
        <f>IF(Inputs!$E$69=1,(1+$E$136)^(1/12)-1,$E$136/12)*SUM(AT133:AT135)*AT$10*(1-Inputs!$E$66)</f>
        <v>0</v>
      </c>
      <c r="AU136" s="20">
        <f>IF(Inputs!$E$69=1,(1+$E$136)^(1/12)-1,$E$136/12)*SUM(AU133:AU135)*AU$10*(1-Inputs!$E$66)</f>
        <v>0</v>
      </c>
      <c r="AV136" s="20">
        <f>IF(Inputs!$E$69=1,(1+$E$136)^(1/12)-1,$E$136/12)*SUM(AV133:AV135)*AV$10*(1-Inputs!$E$66)</f>
        <v>0</v>
      </c>
      <c r="AW136" s="20">
        <f>IF(Inputs!$E$69=1,(1+$E$136)^(1/12)-1,$E$136/12)*SUM(AW133:AW135)*AW$10*(1-Inputs!$E$66)</f>
        <v>0</v>
      </c>
      <c r="AX136" s="20">
        <f>IF(Inputs!$E$69=1,(1+$E$136)^(1/12)-1,$E$136/12)*SUM(AX133:AX135)*AX$10*(1-Inputs!$E$66)</f>
        <v>0</v>
      </c>
      <c r="AY136" s="20">
        <f>IF(Inputs!$E$69=1,(1+$E$136)^(1/12)-1,$E$136/12)*SUM(AY133:AY135)*AY$10*(1-Inputs!$E$66)</f>
        <v>0</v>
      </c>
      <c r="AZ136" s="20">
        <f>IF(Inputs!$E$69=1,(1+$E$136)^(1/12)-1,$E$136/12)*SUM(AZ133:AZ135)*AZ$10*(1-Inputs!$E$66)</f>
        <v>0</v>
      </c>
      <c r="BA136" s="20">
        <f>IF(Inputs!$E$69=1,(1+$E$136)^(1/12)-1,$E$136/12)*SUM(BA133:BA135)*BA$10*(1-Inputs!$E$66)</f>
        <v>0</v>
      </c>
      <c r="BB136" s="20">
        <f>IF(Inputs!$E$69=1,(1+$E$136)^(1/12)-1,$E$136/12)*SUM(BB133:BB135)*BB$10*(1-Inputs!$E$66)</f>
        <v>0</v>
      </c>
      <c r="BC136" s="20">
        <f>IF(Inputs!$E$69=1,(1+$E$136)^(1/12)-1,$E$136/12)*SUM(BC133:BC135)*BC$10*(1-Inputs!$E$66)</f>
        <v>0</v>
      </c>
      <c r="BD136" s="20">
        <f>IF(Inputs!$E$69=1,(1+$E$136)^(1/12)-1,$E$136/12)*SUM(BD133:BD135)*BD$10*(1-Inputs!$E$66)</f>
        <v>0</v>
      </c>
      <c r="BE136" s="20">
        <f>IF(Inputs!$E$69=1,(1+$E$136)^(1/12)-1,$E$136/12)*SUM(BE133:BE135)*BE$10*(1-Inputs!$E$66)</f>
        <v>0</v>
      </c>
      <c r="BF136" s="20">
        <f>IF(Inputs!$E$69=1,(1+$E$136)^(1/12)-1,$E$136/12)*SUM(BF133:BF135)*BF$10*(1-Inputs!$E$66)</f>
        <v>0</v>
      </c>
      <c r="BG136" s="20">
        <f>IF(Inputs!$E$69=1,(1+$E$136)^(1/12)-1,$E$136/12)*SUM(BG133:BG135)*BG$10*(1-Inputs!$E$66)</f>
        <v>0</v>
      </c>
      <c r="BH136" s="20">
        <f>IF(Inputs!$E$69=1,(1+$E$136)^(1/12)-1,$E$136/12)*SUM(BH133:BH135)*BH$10*(1-Inputs!$E$66)</f>
        <v>0</v>
      </c>
      <c r="BI136" s="20">
        <f>IF(Inputs!$E$69=1,(1+$E$136)^(1/12)-1,$E$136/12)*SUM(BI133:BI135)*BI$10*(1-Inputs!$E$66)</f>
        <v>0</v>
      </c>
      <c r="BJ136" s="20">
        <f>IF(Inputs!$E$69=1,(1+$E$136)^(1/12)-1,$E$136/12)*SUM(BJ133:BJ135)*BJ$10*(1-Inputs!$E$66)</f>
        <v>0</v>
      </c>
      <c r="BK136" s="20">
        <f>IF(Inputs!$E$69=1,(1+$E$136)^(1/12)-1,$E$136/12)*SUM(BK133:BK135)*BK$10*(1-Inputs!$E$66)</f>
        <v>0</v>
      </c>
      <c r="BL136" s="20">
        <f>IF(Inputs!$E$69=1,(1+$E$136)^(1/12)-1,$E$136/12)*SUM(BL133:BL135)*BL$10*(1-Inputs!$E$66)</f>
        <v>0</v>
      </c>
      <c r="BM136" s="20">
        <f>IF(Inputs!$E$69=1,(1+$E$136)^(1/12)-1,$E$136/12)*SUM(BM133:BM135)*BM$10*(1-Inputs!$E$66)</f>
        <v>0</v>
      </c>
      <c r="BN136" s="20">
        <f>IF(Inputs!$E$69=1,(1+$E$136)^(1/12)-1,$E$136/12)*SUM(BN133:BN135)*BN$10*(1-Inputs!$E$66)</f>
        <v>0</v>
      </c>
      <c r="BO136" s="20">
        <f>IF(Inputs!$E$69=1,(1+$E$136)^(1/12)-1,$E$136/12)*SUM(BO133:BO135)*BO$10*(1-Inputs!$E$66)</f>
        <v>0</v>
      </c>
      <c r="BP136" s="20">
        <f>IF(Inputs!$E$69=1,(1+$E$136)^(1/12)-1,$E$136/12)*SUM(BP133:BP135)*BP$10*(1-Inputs!$E$66)</f>
        <v>0</v>
      </c>
    </row>
    <row r="137" spans="3:68" x14ac:dyDescent="0.25">
      <c r="C137" t="s">
        <v>28</v>
      </c>
      <c r="D137" t="s">
        <v>844</v>
      </c>
      <c r="E137" s="20"/>
      <c r="F137" s="20"/>
      <c r="G137" s="20">
        <f>SUM(H137:BP137)</f>
        <v>0</v>
      </c>
      <c r="H137" s="20">
        <f t="shared" ref="H137:AM137" si="85">-H$7*SUM(H133:H136)</f>
        <v>-0</v>
      </c>
      <c r="I137" s="20">
        <f t="shared" si="85"/>
        <v>-0</v>
      </c>
      <c r="J137" s="20">
        <f t="shared" si="85"/>
        <v>-0</v>
      </c>
      <c r="K137" s="20">
        <f t="shared" si="85"/>
        <v>-0</v>
      </c>
      <c r="L137" s="20">
        <f t="shared" si="85"/>
        <v>-0</v>
      </c>
      <c r="M137" s="20">
        <f t="shared" si="85"/>
        <v>-0</v>
      </c>
      <c r="N137" s="20">
        <f t="shared" si="85"/>
        <v>-0</v>
      </c>
      <c r="O137" s="20">
        <f t="shared" si="85"/>
        <v>-0</v>
      </c>
      <c r="P137" s="20">
        <f t="shared" si="85"/>
        <v>-0</v>
      </c>
      <c r="Q137" s="20">
        <f t="shared" si="85"/>
        <v>-0</v>
      </c>
      <c r="R137" s="20">
        <f t="shared" si="85"/>
        <v>-0</v>
      </c>
      <c r="S137" s="20">
        <f t="shared" si="85"/>
        <v>-0</v>
      </c>
      <c r="T137" s="20">
        <f t="shared" si="85"/>
        <v>-0</v>
      </c>
      <c r="U137" s="20">
        <f t="shared" si="85"/>
        <v>-0</v>
      </c>
      <c r="V137" s="20">
        <f t="shared" si="85"/>
        <v>-0</v>
      </c>
      <c r="W137" s="20">
        <f t="shared" si="85"/>
        <v>-0</v>
      </c>
      <c r="X137" s="20">
        <f t="shared" si="85"/>
        <v>-0</v>
      </c>
      <c r="Y137" s="20">
        <f t="shared" si="85"/>
        <v>-0</v>
      </c>
      <c r="Z137" s="20">
        <f t="shared" si="85"/>
        <v>-0</v>
      </c>
      <c r="AA137" s="20">
        <f t="shared" si="85"/>
        <v>-0</v>
      </c>
      <c r="AB137" s="20">
        <f t="shared" si="85"/>
        <v>-0</v>
      </c>
      <c r="AC137" s="20">
        <f t="shared" si="85"/>
        <v>-0</v>
      </c>
      <c r="AD137" s="20">
        <f t="shared" si="85"/>
        <v>-0</v>
      </c>
      <c r="AE137" s="20">
        <f t="shared" si="85"/>
        <v>-0</v>
      </c>
      <c r="AF137" s="20">
        <f t="shared" si="85"/>
        <v>-0</v>
      </c>
      <c r="AG137" s="20">
        <f t="shared" si="85"/>
        <v>-0</v>
      </c>
      <c r="AH137" s="20">
        <f t="shared" si="85"/>
        <v>-0</v>
      </c>
      <c r="AI137" s="20">
        <f t="shared" si="85"/>
        <v>-0</v>
      </c>
      <c r="AJ137" s="20">
        <f t="shared" si="85"/>
        <v>-0</v>
      </c>
      <c r="AK137" s="20">
        <f t="shared" si="85"/>
        <v>-0</v>
      </c>
      <c r="AL137" s="20">
        <f t="shared" si="85"/>
        <v>-0</v>
      </c>
      <c r="AM137" s="20">
        <f t="shared" si="85"/>
        <v>-0</v>
      </c>
      <c r="AN137" s="20">
        <f t="shared" ref="AN137:BP137" si="86">-AN$7*SUM(AN133:AN136)</f>
        <v>-0</v>
      </c>
      <c r="AO137" s="20">
        <f t="shared" si="86"/>
        <v>-0</v>
      </c>
      <c r="AP137" s="20">
        <f t="shared" si="86"/>
        <v>-0</v>
      </c>
      <c r="AQ137" s="20">
        <f t="shared" si="86"/>
        <v>-0</v>
      </c>
      <c r="AR137" s="20">
        <f t="shared" si="86"/>
        <v>-0</v>
      </c>
      <c r="AS137" s="20">
        <f t="shared" si="86"/>
        <v>-0</v>
      </c>
      <c r="AT137" s="20">
        <f t="shared" si="86"/>
        <v>-0</v>
      </c>
      <c r="AU137" s="20">
        <f t="shared" si="86"/>
        <v>-0</v>
      </c>
      <c r="AV137" s="20">
        <f t="shared" si="86"/>
        <v>-0</v>
      </c>
      <c r="AW137" s="20">
        <f t="shared" si="86"/>
        <v>-0</v>
      </c>
      <c r="AX137" s="20">
        <f t="shared" si="86"/>
        <v>-0</v>
      </c>
      <c r="AY137" s="20">
        <f t="shared" si="86"/>
        <v>-0</v>
      </c>
      <c r="AZ137" s="20">
        <f t="shared" si="86"/>
        <v>-0</v>
      </c>
      <c r="BA137" s="20">
        <f t="shared" si="86"/>
        <v>-0</v>
      </c>
      <c r="BB137" s="20">
        <f t="shared" si="86"/>
        <v>-0</v>
      </c>
      <c r="BC137" s="20">
        <f t="shared" si="86"/>
        <v>-0</v>
      </c>
      <c r="BD137" s="20">
        <f t="shared" si="86"/>
        <v>-0</v>
      </c>
      <c r="BE137" s="20">
        <f t="shared" si="86"/>
        <v>-0</v>
      </c>
      <c r="BF137" s="20">
        <f t="shared" si="86"/>
        <v>-0</v>
      </c>
      <c r="BG137" s="20">
        <f t="shared" si="86"/>
        <v>-0</v>
      </c>
      <c r="BH137" s="20">
        <f t="shared" si="86"/>
        <v>-0</v>
      </c>
      <c r="BI137" s="20">
        <f t="shared" si="86"/>
        <v>-0</v>
      </c>
      <c r="BJ137" s="20">
        <f t="shared" si="86"/>
        <v>-0</v>
      </c>
      <c r="BK137" s="20">
        <f t="shared" si="86"/>
        <v>-0</v>
      </c>
      <c r="BL137" s="20">
        <f t="shared" si="86"/>
        <v>-0</v>
      </c>
      <c r="BM137" s="20">
        <f t="shared" si="86"/>
        <v>-0</v>
      </c>
      <c r="BN137" s="20">
        <f t="shared" si="86"/>
        <v>-0</v>
      </c>
      <c r="BO137" s="20">
        <f t="shared" si="86"/>
        <v>-0</v>
      </c>
      <c r="BP137" s="20">
        <f t="shared" si="86"/>
        <v>-0</v>
      </c>
    </row>
    <row r="138" spans="3:68" x14ac:dyDescent="0.25">
      <c r="C138" t="s">
        <v>33</v>
      </c>
      <c r="D138" t="s">
        <v>844</v>
      </c>
      <c r="E138" s="20"/>
      <c r="F138" s="20"/>
      <c r="G138" s="20"/>
      <c r="H138" s="20">
        <f t="shared" ref="H138:AM138" si="87">SUM(H133:H137)</f>
        <v>0</v>
      </c>
      <c r="I138" s="20">
        <f t="shared" si="87"/>
        <v>0</v>
      </c>
      <c r="J138" s="20">
        <f t="shared" si="87"/>
        <v>0</v>
      </c>
      <c r="K138" s="20">
        <f t="shared" si="87"/>
        <v>0</v>
      </c>
      <c r="L138" s="20">
        <f t="shared" si="87"/>
        <v>0</v>
      </c>
      <c r="M138" s="20">
        <f t="shared" si="87"/>
        <v>0</v>
      </c>
      <c r="N138" s="20">
        <f t="shared" si="87"/>
        <v>0</v>
      </c>
      <c r="O138" s="20">
        <f t="shared" si="87"/>
        <v>0</v>
      </c>
      <c r="P138" s="20">
        <f t="shared" si="87"/>
        <v>0</v>
      </c>
      <c r="Q138" s="20">
        <f t="shared" si="87"/>
        <v>0</v>
      </c>
      <c r="R138" s="20">
        <f t="shared" si="87"/>
        <v>0</v>
      </c>
      <c r="S138" s="20">
        <f t="shared" si="87"/>
        <v>0</v>
      </c>
      <c r="T138" s="20">
        <f t="shared" si="87"/>
        <v>0</v>
      </c>
      <c r="U138" s="20">
        <f t="shared" si="87"/>
        <v>0</v>
      </c>
      <c r="V138" s="20">
        <f t="shared" si="87"/>
        <v>0</v>
      </c>
      <c r="W138" s="20">
        <f t="shared" si="87"/>
        <v>0</v>
      </c>
      <c r="X138" s="20">
        <f t="shared" si="87"/>
        <v>0</v>
      </c>
      <c r="Y138" s="20">
        <f t="shared" si="87"/>
        <v>0</v>
      </c>
      <c r="Z138" s="20">
        <f t="shared" si="87"/>
        <v>0</v>
      </c>
      <c r="AA138" s="20">
        <f t="shared" si="87"/>
        <v>0</v>
      </c>
      <c r="AB138" s="20">
        <f t="shared" si="87"/>
        <v>0</v>
      </c>
      <c r="AC138" s="20">
        <f t="shared" si="87"/>
        <v>0</v>
      </c>
      <c r="AD138" s="20">
        <f t="shared" si="87"/>
        <v>0</v>
      </c>
      <c r="AE138" s="20">
        <f t="shared" si="87"/>
        <v>0</v>
      </c>
      <c r="AF138" s="20">
        <f t="shared" si="87"/>
        <v>0</v>
      </c>
      <c r="AG138" s="20">
        <f t="shared" si="87"/>
        <v>0</v>
      </c>
      <c r="AH138" s="20">
        <f t="shared" si="87"/>
        <v>0</v>
      </c>
      <c r="AI138" s="20">
        <f t="shared" si="87"/>
        <v>0</v>
      </c>
      <c r="AJ138" s="20">
        <f t="shared" si="87"/>
        <v>0</v>
      </c>
      <c r="AK138" s="20">
        <f t="shared" si="87"/>
        <v>0</v>
      </c>
      <c r="AL138" s="20">
        <f t="shared" si="87"/>
        <v>0</v>
      </c>
      <c r="AM138" s="20">
        <f t="shared" si="87"/>
        <v>0</v>
      </c>
      <c r="AN138" s="20">
        <f t="shared" ref="AN138:BP138" si="88">SUM(AN133:AN137)</f>
        <v>0</v>
      </c>
      <c r="AO138" s="20">
        <f t="shared" si="88"/>
        <v>0</v>
      </c>
      <c r="AP138" s="20">
        <f t="shared" si="88"/>
        <v>0</v>
      </c>
      <c r="AQ138" s="20">
        <f t="shared" si="88"/>
        <v>0</v>
      </c>
      <c r="AR138" s="20">
        <f t="shared" si="88"/>
        <v>0</v>
      </c>
      <c r="AS138" s="20">
        <f t="shared" si="88"/>
        <v>0</v>
      </c>
      <c r="AT138" s="20">
        <f t="shared" si="88"/>
        <v>0</v>
      </c>
      <c r="AU138" s="20">
        <f t="shared" si="88"/>
        <v>0</v>
      </c>
      <c r="AV138" s="20">
        <f t="shared" si="88"/>
        <v>0</v>
      </c>
      <c r="AW138" s="20">
        <f t="shared" si="88"/>
        <v>0</v>
      </c>
      <c r="AX138" s="20">
        <f t="shared" si="88"/>
        <v>0</v>
      </c>
      <c r="AY138" s="20">
        <f t="shared" si="88"/>
        <v>0</v>
      </c>
      <c r="AZ138" s="20">
        <f t="shared" si="88"/>
        <v>0</v>
      </c>
      <c r="BA138" s="20">
        <f t="shared" si="88"/>
        <v>0</v>
      </c>
      <c r="BB138" s="20">
        <f t="shared" si="88"/>
        <v>0</v>
      </c>
      <c r="BC138" s="20">
        <f t="shared" si="88"/>
        <v>0</v>
      </c>
      <c r="BD138" s="20">
        <f t="shared" si="88"/>
        <v>0</v>
      </c>
      <c r="BE138" s="20">
        <f t="shared" si="88"/>
        <v>0</v>
      </c>
      <c r="BF138" s="20">
        <f t="shared" si="88"/>
        <v>0</v>
      </c>
      <c r="BG138" s="20">
        <f t="shared" si="88"/>
        <v>0</v>
      </c>
      <c r="BH138" s="20">
        <f t="shared" si="88"/>
        <v>0</v>
      </c>
      <c r="BI138" s="20">
        <f t="shared" si="88"/>
        <v>0</v>
      </c>
      <c r="BJ138" s="20">
        <f t="shared" si="88"/>
        <v>0</v>
      </c>
      <c r="BK138" s="20">
        <f t="shared" si="88"/>
        <v>0</v>
      </c>
      <c r="BL138" s="20">
        <f t="shared" si="88"/>
        <v>0</v>
      </c>
      <c r="BM138" s="20">
        <f t="shared" si="88"/>
        <v>0</v>
      </c>
      <c r="BN138" s="20">
        <f t="shared" si="88"/>
        <v>0</v>
      </c>
      <c r="BO138" s="20">
        <f t="shared" si="88"/>
        <v>0</v>
      </c>
      <c r="BP138" s="20">
        <f t="shared" si="88"/>
        <v>0</v>
      </c>
    </row>
    <row r="139" spans="3:68" x14ac:dyDescent="0.25">
      <c r="C139" t="s">
        <v>697</v>
      </c>
      <c r="D139" t="s">
        <v>844</v>
      </c>
      <c r="E139" s="20"/>
      <c r="F139" s="20"/>
      <c r="G139" s="20"/>
      <c r="H139" s="20">
        <f>H134+H135</f>
        <v>0</v>
      </c>
      <c r="I139" s="20">
        <f t="shared" ref="I139:AN139" si="89">H139+I134+I135</f>
        <v>0</v>
      </c>
      <c r="J139" s="20">
        <f t="shared" si="89"/>
        <v>0</v>
      </c>
      <c r="K139" s="20">
        <f t="shared" si="89"/>
        <v>0</v>
      </c>
      <c r="L139" s="20">
        <f t="shared" si="89"/>
        <v>0</v>
      </c>
      <c r="M139" s="20">
        <f t="shared" si="89"/>
        <v>0</v>
      </c>
      <c r="N139" s="20">
        <f t="shared" si="89"/>
        <v>0</v>
      </c>
      <c r="O139" s="20">
        <f t="shared" si="89"/>
        <v>0</v>
      </c>
      <c r="P139" s="20">
        <f t="shared" si="89"/>
        <v>0</v>
      </c>
      <c r="Q139" s="20">
        <f t="shared" si="89"/>
        <v>0</v>
      </c>
      <c r="R139" s="20">
        <f t="shared" si="89"/>
        <v>0</v>
      </c>
      <c r="S139" s="20">
        <f t="shared" si="89"/>
        <v>0</v>
      </c>
      <c r="T139" s="20">
        <f t="shared" si="89"/>
        <v>0</v>
      </c>
      <c r="U139" s="20">
        <f t="shared" si="89"/>
        <v>0</v>
      </c>
      <c r="V139" s="20">
        <f t="shared" si="89"/>
        <v>0</v>
      </c>
      <c r="W139" s="20">
        <f t="shared" si="89"/>
        <v>0</v>
      </c>
      <c r="X139" s="20">
        <f t="shared" si="89"/>
        <v>0</v>
      </c>
      <c r="Y139" s="20">
        <f t="shared" si="89"/>
        <v>0</v>
      </c>
      <c r="Z139" s="20">
        <f t="shared" si="89"/>
        <v>0</v>
      </c>
      <c r="AA139" s="20">
        <f t="shared" si="89"/>
        <v>0</v>
      </c>
      <c r="AB139" s="20">
        <f t="shared" si="89"/>
        <v>0</v>
      </c>
      <c r="AC139" s="20">
        <f t="shared" si="89"/>
        <v>0</v>
      </c>
      <c r="AD139" s="20">
        <f t="shared" si="89"/>
        <v>0</v>
      </c>
      <c r="AE139" s="20">
        <f t="shared" si="89"/>
        <v>0</v>
      </c>
      <c r="AF139" s="20">
        <f t="shared" si="89"/>
        <v>0</v>
      </c>
      <c r="AG139" s="20">
        <f t="shared" si="89"/>
        <v>0</v>
      </c>
      <c r="AH139" s="20">
        <f t="shared" si="89"/>
        <v>0</v>
      </c>
      <c r="AI139" s="20">
        <f t="shared" si="89"/>
        <v>0</v>
      </c>
      <c r="AJ139" s="20">
        <f t="shared" si="89"/>
        <v>0</v>
      </c>
      <c r="AK139" s="20">
        <f t="shared" si="89"/>
        <v>0</v>
      </c>
      <c r="AL139" s="20">
        <f t="shared" si="89"/>
        <v>0</v>
      </c>
      <c r="AM139" s="20">
        <f t="shared" si="89"/>
        <v>0</v>
      </c>
      <c r="AN139" s="20">
        <f t="shared" si="89"/>
        <v>0</v>
      </c>
      <c r="AO139" s="20">
        <f t="shared" ref="AO139:BP139" si="90">AN139+AO134+AO135</f>
        <v>0</v>
      </c>
      <c r="AP139" s="20">
        <f t="shared" si="90"/>
        <v>0</v>
      </c>
      <c r="AQ139" s="20">
        <f t="shared" si="90"/>
        <v>0</v>
      </c>
      <c r="AR139" s="20">
        <f t="shared" si="90"/>
        <v>0</v>
      </c>
      <c r="AS139" s="20">
        <f t="shared" si="90"/>
        <v>0</v>
      </c>
      <c r="AT139" s="20">
        <f t="shared" si="90"/>
        <v>0</v>
      </c>
      <c r="AU139" s="20">
        <f t="shared" si="90"/>
        <v>0</v>
      </c>
      <c r="AV139" s="20">
        <f t="shared" si="90"/>
        <v>0</v>
      </c>
      <c r="AW139" s="20">
        <f t="shared" si="90"/>
        <v>0</v>
      </c>
      <c r="AX139" s="20">
        <f t="shared" si="90"/>
        <v>0</v>
      </c>
      <c r="AY139" s="20">
        <f t="shared" si="90"/>
        <v>0</v>
      </c>
      <c r="AZ139" s="20">
        <f t="shared" si="90"/>
        <v>0</v>
      </c>
      <c r="BA139" s="20">
        <f t="shared" si="90"/>
        <v>0</v>
      </c>
      <c r="BB139" s="20">
        <f t="shared" si="90"/>
        <v>0</v>
      </c>
      <c r="BC139" s="20">
        <f t="shared" si="90"/>
        <v>0</v>
      </c>
      <c r="BD139" s="20">
        <f t="shared" si="90"/>
        <v>0</v>
      </c>
      <c r="BE139" s="20">
        <f t="shared" si="90"/>
        <v>0</v>
      </c>
      <c r="BF139" s="20">
        <f t="shared" si="90"/>
        <v>0</v>
      </c>
      <c r="BG139" s="20">
        <f t="shared" si="90"/>
        <v>0</v>
      </c>
      <c r="BH139" s="20">
        <f t="shared" si="90"/>
        <v>0</v>
      </c>
      <c r="BI139" s="20">
        <f t="shared" si="90"/>
        <v>0</v>
      </c>
      <c r="BJ139" s="20">
        <f t="shared" si="90"/>
        <v>0</v>
      </c>
      <c r="BK139" s="20">
        <f t="shared" si="90"/>
        <v>0</v>
      </c>
      <c r="BL139" s="20">
        <f t="shared" si="90"/>
        <v>0</v>
      </c>
      <c r="BM139" s="20">
        <f t="shared" si="90"/>
        <v>0</v>
      </c>
      <c r="BN139" s="20">
        <f t="shared" si="90"/>
        <v>0</v>
      </c>
      <c r="BO139" s="20">
        <f t="shared" si="90"/>
        <v>0</v>
      </c>
      <c r="BP139" s="20">
        <f t="shared" si="90"/>
        <v>0</v>
      </c>
    </row>
    <row r="140" spans="3:68" x14ac:dyDescent="0.25">
      <c r="C140" t="s">
        <v>698</v>
      </c>
      <c r="D140" t="s">
        <v>844</v>
      </c>
      <c r="E140" s="3">
        <f>Inputs!$E$63</f>
        <v>2</v>
      </c>
      <c r="F140" s="20"/>
      <c r="G140" s="20">
        <f>SUM(H140:BP140)</f>
        <v>0</v>
      </c>
      <c r="H140" s="20">
        <f t="shared" ref="H140:AM140" si="91">H$7*MAX($E$140*H139-SUM(H133:H136),0)</f>
        <v>0</v>
      </c>
      <c r="I140" s="20">
        <f t="shared" si="91"/>
        <v>0</v>
      </c>
      <c r="J140" s="20">
        <f t="shared" si="91"/>
        <v>0</v>
      </c>
      <c r="K140" s="20">
        <f t="shared" si="91"/>
        <v>0</v>
      </c>
      <c r="L140" s="20">
        <f t="shared" si="91"/>
        <v>0</v>
      </c>
      <c r="M140" s="20">
        <f t="shared" si="91"/>
        <v>0</v>
      </c>
      <c r="N140" s="20">
        <f t="shared" si="91"/>
        <v>0</v>
      </c>
      <c r="O140" s="20">
        <f t="shared" si="91"/>
        <v>0</v>
      </c>
      <c r="P140" s="20">
        <f t="shared" si="91"/>
        <v>0</v>
      </c>
      <c r="Q140" s="20">
        <f t="shared" si="91"/>
        <v>0</v>
      </c>
      <c r="R140" s="20">
        <f t="shared" si="91"/>
        <v>0</v>
      </c>
      <c r="S140" s="20">
        <f t="shared" si="91"/>
        <v>0</v>
      </c>
      <c r="T140" s="20">
        <f t="shared" si="91"/>
        <v>0</v>
      </c>
      <c r="U140" s="20">
        <f t="shared" si="91"/>
        <v>0</v>
      </c>
      <c r="V140" s="20">
        <f t="shared" si="91"/>
        <v>0</v>
      </c>
      <c r="W140" s="20">
        <f t="shared" si="91"/>
        <v>0</v>
      </c>
      <c r="X140" s="20">
        <f t="shared" si="91"/>
        <v>0</v>
      </c>
      <c r="Y140" s="20">
        <f t="shared" si="91"/>
        <v>0</v>
      </c>
      <c r="Z140" s="20">
        <f t="shared" si="91"/>
        <v>0</v>
      </c>
      <c r="AA140" s="20">
        <f t="shared" si="91"/>
        <v>0</v>
      </c>
      <c r="AB140" s="20">
        <f t="shared" si="91"/>
        <v>0</v>
      </c>
      <c r="AC140" s="20">
        <f t="shared" si="91"/>
        <v>0</v>
      </c>
      <c r="AD140" s="20">
        <f t="shared" si="91"/>
        <v>0</v>
      </c>
      <c r="AE140" s="20">
        <f t="shared" si="91"/>
        <v>0</v>
      </c>
      <c r="AF140" s="20">
        <f t="shared" si="91"/>
        <v>0</v>
      </c>
      <c r="AG140" s="20">
        <f t="shared" si="91"/>
        <v>0</v>
      </c>
      <c r="AH140" s="20">
        <f t="shared" si="91"/>
        <v>0</v>
      </c>
      <c r="AI140" s="20">
        <f t="shared" si="91"/>
        <v>0</v>
      </c>
      <c r="AJ140" s="20">
        <f t="shared" si="91"/>
        <v>0</v>
      </c>
      <c r="AK140" s="20">
        <f t="shared" si="91"/>
        <v>0</v>
      </c>
      <c r="AL140" s="20">
        <f t="shared" si="91"/>
        <v>0</v>
      </c>
      <c r="AM140" s="20">
        <f t="shared" si="91"/>
        <v>0</v>
      </c>
      <c r="AN140" s="20">
        <f t="shared" ref="AN140:BP140" si="92">AN$7*MAX($E$140*AN139-SUM(AN133:AN136),0)</f>
        <v>0</v>
      </c>
      <c r="AO140" s="20">
        <f t="shared" si="92"/>
        <v>0</v>
      </c>
      <c r="AP140" s="20">
        <f t="shared" si="92"/>
        <v>0</v>
      </c>
      <c r="AQ140" s="20">
        <f t="shared" si="92"/>
        <v>0</v>
      </c>
      <c r="AR140" s="20">
        <f t="shared" si="92"/>
        <v>0</v>
      </c>
      <c r="AS140" s="20">
        <f t="shared" si="92"/>
        <v>0</v>
      </c>
      <c r="AT140" s="20">
        <f t="shared" si="92"/>
        <v>0</v>
      </c>
      <c r="AU140" s="20">
        <f t="shared" si="92"/>
        <v>0</v>
      </c>
      <c r="AV140" s="20">
        <f t="shared" si="92"/>
        <v>0</v>
      </c>
      <c r="AW140" s="20">
        <f t="shared" si="92"/>
        <v>0</v>
      </c>
      <c r="AX140" s="20">
        <f t="shared" si="92"/>
        <v>0</v>
      </c>
      <c r="AY140" s="20">
        <f t="shared" si="92"/>
        <v>0</v>
      </c>
      <c r="AZ140" s="20">
        <f t="shared" si="92"/>
        <v>0</v>
      </c>
      <c r="BA140" s="20">
        <f t="shared" si="92"/>
        <v>0</v>
      </c>
      <c r="BB140" s="20">
        <f t="shared" si="92"/>
        <v>0</v>
      </c>
      <c r="BC140" s="20">
        <f t="shared" si="92"/>
        <v>0</v>
      </c>
      <c r="BD140" s="20">
        <f t="shared" si="92"/>
        <v>0</v>
      </c>
      <c r="BE140" s="20">
        <f t="shared" si="92"/>
        <v>0</v>
      </c>
      <c r="BF140" s="20">
        <f t="shared" si="92"/>
        <v>0</v>
      </c>
      <c r="BG140" s="20">
        <f t="shared" si="92"/>
        <v>0</v>
      </c>
      <c r="BH140" s="20">
        <f t="shared" si="92"/>
        <v>0</v>
      </c>
      <c r="BI140" s="20">
        <f t="shared" si="92"/>
        <v>0</v>
      </c>
      <c r="BJ140" s="20">
        <f t="shared" si="92"/>
        <v>0</v>
      </c>
      <c r="BK140" s="20">
        <f t="shared" si="92"/>
        <v>0</v>
      </c>
      <c r="BL140" s="20">
        <f t="shared" si="92"/>
        <v>0</v>
      </c>
      <c r="BM140" s="20">
        <f t="shared" si="92"/>
        <v>0</v>
      </c>
      <c r="BN140" s="20">
        <f t="shared" si="92"/>
        <v>0</v>
      </c>
      <c r="BO140" s="20">
        <f t="shared" si="92"/>
        <v>0</v>
      </c>
      <c r="BP140" s="20">
        <f t="shared" si="92"/>
        <v>0</v>
      </c>
    </row>
    <row r="141" spans="3:68" x14ac:dyDescent="0.25">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row>
    <row r="142" spans="3:68" x14ac:dyDescent="0.25">
      <c r="C142" s="43" t="s">
        <v>700</v>
      </c>
      <c r="D142" s="43"/>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row>
    <row r="143" x14ac:dyDescent="0.25">
      <c r="C143" t="inlineStr">
        <is>
          <t xml:space="preserve">RTB premium proceeds (premium × premium-basis MW Inputs E150 – net MVA or installed wind per Inputs E149 – + promise price adjustment, Tender E213)</t>
        </is>
      </c>
      <c r="D143" t="s">
        <v>844</v>
      </c>
      <c r="E143" s="20"/>
      <c r="F143" s="20"/>
      <c r="G143" s="20">
        <f>Inputs!$E$141*Inputs!$E$150+Tender!$E$213</f>
        <v>30000</v>
      </c>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row>
    <row r="144" spans="3:68" x14ac:dyDescent="0.25">
      <c r="C144" t="s">
        <v>1706</v>
      </c>
      <c r="D144" t="s">
        <v>844</v>
      </c>
      <c r="E144" s="20"/>
      <c r="F144" s="20"/>
      <c r="G144" s="20">
        <f>G99+G20</f>
        <v>41857.17974068864</v>
      </c>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row>
    <row r="145" spans="3:68" x14ac:dyDescent="0.25">
      <c r="C145" s="6" t="s">
        <v>46</v>
      </c>
      <c r="D145" s="6" t="s">
        <v>844</v>
      </c>
      <c r="E145" s="95"/>
      <c r="F145" s="95"/>
      <c r="G145" s="20">
        <f>G143+G144</f>
        <v>71857.17974068865</v>
      </c>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c r="AF145" s="95"/>
      <c r="AG145" s="95"/>
      <c r="AH145" s="95"/>
      <c r="AI145" s="95"/>
      <c r="AJ145" s="95"/>
      <c r="AK145" s="95"/>
      <c r="AL145" s="95"/>
      <c r="AM145" s="95"/>
      <c r="AN145" s="95"/>
      <c r="AO145" s="95"/>
      <c r="AP145" s="95"/>
      <c r="AQ145" s="95"/>
      <c r="AR145" s="95"/>
      <c r="AS145" s="95"/>
      <c r="AT145" s="95"/>
      <c r="AU145" s="95"/>
      <c r="AV145" s="95"/>
      <c r="AW145" s="95"/>
      <c r="AX145" s="95"/>
      <c r="AY145" s="95"/>
      <c r="AZ145" s="95"/>
      <c r="BA145" s="95"/>
      <c r="BB145" s="95"/>
      <c r="BC145" s="95"/>
      <c r="BD145" s="95"/>
      <c r="BE145" s="95"/>
      <c r="BF145" s="95"/>
      <c r="BG145" s="95"/>
      <c r="BH145" s="95"/>
      <c r="BI145" s="95"/>
      <c r="BJ145" s="95"/>
      <c r="BK145" s="95"/>
      <c r="BL145" s="95"/>
      <c r="BM145" s="95"/>
      <c r="BN145" s="95"/>
      <c r="BO145" s="95"/>
      <c r="BP145" s="95"/>
    </row>
    <row r="146" x14ac:dyDescent="0.25">
      <c r="C146" t="inlineStr">
        <is>
          <t xml:space="preserve">Less: sale costs (BORA_Devex V35)</t>
        </is>
      </c>
      <c r="D146" t="s">
        <v>844</v>
      </c>
      <c r="E146" s="20"/>
      <c r="F146" s="20"/>
      <c r="G146" s="20">
        <f>-Inputs!$E$26</f>
        <v>-500</v>
      </c>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row>
    <row r="147" x14ac:dyDescent="0.25">
      <c r="C147" t="inlineStr">
        <is>
          <t xml:space="preserve">Less: recoverable loans – principal + 12 % per line to the RtB sale, interest pause excluded (Deposits Y23) – in full</t>
        </is>
      </c>
      <c r="D147" t="s">
        <v>844</v>
      </c>
      <c r="E147" s="20"/>
      <c r="F147" s="20"/>
      <c r="G147" s="20">
        <f>-((G110+G117)+Deposits!$Y$23)</f>
        <v>-45795.31181871448</v>
      </c>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row>
    <row r="148" x14ac:dyDescent="0.25">
      <c r="C148" t="inlineStr">
        <is>
          <t xml:space="preserve">Less: unrecoverable loans (all principal if Inputs E71 = 1; else only the buyer-reimbursed land, row 20) – in full</t>
        </is>
      </c>
      <c r="D148" t="s">
        <v>844</v>
      </c>
      <c r="E148" s="20"/>
      <c r="F148" s="20"/>
      <c r="G148" s="20">
        <f>-IF(Inputs!$E$71=1,-(G127+G137),G20)</f>
        <v>-425.3797297297297</v>
      </c>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row>
    <row r="149" x14ac:dyDescent="0.25">
      <c r="C149" t="inlineStr">
        <is>
          <t xml:space="preserve">Less: return on at-risk items – devex and land MAX(20 %, 2×) (row 131) + participation fee 12 % (Deposits Y24) – in full</t>
        </is>
      </c>
      <c r="D149" t="s">
        <v>844</v>
      </c>
      <c r="E149" s="20"/>
      <c r="F149" s="20"/>
      <c r="G149" s="20">
        <f>-(G131+Deposits!$Y$24)</f>
        <v>-3094.367226598597</v>
      </c>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row>
    <row r="150" x14ac:dyDescent="0.25">
      <c r="C150" t="inlineStr">
        <is>
          <t xml:space="preserve">Less: interest on bank-guaranteed securities – 6 % per line to the RtB sale, pause excluded, net of refunds (Deposits Y22) – in full</t>
        </is>
      </c>
      <c r="D150" t="s">
        <v>844</v>
      </c>
      <c r="E150" s="20"/>
      <c r="F150" s="20"/>
      <c r="G150" s="20">
        <f>-Deposits!$Y$22</f>
        <v>-3219.9261897510114</v>
      </c>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row>
    <row r="151" x14ac:dyDescent="0.25">
      <c r="C151" t="inlineStr">
        <is>
          <t xml:space="preserve">Less: developer success fee / DSA (BORA_Devex V37) – in full</t>
        </is>
      </c>
      <c r="D151" t="s">
        <v>844</v>
      </c>
      <c r="E151" s="20"/>
      <c r="F151" s="20"/>
      <c r="G151" s="20">
        <f>-G25</f>
        <v>-2238.4375</v>
      </c>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row>
    <row r="152" x14ac:dyDescent="0.25">
      <c r="C152" s="6" t="inlineStr">
        <is>
          <t xml:space="preserve">Distributable proceeds (BORA_Devex V38: no floor – a negative amount is shared)</t>
        </is>
      </c>
      <c r="D152" s="6" t="s">
        <v>844</v>
      </c>
      <c r="E152" s="95"/>
      <c r="F152" s="95"/>
      <c r="G152" s="20">
        <f>SUM(G145:G151)</f>
        <v>16583.75727589483</v>
      </c>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95"/>
      <c r="AV152" s="95"/>
      <c r="AW152" s="95"/>
      <c r="AX152" s="95"/>
      <c r="AY152" s="95"/>
      <c r="AZ152" s="95"/>
      <c r="BA152" s="95"/>
      <c r="BB152" s="95"/>
      <c r="BC152" s="95"/>
      <c r="BD152" s="95"/>
      <c r="BE152" s="95"/>
      <c r="BF152" s="95"/>
      <c r="BG152" s="95"/>
      <c r="BH152" s="95"/>
      <c r="BI152" s="95"/>
      <c r="BJ152" s="95"/>
      <c r="BK152" s="95"/>
      <c r="BL152" s="95"/>
      <c r="BM152" s="95"/>
      <c r="BN152" s="95"/>
      <c r="BO152" s="95"/>
      <c r="BP152" s="95"/>
    </row>
    <row r="153" x14ac:dyDescent="0.25">
      <c r="C153" t="inlineStr">
        <is>
          <t xml:space="preserve">To FEP (distributable − developer share)</t>
        </is>
      </c>
      <c r="D153" t="s">
        <v>844</v>
      </c>
      <c r="E153" s="31">
        <f>Inputs!$E$33</f>
        <v>0.7</v>
      </c>
      <c r="F153" s="20"/>
      <c r="G153" s="20">
        <f>G152-G154</f>
        <v>11608.63009312638</v>
      </c>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row>
    <row r="154" x14ac:dyDescent="0.25">
      <c r="C154" t="inlineStr">
        <is>
          <t xml:space="preserve">To Developer (× Inputs E34; floored at −success fee so that fee + share ≥ 0 – BORA_Devex silent)</t>
        </is>
      </c>
      <c r="D154" t="s">
        <v>844</v>
      </c>
      <c r="E154" s="31">
        <f>Inputs!$E$34</f>
        <v>0.30000000000000004</v>
      </c>
      <c r="F154" s="20"/>
      <c r="G154" s="20">
        <f>MAX(G151,G152*E154)</f>
        <v>4975.1271827684495</v>
      </c>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row>
    <row r="155" x14ac:dyDescent="0.25">
      <c r="C155" t="inlineStr">
        <is>
          <t xml:space="preserve">Check: claims (from their source cells) − deductions G146:G151 = 0 (BORA_Devex: every claim in full)</t>
        </is>
      </c>
      <c r="D155" t="s">
        <v>844</v>
      </c>
      <c r="E155" s="20"/>
      <c r="F155" s="20"/>
      <c r="G155" s="20">
        <f>(Inputs!$E$26+(G110+G117)+Deposits!$Y$23+IF(Inputs!$E$71=1,-(G127+G137),G20)+G131+Deposits!$Y$24+Deposits!$Y$22+G25)+SUM(G146:G151)</f>
        <v>0</v>
      </c>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row>
    <row r="156" x14ac:dyDescent="0.25">
      <c r="C156" t="inlineStr">
        <is>
          <t xml:space="preserve">Memo (info, not a check): loss beyond the developer's success fee borne by FEP (the developer's total floored at 0)</t>
        </is>
      </c>
      <c r="D156" t="inlineStr">
        <is>
          <t xml:space="preserve">k€</t>
        </is>
      </c>
      <c r="E156" s="20"/>
      <c r="F156" s="20"/>
      <c r="G156" s="20">
        <f>G154-G152*E154</f>
        <v>0</v>
      </c>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row>
    <row r="157" spans="3:68" x14ac:dyDescent="0.25">
      <c r="C157" s="43" t="s">
        <v>708</v>
      </c>
      <c r="D157" s="43"/>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c r="BL157" s="96"/>
      <c r="BM157" s="96"/>
      <c r="BN157" s="96"/>
      <c r="BO157" s="96"/>
      <c r="BP157" s="96"/>
    </row>
    <row r="158" spans="3:68" x14ac:dyDescent="0.25">
      <c r="C158" t="s">
        <v>37</v>
      </c>
      <c r="D158" t="s">
        <v>844</v>
      </c>
      <c r="E158" s="20"/>
      <c r="F158" s="20"/>
      <c r="G158" s="20">
        <f t="shared" ref="G158:G164" si="93">SUM(H158:BP158)</f>
        <v>-250</v>
      </c>
      <c r="H158" s="20">
        <f>-N(H$4=0)*Inputs!$E$24</f>
        <v>-250</v>
      </c>
      <c r="I158" s="20">
        <f>-N(I$4=0)*Inputs!$E$24</f>
        <v>-0</v>
      </c>
      <c r="J158" s="20">
        <f>-N(J$4=0)*Inputs!$E$24</f>
        <v>-0</v>
      </c>
      <c r="K158" s="20">
        <f>-N(K$4=0)*Inputs!$E$24</f>
        <v>-0</v>
      </c>
      <c r="L158" s="20">
        <f>-N(L$4=0)*Inputs!$E$24</f>
        <v>-0</v>
      </c>
      <c r="M158" s="20">
        <f>-N(M$4=0)*Inputs!$E$24</f>
        <v>-0</v>
      </c>
      <c r="N158" s="20">
        <f>-N(N$4=0)*Inputs!$E$24</f>
        <v>-0</v>
      </c>
      <c r="O158" s="20">
        <f>-N(O$4=0)*Inputs!$E$24</f>
        <v>-0</v>
      </c>
      <c r="P158" s="20">
        <f>-N(P$4=0)*Inputs!$E$24</f>
        <v>-0</v>
      </c>
      <c r="Q158" s="20">
        <f>-N(Q$4=0)*Inputs!$E$24</f>
        <v>-0</v>
      </c>
      <c r="R158" s="20">
        <f>-N(R$4=0)*Inputs!$E$24</f>
        <v>-0</v>
      </c>
      <c r="S158" s="20">
        <f>-N(S$4=0)*Inputs!$E$24</f>
        <v>-0</v>
      </c>
      <c r="T158" s="20">
        <f>-N(T$4=0)*Inputs!$E$24</f>
        <v>-0</v>
      </c>
      <c r="U158" s="20">
        <f>-N(U$4=0)*Inputs!$E$24</f>
        <v>-0</v>
      </c>
      <c r="V158" s="20">
        <f>-N(V$4=0)*Inputs!$E$24</f>
        <v>-0</v>
      </c>
      <c r="W158" s="20">
        <f>-N(W$4=0)*Inputs!$E$24</f>
        <v>-0</v>
      </c>
      <c r="X158" s="20">
        <f>-N(X$4=0)*Inputs!$E$24</f>
        <v>-0</v>
      </c>
      <c r="Y158" s="20">
        <f>-N(Y$4=0)*Inputs!$E$24</f>
        <v>-0</v>
      </c>
      <c r="Z158" s="20">
        <f>-N(Z$4=0)*Inputs!$E$24</f>
        <v>-0</v>
      </c>
      <c r="AA158" s="20">
        <f>-N(AA$4=0)*Inputs!$E$24</f>
        <v>-0</v>
      </c>
      <c r="AB158" s="20">
        <f>-N(AB$4=0)*Inputs!$E$24</f>
        <v>-0</v>
      </c>
      <c r="AC158" s="20">
        <f>-N(AC$4=0)*Inputs!$E$24</f>
        <v>-0</v>
      </c>
      <c r="AD158" s="20">
        <f>-N(AD$4=0)*Inputs!$E$24</f>
        <v>-0</v>
      </c>
      <c r="AE158" s="20">
        <f>-N(AE$4=0)*Inputs!$E$24</f>
        <v>-0</v>
      </c>
      <c r="AF158" s="20">
        <f>-N(AF$4=0)*Inputs!$E$24</f>
        <v>-0</v>
      </c>
      <c r="AG158" s="20">
        <f>-N(AG$4=0)*Inputs!$E$24</f>
        <v>-0</v>
      </c>
      <c r="AH158" s="20">
        <f>-N(AH$4=0)*Inputs!$E$24</f>
        <v>-0</v>
      </c>
      <c r="AI158" s="20">
        <f>-N(AI$4=0)*Inputs!$E$24</f>
        <v>-0</v>
      </c>
      <c r="AJ158" s="20">
        <f>-N(AJ$4=0)*Inputs!$E$24</f>
        <v>-0</v>
      </c>
      <c r="AK158" s="20">
        <f>-N(AK$4=0)*Inputs!$E$24</f>
        <v>-0</v>
      </c>
      <c r="AL158" s="20">
        <f>-N(AL$4=0)*Inputs!$E$24</f>
        <v>-0</v>
      </c>
      <c r="AM158" s="20">
        <f>-N(AM$4=0)*Inputs!$E$24</f>
        <v>-0</v>
      </c>
      <c r="AN158" s="20">
        <f>-N(AN$4=0)*Inputs!$E$24</f>
        <v>-0</v>
      </c>
      <c r="AO158" s="20">
        <f>-N(AO$4=0)*Inputs!$E$24</f>
        <v>-0</v>
      </c>
      <c r="AP158" s="20">
        <f>-N(AP$4=0)*Inputs!$E$24</f>
        <v>-0</v>
      </c>
      <c r="AQ158" s="20">
        <f>-N(AQ$4=0)*Inputs!$E$24</f>
        <v>-0</v>
      </c>
      <c r="AR158" s="20">
        <f>-N(AR$4=0)*Inputs!$E$24</f>
        <v>-0</v>
      </c>
      <c r="AS158" s="20">
        <f>-N(AS$4=0)*Inputs!$E$24</f>
        <v>-0</v>
      </c>
      <c r="AT158" s="20">
        <f>-N(AT$4=0)*Inputs!$E$24</f>
        <v>-0</v>
      </c>
      <c r="AU158" s="20">
        <f>-N(AU$4=0)*Inputs!$E$24</f>
        <v>-0</v>
      </c>
      <c r="AV158" s="20">
        <f>-N(AV$4=0)*Inputs!$E$24</f>
        <v>-0</v>
      </c>
      <c r="AW158" s="20">
        <f>-N(AW$4=0)*Inputs!$E$24</f>
        <v>-0</v>
      </c>
      <c r="AX158" s="20">
        <f>-N(AX$4=0)*Inputs!$E$24</f>
        <v>-0</v>
      </c>
      <c r="AY158" s="20">
        <f>-N(AY$4=0)*Inputs!$E$24</f>
        <v>-0</v>
      </c>
      <c r="AZ158" s="20">
        <f>-N(AZ$4=0)*Inputs!$E$24</f>
        <v>-0</v>
      </c>
      <c r="BA158" s="20">
        <f>-N(BA$4=0)*Inputs!$E$24</f>
        <v>-0</v>
      </c>
      <c r="BB158" s="20">
        <f>-N(BB$4=0)*Inputs!$E$24</f>
        <v>-0</v>
      </c>
      <c r="BC158" s="20">
        <f>-N(BC$4=0)*Inputs!$E$24</f>
        <v>-0</v>
      </c>
      <c r="BD158" s="20">
        <f>-N(BD$4=0)*Inputs!$E$24</f>
        <v>-0</v>
      </c>
      <c r="BE158" s="20">
        <f>-N(BE$4=0)*Inputs!$E$24</f>
        <v>-0</v>
      </c>
      <c r="BF158" s="20">
        <f>-N(BF$4=0)*Inputs!$E$24</f>
        <v>-0</v>
      </c>
      <c r="BG158" s="20">
        <f>-N(BG$4=0)*Inputs!$E$24</f>
        <v>-0</v>
      </c>
      <c r="BH158" s="20">
        <f>-N(BH$4=0)*Inputs!$E$24</f>
        <v>-0</v>
      </c>
      <c r="BI158" s="20">
        <f>-N(BI$4=0)*Inputs!$E$24</f>
        <v>-0</v>
      </c>
      <c r="BJ158" s="20">
        <f>-N(BJ$4=0)*Inputs!$E$24</f>
        <v>-0</v>
      </c>
      <c r="BK158" s="20">
        <f>-N(BK$4=0)*Inputs!$E$24</f>
        <v>-0</v>
      </c>
      <c r="BL158" s="20">
        <f>-N(BL$4=0)*Inputs!$E$24</f>
        <v>-0</v>
      </c>
      <c r="BM158" s="20">
        <f>-N(BM$4=0)*Inputs!$E$24</f>
        <v>-0</v>
      </c>
      <c r="BN158" s="20">
        <f>-N(BN$4=0)*Inputs!$E$24</f>
        <v>-0</v>
      </c>
      <c r="BO158" s="20">
        <f>-N(BO$4=0)*Inputs!$E$24</f>
        <v>-0</v>
      </c>
      <c r="BP158" s="20">
        <f>-N(BP$4=0)*Inputs!$E$24</f>
        <v>-0</v>
      </c>
    </row>
    <row r="159" spans="3:68" x14ac:dyDescent="0.25">
      <c r="C159" t="s">
        <v>709</v>
      </c>
      <c r="D159" t="s">
        <v>844</v>
      </c>
      <c r="E159" s="20"/>
      <c r="F159" s="20"/>
      <c r="G159" s="20">
        <f t="shared" si="93"/>
        <v>-150</v>
      </c>
      <c r="H159" s="20">
        <f>-N(H$4=0)*Inputs!$E$25</f>
        <v>-150</v>
      </c>
      <c r="I159" s="20">
        <f>-N(I$4=0)*Inputs!$E$25</f>
        <v>-0</v>
      </c>
      <c r="J159" s="20">
        <f>-N(J$4=0)*Inputs!$E$25</f>
        <v>-0</v>
      </c>
      <c r="K159" s="20">
        <f>-N(K$4=0)*Inputs!$E$25</f>
        <v>-0</v>
      </c>
      <c r="L159" s="20">
        <f>-N(L$4=0)*Inputs!$E$25</f>
        <v>-0</v>
      </c>
      <c r="M159" s="20">
        <f>-N(M$4=0)*Inputs!$E$25</f>
        <v>-0</v>
      </c>
      <c r="N159" s="20">
        <f>-N(N$4=0)*Inputs!$E$25</f>
        <v>-0</v>
      </c>
      <c r="O159" s="20">
        <f>-N(O$4=0)*Inputs!$E$25</f>
        <v>-0</v>
      </c>
      <c r="P159" s="20">
        <f>-N(P$4=0)*Inputs!$E$25</f>
        <v>-0</v>
      </c>
      <c r="Q159" s="20">
        <f>-N(Q$4=0)*Inputs!$E$25</f>
        <v>-0</v>
      </c>
      <c r="R159" s="20">
        <f>-N(R$4=0)*Inputs!$E$25</f>
        <v>-0</v>
      </c>
      <c r="S159" s="20">
        <f>-N(S$4=0)*Inputs!$E$25</f>
        <v>-0</v>
      </c>
      <c r="T159" s="20">
        <f>-N(T$4=0)*Inputs!$E$25</f>
        <v>-0</v>
      </c>
      <c r="U159" s="20">
        <f>-N(U$4=0)*Inputs!$E$25</f>
        <v>-0</v>
      </c>
      <c r="V159" s="20">
        <f>-N(V$4=0)*Inputs!$E$25</f>
        <v>-0</v>
      </c>
      <c r="W159" s="20">
        <f>-N(W$4=0)*Inputs!$E$25</f>
        <v>-0</v>
      </c>
      <c r="X159" s="20">
        <f>-N(X$4=0)*Inputs!$E$25</f>
        <v>-0</v>
      </c>
      <c r="Y159" s="20">
        <f>-N(Y$4=0)*Inputs!$E$25</f>
        <v>-0</v>
      </c>
      <c r="Z159" s="20">
        <f>-N(Z$4=0)*Inputs!$E$25</f>
        <v>-0</v>
      </c>
      <c r="AA159" s="20">
        <f>-N(AA$4=0)*Inputs!$E$25</f>
        <v>-0</v>
      </c>
      <c r="AB159" s="20">
        <f>-N(AB$4=0)*Inputs!$E$25</f>
        <v>-0</v>
      </c>
      <c r="AC159" s="20">
        <f>-N(AC$4=0)*Inputs!$E$25</f>
        <v>-0</v>
      </c>
      <c r="AD159" s="20">
        <f>-N(AD$4=0)*Inputs!$E$25</f>
        <v>-0</v>
      </c>
      <c r="AE159" s="20">
        <f>-N(AE$4=0)*Inputs!$E$25</f>
        <v>-0</v>
      </c>
      <c r="AF159" s="20">
        <f>-N(AF$4=0)*Inputs!$E$25</f>
        <v>-0</v>
      </c>
      <c r="AG159" s="20">
        <f>-N(AG$4=0)*Inputs!$E$25</f>
        <v>-0</v>
      </c>
      <c r="AH159" s="20">
        <f>-N(AH$4=0)*Inputs!$E$25</f>
        <v>-0</v>
      </c>
      <c r="AI159" s="20">
        <f>-N(AI$4=0)*Inputs!$E$25</f>
        <v>-0</v>
      </c>
      <c r="AJ159" s="20">
        <f>-N(AJ$4=0)*Inputs!$E$25</f>
        <v>-0</v>
      </c>
      <c r="AK159" s="20">
        <f>-N(AK$4=0)*Inputs!$E$25</f>
        <v>-0</v>
      </c>
      <c r="AL159" s="20">
        <f>-N(AL$4=0)*Inputs!$E$25</f>
        <v>-0</v>
      </c>
      <c r="AM159" s="20">
        <f>-N(AM$4=0)*Inputs!$E$25</f>
        <v>-0</v>
      </c>
      <c r="AN159" s="20">
        <f>-N(AN$4=0)*Inputs!$E$25</f>
        <v>-0</v>
      </c>
      <c r="AO159" s="20">
        <f>-N(AO$4=0)*Inputs!$E$25</f>
        <v>-0</v>
      </c>
      <c r="AP159" s="20">
        <f>-N(AP$4=0)*Inputs!$E$25</f>
        <v>-0</v>
      </c>
      <c r="AQ159" s="20">
        <f>-N(AQ$4=0)*Inputs!$E$25</f>
        <v>-0</v>
      </c>
      <c r="AR159" s="20">
        <f>-N(AR$4=0)*Inputs!$E$25</f>
        <v>-0</v>
      </c>
      <c r="AS159" s="20">
        <f>-N(AS$4=0)*Inputs!$E$25</f>
        <v>-0</v>
      </c>
      <c r="AT159" s="20">
        <f>-N(AT$4=0)*Inputs!$E$25</f>
        <v>-0</v>
      </c>
      <c r="AU159" s="20">
        <f>-N(AU$4=0)*Inputs!$E$25</f>
        <v>-0</v>
      </c>
      <c r="AV159" s="20">
        <f>-N(AV$4=0)*Inputs!$E$25</f>
        <v>-0</v>
      </c>
      <c r="AW159" s="20">
        <f>-N(AW$4=0)*Inputs!$E$25</f>
        <v>-0</v>
      </c>
      <c r="AX159" s="20">
        <f>-N(AX$4=0)*Inputs!$E$25</f>
        <v>-0</v>
      </c>
      <c r="AY159" s="20">
        <f>-N(AY$4=0)*Inputs!$E$25</f>
        <v>-0</v>
      </c>
      <c r="AZ159" s="20">
        <f>-N(AZ$4=0)*Inputs!$E$25</f>
        <v>-0</v>
      </c>
      <c r="BA159" s="20">
        <f>-N(BA$4=0)*Inputs!$E$25</f>
        <v>-0</v>
      </c>
      <c r="BB159" s="20">
        <f>-N(BB$4=0)*Inputs!$E$25</f>
        <v>-0</v>
      </c>
      <c r="BC159" s="20">
        <f>-N(BC$4=0)*Inputs!$E$25</f>
        <v>-0</v>
      </c>
      <c r="BD159" s="20">
        <f>-N(BD$4=0)*Inputs!$E$25</f>
        <v>-0</v>
      </c>
      <c r="BE159" s="20">
        <f>-N(BE$4=0)*Inputs!$E$25</f>
        <v>-0</v>
      </c>
      <c r="BF159" s="20">
        <f>-N(BF$4=0)*Inputs!$E$25</f>
        <v>-0</v>
      </c>
      <c r="BG159" s="20">
        <f>-N(BG$4=0)*Inputs!$E$25</f>
        <v>-0</v>
      </c>
      <c r="BH159" s="20">
        <f>-N(BH$4=0)*Inputs!$E$25</f>
        <v>-0</v>
      </c>
      <c r="BI159" s="20">
        <f>-N(BI$4=0)*Inputs!$E$25</f>
        <v>-0</v>
      </c>
      <c r="BJ159" s="20">
        <f>-N(BJ$4=0)*Inputs!$E$25</f>
        <v>-0</v>
      </c>
      <c r="BK159" s="20">
        <f>-N(BK$4=0)*Inputs!$E$25</f>
        <v>-0</v>
      </c>
      <c r="BL159" s="20">
        <f>-N(BL$4=0)*Inputs!$E$25</f>
        <v>-0</v>
      </c>
      <c r="BM159" s="20">
        <f>-N(BM$4=0)*Inputs!$E$25</f>
        <v>-0</v>
      </c>
      <c r="BN159" s="20">
        <f>-N(BN$4=0)*Inputs!$E$25</f>
        <v>-0</v>
      </c>
      <c r="BO159" s="20">
        <f>-N(BO$4=0)*Inputs!$E$25</f>
        <v>-0</v>
      </c>
      <c r="BP159" s="20">
        <f>-N(BP$4=0)*Inputs!$E$25</f>
        <v>-0</v>
      </c>
    </row>
    <row r="160" spans="3:68" x14ac:dyDescent="0.25">
      <c r="C160" t="s">
        <v>710</v>
      </c>
      <c r="D160" t="s">
        <v>844</v>
      </c>
      <c r="E160" s="20"/>
      <c r="F160" s="20"/>
      <c r="G160" s="20">
        <f t="shared" si="93"/>
        <v>-41431.800010958905</v>
      </c>
      <c r="H160" s="20">
        <f>-H110</f>
        <v>-0</v>
      </c>
      <c r="I160" s="20">
        <f t="shared" ref="I160:AM160" si="94">-I110</f>
        <v>-0</v>
      </c>
      <c r="J160" s="20">
        <f t="shared" si="94"/>
        <v>-0</v>
      </c>
      <c r="K160" s="20">
        <f t="shared" si="94"/>
        <v>-0</v>
      </c>
      <c r="L160" s="20">
        <f t="shared" si="94"/>
        <v>-0</v>
      </c>
      <c r="M160" s="20">
        <f t="shared" si="94"/>
        <v>-2465.753424657534</v>
      </c>
      <c r="N160" s="20">
        <f t="shared" si="94"/>
        <v>-0</v>
      </c>
      <c r="O160" s="20">
        <f t="shared" si="94"/>
        <v>-0</v>
      </c>
      <c r="P160" s="20">
        <f t="shared" si="94"/>
        <v>-0</v>
      </c>
      <c r="Q160" s="20">
        <f t="shared" si="94"/>
        <v>-0</v>
      </c>
      <c r="R160" s="20">
        <f t="shared" si="94"/>
        <v>-0</v>
      </c>
      <c r="S160" s="20">
        <f t="shared" si="94"/>
        <v>-0</v>
      </c>
      <c r="T160" s="20">
        <f t="shared" si="94"/>
        <v>-0</v>
      </c>
      <c r="U160" s="20">
        <f t="shared" si="94"/>
        <v>-0</v>
      </c>
      <c r="V160" s="20">
        <f t="shared" si="94"/>
        <v>-0</v>
      </c>
      <c r="W160" s="20">
        <f t="shared" si="94"/>
        <v>-0</v>
      </c>
      <c r="X160" s="20">
        <f t="shared" si="94"/>
        <v>-0</v>
      </c>
      <c r="Y160" s="20">
        <f t="shared" si="94"/>
        <v>-0</v>
      </c>
      <c r="Z160" s="20">
        <f t="shared" si="94"/>
        <v>-0</v>
      </c>
      <c r="AA160" s="20">
        <f t="shared" si="94"/>
        <v>-0</v>
      </c>
      <c r="AB160" s="20">
        <f t="shared" si="94"/>
        <v>-0</v>
      </c>
      <c r="AC160" s="20">
        <f t="shared" si="94"/>
        <v>-0</v>
      </c>
      <c r="AD160" s="20">
        <f t="shared" si="94"/>
        <v>-0</v>
      </c>
      <c r="AE160" s="20">
        <f t="shared" si="94"/>
        <v>-0</v>
      </c>
      <c r="AF160" s="20">
        <f t="shared" si="94"/>
        <v>-0</v>
      </c>
      <c r="AG160" s="20">
        <f t="shared" si="94"/>
        <v>-0</v>
      </c>
      <c r="AH160" s="20">
        <f t="shared" si="94"/>
        <v>-0</v>
      </c>
      <c r="AI160" s="20">
        <f t="shared" si="94"/>
        <v>-0</v>
      </c>
      <c r="AJ160" s="20">
        <f t="shared" si="94"/>
        <v>-0</v>
      </c>
      <c r="AK160" s="20">
        <f t="shared" si="94"/>
        <v>-0</v>
      </c>
      <c r="AL160" s="20">
        <f t="shared" si="94"/>
        <v>-38966.046586301374</v>
      </c>
      <c r="AM160" s="20">
        <f t="shared" si="94"/>
        <v>-0</v>
      </c>
      <c r="AN160" s="20">
        <f t="shared" ref="AN160:BP160" si="95">-AN110</f>
        <v>-0</v>
      </c>
      <c r="AO160" s="20">
        <f t="shared" si="95"/>
        <v>-0</v>
      </c>
      <c r="AP160" s="20">
        <f t="shared" si="95"/>
        <v>-0</v>
      </c>
      <c r="AQ160" s="20">
        <f t="shared" si="95"/>
        <v>-0</v>
      </c>
      <c r="AR160" s="20">
        <f t="shared" si="95"/>
        <v>-0</v>
      </c>
      <c r="AS160" s="20">
        <f t="shared" si="95"/>
        <v>-0</v>
      </c>
      <c r="AT160" s="20">
        <f t="shared" si="95"/>
        <v>-0</v>
      </c>
      <c r="AU160" s="20">
        <f t="shared" si="95"/>
        <v>-0</v>
      </c>
      <c r="AV160" s="20">
        <f t="shared" si="95"/>
        <v>-0</v>
      </c>
      <c r="AW160" s="20">
        <f t="shared" si="95"/>
        <v>-0</v>
      </c>
      <c r="AX160" s="20">
        <f t="shared" si="95"/>
        <v>-0</v>
      </c>
      <c r="AY160" s="20">
        <f t="shared" si="95"/>
        <v>-0</v>
      </c>
      <c r="AZ160" s="20">
        <f t="shared" si="95"/>
        <v>-0</v>
      </c>
      <c r="BA160" s="20">
        <f t="shared" si="95"/>
        <v>-0</v>
      </c>
      <c r="BB160" s="20">
        <f t="shared" si="95"/>
        <v>-0</v>
      </c>
      <c r="BC160" s="20">
        <f t="shared" si="95"/>
        <v>-0</v>
      </c>
      <c r="BD160" s="20">
        <f t="shared" si="95"/>
        <v>-0</v>
      </c>
      <c r="BE160" s="20">
        <f t="shared" si="95"/>
        <v>-0</v>
      </c>
      <c r="BF160" s="20">
        <f t="shared" si="95"/>
        <v>-0</v>
      </c>
      <c r="BG160" s="20">
        <f t="shared" si="95"/>
        <v>-0</v>
      </c>
      <c r="BH160" s="20">
        <f t="shared" si="95"/>
        <v>-0</v>
      </c>
      <c r="BI160" s="20">
        <f t="shared" si="95"/>
        <v>-0</v>
      </c>
      <c r="BJ160" s="20">
        <f t="shared" si="95"/>
        <v>-0</v>
      </c>
      <c r="BK160" s="20">
        <f t="shared" si="95"/>
        <v>-0</v>
      </c>
      <c r="BL160" s="20">
        <f t="shared" si="95"/>
        <v>-0</v>
      </c>
      <c r="BM160" s="20">
        <f t="shared" si="95"/>
        <v>-0</v>
      </c>
      <c r="BN160" s="20">
        <f t="shared" si="95"/>
        <v>-0</v>
      </c>
      <c r="BO160" s="20">
        <f t="shared" si="95"/>
        <v>-0</v>
      </c>
      <c r="BP160" s="20">
        <f t="shared" si="95"/>
        <v>-0</v>
      </c>
    </row>
    <row r="161" spans="3:68" x14ac:dyDescent="0.25">
      <c r="C161" t="s">
        <v>711</v>
      </c>
      <c r="D161" t="s">
        <v>844</v>
      </c>
      <c r="E161" s="20"/>
      <c r="F161" s="20"/>
      <c r="G161" s="20">
        <f t="shared" si="93"/>
        <v>-16.438356164383563</v>
      </c>
      <c r="H161" s="20">
        <f t="shared" ref="H161:AM161" si="96">-H124</f>
        <v>-0</v>
      </c>
      <c r="I161" s="20">
        <f t="shared" si="96"/>
        <v>-0</v>
      </c>
      <c r="J161" s="20">
        <f t="shared" si="96"/>
        <v>-0</v>
      </c>
      <c r="K161" s="20">
        <f t="shared" si="96"/>
        <v>-16.438356164383563</v>
      </c>
      <c r="L161" s="20">
        <f t="shared" si="96"/>
        <v>-0</v>
      </c>
      <c r="M161" s="20">
        <f t="shared" si="96"/>
        <v>-0</v>
      </c>
      <c r="N161" s="20">
        <f t="shared" si="96"/>
        <v>-0</v>
      </c>
      <c r="O161" s="20">
        <f t="shared" si="96"/>
        <v>-0</v>
      </c>
      <c r="P161" s="20">
        <f t="shared" si="96"/>
        <v>-0</v>
      </c>
      <c r="Q161" s="20">
        <f t="shared" si="96"/>
        <v>-0</v>
      </c>
      <c r="R161" s="20">
        <f t="shared" si="96"/>
        <v>-0</v>
      </c>
      <c r="S161" s="20">
        <f t="shared" si="96"/>
        <v>-0</v>
      </c>
      <c r="T161" s="20">
        <f t="shared" si="96"/>
        <v>-0</v>
      </c>
      <c r="U161" s="20">
        <f t="shared" si="96"/>
        <v>-0</v>
      </c>
      <c r="V161" s="20">
        <f t="shared" si="96"/>
        <v>-0</v>
      </c>
      <c r="W161" s="20">
        <f t="shared" si="96"/>
        <v>-0</v>
      </c>
      <c r="X161" s="20">
        <f t="shared" si="96"/>
        <v>-0</v>
      </c>
      <c r="Y161" s="20">
        <f t="shared" si="96"/>
        <v>-0</v>
      </c>
      <c r="Z161" s="20">
        <f t="shared" si="96"/>
        <v>-0</v>
      </c>
      <c r="AA161" s="20">
        <f t="shared" si="96"/>
        <v>-0</v>
      </c>
      <c r="AB161" s="20">
        <f t="shared" si="96"/>
        <v>-0</v>
      </c>
      <c r="AC161" s="20">
        <f t="shared" si="96"/>
        <v>-0</v>
      </c>
      <c r="AD161" s="20">
        <f t="shared" si="96"/>
        <v>-0</v>
      </c>
      <c r="AE161" s="20">
        <f t="shared" si="96"/>
        <v>-0</v>
      </c>
      <c r="AF161" s="20">
        <f t="shared" si="96"/>
        <v>-0</v>
      </c>
      <c r="AG161" s="20">
        <f t="shared" si="96"/>
        <v>-0</v>
      </c>
      <c r="AH161" s="20">
        <f t="shared" si="96"/>
        <v>-0</v>
      </c>
      <c r="AI161" s="20">
        <f t="shared" si="96"/>
        <v>-0</v>
      </c>
      <c r="AJ161" s="20">
        <f t="shared" si="96"/>
        <v>-0</v>
      </c>
      <c r="AK161" s="20">
        <f t="shared" si="96"/>
        <v>-0</v>
      </c>
      <c r="AL161" s="20">
        <f t="shared" si="96"/>
        <v>-0</v>
      </c>
      <c r="AM161" s="20">
        <f t="shared" si="96"/>
        <v>-0</v>
      </c>
      <c r="AN161" s="20">
        <f t="shared" ref="AN161:BP161" si="97">-AN124</f>
        <v>-0</v>
      </c>
      <c r="AO161" s="20">
        <f t="shared" si="97"/>
        <v>-0</v>
      </c>
      <c r="AP161" s="20">
        <f t="shared" si="97"/>
        <v>-0</v>
      </c>
      <c r="AQ161" s="20">
        <f t="shared" si="97"/>
        <v>-0</v>
      </c>
      <c r="AR161" s="20">
        <f t="shared" si="97"/>
        <v>-0</v>
      </c>
      <c r="AS161" s="20">
        <f t="shared" si="97"/>
        <v>-0</v>
      </c>
      <c r="AT161" s="20">
        <f t="shared" si="97"/>
        <v>-0</v>
      </c>
      <c r="AU161" s="20">
        <f t="shared" si="97"/>
        <v>-0</v>
      </c>
      <c r="AV161" s="20">
        <f t="shared" si="97"/>
        <v>-0</v>
      </c>
      <c r="AW161" s="20">
        <f t="shared" si="97"/>
        <v>-0</v>
      </c>
      <c r="AX161" s="20">
        <f t="shared" si="97"/>
        <v>-0</v>
      </c>
      <c r="AY161" s="20">
        <f t="shared" si="97"/>
        <v>-0</v>
      </c>
      <c r="AZ161" s="20">
        <f t="shared" si="97"/>
        <v>-0</v>
      </c>
      <c r="BA161" s="20">
        <f t="shared" si="97"/>
        <v>-0</v>
      </c>
      <c r="BB161" s="20">
        <f t="shared" si="97"/>
        <v>-0</v>
      </c>
      <c r="BC161" s="20">
        <f t="shared" si="97"/>
        <v>-0</v>
      </c>
      <c r="BD161" s="20">
        <f t="shared" si="97"/>
        <v>-0</v>
      </c>
      <c r="BE161" s="20">
        <f t="shared" si="97"/>
        <v>-0</v>
      </c>
      <c r="BF161" s="20">
        <f t="shared" si="97"/>
        <v>-0</v>
      </c>
      <c r="BG161" s="20">
        <f t="shared" si="97"/>
        <v>-0</v>
      </c>
      <c r="BH161" s="20">
        <f t="shared" si="97"/>
        <v>-0</v>
      </c>
      <c r="BI161" s="20">
        <f t="shared" si="97"/>
        <v>-0</v>
      </c>
      <c r="BJ161" s="20">
        <f t="shared" si="97"/>
        <v>-0</v>
      </c>
      <c r="BK161" s="20">
        <f t="shared" si="97"/>
        <v>-0</v>
      </c>
      <c r="BL161" s="20">
        <f t="shared" si="97"/>
        <v>-0</v>
      </c>
      <c r="BM161" s="20">
        <f t="shared" si="97"/>
        <v>-0</v>
      </c>
      <c r="BN161" s="20">
        <f t="shared" si="97"/>
        <v>-0</v>
      </c>
      <c r="BO161" s="20">
        <f t="shared" si="97"/>
        <v>-0</v>
      </c>
      <c r="BP161" s="20">
        <f t="shared" si="97"/>
        <v>-0</v>
      </c>
    </row>
    <row r="162" spans="3:68" x14ac:dyDescent="0.25">
      <c r="C162" t="s">
        <v>712</v>
      </c>
      <c r="D162" t="s">
        <v>844</v>
      </c>
      <c r="E162" s="20"/>
      <c r="F162" s="20"/>
      <c r="G162" s="20">
        <f t="shared" si="93"/>
        <v>-3087.845921749919</v>
      </c>
      <c r="H162" s="20">
        <f t="shared" ref="H162:AM162" si="98">-H125</f>
        <v>-0</v>
      </c>
      <c r="I162" s="20">
        <f t="shared" si="98"/>
        <v>-0</v>
      </c>
      <c r="J162" s="20">
        <f t="shared" si="98"/>
        <v>-0</v>
      </c>
      <c r="K162" s="20">
        <f t="shared" si="98"/>
        <v>-177.24324324324326</v>
      </c>
      <c r="L162" s="20">
        <f t="shared" si="98"/>
        <v>-0</v>
      </c>
      <c r="M162" s="20">
        <f t="shared" si="98"/>
        <v>-0</v>
      </c>
      <c r="N162" s="20">
        <f t="shared" si="98"/>
        <v>-9.72972972972973</v>
      </c>
      <c r="O162" s="20">
        <f t="shared" si="98"/>
        <v>-178.89324324324323</v>
      </c>
      <c r="P162" s="20">
        <f t="shared" si="98"/>
        <v>-398</v>
      </c>
      <c r="Q162" s="20">
        <f t="shared" si="98"/>
        <v>-0</v>
      </c>
      <c r="R162" s="20">
        <f t="shared" si="98"/>
        <v>-0</v>
      </c>
      <c r="S162" s="20">
        <f t="shared" si="98"/>
        <v>-43.24324324324324</v>
      </c>
      <c r="T162" s="20">
        <f t="shared" si="98"/>
        <v>-43.24324324324324</v>
      </c>
      <c r="U162" s="20">
        <f t="shared" si="98"/>
        <v>-0</v>
      </c>
      <c r="V162" s="20">
        <f t="shared" si="98"/>
        <v>-0</v>
      </c>
      <c r="W162" s="20">
        <f t="shared" si="98"/>
        <v>-0</v>
      </c>
      <c r="X162" s="20">
        <f t="shared" si="98"/>
        <v>-40.54054054054054</v>
      </c>
      <c r="Y162" s="20">
        <f t="shared" si="98"/>
        <v>-142.6810810810811</v>
      </c>
      <c r="Z162" s="20">
        <f t="shared" si="98"/>
        <v>-954.7439327082184</v>
      </c>
      <c r="AA162" s="20">
        <f t="shared" si="98"/>
        <v>-229.72972972972974</v>
      </c>
      <c r="AB162" s="20">
        <f t="shared" si="98"/>
        <v>-88.13513513513513</v>
      </c>
      <c r="AC162" s="20">
        <f t="shared" si="98"/>
        <v>-0.10810810810810811</v>
      </c>
      <c r="AD162" s="20">
        <f t="shared" si="98"/>
        <v>-0</v>
      </c>
      <c r="AE162" s="20">
        <f t="shared" si="98"/>
        <v>-4.5</v>
      </c>
      <c r="AF162" s="20">
        <f t="shared" si="98"/>
        <v>-0</v>
      </c>
      <c r="AG162" s="20">
        <f t="shared" si="98"/>
        <v>-161.8740571428571</v>
      </c>
      <c r="AH162" s="20">
        <f t="shared" si="98"/>
        <v>-0</v>
      </c>
      <c r="AI162" s="20">
        <f t="shared" si="98"/>
        <v>-0</v>
      </c>
      <c r="AJ162" s="20">
        <f t="shared" si="98"/>
        <v>-32.432432432432435</v>
      </c>
      <c r="AK162" s="20">
        <f t="shared" si="98"/>
        <v>-282.20766162857296</v>
      </c>
      <c r="AL162" s="20">
        <f t="shared" si="98"/>
        <v>-54.054054054054056</v>
      </c>
      <c r="AM162" s="20">
        <f t="shared" si="98"/>
        <v>-0</v>
      </c>
      <c r="AN162" s="20">
        <f t="shared" ref="AN162:BP162" si="99">-AN125</f>
        <v>-246.48648648648648</v>
      </c>
      <c r="AO162" s="20">
        <f t="shared" si="99"/>
        <v>-0</v>
      </c>
      <c r="AP162" s="20">
        <f t="shared" si="99"/>
        <v>-0</v>
      </c>
      <c r="AQ162" s="20">
        <f t="shared" si="99"/>
        <v>-0</v>
      </c>
      <c r="AR162" s="20">
        <f t="shared" si="99"/>
        <v>-0</v>
      </c>
      <c r="AS162" s="20">
        <f t="shared" si="99"/>
        <v>-0</v>
      </c>
      <c r="AT162" s="20">
        <f t="shared" si="99"/>
        <v>-0</v>
      </c>
      <c r="AU162" s="20">
        <f t="shared" si="99"/>
        <v>-0</v>
      </c>
      <c r="AV162" s="20">
        <f t="shared" si="99"/>
        <v>-0</v>
      </c>
      <c r="AW162" s="20">
        <f t="shared" si="99"/>
        <v>-0</v>
      </c>
      <c r="AX162" s="20">
        <f t="shared" si="99"/>
        <v>-0</v>
      </c>
      <c r="AY162" s="20">
        <f t="shared" si="99"/>
        <v>-0</v>
      </c>
      <c r="AZ162" s="20">
        <f t="shared" si="99"/>
        <v>-0</v>
      </c>
      <c r="BA162" s="20">
        <f t="shared" si="99"/>
        <v>-0</v>
      </c>
      <c r="BB162" s="20">
        <f t="shared" si="99"/>
        <v>-0</v>
      </c>
      <c r="BC162" s="20">
        <f t="shared" si="99"/>
        <v>-0</v>
      </c>
      <c r="BD162" s="20">
        <f t="shared" si="99"/>
        <v>-0</v>
      </c>
      <c r="BE162" s="20">
        <f t="shared" si="99"/>
        <v>-0</v>
      </c>
      <c r="BF162" s="20">
        <f t="shared" si="99"/>
        <v>-0</v>
      </c>
      <c r="BG162" s="20">
        <f t="shared" si="99"/>
        <v>-0</v>
      </c>
      <c r="BH162" s="20">
        <f t="shared" si="99"/>
        <v>-0</v>
      </c>
      <c r="BI162" s="20">
        <f t="shared" si="99"/>
        <v>-0</v>
      </c>
      <c r="BJ162" s="20">
        <f t="shared" si="99"/>
        <v>-0</v>
      </c>
      <c r="BK162" s="20">
        <f t="shared" si="99"/>
        <v>-0</v>
      </c>
      <c r="BL162" s="20">
        <f t="shared" si="99"/>
        <v>-0</v>
      </c>
      <c r="BM162" s="20">
        <f t="shared" si="99"/>
        <v>-0</v>
      </c>
      <c r="BN162" s="20">
        <f t="shared" si="99"/>
        <v>-0</v>
      </c>
      <c r="BO162" s="20">
        <f t="shared" si="99"/>
        <v>-0</v>
      </c>
      <c r="BP162" s="20">
        <f t="shared" si="99"/>
        <v>-0</v>
      </c>
    </row>
    <row r="163" spans="3:68" x14ac:dyDescent="0.25">
      <c r="C163" t="s">
        <v>713</v>
      </c>
      <c r="D163" t="s">
        <v>844</v>
      </c>
      <c r="E163" s="20"/>
      <c r="F163" s="20"/>
      <c r="G163" s="20">
        <f t="shared" si="93"/>
        <v>-3681.2145205479455</v>
      </c>
      <c r="H163" s="20">
        <f t="shared" ref="H163:AM163" si="100">-$E$106*H79</f>
        <v>-0</v>
      </c>
      <c r="I163" s="20">
        <f t="shared" si="100"/>
        <v>-0</v>
      </c>
      <c r="J163" s="20">
        <f t="shared" si="100"/>
        <v>-0</v>
      </c>
      <c r="K163" s="20">
        <f t="shared" si="100"/>
        <v>-12.18945205479452</v>
      </c>
      <c r="L163" s="20">
        <f t="shared" si="100"/>
        <v>-12.18945205479452</v>
      </c>
      <c r="M163" s="20">
        <f t="shared" si="100"/>
        <v>-91.42089041095892</v>
      </c>
      <c r="N163" s="20">
        <f t="shared" si="100"/>
        <v>-91.42089041095892</v>
      </c>
      <c r="O163" s="20">
        <f t="shared" si="100"/>
        <v>-91.42089041095892</v>
      </c>
      <c r="P163" s="20">
        <f t="shared" si="100"/>
        <v>-91.42089041095892</v>
      </c>
      <c r="Q163" s="20">
        <f t="shared" si="100"/>
        <v>-91.42089041095892</v>
      </c>
      <c r="R163" s="20">
        <f t="shared" si="100"/>
        <v>-91.42089041095892</v>
      </c>
      <c r="S163" s="20">
        <f t="shared" si="100"/>
        <v>-91.42089041095892</v>
      </c>
      <c r="T163" s="20">
        <f t="shared" si="100"/>
        <v>-91.42089041095892</v>
      </c>
      <c r="U163" s="20">
        <f t="shared" si="100"/>
        <v>-91.42089041095892</v>
      </c>
      <c r="V163" s="20">
        <f t="shared" si="100"/>
        <v>-91.42089041095892</v>
      </c>
      <c r="W163" s="20">
        <f t="shared" si="100"/>
        <v>-91.42089041095892</v>
      </c>
      <c r="X163" s="20">
        <f t="shared" si="100"/>
        <v>-91.42089041095892</v>
      </c>
      <c r="Y163" s="20">
        <f t="shared" si="100"/>
        <v>-91.42089041095892</v>
      </c>
      <c r="Z163" s="20">
        <f t="shared" si="100"/>
        <v>-91.42089041095892</v>
      </c>
      <c r="AA163" s="20">
        <f t="shared" si="100"/>
        <v>-91.42089041095892</v>
      </c>
      <c r="AB163" s="20">
        <f t="shared" si="100"/>
        <v>-91.42089041095892</v>
      </c>
      <c r="AC163" s="20">
        <f t="shared" si="100"/>
        <v>-91.42089041095892</v>
      </c>
      <c r="AD163" s="20">
        <f t="shared" si="100"/>
        <v>-91.42089041095892</v>
      </c>
      <c r="AE163" s="20">
        <f t="shared" si="100"/>
        <v>-91.42089041095892</v>
      </c>
      <c r="AF163" s="20">
        <f t="shared" si="100"/>
        <v>-91.42089041095892</v>
      </c>
      <c r="AG163" s="20">
        <f t="shared" si="100"/>
        <v>-91.42089041095892</v>
      </c>
      <c r="AH163" s="20">
        <f t="shared" si="100"/>
        <v>-91.42089041095892</v>
      </c>
      <c r="AI163" s="20">
        <f t="shared" si="100"/>
        <v>-91.42089041095892</v>
      </c>
      <c r="AJ163" s="20">
        <f t="shared" si="100"/>
        <v>-91.42089041095892</v>
      </c>
      <c r="AK163" s="20">
        <f t="shared" si="100"/>
        <v>-91.42089041095892</v>
      </c>
      <c r="AL163" s="20">
        <f t="shared" si="100"/>
        <v>-91.42089041095892</v>
      </c>
      <c r="AM163" s="20">
        <f t="shared" si="100"/>
        <v>-91.42089041095892</v>
      </c>
      <c r="AN163" s="20">
        <f t="shared" ref="AN163:BP163" si="101">-$E$106*AN79</f>
        <v>-91.42089041095892</v>
      </c>
      <c r="AO163" s="20">
        <f t="shared" si="101"/>
        <v>-91.42089041095892</v>
      </c>
      <c r="AP163" s="20">
        <f t="shared" si="101"/>
        <v>-91.42089041095892</v>
      </c>
      <c r="AQ163" s="20">
        <f t="shared" si="101"/>
        <v>-91.42089041095892</v>
      </c>
      <c r="AR163" s="20">
        <f t="shared" si="101"/>
        <v>-91.42089041095892</v>
      </c>
      <c r="AS163" s="20">
        <f t="shared" si="101"/>
        <v>-91.42089041095892</v>
      </c>
      <c r="AT163" s="20">
        <f t="shared" si="101"/>
        <v>-91.42089041095892</v>
      </c>
      <c r="AU163" s="20">
        <f t="shared" si="101"/>
        <v>-91.42089041095892</v>
      </c>
      <c r="AV163" s="20">
        <f t="shared" si="101"/>
        <v>-91.42089041095892</v>
      </c>
      <c r="AW163" s="20">
        <f t="shared" si="101"/>
        <v>-91.42089041095892</v>
      </c>
      <c r="AX163" s="20">
        <f t="shared" si="101"/>
        <v>-91.42089041095892</v>
      </c>
      <c r="AY163" s="20">
        <f t="shared" si="101"/>
        <v>-91.42089041095892</v>
      </c>
      <c r="AZ163" s="20">
        <f t="shared" si="101"/>
        <v>-91.42089041095892</v>
      </c>
      <c r="BA163" s="20">
        <f t="shared" si="101"/>
        <v>-0</v>
      </c>
      <c r="BB163" s="20">
        <f t="shared" si="101"/>
        <v>-0</v>
      </c>
      <c r="BC163" s="20">
        <f t="shared" si="101"/>
        <v>-0</v>
      </c>
      <c r="BD163" s="20">
        <f t="shared" si="101"/>
        <v>-0</v>
      </c>
      <c r="BE163" s="20">
        <f t="shared" si="101"/>
        <v>-0</v>
      </c>
      <c r="BF163" s="20">
        <f t="shared" si="101"/>
        <v>-0</v>
      </c>
      <c r="BG163" s="20">
        <f t="shared" si="101"/>
        <v>-0</v>
      </c>
      <c r="BH163" s="20">
        <f t="shared" si="101"/>
        <v>-0</v>
      </c>
      <c r="BI163" s="20">
        <f t="shared" si="101"/>
        <v>-0</v>
      </c>
      <c r="BJ163" s="20">
        <f t="shared" si="101"/>
        <v>-0</v>
      </c>
      <c r="BK163" s="20">
        <f t="shared" si="101"/>
        <v>-0</v>
      </c>
      <c r="BL163" s="20">
        <f t="shared" si="101"/>
        <v>-0</v>
      </c>
      <c r="BM163" s="20">
        <f t="shared" si="101"/>
        <v>-0</v>
      </c>
      <c r="BN163" s="20">
        <f t="shared" si="101"/>
        <v>-0</v>
      </c>
      <c r="BO163" s="20">
        <f t="shared" si="101"/>
        <v>-0</v>
      </c>
      <c r="BP163" s="20">
        <f t="shared" si="101"/>
        <v>-0</v>
      </c>
    </row>
    <row r="164" spans="3:68" x14ac:dyDescent="0.25">
      <c r="C164" s="6" t="s">
        <v>714</v>
      </c>
      <c r="D164" s="6" t="s">
        <v>844</v>
      </c>
      <c r="E164" s="95"/>
      <c r="F164" s="95"/>
      <c r="G164" s="95">
        <f t="shared" si="93"/>
        <v>-48617.29880942116</v>
      </c>
      <c r="H164" s="95">
        <f t="shared" ref="H164:AM164" si="102">SUM(H158:H163)</f>
        <v>-400</v>
      </c>
      <c r="I164" s="95">
        <f t="shared" si="102"/>
        <v>0</v>
      </c>
      <c r="J164" s="95">
        <f t="shared" si="102"/>
        <v>0</v>
      </c>
      <c r="K164" s="95">
        <f t="shared" si="102"/>
        <v>-205.87105146242135</v>
      </c>
      <c r="L164" s="95">
        <f t="shared" si="102"/>
        <v>-12.18945205479452</v>
      </c>
      <c r="M164" s="95">
        <f t="shared" si="102"/>
        <v>-2557.1743150684933</v>
      </c>
      <c r="N164" s="95">
        <f t="shared" si="102"/>
        <v>-101.15062014068864</v>
      </c>
      <c r="O164" s="95">
        <f t="shared" si="102"/>
        <v>-270.3141336542021</v>
      </c>
      <c r="P164" s="95">
        <f t="shared" si="102"/>
        <v>-489.4208904109589</v>
      </c>
      <c r="Q164" s="95">
        <f t="shared" si="102"/>
        <v>-91.42089041095892</v>
      </c>
      <c r="R164" s="95">
        <f t="shared" si="102"/>
        <v>-91.42089041095892</v>
      </c>
      <c r="S164" s="95">
        <f t="shared" si="102"/>
        <v>-134.66413365420215</v>
      </c>
      <c r="T164" s="95">
        <f t="shared" si="102"/>
        <v>-134.66413365420215</v>
      </c>
      <c r="U164" s="95">
        <f t="shared" si="102"/>
        <v>-91.42089041095892</v>
      </c>
      <c r="V164" s="95">
        <f t="shared" si="102"/>
        <v>-91.42089041095892</v>
      </c>
      <c r="W164" s="95">
        <f t="shared" si="102"/>
        <v>-91.42089041095892</v>
      </c>
      <c r="X164" s="95">
        <f t="shared" si="102"/>
        <v>-131.96143095149947</v>
      </c>
      <c r="Y164" s="95">
        <f t="shared" si="102"/>
        <v>-234.10197149204</v>
      </c>
      <c r="Z164" s="95">
        <f t="shared" si="102"/>
        <v>-1046.1648231191773</v>
      </c>
      <c r="AA164" s="95">
        <f t="shared" si="102"/>
        <v>-321.15062014068866</v>
      </c>
      <c r="AB164" s="95">
        <f t="shared" si="102"/>
        <v>-179.55602554609405</v>
      </c>
      <c r="AC164" s="95">
        <f t="shared" si="102"/>
        <v>-91.52899851906703</v>
      </c>
      <c r="AD164" s="95">
        <f t="shared" si="102"/>
        <v>-91.42089041095892</v>
      </c>
      <c r="AE164" s="95">
        <f t="shared" si="102"/>
        <v>-95.92089041095892</v>
      </c>
      <c r="AF164" s="95">
        <f t="shared" si="102"/>
        <v>-91.42089041095892</v>
      </c>
      <c r="AG164" s="95">
        <f t="shared" si="102"/>
        <v>-253.29494755381603</v>
      </c>
      <c r="AH164" s="95">
        <f t="shared" si="102"/>
        <v>-91.42089041095892</v>
      </c>
      <c r="AI164" s="95">
        <f t="shared" si="102"/>
        <v>-91.42089041095892</v>
      </c>
      <c r="AJ164" s="95">
        <f t="shared" si="102"/>
        <v>-123.85332284339135</v>
      </c>
      <c r="AK164" s="95">
        <f t="shared" si="102"/>
        <v>-373.6285520395319</v>
      </c>
      <c r="AL164" s="95">
        <f t="shared" si="102"/>
        <v>-39111.52153076639</v>
      </c>
      <c r="AM164" s="95">
        <f t="shared" si="102"/>
        <v>-91.42089041095892</v>
      </c>
      <c r="AN164" s="95">
        <f t="shared" ref="AN164:BP164" si="103">SUM(AN158:AN163)</f>
        <v>-337.9073768974454</v>
      </c>
      <c r="AO164" s="95">
        <f t="shared" si="103"/>
        <v>-91.42089041095892</v>
      </c>
      <c r="AP164" s="95">
        <f t="shared" si="103"/>
        <v>-91.42089041095892</v>
      </c>
      <c r="AQ164" s="95">
        <f t="shared" si="103"/>
        <v>-91.42089041095892</v>
      </c>
      <c r="AR164" s="95">
        <f t="shared" si="103"/>
        <v>-91.42089041095892</v>
      </c>
      <c r="AS164" s="95">
        <f t="shared" si="103"/>
        <v>-91.42089041095892</v>
      </c>
      <c r="AT164" s="95">
        <f t="shared" si="103"/>
        <v>-91.42089041095892</v>
      </c>
      <c r="AU164" s="95">
        <f t="shared" si="103"/>
        <v>-91.42089041095892</v>
      </c>
      <c r="AV164" s="95">
        <f t="shared" si="103"/>
        <v>-91.42089041095892</v>
      </c>
      <c r="AW164" s="95">
        <f t="shared" si="103"/>
        <v>-91.42089041095892</v>
      </c>
      <c r="AX164" s="95">
        <f t="shared" si="103"/>
        <v>-91.42089041095892</v>
      </c>
      <c r="AY164" s="95">
        <f t="shared" si="103"/>
        <v>-91.42089041095892</v>
      </c>
      <c r="AZ164" s="95">
        <f t="shared" si="103"/>
        <v>-91.42089041095892</v>
      </c>
      <c r="BA164" s="95">
        <f t="shared" si="103"/>
        <v>0</v>
      </c>
      <c r="BB164" s="95">
        <f t="shared" si="103"/>
        <v>0</v>
      </c>
      <c r="BC164" s="95">
        <f t="shared" si="103"/>
        <v>0</v>
      </c>
      <c r="BD164" s="95">
        <f t="shared" si="103"/>
        <v>0</v>
      </c>
      <c r="BE164" s="95">
        <f t="shared" si="103"/>
        <v>0</v>
      </c>
      <c r="BF164" s="95">
        <f t="shared" si="103"/>
        <v>0</v>
      </c>
      <c r="BG164" s="95">
        <f t="shared" si="103"/>
        <v>0</v>
      </c>
      <c r="BH164" s="95">
        <f t="shared" si="103"/>
        <v>0</v>
      </c>
      <c r="BI164" s="95">
        <f t="shared" si="103"/>
        <v>0</v>
      </c>
      <c r="BJ164" s="95">
        <f t="shared" si="103"/>
        <v>0</v>
      </c>
      <c r="BK164" s="95">
        <f t="shared" si="103"/>
        <v>0</v>
      </c>
      <c r="BL164" s="95">
        <f t="shared" si="103"/>
        <v>0</v>
      </c>
      <c r="BM164" s="95">
        <f t="shared" si="103"/>
        <v>0</v>
      </c>
      <c r="BN164" s="95">
        <f t="shared" si="103"/>
        <v>0</v>
      </c>
      <c r="BO164" s="95">
        <f t="shared" si="103"/>
        <v>0</v>
      </c>
      <c r="BP164" s="95">
        <f t="shared" si="103"/>
        <v>0</v>
      </c>
    </row>
    <row r="165" spans="3:68" x14ac:dyDescent="0.25">
      <c r="C165" t="s">
        <v>715</v>
      </c>
      <c r="D165" t="s">
        <v>844</v>
      </c>
      <c r="E165" s="20"/>
      <c r="F165" s="20"/>
      <c r="G165" s="20">
        <f>MIN(H165:BP165)</f>
        <v>-48617.298809421205</v>
      </c>
      <c r="H165" s="20">
        <f>H164</f>
        <v>-400</v>
      </c>
      <c r="I165" s="20">
        <f t="shared" ref="I165:AN165" si="104">H165+I164</f>
        <v>-400</v>
      </c>
      <c r="J165" s="20">
        <f t="shared" si="104"/>
        <v>-400</v>
      </c>
      <c r="K165" s="20">
        <f t="shared" si="104"/>
        <v>-605.8710514624213</v>
      </c>
      <c r="L165" s="20">
        <f t="shared" si="104"/>
        <v>-618.0605035172158</v>
      </c>
      <c r="M165" s="20">
        <f t="shared" si="104"/>
        <v>-3175.234818585709</v>
      </c>
      <c r="N165" s="20">
        <f t="shared" si="104"/>
        <v>-3276.3854387263978</v>
      </c>
      <c r="O165" s="20">
        <f t="shared" si="104"/>
        <v>-3546.6995723806</v>
      </c>
      <c r="P165" s="20">
        <f t="shared" si="104"/>
        <v>-4036.1204627915586</v>
      </c>
      <c r="Q165" s="20">
        <f t="shared" si="104"/>
        <v>-4127.541353202518</v>
      </c>
      <c r="R165" s="20">
        <f t="shared" si="104"/>
        <v>-4218.962243613477</v>
      </c>
      <c r="S165" s="20">
        <f t="shared" si="104"/>
        <v>-4353.626377267679</v>
      </c>
      <c r="T165" s="20">
        <f t="shared" si="104"/>
        <v>-4488.290510921882</v>
      </c>
      <c r="U165" s="20">
        <f t="shared" si="104"/>
        <v>-4579.711401332841</v>
      </c>
      <c r="V165" s="20">
        <f t="shared" si="104"/>
        <v>-4671.1322917438</v>
      </c>
      <c r="W165" s="20">
        <f t="shared" si="104"/>
        <v>-4762.553182154759</v>
      </c>
      <c r="X165" s="20">
        <f t="shared" si="104"/>
        <v>-4894.514613106258</v>
      </c>
      <c r="Y165" s="20">
        <f t="shared" si="104"/>
        <v>-5128.616584598299</v>
      </c>
      <c r="Z165" s="20">
        <f t="shared" si="104"/>
        <v>-6174.781407717476</v>
      </c>
      <c r="AA165" s="20">
        <f t="shared" si="104"/>
        <v>-6495.9320278581645</v>
      </c>
      <c r="AB165" s="20">
        <f t="shared" si="104"/>
        <v>-6675.488053404259</v>
      </c>
      <c r="AC165" s="20">
        <f t="shared" si="104"/>
        <v>-6767.017051923325</v>
      </c>
      <c r="AD165" s="20">
        <f t="shared" si="104"/>
        <v>-6858.437942334284</v>
      </c>
      <c r="AE165" s="20">
        <f t="shared" si="104"/>
        <v>-6954.3588327452435</v>
      </c>
      <c r="AF165" s="20">
        <f t="shared" si="104"/>
        <v>-7045.779723156203</v>
      </c>
      <c r="AG165" s="20">
        <f t="shared" si="104"/>
        <v>-7299.074670710019</v>
      </c>
      <c r="AH165" s="20">
        <f t="shared" si="104"/>
        <v>-7390.495561120978</v>
      </c>
      <c r="AI165" s="20">
        <f t="shared" si="104"/>
        <v>-7481.916451531937</v>
      </c>
      <c r="AJ165" s="20">
        <f t="shared" si="104"/>
        <v>-7605.769774375329</v>
      </c>
      <c r="AK165" s="20">
        <f t="shared" si="104"/>
        <v>-7979.398326414861</v>
      </c>
      <c r="AL165" s="20">
        <f t="shared" si="104"/>
        <v>-47090.91985718125</v>
      </c>
      <c r="AM165" s="20">
        <f t="shared" si="104"/>
        <v>-47182.340747592214</v>
      </c>
      <c r="AN165" s="20">
        <f t="shared" si="104"/>
        <v>-47520.24812448966</v>
      </c>
      <c r="AO165" s="20">
        <f t="shared" ref="AO165:BP165" si="105">AN165+AO164</f>
        <v>-47611.669014900624</v>
      </c>
      <c r="AP165" s="20">
        <f t="shared" si="105"/>
        <v>-47703.089905311586</v>
      </c>
      <c r="AQ165" s="20">
        <f t="shared" si="105"/>
        <v>-47794.51079572255</v>
      </c>
      <c r="AR165" s="20">
        <f t="shared" si="105"/>
        <v>-47885.93168613351</v>
      </c>
      <c r="AS165" s="20">
        <f t="shared" si="105"/>
        <v>-47977.35257654447</v>
      </c>
      <c r="AT165" s="20">
        <f t="shared" si="105"/>
        <v>-48068.773466955434</v>
      </c>
      <c r="AU165" s="20">
        <f t="shared" si="105"/>
        <v>-48160.194357366396</v>
      </c>
      <c r="AV165" s="20">
        <f t="shared" si="105"/>
        <v>-48251.61524777736</v>
      </c>
      <c r="AW165" s="20">
        <f t="shared" si="105"/>
        <v>-48343.03613818832</v>
      </c>
      <c r="AX165" s="20">
        <f t="shared" si="105"/>
        <v>-48434.45702859928</v>
      </c>
      <c r="AY165" s="20">
        <f t="shared" si="105"/>
        <v>-48525.87791901024</v>
      </c>
      <c r="AZ165" s="20">
        <f t="shared" si="105"/>
        <v>-48617.298809421205</v>
      </c>
      <c r="BA165" s="20">
        <f t="shared" si="105"/>
        <v>-48617.298809421205</v>
      </c>
      <c r="BB165" s="20">
        <f t="shared" si="105"/>
        <v>-48617.298809421205</v>
      </c>
      <c r="BC165" s="20">
        <f t="shared" si="105"/>
        <v>-48617.298809421205</v>
      </c>
      <c r="BD165" s="20">
        <f t="shared" si="105"/>
        <v>-48617.298809421205</v>
      </c>
      <c r="BE165" s="20">
        <f t="shared" si="105"/>
        <v>-48617.298809421205</v>
      </c>
      <c r="BF165" s="20">
        <f t="shared" si="105"/>
        <v>-48617.298809421205</v>
      </c>
      <c r="BG165" s="20">
        <f t="shared" si="105"/>
        <v>-48617.298809421205</v>
      </c>
      <c r="BH165" s="20">
        <f t="shared" si="105"/>
        <v>-48617.298809421205</v>
      </c>
      <c r="BI165" s="20">
        <f t="shared" si="105"/>
        <v>-48617.298809421205</v>
      </c>
      <c r="BJ165" s="20">
        <f t="shared" si="105"/>
        <v>-48617.298809421205</v>
      </c>
      <c r="BK165" s="20">
        <f t="shared" si="105"/>
        <v>-48617.298809421205</v>
      </c>
      <c r="BL165" s="20">
        <f t="shared" si="105"/>
        <v>-48617.298809421205</v>
      </c>
      <c r="BM165" s="20">
        <f t="shared" si="105"/>
        <v>-48617.298809421205</v>
      </c>
      <c r="BN165" s="20">
        <f t="shared" si="105"/>
        <v>-48617.298809421205</v>
      </c>
      <c r="BO165" s="20">
        <f t="shared" si="105"/>
        <v>-48617.298809421205</v>
      </c>
      <c r="BP165" s="20">
        <f t="shared" si="105"/>
        <v>-48617.298809421205</v>
      </c>
    </row>
    <row r="166" spans="3:68" x14ac:dyDescent="0.25">
      <c r="C166" t="s">
        <v>716</v>
      </c>
      <c r="D166" t="s">
        <v>844</v>
      </c>
      <c r="E166" s="20"/>
      <c r="F166" s="20"/>
      <c r="G166" s="20">
        <f t="shared" ref="G166:G172" si="106">SUM(H166:BP166)</f>
        <v>45795.31181871448</v>
      </c>
      <c r="H166" s="20">
        <f t="shared" ref="H166:AM166" si="107">-H$7*$G$147*$E$106</f>
        <v>0</v>
      </c>
      <c r="I166" s="20">
        <f t="shared" si="107"/>
        <v>0</v>
      </c>
      <c r="J166" s="20">
        <f t="shared" si="107"/>
        <v>0</v>
      </c>
      <c r="K166" s="20">
        <f t="shared" si="107"/>
        <v>0</v>
      </c>
      <c r="L166" s="20">
        <f t="shared" si="107"/>
        <v>0</v>
      </c>
      <c r="M166" s="20">
        <f t="shared" si="107"/>
        <v>0</v>
      </c>
      <c r="N166" s="20">
        <f t="shared" si="107"/>
        <v>0</v>
      </c>
      <c r="O166" s="20">
        <f t="shared" si="107"/>
        <v>0</v>
      </c>
      <c r="P166" s="20">
        <f t="shared" si="107"/>
        <v>0</v>
      </c>
      <c r="Q166" s="20">
        <f t="shared" si="107"/>
        <v>0</v>
      </c>
      <c r="R166" s="20">
        <f t="shared" si="107"/>
        <v>0</v>
      </c>
      <c r="S166" s="20">
        <f t="shared" si="107"/>
        <v>0</v>
      </c>
      <c r="T166" s="20">
        <f t="shared" si="107"/>
        <v>0</v>
      </c>
      <c r="U166" s="20">
        <f t="shared" si="107"/>
        <v>0</v>
      </c>
      <c r="V166" s="20">
        <f t="shared" si="107"/>
        <v>0</v>
      </c>
      <c r="W166" s="20">
        <f t="shared" si="107"/>
        <v>0</v>
      </c>
      <c r="X166" s="20">
        <f t="shared" si="107"/>
        <v>0</v>
      </c>
      <c r="Y166" s="20">
        <f t="shared" si="107"/>
        <v>0</v>
      </c>
      <c r="Z166" s="20">
        <f t="shared" si="107"/>
        <v>0</v>
      </c>
      <c r="AA166" s="20">
        <f t="shared" si="107"/>
        <v>0</v>
      </c>
      <c r="AB166" s="20">
        <f t="shared" si="107"/>
        <v>0</v>
      </c>
      <c r="AC166" s="20">
        <f t="shared" si="107"/>
        <v>0</v>
      </c>
      <c r="AD166" s="20">
        <f t="shared" si="107"/>
        <v>0</v>
      </c>
      <c r="AE166" s="20">
        <f t="shared" si="107"/>
        <v>0</v>
      </c>
      <c r="AF166" s="20">
        <f t="shared" si="107"/>
        <v>0</v>
      </c>
      <c r="AG166" s="20">
        <f t="shared" si="107"/>
        <v>0</v>
      </c>
      <c r="AH166" s="20">
        <f t="shared" si="107"/>
        <v>0</v>
      </c>
      <c r="AI166" s="20">
        <f t="shared" si="107"/>
        <v>0</v>
      </c>
      <c r="AJ166" s="20">
        <f t="shared" si="107"/>
        <v>0</v>
      </c>
      <c r="AK166" s="20">
        <f t="shared" si="107"/>
        <v>0</v>
      </c>
      <c r="AL166" s="20">
        <f t="shared" si="107"/>
        <v>0</v>
      </c>
      <c r="AM166" s="20">
        <f t="shared" si="107"/>
        <v>0</v>
      </c>
      <c r="AN166" s="20">
        <f t="shared" ref="AN166:BP166" si="108">-AN$7*$G$147*$E$106</f>
        <v>0</v>
      </c>
      <c r="AO166" s="20">
        <f t="shared" si="108"/>
        <v>0</v>
      </c>
      <c r="AP166" s="20">
        <f t="shared" si="108"/>
        <v>0</v>
      </c>
      <c r="AQ166" s="20">
        <f t="shared" si="108"/>
        <v>0</v>
      </c>
      <c r="AR166" s="20">
        <f t="shared" si="108"/>
        <v>0</v>
      </c>
      <c r="AS166" s="20">
        <f t="shared" si="108"/>
        <v>0</v>
      </c>
      <c r="AT166" s="20">
        <f t="shared" si="108"/>
        <v>0</v>
      </c>
      <c r="AU166" s="20">
        <f t="shared" si="108"/>
        <v>0</v>
      </c>
      <c r="AV166" s="20">
        <f t="shared" si="108"/>
        <v>0</v>
      </c>
      <c r="AW166" s="20">
        <f t="shared" si="108"/>
        <v>0</v>
      </c>
      <c r="AX166" s="20">
        <f t="shared" si="108"/>
        <v>0</v>
      </c>
      <c r="AY166" s="20">
        <f t="shared" si="108"/>
        <v>0</v>
      </c>
      <c r="AZ166" s="20">
        <f t="shared" si="108"/>
        <v>45795.31181871448</v>
      </c>
      <c r="BA166" s="20">
        <f t="shared" si="108"/>
        <v>0</v>
      </c>
      <c r="BB166" s="20">
        <f t="shared" si="108"/>
        <v>0</v>
      </c>
      <c r="BC166" s="20">
        <f t="shared" si="108"/>
        <v>0</v>
      </c>
      <c r="BD166" s="20">
        <f t="shared" si="108"/>
        <v>0</v>
      </c>
      <c r="BE166" s="20">
        <f t="shared" si="108"/>
        <v>0</v>
      </c>
      <c r="BF166" s="20">
        <f t="shared" si="108"/>
        <v>0</v>
      </c>
      <c r="BG166" s="20">
        <f t="shared" si="108"/>
        <v>0</v>
      </c>
      <c r="BH166" s="20">
        <f t="shared" si="108"/>
        <v>0</v>
      </c>
      <c r="BI166" s="20">
        <f t="shared" si="108"/>
        <v>0</v>
      </c>
      <c r="BJ166" s="20">
        <f t="shared" si="108"/>
        <v>0</v>
      </c>
      <c r="BK166" s="20">
        <f t="shared" si="108"/>
        <v>0</v>
      </c>
      <c r="BL166" s="20">
        <f t="shared" si="108"/>
        <v>0</v>
      </c>
      <c r="BM166" s="20">
        <f t="shared" si="108"/>
        <v>0</v>
      </c>
      <c r="BN166" s="20">
        <f t="shared" si="108"/>
        <v>0</v>
      </c>
      <c r="BO166" s="20">
        <f t="shared" si="108"/>
        <v>0</v>
      </c>
      <c r="BP166" s="20">
        <f t="shared" si="108"/>
        <v>0</v>
      </c>
    </row>
    <row r="167" spans="3:68" x14ac:dyDescent="0.25">
      <c r="C167" t="s">
        <v>717</v>
      </c>
      <c r="D167" t="s">
        <v>844</v>
      </c>
      <c r="E167" s="20"/>
      <c r="F167" s="20"/>
      <c r="G167" s="20">
        <f t="shared" si="106"/>
        <v>425.3797297297297</v>
      </c>
      <c r="H167" s="20">
        <f t="shared" ref="H167:AM167" si="109">-H$7*$G$148*$E$106</f>
        <v>0</v>
      </c>
      <c r="I167" s="20">
        <f t="shared" si="109"/>
        <v>0</v>
      </c>
      <c r="J167" s="20">
        <f t="shared" si="109"/>
        <v>0</v>
      </c>
      <c r="K167" s="20">
        <f t="shared" si="109"/>
        <v>0</v>
      </c>
      <c r="L167" s="20">
        <f t="shared" si="109"/>
        <v>0</v>
      </c>
      <c r="M167" s="20">
        <f t="shared" si="109"/>
        <v>0</v>
      </c>
      <c r="N167" s="20">
        <f t="shared" si="109"/>
        <v>0</v>
      </c>
      <c r="O167" s="20">
        <f t="shared" si="109"/>
        <v>0</v>
      </c>
      <c r="P167" s="20">
        <f t="shared" si="109"/>
        <v>0</v>
      </c>
      <c r="Q167" s="20">
        <f t="shared" si="109"/>
        <v>0</v>
      </c>
      <c r="R167" s="20">
        <f t="shared" si="109"/>
        <v>0</v>
      </c>
      <c r="S167" s="20">
        <f t="shared" si="109"/>
        <v>0</v>
      </c>
      <c r="T167" s="20">
        <f t="shared" si="109"/>
        <v>0</v>
      </c>
      <c r="U167" s="20">
        <f t="shared" si="109"/>
        <v>0</v>
      </c>
      <c r="V167" s="20">
        <f t="shared" si="109"/>
        <v>0</v>
      </c>
      <c r="W167" s="20">
        <f t="shared" si="109"/>
        <v>0</v>
      </c>
      <c r="X167" s="20">
        <f t="shared" si="109"/>
        <v>0</v>
      </c>
      <c r="Y167" s="20">
        <f t="shared" si="109"/>
        <v>0</v>
      </c>
      <c r="Z167" s="20">
        <f t="shared" si="109"/>
        <v>0</v>
      </c>
      <c r="AA167" s="20">
        <f t="shared" si="109"/>
        <v>0</v>
      </c>
      <c r="AB167" s="20">
        <f t="shared" si="109"/>
        <v>0</v>
      </c>
      <c r="AC167" s="20">
        <f t="shared" si="109"/>
        <v>0</v>
      </c>
      <c r="AD167" s="20">
        <f t="shared" si="109"/>
        <v>0</v>
      </c>
      <c r="AE167" s="20">
        <f t="shared" si="109"/>
        <v>0</v>
      </c>
      <c r="AF167" s="20">
        <f t="shared" si="109"/>
        <v>0</v>
      </c>
      <c r="AG167" s="20">
        <f t="shared" si="109"/>
        <v>0</v>
      </c>
      <c r="AH167" s="20">
        <f t="shared" si="109"/>
        <v>0</v>
      </c>
      <c r="AI167" s="20">
        <f t="shared" si="109"/>
        <v>0</v>
      </c>
      <c r="AJ167" s="20">
        <f t="shared" si="109"/>
        <v>0</v>
      </c>
      <c r="AK167" s="20">
        <f t="shared" si="109"/>
        <v>0</v>
      </c>
      <c r="AL167" s="20">
        <f t="shared" si="109"/>
        <v>0</v>
      </c>
      <c r="AM167" s="20">
        <f t="shared" si="109"/>
        <v>0</v>
      </c>
      <c r="AN167" s="20">
        <f t="shared" ref="AN167:BP167" si="110">-AN$7*$G$148*$E$106</f>
        <v>0</v>
      </c>
      <c r="AO167" s="20">
        <f t="shared" si="110"/>
        <v>0</v>
      </c>
      <c r="AP167" s="20">
        <f t="shared" si="110"/>
        <v>0</v>
      </c>
      <c r="AQ167" s="20">
        <f t="shared" si="110"/>
        <v>0</v>
      </c>
      <c r="AR167" s="20">
        <f t="shared" si="110"/>
        <v>0</v>
      </c>
      <c r="AS167" s="20">
        <f t="shared" si="110"/>
        <v>0</v>
      </c>
      <c r="AT167" s="20">
        <f t="shared" si="110"/>
        <v>0</v>
      </c>
      <c r="AU167" s="20">
        <f t="shared" si="110"/>
        <v>0</v>
      </c>
      <c r="AV167" s="20">
        <f t="shared" si="110"/>
        <v>0</v>
      </c>
      <c r="AW167" s="20">
        <f t="shared" si="110"/>
        <v>0</v>
      </c>
      <c r="AX167" s="20">
        <f t="shared" si="110"/>
        <v>0</v>
      </c>
      <c r="AY167" s="20">
        <f t="shared" si="110"/>
        <v>0</v>
      </c>
      <c r="AZ167" s="20">
        <f t="shared" si="110"/>
        <v>425.3797297297297</v>
      </c>
      <c r="BA167" s="20">
        <f t="shared" si="110"/>
        <v>0</v>
      </c>
      <c r="BB167" s="20">
        <f t="shared" si="110"/>
        <v>0</v>
      </c>
      <c r="BC167" s="20">
        <f t="shared" si="110"/>
        <v>0</v>
      </c>
      <c r="BD167" s="20">
        <f t="shared" si="110"/>
        <v>0</v>
      </c>
      <c r="BE167" s="20">
        <f t="shared" si="110"/>
        <v>0</v>
      </c>
      <c r="BF167" s="20">
        <f t="shared" si="110"/>
        <v>0</v>
      </c>
      <c r="BG167" s="20">
        <f t="shared" si="110"/>
        <v>0</v>
      </c>
      <c r="BH167" s="20">
        <f t="shared" si="110"/>
        <v>0</v>
      </c>
      <c r="BI167" s="20">
        <f t="shared" si="110"/>
        <v>0</v>
      </c>
      <c r="BJ167" s="20">
        <f t="shared" si="110"/>
        <v>0</v>
      </c>
      <c r="BK167" s="20">
        <f t="shared" si="110"/>
        <v>0</v>
      </c>
      <c r="BL167" s="20">
        <f t="shared" si="110"/>
        <v>0</v>
      </c>
      <c r="BM167" s="20">
        <f t="shared" si="110"/>
        <v>0</v>
      </c>
      <c r="BN167" s="20">
        <f t="shared" si="110"/>
        <v>0</v>
      </c>
      <c r="BO167" s="20">
        <f t="shared" si="110"/>
        <v>0</v>
      </c>
      <c r="BP167" s="20">
        <f t="shared" si="110"/>
        <v>0</v>
      </c>
    </row>
    <row r="168" spans="3:68" x14ac:dyDescent="0.25">
      <c r="C168" t="s">
        <v>718</v>
      </c>
      <c r="D168" t="s">
        <v>844</v>
      </c>
      <c r="E168" s="20"/>
      <c r="F168" s="20"/>
      <c r="G168" s="20">
        <f t="shared" si="106"/>
        <v>3094.367226598597</v>
      </c>
      <c r="H168" s="20">
        <f t="shared" ref="H168:AM168" si="111">-H$7*$G$149*$E$106</f>
        <v>0</v>
      </c>
      <c r="I168" s="20">
        <f t="shared" si="111"/>
        <v>0</v>
      </c>
      <c r="J168" s="20">
        <f t="shared" si="111"/>
        <v>0</v>
      </c>
      <c r="K168" s="20">
        <f t="shared" si="111"/>
        <v>0</v>
      </c>
      <c r="L168" s="20">
        <f t="shared" si="111"/>
        <v>0</v>
      </c>
      <c r="M168" s="20">
        <f t="shared" si="111"/>
        <v>0</v>
      </c>
      <c r="N168" s="20">
        <f t="shared" si="111"/>
        <v>0</v>
      </c>
      <c r="O168" s="20">
        <f t="shared" si="111"/>
        <v>0</v>
      </c>
      <c r="P168" s="20">
        <f t="shared" si="111"/>
        <v>0</v>
      </c>
      <c r="Q168" s="20">
        <f t="shared" si="111"/>
        <v>0</v>
      </c>
      <c r="R168" s="20">
        <f t="shared" si="111"/>
        <v>0</v>
      </c>
      <c r="S168" s="20">
        <f t="shared" si="111"/>
        <v>0</v>
      </c>
      <c r="T168" s="20">
        <f t="shared" si="111"/>
        <v>0</v>
      </c>
      <c r="U168" s="20">
        <f t="shared" si="111"/>
        <v>0</v>
      </c>
      <c r="V168" s="20">
        <f t="shared" si="111"/>
        <v>0</v>
      </c>
      <c r="W168" s="20">
        <f t="shared" si="111"/>
        <v>0</v>
      </c>
      <c r="X168" s="20">
        <f t="shared" si="111"/>
        <v>0</v>
      </c>
      <c r="Y168" s="20">
        <f t="shared" si="111"/>
        <v>0</v>
      </c>
      <c r="Z168" s="20">
        <f t="shared" si="111"/>
        <v>0</v>
      </c>
      <c r="AA168" s="20">
        <f t="shared" si="111"/>
        <v>0</v>
      </c>
      <c r="AB168" s="20">
        <f t="shared" si="111"/>
        <v>0</v>
      </c>
      <c r="AC168" s="20">
        <f t="shared" si="111"/>
        <v>0</v>
      </c>
      <c r="AD168" s="20">
        <f t="shared" si="111"/>
        <v>0</v>
      </c>
      <c r="AE168" s="20">
        <f t="shared" si="111"/>
        <v>0</v>
      </c>
      <c r="AF168" s="20">
        <f t="shared" si="111"/>
        <v>0</v>
      </c>
      <c r="AG168" s="20">
        <f t="shared" si="111"/>
        <v>0</v>
      </c>
      <c r="AH168" s="20">
        <f t="shared" si="111"/>
        <v>0</v>
      </c>
      <c r="AI168" s="20">
        <f t="shared" si="111"/>
        <v>0</v>
      </c>
      <c r="AJ168" s="20">
        <f t="shared" si="111"/>
        <v>0</v>
      </c>
      <c r="AK168" s="20">
        <f t="shared" si="111"/>
        <v>0</v>
      </c>
      <c r="AL168" s="20">
        <f t="shared" si="111"/>
        <v>0</v>
      </c>
      <c r="AM168" s="20">
        <f t="shared" si="111"/>
        <v>0</v>
      </c>
      <c r="AN168" s="20">
        <f t="shared" ref="AN168:BP168" si="112">-AN$7*$G$149*$E$106</f>
        <v>0</v>
      </c>
      <c r="AO168" s="20">
        <f t="shared" si="112"/>
        <v>0</v>
      </c>
      <c r="AP168" s="20">
        <f t="shared" si="112"/>
        <v>0</v>
      </c>
      <c r="AQ168" s="20">
        <f t="shared" si="112"/>
        <v>0</v>
      </c>
      <c r="AR168" s="20">
        <f t="shared" si="112"/>
        <v>0</v>
      </c>
      <c r="AS168" s="20">
        <f t="shared" si="112"/>
        <v>0</v>
      </c>
      <c r="AT168" s="20">
        <f t="shared" si="112"/>
        <v>0</v>
      </c>
      <c r="AU168" s="20">
        <f t="shared" si="112"/>
        <v>0</v>
      </c>
      <c r="AV168" s="20">
        <f t="shared" si="112"/>
        <v>0</v>
      </c>
      <c r="AW168" s="20">
        <f t="shared" si="112"/>
        <v>0</v>
      </c>
      <c r="AX168" s="20">
        <f t="shared" si="112"/>
        <v>0</v>
      </c>
      <c r="AY168" s="20">
        <f t="shared" si="112"/>
        <v>0</v>
      </c>
      <c r="AZ168" s="20">
        <f t="shared" si="112"/>
        <v>3094.367226598597</v>
      </c>
      <c r="BA168" s="20">
        <f t="shared" si="112"/>
        <v>0</v>
      </c>
      <c r="BB168" s="20">
        <f t="shared" si="112"/>
        <v>0</v>
      </c>
      <c r="BC168" s="20">
        <f t="shared" si="112"/>
        <v>0</v>
      </c>
      <c r="BD168" s="20">
        <f t="shared" si="112"/>
        <v>0</v>
      </c>
      <c r="BE168" s="20">
        <f t="shared" si="112"/>
        <v>0</v>
      </c>
      <c r="BF168" s="20">
        <f t="shared" si="112"/>
        <v>0</v>
      </c>
      <c r="BG168" s="20">
        <f t="shared" si="112"/>
        <v>0</v>
      </c>
      <c r="BH168" s="20">
        <f t="shared" si="112"/>
        <v>0</v>
      </c>
      <c r="BI168" s="20">
        <f t="shared" si="112"/>
        <v>0</v>
      </c>
      <c r="BJ168" s="20">
        <f t="shared" si="112"/>
        <v>0</v>
      </c>
      <c r="BK168" s="20">
        <f t="shared" si="112"/>
        <v>0</v>
      </c>
      <c r="BL168" s="20">
        <f t="shared" si="112"/>
        <v>0</v>
      </c>
      <c r="BM168" s="20">
        <f t="shared" si="112"/>
        <v>0</v>
      </c>
      <c r="BN168" s="20">
        <f t="shared" si="112"/>
        <v>0</v>
      </c>
      <c r="BO168" s="20">
        <f t="shared" si="112"/>
        <v>0</v>
      </c>
      <c r="BP168" s="20">
        <f t="shared" si="112"/>
        <v>0</v>
      </c>
    </row>
    <row r="169" spans="3:68" x14ac:dyDescent="0.25">
      <c r="C169" t="s">
        <v>1598</v>
      </c>
      <c r="D169" t="s">
        <v>844</v>
      </c>
      <c r="E169" s="20"/>
      <c r="F169" s="20"/>
      <c r="G169" s="20">
        <f>SUM(H169:BP169)</f>
        <v>3219.9261897510114</v>
      </c>
      <c r="H169" s="20">
        <f>-H$7*$G$150*$E$106</f>
        <v>0</v>
      </c>
      <c r="I169" s="20">
        <f t="shared" ref="I169:BP169" si="113">-I$7*$G$150*$E$106</f>
        <v>0</v>
      </c>
      <c r="J169" s="20">
        <f t="shared" si="113"/>
        <v>0</v>
      </c>
      <c r="K169" s="20">
        <f t="shared" si="113"/>
        <v>0</v>
      </c>
      <c r="L169" s="20">
        <f t="shared" si="113"/>
        <v>0</v>
      </c>
      <c r="M169" s="20">
        <f t="shared" si="113"/>
        <v>0</v>
      </c>
      <c r="N169" s="20">
        <f t="shared" si="113"/>
        <v>0</v>
      </c>
      <c r="O169" s="20">
        <f t="shared" si="113"/>
        <v>0</v>
      </c>
      <c r="P169" s="20">
        <f t="shared" si="113"/>
        <v>0</v>
      </c>
      <c r="Q169" s="20">
        <f t="shared" si="113"/>
        <v>0</v>
      </c>
      <c r="R169" s="20">
        <f t="shared" si="113"/>
        <v>0</v>
      </c>
      <c r="S169" s="20">
        <f t="shared" si="113"/>
        <v>0</v>
      </c>
      <c r="T169" s="20">
        <f t="shared" si="113"/>
        <v>0</v>
      </c>
      <c r="U169" s="20">
        <f t="shared" si="113"/>
        <v>0</v>
      </c>
      <c r="V169" s="20">
        <f t="shared" si="113"/>
        <v>0</v>
      </c>
      <c r="W169" s="20">
        <f t="shared" si="113"/>
        <v>0</v>
      </c>
      <c r="X169" s="20">
        <f t="shared" si="113"/>
        <v>0</v>
      </c>
      <c r="Y169" s="20">
        <f t="shared" si="113"/>
        <v>0</v>
      </c>
      <c r="Z169" s="20">
        <f t="shared" si="113"/>
        <v>0</v>
      </c>
      <c r="AA169" s="20">
        <f t="shared" si="113"/>
        <v>0</v>
      </c>
      <c r="AB169" s="20">
        <f t="shared" si="113"/>
        <v>0</v>
      </c>
      <c r="AC169" s="20">
        <f t="shared" si="113"/>
        <v>0</v>
      </c>
      <c r="AD169" s="20">
        <f t="shared" si="113"/>
        <v>0</v>
      </c>
      <c r="AE169" s="20">
        <f t="shared" si="113"/>
        <v>0</v>
      </c>
      <c r="AF169" s="20">
        <f t="shared" si="113"/>
        <v>0</v>
      </c>
      <c r="AG169" s="20">
        <f t="shared" si="113"/>
        <v>0</v>
      </c>
      <c r="AH169" s="20">
        <f t="shared" si="113"/>
        <v>0</v>
      </c>
      <c r="AI169" s="20">
        <f t="shared" si="113"/>
        <v>0</v>
      </c>
      <c r="AJ169" s="20">
        <f t="shared" si="113"/>
        <v>0</v>
      </c>
      <c r="AK169" s="20">
        <f t="shared" si="113"/>
        <v>0</v>
      </c>
      <c r="AL169" s="20">
        <f t="shared" si="113"/>
        <v>0</v>
      </c>
      <c r="AM169" s="20">
        <f t="shared" si="113"/>
        <v>0</v>
      </c>
      <c r="AN169" s="20">
        <f t="shared" si="113"/>
        <v>0</v>
      </c>
      <c r="AO169" s="20">
        <f t="shared" si="113"/>
        <v>0</v>
      </c>
      <c r="AP169" s="20">
        <f t="shared" si="113"/>
        <v>0</v>
      </c>
      <c r="AQ169" s="20">
        <f t="shared" si="113"/>
        <v>0</v>
      </c>
      <c r="AR169" s="20">
        <f t="shared" si="113"/>
        <v>0</v>
      </c>
      <c r="AS169" s="20">
        <f t="shared" si="113"/>
        <v>0</v>
      </c>
      <c r="AT169" s="20">
        <f t="shared" si="113"/>
        <v>0</v>
      </c>
      <c r="AU169" s="20">
        <f t="shared" si="113"/>
        <v>0</v>
      </c>
      <c r="AV169" s="20">
        <f t="shared" si="113"/>
        <v>0</v>
      </c>
      <c r="AW169" s="20">
        <f t="shared" si="113"/>
        <v>0</v>
      </c>
      <c r="AX169" s="20">
        <f t="shared" si="113"/>
        <v>0</v>
      </c>
      <c r="AY169" s="20">
        <f t="shared" si="113"/>
        <v>0</v>
      </c>
      <c r="AZ169" s="20">
        <f t="shared" si="113"/>
        <v>3219.9261897510114</v>
      </c>
      <c r="BA169" s="20">
        <f t="shared" si="113"/>
        <v>0</v>
      </c>
      <c r="BB169" s="20">
        <f t="shared" si="113"/>
        <v>0</v>
      </c>
      <c r="BC169" s="20">
        <f t="shared" si="113"/>
        <v>0</v>
      </c>
      <c r="BD169" s="20">
        <f t="shared" si="113"/>
        <v>0</v>
      </c>
      <c r="BE169" s="20">
        <f t="shared" si="113"/>
        <v>0</v>
      </c>
      <c r="BF169" s="20">
        <f t="shared" si="113"/>
        <v>0</v>
      </c>
      <c r="BG169" s="20">
        <f t="shared" si="113"/>
        <v>0</v>
      </c>
      <c r="BH169" s="20">
        <f t="shared" si="113"/>
        <v>0</v>
      </c>
      <c r="BI169" s="20">
        <f t="shared" si="113"/>
        <v>0</v>
      </c>
      <c r="BJ169" s="20">
        <f t="shared" si="113"/>
        <v>0</v>
      </c>
      <c r="BK169" s="20">
        <f t="shared" si="113"/>
        <v>0</v>
      </c>
      <c r="BL169" s="20">
        <f t="shared" si="113"/>
        <v>0</v>
      </c>
      <c r="BM169" s="20">
        <f t="shared" si="113"/>
        <v>0</v>
      </c>
      <c r="BN169" s="20">
        <f t="shared" si="113"/>
        <v>0</v>
      </c>
      <c r="BO169" s="20">
        <f t="shared" si="113"/>
        <v>0</v>
      </c>
      <c r="BP169" s="20">
        <f t="shared" si="113"/>
        <v>0</v>
      </c>
    </row>
    <row r="170" spans="3:68" x14ac:dyDescent="0.25">
      <c r="C170" t="s">
        <v>48</v>
      </c>
      <c r="D170" t="s">
        <v>844</v>
      </c>
      <c r="E170" s="20"/>
      <c r="F170" s="20"/>
      <c r="G170" s="20">
        <f t="shared" si="106"/>
        <v>11608.63009312638</v>
      </c>
      <c r="H170" s="20">
        <f t="shared" ref="H170:AM170" si="114">H$7*$G$153</f>
        <v>0</v>
      </c>
      <c r="I170" s="20">
        <f t="shared" si="114"/>
        <v>0</v>
      </c>
      <c r="J170" s="20">
        <f t="shared" si="114"/>
        <v>0</v>
      </c>
      <c r="K170" s="20">
        <f t="shared" si="114"/>
        <v>0</v>
      </c>
      <c r="L170" s="20">
        <f t="shared" si="114"/>
        <v>0</v>
      </c>
      <c r="M170" s="20">
        <f t="shared" si="114"/>
        <v>0</v>
      </c>
      <c r="N170" s="20">
        <f t="shared" si="114"/>
        <v>0</v>
      </c>
      <c r="O170" s="20">
        <f t="shared" si="114"/>
        <v>0</v>
      </c>
      <c r="P170" s="20">
        <f t="shared" si="114"/>
        <v>0</v>
      </c>
      <c r="Q170" s="20">
        <f t="shared" si="114"/>
        <v>0</v>
      </c>
      <c r="R170" s="20">
        <f t="shared" si="114"/>
        <v>0</v>
      </c>
      <c r="S170" s="20">
        <f t="shared" si="114"/>
        <v>0</v>
      </c>
      <c r="T170" s="20">
        <f t="shared" si="114"/>
        <v>0</v>
      </c>
      <c r="U170" s="20">
        <f t="shared" si="114"/>
        <v>0</v>
      </c>
      <c r="V170" s="20">
        <f t="shared" si="114"/>
        <v>0</v>
      </c>
      <c r="W170" s="20">
        <f t="shared" si="114"/>
        <v>0</v>
      </c>
      <c r="X170" s="20">
        <f t="shared" si="114"/>
        <v>0</v>
      </c>
      <c r="Y170" s="20">
        <f t="shared" si="114"/>
        <v>0</v>
      </c>
      <c r="Z170" s="20">
        <f t="shared" si="114"/>
        <v>0</v>
      </c>
      <c r="AA170" s="20">
        <f t="shared" si="114"/>
        <v>0</v>
      </c>
      <c r="AB170" s="20">
        <f t="shared" si="114"/>
        <v>0</v>
      </c>
      <c r="AC170" s="20">
        <f t="shared" si="114"/>
        <v>0</v>
      </c>
      <c r="AD170" s="20">
        <f t="shared" si="114"/>
        <v>0</v>
      </c>
      <c r="AE170" s="20">
        <f t="shared" si="114"/>
        <v>0</v>
      </c>
      <c r="AF170" s="20">
        <f t="shared" si="114"/>
        <v>0</v>
      </c>
      <c r="AG170" s="20">
        <f t="shared" si="114"/>
        <v>0</v>
      </c>
      <c r="AH170" s="20">
        <f t="shared" si="114"/>
        <v>0</v>
      </c>
      <c r="AI170" s="20">
        <f t="shared" si="114"/>
        <v>0</v>
      </c>
      <c r="AJ170" s="20">
        <f t="shared" si="114"/>
        <v>0</v>
      </c>
      <c r="AK170" s="20">
        <f t="shared" si="114"/>
        <v>0</v>
      </c>
      <c r="AL170" s="20">
        <f t="shared" si="114"/>
        <v>0</v>
      </c>
      <c r="AM170" s="20">
        <f t="shared" si="114"/>
        <v>0</v>
      </c>
      <c r="AN170" s="20">
        <f t="shared" ref="AN170:BP170" si="115">AN$7*$G$153</f>
        <v>0</v>
      </c>
      <c r="AO170" s="20">
        <f t="shared" si="115"/>
        <v>0</v>
      </c>
      <c r="AP170" s="20">
        <f t="shared" si="115"/>
        <v>0</v>
      </c>
      <c r="AQ170" s="20">
        <f t="shared" si="115"/>
        <v>0</v>
      </c>
      <c r="AR170" s="20">
        <f t="shared" si="115"/>
        <v>0</v>
      </c>
      <c r="AS170" s="20">
        <f t="shared" si="115"/>
        <v>0</v>
      </c>
      <c r="AT170" s="20">
        <f t="shared" si="115"/>
        <v>0</v>
      </c>
      <c r="AU170" s="20">
        <f t="shared" si="115"/>
        <v>0</v>
      </c>
      <c r="AV170" s="20">
        <f t="shared" si="115"/>
        <v>0</v>
      </c>
      <c r="AW170" s="20">
        <f t="shared" si="115"/>
        <v>0</v>
      </c>
      <c r="AX170" s="20">
        <f t="shared" si="115"/>
        <v>0</v>
      </c>
      <c r="AY170" s="20">
        <f t="shared" si="115"/>
        <v>0</v>
      </c>
      <c r="AZ170" s="20">
        <f t="shared" si="115"/>
        <v>11608.63009312638</v>
      </c>
      <c r="BA170" s="20">
        <f t="shared" si="115"/>
        <v>0</v>
      </c>
      <c r="BB170" s="20">
        <f t="shared" si="115"/>
        <v>0</v>
      </c>
      <c r="BC170" s="20">
        <f t="shared" si="115"/>
        <v>0</v>
      </c>
      <c r="BD170" s="20">
        <f t="shared" si="115"/>
        <v>0</v>
      </c>
      <c r="BE170" s="20">
        <f t="shared" si="115"/>
        <v>0</v>
      </c>
      <c r="BF170" s="20">
        <f t="shared" si="115"/>
        <v>0</v>
      </c>
      <c r="BG170" s="20">
        <f t="shared" si="115"/>
        <v>0</v>
      </c>
      <c r="BH170" s="20">
        <f t="shared" si="115"/>
        <v>0</v>
      </c>
      <c r="BI170" s="20">
        <f t="shared" si="115"/>
        <v>0</v>
      </c>
      <c r="BJ170" s="20">
        <f t="shared" si="115"/>
        <v>0</v>
      </c>
      <c r="BK170" s="20">
        <f t="shared" si="115"/>
        <v>0</v>
      </c>
      <c r="BL170" s="20">
        <f t="shared" si="115"/>
        <v>0</v>
      </c>
      <c r="BM170" s="20">
        <f t="shared" si="115"/>
        <v>0</v>
      </c>
      <c r="BN170" s="20">
        <f t="shared" si="115"/>
        <v>0</v>
      </c>
      <c r="BO170" s="20">
        <f t="shared" si="115"/>
        <v>0</v>
      </c>
      <c r="BP170" s="20">
        <f t="shared" si="115"/>
        <v>0</v>
      </c>
    </row>
    <row r="171" spans="3:68" x14ac:dyDescent="0.25">
      <c r="C171" s="6" t="s">
        <v>50</v>
      </c>
      <c r="D171" s="6" t="s">
        <v>844</v>
      </c>
      <c r="E171" s="95"/>
      <c r="F171" s="95"/>
      <c r="G171" s="95">
        <f t="shared" si="106"/>
        <v>64143.61505792019</v>
      </c>
      <c r="H171" s="95">
        <f t="shared" ref="H171:AM171" si="116">SUM(H166:H170)</f>
        <v>0</v>
      </c>
      <c r="I171" s="95">
        <f t="shared" si="116"/>
        <v>0</v>
      </c>
      <c r="J171" s="95">
        <f t="shared" si="116"/>
        <v>0</v>
      </c>
      <c r="K171" s="95">
        <f t="shared" si="116"/>
        <v>0</v>
      </c>
      <c r="L171" s="95">
        <f t="shared" si="116"/>
        <v>0</v>
      </c>
      <c r="M171" s="95">
        <f t="shared" si="116"/>
        <v>0</v>
      </c>
      <c r="N171" s="95">
        <f t="shared" si="116"/>
        <v>0</v>
      </c>
      <c r="O171" s="95">
        <f t="shared" si="116"/>
        <v>0</v>
      </c>
      <c r="P171" s="95">
        <f t="shared" si="116"/>
        <v>0</v>
      </c>
      <c r="Q171" s="95">
        <f t="shared" si="116"/>
        <v>0</v>
      </c>
      <c r="R171" s="95">
        <f t="shared" si="116"/>
        <v>0</v>
      </c>
      <c r="S171" s="95">
        <f t="shared" si="116"/>
        <v>0</v>
      </c>
      <c r="T171" s="95">
        <f t="shared" si="116"/>
        <v>0</v>
      </c>
      <c r="U171" s="95">
        <f t="shared" si="116"/>
        <v>0</v>
      </c>
      <c r="V171" s="95">
        <f t="shared" si="116"/>
        <v>0</v>
      </c>
      <c r="W171" s="95">
        <f t="shared" si="116"/>
        <v>0</v>
      </c>
      <c r="X171" s="95">
        <f t="shared" si="116"/>
        <v>0</v>
      </c>
      <c r="Y171" s="95">
        <f t="shared" si="116"/>
        <v>0</v>
      </c>
      <c r="Z171" s="95">
        <f t="shared" si="116"/>
        <v>0</v>
      </c>
      <c r="AA171" s="95">
        <f t="shared" si="116"/>
        <v>0</v>
      </c>
      <c r="AB171" s="95">
        <f t="shared" si="116"/>
        <v>0</v>
      </c>
      <c r="AC171" s="95">
        <f t="shared" si="116"/>
        <v>0</v>
      </c>
      <c r="AD171" s="95">
        <f t="shared" si="116"/>
        <v>0</v>
      </c>
      <c r="AE171" s="95">
        <f t="shared" si="116"/>
        <v>0</v>
      </c>
      <c r="AF171" s="95">
        <f t="shared" si="116"/>
        <v>0</v>
      </c>
      <c r="AG171" s="95">
        <f t="shared" si="116"/>
        <v>0</v>
      </c>
      <c r="AH171" s="95">
        <f t="shared" si="116"/>
        <v>0</v>
      </c>
      <c r="AI171" s="95">
        <f t="shared" si="116"/>
        <v>0</v>
      </c>
      <c r="AJ171" s="95">
        <f t="shared" si="116"/>
        <v>0</v>
      </c>
      <c r="AK171" s="95">
        <f t="shared" si="116"/>
        <v>0</v>
      </c>
      <c r="AL171" s="95">
        <f t="shared" si="116"/>
        <v>0</v>
      </c>
      <c r="AM171" s="95">
        <f t="shared" si="116"/>
        <v>0</v>
      </c>
      <c r="AN171" s="95">
        <f t="shared" ref="AN171:BP171" si="117">SUM(AN166:AN170)</f>
        <v>0</v>
      </c>
      <c r="AO171" s="95">
        <f t="shared" si="117"/>
        <v>0</v>
      </c>
      <c r="AP171" s="95">
        <f t="shared" si="117"/>
        <v>0</v>
      </c>
      <c r="AQ171" s="95">
        <f t="shared" si="117"/>
        <v>0</v>
      </c>
      <c r="AR171" s="95">
        <f t="shared" si="117"/>
        <v>0</v>
      </c>
      <c r="AS171" s="95">
        <f t="shared" si="117"/>
        <v>0</v>
      </c>
      <c r="AT171" s="95">
        <f t="shared" si="117"/>
        <v>0</v>
      </c>
      <c r="AU171" s="95">
        <f t="shared" si="117"/>
        <v>0</v>
      </c>
      <c r="AV171" s="95">
        <f t="shared" si="117"/>
        <v>0</v>
      </c>
      <c r="AW171" s="95">
        <f t="shared" si="117"/>
        <v>0</v>
      </c>
      <c r="AX171" s="95">
        <f t="shared" si="117"/>
        <v>0</v>
      </c>
      <c r="AY171" s="95">
        <f t="shared" si="117"/>
        <v>0</v>
      </c>
      <c r="AZ171" s="95">
        <f t="shared" si="117"/>
        <v>64143.61505792019</v>
      </c>
      <c r="BA171" s="95">
        <f t="shared" si="117"/>
        <v>0</v>
      </c>
      <c r="BB171" s="95">
        <f t="shared" si="117"/>
        <v>0</v>
      </c>
      <c r="BC171" s="95">
        <f t="shared" si="117"/>
        <v>0</v>
      </c>
      <c r="BD171" s="95">
        <f t="shared" si="117"/>
        <v>0</v>
      </c>
      <c r="BE171" s="95">
        <f t="shared" si="117"/>
        <v>0</v>
      </c>
      <c r="BF171" s="95">
        <f t="shared" si="117"/>
        <v>0</v>
      </c>
      <c r="BG171" s="95">
        <f t="shared" si="117"/>
        <v>0</v>
      </c>
      <c r="BH171" s="95">
        <f t="shared" si="117"/>
        <v>0</v>
      </c>
      <c r="BI171" s="95">
        <f t="shared" si="117"/>
        <v>0</v>
      </c>
      <c r="BJ171" s="95">
        <f t="shared" si="117"/>
        <v>0</v>
      </c>
      <c r="BK171" s="95">
        <f t="shared" si="117"/>
        <v>0</v>
      </c>
      <c r="BL171" s="95">
        <f t="shared" si="117"/>
        <v>0</v>
      </c>
      <c r="BM171" s="95">
        <f t="shared" si="117"/>
        <v>0</v>
      </c>
      <c r="BN171" s="95">
        <f t="shared" si="117"/>
        <v>0</v>
      </c>
      <c r="BO171" s="95">
        <f t="shared" si="117"/>
        <v>0</v>
      </c>
      <c r="BP171" s="95">
        <f t="shared" si="117"/>
        <v>0</v>
      </c>
    </row>
    <row r="172" x14ac:dyDescent="0.25">
      <c r="C172" t="inlineStr">
        <is>
          <t xml:space="preserve">Net cash flow (pre-tax; after the community purchase right, rows 284–286)</t>
        </is>
      </c>
      <c r="D172" t="s">
        <v>844</v>
      </c>
      <c r="E172" s="20"/>
      <c r="F172" s="20"/>
      <c r="G172" s="20">
        <f t="shared" si="106"/>
        <v>15526.316248499032</v>
      </c>
      <c r="H172" s="20">
        <f>H164+H171+H284+H285+H286</f>
        <v>-400</v>
      </c>
      <c r="I172" s="20">
        <f>I164+I171+I284+I285+I286</f>
        <v>0</v>
      </c>
      <c r="J172" s="20">
        <f>J164+J171+J284+J285+J286</f>
        <v>0</v>
      </c>
      <c r="K172" s="20">
        <f>K164+K171+K284+K285+K286</f>
        <v>-205.87105146242135</v>
      </c>
      <c r="L172" s="20">
        <f>L164+L171+L284+L285+L286</f>
        <v>-12.18945205479452</v>
      </c>
      <c r="M172" s="20">
        <f>M164+M171+M284+M285+M286</f>
        <v>-2557.1743150684933</v>
      </c>
      <c r="N172" s="20">
        <f>N164+N171+N284+N285+N286</f>
        <v>-101.15062014068864</v>
      </c>
      <c r="O172" s="20">
        <f>O164+O171+O284+O285+O286</f>
        <v>-270.3141336542021</v>
      </c>
      <c r="P172" s="20">
        <f>P164+P171+P284+P285+P286</f>
        <v>-489.4208904109589</v>
      </c>
      <c r="Q172" s="20">
        <f>Q164+Q171+Q284+Q285+Q286</f>
        <v>-91.42089041095892</v>
      </c>
      <c r="R172" s="20">
        <f>R164+R171+R284+R285+R286</f>
        <v>-91.42089041095892</v>
      </c>
      <c r="S172" s="20">
        <f>S164+S171+S284+S285+S286</f>
        <v>-134.66413365420215</v>
      </c>
      <c r="T172" s="20">
        <f>T164+T171+T284+T285+T286</f>
        <v>-134.66413365420215</v>
      </c>
      <c r="U172" s="20">
        <f>U164+U171+U284+U285+U286</f>
        <v>-91.42089041095892</v>
      </c>
      <c r="V172" s="20">
        <f>V164+V171+V284+V285+V286</f>
        <v>-91.42089041095892</v>
      </c>
      <c r="W172" s="20">
        <f>W164+W171+W284+W285+W286</f>
        <v>-91.42089041095892</v>
      </c>
      <c r="X172" s="20">
        <f>X164+X171+X284+X285+X286</f>
        <v>-131.96143095149947</v>
      </c>
      <c r="Y172" s="20">
        <f>Y164+Y171+Y284+Y285+Y286</f>
        <v>-234.10197149204</v>
      </c>
      <c r="Z172" s="20">
        <f>Z164+Z171+Z284+Z285+Z286</f>
        <v>-1046.1648231191773</v>
      </c>
      <c r="AA172" s="20">
        <f>AA164+AA171+AA284+AA285+AA286</f>
        <v>-321.15062014068866</v>
      </c>
      <c r="AB172" s="20">
        <f>AB164+AB171+AB284+AB285+AB286</f>
        <v>-179.55602554609405</v>
      </c>
      <c r="AC172" s="20">
        <f>AC164+AC171+AC284+AC285+AC286</f>
        <v>-91.52899851906703</v>
      </c>
      <c r="AD172" s="20">
        <f>AD164+AD171+AD284+AD285+AD286</f>
        <v>-91.42089041095892</v>
      </c>
      <c r="AE172" s="20">
        <f>AE164+AE171+AE284+AE285+AE286</f>
        <v>-95.92089041095892</v>
      </c>
      <c r="AF172" s="20">
        <f>AF164+AF171+AF284+AF285+AF286</f>
        <v>-91.42089041095892</v>
      </c>
      <c r="AG172" s="20">
        <f>AG164+AG171+AG284+AG285+AG286</f>
        <v>-253.29494755381603</v>
      </c>
      <c r="AH172" s="20">
        <f>AH164+AH171+AH284+AH285+AH286</f>
        <v>-91.42089041095892</v>
      </c>
      <c r="AI172" s="20">
        <f>AI164+AI171+AI284+AI285+AI286</f>
        <v>-91.42089041095892</v>
      </c>
      <c r="AJ172" s="20">
        <f>AJ164+AJ171+AJ284+AJ285+AJ286</f>
        <v>-123.85332284339135</v>
      </c>
      <c r="AK172" s="20">
        <f>AK164+AK171+AK284+AK285+AK286</f>
        <v>-373.6285520395319</v>
      </c>
      <c r="AL172" s="20">
        <f>AL164+AL171+AL284+AL285+AL286</f>
        <v>-39111.52153076639</v>
      </c>
      <c r="AM172" s="20">
        <f>AM164+AM171+AM284+AM285+AM286</f>
        <v>-91.42089041095892</v>
      </c>
      <c r="AN172" s="20">
        <f>AN164+AN171+AN284+AN285+AN286</f>
        <v>-337.9073768974454</v>
      </c>
      <c r="AO172" s="20">
        <f>AO164+AO171+AO284+AO285+AO286</f>
        <v>-91.42089041095892</v>
      </c>
      <c r="AP172" s="20">
        <f>AP164+AP171+AP284+AP285+AP286</f>
        <v>-91.42089041095892</v>
      </c>
      <c r="AQ172" s="20">
        <f>AQ164+AQ171+AQ284+AQ285+AQ286</f>
        <v>-91.42089041095892</v>
      </c>
      <c r="AR172" s="20">
        <f>AR164+AR171+AR284+AR285+AR286</f>
        <v>-91.42089041095892</v>
      </c>
      <c r="AS172" s="20">
        <f>AS164+AS171+AS284+AS285+AS286</f>
        <v>-91.42089041095892</v>
      </c>
      <c r="AT172" s="20">
        <f>AT164+AT171+AT284+AT285+AT286</f>
        <v>-91.42089041095892</v>
      </c>
      <c r="AU172" s="20">
        <f>AU164+AU171+AU284+AU285+AU286</f>
        <v>-91.42089041095892</v>
      </c>
      <c r="AV172" s="20">
        <f>AV164+AV171+AV284+AV285+AV286</f>
        <v>-91.42089041095892</v>
      </c>
      <c r="AW172" s="20">
        <f>AW164+AW171+AW284+AW285+AW286</f>
        <v>-91.42089041095892</v>
      </c>
      <c r="AX172" s="20">
        <f>AX164+AX171+AX284+AX285+AX286</f>
        <v>-91.42089041095892</v>
      </c>
      <c r="AY172" s="20">
        <f>AY164+AY171+AY284+AY285+AY286</f>
        <v>-91.42089041095892</v>
      </c>
      <c r="AZ172" s="20">
        <f>AZ164+AZ171+AZ284+AZ285+AZ286</f>
        <v>64052.19416750923</v>
      </c>
      <c r="BA172" s="20">
        <f>BA164+BA171+BA284+BA285+BA286</f>
        <v>0</v>
      </c>
      <c r="BB172" s="20">
        <f>BB164+BB171+BB284+BB285+BB286</f>
        <v>0</v>
      </c>
      <c r="BC172" s="20">
        <f>BC164+BC171+BC284+BC285+BC286</f>
        <v>0</v>
      </c>
      <c r="BD172" s="20">
        <f>BD164+BD171+BD284+BD285+BD286</f>
        <v>0</v>
      </c>
      <c r="BE172" s="20">
        <f>BE164+BE171+BE284+BE285+BE286</f>
        <v>0</v>
      </c>
      <c r="BF172" s="20">
        <f>BF164+BF171+BF284+BF285+BF286</f>
        <v>0</v>
      </c>
      <c r="BG172" s="20">
        <f>BG164+BG171+BG284+BG285+BG286</f>
        <v>0</v>
      </c>
      <c r="BH172" s="20">
        <f>BH164+BH171+BH284+BH285+BH286</f>
        <v>0</v>
      </c>
      <c r="BI172" s="20">
        <f>BI164+BI171+BI284+BI285+BI286</f>
        <v>0</v>
      </c>
      <c r="BJ172" s="20">
        <f>BJ164+BJ171+BJ284+BJ285+BJ286</f>
        <v>0</v>
      </c>
      <c r="BK172" s="20">
        <f>BK164+BK171+BK284+BK285+BK286</f>
        <v>0</v>
      </c>
      <c r="BL172" s="20">
        <f>BL164+BL171+BL284+BL285+BL286</f>
        <v>0</v>
      </c>
      <c r="BM172" s="20">
        <f>BM164+BM171+BM284+BM285+BM286</f>
        <v>0</v>
      </c>
      <c r="BN172" s="20">
        <f>BN164+BN171+BN284+BN285+BN286</f>
        <v>0</v>
      </c>
      <c r="BO172" s="20">
        <f>BO164+BO171+BO284+BO285+BO286</f>
        <v>0</v>
      </c>
      <c r="BP172" s="20">
        <f>BP164+BP171+BP284+BP285+BP286</f>
        <v>0</v>
      </c>
    </row>
    <row r="173" spans="3:68" x14ac:dyDescent="0.25">
      <c r="C173" t="s">
        <v>720</v>
      </c>
      <c r="D173" t="s">
        <v>844</v>
      </c>
      <c r="E173" s="20"/>
      <c r="F173" s="20"/>
      <c r="G173" s="20"/>
      <c r="H173" s="20">
        <f>H172</f>
        <v>-400</v>
      </c>
      <c r="I173" s="20">
        <f t="shared" ref="I173:AN173" si="120">H173+I172</f>
        <v>-400</v>
      </c>
      <c r="J173" s="20">
        <f t="shared" si="120"/>
        <v>-400</v>
      </c>
      <c r="K173" s="20">
        <f t="shared" si="120"/>
        <v>-605.8710514624213</v>
      </c>
      <c r="L173" s="20">
        <f t="shared" si="120"/>
        <v>-618.0605035172158</v>
      </c>
      <c r="M173" s="20">
        <f t="shared" si="120"/>
        <v>-3175.234818585709</v>
      </c>
      <c r="N173" s="20">
        <f t="shared" si="120"/>
        <v>-3276.3854387263978</v>
      </c>
      <c r="O173" s="20">
        <f t="shared" si="120"/>
        <v>-3546.6995723806</v>
      </c>
      <c r="P173" s="20">
        <f t="shared" si="120"/>
        <v>-4036.1204627915586</v>
      </c>
      <c r="Q173" s="20">
        <f t="shared" si="120"/>
        <v>-4127.541353202518</v>
      </c>
      <c r="R173" s="20">
        <f t="shared" si="120"/>
        <v>-4218.962243613477</v>
      </c>
      <c r="S173" s="20">
        <f t="shared" si="120"/>
        <v>-4353.626377267679</v>
      </c>
      <c r="T173" s="20">
        <f t="shared" si="120"/>
        <v>-4488.290510921882</v>
      </c>
      <c r="U173" s="20">
        <f t="shared" si="120"/>
        <v>-4579.711401332841</v>
      </c>
      <c r="V173" s="20">
        <f t="shared" si="120"/>
        <v>-4671.1322917438</v>
      </c>
      <c r="W173" s="20">
        <f t="shared" si="120"/>
        <v>-4762.553182154759</v>
      </c>
      <c r="X173" s="20">
        <f t="shared" si="120"/>
        <v>-4894.514613106258</v>
      </c>
      <c r="Y173" s="20">
        <f t="shared" si="120"/>
        <v>-5128.616584598299</v>
      </c>
      <c r="Z173" s="20">
        <f t="shared" si="120"/>
        <v>-6174.781407717476</v>
      </c>
      <c r="AA173" s="20">
        <f t="shared" si="120"/>
        <v>-6495.9320278581645</v>
      </c>
      <c r="AB173" s="20">
        <f t="shared" si="120"/>
        <v>-6675.488053404259</v>
      </c>
      <c r="AC173" s="20">
        <f t="shared" si="120"/>
        <v>-6767.017051923325</v>
      </c>
      <c r="AD173" s="20">
        <f t="shared" si="120"/>
        <v>-6858.437942334284</v>
      </c>
      <c r="AE173" s="20">
        <f t="shared" si="120"/>
        <v>-6954.3588327452435</v>
      </c>
      <c r="AF173" s="20">
        <f t="shared" si="120"/>
        <v>-7045.779723156203</v>
      </c>
      <c r="AG173" s="20">
        <f t="shared" si="120"/>
        <v>-7299.074670710019</v>
      </c>
      <c r="AH173" s="20">
        <f t="shared" si="120"/>
        <v>-7390.495561120978</v>
      </c>
      <c r="AI173" s="20">
        <f t="shared" si="120"/>
        <v>-7481.916451531937</v>
      </c>
      <c r="AJ173" s="20">
        <f t="shared" si="120"/>
        <v>-7605.769774375329</v>
      </c>
      <c r="AK173" s="20">
        <f t="shared" si="120"/>
        <v>-7979.398326414861</v>
      </c>
      <c r="AL173" s="20">
        <f t="shared" si="120"/>
        <v>-47090.91985718125</v>
      </c>
      <c r="AM173" s="20">
        <f t="shared" si="120"/>
        <v>-47182.340747592214</v>
      </c>
      <c r="AN173" s="20">
        <f t="shared" si="120"/>
        <v>-47520.24812448966</v>
      </c>
      <c r="AO173" s="20">
        <f t="shared" ref="AO173:BP173" si="121">AN173+AO172</f>
        <v>-47611.669014900624</v>
      </c>
      <c r="AP173" s="20">
        <f t="shared" si="121"/>
        <v>-47703.089905311586</v>
      </c>
      <c r="AQ173" s="20">
        <f t="shared" si="121"/>
        <v>-47794.51079572255</v>
      </c>
      <c r="AR173" s="20">
        <f t="shared" si="121"/>
        <v>-47885.93168613351</v>
      </c>
      <c r="AS173" s="20">
        <f t="shared" si="121"/>
        <v>-47977.35257654447</v>
      </c>
      <c r="AT173" s="20">
        <f t="shared" si="121"/>
        <v>-48068.773466955434</v>
      </c>
      <c r="AU173" s="20">
        <f t="shared" si="121"/>
        <v>-48160.194357366396</v>
      </c>
      <c r="AV173" s="20">
        <f t="shared" si="121"/>
        <v>-48251.61524777736</v>
      </c>
      <c r="AW173" s="20">
        <f t="shared" si="121"/>
        <v>-48343.03613818832</v>
      </c>
      <c r="AX173" s="20">
        <f t="shared" si="121"/>
        <v>-48434.45702859928</v>
      </c>
      <c r="AY173" s="20">
        <f t="shared" si="121"/>
        <v>-48525.87791901024</v>
      </c>
      <c r="AZ173" s="20">
        <f t="shared" si="121"/>
        <v>15526.316248498988</v>
      </c>
      <c r="BA173" s="20">
        <f t="shared" si="121"/>
        <v>15526.316248498988</v>
      </c>
      <c r="BB173" s="20">
        <f t="shared" si="121"/>
        <v>15526.316248498988</v>
      </c>
      <c r="BC173" s="20">
        <f t="shared" si="121"/>
        <v>15526.316248498988</v>
      </c>
      <c r="BD173" s="20">
        <f t="shared" si="121"/>
        <v>15526.316248498988</v>
      </c>
      <c r="BE173" s="20">
        <f t="shared" si="121"/>
        <v>15526.316248498988</v>
      </c>
      <c r="BF173" s="20">
        <f t="shared" si="121"/>
        <v>15526.316248498988</v>
      </c>
      <c r="BG173" s="20">
        <f t="shared" si="121"/>
        <v>15526.316248498988</v>
      </c>
      <c r="BH173" s="20">
        <f t="shared" si="121"/>
        <v>15526.316248498988</v>
      </c>
      <c r="BI173" s="20">
        <f t="shared" si="121"/>
        <v>15526.316248498988</v>
      </c>
      <c r="BJ173" s="20">
        <f t="shared" si="121"/>
        <v>15526.316248498988</v>
      </c>
      <c r="BK173" s="20">
        <f t="shared" si="121"/>
        <v>15526.316248498988</v>
      </c>
      <c r="BL173" s="20">
        <f t="shared" si="121"/>
        <v>15526.316248498988</v>
      </c>
      <c r="BM173" s="20">
        <f t="shared" si="121"/>
        <v>15526.316248498988</v>
      </c>
      <c r="BN173" s="20">
        <f t="shared" si="121"/>
        <v>15526.316248498988</v>
      </c>
      <c r="BO173" s="20">
        <f t="shared" si="121"/>
        <v>15526.316248498988</v>
      </c>
      <c r="BP173" s="20">
        <f t="shared" si="121"/>
        <v>15526.316248498988</v>
      </c>
    </row>
    <row r="174" x14ac:dyDescent="0.25">
      <c r="C174" t="s">
        <v>1715</v>
      </c>
      <c r="D174" t="s">
        <v>844</v>
      </c>
      <c r="E174" s="31">
        <f>Inputs!$E$12</f>
        <v>0.09</v>
      </c>
      <c r="F174" s="20"/>
      <c r="G174" s="20">
        <f>SUM(H174:BP174)</f>
        <v>-352.5917539835348</v>
      </c>
      <c r="H174" s="20">
        <f>-H$7*$E$174*MAX(H173-Inputs!$E$14*$G$170*(1-H283),0)</f>
        <v>-0</v>
      </c>
      <c r="I174" s="20">
        <f>-I$7*$E$174*MAX(I173-Inputs!$E$14*$G$170*(1-I283),0)</f>
        <v>-0</v>
      </c>
      <c r="J174" s="20">
        <f>-J$7*$E$174*MAX(J173-Inputs!$E$14*$G$170*(1-J283),0)</f>
        <v>-0</v>
      </c>
      <c r="K174" s="20">
        <f>-K$7*$E$174*MAX(K173-Inputs!$E$14*$G$170*(1-K283),0)</f>
        <v>-0</v>
      </c>
      <c r="L174" s="20">
        <f>-L$7*$E$174*MAX(L173-Inputs!$E$14*$G$170*(1-L283),0)</f>
        <v>-0</v>
      </c>
      <c r="M174" s="20">
        <f>-M$7*$E$174*MAX(M173-Inputs!$E$14*$G$170*(1-M283),0)</f>
        <v>-0</v>
      </c>
      <c r="N174" s="20">
        <f>-N$7*$E$174*MAX(N173-Inputs!$E$14*$G$170*(1-N283),0)</f>
        <v>-0</v>
      </c>
      <c r="O174" s="20">
        <f>-O$7*$E$174*MAX(O173-Inputs!$E$14*$G$170*(1-O283),0)</f>
        <v>-0</v>
      </c>
      <c r="P174" s="20">
        <f>-P$7*$E$174*MAX(P173-Inputs!$E$14*$G$170*(1-P283),0)</f>
        <v>-0</v>
      </c>
      <c r="Q174" s="20">
        <f>-Q$7*$E$174*MAX(Q173-Inputs!$E$14*$G$170*(1-Q283),0)</f>
        <v>-0</v>
      </c>
      <c r="R174" s="20">
        <f>-R$7*$E$174*MAX(R173-Inputs!$E$14*$G$170*(1-R283),0)</f>
        <v>-0</v>
      </c>
      <c r="S174" s="20">
        <f>-S$7*$E$174*MAX(S173-Inputs!$E$14*$G$170*(1-S283),0)</f>
        <v>-0</v>
      </c>
      <c r="T174" s="20">
        <f>-T$7*$E$174*MAX(T173-Inputs!$E$14*$G$170*(1-T283),0)</f>
        <v>-0</v>
      </c>
      <c r="U174" s="20">
        <f>-U$7*$E$174*MAX(U173-Inputs!$E$14*$G$170*(1-U283),0)</f>
        <v>-0</v>
      </c>
      <c r="V174" s="20">
        <f>-V$7*$E$174*MAX(V173-Inputs!$E$14*$G$170*(1-V283),0)</f>
        <v>-0</v>
      </c>
      <c r="W174" s="20">
        <f>-W$7*$E$174*MAX(W173-Inputs!$E$14*$G$170*(1-W283),0)</f>
        <v>-0</v>
      </c>
      <c r="X174" s="20">
        <f>-X$7*$E$174*MAX(X173-Inputs!$E$14*$G$170*(1-X283),0)</f>
        <v>-0</v>
      </c>
      <c r="Y174" s="20">
        <f>-Y$7*$E$174*MAX(Y173-Inputs!$E$14*$G$170*(1-Y283),0)</f>
        <v>-0</v>
      </c>
      <c r="Z174" s="20">
        <f>-Z$7*$E$174*MAX(Z173-Inputs!$E$14*$G$170*(1-Z283),0)</f>
        <v>-0</v>
      </c>
      <c r="AA174" s="20">
        <f>-AA$7*$E$174*MAX(AA173-Inputs!$E$14*$G$170*(1-AA283),0)</f>
        <v>-0</v>
      </c>
      <c r="AB174" s="20">
        <f>-AB$7*$E$174*MAX(AB173-Inputs!$E$14*$G$170*(1-AB283),0)</f>
        <v>-0</v>
      </c>
      <c r="AC174" s="20">
        <f>-AC$7*$E$174*MAX(AC173-Inputs!$E$14*$G$170*(1-AC283),0)</f>
        <v>-0</v>
      </c>
      <c r="AD174" s="20">
        <f>-AD$7*$E$174*MAX(AD173-Inputs!$E$14*$G$170*(1-AD283),0)</f>
        <v>-0</v>
      </c>
      <c r="AE174" s="20">
        <f>-AE$7*$E$174*MAX(AE173-Inputs!$E$14*$G$170*(1-AE283),0)</f>
        <v>-0</v>
      </c>
      <c r="AF174" s="20">
        <f>-AF$7*$E$174*MAX(AF173-Inputs!$E$14*$G$170*(1-AF283),0)</f>
        <v>-0</v>
      </c>
      <c r="AG174" s="20">
        <f>-AG$7*$E$174*MAX(AG173-Inputs!$E$14*$G$170*(1-AG283),0)</f>
        <v>-0</v>
      </c>
      <c r="AH174" s="20">
        <f>-AH$7*$E$174*MAX(AH173-Inputs!$E$14*$G$170*(1-AH283),0)</f>
        <v>-0</v>
      </c>
      <c r="AI174" s="20">
        <f>-AI$7*$E$174*MAX(AI173-Inputs!$E$14*$G$170*(1-AI283),0)</f>
        <v>-0</v>
      </c>
      <c r="AJ174" s="20">
        <f>-AJ$7*$E$174*MAX(AJ173-Inputs!$E$14*$G$170*(1-AJ283),0)</f>
        <v>-0</v>
      </c>
      <c r="AK174" s="20">
        <f>-AK$7*$E$174*MAX(AK173-Inputs!$E$14*$G$170*(1-AK283),0)</f>
        <v>-0</v>
      </c>
      <c r="AL174" s="20">
        <f>-AL$7*$E$174*MAX(AL173-Inputs!$E$14*$G$170*(1-AL283),0)</f>
        <v>-0</v>
      </c>
      <c r="AM174" s="20">
        <f>-AM$7*$E$174*MAX(AM173-Inputs!$E$14*$G$170*(1-AM283),0)</f>
        <v>-0</v>
      </c>
      <c r="AN174" s="20">
        <f>-AN$7*$E$174*MAX(AN173-Inputs!$E$14*$G$170*(1-AN283),0)</f>
        <v>-0</v>
      </c>
      <c r="AO174" s="20">
        <f>-AO$7*$E$174*MAX(AO173-Inputs!$E$14*$G$170*(1-AO283),0)</f>
        <v>-0</v>
      </c>
      <c r="AP174" s="20">
        <f>-AP$7*$E$174*MAX(AP173-Inputs!$E$14*$G$170*(1-AP283),0)</f>
        <v>-0</v>
      </c>
      <c r="AQ174" s="20">
        <f>-AQ$7*$E$174*MAX(AQ173-Inputs!$E$14*$G$170*(1-AQ283),0)</f>
        <v>-0</v>
      </c>
      <c r="AR174" s="20">
        <f>-AR$7*$E$174*MAX(AR173-Inputs!$E$14*$G$170*(1-AR283),0)</f>
        <v>-0</v>
      </c>
      <c r="AS174" s="20">
        <f>-AS$7*$E$174*MAX(AS173-Inputs!$E$14*$G$170*(1-AS283),0)</f>
        <v>-0</v>
      </c>
      <c r="AT174" s="20">
        <f>-AT$7*$E$174*MAX(AT173-Inputs!$E$14*$G$170*(1-AT283),0)</f>
        <v>-0</v>
      </c>
      <c r="AU174" s="20">
        <f>-AU$7*$E$174*MAX(AU173-Inputs!$E$14*$G$170*(1-AU283),0)</f>
        <v>-0</v>
      </c>
      <c r="AV174" s="20">
        <f>-AV$7*$E$174*MAX(AV173-Inputs!$E$14*$G$170*(1-AV283),0)</f>
        <v>-0</v>
      </c>
      <c r="AW174" s="20">
        <f>-AW$7*$E$174*MAX(AW173-Inputs!$E$14*$G$170*(1-AW283),0)</f>
        <v>-0</v>
      </c>
      <c r="AX174" s="20">
        <f>-AX$7*$E$174*MAX(AX173-Inputs!$E$14*$G$170*(1-AX283),0)</f>
        <v>-0</v>
      </c>
      <c r="AY174" s="20">
        <f>-AY$7*$E$174*MAX(AY173-Inputs!$E$14*$G$170*(1-AY283),0)</f>
        <v>-0</v>
      </c>
      <c r="AZ174" s="20">
        <f>-AZ$7*$E$174*MAX(AZ173-Inputs!$E$14*$G$170*(1-AZ283),0)</f>
        <v>-352.5917539835348</v>
      </c>
      <c r="BA174" s="20">
        <f>-BA$7*$E$174*MAX(BA173-Inputs!$E$14*$G$170*(1-BA283),0)</f>
        <v>-0</v>
      </c>
      <c r="BB174" s="20">
        <f>-BB$7*$E$174*MAX(BB173-Inputs!$E$14*$G$170*(1-BB283),0)</f>
        <v>-0</v>
      </c>
      <c r="BC174" s="20">
        <f>-BC$7*$E$174*MAX(BC173-Inputs!$E$14*$G$170*(1-BC283),0)</f>
        <v>-0</v>
      </c>
      <c r="BD174" s="20">
        <f>-BD$7*$E$174*MAX(BD173-Inputs!$E$14*$G$170*(1-BD283),0)</f>
        <v>-0</v>
      </c>
      <c r="BE174" s="20">
        <f>-BE$7*$E$174*MAX(BE173-Inputs!$E$14*$G$170*(1-BE283),0)</f>
        <v>-0</v>
      </c>
      <c r="BF174" s="20">
        <f>-BF$7*$E$174*MAX(BF173-Inputs!$E$14*$G$170*(1-BF283),0)</f>
        <v>-0</v>
      </c>
      <c r="BG174" s="20">
        <f>-BG$7*$E$174*MAX(BG173-Inputs!$E$14*$G$170*(1-BG283),0)</f>
        <v>-0</v>
      </c>
      <c r="BH174" s="20">
        <f>-BH$7*$E$174*MAX(BH173-Inputs!$E$14*$G$170*(1-BH283),0)</f>
        <v>-0</v>
      </c>
      <c r="BI174" s="20">
        <f>-BI$7*$E$174*MAX(BI173-Inputs!$E$14*$G$170*(1-BI283),0)</f>
        <v>-0</v>
      </c>
      <c r="BJ174" s="20">
        <f>-BJ$7*$E$174*MAX(BJ173-Inputs!$E$14*$G$170*(1-BJ283),0)</f>
        <v>-0</v>
      </c>
      <c r="BK174" s="20">
        <f>-BK$7*$E$174*MAX(BK173-Inputs!$E$14*$G$170*(1-BK283),0)</f>
        <v>-0</v>
      </c>
      <c r="BL174" s="20">
        <f>-BL$7*$E$174*MAX(BL173-Inputs!$E$14*$G$170*(1-BL283),0)</f>
        <v>-0</v>
      </c>
      <c r="BM174" s="20">
        <f>-BM$7*$E$174*MAX(BM173-Inputs!$E$14*$G$170*(1-BM283),0)</f>
        <v>-0</v>
      </c>
      <c r="BN174" s="20">
        <f>-BN$7*$E$174*MAX(BN173-Inputs!$E$14*$G$170*(1-BN283),0)</f>
        <v>-0</v>
      </c>
      <c r="BO174" s="20">
        <f>-BO$7*$E$174*MAX(BO173-Inputs!$E$14*$G$170*(1-BO283),0)</f>
        <v>-0</v>
      </c>
      <c r="BP174" s="20">
        <f>-BP$7*$E$174*MAX(BP173-Inputs!$E$14*$G$170*(1-BP283),0)</f>
        <v>-0</v>
      </c>
    </row>
    <row r="175" spans="3:68" x14ac:dyDescent="0.25">
      <c r="C175" s="6" t="s">
        <v>721</v>
      </c>
      <c r="D175" s="6" t="s">
        <v>844</v>
      </c>
      <c r="E175" s="95"/>
      <c r="F175" s="95"/>
      <c r="G175" s="95">
        <f>SUM(H175:BP175)</f>
        <v>15173.724494515496</v>
      </c>
      <c r="H175" s="95">
        <f t="shared" ref="H175:AM175" si="122">H172+H174</f>
        <v>-400</v>
      </c>
      <c r="I175" s="95">
        <f t="shared" si="122"/>
        <v>0</v>
      </c>
      <c r="J175" s="95">
        <f t="shared" si="122"/>
        <v>0</v>
      </c>
      <c r="K175" s="95">
        <f t="shared" si="122"/>
        <v>-205.87105146242135</v>
      </c>
      <c r="L175" s="95">
        <f t="shared" si="122"/>
        <v>-12.18945205479452</v>
      </c>
      <c r="M175" s="95">
        <f t="shared" si="122"/>
        <v>-2557.1743150684933</v>
      </c>
      <c r="N175" s="95">
        <f t="shared" si="122"/>
        <v>-101.15062014068864</v>
      </c>
      <c r="O175" s="95">
        <f t="shared" si="122"/>
        <v>-270.3141336542021</v>
      </c>
      <c r="P175" s="95">
        <f t="shared" si="122"/>
        <v>-489.4208904109589</v>
      </c>
      <c r="Q175" s="95">
        <f t="shared" si="122"/>
        <v>-91.42089041095892</v>
      </c>
      <c r="R175" s="95">
        <f t="shared" si="122"/>
        <v>-91.42089041095892</v>
      </c>
      <c r="S175" s="95">
        <f t="shared" si="122"/>
        <v>-134.66413365420215</v>
      </c>
      <c r="T175" s="95">
        <f t="shared" si="122"/>
        <v>-134.66413365420215</v>
      </c>
      <c r="U175" s="95">
        <f t="shared" si="122"/>
        <v>-91.42089041095892</v>
      </c>
      <c r="V175" s="95">
        <f t="shared" si="122"/>
        <v>-91.42089041095892</v>
      </c>
      <c r="W175" s="95">
        <f t="shared" si="122"/>
        <v>-91.42089041095892</v>
      </c>
      <c r="X175" s="95">
        <f t="shared" si="122"/>
        <v>-131.96143095149947</v>
      </c>
      <c r="Y175" s="95">
        <f t="shared" si="122"/>
        <v>-234.10197149204</v>
      </c>
      <c r="Z175" s="95">
        <f t="shared" si="122"/>
        <v>-1046.1648231191773</v>
      </c>
      <c r="AA175" s="95">
        <f t="shared" si="122"/>
        <v>-321.15062014068866</v>
      </c>
      <c r="AB175" s="95">
        <f t="shared" si="122"/>
        <v>-179.55602554609405</v>
      </c>
      <c r="AC175" s="95">
        <f t="shared" si="122"/>
        <v>-91.52899851906703</v>
      </c>
      <c r="AD175" s="95">
        <f t="shared" si="122"/>
        <v>-91.42089041095892</v>
      </c>
      <c r="AE175" s="95">
        <f t="shared" si="122"/>
        <v>-95.92089041095892</v>
      </c>
      <c r="AF175" s="95">
        <f t="shared" si="122"/>
        <v>-91.42089041095892</v>
      </c>
      <c r="AG175" s="95">
        <f t="shared" si="122"/>
        <v>-253.29494755381603</v>
      </c>
      <c r="AH175" s="95">
        <f t="shared" si="122"/>
        <v>-91.42089041095892</v>
      </c>
      <c r="AI175" s="95">
        <f t="shared" si="122"/>
        <v>-91.42089041095892</v>
      </c>
      <c r="AJ175" s="95">
        <f t="shared" si="122"/>
        <v>-123.85332284339135</v>
      </c>
      <c r="AK175" s="95">
        <f t="shared" si="122"/>
        <v>-373.6285520395319</v>
      </c>
      <c r="AL175" s="95">
        <f t="shared" si="122"/>
        <v>-39111.52153076639</v>
      </c>
      <c r="AM175" s="95">
        <f t="shared" si="122"/>
        <v>-91.42089041095892</v>
      </c>
      <c r="AN175" s="95">
        <f t="shared" ref="AN175:BP175" si="123">AN172+AN174</f>
        <v>-337.9073768974454</v>
      </c>
      <c r="AO175" s="95">
        <f t="shared" si="123"/>
        <v>-91.42089041095892</v>
      </c>
      <c r="AP175" s="95">
        <f t="shared" si="123"/>
        <v>-91.42089041095892</v>
      </c>
      <c r="AQ175" s="95">
        <f t="shared" si="123"/>
        <v>-91.42089041095892</v>
      </c>
      <c r="AR175" s="95">
        <f t="shared" si="123"/>
        <v>-91.42089041095892</v>
      </c>
      <c r="AS175" s="95">
        <f t="shared" si="123"/>
        <v>-91.42089041095892</v>
      </c>
      <c r="AT175" s="95">
        <f t="shared" si="123"/>
        <v>-91.42089041095892</v>
      </c>
      <c r="AU175" s="95">
        <f t="shared" si="123"/>
        <v>-91.42089041095892</v>
      </c>
      <c r="AV175" s="95">
        <f t="shared" si="123"/>
        <v>-91.42089041095892</v>
      </c>
      <c r="AW175" s="95">
        <f t="shared" si="123"/>
        <v>-91.42089041095892</v>
      </c>
      <c r="AX175" s="95">
        <f t="shared" si="123"/>
        <v>-91.42089041095892</v>
      </c>
      <c r="AY175" s="95">
        <f t="shared" si="123"/>
        <v>-91.42089041095892</v>
      </c>
      <c r="AZ175" s="95">
        <f t="shared" si="123"/>
        <v>63699.602413525696</v>
      </c>
      <c r="BA175" s="95">
        <f t="shared" si="123"/>
        <v>0</v>
      </c>
      <c r="BB175" s="95">
        <f t="shared" si="123"/>
        <v>0</v>
      </c>
      <c r="BC175" s="95">
        <f t="shared" si="123"/>
        <v>0</v>
      </c>
      <c r="BD175" s="95">
        <f t="shared" si="123"/>
        <v>0</v>
      </c>
      <c r="BE175" s="95">
        <f t="shared" si="123"/>
        <v>0</v>
      </c>
      <c r="BF175" s="95">
        <f t="shared" si="123"/>
        <v>0</v>
      </c>
      <c r="BG175" s="95">
        <f t="shared" si="123"/>
        <v>0</v>
      </c>
      <c r="BH175" s="95">
        <f t="shared" si="123"/>
        <v>0</v>
      </c>
      <c r="BI175" s="95">
        <f t="shared" si="123"/>
        <v>0</v>
      </c>
      <c r="BJ175" s="95">
        <f t="shared" si="123"/>
        <v>0</v>
      </c>
      <c r="BK175" s="95">
        <f t="shared" si="123"/>
        <v>0</v>
      </c>
      <c r="BL175" s="95">
        <f t="shared" si="123"/>
        <v>0</v>
      </c>
      <c r="BM175" s="95">
        <f t="shared" si="123"/>
        <v>0</v>
      </c>
      <c r="BN175" s="95">
        <f t="shared" si="123"/>
        <v>0</v>
      </c>
      <c r="BO175" s="95">
        <f t="shared" si="123"/>
        <v>0</v>
      </c>
      <c r="BP175" s="95">
        <f t="shared" si="123"/>
        <v>0</v>
      </c>
    </row>
    <row r="176" spans="3:68" x14ac:dyDescent="0.25">
      <c r="C176" t="s">
        <v>722</v>
      </c>
      <c r="D176" t="s">
        <v>844</v>
      </c>
      <c r="E176" s="20"/>
      <c r="F176" s="20"/>
      <c r="G176" s="20">
        <f>MIN(H176:BP176)</f>
        <v>-48525.87791901024</v>
      </c>
      <c r="H176" s="20">
        <f>H175</f>
        <v>-400</v>
      </c>
      <c r="I176" s="20">
        <f t="shared" ref="I176:AN176" si="124">H176+I175</f>
        <v>-400</v>
      </c>
      <c r="J176" s="20">
        <f t="shared" si="124"/>
        <v>-400</v>
      </c>
      <c r="K176" s="20">
        <f t="shared" si="124"/>
        <v>-605.8710514624213</v>
      </c>
      <c r="L176" s="20">
        <f t="shared" si="124"/>
        <v>-618.0605035172158</v>
      </c>
      <c r="M176" s="20">
        <f t="shared" si="124"/>
        <v>-3175.234818585709</v>
      </c>
      <c r="N176" s="20">
        <f t="shared" si="124"/>
        <v>-3276.3854387263978</v>
      </c>
      <c r="O176" s="20">
        <f t="shared" si="124"/>
        <v>-3546.6995723806</v>
      </c>
      <c r="P176" s="20">
        <f t="shared" si="124"/>
        <v>-4036.1204627915586</v>
      </c>
      <c r="Q176" s="20">
        <f t="shared" si="124"/>
        <v>-4127.541353202518</v>
      </c>
      <c r="R176" s="20">
        <f t="shared" si="124"/>
        <v>-4218.962243613477</v>
      </c>
      <c r="S176" s="20">
        <f t="shared" si="124"/>
        <v>-4353.626377267679</v>
      </c>
      <c r="T176" s="20">
        <f t="shared" si="124"/>
        <v>-4488.290510921882</v>
      </c>
      <c r="U176" s="20">
        <f t="shared" si="124"/>
        <v>-4579.711401332841</v>
      </c>
      <c r="V176" s="20">
        <f t="shared" si="124"/>
        <v>-4671.1322917438</v>
      </c>
      <c r="W176" s="20">
        <f t="shared" si="124"/>
        <v>-4762.553182154759</v>
      </c>
      <c r="X176" s="20">
        <f t="shared" si="124"/>
        <v>-4894.514613106258</v>
      </c>
      <c r="Y176" s="20">
        <f t="shared" si="124"/>
        <v>-5128.616584598299</v>
      </c>
      <c r="Z176" s="20">
        <f t="shared" si="124"/>
        <v>-6174.781407717476</v>
      </c>
      <c r="AA176" s="20">
        <f t="shared" si="124"/>
        <v>-6495.9320278581645</v>
      </c>
      <c r="AB176" s="20">
        <f t="shared" si="124"/>
        <v>-6675.488053404259</v>
      </c>
      <c r="AC176" s="20">
        <f t="shared" si="124"/>
        <v>-6767.017051923325</v>
      </c>
      <c r="AD176" s="20">
        <f t="shared" si="124"/>
        <v>-6858.437942334284</v>
      </c>
      <c r="AE176" s="20">
        <f t="shared" si="124"/>
        <v>-6954.3588327452435</v>
      </c>
      <c r="AF176" s="20">
        <f t="shared" si="124"/>
        <v>-7045.779723156203</v>
      </c>
      <c r="AG176" s="20">
        <f t="shared" si="124"/>
        <v>-7299.074670710019</v>
      </c>
      <c r="AH176" s="20">
        <f t="shared" si="124"/>
        <v>-7390.495561120978</v>
      </c>
      <c r="AI176" s="20">
        <f t="shared" si="124"/>
        <v>-7481.916451531937</v>
      </c>
      <c r="AJ176" s="20">
        <f t="shared" si="124"/>
        <v>-7605.769774375329</v>
      </c>
      <c r="AK176" s="20">
        <f t="shared" si="124"/>
        <v>-7979.398326414861</v>
      </c>
      <c r="AL176" s="20">
        <f t="shared" si="124"/>
        <v>-47090.91985718125</v>
      </c>
      <c r="AM176" s="20">
        <f t="shared" si="124"/>
        <v>-47182.340747592214</v>
      </c>
      <c r="AN176" s="20">
        <f t="shared" si="124"/>
        <v>-47520.24812448966</v>
      </c>
      <c r="AO176" s="20">
        <f t="shared" ref="AO176:BP176" si="125">AN176+AO175</f>
        <v>-47611.669014900624</v>
      </c>
      <c r="AP176" s="20">
        <f t="shared" si="125"/>
        <v>-47703.089905311586</v>
      </c>
      <c r="AQ176" s="20">
        <f t="shared" si="125"/>
        <v>-47794.51079572255</v>
      </c>
      <c r="AR176" s="20">
        <f t="shared" si="125"/>
        <v>-47885.93168613351</v>
      </c>
      <c r="AS176" s="20">
        <f t="shared" si="125"/>
        <v>-47977.35257654447</v>
      </c>
      <c r="AT176" s="20">
        <f t="shared" si="125"/>
        <v>-48068.773466955434</v>
      </c>
      <c r="AU176" s="20">
        <f t="shared" si="125"/>
        <v>-48160.194357366396</v>
      </c>
      <c r="AV176" s="20">
        <f t="shared" si="125"/>
        <v>-48251.61524777736</v>
      </c>
      <c r="AW176" s="20">
        <f t="shared" si="125"/>
        <v>-48343.03613818832</v>
      </c>
      <c r="AX176" s="20">
        <f t="shared" si="125"/>
        <v>-48434.45702859928</v>
      </c>
      <c r="AY176" s="20">
        <f t="shared" si="125"/>
        <v>-48525.87791901024</v>
      </c>
      <c r="AZ176" s="20">
        <f t="shared" si="125"/>
        <v>15173.724494515453</v>
      </c>
      <c r="BA176" s="20">
        <f t="shared" si="125"/>
        <v>15173.724494515453</v>
      </c>
      <c r="BB176" s="20">
        <f t="shared" si="125"/>
        <v>15173.724494515453</v>
      </c>
      <c r="BC176" s="20">
        <f t="shared" si="125"/>
        <v>15173.724494515453</v>
      </c>
      <c r="BD176" s="20">
        <f t="shared" si="125"/>
        <v>15173.724494515453</v>
      </c>
      <c r="BE176" s="20">
        <f t="shared" si="125"/>
        <v>15173.724494515453</v>
      </c>
      <c r="BF176" s="20">
        <f t="shared" si="125"/>
        <v>15173.724494515453</v>
      </c>
      <c r="BG176" s="20">
        <f t="shared" si="125"/>
        <v>15173.724494515453</v>
      </c>
      <c r="BH176" s="20">
        <f t="shared" si="125"/>
        <v>15173.724494515453</v>
      </c>
      <c r="BI176" s="20">
        <f t="shared" si="125"/>
        <v>15173.724494515453</v>
      </c>
      <c r="BJ176" s="20">
        <f t="shared" si="125"/>
        <v>15173.724494515453</v>
      </c>
      <c r="BK176" s="20">
        <f t="shared" si="125"/>
        <v>15173.724494515453</v>
      </c>
      <c r="BL176" s="20">
        <f t="shared" si="125"/>
        <v>15173.724494515453</v>
      </c>
      <c r="BM176" s="20">
        <f t="shared" si="125"/>
        <v>15173.724494515453</v>
      </c>
      <c r="BN176" s="20">
        <f t="shared" si="125"/>
        <v>15173.724494515453</v>
      </c>
      <c r="BO176" s="20">
        <f t="shared" si="125"/>
        <v>15173.724494515453</v>
      </c>
      <c r="BP176" s="20">
        <f t="shared" si="125"/>
        <v>15173.724494515453</v>
      </c>
    </row>
    <row r="177" spans="3:68" x14ac:dyDescent="0.25">
      <c r="C177" t="s">
        <v>843</v>
      </c>
      <c r="D177" t="s">
        <v>844</v>
      </c>
      <c r="E177" s="20"/>
      <c r="F177" s="20"/>
      <c r="G177" s="20"/>
      <c r="H177" s="19">
        <f>H176</f>
        <v>-400</v>
      </c>
      <c r="I177" s="19">
        <f t="shared" ref="I177:BP177" si="126">I176</f>
        <v>-400</v>
      </c>
      <c r="J177" s="19">
        <f t="shared" si="126"/>
        <v>-400</v>
      </c>
      <c r="K177" s="19">
        <f t="shared" si="126"/>
        <v>-605.8710514624213</v>
      </c>
      <c r="L177" s="19">
        <f t="shared" si="126"/>
        <v>-618.0605035172158</v>
      </c>
      <c r="M177" s="19">
        <f t="shared" si="126"/>
        <v>-3175.234818585709</v>
      </c>
      <c r="N177" s="19">
        <f t="shared" si="126"/>
        <v>-3276.3854387263978</v>
      </c>
      <c r="O177" s="19">
        <f t="shared" si="126"/>
        <v>-3546.6995723806</v>
      </c>
      <c r="P177" s="19">
        <f t="shared" si="126"/>
        <v>-4036.1204627915586</v>
      </c>
      <c r="Q177" s="19">
        <f t="shared" si="126"/>
        <v>-4127.541353202518</v>
      </c>
      <c r="R177" s="19">
        <f t="shared" si="126"/>
        <v>-4218.962243613477</v>
      </c>
      <c r="S177" s="19">
        <f t="shared" si="126"/>
        <v>-4353.626377267679</v>
      </c>
      <c r="T177" s="19">
        <f t="shared" si="126"/>
        <v>-4488.290510921882</v>
      </c>
      <c r="U177" s="19">
        <f t="shared" si="126"/>
        <v>-4579.711401332841</v>
      </c>
      <c r="V177" s="19">
        <f t="shared" si="126"/>
        <v>-4671.1322917438</v>
      </c>
      <c r="W177" s="19">
        <f t="shared" si="126"/>
        <v>-4762.553182154759</v>
      </c>
      <c r="X177" s="19">
        <f t="shared" si="126"/>
        <v>-4894.514613106258</v>
      </c>
      <c r="Y177" s="19">
        <f t="shared" si="126"/>
        <v>-5128.616584598299</v>
      </c>
      <c r="Z177" s="19">
        <f t="shared" si="126"/>
        <v>-6174.781407717476</v>
      </c>
      <c r="AA177" s="19">
        <f t="shared" si="126"/>
        <v>-6495.9320278581645</v>
      </c>
      <c r="AB177" s="19">
        <f t="shared" si="126"/>
        <v>-6675.488053404259</v>
      </c>
      <c r="AC177" s="19">
        <f t="shared" si="126"/>
        <v>-6767.017051923325</v>
      </c>
      <c r="AD177" s="19">
        <f t="shared" si="126"/>
        <v>-6858.437942334284</v>
      </c>
      <c r="AE177" s="19">
        <f t="shared" si="126"/>
        <v>-6954.3588327452435</v>
      </c>
      <c r="AF177" s="19">
        <f t="shared" si="126"/>
        <v>-7045.779723156203</v>
      </c>
      <c r="AG177" s="19">
        <f t="shared" si="126"/>
        <v>-7299.074670710019</v>
      </c>
      <c r="AH177" s="19">
        <f t="shared" si="126"/>
        <v>-7390.495561120978</v>
      </c>
      <c r="AI177" s="19">
        <f t="shared" si="126"/>
        <v>-7481.916451531937</v>
      </c>
      <c r="AJ177" s="19">
        <f t="shared" si="126"/>
        <v>-7605.769774375329</v>
      </c>
      <c r="AK177" s="19">
        <f t="shared" si="126"/>
        <v>-7979.398326414861</v>
      </c>
      <c r="AL177" s="19">
        <f t="shared" si="126"/>
        <v>-47090.91985718125</v>
      </c>
      <c r="AM177" s="19">
        <f t="shared" si="126"/>
        <v>-47182.340747592214</v>
      </c>
      <c r="AN177" s="19">
        <f t="shared" si="126"/>
        <v>-47520.24812448966</v>
      </c>
      <c r="AO177" s="19">
        <f t="shared" si="126"/>
        <v>-47611.669014900624</v>
      </c>
      <c r="AP177" s="19">
        <f t="shared" si="126"/>
        <v>-47703.089905311586</v>
      </c>
      <c r="AQ177" s="19">
        <f t="shared" si="126"/>
        <v>-47794.51079572255</v>
      </c>
      <c r="AR177" s="19">
        <f t="shared" si="126"/>
        <v>-47885.93168613351</v>
      </c>
      <c r="AS177" s="19">
        <f t="shared" si="126"/>
        <v>-47977.35257654447</v>
      </c>
      <c r="AT177" s="19">
        <f t="shared" si="126"/>
        <v>-48068.773466955434</v>
      </c>
      <c r="AU177" s="19">
        <f t="shared" si="126"/>
        <v>-48160.194357366396</v>
      </c>
      <c r="AV177" s="19">
        <f t="shared" si="126"/>
        <v>-48251.61524777736</v>
      </c>
      <c r="AW177" s="19">
        <f t="shared" si="126"/>
        <v>-48343.03613818832</v>
      </c>
      <c r="AX177" s="19">
        <f t="shared" si="126"/>
        <v>-48434.45702859928</v>
      </c>
      <c r="AY177" s="19">
        <f t="shared" si="126"/>
        <v>-48525.87791901024</v>
      </c>
      <c r="AZ177" s="19">
        <f t="shared" si="126"/>
        <v>15173.724494515453</v>
      </c>
      <c r="BA177" s="19">
        <f t="shared" si="126"/>
        <v>15173.724494515453</v>
      </c>
      <c r="BB177" s="19">
        <f t="shared" si="126"/>
        <v>15173.724494515453</v>
      </c>
      <c r="BC177" s="19">
        <f t="shared" si="126"/>
        <v>15173.724494515453</v>
      </c>
      <c r="BD177" s="19">
        <f t="shared" si="126"/>
        <v>15173.724494515453</v>
      </c>
      <c r="BE177" s="19">
        <f t="shared" si="126"/>
        <v>15173.724494515453</v>
      </c>
      <c r="BF177" s="19">
        <f t="shared" si="126"/>
        <v>15173.724494515453</v>
      </c>
      <c r="BG177" s="19">
        <f t="shared" si="126"/>
        <v>15173.724494515453</v>
      </c>
      <c r="BH177" s="19">
        <f t="shared" si="126"/>
        <v>15173.724494515453</v>
      </c>
      <c r="BI177" s="19">
        <f t="shared" si="126"/>
        <v>15173.724494515453</v>
      </c>
      <c r="BJ177" s="19">
        <f t="shared" si="126"/>
        <v>15173.724494515453</v>
      </c>
      <c r="BK177" s="19">
        <f t="shared" si="126"/>
        <v>15173.724494515453</v>
      </c>
      <c r="BL177" s="19">
        <f t="shared" si="126"/>
        <v>15173.724494515453</v>
      </c>
      <c r="BM177" s="19">
        <f t="shared" si="126"/>
        <v>15173.724494515453</v>
      </c>
      <c r="BN177" s="19">
        <f t="shared" si="126"/>
        <v>15173.724494515453</v>
      </c>
      <c r="BO177" s="19">
        <f t="shared" si="126"/>
        <v>15173.724494515453</v>
      </c>
      <c r="BP177" s="19">
        <f t="shared" si="126"/>
        <v>15173.724494515453</v>
      </c>
    </row>
    <row r="178" spans="3:68" x14ac:dyDescent="0.25">
      <c r="C178" t="s">
        <v>723</v>
      </c>
      <c r="D178" t="s">
        <v>844</v>
      </c>
      <c r="E178" s="31">
        <f>Inputs!$E$13</f>
        <v>0.08</v>
      </c>
      <c r="F178" s="20"/>
      <c r="G178" s="20">
        <f>SUM(H178:BP178)</f>
        <v>-5230.62061644802</v>
      </c>
      <c r="H178" s="20">
        <v>0</v>
      </c>
      <c r="I178" s="20">
        <f>MIN(H176,0)*((1+$E$178)^(1/12)-1)</f>
        <v>-2.573612044001372</v>
      </c>
      <c r="J178" s="20">
        <f t="shared" ref="J178:AO178" si="127">MIN(I176,0)*((1+$E$178)^(1/12)-1)</f>
        <v>-2.573612044001372</v>
      </c>
      <c r="K178" s="20">
        <f t="shared" si="127"/>
        <v>-2.573612044001372</v>
      </c>
      <c r="L178" s="20">
        <f t="shared" si="127"/>
        <v>-3.8981925878886563</v>
      </c>
      <c r="M178" s="20">
        <f t="shared" si="127"/>
        <v>-3.9766198894336475</v>
      </c>
      <c r="N178" s="20">
        <f t="shared" si="127"/>
        <v>-20.42955642911173</v>
      </c>
      <c r="O178" s="20">
        <f t="shared" si="127"/>
        <v>-21.08036256474244</v>
      </c>
      <c r="P178" s="20">
        <f t="shared" si="127"/>
        <v>-22.81957183983307</v>
      </c>
      <c r="Q178" s="20">
        <f t="shared" si="127"/>
        <v>-25.96852058520187</v>
      </c>
      <c r="R178" s="20">
        <f t="shared" si="127"/>
        <v>-26.556725346789303</v>
      </c>
      <c r="S178" s="20">
        <f t="shared" si="127"/>
        <v>-27.144930108376737</v>
      </c>
      <c r="T178" s="20">
        <f t="shared" si="127"/>
        <v>-28.0113631990454</v>
      </c>
      <c r="U178" s="20">
        <f t="shared" si="127"/>
        <v>-28.877796289714066</v>
      </c>
      <c r="V178" s="20">
        <f t="shared" si="127"/>
        <v>-29.466001051301504</v>
      </c>
      <c r="W178" s="20">
        <f t="shared" si="127"/>
        <v>-30.054205812888938</v>
      </c>
      <c r="X178" s="20">
        <f t="shared" si="127"/>
        <v>-30.642410574476372</v>
      </c>
      <c r="Y178" s="20">
        <f t="shared" si="127"/>
        <v>-31.491454394577456</v>
      </c>
      <c r="Z178" s="20">
        <f t="shared" si="127"/>
        <v>-32.99767352796841</v>
      </c>
      <c r="AA178" s="20">
        <f t="shared" si="127"/>
        <v>-39.72872949994361</v>
      </c>
      <c r="AB178" s="20">
        <f t="shared" si="127"/>
        <v>-41.795022259775074</v>
      </c>
      <c r="AC178" s="20">
        <f t="shared" si="127"/>
        <v>-42.95029113457119</v>
      </c>
      <c r="AD178" s="20">
        <f t="shared" si="127"/>
        <v>-43.53919146698132</v>
      </c>
      <c r="AE178" s="20">
        <f t="shared" si="127"/>
        <v>-44.127396228568756</v>
      </c>
      <c r="AF178" s="20">
        <f t="shared" si="127"/>
        <v>-44.744554125651206</v>
      </c>
      <c r="AG178" s="20">
        <f t="shared" si="127"/>
        <v>-45.33275888723864</v>
      </c>
      <c r="AH178" s="20">
        <f t="shared" si="127"/>
        <v>-46.962466206511635</v>
      </c>
      <c r="AI178" s="20">
        <f t="shared" si="127"/>
        <v>-47.55067096809907</v>
      </c>
      <c r="AJ178" s="20">
        <f t="shared" si="127"/>
        <v>-48.138875729686504</v>
      </c>
      <c r="AK178" s="20">
        <f t="shared" si="127"/>
        <v>-48.93575173808486</v>
      </c>
      <c r="AL178" s="20">
        <f t="shared" si="127"/>
        <v>-51.339689091864194</v>
      </c>
      <c r="AM178" s="20">
        <f t="shared" si="127"/>
        <v>-302.9843962688626</v>
      </c>
      <c r="AN178" s="20">
        <f t="shared" si="127"/>
        <v>-303.5726010304501</v>
      </c>
      <c r="AO178" s="20">
        <f t="shared" si="127"/>
        <v>-305.7467072678005</v>
      </c>
      <c r="AP178" s="20">
        <f t="shared" ref="AP178:BP178" si="128">MIN(AO176,0)*((1+$E$178)^(1/12)-1)</f>
        <v>-306.33491202938797</v>
      </c>
      <c r="AQ178" s="20">
        <f t="shared" si="128"/>
        <v>-306.9231167909754</v>
      </c>
      <c r="AR178" s="20">
        <f t="shared" si="128"/>
        <v>-307.5113215525629</v>
      </c>
      <c r="AS178" s="20">
        <f t="shared" si="128"/>
        <v>-308.09952631415035</v>
      </c>
      <c r="AT178" s="20">
        <f t="shared" si="128"/>
        <v>-308.6877310757378</v>
      </c>
      <c r="AU178" s="20">
        <f t="shared" si="128"/>
        <v>-309.2759358373252</v>
      </c>
      <c r="AV178" s="20">
        <f t="shared" si="128"/>
        <v>-309.8641405989127</v>
      </c>
      <c r="AW178" s="20">
        <f t="shared" si="128"/>
        <v>-310.45234536050015</v>
      </c>
      <c r="AX178" s="20">
        <f t="shared" si="128"/>
        <v>-311.0405501220876</v>
      </c>
      <c r="AY178" s="20">
        <f t="shared" si="128"/>
        <v>-311.6287548836751</v>
      </c>
      <c r="AZ178" s="20">
        <f t="shared" si="128"/>
        <v>-312.2169596452625</v>
      </c>
      <c r="BA178" s="20">
        <f t="shared" si="128"/>
        <v>0</v>
      </c>
      <c r="BB178" s="20">
        <f t="shared" si="128"/>
        <v>0</v>
      </c>
      <c r="BC178" s="20">
        <f t="shared" si="128"/>
        <v>0</v>
      </c>
      <c r="BD178" s="20">
        <f t="shared" si="128"/>
        <v>0</v>
      </c>
      <c r="BE178" s="20">
        <f t="shared" si="128"/>
        <v>0</v>
      </c>
      <c r="BF178" s="20">
        <f t="shared" si="128"/>
        <v>0</v>
      </c>
      <c r="BG178" s="20">
        <f t="shared" si="128"/>
        <v>0</v>
      </c>
      <c r="BH178" s="20">
        <f t="shared" si="128"/>
        <v>0</v>
      </c>
      <c r="BI178" s="20">
        <f t="shared" si="128"/>
        <v>0</v>
      </c>
      <c r="BJ178" s="20">
        <f t="shared" si="128"/>
        <v>0</v>
      </c>
      <c r="BK178" s="20">
        <f t="shared" si="128"/>
        <v>0</v>
      </c>
      <c r="BL178" s="20">
        <f t="shared" si="128"/>
        <v>0</v>
      </c>
      <c r="BM178" s="20">
        <f t="shared" si="128"/>
        <v>0</v>
      </c>
      <c r="BN178" s="20">
        <f t="shared" si="128"/>
        <v>0</v>
      </c>
      <c r="BO178" s="20">
        <f t="shared" si="128"/>
        <v>0</v>
      </c>
      <c r="BP178" s="20">
        <f t="shared" si="128"/>
        <v>0</v>
      </c>
    </row>
    <row r="179" spans="3:68" x14ac:dyDescent="0.25">
      <c r="C179" t="s">
        <v>51</v>
      </c>
      <c r="D179" t="s">
        <v>844</v>
      </c>
      <c r="E179" s="20"/>
      <c r="F179" s="20"/>
      <c r="G179" s="20">
        <f>SUM(H179:BP179)</f>
        <v>9943.103878067472</v>
      </c>
      <c r="H179" s="20">
        <f>H175+H178</f>
        <v>-400</v>
      </c>
      <c r="I179" s="20">
        <f t="shared" ref="I179:BP179" si="129">I175+I178</f>
        <v>-2.573612044001372</v>
      </c>
      <c r="J179" s="20">
        <f t="shared" si="129"/>
        <v>-2.573612044001372</v>
      </c>
      <c r="K179" s="20">
        <f t="shared" si="129"/>
        <v>-208.44466350642273</v>
      </c>
      <c r="L179" s="20">
        <f t="shared" si="129"/>
        <v>-16.087644642683177</v>
      </c>
      <c r="M179" s="20">
        <f t="shared" si="129"/>
        <v>-2561.150934957927</v>
      </c>
      <c r="N179" s="20">
        <f t="shared" si="129"/>
        <v>-121.58017656980037</v>
      </c>
      <c r="O179" s="20">
        <f t="shared" si="129"/>
        <v>-291.39449621894454</v>
      </c>
      <c r="P179" s="20">
        <f t="shared" si="129"/>
        <v>-512.240462250792</v>
      </c>
      <c r="Q179" s="20">
        <f t="shared" si="129"/>
        <v>-117.38941099616079</v>
      </c>
      <c r="R179" s="20">
        <f t="shared" si="129"/>
        <v>-117.97761575774823</v>
      </c>
      <c r="S179" s="20">
        <f t="shared" si="129"/>
        <v>-161.8090637625789</v>
      </c>
      <c r="T179" s="20">
        <f t="shared" si="129"/>
        <v>-162.67549685324755</v>
      </c>
      <c r="U179" s="20">
        <f t="shared" si="129"/>
        <v>-120.29868670067299</v>
      </c>
      <c r="V179" s="20">
        <f t="shared" si="129"/>
        <v>-120.88689146226042</v>
      </c>
      <c r="W179" s="20">
        <f t="shared" si="129"/>
        <v>-121.47509622384786</v>
      </c>
      <c r="X179" s="20">
        <f t="shared" si="129"/>
        <v>-162.60384152597584</v>
      </c>
      <c r="Y179" s="20">
        <f t="shared" si="129"/>
        <v>-265.59342588661747</v>
      </c>
      <c r="Z179" s="20">
        <f t="shared" si="129"/>
        <v>-1079.1624966471456</v>
      </c>
      <c r="AA179" s="20">
        <f t="shared" si="129"/>
        <v>-360.87934964063226</v>
      </c>
      <c r="AB179" s="20">
        <f t="shared" si="129"/>
        <v>-221.35104780586911</v>
      </c>
      <c r="AC179" s="20">
        <f t="shared" si="129"/>
        <v>-134.4792896536382</v>
      </c>
      <c r="AD179" s="20">
        <f t="shared" si="129"/>
        <v>-134.96008187794024</v>
      </c>
      <c r="AE179" s="20">
        <f t="shared" si="129"/>
        <v>-140.04828663952767</v>
      </c>
      <c r="AF179" s="20">
        <f t="shared" si="129"/>
        <v>-136.16544453661012</v>
      </c>
      <c r="AG179" s="20">
        <f t="shared" si="129"/>
        <v>-298.62770644105467</v>
      </c>
      <c r="AH179" s="20">
        <f t="shared" si="129"/>
        <v>-138.38335661747055</v>
      </c>
      <c r="AI179" s="20">
        <f t="shared" si="129"/>
        <v>-138.971561379058</v>
      </c>
      <c r="AJ179" s="20">
        <f t="shared" si="129"/>
        <v>-171.99219857307787</v>
      </c>
      <c r="AK179" s="20">
        <f t="shared" si="129"/>
        <v>-422.5643037776167</v>
      </c>
      <c r="AL179" s="20">
        <f t="shared" si="129"/>
        <v>-39162.861219858256</v>
      </c>
      <c r="AM179" s="20">
        <f t="shared" si="129"/>
        <v>-394.40528667982153</v>
      </c>
      <c r="AN179" s="20">
        <f t="shared" si="129"/>
        <v>-641.4799779278954</v>
      </c>
      <c r="AO179" s="20">
        <f t="shared" si="129"/>
        <v>-397.1675976787594</v>
      </c>
      <c r="AP179" s="20">
        <f t="shared" si="129"/>
        <v>-397.7558024403469</v>
      </c>
      <c r="AQ179" s="20">
        <f t="shared" si="129"/>
        <v>-398.34400720193435</v>
      </c>
      <c r="AR179" s="20">
        <f t="shared" si="129"/>
        <v>-398.9322119635218</v>
      </c>
      <c r="AS179" s="20">
        <f t="shared" si="129"/>
        <v>-399.52041672510927</v>
      </c>
      <c r="AT179" s="20">
        <f t="shared" si="129"/>
        <v>-400.10862148669673</v>
      </c>
      <c r="AU179" s="20">
        <f t="shared" si="129"/>
        <v>-400.69682624828414</v>
      </c>
      <c r="AV179" s="20">
        <f t="shared" si="129"/>
        <v>-401.2850310098716</v>
      </c>
      <c r="AW179" s="20">
        <f t="shared" si="129"/>
        <v>-401.87323577145906</v>
      </c>
      <c r="AX179" s="20">
        <f t="shared" si="129"/>
        <v>-402.4614405330465</v>
      </c>
      <c r="AY179" s="20">
        <f t="shared" si="129"/>
        <v>-403.049645294634</v>
      </c>
      <c r="AZ179" s="20">
        <f t="shared" si="129"/>
        <v>63387.38545388043</v>
      </c>
      <c r="BA179" s="20">
        <f t="shared" si="129"/>
        <v>0</v>
      </c>
      <c r="BB179" s="20">
        <f t="shared" si="129"/>
        <v>0</v>
      </c>
      <c r="BC179" s="20">
        <f t="shared" si="129"/>
        <v>0</v>
      </c>
      <c r="BD179" s="20">
        <f t="shared" si="129"/>
        <v>0</v>
      </c>
      <c r="BE179" s="20">
        <f t="shared" si="129"/>
        <v>0</v>
      </c>
      <c r="BF179" s="20">
        <f t="shared" si="129"/>
        <v>0</v>
      </c>
      <c r="BG179" s="20">
        <f t="shared" si="129"/>
        <v>0</v>
      </c>
      <c r="BH179" s="20">
        <f t="shared" si="129"/>
        <v>0</v>
      </c>
      <c r="BI179" s="20">
        <f t="shared" si="129"/>
        <v>0</v>
      </c>
      <c r="BJ179" s="20">
        <f t="shared" si="129"/>
        <v>0</v>
      </c>
      <c r="BK179" s="20">
        <f t="shared" si="129"/>
        <v>0</v>
      </c>
      <c r="BL179" s="20">
        <f t="shared" si="129"/>
        <v>0</v>
      </c>
      <c r="BM179" s="20">
        <f t="shared" si="129"/>
        <v>0</v>
      </c>
      <c r="BN179" s="20">
        <f t="shared" si="129"/>
        <v>0</v>
      </c>
      <c r="BO179" s="20">
        <f t="shared" si="129"/>
        <v>0</v>
      </c>
      <c r="BP179" s="20">
        <f t="shared" si="129"/>
        <v>0</v>
      </c>
    </row>
    <row r="180" spans="3:68" x14ac:dyDescent="0.25">
      <c r="E180" s="20"/>
      <c r="F180" s="20"/>
      <c r="G180" s="20"/>
    </row>
    <row r="181" spans="3:68" x14ac:dyDescent="0.25">
      <c r="C181" s="43" t="s">
        <v>724</v>
      </c>
      <c r="D181" s="43"/>
      <c r="E181" s="96"/>
      <c r="F181" s="96"/>
      <c r="G181" s="20"/>
    </row>
    <row r="182" spans="3:68" x14ac:dyDescent="0.25">
      <c r="C182" s="6" t="s">
        <v>725</v>
      </c>
      <c r="D182" s="6" t="s">
        <v>844</v>
      </c>
      <c r="E182" s="95"/>
      <c r="F182" s="95"/>
      <c r="G182" s="20">
        <f>G175</f>
        <v>15173.724494515496</v>
      </c>
    </row>
    <row r="183" spans="3:68" x14ac:dyDescent="0.25">
      <c r="C183" t="s">
        <v>725</v>
      </c>
      <c r="D183" t="s">
        <v>726</v>
      </c>
      <c r="E183" s="20"/>
      <c r="F183" s="20"/>
      <c r="G183" s="98">
        <f>G182*Inputs!$E$11/1000</f>
        <v>5538.409440498156</v>
      </c>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row>
    <row r="184" x14ac:dyDescent="0.25">
      <c r="C184" t="inlineStr">
        <is>
          <t xml:space="preserve">Total FEP cash invested (all funding outflows, less the community's share, row 285)</t>
        </is>
      </c>
      <c r="D184" t="s">
        <v>844</v>
      </c>
      <c r="E184" s="20"/>
      <c r="F184" s="20"/>
      <c r="G184" s="99">
        <f>-G164-G285</f>
        <v>48617.29880942116</v>
      </c>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row>
    <row r="185" x14ac:dyDescent="0.25">
      <c r="C185" t="inlineStr">
        <is>
          <t xml:space="preserve">Total FEP cash returned, net of tax at sale (with the community's buy-in and share, rows 284 / 286)</t>
        </is>
      </c>
      <c r="D185" t="s">
        <v>844</v>
      </c>
      <c r="E185" s="20"/>
      <c r="F185" s="20"/>
      <c r="G185" s="99">
        <f>G171+G174+G284+G286</f>
        <v>63791.02330393666</v>
      </c>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row>
    <row r="186" spans="3:68" x14ac:dyDescent="0.25">
      <c r="C186" s="6" t="s">
        <v>796</v>
      </c>
      <c r="D186" s="6" t="s">
        <v>4</v>
      </c>
      <c r="E186" s="95"/>
      <c r="F186" s="95"/>
      <c r="G186" s="100">
        <f>IF(G184=0,"n/a",G185/G184)</f>
        <v>1.312105461761588</v>
      </c>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c r="AR186" s="95"/>
      <c r="AS186" s="95"/>
      <c r="AT186" s="95"/>
      <c r="AU186" s="95"/>
      <c r="AV186" s="95"/>
      <c r="AW186" s="95"/>
      <c r="AX186" s="95"/>
      <c r="AY186" s="95"/>
      <c r="AZ186" s="95"/>
      <c r="BA186" s="95"/>
      <c r="BB186" s="95"/>
      <c r="BC186" s="95"/>
      <c r="BD186" s="95"/>
      <c r="BE186" s="95"/>
      <c r="BF186" s="95"/>
      <c r="BG186" s="95"/>
      <c r="BH186" s="95"/>
      <c r="BI186" s="95"/>
      <c r="BJ186" s="95"/>
      <c r="BK186" s="95"/>
      <c r="BL186" s="95"/>
      <c r="BM186" s="95"/>
      <c r="BN186" s="95"/>
      <c r="BO186" s="95"/>
      <c r="BP186" s="95"/>
    </row>
    <row r="187" spans="3:68" x14ac:dyDescent="0.25">
      <c r="C187" s="6" t="s">
        <v>727</v>
      </c>
      <c r="D187" s="6" t="s">
        <v>2</v>
      </c>
      <c r="E187" s="95"/>
      <c r="F187" s="95"/>
      <c r="G187" s="101">
        <f>IFERROR(XIRR(H175:BP175,H5:BP5),"n/a")</f>
        <v>0.20894449022377323</v>
      </c>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c r="AF187" s="95"/>
      <c r="AG187" s="95"/>
      <c r="AH187" s="95"/>
      <c r="AI187" s="95"/>
      <c r="AJ187" s="95"/>
      <c r="AK187" s="95"/>
      <c r="AL187" s="95"/>
      <c r="AM187" s="95"/>
      <c r="AN187" s="95"/>
      <c r="AO187" s="95"/>
      <c r="AP187" s="95"/>
      <c r="AQ187" s="95"/>
      <c r="AR187" s="95"/>
      <c r="AS187" s="95"/>
      <c r="AT187" s="95"/>
      <c r="AU187" s="95"/>
      <c r="AV187" s="95"/>
      <c r="AW187" s="95"/>
      <c r="AX187" s="95"/>
      <c r="AY187" s="95"/>
      <c r="AZ187" s="95"/>
      <c r="BA187" s="95"/>
      <c r="BB187" s="95"/>
      <c r="BC187" s="95"/>
      <c r="BD187" s="95"/>
      <c r="BE187" s="95"/>
      <c r="BF187" s="95"/>
      <c r="BG187" s="95"/>
      <c r="BH187" s="95"/>
      <c r="BI187" s="95"/>
      <c r="BJ187" s="95"/>
      <c r="BK187" s="95"/>
      <c r="BL187" s="95"/>
      <c r="BM187" s="95"/>
      <c r="BN187" s="95"/>
      <c r="BO187" s="95"/>
      <c r="BP187" s="95"/>
    </row>
    <row r="188" spans="3:68" x14ac:dyDescent="0.25">
      <c r="C188" t="s">
        <v>728</v>
      </c>
      <c r="D188" t="s">
        <v>844</v>
      </c>
      <c r="E188" s="20"/>
      <c r="F188" s="20"/>
      <c r="G188" s="99">
        <f>-MIN(H176:BP176)</f>
        <v>48525.87791901024</v>
      </c>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row>
    <row r="189" spans="3:68" x14ac:dyDescent="0.25">
      <c r="C189" t="s">
        <v>729</v>
      </c>
      <c r="D189" t="s">
        <v>726</v>
      </c>
      <c r="E189" s="20"/>
      <c r="F189" s="20"/>
      <c r="G189" s="98">
        <f>G188*Inputs!$E$11/1000</f>
        <v>17711.94544043874</v>
      </c>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row>
    <row r="190" spans="3:68" x14ac:dyDescent="0.25">
      <c r="C190" t="s">
        <v>730</v>
      </c>
      <c r="D190" t="s">
        <v>844</v>
      </c>
      <c r="E190" s="20"/>
      <c r="F190" s="20"/>
      <c r="G190" s="99">
        <f>G179</f>
        <v>9943.103878067472</v>
      </c>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row>
    <row r="191" spans="3:68" x14ac:dyDescent="0.25">
      <c r="C191" t="s">
        <v>731</v>
      </c>
      <c r="D191" t="s">
        <v>16</v>
      </c>
      <c r="E191" s="20"/>
      <c r="F191" s="20"/>
      <c r="G191" s="102">
        <f>Inputs!$E$57</f>
        <v>44</v>
      </c>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row>
    <row r="192" spans="3:68" x14ac:dyDescent="0.25">
      <c r="C192" t="s">
        <v>1688</v>
      </c>
      <c r="D192" t="s">
        <v>844</v>
      </c>
      <c r="E192" s="20"/>
      <c r="F192" s="20"/>
      <c r="G192" s="99" cm="1">
        <f t="array" ref="G192">SUMPRODUCT(H175:BP175/(1+Inputs!$E$253)^((H5:BP5-$H$5)/365))</f>
        <v>7253.356399284837</v>
      </c>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row>
    <row r="193" spans="3:68" x14ac:dyDescent="0.25">
      <c r="C193" t="s">
        <v>1689</v>
      </c>
      <c r="D193" t="s">
        <v>844</v>
      </c>
      <c r="E193" s="20"/>
      <c r="F193" s="20"/>
      <c r="G193" s="99" cm="1">
        <f t="array" ref="G193">-SUMPRODUCT((H175:BP175&lt;0)*H175:BP175/(1+Inputs!$E$253)^((H5:BP5-$H$5)/365))</f>
        <v>40777.67400216897</v>
      </c>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row>
    <row r="194" spans="3:68" x14ac:dyDescent="0.25">
      <c r="C194" s="6" t="s">
        <v>1334</v>
      </c>
      <c r="D194" s="6" t="s">
        <v>4</v>
      </c>
      <c r="E194" s="95"/>
      <c r="F194" s="95"/>
      <c r="G194" s="100">
        <f>IF(G193=0,"n/a",G192/G193)</f>
        <v>0.1778756777274503</v>
      </c>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c r="AF194" s="95"/>
      <c r="AG194" s="95"/>
      <c r="AH194" s="95"/>
      <c r="AI194" s="95"/>
      <c r="AJ194" s="95"/>
      <c r="AK194" s="95"/>
      <c r="AL194" s="95"/>
      <c r="AM194" s="95"/>
      <c r="AN194" s="95"/>
      <c r="AO194" s="95"/>
      <c r="AP194" s="95"/>
      <c r="AQ194" s="95"/>
      <c r="AR194" s="95"/>
      <c r="AS194" s="95"/>
      <c r="AT194" s="95"/>
      <c r="AU194" s="95"/>
      <c r="AV194" s="95"/>
      <c r="AW194" s="95"/>
      <c r="AX194" s="95"/>
      <c r="AY194" s="95"/>
      <c r="AZ194" s="95"/>
      <c r="BA194" s="95"/>
      <c r="BB194" s="95"/>
      <c r="BC194" s="95"/>
      <c r="BD194" s="95"/>
      <c r="BE194" s="95"/>
      <c r="BF194" s="95"/>
      <c r="BG194" s="95"/>
      <c r="BH194" s="95"/>
      <c r="BI194" s="95"/>
      <c r="BJ194" s="95"/>
      <c r="BK194" s="95"/>
      <c r="BL194" s="95"/>
      <c r="BM194" s="95"/>
      <c r="BN194" s="95"/>
      <c r="BO194" s="95"/>
      <c r="BP194" s="95"/>
    </row>
    <row r="195" spans="3:68" x14ac:dyDescent="0.25">
      <c r="C195" s="6" t="s">
        <v>1335</v>
      </c>
      <c r="D195" s="6" t="s">
        <v>4</v>
      </c>
      <c r="E195" s="95"/>
      <c r="F195" s="95"/>
      <c r="G195" s="100">
        <f>IF(SUMIF(H175:BP175,"&lt;0")=0,"n/a",G192/-SUMIF(H175:BP175,"&lt;0"))</f>
        <v>0.14947398605318804</v>
      </c>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c r="AF195" s="95"/>
      <c r="AG195" s="95"/>
      <c r="AH195" s="95"/>
      <c r="AI195" s="95"/>
      <c r="AJ195" s="95"/>
      <c r="AK195" s="95"/>
      <c r="AL195" s="95"/>
      <c r="AM195" s="95"/>
      <c r="AN195" s="95"/>
      <c r="AO195" s="95"/>
      <c r="AP195" s="95"/>
      <c r="AQ195" s="95"/>
      <c r="AR195" s="95"/>
      <c r="AS195" s="95"/>
      <c r="AT195" s="95"/>
      <c r="AU195" s="95"/>
      <c r="AV195" s="95"/>
      <c r="AW195" s="95"/>
      <c r="AX195" s="95"/>
      <c r="AY195" s="95"/>
      <c r="AZ195" s="95"/>
      <c r="BA195" s="95"/>
      <c r="BB195" s="95"/>
      <c r="BC195" s="95"/>
      <c r="BD195" s="95"/>
      <c r="BE195" s="95"/>
      <c r="BF195" s="95"/>
      <c r="BG195" s="95"/>
      <c r="BH195" s="95"/>
      <c r="BI195" s="95"/>
      <c r="BJ195" s="95"/>
      <c r="BK195" s="95"/>
      <c r="BL195" s="95"/>
      <c r="BM195" s="95"/>
      <c r="BN195" s="95"/>
      <c r="BO195" s="95"/>
      <c r="BP195" s="95"/>
    </row>
    <row r="196" spans="3:68" x14ac:dyDescent="0.25">
      <c r="C196" s="6"/>
      <c r="D196" s="6"/>
      <c r="E196" s="95"/>
      <c r="F196" s="95"/>
      <c r="G196" s="100"/>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c r="AF196" s="95"/>
      <c r="AG196" s="95"/>
      <c r="AH196" s="95"/>
      <c r="AI196" s="95"/>
      <c r="AJ196" s="95"/>
      <c r="AK196" s="95"/>
      <c r="AL196" s="95"/>
      <c r="AM196" s="95"/>
      <c r="AN196" s="95"/>
      <c r="AO196" s="95"/>
      <c r="AP196" s="95"/>
      <c r="AQ196" s="95"/>
      <c r="AR196" s="95"/>
      <c r="AS196" s="95"/>
      <c r="AT196" s="95"/>
      <c r="AU196" s="95"/>
      <c r="AV196" s="95"/>
      <c r="AW196" s="95"/>
      <c r="AX196" s="95"/>
      <c r="AY196" s="95"/>
      <c r="AZ196" s="95"/>
      <c r="BA196" s="95"/>
      <c r="BB196" s="95"/>
      <c r="BC196" s="95"/>
      <c r="BD196" s="95"/>
      <c r="BE196" s="95"/>
      <c r="BF196" s="95"/>
      <c r="BG196" s="95"/>
      <c r="BH196" s="95"/>
      <c r="BI196" s="95"/>
      <c r="BJ196" s="95"/>
      <c r="BK196" s="95"/>
      <c r="BL196" s="95"/>
      <c r="BM196" s="95"/>
      <c r="BN196" s="95"/>
      <c r="BO196" s="95"/>
      <c r="BP196" s="95"/>
    </row>
    <row r="197" spans="3:68" x14ac:dyDescent="0.25">
      <c r="C197" s="6" t="s">
        <v>1679</v>
      </c>
      <c r="D197" s="6"/>
      <c r="E197" s="95"/>
      <c r="F197" s="95"/>
      <c r="G197" s="100"/>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c r="AF197" s="95"/>
      <c r="AG197" s="95"/>
      <c r="AH197" s="95"/>
      <c r="AI197" s="95"/>
      <c r="AJ197" s="95"/>
      <c r="AK197" s="95"/>
      <c r="AL197" s="95"/>
      <c r="AM197" s="95"/>
      <c r="AN197" s="95"/>
      <c r="AO197" s="95"/>
      <c r="AP197" s="95"/>
      <c r="AQ197" s="95"/>
      <c r="AR197" s="95"/>
      <c r="AS197" s="95"/>
      <c r="AT197" s="95"/>
      <c r="AU197" s="95"/>
      <c r="AV197" s="95"/>
      <c r="AW197" s="95"/>
      <c r="AX197" s="95"/>
      <c r="AY197" s="95"/>
      <c r="AZ197" s="95"/>
      <c r="BA197" s="95"/>
      <c r="BB197" s="95"/>
      <c r="BC197" s="95"/>
      <c r="BD197" s="95"/>
      <c r="BE197" s="95"/>
      <c r="BF197" s="95"/>
      <c r="BG197" s="95"/>
      <c r="BH197" s="95"/>
      <c r="BI197" s="95"/>
      <c r="BJ197" s="95"/>
      <c r="BK197" s="95"/>
      <c r="BL197" s="95"/>
      <c r="BM197" s="95"/>
      <c r="BN197" s="95"/>
      <c r="BO197" s="95"/>
      <c r="BP197" s="95"/>
    </row>
    <row r="198" spans="3:68" x14ac:dyDescent="0.25">
      <c r="C198" s="6" t="s">
        <v>1666</v>
      </c>
      <c r="D198" s="6" t="s">
        <v>844</v>
      </c>
      <c r="E198" s="95"/>
      <c r="F198" s="95"/>
      <c r="G198" s="20"/>
      <c r="H198" s="20">
        <v>0</v>
      </c>
      <c r="I198" s="20">
        <f>H201</f>
        <v>0</v>
      </c>
      <c r="J198" s="20">
        <f t="shared" ref="J198:BP198" si="130">I201</f>
        <v>0</v>
      </c>
      <c r="K198" s="20">
        <f t="shared" si="130"/>
        <v>0</v>
      </c>
      <c r="L198" s="20">
        <f t="shared" si="130"/>
        <v>194.92775264996914</v>
      </c>
      <c r="M198" s="20">
        <f t="shared" si="130"/>
        <v>196.18192367979435</v>
      </c>
      <c r="N198" s="20">
        <f t="shared" si="130"/>
        <v>2679.0623205194133</v>
      </c>
      <c r="O198" s="20">
        <f t="shared" si="130"/>
        <v>2706.091819259984</v>
      </c>
      <c r="P198" s="20">
        <f t="shared" si="130"/>
        <v>2903.547143262283</v>
      </c>
      <c r="Q198" s="20">
        <f t="shared" si="130"/>
        <v>3322.7893969916286</v>
      </c>
      <c r="R198" s="20">
        <f t="shared" si="130"/>
        <v>3344.1683240210727</v>
      </c>
      <c r="S198" s="20">
        <f t="shared" si="130"/>
        <v>3365.684803710744</v>
      </c>
      <c r="T198" s="20">
        <f t="shared" si="130"/>
        <v>3430.8611926509243</v>
      </c>
      <c r="U198" s="20">
        <f t="shared" si="130"/>
        <v>3496.4569284400072</v>
      </c>
      <c r="V198" s="20">
        <f t="shared" si="130"/>
        <v>3518.95323759592</v>
      </c>
      <c r="W198" s="20">
        <f t="shared" si="130"/>
        <v>3541.5942886823063</v>
      </c>
      <c r="X198" s="20">
        <f t="shared" si="130"/>
        <v>3564.3810129731046</v>
      </c>
      <c r="Y198" s="20">
        <f t="shared" si="130"/>
        <v>3628.1157273331523</v>
      </c>
      <c r="Z198" s="20">
        <f t="shared" si="130"/>
        <v>3795.0582286182757</v>
      </c>
      <c r="AA198" s="20">
        <f t="shared" si="130"/>
        <v>4780.362531449027</v>
      </c>
      <c r="AB198" s="20">
        <f t="shared" si="130"/>
        <v>5042.327345641077</v>
      </c>
      <c r="AC198" s="20">
        <f t="shared" si="130"/>
        <v>5163.472030855769</v>
      </c>
      <c r="AD198" s="20">
        <f t="shared" si="130"/>
        <v>5196.802769053386</v>
      </c>
      <c r="AE198" s="20">
        <f t="shared" si="130"/>
        <v>5230.239154545225</v>
      </c>
      <c r="AF198" s="20">
        <f t="shared" si="130"/>
        <v>5268.419623883583</v>
      </c>
      <c r="AG198" s="20">
        <f t="shared" si="130"/>
        <v>5302.316794375783</v>
      </c>
      <c r="AH198" s="20">
        <f t="shared" si="130"/>
        <v>5499.347619984116</v>
      </c>
      <c r="AI198" s="20">
        <f t="shared" si="130"/>
        <v>5534.73058815647</v>
      </c>
      <c r="AJ198" s="20">
        <f t="shared" si="130"/>
        <v>5570.341211411425</v>
      </c>
      <c r="AK198" s="20">
        <f t="shared" si="130"/>
        <v>5638.8220581678825</v>
      </c>
      <c r="AL198" s="20">
        <f t="shared" si="130"/>
        <v>5959.125803295851</v>
      </c>
      <c r="AM198" s="20">
        <f t="shared" si="130"/>
        <v>45268.62414091439</v>
      </c>
      <c r="AN198" s="20">
        <f t="shared" si="130"/>
        <v>45559.88383167546</v>
      </c>
      <c r="AO198" s="20">
        <f t="shared" si="130"/>
        <v>46101.08988401897</v>
      </c>
      <c r="AP198" s="20">
        <f t="shared" si="130"/>
        <v>46397.705684436725</v>
      </c>
      <c r="AQ198" s="20">
        <f t="shared" si="130"/>
        <v>46696.22991984547</v>
      </c>
      <c r="AR198" s="20">
        <f t="shared" si="130"/>
        <v>46996.6748691734</v>
      </c>
      <c r="AS198" s="20">
        <f t="shared" si="130"/>
        <v>47299.052890351704</v>
      </c>
      <c r="AT198" s="20">
        <f t="shared" si="130"/>
        <v>47603.376420822875</v>
      </c>
      <c r="AU198" s="20">
        <f t="shared" si="130"/>
        <v>47909.65797805227</v>
      </c>
      <c r="AV198" s="20">
        <f t="shared" si="130"/>
        <v>48217.91016004303</v>
      </c>
      <c r="AW198" s="20">
        <f t="shared" si="130"/>
        <v>48528.14564585419</v>
      </c>
      <c r="AX198" s="20">
        <f t="shared" si="130"/>
        <v>48840.377196122245</v>
      </c>
      <c r="AY198" s="20">
        <f t="shared" si="130"/>
        <v>49154.61765358602</v>
      </c>
      <c r="AZ198" s="20">
        <f t="shared" si="130"/>
        <v>49470.8799436149</v>
      </c>
      <c r="BA198" s="20">
        <f t="shared" si="130"/>
        <v>0</v>
      </c>
      <c r="BB198" s="20">
        <f t="shared" si="130"/>
        <v>0</v>
      </c>
      <c r="BC198" s="20">
        <f t="shared" si="130"/>
        <v>0</v>
      </c>
      <c r="BD198" s="20">
        <f t="shared" si="130"/>
        <v>0</v>
      </c>
      <c r="BE198" s="20">
        <f t="shared" si="130"/>
        <v>0</v>
      </c>
      <c r="BF198" s="20">
        <f t="shared" si="130"/>
        <v>0</v>
      </c>
      <c r="BG198" s="20">
        <f t="shared" si="130"/>
        <v>0</v>
      </c>
      <c r="BH198" s="20">
        <f t="shared" si="130"/>
        <v>0</v>
      </c>
      <c r="BI198" s="20">
        <f t="shared" si="130"/>
        <v>0</v>
      </c>
      <c r="BJ198" s="20">
        <f t="shared" si="130"/>
        <v>0</v>
      </c>
      <c r="BK198" s="20">
        <f t="shared" si="130"/>
        <v>0</v>
      </c>
      <c r="BL198" s="20">
        <f t="shared" si="130"/>
        <v>0</v>
      </c>
      <c r="BM198" s="20">
        <f t="shared" si="130"/>
        <v>0</v>
      </c>
      <c r="BN198" s="20">
        <f t="shared" si="130"/>
        <v>0</v>
      </c>
      <c r="BO198" s="20">
        <f t="shared" si="130"/>
        <v>0</v>
      </c>
      <c r="BP198" s="20">
        <f t="shared" si="130"/>
        <v>0</v>
      </c>
    </row>
    <row r="199" spans="3:68" x14ac:dyDescent="0.25">
      <c r="C199" s="6" t="s">
        <v>1667</v>
      </c>
      <c r="D199" s="6" t="s">
        <v>844</v>
      </c>
      <c r="E199" s="95"/>
      <c r="F199" s="95"/>
      <c r="G199" s="20">
        <f>SUM(H199:BP199)</f>
        <v>44536.08428887321</v>
      </c>
      <c r="H199" s="20">
        <f>H110+H124+H125</f>
        <v>0</v>
      </c>
      <c r="I199" s="20">
        <f t="shared" ref="I199:BP199" si="131">I110+I124+I125</f>
        <v>0</v>
      </c>
      <c r="J199" s="20">
        <f t="shared" si="131"/>
        <v>0</v>
      </c>
      <c r="K199" s="20">
        <f t="shared" si="131"/>
        <v>193.68159940762683</v>
      </c>
      <c r="L199" s="20">
        <f t="shared" si="131"/>
        <v>0</v>
      </c>
      <c r="M199" s="20">
        <f t="shared" si="131"/>
        <v>2465.753424657534</v>
      </c>
      <c r="N199" s="20">
        <f t="shared" si="131"/>
        <v>9.72972972972973</v>
      </c>
      <c r="O199" s="20">
        <f t="shared" si="131"/>
        <v>178.89324324324323</v>
      </c>
      <c r="P199" s="20">
        <f t="shared" si="131"/>
        <v>398</v>
      </c>
      <c r="Q199" s="20">
        <f t="shared" si="131"/>
        <v>0</v>
      </c>
      <c r="R199" s="20">
        <f t="shared" si="131"/>
        <v>0</v>
      </c>
      <c r="S199" s="20">
        <f t="shared" si="131"/>
        <v>43.24324324324324</v>
      </c>
      <c r="T199" s="20">
        <f t="shared" si="131"/>
        <v>43.24324324324324</v>
      </c>
      <c r="U199" s="20">
        <f t="shared" si="131"/>
        <v>0</v>
      </c>
      <c r="V199" s="20">
        <f t="shared" si="131"/>
        <v>0</v>
      </c>
      <c r="W199" s="20">
        <f t="shared" si="131"/>
        <v>0</v>
      </c>
      <c r="X199" s="20">
        <f t="shared" si="131"/>
        <v>40.54054054054054</v>
      </c>
      <c r="Y199" s="20">
        <f t="shared" si="131"/>
        <v>142.6810810810811</v>
      </c>
      <c r="Z199" s="20">
        <f t="shared" si="131"/>
        <v>954.7439327082184</v>
      </c>
      <c r="AA199" s="20">
        <f t="shared" si="131"/>
        <v>229.72972972972974</v>
      </c>
      <c r="AB199" s="20">
        <f t="shared" si="131"/>
        <v>88.13513513513513</v>
      </c>
      <c r="AC199" s="20">
        <f t="shared" si="131"/>
        <v>0.10810810810810811</v>
      </c>
      <c r="AD199" s="20">
        <f t="shared" si="131"/>
        <v>0</v>
      </c>
      <c r="AE199" s="20">
        <f t="shared" si="131"/>
        <v>4.5</v>
      </c>
      <c r="AF199" s="20">
        <f t="shared" si="131"/>
        <v>0</v>
      </c>
      <c r="AG199" s="20">
        <f t="shared" si="131"/>
        <v>161.8740571428571</v>
      </c>
      <c r="AH199" s="20">
        <f t="shared" si="131"/>
        <v>0</v>
      </c>
      <c r="AI199" s="20">
        <f t="shared" si="131"/>
        <v>0</v>
      </c>
      <c r="AJ199" s="20">
        <f t="shared" si="131"/>
        <v>32.432432432432435</v>
      </c>
      <c r="AK199" s="20">
        <f t="shared" si="131"/>
        <v>282.20766162857296</v>
      </c>
      <c r="AL199" s="20">
        <f t="shared" si="131"/>
        <v>39020.10064035543</v>
      </c>
      <c r="AM199" s="20">
        <f t="shared" si="131"/>
        <v>0</v>
      </c>
      <c r="AN199" s="20">
        <f t="shared" si="131"/>
        <v>246.48648648648648</v>
      </c>
      <c r="AO199" s="20">
        <f t="shared" si="131"/>
        <v>0</v>
      </c>
      <c r="AP199" s="20">
        <f t="shared" si="131"/>
        <v>0</v>
      </c>
      <c r="AQ199" s="20">
        <f t="shared" si="131"/>
        <v>0</v>
      </c>
      <c r="AR199" s="20">
        <f t="shared" si="131"/>
        <v>0</v>
      </c>
      <c r="AS199" s="20">
        <f t="shared" si="131"/>
        <v>0</v>
      </c>
      <c r="AT199" s="20">
        <f t="shared" si="131"/>
        <v>0</v>
      </c>
      <c r="AU199" s="20">
        <f t="shared" si="131"/>
        <v>0</v>
      </c>
      <c r="AV199" s="20">
        <f t="shared" si="131"/>
        <v>0</v>
      </c>
      <c r="AW199" s="20">
        <f t="shared" si="131"/>
        <v>0</v>
      </c>
      <c r="AX199" s="20">
        <f t="shared" si="131"/>
        <v>0</v>
      </c>
      <c r="AY199" s="20">
        <f t="shared" si="131"/>
        <v>0</v>
      </c>
      <c r="AZ199" s="20">
        <f t="shared" si="131"/>
        <v>0</v>
      </c>
      <c r="BA199" s="20">
        <f t="shared" si="131"/>
        <v>0</v>
      </c>
      <c r="BB199" s="20">
        <f t="shared" si="131"/>
        <v>0</v>
      </c>
      <c r="BC199" s="20">
        <f t="shared" si="131"/>
        <v>0</v>
      </c>
      <c r="BD199" s="20">
        <f t="shared" si="131"/>
        <v>0</v>
      </c>
      <c r="BE199" s="20">
        <f t="shared" si="131"/>
        <v>0</v>
      </c>
      <c r="BF199" s="20">
        <f t="shared" si="131"/>
        <v>0</v>
      </c>
      <c r="BG199" s="20">
        <f t="shared" si="131"/>
        <v>0</v>
      </c>
      <c r="BH199" s="20">
        <f t="shared" si="131"/>
        <v>0</v>
      </c>
      <c r="BI199" s="20">
        <f t="shared" si="131"/>
        <v>0</v>
      </c>
      <c r="BJ199" s="20">
        <f t="shared" si="131"/>
        <v>0</v>
      </c>
      <c r="BK199" s="20">
        <f t="shared" si="131"/>
        <v>0</v>
      </c>
      <c r="BL199" s="20">
        <f t="shared" si="131"/>
        <v>0</v>
      </c>
      <c r="BM199" s="20">
        <f t="shared" si="131"/>
        <v>0</v>
      </c>
      <c r="BN199" s="20">
        <f t="shared" si="131"/>
        <v>0</v>
      </c>
      <c r="BO199" s="20">
        <f t="shared" si="131"/>
        <v>0</v>
      </c>
      <c r="BP199" s="20">
        <f t="shared" si="131"/>
        <v>0</v>
      </c>
    </row>
    <row r="200" spans="3:68" x14ac:dyDescent="0.25">
      <c r="C200" s="6" t="s">
        <v>1668</v>
      </c>
      <c r="D200" s="6" t="s">
        <v>844</v>
      </c>
      <c r="E200" s="95"/>
      <c r="F200" s="95"/>
      <c r="G200" s="20">
        <f>SUM(H200:BP200)</f>
        <v>5253.092785867267</v>
      </c>
      <c r="H200" s="20">
        <f>((1+Inputs!$E$72)^(1/12)-1)*(H198+H199)*H$9</f>
        <v>0</v>
      </c>
      <c r="I200" s="20">
        <f>((1+Inputs!$E$72)^(1/12)-1)*(I198+I199)*I$9</f>
        <v>0</v>
      </c>
      <c r="J200" s="20">
        <f>((1+Inputs!$E$72)^(1/12)-1)*(J198+J199)*J$9</f>
        <v>0</v>
      </c>
      <c r="K200" s="20">
        <f>((1+Inputs!$E$72)^(1/12)-1)*(K198+K199)*K$9</f>
        <v>1.2461532423422936</v>
      </c>
      <c r="L200" s="20">
        <f>((1+Inputs!$E$72)^(1/12)-1)*(L198+L199)*L$9</f>
        <v>1.2541710298252025</v>
      </c>
      <c r="M200" s="20">
        <f>((1+Inputs!$E$72)^(1/12)-1)*(M198+M199)*M$9</f>
        <v>17.12697218208484</v>
      </c>
      <c r="N200" s="20">
        <f>((1+Inputs!$E$72)^(1/12)-1)*(N198+N199)*N$9</f>
        <v>17.29976901084084</v>
      </c>
      <c r="O200" s="20">
        <f>((1+Inputs!$E$72)^(1/12)-1)*(O198+O199)*O$9</f>
        <v>18.562080759055892</v>
      </c>
      <c r="P200" s="20">
        <f>((1+Inputs!$E$72)^(1/12)-1)*(P198+P199)*P$9</f>
        <v>21.24225372934534</v>
      </c>
      <c r="Q200" s="20">
        <f>((1+Inputs!$E$72)^(1/12)-1)*(Q198+Q199)*Q$9</f>
        <v>21.37892702944428</v>
      </c>
      <c r="R200" s="20">
        <f>((1+Inputs!$E$72)^(1/12)-1)*(R198+R199)*R$9</f>
        <v>21.51647968967129</v>
      </c>
      <c r="S200" s="20">
        <f>((1+Inputs!$E$72)^(1/12)-1)*(S198+S199)*S$9</f>
        <v>21.933145696937142</v>
      </c>
      <c r="T200" s="20">
        <f>((1+Inputs!$E$72)^(1/12)-1)*(T198+T199)*T$9</f>
        <v>22.352492545839556</v>
      </c>
      <c r="U200" s="20">
        <f>((1+Inputs!$E$72)^(1/12)-1)*(U198+U199)*U$9</f>
        <v>22.496309155913117</v>
      </c>
      <c r="V200" s="20">
        <f>((1+Inputs!$E$72)^(1/12)-1)*(V198+V199)*V$9</f>
        <v>22.641051086386206</v>
      </c>
      <c r="W200" s="20">
        <f>((1+Inputs!$E$72)^(1/12)-1)*(W198+W199)*W$9</f>
        <v>22.78672429079814</v>
      </c>
      <c r="X200" s="20">
        <f>((1+Inputs!$E$72)^(1/12)-1)*(X198+X199)*X$9</f>
        <v>23.194173819507135</v>
      </c>
      <c r="Y200" s="20">
        <f>((1+Inputs!$E$72)^(1/12)-1)*(Y198+Y199)*Y$9</f>
        <v>24.261420204042015</v>
      </c>
      <c r="Z200" s="20">
        <f>((1+Inputs!$E$72)^(1/12)-1)*(Z198+Z199)*Z$9</f>
        <v>30.56037012253403</v>
      </c>
      <c r="AA200" s="20">
        <f>((1+Inputs!$E$72)^(1/12)-1)*(AA198+AA199)*AA$9</f>
        <v>32.23508446231929</v>
      </c>
      <c r="AB200" s="20">
        <f>((1+Inputs!$E$72)^(1/12)-1)*(AB198+AB199)*AB$9</f>
        <v>33.009550079557044</v>
      </c>
      <c r="AC200" s="20">
        <f>((1+Inputs!$E$72)^(1/12)-1)*(AC198+AC199)*AC$9</f>
        <v>33.22263008950928</v>
      </c>
      <c r="AD200" s="20">
        <f>((1+Inputs!$E$72)^(1/12)-1)*(AD198+AD199)*AD$9</f>
        <v>33.43638549183869</v>
      </c>
      <c r="AE200" s="20">
        <f>((1+Inputs!$E$72)^(1/12)-1)*(AE198+AE199)*AE$9</f>
        <v>33.680469338357874</v>
      </c>
      <c r="AF200" s="20">
        <f>((1+Inputs!$E$72)^(1/12)-1)*(AF198+AF199)*AF$9</f>
        <v>33.89717049219992</v>
      </c>
      <c r="AG200" s="20">
        <f>((1+Inputs!$E$72)^(1/12)-1)*(AG198+AG199)*AG$9</f>
        <v>35.15676846547621</v>
      </c>
      <c r="AH200" s="20">
        <f>((1+Inputs!$E$72)^(1/12)-1)*(AH198+AH199)*AH$9</f>
        <v>35.38296817235351</v>
      </c>
      <c r="AI200" s="20">
        <f>((1+Inputs!$E$72)^(1/12)-1)*(AI198+AI199)*AI$9</f>
        <v>35.61062325495572</v>
      </c>
      <c r="AJ200" s="20">
        <f>((1+Inputs!$E$72)^(1/12)-1)*(AJ198+AJ199)*AJ$9</f>
        <v>36.04841432402502</v>
      </c>
      <c r="AK200" s="20">
        <f>((1+Inputs!$E$72)^(1/12)-1)*(AK198+AK199)*AK$9</f>
        <v>38.09608349939557</v>
      </c>
      <c r="AL200" s="20">
        <f>((1+Inputs!$E$72)^(1/12)-1)*(AL198+AL199)*AL$9</f>
        <v>289.3976972631148</v>
      </c>
      <c r="AM200" s="20">
        <f>((1+Inputs!$E$72)^(1/12)-1)*(AM198+AM199)*AM$9</f>
        <v>291.25969076107134</v>
      </c>
      <c r="AN200" s="20">
        <f>((1+Inputs!$E$72)^(1/12)-1)*(AN198+AN199)*AN$9</f>
        <v>294.7195658570214</v>
      </c>
      <c r="AO200" s="20">
        <f>((1+Inputs!$E$72)^(1/12)-1)*(AO198+AO199)*AO$9</f>
        <v>296.6158004177526</v>
      </c>
      <c r="AP200" s="20">
        <f>((1+Inputs!$E$72)^(1/12)-1)*(AP198+AP199)*AP$9</f>
        <v>298.5242354087432</v>
      </c>
      <c r="AQ200" s="20">
        <f>((1+Inputs!$E$72)^(1/12)-1)*(AQ198+AQ199)*AQ$9</f>
        <v>300.44494932792884</v>
      </c>
      <c r="AR200" s="20">
        <f>((1+Inputs!$E$72)^(1/12)-1)*(AR198+AR199)*AR$9</f>
        <v>302.3780211783032</v>
      </c>
      <c r="AS200" s="20">
        <f>((1+Inputs!$E$72)^(1/12)-1)*(AS198+AS199)*AS$9</f>
        <v>304.32353047116766</v>
      </c>
      <c r="AT200" s="20">
        <f>((1+Inputs!$E$72)^(1/12)-1)*(AT198+AT199)*AT$9</f>
        <v>306.2815572294017</v>
      </c>
      <c r="AU200" s="20">
        <f>((1+Inputs!$E$72)^(1/12)-1)*(AU198+AU199)*AU$9</f>
        <v>308.25218199075437</v>
      </c>
      <c r="AV200" s="20">
        <f>((1+Inputs!$E$72)^(1/12)-1)*(AV198+AV199)*AV$9</f>
        <v>310.23548581115716</v>
      </c>
      <c r="AW200" s="20">
        <f>((1+Inputs!$E$72)^(1/12)-1)*(AW198+AW199)*AW$9</f>
        <v>312.2315502680577</v>
      </c>
      <c r="AX200" s="20">
        <f>((1+Inputs!$E$72)^(1/12)-1)*(AX198+AX199)*AX$9</f>
        <v>314.24045746377544</v>
      </c>
      <c r="AY200" s="20">
        <f>((1+Inputs!$E$72)^(1/12)-1)*(AY198+AY199)*AY$9</f>
        <v>316.2622900288786</v>
      </c>
      <c r="AZ200" s="20">
        <f>((1+Inputs!$E$72)^(1/12)-1)*(AZ198+AZ199)*AZ$9</f>
        <v>318.29713112558306</v>
      </c>
      <c r="BA200" s="20">
        <f>((1+Inputs!$E$72)^(1/12)-1)*(BA198+BA199)*BA$9</f>
        <v>0</v>
      </c>
      <c r="BB200" s="20">
        <f>((1+Inputs!$E$72)^(1/12)-1)*(BB198+BB199)*BB$9</f>
        <v>0</v>
      </c>
      <c r="BC200" s="20">
        <f>((1+Inputs!$E$72)^(1/12)-1)*(BC198+BC199)*BC$9</f>
        <v>0</v>
      </c>
      <c r="BD200" s="20">
        <f>((1+Inputs!$E$72)^(1/12)-1)*(BD198+BD199)*BD$9</f>
        <v>0</v>
      </c>
      <c r="BE200" s="20">
        <f>((1+Inputs!$E$72)^(1/12)-1)*(BE198+BE199)*BE$9</f>
        <v>0</v>
      </c>
      <c r="BF200" s="20">
        <f>((1+Inputs!$E$72)^(1/12)-1)*(BF198+BF199)*BF$9</f>
        <v>0</v>
      </c>
      <c r="BG200" s="20">
        <f>((1+Inputs!$E$72)^(1/12)-1)*(BG198+BG199)*BG$9</f>
        <v>0</v>
      </c>
      <c r="BH200" s="20">
        <f>((1+Inputs!$E$72)^(1/12)-1)*(BH198+BH199)*BH$9</f>
        <v>0</v>
      </c>
      <c r="BI200" s="20">
        <f>((1+Inputs!$E$72)^(1/12)-1)*(BI198+BI199)*BI$9</f>
        <v>0</v>
      </c>
      <c r="BJ200" s="20">
        <f>((1+Inputs!$E$72)^(1/12)-1)*(BJ198+BJ199)*BJ$9</f>
        <v>0</v>
      </c>
      <c r="BK200" s="20">
        <f>((1+Inputs!$E$72)^(1/12)-1)*(BK198+BK199)*BK$9</f>
        <v>0</v>
      </c>
      <c r="BL200" s="20">
        <f>((1+Inputs!$E$72)^(1/12)-1)*(BL198+BL199)*BL$9</f>
        <v>0</v>
      </c>
      <c r="BM200" s="20">
        <f>((1+Inputs!$E$72)^(1/12)-1)*(BM198+BM199)*BM$9</f>
        <v>0</v>
      </c>
      <c r="BN200" s="20">
        <f>((1+Inputs!$E$72)^(1/12)-1)*(BN198+BN199)*BN$9</f>
        <v>0</v>
      </c>
      <c r="BO200" s="20">
        <f>((1+Inputs!$E$72)^(1/12)-1)*(BO198+BO199)*BO$9</f>
        <v>0</v>
      </c>
      <c r="BP200" s="20">
        <f>((1+Inputs!$E$72)^(1/12)-1)*(BP198+BP199)*BP$9</f>
        <v>0</v>
      </c>
    </row>
    <row r="201" spans="3:68" x14ac:dyDescent="0.25">
      <c r="C201" s="6" t="s">
        <v>1669</v>
      </c>
      <c r="D201" s="6" t="s">
        <v>844</v>
      </c>
      <c r="E201" s="95"/>
      <c r="F201" s="95"/>
      <c r="G201" s="20"/>
      <c r="H201" s="20">
        <f>(H198+H199+H200)*(1-H$7)</f>
        <v>0</v>
      </c>
      <c r="I201" s="20">
        <f t="shared" ref="I201:BP201" si="132">(I198+I199+I200)*(1-I$7)</f>
        <v>0</v>
      </c>
      <c r="J201" s="20">
        <f t="shared" si="132"/>
        <v>0</v>
      </c>
      <c r="K201" s="20">
        <f t="shared" si="132"/>
        <v>194.92775264996914</v>
      </c>
      <c r="L201" s="20">
        <f t="shared" si="132"/>
        <v>196.18192367979435</v>
      </c>
      <c r="M201" s="20">
        <f t="shared" si="132"/>
        <v>2679.0623205194133</v>
      </c>
      <c r="N201" s="20">
        <f t="shared" si="132"/>
        <v>2706.091819259984</v>
      </c>
      <c r="O201" s="20">
        <f t="shared" si="132"/>
        <v>2903.547143262283</v>
      </c>
      <c r="P201" s="20">
        <f t="shared" si="132"/>
        <v>3322.7893969916286</v>
      </c>
      <c r="Q201" s="20">
        <f t="shared" si="132"/>
        <v>3344.1683240210727</v>
      </c>
      <c r="R201" s="20">
        <f t="shared" si="132"/>
        <v>3365.684803710744</v>
      </c>
      <c r="S201" s="20">
        <f t="shared" si="132"/>
        <v>3430.8611926509243</v>
      </c>
      <c r="T201" s="20">
        <f t="shared" si="132"/>
        <v>3496.4569284400072</v>
      </c>
      <c r="U201" s="20">
        <f t="shared" si="132"/>
        <v>3518.95323759592</v>
      </c>
      <c r="V201" s="20">
        <f t="shared" si="132"/>
        <v>3541.5942886823063</v>
      </c>
      <c r="W201" s="20">
        <f t="shared" si="132"/>
        <v>3564.3810129731046</v>
      </c>
      <c r="X201" s="20">
        <f t="shared" si="132"/>
        <v>3628.1157273331523</v>
      </c>
      <c r="Y201" s="20">
        <f t="shared" si="132"/>
        <v>3795.0582286182757</v>
      </c>
      <c r="Z201" s="20">
        <f t="shared" si="132"/>
        <v>4780.362531449027</v>
      </c>
      <c r="AA201" s="20">
        <f t="shared" si="132"/>
        <v>5042.327345641077</v>
      </c>
      <c r="AB201" s="20">
        <f t="shared" si="132"/>
        <v>5163.472030855769</v>
      </c>
      <c r="AC201" s="20">
        <f t="shared" si="132"/>
        <v>5196.802769053386</v>
      </c>
      <c r="AD201" s="20">
        <f t="shared" si="132"/>
        <v>5230.239154545225</v>
      </c>
      <c r="AE201" s="20">
        <f t="shared" si="132"/>
        <v>5268.419623883583</v>
      </c>
      <c r="AF201" s="20">
        <f t="shared" si="132"/>
        <v>5302.316794375783</v>
      </c>
      <c r="AG201" s="20">
        <f t="shared" si="132"/>
        <v>5499.347619984116</v>
      </c>
      <c r="AH201" s="20">
        <f t="shared" si="132"/>
        <v>5534.73058815647</v>
      </c>
      <c r="AI201" s="20">
        <f t="shared" si="132"/>
        <v>5570.341211411425</v>
      </c>
      <c r="AJ201" s="20">
        <f t="shared" si="132"/>
        <v>5638.8220581678825</v>
      </c>
      <c r="AK201" s="20">
        <f t="shared" si="132"/>
        <v>5959.125803295851</v>
      </c>
      <c r="AL201" s="20">
        <f t="shared" si="132"/>
        <v>45268.62414091439</v>
      </c>
      <c r="AM201" s="20">
        <f t="shared" si="132"/>
        <v>45559.88383167546</v>
      </c>
      <c r="AN201" s="20">
        <f t="shared" si="132"/>
        <v>46101.08988401897</v>
      </c>
      <c r="AO201" s="20">
        <f t="shared" si="132"/>
        <v>46397.705684436725</v>
      </c>
      <c r="AP201" s="20">
        <f t="shared" si="132"/>
        <v>46696.22991984547</v>
      </c>
      <c r="AQ201" s="20">
        <f t="shared" si="132"/>
        <v>46996.6748691734</v>
      </c>
      <c r="AR201" s="20">
        <f t="shared" si="132"/>
        <v>47299.052890351704</v>
      </c>
      <c r="AS201" s="20">
        <f t="shared" si="132"/>
        <v>47603.376420822875</v>
      </c>
      <c r="AT201" s="20">
        <f t="shared" si="132"/>
        <v>47909.65797805227</v>
      </c>
      <c r="AU201" s="20">
        <f t="shared" si="132"/>
        <v>48217.91016004303</v>
      </c>
      <c r="AV201" s="20">
        <f t="shared" si="132"/>
        <v>48528.14564585419</v>
      </c>
      <c r="AW201" s="20">
        <f t="shared" si="132"/>
        <v>48840.377196122245</v>
      </c>
      <c r="AX201" s="20">
        <f t="shared" si="132"/>
        <v>49154.61765358602</v>
      </c>
      <c r="AY201" s="20">
        <f t="shared" si="132"/>
        <v>49470.8799436149</v>
      </c>
      <c r="AZ201" s="20">
        <f t="shared" si="132"/>
        <v>0</v>
      </c>
      <c r="BA201" s="20">
        <f t="shared" si="132"/>
        <v>0</v>
      </c>
      <c r="BB201" s="20">
        <f t="shared" si="132"/>
        <v>0</v>
      </c>
      <c r="BC201" s="20">
        <f t="shared" si="132"/>
        <v>0</v>
      </c>
      <c r="BD201" s="20">
        <f t="shared" si="132"/>
        <v>0</v>
      </c>
      <c r="BE201" s="20">
        <f t="shared" si="132"/>
        <v>0</v>
      </c>
      <c r="BF201" s="20">
        <f t="shared" si="132"/>
        <v>0</v>
      </c>
      <c r="BG201" s="20">
        <f t="shared" si="132"/>
        <v>0</v>
      </c>
      <c r="BH201" s="20">
        <f t="shared" si="132"/>
        <v>0</v>
      </c>
      <c r="BI201" s="20">
        <f t="shared" si="132"/>
        <v>0</v>
      </c>
      <c r="BJ201" s="20">
        <f t="shared" si="132"/>
        <v>0</v>
      </c>
      <c r="BK201" s="20">
        <f t="shared" si="132"/>
        <v>0</v>
      </c>
      <c r="BL201" s="20">
        <f t="shared" si="132"/>
        <v>0</v>
      </c>
      <c r="BM201" s="20">
        <f t="shared" si="132"/>
        <v>0</v>
      </c>
      <c r="BN201" s="20">
        <f t="shared" si="132"/>
        <v>0</v>
      </c>
      <c r="BO201" s="20">
        <f t="shared" si="132"/>
        <v>0</v>
      </c>
      <c r="BP201" s="20">
        <f t="shared" si="132"/>
        <v>0</v>
      </c>
    </row>
    <row r="202" spans="3:68" x14ac:dyDescent="0.25">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row>
    <row r="203" spans="3:68" x14ac:dyDescent="0.25">
      <c r="C203" s="43" t="s">
        <v>732</v>
      </c>
      <c r="D203" s="43"/>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96"/>
      <c r="AX203" s="96"/>
      <c r="AY203" s="96"/>
      <c r="AZ203" s="96"/>
      <c r="BA203" s="96"/>
      <c r="BB203" s="96"/>
      <c r="BC203" s="96"/>
      <c r="BD203" s="96"/>
      <c r="BE203" s="96"/>
      <c r="BF203" s="96"/>
      <c r="BG203" s="96"/>
      <c r="BH203" s="96"/>
      <c r="BI203" s="96"/>
      <c r="BJ203" s="96"/>
      <c r="BK203" s="96"/>
      <c r="BL203" s="96"/>
      <c r="BM203" s="96"/>
      <c r="BN203" s="96"/>
      <c r="BO203" s="96"/>
      <c r="BP203" s="96"/>
    </row>
    <row r="204" spans="3:68" x14ac:dyDescent="0.25">
      <c r="C204" t="s">
        <v>733</v>
      </c>
      <c r="D204" t="s">
        <v>844</v>
      </c>
      <c r="E204" s="20"/>
      <c r="F204" s="20"/>
      <c r="G204" s="20">
        <f t="shared" ref="G204:G215" si="133">SUM(H204:BP204)</f>
        <v>0</v>
      </c>
      <c r="H204" s="20">
        <f t="shared" ref="H204:AM204" si="134">-H117</f>
        <v>-0</v>
      </c>
      <c r="I204" s="20">
        <f t="shared" si="134"/>
        <v>-0</v>
      </c>
      <c r="J204" s="20">
        <f t="shared" si="134"/>
        <v>-0</v>
      </c>
      <c r="K204" s="20">
        <f t="shared" si="134"/>
        <v>-0</v>
      </c>
      <c r="L204" s="20">
        <f t="shared" si="134"/>
        <v>-0</v>
      </c>
      <c r="M204" s="20">
        <f t="shared" si="134"/>
        <v>-0</v>
      </c>
      <c r="N204" s="20">
        <f t="shared" si="134"/>
        <v>-0</v>
      </c>
      <c r="O204" s="20">
        <f t="shared" si="134"/>
        <v>-0</v>
      </c>
      <c r="P204" s="20">
        <f t="shared" si="134"/>
        <v>-0</v>
      </c>
      <c r="Q204" s="20">
        <f t="shared" si="134"/>
        <v>-0</v>
      </c>
      <c r="R204" s="20">
        <f t="shared" si="134"/>
        <v>-0</v>
      </c>
      <c r="S204" s="20">
        <f t="shared" si="134"/>
        <v>-0</v>
      </c>
      <c r="T204" s="20">
        <f t="shared" si="134"/>
        <v>-0</v>
      </c>
      <c r="U204" s="20">
        <f t="shared" si="134"/>
        <v>-0</v>
      </c>
      <c r="V204" s="20">
        <f t="shared" si="134"/>
        <v>-0</v>
      </c>
      <c r="W204" s="20">
        <f t="shared" si="134"/>
        <v>-0</v>
      </c>
      <c r="X204" s="20">
        <f t="shared" si="134"/>
        <v>-0</v>
      </c>
      <c r="Y204" s="20">
        <f t="shared" si="134"/>
        <v>-0</v>
      </c>
      <c r="Z204" s="20">
        <f t="shared" si="134"/>
        <v>-0</v>
      </c>
      <c r="AA204" s="20">
        <f t="shared" si="134"/>
        <v>-0</v>
      </c>
      <c r="AB204" s="20">
        <f t="shared" si="134"/>
        <v>-0</v>
      </c>
      <c r="AC204" s="20">
        <f t="shared" si="134"/>
        <v>-0</v>
      </c>
      <c r="AD204" s="20">
        <f t="shared" si="134"/>
        <v>-0</v>
      </c>
      <c r="AE204" s="20">
        <f t="shared" si="134"/>
        <v>-0</v>
      </c>
      <c r="AF204" s="20">
        <f t="shared" si="134"/>
        <v>-0</v>
      </c>
      <c r="AG204" s="20">
        <f t="shared" si="134"/>
        <v>-0</v>
      </c>
      <c r="AH204" s="20">
        <f t="shared" si="134"/>
        <v>-0</v>
      </c>
      <c r="AI204" s="20">
        <f t="shared" si="134"/>
        <v>-0</v>
      </c>
      <c r="AJ204" s="20">
        <f t="shared" si="134"/>
        <v>-0</v>
      </c>
      <c r="AK204" s="20">
        <f t="shared" si="134"/>
        <v>-0</v>
      </c>
      <c r="AL204" s="20">
        <f t="shared" si="134"/>
        <v>-0</v>
      </c>
      <c r="AM204" s="20">
        <f t="shared" si="134"/>
        <v>-0</v>
      </c>
      <c r="AN204" s="20">
        <f t="shared" ref="AN204:BP204" si="135">-AN117</f>
        <v>-0</v>
      </c>
      <c r="AO204" s="20">
        <f t="shared" si="135"/>
        <v>-0</v>
      </c>
      <c r="AP204" s="20">
        <f t="shared" si="135"/>
        <v>-0</v>
      </c>
      <c r="AQ204" s="20">
        <f t="shared" si="135"/>
        <v>-0</v>
      </c>
      <c r="AR204" s="20">
        <f t="shared" si="135"/>
        <v>-0</v>
      </c>
      <c r="AS204" s="20">
        <f t="shared" si="135"/>
        <v>-0</v>
      </c>
      <c r="AT204" s="20">
        <f t="shared" si="135"/>
        <v>-0</v>
      </c>
      <c r="AU204" s="20">
        <f t="shared" si="135"/>
        <v>-0</v>
      </c>
      <c r="AV204" s="20">
        <f t="shared" si="135"/>
        <v>-0</v>
      </c>
      <c r="AW204" s="20">
        <f t="shared" si="135"/>
        <v>-0</v>
      </c>
      <c r="AX204" s="20">
        <f t="shared" si="135"/>
        <v>-0</v>
      </c>
      <c r="AY204" s="20">
        <f t="shared" si="135"/>
        <v>-0</v>
      </c>
      <c r="AZ204" s="20">
        <f t="shared" si="135"/>
        <v>-0</v>
      </c>
      <c r="BA204" s="20">
        <f t="shared" si="135"/>
        <v>-0</v>
      </c>
      <c r="BB204" s="20">
        <f t="shared" si="135"/>
        <v>-0</v>
      </c>
      <c r="BC204" s="20">
        <f t="shared" si="135"/>
        <v>-0</v>
      </c>
      <c r="BD204" s="20">
        <f t="shared" si="135"/>
        <v>-0</v>
      </c>
      <c r="BE204" s="20">
        <f t="shared" si="135"/>
        <v>-0</v>
      </c>
      <c r="BF204" s="20">
        <f t="shared" si="135"/>
        <v>-0</v>
      </c>
      <c r="BG204" s="20">
        <f t="shared" si="135"/>
        <v>-0</v>
      </c>
      <c r="BH204" s="20">
        <f t="shared" si="135"/>
        <v>-0</v>
      </c>
      <c r="BI204" s="20">
        <f t="shared" si="135"/>
        <v>-0</v>
      </c>
      <c r="BJ204" s="20">
        <f t="shared" si="135"/>
        <v>-0</v>
      </c>
      <c r="BK204" s="20">
        <f t="shared" si="135"/>
        <v>-0</v>
      </c>
      <c r="BL204" s="20">
        <f t="shared" si="135"/>
        <v>-0</v>
      </c>
      <c r="BM204" s="20">
        <f t="shared" si="135"/>
        <v>-0</v>
      </c>
      <c r="BN204" s="20">
        <f t="shared" si="135"/>
        <v>-0</v>
      </c>
      <c r="BO204" s="20">
        <f t="shared" si="135"/>
        <v>-0</v>
      </c>
      <c r="BP204" s="20">
        <f t="shared" si="135"/>
        <v>-0</v>
      </c>
    </row>
    <row r="205" spans="3:68" x14ac:dyDescent="0.25">
      <c r="C205" t="s">
        <v>711</v>
      </c>
      <c r="D205" t="s">
        <v>844</v>
      </c>
      <c r="E205" s="20"/>
      <c r="F205" s="20"/>
      <c r="G205" s="20">
        <f t="shared" si="133"/>
        <v>0</v>
      </c>
      <c r="H205" s="20">
        <f t="shared" ref="H205:AM205" si="136">-H134</f>
        <v>-0</v>
      </c>
      <c r="I205" s="20">
        <f t="shared" si="136"/>
        <v>-0</v>
      </c>
      <c r="J205" s="20">
        <f t="shared" si="136"/>
        <v>-0</v>
      </c>
      <c r="K205" s="20">
        <f t="shared" si="136"/>
        <v>-0</v>
      </c>
      <c r="L205" s="20">
        <f t="shared" si="136"/>
        <v>-0</v>
      </c>
      <c r="M205" s="20">
        <f t="shared" si="136"/>
        <v>-0</v>
      </c>
      <c r="N205" s="20">
        <f t="shared" si="136"/>
        <v>-0</v>
      </c>
      <c r="O205" s="20">
        <f t="shared" si="136"/>
        <v>-0</v>
      </c>
      <c r="P205" s="20">
        <f t="shared" si="136"/>
        <v>-0</v>
      </c>
      <c r="Q205" s="20">
        <f t="shared" si="136"/>
        <v>-0</v>
      </c>
      <c r="R205" s="20">
        <f t="shared" si="136"/>
        <v>-0</v>
      </c>
      <c r="S205" s="20">
        <f t="shared" si="136"/>
        <v>-0</v>
      </c>
      <c r="T205" s="20">
        <f t="shared" si="136"/>
        <v>-0</v>
      </c>
      <c r="U205" s="20">
        <f t="shared" si="136"/>
        <v>-0</v>
      </c>
      <c r="V205" s="20">
        <f t="shared" si="136"/>
        <v>-0</v>
      </c>
      <c r="W205" s="20">
        <f t="shared" si="136"/>
        <v>-0</v>
      </c>
      <c r="X205" s="20">
        <f t="shared" si="136"/>
        <v>-0</v>
      </c>
      <c r="Y205" s="20">
        <f t="shared" si="136"/>
        <v>-0</v>
      </c>
      <c r="Z205" s="20">
        <f t="shared" si="136"/>
        <v>-0</v>
      </c>
      <c r="AA205" s="20">
        <f t="shared" si="136"/>
        <v>-0</v>
      </c>
      <c r="AB205" s="20">
        <f t="shared" si="136"/>
        <v>-0</v>
      </c>
      <c r="AC205" s="20">
        <f t="shared" si="136"/>
        <v>-0</v>
      </c>
      <c r="AD205" s="20">
        <f t="shared" si="136"/>
        <v>-0</v>
      </c>
      <c r="AE205" s="20">
        <f t="shared" si="136"/>
        <v>-0</v>
      </c>
      <c r="AF205" s="20">
        <f t="shared" si="136"/>
        <v>-0</v>
      </c>
      <c r="AG205" s="20">
        <f t="shared" si="136"/>
        <v>-0</v>
      </c>
      <c r="AH205" s="20">
        <f t="shared" si="136"/>
        <v>-0</v>
      </c>
      <c r="AI205" s="20">
        <f t="shared" si="136"/>
        <v>-0</v>
      </c>
      <c r="AJ205" s="20">
        <f t="shared" si="136"/>
        <v>-0</v>
      </c>
      <c r="AK205" s="20">
        <f t="shared" si="136"/>
        <v>-0</v>
      </c>
      <c r="AL205" s="20">
        <f t="shared" si="136"/>
        <v>-0</v>
      </c>
      <c r="AM205" s="20">
        <f t="shared" si="136"/>
        <v>-0</v>
      </c>
      <c r="AN205" s="20">
        <f t="shared" ref="AN205:BP205" si="137">-AN134</f>
        <v>-0</v>
      </c>
      <c r="AO205" s="20">
        <f t="shared" si="137"/>
        <v>-0</v>
      </c>
      <c r="AP205" s="20">
        <f t="shared" si="137"/>
        <v>-0</v>
      </c>
      <c r="AQ205" s="20">
        <f t="shared" si="137"/>
        <v>-0</v>
      </c>
      <c r="AR205" s="20">
        <f t="shared" si="137"/>
        <v>-0</v>
      </c>
      <c r="AS205" s="20">
        <f t="shared" si="137"/>
        <v>-0</v>
      </c>
      <c r="AT205" s="20">
        <f t="shared" si="137"/>
        <v>-0</v>
      </c>
      <c r="AU205" s="20">
        <f t="shared" si="137"/>
        <v>-0</v>
      </c>
      <c r="AV205" s="20">
        <f t="shared" si="137"/>
        <v>-0</v>
      </c>
      <c r="AW205" s="20">
        <f t="shared" si="137"/>
        <v>-0</v>
      </c>
      <c r="AX205" s="20">
        <f t="shared" si="137"/>
        <v>-0</v>
      </c>
      <c r="AY205" s="20">
        <f t="shared" si="137"/>
        <v>-0</v>
      </c>
      <c r="AZ205" s="20">
        <f t="shared" si="137"/>
        <v>-0</v>
      </c>
      <c r="BA205" s="20">
        <f t="shared" si="137"/>
        <v>-0</v>
      </c>
      <c r="BB205" s="20">
        <f t="shared" si="137"/>
        <v>-0</v>
      </c>
      <c r="BC205" s="20">
        <f t="shared" si="137"/>
        <v>-0</v>
      </c>
      <c r="BD205" s="20">
        <f t="shared" si="137"/>
        <v>-0</v>
      </c>
      <c r="BE205" s="20">
        <f t="shared" si="137"/>
        <v>-0</v>
      </c>
      <c r="BF205" s="20">
        <f t="shared" si="137"/>
        <v>-0</v>
      </c>
      <c r="BG205" s="20">
        <f t="shared" si="137"/>
        <v>-0</v>
      </c>
      <c r="BH205" s="20">
        <f t="shared" si="137"/>
        <v>-0</v>
      </c>
      <c r="BI205" s="20">
        <f t="shared" si="137"/>
        <v>-0</v>
      </c>
      <c r="BJ205" s="20">
        <f t="shared" si="137"/>
        <v>-0</v>
      </c>
      <c r="BK205" s="20">
        <f t="shared" si="137"/>
        <v>-0</v>
      </c>
      <c r="BL205" s="20">
        <f t="shared" si="137"/>
        <v>-0</v>
      </c>
      <c r="BM205" s="20">
        <f t="shared" si="137"/>
        <v>-0</v>
      </c>
      <c r="BN205" s="20">
        <f t="shared" si="137"/>
        <v>-0</v>
      </c>
      <c r="BO205" s="20">
        <f t="shared" si="137"/>
        <v>-0</v>
      </c>
      <c r="BP205" s="20">
        <f t="shared" si="137"/>
        <v>-0</v>
      </c>
    </row>
    <row r="206" spans="3:68" x14ac:dyDescent="0.25">
      <c r="C206" t="s">
        <v>712</v>
      </c>
      <c r="D206" t="s">
        <v>844</v>
      </c>
      <c r="E206" s="20"/>
      <c r="F206" s="20"/>
      <c r="G206" s="20">
        <f t="shared" si="133"/>
        <v>0</v>
      </c>
      <c r="H206" s="20">
        <f t="shared" ref="H206:AM206" si="138">-H135</f>
        <v>-0</v>
      </c>
      <c r="I206" s="20">
        <f t="shared" si="138"/>
        <v>-0</v>
      </c>
      <c r="J206" s="20">
        <f t="shared" si="138"/>
        <v>-0</v>
      </c>
      <c r="K206" s="20">
        <f t="shared" si="138"/>
        <v>-0</v>
      </c>
      <c r="L206" s="20">
        <f t="shared" si="138"/>
        <v>-0</v>
      </c>
      <c r="M206" s="20">
        <f t="shared" si="138"/>
        <v>-0</v>
      </c>
      <c r="N206" s="20">
        <f t="shared" si="138"/>
        <v>-0</v>
      </c>
      <c r="O206" s="20">
        <f t="shared" si="138"/>
        <v>-0</v>
      </c>
      <c r="P206" s="20">
        <f t="shared" si="138"/>
        <v>-0</v>
      </c>
      <c r="Q206" s="20">
        <f t="shared" si="138"/>
        <v>-0</v>
      </c>
      <c r="R206" s="20">
        <f t="shared" si="138"/>
        <v>-0</v>
      </c>
      <c r="S206" s="20">
        <f t="shared" si="138"/>
        <v>-0</v>
      </c>
      <c r="T206" s="20">
        <f t="shared" si="138"/>
        <v>-0</v>
      </c>
      <c r="U206" s="20">
        <f t="shared" si="138"/>
        <v>-0</v>
      </c>
      <c r="V206" s="20">
        <f t="shared" si="138"/>
        <v>-0</v>
      </c>
      <c r="W206" s="20">
        <f t="shared" si="138"/>
        <v>-0</v>
      </c>
      <c r="X206" s="20">
        <f t="shared" si="138"/>
        <v>-0</v>
      </c>
      <c r="Y206" s="20">
        <f t="shared" si="138"/>
        <v>-0</v>
      </c>
      <c r="Z206" s="20">
        <f t="shared" si="138"/>
        <v>-0</v>
      </c>
      <c r="AA206" s="20">
        <f t="shared" si="138"/>
        <v>-0</v>
      </c>
      <c r="AB206" s="20">
        <f t="shared" si="138"/>
        <v>-0</v>
      </c>
      <c r="AC206" s="20">
        <f t="shared" si="138"/>
        <v>-0</v>
      </c>
      <c r="AD206" s="20">
        <f t="shared" si="138"/>
        <v>-0</v>
      </c>
      <c r="AE206" s="20">
        <f t="shared" si="138"/>
        <v>-0</v>
      </c>
      <c r="AF206" s="20">
        <f t="shared" si="138"/>
        <v>-0</v>
      </c>
      <c r="AG206" s="20">
        <f t="shared" si="138"/>
        <v>-0</v>
      </c>
      <c r="AH206" s="20">
        <f t="shared" si="138"/>
        <v>-0</v>
      </c>
      <c r="AI206" s="20">
        <f t="shared" si="138"/>
        <v>-0</v>
      </c>
      <c r="AJ206" s="20">
        <f t="shared" si="138"/>
        <v>-0</v>
      </c>
      <c r="AK206" s="20">
        <f t="shared" si="138"/>
        <v>-0</v>
      </c>
      <c r="AL206" s="20">
        <f t="shared" si="138"/>
        <v>-0</v>
      </c>
      <c r="AM206" s="20">
        <f t="shared" si="138"/>
        <v>-0</v>
      </c>
      <c r="AN206" s="20">
        <f t="shared" ref="AN206:BP206" si="139">-AN135</f>
        <v>-0</v>
      </c>
      <c r="AO206" s="20">
        <f t="shared" si="139"/>
        <v>-0</v>
      </c>
      <c r="AP206" s="20">
        <f t="shared" si="139"/>
        <v>-0</v>
      </c>
      <c r="AQ206" s="20">
        <f t="shared" si="139"/>
        <v>-0</v>
      </c>
      <c r="AR206" s="20">
        <f t="shared" si="139"/>
        <v>-0</v>
      </c>
      <c r="AS206" s="20">
        <f t="shared" si="139"/>
        <v>-0</v>
      </c>
      <c r="AT206" s="20">
        <f t="shared" si="139"/>
        <v>-0</v>
      </c>
      <c r="AU206" s="20">
        <f t="shared" si="139"/>
        <v>-0</v>
      </c>
      <c r="AV206" s="20">
        <f t="shared" si="139"/>
        <v>-0</v>
      </c>
      <c r="AW206" s="20">
        <f t="shared" si="139"/>
        <v>-0</v>
      </c>
      <c r="AX206" s="20">
        <f t="shared" si="139"/>
        <v>-0</v>
      </c>
      <c r="AY206" s="20">
        <f t="shared" si="139"/>
        <v>-0</v>
      </c>
      <c r="AZ206" s="20">
        <f t="shared" si="139"/>
        <v>-0</v>
      </c>
      <c r="BA206" s="20">
        <f t="shared" si="139"/>
        <v>-0</v>
      </c>
      <c r="BB206" s="20">
        <f t="shared" si="139"/>
        <v>-0</v>
      </c>
      <c r="BC206" s="20">
        <f t="shared" si="139"/>
        <v>-0</v>
      </c>
      <c r="BD206" s="20">
        <f t="shared" si="139"/>
        <v>-0</v>
      </c>
      <c r="BE206" s="20">
        <f t="shared" si="139"/>
        <v>-0</v>
      </c>
      <c r="BF206" s="20">
        <f t="shared" si="139"/>
        <v>-0</v>
      </c>
      <c r="BG206" s="20">
        <f t="shared" si="139"/>
        <v>-0</v>
      </c>
      <c r="BH206" s="20">
        <f t="shared" si="139"/>
        <v>-0</v>
      </c>
      <c r="BI206" s="20">
        <f t="shared" si="139"/>
        <v>-0</v>
      </c>
      <c r="BJ206" s="20">
        <f t="shared" si="139"/>
        <v>-0</v>
      </c>
      <c r="BK206" s="20">
        <f t="shared" si="139"/>
        <v>-0</v>
      </c>
      <c r="BL206" s="20">
        <f t="shared" si="139"/>
        <v>-0</v>
      </c>
      <c r="BM206" s="20">
        <f t="shared" si="139"/>
        <v>-0</v>
      </c>
      <c r="BN206" s="20">
        <f t="shared" si="139"/>
        <v>-0</v>
      </c>
      <c r="BO206" s="20">
        <f t="shared" si="139"/>
        <v>-0</v>
      </c>
      <c r="BP206" s="20">
        <f t="shared" si="139"/>
        <v>-0</v>
      </c>
    </row>
    <row r="207" spans="3:68" x14ac:dyDescent="0.25">
      <c r="C207" t="s">
        <v>713</v>
      </c>
      <c r="D207" t="s">
        <v>844</v>
      </c>
      <c r="E207" s="20"/>
      <c r="F207" s="20"/>
      <c r="G207" s="20">
        <f t="shared" si="133"/>
        <v>0</v>
      </c>
      <c r="H207" s="20">
        <f t="shared" ref="H207:AM207" si="140">-$E$107*H79</f>
        <v>-0</v>
      </c>
      <c r="I207" s="20">
        <f t="shared" si="140"/>
        <v>-0</v>
      </c>
      <c r="J207" s="20">
        <f t="shared" si="140"/>
        <v>-0</v>
      </c>
      <c r="K207" s="20">
        <f t="shared" si="140"/>
        <v>-0</v>
      </c>
      <c r="L207" s="20">
        <f t="shared" si="140"/>
        <v>-0</v>
      </c>
      <c r="M207" s="20">
        <f t="shared" si="140"/>
        <v>-0</v>
      </c>
      <c r="N207" s="20">
        <f t="shared" si="140"/>
        <v>-0</v>
      </c>
      <c r="O207" s="20">
        <f t="shared" si="140"/>
        <v>-0</v>
      </c>
      <c r="P207" s="20">
        <f t="shared" si="140"/>
        <v>-0</v>
      </c>
      <c r="Q207" s="20">
        <f t="shared" si="140"/>
        <v>-0</v>
      </c>
      <c r="R207" s="20">
        <f t="shared" si="140"/>
        <v>-0</v>
      </c>
      <c r="S207" s="20">
        <f t="shared" si="140"/>
        <v>-0</v>
      </c>
      <c r="T207" s="20">
        <f t="shared" si="140"/>
        <v>-0</v>
      </c>
      <c r="U207" s="20">
        <f t="shared" si="140"/>
        <v>-0</v>
      </c>
      <c r="V207" s="20">
        <f t="shared" si="140"/>
        <v>-0</v>
      </c>
      <c r="W207" s="20">
        <f t="shared" si="140"/>
        <v>-0</v>
      </c>
      <c r="X207" s="20">
        <f t="shared" si="140"/>
        <v>-0</v>
      </c>
      <c r="Y207" s="20">
        <f t="shared" si="140"/>
        <v>-0</v>
      </c>
      <c r="Z207" s="20">
        <f t="shared" si="140"/>
        <v>-0</v>
      </c>
      <c r="AA207" s="20">
        <f t="shared" si="140"/>
        <v>-0</v>
      </c>
      <c r="AB207" s="20">
        <f t="shared" si="140"/>
        <v>-0</v>
      </c>
      <c r="AC207" s="20">
        <f t="shared" si="140"/>
        <v>-0</v>
      </c>
      <c r="AD207" s="20">
        <f t="shared" si="140"/>
        <v>-0</v>
      </c>
      <c r="AE207" s="20">
        <f t="shared" si="140"/>
        <v>-0</v>
      </c>
      <c r="AF207" s="20">
        <f t="shared" si="140"/>
        <v>-0</v>
      </c>
      <c r="AG207" s="20">
        <f t="shared" si="140"/>
        <v>-0</v>
      </c>
      <c r="AH207" s="20">
        <f t="shared" si="140"/>
        <v>-0</v>
      </c>
      <c r="AI207" s="20">
        <f t="shared" si="140"/>
        <v>-0</v>
      </c>
      <c r="AJ207" s="20">
        <f t="shared" si="140"/>
        <v>-0</v>
      </c>
      <c r="AK207" s="20">
        <f t="shared" si="140"/>
        <v>-0</v>
      </c>
      <c r="AL207" s="20">
        <f t="shared" si="140"/>
        <v>-0</v>
      </c>
      <c r="AM207" s="20">
        <f t="shared" si="140"/>
        <v>-0</v>
      </c>
      <c r="AN207" s="20">
        <f t="shared" ref="AN207:BP207" si="141">-$E$107*AN79</f>
        <v>-0</v>
      </c>
      <c r="AO207" s="20">
        <f t="shared" si="141"/>
        <v>-0</v>
      </c>
      <c r="AP207" s="20">
        <f t="shared" si="141"/>
        <v>-0</v>
      </c>
      <c r="AQ207" s="20">
        <f t="shared" si="141"/>
        <v>-0</v>
      </c>
      <c r="AR207" s="20">
        <f t="shared" si="141"/>
        <v>-0</v>
      </c>
      <c r="AS207" s="20">
        <f t="shared" si="141"/>
        <v>-0</v>
      </c>
      <c r="AT207" s="20">
        <f t="shared" si="141"/>
        <v>-0</v>
      </c>
      <c r="AU207" s="20">
        <f t="shared" si="141"/>
        <v>-0</v>
      </c>
      <c r="AV207" s="20">
        <f t="shared" si="141"/>
        <v>-0</v>
      </c>
      <c r="AW207" s="20">
        <f t="shared" si="141"/>
        <v>-0</v>
      </c>
      <c r="AX207" s="20">
        <f t="shared" si="141"/>
        <v>-0</v>
      </c>
      <c r="AY207" s="20">
        <f t="shared" si="141"/>
        <v>-0</v>
      </c>
      <c r="AZ207" s="20">
        <f t="shared" si="141"/>
        <v>-0</v>
      </c>
      <c r="BA207" s="20">
        <f t="shared" si="141"/>
        <v>-0</v>
      </c>
      <c r="BB207" s="20">
        <f t="shared" si="141"/>
        <v>-0</v>
      </c>
      <c r="BC207" s="20">
        <f t="shared" si="141"/>
        <v>-0</v>
      </c>
      <c r="BD207" s="20">
        <f t="shared" si="141"/>
        <v>-0</v>
      </c>
      <c r="BE207" s="20">
        <f t="shared" si="141"/>
        <v>-0</v>
      </c>
      <c r="BF207" s="20">
        <f t="shared" si="141"/>
        <v>-0</v>
      </c>
      <c r="BG207" s="20">
        <f t="shared" si="141"/>
        <v>-0</v>
      </c>
      <c r="BH207" s="20">
        <f t="shared" si="141"/>
        <v>-0</v>
      </c>
      <c r="BI207" s="20">
        <f t="shared" si="141"/>
        <v>-0</v>
      </c>
      <c r="BJ207" s="20">
        <f t="shared" si="141"/>
        <v>-0</v>
      </c>
      <c r="BK207" s="20">
        <f t="shared" si="141"/>
        <v>-0</v>
      </c>
      <c r="BL207" s="20">
        <f t="shared" si="141"/>
        <v>-0</v>
      </c>
      <c r="BM207" s="20">
        <f t="shared" si="141"/>
        <v>-0</v>
      </c>
      <c r="BN207" s="20">
        <f t="shared" si="141"/>
        <v>-0</v>
      </c>
      <c r="BO207" s="20">
        <f t="shared" si="141"/>
        <v>-0</v>
      </c>
      <c r="BP207" s="20">
        <f t="shared" si="141"/>
        <v>-0</v>
      </c>
    </row>
    <row r="208" spans="3:68" x14ac:dyDescent="0.25">
      <c r="C208" s="6" t="s">
        <v>714</v>
      </c>
      <c r="D208" s="6" t="s">
        <v>844</v>
      </c>
      <c r="E208" s="95"/>
      <c r="F208" s="95"/>
      <c r="G208" s="95">
        <f t="shared" si="133"/>
        <v>0</v>
      </c>
      <c r="H208" s="95">
        <f t="shared" ref="H208:AM208" si="142">SUM(H204:H207)</f>
        <v>0</v>
      </c>
      <c r="I208" s="95">
        <f t="shared" si="142"/>
        <v>0</v>
      </c>
      <c r="J208" s="95">
        <f t="shared" si="142"/>
        <v>0</v>
      </c>
      <c r="K208" s="95">
        <f t="shared" si="142"/>
        <v>0</v>
      </c>
      <c r="L208" s="95">
        <f t="shared" si="142"/>
        <v>0</v>
      </c>
      <c r="M208" s="95">
        <f t="shared" si="142"/>
        <v>0</v>
      </c>
      <c r="N208" s="95">
        <f t="shared" si="142"/>
        <v>0</v>
      </c>
      <c r="O208" s="95">
        <f t="shared" si="142"/>
        <v>0</v>
      </c>
      <c r="P208" s="95">
        <f t="shared" si="142"/>
        <v>0</v>
      </c>
      <c r="Q208" s="95">
        <f t="shared" si="142"/>
        <v>0</v>
      </c>
      <c r="R208" s="95">
        <f t="shared" si="142"/>
        <v>0</v>
      </c>
      <c r="S208" s="95">
        <f t="shared" si="142"/>
        <v>0</v>
      </c>
      <c r="T208" s="95">
        <f t="shared" si="142"/>
        <v>0</v>
      </c>
      <c r="U208" s="95">
        <f t="shared" si="142"/>
        <v>0</v>
      </c>
      <c r="V208" s="95">
        <f t="shared" si="142"/>
        <v>0</v>
      </c>
      <c r="W208" s="95">
        <f t="shared" si="142"/>
        <v>0</v>
      </c>
      <c r="X208" s="95">
        <f t="shared" si="142"/>
        <v>0</v>
      </c>
      <c r="Y208" s="95">
        <f t="shared" si="142"/>
        <v>0</v>
      </c>
      <c r="Z208" s="95">
        <f t="shared" si="142"/>
        <v>0</v>
      </c>
      <c r="AA208" s="95">
        <f t="shared" si="142"/>
        <v>0</v>
      </c>
      <c r="AB208" s="95">
        <f t="shared" si="142"/>
        <v>0</v>
      </c>
      <c r="AC208" s="95">
        <f t="shared" si="142"/>
        <v>0</v>
      </c>
      <c r="AD208" s="95">
        <f t="shared" si="142"/>
        <v>0</v>
      </c>
      <c r="AE208" s="95">
        <f t="shared" si="142"/>
        <v>0</v>
      </c>
      <c r="AF208" s="95">
        <f t="shared" si="142"/>
        <v>0</v>
      </c>
      <c r="AG208" s="95">
        <f t="shared" si="142"/>
        <v>0</v>
      </c>
      <c r="AH208" s="95">
        <f t="shared" si="142"/>
        <v>0</v>
      </c>
      <c r="AI208" s="95">
        <f t="shared" si="142"/>
        <v>0</v>
      </c>
      <c r="AJ208" s="95">
        <f t="shared" si="142"/>
        <v>0</v>
      </c>
      <c r="AK208" s="95">
        <f t="shared" si="142"/>
        <v>0</v>
      </c>
      <c r="AL208" s="95">
        <f t="shared" si="142"/>
        <v>0</v>
      </c>
      <c r="AM208" s="95">
        <f t="shared" si="142"/>
        <v>0</v>
      </c>
      <c r="AN208" s="95">
        <f t="shared" ref="AN208:BP208" si="143">SUM(AN204:AN207)</f>
        <v>0</v>
      </c>
      <c r="AO208" s="95">
        <f t="shared" si="143"/>
        <v>0</v>
      </c>
      <c r="AP208" s="95">
        <f t="shared" si="143"/>
        <v>0</v>
      </c>
      <c r="AQ208" s="95">
        <f t="shared" si="143"/>
        <v>0</v>
      </c>
      <c r="AR208" s="95">
        <f t="shared" si="143"/>
        <v>0</v>
      </c>
      <c r="AS208" s="95">
        <f t="shared" si="143"/>
        <v>0</v>
      </c>
      <c r="AT208" s="95">
        <f t="shared" si="143"/>
        <v>0</v>
      </c>
      <c r="AU208" s="95">
        <f t="shared" si="143"/>
        <v>0</v>
      </c>
      <c r="AV208" s="95">
        <f t="shared" si="143"/>
        <v>0</v>
      </c>
      <c r="AW208" s="95">
        <f t="shared" si="143"/>
        <v>0</v>
      </c>
      <c r="AX208" s="95">
        <f t="shared" si="143"/>
        <v>0</v>
      </c>
      <c r="AY208" s="95">
        <f t="shared" si="143"/>
        <v>0</v>
      </c>
      <c r="AZ208" s="95">
        <f t="shared" si="143"/>
        <v>0</v>
      </c>
      <c r="BA208" s="95">
        <f t="shared" si="143"/>
        <v>0</v>
      </c>
      <c r="BB208" s="95">
        <f t="shared" si="143"/>
        <v>0</v>
      </c>
      <c r="BC208" s="95">
        <f t="shared" si="143"/>
        <v>0</v>
      </c>
      <c r="BD208" s="95">
        <f t="shared" si="143"/>
        <v>0</v>
      </c>
      <c r="BE208" s="95">
        <f t="shared" si="143"/>
        <v>0</v>
      </c>
      <c r="BF208" s="95">
        <f t="shared" si="143"/>
        <v>0</v>
      </c>
      <c r="BG208" s="95">
        <f t="shared" si="143"/>
        <v>0</v>
      </c>
      <c r="BH208" s="95">
        <f t="shared" si="143"/>
        <v>0</v>
      </c>
      <c r="BI208" s="95">
        <f t="shared" si="143"/>
        <v>0</v>
      </c>
      <c r="BJ208" s="95">
        <f t="shared" si="143"/>
        <v>0</v>
      </c>
      <c r="BK208" s="95">
        <f t="shared" si="143"/>
        <v>0</v>
      </c>
      <c r="BL208" s="95">
        <f t="shared" si="143"/>
        <v>0</v>
      </c>
      <c r="BM208" s="95">
        <f t="shared" si="143"/>
        <v>0</v>
      </c>
      <c r="BN208" s="95">
        <f t="shared" si="143"/>
        <v>0</v>
      </c>
      <c r="BO208" s="95">
        <f t="shared" si="143"/>
        <v>0</v>
      </c>
      <c r="BP208" s="95">
        <f t="shared" si="143"/>
        <v>0</v>
      </c>
    </row>
    <row r="209" spans="3:68" x14ac:dyDescent="0.25">
      <c r="C209" t="s">
        <v>716</v>
      </c>
      <c r="D209" t="s">
        <v>844</v>
      </c>
      <c r="E209" s="20"/>
      <c r="F209" s="20"/>
      <c r="G209" s="20">
        <f t="shared" si="133"/>
        <v>0</v>
      </c>
      <c r="H209" s="20">
        <f t="shared" ref="H209:AM209" si="144">-H$7*$G$147*$E$107</f>
        <v>0</v>
      </c>
      <c r="I209" s="20">
        <f t="shared" si="144"/>
        <v>0</v>
      </c>
      <c r="J209" s="20">
        <f t="shared" si="144"/>
        <v>0</v>
      </c>
      <c r="K209" s="20">
        <f t="shared" si="144"/>
        <v>0</v>
      </c>
      <c r="L209" s="20">
        <f t="shared" si="144"/>
        <v>0</v>
      </c>
      <c r="M209" s="20">
        <f t="shared" si="144"/>
        <v>0</v>
      </c>
      <c r="N209" s="20">
        <f t="shared" si="144"/>
        <v>0</v>
      </c>
      <c r="O209" s="20">
        <f t="shared" si="144"/>
        <v>0</v>
      </c>
      <c r="P209" s="20">
        <f t="shared" si="144"/>
        <v>0</v>
      </c>
      <c r="Q209" s="20">
        <f t="shared" si="144"/>
        <v>0</v>
      </c>
      <c r="R209" s="20">
        <f t="shared" si="144"/>
        <v>0</v>
      </c>
      <c r="S209" s="20">
        <f t="shared" si="144"/>
        <v>0</v>
      </c>
      <c r="T209" s="20">
        <f t="shared" si="144"/>
        <v>0</v>
      </c>
      <c r="U209" s="20">
        <f t="shared" si="144"/>
        <v>0</v>
      </c>
      <c r="V209" s="20">
        <f t="shared" si="144"/>
        <v>0</v>
      </c>
      <c r="W209" s="20">
        <f t="shared" si="144"/>
        <v>0</v>
      </c>
      <c r="X209" s="20">
        <f t="shared" si="144"/>
        <v>0</v>
      </c>
      <c r="Y209" s="20">
        <f t="shared" si="144"/>
        <v>0</v>
      </c>
      <c r="Z209" s="20">
        <f t="shared" si="144"/>
        <v>0</v>
      </c>
      <c r="AA209" s="20">
        <f t="shared" si="144"/>
        <v>0</v>
      </c>
      <c r="AB209" s="20">
        <f t="shared" si="144"/>
        <v>0</v>
      </c>
      <c r="AC209" s="20">
        <f t="shared" si="144"/>
        <v>0</v>
      </c>
      <c r="AD209" s="20">
        <f t="shared" si="144"/>
        <v>0</v>
      </c>
      <c r="AE209" s="20">
        <f t="shared" si="144"/>
        <v>0</v>
      </c>
      <c r="AF209" s="20">
        <f t="shared" si="144"/>
        <v>0</v>
      </c>
      <c r="AG209" s="20">
        <f t="shared" si="144"/>
        <v>0</v>
      </c>
      <c r="AH209" s="20">
        <f t="shared" si="144"/>
        <v>0</v>
      </c>
      <c r="AI209" s="20">
        <f t="shared" si="144"/>
        <v>0</v>
      </c>
      <c r="AJ209" s="20">
        <f t="shared" si="144"/>
        <v>0</v>
      </c>
      <c r="AK209" s="20">
        <f t="shared" si="144"/>
        <v>0</v>
      </c>
      <c r="AL209" s="20">
        <f t="shared" si="144"/>
        <v>0</v>
      </c>
      <c r="AM209" s="20">
        <f t="shared" si="144"/>
        <v>0</v>
      </c>
      <c r="AN209" s="20">
        <f t="shared" ref="AN209:BP209" si="145">-AN$7*$G$147*$E$107</f>
        <v>0</v>
      </c>
      <c r="AO209" s="20">
        <f t="shared" si="145"/>
        <v>0</v>
      </c>
      <c r="AP209" s="20">
        <f t="shared" si="145"/>
        <v>0</v>
      </c>
      <c r="AQ209" s="20">
        <f t="shared" si="145"/>
        <v>0</v>
      </c>
      <c r="AR209" s="20">
        <f t="shared" si="145"/>
        <v>0</v>
      </c>
      <c r="AS209" s="20">
        <f t="shared" si="145"/>
        <v>0</v>
      </c>
      <c r="AT209" s="20">
        <f t="shared" si="145"/>
        <v>0</v>
      </c>
      <c r="AU209" s="20">
        <f t="shared" si="145"/>
        <v>0</v>
      </c>
      <c r="AV209" s="20">
        <f t="shared" si="145"/>
        <v>0</v>
      </c>
      <c r="AW209" s="20">
        <f t="shared" si="145"/>
        <v>0</v>
      </c>
      <c r="AX209" s="20">
        <f t="shared" si="145"/>
        <v>0</v>
      </c>
      <c r="AY209" s="20">
        <f t="shared" si="145"/>
        <v>0</v>
      </c>
      <c r="AZ209" s="20">
        <f t="shared" si="145"/>
        <v>0</v>
      </c>
      <c r="BA209" s="20">
        <f t="shared" si="145"/>
        <v>0</v>
      </c>
      <c r="BB209" s="20">
        <f t="shared" si="145"/>
        <v>0</v>
      </c>
      <c r="BC209" s="20">
        <f t="shared" si="145"/>
        <v>0</v>
      </c>
      <c r="BD209" s="20">
        <f t="shared" si="145"/>
        <v>0</v>
      </c>
      <c r="BE209" s="20">
        <f t="shared" si="145"/>
        <v>0</v>
      </c>
      <c r="BF209" s="20">
        <f t="shared" si="145"/>
        <v>0</v>
      </c>
      <c r="BG209" s="20">
        <f t="shared" si="145"/>
        <v>0</v>
      </c>
      <c r="BH209" s="20">
        <f t="shared" si="145"/>
        <v>0</v>
      </c>
      <c r="BI209" s="20">
        <f t="shared" si="145"/>
        <v>0</v>
      </c>
      <c r="BJ209" s="20">
        <f t="shared" si="145"/>
        <v>0</v>
      </c>
      <c r="BK209" s="20">
        <f t="shared" si="145"/>
        <v>0</v>
      </c>
      <c r="BL209" s="20">
        <f t="shared" si="145"/>
        <v>0</v>
      </c>
      <c r="BM209" s="20">
        <f t="shared" si="145"/>
        <v>0</v>
      </c>
      <c r="BN209" s="20">
        <f t="shared" si="145"/>
        <v>0</v>
      </c>
      <c r="BO209" s="20">
        <f t="shared" si="145"/>
        <v>0</v>
      </c>
      <c r="BP209" s="20">
        <f t="shared" si="145"/>
        <v>0</v>
      </c>
    </row>
    <row r="210" spans="3:68" x14ac:dyDescent="0.25">
      <c r="C210" t="s">
        <v>717</v>
      </c>
      <c r="D210" t="s">
        <v>844</v>
      </c>
      <c r="E210" s="20"/>
      <c r="F210" s="20"/>
      <c r="G210" s="20">
        <f t="shared" si="133"/>
        <v>0</v>
      </c>
      <c r="H210" s="20">
        <f t="shared" ref="H210:AM210" si="146">-H$7*$G$148*$E$107</f>
        <v>0</v>
      </c>
      <c r="I210" s="20">
        <f t="shared" si="146"/>
        <v>0</v>
      </c>
      <c r="J210" s="20">
        <f t="shared" si="146"/>
        <v>0</v>
      </c>
      <c r="K210" s="20">
        <f t="shared" si="146"/>
        <v>0</v>
      </c>
      <c r="L210" s="20">
        <f t="shared" si="146"/>
        <v>0</v>
      </c>
      <c r="M210" s="20">
        <f t="shared" si="146"/>
        <v>0</v>
      </c>
      <c r="N210" s="20">
        <f t="shared" si="146"/>
        <v>0</v>
      </c>
      <c r="O210" s="20">
        <f t="shared" si="146"/>
        <v>0</v>
      </c>
      <c r="P210" s="20">
        <f t="shared" si="146"/>
        <v>0</v>
      </c>
      <c r="Q210" s="20">
        <f t="shared" si="146"/>
        <v>0</v>
      </c>
      <c r="R210" s="20">
        <f t="shared" si="146"/>
        <v>0</v>
      </c>
      <c r="S210" s="20">
        <f t="shared" si="146"/>
        <v>0</v>
      </c>
      <c r="T210" s="20">
        <f t="shared" si="146"/>
        <v>0</v>
      </c>
      <c r="U210" s="20">
        <f t="shared" si="146"/>
        <v>0</v>
      </c>
      <c r="V210" s="20">
        <f t="shared" si="146"/>
        <v>0</v>
      </c>
      <c r="W210" s="20">
        <f t="shared" si="146"/>
        <v>0</v>
      </c>
      <c r="X210" s="20">
        <f t="shared" si="146"/>
        <v>0</v>
      </c>
      <c r="Y210" s="20">
        <f t="shared" si="146"/>
        <v>0</v>
      </c>
      <c r="Z210" s="20">
        <f t="shared" si="146"/>
        <v>0</v>
      </c>
      <c r="AA210" s="20">
        <f t="shared" si="146"/>
        <v>0</v>
      </c>
      <c r="AB210" s="20">
        <f t="shared" si="146"/>
        <v>0</v>
      </c>
      <c r="AC210" s="20">
        <f t="shared" si="146"/>
        <v>0</v>
      </c>
      <c r="AD210" s="20">
        <f t="shared" si="146"/>
        <v>0</v>
      </c>
      <c r="AE210" s="20">
        <f t="shared" si="146"/>
        <v>0</v>
      </c>
      <c r="AF210" s="20">
        <f t="shared" si="146"/>
        <v>0</v>
      </c>
      <c r="AG210" s="20">
        <f t="shared" si="146"/>
        <v>0</v>
      </c>
      <c r="AH210" s="20">
        <f t="shared" si="146"/>
        <v>0</v>
      </c>
      <c r="AI210" s="20">
        <f t="shared" si="146"/>
        <v>0</v>
      </c>
      <c r="AJ210" s="20">
        <f t="shared" si="146"/>
        <v>0</v>
      </c>
      <c r="AK210" s="20">
        <f t="shared" si="146"/>
        <v>0</v>
      </c>
      <c r="AL210" s="20">
        <f t="shared" si="146"/>
        <v>0</v>
      </c>
      <c r="AM210" s="20">
        <f t="shared" si="146"/>
        <v>0</v>
      </c>
      <c r="AN210" s="20">
        <f t="shared" ref="AN210:BP210" si="147">-AN$7*$G$148*$E$107</f>
        <v>0</v>
      </c>
      <c r="AO210" s="20">
        <f t="shared" si="147"/>
        <v>0</v>
      </c>
      <c r="AP210" s="20">
        <f t="shared" si="147"/>
        <v>0</v>
      </c>
      <c r="AQ210" s="20">
        <f t="shared" si="147"/>
        <v>0</v>
      </c>
      <c r="AR210" s="20">
        <f t="shared" si="147"/>
        <v>0</v>
      </c>
      <c r="AS210" s="20">
        <f t="shared" si="147"/>
        <v>0</v>
      </c>
      <c r="AT210" s="20">
        <f t="shared" si="147"/>
        <v>0</v>
      </c>
      <c r="AU210" s="20">
        <f t="shared" si="147"/>
        <v>0</v>
      </c>
      <c r="AV210" s="20">
        <f t="shared" si="147"/>
        <v>0</v>
      </c>
      <c r="AW210" s="20">
        <f t="shared" si="147"/>
        <v>0</v>
      </c>
      <c r="AX210" s="20">
        <f t="shared" si="147"/>
        <v>0</v>
      </c>
      <c r="AY210" s="20">
        <f t="shared" si="147"/>
        <v>0</v>
      </c>
      <c r="AZ210" s="20">
        <f t="shared" si="147"/>
        <v>0</v>
      </c>
      <c r="BA210" s="20">
        <f t="shared" si="147"/>
        <v>0</v>
      </c>
      <c r="BB210" s="20">
        <f t="shared" si="147"/>
        <v>0</v>
      </c>
      <c r="BC210" s="20">
        <f t="shared" si="147"/>
        <v>0</v>
      </c>
      <c r="BD210" s="20">
        <f t="shared" si="147"/>
        <v>0</v>
      </c>
      <c r="BE210" s="20">
        <f t="shared" si="147"/>
        <v>0</v>
      </c>
      <c r="BF210" s="20">
        <f t="shared" si="147"/>
        <v>0</v>
      </c>
      <c r="BG210" s="20">
        <f t="shared" si="147"/>
        <v>0</v>
      </c>
      <c r="BH210" s="20">
        <f t="shared" si="147"/>
        <v>0</v>
      </c>
      <c r="BI210" s="20">
        <f t="shared" si="147"/>
        <v>0</v>
      </c>
      <c r="BJ210" s="20">
        <f t="shared" si="147"/>
        <v>0</v>
      </c>
      <c r="BK210" s="20">
        <f t="shared" si="147"/>
        <v>0</v>
      </c>
      <c r="BL210" s="20">
        <f t="shared" si="147"/>
        <v>0</v>
      </c>
      <c r="BM210" s="20">
        <f t="shared" si="147"/>
        <v>0</v>
      </c>
      <c r="BN210" s="20">
        <f t="shared" si="147"/>
        <v>0</v>
      </c>
      <c r="BO210" s="20">
        <f t="shared" si="147"/>
        <v>0</v>
      </c>
      <c r="BP210" s="20">
        <f t="shared" si="147"/>
        <v>0</v>
      </c>
    </row>
    <row r="211" spans="3:68" x14ac:dyDescent="0.25">
      <c r="C211" t="s">
        <v>718</v>
      </c>
      <c r="D211" t="s">
        <v>844</v>
      </c>
      <c r="E211" s="20"/>
      <c r="F211" s="20"/>
      <c r="G211" s="20">
        <f t="shared" si="133"/>
        <v>0</v>
      </c>
      <c r="H211" s="20">
        <f t="shared" ref="H211:AM211" si="148">-H$7*$G$149*$E$107</f>
        <v>0</v>
      </c>
      <c r="I211" s="20">
        <f t="shared" si="148"/>
        <v>0</v>
      </c>
      <c r="J211" s="20">
        <f t="shared" si="148"/>
        <v>0</v>
      </c>
      <c r="K211" s="20">
        <f t="shared" si="148"/>
        <v>0</v>
      </c>
      <c r="L211" s="20">
        <f t="shared" si="148"/>
        <v>0</v>
      </c>
      <c r="M211" s="20">
        <f t="shared" si="148"/>
        <v>0</v>
      </c>
      <c r="N211" s="20">
        <f t="shared" si="148"/>
        <v>0</v>
      </c>
      <c r="O211" s="20">
        <f t="shared" si="148"/>
        <v>0</v>
      </c>
      <c r="P211" s="20">
        <f t="shared" si="148"/>
        <v>0</v>
      </c>
      <c r="Q211" s="20">
        <f t="shared" si="148"/>
        <v>0</v>
      </c>
      <c r="R211" s="20">
        <f t="shared" si="148"/>
        <v>0</v>
      </c>
      <c r="S211" s="20">
        <f t="shared" si="148"/>
        <v>0</v>
      </c>
      <c r="T211" s="20">
        <f t="shared" si="148"/>
        <v>0</v>
      </c>
      <c r="U211" s="20">
        <f t="shared" si="148"/>
        <v>0</v>
      </c>
      <c r="V211" s="20">
        <f t="shared" si="148"/>
        <v>0</v>
      </c>
      <c r="W211" s="20">
        <f t="shared" si="148"/>
        <v>0</v>
      </c>
      <c r="X211" s="20">
        <f t="shared" si="148"/>
        <v>0</v>
      </c>
      <c r="Y211" s="20">
        <f t="shared" si="148"/>
        <v>0</v>
      </c>
      <c r="Z211" s="20">
        <f t="shared" si="148"/>
        <v>0</v>
      </c>
      <c r="AA211" s="20">
        <f t="shared" si="148"/>
        <v>0</v>
      </c>
      <c r="AB211" s="20">
        <f t="shared" si="148"/>
        <v>0</v>
      </c>
      <c r="AC211" s="20">
        <f t="shared" si="148"/>
        <v>0</v>
      </c>
      <c r="AD211" s="20">
        <f t="shared" si="148"/>
        <v>0</v>
      </c>
      <c r="AE211" s="20">
        <f t="shared" si="148"/>
        <v>0</v>
      </c>
      <c r="AF211" s="20">
        <f t="shared" si="148"/>
        <v>0</v>
      </c>
      <c r="AG211" s="20">
        <f t="shared" si="148"/>
        <v>0</v>
      </c>
      <c r="AH211" s="20">
        <f t="shared" si="148"/>
        <v>0</v>
      </c>
      <c r="AI211" s="20">
        <f t="shared" si="148"/>
        <v>0</v>
      </c>
      <c r="AJ211" s="20">
        <f t="shared" si="148"/>
        <v>0</v>
      </c>
      <c r="AK211" s="20">
        <f t="shared" si="148"/>
        <v>0</v>
      </c>
      <c r="AL211" s="20">
        <f t="shared" si="148"/>
        <v>0</v>
      </c>
      <c r="AM211" s="20">
        <f t="shared" si="148"/>
        <v>0</v>
      </c>
      <c r="AN211" s="20">
        <f t="shared" ref="AN211:BP211" si="149">-AN$7*$G$149*$E$107</f>
        <v>0</v>
      </c>
      <c r="AO211" s="20">
        <f t="shared" si="149"/>
        <v>0</v>
      </c>
      <c r="AP211" s="20">
        <f t="shared" si="149"/>
        <v>0</v>
      </c>
      <c r="AQ211" s="20">
        <f t="shared" si="149"/>
        <v>0</v>
      </c>
      <c r="AR211" s="20">
        <f t="shared" si="149"/>
        <v>0</v>
      </c>
      <c r="AS211" s="20">
        <f t="shared" si="149"/>
        <v>0</v>
      </c>
      <c r="AT211" s="20">
        <f t="shared" si="149"/>
        <v>0</v>
      </c>
      <c r="AU211" s="20">
        <f t="shared" si="149"/>
        <v>0</v>
      </c>
      <c r="AV211" s="20">
        <f t="shared" si="149"/>
        <v>0</v>
      </c>
      <c r="AW211" s="20">
        <f t="shared" si="149"/>
        <v>0</v>
      </c>
      <c r="AX211" s="20">
        <f t="shared" si="149"/>
        <v>0</v>
      </c>
      <c r="AY211" s="20">
        <f t="shared" si="149"/>
        <v>0</v>
      </c>
      <c r="AZ211" s="20">
        <f t="shared" si="149"/>
        <v>0</v>
      </c>
      <c r="BA211" s="20">
        <f t="shared" si="149"/>
        <v>0</v>
      </c>
      <c r="BB211" s="20">
        <f t="shared" si="149"/>
        <v>0</v>
      </c>
      <c r="BC211" s="20">
        <f t="shared" si="149"/>
        <v>0</v>
      </c>
      <c r="BD211" s="20">
        <f t="shared" si="149"/>
        <v>0</v>
      </c>
      <c r="BE211" s="20">
        <f t="shared" si="149"/>
        <v>0</v>
      </c>
      <c r="BF211" s="20">
        <f t="shared" si="149"/>
        <v>0</v>
      </c>
      <c r="BG211" s="20">
        <f t="shared" si="149"/>
        <v>0</v>
      </c>
      <c r="BH211" s="20">
        <f t="shared" si="149"/>
        <v>0</v>
      </c>
      <c r="BI211" s="20">
        <f t="shared" si="149"/>
        <v>0</v>
      </c>
      <c r="BJ211" s="20">
        <f t="shared" si="149"/>
        <v>0</v>
      </c>
      <c r="BK211" s="20">
        <f t="shared" si="149"/>
        <v>0</v>
      </c>
      <c r="BL211" s="20">
        <f t="shared" si="149"/>
        <v>0</v>
      </c>
      <c r="BM211" s="20">
        <f t="shared" si="149"/>
        <v>0</v>
      </c>
      <c r="BN211" s="20">
        <f t="shared" si="149"/>
        <v>0</v>
      </c>
      <c r="BO211" s="20">
        <f t="shared" si="149"/>
        <v>0</v>
      </c>
      <c r="BP211" s="20">
        <f t="shared" si="149"/>
        <v>0</v>
      </c>
    </row>
    <row r="212" spans="3:68" x14ac:dyDescent="0.25">
      <c r="C212" t="s">
        <v>734</v>
      </c>
      <c r="D212" t="s">
        <v>844</v>
      </c>
      <c r="E212" s="20"/>
      <c r="F212" s="20"/>
      <c r="G212" s="20">
        <f t="shared" si="133"/>
        <v>2238.4375</v>
      </c>
      <c r="H212" s="20">
        <f t="shared" ref="H212:AM212" si="150">-H$7*$G$151</f>
        <v>0</v>
      </c>
      <c r="I212" s="20">
        <f t="shared" si="150"/>
        <v>0</v>
      </c>
      <c r="J212" s="20">
        <f t="shared" si="150"/>
        <v>0</v>
      </c>
      <c r="K212" s="20">
        <f t="shared" si="150"/>
        <v>0</v>
      </c>
      <c r="L212" s="20">
        <f t="shared" si="150"/>
        <v>0</v>
      </c>
      <c r="M212" s="20">
        <f t="shared" si="150"/>
        <v>0</v>
      </c>
      <c r="N212" s="20">
        <f t="shared" si="150"/>
        <v>0</v>
      </c>
      <c r="O212" s="20">
        <f t="shared" si="150"/>
        <v>0</v>
      </c>
      <c r="P212" s="20">
        <f t="shared" si="150"/>
        <v>0</v>
      </c>
      <c r="Q212" s="20">
        <f t="shared" si="150"/>
        <v>0</v>
      </c>
      <c r="R212" s="20">
        <f t="shared" si="150"/>
        <v>0</v>
      </c>
      <c r="S212" s="20">
        <f t="shared" si="150"/>
        <v>0</v>
      </c>
      <c r="T212" s="20">
        <f t="shared" si="150"/>
        <v>0</v>
      </c>
      <c r="U212" s="20">
        <f t="shared" si="150"/>
        <v>0</v>
      </c>
      <c r="V212" s="20">
        <f t="shared" si="150"/>
        <v>0</v>
      </c>
      <c r="W212" s="20">
        <f t="shared" si="150"/>
        <v>0</v>
      </c>
      <c r="X212" s="20">
        <f t="shared" si="150"/>
        <v>0</v>
      </c>
      <c r="Y212" s="20">
        <f t="shared" si="150"/>
        <v>0</v>
      </c>
      <c r="Z212" s="20">
        <f t="shared" si="150"/>
        <v>0</v>
      </c>
      <c r="AA212" s="20">
        <f t="shared" si="150"/>
        <v>0</v>
      </c>
      <c r="AB212" s="20">
        <f t="shared" si="150"/>
        <v>0</v>
      </c>
      <c r="AC212" s="20">
        <f t="shared" si="150"/>
        <v>0</v>
      </c>
      <c r="AD212" s="20">
        <f t="shared" si="150"/>
        <v>0</v>
      </c>
      <c r="AE212" s="20">
        <f t="shared" si="150"/>
        <v>0</v>
      </c>
      <c r="AF212" s="20">
        <f t="shared" si="150"/>
        <v>0</v>
      </c>
      <c r="AG212" s="20">
        <f t="shared" si="150"/>
        <v>0</v>
      </c>
      <c r="AH212" s="20">
        <f t="shared" si="150"/>
        <v>0</v>
      </c>
      <c r="AI212" s="20">
        <f t="shared" si="150"/>
        <v>0</v>
      </c>
      <c r="AJ212" s="20">
        <f t="shared" si="150"/>
        <v>0</v>
      </c>
      <c r="AK212" s="20">
        <f t="shared" si="150"/>
        <v>0</v>
      </c>
      <c r="AL212" s="20">
        <f t="shared" si="150"/>
        <v>0</v>
      </c>
      <c r="AM212" s="20">
        <f t="shared" si="150"/>
        <v>0</v>
      </c>
      <c r="AN212" s="20">
        <f t="shared" ref="AN212:BP212" si="151">-AN$7*$G$151</f>
        <v>0</v>
      </c>
      <c r="AO212" s="20">
        <f t="shared" si="151"/>
        <v>0</v>
      </c>
      <c r="AP212" s="20">
        <f t="shared" si="151"/>
        <v>0</v>
      </c>
      <c r="AQ212" s="20">
        <f t="shared" si="151"/>
        <v>0</v>
      </c>
      <c r="AR212" s="20">
        <f t="shared" si="151"/>
        <v>0</v>
      </c>
      <c r="AS212" s="20">
        <f t="shared" si="151"/>
        <v>0</v>
      </c>
      <c r="AT212" s="20">
        <f t="shared" si="151"/>
        <v>0</v>
      </c>
      <c r="AU212" s="20">
        <f t="shared" si="151"/>
        <v>0</v>
      </c>
      <c r="AV212" s="20">
        <f t="shared" si="151"/>
        <v>0</v>
      </c>
      <c r="AW212" s="20">
        <f t="shared" si="151"/>
        <v>0</v>
      </c>
      <c r="AX212" s="20">
        <f t="shared" si="151"/>
        <v>0</v>
      </c>
      <c r="AY212" s="20">
        <f t="shared" si="151"/>
        <v>0</v>
      </c>
      <c r="AZ212" s="20">
        <f t="shared" si="151"/>
        <v>2238.4375</v>
      </c>
      <c r="BA212" s="20">
        <f t="shared" si="151"/>
        <v>0</v>
      </c>
      <c r="BB212" s="20">
        <f t="shared" si="151"/>
        <v>0</v>
      </c>
      <c r="BC212" s="20">
        <f t="shared" si="151"/>
        <v>0</v>
      </c>
      <c r="BD212" s="20">
        <f t="shared" si="151"/>
        <v>0</v>
      </c>
      <c r="BE212" s="20">
        <f t="shared" si="151"/>
        <v>0</v>
      </c>
      <c r="BF212" s="20">
        <f t="shared" si="151"/>
        <v>0</v>
      </c>
      <c r="BG212" s="20">
        <f t="shared" si="151"/>
        <v>0</v>
      </c>
      <c r="BH212" s="20">
        <f t="shared" si="151"/>
        <v>0</v>
      </c>
      <c r="BI212" s="20">
        <f t="shared" si="151"/>
        <v>0</v>
      </c>
      <c r="BJ212" s="20">
        <f t="shared" si="151"/>
        <v>0</v>
      </c>
      <c r="BK212" s="20">
        <f t="shared" si="151"/>
        <v>0</v>
      </c>
      <c r="BL212" s="20">
        <f t="shared" si="151"/>
        <v>0</v>
      </c>
      <c r="BM212" s="20">
        <f t="shared" si="151"/>
        <v>0</v>
      </c>
      <c r="BN212" s="20">
        <f t="shared" si="151"/>
        <v>0</v>
      </c>
      <c r="BO212" s="20">
        <f t="shared" si="151"/>
        <v>0</v>
      </c>
      <c r="BP212" s="20">
        <f t="shared" si="151"/>
        <v>0</v>
      </c>
    </row>
    <row r="213" spans="3:68" x14ac:dyDescent="0.25">
      <c r="C213" t="s">
        <v>48</v>
      </c>
      <c r="D213" t="s">
        <v>844</v>
      </c>
      <c r="E213" s="20"/>
      <c r="F213" s="20"/>
      <c r="G213" s="20">
        <f t="shared" si="133"/>
        <v>4975.1271827684495</v>
      </c>
      <c r="H213" s="20">
        <f t="shared" ref="H213:AM213" si="152">H$7*$G$154</f>
        <v>0</v>
      </c>
      <c r="I213" s="20">
        <f t="shared" si="152"/>
        <v>0</v>
      </c>
      <c r="J213" s="20">
        <f t="shared" si="152"/>
        <v>0</v>
      </c>
      <c r="K213" s="20">
        <f t="shared" si="152"/>
        <v>0</v>
      </c>
      <c r="L213" s="20">
        <f t="shared" si="152"/>
        <v>0</v>
      </c>
      <c r="M213" s="20">
        <f t="shared" si="152"/>
        <v>0</v>
      </c>
      <c r="N213" s="20">
        <f t="shared" si="152"/>
        <v>0</v>
      </c>
      <c r="O213" s="20">
        <f t="shared" si="152"/>
        <v>0</v>
      </c>
      <c r="P213" s="20">
        <f t="shared" si="152"/>
        <v>0</v>
      </c>
      <c r="Q213" s="20">
        <f t="shared" si="152"/>
        <v>0</v>
      </c>
      <c r="R213" s="20">
        <f t="shared" si="152"/>
        <v>0</v>
      </c>
      <c r="S213" s="20">
        <f t="shared" si="152"/>
        <v>0</v>
      </c>
      <c r="T213" s="20">
        <f t="shared" si="152"/>
        <v>0</v>
      </c>
      <c r="U213" s="20">
        <f t="shared" si="152"/>
        <v>0</v>
      </c>
      <c r="V213" s="20">
        <f t="shared" si="152"/>
        <v>0</v>
      </c>
      <c r="W213" s="20">
        <f t="shared" si="152"/>
        <v>0</v>
      </c>
      <c r="X213" s="20">
        <f t="shared" si="152"/>
        <v>0</v>
      </c>
      <c r="Y213" s="20">
        <f t="shared" si="152"/>
        <v>0</v>
      </c>
      <c r="Z213" s="20">
        <f t="shared" si="152"/>
        <v>0</v>
      </c>
      <c r="AA213" s="20">
        <f t="shared" si="152"/>
        <v>0</v>
      </c>
      <c r="AB213" s="20">
        <f t="shared" si="152"/>
        <v>0</v>
      </c>
      <c r="AC213" s="20">
        <f t="shared" si="152"/>
        <v>0</v>
      </c>
      <c r="AD213" s="20">
        <f t="shared" si="152"/>
        <v>0</v>
      </c>
      <c r="AE213" s="20">
        <f t="shared" si="152"/>
        <v>0</v>
      </c>
      <c r="AF213" s="20">
        <f t="shared" si="152"/>
        <v>0</v>
      </c>
      <c r="AG213" s="20">
        <f t="shared" si="152"/>
        <v>0</v>
      </c>
      <c r="AH213" s="20">
        <f t="shared" si="152"/>
        <v>0</v>
      </c>
      <c r="AI213" s="20">
        <f t="shared" si="152"/>
        <v>0</v>
      </c>
      <c r="AJ213" s="20">
        <f t="shared" si="152"/>
        <v>0</v>
      </c>
      <c r="AK213" s="20">
        <f t="shared" si="152"/>
        <v>0</v>
      </c>
      <c r="AL213" s="20">
        <f t="shared" si="152"/>
        <v>0</v>
      </c>
      <c r="AM213" s="20">
        <f t="shared" si="152"/>
        <v>0</v>
      </c>
      <c r="AN213" s="20">
        <f t="shared" ref="AN213:BP213" si="153">AN$7*$G$154</f>
        <v>0</v>
      </c>
      <c r="AO213" s="20">
        <f t="shared" si="153"/>
        <v>0</v>
      </c>
      <c r="AP213" s="20">
        <f t="shared" si="153"/>
        <v>0</v>
      </c>
      <c r="AQ213" s="20">
        <f t="shared" si="153"/>
        <v>0</v>
      </c>
      <c r="AR213" s="20">
        <f t="shared" si="153"/>
        <v>0</v>
      </c>
      <c r="AS213" s="20">
        <f t="shared" si="153"/>
        <v>0</v>
      </c>
      <c r="AT213" s="20">
        <f t="shared" si="153"/>
        <v>0</v>
      </c>
      <c r="AU213" s="20">
        <f t="shared" si="153"/>
        <v>0</v>
      </c>
      <c r="AV213" s="20">
        <f t="shared" si="153"/>
        <v>0</v>
      </c>
      <c r="AW213" s="20">
        <f t="shared" si="153"/>
        <v>0</v>
      </c>
      <c r="AX213" s="20">
        <f t="shared" si="153"/>
        <v>0</v>
      </c>
      <c r="AY213" s="20">
        <f t="shared" si="153"/>
        <v>0</v>
      </c>
      <c r="AZ213" s="20">
        <f t="shared" si="153"/>
        <v>4975.1271827684495</v>
      </c>
      <c r="BA213" s="20">
        <f t="shared" si="153"/>
        <v>0</v>
      </c>
      <c r="BB213" s="20">
        <f t="shared" si="153"/>
        <v>0</v>
      </c>
      <c r="BC213" s="20">
        <f t="shared" si="153"/>
        <v>0</v>
      </c>
      <c r="BD213" s="20">
        <f t="shared" si="153"/>
        <v>0</v>
      </c>
      <c r="BE213" s="20">
        <f t="shared" si="153"/>
        <v>0</v>
      </c>
      <c r="BF213" s="20">
        <f t="shared" si="153"/>
        <v>0</v>
      </c>
      <c r="BG213" s="20">
        <f t="shared" si="153"/>
        <v>0</v>
      </c>
      <c r="BH213" s="20">
        <f t="shared" si="153"/>
        <v>0</v>
      </c>
      <c r="BI213" s="20">
        <f t="shared" si="153"/>
        <v>0</v>
      </c>
      <c r="BJ213" s="20">
        <f t="shared" si="153"/>
        <v>0</v>
      </c>
      <c r="BK213" s="20">
        <f t="shared" si="153"/>
        <v>0</v>
      </c>
      <c r="BL213" s="20">
        <f t="shared" si="153"/>
        <v>0</v>
      </c>
      <c r="BM213" s="20">
        <f t="shared" si="153"/>
        <v>0</v>
      </c>
      <c r="BN213" s="20">
        <f t="shared" si="153"/>
        <v>0</v>
      </c>
      <c r="BO213" s="20">
        <f t="shared" si="153"/>
        <v>0</v>
      </c>
      <c r="BP213" s="20">
        <f t="shared" si="153"/>
        <v>0</v>
      </c>
    </row>
    <row r="214" spans="3:68" x14ac:dyDescent="0.25">
      <c r="C214" s="6" t="s">
        <v>50</v>
      </c>
      <c r="D214" s="6" t="s">
        <v>844</v>
      </c>
      <c r="E214" s="95"/>
      <c r="F214" s="95"/>
      <c r="G214" s="95">
        <f t="shared" si="133"/>
        <v>7213.5646827684495</v>
      </c>
      <c r="H214" s="95">
        <f t="shared" ref="H214:AM214" si="154">SUM(H209:H213)</f>
        <v>0</v>
      </c>
      <c r="I214" s="95">
        <f t="shared" si="154"/>
        <v>0</v>
      </c>
      <c r="J214" s="95">
        <f t="shared" si="154"/>
        <v>0</v>
      </c>
      <c r="K214" s="95">
        <f t="shared" si="154"/>
        <v>0</v>
      </c>
      <c r="L214" s="95">
        <f t="shared" si="154"/>
        <v>0</v>
      </c>
      <c r="M214" s="95">
        <f t="shared" si="154"/>
        <v>0</v>
      </c>
      <c r="N214" s="95">
        <f t="shared" si="154"/>
        <v>0</v>
      </c>
      <c r="O214" s="95">
        <f t="shared" si="154"/>
        <v>0</v>
      </c>
      <c r="P214" s="95">
        <f t="shared" si="154"/>
        <v>0</v>
      </c>
      <c r="Q214" s="95">
        <f t="shared" si="154"/>
        <v>0</v>
      </c>
      <c r="R214" s="95">
        <f t="shared" si="154"/>
        <v>0</v>
      </c>
      <c r="S214" s="95">
        <f t="shared" si="154"/>
        <v>0</v>
      </c>
      <c r="T214" s="95">
        <f t="shared" si="154"/>
        <v>0</v>
      </c>
      <c r="U214" s="95">
        <f t="shared" si="154"/>
        <v>0</v>
      </c>
      <c r="V214" s="95">
        <f t="shared" si="154"/>
        <v>0</v>
      </c>
      <c r="W214" s="95">
        <f t="shared" si="154"/>
        <v>0</v>
      </c>
      <c r="X214" s="95">
        <f t="shared" si="154"/>
        <v>0</v>
      </c>
      <c r="Y214" s="95">
        <f t="shared" si="154"/>
        <v>0</v>
      </c>
      <c r="Z214" s="95">
        <f t="shared" si="154"/>
        <v>0</v>
      </c>
      <c r="AA214" s="95">
        <f t="shared" si="154"/>
        <v>0</v>
      </c>
      <c r="AB214" s="95">
        <f t="shared" si="154"/>
        <v>0</v>
      </c>
      <c r="AC214" s="95">
        <f t="shared" si="154"/>
        <v>0</v>
      </c>
      <c r="AD214" s="95">
        <f t="shared" si="154"/>
        <v>0</v>
      </c>
      <c r="AE214" s="95">
        <f t="shared" si="154"/>
        <v>0</v>
      </c>
      <c r="AF214" s="95">
        <f t="shared" si="154"/>
        <v>0</v>
      </c>
      <c r="AG214" s="95">
        <f t="shared" si="154"/>
        <v>0</v>
      </c>
      <c r="AH214" s="95">
        <f t="shared" si="154"/>
        <v>0</v>
      </c>
      <c r="AI214" s="95">
        <f t="shared" si="154"/>
        <v>0</v>
      </c>
      <c r="AJ214" s="95">
        <f t="shared" si="154"/>
        <v>0</v>
      </c>
      <c r="AK214" s="95">
        <f t="shared" si="154"/>
        <v>0</v>
      </c>
      <c r="AL214" s="95">
        <f t="shared" si="154"/>
        <v>0</v>
      </c>
      <c r="AM214" s="95">
        <f t="shared" si="154"/>
        <v>0</v>
      </c>
      <c r="AN214" s="95">
        <f t="shared" ref="AN214:BP214" si="155">SUM(AN209:AN213)</f>
        <v>0</v>
      </c>
      <c r="AO214" s="95">
        <f t="shared" si="155"/>
        <v>0</v>
      </c>
      <c r="AP214" s="95">
        <f t="shared" si="155"/>
        <v>0</v>
      </c>
      <c r="AQ214" s="95">
        <f t="shared" si="155"/>
        <v>0</v>
      </c>
      <c r="AR214" s="95">
        <f t="shared" si="155"/>
        <v>0</v>
      </c>
      <c r="AS214" s="95">
        <f t="shared" si="155"/>
        <v>0</v>
      </c>
      <c r="AT214" s="95">
        <f t="shared" si="155"/>
        <v>0</v>
      </c>
      <c r="AU214" s="95">
        <f t="shared" si="155"/>
        <v>0</v>
      </c>
      <c r="AV214" s="95">
        <f t="shared" si="155"/>
        <v>0</v>
      </c>
      <c r="AW214" s="95">
        <f t="shared" si="155"/>
        <v>0</v>
      </c>
      <c r="AX214" s="95">
        <f t="shared" si="155"/>
        <v>0</v>
      </c>
      <c r="AY214" s="95">
        <f t="shared" si="155"/>
        <v>0</v>
      </c>
      <c r="AZ214" s="95">
        <f t="shared" si="155"/>
        <v>7213.5646827684495</v>
      </c>
      <c r="BA214" s="95">
        <f t="shared" si="155"/>
        <v>0</v>
      </c>
      <c r="BB214" s="95">
        <f t="shared" si="155"/>
        <v>0</v>
      </c>
      <c r="BC214" s="95">
        <f t="shared" si="155"/>
        <v>0</v>
      </c>
      <c r="BD214" s="95">
        <f t="shared" si="155"/>
        <v>0</v>
      </c>
      <c r="BE214" s="95">
        <f t="shared" si="155"/>
        <v>0</v>
      </c>
      <c r="BF214" s="95">
        <f t="shared" si="155"/>
        <v>0</v>
      </c>
      <c r="BG214" s="95">
        <f t="shared" si="155"/>
        <v>0</v>
      </c>
      <c r="BH214" s="95">
        <f t="shared" si="155"/>
        <v>0</v>
      </c>
      <c r="BI214" s="95">
        <f t="shared" si="155"/>
        <v>0</v>
      </c>
      <c r="BJ214" s="95">
        <f t="shared" si="155"/>
        <v>0</v>
      </c>
      <c r="BK214" s="95">
        <f t="shared" si="155"/>
        <v>0</v>
      </c>
      <c r="BL214" s="95">
        <f t="shared" si="155"/>
        <v>0</v>
      </c>
      <c r="BM214" s="95">
        <f t="shared" si="155"/>
        <v>0</v>
      </c>
      <c r="BN214" s="95">
        <f t="shared" si="155"/>
        <v>0</v>
      </c>
      <c r="BO214" s="95">
        <f t="shared" si="155"/>
        <v>0</v>
      </c>
      <c r="BP214" s="95">
        <f t="shared" si="155"/>
        <v>0</v>
      </c>
    </row>
    <row r="215" spans="3:68" x14ac:dyDescent="0.25">
      <c r="C215" t="s">
        <v>719</v>
      </c>
      <c r="D215" t="s">
        <v>844</v>
      </c>
      <c r="E215" s="20"/>
      <c r="F215" s="20"/>
      <c r="G215" s="20">
        <f t="shared" si="133"/>
        <v>7213.5646827684495</v>
      </c>
      <c r="H215" s="20">
        <f t="shared" ref="H215:AM215" si="156">H208+H214</f>
        <v>0</v>
      </c>
      <c r="I215" s="20">
        <f t="shared" si="156"/>
        <v>0</v>
      </c>
      <c r="J215" s="20">
        <f t="shared" si="156"/>
        <v>0</v>
      </c>
      <c r="K215" s="20">
        <f t="shared" si="156"/>
        <v>0</v>
      </c>
      <c r="L215" s="20">
        <f t="shared" si="156"/>
        <v>0</v>
      </c>
      <c r="M215" s="20">
        <f t="shared" si="156"/>
        <v>0</v>
      </c>
      <c r="N215" s="20">
        <f t="shared" si="156"/>
        <v>0</v>
      </c>
      <c r="O215" s="20">
        <f t="shared" si="156"/>
        <v>0</v>
      </c>
      <c r="P215" s="20">
        <f t="shared" si="156"/>
        <v>0</v>
      </c>
      <c r="Q215" s="20">
        <f t="shared" si="156"/>
        <v>0</v>
      </c>
      <c r="R215" s="20">
        <f t="shared" si="156"/>
        <v>0</v>
      </c>
      <c r="S215" s="20">
        <f t="shared" si="156"/>
        <v>0</v>
      </c>
      <c r="T215" s="20">
        <f t="shared" si="156"/>
        <v>0</v>
      </c>
      <c r="U215" s="20">
        <f t="shared" si="156"/>
        <v>0</v>
      </c>
      <c r="V215" s="20">
        <f t="shared" si="156"/>
        <v>0</v>
      </c>
      <c r="W215" s="20">
        <f t="shared" si="156"/>
        <v>0</v>
      </c>
      <c r="X215" s="20">
        <f t="shared" si="156"/>
        <v>0</v>
      </c>
      <c r="Y215" s="20">
        <f t="shared" si="156"/>
        <v>0</v>
      </c>
      <c r="Z215" s="20">
        <f t="shared" si="156"/>
        <v>0</v>
      </c>
      <c r="AA215" s="20">
        <f t="shared" si="156"/>
        <v>0</v>
      </c>
      <c r="AB215" s="20">
        <f t="shared" si="156"/>
        <v>0</v>
      </c>
      <c r="AC215" s="20">
        <f t="shared" si="156"/>
        <v>0</v>
      </c>
      <c r="AD215" s="20">
        <f t="shared" si="156"/>
        <v>0</v>
      </c>
      <c r="AE215" s="20">
        <f t="shared" si="156"/>
        <v>0</v>
      </c>
      <c r="AF215" s="20">
        <f t="shared" si="156"/>
        <v>0</v>
      </c>
      <c r="AG215" s="20">
        <f t="shared" si="156"/>
        <v>0</v>
      </c>
      <c r="AH215" s="20">
        <f t="shared" si="156"/>
        <v>0</v>
      </c>
      <c r="AI215" s="20">
        <f t="shared" si="156"/>
        <v>0</v>
      </c>
      <c r="AJ215" s="20">
        <f t="shared" si="156"/>
        <v>0</v>
      </c>
      <c r="AK215" s="20">
        <f t="shared" si="156"/>
        <v>0</v>
      </c>
      <c r="AL215" s="20">
        <f t="shared" si="156"/>
        <v>0</v>
      </c>
      <c r="AM215" s="20">
        <f t="shared" si="156"/>
        <v>0</v>
      </c>
      <c r="AN215" s="20">
        <f t="shared" ref="AN215:BP215" si="157">AN208+AN214</f>
        <v>0</v>
      </c>
      <c r="AO215" s="20">
        <f t="shared" si="157"/>
        <v>0</v>
      </c>
      <c r="AP215" s="20">
        <f t="shared" si="157"/>
        <v>0</v>
      </c>
      <c r="AQ215" s="20">
        <f t="shared" si="157"/>
        <v>0</v>
      </c>
      <c r="AR215" s="20">
        <f t="shared" si="157"/>
        <v>0</v>
      </c>
      <c r="AS215" s="20">
        <f t="shared" si="157"/>
        <v>0</v>
      </c>
      <c r="AT215" s="20">
        <f t="shared" si="157"/>
        <v>0</v>
      </c>
      <c r="AU215" s="20">
        <f t="shared" si="157"/>
        <v>0</v>
      </c>
      <c r="AV215" s="20">
        <f t="shared" si="157"/>
        <v>0</v>
      </c>
      <c r="AW215" s="20">
        <f t="shared" si="157"/>
        <v>0</v>
      </c>
      <c r="AX215" s="20">
        <f t="shared" si="157"/>
        <v>0</v>
      </c>
      <c r="AY215" s="20">
        <f t="shared" si="157"/>
        <v>0</v>
      </c>
      <c r="AZ215" s="20">
        <f t="shared" si="157"/>
        <v>7213.5646827684495</v>
      </c>
      <c r="BA215" s="20">
        <f t="shared" si="157"/>
        <v>0</v>
      </c>
      <c r="BB215" s="20">
        <f t="shared" si="157"/>
        <v>0</v>
      </c>
      <c r="BC215" s="20">
        <f t="shared" si="157"/>
        <v>0</v>
      </c>
      <c r="BD215" s="20">
        <f t="shared" si="157"/>
        <v>0</v>
      </c>
      <c r="BE215" s="20">
        <f t="shared" si="157"/>
        <v>0</v>
      </c>
      <c r="BF215" s="20">
        <f t="shared" si="157"/>
        <v>0</v>
      </c>
      <c r="BG215" s="20">
        <f t="shared" si="157"/>
        <v>0</v>
      </c>
      <c r="BH215" s="20">
        <f t="shared" si="157"/>
        <v>0</v>
      </c>
      <c r="BI215" s="20">
        <f t="shared" si="157"/>
        <v>0</v>
      </c>
      <c r="BJ215" s="20">
        <f t="shared" si="157"/>
        <v>0</v>
      </c>
      <c r="BK215" s="20">
        <f t="shared" si="157"/>
        <v>0</v>
      </c>
      <c r="BL215" s="20">
        <f t="shared" si="157"/>
        <v>0</v>
      </c>
      <c r="BM215" s="20">
        <f t="shared" si="157"/>
        <v>0</v>
      </c>
      <c r="BN215" s="20">
        <f t="shared" si="157"/>
        <v>0</v>
      </c>
      <c r="BO215" s="20">
        <f t="shared" si="157"/>
        <v>0</v>
      </c>
      <c r="BP215" s="20">
        <f t="shared" si="157"/>
        <v>0</v>
      </c>
    </row>
    <row r="216" spans="3:68" x14ac:dyDescent="0.25">
      <c r="C216" t="s">
        <v>720</v>
      </c>
      <c r="D216" t="s">
        <v>844</v>
      </c>
      <c r="E216" s="20"/>
      <c r="F216" s="20"/>
      <c r="G216" s="20"/>
      <c r="H216" s="20">
        <f>H215</f>
        <v>0</v>
      </c>
      <c r="I216" s="20">
        <f t="shared" ref="I216:AN216" si="158">H216+I215</f>
        <v>0</v>
      </c>
      <c r="J216" s="20">
        <f t="shared" si="158"/>
        <v>0</v>
      </c>
      <c r="K216" s="20">
        <f t="shared" si="158"/>
        <v>0</v>
      </c>
      <c r="L216" s="20">
        <f t="shared" si="158"/>
        <v>0</v>
      </c>
      <c r="M216" s="20">
        <f t="shared" si="158"/>
        <v>0</v>
      </c>
      <c r="N216" s="20">
        <f t="shared" si="158"/>
        <v>0</v>
      </c>
      <c r="O216" s="20">
        <f t="shared" si="158"/>
        <v>0</v>
      </c>
      <c r="P216" s="20">
        <f t="shared" si="158"/>
        <v>0</v>
      </c>
      <c r="Q216" s="20">
        <f t="shared" si="158"/>
        <v>0</v>
      </c>
      <c r="R216" s="20">
        <f t="shared" si="158"/>
        <v>0</v>
      </c>
      <c r="S216" s="20">
        <f t="shared" si="158"/>
        <v>0</v>
      </c>
      <c r="T216" s="20">
        <f t="shared" si="158"/>
        <v>0</v>
      </c>
      <c r="U216" s="20">
        <f t="shared" si="158"/>
        <v>0</v>
      </c>
      <c r="V216" s="20">
        <f t="shared" si="158"/>
        <v>0</v>
      </c>
      <c r="W216" s="20">
        <f t="shared" si="158"/>
        <v>0</v>
      </c>
      <c r="X216" s="20">
        <f t="shared" si="158"/>
        <v>0</v>
      </c>
      <c r="Y216" s="20">
        <f t="shared" si="158"/>
        <v>0</v>
      </c>
      <c r="Z216" s="20">
        <f t="shared" si="158"/>
        <v>0</v>
      </c>
      <c r="AA216" s="20">
        <f t="shared" si="158"/>
        <v>0</v>
      </c>
      <c r="AB216" s="20">
        <f t="shared" si="158"/>
        <v>0</v>
      </c>
      <c r="AC216" s="20">
        <f t="shared" si="158"/>
        <v>0</v>
      </c>
      <c r="AD216" s="20">
        <f t="shared" si="158"/>
        <v>0</v>
      </c>
      <c r="AE216" s="20">
        <f t="shared" si="158"/>
        <v>0</v>
      </c>
      <c r="AF216" s="20">
        <f t="shared" si="158"/>
        <v>0</v>
      </c>
      <c r="AG216" s="20">
        <f t="shared" si="158"/>
        <v>0</v>
      </c>
      <c r="AH216" s="20">
        <f t="shared" si="158"/>
        <v>0</v>
      </c>
      <c r="AI216" s="20">
        <f t="shared" si="158"/>
        <v>0</v>
      </c>
      <c r="AJ216" s="20">
        <f t="shared" si="158"/>
        <v>0</v>
      </c>
      <c r="AK216" s="20">
        <f t="shared" si="158"/>
        <v>0</v>
      </c>
      <c r="AL216" s="20">
        <f t="shared" si="158"/>
        <v>0</v>
      </c>
      <c r="AM216" s="20">
        <f t="shared" si="158"/>
        <v>0</v>
      </c>
      <c r="AN216" s="20">
        <f t="shared" si="158"/>
        <v>0</v>
      </c>
      <c r="AO216" s="20">
        <f t="shared" ref="AO216:BP216" si="159">AN216+AO215</f>
        <v>0</v>
      </c>
      <c r="AP216" s="20">
        <f t="shared" si="159"/>
        <v>0</v>
      </c>
      <c r="AQ216" s="20">
        <f t="shared" si="159"/>
        <v>0</v>
      </c>
      <c r="AR216" s="20">
        <f t="shared" si="159"/>
        <v>0</v>
      </c>
      <c r="AS216" s="20">
        <f t="shared" si="159"/>
        <v>0</v>
      </c>
      <c r="AT216" s="20">
        <f t="shared" si="159"/>
        <v>0</v>
      </c>
      <c r="AU216" s="20">
        <f t="shared" si="159"/>
        <v>0</v>
      </c>
      <c r="AV216" s="20">
        <f t="shared" si="159"/>
        <v>0</v>
      </c>
      <c r="AW216" s="20">
        <f t="shared" si="159"/>
        <v>0</v>
      </c>
      <c r="AX216" s="20">
        <f t="shared" si="159"/>
        <v>0</v>
      </c>
      <c r="AY216" s="20">
        <f t="shared" si="159"/>
        <v>0</v>
      </c>
      <c r="AZ216" s="20">
        <f t="shared" si="159"/>
        <v>7213.5646827684495</v>
      </c>
      <c r="BA216" s="20">
        <f t="shared" si="159"/>
        <v>7213.5646827684495</v>
      </c>
      <c r="BB216" s="20">
        <f t="shared" si="159"/>
        <v>7213.5646827684495</v>
      </c>
      <c r="BC216" s="20">
        <f t="shared" si="159"/>
        <v>7213.5646827684495</v>
      </c>
      <c r="BD216" s="20">
        <f t="shared" si="159"/>
        <v>7213.5646827684495</v>
      </c>
      <c r="BE216" s="20">
        <f t="shared" si="159"/>
        <v>7213.5646827684495</v>
      </c>
      <c r="BF216" s="20">
        <f t="shared" si="159"/>
        <v>7213.5646827684495</v>
      </c>
      <c r="BG216" s="20">
        <f t="shared" si="159"/>
        <v>7213.5646827684495</v>
      </c>
      <c r="BH216" s="20">
        <f t="shared" si="159"/>
        <v>7213.5646827684495</v>
      </c>
      <c r="BI216" s="20">
        <f t="shared" si="159"/>
        <v>7213.5646827684495</v>
      </c>
      <c r="BJ216" s="20">
        <f t="shared" si="159"/>
        <v>7213.5646827684495</v>
      </c>
      <c r="BK216" s="20">
        <f t="shared" si="159"/>
        <v>7213.5646827684495</v>
      </c>
      <c r="BL216" s="20">
        <f t="shared" si="159"/>
        <v>7213.5646827684495</v>
      </c>
      <c r="BM216" s="20">
        <f t="shared" si="159"/>
        <v>7213.5646827684495</v>
      </c>
      <c r="BN216" s="20">
        <f t="shared" si="159"/>
        <v>7213.5646827684495</v>
      </c>
      <c r="BO216" s="20">
        <f t="shared" si="159"/>
        <v>7213.5646827684495</v>
      </c>
      <c r="BP216" s="20">
        <f t="shared" si="159"/>
        <v>7213.5646827684495</v>
      </c>
    </row>
    <row r="217" spans="3:68" x14ac:dyDescent="0.25">
      <c r="C217" t="s">
        <v>1715</v>
      </c>
      <c r="D217" t="s">
        <v>844</v>
      </c>
      <c r="E217" s="31">
        <f>Inputs!$E$12</f>
        <v>0.09</v>
      </c>
      <c r="F217" s="20"/>
      <c r="G217" s="20">
        <f>SUM(H217:BP217)</f>
        <v>-201.459375</v>
      </c>
      <c r="H217" s="20">
        <f>-H$7*$E$217*MAX(H216-Inputs!$E$14*$G$213,0)</f>
        <v>-0</v>
      </c>
      <c r="I217" s="20">
        <f>-I$7*$E$217*MAX(I216-Inputs!$E$14*$G$213,0)</f>
        <v>-0</v>
      </c>
      <c r="J217" s="20">
        <f>-J$7*$E$217*MAX(J216-Inputs!$E$14*$G$213,0)</f>
        <v>-0</v>
      </c>
      <c r="K217" s="20">
        <f>-K$7*$E$217*MAX(K216-Inputs!$E$14*$G$213,0)</f>
        <v>-0</v>
      </c>
      <c r="L217" s="20">
        <f>-L$7*$E$217*MAX(L216-Inputs!$E$14*$G$213,0)</f>
        <v>-0</v>
      </c>
      <c r="M217" s="20">
        <f>-M$7*$E$217*MAX(M216-Inputs!$E$14*$G$213,0)</f>
        <v>-0</v>
      </c>
      <c r="N217" s="20">
        <f>-N$7*$E$217*MAX(N216-Inputs!$E$14*$G$213,0)</f>
        <v>-0</v>
      </c>
      <c r="O217" s="20">
        <f>-O$7*$E$217*MAX(O216-Inputs!$E$14*$G$213,0)</f>
        <v>-0</v>
      </c>
      <c r="P217" s="20">
        <f>-P$7*$E$217*MAX(P216-Inputs!$E$14*$G$213,0)</f>
        <v>-0</v>
      </c>
      <c r="Q217" s="20">
        <f>-Q$7*$E$217*MAX(Q216-Inputs!$E$14*$G$213,0)</f>
        <v>-0</v>
      </c>
      <c r="R217" s="20">
        <f>-R$7*$E$217*MAX(R216-Inputs!$E$14*$G$213,0)</f>
        <v>-0</v>
      </c>
      <c r="S217" s="20">
        <f>-S$7*$E$217*MAX(S216-Inputs!$E$14*$G$213,0)</f>
        <v>-0</v>
      </c>
      <c r="T217" s="20">
        <f>-T$7*$E$217*MAX(T216-Inputs!$E$14*$G$213,0)</f>
        <v>-0</v>
      </c>
      <c r="U217" s="20">
        <f>-U$7*$E$217*MAX(U216-Inputs!$E$14*$G$213,0)</f>
        <v>-0</v>
      </c>
      <c r="V217" s="20">
        <f>-V$7*$E$217*MAX(V216-Inputs!$E$14*$G$213,0)</f>
        <v>-0</v>
      </c>
      <c r="W217" s="20">
        <f>-W$7*$E$217*MAX(W216-Inputs!$E$14*$G$213,0)</f>
        <v>-0</v>
      </c>
      <c r="X217" s="20">
        <f>-X$7*$E$217*MAX(X216-Inputs!$E$14*$G$213,0)</f>
        <v>-0</v>
      </c>
      <c r="Y217" s="20">
        <f>-Y$7*$E$217*MAX(Y216-Inputs!$E$14*$G$213,0)</f>
        <v>-0</v>
      </c>
      <c r="Z217" s="20">
        <f>-Z$7*$E$217*MAX(Z216-Inputs!$E$14*$G$213,0)</f>
        <v>-0</v>
      </c>
      <c r="AA217" s="20">
        <f>-AA$7*$E$217*MAX(AA216-Inputs!$E$14*$G$213,0)</f>
        <v>-0</v>
      </c>
      <c r="AB217" s="20">
        <f>-AB$7*$E$217*MAX(AB216-Inputs!$E$14*$G$213,0)</f>
        <v>-0</v>
      </c>
      <c r="AC217" s="20">
        <f>-AC$7*$E$217*MAX(AC216-Inputs!$E$14*$G$213,0)</f>
        <v>-0</v>
      </c>
      <c r="AD217" s="20">
        <f>-AD$7*$E$217*MAX(AD216-Inputs!$E$14*$G$213,0)</f>
        <v>-0</v>
      </c>
      <c r="AE217" s="20">
        <f>-AE$7*$E$217*MAX(AE216-Inputs!$E$14*$G$213,0)</f>
        <v>-0</v>
      </c>
      <c r="AF217" s="20">
        <f>-AF$7*$E$217*MAX(AF216-Inputs!$E$14*$G$213,0)</f>
        <v>-0</v>
      </c>
      <c r="AG217" s="20">
        <f>-AG$7*$E$217*MAX(AG216-Inputs!$E$14*$G$213,0)</f>
        <v>-0</v>
      </c>
      <c r="AH217" s="20">
        <f>-AH$7*$E$217*MAX(AH216-Inputs!$E$14*$G$213,0)</f>
        <v>-0</v>
      </c>
      <c r="AI217" s="20">
        <f>-AI$7*$E$217*MAX(AI216-Inputs!$E$14*$G$213,0)</f>
        <v>-0</v>
      </c>
      <c r="AJ217" s="20">
        <f>-AJ$7*$E$217*MAX(AJ216-Inputs!$E$14*$G$213,0)</f>
        <v>-0</v>
      </c>
      <c r="AK217" s="20">
        <f>-AK$7*$E$217*MAX(AK216-Inputs!$E$14*$G$213,0)</f>
        <v>-0</v>
      </c>
      <c r="AL217" s="20">
        <f>-AL$7*$E$217*MAX(AL216-Inputs!$E$14*$G$213,0)</f>
        <v>-0</v>
      </c>
      <c r="AM217" s="20">
        <f>-AM$7*$E$217*MAX(AM216-Inputs!$E$14*$G$213,0)</f>
        <v>-0</v>
      </c>
      <c r="AN217" s="20">
        <f>-AN$7*$E$217*MAX(AN216-Inputs!$E$14*$G$213,0)</f>
        <v>-0</v>
      </c>
      <c r="AO217" s="20">
        <f>-AO$7*$E$217*MAX(AO216-Inputs!$E$14*$G$213,0)</f>
        <v>-0</v>
      </c>
      <c r="AP217" s="20">
        <f>-AP$7*$E$217*MAX(AP216-Inputs!$E$14*$G$213,0)</f>
        <v>-0</v>
      </c>
      <c r="AQ217" s="20">
        <f>-AQ$7*$E$217*MAX(AQ216-Inputs!$E$14*$G$213,0)</f>
        <v>-0</v>
      </c>
      <c r="AR217" s="20">
        <f>-AR$7*$E$217*MAX(AR216-Inputs!$E$14*$G$213,0)</f>
        <v>-0</v>
      </c>
      <c r="AS217" s="20">
        <f>-AS$7*$E$217*MAX(AS216-Inputs!$E$14*$G$213,0)</f>
        <v>-0</v>
      </c>
      <c r="AT217" s="20">
        <f>-AT$7*$E$217*MAX(AT216-Inputs!$E$14*$G$213,0)</f>
        <v>-0</v>
      </c>
      <c r="AU217" s="20">
        <f>-AU$7*$E$217*MAX(AU216-Inputs!$E$14*$G$213,0)</f>
        <v>-0</v>
      </c>
      <c r="AV217" s="20">
        <f>-AV$7*$E$217*MAX(AV216-Inputs!$E$14*$G$213,0)</f>
        <v>-0</v>
      </c>
      <c r="AW217" s="20">
        <f>-AW$7*$E$217*MAX(AW216-Inputs!$E$14*$G$213,0)</f>
        <v>-0</v>
      </c>
      <c r="AX217" s="20">
        <f>-AX$7*$E$217*MAX(AX216-Inputs!$E$14*$G$213,0)</f>
        <v>-0</v>
      </c>
      <c r="AY217" s="20">
        <f>-AY$7*$E$217*MAX(AY216-Inputs!$E$14*$G$213,0)</f>
        <v>-0</v>
      </c>
      <c r="AZ217" s="20">
        <f>-AZ$7*$E$217*MAX(AZ216-Inputs!$E$14*$G$213,0)</f>
        <v>-201.459375</v>
      </c>
      <c r="BA217" s="20">
        <f>-BA$7*$E$217*MAX(BA216-Inputs!$E$14*$G$213,0)</f>
        <v>-0</v>
      </c>
      <c r="BB217" s="20">
        <f>-BB$7*$E$217*MAX(BB216-Inputs!$E$14*$G$213,0)</f>
        <v>-0</v>
      </c>
      <c r="BC217" s="20">
        <f>-BC$7*$E$217*MAX(BC216-Inputs!$E$14*$G$213,0)</f>
        <v>-0</v>
      </c>
      <c r="BD217" s="20">
        <f>-BD$7*$E$217*MAX(BD216-Inputs!$E$14*$G$213,0)</f>
        <v>-0</v>
      </c>
      <c r="BE217" s="20">
        <f>-BE$7*$E$217*MAX(BE216-Inputs!$E$14*$G$213,0)</f>
        <v>-0</v>
      </c>
      <c r="BF217" s="20">
        <f>-BF$7*$E$217*MAX(BF216-Inputs!$E$14*$G$213,0)</f>
        <v>-0</v>
      </c>
      <c r="BG217" s="20">
        <f>-BG$7*$E$217*MAX(BG216-Inputs!$E$14*$G$213,0)</f>
        <v>-0</v>
      </c>
      <c r="BH217" s="20">
        <f>-BH$7*$E$217*MAX(BH216-Inputs!$E$14*$G$213,0)</f>
        <v>-0</v>
      </c>
      <c r="BI217" s="20">
        <f>-BI$7*$E$217*MAX(BI216-Inputs!$E$14*$G$213,0)</f>
        <v>-0</v>
      </c>
      <c r="BJ217" s="20">
        <f>-BJ$7*$E$217*MAX(BJ216-Inputs!$E$14*$G$213,0)</f>
        <v>-0</v>
      </c>
      <c r="BK217" s="20">
        <f>-BK$7*$E$217*MAX(BK216-Inputs!$E$14*$G$213,0)</f>
        <v>-0</v>
      </c>
      <c r="BL217" s="20">
        <f>-BL$7*$E$217*MAX(BL216-Inputs!$E$14*$G$213,0)</f>
        <v>-0</v>
      </c>
      <c r="BM217" s="20">
        <f>-BM$7*$E$217*MAX(BM216-Inputs!$E$14*$G$213,0)</f>
        <v>-0</v>
      </c>
      <c r="BN217" s="20">
        <f>-BN$7*$E$217*MAX(BN216-Inputs!$E$14*$G$213,0)</f>
        <v>-0</v>
      </c>
      <c r="BO217" s="20">
        <f>-BO$7*$E$217*MAX(BO216-Inputs!$E$14*$G$213,0)</f>
        <v>-0</v>
      </c>
      <c r="BP217" s="20">
        <f>-BP$7*$E$217*MAX(BP216-Inputs!$E$14*$G$213,0)</f>
        <v>-0</v>
      </c>
    </row>
    <row r="218" spans="3:68" x14ac:dyDescent="0.25">
      <c r="C218" s="6" t="s">
        <v>721</v>
      </c>
      <c r="D218" s="6" t="s">
        <v>844</v>
      </c>
      <c r="E218" s="95"/>
      <c r="F218" s="95"/>
      <c r="G218" s="95">
        <f>SUM(H218:BP218)</f>
        <v>7012.105307768449</v>
      </c>
      <c r="H218" s="95">
        <f t="shared" ref="H218:AM218" si="160">H215+H217</f>
        <v>0</v>
      </c>
      <c r="I218" s="95">
        <f t="shared" si="160"/>
        <v>0</v>
      </c>
      <c r="J218" s="95">
        <f t="shared" si="160"/>
        <v>0</v>
      </c>
      <c r="K218" s="95">
        <f t="shared" si="160"/>
        <v>0</v>
      </c>
      <c r="L218" s="95">
        <f t="shared" si="160"/>
        <v>0</v>
      </c>
      <c r="M218" s="95">
        <f t="shared" si="160"/>
        <v>0</v>
      </c>
      <c r="N218" s="95">
        <f t="shared" si="160"/>
        <v>0</v>
      </c>
      <c r="O218" s="95">
        <f t="shared" si="160"/>
        <v>0</v>
      </c>
      <c r="P218" s="95">
        <f t="shared" si="160"/>
        <v>0</v>
      </c>
      <c r="Q218" s="95">
        <f t="shared" si="160"/>
        <v>0</v>
      </c>
      <c r="R218" s="95">
        <f t="shared" si="160"/>
        <v>0</v>
      </c>
      <c r="S218" s="95">
        <f t="shared" si="160"/>
        <v>0</v>
      </c>
      <c r="T218" s="95">
        <f t="shared" si="160"/>
        <v>0</v>
      </c>
      <c r="U218" s="95">
        <f t="shared" si="160"/>
        <v>0</v>
      </c>
      <c r="V218" s="95">
        <f t="shared" si="160"/>
        <v>0</v>
      </c>
      <c r="W218" s="95">
        <f t="shared" si="160"/>
        <v>0</v>
      </c>
      <c r="X218" s="95">
        <f t="shared" si="160"/>
        <v>0</v>
      </c>
      <c r="Y218" s="95">
        <f t="shared" si="160"/>
        <v>0</v>
      </c>
      <c r="Z218" s="95">
        <f t="shared" si="160"/>
        <v>0</v>
      </c>
      <c r="AA218" s="95">
        <f t="shared" si="160"/>
        <v>0</v>
      </c>
      <c r="AB218" s="95">
        <f t="shared" si="160"/>
        <v>0</v>
      </c>
      <c r="AC218" s="95">
        <f t="shared" si="160"/>
        <v>0</v>
      </c>
      <c r="AD218" s="95">
        <f t="shared" si="160"/>
        <v>0</v>
      </c>
      <c r="AE218" s="95">
        <f t="shared" si="160"/>
        <v>0</v>
      </c>
      <c r="AF218" s="95">
        <f t="shared" si="160"/>
        <v>0</v>
      </c>
      <c r="AG218" s="95">
        <f t="shared" si="160"/>
        <v>0</v>
      </c>
      <c r="AH218" s="95">
        <f t="shared" si="160"/>
        <v>0</v>
      </c>
      <c r="AI218" s="95">
        <f t="shared" si="160"/>
        <v>0</v>
      </c>
      <c r="AJ218" s="95">
        <f t="shared" si="160"/>
        <v>0</v>
      </c>
      <c r="AK218" s="95">
        <f t="shared" si="160"/>
        <v>0</v>
      </c>
      <c r="AL218" s="95">
        <f t="shared" si="160"/>
        <v>0</v>
      </c>
      <c r="AM218" s="95">
        <f t="shared" si="160"/>
        <v>0</v>
      </c>
      <c r="AN218" s="95">
        <f t="shared" ref="AN218:BP218" si="161">AN215+AN217</f>
        <v>0</v>
      </c>
      <c r="AO218" s="95">
        <f t="shared" si="161"/>
        <v>0</v>
      </c>
      <c r="AP218" s="95">
        <f t="shared" si="161"/>
        <v>0</v>
      </c>
      <c r="AQ218" s="95">
        <f t="shared" si="161"/>
        <v>0</v>
      </c>
      <c r="AR218" s="95">
        <f t="shared" si="161"/>
        <v>0</v>
      </c>
      <c r="AS218" s="95">
        <f t="shared" si="161"/>
        <v>0</v>
      </c>
      <c r="AT218" s="95">
        <f t="shared" si="161"/>
        <v>0</v>
      </c>
      <c r="AU218" s="95">
        <f t="shared" si="161"/>
        <v>0</v>
      </c>
      <c r="AV218" s="95">
        <f t="shared" si="161"/>
        <v>0</v>
      </c>
      <c r="AW218" s="95">
        <f t="shared" si="161"/>
        <v>0</v>
      </c>
      <c r="AX218" s="95">
        <f t="shared" si="161"/>
        <v>0</v>
      </c>
      <c r="AY218" s="95">
        <f t="shared" si="161"/>
        <v>0</v>
      </c>
      <c r="AZ218" s="95">
        <f t="shared" si="161"/>
        <v>7012.105307768449</v>
      </c>
      <c r="BA218" s="95">
        <f t="shared" si="161"/>
        <v>0</v>
      </c>
      <c r="BB218" s="95">
        <f t="shared" si="161"/>
        <v>0</v>
      </c>
      <c r="BC218" s="95">
        <f t="shared" si="161"/>
        <v>0</v>
      </c>
      <c r="BD218" s="95">
        <f t="shared" si="161"/>
        <v>0</v>
      </c>
      <c r="BE218" s="95">
        <f t="shared" si="161"/>
        <v>0</v>
      </c>
      <c r="BF218" s="95">
        <f t="shared" si="161"/>
        <v>0</v>
      </c>
      <c r="BG218" s="95">
        <f t="shared" si="161"/>
        <v>0</v>
      </c>
      <c r="BH218" s="95">
        <f t="shared" si="161"/>
        <v>0</v>
      </c>
      <c r="BI218" s="95">
        <f t="shared" si="161"/>
        <v>0</v>
      </c>
      <c r="BJ218" s="95">
        <f t="shared" si="161"/>
        <v>0</v>
      </c>
      <c r="BK218" s="95">
        <f t="shared" si="161"/>
        <v>0</v>
      </c>
      <c r="BL218" s="95">
        <f t="shared" si="161"/>
        <v>0</v>
      </c>
      <c r="BM218" s="95">
        <f t="shared" si="161"/>
        <v>0</v>
      </c>
      <c r="BN218" s="95">
        <f t="shared" si="161"/>
        <v>0</v>
      </c>
      <c r="BO218" s="95">
        <f t="shared" si="161"/>
        <v>0</v>
      </c>
      <c r="BP218" s="95">
        <f t="shared" si="161"/>
        <v>0</v>
      </c>
    </row>
    <row r="219" spans="3:68" x14ac:dyDescent="0.25">
      <c r="C219" t="s">
        <v>722</v>
      </c>
      <c r="D219" t="s">
        <v>844</v>
      </c>
      <c r="E219" s="20"/>
      <c r="F219" s="20"/>
      <c r="G219" s="20"/>
      <c r="H219" s="20">
        <f>H218</f>
        <v>0</v>
      </c>
      <c r="I219" s="20">
        <f t="shared" ref="I219:AN219" si="162">H219+I218</f>
        <v>0</v>
      </c>
      <c r="J219" s="20">
        <f t="shared" si="162"/>
        <v>0</v>
      </c>
      <c r="K219" s="20">
        <f t="shared" si="162"/>
        <v>0</v>
      </c>
      <c r="L219" s="20">
        <f t="shared" si="162"/>
        <v>0</v>
      </c>
      <c r="M219" s="20">
        <f t="shared" si="162"/>
        <v>0</v>
      </c>
      <c r="N219" s="20">
        <f t="shared" si="162"/>
        <v>0</v>
      </c>
      <c r="O219" s="20">
        <f t="shared" si="162"/>
        <v>0</v>
      </c>
      <c r="P219" s="20">
        <f t="shared" si="162"/>
        <v>0</v>
      </c>
      <c r="Q219" s="20">
        <f t="shared" si="162"/>
        <v>0</v>
      </c>
      <c r="R219" s="20">
        <f t="shared" si="162"/>
        <v>0</v>
      </c>
      <c r="S219" s="20">
        <f t="shared" si="162"/>
        <v>0</v>
      </c>
      <c r="T219" s="20">
        <f t="shared" si="162"/>
        <v>0</v>
      </c>
      <c r="U219" s="20">
        <f t="shared" si="162"/>
        <v>0</v>
      </c>
      <c r="V219" s="20">
        <f t="shared" si="162"/>
        <v>0</v>
      </c>
      <c r="W219" s="20">
        <f t="shared" si="162"/>
        <v>0</v>
      </c>
      <c r="X219" s="20">
        <f t="shared" si="162"/>
        <v>0</v>
      </c>
      <c r="Y219" s="20">
        <f t="shared" si="162"/>
        <v>0</v>
      </c>
      <c r="Z219" s="20">
        <f t="shared" si="162"/>
        <v>0</v>
      </c>
      <c r="AA219" s="20">
        <f t="shared" si="162"/>
        <v>0</v>
      </c>
      <c r="AB219" s="20">
        <f t="shared" si="162"/>
        <v>0</v>
      </c>
      <c r="AC219" s="20">
        <f t="shared" si="162"/>
        <v>0</v>
      </c>
      <c r="AD219" s="20">
        <f t="shared" si="162"/>
        <v>0</v>
      </c>
      <c r="AE219" s="20">
        <f t="shared" si="162"/>
        <v>0</v>
      </c>
      <c r="AF219" s="20">
        <f t="shared" si="162"/>
        <v>0</v>
      </c>
      <c r="AG219" s="20">
        <f t="shared" si="162"/>
        <v>0</v>
      </c>
      <c r="AH219" s="20">
        <f t="shared" si="162"/>
        <v>0</v>
      </c>
      <c r="AI219" s="20">
        <f t="shared" si="162"/>
        <v>0</v>
      </c>
      <c r="AJ219" s="20">
        <f t="shared" si="162"/>
        <v>0</v>
      </c>
      <c r="AK219" s="20">
        <f t="shared" si="162"/>
        <v>0</v>
      </c>
      <c r="AL219" s="20">
        <f t="shared" si="162"/>
        <v>0</v>
      </c>
      <c r="AM219" s="20">
        <f t="shared" si="162"/>
        <v>0</v>
      </c>
      <c r="AN219" s="20">
        <f t="shared" si="162"/>
        <v>0</v>
      </c>
      <c r="AO219" s="20">
        <f t="shared" ref="AO219:BP219" si="163">AN219+AO218</f>
        <v>0</v>
      </c>
      <c r="AP219" s="20">
        <f t="shared" si="163"/>
        <v>0</v>
      </c>
      <c r="AQ219" s="20">
        <f t="shared" si="163"/>
        <v>0</v>
      </c>
      <c r="AR219" s="20">
        <f t="shared" si="163"/>
        <v>0</v>
      </c>
      <c r="AS219" s="20">
        <f t="shared" si="163"/>
        <v>0</v>
      </c>
      <c r="AT219" s="20">
        <f t="shared" si="163"/>
        <v>0</v>
      </c>
      <c r="AU219" s="20">
        <f t="shared" si="163"/>
        <v>0</v>
      </c>
      <c r="AV219" s="20">
        <f t="shared" si="163"/>
        <v>0</v>
      </c>
      <c r="AW219" s="20">
        <f t="shared" si="163"/>
        <v>0</v>
      </c>
      <c r="AX219" s="20">
        <f t="shared" si="163"/>
        <v>0</v>
      </c>
      <c r="AY219" s="20">
        <f t="shared" si="163"/>
        <v>0</v>
      </c>
      <c r="AZ219" s="20">
        <f t="shared" si="163"/>
        <v>7012.105307768449</v>
      </c>
      <c r="BA219" s="20">
        <f t="shared" si="163"/>
        <v>7012.105307768449</v>
      </c>
      <c r="BB219" s="20">
        <f t="shared" si="163"/>
        <v>7012.105307768449</v>
      </c>
      <c r="BC219" s="20">
        <f t="shared" si="163"/>
        <v>7012.105307768449</v>
      </c>
      <c r="BD219" s="20">
        <f t="shared" si="163"/>
        <v>7012.105307768449</v>
      </c>
      <c r="BE219" s="20">
        <f t="shared" si="163"/>
        <v>7012.105307768449</v>
      </c>
      <c r="BF219" s="20">
        <f t="shared" si="163"/>
        <v>7012.105307768449</v>
      </c>
      <c r="BG219" s="20">
        <f t="shared" si="163"/>
        <v>7012.105307768449</v>
      </c>
      <c r="BH219" s="20">
        <f t="shared" si="163"/>
        <v>7012.105307768449</v>
      </c>
      <c r="BI219" s="20">
        <f t="shared" si="163"/>
        <v>7012.105307768449</v>
      </c>
      <c r="BJ219" s="20">
        <f t="shared" si="163"/>
        <v>7012.105307768449</v>
      </c>
      <c r="BK219" s="20">
        <f t="shared" si="163"/>
        <v>7012.105307768449</v>
      </c>
      <c r="BL219" s="20">
        <f t="shared" si="163"/>
        <v>7012.105307768449</v>
      </c>
      <c r="BM219" s="20">
        <f t="shared" si="163"/>
        <v>7012.105307768449</v>
      </c>
      <c r="BN219" s="20">
        <f t="shared" si="163"/>
        <v>7012.105307768449</v>
      </c>
      <c r="BO219" s="20">
        <f t="shared" si="163"/>
        <v>7012.105307768449</v>
      </c>
      <c r="BP219" s="20">
        <f t="shared" si="163"/>
        <v>7012.105307768449</v>
      </c>
    </row>
    <row r="220" spans="3:68" x14ac:dyDescent="0.25">
      <c r="C220" t="s">
        <v>735</v>
      </c>
      <c r="D220" t="s">
        <v>844</v>
      </c>
      <c r="E220" s="20"/>
      <c r="F220" s="20"/>
      <c r="G220" s="20">
        <f>G218</f>
        <v>7012.105307768449</v>
      </c>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row>
    <row r="221" spans="3:68" x14ac:dyDescent="0.25">
      <c r="C221" t="s">
        <v>797</v>
      </c>
      <c r="D221" t="s">
        <v>4</v>
      </c>
      <c r="E221" s="20"/>
      <c r="F221" s="20"/>
      <c r="G221" s="3" t="str">
        <f>IF(-G208&lt;=0,"n/a",(G214+G217)/-G208)</f>
        <v>n/a</v>
      </c>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row>
    <row r="222" spans="3:68" x14ac:dyDescent="0.25">
      <c r="C222" t="s">
        <v>736</v>
      </c>
      <c r="D222" t="s">
        <v>2</v>
      </c>
      <c r="E222" s="20"/>
      <c r="F222" s="20"/>
      <c r="G222" s="31" t="str">
        <f>IF(-G208&lt;=0,"n/a",IFERROR(XIRR(H218:BP218,H5:BP5),"n/a"))</f>
        <v>n/a</v>
      </c>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row>
    <row r="223" spans="3:68" x14ac:dyDescent="0.25">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row>
    <row r="224" x14ac:dyDescent="0.25">
      <c r="C224" s="43" t="inlineStr">
        <is>
          <t xml:space="preserve">13. Sensitivity to RTB premium – COLUMNS H:N ARE THE SEVEN SCENARIOS (not months). Everything except exit proceeds is held at the live case; BORA_Devex waterfall as rows 146–154; before the community purchase right (rows 283–286).</t>
        </is>
      </c>
      <c r="D224" s="43"/>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c r="BL224" s="96"/>
      <c r="BM224" s="96"/>
      <c r="BN224" s="96"/>
      <c r="BO224" s="96"/>
      <c r="BP224" s="96"/>
    </row>
    <row r="225" spans="3:68" x14ac:dyDescent="0.25">
      <c r="C225" t="s">
        <v>14</v>
      </c>
      <c r="D225" t="s">
        <v>845</v>
      </c>
      <c r="E225" s="20"/>
      <c r="F225" s="20"/>
      <c r="G225" s="20"/>
      <c r="H225" s="97">
        <f>Inputs!$E$142</f>
        <v>50</v>
      </c>
      <c r="I225" s="97">
        <f>Inputs!$E$143</f>
        <v>75</v>
      </c>
      <c r="J225" s="97">
        <f>Inputs!$E$144</f>
        <v>100</v>
      </c>
      <c r="K225" s="97">
        <f>Inputs!$E$145</f>
        <v>125</v>
      </c>
      <c r="L225" s="97">
        <f>Inputs!$E$146</f>
        <v>150</v>
      </c>
      <c r="M225" s="97">
        <f>Inputs!$E$147</f>
        <v>175</v>
      </c>
      <c r="N225" s="97">
        <f>Inputs!$E$148</f>
        <v>200</v>
      </c>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row>
    <row r="226" x14ac:dyDescent="0.25">
      <c r="C226" t="s">
        <v>701</v>
      </c>
      <c r="D226" t="s">
        <v>844</v>
      </c>
      <c r="E226" s="20"/>
      <c r="F226" s="20"/>
      <c r="G226" s="20"/>
      <c r="H226" s="20">
        <f>H225*Inputs!$E$150+Tender!$E$213</f>
        <v>10000</v>
      </c>
      <c r="I226" s="20">
        <f>I225*Inputs!$E$150+Tender!$E$213</f>
        <v>15000</v>
      </c>
      <c r="J226" s="20">
        <f>J225*Inputs!$E$150+Tender!$E$213</f>
        <v>20000</v>
      </c>
      <c r="K226" s="20">
        <f>K225*Inputs!$E$150+Tender!$E$213</f>
        <v>25000</v>
      </c>
      <c r="L226" s="20">
        <f>L225*Inputs!$E$150+Tender!$E$213</f>
        <v>30000</v>
      </c>
      <c r="M226" s="20">
        <f>M225*Inputs!$E$150+Tender!$E$213</f>
        <v>35000</v>
      </c>
      <c r="N226" s="20">
        <f>N225*Inputs!$E$150+Tender!$E$213</f>
        <v>40000</v>
      </c>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row>
    <row r="227" spans="3:68" x14ac:dyDescent="0.25">
      <c r="C227" t="s">
        <v>1710</v>
      </c>
      <c r="D227" t="s">
        <v>844</v>
      </c>
      <c r="E227" s="20"/>
      <c r="F227" s="20"/>
      <c r="G227" s="20"/>
      <c r="H227" s="20">
        <f t="shared" ref="H227:N227" si="164">$G$144</f>
        <v>41857.17974068864</v>
      </c>
      <c r="I227" s="20">
        <f t="shared" si="164"/>
        <v>41857.17974068864</v>
      </c>
      <c r="J227" s="20">
        <f t="shared" si="164"/>
        <v>41857.17974068864</v>
      </c>
      <c r="K227" s="20">
        <f t="shared" si="164"/>
        <v>41857.17974068864</v>
      </c>
      <c r="L227" s="20">
        <f t="shared" si="164"/>
        <v>41857.17974068864</v>
      </c>
      <c r="M227" s="20">
        <f t="shared" si="164"/>
        <v>41857.17974068864</v>
      </c>
      <c r="N227" s="20">
        <f t="shared" si="164"/>
        <v>41857.17974068864</v>
      </c>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row>
    <row r="228" spans="3:68" x14ac:dyDescent="0.25">
      <c r="C228" t="s">
        <v>46</v>
      </c>
      <c r="D228" t="s">
        <v>844</v>
      </c>
      <c r="E228" s="20"/>
      <c r="F228" s="20"/>
      <c r="G228" s="20"/>
      <c r="H228" s="20">
        <f t="shared" ref="H228:N228" si="165">H226+H227</f>
        <v>51857.17974068864</v>
      </c>
      <c r="I228" s="20">
        <f t="shared" si="165"/>
        <v>56857.17974068864</v>
      </c>
      <c r="J228" s="20">
        <f t="shared" si="165"/>
        <v>61857.17974068864</v>
      </c>
      <c r="K228" s="20">
        <f t="shared" si="165"/>
        <v>66857.17974068865</v>
      </c>
      <c r="L228" s="20">
        <f t="shared" si="165"/>
        <v>71857.17974068865</v>
      </c>
      <c r="M228" s="20">
        <f t="shared" si="165"/>
        <v>76857.17974068865</v>
      </c>
      <c r="N228" s="20">
        <f t="shared" si="165"/>
        <v>81857.17974068865</v>
      </c>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row>
    <row r="229" x14ac:dyDescent="0.25">
      <c r="C229" t="s">
        <v>703</v>
      </c>
      <c r="D229" t="s">
        <v>844</v>
      </c>
      <c r="E229" s="20"/>
      <c r="F229" s="20"/>
      <c r="G229" s="20"/>
      <c r="H229" s="20">
        <f>-Inputs!$E$26</f>
        <v>-500</v>
      </c>
      <c r="I229" s="20">
        <f>-Inputs!$E$26</f>
        <v>-500</v>
      </c>
      <c r="J229" s="20">
        <f>-Inputs!$E$26</f>
        <v>-500</v>
      </c>
      <c r="K229" s="20">
        <f>-Inputs!$E$26</f>
        <v>-500</v>
      </c>
      <c r="L229" s="20">
        <f>-Inputs!$E$26</f>
        <v>-500</v>
      </c>
      <c r="M229" s="20">
        <f>-Inputs!$E$26</f>
        <v>-500</v>
      </c>
      <c r="N229" s="20">
        <f>-Inputs!$E$26</f>
        <v>-500</v>
      </c>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row>
    <row r="230" x14ac:dyDescent="0.25">
      <c r="C230" t="s">
        <v>738</v>
      </c>
      <c r="D230" t="s">
        <v>844</v>
      </c>
      <c r="E230" s="20"/>
      <c r="F230" s="20"/>
      <c r="G230" s="20"/>
      <c r="H230" s="20">
        <f>-(($G$110+$G$117)+Deposits!$Y$23)</f>
        <v>-45795.31181871448</v>
      </c>
      <c r="I230" s="20">
        <f>-(($G$110+$G$117)+Deposits!$Y$23)</f>
        <v>-45795.31181871448</v>
      </c>
      <c r="J230" s="20">
        <f>-(($G$110+$G$117)+Deposits!$Y$23)</f>
        <v>-45795.31181871448</v>
      </c>
      <c r="K230" s="20">
        <f>-(($G$110+$G$117)+Deposits!$Y$23)</f>
        <v>-45795.31181871448</v>
      </c>
      <c r="L230" s="20">
        <f>-(($G$110+$G$117)+Deposits!$Y$23)</f>
        <v>-45795.31181871448</v>
      </c>
      <c r="M230" s="20">
        <f>-(($G$110+$G$117)+Deposits!$Y$23)</f>
        <v>-45795.31181871448</v>
      </c>
      <c r="N230" s="20">
        <f>-(($G$110+$G$117)+Deposits!$Y$23)</f>
        <v>-45795.31181871448</v>
      </c>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row>
    <row r="231" x14ac:dyDescent="0.25">
      <c r="C231" t="s">
        <v>1709</v>
      </c>
      <c r="D231" t="s">
        <v>844</v>
      </c>
      <c r="E231" s="20"/>
      <c r="F231" s="20"/>
      <c r="G231" s="20"/>
      <c r="H231" s="20">
        <f>-IF(Inputs!$E$71=1,-($G$127+$G$137),$G$20)</f>
        <v>-425.3797297297297</v>
      </c>
      <c r="I231" s="20">
        <f>-IF(Inputs!$E$71=1,-($G$127+$G$137),$G$20)</f>
        <v>-425.3797297297297</v>
      </c>
      <c r="J231" s="20">
        <f>-IF(Inputs!$E$71=1,-($G$127+$G$137),$G$20)</f>
        <v>-425.3797297297297</v>
      </c>
      <c r="K231" s="20">
        <f>-IF(Inputs!$E$71=1,-($G$127+$G$137),$G$20)</f>
        <v>-425.3797297297297</v>
      </c>
      <c r="L231" s="20">
        <f>-IF(Inputs!$E$71=1,-($G$127+$G$137),$G$20)</f>
        <v>-425.3797297297297</v>
      </c>
      <c r="M231" s="20">
        <f>-IF(Inputs!$E$71=1,-($G$127+$G$137),$G$20)</f>
        <v>-425.3797297297297</v>
      </c>
      <c r="N231" s="20">
        <f>-IF(Inputs!$E$71=1,-($G$127+$G$137),$G$20)</f>
        <v>-425.3797297297297</v>
      </c>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row>
    <row r="232" x14ac:dyDescent="0.25">
      <c r="C232" t="inlineStr">
        <is>
          <t xml:space="preserve">Less: at-risk return (devex / land MAX(20 %, 2×), fee 12 %) and bank-guarantee interest – FEP-convention, as rows 149–150, in full</t>
        </is>
      </c>
      <c r="D232" t="s">
        <v>844</v>
      </c>
      <c r="E232" s="20"/>
      <c r="F232" s="20"/>
      <c r="G232" s="20"/>
      <c r="H232" s="20">
        <f>-($G$131+Deposits!$Y$24+Deposits!$Y$22)</f>
        <v>-6314.293416349608</v>
      </c>
      <c r="I232" s="20">
        <f>-($G$131+Deposits!$Y$24+Deposits!$Y$22)</f>
        <v>-6314.293416349608</v>
      </c>
      <c r="J232" s="20">
        <f>-($G$131+Deposits!$Y$24+Deposits!$Y$22)</f>
        <v>-6314.293416349608</v>
      </c>
      <c r="K232" s="20">
        <f>-($G$131+Deposits!$Y$24+Deposits!$Y$22)</f>
        <v>-6314.293416349608</v>
      </c>
      <c r="L232" s="20">
        <f>-($G$131+Deposits!$Y$24+Deposits!$Y$22)</f>
        <v>-6314.293416349608</v>
      </c>
      <c r="M232" s="20">
        <f>-($G$131+Deposits!$Y$24+Deposits!$Y$22)</f>
        <v>-6314.293416349608</v>
      </c>
      <c r="N232" s="20">
        <f>-($G$131+Deposits!$Y$24+Deposits!$Y$22)</f>
        <v>-6314.293416349608</v>
      </c>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row>
    <row r="233" x14ac:dyDescent="0.25">
      <c r="C233" t="s">
        <v>704</v>
      </c>
      <c r="D233" t="s">
        <v>844</v>
      </c>
      <c r="E233" s="20"/>
      <c r="F233" s="20"/>
      <c r="G233" s="20"/>
      <c r="H233" s="20">
        <f>-$G$25</f>
        <v>-2238.4375</v>
      </c>
      <c r="I233" s="20">
        <f>-$G$25</f>
        <v>-2238.4375</v>
      </c>
      <c r="J233" s="20">
        <f>-$G$25</f>
        <v>-2238.4375</v>
      </c>
      <c r="K233" s="20">
        <f>-$G$25</f>
        <v>-2238.4375</v>
      </c>
      <c r="L233" s="20">
        <f>-$G$25</f>
        <v>-2238.4375</v>
      </c>
      <c r="M233" s="20">
        <f>-$G$25</f>
        <v>-2238.4375</v>
      </c>
      <c r="N233" s="20">
        <f>-$G$25</f>
        <v>-2238.4375</v>
      </c>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row>
    <row r="234" x14ac:dyDescent="0.25">
      <c r="C234" t="s">
        <v>47</v>
      </c>
      <c r="D234" t="s">
        <v>844</v>
      </c>
      <c r="E234" s="20"/>
      <c r="F234" s="20"/>
      <c r="G234" s="20"/>
      <c r="H234" s="20">
        <f>SUM(H228:H233)</f>
        <v>-3416.2427241051773</v>
      </c>
      <c r="I234" s="20">
        <f>SUM(I228:I233)</f>
        <v>1583.7572758948227</v>
      </c>
      <c r="J234" s="20">
        <f>SUM(J228:J233)</f>
        <v>6583.757275894823</v>
      </c>
      <c r="K234" s="20">
        <f>SUM(K228:K233)</f>
        <v>11583.75727589483</v>
      </c>
      <c r="L234" s="20">
        <f>SUM(L228:L233)</f>
        <v>16583.75727589483</v>
      </c>
      <c r="M234" s="20">
        <f>SUM(M228:M233)</f>
        <v>21583.75727589483</v>
      </c>
      <c r="N234" s="20">
        <f>SUM(N228:N233)</f>
        <v>26583.75727589483</v>
      </c>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row>
    <row r="235" x14ac:dyDescent="0.25">
      <c r="C235" t="s">
        <v>741</v>
      </c>
      <c r="D235" t="s">
        <v>844</v>
      </c>
      <c r="E235" s="20"/>
      <c r="F235" s="20"/>
      <c r="G235" s="20"/>
      <c r="H235" s="20">
        <f>-SUM(H230:H232)*$E$106+H234-MAX(H233,H234*Inputs!$E$34)</f>
        <v>50143.61505792019</v>
      </c>
      <c r="I235" s="20">
        <f>-SUM(I230:I232)*$E$106+I234-MAX(I233,I234*Inputs!$E$34)</f>
        <v>53643.61505792019</v>
      </c>
      <c r="J235" s="20">
        <f>-SUM(J230:J232)*$E$106+J234-MAX(J233,J234*Inputs!$E$34)</f>
        <v>57143.61505792019</v>
      </c>
      <c r="K235" s="20">
        <f>-SUM(K230:K232)*$E$106+K234-MAX(K233,K234*Inputs!$E$34)</f>
        <v>60643.6150579202</v>
      </c>
      <c r="L235" s="20">
        <f>-SUM(L230:L232)*$E$106+L234-MAX(L233,L234*Inputs!$E$34)</f>
        <v>64143.6150579202</v>
      </c>
      <c r="M235" s="20">
        <f>-SUM(M230:M232)*$E$106+M234-MAX(M233,M234*Inputs!$E$34)</f>
        <v>67643.6150579202</v>
      </c>
      <c r="N235" s="20">
        <f>-SUM(N230:N232)*$E$106+N234-MAX(N233,N234*Inputs!$E$34)</f>
        <v>71143.6150579202</v>
      </c>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row>
    <row r="236" spans="3:68" x14ac:dyDescent="0.25">
      <c r="C236" t="s">
        <v>742</v>
      </c>
      <c r="D236" t="s">
        <v>844</v>
      </c>
      <c r="E236" s="20"/>
      <c r="F236" s="20"/>
      <c r="G236" s="20"/>
      <c r="H236" s="20">
        <f t="shared" ref="H236:N236" si="168">$G$164+H235</f>
        <v>1526.3162484990316</v>
      </c>
      <c r="I236" s="20">
        <f t="shared" si="168"/>
        <v>5026.316248499032</v>
      </c>
      <c r="J236" s="20">
        <f t="shared" si="168"/>
        <v>8526.316248499032</v>
      </c>
      <c r="K236" s="20">
        <f t="shared" si="168"/>
        <v>12026.316248499039</v>
      </c>
      <c r="L236" s="20">
        <f t="shared" si="168"/>
        <v>15526.316248499039</v>
      </c>
      <c r="M236" s="20">
        <f t="shared" si="168"/>
        <v>19026.31624849903</v>
      </c>
      <c r="N236" s="20">
        <f t="shared" si="168"/>
        <v>22526.31624849903</v>
      </c>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row>
    <row r="237" x14ac:dyDescent="0.25">
      <c r="C237" t="s">
        <v>1716</v>
      </c>
      <c r="D237" t="s">
        <v>844</v>
      </c>
      <c r="E237" s="20"/>
      <c r="F237" s="20"/>
      <c r="G237" s="20"/>
      <c r="H237" s="20">
        <f>-Inputs!$E$12*MAX(H236-Inputs!$E$14*(H234-MAX(H233,H234*Inputs!$E$34)),0)</f>
        <v>-352.591753983539</v>
      </c>
      <c r="I237" s="20">
        <f>-Inputs!$E$12*MAX(I236-Inputs!$E$14*(I234-MAX(I233,I234*Inputs!$E$34)),0)</f>
        <v>-352.591753983539</v>
      </c>
      <c r="J237" s="20">
        <f>-Inputs!$E$12*MAX(J236-Inputs!$E$14*(J234-MAX(J233,J234*Inputs!$E$34)),0)</f>
        <v>-352.591753983539</v>
      </c>
      <c r="K237" s="20">
        <f>-Inputs!$E$12*MAX(K236-Inputs!$E$14*(K234-MAX(K233,K234*Inputs!$E$34)),0)</f>
        <v>-352.59175398353926</v>
      </c>
      <c r="L237" s="20">
        <f>-Inputs!$E$12*MAX(L236-Inputs!$E$14*(L234-MAX(L233,L234*Inputs!$E$34)),0)</f>
        <v>-352.5917539835393</v>
      </c>
      <c r="M237" s="20">
        <f>-Inputs!$E$12*MAX(M236-Inputs!$E$14*(M234-MAX(M233,M234*Inputs!$E$34)),0)</f>
        <v>-352.5917539835387</v>
      </c>
      <c r="N237" s="20">
        <f>-Inputs!$E$12*MAX(N236-Inputs!$E$14*(N234-MAX(N233,N234*Inputs!$E$34)),0)</f>
        <v>-352.5917539835387</v>
      </c>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row>
    <row r="238" spans="3:68" x14ac:dyDescent="0.25">
      <c r="C238" t="s">
        <v>725</v>
      </c>
      <c r="D238" t="s">
        <v>844</v>
      </c>
      <c r="E238" s="20"/>
      <c r="F238" s="20"/>
      <c r="G238" s="20"/>
      <c r="H238" s="20">
        <f t="shared" ref="H238:N238" si="169">H236+H237</f>
        <v>1173.7244945154926</v>
      </c>
      <c r="I238" s="20">
        <f t="shared" si="169"/>
        <v>4673.724494515493</v>
      </c>
      <c r="J238" s="20">
        <f t="shared" si="169"/>
        <v>8173.724494515493</v>
      </c>
      <c r="K238" s="20">
        <f t="shared" si="169"/>
        <v>11673.7244945155</v>
      </c>
      <c r="L238" s="20">
        <f t="shared" si="169"/>
        <v>15173.7244945155</v>
      </c>
      <c r="M238" s="20">
        <f t="shared" si="169"/>
        <v>18673.724494515493</v>
      </c>
      <c r="N238" s="20">
        <f t="shared" si="169"/>
        <v>22173.724494515493</v>
      </c>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row>
    <row r="239" spans="3:68" x14ac:dyDescent="0.25">
      <c r="C239" t="s">
        <v>725</v>
      </c>
      <c r="D239" t="s">
        <v>726</v>
      </c>
      <c r="E239" s="20"/>
      <c r="F239" s="20"/>
      <c r="G239" s="20"/>
      <c r="H239" s="1">
        <f>H238*Inputs!$E$11/1000</f>
        <v>428.40944049815477</v>
      </c>
      <c r="I239" s="1">
        <f>I238*Inputs!$E$11/1000</f>
        <v>1705.909440498155</v>
      </c>
      <c r="J239" s="1">
        <f>J238*Inputs!$E$11/1000</f>
        <v>2983.4094404981547</v>
      </c>
      <c r="K239" s="1">
        <f>K238*Inputs!$E$11/1000</f>
        <v>4260.909440498157</v>
      </c>
      <c r="L239" s="1">
        <f>L238*Inputs!$E$11/1000</f>
        <v>5538.409440498157</v>
      </c>
      <c r="M239" s="1">
        <f>M238*Inputs!$E$11/1000</f>
        <v>6815.909440498154</v>
      </c>
      <c r="N239" s="1">
        <f>N238*Inputs!$E$11/1000</f>
        <v>8093.409440498154</v>
      </c>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row>
    <row r="240" spans="3:68" x14ac:dyDescent="0.25">
      <c r="C240" t="s">
        <v>796</v>
      </c>
      <c r="D240" t="s">
        <v>4</v>
      </c>
      <c r="E240" s="20"/>
      <c r="F240" s="20"/>
      <c r="G240" s="20"/>
      <c r="H240" s="3">
        <f>IF($G$164=0,"n/a",(H235+H237)/-$G$164)</f>
        <v>1.024142116556423</v>
      </c>
      <c r="I240" s="3">
        <f t="shared" ref="I240:N240" si="170">IF($G$164=0,"n/a",(I235+I237)/-$G$164)</f>
        <v>1.0961329528577144</v>
      </c>
      <c r="J240" s="3">
        <f t="shared" si="170"/>
        <v>1.1681237891590055</v>
      </c>
      <c r="K240" s="3">
        <f t="shared" si="170"/>
        <v>1.2401146254602968</v>
      </c>
      <c r="L240" s="3">
        <f t="shared" si="170"/>
        <v>1.312105461761588</v>
      </c>
      <c r="M240" s="3">
        <f t="shared" si="170"/>
        <v>1.3840962980628793</v>
      </c>
      <c r="N240" s="3">
        <f t="shared" si="170"/>
        <v>1.4560871343641706</v>
      </c>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row>
    <row r="241" spans="3:68" x14ac:dyDescent="0.25">
      <c r="C241" t="s">
        <v>743</v>
      </c>
      <c r="D241" t="s">
        <v>2</v>
      </c>
      <c r="E241" s="20"/>
      <c r="F241" s="20"/>
      <c r="G241" s="20"/>
      <c r="H241" s="31">
        <f>IFERROR(XIRR($H245:$BP245,$H$5:$BP$5),"n/a")</f>
        <v>0.017274138394667307</v>
      </c>
      <c r="I241" s="31">
        <f>IFERROR(XIRR($H246:$BP246,$H$5:$BP$5),"n/a")</f>
        <v>0.06760658605896464</v>
      </c>
      <c r="J241" s="31">
        <f>IFERROR(XIRR($H247:$BP247,$H$5:$BP$5),"n/a")</f>
        <v>0.11626122275084234</v>
      </c>
      <c r="K241" s="31">
        <f>IFERROR(XIRR($H248:$BP248,$H$5:$BP$5),"n/a")</f>
        <v>0.1633420365780536</v>
      </c>
      <c r="L241" s="31">
        <f>IFERROR(XIRR($H249:$BP249,$H$5:$BP$5),"n/a")</f>
        <v>0.20894449022377323</v>
      </c>
      <c r="M241" s="31">
        <f>IFERROR(XIRR($H250:$BP250,$H$5:$BP$5),"n/a")</f>
        <v>0.2531563814492323</v>
      </c>
      <c r="N241" s="31">
        <f>IFERROR(XIRR($H251:$BP251,$H$5:$BP$5),"n/a")</f>
        <v>0.2960585859849199</v>
      </c>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row>
    <row r="242" spans="3:68" x14ac:dyDescent="0.25">
      <c r="C242" t="s">
        <v>2209</v>
      </c>
      <c r="D242" t="s">
        <v>844</v>
      </c>
      <c r="E242" s="20"/>
      <c r="F242" s="20"/>
      <c r="G242" s="20"/>
      <c r="H242" s="20" cm="1">
        <f t="array" ref="H242">SUMPRODUCT($H245:$BP245/(1+Inputs!$E$253)^(($H$5:$BP$5-$H$5)/365))</f>
        <v>-3302.9799064747635</v>
      </c>
      <c r="I242" s="20" cm="1">
        <f t="array" ref="I242">SUMPRODUCT($H246:$BP246/(1+Inputs!$E$253)^(($H$5:$BP$5-$H$5)/365))</f>
        <v>-663.8958300348671</v>
      </c>
      <c r="J242" s="20" cm="1">
        <f t="array" ref="J242">SUMPRODUCT($H247:$BP247/(1+Inputs!$E$253)^(($H$5:$BP$5-$H$5)/365))</f>
        <v>1975.1882464050366</v>
      </c>
      <c r="K242" s="20" cm="1">
        <f t="array" ref="K242">SUMPRODUCT($H248:$BP248/(1+Inputs!$E$253)^(($H$5:$BP$5-$H$5)/365))</f>
        <v>4614.272322844933</v>
      </c>
      <c r="L242" s="20" cm="1">
        <f t="array" ref="L242">SUMPRODUCT($H249:$BP249/(1+Inputs!$E$253)^(($H$5:$BP$5-$H$5)/365))</f>
        <v>7253.356399284837</v>
      </c>
      <c r="M242" s="20" cm="1">
        <f t="array" ref="M242">SUMPRODUCT($H250:$BP250/(1+Inputs!$E$253)^(($H$5:$BP$5-$H$5)/365))</f>
        <v>9892.44047572474</v>
      </c>
      <c r="N242" s="20" cm="1">
        <f t="array" ref="N242">SUMPRODUCT($H251:$BP251/(1+Inputs!$E$253)^(($H$5:$BP$5-$H$5)/365))</f>
        <v>12531.524552164643</v>
      </c>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row>
    <row r="243" spans="3:68" x14ac:dyDescent="0.25">
      <c r="C243" t="s">
        <v>1334</v>
      </c>
      <c r="D243" t="s">
        <v>4</v>
      </c>
      <c r="E243" s="20"/>
      <c r="F243" s="20"/>
      <c r="G243" s="20"/>
      <c r="H243" s="3" cm="1">
        <f t="array" ref="H243">IFERROR(H242/-SUMPRODUCT(($H245:$BP245&lt;0)*$H245:$BP245/(1+Inputs!$E$253)^(($H$5:$BP$5-$H$5)/365)),"n/a")</f>
        <v>-0.08099971337990189</v>
      </c>
      <c r="I243" s="3" cm="1">
        <f t="array" ref="I243">IFERROR(I242/-SUMPRODUCT(($H246:$BP246&lt;0)*$H246:$BP246/(1+Inputs!$E$253)^(($H$5:$BP$5-$H$5)/365)),"n/a")</f>
        <v>-0.01628086560306393</v>
      </c>
      <c r="J243" s="3" cm="1">
        <f t="array" ref="J243">IFERROR(J242/-SUMPRODUCT(($H247:$BP247&lt;0)*$H247:$BP247/(1+Inputs!$E$253)^(($H$5:$BP$5-$H$5)/365)),"n/a")</f>
        <v>0.04843798217377421</v>
      </c>
      <c r="K243" s="3" cm="1">
        <f t="array" ref="K243">IFERROR(K242/-SUMPRODUCT(($H248:$BP248&lt;0)*$H248:$BP248/(1+Inputs!$E$253)^(($H$5:$BP$5-$H$5)/365)),"n/a")</f>
        <v>0.11315682995061217</v>
      </c>
      <c r="L243" s="3" cm="1">
        <f t="array" ref="L243">IFERROR(L242/-SUMPRODUCT(($H249:$BP249&lt;0)*$H249:$BP249/(1+Inputs!$E$253)^(($H$5:$BP$5-$H$5)/365)),"n/a")</f>
        <v>0.1778756777274503</v>
      </c>
      <c r="M243" s="3" cm="1">
        <f t="array" ref="M243">IFERROR(M242/-SUMPRODUCT(($H250:$BP250&lt;0)*$H250:$BP250/(1+Inputs!$E$253)^(($H$5:$BP$5-$H$5)/365)),"n/a")</f>
        <v>0.24259452550428842</v>
      </c>
      <c r="N243" s="3" cm="1">
        <f t="array" ref="N243">IFERROR(N242/-SUMPRODUCT(($H251:$BP251&lt;0)*$H251:$BP251/(1+Inputs!$E$253)^(($H$5:$BP$5-$H$5)/365)),"n/a")</f>
        <v>0.30731337328112657</v>
      </c>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row>
    <row r="244" spans="3:68" x14ac:dyDescent="0.25">
      <c r="C244" t="s">
        <v>744</v>
      </c>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row>
    <row r="245" spans="3:68" x14ac:dyDescent="0.25">
      <c r="C245" t="s">
        <v>745</v>
      </c>
      <c r="D245" t="s">
        <v>844</v>
      </c>
      <c r="E245" s="20"/>
      <c r="F245" s="20"/>
      <c r="G245" s="20">
        <f t="shared" ref="G245:G251" si="171">SUM(H245:BP245)</f>
        <v>1173.7244945154962</v>
      </c>
      <c r="H245" s="20">
        <f t="shared" ref="H245:AM245" si="172">H$164+H$7*(INDEX($H$235:$N$235,1)+INDEX($H$237:$N$237,1))</f>
        <v>-400</v>
      </c>
      <c r="I245" s="20">
        <f t="shared" si="172"/>
        <v>0</v>
      </c>
      <c r="J245" s="20">
        <f t="shared" si="172"/>
        <v>0</v>
      </c>
      <c r="K245" s="20">
        <f t="shared" si="172"/>
        <v>-205.87105146242135</v>
      </c>
      <c r="L245" s="20">
        <f t="shared" si="172"/>
        <v>-12.18945205479452</v>
      </c>
      <c r="M245" s="20">
        <f t="shared" si="172"/>
        <v>-2557.1743150684933</v>
      </c>
      <c r="N245" s="20">
        <f t="shared" si="172"/>
        <v>-101.15062014068864</v>
      </c>
      <c r="O245" s="20">
        <f t="shared" si="172"/>
        <v>-270.3141336542021</v>
      </c>
      <c r="P245" s="20">
        <f t="shared" si="172"/>
        <v>-489.4208904109589</v>
      </c>
      <c r="Q245" s="20">
        <f t="shared" si="172"/>
        <v>-91.42089041095892</v>
      </c>
      <c r="R245" s="20">
        <f t="shared" si="172"/>
        <v>-91.42089041095892</v>
      </c>
      <c r="S245" s="20">
        <f t="shared" si="172"/>
        <v>-134.66413365420215</v>
      </c>
      <c r="T245" s="20">
        <f t="shared" si="172"/>
        <v>-134.66413365420215</v>
      </c>
      <c r="U245" s="20">
        <f t="shared" si="172"/>
        <v>-91.42089041095892</v>
      </c>
      <c r="V245" s="20">
        <f t="shared" si="172"/>
        <v>-91.42089041095892</v>
      </c>
      <c r="W245" s="20">
        <f t="shared" si="172"/>
        <v>-91.42089041095892</v>
      </c>
      <c r="X245" s="20">
        <f t="shared" si="172"/>
        <v>-131.96143095149947</v>
      </c>
      <c r="Y245" s="20">
        <f t="shared" si="172"/>
        <v>-234.10197149204</v>
      </c>
      <c r="Z245" s="20">
        <f t="shared" si="172"/>
        <v>-1046.1648231191773</v>
      </c>
      <c r="AA245" s="20">
        <f t="shared" si="172"/>
        <v>-321.15062014068866</v>
      </c>
      <c r="AB245" s="20">
        <f t="shared" si="172"/>
        <v>-179.55602554609405</v>
      </c>
      <c r="AC245" s="20">
        <f t="shared" si="172"/>
        <v>-91.52899851906703</v>
      </c>
      <c r="AD245" s="20">
        <f t="shared" si="172"/>
        <v>-91.42089041095892</v>
      </c>
      <c r="AE245" s="20">
        <f t="shared" si="172"/>
        <v>-95.92089041095892</v>
      </c>
      <c r="AF245" s="20">
        <f t="shared" si="172"/>
        <v>-91.42089041095892</v>
      </c>
      <c r="AG245" s="20">
        <f t="shared" si="172"/>
        <v>-253.29494755381603</v>
      </c>
      <c r="AH245" s="20">
        <f t="shared" si="172"/>
        <v>-91.42089041095892</v>
      </c>
      <c r="AI245" s="20">
        <f t="shared" si="172"/>
        <v>-91.42089041095892</v>
      </c>
      <c r="AJ245" s="20">
        <f t="shared" si="172"/>
        <v>-123.85332284339135</v>
      </c>
      <c r="AK245" s="20">
        <f t="shared" si="172"/>
        <v>-373.6285520395319</v>
      </c>
      <c r="AL245" s="20">
        <f t="shared" si="172"/>
        <v>-39111.52153076639</v>
      </c>
      <c r="AM245" s="20">
        <f t="shared" si="172"/>
        <v>-91.42089041095892</v>
      </c>
      <c r="AN245" s="20">
        <f t="shared" ref="AN245:BP245" si="173">AN$164+AN$7*(INDEX($H$235:$N$235,1)+INDEX($H$237:$N$237,1))</f>
        <v>-337.9073768974454</v>
      </c>
      <c r="AO245" s="20">
        <f t="shared" si="173"/>
        <v>-91.42089041095892</v>
      </c>
      <c r="AP245" s="20">
        <f t="shared" si="173"/>
        <v>-91.42089041095892</v>
      </c>
      <c r="AQ245" s="20">
        <f t="shared" si="173"/>
        <v>-91.42089041095892</v>
      </c>
      <c r="AR245" s="20">
        <f t="shared" si="173"/>
        <v>-91.42089041095892</v>
      </c>
      <c r="AS245" s="20">
        <f t="shared" si="173"/>
        <v>-91.42089041095892</v>
      </c>
      <c r="AT245" s="20">
        <f t="shared" si="173"/>
        <v>-91.42089041095892</v>
      </c>
      <c r="AU245" s="20">
        <f t="shared" si="173"/>
        <v>-91.42089041095892</v>
      </c>
      <c r="AV245" s="20">
        <f t="shared" si="173"/>
        <v>-91.42089041095892</v>
      </c>
      <c r="AW245" s="20">
        <f t="shared" si="173"/>
        <v>-91.42089041095892</v>
      </c>
      <c r="AX245" s="20">
        <f t="shared" si="173"/>
        <v>-91.42089041095892</v>
      </c>
      <c r="AY245" s="20">
        <f t="shared" si="173"/>
        <v>-91.42089041095892</v>
      </c>
      <c r="AZ245" s="20">
        <f t="shared" si="173"/>
        <v>49699.602413525696</v>
      </c>
      <c r="BA245" s="20">
        <f t="shared" si="173"/>
        <v>0</v>
      </c>
      <c r="BB245" s="20">
        <f t="shared" si="173"/>
        <v>0</v>
      </c>
      <c r="BC245" s="20">
        <f t="shared" si="173"/>
        <v>0</v>
      </c>
      <c r="BD245" s="20">
        <f t="shared" si="173"/>
        <v>0</v>
      </c>
      <c r="BE245" s="20">
        <f t="shared" si="173"/>
        <v>0</v>
      </c>
      <c r="BF245" s="20">
        <f t="shared" si="173"/>
        <v>0</v>
      </c>
      <c r="BG245" s="20">
        <f t="shared" si="173"/>
        <v>0</v>
      </c>
      <c r="BH245" s="20">
        <f t="shared" si="173"/>
        <v>0</v>
      </c>
      <c r="BI245" s="20">
        <f t="shared" si="173"/>
        <v>0</v>
      </c>
      <c r="BJ245" s="20">
        <f t="shared" si="173"/>
        <v>0</v>
      </c>
      <c r="BK245" s="20">
        <f t="shared" si="173"/>
        <v>0</v>
      </c>
      <c r="BL245" s="20">
        <f t="shared" si="173"/>
        <v>0</v>
      </c>
      <c r="BM245" s="20">
        <f t="shared" si="173"/>
        <v>0</v>
      </c>
      <c r="BN245" s="20">
        <f t="shared" si="173"/>
        <v>0</v>
      </c>
      <c r="BO245" s="20">
        <f t="shared" si="173"/>
        <v>0</v>
      </c>
      <c r="BP245" s="20">
        <f t="shared" si="173"/>
        <v>0</v>
      </c>
    </row>
    <row r="246" spans="3:68" x14ac:dyDescent="0.25">
      <c r="C246" t="s">
        <v>746</v>
      </c>
      <c r="D246" t="s">
        <v>844</v>
      </c>
      <c r="E246" s="20"/>
      <c r="F246" s="20"/>
      <c r="G246" s="20">
        <f t="shared" si="171"/>
        <v>4673.724494515496</v>
      </c>
      <c r="H246" s="20">
        <f t="shared" ref="H246:AM246" si="174">H$164+H$7*(INDEX($H$235:$N$235,2)+INDEX($H$237:$N$237,2))</f>
        <v>-400</v>
      </c>
      <c r="I246" s="20">
        <f t="shared" si="174"/>
        <v>0</v>
      </c>
      <c r="J246" s="20">
        <f t="shared" si="174"/>
        <v>0</v>
      </c>
      <c r="K246" s="20">
        <f t="shared" si="174"/>
        <v>-205.87105146242135</v>
      </c>
      <c r="L246" s="20">
        <f t="shared" si="174"/>
        <v>-12.18945205479452</v>
      </c>
      <c r="M246" s="20">
        <f t="shared" si="174"/>
        <v>-2557.1743150684933</v>
      </c>
      <c r="N246" s="20">
        <f t="shared" si="174"/>
        <v>-101.15062014068864</v>
      </c>
      <c r="O246" s="20">
        <f t="shared" si="174"/>
        <v>-270.3141336542021</v>
      </c>
      <c r="P246" s="20">
        <f t="shared" si="174"/>
        <v>-489.4208904109589</v>
      </c>
      <c r="Q246" s="20">
        <f t="shared" si="174"/>
        <v>-91.42089041095892</v>
      </c>
      <c r="R246" s="20">
        <f t="shared" si="174"/>
        <v>-91.42089041095892</v>
      </c>
      <c r="S246" s="20">
        <f t="shared" si="174"/>
        <v>-134.66413365420215</v>
      </c>
      <c r="T246" s="20">
        <f t="shared" si="174"/>
        <v>-134.66413365420215</v>
      </c>
      <c r="U246" s="20">
        <f t="shared" si="174"/>
        <v>-91.42089041095892</v>
      </c>
      <c r="V246" s="20">
        <f t="shared" si="174"/>
        <v>-91.42089041095892</v>
      </c>
      <c r="W246" s="20">
        <f t="shared" si="174"/>
        <v>-91.42089041095892</v>
      </c>
      <c r="X246" s="20">
        <f t="shared" si="174"/>
        <v>-131.96143095149947</v>
      </c>
      <c r="Y246" s="20">
        <f t="shared" si="174"/>
        <v>-234.10197149204</v>
      </c>
      <c r="Z246" s="20">
        <f t="shared" si="174"/>
        <v>-1046.1648231191773</v>
      </c>
      <c r="AA246" s="20">
        <f t="shared" si="174"/>
        <v>-321.15062014068866</v>
      </c>
      <c r="AB246" s="20">
        <f t="shared" si="174"/>
        <v>-179.55602554609405</v>
      </c>
      <c r="AC246" s="20">
        <f t="shared" si="174"/>
        <v>-91.52899851906703</v>
      </c>
      <c r="AD246" s="20">
        <f t="shared" si="174"/>
        <v>-91.42089041095892</v>
      </c>
      <c r="AE246" s="20">
        <f t="shared" si="174"/>
        <v>-95.92089041095892</v>
      </c>
      <c r="AF246" s="20">
        <f t="shared" si="174"/>
        <v>-91.42089041095892</v>
      </c>
      <c r="AG246" s="20">
        <f t="shared" si="174"/>
        <v>-253.29494755381603</v>
      </c>
      <c r="AH246" s="20">
        <f t="shared" si="174"/>
        <v>-91.42089041095892</v>
      </c>
      <c r="AI246" s="20">
        <f t="shared" si="174"/>
        <v>-91.42089041095892</v>
      </c>
      <c r="AJ246" s="20">
        <f t="shared" si="174"/>
        <v>-123.85332284339135</v>
      </c>
      <c r="AK246" s="20">
        <f t="shared" si="174"/>
        <v>-373.6285520395319</v>
      </c>
      <c r="AL246" s="20">
        <f t="shared" si="174"/>
        <v>-39111.52153076639</v>
      </c>
      <c r="AM246" s="20">
        <f t="shared" si="174"/>
        <v>-91.42089041095892</v>
      </c>
      <c r="AN246" s="20">
        <f t="shared" ref="AN246:BP246" si="175">AN$164+AN$7*(INDEX($H$235:$N$235,2)+INDEX($H$237:$N$237,2))</f>
        <v>-337.9073768974454</v>
      </c>
      <c r="AO246" s="20">
        <f t="shared" si="175"/>
        <v>-91.42089041095892</v>
      </c>
      <c r="AP246" s="20">
        <f t="shared" si="175"/>
        <v>-91.42089041095892</v>
      </c>
      <c r="AQ246" s="20">
        <f t="shared" si="175"/>
        <v>-91.42089041095892</v>
      </c>
      <c r="AR246" s="20">
        <f t="shared" si="175"/>
        <v>-91.42089041095892</v>
      </c>
      <c r="AS246" s="20">
        <f t="shared" si="175"/>
        <v>-91.42089041095892</v>
      </c>
      <c r="AT246" s="20">
        <f t="shared" si="175"/>
        <v>-91.42089041095892</v>
      </c>
      <c r="AU246" s="20">
        <f t="shared" si="175"/>
        <v>-91.42089041095892</v>
      </c>
      <c r="AV246" s="20">
        <f t="shared" si="175"/>
        <v>-91.42089041095892</v>
      </c>
      <c r="AW246" s="20">
        <f t="shared" si="175"/>
        <v>-91.42089041095892</v>
      </c>
      <c r="AX246" s="20">
        <f t="shared" si="175"/>
        <v>-91.42089041095892</v>
      </c>
      <c r="AY246" s="20">
        <f t="shared" si="175"/>
        <v>-91.42089041095892</v>
      </c>
      <c r="AZ246" s="20">
        <f t="shared" si="175"/>
        <v>53199.602413525696</v>
      </c>
      <c r="BA246" s="20">
        <f t="shared" si="175"/>
        <v>0</v>
      </c>
      <c r="BB246" s="20">
        <f t="shared" si="175"/>
        <v>0</v>
      </c>
      <c r="BC246" s="20">
        <f t="shared" si="175"/>
        <v>0</v>
      </c>
      <c r="BD246" s="20">
        <f t="shared" si="175"/>
        <v>0</v>
      </c>
      <c r="BE246" s="20">
        <f t="shared" si="175"/>
        <v>0</v>
      </c>
      <c r="BF246" s="20">
        <f t="shared" si="175"/>
        <v>0</v>
      </c>
      <c r="BG246" s="20">
        <f t="shared" si="175"/>
        <v>0</v>
      </c>
      <c r="BH246" s="20">
        <f t="shared" si="175"/>
        <v>0</v>
      </c>
      <c r="BI246" s="20">
        <f t="shared" si="175"/>
        <v>0</v>
      </c>
      <c r="BJ246" s="20">
        <f t="shared" si="175"/>
        <v>0</v>
      </c>
      <c r="BK246" s="20">
        <f t="shared" si="175"/>
        <v>0</v>
      </c>
      <c r="BL246" s="20">
        <f t="shared" si="175"/>
        <v>0</v>
      </c>
      <c r="BM246" s="20">
        <f t="shared" si="175"/>
        <v>0</v>
      </c>
      <c r="BN246" s="20">
        <f t="shared" si="175"/>
        <v>0</v>
      </c>
      <c r="BO246" s="20">
        <f t="shared" si="175"/>
        <v>0</v>
      </c>
      <c r="BP246" s="20">
        <f t="shared" si="175"/>
        <v>0</v>
      </c>
    </row>
    <row r="247" spans="3:68" x14ac:dyDescent="0.25">
      <c r="C247" t="s">
        <v>747</v>
      </c>
      <c r="D247" t="s">
        <v>844</v>
      </c>
      <c r="E247" s="20"/>
      <c r="F247" s="20"/>
      <c r="G247" s="20">
        <f t="shared" si="171"/>
        <v>8173.724494515496</v>
      </c>
      <c r="H247" s="20">
        <f t="shared" ref="H247:AM247" si="176">H$164+H$7*(INDEX($H$235:$N$235,3)+INDEX($H$237:$N$237,3))</f>
        <v>-400</v>
      </c>
      <c r="I247" s="20">
        <f t="shared" si="176"/>
        <v>0</v>
      </c>
      <c r="J247" s="20">
        <f t="shared" si="176"/>
        <v>0</v>
      </c>
      <c r="K247" s="20">
        <f t="shared" si="176"/>
        <v>-205.87105146242135</v>
      </c>
      <c r="L247" s="20">
        <f t="shared" si="176"/>
        <v>-12.18945205479452</v>
      </c>
      <c r="M247" s="20">
        <f t="shared" si="176"/>
        <v>-2557.1743150684933</v>
      </c>
      <c r="N247" s="20">
        <f t="shared" si="176"/>
        <v>-101.15062014068864</v>
      </c>
      <c r="O247" s="20">
        <f t="shared" si="176"/>
        <v>-270.3141336542021</v>
      </c>
      <c r="P247" s="20">
        <f t="shared" si="176"/>
        <v>-489.4208904109589</v>
      </c>
      <c r="Q247" s="20">
        <f t="shared" si="176"/>
        <v>-91.42089041095892</v>
      </c>
      <c r="R247" s="20">
        <f t="shared" si="176"/>
        <v>-91.42089041095892</v>
      </c>
      <c r="S247" s="20">
        <f t="shared" si="176"/>
        <v>-134.66413365420215</v>
      </c>
      <c r="T247" s="20">
        <f t="shared" si="176"/>
        <v>-134.66413365420215</v>
      </c>
      <c r="U247" s="20">
        <f t="shared" si="176"/>
        <v>-91.42089041095892</v>
      </c>
      <c r="V247" s="20">
        <f t="shared" si="176"/>
        <v>-91.42089041095892</v>
      </c>
      <c r="W247" s="20">
        <f t="shared" si="176"/>
        <v>-91.42089041095892</v>
      </c>
      <c r="X247" s="20">
        <f t="shared" si="176"/>
        <v>-131.96143095149947</v>
      </c>
      <c r="Y247" s="20">
        <f t="shared" si="176"/>
        <v>-234.10197149204</v>
      </c>
      <c r="Z247" s="20">
        <f t="shared" si="176"/>
        <v>-1046.1648231191773</v>
      </c>
      <c r="AA247" s="20">
        <f t="shared" si="176"/>
        <v>-321.15062014068866</v>
      </c>
      <c r="AB247" s="20">
        <f t="shared" si="176"/>
        <v>-179.55602554609405</v>
      </c>
      <c r="AC247" s="20">
        <f t="shared" si="176"/>
        <v>-91.52899851906703</v>
      </c>
      <c r="AD247" s="20">
        <f t="shared" si="176"/>
        <v>-91.42089041095892</v>
      </c>
      <c r="AE247" s="20">
        <f t="shared" si="176"/>
        <v>-95.92089041095892</v>
      </c>
      <c r="AF247" s="20">
        <f t="shared" si="176"/>
        <v>-91.42089041095892</v>
      </c>
      <c r="AG247" s="20">
        <f t="shared" si="176"/>
        <v>-253.29494755381603</v>
      </c>
      <c r="AH247" s="20">
        <f t="shared" si="176"/>
        <v>-91.42089041095892</v>
      </c>
      <c r="AI247" s="20">
        <f t="shared" si="176"/>
        <v>-91.42089041095892</v>
      </c>
      <c r="AJ247" s="20">
        <f t="shared" si="176"/>
        <v>-123.85332284339135</v>
      </c>
      <c r="AK247" s="20">
        <f t="shared" si="176"/>
        <v>-373.6285520395319</v>
      </c>
      <c r="AL247" s="20">
        <f t="shared" si="176"/>
        <v>-39111.52153076639</v>
      </c>
      <c r="AM247" s="20">
        <f t="shared" si="176"/>
        <v>-91.42089041095892</v>
      </c>
      <c r="AN247" s="20">
        <f t="shared" ref="AN247:BP247" si="177">AN$164+AN$7*(INDEX($H$235:$N$235,3)+INDEX($H$237:$N$237,3))</f>
        <v>-337.9073768974454</v>
      </c>
      <c r="AO247" s="20">
        <f t="shared" si="177"/>
        <v>-91.42089041095892</v>
      </c>
      <c r="AP247" s="20">
        <f t="shared" si="177"/>
        <v>-91.42089041095892</v>
      </c>
      <c r="AQ247" s="20">
        <f t="shared" si="177"/>
        <v>-91.42089041095892</v>
      </c>
      <c r="AR247" s="20">
        <f t="shared" si="177"/>
        <v>-91.42089041095892</v>
      </c>
      <c r="AS247" s="20">
        <f t="shared" si="177"/>
        <v>-91.42089041095892</v>
      </c>
      <c r="AT247" s="20">
        <f t="shared" si="177"/>
        <v>-91.42089041095892</v>
      </c>
      <c r="AU247" s="20">
        <f t="shared" si="177"/>
        <v>-91.42089041095892</v>
      </c>
      <c r="AV247" s="20">
        <f t="shared" si="177"/>
        <v>-91.42089041095892</v>
      </c>
      <c r="AW247" s="20">
        <f t="shared" si="177"/>
        <v>-91.42089041095892</v>
      </c>
      <c r="AX247" s="20">
        <f t="shared" si="177"/>
        <v>-91.42089041095892</v>
      </c>
      <c r="AY247" s="20">
        <f t="shared" si="177"/>
        <v>-91.42089041095892</v>
      </c>
      <c r="AZ247" s="20">
        <f t="shared" si="177"/>
        <v>56699.602413525696</v>
      </c>
      <c r="BA247" s="20">
        <f t="shared" si="177"/>
        <v>0</v>
      </c>
      <c r="BB247" s="20">
        <f t="shared" si="177"/>
        <v>0</v>
      </c>
      <c r="BC247" s="20">
        <f t="shared" si="177"/>
        <v>0</v>
      </c>
      <c r="BD247" s="20">
        <f t="shared" si="177"/>
        <v>0</v>
      </c>
      <c r="BE247" s="20">
        <f t="shared" si="177"/>
        <v>0</v>
      </c>
      <c r="BF247" s="20">
        <f t="shared" si="177"/>
        <v>0</v>
      </c>
      <c r="BG247" s="20">
        <f t="shared" si="177"/>
        <v>0</v>
      </c>
      <c r="BH247" s="20">
        <f t="shared" si="177"/>
        <v>0</v>
      </c>
      <c r="BI247" s="20">
        <f t="shared" si="177"/>
        <v>0</v>
      </c>
      <c r="BJ247" s="20">
        <f t="shared" si="177"/>
        <v>0</v>
      </c>
      <c r="BK247" s="20">
        <f t="shared" si="177"/>
        <v>0</v>
      </c>
      <c r="BL247" s="20">
        <f t="shared" si="177"/>
        <v>0</v>
      </c>
      <c r="BM247" s="20">
        <f t="shared" si="177"/>
        <v>0</v>
      </c>
      <c r="BN247" s="20">
        <f t="shared" si="177"/>
        <v>0</v>
      </c>
      <c r="BO247" s="20">
        <f t="shared" si="177"/>
        <v>0</v>
      </c>
      <c r="BP247" s="20">
        <f t="shared" si="177"/>
        <v>0</v>
      </c>
    </row>
    <row r="248" spans="3:68" x14ac:dyDescent="0.25">
      <c r="C248" t="s">
        <v>748</v>
      </c>
      <c r="D248" t="s">
        <v>844</v>
      </c>
      <c r="E248" s="20"/>
      <c r="F248" s="20"/>
      <c r="G248" s="20">
        <f t="shared" si="171"/>
        <v>11673.724494515496</v>
      </c>
      <c r="H248" s="20">
        <f t="shared" ref="H248:AM248" si="178">H$164+H$7*(INDEX($H$235:$N$235,4)+INDEX($H$237:$N$237,4))</f>
        <v>-400</v>
      </c>
      <c r="I248" s="20">
        <f t="shared" si="178"/>
        <v>0</v>
      </c>
      <c r="J248" s="20">
        <f t="shared" si="178"/>
        <v>0</v>
      </c>
      <c r="K248" s="20">
        <f t="shared" si="178"/>
        <v>-205.87105146242135</v>
      </c>
      <c r="L248" s="20">
        <f t="shared" si="178"/>
        <v>-12.18945205479452</v>
      </c>
      <c r="M248" s="20">
        <f t="shared" si="178"/>
        <v>-2557.1743150684933</v>
      </c>
      <c r="N248" s="20">
        <f t="shared" si="178"/>
        <v>-101.15062014068864</v>
      </c>
      <c r="O248" s="20">
        <f t="shared" si="178"/>
        <v>-270.3141336542021</v>
      </c>
      <c r="P248" s="20">
        <f t="shared" si="178"/>
        <v>-489.4208904109589</v>
      </c>
      <c r="Q248" s="20">
        <f t="shared" si="178"/>
        <v>-91.42089041095892</v>
      </c>
      <c r="R248" s="20">
        <f t="shared" si="178"/>
        <v>-91.42089041095892</v>
      </c>
      <c r="S248" s="20">
        <f t="shared" si="178"/>
        <v>-134.66413365420215</v>
      </c>
      <c r="T248" s="20">
        <f t="shared" si="178"/>
        <v>-134.66413365420215</v>
      </c>
      <c r="U248" s="20">
        <f t="shared" si="178"/>
        <v>-91.42089041095892</v>
      </c>
      <c r="V248" s="20">
        <f t="shared" si="178"/>
        <v>-91.42089041095892</v>
      </c>
      <c r="W248" s="20">
        <f t="shared" si="178"/>
        <v>-91.42089041095892</v>
      </c>
      <c r="X248" s="20">
        <f t="shared" si="178"/>
        <v>-131.96143095149947</v>
      </c>
      <c r="Y248" s="20">
        <f t="shared" si="178"/>
        <v>-234.10197149204</v>
      </c>
      <c r="Z248" s="20">
        <f t="shared" si="178"/>
        <v>-1046.1648231191773</v>
      </c>
      <c r="AA248" s="20">
        <f t="shared" si="178"/>
        <v>-321.15062014068866</v>
      </c>
      <c r="AB248" s="20">
        <f t="shared" si="178"/>
        <v>-179.55602554609405</v>
      </c>
      <c r="AC248" s="20">
        <f t="shared" si="178"/>
        <v>-91.52899851906703</v>
      </c>
      <c r="AD248" s="20">
        <f t="shared" si="178"/>
        <v>-91.42089041095892</v>
      </c>
      <c r="AE248" s="20">
        <f t="shared" si="178"/>
        <v>-95.92089041095892</v>
      </c>
      <c r="AF248" s="20">
        <f t="shared" si="178"/>
        <v>-91.42089041095892</v>
      </c>
      <c r="AG248" s="20">
        <f t="shared" si="178"/>
        <v>-253.29494755381603</v>
      </c>
      <c r="AH248" s="20">
        <f t="shared" si="178"/>
        <v>-91.42089041095892</v>
      </c>
      <c r="AI248" s="20">
        <f t="shared" si="178"/>
        <v>-91.42089041095892</v>
      </c>
      <c r="AJ248" s="20">
        <f t="shared" si="178"/>
        <v>-123.85332284339135</v>
      </c>
      <c r="AK248" s="20">
        <f t="shared" si="178"/>
        <v>-373.6285520395319</v>
      </c>
      <c r="AL248" s="20">
        <f t="shared" si="178"/>
        <v>-39111.52153076639</v>
      </c>
      <c r="AM248" s="20">
        <f t="shared" si="178"/>
        <v>-91.42089041095892</v>
      </c>
      <c r="AN248" s="20">
        <f t="shared" ref="AN248:BP248" si="179">AN$164+AN$7*(INDEX($H$235:$N$235,4)+INDEX($H$237:$N$237,4))</f>
        <v>-337.9073768974454</v>
      </c>
      <c r="AO248" s="20">
        <f t="shared" si="179"/>
        <v>-91.42089041095892</v>
      </c>
      <c r="AP248" s="20">
        <f t="shared" si="179"/>
        <v>-91.42089041095892</v>
      </c>
      <c r="AQ248" s="20">
        <f t="shared" si="179"/>
        <v>-91.42089041095892</v>
      </c>
      <c r="AR248" s="20">
        <f t="shared" si="179"/>
        <v>-91.42089041095892</v>
      </c>
      <c r="AS248" s="20">
        <f t="shared" si="179"/>
        <v>-91.42089041095892</v>
      </c>
      <c r="AT248" s="20">
        <f t="shared" si="179"/>
        <v>-91.42089041095892</v>
      </c>
      <c r="AU248" s="20">
        <f t="shared" si="179"/>
        <v>-91.42089041095892</v>
      </c>
      <c r="AV248" s="20">
        <f t="shared" si="179"/>
        <v>-91.42089041095892</v>
      </c>
      <c r="AW248" s="20">
        <f t="shared" si="179"/>
        <v>-91.42089041095892</v>
      </c>
      <c r="AX248" s="20">
        <f t="shared" si="179"/>
        <v>-91.42089041095892</v>
      </c>
      <c r="AY248" s="20">
        <f t="shared" si="179"/>
        <v>-91.42089041095892</v>
      </c>
      <c r="AZ248" s="20">
        <f t="shared" si="179"/>
        <v>60199.602413525696</v>
      </c>
      <c r="BA248" s="20">
        <f t="shared" si="179"/>
        <v>0</v>
      </c>
      <c r="BB248" s="20">
        <f t="shared" si="179"/>
        <v>0</v>
      </c>
      <c r="BC248" s="20">
        <f t="shared" si="179"/>
        <v>0</v>
      </c>
      <c r="BD248" s="20">
        <f t="shared" si="179"/>
        <v>0</v>
      </c>
      <c r="BE248" s="20">
        <f t="shared" si="179"/>
        <v>0</v>
      </c>
      <c r="BF248" s="20">
        <f t="shared" si="179"/>
        <v>0</v>
      </c>
      <c r="BG248" s="20">
        <f t="shared" si="179"/>
        <v>0</v>
      </c>
      <c r="BH248" s="20">
        <f t="shared" si="179"/>
        <v>0</v>
      </c>
      <c r="BI248" s="20">
        <f t="shared" si="179"/>
        <v>0</v>
      </c>
      <c r="BJ248" s="20">
        <f t="shared" si="179"/>
        <v>0</v>
      </c>
      <c r="BK248" s="20">
        <f t="shared" si="179"/>
        <v>0</v>
      </c>
      <c r="BL248" s="20">
        <f t="shared" si="179"/>
        <v>0</v>
      </c>
      <c r="BM248" s="20">
        <f t="shared" si="179"/>
        <v>0</v>
      </c>
      <c r="BN248" s="20">
        <f t="shared" si="179"/>
        <v>0</v>
      </c>
      <c r="BO248" s="20">
        <f t="shared" si="179"/>
        <v>0</v>
      </c>
      <c r="BP248" s="20">
        <f t="shared" si="179"/>
        <v>0</v>
      </c>
    </row>
    <row r="249" spans="3:68" x14ac:dyDescent="0.25">
      <c r="C249" t="s">
        <v>749</v>
      </c>
      <c r="D249" t="s">
        <v>844</v>
      </c>
      <c r="E249" s="20"/>
      <c r="F249" s="20"/>
      <c r="G249" s="20">
        <f t="shared" si="171"/>
        <v>15173.724494515496</v>
      </c>
      <c r="H249" s="20">
        <f t="shared" ref="H249:AM249" si="180">H$164+H$7*(INDEX($H$235:$N$235,5)+INDEX($H$237:$N$237,5))</f>
        <v>-400</v>
      </c>
      <c r="I249" s="20">
        <f t="shared" si="180"/>
        <v>0</v>
      </c>
      <c r="J249" s="20">
        <f t="shared" si="180"/>
        <v>0</v>
      </c>
      <c r="K249" s="20">
        <f t="shared" si="180"/>
        <v>-205.87105146242135</v>
      </c>
      <c r="L249" s="20">
        <f t="shared" si="180"/>
        <v>-12.18945205479452</v>
      </c>
      <c r="M249" s="20">
        <f t="shared" si="180"/>
        <v>-2557.1743150684933</v>
      </c>
      <c r="N249" s="20">
        <f t="shared" si="180"/>
        <v>-101.15062014068864</v>
      </c>
      <c r="O249" s="20">
        <f t="shared" si="180"/>
        <v>-270.3141336542021</v>
      </c>
      <c r="P249" s="20">
        <f t="shared" si="180"/>
        <v>-489.4208904109589</v>
      </c>
      <c r="Q249" s="20">
        <f t="shared" si="180"/>
        <v>-91.42089041095892</v>
      </c>
      <c r="R249" s="20">
        <f t="shared" si="180"/>
        <v>-91.42089041095892</v>
      </c>
      <c r="S249" s="20">
        <f t="shared" si="180"/>
        <v>-134.66413365420215</v>
      </c>
      <c r="T249" s="20">
        <f t="shared" si="180"/>
        <v>-134.66413365420215</v>
      </c>
      <c r="U249" s="20">
        <f t="shared" si="180"/>
        <v>-91.42089041095892</v>
      </c>
      <c r="V249" s="20">
        <f t="shared" si="180"/>
        <v>-91.42089041095892</v>
      </c>
      <c r="W249" s="20">
        <f t="shared" si="180"/>
        <v>-91.42089041095892</v>
      </c>
      <c r="X249" s="20">
        <f t="shared" si="180"/>
        <v>-131.96143095149947</v>
      </c>
      <c r="Y249" s="20">
        <f t="shared" si="180"/>
        <v>-234.10197149204</v>
      </c>
      <c r="Z249" s="20">
        <f t="shared" si="180"/>
        <v>-1046.1648231191773</v>
      </c>
      <c r="AA249" s="20">
        <f t="shared" si="180"/>
        <v>-321.15062014068866</v>
      </c>
      <c r="AB249" s="20">
        <f t="shared" si="180"/>
        <v>-179.55602554609405</v>
      </c>
      <c r="AC249" s="20">
        <f t="shared" si="180"/>
        <v>-91.52899851906703</v>
      </c>
      <c r="AD249" s="20">
        <f t="shared" si="180"/>
        <v>-91.42089041095892</v>
      </c>
      <c r="AE249" s="20">
        <f t="shared" si="180"/>
        <v>-95.92089041095892</v>
      </c>
      <c r="AF249" s="20">
        <f t="shared" si="180"/>
        <v>-91.42089041095892</v>
      </c>
      <c r="AG249" s="20">
        <f t="shared" si="180"/>
        <v>-253.29494755381603</v>
      </c>
      <c r="AH249" s="20">
        <f t="shared" si="180"/>
        <v>-91.42089041095892</v>
      </c>
      <c r="AI249" s="20">
        <f t="shared" si="180"/>
        <v>-91.42089041095892</v>
      </c>
      <c r="AJ249" s="20">
        <f t="shared" si="180"/>
        <v>-123.85332284339135</v>
      </c>
      <c r="AK249" s="20">
        <f t="shared" si="180"/>
        <v>-373.6285520395319</v>
      </c>
      <c r="AL249" s="20">
        <f t="shared" si="180"/>
        <v>-39111.52153076639</v>
      </c>
      <c r="AM249" s="20">
        <f t="shared" si="180"/>
        <v>-91.42089041095892</v>
      </c>
      <c r="AN249" s="20">
        <f t="shared" ref="AN249:BP249" si="181">AN$164+AN$7*(INDEX($H$235:$N$235,5)+INDEX($H$237:$N$237,5))</f>
        <v>-337.9073768974454</v>
      </c>
      <c r="AO249" s="20">
        <f t="shared" si="181"/>
        <v>-91.42089041095892</v>
      </c>
      <c r="AP249" s="20">
        <f t="shared" si="181"/>
        <v>-91.42089041095892</v>
      </c>
      <c r="AQ249" s="20">
        <f t="shared" si="181"/>
        <v>-91.42089041095892</v>
      </c>
      <c r="AR249" s="20">
        <f t="shared" si="181"/>
        <v>-91.42089041095892</v>
      </c>
      <c r="AS249" s="20">
        <f t="shared" si="181"/>
        <v>-91.42089041095892</v>
      </c>
      <c r="AT249" s="20">
        <f t="shared" si="181"/>
        <v>-91.42089041095892</v>
      </c>
      <c r="AU249" s="20">
        <f t="shared" si="181"/>
        <v>-91.42089041095892</v>
      </c>
      <c r="AV249" s="20">
        <f t="shared" si="181"/>
        <v>-91.42089041095892</v>
      </c>
      <c r="AW249" s="20">
        <f t="shared" si="181"/>
        <v>-91.42089041095892</v>
      </c>
      <c r="AX249" s="20">
        <f t="shared" si="181"/>
        <v>-91.42089041095892</v>
      </c>
      <c r="AY249" s="20">
        <f t="shared" si="181"/>
        <v>-91.42089041095892</v>
      </c>
      <c r="AZ249" s="20">
        <f t="shared" si="181"/>
        <v>63699.602413525696</v>
      </c>
      <c r="BA249" s="20">
        <f t="shared" si="181"/>
        <v>0</v>
      </c>
      <c r="BB249" s="20">
        <f t="shared" si="181"/>
        <v>0</v>
      </c>
      <c r="BC249" s="20">
        <f t="shared" si="181"/>
        <v>0</v>
      </c>
      <c r="BD249" s="20">
        <f t="shared" si="181"/>
        <v>0</v>
      </c>
      <c r="BE249" s="20">
        <f t="shared" si="181"/>
        <v>0</v>
      </c>
      <c r="BF249" s="20">
        <f t="shared" si="181"/>
        <v>0</v>
      </c>
      <c r="BG249" s="20">
        <f t="shared" si="181"/>
        <v>0</v>
      </c>
      <c r="BH249" s="20">
        <f t="shared" si="181"/>
        <v>0</v>
      </c>
      <c r="BI249" s="20">
        <f t="shared" si="181"/>
        <v>0</v>
      </c>
      <c r="BJ249" s="20">
        <f t="shared" si="181"/>
        <v>0</v>
      </c>
      <c r="BK249" s="20">
        <f t="shared" si="181"/>
        <v>0</v>
      </c>
      <c r="BL249" s="20">
        <f t="shared" si="181"/>
        <v>0</v>
      </c>
      <c r="BM249" s="20">
        <f t="shared" si="181"/>
        <v>0</v>
      </c>
      <c r="BN249" s="20">
        <f t="shared" si="181"/>
        <v>0</v>
      </c>
      <c r="BO249" s="20">
        <f t="shared" si="181"/>
        <v>0</v>
      </c>
      <c r="BP249" s="20">
        <f t="shared" si="181"/>
        <v>0</v>
      </c>
    </row>
    <row r="250" spans="3:68" x14ac:dyDescent="0.25">
      <c r="C250" t="s">
        <v>750</v>
      </c>
      <c r="D250" t="s">
        <v>844</v>
      </c>
      <c r="E250" s="20"/>
      <c r="F250" s="20"/>
      <c r="G250" s="20">
        <f t="shared" si="171"/>
        <v>18673.724494515503</v>
      </c>
      <c r="H250" s="20">
        <f t="shared" ref="H250:AM250" si="182">H$164+H$7*(INDEX($H$235:$N$235,6)+INDEX($H$237:$N$237,6))</f>
        <v>-400</v>
      </c>
      <c r="I250" s="20">
        <f t="shared" si="182"/>
        <v>0</v>
      </c>
      <c r="J250" s="20">
        <f t="shared" si="182"/>
        <v>0</v>
      </c>
      <c r="K250" s="20">
        <f t="shared" si="182"/>
        <v>-205.87105146242135</v>
      </c>
      <c r="L250" s="20">
        <f t="shared" si="182"/>
        <v>-12.18945205479452</v>
      </c>
      <c r="M250" s="20">
        <f t="shared" si="182"/>
        <v>-2557.1743150684933</v>
      </c>
      <c r="N250" s="20">
        <f t="shared" si="182"/>
        <v>-101.15062014068864</v>
      </c>
      <c r="O250" s="20">
        <f t="shared" si="182"/>
        <v>-270.3141336542021</v>
      </c>
      <c r="P250" s="20">
        <f t="shared" si="182"/>
        <v>-489.4208904109589</v>
      </c>
      <c r="Q250" s="20">
        <f t="shared" si="182"/>
        <v>-91.42089041095892</v>
      </c>
      <c r="R250" s="20">
        <f t="shared" si="182"/>
        <v>-91.42089041095892</v>
      </c>
      <c r="S250" s="20">
        <f t="shared" si="182"/>
        <v>-134.66413365420215</v>
      </c>
      <c r="T250" s="20">
        <f t="shared" si="182"/>
        <v>-134.66413365420215</v>
      </c>
      <c r="U250" s="20">
        <f t="shared" si="182"/>
        <v>-91.42089041095892</v>
      </c>
      <c r="V250" s="20">
        <f t="shared" si="182"/>
        <v>-91.42089041095892</v>
      </c>
      <c r="W250" s="20">
        <f t="shared" si="182"/>
        <v>-91.42089041095892</v>
      </c>
      <c r="X250" s="20">
        <f t="shared" si="182"/>
        <v>-131.96143095149947</v>
      </c>
      <c r="Y250" s="20">
        <f t="shared" si="182"/>
        <v>-234.10197149204</v>
      </c>
      <c r="Z250" s="20">
        <f t="shared" si="182"/>
        <v>-1046.1648231191773</v>
      </c>
      <c r="AA250" s="20">
        <f t="shared" si="182"/>
        <v>-321.15062014068866</v>
      </c>
      <c r="AB250" s="20">
        <f t="shared" si="182"/>
        <v>-179.55602554609405</v>
      </c>
      <c r="AC250" s="20">
        <f t="shared" si="182"/>
        <v>-91.52899851906703</v>
      </c>
      <c r="AD250" s="20">
        <f t="shared" si="182"/>
        <v>-91.42089041095892</v>
      </c>
      <c r="AE250" s="20">
        <f t="shared" si="182"/>
        <v>-95.92089041095892</v>
      </c>
      <c r="AF250" s="20">
        <f t="shared" si="182"/>
        <v>-91.42089041095892</v>
      </c>
      <c r="AG250" s="20">
        <f t="shared" si="182"/>
        <v>-253.29494755381603</v>
      </c>
      <c r="AH250" s="20">
        <f t="shared" si="182"/>
        <v>-91.42089041095892</v>
      </c>
      <c r="AI250" s="20">
        <f t="shared" si="182"/>
        <v>-91.42089041095892</v>
      </c>
      <c r="AJ250" s="20">
        <f t="shared" si="182"/>
        <v>-123.85332284339135</v>
      </c>
      <c r="AK250" s="20">
        <f t="shared" si="182"/>
        <v>-373.6285520395319</v>
      </c>
      <c r="AL250" s="20">
        <f t="shared" si="182"/>
        <v>-39111.52153076639</v>
      </c>
      <c r="AM250" s="20">
        <f t="shared" si="182"/>
        <v>-91.42089041095892</v>
      </c>
      <c r="AN250" s="20">
        <f t="shared" ref="AN250:BP250" si="183">AN$164+AN$7*(INDEX($H$235:$N$235,6)+INDEX($H$237:$N$237,6))</f>
        <v>-337.9073768974454</v>
      </c>
      <c r="AO250" s="20">
        <f t="shared" si="183"/>
        <v>-91.42089041095892</v>
      </c>
      <c r="AP250" s="20">
        <f t="shared" si="183"/>
        <v>-91.42089041095892</v>
      </c>
      <c r="AQ250" s="20">
        <f t="shared" si="183"/>
        <v>-91.42089041095892</v>
      </c>
      <c r="AR250" s="20">
        <f t="shared" si="183"/>
        <v>-91.42089041095892</v>
      </c>
      <c r="AS250" s="20">
        <f t="shared" si="183"/>
        <v>-91.42089041095892</v>
      </c>
      <c r="AT250" s="20">
        <f t="shared" si="183"/>
        <v>-91.42089041095892</v>
      </c>
      <c r="AU250" s="20">
        <f t="shared" si="183"/>
        <v>-91.42089041095892</v>
      </c>
      <c r="AV250" s="20">
        <f t="shared" si="183"/>
        <v>-91.42089041095892</v>
      </c>
      <c r="AW250" s="20">
        <f t="shared" si="183"/>
        <v>-91.42089041095892</v>
      </c>
      <c r="AX250" s="20">
        <f t="shared" si="183"/>
        <v>-91.42089041095892</v>
      </c>
      <c r="AY250" s="20">
        <f t="shared" si="183"/>
        <v>-91.42089041095892</v>
      </c>
      <c r="AZ250" s="20">
        <f t="shared" si="183"/>
        <v>67199.6024135257</v>
      </c>
      <c r="BA250" s="20">
        <f t="shared" si="183"/>
        <v>0</v>
      </c>
      <c r="BB250" s="20">
        <f t="shared" si="183"/>
        <v>0</v>
      </c>
      <c r="BC250" s="20">
        <f t="shared" si="183"/>
        <v>0</v>
      </c>
      <c r="BD250" s="20">
        <f t="shared" si="183"/>
        <v>0</v>
      </c>
      <c r="BE250" s="20">
        <f t="shared" si="183"/>
        <v>0</v>
      </c>
      <c r="BF250" s="20">
        <f t="shared" si="183"/>
        <v>0</v>
      </c>
      <c r="BG250" s="20">
        <f t="shared" si="183"/>
        <v>0</v>
      </c>
      <c r="BH250" s="20">
        <f t="shared" si="183"/>
        <v>0</v>
      </c>
      <c r="BI250" s="20">
        <f t="shared" si="183"/>
        <v>0</v>
      </c>
      <c r="BJ250" s="20">
        <f t="shared" si="183"/>
        <v>0</v>
      </c>
      <c r="BK250" s="20">
        <f t="shared" si="183"/>
        <v>0</v>
      </c>
      <c r="BL250" s="20">
        <f t="shared" si="183"/>
        <v>0</v>
      </c>
      <c r="BM250" s="20">
        <f t="shared" si="183"/>
        <v>0</v>
      </c>
      <c r="BN250" s="20">
        <f t="shared" si="183"/>
        <v>0</v>
      </c>
      <c r="BO250" s="20">
        <f t="shared" si="183"/>
        <v>0</v>
      </c>
      <c r="BP250" s="20">
        <f t="shared" si="183"/>
        <v>0</v>
      </c>
    </row>
    <row r="251" spans="3:68" x14ac:dyDescent="0.25">
      <c r="C251" t="s">
        <v>751</v>
      </c>
      <c r="D251" t="s">
        <v>844</v>
      </c>
      <c r="E251" s="20"/>
      <c r="F251" s="20"/>
      <c r="G251" s="20">
        <f t="shared" si="171"/>
        <v>22173.724494515503</v>
      </c>
      <c r="H251" s="20">
        <f t="shared" ref="H251:AM251" si="184">H$164+H$7*(INDEX($H$235:$N$235,7)+INDEX($H$237:$N$237,7))</f>
        <v>-400</v>
      </c>
      <c r="I251" s="20">
        <f t="shared" si="184"/>
        <v>0</v>
      </c>
      <c r="J251" s="20">
        <f t="shared" si="184"/>
        <v>0</v>
      </c>
      <c r="K251" s="20">
        <f t="shared" si="184"/>
        <v>-205.87105146242135</v>
      </c>
      <c r="L251" s="20">
        <f t="shared" si="184"/>
        <v>-12.18945205479452</v>
      </c>
      <c r="M251" s="20">
        <f t="shared" si="184"/>
        <v>-2557.1743150684933</v>
      </c>
      <c r="N251" s="20">
        <f t="shared" si="184"/>
        <v>-101.15062014068864</v>
      </c>
      <c r="O251" s="20">
        <f t="shared" si="184"/>
        <v>-270.3141336542021</v>
      </c>
      <c r="P251" s="20">
        <f t="shared" si="184"/>
        <v>-489.4208904109589</v>
      </c>
      <c r="Q251" s="20">
        <f t="shared" si="184"/>
        <v>-91.42089041095892</v>
      </c>
      <c r="R251" s="20">
        <f t="shared" si="184"/>
        <v>-91.42089041095892</v>
      </c>
      <c r="S251" s="20">
        <f t="shared" si="184"/>
        <v>-134.66413365420215</v>
      </c>
      <c r="T251" s="20">
        <f t="shared" si="184"/>
        <v>-134.66413365420215</v>
      </c>
      <c r="U251" s="20">
        <f t="shared" si="184"/>
        <v>-91.42089041095892</v>
      </c>
      <c r="V251" s="20">
        <f t="shared" si="184"/>
        <v>-91.42089041095892</v>
      </c>
      <c r="W251" s="20">
        <f t="shared" si="184"/>
        <v>-91.42089041095892</v>
      </c>
      <c r="X251" s="20">
        <f t="shared" si="184"/>
        <v>-131.96143095149947</v>
      </c>
      <c r="Y251" s="20">
        <f t="shared" si="184"/>
        <v>-234.10197149204</v>
      </c>
      <c r="Z251" s="20">
        <f t="shared" si="184"/>
        <v>-1046.1648231191773</v>
      </c>
      <c r="AA251" s="20">
        <f t="shared" si="184"/>
        <v>-321.15062014068866</v>
      </c>
      <c r="AB251" s="20">
        <f t="shared" si="184"/>
        <v>-179.55602554609405</v>
      </c>
      <c r="AC251" s="20">
        <f t="shared" si="184"/>
        <v>-91.52899851906703</v>
      </c>
      <c r="AD251" s="20">
        <f t="shared" si="184"/>
        <v>-91.42089041095892</v>
      </c>
      <c r="AE251" s="20">
        <f t="shared" si="184"/>
        <v>-95.92089041095892</v>
      </c>
      <c r="AF251" s="20">
        <f t="shared" si="184"/>
        <v>-91.42089041095892</v>
      </c>
      <c r="AG251" s="20">
        <f t="shared" si="184"/>
        <v>-253.29494755381603</v>
      </c>
      <c r="AH251" s="20">
        <f t="shared" si="184"/>
        <v>-91.42089041095892</v>
      </c>
      <c r="AI251" s="20">
        <f t="shared" si="184"/>
        <v>-91.42089041095892</v>
      </c>
      <c r="AJ251" s="20">
        <f t="shared" si="184"/>
        <v>-123.85332284339135</v>
      </c>
      <c r="AK251" s="20">
        <f t="shared" si="184"/>
        <v>-373.6285520395319</v>
      </c>
      <c r="AL251" s="20">
        <f t="shared" si="184"/>
        <v>-39111.52153076639</v>
      </c>
      <c r="AM251" s="20">
        <f t="shared" si="184"/>
        <v>-91.42089041095892</v>
      </c>
      <c r="AN251" s="20">
        <f t="shared" ref="AN251:BP251" si="185">AN$164+AN$7*(INDEX($H$235:$N$235,7)+INDEX($H$237:$N$237,7))</f>
        <v>-337.9073768974454</v>
      </c>
      <c r="AO251" s="20">
        <f t="shared" si="185"/>
        <v>-91.42089041095892</v>
      </c>
      <c r="AP251" s="20">
        <f t="shared" si="185"/>
        <v>-91.42089041095892</v>
      </c>
      <c r="AQ251" s="20">
        <f t="shared" si="185"/>
        <v>-91.42089041095892</v>
      </c>
      <c r="AR251" s="20">
        <f t="shared" si="185"/>
        <v>-91.42089041095892</v>
      </c>
      <c r="AS251" s="20">
        <f t="shared" si="185"/>
        <v>-91.42089041095892</v>
      </c>
      <c r="AT251" s="20">
        <f t="shared" si="185"/>
        <v>-91.42089041095892</v>
      </c>
      <c r="AU251" s="20">
        <f t="shared" si="185"/>
        <v>-91.42089041095892</v>
      </c>
      <c r="AV251" s="20">
        <f t="shared" si="185"/>
        <v>-91.42089041095892</v>
      </c>
      <c r="AW251" s="20">
        <f t="shared" si="185"/>
        <v>-91.42089041095892</v>
      </c>
      <c r="AX251" s="20">
        <f t="shared" si="185"/>
        <v>-91.42089041095892</v>
      </c>
      <c r="AY251" s="20">
        <f t="shared" si="185"/>
        <v>-91.42089041095892</v>
      </c>
      <c r="AZ251" s="20">
        <f t="shared" si="185"/>
        <v>70699.6024135257</v>
      </c>
      <c r="BA251" s="20">
        <f t="shared" si="185"/>
        <v>0</v>
      </c>
      <c r="BB251" s="20">
        <f t="shared" si="185"/>
        <v>0</v>
      </c>
      <c r="BC251" s="20">
        <f t="shared" si="185"/>
        <v>0</v>
      </c>
      <c r="BD251" s="20">
        <f t="shared" si="185"/>
        <v>0</v>
      </c>
      <c r="BE251" s="20">
        <f t="shared" si="185"/>
        <v>0</v>
      </c>
      <c r="BF251" s="20">
        <f t="shared" si="185"/>
        <v>0</v>
      </c>
      <c r="BG251" s="20">
        <f t="shared" si="185"/>
        <v>0</v>
      </c>
      <c r="BH251" s="20">
        <f t="shared" si="185"/>
        <v>0</v>
      </c>
      <c r="BI251" s="20">
        <f t="shared" si="185"/>
        <v>0</v>
      </c>
      <c r="BJ251" s="20">
        <f t="shared" si="185"/>
        <v>0</v>
      </c>
      <c r="BK251" s="20">
        <f t="shared" si="185"/>
        <v>0</v>
      </c>
      <c r="BL251" s="20">
        <f t="shared" si="185"/>
        <v>0</v>
      </c>
      <c r="BM251" s="20">
        <f t="shared" si="185"/>
        <v>0</v>
      </c>
      <c r="BN251" s="20">
        <f t="shared" si="185"/>
        <v>0</v>
      </c>
      <c r="BO251" s="20">
        <f t="shared" si="185"/>
        <v>0</v>
      </c>
      <c r="BP251" s="20">
        <f t="shared" si="185"/>
        <v>0</v>
      </c>
    </row>
    <row r="253" spans="3:68" x14ac:dyDescent="0.25">
      <c r="C253" s="43" t="s">
        <v>752</v>
      </c>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row>
    <row r="254" spans="3:68" x14ac:dyDescent="0.25">
      <c r="C254" t="s">
        <v>753</v>
      </c>
      <c r="D254" t="s">
        <v>52</v>
      </c>
      <c r="G254" s="6" t="str">
        <f>Deposits!E34</f>
        <v>n/a – inputs differ from BORA_Devex source</v>
      </c>
    </row>
    <row r="255" spans="3:68" x14ac:dyDescent="0.25">
      <c r="C255" t="s">
        <v>754</v>
      </c>
      <c r="D255" t="s">
        <v>52</v>
      </c>
      <c r="G255" s="6" t="str">
        <f>IF(ABS(BP113)&lt;0.01,"OK","FAIL")</f>
        <v>OK</v>
      </c>
    </row>
    <row r="256" spans="3:68" x14ac:dyDescent="0.25">
      <c r="C256" t="s">
        <v>755</v>
      </c>
      <c r="D256" t="s">
        <v>52</v>
      </c>
      <c r="G256" s="6" t="str">
        <f>IF(ABS(BP128)&lt;0.01,"OK","FAIL")</f>
        <v>OK</v>
      </c>
    </row>
    <row r="257" spans="3:68" x14ac:dyDescent="0.25">
      <c r="C257" t="s">
        <v>756</v>
      </c>
      <c r="D257" t="s">
        <v>52</v>
      </c>
      <c r="G257" s="6" t="str">
        <f>IF(AND(ABS(BP120)&lt;0.01,ABS(BP138)&lt;0.01),"OK","FAIL")</f>
        <v>OK</v>
      </c>
    </row>
    <row r="258" spans="3:68" x14ac:dyDescent="0.25">
      <c r="C258" t="s">
        <v>757</v>
      </c>
      <c r="D258" t="s">
        <v>52</v>
      </c>
      <c r="G258" s="6" t="str">
        <f>IF(ABS(BP76)&lt;0.01,"OK","FAIL")</f>
        <v>OK</v>
      </c>
    </row>
    <row r="259" x14ac:dyDescent="0.25">
      <c r="C259" t="inlineStr">
        <is>
          <t xml:space="preserve">Proceeds conserved through the cash flows: FEP inflows (rows 166–170) + developer inflows (rows 209–213) + sale costs = total proceeds G145</t>
        </is>
      </c>
      <c r="D259" t="s">
        <v>52</v>
      </c>
      <c r="G259" s="6" t="str">
        <f>IF(ABS(SUM(G166:G170)+SUM(G209:G213)+Inputs!$E$26-G145)&lt;Tender!$E$32,"OK","FAIL")</f>
        <v>OK</v>
      </c>
    </row>
    <row r="260" x14ac:dyDescent="0.25">
      <c r="C260" t="inlineStr">
        <is>
          <t xml:space="preserve">Developer's take through its cash flows (rows 212 + 213) = MAX(0, success fee + distributable × Inputs E34) – BORA_Devex V44 with the floor</t>
        </is>
      </c>
      <c r="D260" t="s">
        <v>52</v>
      </c>
      <c r="G260" s="6" t="str">
        <f>IF(ABS(G212+G213-MAX(0,G25+G152*Inputs!$E$34))&lt;Tender!$E$32,"OK","FAIL")</f>
        <v>OK</v>
      </c>
    </row>
    <row r="261" spans="3:68" x14ac:dyDescent="0.25">
      <c r="C261" t="s">
        <v>1879</v>
      </c>
      <c r="D261" t="s">
        <v>52</v>
      </c>
      <c r="G261" s="6" t="str">
        <f>IF(ABS(G18-Devex_FEP!$H$39)&lt;0.01,"OK","FAIL")</f>
        <v>OK</v>
      </c>
    </row>
    <row r="262" x14ac:dyDescent="0.25">
      <c r="C262" t="inlineStr">
        <is>
          <t xml:space="preserve">Success fee within cap (Inputs E37 × installed wind MW Inputs E29)</t>
        </is>
      </c>
      <c r="D262" t="s">
        <v>52</v>
      </c>
      <c r="G262" s="6" t="str">
        <f>IF(G25&lt;=Inputs!$E$37*Inputs!$E$29+Tender!$E$32,"OK","FAIL")</f>
        <v>OK</v>
      </c>
    </row>
    <row r="263" spans="3:68" x14ac:dyDescent="0.25">
      <c r="C263" t="s">
        <v>761</v>
      </c>
      <c r="D263" t="s">
        <v>52</v>
      </c>
      <c r="G263" s="6" t="str">
        <f>IF(Inputs!$E$57&lt;=BP4,"OK","FAIL")</f>
        <v>OK</v>
      </c>
    </row>
    <row r="264" spans="3:68" x14ac:dyDescent="0.25">
      <c r="C264" t="s">
        <v>762</v>
      </c>
      <c r="D264" t="s">
        <v>52</v>
      </c>
      <c r="G264" s="6" t="str">
        <f>IF(MAX(Deposits!L7:L18)&lt;=BP4,"OK","FAIL")</f>
        <v>OK</v>
      </c>
    </row>
    <row r="265" spans="3:68" x14ac:dyDescent="0.25">
      <c r="C265" t="s">
        <v>763</v>
      </c>
      <c r="D265" t="s">
        <v>52</v>
      </c>
      <c r="G265" s="6" t="str">
        <f>IF(AND(ISNUMBER(G186),ISNUMBER(G187),ISNUMBER(G182)),"OK","FAIL")</f>
        <v>OK</v>
      </c>
    </row>
    <row r="266" x14ac:dyDescent="0.25">
      <c r="C266" t="inlineStr">
        <is>
          <t xml:space="preserve">Sensitivity ties to live case at the live premium (n/a while the community purchase right is live – the sensitivity is before it)</t>
        </is>
      </c>
      <c r="D266" t="s">
        <v>52</v>
      </c>
      <c r="G266" s="6" t="str">
        <f>CHOOSE(1+($F$283&gt;0),IFERROR(IF(ABS(INDEX(H238:N238,MATCH(Inputs!$E$141,H225:N225,0))-G182)&lt;Tender!$E$32,"OK","FAIL"),"n/a – live premium not in sensitivity set"),"n/a – community on")</f>
        <v>OK</v>
      </c>
    </row>
    <row r="267" spans="3:68" x14ac:dyDescent="0.25">
      <c r="C267" t="s">
        <v>765</v>
      </c>
      <c r="D267" t="s">
        <v>52</v>
      </c>
      <c r="G267" s="6" t="str">
        <f>IF(AND(Inputs!$E$6&gt;=1,Inputs!$E$6&lt;=10),"OK","FAIL")</f>
        <v>OK</v>
      </c>
    </row>
    <row r="268" x14ac:dyDescent="0.25">
      <c r="C268" t="s">
        <v>766</v>
      </c>
      <c r="D268" t="s">
        <v>52</v>
      </c>
      <c r="G268" s="6" t="str">
        <f>IF(ABS(G172-(G164+G171+SUM(G284:G286)))&lt;Tender!$E$32,"OK","FAIL")</f>
        <v>OK</v>
      </c>
    </row>
    <row r="269" x14ac:dyDescent="0.25">
      <c r="C269" t="inlineStr">
        <is>
          <t xml:space="preserve">Every claim deducted in full (G155 = 0; BORA_Devex – no priority, no floor)</t>
        </is>
      </c>
      <c r="D269" t="s">
        <v>52</v>
      </c>
      <c r="G269" s="6" t="str">
        <f>IF(ABS(G155)&lt;Tender!$E$32,"OK","FAIL")</f>
        <v>OK</v>
      </c>
    </row>
    <row r="270" x14ac:dyDescent="0.25">
      <c r="C270" s="6" t="inlineStr">
        <is>
          <t xml:space="preserve">OVERALL STATUS (rows 254–269 and the Tender checks in row 271; no WARNING state since round 5 – the economic outcome is an info line: MOIC G156, HTM G380, Run_Map row 54)</t>
        </is>
      </c>
      <c r="D270" s="6"/>
      <c r="E270" s="6"/>
      <c r="F270" s="6"/>
      <c r="G270" s="6" t="str">
        <f>IF(COUNTIF(G254:G269,"FAIL")+(G271&lt;&gt;"OK")&gt;0,"CHECK FAILURES: "&amp;COUNTIF(G254:G269,"FAIL")+(G271&lt;&gt;"OK"),"ALL OK")</f>
        <v>ALL OK</v>
      </c>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row>
    <row r="271">
      <c r="C271" t="inlineStr">
        <is>
          <t xml:space="preserve">Tender checks – overall (Tender E343: links, clipping, price effects, scores) – counted in G270</t>
        </is>
      </c>
      <c r="G271" s="6" t="str">
        <f>Tender!$E$343</f>
        <v>OK</v>
      </c>
    </row>
    <row r="273">
      <c r="C273" s="43" t="inlineStr">
        <is>
          <t xml:space="preserve">15. Interest pause (Inputs E64 → E73, user 09-Oct-26) – the devex / land multiples are computed per line on Devex_FEP M:T (payment date, two segments, BORA Devex convention); row 279 = COD route</t>
        </is>
      </c>
    </row>
    <row r="279">
      <c r="C279" t="inlineStr">
        <is>
          <t xml:space="preserve">Multiple on devex / land principal to the COD sale – principal-weighted Devex_FEP T of the month's lines (MAX(20 % growth excl. the pause, 2×))</t>
        </is>
      </c>
      <c r="D279" t="inlineStr">
        <is>
          <t xml:space="preserve">x</t>
        </is>
      </c>
      <c r="H279" s="3">
        <f>IFERROR(SUMPRODUCT((Devex_FEP!$I$5:$I$38=H$4)*Devex_FEP!$M$5:$M$38*Devex_FEP!$T$5:$T$38)/SUMPRODUCT((Devex_FEP!$I$5:$I$38=H$4)*Devex_FEP!$M$5:$M$38),$E$131)</f>
        <v>2</v>
      </c>
      <c r="I279" s="3">
        <f>IFERROR(SUMPRODUCT((Devex_FEP!$I$5:$I$38=I$4)*Devex_FEP!$M$5:$M$38*Devex_FEP!$T$5:$T$38)/SUMPRODUCT((Devex_FEP!$I$5:$I$38=I$4)*Devex_FEP!$M$5:$M$38),$E$131)</f>
        <v>2</v>
      </c>
      <c r="J279" s="3">
        <f>IFERROR(SUMPRODUCT((Devex_FEP!$I$5:$I$38=J$4)*Devex_FEP!$M$5:$M$38*Devex_FEP!$T$5:$T$38)/SUMPRODUCT((Devex_FEP!$I$5:$I$38=J$4)*Devex_FEP!$M$5:$M$38),$E$131)</f>
        <v>2</v>
      </c>
      <c r="K279" s="3">
        <f>IFERROR(SUMPRODUCT((Devex_FEP!$I$5:$I$38=K$4)*Devex_FEP!$M$5:$M$38*Devex_FEP!$T$5:$T$38)/SUMPRODUCT((Devex_FEP!$I$5:$I$38=K$4)*Devex_FEP!$M$5:$M$38),$E$131)</f>
        <v>2.2935787550981885</v>
      </c>
      <c r="L279" s="3">
        <f>IFERROR(SUMPRODUCT((Devex_FEP!$I$5:$I$38=L$4)*Devex_FEP!$M$5:$M$38*Devex_FEP!$T$5:$T$38)/SUMPRODUCT((Devex_FEP!$I$5:$I$38=L$4)*Devex_FEP!$M$5:$M$38),$E$131)</f>
        <v>2</v>
      </c>
      <c r="M279" s="3">
        <f>IFERROR(SUMPRODUCT((Devex_FEP!$I$5:$I$38=M$4)*Devex_FEP!$M$5:$M$38*Devex_FEP!$T$5:$T$38)/SUMPRODUCT((Devex_FEP!$I$5:$I$38=M$4)*Devex_FEP!$M$5:$M$38),$E$131)</f>
        <v>2</v>
      </c>
      <c r="N279" s="3">
        <f>IFERROR(SUMPRODUCT((Devex_FEP!$I$5:$I$38=N$4)*Devex_FEP!$M$5:$M$38*Devex_FEP!$T$5:$T$38)/SUMPRODUCT((Devex_FEP!$I$5:$I$38=N$4)*Devex_FEP!$M$5:$M$38),$E$131)</f>
        <v>2.183506117920811</v>
      </c>
      <c r="O279" s="3">
        <f>IFERROR(SUMPRODUCT((Devex_FEP!$I$5:$I$38=O$4)*Devex_FEP!$M$5:$M$38*Devex_FEP!$T$5:$T$38)/SUMPRODUCT((Devex_FEP!$I$5:$I$38=O$4)*Devex_FEP!$M$5:$M$38),$E$131)</f>
        <v>2.1406336233680276</v>
      </c>
      <c r="P279" s="3">
        <f>IFERROR(SUMPRODUCT((Devex_FEP!$I$5:$I$38=P$4)*Devex_FEP!$M$5:$M$38*Devex_FEP!$T$5:$T$38)/SUMPRODUCT((Devex_FEP!$I$5:$I$38=P$4)*Devex_FEP!$M$5:$M$38),$E$131)</f>
        <v>2.124681067255364</v>
      </c>
      <c r="Q279" s="3">
        <f>IFERROR(SUMPRODUCT((Devex_FEP!$I$5:$I$38=Q$4)*Devex_FEP!$M$5:$M$38*Devex_FEP!$T$5:$T$38)/SUMPRODUCT((Devex_FEP!$I$5:$I$38=Q$4)*Devex_FEP!$M$5:$M$38),$E$131)</f>
        <v>2</v>
      </c>
      <c r="R279" s="3">
        <f>IFERROR(SUMPRODUCT((Devex_FEP!$I$5:$I$38=R$4)*Devex_FEP!$M$5:$M$38*Devex_FEP!$T$5:$T$38)/SUMPRODUCT((Devex_FEP!$I$5:$I$38=R$4)*Devex_FEP!$M$5:$M$38),$E$131)</f>
        <v>2</v>
      </c>
      <c r="S279" s="3">
        <f>IFERROR(SUMPRODUCT((Devex_FEP!$I$5:$I$38=S$4)*Devex_FEP!$M$5:$M$38*Devex_FEP!$T$5:$T$38)/SUMPRODUCT((Devex_FEP!$I$5:$I$38=S$4)*Devex_FEP!$M$5:$M$38),$E$131)</f>
        <v>2.00603393116743</v>
      </c>
      <c r="T279" s="3">
        <f>IFERROR(SUMPRODUCT((Devex_FEP!$I$5:$I$38=T$4)*Devex_FEP!$M$5:$M$38*Devex_FEP!$T$5:$T$38)/SUMPRODUCT((Devex_FEP!$I$5:$I$38=T$4)*Devex_FEP!$M$5:$M$38),$E$131)</f>
        <v>2</v>
      </c>
      <c r="U279" s="3">
        <f>IFERROR(SUMPRODUCT((Devex_FEP!$I$5:$I$38=U$4)*Devex_FEP!$M$5:$M$38*Devex_FEP!$T$5:$T$38)/SUMPRODUCT((Devex_FEP!$I$5:$I$38=U$4)*Devex_FEP!$M$5:$M$38),$E$131)</f>
        <v>2</v>
      </c>
      <c r="V279" s="3">
        <f>IFERROR(SUMPRODUCT((Devex_FEP!$I$5:$I$38=V$4)*Devex_FEP!$M$5:$M$38*Devex_FEP!$T$5:$T$38)/SUMPRODUCT((Devex_FEP!$I$5:$I$38=V$4)*Devex_FEP!$M$5:$M$38),$E$131)</f>
        <v>2</v>
      </c>
      <c r="W279" s="3">
        <f>IFERROR(SUMPRODUCT((Devex_FEP!$I$5:$I$38=W$4)*Devex_FEP!$M$5:$M$38*Devex_FEP!$T$5:$T$38)/SUMPRODUCT((Devex_FEP!$I$5:$I$38=W$4)*Devex_FEP!$M$5:$M$38),$E$131)</f>
        <v>2</v>
      </c>
      <c r="X279" s="3">
        <f>IFERROR(SUMPRODUCT((Devex_FEP!$I$5:$I$38=X$4)*Devex_FEP!$M$5:$M$38*Devex_FEP!$T$5:$T$38)/SUMPRODUCT((Devex_FEP!$I$5:$I$38=X$4)*Devex_FEP!$M$5:$M$38),$E$131)</f>
        <v>2</v>
      </c>
      <c r="Y279" s="3">
        <f>IFERROR(SUMPRODUCT((Devex_FEP!$I$5:$I$38=Y$4)*Devex_FEP!$M$5:$M$38*Devex_FEP!$T$5:$T$38)/SUMPRODUCT((Devex_FEP!$I$5:$I$38=Y$4)*Devex_FEP!$M$5:$M$38),$E$131)</f>
        <v>2</v>
      </c>
      <c r="Z279" s="3">
        <f>IFERROR(SUMPRODUCT((Devex_FEP!$I$5:$I$38=Z$4)*Devex_FEP!$M$5:$M$38*Devex_FEP!$T$5:$T$38)/SUMPRODUCT((Devex_FEP!$I$5:$I$38=Z$4)*Devex_FEP!$M$5:$M$38),$E$131)</f>
        <v>2</v>
      </c>
      <c r="AA279" s="3">
        <f>IFERROR(SUMPRODUCT((Devex_FEP!$I$5:$I$38=AA$4)*Devex_FEP!$M$5:$M$38*Devex_FEP!$T$5:$T$38)/SUMPRODUCT((Devex_FEP!$I$5:$I$38=AA$4)*Devex_FEP!$M$5:$M$38),$E$131)</f>
        <v>2</v>
      </c>
      <c r="AB279" s="3">
        <f>IFERROR(SUMPRODUCT((Devex_FEP!$I$5:$I$38=AB$4)*Devex_FEP!$M$5:$M$38*Devex_FEP!$T$5:$T$38)/SUMPRODUCT((Devex_FEP!$I$5:$I$38=AB$4)*Devex_FEP!$M$5:$M$38),$E$131)</f>
        <v>2</v>
      </c>
      <c r="AC279" s="3">
        <f>IFERROR(SUMPRODUCT((Devex_FEP!$I$5:$I$38=AC$4)*Devex_FEP!$M$5:$M$38*Devex_FEP!$T$5:$T$38)/SUMPRODUCT((Devex_FEP!$I$5:$I$38=AC$4)*Devex_FEP!$M$5:$M$38),$E$131)</f>
        <v>2</v>
      </c>
      <c r="AD279" s="3">
        <f>IFERROR(SUMPRODUCT((Devex_FEP!$I$5:$I$38=AD$4)*Devex_FEP!$M$5:$M$38*Devex_FEP!$T$5:$T$38)/SUMPRODUCT((Devex_FEP!$I$5:$I$38=AD$4)*Devex_FEP!$M$5:$M$38),$E$131)</f>
        <v>2</v>
      </c>
      <c r="AE279" s="3">
        <f>IFERROR(SUMPRODUCT((Devex_FEP!$I$5:$I$38=AE$4)*Devex_FEP!$M$5:$M$38*Devex_FEP!$T$5:$T$38)/SUMPRODUCT((Devex_FEP!$I$5:$I$38=AE$4)*Devex_FEP!$M$5:$M$38),$E$131)</f>
        <v>2</v>
      </c>
      <c r="AF279" s="3">
        <f>IFERROR(SUMPRODUCT((Devex_FEP!$I$5:$I$38=AF$4)*Devex_FEP!$M$5:$M$38*Devex_FEP!$T$5:$T$38)/SUMPRODUCT((Devex_FEP!$I$5:$I$38=AF$4)*Devex_FEP!$M$5:$M$38),$E$131)</f>
        <v>2</v>
      </c>
      <c r="AG279" s="3">
        <f>IFERROR(SUMPRODUCT((Devex_FEP!$I$5:$I$38=AG$4)*Devex_FEP!$M$5:$M$38*Devex_FEP!$T$5:$T$38)/SUMPRODUCT((Devex_FEP!$I$5:$I$38=AG$4)*Devex_FEP!$M$5:$M$38),$E$131)</f>
        <v>2</v>
      </c>
      <c r="AH279" s="3">
        <f>IFERROR(SUMPRODUCT((Devex_FEP!$I$5:$I$38=AH$4)*Devex_FEP!$M$5:$M$38*Devex_FEP!$T$5:$T$38)/SUMPRODUCT((Devex_FEP!$I$5:$I$38=AH$4)*Devex_FEP!$M$5:$M$38),$E$131)</f>
        <v>2</v>
      </c>
      <c r="AI279" s="3">
        <f>IFERROR(SUMPRODUCT((Devex_FEP!$I$5:$I$38=AI$4)*Devex_FEP!$M$5:$M$38*Devex_FEP!$T$5:$T$38)/SUMPRODUCT((Devex_FEP!$I$5:$I$38=AI$4)*Devex_FEP!$M$5:$M$38),$E$131)</f>
        <v>2</v>
      </c>
      <c r="AJ279" s="3">
        <f>IFERROR(SUMPRODUCT((Devex_FEP!$I$5:$I$38=AJ$4)*Devex_FEP!$M$5:$M$38*Devex_FEP!$T$5:$T$38)/SUMPRODUCT((Devex_FEP!$I$5:$I$38=AJ$4)*Devex_FEP!$M$5:$M$38),$E$131)</f>
        <v>2</v>
      </c>
      <c r="AK279" s="3">
        <f>IFERROR(SUMPRODUCT((Devex_FEP!$I$5:$I$38=AK$4)*Devex_FEP!$M$5:$M$38*Devex_FEP!$T$5:$T$38)/SUMPRODUCT((Devex_FEP!$I$5:$I$38=AK$4)*Devex_FEP!$M$5:$M$38),$E$131)</f>
        <v>2</v>
      </c>
      <c r="AL279" s="3">
        <f>IFERROR(SUMPRODUCT((Devex_FEP!$I$5:$I$38=AL$4)*Devex_FEP!$M$5:$M$38*Devex_FEP!$T$5:$T$38)/SUMPRODUCT((Devex_FEP!$I$5:$I$38=AL$4)*Devex_FEP!$M$5:$M$38),$E$131)</f>
        <v>2</v>
      </c>
      <c r="AM279" s="3">
        <f>IFERROR(SUMPRODUCT((Devex_FEP!$I$5:$I$38=AM$4)*Devex_FEP!$M$5:$M$38*Devex_FEP!$T$5:$T$38)/SUMPRODUCT((Devex_FEP!$I$5:$I$38=AM$4)*Devex_FEP!$M$5:$M$38),$E$131)</f>
        <v>2</v>
      </c>
      <c r="AN279" s="3">
        <f>IFERROR(SUMPRODUCT((Devex_FEP!$I$5:$I$38=AN$4)*Devex_FEP!$M$5:$M$38*Devex_FEP!$T$5:$T$38)/SUMPRODUCT((Devex_FEP!$I$5:$I$38=AN$4)*Devex_FEP!$M$5:$M$38),$E$131)</f>
        <v>2</v>
      </c>
      <c r="AO279" s="3">
        <f>IFERROR(SUMPRODUCT((Devex_FEP!$I$5:$I$38=AO$4)*Devex_FEP!$M$5:$M$38*Devex_FEP!$T$5:$T$38)/SUMPRODUCT((Devex_FEP!$I$5:$I$38=AO$4)*Devex_FEP!$M$5:$M$38),$E$131)</f>
        <v>2</v>
      </c>
      <c r="AP279" s="3">
        <f>IFERROR(SUMPRODUCT((Devex_FEP!$I$5:$I$38=AP$4)*Devex_FEP!$M$5:$M$38*Devex_FEP!$T$5:$T$38)/SUMPRODUCT((Devex_FEP!$I$5:$I$38=AP$4)*Devex_FEP!$M$5:$M$38),$E$131)</f>
        <v>2</v>
      </c>
      <c r="AQ279" s="3">
        <f>IFERROR(SUMPRODUCT((Devex_FEP!$I$5:$I$38=AQ$4)*Devex_FEP!$M$5:$M$38*Devex_FEP!$T$5:$T$38)/SUMPRODUCT((Devex_FEP!$I$5:$I$38=AQ$4)*Devex_FEP!$M$5:$M$38),$E$131)</f>
        <v>2</v>
      </c>
      <c r="AR279" s="3">
        <f>IFERROR(SUMPRODUCT((Devex_FEP!$I$5:$I$38=AR$4)*Devex_FEP!$M$5:$M$38*Devex_FEP!$T$5:$T$38)/SUMPRODUCT((Devex_FEP!$I$5:$I$38=AR$4)*Devex_FEP!$M$5:$M$38),$E$131)</f>
        <v>2</v>
      </c>
      <c r="AS279" s="3">
        <f>IFERROR(SUMPRODUCT((Devex_FEP!$I$5:$I$38=AS$4)*Devex_FEP!$M$5:$M$38*Devex_FEP!$T$5:$T$38)/SUMPRODUCT((Devex_FEP!$I$5:$I$38=AS$4)*Devex_FEP!$M$5:$M$38),$E$131)</f>
        <v>2</v>
      </c>
      <c r="AT279" s="3">
        <f>IFERROR(SUMPRODUCT((Devex_FEP!$I$5:$I$38=AT$4)*Devex_FEP!$M$5:$M$38*Devex_FEP!$T$5:$T$38)/SUMPRODUCT((Devex_FEP!$I$5:$I$38=AT$4)*Devex_FEP!$M$5:$M$38),$E$131)</f>
        <v>2</v>
      </c>
      <c r="AU279" s="3">
        <f>IFERROR(SUMPRODUCT((Devex_FEP!$I$5:$I$38=AU$4)*Devex_FEP!$M$5:$M$38*Devex_FEP!$T$5:$T$38)/SUMPRODUCT((Devex_FEP!$I$5:$I$38=AU$4)*Devex_FEP!$M$5:$M$38),$E$131)</f>
        <v>2</v>
      </c>
      <c r="AV279" s="3">
        <f>IFERROR(SUMPRODUCT((Devex_FEP!$I$5:$I$38=AV$4)*Devex_FEP!$M$5:$M$38*Devex_FEP!$T$5:$T$38)/SUMPRODUCT((Devex_FEP!$I$5:$I$38=AV$4)*Devex_FEP!$M$5:$M$38),$E$131)</f>
        <v>2</v>
      </c>
      <c r="AW279" s="3">
        <f>IFERROR(SUMPRODUCT((Devex_FEP!$I$5:$I$38=AW$4)*Devex_FEP!$M$5:$M$38*Devex_FEP!$T$5:$T$38)/SUMPRODUCT((Devex_FEP!$I$5:$I$38=AW$4)*Devex_FEP!$M$5:$M$38),$E$131)</f>
        <v>2</v>
      </c>
      <c r="AX279" s="3">
        <f>IFERROR(SUMPRODUCT((Devex_FEP!$I$5:$I$38=AX$4)*Devex_FEP!$M$5:$M$38*Devex_FEP!$T$5:$T$38)/SUMPRODUCT((Devex_FEP!$I$5:$I$38=AX$4)*Devex_FEP!$M$5:$M$38),$E$131)</f>
        <v>2</v>
      </c>
      <c r="AY279" s="3">
        <f>IFERROR(SUMPRODUCT((Devex_FEP!$I$5:$I$38=AY$4)*Devex_FEP!$M$5:$M$38*Devex_FEP!$T$5:$T$38)/SUMPRODUCT((Devex_FEP!$I$5:$I$38=AY$4)*Devex_FEP!$M$5:$M$38),$E$131)</f>
        <v>2</v>
      </c>
      <c r="AZ279" s="3">
        <f>IFERROR(SUMPRODUCT((Devex_FEP!$I$5:$I$38=AZ$4)*Devex_FEP!$M$5:$M$38*Devex_FEP!$T$5:$T$38)/SUMPRODUCT((Devex_FEP!$I$5:$I$38=AZ$4)*Devex_FEP!$M$5:$M$38),$E$131)</f>
        <v>2</v>
      </c>
      <c r="BA279" s="3">
        <f>IFERROR(SUMPRODUCT((Devex_FEP!$I$5:$I$38=BA$4)*Devex_FEP!$M$5:$M$38*Devex_FEP!$T$5:$T$38)/SUMPRODUCT((Devex_FEP!$I$5:$I$38=BA$4)*Devex_FEP!$M$5:$M$38),$E$131)</f>
        <v>2</v>
      </c>
      <c r="BB279" s="3">
        <f>IFERROR(SUMPRODUCT((Devex_FEP!$I$5:$I$38=BB$4)*Devex_FEP!$M$5:$M$38*Devex_FEP!$T$5:$T$38)/SUMPRODUCT((Devex_FEP!$I$5:$I$38=BB$4)*Devex_FEP!$M$5:$M$38),$E$131)</f>
        <v>2</v>
      </c>
      <c r="BC279" s="3">
        <f>IFERROR(SUMPRODUCT((Devex_FEP!$I$5:$I$38=BC$4)*Devex_FEP!$M$5:$M$38*Devex_FEP!$T$5:$T$38)/SUMPRODUCT((Devex_FEP!$I$5:$I$38=BC$4)*Devex_FEP!$M$5:$M$38),$E$131)</f>
        <v>2</v>
      </c>
      <c r="BD279" s="3">
        <f>IFERROR(SUMPRODUCT((Devex_FEP!$I$5:$I$38=BD$4)*Devex_FEP!$M$5:$M$38*Devex_FEP!$T$5:$T$38)/SUMPRODUCT((Devex_FEP!$I$5:$I$38=BD$4)*Devex_FEP!$M$5:$M$38),$E$131)</f>
        <v>2</v>
      </c>
      <c r="BE279" s="3">
        <f>IFERROR(SUMPRODUCT((Devex_FEP!$I$5:$I$38=BE$4)*Devex_FEP!$M$5:$M$38*Devex_FEP!$T$5:$T$38)/SUMPRODUCT((Devex_FEP!$I$5:$I$38=BE$4)*Devex_FEP!$M$5:$M$38),$E$131)</f>
        <v>2</v>
      </c>
      <c r="BF279" s="3">
        <f>IFERROR(SUMPRODUCT((Devex_FEP!$I$5:$I$38=BF$4)*Devex_FEP!$M$5:$M$38*Devex_FEP!$T$5:$T$38)/SUMPRODUCT((Devex_FEP!$I$5:$I$38=BF$4)*Devex_FEP!$M$5:$M$38),$E$131)</f>
        <v>2</v>
      </c>
      <c r="BG279" s="3">
        <f>IFERROR(SUMPRODUCT((Devex_FEP!$I$5:$I$38=BG$4)*Devex_FEP!$M$5:$M$38*Devex_FEP!$T$5:$T$38)/SUMPRODUCT((Devex_FEP!$I$5:$I$38=BG$4)*Devex_FEP!$M$5:$M$38),$E$131)</f>
        <v>2</v>
      </c>
      <c r="BH279" s="3">
        <f>IFERROR(SUMPRODUCT((Devex_FEP!$I$5:$I$38=BH$4)*Devex_FEP!$M$5:$M$38*Devex_FEP!$T$5:$T$38)/SUMPRODUCT((Devex_FEP!$I$5:$I$38=BH$4)*Devex_FEP!$M$5:$M$38),$E$131)</f>
        <v>2</v>
      </c>
      <c r="BI279" s="3">
        <f>IFERROR(SUMPRODUCT((Devex_FEP!$I$5:$I$38=BI$4)*Devex_FEP!$M$5:$M$38*Devex_FEP!$T$5:$T$38)/SUMPRODUCT((Devex_FEP!$I$5:$I$38=BI$4)*Devex_FEP!$M$5:$M$38),$E$131)</f>
        <v>2</v>
      </c>
      <c r="BJ279" s="3">
        <f>IFERROR(SUMPRODUCT((Devex_FEP!$I$5:$I$38=BJ$4)*Devex_FEP!$M$5:$M$38*Devex_FEP!$T$5:$T$38)/SUMPRODUCT((Devex_FEP!$I$5:$I$38=BJ$4)*Devex_FEP!$M$5:$M$38),$E$131)</f>
        <v>2</v>
      </c>
      <c r="BK279" s="3">
        <f>IFERROR(SUMPRODUCT((Devex_FEP!$I$5:$I$38=BK$4)*Devex_FEP!$M$5:$M$38*Devex_FEP!$T$5:$T$38)/SUMPRODUCT((Devex_FEP!$I$5:$I$38=BK$4)*Devex_FEP!$M$5:$M$38),$E$131)</f>
        <v>2</v>
      </c>
      <c r="BL279" s="3">
        <f>IFERROR(SUMPRODUCT((Devex_FEP!$I$5:$I$38=BL$4)*Devex_FEP!$M$5:$M$38*Devex_FEP!$T$5:$T$38)/SUMPRODUCT((Devex_FEP!$I$5:$I$38=BL$4)*Devex_FEP!$M$5:$M$38),$E$131)</f>
        <v>2</v>
      </c>
      <c r="BM279" s="3">
        <f>IFERROR(SUMPRODUCT((Devex_FEP!$I$5:$I$38=BM$4)*Devex_FEP!$M$5:$M$38*Devex_FEP!$T$5:$T$38)/SUMPRODUCT((Devex_FEP!$I$5:$I$38=BM$4)*Devex_FEP!$M$5:$M$38),$E$131)</f>
        <v>2</v>
      </c>
      <c r="BN279" s="3">
        <f>IFERROR(SUMPRODUCT((Devex_FEP!$I$5:$I$38=BN$4)*Devex_FEP!$M$5:$M$38*Devex_FEP!$T$5:$T$38)/SUMPRODUCT((Devex_FEP!$I$5:$I$38=BN$4)*Devex_FEP!$M$5:$M$38),$E$131)</f>
        <v>2</v>
      </c>
      <c r="BO279" s="3">
        <f>IFERROR(SUMPRODUCT((Devex_FEP!$I$5:$I$38=BO$4)*Devex_FEP!$M$5:$M$38*Devex_FEP!$T$5:$T$38)/SUMPRODUCT((Devex_FEP!$I$5:$I$38=BO$4)*Devex_FEP!$M$5:$M$38),$E$131)</f>
        <v>2</v>
      </c>
      <c r="BP279" s="3">
        <f>IFERROR(SUMPRODUCT((Devex_FEP!$I$5:$I$38=BP$4)*Devex_FEP!$M$5:$M$38*Devex_FEP!$T$5:$T$38)/SUMPRODUCT((Devex_FEP!$I$5:$I$38=BP$4)*Devex_FEP!$M$5:$M$38),$E$131)</f>
        <v>2</v>
      </c>
    </row>
    <row r="280">
      <c r="C280" t="inlineStr">
        <is>
          <t xml:space="preserve">Return on devex / land principal to the COD sale (COD route, HTM G367) – as G131 with row 279</t>
        </is>
      </c>
      <c r="D280" t="inlineStr">
        <is>
          <t xml:space="preserve">k€</t>
        </is>
      </c>
      <c r="G280" s="1">
        <f>SUMPRODUCT((H125:BP125+H135:BP135)*(H279:BP279-1)*(H$5:BP$5&lt;=Inputs!$E$155))</f>
        <v>3216.708633896133</v>
      </c>
    </row>
    <row r="282">
      <c r="C282" s="43" t="inlineStr">
        <is>
          <t xml:space="preserve">16. Community purchase right (Tender section 9; kiírás VII.18–25) – default off. E283 = exercise month, F283 = live share if exercised by the RtB sale (Inputs E57)</t>
        </is>
      </c>
    </row>
    <row r="283">
      <c r="C283" t="inlineStr">
        <is>
          <t xml:space="preserve">Community share of FEP's flows (months after the exercise month)</t>
        </is>
      </c>
      <c r="D283" t="inlineStr">
        <is>
          <t xml:space="preserve">x</t>
        </is>
      </c>
      <c r="E283" s="3">
        <f>Tender!$E$365</f>
        <v>29</v>
      </c>
      <c r="F283" s="31">
        <f>Tender!$E$364*($E$283&lt;=Inputs!$E$57)*($E$283&gt;=0)</f>
        <v>0</v>
      </c>
      <c r="H283" s="3">
        <f>$F$283*(H$4&gt;$E$283)</f>
        <v>0</v>
      </c>
      <c r="I283" s="3">
        <f>$F$283*(I$4&gt;$E$283)</f>
        <v>0</v>
      </c>
      <c r="J283" s="3">
        <f>$F$283*(J$4&gt;$E$283)</f>
        <v>0</v>
      </c>
      <c r="K283" s="3">
        <f>$F$283*(K$4&gt;$E$283)</f>
        <v>0</v>
      </c>
      <c r="L283" s="3">
        <f>$F$283*(L$4&gt;$E$283)</f>
        <v>0</v>
      </c>
      <c r="M283" s="3">
        <f>$F$283*(M$4&gt;$E$283)</f>
        <v>0</v>
      </c>
      <c r="N283" s="3">
        <f>$F$283*(N$4&gt;$E$283)</f>
        <v>0</v>
      </c>
      <c r="O283" s="3">
        <f>$F$283*(O$4&gt;$E$283)</f>
        <v>0</v>
      </c>
      <c r="P283" s="3">
        <f>$F$283*(P$4&gt;$E$283)</f>
        <v>0</v>
      </c>
      <c r="Q283" s="3">
        <f>$F$283*(Q$4&gt;$E$283)</f>
        <v>0</v>
      </c>
      <c r="R283" s="3">
        <f>$F$283*(R$4&gt;$E$283)</f>
        <v>0</v>
      </c>
      <c r="S283" s="3">
        <f>$F$283*(S$4&gt;$E$283)</f>
        <v>0</v>
      </c>
      <c r="T283" s="3">
        <f>$F$283*(T$4&gt;$E$283)</f>
        <v>0</v>
      </c>
      <c r="U283" s="3">
        <f>$F$283*(U$4&gt;$E$283)</f>
        <v>0</v>
      </c>
      <c r="V283" s="3">
        <f>$F$283*(V$4&gt;$E$283)</f>
        <v>0</v>
      </c>
      <c r="W283" s="3">
        <f>$F$283*(W$4&gt;$E$283)</f>
        <v>0</v>
      </c>
      <c r="X283" s="3">
        <f>$F$283*(X$4&gt;$E$283)</f>
        <v>0</v>
      </c>
      <c r="Y283" s="3">
        <f>$F$283*(Y$4&gt;$E$283)</f>
        <v>0</v>
      </c>
      <c r="Z283" s="3">
        <f>$F$283*(Z$4&gt;$E$283)</f>
        <v>0</v>
      </c>
      <c r="AA283" s="3">
        <f>$F$283*(AA$4&gt;$E$283)</f>
        <v>0</v>
      </c>
      <c r="AB283" s="3">
        <f>$F$283*(AB$4&gt;$E$283)</f>
        <v>0</v>
      </c>
      <c r="AC283" s="3">
        <f>$F$283*(AC$4&gt;$E$283)</f>
        <v>0</v>
      </c>
      <c r="AD283" s="3">
        <f>$F$283*(AD$4&gt;$E$283)</f>
        <v>0</v>
      </c>
      <c r="AE283" s="3">
        <f>$F$283*(AE$4&gt;$E$283)</f>
        <v>0</v>
      </c>
      <c r="AF283" s="3">
        <f>$F$283*(AF$4&gt;$E$283)</f>
        <v>0</v>
      </c>
      <c r="AG283" s="3">
        <f>$F$283*(AG$4&gt;$E$283)</f>
        <v>0</v>
      </c>
      <c r="AH283" s="3">
        <f>$F$283*(AH$4&gt;$E$283)</f>
        <v>0</v>
      </c>
      <c r="AI283" s="3">
        <f>$F$283*(AI$4&gt;$E$283)</f>
        <v>0</v>
      </c>
      <c r="AJ283" s="3">
        <f>$F$283*(AJ$4&gt;$E$283)</f>
        <v>0</v>
      </c>
      <c r="AK283" s="3">
        <f>$F$283*(AK$4&gt;$E$283)</f>
        <v>0</v>
      </c>
      <c r="AL283" s="3">
        <f>$F$283*(AL$4&gt;$E$283)</f>
        <v>0</v>
      </c>
      <c r="AM283" s="3">
        <f>$F$283*(AM$4&gt;$E$283)</f>
        <v>0</v>
      </c>
      <c r="AN283" s="3">
        <f>$F$283*(AN$4&gt;$E$283)</f>
        <v>0</v>
      </c>
      <c r="AO283" s="3">
        <f>$F$283*(AO$4&gt;$E$283)</f>
        <v>0</v>
      </c>
      <c r="AP283" s="3">
        <f>$F$283*(AP$4&gt;$E$283)</f>
        <v>0</v>
      </c>
      <c r="AQ283" s="3">
        <f>$F$283*(AQ$4&gt;$E$283)</f>
        <v>0</v>
      </c>
      <c r="AR283" s="3">
        <f>$F$283*(AR$4&gt;$E$283)</f>
        <v>0</v>
      </c>
      <c r="AS283" s="3">
        <f>$F$283*(AS$4&gt;$E$283)</f>
        <v>0</v>
      </c>
      <c r="AT283" s="3">
        <f>$F$283*(AT$4&gt;$E$283)</f>
        <v>0</v>
      </c>
      <c r="AU283" s="3">
        <f>$F$283*(AU$4&gt;$E$283)</f>
        <v>0</v>
      </c>
      <c r="AV283" s="3">
        <f>$F$283*(AV$4&gt;$E$283)</f>
        <v>0</v>
      </c>
      <c r="AW283" s="3">
        <f>$F$283*(AW$4&gt;$E$283)</f>
        <v>0</v>
      </c>
      <c r="AX283" s="3">
        <f>$F$283*(AX$4&gt;$E$283)</f>
        <v>0</v>
      </c>
      <c r="AY283" s="3">
        <f>$F$283*(AY$4&gt;$E$283)</f>
        <v>0</v>
      </c>
      <c r="AZ283" s="3">
        <f>$F$283*(AZ$4&gt;$E$283)</f>
        <v>0</v>
      </c>
      <c r="BA283" s="3">
        <f>$F$283*(BA$4&gt;$E$283)</f>
        <v>0</v>
      </c>
      <c r="BB283" s="3">
        <f>$F$283*(BB$4&gt;$E$283)</f>
        <v>0</v>
      </c>
      <c r="BC283" s="3">
        <f>$F$283*(BC$4&gt;$E$283)</f>
        <v>0</v>
      </c>
      <c r="BD283" s="3">
        <f>$F$283*(BD$4&gt;$E$283)</f>
        <v>0</v>
      </c>
      <c r="BE283" s="3">
        <f>$F$283*(BE$4&gt;$E$283)</f>
        <v>0</v>
      </c>
      <c r="BF283" s="3">
        <f>$F$283*(BF$4&gt;$E$283)</f>
        <v>0</v>
      </c>
      <c r="BG283" s="3">
        <f>$F$283*(BG$4&gt;$E$283)</f>
        <v>0</v>
      </c>
      <c r="BH283" s="3">
        <f>$F$283*(BH$4&gt;$E$283)</f>
        <v>0</v>
      </c>
      <c r="BI283" s="3">
        <f>$F$283*(BI$4&gt;$E$283)</f>
        <v>0</v>
      </c>
      <c r="BJ283" s="3">
        <f>$F$283*(BJ$4&gt;$E$283)</f>
        <v>0</v>
      </c>
      <c r="BK283" s="3">
        <f>$F$283*(BK$4&gt;$E$283)</f>
        <v>0</v>
      </c>
      <c r="BL283" s="3">
        <f>$F$283*(BL$4&gt;$E$283)</f>
        <v>0</v>
      </c>
      <c r="BM283" s="3">
        <f>$F$283*(BM$4&gt;$E$283)</f>
        <v>0</v>
      </c>
      <c r="BN283" s="3">
        <f>$F$283*(BN$4&gt;$E$283)</f>
        <v>0</v>
      </c>
      <c r="BO283" s="3">
        <f>$F$283*(BO$4&gt;$E$283)</f>
        <v>0</v>
      </c>
      <c r="BP283" s="3">
        <f>$F$283*(BP$4&gt;$E$283)</f>
        <v>0</v>
      </c>
    </row>
    <row r="284">
      <c r="C284" t="inlineStr">
        <is>
          <t xml:space="preserve">Buy-in at cost: share × FEP's paid-in capital to the exercise month (rows 164 + 171 excl. signing fee / DD rows 158–159)</t>
        </is>
      </c>
      <c r="D284" t="inlineStr">
        <is>
          <t xml:space="preserve">k€</t>
        </is>
      </c>
      <c r="G284" s="95">
        <f>SUM(H284:BP284)</f>
        <v>0</v>
      </c>
      <c r="H284" s="95">
        <f>$F$283*(H$4=$E$283)*-(SUM($H164:H164)+SUM($H171:H171)-SUM($H158:H159))</f>
        <v>-0</v>
      </c>
      <c r="I284" s="95">
        <f>$F$283*(I$4=$E$283)*-(SUM($H164:I164)+SUM($H171:I171)-SUM($H158:I159))</f>
        <v>-0</v>
      </c>
      <c r="J284" s="95">
        <f>$F$283*(J$4=$E$283)*-(SUM($H164:J164)+SUM($H171:J171)-SUM($H158:J159))</f>
        <v>-0</v>
      </c>
      <c r="K284" s="95">
        <f>$F$283*(K$4=$E$283)*-(SUM($H164:K164)+SUM($H171:K171)-SUM($H158:K159))</f>
        <v>0</v>
      </c>
      <c r="L284" s="95">
        <f>$F$283*(L$4=$E$283)*-(SUM($H164:L164)+SUM($H171:L171)-SUM($H158:L159))</f>
        <v>0</v>
      </c>
      <c r="M284" s="95">
        <f>$F$283*(M$4=$E$283)*-(SUM($H164:M164)+SUM($H171:M171)-SUM($H158:M159))</f>
        <v>0</v>
      </c>
      <c r="N284" s="95">
        <f>$F$283*(N$4=$E$283)*-(SUM($H164:N164)+SUM($H171:N171)-SUM($H158:N159))</f>
        <v>0</v>
      </c>
      <c r="O284" s="95">
        <f>$F$283*(O$4=$E$283)*-(SUM($H164:O164)+SUM($H171:O171)-SUM($H158:O159))</f>
        <v>0</v>
      </c>
      <c r="P284" s="95">
        <f>$F$283*(P$4=$E$283)*-(SUM($H164:P164)+SUM($H171:P171)-SUM($H158:P159))</f>
        <v>0</v>
      </c>
      <c r="Q284" s="95">
        <f>$F$283*(Q$4=$E$283)*-(SUM($H164:Q164)+SUM($H171:Q171)-SUM($H158:Q159))</f>
        <v>0</v>
      </c>
      <c r="R284" s="95">
        <f>$F$283*(R$4=$E$283)*-(SUM($H164:R164)+SUM($H171:R171)-SUM($H158:R159))</f>
        <v>0</v>
      </c>
      <c r="S284" s="95">
        <f>$F$283*(S$4=$E$283)*-(SUM($H164:S164)+SUM($H171:S171)-SUM($H158:S159))</f>
        <v>0</v>
      </c>
      <c r="T284" s="95">
        <f>$F$283*(T$4=$E$283)*-(SUM($H164:T164)+SUM($H171:T171)-SUM($H158:T159))</f>
        <v>0</v>
      </c>
      <c r="U284" s="95">
        <f>$F$283*(U$4=$E$283)*-(SUM($H164:U164)+SUM($H171:U171)-SUM($H158:U159))</f>
        <v>0</v>
      </c>
      <c r="V284" s="95">
        <f>$F$283*(V$4=$E$283)*-(SUM($H164:V164)+SUM($H171:V171)-SUM($H158:V159))</f>
        <v>0</v>
      </c>
      <c r="W284" s="95">
        <f>$F$283*(W$4=$E$283)*-(SUM($H164:W164)+SUM($H171:W171)-SUM($H158:W159))</f>
        <v>0</v>
      </c>
      <c r="X284" s="95">
        <f>$F$283*(X$4=$E$283)*-(SUM($H164:X164)+SUM($H171:X171)-SUM($H158:X159))</f>
        <v>0</v>
      </c>
      <c r="Y284" s="95">
        <f>$F$283*(Y$4=$E$283)*-(SUM($H164:Y164)+SUM($H171:Y171)-SUM($H158:Y159))</f>
        <v>0</v>
      </c>
      <c r="Z284" s="95">
        <f>$F$283*(Z$4=$E$283)*-(SUM($H164:Z164)+SUM($H171:Z171)-SUM($H158:Z159))</f>
        <v>0</v>
      </c>
      <c r="AA284" s="95">
        <f>$F$283*(AA$4=$E$283)*-(SUM($H164:AA164)+SUM($H171:AA171)-SUM($H158:AA159))</f>
        <v>0</v>
      </c>
      <c r="AB284" s="95">
        <f>$F$283*(AB$4=$E$283)*-(SUM($H164:AB164)+SUM($H171:AB171)-SUM($H158:AB159))</f>
        <v>0</v>
      </c>
      <c r="AC284" s="95">
        <f>$F$283*(AC$4=$E$283)*-(SUM($H164:AC164)+SUM($H171:AC171)-SUM($H158:AC159))</f>
        <v>0</v>
      </c>
      <c r="AD284" s="95">
        <f>$F$283*(AD$4=$E$283)*-(SUM($H164:AD164)+SUM($H171:AD171)-SUM($H158:AD159))</f>
        <v>0</v>
      </c>
      <c r="AE284" s="95">
        <f>$F$283*(AE$4=$E$283)*-(SUM($H164:AE164)+SUM($H171:AE171)-SUM($H158:AE159))</f>
        <v>0</v>
      </c>
      <c r="AF284" s="95">
        <f>$F$283*(AF$4=$E$283)*-(SUM($H164:AF164)+SUM($H171:AF171)-SUM($H158:AF159))</f>
        <v>0</v>
      </c>
      <c r="AG284" s="95">
        <f>$F$283*(AG$4=$E$283)*-(SUM($H164:AG164)+SUM($H171:AG171)-SUM($H158:AG159))</f>
        <v>0</v>
      </c>
      <c r="AH284" s="95">
        <f>$F$283*(AH$4=$E$283)*-(SUM($H164:AH164)+SUM($H171:AH171)-SUM($H158:AH159))</f>
        <v>0</v>
      </c>
      <c r="AI284" s="95">
        <f>$F$283*(AI$4=$E$283)*-(SUM($H164:AI164)+SUM($H171:AI171)-SUM($H158:AI159))</f>
        <v>0</v>
      </c>
      <c r="AJ284" s="95">
        <f>$F$283*(AJ$4=$E$283)*-(SUM($H164:AJ164)+SUM($H171:AJ171)-SUM($H158:AJ159))</f>
        <v>0</v>
      </c>
      <c r="AK284" s="95">
        <f>$F$283*(AK$4=$E$283)*-(SUM($H164:AK164)+SUM($H171:AK171)-SUM($H158:AK159))</f>
        <v>0</v>
      </c>
      <c r="AL284" s="95">
        <f>$F$283*(AL$4=$E$283)*-(SUM($H164:AL164)+SUM($H171:AL171)-SUM($H158:AL159))</f>
        <v>0</v>
      </c>
      <c r="AM284" s="95">
        <f>$F$283*(AM$4=$E$283)*-(SUM($H164:AM164)+SUM($H171:AM171)-SUM($H158:AM159))</f>
        <v>0</v>
      </c>
      <c r="AN284" s="95">
        <f>$F$283*(AN$4=$E$283)*-(SUM($H164:AN164)+SUM($H171:AN171)-SUM($H158:AN159))</f>
        <v>0</v>
      </c>
      <c r="AO284" s="95">
        <f>$F$283*(AO$4=$E$283)*-(SUM($H164:AO164)+SUM($H171:AO171)-SUM($H158:AO159))</f>
        <v>0</v>
      </c>
      <c r="AP284" s="95">
        <f>$F$283*(AP$4=$E$283)*-(SUM($H164:AP164)+SUM($H171:AP171)-SUM($H158:AP159))</f>
        <v>0</v>
      </c>
      <c r="AQ284" s="95">
        <f>$F$283*(AQ$4=$E$283)*-(SUM($H164:AQ164)+SUM($H171:AQ171)-SUM($H158:AQ159))</f>
        <v>0</v>
      </c>
      <c r="AR284" s="95">
        <f>$F$283*(AR$4=$E$283)*-(SUM($H164:AR164)+SUM($H171:AR171)-SUM($H158:AR159))</f>
        <v>0</v>
      </c>
      <c r="AS284" s="95">
        <f>$F$283*(AS$4=$E$283)*-(SUM($H164:AS164)+SUM($H171:AS171)-SUM($H158:AS159))</f>
        <v>0</v>
      </c>
      <c r="AT284" s="95">
        <f>$F$283*(AT$4=$E$283)*-(SUM($H164:AT164)+SUM($H171:AT171)-SUM($H158:AT159))</f>
        <v>0</v>
      </c>
      <c r="AU284" s="95">
        <f>$F$283*(AU$4=$E$283)*-(SUM($H164:AU164)+SUM($H171:AU171)-SUM($H158:AU159))</f>
        <v>0</v>
      </c>
      <c r="AV284" s="95">
        <f>$F$283*(AV$4=$E$283)*-(SUM($H164:AV164)+SUM($H171:AV171)-SUM($H158:AV159))</f>
        <v>0</v>
      </c>
      <c r="AW284" s="95">
        <f>$F$283*(AW$4=$E$283)*-(SUM($H164:AW164)+SUM($H171:AW171)-SUM($H158:AW159))</f>
        <v>0</v>
      </c>
      <c r="AX284" s="95">
        <f>$F$283*(AX$4=$E$283)*-(SUM($H164:AX164)+SUM($H171:AX171)-SUM($H158:AX159))</f>
        <v>0</v>
      </c>
      <c r="AY284" s="95">
        <f>$F$283*(AY$4=$E$283)*-(SUM($H164:AY164)+SUM($H171:AY171)-SUM($H158:AY159))</f>
        <v>0</v>
      </c>
      <c r="AZ284" s="95">
        <f>$F$283*(AZ$4=$E$283)*-(SUM($H164:AZ164)+SUM($H171:AZ171)-SUM($H158:AZ159))</f>
        <v>-0</v>
      </c>
      <c r="BA284" s="95">
        <f>$F$283*(BA$4=$E$283)*-(SUM($H164:BA164)+SUM($H171:BA171)-SUM($H158:BA159))</f>
        <v>-0</v>
      </c>
      <c r="BB284" s="95">
        <f>$F$283*(BB$4=$E$283)*-(SUM($H164:BB164)+SUM($H171:BB171)-SUM($H158:BB159))</f>
        <v>-0</v>
      </c>
      <c r="BC284" s="95">
        <f>$F$283*(BC$4=$E$283)*-(SUM($H164:BC164)+SUM($H171:BC171)-SUM($H158:BC159))</f>
        <v>-0</v>
      </c>
      <c r="BD284" s="95">
        <f>$F$283*(BD$4=$E$283)*-(SUM($H164:BD164)+SUM($H171:BD171)-SUM($H158:BD159))</f>
        <v>-0</v>
      </c>
      <c r="BE284" s="95">
        <f>$F$283*(BE$4=$E$283)*-(SUM($H164:BE164)+SUM($H171:BE171)-SUM($H158:BE159))</f>
        <v>-0</v>
      </c>
      <c r="BF284" s="95">
        <f>$F$283*(BF$4=$E$283)*-(SUM($H164:BF164)+SUM($H171:BF171)-SUM($H158:BF159))</f>
        <v>-0</v>
      </c>
      <c r="BG284" s="95">
        <f>$F$283*(BG$4=$E$283)*-(SUM($H164:BG164)+SUM($H171:BG171)-SUM($H158:BG159))</f>
        <v>-0</v>
      </c>
      <c r="BH284" s="95">
        <f>$F$283*(BH$4=$E$283)*-(SUM($H164:BH164)+SUM($H171:BH171)-SUM($H158:BH159))</f>
        <v>-0</v>
      </c>
      <c r="BI284" s="95">
        <f>$F$283*(BI$4=$E$283)*-(SUM($H164:BI164)+SUM($H171:BI171)-SUM($H158:BI159))</f>
        <v>-0</v>
      </c>
      <c r="BJ284" s="95">
        <f>$F$283*(BJ$4=$E$283)*-(SUM($H164:BJ164)+SUM($H171:BJ171)-SUM($H158:BJ159))</f>
        <v>-0</v>
      </c>
      <c r="BK284" s="95">
        <f>$F$283*(BK$4=$E$283)*-(SUM($H164:BK164)+SUM($H171:BK171)-SUM($H158:BK159))</f>
        <v>-0</v>
      </c>
      <c r="BL284" s="95">
        <f>$F$283*(BL$4=$E$283)*-(SUM($H164:BL164)+SUM($H171:BL171)-SUM($H158:BL159))</f>
        <v>-0</v>
      </c>
      <c r="BM284" s="95">
        <f>$F$283*(BM$4=$E$283)*-(SUM($H164:BM164)+SUM($H171:BM171)-SUM($H158:BM159))</f>
        <v>-0</v>
      </c>
      <c r="BN284" s="95">
        <f>$F$283*(BN$4=$E$283)*-(SUM($H164:BN164)+SUM($H171:BN171)-SUM($H158:BN159))</f>
        <v>-0</v>
      </c>
      <c r="BO284" s="95">
        <f>$F$283*(BO$4=$E$283)*-(SUM($H164:BO164)+SUM($H171:BO171)-SUM($H158:BO159))</f>
        <v>-0</v>
      </c>
      <c r="BP284" s="95">
        <f>$F$283*(BP$4=$E$283)*-(SUM($H164:BP164)+SUM($H171:BP171)-SUM($H158:BP159))</f>
        <v>-0</v>
      </c>
    </row>
    <row r="285">
      <c r="C285" t="inlineStr">
        <is>
          <t xml:space="preserve">Community share of FEP's outflows after the exercise (further capital, VII.25)</t>
        </is>
      </c>
      <c r="D285" t="inlineStr">
        <is>
          <t xml:space="preserve">k€</t>
        </is>
      </c>
      <c r="G285" s="95">
        <f>SUM(H285:BP285)</f>
        <v>0</v>
      </c>
      <c r="H285" s="95">
        <f>-H283*H164</f>
        <v>0</v>
      </c>
      <c r="I285" s="95">
        <f>-I283*I164</f>
        <v>-0</v>
      </c>
      <c r="J285" s="95">
        <f>-J283*J164</f>
        <v>-0</v>
      </c>
      <c r="K285" s="95">
        <f>-K283*K164</f>
        <v>0</v>
      </c>
      <c r="L285" s="95">
        <f>-L283*L164</f>
        <v>0</v>
      </c>
      <c r="M285" s="95">
        <f>-M283*M164</f>
        <v>0</v>
      </c>
      <c r="N285" s="95">
        <f>-N283*N164</f>
        <v>0</v>
      </c>
      <c r="O285" s="95">
        <f>-O283*O164</f>
        <v>0</v>
      </c>
      <c r="P285" s="95">
        <f>-P283*P164</f>
        <v>0</v>
      </c>
      <c r="Q285" s="95">
        <f>-Q283*Q164</f>
        <v>0</v>
      </c>
      <c r="R285" s="95">
        <f>-R283*R164</f>
        <v>0</v>
      </c>
      <c r="S285" s="95">
        <f>-S283*S164</f>
        <v>0</v>
      </c>
      <c r="T285" s="95">
        <f>-T283*T164</f>
        <v>0</v>
      </c>
      <c r="U285" s="95">
        <f>-U283*U164</f>
        <v>0</v>
      </c>
      <c r="V285" s="95">
        <f>-V283*V164</f>
        <v>0</v>
      </c>
      <c r="W285" s="95">
        <f>-W283*W164</f>
        <v>0</v>
      </c>
      <c r="X285" s="95">
        <f>-X283*X164</f>
        <v>0</v>
      </c>
      <c r="Y285" s="95">
        <f>-Y283*Y164</f>
        <v>0</v>
      </c>
      <c r="Z285" s="95">
        <f>-Z283*Z164</f>
        <v>0</v>
      </c>
      <c r="AA285" s="95">
        <f>-AA283*AA164</f>
        <v>0</v>
      </c>
      <c r="AB285" s="95">
        <f>-AB283*AB164</f>
        <v>0</v>
      </c>
      <c r="AC285" s="95">
        <f>-AC283*AC164</f>
        <v>0</v>
      </c>
      <c r="AD285" s="95">
        <f>-AD283*AD164</f>
        <v>0</v>
      </c>
      <c r="AE285" s="95">
        <f>-AE283*AE164</f>
        <v>0</v>
      </c>
      <c r="AF285" s="95">
        <f>-AF283*AF164</f>
        <v>0</v>
      </c>
      <c r="AG285" s="95">
        <f>-AG283*AG164</f>
        <v>0</v>
      </c>
      <c r="AH285" s="95">
        <f>-AH283*AH164</f>
        <v>0</v>
      </c>
      <c r="AI285" s="95">
        <f>-AI283*AI164</f>
        <v>0</v>
      </c>
      <c r="AJ285" s="95">
        <f>-AJ283*AJ164</f>
        <v>0</v>
      </c>
      <c r="AK285" s="95">
        <f>-AK283*AK164</f>
        <v>0</v>
      </c>
      <c r="AL285" s="95">
        <f>-AL283*AL164</f>
        <v>0</v>
      </c>
      <c r="AM285" s="95">
        <f>-AM283*AM164</f>
        <v>0</v>
      </c>
      <c r="AN285" s="95">
        <f>-AN283*AN164</f>
        <v>0</v>
      </c>
      <c r="AO285" s="95">
        <f>-AO283*AO164</f>
        <v>0</v>
      </c>
      <c r="AP285" s="95">
        <f>-AP283*AP164</f>
        <v>0</v>
      </c>
      <c r="AQ285" s="95">
        <f>-AQ283*AQ164</f>
        <v>0</v>
      </c>
      <c r="AR285" s="95">
        <f>-AR283*AR164</f>
        <v>0</v>
      </c>
      <c r="AS285" s="95">
        <f>-AS283*AS164</f>
        <v>0</v>
      </c>
      <c r="AT285" s="95">
        <f>-AT283*AT164</f>
        <v>0</v>
      </c>
      <c r="AU285" s="95">
        <f>-AU283*AU164</f>
        <v>0</v>
      </c>
      <c r="AV285" s="95">
        <f>-AV283*AV164</f>
        <v>0</v>
      </c>
      <c r="AW285" s="95">
        <f>-AW283*AW164</f>
        <v>0</v>
      </c>
      <c r="AX285" s="95">
        <f>-AX283*AX164</f>
        <v>0</v>
      </c>
      <c r="AY285" s="95">
        <f>-AY283*AY164</f>
        <v>0</v>
      </c>
      <c r="AZ285" s="95">
        <f>-AZ283*AZ164</f>
        <v>0</v>
      </c>
      <c r="BA285" s="95">
        <f>-BA283*BA164</f>
        <v>-0</v>
      </c>
      <c r="BB285" s="95">
        <f>-BB283*BB164</f>
        <v>-0</v>
      </c>
      <c r="BC285" s="95">
        <f>-BC283*BC164</f>
        <v>-0</v>
      </c>
      <c r="BD285" s="95">
        <f>-BD283*BD164</f>
        <v>-0</v>
      </c>
      <c r="BE285" s="95">
        <f>-BE283*BE164</f>
        <v>-0</v>
      </c>
      <c r="BF285" s="95">
        <f>-BF283*BF164</f>
        <v>-0</v>
      </c>
      <c r="BG285" s="95">
        <f>-BG283*BG164</f>
        <v>-0</v>
      </c>
      <c r="BH285" s="95">
        <f>-BH283*BH164</f>
        <v>-0</v>
      </c>
      <c r="BI285" s="95">
        <f>-BI283*BI164</f>
        <v>-0</v>
      </c>
      <c r="BJ285" s="95">
        <f>-BJ283*BJ164</f>
        <v>-0</v>
      </c>
      <c r="BK285" s="95">
        <f>-BK283*BK164</f>
        <v>-0</v>
      </c>
      <c r="BL285" s="95">
        <f>-BL283*BL164</f>
        <v>-0</v>
      </c>
      <c r="BM285" s="95">
        <f>-BM283*BM164</f>
        <v>-0</v>
      </c>
      <c r="BN285" s="95">
        <f>-BN283*BN164</f>
        <v>-0</v>
      </c>
      <c r="BO285" s="95">
        <f>-BO283*BO164</f>
        <v>-0</v>
      </c>
      <c r="BP285" s="95">
        <f>-BP283*BP164</f>
        <v>-0</v>
      </c>
    </row>
    <row r="286">
      <c r="C286" t="inlineStr">
        <is>
          <t xml:space="preserve">Community share of FEP's inflows after the exercise (exit proceeds; FEP's tax, row 174, on its own profit)</t>
        </is>
      </c>
      <c r="D286" t="inlineStr">
        <is>
          <t xml:space="preserve">k€</t>
        </is>
      </c>
      <c r="G286" s="95">
        <f>SUM(H286:BP286)</f>
        <v>0</v>
      </c>
      <c r="H286" s="95">
        <f>-H283*H171</f>
        <v>-0</v>
      </c>
      <c r="I286" s="95">
        <f>-I283*I171</f>
        <v>-0</v>
      </c>
      <c r="J286" s="95">
        <f>-J283*J171</f>
        <v>-0</v>
      </c>
      <c r="K286" s="95">
        <f>-K283*K171</f>
        <v>-0</v>
      </c>
      <c r="L286" s="95">
        <f>-L283*L171</f>
        <v>-0</v>
      </c>
      <c r="M286" s="95">
        <f>-M283*M171</f>
        <v>-0</v>
      </c>
      <c r="N286" s="95">
        <f>-N283*N171</f>
        <v>-0</v>
      </c>
      <c r="O286" s="95">
        <f>-O283*O171</f>
        <v>-0</v>
      </c>
      <c r="P286" s="95">
        <f>-P283*P171</f>
        <v>-0</v>
      </c>
      <c r="Q286" s="95">
        <f>-Q283*Q171</f>
        <v>-0</v>
      </c>
      <c r="R286" s="95">
        <f>-R283*R171</f>
        <v>-0</v>
      </c>
      <c r="S286" s="95">
        <f>-S283*S171</f>
        <v>-0</v>
      </c>
      <c r="T286" s="95">
        <f>-T283*T171</f>
        <v>-0</v>
      </c>
      <c r="U286" s="95">
        <f>-U283*U171</f>
        <v>-0</v>
      </c>
      <c r="V286" s="95">
        <f>-V283*V171</f>
        <v>-0</v>
      </c>
      <c r="W286" s="95">
        <f>-W283*W171</f>
        <v>-0</v>
      </c>
      <c r="X286" s="95">
        <f>-X283*X171</f>
        <v>-0</v>
      </c>
      <c r="Y286" s="95">
        <f>-Y283*Y171</f>
        <v>-0</v>
      </c>
      <c r="Z286" s="95">
        <f>-Z283*Z171</f>
        <v>-0</v>
      </c>
      <c r="AA286" s="95">
        <f>-AA283*AA171</f>
        <v>-0</v>
      </c>
      <c r="AB286" s="95">
        <f>-AB283*AB171</f>
        <v>-0</v>
      </c>
      <c r="AC286" s="95">
        <f>-AC283*AC171</f>
        <v>-0</v>
      </c>
      <c r="AD286" s="95">
        <f>-AD283*AD171</f>
        <v>-0</v>
      </c>
      <c r="AE286" s="95">
        <f>-AE283*AE171</f>
        <v>-0</v>
      </c>
      <c r="AF286" s="95">
        <f>-AF283*AF171</f>
        <v>-0</v>
      </c>
      <c r="AG286" s="95">
        <f>-AG283*AG171</f>
        <v>-0</v>
      </c>
      <c r="AH286" s="95">
        <f>-AH283*AH171</f>
        <v>-0</v>
      </c>
      <c r="AI286" s="95">
        <f>-AI283*AI171</f>
        <v>-0</v>
      </c>
      <c r="AJ286" s="95">
        <f>-AJ283*AJ171</f>
        <v>-0</v>
      </c>
      <c r="AK286" s="95">
        <f>-AK283*AK171</f>
        <v>-0</v>
      </c>
      <c r="AL286" s="95">
        <f>-AL283*AL171</f>
        <v>-0</v>
      </c>
      <c r="AM286" s="95">
        <f>-AM283*AM171</f>
        <v>-0</v>
      </c>
      <c r="AN286" s="95">
        <f>-AN283*AN171</f>
        <v>-0</v>
      </c>
      <c r="AO286" s="95">
        <f>-AO283*AO171</f>
        <v>-0</v>
      </c>
      <c r="AP286" s="95">
        <f>-AP283*AP171</f>
        <v>-0</v>
      </c>
      <c r="AQ286" s="95">
        <f>-AQ283*AQ171</f>
        <v>-0</v>
      </c>
      <c r="AR286" s="95">
        <f>-AR283*AR171</f>
        <v>-0</v>
      </c>
      <c r="AS286" s="95">
        <f>-AS283*AS171</f>
        <v>-0</v>
      </c>
      <c r="AT286" s="95">
        <f>-AT283*AT171</f>
        <v>-0</v>
      </c>
      <c r="AU286" s="95">
        <f>-AU283*AU171</f>
        <v>-0</v>
      </c>
      <c r="AV286" s="95">
        <f>-AV283*AV171</f>
        <v>-0</v>
      </c>
      <c r="AW286" s="95">
        <f>-AW283*AW171</f>
        <v>-0</v>
      </c>
      <c r="AX286" s="95">
        <f>-AX283*AX171</f>
        <v>-0</v>
      </c>
      <c r="AY286" s="95">
        <f>-AY283*AY171</f>
        <v>-0</v>
      </c>
      <c r="AZ286" s="95">
        <f>-AZ283*AZ171</f>
        <v>-0</v>
      </c>
      <c r="BA286" s="95">
        <f>-BA283*BA171</f>
        <v>-0</v>
      </c>
      <c r="BB286" s="95">
        <f>-BB283*BB171</f>
        <v>-0</v>
      </c>
      <c r="BC286" s="95">
        <f>-BC283*BC171</f>
        <v>-0</v>
      </c>
      <c r="BD286" s="95">
        <f>-BD283*BD171</f>
        <v>-0</v>
      </c>
      <c r="BE286" s="95">
        <f>-BE283*BE171</f>
        <v>-0</v>
      </c>
      <c r="BF286" s="95">
        <f>-BF283*BF171</f>
        <v>-0</v>
      </c>
      <c r="BG286" s="95">
        <f>-BG283*BG171</f>
        <v>-0</v>
      </c>
      <c r="BH286" s="95">
        <f>-BH283*BH171</f>
        <v>-0</v>
      </c>
      <c r="BI286" s="95">
        <f>-BI283*BI171</f>
        <v>-0</v>
      </c>
      <c r="BJ286" s="95">
        <f>-BJ283*BJ171</f>
        <v>-0</v>
      </c>
      <c r="BK286" s="95">
        <f>-BK283*BK171</f>
        <v>-0</v>
      </c>
      <c r="BL286" s="95">
        <f>-BL283*BL171</f>
        <v>-0</v>
      </c>
      <c r="BM286" s="95">
        <f>-BM283*BM171</f>
        <v>-0</v>
      </c>
      <c r="BN286" s="95">
        <f>-BN283*BN171</f>
        <v>-0</v>
      </c>
      <c r="BO286" s="95">
        <f>-BO283*BO171</f>
        <v>-0</v>
      </c>
      <c r="BP286" s="95">
        <f>-BP283*BP171</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A79F-380A-449C-A15E-6FA48617DA71}">
  <sheetPr codeName="Sheet8">
    <tabColor rgb="FF000000"/>
  </sheetPr>
  <dimension ref="A1:AR398"/>
  <sheetViews>
    <sheetView showGridLines="0" workbookViewId="0">
      <pane ySplit="5" topLeftCell="A77" activePane="bottomLeft" state="frozen"/>
      <selection pane="bottomLeft" activeCell="C77" sqref="C77"/>
    </sheetView>
  </sheetViews>
  <sheetFormatPr defaultRowHeight="15" x14ac:dyDescent="0.25"/>
  <cols>
    <col min="1" max="2" width="2.7109375" customWidth="1"/>
    <col min="3" max="3" width="62.85546875" customWidth="1"/>
    <col min="4" max="4" width="11.42578125" customWidth="1"/>
    <col min="5" max="5" width="13.28515625" customWidth="1"/>
    <col min="6" max="7" width="17.140625" customWidth="1"/>
    <col min="8" max="43" width="11.85546875" customWidth="1"/>
  </cols>
  <sheetData>
    <row r="1" spans="1:43" ht="18.75" x14ac:dyDescent="0.3">
      <c r="A1" s="38" t="str">
        <f>Inputs!A1</f>
        <v>HUN Onshore Wind – MOIC model v5</v>
      </c>
    </row>
    <row r="2" spans="1:43" x14ac:dyDescent="0.25">
      <c r="A2" s="40" t="s">
        <v>935</v>
      </c>
    </row>
    <row r="3" spans="1:43" x14ac:dyDescent="0.25">
      <c r="A3" s="40" t="s">
        <v>936</v>
      </c>
    </row>
    <row r="4" spans="1:43" x14ac:dyDescent="0.25">
      <c r="C4" s="43" t="s">
        <v>197</v>
      </c>
      <c r="D4" s="43"/>
      <c r="E4" s="43"/>
      <c r="F4" s="43"/>
      <c r="G4" s="43"/>
      <c r="H4" s="124">
        <f>H5-YEAR(Inputs!$E$27)</f>
        <v>0</v>
      </c>
      <c r="I4" s="124">
        <f>I5-YEAR(Inputs!$E$27)</f>
        <v>1</v>
      </c>
      <c r="J4" s="124">
        <f>J5-YEAR(Inputs!$E$27)</f>
        <v>2</v>
      </c>
      <c r="K4" s="124">
        <f>K5-YEAR(Inputs!$E$27)</f>
        <v>3</v>
      </c>
      <c r="L4" s="124">
        <f>L5-YEAR(Inputs!$E$27)</f>
        <v>4</v>
      </c>
      <c r="M4" s="124">
        <f>M5-YEAR(Inputs!$E$27)</f>
        <v>5</v>
      </c>
      <c r="N4" s="124">
        <f>N5-YEAR(Inputs!$E$27)</f>
        <v>6</v>
      </c>
      <c r="O4" s="124">
        <f>O5-YEAR(Inputs!$E$27)</f>
        <v>7</v>
      </c>
      <c r="P4" s="124">
        <f>P5-YEAR(Inputs!$E$27)</f>
        <v>8</v>
      </c>
      <c r="Q4" s="124">
        <f>Q5-YEAR(Inputs!$E$27)</f>
        <v>9</v>
      </c>
      <c r="R4" s="124">
        <f>R5-YEAR(Inputs!$E$27)</f>
        <v>10</v>
      </c>
      <c r="S4" s="124">
        <f>S5-YEAR(Inputs!$E$27)</f>
        <v>11</v>
      </c>
      <c r="T4" s="124">
        <f>T5-YEAR(Inputs!$E$27)</f>
        <v>12</v>
      </c>
      <c r="U4" s="124">
        <f>U5-YEAR(Inputs!$E$27)</f>
        <v>13</v>
      </c>
      <c r="V4" s="124">
        <f>V5-YEAR(Inputs!$E$27)</f>
        <v>14</v>
      </c>
      <c r="W4" s="124">
        <f>W5-YEAR(Inputs!$E$27)</f>
        <v>15</v>
      </c>
      <c r="X4" s="124">
        <f>X5-YEAR(Inputs!$E$27)</f>
        <v>16</v>
      </c>
      <c r="Y4" s="124">
        <f>Y5-YEAR(Inputs!$E$27)</f>
        <v>17</v>
      </c>
      <c r="Z4" s="124">
        <f>Z5-YEAR(Inputs!$E$27)</f>
        <v>18</v>
      </c>
      <c r="AA4" s="124">
        <f>AA5-YEAR(Inputs!$E$27)</f>
        <v>19</v>
      </c>
      <c r="AB4" s="124">
        <f>AB5-YEAR(Inputs!$E$27)</f>
        <v>20</v>
      </c>
      <c r="AC4" s="124">
        <f>AC5-YEAR(Inputs!$E$27)</f>
        <v>21</v>
      </c>
      <c r="AD4" s="124">
        <f>AD5-YEAR(Inputs!$E$27)</f>
        <v>22</v>
      </c>
      <c r="AE4" s="124">
        <f>AE5-YEAR(Inputs!$E$27)</f>
        <v>23</v>
      </c>
      <c r="AF4" s="124">
        <f>AF5-YEAR(Inputs!$E$27)</f>
        <v>24</v>
      </c>
      <c r="AG4" s="124">
        <f>AG5-YEAR(Inputs!$E$27)</f>
        <v>25</v>
      </c>
      <c r="AH4" s="124">
        <f>AH5-YEAR(Inputs!$E$27)</f>
        <v>26</v>
      </c>
      <c r="AI4" s="124">
        <f>AI5-YEAR(Inputs!$E$27)</f>
        <v>27</v>
      </c>
      <c r="AJ4" s="124">
        <f>AJ5-YEAR(Inputs!$E$27)</f>
        <v>28</v>
      </c>
      <c r="AK4" s="124">
        <f>AK5-YEAR(Inputs!$E$27)</f>
        <v>29</v>
      </c>
      <c r="AL4" s="124">
        <f>AL5-YEAR(Inputs!$E$27)</f>
        <v>30</v>
      </c>
      <c r="AM4" s="124">
        <f>AM5-YEAR(Inputs!$E$27)</f>
        <v>31</v>
      </c>
      <c r="AN4" s="124">
        <f>AN5-YEAR(Inputs!$E$27)</f>
        <v>32</v>
      </c>
      <c r="AO4" s="124">
        <f>AO5-YEAR(Inputs!$E$27)</f>
        <v>33</v>
      </c>
      <c r="AP4" s="124">
        <f>AP5-YEAR(Inputs!$E$27)</f>
        <v>34</v>
      </c>
      <c r="AQ4" s="124">
        <f>AQ5-YEAR(Inputs!$E$27)</f>
        <v>35</v>
      </c>
    </row>
    <row r="5" spans="1:43" x14ac:dyDescent="0.25">
      <c r="C5" s="91" t="s">
        <v>613</v>
      </c>
      <c r="D5" s="91" t="s">
        <v>613</v>
      </c>
      <c r="E5" s="91"/>
      <c r="F5" s="91"/>
      <c r="G5" s="91"/>
      <c r="H5" s="93">
        <f>YEAR(Inputs!$E$27)</f>
        <v>2026</v>
      </c>
      <c r="I5" s="93">
        <f>H5+1</f>
        <v>2027</v>
      </c>
      <c r="J5" s="93">
        <f t="shared" ref="J5:AO5" si="0">I5+1</f>
        <v>2028</v>
      </c>
      <c r="K5" s="93">
        <f t="shared" si="0"/>
        <v>2029</v>
      </c>
      <c r="L5" s="93">
        <f t="shared" si="0"/>
        <v>2030</v>
      </c>
      <c r="M5" s="93">
        <f t="shared" si="0"/>
        <v>2031</v>
      </c>
      <c r="N5" s="93">
        <f t="shared" si="0"/>
        <v>2032</v>
      </c>
      <c r="O5" s="93">
        <f t="shared" si="0"/>
        <v>2033</v>
      </c>
      <c r="P5" s="93">
        <f t="shared" si="0"/>
        <v>2034</v>
      </c>
      <c r="Q5" s="93">
        <f t="shared" si="0"/>
        <v>2035</v>
      </c>
      <c r="R5" s="93">
        <f t="shared" si="0"/>
        <v>2036</v>
      </c>
      <c r="S5" s="93">
        <f t="shared" si="0"/>
        <v>2037</v>
      </c>
      <c r="T5" s="93">
        <f t="shared" si="0"/>
        <v>2038</v>
      </c>
      <c r="U5" s="93">
        <f t="shared" si="0"/>
        <v>2039</v>
      </c>
      <c r="V5" s="93">
        <f t="shared" si="0"/>
        <v>2040</v>
      </c>
      <c r="W5" s="93">
        <f t="shared" si="0"/>
        <v>2041</v>
      </c>
      <c r="X5" s="93">
        <f t="shared" si="0"/>
        <v>2042</v>
      </c>
      <c r="Y5" s="93">
        <f t="shared" si="0"/>
        <v>2043</v>
      </c>
      <c r="Z5" s="93">
        <f t="shared" si="0"/>
        <v>2044</v>
      </c>
      <c r="AA5" s="93">
        <f t="shared" si="0"/>
        <v>2045</v>
      </c>
      <c r="AB5" s="93">
        <f t="shared" si="0"/>
        <v>2046</v>
      </c>
      <c r="AC5" s="93">
        <f t="shared" si="0"/>
        <v>2047</v>
      </c>
      <c r="AD5" s="93">
        <f t="shared" si="0"/>
        <v>2048</v>
      </c>
      <c r="AE5" s="93">
        <f t="shared" si="0"/>
        <v>2049</v>
      </c>
      <c r="AF5" s="93">
        <f t="shared" si="0"/>
        <v>2050</v>
      </c>
      <c r="AG5" s="93">
        <f t="shared" si="0"/>
        <v>2051</v>
      </c>
      <c r="AH5" s="93">
        <f t="shared" si="0"/>
        <v>2052</v>
      </c>
      <c r="AI5" s="93">
        <f t="shared" si="0"/>
        <v>2053</v>
      </c>
      <c r="AJ5" s="93">
        <f t="shared" si="0"/>
        <v>2054</v>
      </c>
      <c r="AK5" s="93">
        <f t="shared" si="0"/>
        <v>2055</v>
      </c>
      <c r="AL5" s="93">
        <f t="shared" si="0"/>
        <v>2056</v>
      </c>
      <c r="AM5" s="93">
        <f t="shared" si="0"/>
        <v>2057</v>
      </c>
      <c r="AN5" s="93">
        <f t="shared" si="0"/>
        <v>2058</v>
      </c>
      <c r="AO5" s="93">
        <f t="shared" si="0"/>
        <v>2059</v>
      </c>
      <c r="AP5" s="93">
        <f>AO5+1</f>
        <v>2060</v>
      </c>
      <c r="AQ5" s="93">
        <f>AP5+1</f>
        <v>2061</v>
      </c>
    </row>
    <row r="6" spans="1:43" x14ac:dyDescent="0.25">
      <c r="C6" s="90" t="s">
        <v>937</v>
      </c>
      <c r="D6" s="90" t="s">
        <v>21</v>
      </c>
      <c r="E6" s="90"/>
      <c r="F6" s="90"/>
      <c r="G6" s="90"/>
      <c r="H6" s="94">
        <f>IF(AND(H5&gt;=YEAR(Inputs!$E$27),H5&lt;=YEAR(Inputs!$E$154)),1,0)</f>
        <v>1</v>
      </c>
      <c r="I6" s="94">
        <f>IF(AND(I5&gt;=YEAR(Inputs!$E$27),I5&lt;=YEAR(Inputs!$E$154)),1,0)</f>
        <v>1</v>
      </c>
      <c r="J6" s="94">
        <f>IF(AND(J5&gt;=YEAR(Inputs!$E$27),J5&lt;=YEAR(Inputs!$E$154)),1,0)</f>
        <v>1</v>
      </c>
      <c r="K6" s="94">
        <f>IF(AND(K5&gt;=YEAR(Inputs!$E$27),K5&lt;=YEAR(Inputs!$E$154)),1,0)</f>
        <v>1</v>
      </c>
      <c r="L6" s="94">
        <f>IF(AND(L5&gt;=YEAR(Inputs!$E$27),L5&lt;=YEAR(Inputs!$E$154)),1,0)</f>
        <v>0</v>
      </c>
      <c r="M6" s="94">
        <f>IF(AND(M5&gt;=YEAR(Inputs!$E$27),M5&lt;=YEAR(Inputs!$E$154)),1,0)</f>
        <v>0</v>
      </c>
      <c r="N6" s="94">
        <f>IF(AND(N5&gt;=YEAR(Inputs!$E$27),N5&lt;=YEAR(Inputs!$E$154)),1,0)</f>
        <v>0</v>
      </c>
      <c r="O6" s="94">
        <f>IF(AND(O5&gt;=YEAR(Inputs!$E$27),O5&lt;=YEAR(Inputs!$E$154)),1,0)</f>
        <v>0</v>
      </c>
      <c r="P6" s="94">
        <f>IF(AND(P5&gt;=YEAR(Inputs!$E$27),P5&lt;=YEAR(Inputs!$E$154)),1,0)</f>
        <v>0</v>
      </c>
      <c r="Q6" s="94">
        <f>IF(AND(Q5&gt;=YEAR(Inputs!$E$27),Q5&lt;=YEAR(Inputs!$E$154)),1,0)</f>
        <v>0</v>
      </c>
      <c r="R6" s="94">
        <f>IF(AND(R5&gt;=YEAR(Inputs!$E$27),R5&lt;=YEAR(Inputs!$E$154)),1,0)</f>
        <v>0</v>
      </c>
      <c r="S6" s="94">
        <f>IF(AND(S5&gt;=YEAR(Inputs!$E$27),S5&lt;=YEAR(Inputs!$E$154)),1,0)</f>
        <v>0</v>
      </c>
      <c r="T6" s="94">
        <f>IF(AND(T5&gt;=YEAR(Inputs!$E$27),T5&lt;=YEAR(Inputs!$E$154)),1,0)</f>
        <v>0</v>
      </c>
      <c r="U6" s="94">
        <f>IF(AND(U5&gt;=YEAR(Inputs!$E$27),U5&lt;=YEAR(Inputs!$E$154)),1,0)</f>
        <v>0</v>
      </c>
      <c r="V6" s="94">
        <f>IF(AND(V5&gt;=YEAR(Inputs!$E$27),V5&lt;=YEAR(Inputs!$E$154)),1,0)</f>
        <v>0</v>
      </c>
      <c r="W6" s="94">
        <f>IF(AND(W5&gt;=YEAR(Inputs!$E$27),W5&lt;=YEAR(Inputs!$E$154)),1,0)</f>
        <v>0</v>
      </c>
      <c r="X6" s="94">
        <f>IF(AND(X5&gt;=YEAR(Inputs!$E$27),X5&lt;=YEAR(Inputs!$E$154)),1,0)</f>
        <v>0</v>
      </c>
      <c r="Y6" s="94">
        <f>IF(AND(Y5&gt;=YEAR(Inputs!$E$27),Y5&lt;=YEAR(Inputs!$E$154)),1,0)</f>
        <v>0</v>
      </c>
      <c r="Z6" s="94">
        <f>IF(AND(Z5&gt;=YEAR(Inputs!$E$27),Z5&lt;=YEAR(Inputs!$E$154)),1,0)</f>
        <v>0</v>
      </c>
      <c r="AA6" s="94">
        <f>IF(AND(AA5&gt;=YEAR(Inputs!$E$27),AA5&lt;=YEAR(Inputs!$E$154)),1,0)</f>
        <v>0</v>
      </c>
      <c r="AB6" s="94">
        <f>IF(AND(AB5&gt;=YEAR(Inputs!$E$27),AB5&lt;=YEAR(Inputs!$E$154)),1,0)</f>
        <v>0</v>
      </c>
      <c r="AC6" s="94">
        <f>IF(AND(AC5&gt;=YEAR(Inputs!$E$27),AC5&lt;=YEAR(Inputs!$E$154)),1,0)</f>
        <v>0</v>
      </c>
      <c r="AD6" s="94">
        <f>IF(AND(AD5&gt;=YEAR(Inputs!$E$27),AD5&lt;=YEAR(Inputs!$E$154)),1,0)</f>
        <v>0</v>
      </c>
      <c r="AE6" s="94">
        <f>IF(AND(AE5&gt;=YEAR(Inputs!$E$27),AE5&lt;=YEAR(Inputs!$E$154)),1,0)</f>
        <v>0</v>
      </c>
      <c r="AF6" s="94">
        <f>IF(AND(AF5&gt;=YEAR(Inputs!$E$27),AF5&lt;=YEAR(Inputs!$E$154)),1,0)</f>
        <v>0</v>
      </c>
      <c r="AG6" s="94">
        <f>IF(AND(AG5&gt;=YEAR(Inputs!$E$27),AG5&lt;=YEAR(Inputs!$E$154)),1,0)</f>
        <v>0</v>
      </c>
      <c r="AH6" s="94">
        <f>IF(AND(AH5&gt;=YEAR(Inputs!$E$27),AH5&lt;=YEAR(Inputs!$E$154)),1,0)</f>
        <v>0</v>
      </c>
      <c r="AI6" s="94">
        <f>IF(AND(AI5&gt;=YEAR(Inputs!$E$27),AI5&lt;=YEAR(Inputs!$E$154)),1,0)</f>
        <v>0</v>
      </c>
      <c r="AJ6" s="94">
        <f>IF(AND(AJ5&gt;=YEAR(Inputs!$E$27),AJ5&lt;=YEAR(Inputs!$E$154)),1,0)</f>
        <v>0</v>
      </c>
      <c r="AK6" s="94">
        <f>IF(AND(AK5&gt;=YEAR(Inputs!$E$27),AK5&lt;=YEAR(Inputs!$E$154)),1,0)</f>
        <v>0</v>
      </c>
      <c r="AL6" s="94">
        <f>IF(AND(AL5&gt;=YEAR(Inputs!$E$27),AL5&lt;=YEAR(Inputs!$E$154)),1,0)</f>
        <v>0</v>
      </c>
      <c r="AM6" s="94">
        <f>IF(AND(AM5&gt;=YEAR(Inputs!$E$27),AM5&lt;=YEAR(Inputs!$E$154)),1,0)</f>
        <v>0</v>
      </c>
      <c r="AN6" s="94">
        <f>IF(AND(AN5&gt;=YEAR(Inputs!$E$27),AN5&lt;=YEAR(Inputs!$E$154)),1,0)</f>
        <v>0</v>
      </c>
      <c r="AO6" s="94">
        <f>IF(AND(AO5&gt;=YEAR(Inputs!$E$27),AO5&lt;=YEAR(Inputs!$E$154)),1,0)</f>
        <v>0</v>
      </c>
      <c r="AP6" s="94">
        <f>IF(AND(AP5&gt;=YEAR(Inputs!$E$27),AP5&lt;=YEAR(Inputs!$E$154)),1,0)</f>
        <v>0</v>
      </c>
      <c r="AQ6" s="94">
        <f>IF(AND(AQ5&gt;=YEAR(Inputs!$E$27),AQ5&lt;=YEAR(Inputs!$E$154)),1,0)</f>
        <v>0</v>
      </c>
    </row>
    <row r="7" spans="1:43" x14ac:dyDescent="0.25">
      <c r="C7" s="90" t="s">
        <v>938</v>
      </c>
      <c r="D7" s="90" t="s">
        <v>2</v>
      </c>
      <c r="E7" s="90"/>
      <c r="F7" s="90"/>
      <c r="G7" s="90">
        <f>SUM(H7:AQ7)</f>
        <v>1</v>
      </c>
      <c r="H7" s="125">
        <f>MAX(0,MIN(DATE(H5,12,31),Inputs!$E$155)-MAX(DATE(H5,1,1)-1,Inputs!$E$154))/(Inputs!$E$155-Inputs!$E$154)</f>
        <v>0</v>
      </c>
      <c r="I7" s="125">
        <f>MAX(0,MIN(DATE(I5,12,31),Inputs!$E$155)-MAX(DATE(I5,1,1)-1,Inputs!$E$154))/(Inputs!$E$155-Inputs!$E$154)</f>
        <v>0</v>
      </c>
      <c r="J7" s="125">
        <f>MAX(0,MIN(DATE(J5,12,31),Inputs!$E$155)-MAX(DATE(J5,1,1)-1,Inputs!$E$154))/(Inputs!$E$155-Inputs!$E$154)</f>
        <v>0</v>
      </c>
      <c r="K7" s="125">
        <f>MAX(0,MIN(DATE(K5,12,31),Inputs!$E$155)-MAX(DATE(K5,1,1)-1,Inputs!$E$154))/(Inputs!$E$155-Inputs!$E$154)</f>
        <v>0.12602739726027398</v>
      </c>
      <c r="L7" s="125">
        <f>MAX(0,MIN(DATE(L5,12,31),Inputs!$E$155)-MAX(DATE(L5,1,1)-1,Inputs!$E$154))/(Inputs!$E$155-Inputs!$E$154)</f>
        <v>0.5</v>
      </c>
      <c r="M7" s="125">
        <f>MAX(0,MIN(DATE(M5,12,31),Inputs!$E$155)-MAX(DATE(M5,1,1)-1,Inputs!$E$154))/(Inputs!$E$155-Inputs!$E$154)</f>
        <v>0.37397260273972605</v>
      </c>
      <c r="N7" s="125">
        <f>MAX(0,MIN(DATE(N5,12,31),Inputs!$E$155)-MAX(DATE(N5,1,1)-1,Inputs!$E$154))/(Inputs!$E$155-Inputs!$E$154)</f>
        <v>0</v>
      </c>
      <c r="O7" s="125">
        <f>MAX(0,MIN(DATE(O5,12,31),Inputs!$E$155)-MAX(DATE(O5,1,1)-1,Inputs!$E$154))/(Inputs!$E$155-Inputs!$E$154)</f>
        <v>0</v>
      </c>
      <c r="P7" s="125">
        <f>MAX(0,MIN(DATE(P5,12,31),Inputs!$E$155)-MAX(DATE(P5,1,1)-1,Inputs!$E$154))/(Inputs!$E$155-Inputs!$E$154)</f>
        <v>0</v>
      </c>
      <c r="Q7" s="125">
        <f>MAX(0,MIN(DATE(Q5,12,31),Inputs!$E$155)-MAX(DATE(Q5,1,1)-1,Inputs!$E$154))/(Inputs!$E$155-Inputs!$E$154)</f>
        <v>0</v>
      </c>
      <c r="R7" s="125">
        <f>MAX(0,MIN(DATE(R5,12,31),Inputs!$E$155)-MAX(DATE(R5,1,1)-1,Inputs!$E$154))/(Inputs!$E$155-Inputs!$E$154)</f>
        <v>0</v>
      </c>
      <c r="S7" s="125">
        <f>MAX(0,MIN(DATE(S5,12,31),Inputs!$E$155)-MAX(DATE(S5,1,1)-1,Inputs!$E$154))/(Inputs!$E$155-Inputs!$E$154)</f>
        <v>0</v>
      </c>
      <c r="T7" s="125">
        <f>MAX(0,MIN(DATE(T5,12,31),Inputs!$E$155)-MAX(DATE(T5,1,1)-1,Inputs!$E$154))/(Inputs!$E$155-Inputs!$E$154)</f>
        <v>0</v>
      </c>
      <c r="U7" s="125">
        <f>MAX(0,MIN(DATE(U5,12,31),Inputs!$E$155)-MAX(DATE(U5,1,1)-1,Inputs!$E$154))/(Inputs!$E$155-Inputs!$E$154)</f>
        <v>0</v>
      </c>
      <c r="V7" s="125">
        <f>MAX(0,MIN(DATE(V5,12,31),Inputs!$E$155)-MAX(DATE(V5,1,1)-1,Inputs!$E$154))/(Inputs!$E$155-Inputs!$E$154)</f>
        <v>0</v>
      </c>
      <c r="W7" s="125">
        <f>MAX(0,MIN(DATE(W5,12,31),Inputs!$E$155)-MAX(DATE(W5,1,1)-1,Inputs!$E$154))/(Inputs!$E$155-Inputs!$E$154)</f>
        <v>0</v>
      </c>
      <c r="X7" s="125">
        <f>MAX(0,MIN(DATE(X5,12,31),Inputs!$E$155)-MAX(DATE(X5,1,1)-1,Inputs!$E$154))/(Inputs!$E$155-Inputs!$E$154)</f>
        <v>0</v>
      </c>
      <c r="Y7" s="125">
        <f>MAX(0,MIN(DATE(Y5,12,31),Inputs!$E$155)-MAX(DATE(Y5,1,1)-1,Inputs!$E$154))/(Inputs!$E$155-Inputs!$E$154)</f>
        <v>0</v>
      </c>
      <c r="Z7" s="125">
        <f>MAX(0,MIN(DATE(Z5,12,31),Inputs!$E$155)-MAX(DATE(Z5,1,1)-1,Inputs!$E$154))/(Inputs!$E$155-Inputs!$E$154)</f>
        <v>0</v>
      </c>
      <c r="AA7" s="125">
        <f>MAX(0,MIN(DATE(AA5,12,31),Inputs!$E$155)-MAX(DATE(AA5,1,1)-1,Inputs!$E$154))/(Inputs!$E$155-Inputs!$E$154)</f>
        <v>0</v>
      </c>
      <c r="AB7" s="125">
        <f>MAX(0,MIN(DATE(AB5,12,31),Inputs!$E$155)-MAX(DATE(AB5,1,1)-1,Inputs!$E$154))/(Inputs!$E$155-Inputs!$E$154)</f>
        <v>0</v>
      </c>
      <c r="AC7" s="125">
        <f>MAX(0,MIN(DATE(AC5,12,31),Inputs!$E$155)-MAX(DATE(AC5,1,1)-1,Inputs!$E$154))/(Inputs!$E$155-Inputs!$E$154)</f>
        <v>0</v>
      </c>
      <c r="AD7" s="125">
        <f>MAX(0,MIN(DATE(AD5,12,31),Inputs!$E$155)-MAX(DATE(AD5,1,1)-1,Inputs!$E$154))/(Inputs!$E$155-Inputs!$E$154)</f>
        <v>0</v>
      </c>
      <c r="AE7" s="125">
        <f>MAX(0,MIN(DATE(AE5,12,31),Inputs!$E$155)-MAX(DATE(AE5,1,1)-1,Inputs!$E$154))/(Inputs!$E$155-Inputs!$E$154)</f>
        <v>0</v>
      </c>
      <c r="AF7" s="125">
        <f>MAX(0,MIN(DATE(AF5,12,31),Inputs!$E$155)-MAX(DATE(AF5,1,1)-1,Inputs!$E$154))/(Inputs!$E$155-Inputs!$E$154)</f>
        <v>0</v>
      </c>
      <c r="AG7" s="125">
        <f>MAX(0,MIN(DATE(AG5,12,31),Inputs!$E$155)-MAX(DATE(AG5,1,1)-1,Inputs!$E$154))/(Inputs!$E$155-Inputs!$E$154)</f>
        <v>0</v>
      </c>
      <c r="AH7" s="125">
        <f>MAX(0,MIN(DATE(AH5,12,31),Inputs!$E$155)-MAX(DATE(AH5,1,1)-1,Inputs!$E$154))/(Inputs!$E$155-Inputs!$E$154)</f>
        <v>0</v>
      </c>
      <c r="AI7" s="125">
        <f>MAX(0,MIN(DATE(AI5,12,31),Inputs!$E$155)-MAX(DATE(AI5,1,1)-1,Inputs!$E$154))/(Inputs!$E$155-Inputs!$E$154)</f>
        <v>0</v>
      </c>
      <c r="AJ7" s="125">
        <f>MAX(0,MIN(DATE(AJ5,12,31),Inputs!$E$155)-MAX(DATE(AJ5,1,1)-1,Inputs!$E$154))/(Inputs!$E$155-Inputs!$E$154)</f>
        <v>0</v>
      </c>
      <c r="AK7" s="125">
        <f>MAX(0,MIN(DATE(AK5,12,31),Inputs!$E$155)-MAX(DATE(AK5,1,1)-1,Inputs!$E$154))/(Inputs!$E$155-Inputs!$E$154)</f>
        <v>0</v>
      </c>
      <c r="AL7" s="125">
        <f>MAX(0,MIN(DATE(AL5,12,31),Inputs!$E$155)-MAX(DATE(AL5,1,1)-1,Inputs!$E$154))/(Inputs!$E$155-Inputs!$E$154)</f>
        <v>0</v>
      </c>
      <c r="AM7" s="125">
        <f>MAX(0,MIN(DATE(AM5,12,31),Inputs!$E$155)-MAX(DATE(AM5,1,1)-1,Inputs!$E$154))/(Inputs!$E$155-Inputs!$E$154)</f>
        <v>0</v>
      </c>
      <c r="AN7" s="125">
        <f>MAX(0,MIN(DATE(AN5,12,31),Inputs!$E$155)-MAX(DATE(AN5,1,1)-1,Inputs!$E$154))/(Inputs!$E$155-Inputs!$E$154)</f>
        <v>0</v>
      </c>
      <c r="AO7" s="125">
        <f>MAX(0,MIN(DATE(AO5,12,31),Inputs!$E$155)-MAX(DATE(AO5,1,1)-1,Inputs!$E$154))/(Inputs!$E$155-Inputs!$E$154)</f>
        <v>0</v>
      </c>
      <c r="AP7" s="125">
        <f>MAX(0,MIN(DATE(AP5,12,31),Inputs!$E$155)-MAX(DATE(AP5,1,1)-1,Inputs!$E$154))/(Inputs!$E$155-Inputs!$E$154)</f>
        <v>0</v>
      </c>
      <c r="AQ7" s="125">
        <f>MAX(0,MIN(DATE(AQ5,12,31),Inputs!$E$155)-MAX(DATE(AQ5,1,1)-1,Inputs!$E$154))/(Inputs!$E$155-Inputs!$E$154)</f>
        <v>0</v>
      </c>
    </row>
    <row r="8" spans="1:43" x14ac:dyDescent="0.25">
      <c r="C8" s="90" t="s">
        <v>1326</v>
      </c>
      <c r="D8" s="90" t="s">
        <v>21</v>
      </c>
      <c r="E8" s="90"/>
      <c r="F8" s="90"/>
      <c r="G8" s="90">
        <f>SUM(H8:AQ8)</f>
        <v>29</v>
      </c>
      <c r="H8" s="94">
        <f>IF(H10&gt;=1,1,0)</f>
        <v>0</v>
      </c>
      <c r="I8" s="94">
        <f t="shared" ref="I8:AQ8" si="1">IF(I10&gt;=1,1,0)</f>
        <v>0</v>
      </c>
      <c r="J8" s="94">
        <f t="shared" si="1"/>
        <v>0</v>
      </c>
      <c r="K8" s="94">
        <f t="shared" si="1"/>
        <v>0</v>
      </c>
      <c r="L8" s="94">
        <f t="shared" si="1"/>
        <v>0</v>
      </c>
      <c r="M8" s="94">
        <f t="shared" si="1"/>
        <v>0</v>
      </c>
      <c r="N8" s="94">
        <f t="shared" si="1"/>
        <v>1</v>
      </c>
      <c r="O8" s="94">
        <f t="shared" si="1"/>
        <v>1</v>
      </c>
      <c r="P8" s="94">
        <f t="shared" si="1"/>
        <v>1</v>
      </c>
      <c r="Q8" s="94">
        <f t="shared" si="1"/>
        <v>1</v>
      </c>
      <c r="R8" s="94">
        <f t="shared" si="1"/>
        <v>1</v>
      </c>
      <c r="S8" s="94">
        <f t="shared" si="1"/>
        <v>1</v>
      </c>
      <c r="T8" s="94">
        <f t="shared" si="1"/>
        <v>1</v>
      </c>
      <c r="U8" s="94">
        <f t="shared" si="1"/>
        <v>1</v>
      </c>
      <c r="V8" s="94">
        <f t="shared" si="1"/>
        <v>1</v>
      </c>
      <c r="W8" s="94">
        <f t="shared" si="1"/>
        <v>1</v>
      </c>
      <c r="X8" s="94">
        <f t="shared" si="1"/>
        <v>1</v>
      </c>
      <c r="Y8" s="94">
        <f t="shared" si="1"/>
        <v>1</v>
      </c>
      <c r="Z8" s="94">
        <f t="shared" si="1"/>
        <v>1</v>
      </c>
      <c r="AA8" s="94">
        <f t="shared" si="1"/>
        <v>1</v>
      </c>
      <c r="AB8" s="94">
        <f t="shared" si="1"/>
        <v>1</v>
      </c>
      <c r="AC8" s="94">
        <f t="shared" si="1"/>
        <v>1</v>
      </c>
      <c r="AD8" s="94">
        <f t="shared" si="1"/>
        <v>1</v>
      </c>
      <c r="AE8" s="94">
        <f t="shared" si="1"/>
        <v>1</v>
      </c>
      <c r="AF8" s="94">
        <f t="shared" si="1"/>
        <v>1</v>
      </c>
      <c r="AG8" s="94">
        <f t="shared" si="1"/>
        <v>1</v>
      </c>
      <c r="AH8" s="94">
        <f t="shared" si="1"/>
        <v>1</v>
      </c>
      <c r="AI8" s="94">
        <f t="shared" si="1"/>
        <v>1</v>
      </c>
      <c r="AJ8" s="94">
        <f t="shared" si="1"/>
        <v>1</v>
      </c>
      <c r="AK8" s="94">
        <f t="shared" si="1"/>
        <v>1</v>
      </c>
      <c r="AL8" s="94">
        <f t="shared" si="1"/>
        <v>1</v>
      </c>
      <c r="AM8" s="94">
        <f t="shared" si="1"/>
        <v>1</v>
      </c>
      <c r="AN8" s="94">
        <f t="shared" si="1"/>
        <v>1</v>
      </c>
      <c r="AO8" s="94">
        <f t="shared" si="1"/>
        <v>1</v>
      </c>
      <c r="AP8" s="94">
        <f t="shared" si="1"/>
        <v>1</v>
      </c>
      <c r="AQ8" s="94">
        <f t="shared" si="1"/>
        <v>0</v>
      </c>
    </row>
    <row r="9" spans="1:43" x14ac:dyDescent="0.25">
      <c r="C9" s="90" t="s">
        <v>1327</v>
      </c>
      <c r="D9" s="90" t="s">
        <v>7</v>
      </c>
      <c r="E9" s="90"/>
      <c r="F9" s="90"/>
      <c r="G9" s="90"/>
      <c r="H9" s="94">
        <f>IF(AND(H10&gt;0,H$5&gt;=Inputs!$E$156),H$5-Inputs!$E$156+1,0)</f>
        <v>0</v>
      </c>
      <c r="I9" s="94">
        <f>IF(AND(I10&gt;0,I$5&gt;=Inputs!$E$156),I$5-Inputs!$E$156+1,0)</f>
        <v>0</v>
      </c>
      <c r="J9" s="94">
        <f>IF(AND(J10&gt;0,J$5&gt;=Inputs!$E$156),J$5-Inputs!$E$156+1,0)</f>
        <v>0</v>
      </c>
      <c r="K9" s="94">
        <f>IF(AND(K10&gt;0,K$5&gt;=Inputs!$E$156),K$5-Inputs!$E$156+1,0)</f>
        <v>0</v>
      </c>
      <c r="L9" s="94">
        <f>IF(AND(L10&gt;0,L$5&gt;=Inputs!$E$156),L$5-Inputs!$E$156+1,0)</f>
        <v>0</v>
      </c>
      <c r="M9" s="94">
        <f>IF(AND(M10&gt;0,M$5&gt;=Inputs!$E$156),M$5-Inputs!$E$156+1,0)</f>
        <v>0</v>
      </c>
      <c r="N9" s="94">
        <f>IF(AND(N10&gt;0,N$5&gt;=Inputs!$E$156),N$5-Inputs!$E$156+1,0)</f>
        <v>1</v>
      </c>
      <c r="O9" s="94">
        <f>IF(AND(O10&gt;0,O$5&gt;=Inputs!$E$156),O$5-Inputs!$E$156+1,0)</f>
        <v>2</v>
      </c>
      <c r="P9" s="94">
        <f>IF(AND(P10&gt;0,P$5&gt;=Inputs!$E$156),P$5-Inputs!$E$156+1,0)</f>
        <v>3</v>
      </c>
      <c r="Q9" s="94">
        <f>IF(AND(Q10&gt;0,Q$5&gt;=Inputs!$E$156),Q$5-Inputs!$E$156+1,0)</f>
        <v>4</v>
      </c>
      <c r="R9" s="94">
        <f>IF(AND(R10&gt;0,R$5&gt;=Inputs!$E$156),R$5-Inputs!$E$156+1,0)</f>
        <v>5</v>
      </c>
      <c r="S9" s="94">
        <f>IF(AND(S10&gt;0,S$5&gt;=Inputs!$E$156),S$5-Inputs!$E$156+1,0)</f>
        <v>6</v>
      </c>
      <c r="T9" s="94">
        <f>IF(AND(T10&gt;0,T$5&gt;=Inputs!$E$156),T$5-Inputs!$E$156+1,0)</f>
        <v>7</v>
      </c>
      <c r="U9" s="94">
        <f>IF(AND(U10&gt;0,U$5&gt;=Inputs!$E$156),U$5-Inputs!$E$156+1,0)</f>
        <v>8</v>
      </c>
      <c r="V9" s="94">
        <f>IF(AND(V10&gt;0,V$5&gt;=Inputs!$E$156),V$5-Inputs!$E$156+1,0)</f>
        <v>9</v>
      </c>
      <c r="W9" s="94">
        <f>IF(AND(W10&gt;0,W$5&gt;=Inputs!$E$156),W$5-Inputs!$E$156+1,0)</f>
        <v>10</v>
      </c>
      <c r="X9" s="94">
        <f>IF(AND(X10&gt;0,X$5&gt;=Inputs!$E$156),X$5-Inputs!$E$156+1,0)</f>
        <v>11</v>
      </c>
      <c r="Y9" s="94">
        <f>IF(AND(Y10&gt;0,Y$5&gt;=Inputs!$E$156),Y$5-Inputs!$E$156+1,0)</f>
        <v>12</v>
      </c>
      <c r="Z9" s="94">
        <f>IF(AND(Z10&gt;0,Z$5&gt;=Inputs!$E$156),Z$5-Inputs!$E$156+1,0)</f>
        <v>13</v>
      </c>
      <c r="AA9" s="94">
        <f>IF(AND(AA10&gt;0,AA$5&gt;=Inputs!$E$156),AA$5-Inputs!$E$156+1,0)</f>
        <v>14</v>
      </c>
      <c r="AB9" s="94">
        <f>IF(AND(AB10&gt;0,AB$5&gt;=Inputs!$E$156),AB$5-Inputs!$E$156+1,0)</f>
        <v>15</v>
      </c>
      <c r="AC9" s="94">
        <f>IF(AND(AC10&gt;0,AC$5&gt;=Inputs!$E$156),AC$5-Inputs!$E$156+1,0)</f>
        <v>16</v>
      </c>
      <c r="AD9" s="94">
        <f>IF(AND(AD10&gt;0,AD$5&gt;=Inputs!$E$156),AD$5-Inputs!$E$156+1,0)</f>
        <v>17</v>
      </c>
      <c r="AE9" s="94">
        <f>IF(AND(AE10&gt;0,AE$5&gt;=Inputs!$E$156),AE$5-Inputs!$E$156+1,0)</f>
        <v>18</v>
      </c>
      <c r="AF9" s="94">
        <f>IF(AND(AF10&gt;0,AF$5&gt;=Inputs!$E$156),AF$5-Inputs!$E$156+1,0)</f>
        <v>19</v>
      </c>
      <c r="AG9" s="94">
        <f>IF(AND(AG10&gt;0,AG$5&gt;=Inputs!$E$156),AG$5-Inputs!$E$156+1,0)</f>
        <v>20</v>
      </c>
      <c r="AH9" s="94">
        <f>IF(AND(AH10&gt;0,AH$5&gt;=Inputs!$E$156),AH$5-Inputs!$E$156+1,0)</f>
        <v>21</v>
      </c>
      <c r="AI9" s="94">
        <f>IF(AND(AI10&gt;0,AI$5&gt;=Inputs!$E$156),AI$5-Inputs!$E$156+1,0)</f>
        <v>22</v>
      </c>
      <c r="AJ9" s="94">
        <f>IF(AND(AJ10&gt;0,AJ$5&gt;=Inputs!$E$156),AJ$5-Inputs!$E$156+1,0)</f>
        <v>23</v>
      </c>
      <c r="AK9" s="94">
        <f>IF(AND(AK10&gt;0,AK$5&gt;=Inputs!$E$156),AK$5-Inputs!$E$156+1,0)</f>
        <v>24</v>
      </c>
      <c r="AL9" s="94">
        <f>IF(AND(AL10&gt;0,AL$5&gt;=Inputs!$E$156),AL$5-Inputs!$E$156+1,0)</f>
        <v>25</v>
      </c>
      <c r="AM9" s="94">
        <f>IF(AND(AM10&gt;0,AM$5&gt;=Inputs!$E$156),AM$5-Inputs!$E$156+1,0)</f>
        <v>26</v>
      </c>
      <c r="AN9" s="94">
        <f>IF(AND(AN10&gt;0,AN$5&gt;=Inputs!$E$156),AN$5-Inputs!$E$156+1,0)</f>
        <v>27</v>
      </c>
      <c r="AO9" s="94">
        <f>IF(AND(AO10&gt;0,AO$5&gt;=Inputs!$E$156),AO$5-Inputs!$E$156+1,0)</f>
        <v>28</v>
      </c>
      <c r="AP9" s="94">
        <f>IF(AND(AP10&gt;0,AP$5&gt;=Inputs!$E$156),AP$5-Inputs!$E$156+1,0)</f>
        <v>29</v>
      </c>
      <c r="AQ9" s="94">
        <f>IF(AND(AQ10&gt;0,AQ$5&gt;=Inputs!$E$156),AQ$5-Inputs!$E$156+1,0)</f>
        <v>30</v>
      </c>
    </row>
    <row r="10" spans="1:43" x14ac:dyDescent="0.25">
      <c r="C10" s="90" t="s">
        <v>1328</v>
      </c>
      <c r="D10" s="90" t="s">
        <v>2</v>
      </c>
      <c r="E10" s="90"/>
      <c r="F10" s="90"/>
      <c r="G10" s="90">
        <f>SUM(H10:AQ10)</f>
        <v>30</v>
      </c>
      <c r="H10" s="125">
        <f>IF(H$5=YEAR(Inputs!$E$155),(12-MONTH(Inputs!$E$155))/12,0)+IF(AND(H$5&gt;=Inputs!$E$156,H$5&lt;Inputs!$E$158),1,0)+IF(H$5=Inputs!$E$158,MONTH(Inputs!$E$155)/12,0)</f>
        <v>0</v>
      </c>
      <c r="I10" s="125">
        <f>IF(I$5=YEAR(Inputs!$E$155),(12-MONTH(Inputs!$E$155))/12,0)+IF(AND(I$5&gt;=Inputs!$E$156,I$5&lt;Inputs!$E$158),1,0)+IF(I$5=Inputs!$E$158,MONTH(Inputs!$E$155)/12,0)</f>
        <v>0</v>
      </c>
      <c r="J10" s="125">
        <f>IF(J$5=YEAR(Inputs!$E$155),(12-MONTH(Inputs!$E$155))/12,0)+IF(AND(J$5&gt;=Inputs!$E$156,J$5&lt;Inputs!$E$158),1,0)+IF(J$5=Inputs!$E$158,MONTH(Inputs!$E$155)/12,0)</f>
        <v>0</v>
      </c>
      <c r="K10" s="125">
        <f>IF(K$5=YEAR(Inputs!$E$155),(12-MONTH(Inputs!$E$155))/12,0)+IF(AND(K$5&gt;=Inputs!$E$156,K$5&lt;Inputs!$E$158),1,0)+IF(K$5=Inputs!$E$158,MONTH(Inputs!$E$155)/12,0)</f>
        <v>0</v>
      </c>
      <c r="L10" s="125">
        <f>IF(L$5=YEAR(Inputs!$E$155),(12-MONTH(Inputs!$E$155))/12,0)+IF(AND(L$5&gt;=Inputs!$E$156,L$5&lt;Inputs!$E$158),1,0)+IF(L$5=Inputs!$E$158,MONTH(Inputs!$E$155)/12,0)</f>
        <v>0</v>
      </c>
      <c r="M10" s="125">
        <f>IF(M$5=YEAR(Inputs!$E$155),(12-MONTH(Inputs!$E$155))/12,0)+IF(AND(M$5&gt;=Inputs!$E$156,M$5&lt;Inputs!$E$158),1,0)+IF(M$5=Inputs!$E$158,MONTH(Inputs!$E$155)/12,0)</f>
        <v>0.25</v>
      </c>
      <c r="N10" s="125">
        <f>IF(N$5=YEAR(Inputs!$E$155),(12-MONTH(Inputs!$E$155))/12,0)+IF(AND(N$5&gt;=Inputs!$E$156,N$5&lt;Inputs!$E$158),1,0)+IF(N$5=Inputs!$E$158,MONTH(Inputs!$E$155)/12,0)</f>
        <v>1</v>
      </c>
      <c r="O10" s="125">
        <f>IF(O$5=YEAR(Inputs!$E$155),(12-MONTH(Inputs!$E$155))/12,0)+IF(AND(O$5&gt;=Inputs!$E$156,O$5&lt;Inputs!$E$158),1,0)+IF(O$5=Inputs!$E$158,MONTH(Inputs!$E$155)/12,0)</f>
        <v>1</v>
      </c>
      <c r="P10" s="125">
        <f>IF(P$5=YEAR(Inputs!$E$155),(12-MONTH(Inputs!$E$155))/12,0)+IF(AND(P$5&gt;=Inputs!$E$156,P$5&lt;Inputs!$E$158),1,0)+IF(P$5=Inputs!$E$158,MONTH(Inputs!$E$155)/12,0)</f>
        <v>1</v>
      </c>
      <c r="Q10" s="125">
        <f>IF(Q$5=YEAR(Inputs!$E$155),(12-MONTH(Inputs!$E$155))/12,0)+IF(AND(Q$5&gt;=Inputs!$E$156,Q$5&lt;Inputs!$E$158),1,0)+IF(Q$5=Inputs!$E$158,MONTH(Inputs!$E$155)/12,0)</f>
        <v>1</v>
      </c>
      <c r="R10" s="125">
        <f>IF(R$5=YEAR(Inputs!$E$155),(12-MONTH(Inputs!$E$155))/12,0)+IF(AND(R$5&gt;=Inputs!$E$156,R$5&lt;Inputs!$E$158),1,0)+IF(R$5=Inputs!$E$158,MONTH(Inputs!$E$155)/12,0)</f>
        <v>1</v>
      </c>
      <c r="S10" s="125">
        <f>IF(S$5=YEAR(Inputs!$E$155),(12-MONTH(Inputs!$E$155))/12,0)+IF(AND(S$5&gt;=Inputs!$E$156,S$5&lt;Inputs!$E$158),1,0)+IF(S$5=Inputs!$E$158,MONTH(Inputs!$E$155)/12,0)</f>
        <v>1</v>
      </c>
      <c r="T10" s="125">
        <f>IF(T$5=YEAR(Inputs!$E$155),(12-MONTH(Inputs!$E$155))/12,0)+IF(AND(T$5&gt;=Inputs!$E$156,T$5&lt;Inputs!$E$158),1,0)+IF(T$5=Inputs!$E$158,MONTH(Inputs!$E$155)/12,0)</f>
        <v>1</v>
      </c>
      <c r="U10" s="125">
        <f>IF(U$5=YEAR(Inputs!$E$155),(12-MONTH(Inputs!$E$155))/12,0)+IF(AND(U$5&gt;=Inputs!$E$156,U$5&lt;Inputs!$E$158),1,0)+IF(U$5=Inputs!$E$158,MONTH(Inputs!$E$155)/12,0)</f>
        <v>1</v>
      </c>
      <c r="V10" s="125">
        <f>IF(V$5=YEAR(Inputs!$E$155),(12-MONTH(Inputs!$E$155))/12,0)+IF(AND(V$5&gt;=Inputs!$E$156,V$5&lt;Inputs!$E$158),1,0)+IF(V$5=Inputs!$E$158,MONTH(Inputs!$E$155)/12,0)</f>
        <v>1</v>
      </c>
      <c r="W10" s="125">
        <f>IF(W$5=YEAR(Inputs!$E$155),(12-MONTH(Inputs!$E$155))/12,0)+IF(AND(W$5&gt;=Inputs!$E$156,W$5&lt;Inputs!$E$158),1,0)+IF(W$5=Inputs!$E$158,MONTH(Inputs!$E$155)/12,0)</f>
        <v>1</v>
      </c>
      <c r="X10" s="125">
        <f>IF(X$5=YEAR(Inputs!$E$155),(12-MONTH(Inputs!$E$155))/12,0)+IF(AND(X$5&gt;=Inputs!$E$156,X$5&lt;Inputs!$E$158),1,0)+IF(X$5=Inputs!$E$158,MONTH(Inputs!$E$155)/12,0)</f>
        <v>1</v>
      </c>
      <c r="Y10" s="125">
        <f>IF(Y$5=YEAR(Inputs!$E$155),(12-MONTH(Inputs!$E$155))/12,0)+IF(AND(Y$5&gt;=Inputs!$E$156,Y$5&lt;Inputs!$E$158),1,0)+IF(Y$5=Inputs!$E$158,MONTH(Inputs!$E$155)/12,0)</f>
        <v>1</v>
      </c>
      <c r="Z10" s="125">
        <f>IF(Z$5=YEAR(Inputs!$E$155),(12-MONTH(Inputs!$E$155))/12,0)+IF(AND(Z$5&gt;=Inputs!$E$156,Z$5&lt;Inputs!$E$158),1,0)+IF(Z$5=Inputs!$E$158,MONTH(Inputs!$E$155)/12,0)</f>
        <v>1</v>
      </c>
      <c r="AA10" s="125">
        <f>IF(AA$5=YEAR(Inputs!$E$155),(12-MONTH(Inputs!$E$155))/12,0)+IF(AND(AA$5&gt;=Inputs!$E$156,AA$5&lt;Inputs!$E$158),1,0)+IF(AA$5=Inputs!$E$158,MONTH(Inputs!$E$155)/12,0)</f>
        <v>1</v>
      </c>
      <c r="AB10" s="125">
        <f>IF(AB$5=YEAR(Inputs!$E$155),(12-MONTH(Inputs!$E$155))/12,0)+IF(AND(AB$5&gt;=Inputs!$E$156,AB$5&lt;Inputs!$E$158),1,0)+IF(AB$5=Inputs!$E$158,MONTH(Inputs!$E$155)/12,0)</f>
        <v>1</v>
      </c>
      <c r="AC10" s="125">
        <f>IF(AC$5=YEAR(Inputs!$E$155),(12-MONTH(Inputs!$E$155))/12,0)+IF(AND(AC$5&gt;=Inputs!$E$156,AC$5&lt;Inputs!$E$158),1,0)+IF(AC$5=Inputs!$E$158,MONTH(Inputs!$E$155)/12,0)</f>
        <v>1</v>
      </c>
      <c r="AD10" s="125">
        <f>IF(AD$5=YEAR(Inputs!$E$155),(12-MONTH(Inputs!$E$155))/12,0)+IF(AND(AD$5&gt;=Inputs!$E$156,AD$5&lt;Inputs!$E$158),1,0)+IF(AD$5=Inputs!$E$158,MONTH(Inputs!$E$155)/12,0)</f>
        <v>1</v>
      </c>
      <c r="AE10" s="125">
        <f>IF(AE$5=YEAR(Inputs!$E$155),(12-MONTH(Inputs!$E$155))/12,0)+IF(AND(AE$5&gt;=Inputs!$E$156,AE$5&lt;Inputs!$E$158),1,0)+IF(AE$5=Inputs!$E$158,MONTH(Inputs!$E$155)/12,0)</f>
        <v>1</v>
      </c>
      <c r="AF10" s="125">
        <f>IF(AF$5=YEAR(Inputs!$E$155),(12-MONTH(Inputs!$E$155))/12,0)+IF(AND(AF$5&gt;=Inputs!$E$156,AF$5&lt;Inputs!$E$158),1,0)+IF(AF$5=Inputs!$E$158,MONTH(Inputs!$E$155)/12,0)</f>
        <v>1</v>
      </c>
      <c r="AG10" s="125">
        <f>IF(AG$5=YEAR(Inputs!$E$155),(12-MONTH(Inputs!$E$155))/12,0)+IF(AND(AG$5&gt;=Inputs!$E$156,AG$5&lt;Inputs!$E$158),1,0)+IF(AG$5=Inputs!$E$158,MONTH(Inputs!$E$155)/12,0)</f>
        <v>1</v>
      </c>
      <c r="AH10" s="125">
        <f>IF(AH$5=YEAR(Inputs!$E$155),(12-MONTH(Inputs!$E$155))/12,0)+IF(AND(AH$5&gt;=Inputs!$E$156,AH$5&lt;Inputs!$E$158),1,0)+IF(AH$5=Inputs!$E$158,MONTH(Inputs!$E$155)/12,0)</f>
        <v>1</v>
      </c>
      <c r="AI10" s="125">
        <f>IF(AI$5=YEAR(Inputs!$E$155),(12-MONTH(Inputs!$E$155))/12,0)+IF(AND(AI$5&gt;=Inputs!$E$156,AI$5&lt;Inputs!$E$158),1,0)+IF(AI$5=Inputs!$E$158,MONTH(Inputs!$E$155)/12,0)</f>
        <v>1</v>
      </c>
      <c r="AJ10" s="125">
        <f>IF(AJ$5=YEAR(Inputs!$E$155),(12-MONTH(Inputs!$E$155))/12,0)+IF(AND(AJ$5&gt;=Inputs!$E$156,AJ$5&lt;Inputs!$E$158),1,0)+IF(AJ$5=Inputs!$E$158,MONTH(Inputs!$E$155)/12,0)</f>
        <v>1</v>
      </c>
      <c r="AK10" s="125">
        <f>IF(AK$5=YEAR(Inputs!$E$155),(12-MONTH(Inputs!$E$155))/12,0)+IF(AND(AK$5&gt;=Inputs!$E$156,AK$5&lt;Inputs!$E$158),1,0)+IF(AK$5=Inputs!$E$158,MONTH(Inputs!$E$155)/12,0)</f>
        <v>1</v>
      </c>
      <c r="AL10" s="125">
        <f>IF(AL$5=YEAR(Inputs!$E$155),(12-MONTH(Inputs!$E$155))/12,0)+IF(AND(AL$5&gt;=Inputs!$E$156,AL$5&lt;Inputs!$E$158),1,0)+IF(AL$5=Inputs!$E$158,MONTH(Inputs!$E$155)/12,0)</f>
        <v>1</v>
      </c>
      <c r="AM10" s="125">
        <f>IF(AM$5=YEAR(Inputs!$E$155),(12-MONTH(Inputs!$E$155))/12,0)+IF(AND(AM$5&gt;=Inputs!$E$156,AM$5&lt;Inputs!$E$158),1,0)+IF(AM$5=Inputs!$E$158,MONTH(Inputs!$E$155)/12,0)</f>
        <v>1</v>
      </c>
      <c r="AN10" s="125">
        <f>IF(AN$5=YEAR(Inputs!$E$155),(12-MONTH(Inputs!$E$155))/12,0)+IF(AND(AN$5&gt;=Inputs!$E$156,AN$5&lt;Inputs!$E$158),1,0)+IF(AN$5=Inputs!$E$158,MONTH(Inputs!$E$155)/12,0)</f>
        <v>1</v>
      </c>
      <c r="AO10" s="125">
        <f>IF(AO$5=YEAR(Inputs!$E$155),(12-MONTH(Inputs!$E$155))/12,0)+IF(AND(AO$5&gt;=Inputs!$E$156,AO$5&lt;Inputs!$E$158),1,0)+IF(AO$5=Inputs!$E$158,MONTH(Inputs!$E$155)/12,0)</f>
        <v>1</v>
      </c>
      <c r="AP10" s="125">
        <f>IF(AP$5=YEAR(Inputs!$E$155),(12-MONTH(Inputs!$E$155))/12,0)+IF(AND(AP$5&gt;=Inputs!$E$156,AP$5&lt;Inputs!$E$158),1,0)+IF(AP$5=Inputs!$E$158,MONTH(Inputs!$E$155)/12,0)</f>
        <v>1</v>
      </c>
      <c r="AQ10" s="125">
        <f>IF(AQ$5=YEAR(Inputs!$E$155),(12-MONTH(Inputs!$E$155))/12,0)+IF(AND(AQ$5&gt;=Inputs!$E$156,AQ$5&lt;Inputs!$E$158),1,0)+IF(AQ$5=Inputs!$E$158,MONTH(Inputs!$E$155)/12,0)</f>
        <v>0.75</v>
      </c>
    </row>
    <row r="11" spans="1:43" x14ac:dyDescent="0.25">
      <c r="C11" s="90" t="s">
        <v>939</v>
      </c>
      <c r="D11" s="90" t="s">
        <v>21</v>
      </c>
      <c r="E11" s="90"/>
      <c r="F11" s="90"/>
      <c r="G11" s="90"/>
      <c r="H11" s="94">
        <f>IF(H5=Inputs!$E$158,1,0)</f>
        <v>0</v>
      </c>
      <c r="I11" s="94">
        <f>IF(I5=Inputs!$E$158,1,0)</f>
        <v>0</v>
      </c>
      <c r="J11" s="94">
        <f>IF(J5=Inputs!$E$158,1,0)</f>
        <v>0</v>
      </c>
      <c r="K11" s="94">
        <f>IF(K5=Inputs!$E$158,1,0)</f>
        <v>0</v>
      </c>
      <c r="L11" s="94">
        <f>IF(L5=Inputs!$E$158,1,0)</f>
        <v>0</v>
      </c>
      <c r="M11" s="94">
        <f>IF(M5=Inputs!$E$158,1,0)</f>
        <v>0</v>
      </c>
      <c r="N11" s="94">
        <f>IF(N5=Inputs!$E$158,1,0)</f>
        <v>0</v>
      </c>
      <c r="O11" s="94">
        <f>IF(O5=Inputs!$E$158,1,0)</f>
        <v>0</v>
      </c>
      <c r="P11" s="94">
        <f>IF(P5=Inputs!$E$158,1,0)</f>
        <v>0</v>
      </c>
      <c r="Q11" s="94">
        <f>IF(Q5=Inputs!$E$158,1,0)</f>
        <v>0</v>
      </c>
      <c r="R11" s="94">
        <f>IF(R5=Inputs!$E$158,1,0)</f>
        <v>0</v>
      </c>
      <c r="S11" s="94">
        <f>IF(S5=Inputs!$E$158,1,0)</f>
        <v>0</v>
      </c>
      <c r="T11" s="94">
        <f>IF(T5=Inputs!$E$158,1,0)</f>
        <v>0</v>
      </c>
      <c r="U11" s="94">
        <f>IF(U5=Inputs!$E$158,1,0)</f>
        <v>0</v>
      </c>
      <c r="V11" s="94">
        <f>IF(V5=Inputs!$E$158,1,0)</f>
        <v>0</v>
      </c>
      <c r="W11" s="94">
        <f>IF(W5=Inputs!$E$158,1,0)</f>
        <v>0</v>
      </c>
      <c r="X11" s="94">
        <f>IF(X5=Inputs!$E$158,1,0)</f>
        <v>0</v>
      </c>
      <c r="Y11" s="94">
        <f>IF(Y5=Inputs!$E$158,1,0)</f>
        <v>0</v>
      </c>
      <c r="Z11" s="94">
        <f>IF(Z5=Inputs!$E$158,1,0)</f>
        <v>0</v>
      </c>
      <c r="AA11" s="94">
        <f>IF(AA5=Inputs!$E$158,1,0)</f>
        <v>0</v>
      </c>
      <c r="AB11" s="94">
        <f>IF(AB5=Inputs!$E$158,1,0)</f>
        <v>0</v>
      </c>
      <c r="AC11" s="94">
        <f>IF(AC5=Inputs!$E$158,1,0)</f>
        <v>0</v>
      </c>
      <c r="AD11" s="94">
        <f>IF(AD5=Inputs!$E$158,1,0)</f>
        <v>0</v>
      </c>
      <c r="AE11" s="94">
        <f>IF(AE5=Inputs!$E$158,1,0)</f>
        <v>0</v>
      </c>
      <c r="AF11" s="94">
        <f>IF(AF5=Inputs!$E$158,1,0)</f>
        <v>0</v>
      </c>
      <c r="AG11" s="94">
        <f>IF(AG5=Inputs!$E$158,1,0)</f>
        <v>0</v>
      </c>
      <c r="AH11" s="94">
        <f>IF(AH5=Inputs!$E$158,1,0)</f>
        <v>0</v>
      </c>
      <c r="AI11" s="94">
        <f>IF(AI5=Inputs!$E$158,1,0)</f>
        <v>0</v>
      </c>
      <c r="AJ11" s="94">
        <f>IF(AJ5=Inputs!$E$158,1,0)</f>
        <v>0</v>
      </c>
      <c r="AK11" s="94">
        <f>IF(AK5=Inputs!$E$158,1,0)</f>
        <v>0</v>
      </c>
      <c r="AL11" s="94">
        <f>IF(AL5=Inputs!$E$158,1,0)</f>
        <v>0</v>
      </c>
      <c r="AM11" s="94">
        <f>IF(AM5=Inputs!$E$158,1,0)</f>
        <v>0</v>
      </c>
      <c r="AN11" s="94">
        <f>IF(AN5=Inputs!$E$158,1,0)</f>
        <v>0</v>
      </c>
      <c r="AO11" s="94">
        <f>IF(AO5=Inputs!$E$158,1,0)</f>
        <v>0</v>
      </c>
      <c r="AP11" s="94">
        <f>IF(AP5=Inputs!$E$158,1,0)</f>
        <v>0</v>
      </c>
      <c r="AQ11" s="94">
        <f>IF(AQ5=Inputs!$E$158,1,0)</f>
        <v>1</v>
      </c>
    </row>
    <row r="12" spans="1:43" x14ac:dyDescent="0.25">
      <c r="C12" s="90" t="s">
        <v>940</v>
      </c>
      <c r="D12" s="90" t="s">
        <v>4</v>
      </c>
      <c r="E12" s="127">
        <f>Inputs!$E$224</f>
        <v>0.08</v>
      </c>
      <c r="F12" s="90"/>
      <c r="G12" s="90"/>
      <c r="H12" s="126">
        <f>1/(1+$E$12)^H4</f>
        <v>1</v>
      </c>
      <c r="I12" s="126">
        <f t="shared" ref="I12:AO12" si="2">1/(1+$E$12)^I4</f>
        <v>0.9259259259259258</v>
      </c>
      <c r="J12" s="126">
        <f t="shared" si="2"/>
        <v>0.8573388203017832</v>
      </c>
      <c r="K12" s="126">
        <f t="shared" si="2"/>
        <v>0.7938322410201696</v>
      </c>
      <c r="L12" s="126">
        <f t="shared" si="2"/>
        <v>0.7350298527964533</v>
      </c>
      <c r="M12" s="126">
        <f t="shared" si="2"/>
        <v>0.6805831970337529</v>
      </c>
      <c r="N12" s="126">
        <f t="shared" si="2"/>
        <v>0.6301696268831045</v>
      </c>
      <c r="O12" s="126">
        <f t="shared" si="2"/>
        <v>0.5834903952621338</v>
      </c>
      <c r="P12" s="126">
        <f t="shared" si="2"/>
        <v>0.5402688845019757</v>
      </c>
      <c r="Q12" s="126">
        <f t="shared" si="2"/>
        <v>0.5002489671314589</v>
      </c>
      <c r="R12" s="126">
        <f t="shared" si="2"/>
        <v>0.46319348808468414</v>
      </c>
      <c r="S12" s="126">
        <f t="shared" si="2"/>
        <v>0.4288828593376705</v>
      </c>
      <c r="T12" s="126">
        <f t="shared" si="2"/>
        <v>0.3971137586459912</v>
      </c>
      <c r="U12" s="126">
        <f t="shared" si="2"/>
        <v>0.367697924672214</v>
      </c>
      <c r="V12" s="126">
        <f t="shared" si="2"/>
        <v>0.34046104136316113</v>
      </c>
      <c r="W12" s="126">
        <f t="shared" si="2"/>
        <v>0.31524170496588994</v>
      </c>
      <c r="X12" s="126">
        <f t="shared" si="2"/>
        <v>0.29189046756100917</v>
      </c>
      <c r="Y12" s="126">
        <f t="shared" si="2"/>
        <v>0.2702689514453788</v>
      </c>
      <c r="Z12" s="126">
        <f t="shared" si="2"/>
        <v>0.2502490291160915</v>
      </c>
      <c r="AA12" s="126">
        <f t="shared" si="2"/>
        <v>0.231712063996381</v>
      </c>
      <c r="AB12" s="126">
        <f t="shared" si="2"/>
        <v>0.21454820740405645</v>
      </c>
      <c r="AC12" s="126">
        <f t="shared" si="2"/>
        <v>0.19865574759634858</v>
      </c>
      <c r="AD12" s="126">
        <f t="shared" si="2"/>
        <v>0.18394050703365605</v>
      </c>
      <c r="AE12" s="126">
        <f t="shared" si="2"/>
        <v>0.17031528429042228</v>
      </c>
      <c r="AF12" s="126">
        <f t="shared" si="2"/>
        <v>0.15769933730594654</v>
      </c>
      <c r="AG12" s="126">
        <f t="shared" si="2"/>
        <v>0.14601790491291344</v>
      </c>
      <c r="AH12" s="126">
        <f t="shared" si="2"/>
        <v>0.1352017638082532</v>
      </c>
      <c r="AI12" s="126">
        <f t="shared" si="2"/>
        <v>0.12518681834097517</v>
      </c>
      <c r="AJ12" s="126">
        <f t="shared" si="2"/>
        <v>0.1159137206860881</v>
      </c>
      <c r="AK12" s="126">
        <f t="shared" si="2"/>
        <v>0.10732751915378527</v>
      </c>
      <c r="AL12" s="126">
        <f t="shared" si="2"/>
        <v>0.09937733254980118</v>
      </c>
      <c r="AM12" s="126">
        <f t="shared" si="2"/>
        <v>0.0920160486572233</v>
      </c>
      <c r="AN12" s="126">
        <f t="shared" si="2"/>
        <v>0.08520004505298454</v>
      </c>
      <c r="AO12" s="126">
        <f t="shared" si="2"/>
        <v>0.07888893060461531</v>
      </c>
      <c r="AP12" s="126">
        <f>1/(1+$E$12)^AP4</f>
        <v>0.07304530611538454</v>
      </c>
      <c r="AQ12" s="126">
        <f>1/(1+$E$12)^AQ4</f>
        <v>0.06763454269943012</v>
      </c>
    </row>
    <row r="13" spans="1:43" x14ac:dyDescent="0.25">
      <c r="C13" s="90" t="s">
        <v>941</v>
      </c>
      <c r="D13" s="90" t="s">
        <v>4</v>
      </c>
      <c r="E13" s="127">
        <f>Inputs!$E$225</f>
        <v>0.08</v>
      </c>
      <c r="F13" s="90"/>
      <c r="G13" s="90"/>
      <c r="H13" s="126">
        <f>1/(1+$E$13)^H4</f>
        <v>1</v>
      </c>
      <c r="I13" s="126">
        <f t="shared" ref="I13:AO13" si="3">1/(1+$E$13)^I4</f>
        <v>0.9259259259259258</v>
      </c>
      <c r="J13" s="126">
        <f t="shared" si="3"/>
        <v>0.8573388203017832</v>
      </c>
      <c r="K13" s="126">
        <f t="shared" si="3"/>
        <v>0.7938322410201696</v>
      </c>
      <c r="L13" s="126">
        <f t="shared" si="3"/>
        <v>0.7350298527964533</v>
      </c>
      <c r="M13" s="126">
        <f t="shared" si="3"/>
        <v>0.6805831970337529</v>
      </c>
      <c r="N13" s="126">
        <f t="shared" si="3"/>
        <v>0.6301696268831045</v>
      </c>
      <c r="O13" s="126">
        <f t="shared" si="3"/>
        <v>0.5834903952621338</v>
      </c>
      <c r="P13" s="126">
        <f t="shared" si="3"/>
        <v>0.5402688845019757</v>
      </c>
      <c r="Q13" s="126">
        <f t="shared" si="3"/>
        <v>0.5002489671314589</v>
      </c>
      <c r="R13" s="126">
        <f t="shared" si="3"/>
        <v>0.46319348808468414</v>
      </c>
      <c r="S13" s="126">
        <f t="shared" si="3"/>
        <v>0.4288828593376705</v>
      </c>
      <c r="T13" s="126">
        <f t="shared" si="3"/>
        <v>0.3971137586459912</v>
      </c>
      <c r="U13" s="126">
        <f t="shared" si="3"/>
        <v>0.367697924672214</v>
      </c>
      <c r="V13" s="126">
        <f t="shared" si="3"/>
        <v>0.34046104136316113</v>
      </c>
      <c r="W13" s="126">
        <f t="shared" si="3"/>
        <v>0.31524170496588994</v>
      </c>
      <c r="X13" s="126">
        <f t="shared" si="3"/>
        <v>0.29189046756100917</v>
      </c>
      <c r="Y13" s="126">
        <f t="shared" si="3"/>
        <v>0.2702689514453788</v>
      </c>
      <c r="Z13" s="126">
        <f t="shared" si="3"/>
        <v>0.2502490291160915</v>
      </c>
      <c r="AA13" s="126">
        <f t="shared" si="3"/>
        <v>0.231712063996381</v>
      </c>
      <c r="AB13" s="126">
        <f t="shared" si="3"/>
        <v>0.21454820740405645</v>
      </c>
      <c r="AC13" s="126">
        <f t="shared" si="3"/>
        <v>0.19865574759634858</v>
      </c>
      <c r="AD13" s="126">
        <f t="shared" si="3"/>
        <v>0.18394050703365605</v>
      </c>
      <c r="AE13" s="126">
        <f t="shared" si="3"/>
        <v>0.17031528429042228</v>
      </c>
      <c r="AF13" s="126">
        <f t="shared" si="3"/>
        <v>0.15769933730594654</v>
      </c>
      <c r="AG13" s="126">
        <f t="shared" si="3"/>
        <v>0.14601790491291344</v>
      </c>
      <c r="AH13" s="126">
        <f t="shared" si="3"/>
        <v>0.1352017638082532</v>
      </c>
      <c r="AI13" s="126">
        <f t="shared" si="3"/>
        <v>0.12518681834097517</v>
      </c>
      <c r="AJ13" s="126">
        <f t="shared" si="3"/>
        <v>0.1159137206860881</v>
      </c>
      <c r="AK13" s="126">
        <f t="shared" si="3"/>
        <v>0.10732751915378527</v>
      </c>
      <c r="AL13" s="126">
        <f t="shared" si="3"/>
        <v>0.09937733254980118</v>
      </c>
      <c r="AM13" s="126">
        <f t="shared" si="3"/>
        <v>0.0920160486572233</v>
      </c>
      <c r="AN13" s="126">
        <f t="shared" si="3"/>
        <v>0.08520004505298454</v>
      </c>
      <c r="AO13" s="126">
        <f t="shared" si="3"/>
        <v>0.07888893060461531</v>
      </c>
      <c r="AP13" s="126">
        <f>1/(1+$E$13)^AP4</f>
        <v>0.07304530611538454</v>
      </c>
      <c r="AQ13" s="126">
        <f>1/(1+$E$13)^AQ4</f>
        <v>0.06763454269943012</v>
      </c>
    </row>
    <row r="14" spans="1:43" x14ac:dyDescent="0.25">
      <c r="C14" s="90" t="s">
        <v>1325</v>
      </c>
      <c r="D14" s="90" t="s">
        <v>2</v>
      </c>
      <c r="E14" s="90"/>
      <c r="F14" s="90"/>
      <c r="G14" s="90">
        <f>SUM(H14:AQ14)</f>
        <v>2</v>
      </c>
      <c r="H14" s="125">
        <f>MAX(0,MIN(DATE(H$5,12,31),Inputs!$E$155)-MAX(DATE(H$5,1,1)-1,Inputs!$E$154))/(DATE(H$5,12,31)-DATE(H$5,1,1)+1)</f>
        <v>0</v>
      </c>
      <c r="I14" s="125">
        <f>MAX(0,MIN(DATE(I$5,12,31),Inputs!$E$155)-MAX(DATE(I$5,1,1)-1,Inputs!$E$154))/(DATE(I$5,12,31)-DATE(I$5,1,1)+1)</f>
        <v>0</v>
      </c>
      <c r="J14" s="125">
        <f>MAX(0,MIN(DATE(J$5,12,31),Inputs!$E$155)-MAX(DATE(J$5,1,1)-1,Inputs!$E$154))/(DATE(J$5,12,31)-DATE(J$5,1,1)+1)</f>
        <v>0</v>
      </c>
      <c r="K14" s="125">
        <f>MAX(0,MIN(DATE(K$5,12,31),Inputs!$E$155)-MAX(DATE(K$5,1,1)-1,Inputs!$E$154))/(DATE(K$5,12,31)-DATE(K$5,1,1)+1)</f>
        <v>0.25205479452054796</v>
      </c>
      <c r="L14" s="125">
        <f>MAX(0,MIN(DATE(L$5,12,31),Inputs!$E$155)-MAX(DATE(L$5,1,1)-1,Inputs!$E$154))/(DATE(L$5,12,31)-DATE(L$5,1,1)+1)</f>
        <v>1</v>
      </c>
      <c r="M14" s="125">
        <f>MAX(0,MIN(DATE(M$5,12,31),Inputs!$E$155)-MAX(DATE(M$5,1,1)-1,Inputs!$E$154))/(DATE(M$5,12,31)-DATE(M$5,1,1)+1)</f>
        <v>0.7479452054794521</v>
      </c>
      <c r="N14" s="125">
        <f>MAX(0,MIN(DATE(N$5,12,31),Inputs!$E$155)-MAX(DATE(N$5,1,1)-1,Inputs!$E$154))/(DATE(N$5,12,31)-DATE(N$5,1,1)+1)</f>
        <v>0</v>
      </c>
      <c r="O14" s="125">
        <f>MAX(0,MIN(DATE(O$5,12,31),Inputs!$E$155)-MAX(DATE(O$5,1,1)-1,Inputs!$E$154))/(DATE(O$5,12,31)-DATE(O$5,1,1)+1)</f>
        <v>0</v>
      </c>
      <c r="P14" s="125">
        <f>MAX(0,MIN(DATE(P$5,12,31),Inputs!$E$155)-MAX(DATE(P$5,1,1)-1,Inputs!$E$154))/(DATE(P$5,12,31)-DATE(P$5,1,1)+1)</f>
        <v>0</v>
      </c>
      <c r="Q14" s="125">
        <f>MAX(0,MIN(DATE(Q$5,12,31),Inputs!$E$155)-MAX(DATE(Q$5,1,1)-1,Inputs!$E$154))/(DATE(Q$5,12,31)-DATE(Q$5,1,1)+1)</f>
        <v>0</v>
      </c>
      <c r="R14" s="125">
        <f>MAX(0,MIN(DATE(R$5,12,31),Inputs!$E$155)-MAX(DATE(R$5,1,1)-1,Inputs!$E$154))/(DATE(R$5,12,31)-DATE(R$5,1,1)+1)</f>
        <v>0</v>
      </c>
      <c r="S14" s="125">
        <f>MAX(0,MIN(DATE(S$5,12,31),Inputs!$E$155)-MAX(DATE(S$5,1,1)-1,Inputs!$E$154))/(DATE(S$5,12,31)-DATE(S$5,1,1)+1)</f>
        <v>0</v>
      </c>
      <c r="T14" s="125">
        <f>MAX(0,MIN(DATE(T$5,12,31),Inputs!$E$155)-MAX(DATE(T$5,1,1)-1,Inputs!$E$154))/(DATE(T$5,12,31)-DATE(T$5,1,1)+1)</f>
        <v>0</v>
      </c>
      <c r="U14" s="125">
        <f>MAX(0,MIN(DATE(U$5,12,31),Inputs!$E$155)-MAX(DATE(U$5,1,1)-1,Inputs!$E$154))/(DATE(U$5,12,31)-DATE(U$5,1,1)+1)</f>
        <v>0</v>
      </c>
      <c r="V14" s="125">
        <f>MAX(0,MIN(DATE(V$5,12,31),Inputs!$E$155)-MAX(DATE(V$5,1,1)-1,Inputs!$E$154))/(DATE(V$5,12,31)-DATE(V$5,1,1)+1)</f>
        <v>0</v>
      </c>
      <c r="W14" s="125">
        <f>MAX(0,MIN(DATE(W$5,12,31),Inputs!$E$155)-MAX(DATE(W$5,1,1)-1,Inputs!$E$154))/(DATE(W$5,12,31)-DATE(W$5,1,1)+1)</f>
        <v>0</v>
      </c>
      <c r="X14" s="125">
        <f>MAX(0,MIN(DATE(X$5,12,31),Inputs!$E$155)-MAX(DATE(X$5,1,1)-1,Inputs!$E$154))/(DATE(X$5,12,31)-DATE(X$5,1,1)+1)</f>
        <v>0</v>
      </c>
      <c r="Y14" s="125">
        <f>MAX(0,MIN(DATE(Y$5,12,31),Inputs!$E$155)-MAX(DATE(Y$5,1,1)-1,Inputs!$E$154))/(DATE(Y$5,12,31)-DATE(Y$5,1,1)+1)</f>
        <v>0</v>
      </c>
      <c r="Z14" s="125">
        <f>MAX(0,MIN(DATE(Z$5,12,31),Inputs!$E$155)-MAX(DATE(Z$5,1,1)-1,Inputs!$E$154))/(DATE(Z$5,12,31)-DATE(Z$5,1,1)+1)</f>
        <v>0</v>
      </c>
      <c r="AA14" s="125">
        <f>MAX(0,MIN(DATE(AA$5,12,31),Inputs!$E$155)-MAX(DATE(AA$5,1,1)-1,Inputs!$E$154))/(DATE(AA$5,12,31)-DATE(AA$5,1,1)+1)</f>
        <v>0</v>
      </c>
      <c r="AB14" s="125">
        <f>MAX(0,MIN(DATE(AB$5,12,31),Inputs!$E$155)-MAX(DATE(AB$5,1,1)-1,Inputs!$E$154))/(DATE(AB$5,12,31)-DATE(AB$5,1,1)+1)</f>
        <v>0</v>
      </c>
      <c r="AC14" s="125">
        <f>MAX(0,MIN(DATE(AC$5,12,31),Inputs!$E$155)-MAX(DATE(AC$5,1,1)-1,Inputs!$E$154))/(DATE(AC$5,12,31)-DATE(AC$5,1,1)+1)</f>
        <v>0</v>
      </c>
      <c r="AD14" s="125">
        <f>MAX(0,MIN(DATE(AD$5,12,31),Inputs!$E$155)-MAX(DATE(AD$5,1,1)-1,Inputs!$E$154))/(DATE(AD$5,12,31)-DATE(AD$5,1,1)+1)</f>
        <v>0</v>
      </c>
      <c r="AE14" s="125">
        <f>MAX(0,MIN(DATE(AE$5,12,31),Inputs!$E$155)-MAX(DATE(AE$5,1,1)-1,Inputs!$E$154))/(DATE(AE$5,12,31)-DATE(AE$5,1,1)+1)</f>
        <v>0</v>
      </c>
      <c r="AF14" s="125">
        <f>MAX(0,MIN(DATE(AF$5,12,31),Inputs!$E$155)-MAX(DATE(AF$5,1,1)-1,Inputs!$E$154))/(DATE(AF$5,12,31)-DATE(AF$5,1,1)+1)</f>
        <v>0</v>
      </c>
      <c r="AG14" s="125">
        <f>MAX(0,MIN(DATE(AG$5,12,31),Inputs!$E$155)-MAX(DATE(AG$5,1,1)-1,Inputs!$E$154))/(DATE(AG$5,12,31)-DATE(AG$5,1,1)+1)</f>
        <v>0</v>
      </c>
      <c r="AH14" s="125">
        <f>MAX(0,MIN(DATE(AH$5,12,31),Inputs!$E$155)-MAX(DATE(AH$5,1,1)-1,Inputs!$E$154))/(DATE(AH$5,12,31)-DATE(AH$5,1,1)+1)</f>
        <v>0</v>
      </c>
      <c r="AI14" s="125">
        <f>MAX(0,MIN(DATE(AI$5,12,31),Inputs!$E$155)-MAX(DATE(AI$5,1,1)-1,Inputs!$E$154))/(DATE(AI$5,12,31)-DATE(AI$5,1,1)+1)</f>
        <v>0</v>
      </c>
      <c r="AJ14" s="125">
        <f>MAX(0,MIN(DATE(AJ$5,12,31),Inputs!$E$155)-MAX(DATE(AJ$5,1,1)-1,Inputs!$E$154))/(DATE(AJ$5,12,31)-DATE(AJ$5,1,1)+1)</f>
        <v>0</v>
      </c>
      <c r="AK14" s="125">
        <f>MAX(0,MIN(DATE(AK$5,12,31),Inputs!$E$155)-MAX(DATE(AK$5,1,1)-1,Inputs!$E$154))/(DATE(AK$5,12,31)-DATE(AK$5,1,1)+1)</f>
        <v>0</v>
      </c>
      <c r="AL14" s="125">
        <f>MAX(0,MIN(DATE(AL$5,12,31),Inputs!$E$155)-MAX(DATE(AL$5,1,1)-1,Inputs!$E$154))/(DATE(AL$5,12,31)-DATE(AL$5,1,1)+1)</f>
        <v>0</v>
      </c>
      <c r="AM14" s="125">
        <f>MAX(0,MIN(DATE(AM$5,12,31),Inputs!$E$155)-MAX(DATE(AM$5,1,1)-1,Inputs!$E$154))/(DATE(AM$5,12,31)-DATE(AM$5,1,1)+1)</f>
        <v>0</v>
      </c>
      <c r="AN14" s="125">
        <f>MAX(0,MIN(DATE(AN$5,12,31),Inputs!$E$155)-MAX(DATE(AN$5,1,1)-1,Inputs!$E$154))/(DATE(AN$5,12,31)-DATE(AN$5,1,1)+1)</f>
        <v>0</v>
      </c>
      <c r="AO14" s="125">
        <f>MAX(0,MIN(DATE(AO$5,12,31),Inputs!$E$155)-MAX(DATE(AO$5,1,1)-1,Inputs!$E$154))/(DATE(AO$5,12,31)-DATE(AO$5,1,1)+1)</f>
        <v>0</v>
      </c>
      <c r="AP14" s="125">
        <f>MAX(0,MIN(DATE(AP$5,12,31),Inputs!$E$155)-MAX(DATE(AP$5,1,1)-1,Inputs!$E$154))/(DATE(AP$5,12,31)-DATE(AP$5,1,1)+1)</f>
        <v>0</v>
      </c>
      <c r="AQ14" s="125">
        <f>MAX(0,MIN(DATE(AQ$5,12,31),Inputs!$E$155)-MAX(DATE(AQ$5,1,1)-1,Inputs!$E$154))/(DATE(AQ$5,12,31)-DATE(AQ$5,1,1)+1)</f>
        <v>0</v>
      </c>
    </row>
    <row r="15" spans="1:43" x14ac:dyDescent="0.25">
      <c r="C15" s="43" t="s">
        <v>942</v>
      </c>
      <c r="D15" s="43"/>
      <c r="E15" s="124">
        <f>Inputs!$E$226</f>
        <v>1</v>
      </c>
      <c r="F15" s="117" t="s">
        <v>943</v>
      </c>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row>
    <row r="16" spans="1:43" x14ac:dyDescent="0.25">
      <c r="C16" t="s">
        <v>2219</v>
      </c>
      <c r="D16" t="s">
        <v>844</v>
      </c>
      <c r="E16" s="1"/>
      <c r="F16" s="1"/>
      <c r="G16" s="1">
        <f t="shared" ref="G16:G24" si="4">SUM(H16:AQ16)</f>
        <v>-3087.8459217499185</v>
      </c>
      <c r="H16" s="82" cm="1">
        <f t="array" ref="H16">-SUMPRODUCT((YEAR(MOIC!$H$5:$BP$5)=H$5)*(MOIC!$H$18:$BP$18+MOIC!$H$20:$BP$20))*$E$15</f>
        <v>-177.24324324324326</v>
      </c>
      <c r="I16" s="82" cm="1">
        <f t="array" ref="I16">-SUMPRODUCT((YEAR(MOIC!$H$5:$BP$5)=I$5)*(MOIC!$H$18:$BP$18+MOIC!$H$20:$BP$20))*$E$15</f>
        <v>-856.331081081081</v>
      </c>
      <c r="J16" s="82" cm="1">
        <f t="array" ref="J16">-SUMPRODUCT((YEAR(MOIC!$H$5:$BP$5)=J$5)*(MOIC!$H$18:$BP$18+MOIC!$H$20:$BP$20))*$E$15</f>
        <v>-1753.731056885054</v>
      </c>
      <c r="K16" s="82" cm="1">
        <f t="array" ref="K16">-SUMPRODUCT((YEAR(MOIC!$H$5:$BP$5)=K$5)*(MOIC!$H$18:$BP$18+MOIC!$H$20:$BP$20))*$E$15</f>
        <v>-300.5405405405405</v>
      </c>
      <c r="L16" s="82" cm="1">
        <f t="array" ref="L16">-SUMPRODUCT((YEAR(MOIC!$H$5:$BP$5)=L$5)*(MOIC!$H$18:$BP$18+MOIC!$H$20:$BP$20))*$E$15</f>
        <v>-0</v>
      </c>
      <c r="M16" s="82" cm="1">
        <f t="array" ref="M16">-SUMPRODUCT((YEAR(MOIC!$H$5:$BP$5)=M$5)*(MOIC!$H$18:$BP$18+MOIC!$H$20:$BP$20))*$E$15</f>
        <v>-0</v>
      </c>
      <c r="N16" s="82" cm="1">
        <f t="array" ref="N16">-SUMPRODUCT((YEAR(MOIC!$H$5:$BP$5)=N$5)*(MOIC!$H$18:$BP$18+MOIC!$H$20:$BP$20))*$E$15</f>
        <v>-0</v>
      </c>
      <c r="O16" s="82" cm="1">
        <f t="array" ref="O16">-SUMPRODUCT((YEAR(MOIC!$H$5:$BP$5)=O$5)*(MOIC!$H$18:$BP$18+MOIC!$H$20:$BP$20))*$E$15</f>
        <v>-0</v>
      </c>
      <c r="P16" s="82" cm="1">
        <f t="array" ref="P16">-SUMPRODUCT((YEAR(MOIC!$H$5:$BP$5)=P$5)*(MOIC!$H$18:$BP$18+MOIC!$H$20:$BP$20))*$E$15</f>
        <v>-0</v>
      </c>
      <c r="Q16" s="82" cm="1">
        <f t="array" ref="Q16">-SUMPRODUCT((YEAR(MOIC!$H$5:$BP$5)=Q$5)*(MOIC!$H$18:$BP$18+MOIC!$H$20:$BP$20))*$E$15</f>
        <v>-0</v>
      </c>
      <c r="R16" s="82" cm="1">
        <f t="array" ref="R16">-SUMPRODUCT((YEAR(MOIC!$H$5:$BP$5)=R$5)*(MOIC!$H$18:$BP$18+MOIC!$H$20:$BP$20))*$E$15</f>
        <v>-0</v>
      </c>
      <c r="S16" s="82" cm="1">
        <f t="array" ref="S16">-SUMPRODUCT((YEAR(MOIC!$H$5:$BP$5)=S$5)*(MOIC!$H$18:$BP$18+MOIC!$H$20:$BP$20))*$E$15</f>
        <v>-0</v>
      </c>
      <c r="T16" s="82" cm="1">
        <f t="array" ref="T16">-SUMPRODUCT((YEAR(MOIC!$H$5:$BP$5)=T$5)*(MOIC!$H$18:$BP$18+MOIC!$H$20:$BP$20))*$E$15</f>
        <v>-0</v>
      </c>
      <c r="U16" s="82" cm="1">
        <f t="array" ref="U16">-SUMPRODUCT((YEAR(MOIC!$H$5:$BP$5)=U$5)*(MOIC!$H$18:$BP$18+MOIC!$H$20:$BP$20))*$E$15</f>
        <v>-0</v>
      </c>
      <c r="V16" s="82" cm="1">
        <f t="array" ref="V16">-SUMPRODUCT((YEAR(MOIC!$H$5:$BP$5)=V$5)*(MOIC!$H$18:$BP$18+MOIC!$H$20:$BP$20))*$E$15</f>
        <v>-0</v>
      </c>
      <c r="W16" s="82" cm="1">
        <f t="array" ref="W16">-SUMPRODUCT((YEAR(MOIC!$H$5:$BP$5)=W$5)*(MOIC!$H$18:$BP$18+MOIC!$H$20:$BP$20))*$E$15</f>
        <v>-0</v>
      </c>
      <c r="X16" s="82" cm="1">
        <f t="array" ref="X16">-SUMPRODUCT((YEAR(MOIC!$H$5:$BP$5)=X$5)*(MOIC!$H$18:$BP$18+MOIC!$H$20:$BP$20))*$E$15</f>
        <v>-0</v>
      </c>
      <c r="Y16" s="82" cm="1">
        <f t="array" ref="Y16">-SUMPRODUCT((YEAR(MOIC!$H$5:$BP$5)=Y$5)*(MOIC!$H$18:$BP$18+MOIC!$H$20:$BP$20))*$E$15</f>
        <v>-0</v>
      </c>
      <c r="Z16" s="82" cm="1">
        <f t="array" ref="Z16">-SUMPRODUCT((YEAR(MOIC!$H$5:$BP$5)=Z$5)*(MOIC!$H$18:$BP$18+MOIC!$H$20:$BP$20))*$E$15</f>
        <v>-0</v>
      </c>
      <c r="AA16" s="82" cm="1">
        <f t="array" ref="AA16">-SUMPRODUCT((YEAR(MOIC!$H$5:$BP$5)=AA$5)*(MOIC!$H$18:$BP$18+MOIC!$H$20:$BP$20))*$E$15</f>
        <v>-0</v>
      </c>
      <c r="AB16" s="82" cm="1">
        <f t="array" ref="AB16">-SUMPRODUCT((YEAR(MOIC!$H$5:$BP$5)=AB$5)*(MOIC!$H$18:$BP$18+MOIC!$H$20:$BP$20))*$E$15</f>
        <v>-0</v>
      </c>
      <c r="AC16" s="82" cm="1">
        <f t="array" ref="AC16">-SUMPRODUCT((YEAR(MOIC!$H$5:$BP$5)=AC$5)*(MOIC!$H$18:$BP$18+MOIC!$H$20:$BP$20))*$E$15</f>
        <v>-0</v>
      </c>
      <c r="AD16" s="82" cm="1">
        <f t="array" ref="AD16">-SUMPRODUCT((YEAR(MOIC!$H$5:$BP$5)=AD$5)*(MOIC!$H$18:$BP$18+MOIC!$H$20:$BP$20))*$E$15</f>
        <v>-0</v>
      </c>
      <c r="AE16" s="82" cm="1">
        <f t="array" ref="AE16">-SUMPRODUCT((YEAR(MOIC!$H$5:$BP$5)=AE$5)*(MOIC!$H$18:$BP$18+MOIC!$H$20:$BP$20))*$E$15</f>
        <v>-0</v>
      </c>
      <c r="AF16" s="82" cm="1">
        <f t="array" ref="AF16">-SUMPRODUCT((YEAR(MOIC!$H$5:$BP$5)=AF$5)*(MOIC!$H$18:$BP$18+MOIC!$H$20:$BP$20))*$E$15</f>
        <v>-0</v>
      </c>
      <c r="AG16" s="82" cm="1">
        <f t="array" ref="AG16">-SUMPRODUCT((YEAR(MOIC!$H$5:$BP$5)=AG$5)*(MOIC!$H$18:$BP$18+MOIC!$H$20:$BP$20))*$E$15</f>
        <v>-0</v>
      </c>
      <c r="AH16" s="82" cm="1">
        <f t="array" ref="AH16">-SUMPRODUCT((YEAR(MOIC!$H$5:$BP$5)=AH$5)*(MOIC!$H$18:$BP$18+MOIC!$H$20:$BP$20))*$E$15</f>
        <v>-0</v>
      </c>
      <c r="AI16" s="82" cm="1">
        <f t="array" ref="AI16">-SUMPRODUCT((YEAR(MOIC!$H$5:$BP$5)=AI$5)*(MOIC!$H$18:$BP$18+MOIC!$H$20:$BP$20))*$E$15</f>
        <v>-0</v>
      </c>
      <c r="AJ16" s="82" cm="1">
        <f t="array" ref="AJ16">-SUMPRODUCT((YEAR(MOIC!$H$5:$BP$5)=AJ$5)*(MOIC!$H$18:$BP$18+MOIC!$H$20:$BP$20))*$E$15</f>
        <v>-0</v>
      </c>
      <c r="AK16" s="82" cm="1">
        <f t="array" ref="AK16">-SUMPRODUCT((YEAR(MOIC!$H$5:$BP$5)=AK$5)*(MOIC!$H$18:$BP$18+MOIC!$H$20:$BP$20))*$E$15</f>
        <v>-0</v>
      </c>
      <c r="AL16" s="82" cm="1">
        <f t="array" ref="AL16">-SUMPRODUCT((YEAR(MOIC!$H$5:$BP$5)=AL$5)*(MOIC!$H$18:$BP$18+MOIC!$H$20:$BP$20))*$E$15</f>
        <v>-0</v>
      </c>
      <c r="AM16" s="82" cm="1">
        <f t="array" ref="AM16">-SUMPRODUCT((YEAR(MOIC!$H$5:$BP$5)=AM$5)*(MOIC!$H$18:$BP$18+MOIC!$H$20:$BP$20))*$E$15</f>
        <v>-0</v>
      </c>
      <c r="AN16" s="82" cm="1">
        <f t="array" ref="AN16">-SUMPRODUCT((YEAR(MOIC!$H$5:$BP$5)=AN$5)*(MOIC!$H$18:$BP$18+MOIC!$H$20:$BP$20))*$E$15</f>
        <v>-0</v>
      </c>
      <c r="AO16" s="82" cm="1">
        <f t="array" ref="AO16">-SUMPRODUCT((YEAR(MOIC!$H$5:$BP$5)=AO$5)*(MOIC!$H$18:$BP$18+MOIC!$H$20:$BP$20))*$E$15</f>
        <v>-0</v>
      </c>
      <c r="AP16" s="82" cm="1">
        <f t="array" ref="AP16">-SUMPRODUCT((YEAR(MOIC!$H$5:$BP$5)=AP$5)*(MOIC!$H$18:$BP$18+MOIC!$H$20:$BP$20))*$E$15</f>
        <v>-0</v>
      </c>
      <c r="AQ16" s="82" cm="1">
        <f t="array" ref="AQ16">-SUMPRODUCT((YEAR(MOIC!$H$5:$BP$5)=AQ$5)*(MOIC!$H$18:$BP$18+MOIC!$H$20:$BP$20))*$E$15</f>
        <v>-0</v>
      </c>
    </row>
    <row r="17" spans="3:43" x14ac:dyDescent="0.25">
      <c r="C17" t="s">
        <v>944</v>
      </c>
      <c r="D17" t="s">
        <v>844</v>
      </c>
      <c r="E17" s="1"/>
      <c r="F17" s="1"/>
      <c r="G17" s="1">
        <f t="shared" si="4"/>
        <v>-400</v>
      </c>
      <c r="H17" s="82">
        <f>-IF(H5=YEAR(Inputs!$E$27),Inputs!$E$24+Inputs!$E$25,0)*$E$15</f>
        <v>-400</v>
      </c>
      <c r="I17" s="82">
        <f>-IF(I5=YEAR(Inputs!$E$27),Inputs!$E$24+Inputs!$E$25,0)*$E$15</f>
        <v>-0</v>
      </c>
      <c r="J17" s="82">
        <f>-IF(J5=YEAR(Inputs!$E$27),Inputs!$E$24+Inputs!$E$25,0)*$E$15</f>
        <v>-0</v>
      </c>
      <c r="K17" s="82">
        <f>-IF(K5=YEAR(Inputs!$E$27),Inputs!$E$24+Inputs!$E$25,0)*$E$15</f>
        <v>-0</v>
      </c>
      <c r="L17" s="82">
        <f>-IF(L5=YEAR(Inputs!$E$27),Inputs!$E$24+Inputs!$E$25,0)*$E$15</f>
        <v>-0</v>
      </c>
      <c r="M17" s="82">
        <f>-IF(M5=YEAR(Inputs!$E$27),Inputs!$E$24+Inputs!$E$25,0)*$E$15</f>
        <v>-0</v>
      </c>
      <c r="N17" s="82">
        <f>-IF(N5=YEAR(Inputs!$E$27),Inputs!$E$24+Inputs!$E$25,0)*$E$15</f>
        <v>-0</v>
      </c>
      <c r="O17" s="82">
        <f>-IF(O5=YEAR(Inputs!$E$27),Inputs!$E$24+Inputs!$E$25,0)*$E$15</f>
        <v>-0</v>
      </c>
      <c r="P17" s="82">
        <f>-IF(P5=YEAR(Inputs!$E$27),Inputs!$E$24+Inputs!$E$25,0)*$E$15</f>
        <v>-0</v>
      </c>
      <c r="Q17" s="82">
        <f>-IF(Q5=YEAR(Inputs!$E$27),Inputs!$E$24+Inputs!$E$25,0)*$E$15</f>
        <v>-0</v>
      </c>
      <c r="R17" s="82">
        <f>-IF(R5=YEAR(Inputs!$E$27),Inputs!$E$24+Inputs!$E$25,0)*$E$15</f>
        <v>-0</v>
      </c>
      <c r="S17" s="82">
        <f>-IF(S5=YEAR(Inputs!$E$27),Inputs!$E$24+Inputs!$E$25,0)*$E$15</f>
        <v>-0</v>
      </c>
      <c r="T17" s="82">
        <f>-IF(T5=YEAR(Inputs!$E$27),Inputs!$E$24+Inputs!$E$25,0)*$E$15</f>
        <v>-0</v>
      </c>
      <c r="U17" s="82">
        <f>-IF(U5=YEAR(Inputs!$E$27),Inputs!$E$24+Inputs!$E$25,0)*$E$15</f>
        <v>-0</v>
      </c>
      <c r="V17" s="82">
        <f>-IF(V5=YEAR(Inputs!$E$27),Inputs!$E$24+Inputs!$E$25,0)*$E$15</f>
        <v>-0</v>
      </c>
      <c r="W17" s="82">
        <f>-IF(W5=YEAR(Inputs!$E$27),Inputs!$E$24+Inputs!$E$25,0)*$E$15</f>
        <v>-0</v>
      </c>
      <c r="X17" s="82">
        <f>-IF(X5=YEAR(Inputs!$E$27),Inputs!$E$24+Inputs!$E$25,0)*$E$15</f>
        <v>-0</v>
      </c>
      <c r="Y17" s="82">
        <f>-IF(Y5=YEAR(Inputs!$E$27),Inputs!$E$24+Inputs!$E$25,0)*$E$15</f>
        <v>-0</v>
      </c>
      <c r="Z17" s="82">
        <f>-IF(Z5=YEAR(Inputs!$E$27),Inputs!$E$24+Inputs!$E$25,0)*$E$15</f>
        <v>-0</v>
      </c>
      <c r="AA17" s="82">
        <f>-IF(AA5=YEAR(Inputs!$E$27),Inputs!$E$24+Inputs!$E$25,0)*$E$15</f>
        <v>-0</v>
      </c>
      <c r="AB17" s="82">
        <f>-IF(AB5=YEAR(Inputs!$E$27),Inputs!$E$24+Inputs!$E$25,0)*$E$15</f>
        <v>-0</v>
      </c>
      <c r="AC17" s="82">
        <f>-IF(AC5=YEAR(Inputs!$E$27),Inputs!$E$24+Inputs!$E$25,0)*$E$15</f>
        <v>-0</v>
      </c>
      <c r="AD17" s="82">
        <f>-IF(AD5=YEAR(Inputs!$E$27),Inputs!$E$24+Inputs!$E$25,0)*$E$15</f>
        <v>-0</v>
      </c>
      <c r="AE17" s="82">
        <f>-IF(AE5=YEAR(Inputs!$E$27),Inputs!$E$24+Inputs!$E$25,0)*$E$15</f>
        <v>-0</v>
      </c>
      <c r="AF17" s="82">
        <f>-IF(AF5=YEAR(Inputs!$E$27),Inputs!$E$24+Inputs!$E$25,0)*$E$15</f>
        <v>-0</v>
      </c>
      <c r="AG17" s="82">
        <f>-IF(AG5=YEAR(Inputs!$E$27),Inputs!$E$24+Inputs!$E$25,0)*$E$15</f>
        <v>-0</v>
      </c>
      <c r="AH17" s="82">
        <f>-IF(AH5=YEAR(Inputs!$E$27),Inputs!$E$24+Inputs!$E$25,0)*$E$15</f>
        <v>-0</v>
      </c>
      <c r="AI17" s="82">
        <f>-IF(AI5=YEAR(Inputs!$E$27),Inputs!$E$24+Inputs!$E$25,0)*$E$15</f>
        <v>-0</v>
      </c>
      <c r="AJ17" s="82">
        <f>-IF(AJ5=YEAR(Inputs!$E$27),Inputs!$E$24+Inputs!$E$25,0)*$E$15</f>
        <v>-0</v>
      </c>
      <c r="AK17" s="82">
        <f>-IF(AK5=YEAR(Inputs!$E$27),Inputs!$E$24+Inputs!$E$25,0)*$E$15</f>
        <v>-0</v>
      </c>
      <c r="AL17" s="82">
        <f>-IF(AL5=YEAR(Inputs!$E$27),Inputs!$E$24+Inputs!$E$25,0)*$E$15</f>
        <v>-0</v>
      </c>
      <c r="AM17" s="82">
        <f>-IF(AM5=YEAR(Inputs!$E$27),Inputs!$E$24+Inputs!$E$25,0)*$E$15</f>
        <v>-0</v>
      </c>
      <c r="AN17" s="82">
        <f>-IF(AN5=YEAR(Inputs!$E$27),Inputs!$E$24+Inputs!$E$25,0)*$E$15</f>
        <v>-0</v>
      </c>
      <c r="AO17" s="82">
        <f>-IF(AO5=YEAR(Inputs!$E$27),Inputs!$E$24+Inputs!$E$25,0)*$E$15</f>
        <v>-0</v>
      </c>
      <c r="AP17" s="82">
        <f>-IF(AP5=YEAR(Inputs!$E$27),Inputs!$E$24+Inputs!$E$25,0)*$E$15</f>
        <v>-0</v>
      </c>
      <c r="AQ17" s="82">
        <f>-IF(AQ5=YEAR(Inputs!$E$27),Inputs!$E$24+Inputs!$E$25,0)*$E$15</f>
        <v>-0</v>
      </c>
    </row>
    <row r="18" spans="3:43" x14ac:dyDescent="0.25">
      <c r="C18" t="s">
        <v>1277</v>
      </c>
      <c r="D18" t="s">
        <v>844</v>
      </c>
      <c r="E18" s="1"/>
      <c r="F18" s="1"/>
      <c r="G18" s="1">
        <f t="shared" si="4"/>
        <v>-2482.1917808219177</v>
      </c>
      <c r="H18" s="82" cm="1">
        <f t="array" ref="H18">-SUMPRODUCT((YEAR(Deposits!$K$7:$K$18)=H$5)*(Deposits!$R$7:$R$18&lt;&gt;"Connection fee")*Deposits!$P$7:$P$18*Deposits!$M$7:$M$18)*$E$15</f>
        <v>-2482.1917808219177</v>
      </c>
      <c r="I18" s="82" cm="1">
        <f t="array" ref="I18">-SUMPRODUCT((YEAR(Deposits!$K$7:$K$18)=I$5)*(Deposits!$R$7:$R$18&lt;&gt;"Connection fee")*Deposits!$P$7:$P$18*Deposits!$M$7:$M$18)*$E$15</f>
        <v>-0</v>
      </c>
      <c r="J18" s="82" cm="1">
        <f t="array" ref="J18">-SUMPRODUCT((YEAR(Deposits!$K$7:$K$18)=J$5)*(Deposits!$R$7:$R$18&lt;&gt;"Connection fee")*Deposits!$P$7:$P$18*Deposits!$M$7:$M$18)*$E$15</f>
        <v>-0</v>
      </c>
      <c r="K18" s="82" cm="1">
        <f t="array" ref="K18">-SUMPRODUCT((YEAR(Deposits!$K$7:$K$18)=K$5)*(Deposits!$R$7:$R$18&lt;&gt;"Connection fee")*Deposits!$P$7:$P$18*Deposits!$M$7:$M$18)*$E$15</f>
        <v>-0</v>
      </c>
      <c r="L18" s="82" cm="1">
        <f t="array" ref="L18">-SUMPRODUCT((YEAR(Deposits!$K$7:$K$18)=L$5)*(Deposits!$R$7:$R$18&lt;&gt;"Connection fee")*Deposits!$P$7:$P$18*Deposits!$M$7:$M$18)*$E$15</f>
        <v>-0</v>
      </c>
      <c r="M18" s="82" cm="1">
        <f t="array" ref="M18">-SUMPRODUCT((YEAR(Deposits!$K$7:$K$18)=M$5)*(Deposits!$R$7:$R$18&lt;&gt;"Connection fee")*Deposits!$P$7:$P$18*Deposits!$M$7:$M$18)*$E$15</f>
        <v>-0</v>
      </c>
      <c r="N18" s="82" cm="1">
        <f t="array" ref="N18">-SUMPRODUCT((YEAR(Deposits!$K$7:$K$18)=N$5)*(Deposits!$R$7:$R$18&lt;&gt;"Connection fee")*Deposits!$P$7:$P$18*Deposits!$M$7:$M$18)*$E$15</f>
        <v>-0</v>
      </c>
      <c r="O18" s="82" cm="1">
        <f t="array" ref="O18">-SUMPRODUCT((YEAR(Deposits!$K$7:$K$18)=O$5)*(Deposits!$R$7:$R$18&lt;&gt;"Connection fee")*Deposits!$P$7:$P$18*Deposits!$M$7:$M$18)*$E$15</f>
        <v>-0</v>
      </c>
      <c r="P18" s="82" cm="1">
        <f t="array" ref="P18">-SUMPRODUCT((YEAR(Deposits!$K$7:$K$18)=P$5)*(Deposits!$R$7:$R$18&lt;&gt;"Connection fee")*Deposits!$P$7:$P$18*Deposits!$M$7:$M$18)*$E$15</f>
        <v>-0</v>
      </c>
      <c r="Q18" s="82" cm="1">
        <f t="array" ref="Q18">-SUMPRODUCT((YEAR(Deposits!$K$7:$K$18)=Q$5)*(Deposits!$R$7:$R$18&lt;&gt;"Connection fee")*Deposits!$P$7:$P$18*Deposits!$M$7:$M$18)*$E$15</f>
        <v>-0</v>
      </c>
      <c r="R18" s="82" cm="1">
        <f t="array" ref="R18">-SUMPRODUCT((YEAR(Deposits!$K$7:$K$18)=R$5)*(Deposits!$R$7:$R$18&lt;&gt;"Connection fee")*Deposits!$P$7:$P$18*Deposits!$M$7:$M$18)*$E$15</f>
        <v>-0</v>
      </c>
      <c r="S18" s="82" cm="1">
        <f t="array" ref="S18">-SUMPRODUCT((YEAR(Deposits!$K$7:$K$18)=S$5)*(Deposits!$R$7:$R$18&lt;&gt;"Connection fee")*Deposits!$P$7:$P$18*Deposits!$M$7:$M$18)*$E$15</f>
        <v>-0</v>
      </c>
      <c r="T18" s="82" cm="1">
        <f t="array" ref="T18">-SUMPRODUCT((YEAR(Deposits!$K$7:$K$18)=T$5)*(Deposits!$R$7:$R$18&lt;&gt;"Connection fee")*Deposits!$P$7:$P$18*Deposits!$M$7:$M$18)*$E$15</f>
        <v>-0</v>
      </c>
      <c r="U18" s="82" cm="1">
        <f t="array" ref="U18">-SUMPRODUCT((YEAR(Deposits!$K$7:$K$18)=U$5)*(Deposits!$R$7:$R$18&lt;&gt;"Connection fee")*Deposits!$P$7:$P$18*Deposits!$M$7:$M$18)*$E$15</f>
        <v>-0</v>
      </c>
      <c r="V18" s="82" cm="1">
        <f t="array" ref="V18">-SUMPRODUCT((YEAR(Deposits!$K$7:$K$18)=V$5)*(Deposits!$R$7:$R$18&lt;&gt;"Connection fee")*Deposits!$P$7:$P$18*Deposits!$M$7:$M$18)*$E$15</f>
        <v>-0</v>
      </c>
      <c r="W18" s="82" cm="1">
        <f t="array" ref="W18">-SUMPRODUCT((YEAR(Deposits!$K$7:$K$18)=W$5)*(Deposits!$R$7:$R$18&lt;&gt;"Connection fee")*Deposits!$P$7:$P$18*Deposits!$M$7:$M$18)*$E$15</f>
        <v>-0</v>
      </c>
      <c r="X18" s="82" cm="1">
        <f t="array" ref="X18">-SUMPRODUCT((YEAR(Deposits!$K$7:$K$18)=X$5)*(Deposits!$R$7:$R$18&lt;&gt;"Connection fee")*Deposits!$P$7:$P$18*Deposits!$M$7:$M$18)*$E$15</f>
        <v>-0</v>
      </c>
      <c r="Y18" s="82" cm="1">
        <f t="array" ref="Y18">-SUMPRODUCT((YEAR(Deposits!$K$7:$K$18)=Y$5)*(Deposits!$R$7:$R$18&lt;&gt;"Connection fee")*Deposits!$P$7:$P$18*Deposits!$M$7:$M$18)*$E$15</f>
        <v>-0</v>
      </c>
      <c r="Z18" s="82" cm="1">
        <f t="array" ref="Z18">-SUMPRODUCT((YEAR(Deposits!$K$7:$K$18)=Z$5)*(Deposits!$R$7:$R$18&lt;&gt;"Connection fee")*Deposits!$P$7:$P$18*Deposits!$M$7:$M$18)*$E$15</f>
        <v>-0</v>
      </c>
      <c r="AA18" s="82" cm="1">
        <f t="array" ref="AA18">-SUMPRODUCT((YEAR(Deposits!$K$7:$K$18)=AA$5)*(Deposits!$R$7:$R$18&lt;&gt;"Connection fee")*Deposits!$P$7:$P$18*Deposits!$M$7:$M$18)*$E$15</f>
        <v>-0</v>
      </c>
      <c r="AB18" s="82" cm="1">
        <f t="array" ref="AB18">-SUMPRODUCT((YEAR(Deposits!$K$7:$K$18)=AB$5)*(Deposits!$R$7:$R$18&lt;&gt;"Connection fee")*Deposits!$P$7:$P$18*Deposits!$M$7:$M$18)*$E$15</f>
        <v>-0</v>
      </c>
      <c r="AC18" s="82" cm="1">
        <f t="array" ref="AC18">-SUMPRODUCT((YEAR(Deposits!$K$7:$K$18)=AC$5)*(Deposits!$R$7:$R$18&lt;&gt;"Connection fee")*Deposits!$P$7:$P$18*Deposits!$M$7:$M$18)*$E$15</f>
        <v>-0</v>
      </c>
      <c r="AD18" s="82" cm="1">
        <f t="array" ref="AD18">-SUMPRODUCT((YEAR(Deposits!$K$7:$K$18)=AD$5)*(Deposits!$R$7:$R$18&lt;&gt;"Connection fee")*Deposits!$P$7:$P$18*Deposits!$M$7:$M$18)*$E$15</f>
        <v>-0</v>
      </c>
      <c r="AE18" s="82" cm="1">
        <f t="array" ref="AE18">-SUMPRODUCT((YEAR(Deposits!$K$7:$K$18)=AE$5)*(Deposits!$R$7:$R$18&lt;&gt;"Connection fee")*Deposits!$P$7:$P$18*Deposits!$M$7:$M$18)*$E$15</f>
        <v>-0</v>
      </c>
      <c r="AF18" s="82" cm="1">
        <f t="array" ref="AF18">-SUMPRODUCT((YEAR(Deposits!$K$7:$K$18)=AF$5)*(Deposits!$R$7:$R$18&lt;&gt;"Connection fee")*Deposits!$P$7:$P$18*Deposits!$M$7:$M$18)*$E$15</f>
        <v>-0</v>
      </c>
      <c r="AG18" s="82" cm="1">
        <f t="array" ref="AG18">-SUMPRODUCT((YEAR(Deposits!$K$7:$K$18)=AG$5)*(Deposits!$R$7:$R$18&lt;&gt;"Connection fee")*Deposits!$P$7:$P$18*Deposits!$M$7:$M$18)*$E$15</f>
        <v>-0</v>
      </c>
      <c r="AH18" s="82" cm="1">
        <f t="array" ref="AH18">-SUMPRODUCT((YEAR(Deposits!$K$7:$K$18)=AH$5)*(Deposits!$R$7:$R$18&lt;&gt;"Connection fee")*Deposits!$P$7:$P$18*Deposits!$M$7:$M$18)*$E$15</f>
        <v>-0</v>
      </c>
      <c r="AI18" s="82" cm="1">
        <f t="array" ref="AI18">-SUMPRODUCT((YEAR(Deposits!$K$7:$K$18)=AI$5)*(Deposits!$R$7:$R$18&lt;&gt;"Connection fee")*Deposits!$P$7:$P$18*Deposits!$M$7:$M$18)*$E$15</f>
        <v>-0</v>
      </c>
      <c r="AJ18" s="82" cm="1">
        <f t="array" ref="AJ18">-SUMPRODUCT((YEAR(Deposits!$K$7:$K$18)=AJ$5)*(Deposits!$R$7:$R$18&lt;&gt;"Connection fee")*Deposits!$P$7:$P$18*Deposits!$M$7:$M$18)*$E$15</f>
        <v>-0</v>
      </c>
      <c r="AK18" s="82" cm="1">
        <f t="array" ref="AK18">-SUMPRODUCT((YEAR(Deposits!$K$7:$K$18)=AK$5)*(Deposits!$R$7:$R$18&lt;&gt;"Connection fee")*Deposits!$P$7:$P$18*Deposits!$M$7:$M$18)*$E$15</f>
        <v>-0</v>
      </c>
      <c r="AL18" s="82" cm="1">
        <f t="array" ref="AL18">-SUMPRODUCT((YEAR(Deposits!$K$7:$K$18)=AL$5)*(Deposits!$R$7:$R$18&lt;&gt;"Connection fee")*Deposits!$P$7:$P$18*Deposits!$M$7:$M$18)*$E$15</f>
        <v>-0</v>
      </c>
      <c r="AM18" s="82" cm="1">
        <f t="array" ref="AM18">-SUMPRODUCT((YEAR(Deposits!$K$7:$K$18)=AM$5)*(Deposits!$R$7:$R$18&lt;&gt;"Connection fee")*Deposits!$P$7:$P$18*Deposits!$M$7:$M$18)*$E$15</f>
        <v>-0</v>
      </c>
      <c r="AN18" s="82" cm="1">
        <f t="array" ref="AN18">-SUMPRODUCT((YEAR(Deposits!$K$7:$K$18)=AN$5)*(Deposits!$R$7:$R$18&lt;&gt;"Connection fee")*Deposits!$P$7:$P$18*Deposits!$M$7:$M$18)*$E$15</f>
        <v>-0</v>
      </c>
      <c r="AO18" s="82" cm="1">
        <f t="array" ref="AO18">-SUMPRODUCT((YEAR(Deposits!$K$7:$K$18)=AO$5)*(Deposits!$R$7:$R$18&lt;&gt;"Connection fee")*Deposits!$P$7:$P$18*Deposits!$M$7:$M$18)*$E$15</f>
        <v>-0</v>
      </c>
      <c r="AP18" s="82" cm="1">
        <f t="array" ref="AP18">-SUMPRODUCT((YEAR(Deposits!$K$7:$K$18)=AP$5)*(Deposits!$R$7:$R$18&lt;&gt;"Connection fee")*Deposits!$P$7:$P$18*Deposits!$M$7:$M$18)*$E$15</f>
        <v>-0</v>
      </c>
      <c r="AQ18" s="82" cm="1">
        <f t="array" ref="AQ18">-SUMPRODUCT((YEAR(Deposits!$K$7:$K$18)=AQ$5)*(Deposits!$R$7:$R$18&lt;&gt;"Connection fee")*Deposits!$P$7:$P$18*Deposits!$M$7:$M$18)*$E$15</f>
        <v>-0</v>
      </c>
    </row>
    <row r="19" spans="3:43" x14ac:dyDescent="0.25">
      <c r="C19" t="s">
        <v>2216</v>
      </c>
      <c r="D19" t="s">
        <v>844</v>
      </c>
      <c r="E19" s="1"/>
      <c r="F19" s="1"/>
      <c r="G19" s="1">
        <f t="shared" si="4"/>
        <v>0</v>
      </c>
      <c r="H19" s="82" cm="1">
        <f t="array" ref="H19">IF(H5=YEAR(Inputs!$E$155),SUMPRODUCT(((Deposits!$R$7:$R$18="Security")+(Deposits!$R$7:$R$18="Refund"))*Deposits!$P$7:$P$18*Deposits!$M$7:$M$18)-Deposits!$P$11*Deposits!$M$11,0)*$E$15</f>
        <v>0</v>
      </c>
      <c r="I19" s="82" cm="1">
        <f t="array" ref="I19">IF(I5=YEAR(Inputs!$E$155),SUMPRODUCT(((Deposits!$R$7:$R$18="Security")+(Deposits!$R$7:$R$18="Refund"))*Deposits!$P$7:$P$18*Deposits!$M$7:$M$18)-Deposits!$P$11*Deposits!$M$11,0)*$E$15</f>
        <v>0</v>
      </c>
      <c r="J19" s="82" cm="1">
        <f t="array" ref="J19">IF(J5=YEAR(Inputs!$E$155),SUMPRODUCT(((Deposits!$R$7:$R$18="Security")+(Deposits!$R$7:$R$18="Refund"))*Deposits!$P$7:$P$18*Deposits!$M$7:$M$18)-Deposits!$P$11*Deposits!$M$11,0)*$E$15</f>
        <v>0</v>
      </c>
      <c r="K19" s="82" cm="1">
        <f t="array" ref="K19">IF(K5=YEAR(Inputs!$E$155),SUMPRODUCT(((Deposits!$R$7:$R$18="Security")+(Deposits!$R$7:$R$18="Refund"))*Deposits!$P$7:$P$18*Deposits!$M$7:$M$18)-Deposits!$P$11*Deposits!$M$11,0)*$E$15</f>
        <v>0</v>
      </c>
      <c r="L19" s="82" cm="1">
        <f t="array" ref="L19">IF(L5=YEAR(Inputs!$E$155),SUMPRODUCT(((Deposits!$R$7:$R$18="Security")+(Deposits!$R$7:$R$18="Refund"))*Deposits!$P$7:$P$18*Deposits!$M$7:$M$18)-Deposits!$P$11*Deposits!$M$11,0)*$E$15</f>
        <v>0</v>
      </c>
      <c r="M19" s="82" cm="1">
        <f t="array" ref="M19">IF(M5=YEAR(Inputs!$E$155),SUMPRODUCT(((Deposits!$R$7:$R$18="Security")+(Deposits!$R$7:$R$18="Refund"))*Deposits!$P$7:$P$18*Deposits!$M$7:$M$18)-Deposits!$P$11*Deposits!$M$11,0)*$E$15</f>
        <v>0</v>
      </c>
      <c r="N19" s="82" cm="1">
        <f t="array" ref="N19">IF(N5=YEAR(Inputs!$E$155),SUMPRODUCT(((Deposits!$R$7:$R$18="Security")+(Deposits!$R$7:$R$18="Refund"))*Deposits!$P$7:$P$18*Deposits!$M$7:$M$18)-Deposits!$P$11*Deposits!$M$11,0)*$E$15</f>
        <v>0</v>
      </c>
      <c r="O19" s="82" cm="1">
        <f t="array" ref="O19">IF(O5=YEAR(Inputs!$E$155),SUMPRODUCT(((Deposits!$R$7:$R$18="Security")+(Deposits!$R$7:$R$18="Refund"))*Deposits!$P$7:$P$18*Deposits!$M$7:$M$18)-Deposits!$P$11*Deposits!$M$11,0)*$E$15</f>
        <v>0</v>
      </c>
      <c r="P19" s="82" cm="1">
        <f t="array" ref="P19">IF(P5=YEAR(Inputs!$E$155),SUMPRODUCT(((Deposits!$R$7:$R$18="Security")+(Deposits!$R$7:$R$18="Refund"))*Deposits!$P$7:$P$18*Deposits!$M$7:$M$18)-Deposits!$P$11*Deposits!$M$11,0)*$E$15</f>
        <v>0</v>
      </c>
      <c r="Q19" s="82" cm="1">
        <f t="array" ref="Q19">IF(Q5=YEAR(Inputs!$E$155),SUMPRODUCT(((Deposits!$R$7:$R$18="Security")+(Deposits!$R$7:$R$18="Refund"))*Deposits!$P$7:$P$18*Deposits!$M$7:$M$18)-Deposits!$P$11*Deposits!$M$11,0)*$E$15</f>
        <v>0</v>
      </c>
      <c r="R19" s="82" cm="1">
        <f t="array" ref="R19">IF(R5=YEAR(Inputs!$E$155),SUMPRODUCT(((Deposits!$R$7:$R$18="Security")+(Deposits!$R$7:$R$18="Refund"))*Deposits!$P$7:$P$18*Deposits!$M$7:$M$18)-Deposits!$P$11*Deposits!$M$11,0)*$E$15</f>
        <v>0</v>
      </c>
      <c r="S19" s="82" cm="1">
        <f t="array" ref="S19">IF(S5=YEAR(Inputs!$E$155),SUMPRODUCT(((Deposits!$R$7:$R$18="Security")+(Deposits!$R$7:$R$18="Refund"))*Deposits!$P$7:$P$18*Deposits!$M$7:$M$18)-Deposits!$P$11*Deposits!$M$11,0)*$E$15</f>
        <v>0</v>
      </c>
      <c r="T19" s="82" cm="1">
        <f t="array" ref="T19">IF(T5=YEAR(Inputs!$E$155),SUMPRODUCT(((Deposits!$R$7:$R$18="Security")+(Deposits!$R$7:$R$18="Refund"))*Deposits!$P$7:$P$18*Deposits!$M$7:$M$18)-Deposits!$P$11*Deposits!$M$11,0)*$E$15</f>
        <v>0</v>
      </c>
      <c r="U19" s="82" cm="1">
        <f t="array" ref="U19">IF(U5=YEAR(Inputs!$E$155),SUMPRODUCT(((Deposits!$R$7:$R$18="Security")+(Deposits!$R$7:$R$18="Refund"))*Deposits!$P$7:$P$18*Deposits!$M$7:$M$18)-Deposits!$P$11*Deposits!$M$11,0)*$E$15</f>
        <v>0</v>
      </c>
      <c r="V19" s="82" cm="1">
        <f t="array" ref="V19">IF(V5=YEAR(Inputs!$E$155),SUMPRODUCT(((Deposits!$R$7:$R$18="Security")+(Deposits!$R$7:$R$18="Refund"))*Deposits!$P$7:$P$18*Deposits!$M$7:$M$18)-Deposits!$P$11*Deposits!$M$11,0)*$E$15</f>
        <v>0</v>
      </c>
      <c r="W19" s="82" cm="1">
        <f t="array" ref="W19">IF(W5=YEAR(Inputs!$E$155),SUMPRODUCT(((Deposits!$R$7:$R$18="Security")+(Deposits!$R$7:$R$18="Refund"))*Deposits!$P$7:$P$18*Deposits!$M$7:$M$18)-Deposits!$P$11*Deposits!$M$11,0)*$E$15</f>
        <v>0</v>
      </c>
      <c r="X19" s="82" cm="1">
        <f t="array" ref="X19">IF(X5=YEAR(Inputs!$E$155),SUMPRODUCT(((Deposits!$R$7:$R$18="Security")+(Deposits!$R$7:$R$18="Refund"))*Deposits!$P$7:$P$18*Deposits!$M$7:$M$18)-Deposits!$P$11*Deposits!$M$11,0)*$E$15</f>
        <v>0</v>
      </c>
      <c r="Y19" s="82" cm="1">
        <f t="array" ref="Y19">IF(Y5=YEAR(Inputs!$E$155),SUMPRODUCT(((Deposits!$R$7:$R$18="Security")+(Deposits!$R$7:$R$18="Refund"))*Deposits!$P$7:$P$18*Deposits!$M$7:$M$18)-Deposits!$P$11*Deposits!$M$11,0)*$E$15</f>
        <v>0</v>
      </c>
      <c r="Z19" s="82" cm="1">
        <f t="array" ref="Z19">IF(Z5=YEAR(Inputs!$E$155),SUMPRODUCT(((Deposits!$R$7:$R$18="Security")+(Deposits!$R$7:$R$18="Refund"))*Deposits!$P$7:$P$18*Deposits!$M$7:$M$18)-Deposits!$P$11*Deposits!$M$11,0)*$E$15</f>
        <v>0</v>
      </c>
      <c r="AA19" s="82" cm="1">
        <f t="array" ref="AA19">IF(AA5=YEAR(Inputs!$E$155),SUMPRODUCT(((Deposits!$R$7:$R$18="Security")+(Deposits!$R$7:$R$18="Refund"))*Deposits!$P$7:$P$18*Deposits!$M$7:$M$18)-Deposits!$P$11*Deposits!$M$11,0)*$E$15</f>
        <v>0</v>
      </c>
      <c r="AB19" s="82" cm="1">
        <f t="array" ref="AB19">IF(AB5=YEAR(Inputs!$E$155),SUMPRODUCT(((Deposits!$R$7:$R$18="Security")+(Deposits!$R$7:$R$18="Refund"))*Deposits!$P$7:$P$18*Deposits!$M$7:$M$18)-Deposits!$P$11*Deposits!$M$11,0)*$E$15</f>
        <v>0</v>
      </c>
      <c r="AC19" s="82" cm="1">
        <f t="array" ref="AC19">IF(AC5=YEAR(Inputs!$E$155),SUMPRODUCT(((Deposits!$R$7:$R$18="Security")+(Deposits!$R$7:$R$18="Refund"))*Deposits!$P$7:$P$18*Deposits!$M$7:$M$18)-Deposits!$P$11*Deposits!$M$11,0)*$E$15</f>
        <v>0</v>
      </c>
      <c r="AD19" s="82" cm="1">
        <f t="array" ref="AD19">IF(AD5=YEAR(Inputs!$E$155),SUMPRODUCT(((Deposits!$R$7:$R$18="Security")+(Deposits!$R$7:$R$18="Refund"))*Deposits!$P$7:$P$18*Deposits!$M$7:$M$18)-Deposits!$P$11*Deposits!$M$11,0)*$E$15</f>
        <v>0</v>
      </c>
      <c r="AE19" s="82" cm="1">
        <f t="array" ref="AE19">IF(AE5=YEAR(Inputs!$E$155),SUMPRODUCT(((Deposits!$R$7:$R$18="Security")+(Deposits!$R$7:$R$18="Refund"))*Deposits!$P$7:$P$18*Deposits!$M$7:$M$18)-Deposits!$P$11*Deposits!$M$11,0)*$E$15</f>
        <v>0</v>
      </c>
      <c r="AF19" s="82" cm="1">
        <f t="array" ref="AF19">IF(AF5=YEAR(Inputs!$E$155),SUMPRODUCT(((Deposits!$R$7:$R$18="Security")+(Deposits!$R$7:$R$18="Refund"))*Deposits!$P$7:$P$18*Deposits!$M$7:$M$18)-Deposits!$P$11*Deposits!$M$11,0)*$E$15</f>
        <v>0</v>
      </c>
      <c r="AG19" s="82" cm="1">
        <f t="array" ref="AG19">IF(AG5=YEAR(Inputs!$E$155),SUMPRODUCT(((Deposits!$R$7:$R$18="Security")+(Deposits!$R$7:$R$18="Refund"))*Deposits!$P$7:$P$18*Deposits!$M$7:$M$18)-Deposits!$P$11*Deposits!$M$11,0)*$E$15</f>
        <v>0</v>
      </c>
      <c r="AH19" s="82" cm="1">
        <f t="array" ref="AH19">IF(AH5=YEAR(Inputs!$E$155),SUMPRODUCT(((Deposits!$R$7:$R$18="Security")+(Deposits!$R$7:$R$18="Refund"))*Deposits!$P$7:$P$18*Deposits!$M$7:$M$18)-Deposits!$P$11*Deposits!$M$11,0)*$E$15</f>
        <v>0</v>
      </c>
      <c r="AI19" s="82" cm="1">
        <f t="array" ref="AI19">IF(AI5=YEAR(Inputs!$E$155),SUMPRODUCT(((Deposits!$R$7:$R$18="Security")+(Deposits!$R$7:$R$18="Refund"))*Deposits!$P$7:$P$18*Deposits!$M$7:$M$18)-Deposits!$P$11*Deposits!$M$11,0)*$E$15</f>
        <v>0</v>
      </c>
      <c r="AJ19" s="82" cm="1">
        <f t="array" ref="AJ19">IF(AJ5=YEAR(Inputs!$E$155),SUMPRODUCT(((Deposits!$R$7:$R$18="Security")+(Deposits!$R$7:$R$18="Refund"))*Deposits!$P$7:$P$18*Deposits!$M$7:$M$18)-Deposits!$P$11*Deposits!$M$11,0)*$E$15</f>
        <v>0</v>
      </c>
      <c r="AK19" s="82" cm="1">
        <f t="array" ref="AK19">IF(AK5=YEAR(Inputs!$E$155),SUMPRODUCT(((Deposits!$R$7:$R$18="Security")+(Deposits!$R$7:$R$18="Refund"))*Deposits!$P$7:$P$18*Deposits!$M$7:$M$18)-Deposits!$P$11*Deposits!$M$11,0)*$E$15</f>
        <v>0</v>
      </c>
      <c r="AL19" s="82" cm="1">
        <f t="array" ref="AL19">IF(AL5=YEAR(Inputs!$E$155),SUMPRODUCT(((Deposits!$R$7:$R$18="Security")+(Deposits!$R$7:$R$18="Refund"))*Deposits!$P$7:$P$18*Deposits!$M$7:$M$18)-Deposits!$P$11*Deposits!$M$11,0)*$E$15</f>
        <v>0</v>
      </c>
      <c r="AM19" s="82" cm="1">
        <f t="array" ref="AM19">IF(AM5=YEAR(Inputs!$E$155),SUMPRODUCT(((Deposits!$R$7:$R$18="Security")+(Deposits!$R$7:$R$18="Refund"))*Deposits!$P$7:$P$18*Deposits!$M$7:$M$18)-Deposits!$P$11*Deposits!$M$11,0)*$E$15</f>
        <v>0</v>
      </c>
      <c r="AN19" s="82" cm="1">
        <f t="array" ref="AN19">IF(AN5=YEAR(Inputs!$E$155),SUMPRODUCT(((Deposits!$R$7:$R$18="Security")+(Deposits!$R$7:$R$18="Refund"))*Deposits!$P$7:$P$18*Deposits!$M$7:$M$18)-Deposits!$P$11*Deposits!$M$11,0)*$E$15</f>
        <v>0</v>
      </c>
      <c r="AO19" s="82" cm="1">
        <f t="array" ref="AO19">IF(AO5=YEAR(Inputs!$E$155),SUMPRODUCT(((Deposits!$R$7:$R$18="Security")+(Deposits!$R$7:$R$18="Refund"))*Deposits!$P$7:$P$18*Deposits!$M$7:$M$18)-Deposits!$P$11*Deposits!$M$11,0)*$E$15</f>
        <v>0</v>
      </c>
      <c r="AP19" s="82" cm="1">
        <f t="array" ref="AP19">IF(AP5=YEAR(Inputs!$E$155),SUMPRODUCT(((Deposits!$R$7:$R$18="Security")+(Deposits!$R$7:$R$18="Refund"))*Deposits!$P$7:$P$18*Deposits!$M$7:$M$18)-Deposits!$P$11*Deposits!$M$11,0)*$E$15</f>
        <v>0</v>
      </c>
      <c r="AQ19" s="82" cm="1">
        <f t="array" ref="AQ19">IF(AQ5=YEAR(Inputs!$E$155),SUMPRODUCT(((Deposits!$R$7:$R$18="Security")+(Deposits!$R$7:$R$18="Refund"))*Deposits!$P$7:$P$18*Deposits!$M$7:$M$18)-Deposits!$P$11*Deposits!$M$11,0)*$E$15</f>
        <v>0</v>
      </c>
    </row>
    <row r="20" spans="3:43" x14ac:dyDescent="0.25">
      <c r="C20" t="s">
        <v>945</v>
      </c>
      <c r="D20" t="s">
        <v>844</v>
      </c>
      <c r="E20" s="24">
        <f>Inputs!$E$227</f>
        <v>0</v>
      </c>
      <c r="F20" s="1"/>
      <c r="G20" s="1">
        <f t="shared" si="4"/>
        <v>0</v>
      </c>
      <c r="H20" s="82">
        <f>-IF(H5=YEAR(Inputs!$E$155),MOIC!$G$25*$E$20,0)</f>
        <v>-0</v>
      </c>
      <c r="I20" s="82">
        <f>-IF(I5=YEAR(Inputs!$E$155),MOIC!$G$25*$E$20,0)</f>
        <v>-0</v>
      </c>
      <c r="J20" s="82">
        <f>-IF(J5=YEAR(Inputs!$E$155),MOIC!$G$25*$E$20,0)</f>
        <v>-0</v>
      </c>
      <c r="K20" s="82">
        <f>-IF(K5=YEAR(Inputs!$E$155),MOIC!$G$25*$E$20,0)</f>
        <v>-0</v>
      </c>
      <c r="L20" s="82">
        <f>-IF(L5=YEAR(Inputs!$E$155),MOIC!$G$25*$E$20,0)</f>
        <v>-0</v>
      </c>
      <c r="M20" s="82">
        <f>-IF(M5=YEAR(Inputs!$E$155),MOIC!$G$25*$E$20,0)</f>
        <v>-0</v>
      </c>
      <c r="N20" s="82">
        <f>-IF(N5=YEAR(Inputs!$E$155),MOIC!$G$25*$E$20,0)</f>
        <v>-0</v>
      </c>
      <c r="O20" s="82">
        <f>-IF(O5=YEAR(Inputs!$E$155),MOIC!$G$25*$E$20,0)</f>
        <v>-0</v>
      </c>
      <c r="P20" s="82">
        <f>-IF(P5=YEAR(Inputs!$E$155),MOIC!$G$25*$E$20,0)</f>
        <v>-0</v>
      </c>
      <c r="Q20" s="82">
        <f>-IF(Q5=YEAR(Inputs!$E$155),MOIC!$G$25*$E$20,0)</f>
        <v>-0</v>
      </c>
      <c r="R20" s="82">
        <f>-IF(R5=YEAR(Inputs!$E$155),MOIC!$G$25*$E$20,0)</f>
        <v>-0</v>
      </c>
      <c r="S20" s="82">
        <f>-IF(S5=YEAR(Inputs!$E$155),MOIC!$G$25*$E$20,0)</f>
        <v>-0</v>
      </c>
      <c r="T20" s="82">
        <f>-IF(T5=YEAR(Inputs!$E$155),MOIC!$G$25*$E$20,0)</f>
        <v>-0</v>
      </c>
      <c r="U20" s="82">
        <f>-IF(U5=YEAR(Inputs!$E$155),MOIC!$G$25*$E$20,0)</f>
        <v>-0</v>
      </c>
      <c r="V20" s="82">
        <f>-IF(V5=YEAR(Inputs!$E$155),MOIC!$G$25*$E$20,0)</f>
        <v>-0</v>
      </c>
      <c r="W20" s="82">
        <f>-IF(W5=YEAR(Inputs!$E$155),MOIC!$G$25*$E$20,0)</f>
        <v>-0</v>
      </c>
      <c r="X20" s="82">
        <f>-IF(X5=YEAR(Inputs!$E$155),MOIC!$G$25*$E$20,0)</f>
        <v>-0</v>
      </c>
      <c r="Y20" s="82">
        <f>-IF(Y5=YEAR(Inputs!$E$155),MOIC!$G$25*$E$20,0)</f>
        <v>-0</v>
      </c>
      <c r="Z20" s="82">
        <f>-IF(Z5=YEAR(Inputs!$E$155),MOIC!$G$25*$E$20,0)</f>
        <v>-0</v>
      </c>
      <c r="AA20" s="82">
        <f>-IF(AA5=YEAR(Inputs!$E$155),MOIC!$G$25*$E$20,0)</f>
        <v>-0</v>
      </c>
      <c r="AB20" s="82">
        <f>-IF(AB5=YEAR(Inputs!$E$155),MOIC!$G$25*$E$20,0)</f>
        <v>-0</v>
      </c>
      <c r="AC20" s="82">
        <f>-IF(AC5=YEAR(Inputs!$E$155),MOIC!$G$25*$E$20,0)</f>
        <v>-0</v>
      </c>
      <c r="AD20" s="82">
        <f>-IF(AD5=YEAR(Inputs!$E$155),MOIC!$G$25*$E$20,0)</f>
        <v>-0</v>
      </c>
      <c r="AE20" s="82">
        <f>-IF(AE5=YEAR(Inputs!$E$155),MOIC!$G$25*$E$20,0)</f>
        <v>-0</v>
      </c>
      <c r="AF20" s="82">
        <f>-IF(AF5=YEAR(Inputs!$E$155),MOIC!$G$25*$E$20,0)</f>
        <v>-0</v>
      </c>
      <c r="AG20" s="82">
        <f>-IF(AG5=YEAR(Inputs!$E$155),MOIC!$G$25*$E$20,0)</f>
        <v>-0</v>
      </c>
      <c r="AH20" s="82">
        <f>-IF(AH5=YEAR(Inputs!$E$155),MOIC!$G$25*$E$20,0)</f>
        <v>-0</v>
      </c>
      <c r="AI20" s="82">
        <f>-IF(AI5=YEAR(Inputs!$E$155),MOIC!$G$25*$E$20,0)</f>
        <v>-0</v>
      </c>
      <c r="AJ20" s="82">
        <f>-IF(AJ5=YEAR(Inputs!$E$155),MOIC!$G$25*$E$20,0)</f>
        <v>-0</v>
      </c>
      <c r="AK20" s="82">
        <f>-IF(AK5=YEAR(Inputs!$E$155),MOIC!$G$25*$E$20,0)</f>
        <v>-0</v>
      </c>
      <c r="AL20" s="82">
        <f>-IF(AL5=YEAR(Inputs!$E$155),MOIC!$G$25*$E$20,0)</f>
        <v>-0</v>
      </c>
      <c r="AM20" s="82">
        <f>-IF(AM5=YEAR(Inputs!$E$155),MOIC!$G$25*$E$20,0)</f>
        <v>-0</v>
      </c>
      <c r="AN20" s="82">
        <f>-IF(AN5=YEAR(Inputs!$E$155),MOIC!$G$25*$E$20,0)</f>
        <v>-0</v>
      </c>
      <c r="AO20" s="82">
        <f>-IF(AO5=YEAR(Inputs!$E$155),MOIC!$G$25*$E$20,0)</f>
        <v>-0</v>
      </c>
      <c r="AP20" s="82">
        <f>-IF(AP5=YEAR(Inputs!$E$155),MOIC!$G$25*$E$20,0)</f>
        <v>-0</v>
      </c>
      <c r="AQ20" s="82">
        <f>-IF(AQ5=YEAR(Inputs!$E$155),MOIC!$G$25*$E$20,0)</f>
        <v>-0</v>
      </c>
    </row>
    <row r="21" x14ac:dyDescent="0.25">
      <c r="C21" t="s">
        <v>1496</v>
      </c>
      <c r="D21" t="s">
        <v>844</v>
      </c>
      <c r="E21" s="24">
        <f>Inputs!$E$228*Tender!$J$48</f>
        <v>1</v>
      </c>
      <c r="F21" s="1" t="s">
        <v>1283</v>
      </c>
      <c r="G21" s="1">
        <f>SUM(H21:AQ21)</f>
        <v>-15173.724494515496</v>
      </c>
      <c r="H21" s="82">
        <f>-IF(H$5=YEAR(Inputs!$E$58),$E$21*MOIC!$G$182,0)</f>
        <v>-0</v>
      </c>
      <c r="I21" s="82">
        <f>-IF(I$5=YEAR(Inputs!$E$58),$E$21*MOIC!$G$182,0)</f>
        <v>-0</v>
      </c>
      <c r="J21" s="82">
        <f>-IF(J$5=YEAR(Inputs!$E$58),$E$21*MOIC!$G$182,0)</f>
        <v>-0</v>
      </c>
      <c r="K21" s="82">
        <f>-IF(K$5=YEAR(Inputs!$E$58),$E$21*MOIC!$G$182,0)</f>
        <v>-0</v>
      </c>
      <c r="L21" s="82">
        <f>-IF(L$5=YEAR(Inputs!$E$58),$E$21*MOIC!$G$182,0)</f>
        <v>-15173.724494515496</v>
      </c>
      <c r="M21" s="82">
        <f>-IF(M$5=YEAR(Inputs!$E$58),$E$21*MOIC!$G$182,0)</f>
        <v>-0</v>
      </c>
      <c r="N21" s="82">
        <f>-IF(N$5=YEAR(Inputs!$E$58),$E$21*MOIC!$G$182,0)</f>
        <v>-0</v>
      </c>
      <c r="O21" s="82">
        <f>-IF(O$5=YEAR(Inputs!$E$58),$E$21*MOIC!$G$182,0)</f>
        <v>-0</v>
      </c>
      <c r="P21" s="82">
        <f>-IF(P$5=YEAR(Inputs!$E$58),$E$21*MOIC!$G$182,0)</f>
        <v>-0</v>
      </c>
      <c r="Q21" s="82">
        <f>-IF(Q$5=YEAR(Inputs!$E$58),$E$21*MOIC!$G$182,0)</f>
        <v>-0</v>
      </c>
      <c r="R21" s="82">
        <f>-IF(R$5=YEAR(Inputs!$E$58),$E$21*MOIC!$G$182,0)</f>
        <v>-0</v>
      </c>
      <c r="S21" s="82">
        <f>-IF(S$5=YEAR(Inputs!$E$58),$E$21*MOIC!$G$182,0)</f>
        <v>-0</v>
      </c>
      <c r="T21" s="82">
        <f>-IF(T$5=YEAR(Inputs!$E$58),$E$21*MOIC!$G$182,0)</f>
        <v>-0</v>
      </c>
      <c r="U21" s="82">
        <f>-IF(U$5=YEAR(Inputs!$E$58),$E$21*MOIC!$G$182,0)</f>
        <v>-0</v>
      </c>
      <c r="V21" s="82">
        <f>-IF(V$5=YEAR(Inputs!$E$58),$E$21*MOIC!$G$182,0)</f>
        <v>-0</v>
      </c>
      <c r="W21" s="82">
        <f>-IF(W$5=YEAR(Inputs!$E$58),$E$21*MOIC!$G$182,0)</f>
        <v>-0</v>
      </c>
      <c r="X21" s="82">
        <f>-IF(X$5=YEAR(Inputs!$E$58),$E$21*MOIC!$G$182,0)</f>
        <v>-0</v>
      </c>
      <c r="Y21" s="82">
        <f>-IF(Y$5=YEAR(Inputs!$E$58),$E$21*MOIC!$G$182,0)</f>
        <v>-0</v>
      </c>
      <c r="Z21" s="82">
        <f>-IF(Z$5=YEAR(Inputs!$E$58),$E$21*MOIC!$G$182,0)</f>
        <v>-0</v>
      </c>
      <c r="AA21" s="82">
        <f>-IF(AA$5=YEAR(Inputs!$E$58),$E$21*MOIC!$G$182,0)</f>
        <v>-0</v>
      </c>
      <c r="AB21" s="82">
        <f>-IF(AB$5=YEAR(Inputs!$E$58),$E$21*MOIC!$G$182,0)</f>
        <v>-0</v>
      </c>
      <c r="AC21" s="82">
        <f>-IF(AC$5=YEAR(Inputs!$E$58),$E$21*MOIC!$G$182,0)</f>
        <v>-0</v>
      </c>
      <c r="AD21" s="82">
        <f>-IF(AD$5=YEAR(Inputs!$E$58),$E$21*MOIC!$G$182,0)</f>
        <v>-0</v>
      </c>
      <c r="AE21" s="82">
        <f>-IF(AE$5=YEAR(Inputs!$E$58),$E$21*MOIC!$G$182,0)</f>
        <v>-0</v>
      </c>
      <c r="AF21" s="82">
        <f>-IF(AF$5=YEAR(Inputs!$E$58),$E$21*MOIC!$G$182,0)</f>
        <v>-0</v>
      </c>
      <c r="AG21" s="82">
        <f>-IF(AG$5=YEAR(Inputs!$E$58),$E$21*MOIC!$G$182,0)</f>
        <v>-0</v>
      </c>
      <c r="AH21" s="82">
        <f>-IF(AH$5=YEAR(Inputs!$E$58),$E$21*MOIC!$G$182,0)</f>
        <v>-0</v>
      </c>
      <c r="AI21" s="82">
        <f>-IF(AI$5=YEAR(Inputs!$E$58),$E$21*MOIC!$G$182,0)</f>
        <v>-0</v>
      </c>
      <c r="AJ21" s="82">
        <f>-IF(AJ$5=YEAR(Inputs!$E$58),$E$21*MOIC!$G$182,0)</f>
        <v>-0</v>
      </c>
      <c r="AK21" s="82">
        <f>-IF(AK$5=YEAR(Inputs!$E$58),$E$21*MOIC!$G$182,0)</f>
        <v>-0</v>
      </c>
      <c r="AL21" s="82">
        <f>-IF(AL$5=YEAR(Inputs!$E$58),$E$21*MOIC!$G$182,0)</f>
        <v>-0</v>
      </c>
      <c r="AM21" s="82">
        <f>-IF(AM$5=YEAR(Inputs!$E$58),$E$21*MOIC!$G$182,0)</f>
        <v>-0</v>
      </c>
      <c r="AN21" s="82">
        <f>-IF(AN$5=YEAR(Inputs!$E$58),$E$21*MOIC!$G$182,0)</f>
        <v>-0</v>
      </c>
      <c r="AO21" s="82">
        <f>-IF(AO$5=YEAR(Inputs!$E$58),$E$21*MOIC!$G$182,0)</f>
        <v>-0</v>
      </c>
      <c r="AP21" s="82">
        <f>-IF(AP$5=YEAR(Inputs!$E$58),$E$21*MOIC!$G$182,0)</f>
        <v>-0</v>
      </c>
      <c r="AQ21" s="82">
        <f>-IF(AQ$5=YEAR(Inputs!$E$58),$E$21*MOIC!$G$182,0)</f>
        <v>-0</v>
      </c>
    </row>
    <row r="22" x14ac:dyDescent="0.25">
      <c r="C22" t="s">
        <v>1303</v>
      </c>
      <c r="D22" t="s">
        <v>844</v>
      </c>
      <c r="E22" s="24">
        <f>Inputs!$E$228*Tender!$J$48</f>
        <v>1</v>
      </c>
      <c r="F22" s="1" t="s">
        <v>1283</v>
      </c>
      <c r="G22" s="1">
        <f>SUM(H22:AQ22)</f>
        <v>-7213.5646827684495</v>
      </c>
      <c r="H22" s="82">
        <f>-IF(H$5=YEAR(Inputs!$E$58),$E$22*(MOIC!$G$154-MOIC!$G$151),0)</f>
        <v>-0</v>
      </c>
      <c r="I22" s="82">
        <f>-IF(I$5=YEAR(Inputs!$E$58),$E$22*(MOIC!$G$154-MOIC!$G$151),0)</f>
        <v>-0</v>
      </c>
      <c r="J22" s="82">
        <f>-IF(J$5=YEAR(Inputs!$E$58),$E$22*(MOIC!$G$154-MOIC!$G$151),0)</f>
        <v>-0</v>
      </c>
      <c r="K22" s="82">
        <f>-IF(K$5=YEAR(Inputs!$E$58),$E$22*(MOIC!$G$154-MOIC!$G$151),0)</f>
        <v>-0</v>
      </c>
      <c r="L22" s="82">
        <f>-IF(L$5=YEAR(Inputs!$E$58),$E$22*(MOIC!$G$154-MOIC!$G$151),0)</f>
        <v>-7213.5646827684495</v>
      </c>
      <c r="M22" s="82">
        <f>-IF(M$5=YEAR(Inputs!$E$58),$E$22*(MOIC!$G$154-MOIC!$G$151),0)</f>
        <v>-0</v>
      </c>
      <c r="N22" s="82">
        <f>-IF(N$5=YEAR(Inputs!$E$58),$E$22*(MOIC!$G$154-MOIC!$G$151),0)</f>
        <v>-0</v>
      </c>
      <c r="O22" s="82">
        <f>-IF(O$5=YEAR(Inputs!$E$58),$E$22*(MOIC!$G$154-MOIC!$G$151),0)</f>
        <v>-0</v>
      </c>
      <c r="P22" s="82">
        <f>-IF(P$5=YEAR(Inputs!$E$58),$E$22*(MOIC!$G$154-MOIC!$G$151),0)</f>
        <v>-0</v>
      </c>
      <c r="Q22" s="82">
        <f>-IF(Q$5=YEAR(Inputs!$E$58),$E$22*(MOIC!$G$154-MOIC!$G$151),0)</f>
        <v>-0</v>
      </c>
      <c r="R22" s="82">
        <f>-IF(R$5=YEAR(Inputs!$E$58),$E$22*(MOIC!$G$154-MOIC!$G$151),0)</f>
        <v>-0</v>
      </c>
      <c r="S22" s="82">
        <f>-IF(S$5=YEAR(Inputs!$E$58),$E$22*(MOIC!$G$154-MOIC!$G$151),0)</f>
        <v>-0</v>
      </c>
      <c r="T22" s="82">
        <f>-IF(T$5=YEAR(Inputs!$E$58),$E$22*(MOIC!$G$154-MOIC!$G$151),0)</f>
        <v>-0</v>
      </c>
      <c r="U22" s="82">
        <f>-IF(U$5=YEAR(Inputs!$E$58),$E$22*(MOIC!$G$154-MOIC!$G$151),0)</f>
        <v>-0</v>
      </c>
      <c r="V22" s="82">
        <f>-IF(V$5=YEAR(Inputs!$E$58),$E$22*(MOIC!$G$154-MOIC!$G$151),0)</f>
        <v>-0</v>
      </c>
      <c r="W22" s="82">
        <f>-IF(W$5=YEAR(Inputs!$E$58),$E$22*(MOIC!$G$154-MOIC!$G$151),0)</f>
        <v>-0</v>
      </c>
      <c r="X22" s="82">
        <f>-IF(X$5=YEAR(Inputs!$E$58),$E$22*(MOIC!$G$154-MOIC!$G$151),0)</f>
        <v>-0</v>
      </c>
      <c r="Y22" s="82">
        <f>-IF(Y$5=YEAR(Inputs!$E$58),$E$22*(MOIC!$G$154-MOIC!$G$151),0)</f>
        <v>-0</v>
      </c>
      <c r="Z22" s="82">
        <f>-IF(Z$5=YEAR(Inputs!$E$58),$E$22*(MOIC!$G$154-MOIC!$G$151),0)</f>
        <v>-0</v>
      </c>
      <c r="AA22" s="82">
        <f>-IF(AA$5=YEAR(Inputs!$E$58),$E$22*(MOIC!$G$154-MOIC!$G$151),0)</f>
        <v>-0</v>
      </c>
      <c r="AB22" s="82">
        <f>-IF(AB$5=YEAR(Inputs!$E$58),$E$22*(MOIC!$G$154-MOIC!$G$151),0)</f>
        <v>-0</v>
      </c>
      <c r="AC22" s="82">
        <f>-IF(AC$5=YEAR(Inputs!$E$58),$E$22*(MOIC!$G$154-MOIC!$G$151),0)</f>
        <v>-0</v>
      </c>
      <c r="AD22" s="82">
        <f>-IF(AD$5=YEAR(Inputs!$E$58),$E$22*(MOIC!$G$154-MOIC!$G$151),0)</f>
        <v>-0</v>
      </c>
      <c r="AE22" s="82">
        <f>-IF(AE$5=YEAR(Inputs!$E$58),$E$22*(MOIC!$G$154-MOIC!$G$151),0)</f>
        <v>-0</v>
      </c>
      <c r="AF22" s="82">
        <f>-IF(AF$5=YEAR(Inputs!$E$58),$E$22*(MOIC!$G$154-MOIC!$G$151),0)</f>
        <v>-0</v>
      </c>
      <c r="AG22" s="82">
        <f>-IF(AG$5=YEAR(Inputs!$E$58),$E$22*(MOIC!$G$154-MOIC!$G$151),0)</f>
        <v>-0</v>
      </c>
      <c r="AH22" s="82">
        <f>-IF(AH$5=YEAR(Inputs!$E$58),$E$22*(MOIC!$G$154-MOIC!$G$151),0)</f>
        <v>-0</v>
      </c>
      <c r="AI22" s="82">
        <f>-IF(AI$5=YEAR(Inputs!$E$58),$E$22*(MOIC!$G$154-MOIC!$G$151),0)</f>
        <v>-0</v>
      </c>
      <c r="AJ22" s="82">
        <f>-IF(AJ$5=YEAR(Inputs!$E$58),$E$22*(MOIC!$G$154-MOIC!$G$151),0)</f>
        <v>-0</v>
      </c>
      <c r="AK22" s="82">
        <f>-IF(AK$5=YEAR(Inputs!$E$58),$E$22*(MOIC!$G$154-MOIC!$G$151),0)</f>
        <v>-0</v>
      </c>
      <c r="AL22" s="82">
        <f>-IF(AL$5=YEAR(Inputs!$E$58),$E$22*(MOIC!$G$154-MOIC!$G$151),0)</f>
        <v>-0</v>
      </c>
      <c r="AM22" s="82">
        <f>-IF(AM$5=YEAR(Inputs!$E$58),$E$22*(MOIC!$G$154-MOIC!$G$151),0)</f>
        <v>-0</v>
      </c>
      <c r="AN22" s="82">
        <f>-IF(AN$5=YEAR(Inputs!$E$58),$E$22*(MOIC!$G$154-MOIC!$G$151),0)</f>
        <v>-0</v>
      </c>
      <c r="AO22" s="82">
        <f>-IF(AO$5=YEAR(Inputs!$E$58),$E$22*(MOIC!$G$154-MOIC!$G$151),0)</f>
        <v>-0</v>
      </c>
      <c r="AP22" s="82">
        <f>-IF(AP$5=YEAR(Inputs!$E$58),$E$22*(MOIC!$G$154-MOIC!$G$151),0)</f>
        <v>-0</v>
      </c>
      <c r="AQ22" s="82">
        <f>-IF(AQ$5=YEAR(Inputs!$E$58),$E$22*(MOIC!$G$154-MOIC!$G$151),0)</f>
        <v>-0</v>
      </c>
    </row>
    <row r="23" spans="3:43" x14ac:dyDescent="0.25">
      <c r="C23" t="s">
        <v>2218</v>
      </c>
      <c r="D23" t="s">
        <v>844</v>
      </c>
      <c r="E23" s="1">
        <f>SUMPRODUCT(MOIC!$H$7:$BP$7,MOIC!$H$78:$BP$78)</f>
        <v>0.06</v>
      </c>
      <c r="F23" s="1"/>
      <c r="G23" s="1">
        <f t="shared" si="4"/>
        <v>-5328.293357102647</v>
      </c>
      <c r="H23" s="82" cm="1">
        <f t="array" ref="H23">-(SUMPRODUCT((YEAR(MOIC!$H$5:$BP$5)=H$5)*MOIC!$H$79:$BP$79)+$E$23*(-MOIC!$G$75*MAX(0,MIN(DATE(H$5,12,31),Inputs!$E$155)-MAX(DATE(H$5,1,1)-1,Inputs!$E$58))/365+Deposits!$M$17*(1-Deposits!$P$17)*MAX(0,MIN(DATE(H$5,12,31),Inputs!$E$155)-MAX(DATE(H$5,1,1)-1,Deposits!$K$17))/365))*$E$15</f>
        <v>-115.79979452054796</v>
      </c>
      <c r="I23" s="82" cm="1">
        <f t="array" ref="I23">-(SUMPRODUCT((YEAR(MOIC!$H$5:$BP$5)=I$5)*MOIC!$H$79:$BP$79)+$E$23*(-MOIC!$G$75*MAX(0,MIN(DATE(I$5,12,31),Inputs!$E$155)-MAX(DATE(I$5,1,1)-1,Inputs!$E$58))/365+Deposits!$M$17*(1-Deposits!$P$17)*MAX(0,MIN(DATE(I$5,12,31),Inputs!$E$155)-MAX(DATE(I$5,1,1)-1,Deposits!$K$17))/365))*$E$15</f>
        <v>-1097.050684931507</v>
      </c>
      <c r="J23" s="82" cm="1">
        <f t="array" ref="J23">-(SUMPRODUCT((YEAR(MOIC!$H$5:$BP$5)=J$5)*MOIC!$H$79:$BP$79)+$E$23*(-MOIC!$G$75*MAX(0,MIN(DATE(J$5,12,31),Inputs!$E$155)-MAX(DATE(J$5,1,1)-1,Inputs!$E$58))/365+Deposits!$M$17*(1-Deposits!$P$17)*MAX(0,MIN(DATE(J$5,12,31),Inputs!$E$155)-MAX(DATE(J$5,1,1)-1,Deposits!$K$17))/365))*$E$15</f>
        <v>-1097.050684931507</v>
      </c>
      <c r="K23" s="82" cm="1">
        <f t="array" ref="K23">-(SUMPRODUCT((YEAR(MOIC!$H$5:$BP$5)=K$5)*MOIC!$H$79:$BP$79)+$E$23*(-MOIC!$G$75*MAX(0,MIN(DATE(K$5,12,31),Inputs!$E$155)-MAX(DATE(K$5,1,1)-1,Inputs!$E$58))/365+Deposits!$M$17*(1-Deposits!$P$17)*MAX(0,MIN(DATE(K$5,12,31),Inputs!$E$155)-MAX(DATE(K$5,1,1)-1,Deposits!$K$17))/365))*$E$15</f>
        <v>-1097.050684931507</v>
      </c>
      <c r="L23" s="82" cm="1">
        <f t="array" ref="L23">-(SUMPRODUCT((YEAR(MOIC!$H$5:$BP$5)=L$5)*MOIC!$H$79:$BP$79)+$E$23*(-MOIC!$G$75*MAX(0,MIN(DATE(L$5,12,31),Inputs!$E$155)-MAX(DATE(L$5,1,1)-1,Inputs!$E$58))/365+Deposits!$M$17*(1-Deposits!$P$17)*MAX(0,MIN(DATE(L$5,12,31),Inputs!$E$155)-MAX(DATE(L$5,1,1)-1,Deposits!$K$17))/365))*$E$15</f>
        <v>-1100.807707825108</v>
      </c>
      <c r="M23" s="82" cm="1">
        <f t="array" ref="M23">-(SUMPRODUCT((YEAR(MOIC!$H$5:$BP$5)=M$5)*MOIC!$H$79:$BP$79)+$E$23*(-MOIC!$G$75*MAX(0,MIN(DATE(M$5,12,31),Inputs!$E$155)-MAX(DATE(M$5,1,1)-1,Inputs!$E$58))/365+Deposits!$M$17*(1-Deposits!$P$17)*MAX(0,MIN(DATE(M$5,12,31),Inputs!$E$155)-MAX(DATE(M$5,1,1)-1,Deposits!$K$17))/365))*$E$15</f>
        <v>-820.5337999624696</v>
      </c>
      <c r="N23" s="82" cm="1">
        <f t="array" ref="N23">-(SUMPRODUCT((YEAR(MOIC!$H$5:$BP$5)=N$5)*MOIC!$H$79:$BP$79)+$E$23*(-MOIC!$G$75*MAX(0,MIN(DATE(N$5,12,31),Inputs!$E$155)-MAX(DATE(N$5,1,1)-1,Inputs!$E$58))/365+Deposits!$M$17*(1-Deposits!$P$17)*MAX(0,MIN(DATE(N$5,12,31),Inputs!$E$155)-MAX(DATE(N$5,1,1)-1,Deposits!$K$17))/365))*$E$15</f>
        <v>-0</v>
      </c>
      <c r="O23" s="82" cm="1">
        <f t="array" ref="O23">-(SUMPRODUCT((YEAR(MOIC!$H$5:$BP$5)=O$5)*MOIC!$H$79:$BP$79)+$E$23*(-MOIC!$G$75*MAX(0,MIN(DATE(O$5,12,31),Inputs!$E$155)-MAX(DATE(O$5,1,1)-1,Inputs!$E$58))/365+Deposits!$M$17*(1-Deposits!$P$17)*MAX(0,MIN(DATE(O$5,12,31),Inputs!$E$155)-MAX(DATE(O$5,1,1)-1,Deposits!$K$17))/365))*$E$15</f>
        <v>-0</v>
      </c>
      <c r="P23" s="82" cm="1">
        <f t="array" ref="P23">-(SUMPRODUCT((YEAR(MOIC!$H$5:$BP$5)=P$5)*MOIC!$H$79:$BP$79)+$E$23*(-MOIC!$G$75*MAX(0,MIN(DATE(P$5,12,31),Inputs!$E$155)-MAX(DATE(P$5,1,1)-1,Inputs!$E$58))/365+Deposits!$M$17*(1-Deposits!$P$17)*MAX(0,MIN(DATE(P$5,12,31),Inputs!$E$155)-MAX(DATE(P$5,1,1)-1,Deposits!$K$17))/365))*$E$15</f>
        <v>-0</v>
      </c>
      <c r="Q23" s="82" cm="1">
        <f t="array" ref="Q23">-(SUMPRODUCT((YEAR(MOIC!$H$5:$BP$5)=Q$5)*MOIC!$H$79:$BP$79)+$E$23*(-MOIC!$G$75*MAX(0,MIN(DATE(Q$5,12,31),Inputs!$E$155)-MAX(DATE(Q$5,1,1)-1,Inputs!$E$58))/365+Deposits!$M$17*(1-Deposits!$P$17)*MAX(0,MIN(DATE(Q$5,12,31),Inputs!$E$155)-MAX(DATE(Q$5,1,1)-1,Deposits!$K$17))/365))*$E$15</f>
        <v>-0</v>
      </c>
      <c r="R23" s="82" cm="1">
        <f t="array" ref="R23">-(SUMPRODUCT((YEAR(MOIC!$H$5:$BP$5)=R$5)*MOIC!$H$79:$BP$79)+$E$23*(-MOIC!$G$75*MAX(0,MIN(DATE(R$5,12,31),Inputs!$E$155)-MAX(DATE(R$5,1,1)-1,Inputs!$E$58))/365+Deposits!$M$17*(1-Deposits!$P$17)*MAX(0,MIN(DATE(R$5,12,31),Inputs!$E$155)-MAX(DATE(R$5,1,1)-1,Deposits!$K$17))/365))*$E$15</f>
        <v>-0</v>
      </c>
      <c r="S23" s="82" cm="1">
        <f t="array" ref="S23">-(SUMPRODUCT((YEAR(MOIC!$H$5:$BP$5)=S$5)*MOIC!$H$79:$BP$79)+$E$23*(-MOIC!$G$75*MAX(0,MIN(DATE(S$5,12,31),Inputs!$E$155)-MAX(DATE(S$5,1,1)-1,Inputs!$E$58))/365+Deposits!$M$17*(1-Deposits!$P$17)*MAX(0,MIN(DATE(S$5,12,31),Inputs!$E$155)-MAX(DATE(S$5,1,1)-1,Deposits!$K$17))/365))*$E$15</f>
        <v>-0</v>
      </c>
      <c r="T23" s="82" cm="1">
        <f t="array" ref="T23">-(SUMPRODUCT((YEAR(MOIC!$H$5:$BP$5)=T$5)*MOIC!$H$79:$BP$79)+$E$23*(-MOIC!$G$75*MAX(0,MIN(DATE(T$5,12,31),Inputs!$E$155)-MAX(DATE(T$5,1,1)-1,Inputs!$E$58))/365+Deposits!$M$17*(1-Deposits!$P$17)*MAX(0,MIN(DATE(T$5,12,31),Inputs!$E$155)-MAX(DATE(T$5,1,1)-1,Deposits!$K$17))/365))*$E$15</f>
        <v>-0</v>
      </c>
      <c r="U23" s="82" cm="1">
        <f t="array" ref="U23">-(SUMPRODUCT((YEAR(MOIC!$H$5:$BP$5)=U$5)*MOIC!$H$79:$BP$79)+$E$23*(-MOIC!$G$75*MAX(0,MIN(DATE(U$5,12,31),Inputs!$E$155)-MAX(DATE(U$5,1,1)-1,Inputs!$E$58))/365+Deposits!$M$17*(1-Deposits!$P$17)*MAX(0,MIN(DATE(U$5,12,31),Inputs!$E$155)-MAX(DATE(U$5,1,1)-1,Deposits!$K$17))/365))*$E$15</f>
        <v>-0</v>
      </c>
      <c r="V23" s="82" cm="1">
        <f t="array" ref="V23">-(SUMPRODUCT((YEAR(MOIC!$H$5:$BP$5)=V$5)*MOIC!$H$79:$BP$79)+$E$23*(-MOIC!$G$75*MAX(0,MIN(DATE(V$5,12,31),Inputs!$E$155)-MAX(DATE(V$5,1,1)-1,Inputs!$E$58))/365+Deposits!$M$17*(1-Deposits!$P$17)*MAX(0,MIN(DATE(V$5,12,31),Inputs!$E$155)-MAX(DATE(V$5,1,1)-1,Deposits!$K$17))/365))*$E$15</f>
        <v>-0</v>
      </c>
      <c r="W23" s="82" cm="1">
        <f t="array" ref="W23">-(SUMPRODUCT((YEAR(MOIC!$H$5:$BP$5)=W$5)*MOIC!$H$79:$BP$79)+$E$23*(-MOIC!$G$75*MAX(0,MIN(DATE(W$5,12,31),Inputs!$E$155)-MAX(DATE(W$5,1,1)-1,Inputs!$E$58))/365+Deposits!$M$17*(1-Deposits!$P$17)*MAX(0,MIN(DATE(W$5,12,31),Inputs!$E$155)-MAX(DATE(W$5,1,1)-1,Deposits!$K$17))/365))*$E$15</f>
        <v>-0</v>
      </c>
      <c r="X23" s="82" cm="1">
        <f t="array" ref="X23">-(SUMPRODUCT((YEAR(MOIC!$H$5:$BP$5)=X$5)*MOIC!$H$79:$BP$79)+$E$23*(-MOIC!$G$75*MAX(0,MIN(DATE(X$5,12,31),Inputs!$E$155)-MAX(DATE(X$5,1,1)-1,Inputs!$E$58))/365+Deposits!$M$17*(1-Deposits!$P$17)*MAX(0,MIN(DATE(X$5,12,31),Inputs!$E$155)-MAX(DATE(X$5,1,1)-1,Deposits!$K$17))/365))*$E$15</f>
        <v>-0</v>
      </c>
      <c r="Y23" s="82" cm="1">
        <f t="array" ref="Y23">-(SUMPRODUCT((YEAR(MOIC!$H$5:$BP$5)=Y$5)*MOIC!$H$79:$BP$79)+$E$23*(-MOIC!$G$75*MAX(0,MIN(DATE(Y$5,12,31),Inputs!$E$155)-MAX(DATE(Y$5,1,1)-1,Inputs!$E$58))/365+Deposits!$M$17*(1-Deposits!$P$17)*MAX(0,MIN(DATE(Y$5,12,31),Inputs!$E$155)-MAX(DATE(Y$5,1,1)-1,Deposits!$K$17))/365))*$E$15</f>
        <v>-0</v>
      </c>
      <c r="Z23" s="82" cm="1">
        <f t="array" ref="Z23">-(SUMPRODUCT((YEAR(MOIC!$H$5:$BP$5)=Z$5)*MOIC!$H$79:$BP$79)+$E$23*(-MOIC!$G$75*MAX(0,MIN(DATE(Z$5,12,31),Inputs!$E$155)-MAX(DATE(Z$5,1,1)-1,Inputs!$E$58))/365+Deposits!$M$17*(1-Deposits!$P$17)*MAX(0,MIN(DATE(Z$5,12,31),Inputs!$E$155)-MAX(DATE(Z$5,1,1)-1,Deposits!$K$17))/365))*$E$15</f>
        <v>-0</v>
      </c>
      <c r="AA23" s="82" cm="1">
        <f t="array" ref="AA23">-(SUMPRODUCT((YEAR(MOIC!$H$5:$BP$5)=AA$5)*MOIC!$H$79:$BP$79)+$E$23*(-MOIC!$G$75*MAX(0,MIN(DATE(AA$5,12,31),Inputs!$E$155)-MAX(DATE(AA$5,1,1)-1,Inputs!$E$58))/365+Deposits!$M$17*(1-Deposits!$P$17)*MAX(0,MIN(DATE(AA$5,12,31),Inputs!$E$155)-MAX(DATE(AA$5,1,1)-1,Deposits!$K$17))/365))*$E$15</f>
        <v>-0</v>
      </c>
      <c r="AB23" s="82" cm="1">
        <f t="array" ref="AB23">-(SUMPRODUCT((YEAR(MOIC!$H$5:$BP$5)=AB$5)*MOIC!$H$79:$BP$79)+$E$23*(-MOIC!$G$75*MAX(0,MIN(DATE(AB$5,12,31),Inputs!$E$155)-MAX(DATE(AB$5,1,1)-1,Inputs!$E$58))/365+Deposits!$M$17*(1-Deposits!$P$17)*MAX(0,MIN(DATE(AB$5,12,31),Inputs!$E$155)-MAX(DATE(AB$5,1,1)-1,Deposits!$K$17))/365))*$E$15</f>
        <v>-0</v>
      </c>
      <c r="AC23" s="82" cm="1">
        <f t="array" ref="AC23">-(SUMPRODUCT((YEAR(MOIC!$H$5:$BP$5)=AC$5)*MOIC!$H$79:$BP$79)+$E$23*(-MOIC!$G$75*MAX(0,MIN(DATE(AC$5,12,31),Inputs!$E$155)-MAX(DATE(AC$5,1,1)-1,Inputs!$E$58))/365+Deposits!$M$17*(1-Deposits!$P$17)*MAX(0,MIN(DATE(AC$5,12,31),Inputs!$E$155)-MAX(DATE(AC$5,1,1)-1,Deposits!$K$17))/365))*$E$15</f>
        <v>-0</v>
      </c>
      <c r="AD23" s="82" cm="1">
        <f t="array" ref="AD23">-(SUMPRODUCT((YEAR(MOIC!$H$5:$BP$5)=AD$5)*MOIC!$H$79:$BP$79)+$E$23*(-MOIC!$G$75*MAX(0,MIN(DATE(AD$5,12,31),Inputs!$E$155)-MAX(DATE(AD$5,1,1)-1,Inputs!$E$58))/365+Deposits!$M$17*(1-Deposits!$P$17)*MAX(0,MIN(DATE(AD$5,12,31),Inputs!$E$155)-MAX(DATE(AD$5,1,1)-1,Deposits!$K$17))/365))*$E$15</f>
        <v>-0</v>
      </c>
      <c r="AE23" s="82" cm="1">
        <f t="array" ref="AE23">-(SUMPRODUCT((YEAR(MOIC!$H$5:$BP$5)=AE$5)*MOIC!$H$79:$BP$79)+$E$23*(-MOIC!$G$75*MAX(0,MIN(DATE(AE$5,12,31),Inputs!$E$155)-MAX(DATE(AE$5,1,1)-1,Inputs!$E$58))/365+Deposits!$M$17*(1-Deposits!$P$17)*MAX(0,MIN(DATE(AE$5,12,31),Inputs!$E$155)-MAX(DATE(AE$5,1,1)-1,Deposits!$K$17))/365))*$E$15</f>
        <v>-0</v>
      </c>
      <c r="AF23" s="82" cm="1">
        <f t="array" ref="AF23">-(SUMPRODUCT((YEAR(MOIC!$H$5:$BP$5)=AF$5)*MOIC!$H$79:$BP$79)+$E$23*(-MOIC!$G$75*MAX(0,MIN(DATE(AF$5,12,31),Inputs!$E$155)-MAX(DATE(AF$5,1,1)-1,Inputs!$E$58))/365+Deposits!$M$17*(1-Deposits!$P$17)*MAX(0,MIN(DATE(AF$5,12,31),Inputs!$E$155)-MAX(DATE(AF$5,1,1)-1,Deposits!$K$17))/365))*$E$15</f>
        <v>-0</v>
      </c>
      <c r="AG23" s="82" cm="1">
        <f t="array" ref="AG23">-(SUMPRODUCT((YEAR(MOIC!$H$5:$BP$5)=AG$5)*MOIC!$H$79:$BP$79)+$E$23*(-MOIC!$G$75*MAX(0,MIN(DATE(AG$5,12,31),Inputs!$E$155)-MAX(DATE(AG$5,1,1)-1,Inputs!$E$58))/365+Deposits!$M$17*(1-Deposits!$P$17)*MAX(0,MIN(DATE(AG$5,12,31),Inputs!$E$155)-MAX(DATE(AG$5,1,1)-1,Deposits!$K$17))/365))*$E$15</f>
        <v>-0</v>
      </c>
      <c r="AH23" s="82" cm="1">
        <f t="array" ref="AH23">-(SUMPRODUCT((YEAR(MOIC!$H$5:$BP$5)=AH$5)*MOIC!$H$79:$BP$79)+$E$23*(-MOIC!$G$75*MAX(0,MIN(DATE(AH$5,12,31),Inputs!$E$155)-MAX(DATE(AH$5,1,1)-1,Inputs!$E$58))/365+Deposits!$M$17*(1-Deposits!$P$17)*MAX(0,MIN(DATE(AH$5,12,31),Inputs!$E$155)-MAX(DATE(AH$5,1,1)-1,Deposits!$K$17))/365))*$E$15</f>
        <v>-0</v>
      </c>
      <c r="AI23" s="82" cm="1">
        <f t="array" ref="AI23">-(SUMPRODUCT((YEAR(MOIC!$H$5:$BP$5)=AI$5)*MOIC!$H$79:$BP$79)+$E$23*(-MOIC!$G$75*MAX(0,MIN(DATE(AI$5,12,31),Inputs!$E$155)-MAX(DATE(AI$5,1,1)-1,Inputs!$E$58))/365+Deposits!$M$17*(1-Deposits!$P$17)*MAX(0,MIN(DATE(AI$5,12,31),Inputs!$E$155)-MAX(DATE(AI$5,1,1)-1,Deposits!$K$17))/365))*$E$15</f>
        <v>-0</v>
      </c>
      <c r="AJ23" s="82" cm="1">
        <f t="array" ref="AJ23">-(SUMPRODUCT((YEAR(MOIC!$H$5:$BP$5)=AJ$5)*MOIC!$H$79:$BP$79)+$E$23*(-MOIC!$G$75*MAX(0,MIN(DATE(AJ$5,12,31),Inputs!$E$155)-MAX(DATE(AJ$5,1,1)-1,Inputs!$E$58))/365+Deposits!$M$17*(1-Deposits!$P$17)*MAX(0,MIN(DATE(AJ$5,12,31),Inputs!$E$155)-MAX(DATE(AJ$5,1,1)-1,Deposits!$K$17))/365))*$E$15</f>
        <v>-0</v>
      </c>
      <c r="AK23" s="82" cm="1">
        <f t="array" ref="AK23">-(SUMPRODUCT((YEAR(MOIC!$H$5:$BP$5)=AK$5)*MOIC!$H$79:$BP$79)+$E$23*(-MOIC!$G$75*MAX(0,MIN(DATE(AK$5,12,31),Inputs!$E$155)-MAX(DATE(AK$5,1,1)-1,Inputs!$E$58))/365+Deposits!$M$17*(1-Deposits!$P$17)*MAX(0,MIN(DATE(AK$5,12,31),Inputs!$E$155)-MAX(DATE(AK$5,1,1)-1,Deposits!$K$17))/365))*$E$15</f>
        <v>-0</v>
      </c>
      <c r="AL23" s="82" cm="1">
        <f t="array" ref="AL23">-(SUMPRODUCT((YEAR(MOIC!$H$5:$BP$5)=AL$5)*MOIC!$H$79:$BP$79)+$E$23*(-MOIC!$G$75*MAX(0,MIN(DATE(AL$5,12,31),Inputs!$E$155)-MAX(DATE(AL$5,1,1)-1,Inputs!$E$58))/365+Deposits!$M$17*(1-Deposits!$P$17)*MAX(0,MIN(DATE(AL$5,12,31),Inputs!$E$155)-MAX(DATE(AL$5,1,1)-1,Deposits!$K$17))/365))*$E$15</f>
        <v>-0</v>
      </c>
      <c r="AM23" s="82" cm="1">
        <f t="array" ref="AM23">-(SUMPRODUCT((YEAR(MOIC!$H$5:$BP$5)=AM$5)*MOIC!$H$79:$BP$79)+$E$23*(-MOIC!$G$75*MAX(0,MIN(DATE(AM$5,12,31),Inputs!$E$155)-MAX(DATE(AM$5,1,1)-1,Inputs!$E$58))/365+Deposits!$M$17*(1-Deposits!$P$17)*MAX(0,MIN(DATE(AM$5,12,31),Inputs!$E$155)-MAX(DATE(AM$5,1,1)-1,Deposits!$K$17))/365))*$E$15</f>
        <v>-0</v>
      </c>
      <c r="AN23" s="82" cm="1">
        <f t="array" ref="AN23">-(SUMPRODUCT((YEAR(MOIC!$H$5:$BP$5)=AN$5)*MOIC!$H$79:$BP$79)+$E$23*(-MOIC!$G$75*MAX(0,MIN(DATE(AN$5,12,31),Inputs!$E$155)-MAX(DATE(AN$5,1,1)-1,Inputs!$E$58))/365+Deposits!$M$17*(1-Deposits!$P$17)*MAX(0,MIN(DATE(AN$5,12,31),Inputs!$E$155)-MAX(DATE(AN$5,1,1)-1,Deposits!$K$17))/365))*$E$15</f>
        <v>-0</v>
      </c>
      <c r="AO23" s="82" cm="1">
        <f t="array" ref="AO23">-(SUMPRODUCT((YEAR(MOIC!$H$5:$BP$5)=AO$5)*MOIC!$H$79:$BP$79)+$E$23*(-MOIC!$G$75*MAX(0,MIN(DATE(AO$5,12,31),Inputs!$E$155)-MAX(DATE(AO$5,1,1)-1,Inputs!$E$58))/365+Deposits!$M$17*(1-Deposits!$P$17)*MAX(0,MIN(DATE(AO$5,12,31),Inputs!$E$155)-MAX(DATE(AO$5,1,1)-1,Deposits!$K$17))/365))*$E$15</f>
        <v>-0</v>
      </c>
      <c r="AP23" s="82" cm="1">
        <f t="array" ref="AP23">-(SUMPRODUCT((YEAR(MOIC!$H$5:$BP$5)=AP$5)*MOIC!$H$79:$BP$79)+$E$23*(-MOIC!$G$75*MAX(0,MIN(DATE(AP$5,12,31),Inputs!$E$155)-MAX(DATE(AP$5,1,1)-1,Inputs!$E$58))/365+Deposits!$M$17*(1-Deposits!$P$17)*MAX(0,MIN(DATE(AP$5,12,31),Inputs!$E$155)-MAX(DATE(AP$5,1,1)-1,Deposits!$K$17))/365))*$E$15</f>
        <v>-0</v>
      </c>
      <c r="AQ23" s="82" cm="1">
        <f t="array" ref="AQ23">-(SUMPRODUCT((YEAR(MOIC!$H$5:$BP$5)=AQ$5)*MOIC!$H$79:$BP$79)+$E$23*(-MOIC!$G$75*MAX(0,MIN(DATE(AQ$5,12,31),Inputs!$E$155)-MAX(DATE(AQ$5,1,1)-1,Inputs!$E$58))/365+Deposits!$M$17*(1-Deposits!$P$17)*MAX(0,MIN(DATE(AQ$5,12,31),Inputs!$E$155)-MAX(DATE(AQ$5,1,1)-1,Deposits!$K$17))/365))*$E$15</f>
        <v>-0</v>
      </c>
    </row>
    <row r="24" spans="3:43" x14ac:dyDescent="0.25">
      <c r="C24" s="6" t="s">
        <v>946</v>
      </c>
      <c r="D24" s="6" t="s">
        <v>844</v>
      </c>
      <c r="E24" s="37"/>
      <c r="F24" s="37"/>
      <c r="G24" s="37">
        <f t="shared" si="4"/>
        <v>-33685.62023695843</v>
      </c>
      <c r="H24" s="37">
        <f>SUM(H16:H23)</f>
        <v>-3175.234818585709</v>
      </c>
      <c r="I24" s="37">
        <f t="shared" ref="I24:AO24" si="5">SUM(I16:I23)</f>
        <v>-1953.381766012588</v>
      </c>
      <c r="J24" s="37">
        <f t="shared" si="5"/>
        <v>-2850.781741816561</v>
      </c>
      <c r="K24" s="37">
        <f>SUM(K16:K23)</f>
        <v>-1397.5912254720474</v>
      </c>
      <c r="L24" s="37">
        <f t="shared" si="5"/>
        <v>-23488.096885109055</v>
      </c>
      <c r="M24" s="37">
        <f t="shared" si="5"/>
        <v>-820.5337999624696</v>
      </c>
      <c r="N24" s="37">
        <f t="shared" si="5"/>
        <v>0</v>
      </c>
      <c r="O24" s="37">
        <f t="shared" si="5"/>
        <v>0</v>
      </c>
      <c r="P24" s="37">
        <f t="shared" si="5"/>
        <v>0</v>
      </c>
      <c r="Q24" s="37">
        <f t="shared" si="5"/>
        <v>0</v>
      </c>
      <c r="R24" s="37">
        <f t="shared" si="5"/>
        <v>0</v>
      </c>
      <c r="S24" s="37">
        <f t="shared" si="5"/>
        <v>0</v>
      </c>
      <c r="T24" s="37">
        <f t="shared" si="5"/>
        <v>0</v>
      </c>
      <c r="U24" s="37">
        <f t="shared" si="5"/>
        <v>0</v>
      </c>
      <c r="V24" s="37">
        <f t="shared" si="5"/>
        <v>0</v>
      </c>
      <c r="W24" s="37">
        <f t="shared" si="5"/>
        <v>0</v>
      </c>
      <c r="X24" s="37">
        <f t="shared" si="5"/>
        <v>0</v>
      </c>
      <c r="Y24" s="37">
        <f t="shared" si="5"/>
        <v>0</v>
      </c>
      <c r="Z24" s="37">
        <f t="shared" si="5"/>
        <v>0</v>
      </c>
      <c r="AA24" s="37">
        <f t="shared" si="5"/>
        <v>0</v>
      </c>
      <c r="AB24" s="37">
        <f t="shared" si="5"/>
        <v>0</v>
      </c>
      <c r="AC24" s="37">
        <f t="shared" si="5"/>
        <v>0</v>
      </c>
      <c r="AD24" s="37">
        <f t="shared" si="5"/>
        <v>0</v>
      </c>
      <c r="AE24" s="37">
        <f t="shared" si="5"/>
        <v>0</v>
      </c>
      <c r="AF24" s="37">
        <f t="shared" si="5"/>
        <v>0</v>
      </c>
      <c r="AG24" s="37">
        <f t="shared" si="5"/>
        <v>0</v>
      </c>
      <c r="AH24" s="37">
        <f t="shared" si="5"/>
        <v>0</v>
      </c>
      <c r="AI24" s="37">
        <f t="shared" si="5"/>
        <v>0</v>
      </c>
      <c r="AJ24" s="37">
        <f t="shared" si="5"/>
        <v>0</v>
      </c>
      <c r="AK24" s="37">
        <f t="shared" si="5"/>
        <v>0</v>
      </c>
      <c r="AL24" s="37">
        <f t="shared" si="5"/>
        <v>0</v>
      </c>
      <c r="AM24" s="37">
        <f t="shared" si="5"/>
        <v>0</v>
      </c>
      <c r="AN24" s="37">
        <f t="shared" si="5"/>
        <v>0</v>
      </c>
      <c r="AO24" s="37">
        <f t="shared" si="5"/>
        <v>0</v>
      </c>
      <c r="AP24" s="37">
        <f>SUM(AP16:AP23)</f>
        <v>0</v>
      </c>
      <c r="AQ24" s="37">
        <f>SUM(AQ16:AQ23)</f>
        <v>0</v>
      </c>
    </row>
    <row r="25" spans="3:43" x14ac:dyDescent="0.25">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row>
    <row r="26" spans="3:43" x14ac:dyDescent="0.25">
      <c r="C26" s="43" t="s">
        <v>947</v>
      </c>
      <c r="D26" s="43"/>
      <c r="E26" s="123"/>
      <c r="F26" s="123"/>
      <c r="G26" s="123"/>
      <c r="H26" s="123"/>
      <c r="I26" s="123"/>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row>
    <row r="27" spans="3:43" x14ac:dyDescent="0.25">
      <c r="C27" t="s">
        <v>948</v>
      </c>
      <c r="D27" t="s">
        <v>844</v>
      </c>
      <c r="E27" s="1">
        <f>Inputs!$E$173*Inputs!$E$18</f>
        <v>388235.25</v>
      </c>
      <c r="F27" s="1"/>
      <c r="G27" s="1">
        <f>SUM(H27:AQ27)</f>
        <v>-388235.25</v>
      </c>
      <c r="H27" s="1">
        <f>-$E$27*H7</f>
        <v>-0</v>
      </c>
      <c r="I27" s="1">
        <f t="shared" ref="I27:AO27" si="6">-$E$27*I7</f>
        <v>-0</v>
      </c>
      <c r="J27" s="1">
        <f t="shared" si="6"/>
        <v>-0</v>
      </c>
      <c r="K27" s="1">
        <f t="shared" si="6"/>
        <v>-48928.278082191784</v>
      </c>
      <c r="L27" s="1">
        <f t="shared" si="6"/>
        <v>-194117.625</v>
      </c>
      <c r="M27" s="1">
        <f t="shared" si="6"/>
        <v>-145189.34691780823</v>
      </c>
      <c r="N27" s="1">
        <f t="shared" si="6"/>
        <v>-0</v>
      </c>
      <c r="O27" s="1">
        <f t="shared" si="6"/>
        <v>-0</v>
      </c>
      <c r="P27" s="1">
        <f t="shared" si="6"/>
        <v>-0</v>
      </c>
      <c r="Q27" s="1">
        <f t="shared" si="6"/>
        <v>-0</v>
      </c>
      <c r="R27" s="1">
        <f t="shared" si="6"/>
        <v>-0</v>
      </c>
      <c r="S27" s="1">
        <f t="shared" si="6"/>
        <v>-0</v>
      </c>
      <c r="T27" s="1">
        <f t="shared" si="6"/>
        <v>-0</v>
      </c>
      <c r="U27" s="1">
        <f t="shared" si="6"/>
        <v>-0</v>
      </c>
      <c r="V27" s="1">
        <f t="shared" si="6"/>
        <v>-0</v>
      </c>
      <c r="W27" s="1">
        <f t="shared" si="6"/>
        <v>-0</v>
      </c>
      <c r="X27" s="1">
        <f t="shared" si="6"/>
        <v>-0</v>
      </c>
      <c r="Y27" s="1">
        <f t="shared" si="6"/>
        <v>-0</v>
      </c>
      <c r="Z27" s="1">
        <f t="shared" si="6"/>
        <v>-0</v>
      </c>
      <c r="AA27" s="1">
        <f t="shared" si="6"/>
        <v>-0</v>
      </c>
      <c r="AB27" s="1">
        <f t="shared" si="6"/>
        <v>-0</v>
      </c>
      <c r="AC27" s="1">
        <f t="shared" si="6"/>
        <v>-0</v>
      </c>
      <c r="AD27" s="1">
        <f t="shared" si="6"/>
        <v>-0</v>
      </c>
      <c r="AE27" s="1">
        <f t="shared" si="6"/>
        <v>-0</v>
      </c>
      <c r="AF27" s="1">
        <f t="shared" si="6"/>
        <v>-0</v>
      </c>
      <c r="AG27" s="1">
        <f t="shared" si="6"/>
        <v>-0</v>
      </c>
      <c r="AH27" s="1">
        <f t="shared" si="6"/>
        <v>-0</v>
      </c>
      <c r="AI27" s="1">
        <f t="shared" si="6"/>
        <v>-0</v>
      </c>
      <c r="AJ27" s="1">
        <f t="shared" si="6"/>
        <v>-0</v>
      </c>
      <c r="AK27" s="1">
        <f t="shared" si="6"/>
        <v>-0</v>
      </c>
      <c r="AL27" s="1">
        <f t="shared" si="6"/>
        <v>-0</v>
      </c>
      <c r="AM27" s="1">
        <f t="shared" si="6"/>
        <v>-0</v>
      </c>
      <c r="AN27" s="1">
        <f t="shared" si="6"/>
        <v>-0</v>
      </c>
      <c r="AO27" s="1">
        <f t="shared" si="6"/>
        <v>-0</v>
      </c>
      <c r="AP27" s="1">
        <f>-$E$27*AP7</f>
        <v>-0</v>
      </c>
      <c r="AQ27" s="1">
        <f>-$E$27*AQ7</f>
        <v>-0</v>
      </c>
    </row>
    <row r="28" spans="3:43" x14ac:dyDescent="0.25">
      <c r="C28" t="s">
        <v>949</v>
      </c>
      <c r="D28" t="s">
        <v>844</v>
      </c>
      <c r="E28" s="1"/>
      <c r="F28" s="1"/>
      <c r="G28" s="1">
        <f>SUM(H28:AQ28)</f>
        <v>-38966.046586301374</v>
      </c>
      <c r="H28" s="82" cm="1">
        <f t="array" ref="H28">-SUMPRODUCT((YEAR(Deposits!$K$7:$K$18)=H$5)*(Deposits!$R$7:$R$18="Connection fee")*Deposits!$M$7:$M$18)</f>
        <v>-0</v>
      </c>
      <c r="I28" s="82" cm="1">
        <f t="array" ref="I28">-SUMPRODUCT((YEAR(Deposits!$K$7:$K$18)=I$5)*(Deposits!$R$7:$R$18="Connection fee")*Deposits!$M$7:$M$18)</f>
        <v>-0</v>
      </c>
      <c r="J28" s="82" cm="1">
        <f t="array" ref="J28">-SUMPRODUCT((YEAR(Deposits!$K$7:$K$18)=J$5)*(Deposits!$R$7:$R$18="Connection fee")*Deposits!$M$7:$M$18)</f>
        <v>-0</v>
      </c>
      <c r="K28" s="82" cm="1">
        <f t="array" ref="K28">-SUMPRODUCT((YEAR(Deposits!$K$7:$K$18)=K$5)*(Deposits!$R$7:$R$18="Connection fee")*Deposits!$M$7:$M$18)</f>
        <v>-38966.046586301374</v>
      </c>
      <c r="L28" s="82" cm="1">
        <f t="array" ref="L28">-SUMPRODUCT((YEAR(Deposits!$K$7:$K$18)=L$5)*(Deposits!$R$7:$R$18="Connection fee")*Deposits!$M$7:$M$18)</f>
        <v>-0</v>
      </c>
      <c r="M28" s="82" cm="1">
        <f t="array" ref="M28">-SUMPRODUCT((YEAR(Deposits!$K$7:$K$18)=M$5)*(Deposits!$R$7:$R$18="Connection fee")*Deposits!$M$7:$M$18)</f>
        <v>-0</v>
      </c>
      <c r="N28" s="82" cm="1">
        <f t="array" ref="N28">-SUMPRODUCT((YEAR(Deposits!$K$7:$K$18)=N$5)*(Deposits!$R$7:$R$18="Connection fee")*Deposits!$M$7:$M$18)</f>
        <v>-0</v>
      </c>
      <c r="O28" s="82" cm="1">
        <f t="array" ref="O28">-SUMPRODUCT((YEAR(Deposits!$K$7:$K$18)=O$5)*(Deposits!$R$7:$R$18="Connection fee")*Deposits!$M$7:$M$18)</f>
        <v>-0</v>
      </c>
      <c r="P28" s="82" cm="1">
        <f t="array" ref="P28">-SUMPRODUCT((YEAR(Deposits!$K$7:$K$18)=P$5)*(Deposits!$R$7:$R$18="Connection fee")*Deposits!$M$7:$M$18)</f>
        <v>-0</v>
      </c>
      <c r="Q28" s="82" cm="1">
        <f t="array" ref="Q28">-SUMPRODUCT((YEAR(Deposits!$K$7:$K$18)=Q$5)*(Deposits!$R$7:$R$18="Connection fee")*Deposits!$M$7:$M$18)</f>
        <v>-0</v>
      </c>
      <c r="R28" s="82" cm="1">
        <f t="array" ref="R28">-SUMPRODUCT((YEAR(Deposits!$K$7:$K$18)=R$5)*(Deposits!$R$7:$R$18="Connection fee")*Deposits!$M$7:$M$18)</f>
        <v>-0</v>
      </c>
      <c r="S28" s="82" cm="1">
        <f t="array" ref="S28">-SUMPRODUCT((YEAR(Deposits!$K$7:$K$18)=S$5)*(Deposits!$R$7:$R$18="Connection fee")*Deposits!$M$7:$M$18)</f>
        <v>-0</v>
      </c>
      <c r="T28" s="82" cm="1">
        <f t="array" ref="T28">-SUMPRODUCT((YEAR(Deposits!$K$7:$K$18)=T$5)*(Deposits!$R$7:$R$18="Connection fee")*Deposits!$M$7:$M$18)</f>
        <v>-0</v>
      </c>
      <c r="U28" s="82" cm="1">
        <f t="array" ref="U28">-SUMPRODUCT((YEAR(Deposits!$K$7:$K$18)=U$5)*(Deposits!$R$7:$R$18="Connection fee")*Deposits!$M$7:$M$18)</f>
        <v>-0</v>
      </c>
      <c r="V28" s="82" cm="1">
        <f t="array" ref="V28">-SUMPRODUCT((YEAR(Deposits!$K$7:$K$18)=V$5)*(Deposits!$R$7:$R$18="Connection fee")*Deposits!$M$7:$M$18)</f>
        <v>-0</v>
      </c>
      <c r="W28" s="82" cm="1">
        <f t="array" ref="W28">-SUMPRODUCT((YEAR(Deposits!$K$7:$K$18)=W$5)*(Deposits!$R$7:$R$18="Connection fee")*Deposits!$M$7:$M$18)</f>
        <v>-0</v>
      </c>
      <c r="X28" s="82" cm="1">
        <f t="array" ref="X28">-SUMPRODUCT((YEAR(Deposits!$K$7:$K$18)=X$5)*(Deposits!$R$7:$R$18="Connection fee")*Deposits!$M$7:$M$18)</f>
        <v>-0</v>
      </c>
      <c r="Y28" s="82" cm="1">
        <f t="array" ref="Y28">-SUMPRODUCT((YEAR(Deposits!$K$7:$K$18)=Y$5)*(Deposits!$R$7:$R$18="Connection fee")*Deposits!$M$7:$M$18)</f>
        <v>-0</v>
      </c>
      <c r="Z28" s="82" cm="1">
        <f t="array" ref="Z28">-SUMPRODUCT((YEAR(Deposits!$K$7:$K$18)=Z$5)*(Deposits!$R$7:$R$18="Connection fee")*Deposits!$M$7:$M$18)</f>
        <v>-0</v>
      </c>
      <c r="AA28" s="82" cm="1">
        <f t="array" ref="AA28">-SUMPRODUCT((YEAR(Deposits!$K$7:$K$18)=AA$5)*(Deposits!$R$7:$R$18="Connection fee")*Deposits!$M$7:$M$18)</f>
        <v>-0</v>
      </c>
      <c r="AB28" s="82" cm="1">
        <f t="array" ref="AB28">-SUMPRODUCT((YEAR(Deposits!$K$7:$K$18)=AB$5)*(Deposits!$R$7:$R$18="Connection fee")*Deposits!$M$7:$M$18)</f>
        <v>-0</v>
      </c>
      <c r="AC28" s="82" cm="1">
        <f t="array" ref="AC28">-SUMPRODUCT((YEAR(Deposits!$K$7:$K$18)=AC$5)*(Deposits!$R$7:$R$18="Connection fee")*Deposits!$M$7:$M$18)</f>
        <v>-0</v>
      </c>
      <c r="AD28" s="82" cm="1">
        <f t="array" ref="AD28">-SUMPRODUCT((YEAR(Deposits!$K$7:$K$18)=AD$5)*(Deposits!$R$7:$R$18="Connection fee")*Deposits!$M$7:$M$18)</f>
        <v>-0</v>
      </c>
      <c r="AE28" s="82" cm="1">
        <f t="array" ref="AE28">-SUMPRODUCT((YEAR(Deposits!$K$7:$K$18)=AE$5)*(Deposits!$R$7:$R$18="Connection fee")*Deposits!$M$7:$M$18)</f>
        <v>-0</v>
      </c>
      <c r="AF28" s="82" cm="1">
        <f t="array" ref="AF28">-SUMPRODUCT((YEAR(Deposits!$K$7:$K$18)=AF$5)*(Deposits!$R$7:$R$18="Connection fee")*Deposits!$M$7:$M$18)</f>
        <v>-0</v>
      </c>
      <c r="AG28" s="82" cm="1">
        <f t="array" ref="AG28">-SUMPRODUCT((YEAR(Deposits!$K$7:$K$18)=AG$5)*(Deposits!$R$7:$R$18="Connection fee")*Deposits!$M$7:$M$18)</f>
        <v>-0</v>
      </c>
      <c r="AH28" s="82" cm="1">
        <f t="array" ref="AH28">-SUMPRODUCT((YEAR(Deposits!$K$7:$K$18)=AH$5)*(Deposits!$R$7:$R$18="Connection fee")*Deposits!$M$7:$M$18)</f>
        <v>-0</v>
      </c>
      <c r="AI28" s="82" cm="1">
        <f t="array" ref="AI28">-SUMPRODUCT((YEAR(Deposits!$K$7:$K$18)=AI$5)*(Deposits!$R$7:$R$18="Connection fee")*Deposits!$M$7:$M$18)</f>
        <v>-0</v>
      </c>
      <c r="AJ28" s="82" cm="1">
        <f t="array" ref="AJ28">-SUMPRODUCT((YEAR(Deposits!$K$7:$K$18)=AJ$5)*(Deposits!$R$7:$R$18="Connection fee")*Deposits!$M$7:$M$18)</f>
        <v>-0</v>
      </c>
      <c r="AK28" s="82" cm="1">
        <f t="array" ref="AK28">-SUMPRODUCT((YEAR(Deposits!$K$7:$K$18)=AK$5)*(Deposits!$R$7:$R$18="Connection fee")*Deposits!$M$7:$M$18)</f>
        <v>-0</v>
      </c>
      <c r="AL28" s="82" cm="1">
        <f t="array" ref="AL28">-SUMPRODUCT((YEAR(Deposits!$K$7:$K$18)=AL$5)*(Deposits!$R$7:$R$18="Connection fee")*Deposits!$M$7:$M$18)</f>
        <v>-0</v>
      </c>
      <c r="AM28" s="82" cm="1">
        <f t="array" ref="AM28">-SUMPRODUCT((YEAR(Deposits!$K$7:$K$18)=AM$5)*(Deposits!$R$7:$R$18="Connection fee")*Deposits!$M$7:$M$18)</f>
        <v>-0</v>
      </c>
      <c r="AN28" s="82" cm="1">
        <f t="array" ref="AN28">-SUMPRODUCT((YEAR(Deposits!$K$7:$K$18)=AN$5)*(Deposits!$R$7:$R$18="Connection fee")*Deposits!$M$7:$M$18)</f>
        <v>-0</v>
      </c>
      <c r="AO28" s="82" cm="1">
        <f t="array" ref="AO28">-SUMPRODUCT((YEAR(Deposits!$K$7:$K$18)=AO$5)*(Deposits!$R$7:$R$18="Connection fee")*Deposits!$M$7:$M$18)</f>
        <v>-0</v>
      </c>
      <c r="AP28" s="82" cm="1">
        <f t="array" ref="AP28">-SUMPRODUCT((YEAR(Deposits!$K$7:$K$18)=AP$5)*(Deposits!$R$7:$R$18="Connection fee")*Deposits!$M$7:$M$18)</f>
        <v>-0</v>
      </c>
      <c r="AQ28" s="82" cm="1">
        <f t="array" ref="AQ28">-SUMPRODUCT((YEAR(Deposits!$K$7:$K$18)=AQ$5)*(Deposits!$R$7:$R$18="Connection fee")*Deposits!$M$7:$M$18)</f>
        <v>-0</v>
      </c>
    </row>
    <row r="29" spans="3:43" x14ac:dyDescent="0.25">
      <c r="C29" t="s">
        <v>1119</v>
      </c>
      <c r="D29" t="s">
        <v>844</v>
      </c>
      <c r="E29" s="1"/>
      <c r="F29" s="1"/>
      <c r="G29" s="1">
        <f>SUM(H29:AQ29)</f>
        <v>-4000</v>
      </c>
      <c r="H29" s="82">
        <f>-IF(H5=YEAR(Inputs!$E$155),Inputs!$E$233*Inputs!$E$18,0)</f>
        <v>-0</v>
      </c>
      <c r="I29" s="82">
        <f>-IF(I5=YEAR(Inputs!$E$155),Inputs!$E$233*Inputs!$E$18,0)</f>
        <v>-0</v>
      </c>
      <c r="J29" s="82">
        <f>-IF(J5=YEAR(Inputs!$E$155),Inputs!$E$233*Inputs!$E$18,0)</f>
        <v>-0</v>
      </c>
      <c r="K29" s="82">
        <f>-IF(K5=YEAR(Inputs!$E$155),Inputs!$E$233*Inputs!$E$18,0)</f>
        <v>-0</v>
      </c>
      <c r="L29" s="82">
        <f>-IF(L5=YEAR(Inputs!$E$155),Inputs!$E$233*Inputs!$E$18,0)</f>
        <v>-0</v>
      </c>
      <c r="M29" s="82">
        <f>-IF(M5=YEAR(Inputs!$E$155),Inputs!$E$233*Inputs!$E$18,0)</f>
        <v>-4000</v>
      </c>
      <c r="N29" s="82">
        <f>-IF(N5=YEAR(Inputs!$E$155),Inputs!$E$233*Inputs!$E$18,0)</f>
        <v>-0</v>
      </c>
      <c r="O29" s="82">
        <f>-IF(O5=YEAR(Inputs!$E$155),Inputs!$E$233*Inputs!$E$18,0)</f>
        <v>-0</v>
      </c>
      <c r="P29" s="82">
        <f>-IF(P5=YEAR(Inputs!$E$155),Inputs!$E$233*Inputs!$E$18,0)</f>
        <v>-0</v>
      </c>
      <c r="Q29" s="82">
        <f>-IF(Q5=YEAR(Inputs!$E$155),Inputs!$E$233*Inputs!$E$18,0)</f>
        <v>-0</v>
      </c>
      <c r="R29" s="82">
        <f>-IF(R5=YEAR(Inputs!$E$155),Inputs!$E$233*Inputs!$E$18,0)</f>
        <v>-0</v>
      </c>
      <c r="S29" s="82">
        <f>-IF(S5=YEAR(Inputs!$E$155),Inputs!$E$233*Inputs!$E$18,0)</f>
        <v>-0</v>
      </c>
      <c r="T29" s="82">
        <f>-IF(T5=YEAR(Inputs!$E$155),Inputs!$E$233*Inputs!$E$18,0)</f>
        <v>-0</v>
      </c>
      <c r="U29" s="82">
        <f>-IF(U5=YEAR(Inputs!$E$155),Inputs!$E$233*Inputs!$E$18,0)</f>
        <v>-0</v>
      </c>
      <c r="V29" s="82">
        <f>-IF(V5=YEAR(Inputs!$E$155),Inputs!$E$233*Inputs!$E$18,0)</f>
        <v>-0</v>
      </c>
      <c r="W29" s="82">
        <f>-IF(W5=YEAR(Inputs!$E$155),Inputs!$E$233*Inputs!$E$18,0)</f>
        <v>-0</v>
      </c>
      <c r="X29" s="82">
        <f>-IF(X5=YEAR(Inputs!$E$155),Inputs!$E$233*Inputs!$E$18,0)</f>
        <v>-0</v>
      </c>
      <c r="Y29" s="82">
        <f>-IF(Y5=YEAR(Inputs!$E$155),Inputs!$E$233*Inputs!$E$18,0)</f>
        <v>-0</v>
      </c>
      <c r="Z29" s="82">
        <f>-IF(Z5=YEAR(Inputs!$E$155),Inputs!$E$233*Inputs!$E$18,0)</f>
        <v>-0</v>
      </c>
      <c r="AA29" s="82">
        <f>-IF(AA5=YEAR(Inputs!$E$155),Inputs!$E$233*Inputs!$E$18,0)</f>
        <v>-0</v>
      </c>
      <c r="AB29" s="82">
        <f>-IF(AB5=YEAR(Inputs!$E$155),Inputs!$E$233*Inputs!$E$18,0)</f>
        <v>-0</v>
      </c>
      <c r="AC29" s="82">
        <f>-IF(AC5=YEAR(Inputs!$E$155),Inputs!$E$233*Inputs!$E$18,0)</f>
        <v>-0</v>
      </c>
      <c r="AD29" s="82">
        <f>-IF(AD5=YEAR(Inputs!$E$155),Inputs!$E$233*Inputs!$E$18,0)</f>
        <v>-0</v>
      </c>
      <c r="AE29" s="82">
        <f>-IF(AE5=YEAR(Inputs!$E$155),Inputs!$E$233*Inputs!$E$18,0)</f>
        <v>-0</v>
      </c>
      <c r="AF29" s="82">
        <f>-IF(AF5=YEAR(Inputs!$E$155),Inputs!$E$233*Inputs!$E$18,0)</f>
        <v>-0</v>
      </c>
      <c r="AG29" s="82">
        <f>-IF(AG5=YEAR(Inputs!$E$155),Inputs!$E$233*Inputs!$E$18,0)</f>
        <v>-0</v>
      </c>
      <c r="AH29" s="82">
        <f>-IF(AH5=YEAR(Inputs!$E$155),Inputs!$E$233*Inputs!$E$18,0)</f>
        <v>-0</v>
      </c>
      <c r="AI29" s="82">
        <f>-IF(AI5=YEAR(Inputs!$E$155),Inputs!$E$233*Inputs!$E$18,0)</f>
        <v>-0</v>
      </c>
      <c r="AJ29" s="82">
        <f>-IF(AJ5=YEAR(Inputs!$E$155),Inputs!$E$233*Inputs!$E$18,0)</f>
        <v>-0</v>
      </c>
      <c r="AK29" s="82">
        <f>-IF(AK5=YEAR(Inputs!$E$155),Inputs!$E$233*Inputs!$E$18,0)</f>
        <v>-0</v>
      </c>
      <c r="AL29" s="82">
        <f>-IF(AL5=YEAR(Inputs!$E$155),Inputs!$E$233*Inputs!$E$18,0)</f>
        <v>-0</v>
      </c>
      <c r="AM29" s="82">
        <f>-IF(AM5=YEAR(Inputs!$E$155),Inputs!$E$233*Inputs!$E$18,0)</f>
        <v>-0</v>
      </c>
      <c r="AN29" s="82">
        <f>-IF(AN5=YEAR(Inputs!$E$155),Inputs!$E$233*Inputs!$E$18,0)</f>
        <v>-0</v>
      </c>
      <c r="AO29" s="82">
        <f>-IF(AO5=YEAR(Inputs!$E$155),Inputs!$E$233*Inputs!$E$18,0)</f>
        <v>-0</v>
      </c>
      <c r="AP29" s="82">
        <f>-IF(AP5=YEAR(Inputs!$E$155),Inputs!$E$233*Inputs!$E$18,0)</f>
        <v>-0</v>
      </c>
      <c r="AQ29" s="82">
        <f>-IF(AQ5=YEAR(Inputs!$E$155),Inputs!$E$233*Inputs!$E$18,0)</f>
        <v>-0</v>
      </c>
    </row>
    <row r="30" spans="3:43" x14ac:dyDescent="0.25">
      <c r="C30" s="6" t="s">
        <v>950</v>
      </c>
      <c r="D30" s="6" t="s">
        <v>844</v>
      </c>
      <c r="E30" s="37"/>
      <c r="F30" s="37"/>
      <c r="G30" s="37">
        <f>SUM(H30:AQ30)</f>
        <v>-431201.29658630135</v>
      </c>
      <c r="H30" s="37">
        <f>H27+H28+H29</f>
        <v>-0</v>
      </c>
      <c r="I30" s="37">
        <f t="shared" ref="I30:AO30" si="7">I27+I28+I29</f>
        <v>-0</v>
      </c>
      <c r="J30" s="37">
        <f t="shared" si="7"/>
        <v>-0</v>
      </c>
      <c r="K30" s="37">
        <f t="shared" si="7"/>
        <v>-87894.32466849315</v>
      </c>
      <c r="L30" s="37">
        <f t="shared" si="7"/>
        <v>-194117.625</v>
      </c>
      <c r="M30" s="37">
        <f t="shared" si="7"/>
        <v>-149189.34691780823</v>
      </c>
      <c r="N30" s="37">
        <f t="shared" si="7"/>
        <v>-0</v>
      </c>
      <c r="O30" s="37">
        <f t="shared" si="7"/>
        <v>-0</v>
      </c>
      <c r="P30" s="37">
        <f t="shared" si="7"/>
        <v>-0</v>
      </c>
      <c r="Q30" s="37">
        <f t="shared" si="7"/>
        <v>-0</v>
      </c>
      <c r="R30" s="37">
        <f t="shared" si="7"/>
        <v>-0</v>
      </c>
      <c r="S30" s="37">
        <f t="shared" si="7"/>
        <v>-0</v>
      </c>
      <c r="T30" s="37">
        <f t="shared" si="7"/>
        <v>-0</v>
      </c>
      <c r="U30" s="37">
        <f t="shared" si="7"/>
        <v>-0</v>
      </c>
      <c r="V30" s="37">
        <f t="shared" si="7"/>
        <v>-0</v>
      </c>
      <c r="W30" s="37">
        <f t="shared" si="7"/>
        <v>-0</v>
      </c>
      <c r="X30" s="37">
        <f t="shared" si="7"/>
        <v>-0</v>
      </c>
      <c r="Y30" s="37">
        <f t="shared" si="7"/>
        <v>-0</v>
      </c>
      <c r="Z30" s="37">
        <f t="shared" si="7"/>
        <v>-0</v>
      </c>
      <c r="AA30" s="37">
        <f t="shared" si="7"/>
        <v>-0</v>
      </c>
      <c r="AB30" s="37">
        <f t="shared" si="7"/>
        <v>-0</v>
      </c>
      <c r="AC30" s="37">
        <f t="shared" si="7"/>
        <v>-0</v>
      </c>
      <c r="AD30" s="37">
        <f t="shared" si="7"/>
        <v>-0</v>
      </c>
      <c r="AE30" s="37">
        <f t="shared" si="7"/>
        <v>-0</v>
      </c>
      <c r="AF30" s="37">
        <f t="shared" si="7"/>
        <v>-0</v>
      </c>
      <c r="AG30" s="37">
        <f t="shared" si="7"/>
        <v>-0</v>
      </c>
      <c r="AH30" s="37">
        <f t="shared" si="7"/>
        <v>-0</v>
      </c>
      <c r="AI30" s="37">
        <f t="shared" si="7"/>
        <v>-0</v>
      </c>
      <c r="AJ30" s="37">
        <f t="shared" si="7"/>
        <v>-0</v>
      </c>
      <c r="AK30" s="37">
        <f t="shared" si="7"/>
        <v>-0</v>
      </c>
      <c r="AL30" s="37">
        <f t="shared" si="7"/>
        <v>-0</v>
      </c>
      <c r="AM30" s="37">
        <f t="shared" si="7"/>
        <v>-0</v>
      </c>
      <c r="AN30" s="37">
        <f t="shared" si="7"/>
        <v>-0</v>
      </c>
      <c r="AO30" s="37">
        <f t="shared" si="7"/>
        <v>-0</v>
      </c>
      <c r="AP30" s="37">
        <f>AP27+AP28+AP29</f>
        <v>-0</v>
      </c>
      <c r="AQ30" s="37">
        <f>AQ27+AQ28+AQ29</f>
        <v>-0</v>
      </c>
    </row>
    <row r="31" spans="3:43" x14ac:dyDescent="0.25">
      <c r="C31" t="s">
        <v>278</v>
      </c>
      <c r="D31" t="s">
        <v>844</v>
      </c>
      <c r="E31" s="1"/>
      <c r="F31" s="1"/>
      <c r="G31" s="1">
        <v>0</v>
      </c>
      <c r="H31" s="1">
        <f>G31+H30</f>
        <v>0</v>
      </c>
      <c r="I31" s="1">
        <f>H31+I30</f>
        <v>0</v>
      </c>
      <c r="J31" s="1">
        <f t="shared" ref="J31:AO31" si="8">I31+J30</f>
        <v>0</v>
      </c>
      <c r="K31" s="1">
        <f t="shared" si="8"/>
        <v>-87894.32466849315</v>
      </c>
      <c r="L31" s="1">
        <f t="shared" si="8"/>
        <v>-282011.9496684931</v>
      </c>
      <c r="M31" s="1">
        <f t="shared" si="8"/>
        <v>-431201.29658630135</v>
      </c>
      <c r="N31" s="1">
        <f t="shared" si="8"/>
        <v>-431201.29658630135</v>
      </c>
      <c r="O31" s="1">
        <f t="shared" si="8"/>
        <v>-431201.29658630135</v>
      </c>
      <c r="P31" s="1">
        <f t="shared" si="8"/>
        <v>-431201.29658630135</v>
      </c>
      <c r="Q31" s="1">
        <f t="shared" si="8"/>
        <v>-431201.29658630135</v>
      </c>
      <c r="R31" s="1">
        <f t="shared" si="8"/>
        <v>-431201.29658630135</v>
      </c>
      <c r="S31" s="1">
        <f t="shared" si="8"/>
        <v>-431201.29658630135</v>
      </c>
      <c r="T31" s="1">
        <f t="shared" si="8"/>
        <v>-431201.29658630135</v>
      </c>
      <c r="U31" s="1">
        <f t="shared" si="8"/>
        <v>-431201.29658630135</v>
      </c>
      <c r="V31" s="1">
        <f t="shared" si="8"/>
        <v>-431201.29658630135</v>
      </c>
      <c r="W31" s="1">
        <f t="shared" si="8"/>
        <v>-431201.29658630135</v>
      </c>
      <c r="X31" s="1">
        <f t="shared" si="8"/>
        <v>-431201.29658630135</v>
      </c>
      <c r="Y31" s="1">
        <f t="shared" si="8"/>
        <v>-431201.29658630135</v>
      </c>
      <c r="Z31" s="1">
        <f t="shared" si="8"/>
        <v>-431201.29658630135</v>
      </c>
      <c r="AA31" s="1">
        <f t="shared" si="8"/>
        <v>-431201.29658630135</v>
      </c>
      <c r="AB31" s="1">
        <f t="shared" si="8"/>
        <v>-431201.29658630135</v>
      </c>
      <c r="AC31" s="1">
        <f t="shared" si="8"/>
        <v>-431201.29658630135</v>
      </c>
      <c r="AD31" s="1">
        <f t="shared" si="8"/>
        <v>-431201.29658630135</v>
      </c>
      <c r="AE31" s="1">
        <f t="shared" si="8"/>
        <v>-431201.29658630135</v>
      </c>
      <c r="AF31" s="1">
        <f t="shared" si="8"/>
        <v>-431201.29658630135</v>
      </c>
      <c r="AG31" s="1">
        <f t="shared" si="8"/>
        <v>-431201.29658630135</v>
      </c>
      <c r="AH31" s="1">
        <f t="shared" si="8"/>
        <v>-431201.29658630135</v>
      </c>
      <c r="AI31" s="1">
        <f t="shared" si="8"/>
        <v>-431201.29658630135</v>
      </c>
      <c r="AJ31" s="1">
        <f t="shared" si="8"/>
        <v>-431201.29658630135</v>
      </c>
      <c r="AK31" s="1">
        <f t="shared" si="8"/>
        <v>-431201.29658630135</v>
      </c>
      <c r="AL31" s="1">
        <f t="shared" si="8"/>
        <v>-431201.29658630135</v>
      </c>
      <c r="AM31" s="1">
        <f t="shared" si="8"/>
        <v>-431201.29658630135</v>
      </c>
      <c r="AN31" s="1">
        <f t="shared" si="8"/>
        <v>-431201.29658630135</v>
      </c>
      <c r="AO31" s="1">
        <f t="shared" si="8"/>
        <v>-431201.29658630135</v>
      </c>
      <c r="AP31" s="1">
        <f>AO31+AP30</f>
        <v>-431201.29658630135</v>
      </c>
      <c r="AQ31" s="1">
        <f>AP31+AQ30</f>
        <v>-431201.29658630135</v>
      </c>
    </row>
    <row r="32" spans="3:43" x14ac:dyDescent="0.25">
      <c r="C32" t="s">
        <v>951</v>
      </c>
      <c r="D32" t="s">
        <v>845</v>
      </c>
      <c r="E32" s="1"/>
      <c r="F32" s="1"/>
      <c r="G32" s="1">
        <f>-G30/Inputs!$E$18</f>
        <v>2156.006482931507</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spans="3:43" x14ac:dyDescent="0.25">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spans="3:43" x14ac:dyDescent="0.25">
      <c r="C34" s="43" t="s">
        <v>952</v>
      </c>
      <c r="D34" s="43"/>
      <c r="E34" s="123"/>
      <c r="F34" s="123"/>
      <c r="G34" s="123"/>
      <c r="H34" s="123"/>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row>
    <row r="35" spans="3:43" x14ac:dyDescent="0.25">
      <c r="C35" t="s">
        <v>2520</v>
      </c>
      <c r="D35" t="s">
        <v>22</v>
      </c>
      <c r="E35" s="24">
        <f>Inputs!$E$29</f>
        <v>261</v>
      </c>
      <c r="F35" s="1"/>
      <c r="G35" s="1"/>
      <c r="H35" s="1">
        <f>$E$35*IF(H10&gt;0,1,0)</f>
        <v>0</v>
      </c>
      <c r="I35" s="1">
        <f t="shared" ref="I35:AO35" si="9">$E$35*IF(I10&gt;0,1,0)</f>
        <v>0</v>
      </c>
      <c r="J35" s="1">
        <f t="shared" si="9"/>
        <v>0</v>
      </c>
      <c r="K35" s="1">
        <f t="shared" si="9"/>
        <v>0</v>
      </c>
      <c r="L35" s="1">
        <f t="shared" si="9"/>
        <v>0</v>
      </c>
      <c r="M35" s="1">
        <f t="shared" si="9"/>
        <v>261</v>
      </c>
      <c r="N35" s="1">
        <f t="shared" si="9"/>
        <v>261</v>
      </c>
      <c r="O35" s="1">
        <f t="shared" si="9"/>
        <v>261</v>
      </c>
      <c r="P35" s="1">
        <f t="shared" si="9"/>
        <v>261</v>
      </c>
      <c r="Q35" s="1">
        <f t="shared" si="9"/>
        <v>261</v>
      </c>
      <c r="R35" s="1">
        <f t="shared" si="9"/>
        <v>261</v>
      </c>
      <c r="S35" s="1">
        <f t="shared" si="9"/>
        <v>261</v>
      </c>
      <c r="T35" s="1">
        <f t="shared" si="9"/>
        <v>261</v>
      </c>
      <c r="U35" s="1">
        <f t="shared" si="9"/>
        <v>261</v>
      </c>
      <c r="V35" s="1">
        <f t="shared" si="9"/>
        <v>261</v>
      </c>
      <c r="W35" s="1">
        <f t="shared" si="9"/>
        <v>261</v>
      </c>
      <c r="X35" s="1">
        <f t="shared" si="9"/>
        <v>261</v>
      </c>
      <c r="Y35" s="1">
        <f t="shared" si="9"/>
        <v>261</v>
      </c>
      <c r="Z35" s="1">
        <f t="shared" si="9"/>
        <v>261</v>
      </c>
      <c r="AA35" s="1">
        <f t="shared" si="9"/>
        <v>261</v>
      </c>
      <c r="AB35" s="1">
        <f t="shared" si="9"/>
        <v>261</v>
      </c>
      <c r="AC35" s="1">
        <f t="shared" si="9"/>
        <v>261</v>
      </c>
      <c r="AD35" s="1">
        <f t="shared" si="9"/>
        <v>261</v>
      </c>
      <c r="AE35" s="1">
        <f t="shared" si="9"/>
        <v>261</v>
      </c>
      <c r="AF35" s="1">
        <f t="shared" si="9"/>
        <v>261</v>
      </c>
      <c r="AG35" s="1">
        <f t="shared" si="9"/>
        <v>261</v>
      </c>
      <c r="AH35" s="1">
        <f t="shared" si="9"/>
        <v>261</v>
      </c>
      <c r="AI35" s="1">
        <f t="shared" si="9"/>
        <v>261</v>
      </c>
      <c r="AJ35" s="1">
        <f t="shared" si="9"/>
        <v>261</v>
      </c>
      <c r="AK35" s="1">
        <f t="shared" si="9"/>
        <v>261</v>
      </c>
      <c r="AL35" s="1">
        <f t="shared" si="9"/>
        <v>261</v>
      </c>
      <c r="AM35" s="1">
        <f t="shared" si="9"/>
        <v>261</v>
      </c>
      <c r="AN35" s="1">
        <f t="shared" si="9"/>
        <v>261</v>
      </c>
      <c r="AO35" s="1">
        <f t="shared" si="9"/>
        <v>261</v>
      </c>
      <c r="AP35" s="1">
        <f>$E$35*IF(AP10&gt;0,1,0)</f>
        <v>261</v>
      </c>
      <c r="AQ35" s="1">
        <f>$E$35*IF(AQ10&gt;0,1,0)</f>
        <v>261</v>
      </c>
    </row>
    <row r="36" x14ac:dyDescent="0.25">
      <c r="C36" t="inlineStr">
        <is>
          <t xml:space="preserve">Net P50 hours after haircut, curtailment, yield factor and the overbuild clipping estimate (Tender J45, active strategy)</t>
        </is>
      </c>
      <c r="D36" t="s">
        <v>878</v>
      </c>
      <c r="E36" s="19">
        <f>Inputs!$E$179*(1-Inputs!$E$180)*(1-Inputs!$E$181)*Inputs!$E$183*(1-Tender!$J$45)</f>
        <v>2298.6676650000004</v>
      </c>
      <c r="F36" s="2"/>
      <c r="G36" s="20"/>
      <c r="H36" s="20">
        <f>$E$36</f>
        <v>2298.6676650000004</v>
      </c>
      <c r="I36" s="20">
        <f t="shared" ref="I36:AQ36" si="10">$E$36</f>
        <v>2298.6676650000004</v>
      </c>
      <c r="J36" s="20">
        <f t="shared" si="10"/>
        <v>2298.6676650000004</v>
      </c>
      <c r="K36" s="20">
        <f t="shared" si="10"/>
        <v>2298.6676650000004</v>
      </c>
      <c r="L36" s="20">
        <f t="shared" si="10"/>
        <v>2298.6676650000004</v>
      </c>
      <c r="M36" s="20">
        <f t="shared" si="10"/>
        <v>2298.6676650000004</v>
      </c>
      <c r="N36" s="20">
        <f t="shared" si="10"/>
        <v>2298.6676650000004</v>
      </c>
      <c r="O36" s="20">
        <f t="shared" si="10"/>
        <v>2298.6676650000004</v>
      </c>
      <c r="P36" s="20">
        <f t="shared" si="10"/>
        <v>2298.6676650000004</v>
      </c>
      <c r="Q36" s="20">
        <f t="shared" si="10"/>
        <v>2298.6676650000004</v>
      </c>
      <c r="R36" s="20">
        <f t="shared" si="10"/>
        <v>2298.6676650000004</v>
      </c>
      <c r="S36" s="20">
        <f t="shared" si="10"/>
        <v>2298.6676650000004</v>
      </c>
      <c r="T36" s="20">
        <f t="shared" si="10"/>
        <v>2298.6676650000004</v>
      </c>
      <c r="U36" s="20">
        <f t="shared" si="10"/>
        <v>2298.6676650000004</v>
      </c>
      <c r="V36" s="20">
        <f t="shared" si="10"/>
        <v>2298.6676650000004</v>
      </c>
      <c r="W36" s="20">
        <f t="shared" si="10"/>
        <v>2298.6676650000004</v>
      </c>
      <c r="X36" s="20">
        <f t="shared" si="10"/>
        <v>2298.6676650000004</v>
      </c>
      <c r="Y36" s="20">
        <f t="shared" si="10"/>
        <v>2298.6676650000004</v>
      </c>
      <c r="Z36" s="20">
        <f t="shared" si="10"/>
        <v>2298.6676650000004</v>
      </c>
      <c r="AA36" s="20">
        <f t="shared" si="10"/>
        <v>2298.6676650000004</v>
      </c>
      <c r="AB36" s="20">
        <f t="shared" si="10"/>
        <v>2298.6676650000004</v>
      </c>
      <c r="AC36" s="20">
        <f t="shared" si="10"/>
        <v>2298.6676650000004</v>
      </c>
      <c r="AD36" s="20">
        <f t="shared" si="10"/>
        <v>2298.6676650000004</v>
      </c>
      <c r="AE36" s="20">
        <f t="shared" si="10"/>
        <v>2298.6676650000004</v>
      </c>
      <c r="AF36" s="20">
        <f t="shared" si="10"/>
        <v>2298.6676650000004</v>
      </c>
      <c r="AG36" s="20">
        <f t="shared" si="10"/>
        <v>2298.6676650000004</v>
      </c>
      <c r="AH36" s="20">
        <f t="shared" si="10"/>
        <v>2298.6676650000004</v>
      </c>
      <c r="AI36" s="20">
        <f t="shared" si="10"/>
        <v>2298.6676650000004</v>
      </c>
      <c r="AJ36" s="20">
        <f t="shared" si="10"/>
        <v>2298.6676650000004</v>
      </c>
      <c r="AK36" s="20">
        <f t="shared" si="10"/>
        <v>2298.6676650000004</v>
      </c>
      <c r="AL36" s="20">
        <f t="shared" si="10"/>
        <v>2298.6676650000004</v>
      </c>
      <c r="AM36" s="20">
        <f t="shared" si="10"/>
        <v>2298.6676650000004</v>
      </c>
      <c r="AN36" s="20">
        <f t="shared" si="10"/>
        <v>2298.6676650000004</v>
      </c>
      <c r="AO36" s="20">
        <f t="shared" si="10"/>
        <v>2298.6676650000004</v>
      </c>
      <c r="AP36" s="20">
        <f t="shared" si="10"/>
        <v>2298.6676650000004</v>
      </c>
      <c r="AQ36" s="20">
        <f t="shared" si="10"/>
        <v>2298.6676650000004</v>
      </c>
    </row>
    <row r="37" spans="3:43" x14ac:dyDescent="0.25">
      <c r="C37" t="s">
        <v>954</v>
      </c>
      <c r="D37" t="s">
        <v>4</v>
      </c>
      <c r="E37" s="22">
        <f>Inputs!$E$182</f>
        <v>0.003</v>
      </c>
      <c r="F37" s="1"/>
      <c r="G37" s="20"/>
      <c r="H37" s="20">
        <f>IF(H10&gt;0,(1-$E$37)^MAX(H9-1,0),0)</f>
        <v>0</v>
      </c>
      <c r="I37" s="20">
        <f t="shared" ref="I37:AO37" si="11">IF(I10&gt;0,(1-$E$37)^MAX(I9-1,0),0)</f>
        <v>0</v>
      </c>
      <c r="J37" s="20">
        <f t="shared" si="11"/>
        <v>0</v>
      </c>
      <c r="K37" s="20">
        <f t="shared" si="11"/>
        <v>0</v>
      </c>
      <c r="L37" s="20">
        <f t="shared" si="11"/>
        <v>0</v>
      </c>
      <c r="M37" s="20">
        <f t="shared" si="11"/>
        <v>1</v>
      </c>
      <c r="N37" s="20">
        <f t="shared" si="11"/>
        <v>1</v>
      </c>
      <c r="O37" s="20">
        <f t="shared" si="11"/>
        <v>0.997</v>
      </c>
      <c r="P37" s="20">
        <f t="shared" si="11"/>
        <v>0.994009</v>
      </c>
      <c r="Q37" s="20">
        <f t="shared" si="11"/>
        <v>0.991026973</v>
      </c>
      <c r="R37" s="20">
        <f t="shared" si="11"/>
        <v>0.988053892081</v>
      </c>
      <c r="S37" s="20">
        <f t="shared" si="11"/>
        <v>0.985089730404757</v>
      </c>
      <c r="T37" s="20">
        <f t="shared" si="11"/>
        <v>0.9821344612135428</v>
      </c>
      <c r="U37" s="20">
        <f t="shared" si="11"/>
        <v>0.979188057829902</v>
      </c>
      <c r="V37" s="20">
        <f t="shared" si="11"/>
        <v>0.9762504936564124</v>
      </c>
      <c r="W37" s="20">
        <f t="shared" si="11"/>
        <v>0.9733217421754431</v>
      </c>
      <c r="X37" s="20">
        <f t="shared" si="11"/>
        <v>0.9704017769489168</v>
      </c>
      <c r="Y37" s="20">
        <f t="shared" si="11"/>
        <v>0.9674905716180701</v>
      </c>
      <c r="Z37" s="20">
        <f t="shared" si="11"/>
        <v>0.9645880999032158</v>
      </c>
      <c r="AA37" s="20">
        <f t="shared" si="11"/>
        <v>0.9616943356035061</v>
      </c>
      <c r="AB37" s="20">
        <f t="shared" si="11"/>
        <v>0.9588092525966957</v>
      </c>
      <c r="AC37" s="20">
        <f t="shared" si="11"/>
        <v>0.9559328248389056</v>
      </c>
      <c r="AD37" s="20">
        <f t="shared" si="11"/>
        <v>0.9530650263643888</v>
      </c>
      <c r="AE37" s="20">
        <f t="shared" si="11"/>
        <v>0.9502058312852957</v>
      </c>
      <c r="AF37" s="20">
        <f t="shared" si="11"/>
        <v>0.9473552137914398</v>
      </c>
      <c r="AG37" s="20">
        <f t="shared" si="11"/>
        <v>0.9445131481500655</v>
      </c>
      <c r="AH37" s="20">
        <f t="shared" si="11"/>
        <v>0.9416796087056153</v>
      </c>
      <c r="AI37" s="20">
        <f t="shared" si="11"/>
        <v>0.9388545698794984</v>
      </c>
      <c r="AJ37" s="20">
        <f t="shared" si="11"/>
        <v>0.9360380061698599</v>
      </c>
      <c r="AK37" s="20">
        <f t="shared" si="11"/>
        <v>0.9332298921513503</v>
      </c>
      <c r="AL37" s="20">
        <f t="shared" si="11"/>
        <v>0.9304302024748963</v>
      </c>
      <c r="AM37" s="20">
        <f t="shared" si="11"/>
        <v>0.9276389118674716</v>
      </c>
      <c r="AN37" s="20">
        <f t="shared" si="11"/>
        <v>0.9248559951318692</v>
      </c>
      <c r="AO37" s="20">
        <f t="shared" si="11"/>
        <v>0.9220814271464736</v>
      </c>
      <c r="AP37" s="20">
        <f>IF(AP10&gt;0,(1-$E$37)^MAX(AP9-1,0),0)</f>
        <v>0.9193151828650341</v>
      </c>
      <c r="AQ37" s="20">
        <f>IF(AQ10&gt;0,(1-$E$37)^MAX(AQ9-1,0),0)</f>
        <v>0.916557237316439</v>
      </c>
    </row>
    <row r="38" spans="3:43" x14ac:dyDescent="0.25">
      <c r="C38" s="6" t="s">
        <v>955</v>
      </c>
      <c r="D38" s="6" t="s">
        <v>956</v>
      </c>
      <c r="E38" s="37"/>
      <c r="F38" s="37"/>
      <c r="G38" s="97">
        <f>SUM(H38:AQ38)</f>
        <v>17249.630704920553</v>
      </c>
      <c r="H38" s="95">
        <f>H35*H36*H37*H10/1000</f>
        <v>0</v>
      </c>
      <c r="I38" s="95">
        <f t="shared" ref="I38:AO38" si="12">I35*I36*I37*I10/1000</f>
        <v>0</v>
      </c>
      <c r="J38" s="95">
        <f t="shared" si="12"/>
        <v>0</v>
      </c>
      <c r="K38" s="95">
        <f t="shared" si="12"/>
        <v>0</v>
      </c>
      <c r="L38" s="95">
        <f t="shared" si="12"/>
        <v>0</v>
      </c>
      <c r="M38" s="95">
        <f t="shared" si="12"/>
        <v>149.98806514125002</v>
      </c>
      <c r="N38" s="95">
        <f t="shared" si="12"/>
        <v>599.9522605650001</v>
      </c>
      <c r="O38" s="95">
        <f t="shared" si="12"/>
        <v>598.1524037833051</v>
      </c>
      <c r="P38" s="95">
        <f t="shared" si="12"/>
        <v>596.3579465719553</v>
      </c>
      <c r="Q38" s="95">
        <f t="shared" si="12"/>
        <v>594.5688727322394</v>
      </c>
      <c r="R38" s="95">
        <f t="shared" si="12"/>
        <v>592.7851661140427</v>
      </c>
      <c r="S38" s="95">
        <f t="shared" si="12"/>
        <v>591.0068106157005</v>
      </c>
      <c r="T38" s="95">
        <f t="shared" si="12"/>
        <v>589.2337901838533</v>
      </c>
      <c r="U38" s="95">
        <f t="shared" si="12"/>
        <v>587.4660888133018</v>
      </c>
      <c r="V38" s="95">
        <f t="shared" si="12"/>
        <v>585.7036905468619</v>
      </c>
      <c r="W38" s="95">
        <f t="shared" si="12"/>
        <v>583.9465794752214</v>
      </c>
      <c r="X38" s="95">
        <f t="shared" si="12"/>
        <v>582.1947397367957</v>
      </c>
      <c r="Y38" s="95">
        <f t="shared" si="12"/>
        <v>580.4481555175852</v>
      </c>
      <c r="Z38" s="95">
        <f t="shared" si="12"/>
        <v>578.7068110510326</v>
      </c>
      <c r="AA38" s="95">
        <f t="shared" si="12"/>
        <v>576.9706906178794</v>
      </c>
      <c r="AB38" s="95">
        <f t="shared" si="12"/>
        <v>575.2397785460257</v>
      </c>
      <c r="AC38" s="95">
        <f t="shared" si="12"/>
        <v>573.5140592103878</v>
      </c>
      <c r="AD38" s="95">
        <f t="shared" si="12"/>
        <v>571.7935170327564</v>
      </c>
      <c r="AE38" s="95">
        <f t="shared" si="12"/>
        <v>570.0781364816582</v>
      </c>
      <c r="AF38" s="95">
        <f t="shared" si="12"/>
        <v>568.3679020722134</v>
      </c>
      <c r="AG38" s="95">
        <f t="shared" si="12"/>
        <v>566.6627983659967</v>
      </c>
      <c r="AH38" s="95">
        <f t="shared" si="12"/>
        <v>564.9628099708987</v>
      </c>
      <c r="AI38" s="95">
        <f t="shared" si="12"/>
        <v>563.267921540986</v>
      </c>
      <c r="AJ38" s="95">
        <f t="shared" si="12"/>
        <v>561.5781177763629</v>
      </c>
      <c r="AK38" s="95">
        <f t="shared" si="12"/>
        <v>559.8933834230339</v>
      </c>
      <c r="AL38" s="95">
        <f t="shared" si="12"/>
        <v>558.2137032727649</v>
      </c>
      <c r="AM38" s="95">
        <f t="shared" si="12"/>
        <v>556.5390621629466</v>
      </c>
      <c r="AN38" s="95">
        <f t="shared" si="12"/>
        <v>554.8694449764578</v>
      </c>
      <c r="AO38" s="95">
        <f t="shared" si="12"/>
        <v>553.2048366415283</v>
      </c>
      <c r="AP38" s="95">
        <f>AP35*AP36*AP37*AP10/1000</f>
        <v>551.5452221316036</v>
      </c>
      <c r="AQ38" s="95">
        <f>AQ35*AQ36*AQ37*AQ10/1000</f>
        <v>412.4179398489067</v>
      </c>
    </row>
    <row r="39" spans="3:43" x14ac:dyDescent="0.25">
      <c r="C39" t="s">
        <v>957</v>
      </c>
      <c r="D39" t="s">
        <v>2</v>
      </c>
      <c r="E39" s="1"/>
      <c r="F39" s="1"/>
      <c r="G39" s="31"/>
      <c r="H39" s="31" t="str">
        <f>IF(H8=1,H38*1000/(H35*8760),"")</f>
        <v/>
      </c>
      <c r="I39" s="31" t="str">
        <f t="shared" ref="I39:AO39" si="13">IF(I8=1,I38*1000/(I35*8760),"")</f>
        <v/>
      </c>
      <c r="J39" s="31" t="str">
        <f t="shared" si="13"/>
        <v/>
      </c>
      <c r="K39" s="31" t="str">
        <f t="shared" si="13"/>
        <v/>
      </c>
      <c r="L39" s="31" t="str">
        <f t="shared" si="13"/>
        <v/>
      </c>
      <c r="M39" s="31" t="str">
        <f t="shared" si="13"/>
        <v/>
      </c>
      <c r="N39" s="31">
        <f t="shared" si="13"/>
        <v>0.26240498458904116</v>
      </c>
      <c r="O39" s="31">
        <f t="shared" si="13"/>
        <v>0.261617769635274</v>
      </c>
      <c r="P39" s="31">
        <f t="shared" si="13"/>
        <v>0.26083291632636824</v>
      </c>
      <c r="Q39" s="31">
        <f t="shared" si="13"/>
        <v>0.26005041757738906</v>
      </c>
      <c r="R39" s="31">
        <f t="shared" si="13"/>
        <v>0.25927026632465694</v>
      </c>
      <c r="S39" s="31">
        <f t="shared" si="13"/>
        <v>0.25849245552568295</v>
      </c>
      <c r="T39" s="31">
        <f t="shared" si="13"/>
        <v>0.2577169781591059</v>
      </c>
      <c r="U39" s="31">
        <f t="shared" si="13"/>
        <v>0.25694382722462855</v>
      </c>
      <c r="V39" s="31">
        <f t="shared" si="13"/>
        <v>0.2561729957429547</v>
      </c>
      <c r="W39" s="31">
        <f t="shared" si="13"/>
        <v>0.25540447675572586</v>
      </c>
      <c r="X39" s="31">
        <f t="shared" si="13"/>
        <v>0.25463826332545864</v>
      </c>
      <c r="Y39" s="31">
        <f t="shared" si="13"/>
        <v>0.25387434853548224</v>
      </c>
      <c r="Z39" s="31">
        <f t="shared" si="13"/>
        <v>0.25311272548987584</v>
      </c>
      <c r="AA39" s="31">
        <f t="shared" si="13"/>
        <v>0.2523533873134062</v>
      </c>
      <c r="AB39" s="31">
        <f t="shared" si="13"/>
        <v>0.25159632715146596</v>
      </c>
      <c r="AC39" s="31">
        <f t="shared" si="13"/>
        <v>0.2508415381700116</v>
      </c>
      <c r="AD39" s="31">
        <f t="shared" si="13"/>
        <v>0.2500890135555015</v>
      </c>
      <c r="AE39" s="31">
        <f t="shared" si="13"/>
        <v>0.24933874651483504</v>
      </c>
      <c r="AF39" s="31">
        <f t="shared" si="13"/>
        <v>0.24859073027529058</v>
      </c>
      <c r="AG39" s="31">
        <f t="shared" si="13"/>
        <v>0.2478449580844647</v>
      </c>
      <c r="AH39" s="31">
        <f t="shared" si="13"/>
        <v>0.24710142321021128</v>
      </c>
      <c r="AI39" s="31">
        <f t="shared" si="13"/>
        <v>0.24636011894058063</v>
      </c>
      <c r="AJ39" s="31">
        <f t="shared" si="13"/>
        <v>0.24562103858375886</v>
      </c>
      <c r="AK39" s="31">
        <f t="shared" si="13"/>
        <v>0.24488417546800761</v>
      </c>
      <c r="AL39" s="31">
        <f t="shared" si="13"/>
        <v>0.2441495229416036</v>
      </c>
      <c r="AM39" s="31">
        <f t="shared" si="13"/>
        <v>0.24341707437277882</v>
      </c>
      <c r="AN39" s="31">
        <f t="shared" si="13"/>
        <v>0.24268682314966047</v>
      </c>
      <c r="AO39" s="31">
        <f t="shared" si="13"/>
        <v>0.24195876268021146</v>
      </c>
      <c r="AP39" s="31">
        <f>IF(AP8=1,AP38*1000/(AP35*8760),"")</f>
        <v>0.2412328863921708</v>
      </c>
      <c r="AQ39" s="31" t="str">
        <f>IF(AQ8=1,AQ38*1000/(AQ35*8760),"")</f>
        <v/>
      </c>
    </row>
    <row r="40" spans="3:43"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spans="3:43" x14ac:dyDescent="0.25">
      <c r="C41" s="43" t="s">
        <v>958</v>
      </c>
      <c r="D41" s="43"/>
      <c r="E41" s="124">
        <f>Inputs!$E$186</f>
        <v>1</v>
      </c>
      <c r="F41" s="134" t="s">
        <v>959</v>
      </c>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row>
    <row r="42" spans="3:43" x14ac:dyDescent="0.25">
      <c r="C42" t="s">
        <v>1329</v>
      </c>
      <c r="D42" t="s">
        <v>377</v>
      </c>
      <c r="E42" s="1"/>
      <c r="F42" s="1"/>
      <c r="G42" s="20"/>
      <c r="H42" s="85" t="str">
        <f>IFERROR(INDEX(Curves!$K$22:$K$66,MATCH(H$5,Curves!$C$22:$C$66,0))*Inputs!$E$184,IFERROR(IF(H$5&gt;LOOKUP(9.99E+307,Curves!$K$22:$K$66,Curves!$C$22:$C$66),LOOKUP(9.99E+307,Curves!$K$22:$K$66)*(1+Curves!$E$19)^(H$5-LOOKUP(9.99E+307,Curves!$K$22:$K$66,Curves!$C$22:$C$66))*Inputs!$E$184,""),""))</f>
        <v/>
      </c>
      <c r="I42" s="85">
        <f>IFERROR(INDEX(Curves!$K$22:$K$66,MATCH(I$5,Curves!$C$22:$C$66,0))*Inputs!$E$184,IFERROR(IF(I$5&gt;LOOKUP(9.99E+307,Curves!$K$22:$K$66,Curves!$C$22:$C$66),LOOKUP(9.99E+307,Curves!$K$22:$K$66)*(1+Curves!$E$19)^(I$5-LOOKUP(9.99E+307,Curves!$K$22:$K$66,Curves!$C$22:$C$66))*Inputs!$E$184,""),""))</f>
        <v>129.40495199999998</v>
      </c>
      <c r="J42" s="85">
        <f>IFERROR(INDEX(Curves!$K$22:$K$66,MATCH(J$5,Curves!$C$22:$C$66,0))*Inputs!$E$184,IFERROR(IF(J$5&gt;LOOKUP(9.99E+307,Curves!$K$22:$K$66,Curves!$C$22:$C$66),LOOKUP(9.99E+307,Curves!$K$22:$K$66)*(1+Curves!$E$19)^(J$5-LOOKUP(9.99E+307,Curves!$K$22:$K$66,Curves!$C$22:$C$66))*Inputs!$E$184,""),""))</f>
        <v>121.22178984000003</v>
      </c>
      <c r="K42" s="85">
        <f>IFERROR(INDEX(Curves!$K$22:$K$66,MATCH(K$5,Curves!$C$22:$C$66,0))*Inputs!$E$184,IFERROR(IF(K$5&gt;LOOKUP(9.99E+307,Curves!$K$22:$K$66,Curves!$C$22:$C$66),LOOKUP(9.99E+307,Curves!$K$22:$K$66)*(1+Curves!$E$19)^(K$5-LOOKUP(9.99E+307,Curves!$K$22:$K$66,Curves!$C$22:$C$66))*Inputs!$E$184,""),""))</f>
        <v>114.36978202559999</v>
      </c>
      <c r="L42" s="85">
        <f>IFERROR(INDEX(Curves!$K$22:$K$66,MATCH(L$5,Curves!$C$22:$C$66,0))*Inputs!$E$184,IFERROR(IF(L$5&gt;LOOKUP(9.99E+307,Curves!$K$22:$K$66,Curves!$C$22:$C$66),LOOKUP(9.99E+307,Curves!$K$22:$K$66)*(1+Curves!$E$19)^(L$5-LOOKUP(9.99E+307,Curves!$K$22:$K$66,Curves!$C$22:$C$66))*Inputs!$E$184,""),""))</f>
        <v>107.890776088704</v>
      </c>
      <c r="M42" s="85">
        <f>IFERROR(INDEX(Curves!$K$22:$K$66,MATCH(M$5,Curves!$C$22:$C$66,0))*Inputs!$E$184,IFERROR(IF(M$5&gt;LOOKUP(9.99E+307,Curves!$K$22:$K$66,Curves!$C$22:$C$66),LOOKUP(9.99E+307,Curves!$K$22:$K$66)*(1+Curves!$E$19)^(M$5-LOOKUP(9.99E+307,Curves!$K$22:$K$66,Curves!$C$22:$C$66))*Inputs!$E$184,""),""))</f>
        <v>115.73571182776128</v>
      </c>
      <c r="N42" s="85">
        <f>IFERROR(INDEX(Curves!$K$22:$K$66,MATCH(N$5,Curves!$C$22:$C$66,0))*Inputs!$E$184,IFERROR(IF(N$5&gt;LOOKUP(9.99E+307,Curves!$K$22:$K$66,Curves!$C$22:$C$66),LOOKUP(9.99E+307,Curves!$K$22:$K$66)*(1+Curves!$E$19)^(N$5-LOOKUP(9.99E+307,Curves!$K$22:$K$66,Curves!$C$22:$C$66))*Inputs!$E$184,""),""))</f>
        <v>114.45503992457427</v>
      </c>
      <c r="O42" s="85">
        <f>IFERROR(INDEX(Curves!$K$22:$K$66,MATCH(O$5,Curves!$C$22:$C$66,0))*Inputs!$E$184,IFERROR(IF(O$5&gt;LOOKUP(9.99E+307,Curves!$K$22:$K$66,Curves!$C$22:$C$66),LOOKUP(9.99E+307,Curves!$K$22:$K$66)*(1+Curves!$E$19)^(O$5-LOOKUP(9.99E+307,Curves!$K$22:$K$66,Curves!$C$22:$C$66))*Inputs!$E$184,""),""))</f>
        <v>117.27138744451678</v>
      </c>
      <c r="P42" s="85">
        <f>IFERROR(INDEX(Curves!$K$22:$K$66,MATCH(P$5,Curves!$C$22:$C$66,0))*Inputs!$E$184,IFERROR(IF(P$5&gt;LOOKUP(9.99E+307,Curves!$K$22:$K$66,Curves!$C$22:$C$66),LOOKUP(9.99E+307,Curves!$K$22:$K$66)*(1+Curves!$E$19)^(P$5-LOOKUP(9.99E+307,Curves!$K$22:$K$66,Curves!$C$22:$C$66))*Inputs!$E$184,""),""))</f>
        <v>115.08741435832854</v>
      </c>
      <c r="Q42" s="85">
        <f>IFERROR(INDEX(Curves!$K$22:$K$66,MATCH(Q$5,Curves!$C$22:$C$66,0))*Inputs!$E$184,IFERROR(IF(Q$5&gt;LOOKUP(9.99E+307,Curves!$K$22:$K$66,Curves!$C$22:$C$66),LOOKUP(9.99E+307,Curves!$K$22:$K$66)*(1+Curves!$E$19)^(Q$5-LOOKUP(9.99E+307,Curves!$K$22:$K$66,Curves!$C$22:$C$66))*Inputs!$E$184,""),""))</f>
        <v>117.12098387309628</v>
      </c>
      <c r="R42" s="85">
        <f>IFERROR(INDEX(Curves!$K$22:$K$66,MATCH(R$5,Curves!$C$22:$C$66,0))*Inputs!$E$184,IFERROR(IF(R$5&gt;LOOKUP(9.99E+307,Curves!$K$22:$K$66,Curves!$C$22:$C$66),LOOKUP(9.99E+307,Curves!$K$22:$K$66)*(1+Curves!$E$19)^(R$5-LOOKUP(9.99E+307,Curves!$K$22:$K$66,Curves!$C$22:$C$66))*Inputs!$E$184,""),""))</f>
        <v>119.60017472448162</v>
      </c>
      <c r="S42" s="85">
        <f>IFERROR(INDEX(Curves!$K$22:$K$66,MATCH(S$5,Curves!$C$22:$C$66,0))*Inputs!$E$184,IFERROR(IF(S$5&gt;LOOKUP(9.99E+307,Curves!$K$22:$K$66,Curves!$C$22:$C$66),LOOKUP(9.99E+307,Curves!$K$22:$K$66)*(1+Curves!$E$19)^(S$5-LOOKUP(9.99E+307,Curves!$K$22:$K$66,Curves!$C$22:$C$66))*Inputs!$E$184,""),""))</f>
        <v>126.21542339486452</v>
      </c>
      <c r="T42" s="85">
        <f>IFERROR(INDEX(Curves!$K$22:$K$66,MATCH(T$5,Curves!$C$22:$C$66,0))*Inputs!$E$184,IFERROR(IF(T$5&gt;LOOKUP(9.99E+307,Curves!$K$22:$K$66,Curves!$C$22:$C$66),LOOKUP(9.99E+307,Curves!$K$22:$K$66)*(1+Curves!$E$19)^(T$5-LOOKUP(9.99E+307,Curves!$K$22:$K$66,Curves!$C$22:$C$66))*Inputs!$E$184,""),""))</f>
        <v>127.01923504425828</v>
      </c>
      <c r="U42" s="85">
        <f>IFERROR(INDEX(Curves!$K$22:$K$66,MATCH(U$5,Curves!$C$22:$C$66,0))*Inputs!$E$184,IFERROR(IF(U$5&gt;LOOKUP(9.99E+307,Curves!$K$22:$K$66,Curves!$C$22:$C$66),LOOKUP(9.99E+307,Curves!$K$22:$K$66)*(1+Curves!$E$19)^(U$5-LOOKUP(9.99E+307,Curves!$K$22:$K$66,Curves!$C$22:$C$66))*Inputs!$E$184,""),""))</f>
        <v>128.88668557598137</v>
      </c>
      <c r="V42" s="85">
        <f>IFERROR(INDEX(Curves!$K$22:$K$66,MATCH(V$5,Curves!$C$22:$C$66,0))*Inputs!$E$184,IFERROR(IF(V$5&gt;LOOKUP(9.99E+307,Curves!$K$22:$K$66,Curves!$C$22:$C$66),LOOKUP(9.99E+307,Curves!$K$22:$K$66)*(1+Curves!$E$19)^(V$5-LOOKUP(9.99E+307,Curves!$K$22:$K$66,Curves!$C$22:$C$66))*Inputs!$E$184,""),""))</f>
        <v>129.9301293818115</v>
      </c>
      <c r="W42" s="85">
        <f>IFERROR(INDEX(Curves!$K$22:$K$66,MATCH(W$5,Curves!$C$22:$C$66,0))*Inputs!$E$184,IFERROR(IF(W$5&gt;LOOKUP(9.99E+307,Curves!$K$22:$K$66,Curves!$C$22:$C$66),LOOKUP(9.99E+307,Curves!$K$22:$K$66)*(1+Curves!$E$19)^(W$5-LOOKUP(9.99E+307,Curves!$K$22:$K$66,Curves!$C$22:$C$66))*Inputs!$E$184,""),""))</f>
        <v>130.8951169803899</v>
      </c>
      <c r="X42" s="85">
        <f>IFERROR(INDEX(Curves!$K$22:$K$66,MATCH(X$5,Curves!$C$22:$C$66,0))*Inputs!$E$184,IFERROR(IF(X$5&gt;LOOKUP(9.99E+307,Curves!$K$22:$K$66,Curves!$C$22:$C$66),LOOKUP(9.99E+307,Curves!$K$22:$K$66)*(1+Curves!$E$19)^(X$5-LOOKUP(9.99E+307,Curves!$K$22:$K$66,Curves!$C$22:$C$66))*Inputs!$E$184,""),""))</f>
        <v>134.63321245535167</v>
      </c>
      <c r="Y42" s="85">
        <f>IFERROR(INDEX(Curves!$K$22:$K$66,MATCH(Y$5,Curves!$C$22:$C$66,0))*Inputs!$E$184,IFERROR(IF(Y$5&gt;LOOKUP(9.99E+307,Curves!$K$22:$K$66,Curves!$C$22:$C$66),LOOKUP(9.99E+307,Curves!$K$22:$K$66)*(1+Curves!$E$19)^(Y$5-LOOKUP(9.99E+307,Curves!$K$22:$K$66,Curves!$C$22:$C$66))*Inputs!$E$184,""),""))</f>
        <v>137.61152595397394</v>
      </c>
      <c r="Z42" s="85">
        <f>IFERROR(INDEX(Curves!$K$22:$K$66,MATCH(Z$5,Curves!$C$22:$C$66,0))*Inputs!$E$184,IFERROR(IF(Z$5&gt;LOOKUP(9.99E+307,Curves!$K$22:$K$66,Curves!$C$22:$C$66),LOOKUP(9.99E+307,Curves!$K$22:$K$66)*(1+Curves!$E$19)^(Z$5-LOOKUP(9.99E+307,Curves!$K$22:$K$66,Curves!$C$22:$C$66))*Inputs!$E$184,""),""))</f>
        <v>139.27114809365756</v>
      </c>
      <c r="AA42" s="85">
        <f>IFERROR(INDEX(Curves!$K$22:$K$66,MATCH(AA$5,Curves!$C$22:$C$66,0))*Inputs!$E$184,IFERROR(IF(AA$5&gt;LOOKUP(9.99E+307,Curves!$K$22:$K$66,Curves!$C$22:$C$66),LOOKUP(9.99E+307,Curves!$K$22:$K$66)*(1+Curves!$E$19)^(AA$5-LOOKUP(9.99E+307,Curves!$K$22:$K$66,Curves!$C$22:$C$66))*Inputs!$E$184,""),""))</f>
        <v>144.40436794117653</v>
      </c>
      <c r="AB42" s="85">
        <f>IFERROR(INDEX(Curves!$K$22:$K$66,MATCH(AB$5,Curves!$C$22:$C$66,0))*Inputs!$E$184,IFERROR(IF(AB$5&gt;LOOKUP(9.99E+307,Curves!$K$22:$K$66,Curves!$C$22:$C$66),LOOKUP(9.99E+307,Curves!$K$22:$K$66)*(1+Curves!$E$19)^(AB$5-LOOKUP(9.99E+307,Curves!$K$22:$K$66,Curves!$C$22:$C$66))*Inputs!$E$184,""),""))</f>
        <v>147.53496191502373</v>
      </c>
      <c r="AC42" s="85">
        <f>IFERROR(INDEX(Curves!$K$22:$K$66,MATCH(AC$5,Curves!$C$22:$C$66,0))*Inputs!$E$184,IFERROR(IF(AC$5&gt;LOOKUP(9.99E+307,Curves!$K$22:$K$66,Curves!$C$22:$C$66),LOOKUP(9.99E+307,Curves!$K$22:$K$66)*(1+Curves!$E$19)^(AC$5-LOOKUP(9.99E+307,Curves!$K$22:$K$66,Curves!$C$22:$C$66))*Inputs!$E$184,""),""))</f>
        <v>150.1455456257535</v>
      </c>
      <c r="AD42" s="85">
        <f>IFERROR(INDEX(Curves!$K$22:$K$66,MATCH(AD$5,Curves!$C$22:$C$66,0))*Inputs!$E$184,IFERROR(IF(AD$5&gt;LOOKUP(9.99E+307,Curves!$K$22:$K$66,Curves!$C$22:$C$66),LOOKUP(9.99E+307,Curves!$K$22:$K$66)*(1+Curves!$E$19)^(AD$5-LOOKUP(9.99E+307,Curves!$K$22:$K$66,Curves!$C$22:$C$66))*Inputs!$E$184,""),""))</f>
        <v>150.37311383329174</v>
      </c>
      <c r="AE42" s="85">
        <f>IFERROR(INDEX(Curves!$K$22:$K$66,MATCH(AE$5,Curves!$C$22:$C$66,0))*Inputs!$E$184,IFERROR(IF(AE$5&gt;LOOKUP(9.99E+307,Curves!$K$22:$K$66,Curves!$C$22:$C$66),LOOKUP(9.99E+307,Curves!$K$22:$K$66)*(1+Curves!$E$19)^(AE$5-LOOKUP(9.99E+307,Curves!$K$22:$K$66,Curves!$C$22:$C$66))*Inputs!$E$184,""),""))</f>
        <v>153.52533546241034</v>
      </c>
      <c r="AF42" s="85">
        <f>IFERROR(INDEX(Curves!$K$22:$K$66,MATCH(AF$5,Curves!$C$22:$C$66,0))*Inputs!$E$184,IFERROR(IF(AF$5&gt;LOOKUP(9.99E+307,Curves!$K$22:$K$66,Curves!$C$22:$C$66),LOOKUP(9.99E+307,Curves!$K$22:$K$66)*(1+Curves!$E$19)^(AF$5-LOOKUP(9.99E+307,Curves!$K$22:$K$66,Curves!$C$22:$C$66))*Inputs!$E$184,""),""))</f>
        <v>154.6107089183562</v>
      </c>
      <c r="AG42" s="85">
        <f>IFERROR(INDEX(Curves!$K$22:$K$66,MATCH(AG$5,Curves!$C$22:$C$66,0))*Inputs!$E$184,IFERROR(IF(AG$5&gt;LOOKUP(9.99E+307,Curves!$K$22:$K$66,Curves!$C$22:$C$66),LOOKUP(9.99E+307,Curves!$K$22:$K$66)*(1+Curves!$E$19)^(AG$5-LOOKUP(9.99E+307,Curves!$K$22:$K$66,Curves!$C$22:$C$66))*Inputs!$E$184,""),""))</f>
        <v>156.0295049823693</v>
      </c>
      <c r="AH42" s="85">
        <f>IFERROR(INDEX(Curves!$K$22:$K$66,MATCH(AH$5,Curves!$C$22:$C$66,0))*Inputs!$E$184,IFERROR(IF(AH$5&gt;LOOKUP(9.99E+307,Curves!$K$22:$K$66,Curves!$C$22:$C$66),LOOKUP(9.99E+307,Curves!$K$22:$K$66)*(1+Curves!$E$19)^(AH$5-LOOKUP(9.99E+307,Curves!$K$22:$K$66,Curves!$C$22:$C$66))*Inputs!$E$184,""),""))</f>
        <v>156.40200785462451</v>
      </c>
      <c r="AI42" s="85">
        <f>IFERROR(INDEX(Curves!$K$22:$K$66,MATCH(AI$5,Curves!$C$22:$C$66,0))*Inputs!$E$184,IFERROR(IF(AI$5&gt;LOOKUP(9.99E+307,Curves!$K$22:$K$66,Curves!$C$22:$C$66),LOOKUP(9.99E+307,Curves!$K$22:$K$66)*(1+Curves!$E$19)^(AI$5-LOOKUP(9.99E+307,Curves!$K$22:$K$66,Curves!$C$22:$C$66))*Inputs!$E$184,""),""))</f>
        <v>160.99250834490311</v>
      </c>
      <c r="AJ42" s="85">
        <f>IFERROR(INDEX(Curves!$K$22:$K$66,MATCH(AJ$5,Curves!$C$22:$C$66,0))*Inputs!$E$184,IFERROR(IF(AJ$5&gt;LOOKUP(9.99E+307,Curves!$K$22:$K$66,Curves!$C$22:$C$66),LOOKUP(9.99E+307,Curves!$K$22:$K$66)*(1+Curves!$E$19)^(AJ$5-LOOKUP(9.99E+307,Curves!$K$22:$K$66,Curves!$C$22:$C$66))*Inputs!$E$184,""),""))</f>
        <v>163.3777115073614</v>
      </c>
      <c r="AK42" s="85">
        <f>IFERROR(INDEX(Curves!$K$22:$K$66,MATCH(AK$5,Curves!$C$22:$C$66,0))*Inputs!$E$184,IFERROR(IF(AK$5&gt;LOOKUP(9.99E+307,Curves!$K$22:$K$66,Curves!$C$22:$C$66),LOOKUP(9.99E+307,Curves!$K$22:$K$66)*(1+Curves!$E$19)^(AK$5-LOOKUP(9.99E+307,Curves!$K$22:$K$66,Curves!$C$22:$C$66))*Inputs!$E$184,""),""))</f>
        <v>165.86638025634417</v>
      </c>
      <c r="AL42" s="85">
        <f>IFERROR(INDEX(Curves!$K$22:$K$66,MATCH(AL$5,Curves!$C$22:$C$66,0))*Inputs!$E$184,IFERROR(IF(AL$5&gt;LOOKUP(9.99E+307,Curves!$K$22:$K$66,Curves!$C$22:$C$66),LOOKUP(9.99E+307,Curves!$K$22:$K$66)*(1+Curves!$E$19)^(AL$5-LOOKUP(9.99E+307,Curves!$K$22:$K$66,Curves!$C$22:$C$66))*Inputs!$E$184,""),""))</f>
        <v>167.05898072331786</v>
      </c>
      <c r="AM42" s="85">
        <f>IFERROR(INDEX(Curves!$K$22:$K$66,MATCH(AM$5,Curves!$C$22:$C$66,0))*Inputs!$E$184,IFERROR(IF(AM$5&gt;LOOKUP(9.99E+307,Curves!$K$22:$K$66,Curves!$C$22:$C$66),LOOKUP(9.99E+307,Curves!$K$22:$K$66)*(1+Curves!$E$19)^(AM$5-LOOKUP(9.99E+307,Curves!$K$22:$K$66,Curves!$C$22:$C$66))*Inputs!$E$184,""),""))</f>
        <v>171.70049334633399</v>
      </c>
      <c r="AN42" s="85">
        <f>IFERROR(INDEX(Curves!$K$22:$K$66,MATCH(AN$5,Curves!$C$22:$C$66,0))*Inputs!$E$184,IFERROR(IF(AN$5&gt;LOOKUP(9.99E+307,Curves!$K$22:$K$66,Curves!$C$22:$C$66),LOOKUP(9.99E+307,Curves!$K$22:$K$66)*(1+Curves!$E$19)^(AN$5-LOOKUP(9.99E+307,Curves!$K$22:$K$66,Curves!$C$22:$C$66))*Inputs!$E$184,""),""))</f>
        <v>178.55607511227947</v>
      </c>
      <c r="AO42" s="85">
        <f>IFERROR(INDEX(Curves!$K$22:$K$66,MATCH(AO$5,Curves!$C$22:$C$66,0))*Inputs!$E$184,IFERROR(IF(AO$5&gt;LOOKUP(9.99E+307,Curves!$K$22:$K$66,Curves!$C$22:$C$66),LOOKUP(9.99E+307,Curves!$K$22:$K$66)*(1+Curves!$E$19)^(AO$5-LOOKUP(9.99E+307,Curves!$K$22:$K$66,Curves!$C$22:$C$66))*Inputs!$E$184,""),""))</f>
        <v>184.8721430593559</v>
      </c>
      <c r="AP42" s="85">
        <f>IFERROR(INDEX(Curves!$K$22:$K$66,MATCH(AP$5,Curves!$C$22:$C$66,0))*Inputs!$E$184,IFERROR(IF(AP$5&gt;LOOKUP(9.99E+307,Curves!$K$22:$K$66,Curves!$C$22:$C$66),LOOKUP(9.99E+307,Curves!$K$22:$K$66)*(1+Curves!$E$19)^(AP$5-LOOKUP(9.99E+307,Curves!$K$22:$K$66,Curves!$C$22:$C$66))*Inputs!$E$184,""),""))</f>
        <v>186.70968863656694</v>
      </c>
      <c r="AQ42" s="85">
        <f>IFERROR(INDEX(Curves!$K$22:$K$66,MATCH(AQ$5,Curves!$C$22:$C$66,0))*Inputs!$E$184,IFERROR(IF(AQ$5&gt;LOOKUP(9.99E+307,Curves!$K$22:$K$66,Curves!$C$22:$C$66),LOOKUP(9.99E+307,Curves!$K$22:$K$66)*(1+Curves!$E$19)^(AQ$5-LOOKUP(9.99E+307,Curves!$K$22:$K$66,Curves!$C$22:$C$66))*Inputs!$E$184,""),""))</f>
        <v>190.44388240929828</v>
      </c>
    </row>
    <row r="43" spans="3:43" x14ac:dyDescent="0.25">
      <c r="C43" t="s">
        <v>960</v>
      </c>
      <c r="D43" t="s">
        <v>377</v>
      </c>
      <c r="E43" s="1">
        <f>Inputs!$E$187</f>
        <v>100</v>
      </c>
      <c r="F43" s="1"/>
      <c r="G43" s="20"/>
      <c r="H43" s="20">
        <f>$E$43*(1+Inputs!$E$188)^(H$5-YEAR(Inputs!$E$155))</f>
        <v>90.57308098299158</v>
      </c>
      <c r="I43" s="20">
        <f>$E$43*(1+Inputs!$E$188)^(I$5-YEAR(Inputs!$E$155))</f>
        <v>92.38454260265142</v>
      </c>
      <c r="J43" s="20">
        <f>$E$43*(1+Inputs!$E$188)^(J$5-YEAR(Inputs!$E$155))</f>
        <v>94.23223345470446</v>
      </c>
      <c r="K43" s="20">
        <f>$E$43*(1+Inputs!$E$188)^(K$5-YEAR(Inputs!$E$155))</f>
        <v>96.11687812379853</v>
      </c>
      <c r="L43" s="20">
        <f>$E$43*(1+Inputs!$E$188)^(L$5-YEAR(Inputs!$E$155))</f>
        <v>98.0392156862745</v>
      </c>
      <c r="M43" s="20">
        <f>$E$43*(1+Inputs!$E$188)^(M$5-YEAR(Inputs!$E$155))</f>
        <v>100</v>
      </c>
      <c r="N43" s="20">
        <f>$E$43*(1+Inputs!$E$188)^(N$5-YEAR(Inputs!$E$155))</f>
        <v>102</v>
      </c>
      <c r="O43" s="20">
        <f>$E$43*(1+Inputs!$E$188)^(O$5-YEAR(Inputs!$E$155))</f>
        <v>104.03999999999999</v>
      </c>
      <c r="P43" s="20">
        <f>$E$43*(1+Inputs!$E$188)^(P$5-YEAR(Inputs!$E$155))</f>
        <v>106.12080000000002</v>
      </c>
      <c r="Q43" s="20">
        <f>$E$43*(1+Inputs!$E$188)^(Q$5-YEAR(Inputs!$E$155))</f>
        <v>108.243216</v>
      </c>
      <c r="R43" s="20">
        <f>$E$43*(1+Inputs!$E$188)^(R$5-YEAR(Inputs!$E$155))</f>
        <v>110.40808032</v>
      </c>
      <c r="S43" s="20">
        <f>$E$43*(1+Inputs!$E$188)^(S$5-YEAR(Inputs!$E$155))</f>
        <v>112.61624192640001</v>
      </c>
      <c r="T43" s="20">
        <f>$E$43*(1+Inputs!$E$188)^(T$5-YEAR(Inputs!$E$155))</f>
        <v>114.868566764928</v>
      </c>
      <c r="U43" s="20">
        <f>$E$43*(1+Inputs!$E$188)^(U$5-YEAR(Inputs!$E$155))</f>
        <v>117.16593810022657</v>
      </c>
      <c r="V43" s="20">
        <f>$E$43*(1+Inputs!$E$188)^(V$5-YEAR(Inputs!$E$155))</f>
        <v>119.50925686223111</v>
      </c>
      <c r="W43" s="20">
        <f>$E$43*(1+Inputs!$E$188)^(W$5-YEAR(Inputs!$E$155))</f>
        <v>121.89944199947573</v>
      </c>
      <c r="X43" s="20">
        <f>$E$43*(1+Inputs!$E$188)^(X$5-YEAR(Inputs!$E$155))</f>
        <v>124.33743083946524</v>
      </c>
      <c r="Y43" s="20">
        <f>$E$43*(1+Inputs!$E$188)^(Y$5-YEAR(Inputs!$E$155))</f>
        <v>126.82417945625456</v>
      </c>
      <c r="Z43" s="20">
        <f>$E$43*(1+Inputs!$E$188)^(Z$5-YEAR(Inputs!$E$155))</f>
        <v>129.36066304537965</v>
      </c>
      <c r="AA43" s="20">
        <f>$E$43*(1+Inputs!$E$188)^(AA$5-YEAR(Inputs!$E$155))</f>
        <v>131.94787630628724</v>
      </c>
      <c r="AB43" s="20">
        <f>$E$43*(1+Inputs!$E$188)^(AB$5-YEAR(Inputs!$E$155))</f>
        <v>134.586833832413</v>
      </c>
      <c r="AC43" s="20">
        <f>$E$43*(1+Inputs!$E$188)^(AC$5-YEAR(Inputs!$E$155))</f>
        <v>137.27857050906124</v>
      </c>
      <c r="AD43" s="20">
        <f>$E$43*(1+Inputs!$E$188)^(AD$5-YEAR(Inputs!$E$155))</f>
        <v>140.02414191924248</v>
      </c>
      <c r="AE43" s="20">
        <f>$E$43*(1+Inputs!$E$188)^(AE$5-YEAR(Inputs!$E$155))</f>
        <v>142.82462475762733</v>
      </c>
      <c r="AF43" s="20">
        <f>$E$43*(1+Inputs!$E$188)^(AF$5-YEAR(Inputs!$E$155))</f>
        <v>145.68111725277987</v>
      </c>
      <c r="AG43" s="20">
        <f>$E$43*(1+Inputs!$E$188)^(AG$5-YEAR(Inputs!$E$155))</f>
        <v>148.59473959783548</v>
      </c>
      <c r="AH43" s="20">
        <f>$E$43*(1+Inputs!$E$188)^(AH$5-YEAR(Inputs!$E$155))</f>
        <v>151.5666343897922</v>
      </c>
      <c r="AI43" s="20">
        <f>$E$43*(1+Inputs!$E$188)^(AI$5-YEAR(Inputs!$E$155))</f>
        <v>154.59796707758804</v>
      </c>
      <c r="AJ43" s="20">
        <f>$E$43*(1+Inputs!$E$188)^(AJ$5-YEAR(Inputs!$E$155))</f>
        <v>157.68992641913982</v>
      </c>
      <c r="AK43" s="20">
        <f>$E$43*(1+Inputs!$E$188)^(AK$5-YEAR(Inputs!$E$155))</f>
        <v>160.84372494752262</v>
      </c>
      <c r="AL43" s="20">
        <f>$E$43*(1+Inputs!$E$188)^(AL$5-YEAR(Inputs!$E$155))</f>
        <v>164.06059944647308</v>
      </c>
      <c r="AM43" s="20">
        <f>$E$43*(1+Inputs!$E$188)^(AM$5-YEAR(Inputs!$E$155))</f>
        <v>167.34181143540252</v>
      </c>
      <c r="AN43" s="20">
        <f>$E$43*(1+Inputs!$E$188)^(AN$5-YEAR(Inputs!$E$155))</f>
        <v>170.6886476641106</v>
      </c>
      <c r="AO43" s="20">
        <f>$E$43*(1+Inputs!$E$188)^(AO$5-YEAR(Inputs!$E$155))</f>
        <v>174.1024206173928</v>
      </c>
      <c r="AP43" s="20">
        <f>$E$43*(1+Inputs!$E$188)^(AP$5-YEAR(Inputs!$E$155))</f>
        <v>177.58446902974066</v>
      </c>
      <c r="AQ43" s="20">
        <f>$E$43*(1+Inputs!$E$188)^(AQ$5-YEAR(Inputs!$E$155))</f>
        <v>181.13615841033547</v>
      </c>
    </row>
    <row r="44" spans="3:43" x14ac:dyDescent="0.25">
      <c r="C44" t="s">
        <v>961</v>
      </c>
      <c r="D44" t="s">
        <v>377</v>
      </c>
      <c r="E44" s="31">
        <f>Inputs!$E$189</f>
        <v>0.85</v>
      </c>
      <c r="F44" s="1"/>
      <c r="G44" s="20"/>
      <c r="H44" s="20">
        <f>H43*$E$44</f>
        <v>76.98711883554284</v>
      </c>
      <c r="I44" s="20">
        <f t="shared" ref="I44:AO44" si="14">I43*$E$44</f>
        <v>78.5268612122537</v>
      </c>
      <c r="J44" s="20">
        <f t="shared" si="14"/>
        <v>80.09739843649879</v>
      </c>
      <c r="K44" s="20">
        <f t="shared" si="14"/>
        <v>81.69934640522875</v>
      </c>
      <c r="L44" s="20">
        <f t="shared" si="14"/>
        <v>83.33333333333333</v>
      </c>
      <c r="M44" s="20">
        <f t="shared" si="14"/>
        <v>85</v>
      </c>
      <c r="N44" s="20">
        <f t="shared" si="14"/>
        <v>86.7</v>
      </c>
      <c r="O44" s="20">
        <f t="shared" si="14"/>
        <v>88.434</v>
      </c>
      <c r="P44" s="20">
        <f t="shared" si="14"/>
        <v>90.20268000000002</v>
      </c>
      <c r="Q44" s="20">
        <f t="shared" si="14"/>
        <v>92.0067336</v>
      </c>
      <c r="R44" s="20">
        <f t="shared" si="14"/>
        <v>93.846868272</v>
      </c>
      <c r="S44" s="20">
        <f t="shared" si="14"/>
        <v>95.72380563744001</v>
      </c>
      <c r="T44" s="20">
        <f t="shared" si="14"/>
        <v>97.6382817501888</v>
      </c>
      <c r="U44" s="20">
        <f t="shared" si="14"/>
        <v>99.59104738519258</v>
      </c>
      <c r="V44" s="20">
        <f t="shared" si="14"/>
        <v>101.58286833289644</v>
      </c>
      <c r="W44" s="20">
        <f t="shared" si="14"/>
        <v>103.61452569955436</v>
      </c>
      <c r="X44" s="20">
        <f t="shared" si="14"/>
        <v>105.68681621354546</v>
      </c>
      <c r="Y44" s="20">
        <f t="shared" si="14"/>
        <v>107.80055253781637</v>
      </c>
      <c r="Z44" s="20">
        <f t="shared" si="14"/>
        <v>109.9565635885727</v>
      </c>
      <c r="AA44" s="20">
        <f t="shared" si="14"/>
        <v>112.15569486034416</v>
      </c>
      <c r="AB44" s="20">
        <f t="shared" si="14"/>
        <v>114.39880875755104</v>
      </c>
      <c r="AC44" s="20">
        <f t="shared" si="14"/>
        <v>116.68678493270205</v>
      </c>
      <c r="AD44" s="20">
        <f t="shared" si="14"/>
        <v>119.0205206313561</v>
      </c>
      <c r="AE44" s="20">
        <f t="shared" si="14"/>
        <v>121.40093104398323</v>
      </c>
      <c r="AF44" s="20">
        <f t="shared" si="14"/>
        <v>123.82894966486289</v>
      </c>
      <c r="AG44" s="20">
        <f t="shared" si="14"/>
        <v>126.30552865816016</v>
      </c>
      <c r="AH44" s="20">
        <f t="shared" si="14"/>
        <v>128.83163923132338</v>
      </c>
      <c r="AI44" s="20">
        <f t="shared" si="14"/>
        <v>131.40827201594982</v>
      </c>
      <c r="AJ44" s="20">
        <f t="shared" si="14"/>
        <v>134.03643745626886</v>
      </c>
      <c r="AK44" s="20">
        <f t="shared" si="14"/>
        <v>136.71716620539422</v>
      </c>
      <c r="AL44" s="20">
        <f t="shared" si="14"/>
        <v>139.45150952950212</v>
      </c>
      <c r="AM44" s="20">
        <f t="shared" si="14"/>
        <v>142.24053972009213</v>
      </c>
      <c r="AN44" s="20">
        <f t="shared" si="14"/>
        <v>145.085350514494</v>
      </c>
      <c r="AO44" s="20">
        <f t="shared" si="14"/>
        <v>147.98705752478386</v>
      </c>
      <c r="AP44" s="20">
        <f>AP43*$E$44</f>
        <v>150.94679867527955</v>
      </c>
      <c r="AQ44" s="20">
        <f>AQ43*$E$44</f>
        <v>153.96573464878514</v>
      </c>
    </row>
    <row r="45" spans="3:43" x14ac:dyDescent="0.25">
      <c r="C45" t="s">
        <v>962</v>
      </c>
      <c r="D45" t="s">
        <v>377</v>
      </c>
      <c r="E45" s="1"/>
      <c r="F45" s="1"/>
      <c r="G45" s="20"/>
      <c r="H45" s="20">
        <f>IF(AND($E$41=1,ISNUMBER(H42)),H42,H44)</f>
        <v>76.98711883554284</v>
      </c>
      <c r="I45" s="20">
        <f t="shared" ref="I45:AO45" si="15">IF(AND($E$41=1,ISNUMBER(I42)),I42,I44)</f>
        <v>129.40495199999998</v>
      </c>
      <c r="J45" s="20">
        <f t="shared" si="15"/>
        <v>121.22178984000003</v>
      </c>
      <c r="K45" s="20">
        <f t="shared" si="15"/>
        <v>114.36978202559999</v>
      </c>
      <c r="L45" s="20">
        <f t="shared" si="15"/>
        <v>107.890776088704</v>
      </c>
      <c r="M45" s="20">
        <f t="shared" si="15"/>
        <v>115.73571182776128</v>
      </c>
      <c r="N45" s="20">
        <f t="shared" si="15"/>
        <v>114.45503992457427</v>
      </c>
      <c r="O45" s="20">
        <f t="shared" si="15"/>
        <v>117.27138744451678</v>
      </c>
      <c r="P45" s="20">
        <f t="shared" si="15"/>
        <v>115.08741435832854</v>
      </c>
      <c r="Q45" s="20">
        <f t="shared" si="15"/>
        <v>117.12098387309628</v>
      </c>
      <c r="R45" s="20">
        <f t="shared" si="15"/>
        <v>119.60017472448162</v>
      </c>
      <c r="S45" s="20">
        <f t="shared" si="15"/>
        <v>126.21542339486452</v>
      </c>
      <c r="T45" s="20">
        <f t="shared" si="15"/>
        <v>127.01923504425828</v>
      </c>
      <c r="U45" s="20">
        <f t="shared" si="15"/>
        <v>128.88668557598137</v>
      </c>
      <c r="V45" s="20">
        <f t="shared" si="15"/>
        <v>129.9301293818115</v>
      </c>
      <c r="W45" s="20">
        <f t="shared" si="15"/>
        <v>130.8951169803899</v>
      </c>
      <c r="X45" s="20">
        <f t="shared" si="15"/>
        <v>134.63321245535167</v>
      </c>
      <c r="Y45" s="20">
        <f t="shared" si="15"/>
        <v>137.61152595397394</v>
      </c>
      <c r="Z45" s="20">
        <f t="shared" si="15"/>
        <v>139.27114809365756</v>
      </c>
      <c r="AA45" s="20">
        <f t="shared" si="15"/>
        <v>144.40436794117653</v>
      </c>
      <c r="AB45" s="20">
        <f t="shared" si="15"/>
        <v>147.53496191502373</v>
      </c>
      <c r="AC45" s="20">
        <f t="shared" si="15"/>
        <v>150.1455456257535</v>
      </c>
      <c r="AD45" s="20">
        <f t="shared" si="15"/>
        <v>150.37311383329174</v>
      </c>
      <c r="AE45" s="20">
        <f t="shared" si="15"/>
        <v>153.52533546241034</v>
      </c>
      <c r="AF45" s="20">
        <f t="shared" si="15"/>
        <v>154.6107089183562</v>
      </c>
      <c r="AG45" s="20">
        <f t="shared" si="15"/>
        <v>156.0295049823693</v>
      </c>
      <c r="AH45" s="20">
        <f t="shared" si="15"/>
        <v>156.40200785462451</v>
      </c>
      <c r="AI45" s="20">
        <f t="shared" si="15"/>
        <v>160.99250834490311</v>
      </c>
      <c r="AJ45" s="20">
        <f t="shared" si="15"/>
        <v>163.3777115073614</v>
      </c>
      <c r="AK45" s="20">
        <f t="shared" si="15"/>
        <v>165.86638025634417</v>
      </c>
      <c r="AL45" s="20">
        <f t="shared" si="15"/>
        <v>167.05898072331786</v>
      </c>
      <c r="AM45" s="20">
        <f t="shared" si="15"/>
        <v>171.70049334633399</v>
      </c>
      <c r="AN45" s="20">
        <f t="shared" si="15"/>
        <v>178.55607511227947</v>
      </c>
      <c r="AO45" s="20">
        <f t="shared" si="15"/>
        <v>184.8721430593559</v>
      </c>
      <c r="AP45" s="20">
        <f>IF(AND($E$41=1,ISNUMBER(AP42)),AP42,AP44)</f>
        <v>186.70968863656694</v>
      </c>
      <c r="AQ45" s="20">
        <f>IF(AND($E$41=1,ISNUMBER(AQ42)),AQ42,AQ44)</f>
        <v>190.44388240929828</v>
      </c>
    </row>
    <row r="46" spans="3:43" x14ac:dyDescent="0.25">
      <c r="C46" t="s">
        <v>963</v>
      </c>
      <c r="D46" t="s">
        <v>21</v>
      </c>
      <c r="E46" s="1"/>
      <c r="F46" s="1"/>
      <c r="G46" s="1">
        <f>SUM(H46:AQ46)</f>
        <v>0</v>
      </c>
      <c r="H46" s="1">
        <f>IF(AND($E$41=1,H10&gt;0,NOT(ISNUMBER(H42))),1,0)</f>
        <v>0</v>
      </c>
      <c r="I46" s="1">
        <f t="shared" ref="I46:AO46" si="16">IF(AND($E$41=1,I10&gt;0,NOT(ISNUMBER(I42))),1,0)</f>
        <v>0</v>
      </c>
      <c r="J46" s="1">
        <f t="shared" si="16"/>
        <v>0</v>
      </c>
      <c r="K46" s="1">
        <f t="shared" si="16"/>
        <v>0</v>
      </c>
      <c r="L46" s="1">
        <f t="shared" si="16"/>
        <v>0</v>
      </c>
      <c r="M46" s="1">
        <f t="shared" si="16"/>
        <v>0</v>
      </c>
      <c r="N46" s="1">
        <f t="shared" si="16"/>
        <v>0</v>
      </c>
      <c r="O46" s="1">
        <f t="shared" si="16"/>
        <v>0</v>
      </c>
      <c r="P46" s="1">
        <f t="shared" si="16"/>
        <v>0</v>
      </c>
      <c r="Q46" s="1">
        <f t="shared" si="16"/>
        <v>0</v>
      </c>
      <c r="R46" s="1">
        <f t="shared" si="16"/>
        <v>0</v>
      </c>
      <c r="S46" s="1">
        <f t="shared" si="16"/>
        <v>0</v>
      </c>
      <c r="T46" s="1">
        <f t="shared" si="16"/>
        <v>0</v>
      </c>
      <c r="U46" s="1">
        <f t="shared" si="16"/>
        <v>0</v>
      </c>
      <c r="V46" s="1">
        <f t="shared" si="16"/>
        <v>0</v>
      </c>
      <c r="W46" s="1">
        <f t="shared" si="16"/>
        <v>0</v>
      </c>
      <c r="X46" s="1">
        <f t="shared" si="16"/>
        <v>0</v>
      </c>
      <c r="Y46" s="1">
        <f t="shared" si="16"/>
        <v>0</v>
      </c>
      <c r="Z46" s="1">
        <f t="shared" si="16"/>
        <v>0</v>
      </c>
      <c r="AA46" s="1">
        <f t="shared" si="16"/>
        <v>0</v>
      </c>
      <c r="AB46" s="1">
        <f t="shared" si="16"/>
        <v>0</v>
      </c>
      <c r="AC46" s="1">
        <f t="shared" si="16"/>
        <v>0</v>
      </c>
      <c r="AD46" s="1">
        <f t="shared" si="16"/>
        <v>0</v>
      </c>
      <c r="AE46" s="1">
        <f t="shared" si="16"/>
        <v>0</v>
      </c>
      <c r="AF46" s="1">
        <f t="shared" si="16"/>
        <v>0</v>
      </c>
      <c r="AG46" s="1">
        <f t="shared" si="16"/>
        <v>0</v>
      </c>
      <c r="AH46" s="1">
        <f t="shared" si="16"/>
        <v>0</v>
      </c>
      <c r="AI46" s="1">
        <f t="shared" si="16"/>
        <v>0</v>
      </c>
      <c r="AJ46" s="1">
        <f t="shared" si="16"/>
        <v>0</v>
      </c>
      <c r="AK46" s="1">
        <f t="shared" si="16"/>
        <v>0</v>
      </c>
      <c r="AL46" s="1">
        <f t="shared" si="16"/>
        <v>0</v>
      </c>
      <c r="AM46" s="1">
        <f t="shared" si="16"/>
        <v>0</v>
      </c>
      <c r="AN46" s="1">
        <f t="shared" si="16"/>
        <v>0</v>
      </c>
      <c r="AO46" s="1">
        <f t="shared" si="16"/>
        <v>0</v>
      </c>
      <c r="AP46" s="1">
        <f>IF(AND($E$41=1,AP10&gt;0,NOT(ISNUMBER(AP42))),1,0)</f>
        <v>0</v>
      </c>
      <c r="AQ46" s="1">
        <f>IF(AND($E$41=1,AQ10&gt;0,NOT(ISNUMBER(AQ42))),1,0)</f>
        <v>0</v>
      </c>
    </row>
    <row r="47" spans="3:43" x14ac:dyDescent="0.25">
      <c r="C47" t="s">
        <v>964</v>
      </c>
      <c r="D47" t="s">
        <v>377</v>
      </c>
      <c r="E47" s="1">
        <f>Inputs!$E$191</f>
        <v>90</v>
      </c>
      <c r="F47" s="1"/>
      <c r="G47" s="20"/>
      <c r="H47" s="20">
        <f>$E$47*(1+Inputs!$E$192)^(H$5-YEAR(Inputs!$E$155))</f>
        <v>85.63191188460739</v>
      </c>
      <c r="I47" s="20">
        <f>$E$47*(1+Inputs!$E$192)^(I$5-YEAR(Inputs!$E$155))</f>
        <v>86.48823100345346</v>
      </c>
      <c r="J47" s="20">
        <f>$E$47*(1+Inputs!$E$192)^(J$5-YEAR(Inputs!$E$155))</f>
        <v>87.353113313488</v>
      </c>
      <c r="K47" s="20">
        <f>$E$47*(1+Inputs!$E$192)^(K$5-YEAR(Inputs!$E$155))</f>
        <v>88.22664444662287</v>
      </c>
      <c r="L47" s="20">
        <f>$E$47*(1+Inputs!$E$192)^(L$5-YEAR(Inputs!$E$155))</f>
        <v>89.10891089108911</v>
      </c>
      <c r="M47" s="20">
        <f>$E$47*(1+Inputs!$E$192)^(M$5-YEAR(Inputs!$E$155))</f>
        <v>90</v>
      </c>
      <c r="N47" s="20">
        <f>$E$47*(1+Inputs!$E$192)^(N$5-YEAR(Inputs!$E$155))</f>
        <v>90.9</v>
      </c>
      <c r="O47" s="20">
        <f>$E$47*(1+Inputs!$E$192)^(O$5-YEAR(Inputs!$E$155))</f>
        <v>91.809</v>
      </c>
      <c r="P47" s="20">
        <f>$E$47*(1+Inputs!$E$192)^(P$5-YEAR(Inputs!$E$155))</f>
        <v>92.72709000000002</v>
      </c>
      <c r="Q47" s="20">
        <f>$E$47*(1+Inputs!$E$192)^(Q$5-YEAR(Inputs!$E$155))</f>
        <v>93.6543609</v>
      </c>
      <c r="R47" s="20">
        <f>$E$47*(1+Inputs!$E$192)^(R$5-YEAR(Inputs!$E$155))</f>
        <v>94.59090450900001</v>
      </c>
      <c r="S47" s="20">
        <f>$E$47*(1+Inputs!$E$192)^(S$5-YEAR(Inputs!$E$155))</f>
        <v>95.53681355409002</v>
      </c>
      <c r="T47" s="20">
        <f>$E$47*(1+Inputs!$E$192)^(T$5-YEAR(Inputs!$E$155))</f>
        <v>96.49218168963091</v>
      </c>
      <c r="U47" s="20">
        <f>$E$47*(1+Inputs!$E$192)^(U$5-YEAR(Inputs!$E$155))</f>
        <v>97.45710350652722</v>
      </c>
      <c r="V47" s="20">
        <f>$E$47*(1+Inputs!$E$192)^(V$5-YEAR(Inputs!$E$155))</f>
        <v>98.43167454159249</v>
      </c>
      <c r="W47" s="20">
        <f>$E$47*(1+Inputs!$E$192)^(W$5-YEAR(Inputs!$E$155))</f>
        <v>99.41599128700841</v>
      </c>
      <c r="X47" s="20">
        <f>$E$47*(1+Inputs!$E$192)^(X$5-YEAR(Inputs!$E$155))</f>
        <v>100.41015119987848</v>
      </c>
      <c r="Y47" s="20">
        <f>$E$47*(1+Inputs!$E$192)^(Y$5-YEAR(Inputs!$E$155))</f>
        <v>101.41425271187728</v>
      </c>
      <c r="Z47" s="20">
        <f>$E$47*(1+Inputs!$E$192)^(Z$5-YEAR(Inputs!$E$155))</f>
        <v>102.42839523899606</v>
      </c>
      <c r="AA47" s="20">
        <f>$E$47*(1+Inputs!$E$192)^(AA$5-YEAR(Inputs!$E$155))</f>
        <v>103.45267919138603</v>
      </c>
      <c r="AB47" s="20">
        <f>$E$47*(1+Inputs!$E$192)^(AB$5-YEAR(Inputs!$E$155))</f>
        <v>104.48720598329987</v>
      </c>
      <c r="AC47" s="20">
        <f>$E$47*(1+Inputs!$E$192)^(AC$5-YEAR(Inputs!$E$155))</f>
        <v>105.53207804313288</v>
      </c>
      <c r="AD47" s="20">
        <f>$E$47*(1+Inputs!$E$192)^(AD$5-YEAR(Inputs!$E$155))</f>
        <v>106.5873988235642</v>
      </c>
      <c r="AE47" s="20">
        <f>$E$47*(1+Inputs!$E$192)^(AE$5-YEAR(Inputs!$E$155))</f>
        <v>107.65327281179985</v>
      </c>
      <c r="AF47" s="20">
        <f>$E$47*(1+Inputs!$E$192)^(AF$5-YEAR(Inputs!$E$155))</f>
        <v>108.72980553991785</v>
      </c>
      <c r="AG47" s="20">
        <f>$E$47*(1+Inputs!$E$192)^(AG$5-YEAR(Inputs!$E$155))</f>
        <v>109.81710359531704</v>
      </c>
      <c r="AH47" s="20">
        <f>$E$47*(1+Inputs!$E$192)^(AH$5-YEAR(Inputs!$E$155))</f>
        <v>110.91527463127021</v>
      </c>
      <c r="AI47" s="20">
        <f>$E$47*(1+Inputs!$E$192)^(AI$5-YEAR(Inputs!$E$155))</f>
        <v>112.0244273775829</v>
      </c>
      <c r="AJ47" s="20">
        <f>$E$47*(1+Inputs!$E$192)^(AJ$5-YEAR(Inputs!$E$155))</f>
        <v>113.14467165135873</v>
      </c>
      <c r="AK47" s="20">
        <f>$E$47*(1+Inputs!$E$192)^(AK$5-YEAR(Inputs!$E$155))</f>
        <v>114.27611836787233</v>
      </c>
      <c r="AL47" s="20">
        <f>$E$47*(1+Inputs!$E$192)^(AL$5-YEAR(Inputs!$E$155))</f>
        <v>115.41887955155104</v>
      </c>
      <c r="AM47" s="20">
        <f>$E$47*(1+Inputs!$E$192)^(AM$5-YEAR(Inputs!$E$155))</f>
        <v>116.57306834706657</v>
      </c>
      <c r="AN47" s="20">
        <f>$E$47*(1+Inputs!$E$192)^(AN$5-YEAR(Inputs!$E$155))</f>
        <v>117.73879903053724</v>
      </c>
      <c r="AO47" s="20">
        <f>$E$47*(1+Inputs!$E$192)^(AO$5-YEAR(Inputs!$E$155))</f>
        <v>118.9161870208426</v>
      </c>
      <c r="AP47" s="20">
        <f>$E$47*(1+Inputs!$E$192)^(AP$5-YEAR(Inputs!$E$155))</f>
        <v>120.10534889105104</v>
      </c>
      <c r="AQ47" s="20">
        <f>$E$47*(1+Inputs!$E$192)^(AQ$5-YEAR(Inputs!$E$155))</f>
        <v>121.30640237996154</v>
      </c>
    </row>
    <row r="48" spans="3:43" x14ac:dyDescent="0.25">
      <c r="C48" t="s">
        <v>965</v>
      </c>
      <c r="D48" t="s">
        <v>2</v>
      </c>
      <c r="E48" s="31">
        <f>1-Inputs!$E$190</f>
        <v>0</v>
      </c>
      <c r="F48" s="1"/>
      <c r="G48" s="31"/>
      <c r="H48" s="31">
        <f>IF(AND(H9&gt;=1,H9&lt;=Inputs!$E$193),$E$48,0)</f>
        <v>0</v>
      </c>
      <c r="I48" s="31">
        <f>IF(AND(I9&gt;=1,I9&lt;=Inputs!$E$193),$E$48,0)</f>
        <v>0</v>
      </c>
      <c r="J48" s="31">
        <f>IF(AND(J9&gt;=1,J9&lt;=Inputs!$E$193),$E$48,0)</f>
        <v>0</v>
      </c>
      <c r="K48" s="31">
        <f>IF(AND(K9&gt;=1,K9&lt;=Inputs!$E$193),$E$48,0)</f>
        <v>0</v>
      </c>
      <c r="L48" s="31">
        <f>IF(AND(L9&gt;=1,L9&lt;=Inputs!$E$193),$E$48,0)</f>
        <v>0</v>
      </c>
      <c r="M48" s="31">
        <f>IF(AND(M9&gt;=1,M9&lt;=Inputs!$E$193),$E$48,0)</f>
        <v>0</v>
      </c>
      <c r="N48" s="31">
        <f>IF(AND(N9&gt;=1,N9&lt;=Inputs!$E$193),$E$48,0)</f>
        <v>0</v>
      </c>
      <c r="O48" s="31">
        <f>IF(AND(O9&gt;=1,O9&lt;=Inputs!$E$193),$E$48,0)</f>
        <v>0</v>
      </c>
      <c r="P48" s="31">
        <f>IF(AND(P9&gt;=1,P9&lt;=Inputs!$E$193),$E$48,0)</f>
        <v>0</v>
      </c>
      <c r="Q48" s="31">
        <f>IF(AND(Q9&gt;=1,Q9&lt;=Inputs!$E$193),$E$48,0)</f>
        <v>0</v>
      </c>
      <c r="R48" s="31">
        <f>IF(AND(R9&gt;=1,R9&lt;=Inputs!$E$193),$E$48,0)</f>
        <v>0</v>
      </c>
      <c r="S48" s="31">
        <f>IF(AND(S9&gt;=1,S9&lt;=Inputs!$E$193),$E$48,0)</f>
        <v>0</v>
      </c>
      <c r="T48" s="31">
        <f>IF(AND(T9&gt;=1,T9&lt;=Inputs!$E$193),$E$48,0)</f>
        <v>0</v>
      </c>
      <c r="U48" s="31">
        <f>IF(AND(U9&gt;=1,U9&lt;=Inputs!$E$193),$E$48,0)</f>
        <v>0</v>
      </c>
      <c r="V48" s="31">
        <f>IF(AND(V9&gt;=1,V9&lt;=Inputs!$E$193),$E$48,0)</f>
        <v>0</v>
      </c>
      <c r="W48" s="31">
        <f>IF(AND(W9&gt;=1,W9&lt;=Inputs!$E$193),$E$48,0)</f>
        <v>0</v>
      </c>
      <c r="X48" s="31">
        <f>IF(AND(X9&gt;=1,X9&lt;=Inputs!$E$193),$E$48,0)</f>
        <v>0</v>
      </c>
      <c r="Y48" s="31">
        <f>IF(AND(Y9&gt;=1,Y9&lt;=Inputs!$E$193),$E$48,0)</f>
        <v>0</v>
      </c>
      <c r="Z48" s="31">
        <f>IF(AND(Z9&gt;=1,Z9&lt;=Inputs!$E$193),$E$48,0)</f>
        <v>0</v>
      </c>
      <c r="AA48" s="31">
        <f>IF(AND(AA9&gt;=1,AA9&lt;=Inputs!$E$193),$E$48,0)</f>
        <v>0</v>
      </c>
      <c r="AB48" s="31">
        <f>IF(AND(AB9&gt;=1,AB9&lt;=Inputs!$E$193),$E$48,0)</f>
        <v>0</v>
      </c>
      <c r="AC48" s="31">
        <f>IF(AND(AC9&gt;=1,AC9&lt;=Inputs!$E$193),$E$48,0)</f>
        <v>0</v>
      </c>
      <c r="AD48" s="31">
        <f>IF(AND(AD9&gt;=1,AD9&lt;=Inputs!$E$193),$E$48,0)</f>
        <v>0</v>
      </c>
      <c r="AE48" s="31">
        <f>IF(AND(AE9&gt;=1,AE9&lt;=Inputs!$E$193),$E$48,0)</f>
        <v>0</v>
      </c>
      <c r="AF48" s="31">
        <f>IF(AND(AF9&gt;=1,AF9&lt;=Inputs!$E$193),$E$48,0)</f>
        <v>0</v>
      </c>
      <c r="AG48" s="31">
        <f>IF(AND(AG9&gt;=1,AG9&lt;=Inputs!$E$193),$E$48,0)</f>
        <v>0</v>
      </c>
      <c r="AH48" s="31">
        <f>IF(AND(AH9&gt;=1,AH9&lt;=Inputs!$E$193),$E$48,0)</f>
        <v>0</v>
      </c>
      <c r="AI48" s="31">
        <f>IF(AND(AI9&gt;=1,AI9&lt;=Inputs!$E$193),$E$48,0)</f>
        <v>0</v>
      </c>
      <c r="AJ48" s="31">
        <f>IF(AND(AJ9&gt;=1,AJ9&lt;=Inputs!$E$193),$E$48,0)</f>
        <v>0</v>
      </c>
      <c r="AK48" s="31">
        <f>IF(AND(AK9&gt;=1,AK9&lt;=Inputs!$E$193),$E$48,0)</f>
        <v>0</v>
      </c>
      <c r="AL48" s="31">
        <f>IF(AND(AL9&gt;=1,AL9&lt;=Inputs!$E$193),$E$48,0)</f>
        <v>0</v>
      </c>
      <c r="AM48" s="31">
        <f>IF(AND(AM9&gt;=1,AM9&lt;=Inputs!$E$193),$E$48,0)</f>
        <v>0</v>
      </c>
      <c r="AN48" s="31">
        <f>IF(AND(AN9&gt;=1,AN9&lt;=Inputs!$E$193),$E$48,0)</f>
        <v>0</v>
      </c>
      <c r="AO48" s="31">
        <f>IF(AND(AO9&gt;=1,AO9&lt;=Inputs!$E$193),$E$48,0)</f>
        <v>0</v>
      </c>
      <c r="AP48" s="31">
        <f>IF(AND(AP9&gt;=1,AP9&lt;=Inputs!$E$193),$E$48,0)</f>
        <v>0</v>
      </c>
      <c r="AQ48" s="31">
        <f>IF(AND(AQ9&gt;=1,AQ9&lt;=Inputs!$E$193),$E$48,0)</f>
        <v>0</v>
      </c>
    </row>
    <row r="49" spans="3:43" x14ac:dyDescent="0.25">
      <c r="C49" s="6" t="s">
        <v>966</v>
      </c>
      <c r="D49" s="6" t="s">
        <v>377</v>
      </c>
      <c r="E49" s="37"/>
      <c r="F49" s="37"/>
      <c r="G49" s="95">
        <f>IF(G38=0,"",G54/G38)</f>
        <v>146.16659954585938</v>
      </c>
      <c r="H49" s="95" t="str">
        <f>IF(H38=0,"",H45*(1-H48)+H47*H48)</f>
        <v/>
      </c>
      <c r="I49" s="95" t="str">
        <f t="shared" ref="I49:AO49" si="17">IF(I38=0,"",I45*(1-I48)+I47*I48)</f>
        <v/>
      </c>
      <c r="J49" s="95" t="str">
        <f t="shared" si="17"/>
        <v/>
      </c>
      <c r="K49" s="95" t="str">
        <f t="shared" si="17"/>
        <v/>
      </c>
      <c r="L49" s="95" t="str">
        <f t="shared" si="17"/>
        <v/>
      </c>
      <c r="M49" s="95">
        <f t="shared" si="17"/>
        <v>115.73571182776128</v>
      </c>
      <c r="N49" s="95">
        <f t="shared" si="17"/>
        <v>114.45503992457427</v>
      </c>
      <c r="O49" s="95">
        <f t="shared" si="17"/>
        <v>117.27138744451678</v>
      </c>
      <c r="P49" s="95">
        <f t="shared" si="17"/>
        <v>115.08741435832854</v>
      </c>
      <c r="Q49" s="95">
        <f t="shared" si="17"/>
        <v>117.12098387309628</v>
      </c>
      <c r="R49" s="95">
        <f t="shared" si="17"/>
        <v>119.60017472448162</v>
      </c>
      <c r="S49" s="95">
        <f t="shared" si="17"/>
        <v>126.21542339486452</v>
      </c>
      <c r="T49" s="95">
        <f t="shared" si="17"/>
        <v>127.01923504425828</v>
      </c>
      <c r="U49" s="95">
        <f t="shared" si="17"/>
        <v>128.88668557598137</v>
      </c>
      <c r="V49" s="95">
        <f t="shared" si="17"/>
        <v>129.9301293818115</v>
      </c>
      <c r="W49" s="95">
        <f t="shared" si="17"/>
        <v>130.8951169803899</v>
      </c>
      <c r="X49" s="95">
        <f t="shared" si="17"/>
        <v>134.63321245535167</v>
      </c>
      <c r="Y49" s="95">
        <f t="shared" si="17"/>
        <v>137.61152595397394</v>
      </c>
      <c r="Z49" s="95">
        <f t="shared" si="17"/>
        <v>139.27114809365756</v>
      </c>
      <c r="AA49" s="95">
        <f t="shared" si="17"/>
        <v>144.40436794117653</v>
      </c>
      <c r="AB49" s="95">
        <f t="shared" si="17"/>
        <v>147.53496191502373</v>
      </c>
      <c r="AC49" s="95">
        <f t="shared" si="17"/>
        <v>150.1455456257535</v>
      </c>
      <c r="AD49" s="95">
        <f t="shared" si="17"/>
        <v>150.37311383329174</v>
      </c>
      <c r="AE49" s="95">
        <f t="shared" si="17"/>
        <v>153.52533546241034</v>
      </c>
      <c r="AF49" s="95">
        <f t="shared" si="17"/>
        <v>154.6107089183562</v>
      </c>
      <c r="AG49" s="95">
        <f t="shared" si="17"/>
        <v>156.0295049823693</v>
      </c>
      <c r="AH49" s="95">
        <f t="shared" si="17"/>
        <v>156.40200785462451</v>
      </c>
      <c r="AI49" s="95">
        <f t="shared" si="17"/>
        <v>160.99250834490311</v>
      </c>
      <c r="AJ49" s="95">
        <f t="shared" si="17"/>
        <v>163.3777115073614</v>
      </c>
      <c r="AK49" s="95">
        <f t="shared" si="17"/>
        <v>165.86638025634417</v>
      </c>
      <c r="AL49" s="95">
        <f t="shared" si="17"/>
        <v>167.05898072331786</v>
      </c>
      <c r="AM49" s="95">
        <f t="shared" si="17"/>
        <v>171.70049334633399</v>
      </c>
      <c r="AN49" s="95">
        <f t="shared" si="17"/>
        <v>178.55607511227947</v>
      </c>
      <c r="AO49" s="95">
        <f t="shared" si="17"/>
        <v>184.8721430593559</v>
      </c>
      <c r="AP49" s="95">
        <f>IF(AP38=0,"",AP45*(1-AP48)+AP47*AP48)</f>
        <v>186.70968863656694</v>
      </c>
      <c r="AQ49" s="95">
        <f>IF(AQ38=0,"",AQ45*(1-AQ48)+AQ47*AQ48)</f>
        <v>190.44388240929828</v>
      </c>
    </row>
    <row r="50" spans="3:43" x14ac:dyDescent="0.25">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spans="3:43" x14ac:dyDescent="0.25">
      <c r="C51" s="43" t="s">
        <v>967</v>
      </c>
      <c r="D51" s="43"/>
      <c r="E51" s="128">
        <f>Inputs!$E$209</f>
        <v>0.025</v>
      </c>
      <c r="F51" s="134" t="s">
        <v>968</v>
      </c>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row>
    <row r="52" spans="3:43" x14ac:dyDescent="0.25">
      <c r="C52" t="s">
        <v>379</v>
      </c>
      <c r="D52" t="s">
        <v>844</v>
      </c>
      <c r="E52" s="1"/>
      <c r="F52" s="1"/>
      <c r="G52" s="1">
        <f>SUM(H52:AQ52)</f>
        <v>2521319.863560083</v>
      </c>
      <c r="H52" s="1">
        <f>H38*H45*(1-H48)</f>
        <v>0</v>
      </c>
      <c r="I52" s="1">
        <f t="shared" ref="I52:AO52" si="18">I38*I45*(1-I48)</f>
        <v>0</v>
      </c>
      <c r="J52" s="1">
        <f t="shared" si="18"/>
        <v>0</v>
      </c>
      <c r="K52" s="1">
        <f t="shared" si="18"/>
        <v>0</v>
      </c>
      <c r="L52" s="1">
        <f t="shared" si="18"/>
        <v>0</v>
      </c>
      <c r="M52" s="1">
        <f t="shared" si="18"/>
        <v>17358.975484791197</v>
      </c>
      <c r="N52" s="1">
        <f t="shared" si="18"/>
        <v>68667.55993580566</v>
      </c>
      <c r="O52" s="1">
        <f t="shared" si="18"/>
        <v>70146.16229494101</v>
      </c>
      <c r="P52" s="1">
        <f t="shared" si="18"/>
        <v>68633.29410300858</v>
      </c>
      <c r="Q52" s="1">
        <f t="shared" si="18"/>
        <v>69636.49135471764</v>
      </c>
      <c r="R52" s="1">
        <f t="shared" si="18"/>
        <v>70897.20944132036</v>
      </c>
      <c r="S52" s="1">
        <f t="shared" si="18"/>
        <v>74594.17483110915</v>
      </c>
      <c r="T52" s="1">
        <f t="shared" si="18"/>
        <v>74844.02529138203</v>
      </c>
      <c r="U52" s="1">
        <f t="shared" si="18"/>
        <v>75716.55707543157</v>
      </c>
      <c r="V52" s="1">
        <f t="shared" si="18"/>
        <v>76100.55629215826</v>
      </c>
      <c r="W52" s="1">
        <f t="shared" si="18"/>
        <v>76435.75583070765</v>
      </c>
      <c r="X52" s="1">
        <f t="shared" si="18"/>
        <v>78382.74808537218</v>
      </c>
      <c r="Y52" s="1">
        <f t="shared" si="18"/>
        <v>79876.35641794448</v>
      </c>
      <c r="Z52" s="1">
        <f t="shared" si="18"/>
        <v>80597.16198469666</v>
      </c>
      <c r="AA52" s="1">
        <f t="shared" si="18"/>
        <v>83317.08789925899</v>
      </c>
      <c r="AB52" s="1">
        <f t="shared" si="18"/>
        <v>84867.97881979459</v>
      </c>
      <c r="AC52" s="1">
        <f t="shared" si="18"/>
        <v>86110.58134418438</v>
      </c>
      <c r="AD52" s="1">
        <f t="shared" si="18"/>
        <v>85982.37162590493</v>
      </c>
      <c r="AE52" s="1">
        <f t="shared" si="18"/>
        <v>87521.43714313232</v>
      </c>
      <c r="AF52" s="1">
        <f t="shared" si="18"/>
        <v>87875.76426582377</v>
      </c>
      <c r="AG52" s="1">
        <f t="shared" si="18"/>
        <v>88416.11592097061</v>
      </c>
      <c r="AH52" s="1">
        <f t="shared" si="18"/>
        <v>88361.31784263923</v>
      </c>
      <c r="AI52" s="1">
        <f t="shared" si="18"/>
        <v>90681.91555910342</v>
      </c>
      <c r="AJ52" s="1">
        <f t="shared" si="18"/>
        <v>91749.34771491363</v>
      </c>
      <c r="AK52" s="1">
        <f t="shared" si="18"/>
        <v>92867.48883785606</v>
      </c>
      <c r="AL52" s="1">
        <f t="shared" si="18"/>
        <v>93254.6122945367</v>
      </c>
      <c r="AM52" s="1">
        <f t="shared" si="18"/>
        <v>95558.03153988397</v>
      </c>
      <c r="AN52" s="1">
        <f t="shared" si="18"/>
        <v>99075.31029472522</v>
      </c>
      <c r="AO52" s="1">
        <f t="shared" si="18"/>
        <v>102272.16370072024</v>
      </c>
      <c r="AP52" s="1">
        <f>AP38*AP45*(1-AP48)</f>
        <v>102978.83669317786</v>
      </c>
      <c r="AQ52" s="1">
        <f>AQ38*AQ45*(1-AQ48)</f>
        <v>78542.47364007024</v>
      </c>
    </row>
    <row r="53" spans="3:43" x14ac:dyDescent="0.25">
      <c r="C53" t="s">
        <v>380</v>
      </c>
      <c r="D53" t="s">
        <v>844</v>
      </c>
      <c r="E53" s="1"/>
      <c r="F53" s="1"/>
      <c r="G53" s="1">
        <f>SUM(H53:AQ53)</f>
        <v>0</v>
      </c>
      <c r="H53" s="1">
        <f>H38*H47*H48</f>
        <v>0</v>
      </c>
      <c r="I53" s="1">
        <f t="shared" ref="I53:AO53" si="19">I38*I47*I48</f>
        <v>0</v>
      </c>
      <c r="J53" s="1">
        <f t="shared" si="19"/>
        <v>0</v>
      </c>
      <c r="K53" s="1">
        <f t="shared" si="19"/>
        <v>0</v>
      </c>
      <c r="L53" s="1">
        <f t="shared" si="19"/>
        <v>0</v>
      </c>
      <c r="M53" s="1">
        <f t="shared" si="19"/>
        <v>0</v>
      </c>
      <c r="N53" s="1">
        <f t="shared" si="19"/>
        <v>0</v>
      </c>
      <c r="O53" s="1">
        <f t="shared" si="19"/>
        <v>0</v>
      </c>
      <c r="P53" s="1">
        <f t="shared" si="19"/>
        <v>0</v>
      </c>
      <c r="Q53" s="1">
        <f t="shared" si="19"/>
        <v>0</v>
      </c>
      <c r="R53" s="1">
        <f t="shared" si="19"/>
        <v>0</v>
      </c>
      <c r="S53" s="1">
        <f t="shared" si="19"/>
        <v>0</v>
      </c>
      <c r="T53" s="1">
        <f t="shared" si="19"/>
        <v>0</v>
      </c>
      <c r="U53" s="1">
        <f t="shared" si="19"/>
        <v>0</v>
      </c>
      <c r="V53" s="1">
        <f t="shared" si="19"/>
        <v>0</v>
      </c>
      <c r="W53" s="1">
        <f t="shared" si="19"/>
        <v>0</v>
      </c>
      <c r="X53" s="1">
        <f t="shared" si="19"/>
        <v>0</v>
      </c>
      <c r="Y53" s="1">
        <f t="shared" si="19"/>
        <v>0</v>
      </c>
      <c r="Z53" s="1">
        <f t="shared" si="19"/>
        <v>0</v>
      </c>
      <c r="AA53" s="1">
        <f t="shared" si="19"/>
        <v>0</v>
      </c>
      <c r="AB53" s="1">
        <f t="shared" si="19"/>
        <v>0</v>
      </c>
      <c r="AC53" s="1">
        <f t="shared" si="19"/>
        <v>0</v>
      </c>
      <c r="AD53" s="1">
        <f t="shared" si="19"/>
        <v>0</v>
      </c>
      <c r="AE53" s="1">
        <f t="shared" si="19"/>
        <v>0</v>
      </c>
      <c r="AF53" s="1">
        <f t="shared" si="19"/>
        <v>0</v>
      </c>
      <c r="AG53" s="1">
        <f t="shared" si="19"/>
        <v>0</v>
      </c>
      <c r="AH53" s="1">
        <f t="shared" si="19"/>
        <v>0</v>
      </c>
      <c r="AI53" s="1">
        <f t="shared" si="19"/>
        <v>0</v>
      </c>
      <c r="AJ53" s="1">
        <f t="shared" si="19"/>
        <v>0</v>
      </c>
      <c r="AK53" s="1">
        <f t="shared" si="19"/>
        <v>0</v>
      </c>
      <c r="AL53" s="1">
        <f t="shared" si="19"/>
        <v>0</v>
      </c>
      <c r="AM53" s="1">
        <f t="shared" si="19"/>
        <v>0</v>
      </c>
      <c r="AN53" s="1">
        <f t="shared" si="19"/>
        <v>0</v>
      </c>
      <c r="AO53" s="1">
        <f t="shared" si="19"/>
        <v>0</v>
      </c>
      <c r="AP53" s="1">
        <f>AP38*AP47*AP48</f>
        <v>0</v>
      </c>
      <c r="AQ53" s="1">
        <f>AQ38*AQ47*AQ48</f>
        <v>0</v>
      </c>
    </row>
    <row r="54" spans="3:43" x14ac:dyDescent="0.25">
      <c r="C54" s="6" t="s">
        <v>969</v>
      </c>
      <c r="D54" s="6" t="s">
        <v>844</v>
      </c>
      <c r="E54" s="37"/>
      <c r="F54" s="37"/>
      <c r="G54" s="37">
        <f>SUM(H54:AQ54)</f>
        <v>2521319.863560083</v>
      </c>
      <c r="H54" s="37">
        <f>H52+H53</f>
        <v>0</v>
      </c>
      <c r="I54" s="37">
        <f t="shared" ref="I54:AO54" si="20">I52+I53</f>
        <v>0</v>
      </c>
      <c r="J54" s="37">
        <f t="shared" si="20"/>
        <v>0</v>
      </c>
      <c r="K54" s="37">
        <f t="shared" si="20"/>
        <v>0</v>
      </c>
      <c r="L54" s="37">
        <f t="shared" si="20"/>
        <v>0</v>
      </c>
      <c r="M54" s="37">
        <f t="shared" si="20"/>
        <v>17358.975484791197</v>
      </c>
      <c r="N54" s="37">
        <f t="shared" si="20"/>
        <v>68667.55993580566</v>
      </c>
      <c r="O54" s="37">
        <f t="shared" si="20"/>
        <v>70146.16229494101</v>
      </c>
      <c r="P54" s="37">
        <f t="shared" si="20"/>
        <v>68633.29410300858</v>
      </c>
      <c r="Q54" s="37">
        <f t="shared" si="20"/>
        <v>69636.49135471764</v>
      </c>
      <c r="R54" s="37">
        <f t="shared" si="20"/>
        <v>70897.20944132036</v>
      </c>
      <c r="S54" s="37">
        <f t="shared" si="20"/>
        <v>74594.17483110915</v>
      </c>
      <c r="T54" s="37">
        <f t="shared" si="20"/>
        <v>74844.02529138203</v>
      </c>
      <c r="U54" s="37">
        <f t="shared" si="20"/>
        <v>75716.55707543157</v>
      </c>
      <c r="V54" s="37">
        <f t="shared" si="20"/>
        <v>76100.55629215826</v>
      </c>
      <c r="W54" s="37">
        <f t="shared" si="20"/>
        <v>76435.75583070765</v>
      </c>
      <c r="X54" s="37">
        <f t="shared" si="20"/>
        <v>78382.74808537218</v>
      </c>
      <c r="Y54" s="37">
        <f t="shared" si="20"/>
        <v>79876.35641794448</v>
      </c>
      <c r="Z54" s="37">
        <f t="shared" si="20"/>
        <v>80597.16198469666</v>
      </c>
      <c r="AA54" s="37">
        <f t="shared" si="20"/>
        <v>83317.08789925899</v>
      </c>
      <c r="AB54" s="37">
        <f t="shared" si="20"/>
        <v>84867.97881979459</v>
      </c>
      <c r="AC54" s="37">
        <f t="shared" si="20"/>
        <v>86110.58134418438</v>
      </c>
      <c r="AD54" s="37">
        <f t="shared" si="20"/>
        <v>85982.37162590493</v>
      </c>
      <c r="AE54" s="37">
        <f t="shared" si="20"/>
        <v>87521.43714313232</v>
      </c>
      <c r="AF54" s="37">
        <f t="shared" si="20"/>
        <v>87875.76426582377</v>
      </c>
      <c r="AG54" s="37">
        <f t="shared" si="20"/>
        <v>88416.11592097061</v>
      </c>
      <c r="AH54" s="37">
        <f t="shared" si="20"/>
        <v>88361.31784263923</v>
      </c>
      <c r="AI54" s="37">
        <f t="shared" si="20"/>
        <v>90681.91555910342</v>
      </c>
      <c r="AJ54" s="37">
        <f t="shared" si="20"/>
        <v>91749.34771491363</v>
      </c>
      <c r="AK54" s="37">
        <f t="shared" si="20"/>
        <v>92867.48883785606</v>
      </c>
      <c r="AL54" s="37">
        <f t="shared" si="20"/>
        <v>93254.6122945367</v>
      </c>
      <c r="AM54" s="37">
        <f t="shared" si="20"/>
        <v>95558.03153988397</v>
      </c>
      <c r="AN54" s="37">
        <f t="shared" si="20"/>
        <v>99075.31029472522</v>
      </c>
      <c r="AO54" s="37">
        <f t="shared" si="20"/>
        <v>102272.16370072024</v>
      </c>
      <c r="AP54" s="37">
        <f>AP52+AP53</f>
        <v>102978.83669317786</v>
      </c>
      <c r="AQ54" s="37">
        <f>AQ52+AQ53</f>
        <v>78542.47364007024</v>
      </c>
    </row>
    <row r="55" spans="3:43" x14ac:dyDescent="0.25">
      <c r="C55" t="s">
        <v>1330</v>
      </c>
      <c r="D55" t="s">
        <v>4</v>
      </c>
      <c r="E55" s="1"/>
      <c r="F55" s="1"/>
      <c r="G55" s="20"/>
      <c r="H55" s="20">
        <f>IF(H10&gt;0,(1+$E$51)^(H$5-YEAR(Inputs!$E$155)),0)</f>
        <v>0</v>
      </c>
      <c r="I55" s="20">
        <f>IF(I10&gt;0,(1+$E$51)^(I$5-YEAR(Inputs!$E$155)),0)</f>
        <v>0</v>
      </c>
      <c r="J55" s="20">
        <f>IF(J10&gt;0,(1+$E$51)^(J$5-YEAR(Inputs!$E$155)),0)</f>
        <v>0</v>
      </c>
      <c r="K55" s="20">
        <f>IF(K10&gt;0,(1+$E$51)^(K$5-YEAR(Inputs!$E$155)),0)</f>
        <v>0</v>
      </c>
      <c r="L55" s="20">
        <f>IF(L10&gt;0,(1+$E$51)^(L$5-YEAR(Inputs!$E$155)),0)</f>
        <v>0</v>
      </c>
      <c r="M55" s="20">
        <f>IF(M10&gt;0,(1+$E$51)^(M$5-YEAR(Inputs!$E$155)),0)</f>
        <v>1</v>
      </c>
      <c r="N55" s="20">
        <f>IF(N10&gt;0,(1+$E$51)^(N$5-YEAR(Inputs!$E$155)),0)</f>
        <v>1.025</v>
      </c>
      <c r="O55" s="20">
        <f>IF(O10&gt;0,(1+$E$51)^(O$5-YEAR(Inputs!$E$155)),0)</f>
        <v>1.050625</v>
      </c>
      <c r="P55" s="20">
        <f>IF(P10&gt;0,(1+$E$51)^(P$5-YEAR(Inputs!$E$155)),0)</f>
        <v>1.0768906249999997</v>
      </c>
      <c r="Q55" s="20">
        <f>IF(Q10&gt;0,(1+$E$51)^(Q$5-YEAR(Inputs!$E$155)),0)</f>
        <v>1.1038128906249995</v>
      </c>
      <c r="R55" s="20">
        <f>IF(R10&gt;0,(1+$E$51)^(R$5-YEAR(Inputs!$E$155)),0)</f>
        <v>1.1314082128906244</v>
      </c>
      <c r="S55" s="20">
        <f>IF(S10&gt;0,(1+$E$51)^(S$5-YEAR(Inputs!$E$155)),0)</f>
        <v>1.15969341821289</v>
      </c>
      <c r="T55" s="20">
        <f>IF(T10&gt;0,(1+$E$51)^(T$5-YEAR(Inputs!$E$155)),0)</f>
        <v>1.1886857536682123</v>
      </c>
      <c r="U55" s="20">
        <f>IF(U10&gt;0,(1+$E$51)^(U$5-YEAR(Inputs!$E$155)),0)</f>
        <v>1.2184028975099173</v>
      </c>
      <c r="V55" s="20">
        <f>IF(V10&gt;0,(1+$E$51)^(V$5-YEAR(Inputs!$E$155)),0)</f>
        <v>1.2488629699476652</v>
      </c>
      <c r="W55" s="20">
        <f>IF(W10&gt;0,(1+$E$51)^(W$5-YEAR(Inputs!$E$155)),0)</f>
        <v>1.2800845441963566</v>
      </c>
      <c r="X55" s="20">
        <f>IF(X10&gt;0,(1+$E$51)^(X$5-YEAR(Inputs!$E$155)),0)</f>
        <v>1.3120866578012655</v>
      </c>
      <c r="Y55" s="20">
        <f>IF(Y10&gt;0,(1+$E$51)^(Y$5-YEAR(Inputs!$E$155)),0)</f>
        <v>1.344888824246297</v>
      </c>
      <c r="Z55" s="20">
        <f>IF(Z10&gt;0,(1+$E$51)^(Z$5-YEAR(Inputs!$E$155)),0)</f>
        <v>1.3785110448524542</v>
      </c>
      <c r="AA55" s="20">
        <f>IF(AA10&gt;0,(1+$E$51)^(AA$5-YEAR(Inputs!$E$155)),0)</f>
        <v>1.4129738209737657</v>
      </c>
      <c r="AB55" s="20">
        <f>IF(AB10&gt;0,(1+$E$51)^(AB$5-YEAR(Inputs!$E$155)),0)</f>
        <v>1.4482981664981096</v>
      </c>
      <c r="AC55" s="20">
        <f>IF(AC10&gt;0,(1+$E$51)^(AC$5-YEAR(Inputs!$E$155)),0)</f>
        <v>1.4845056206605622</v>
      </c>
      <c r="AD55" s="20">
        <f>IF(AD10&gt;0,(1+$E$51)^(AD$5-YEAR(Inputs!$E$155)),0)</f>
        <v>1.521618261177076</v>
      </c>
      <c r="AE55" s="20">
        <f>IF(AE10&gt;0,(1+$E$51)^(AE$5-YEAR(Inputs!$E$155)),0)</f>
        <v>1.5596587177065029</v>
      </c>
      <c r="AF55" s="20">
        <f>IF(AF10&gt;0,(1+$E$51)^(AF$5-YEAR(Inputs!$E$155)),0)</f>
        <v>1.5986501856491653</v>
      </c>
      <c r="AG55" s="20">
        <f>IF(AG10&gt;0,(1+$E$51)^(AG$5-YEAR(Inputs!$E$155)),0)</f>
        <v>1.6386164402903942</v>
      </c>
      <c r="AH55" s="20">
        <f>IF(AH10&gt;0,(1+$E$51)^(AH$5-YEAR(Inputs!$E$155)),0)</f>
        <v>1.6795818512976541</v>
      </c>
      <c r="AI55" s="20">
        <f>IF(AI10&gt;0,(1+$E$51)^(AI$5-YEAR(Inputs!$E$155)),0)</f>
        <v>1.7215713975800953</v>
      </c>
      <c r="AJ55" s="20">
        <f>IF(AJ10&gt;0,(1+$E$51)^(AJ$5-YEAR(Inputs!$E$155)),0)</f>
        <v>1.7646106825195975</v>
      </c>
      <c r="AK55" s="20">
        <f>IF(AK10&gt;0,(1+$E$51)^(AK$5-YEAR(Inputs!$E$155)),0)</f>
        <v>1.8087259495825871</v>
      </c>
      <c r="AL55" s="20">
        <f>IF(AL10&gt;0,(1+$E$51)^(AL$5-YEAR(Inputs!$E$155)),0)</f>
        <v>1.8539440983221518</v>
      </c>
      <c r="AM55" s="20">
        <f>IF(AM10&gt;0,(1+$E$51)^(AM$5-YEAR(Inputs!$E$155)),0)</f>
        <v>1.9002927007802053</v>
      </c>
      <c r="AN55" s="20">
        <f>IF(AN10&gt;0,(1+$E$51)^(AN$5-YEAR(Inputs!$E$155)),0)</f>
        <v>1.9478000182997104</v>
      </c>
      <c r="AO55" s="20">
        <f>IF(AO10&gt;0,(1+$E$51)^(AO$5-YEAR(Inputs!$E$155)),0)</f>
        <v>1.996495018757203</v>
      </c>
      <c r="AP55" s="20">
        <f>IF(AP10&gt;0,(1+$E$51)^(AP$5-YEAR(Inputs!$E$155)),0)</f>
        <v>2.046407394226133</v>
      </c>
      <c r="AQ55" s="20">
        <f>IF(AQ10&gt;0,(1+$E$51)^(AQ$5-YEAR(Inputs!$E$155)),0)</f>
        <v>2.097567579081786</v>
      </c>
    </row>
    <row r="56" spans="3:43" x14ac:dyDescent="0.25">
      <c r="C56" t="s">
        <v>898</v>
      </c>
      <c r="D56" t="s">
        <v>844</v>
      </c>
      <c r="E56" s="1"/>
      <c r="F56" s="1"/>
      <c r="G56" s="1">
        <f t="shared" ref="G56:G70" si="21">SUM(H56:AQ56)</f>
        <v>-102300.90688543841</v>
      </c>
      <c r="H56" s="1">
        <f>-H38*Inputs!$E$194*H55</f>
        <v>-0</v>
      </c>
      <c r="I56" s="1">
        <f>-I38*Inputs!$E$194*I55</f>
        <v>-0</v>
      </c>
      <c r="J56" s="1">
        <f>-J38*Inputs!$E$194*J55</f>
        <v>-0</v>
      </c>
      <c r="K56" s="1">
        <f>-K38*Inputs!$E$194*K55</f>
        <v>-0</v>
      </c>
      <c r="L56" s="1">
        <f>-L38*Inputs!$E$194*L55</f>
        <v>-0</v>
      </c>
      <c r="M56" s="1">
        <f>-M38*Inputs!$E$194*M55</f>
        <v>-599.9522605650001</v>
      </c>
      <c r="N56" s="1">
        <f>-N38*Inputs!$E$194*N55</f>
        <v>-2459.8042683165</v>
      </c>
      <c r="O56" s="1">
        <f>-O38*Inputs!$E$194*O55</f>
        <v>-2513.7354768993396</v>
      </c>
      <c r="P56" s="1">
        <f>-P38*Inputs!$E$194*P55</f>
        <v>-2568.849127230357</v>
      </c>
      <c r="Q56" s="1">
        <f>-Q38*Inputs!$E$194*Q55</f>
        <v>-2625.1711443448826</v>
      </c>
      <c r="R56" s="1">
        <f>-R38*Inputs!$E$194*R55</f>
        <v>-2682.728021684644</v>
      </c>
      <c r="S56" s="1">
        <f>-S38*Inputs!$E$194*S55</f>
        <v>-2741.546833560079</v>
      </c>
      <c r="T56" s="1">
        <f>-T38*Inputs!$E$194*T55</f>
        <v>-2801.655247885884</v>
      </c>
      <c r="U56" s="1">
        <f>-U38*Inputs!$E$194*U55</f>
        <v>-2863.0815391957813</v>
      </c>
      <c r="V56" s="1">
        <f>-V38*Inputs!$E$194*V55</f>
        <v>-2925.854601942649</v>
      </c>
      <c r="W56" s="1">
        <f>-W38*Inputs!$E$194*W55</f>
        <v>-2990.003964090241</v>
      </c>
      <c r="X56" s="1">
        <f>-X38*Inputs!$E$194*X55</f>
        <v>-3055.5598010029194</v>
      </c>
      <c r="Y56" s="1">
        <f>-Y38*Inputs!$E$194*Y55</f>
        <v>-3122.5529496399076</v>
      </c>
      <c r="Z56" s="1">
        <f>-Z38*Inputs!$E$194*Z55</f>
        <v>-3191.0149230607626</v>
      </c>
      <c r="AA56" s="1">
        <f>-AA38*Inputs!$E$194*AA55</f>
        <v>-3260.97792524887</v>
      </c>
      <c r="AB56" s="1">
        <f>-AB38*Inputs!$E$194*AB55</f>
        <v>-3332.4748662599504</v>
      </c>
      <c r="AC56" s="1">
        <f>-AC38*Inputs!$E$194*AC55</f>
        <v>-3405.5393777027007</v>
      </c>
      <c r="AD56" s="1">
        <f>-AD38*Inputs!$E$194*AD55</f>
        <v>-3480.205828558831</v>
      </c>
      <c r="AE56" s="1">
        <f>-AE38*Inputs!$E$194*AE55</f>
        <v>-3556.5093413499835</v>
      </c>
      <c r="AF56" s="1">
        <f>-AF38*Inputs!$E$194*AF55</f>
        <v>-3634.485808659082</v>
      </c>
      <c r="AG56" s="1">
        <f>-AG38*Inputs!$E$194*AG55</f>
        <v>-3714.171910013931</v>
      </c>
      <c r="AH56" s="1">
        <f>-AH38*Inputs!$E$194*AH55</f>
        <v>-3795.605129140987</v>
      </c>
      <c r="AI56" s="1">
        <f>-AI38*Inputs!$E$194*AI55</f>
        <v>-3878.823771597403</v>
      </c>
      <c r="AJ56" s="1">
        <f>-AJ38*Inputs!$E$194*AJ55</f>
        <v>-3963.8669827896747</v>
      </c>
      <c r="AK56" s="1">
        <f>-AK38*Inputs!$E$194*AK55</f>
        <v>-4050.7747663873383</v>
      </c>
      <c r="AL56" s="1">
        <f>-AL38*Inputs!$E$194*AL55</f>
        <v>-4139.588003140381</v>
      </c>
      <c r="AM56" s="1">
        <f>-AM38*Inputs!$E$194*AM55</f>
        <v>-4230.348470109234</v>
      </c>
      <c r="AN56" s="1">
        <f>-AN38*Inputs!$E$194*AN55</f>
        <v>-4323.098860316379</v>
      </c>
      <c r="AO56" s="1">
        <f>-AO38*Inputs!$E$194*AO55</f>
        <v>-4417.882802828814</v>
      </c>
      <c r="AP56" s="1">
        <f>-AP38*Inputs!$E$194*AP55</f>
        <v>-4514.744883280835</v>
      </c>
      <c r="AQ56" s="1">
        <f>-AQ38*Inputs!$E$194*AQ55</f>
        <v>-3460.297998635075</v>
      </c>
    </row>
    <row r="57" spans="3:43" x14ac:dyDescent="0.25">
      <c r="C57" t="s">
        <v>373</v>
      </c>
      <c r="D57" t="s">
        <v>844</v>
      </c>
      <c r="E57" s="1"/>
      <c r="F57" s="1"/>
      <c r="G57" s="1">
        <f t="shared" si="21"/>
        <v>-25575.226721359602</v>
      </c>
      <c r="H57" s="1">
        <f>-H38*Inputs!$E$195*H55</f>
        <v>-0</v>
      </c>
      <c r="I57" s="1">
        <f>-I38*Inputs!$E$195*I55</f>
        <v>-0</v>
      </c>
      <c r="J57" s="1">
        <f>-J38*Inputs!$E$195*J55</f>
        <v>-0</v>
      </c>
      <c r="K57" s="1">
        <f>-K38*Inputs!$E$195*K55</f>
        <v>-0</v>
      </c>
      <c r="L57" s="1">
        <f>-L38*Inputs!$E$195*L55</f>
        <v>-0</v>
      </c>
      <c r="M57" s="1">
        <f>-M38*Inputs!$E$195*M55</f>
        <v>-149.98806514125002</v>
      </c>
      <c r="N57" s="1">
        <f>-N38*Inputs!$E$195*N55</f>
        <v>-614.951067079125</v>
      </c>
      <c r="O57" s="1">
        <f>-O38*Inputs!$E$195*O55</f>
        <v>-628.4338692248349</v>
      </c>
      <c r="P57" s="1">
        <f>-P38*Inputs!$E$195*P55</f>
        <v>-642.2122818075893</v>
      </c>
      <c r="Q57" s="1">
        <f>-Q38*Inputs!$E$195*Q55</f>
        <v>-656.2927860862206</v>
      </c>
      <c r="R57" s="1">
        <f>-R38*Inputs!$E$195*R55</f>
        <v>-670.682005421161</v>
      </c>
      <c r="S57" s="1">
        <f>-S38*Inputs!$E$195*S55</f>
        <v>-685.3867083900197</v>
      </c>
      <c r="T57" s="1">
        <f>-T38*Inputs!$E$195*T55</f>
        <v>-700.413811971471</v>
      </c>
      <c r="U57" s="1">
        <f>-U38*Inputs!$E$195*U55</f>
        <v>-715.7703847989453</v>
      </c>
      <c r="V57" s="1">
        <f>-V38*Inputs!$E$195*V55</f>
        <v>-731.4636504856622</v>
      </c>
      <c r="W57" s="1">
        <f>-W38*Inputs!$E$195*W55</f>
        <v>-747.5009910225602</v>
      </c>
      <c r="X57" s="1">
        <f>-X38*Inputs!$E$195*X55</f>
        <v>-763.8899502507298</v>
      </c>
      <c r="Y57" s="1">
        <f>-Y38*Inputs!$E$195*Y55</f>
        <v>-780.6382374099769</v>
      </c>
      <c r="Z57" s="1">
        <f>-Z38*Inputs!$E$195*Z55</f>
        <v>-797.7537307651907</v>
      </c>
      <c r="AA57" s="1">
        <f>-AA38*Inputs!$E$195*AA55</f>
        <v>-815.2444813122175</v>
      </c>
      <c r="AB57" s="1">
        <f>-AB38*Inputs!$E$195*AB55</f>
        <v>-833.1187165649876</v>
      </c>
      <c r="AC57" s="1">
        <f>-AC38*Inputs!$E$195*AC55</f>
        <v>-851.3848444256752</v>
      </c>
      <c r="AD57" s="1">
        <f>-AD38*Inputs!$E$195*AD55</f>
        <v>-870.0514571397077</v>
      </c>
      <c r="AE57" s="1">
        <f>-AE38*Inputs!$E$195*AE55</f>
        <v>-889.1273353374959</v>
      </c>
      <c r="AF57" s="1">
        <f>-AF38*Inputs!$E$195*AF55</f>
        <v>-908.6214521647705</v>
      </c>
      <c r="AG57" s="1">
        <f>-AG38*Inputs!$E$195*AG55</f>
        <v>-928.5429775034828</v>
      </c>
      <c r="AH57" s="1">
        <f>-AH38*Inputs!$E$195*AH55</f>
        <v>-948.9012822852468</v>
      </c>
      <c r="AI57" s="1">
        <f>-AI38*Inputs!$E$195*AI55</f>
        <v>-969.7059428993507</v>
      </c>
      <c r="AJ57" s="1">
        <f>-AJ38*Inputs!$E$195*AJ55</f>
        <v>-990.9667456974187</v>
      </c>
      <c r="AK57" s="1">
        <f>-AK38*Inputs!$E$195*AK55</f>
        <v>-1012.6936915968346</v>
      </c>
      <c r="AL57" s="1">
        <f>-AL38*Inputs!$E$195*AL55</f>
        <v>-1034.8970007850953</v>
      </c>
      <c r="AM57" s="1">
        <f>-AM38*Inputs!$E$195*AM55</f>
        <v>-1057.5871175273085</v>
      </c>
      <c r="AN57" s="1">
        <f>-AN38*Inputs!$E$195*AN55</f>
        <v>-1080.7747150790947</v>
      </c>
      <c r="AO57" s="1">
        <f>-AO38*Inputs!$E$195*AO55</f>
        <v>-1104.4707007072036</v>
      </c>
      <c r="AP57" s="1">
        <f>-AP38*Inputs!$E$195*AP55</f>
        <v>-1128.6862208202087</v>
      </c>
      <c r="AQ57" s="1">
        <f>-AQ38*Inputs!$E$195*AQ55</f>
        <v>-865.0744996587688</v>
      </c>
    </row>
    <row r="58" spans="3:43" x14ac:dyDescent="0.25">
      <c r="C58" t="s">
        <v>367</v>
      </c>
      <c r="D58" t="s">
        <v>844</v>
      </c>
      <c r="E58" s="1"/>
      <c r="F58" s="1"/>
      <c r="G58" s="1">
        <f t="shared" si="21"/>
        <v>-2521.3198635600825</v>
      </c>
      <c r="H58" s="1">
        <f>-H54*Inputs!$E$196</f>
        <v>-0</v>
      </c>
      <c r="I58" s="1">
        <f>-I54*Inputs!$E$196</f>
        <v>-0</v>
      </c>
      <c r="J58" s="1">
        <f>-J54*Inputs!$E$196</f>
        <v>-0</v>
      </c>
      <c r="K58" s="1">
        <f>-K54*Inputs!$E$196</f>
        <v>-0</v>
      </c>
      <c r="L58" s="1">
        <f>-L54*Inputs!$E$196</f>
        <v>-0</v>
      </c>
      <c r="M58" s="1">
        <f>-M54*Inputs!$E$196</f>
        <v>-17.3589754847912</v>
      </c>
      <c r="N58" s="1">
        <f>-N54*Inputs!$E$196</f>
        <v>-68.66755993580567</v>
      </c>
      <c r="O58" s="1">
        <f>-O54*Inputs!$E$196</f>
        <v>-70.146162294941</v>
      </c>
      <c r="P58" s="1">
        <f>-P54*Inputs!$E$196</f>
        <v>-68.63329410300858</v>
      </c>
      <c r="Q58" s="1">
        <f>-Q54*Inputs!$E$196</f>
        <v>-69.63649135471765</v>
      </c>
      <c r="R58" s="1">
        <f>-R54*Inputs!$E$196</f>
        <v>-70.89720944132036</v>
      </c>
      <c r="S58" s="1">
        <f>-S54*Inputs!$E$196</f>
        <v>-74.59417483110916</v>
      </c>
      <c r="T58" s="1">
        <f>-T54*Inputs!$E$196</f>
        <v>-74.84402529138202</v>
      </c>
      <c r="U58" s="1">
        <f>-U54*Inputs!$E$196</f>
        <v>-75.71655707543157</v>
      </c>
      <c r="V58" s="1">
        <f>-V54*Inputs!$E$196</f>
        <v>-76.10055629215826</v>
      </c>
      <c r="W58" s="1">
        <f>-W54*Inputs!$E$196</f>
        <v>-76.43575583070765</v>
      </c>
      <c r="X58" s="1">
        <f>-X54*Inputs!$E$196</f>
        <v>-78.38274808537219</v>
      </c>
      <c r="Y58" s="1">
        <f>-Y54*Inputs!$E$196</f>
        <v>-79.87635641794448</v>
      </c>
      <c r="Z58" s="1">
        <f>-Z54*Inputs!$E$196</f>
        <v>-80.59716198469667</v>
      </c>
      <c r="AA58" s="1">
        <f>-AA54*Inputs!$E$196</f>
        <v>-83.317087899259</v>
      </c>
      <c r="AB58" s="1">
        <f>-AB54*Inputs!$E$196</f>
        <v>-84.86797881979459</v>
      </c>
      <c r="AC58" s="1">
        <f>-AC54*Inputs!$E$196</f>
        <v>-86.11058134418438</v>
      </c>
      <c r="AD58" s="1">
        <f>-AD54*Inputs!$E$196</f>
        <v>-85.98237162590493</v>
      </c>
      <c r="AE58" s="1">
        <f>-AE54*Inputs!$E$196</f>
        <v>-87.52143714313233</v>
      </c>
      <c r="AF58" s="1">
        <f>-AF54*Inputs!$E$196</f>
        <v>-87.87576426582378</v>
      </c>
      <c r="AG58" s="1">
        <f>-AG54*Inputs!$E$196</f>
        <v>-88.41611592097061</v>
      </c>
      <c r="AH58" s="1">
        <f>-AH54*Inputs!$E$196</f>
        <v>-88.36131784263922</v>
      </c>
      <c r="AI58" s="1">
        <f>-AI54*Inputs!$E$196</f>
        <v>-90.68191555910343</v>
      </c>
      <c r="AJ58" s="1">
        <f>-AJ54*Inputs!$E$196</f>
        <v>-91.74934771491364</v>
      </c>
      <c r="AK58" s="1">
        <f>-AK54*Inputs!$E$196</f>
        <v>-92.86748883785606</v>
      </c>
      <c r="AL58" s="1">
        <f>-AL54*Inputs!$E$196</f>
        <v>-93.2546122945367</v>
      </c>
      <c r="AM58" s="1">
        <f>-AM54*Inputs!$E$196</f>
        <v>-95.55803153988397</v>
      </c>
      <c r="AN58" s="1">
        <f>-AN54*Inputs!$E$196</f>
        <v>-99.07531029472523</v>
      </c>
      <c r="AO58" s="1">
        <f>-AO54*Inputs!$E$196</f>
        <v>-102.27216370072024</v>
      </c>
      <c r="AP58" s="1">
        <f>-AP54*Inputs!$E$196</f>
        <v>-102.97883669317785</v>
      </c>
      <c r="AQ58" s="1">
        <f>-AQ54*Inputs!$E$196</f>
        <v>-78.54247364007024</v>
      </c>
    </row>
    <row r="59" spans="3:43" x14ac:dyDescent="0.25">
      <c r="C59" t="s">
        <v>1118</v>
      </c>
      <c r="D59" t="s">
        <v>844</v>
      </c>
      <c r="E59" s="1"/>
      <c r="F59" s="1"/>
      <c r="G59" s="1">
        <f t="shared" si="21"/>
        <v>-34499.26140984111</v>
      </c>
      <c r="H59" s="1">
        <f>-H38*Inputs!$E$234</f>
        <v>-0</v>
      </c>
      <c r="I59" s="1">
        <f>-I38*Inputs!$E$234</f>
        <v>-0</v>
      </c>
      <c r="J59" s="1">
        <f>-J38*Inputs!$E$234</f>
        <v>-0</v>
      </c>
      <c r="K59" s="1">
        <f>-K38*Inputs!$E$234</f>
        <v>-0</v>
      </c>
      <c r="L59" s="1">
        <f>-L38*Inputs!$E$234</f>
        <v>-0</v>
      </c>
      <c r="M59" s="1">
        <f>-M38*Inputs!$E$234</f>
        <v>-299.97613028250004</v>
      </c>
      <c r="N59" s="1">
        <f>-N38*Inputs!$E$234</f>
        <v>-1199.9045211300001</v>
      </c>
      <c r="O59" s="1">
        <f>-O38*Inputs!$E$234</f>
        <v>-1196.3048075666102</v>
      </c>
      <c r="P59" s="1">
        <f>-P38*Inputs!$E$234</f>
        <v>-1192.7158931439105</v>
      </c>
      <c r="Q59" s="1">
        <f>-Q38*Inputs!$E$234</f>
        <v>-1189.1377454644787</v>
      </c>
      <c r="R59" s="1">
        <f>-R38*Inputs!$E$234</f>
        <v>-1185.5703322280854</v>
      </c>
      <c r="S59" s="1">
        <f>-S38*Inputs!$E$234</f>
        <v>-1182.013621231401</v>
      </c>
      <c r="T59" s="1">
        <f>-T38*Inputs!$E$234</f>
        <v>-1178.4675803677067</v>
      </c>
      <c r="U59" s="1">
        <f>-U38*Inputs!$E$234</f>
        <v>-1174.9321776266036</v>
      </c>
      <c r="V59" s="1">
        <f>-V38*Inputs!$E$234</f>
        <v>-1171.4073810937239</v>
      </c>
      <c r="W59" s="1">
        <f>-W38*Inputs!$E$234</f>
        <v>-1167.8931589504427</v>
      </c>
      <c r="X59" s="1">
        <f>-X38*Inputs!$E$234</f>
        <v>-1164.3894794735913</v>
      </c>
      <c r="Y59" s="1">
        <f>-Y38*Inputs!$E$234</f>
        <v>-1160.8963110351704</v>
      </c>
      <c r="Z59" s="1">
        <f>-Z38*Inputs!$E$234</f>
        <v>-1157.4136221020651</v>
      </c>
      <c r="AA59" s="1">
        <f>-AA38*Inputs!$E$234</f>
        <v>-1153.9413812357589</v>
      </c>
      <c r="AB59" s="1">
        <f>-AB38*Inputs!$E$234</f>
        <v>-1150.4795570920514</v>
      </c>
      <c r="AC59" s="1">
        <f>-AC38*Inputs!$E$234</f>
        <v>-1147.0281184207756</v>
      </c>
      <c r="AD59" s="1">
        <f>-AD38*Inputs!$E$234</f>
        <v>-1143.5870340655129</v>
      </c>
      <c r="AE59" s="1">
        <f>-AE38*Inputs!$E$234</f>
        <v>-1140.1562729633165</v>
      </c>
      <c r="AF59" s="1">
        <f>-AF38*Inputs!$E$234</f>
        <v>-1136.7358041444268</v>
      </c>
      <c r="AG59" s="1">
        <f>-AG38*Inputs!$E$234</f>
        <v>-1133.3255967319933</v>
      </c>
      <c r="AH59" s="1">
        <f>-AH38*Inputs!$E$234</f>
        <v>-1129.9256199417973</v>
      </c>
      <c r="AI59" s="1">
        <f>-AI38*Inputs!$E$234</f>
        <v>-1126.535843081972</v>
      </c>
      <c r="AJ59" s="1">
        <f>-AJ38*Inputs!$E$234</f>
        <v>-1123.1562355527258</v>
      </c>
      <c r="AK59" s="1">
        <f>-AK38*Inputs!$E$234</f>
        <v>-1119.7867668460678</v>
      </c>
      <c r="AL59" s="1">
        <f>-AL38*Inputs!$E$234</f>
        <v>-1116.4274065455297</v>
      </c>
      <c r="AM59" s="1">
        <f>-AM38*Inputs!$E$234</f>
        <v>-1113.0781243258932</v>
      </c>
      <c r="AN59" s="1">
        <f>-AN38*Inputs!$E$234</f>
        <v>-1109.7388899529155</v>
      </c>
      <c r="AO59" s="1">
        <f>-AO38*Inputs!$E$234</f>
        <v>-1106.4096732830567</v>
      </c>
      <c r="AP59" s="1">
        <f>-AP38*Inputs!$E$234</f>
        <v>-1103.0904442632072</v>
      </c>
      <c r="AQ59" s="1">
        <f>-AQ38*Inputs!$E$234</f>
        <v>-824.8358796978134</v>
      </c>
    </row>
    <row r="60" spans="3:43" x14ac:dyDescent="0.25">
      <c r="C60" t="s">
        <v>369</v>
      </c>
      <c r="D60" t="s">
        <v>844</v>
      </c>
      <c r="E60" s="1"/>
      <c r="F60" s="1"/>
      <c r="G60" s="1">
        <f t="shared" si="21"/>
        <v>-140081.45255062974</v>
      </c>
      <c r="H60" s="1">
        <f>-Inputs!$E$201*$E$35*H55*H10</f>
        <v>-0</v>
      </c>
      <c r="I60" s="1">
        <f>-Inputs!$E$201*$E$35*I55*I10</f>
        <v>-0</v>
      </c>
      <c r="J60" s="1">
        <f>-Inputs!$E$201*$E$35*J55*J10</f>
        <v>-0</v>
      </c>
      <c r="K60" s="1">
        <f>-Inputs!$E$201*$E$35*K55*K10</f>
        <v>-0</v>
      </c>
      <c r="L60" s="1">
        <f>-Inputs!$E$201*$E$35*L55*L10</f>
        <v>-0</v>
      </c>
      <c r="M60" s="1">
        <f>-Inputs!$E$201*$E$35*M55*M10</f>
        <v>-783</v>
      </c>
      <c r="N60" s="1">
        <f>-Inputs!$E$201*$E$35*N55*N10</f>
        <v>-3210.2999999999997</v>
      </c>
      <c r="O60" s="1">
        <f>-Inputs!$E$201*$E$35*O55*O10</f>
        <v>-3290.5575</v>
      </c>
      <c r="P60" s="1">
        <f>-Inputs!$E$201*$E$35*P55*P10</f>
        <v>-3372.821437499999</v>
      </c>
      <c r="Q60" s="1">
        <f>-Inputs!$E$201*$E$35*Q55*Q10</f>
        <v>-3457.1419734374986</v>
      </c>
      <c r="R60" s="1">
        <f>-Inputs!$E$201*$E$35*R55*R10</f>
        <v>-3543.5705227734356</v>
      </c>
      <c r="S60" s="1">
        <f>-Inputs!$E$201*$E$35*S55*S10</f>
        <v>-3632.1597858427713</v>
      </c>
      <c r="T60" s="1">
        <f>-Inputs!$E$201*$E$35*T55*T10</f>
        <v>-3722.9637804888407</v>
      </c>
      <c r="U60" s="1">
        <f>-Inputs!$E$201*$E$35*U55*U10</f>
        <v>-3816.037875001061</v>
      </c>
      <c r="V60" s="1">
        <f>-Inputs!$E$201*$E$35*V55*V10</f>
        <v>-3911.4388218760873</v>
      </c>
      <c r="W60" s="1">
        <f>-Inputs!$E$201*$E$35*W55*W10</f>
        <v>-4009.224792422989</v>
      </c>
      <c r="X60" s="1">
        <f>-Inputs!$E$201*$E$35*X55*X10</f>
        <v>-4109.455412233564</v>
      </c>
      <c r="Y60" s="1">
        <f>-Inputs!$E$201*$E$35*Y55*Y10</f>
        <v>-4212.191797539403</v>
      </c>
      <c r="Z60" s="1">
        <f>-Inputs!$E$201*$E$35*Z55*Z10</f>
        <v>-4317.496592477886</v>
      </c>
      <c r="AA60" s="1">
        <f>-Inputs!$E$201*$E$35*AA55*AA10</f>
        <v>-4425.434007289834</v>
      </c>
      <c r="AB60" s="1">
        <f>-Inputs!$E$201*$E$35*AB55*AB10</f>
        <v>-4536.069857472079</v>
      </c>
      <c r="AC60" s="1">
        <f>-Inputs!$E$201*$E$35*AC55*AC10</f>
        <v>-4649.471603908881</v>
      </c>
      <c r="AD60" s="1">
        <f>-Inputs!$E$201*$E$35*AD55*AD10</f>
        <v>-4765.708394006602</v>
      </c>
      <c r="AE60" s="1">
        <f>-Inputs!$E$201*$E$35*AE55*AE10</f>
        <v>-4884.851103856767</v>
      </c>
      <c r="AF60" s="1">
        <f>-Inputs!$E$201*$E$35*AF55*AF10</f>
        <v>-5006.972381453185</v>
      </c>
      <c r="AG60" s="1">
        <f>-Inputs!$E$201*$E$35*AG55*AG10</f>
        <v>-5132.146690989514</v>
      </c>
      <c r="AH60" s="1">
        <f>-Inputs!$E$201*$E$35*AH55*AH10</f>
        <v>-5260.450358264253</v>
      </c>
      <c r="AI60" s="1">
        <f>-Inputs!$E$201*$E$35*AI55*AI10</f>
        <v>-5391.961617220858</v>
      </c>
      <c r="AJ60" s="1">
        <f>-Inputs!$E$201*$E$35*AJ55*AJ10</f>
        <v>-5526.760657651379</v>
      </c>
      <c r="AK60" s="1">
        <f>-Inputs!$E$201*$E$35*AK55*AK10</f>
        <v>-5664.929674092663</v>
      </c>
      <c r="AL60" s="1">
        <f>-Inputs!$E$201*$E$35*AL55*AL10</f>
        <v>-5806.55291594498</v>
      </c>
      <c r="AM60" s="1">
        <f>-Inputs!$E$201*$E$35*AM55*AM10</f>
        <v>-5951.716738843603</v>
      </c>
      <c r="AN60" s="1">
        <f>-Inputs!$E$201*$E$35*AN55*AN10</f>
        <v>-6100.509657314693</v>
      </c>
      <c r="AO60" s="1">
        <f>-Inputs!$E$201*$E$35*AO55*AO10</f>
        <v>-6253.02239874756</v>
      </c>
      <c r="AP60" s="1">
        <f>-Inputs!$E$201*$E$35*AP55*AP10</f>
        <v>-6409.347958716248</v>
      </c>
      <c r="AQ60" s="1">
        <f>-Inputs!$E$201*$E$35*AQ55*AQ10</f>
        <v>-4927.186243263115</v>
      </c>
    </row>
    <row r="61" spans="3:43" x14ac:dyDescent="0.25">
      <c r="C61" t="s">
        <v>370</v>
      </c>
      <c r="D61" t="s">
        <v>844</v>
      </c>
      <c r="E61" s="1"/>
      <c r="F61" s="1"/>
      <c r="G61" s="1">
        <f t="shared" si="21"/>
        <v>-35020.363137657434</v>
      </c>
      <c r="H61" s="1">
        <f>-Inputs!$E$202*$E$35*H55*H10</f>
        <v>-0</v>
      </c>
      <c r="I61" s="1">
        <f>-Inputs!$E$202*$E$35*I55*I10</f>
        <v>-0</v>
      </c>
      <c r="J61" s="1">
        <f>-Inputs!$E$202*$E$35*J55*J10</f>
        <v>-0</v>
      </c>
      <c r="K61" s="1">
        <f>-Inputs!$E$202*$E$35*K55*K10</f>
        <v>-0</v>
      </c>
      <c r="L61" s="1">
        <f>-Inputs!$E$202*$E$35*L55*L10</f>
        <v>-0</v>
      </c>
      <c r="M61" s="1">
        <f>-Inputs!$E$202*$E$35*M55*M10</f>
        <v>-195.75</v>
      </c>
      <c r="N61" s="1">
        <f>-Inputs!$E$202*$E$35*N55*N10</f>
        <v>-802.5749999999999</v>
      </c>
      <c r="O61" s="1">
        <f>-Inputs!$E$202*$E$35*O55*O10</f>
        <v>-822.639375</v>
      </c>
      <c r="P61" s="1">
        <f>-Inputs!$E$202*$E$35*P55*P10</f>
        <v>-843.2053593749997</v>
      </c>
      <c r="Q61" s="1">
        <f>-Inputs!$E$202*$E$35*Q55*Q10</f>
        <v>-864.2854933593746</v>
      </c>
      <c r="R61" s="1">
        <f>-Inputs!$E$202*$E$35*R55*R10</f>
        <v>-885.8926306933589</v>
      </c>
      <c r="S61" s="1">
        <f>-Inputs!$E$202*$E$35*S55*S10</f>
        <v>-908.0399464606928</v>
      </c>
      <c r="T61" s="1">
        <f>-Inputs!$E$202*$E$35*T55*T10</f>
        <v>-930.7409451222102</v>
      </c>
      <c r="U61" s="1">
        <f>-Inputs!$E$202*$E$35*U55*U10</f>
        <v>-954.0094687502652</v>
      </c>
      <c r="V61" s="1">
        <f>-Inputs!$E$202*$E$35*V55*V10</f>
        <v>-977.8597054690218</v>
      </c>
      <c r="W61" s="1">
        <f>-Inputs!$E$202*$E$35*W55*W10</f>
        <v>-1002.3061981057473</v>
      </c>
      <c r="X61" s="1">
        <f>-Inputs!$E$202*$E$35*X55*X10</f>
        <v>-1027.363853058391</v>
      </c>
      <c r="Y61" s="1">
        <f>-Inputs!$E$202*$E$35*Y55*Y10</f>
        <v>-1053.0479493848507</v>
      </c>
      <c r="Z61" s="1">
        <f>-Inputs!$E$202*$E$35*Z55*Z10</f>
        <v>-1079.3741481194716</v>
      </c>
      <c r="AA61" s="1">
        <f>-Inputs!$E$202*$E$35*AA55*AA10</f>
        <v>-1106.3585018224585</v>
      </c>
      <c r="AB61" s="1">
        <f>-Inputs!$E$202*$E$35*AB55*AB10</f>
        <v>-1134.0174643680198</v>
      </c>
      <c r="AC61" s="1">
        <f>-Inputs!$E$202*$E$35*AC55*AC10</f>
        <v>-1162.3679009772202</v>
      </c>
      <c r="AD61" s="1">
        <f>-Inputs!$E$202*$E$35*AD55*AD10</f>
        <v>-1191.4270985016506</v>
      </c>
      <c r="AE61" s="1">
        <f>-Inputs!$E$202*$E$35*AE55*AE10</f>
        <v>-1221.2127759641917</v>
      </c>
      <c r="AF61" s="1">
        <f>-Inputs!$E$202*$E$35*AF55*AF10</f>
        <v>-1251.7430953632963</v>
      </c>
      <c r="AG61" s="1">
        <f>-Inputs!$E$202*$E$35*AG55*AG10</f>
        <v>-1283.0366727473786</v>
      </c>
      <c r="AH61" s="1">
        <f>-Inputs!$E$202*$E$35*AH55*AH10</f>
        <v>-1315.1125895660632</v>
      </c>
      <c r="AI61" s="1">
        <f>-Inputs!$E$202*$E$35*AI55*AI10</f>
        <v>-1347.9904043052145</v>
      </c>
      <c r="AJ61" s="1">
        <f>-Inputs!$E$202*$E$35*AJ55*AJ10</f>
        <v>-1381.6901644128448</v>
      </c>
      <c r="AK61" s="1">
        <f>-Inputs!$E$202*$E$35*AK55*AK10</f>
        <v>-1416.2324185231657</v>
      </c>
      <c r="AL61" s="1">
        <f>-Inputs!$E$202*$E$35*AL55*AL10</f>
        <v>-1451.638228986245</v>
      </c>
      <c r="AM61" s="1">
        <f>-Inputs!$E$202*$E$35*AM55*AM10</f>
        <v>-1487.9291847109007</v>
      </c>
      <c r="AN61" s="1">
        <f>-Inputs!$E$202*$E$35*AN55*AN10</f>
        <v>-1525.1274143286732</v>
      </c>
      <c r="AO61" s="1">
        <f>-Inputs!$E$202*$E$35*AO55*AO10</f>
        <v>-1563.25559968689</v>
      </c>
      <c r="AP61" s="1">
        <f>-Inputs!$E$202*$E$35*AP55*AP10</f>
        <v>-1602.336989679062</v>
      </c>
      <c r="AQ61" s="1">
        <f>-Inputs!$E$202*$E$35*AQ55*AQ10</f>
        <v>-1231.7965608157788</v>
      </c>
    </row>
    <row r="62" spans="3:43" x14ac:dyDescent="0.25">
      <c r="C62" t="s">
        <v>1331</v>
      </c>
      <c r="D62" t="s">
        <v>844</v>
      </c>
      <c r="E62" s="1"/>
      <c r="F62" s="1"/>
      <c r="G62" s="1">
        <f t="shared" si="21"/>
        <v>-36557.75571872057</v>
      </c>
      <c r="H62" s="1">
        <f>-Inputs!$E$203*$E$35*(1+$E$51)^(H$5-YEAR(Inputs!$E$155))*(H10+H14)</f>
        <v>-0</v>
      </c>
      <c r="I62" s="1">
        <f>-Inputs!$E$203*$E$35*(1+$E$51)^(I$5-YEAR(Inputs!$E$155))*(I10+I14)</f>
        <v>-0</v>
      </c>
      <c r="J62" s="1">
        <f>-Inputs!$E$203*$E$35*(1+$E$51)^(J$5-YEAR(Inputs!$E$155))*(J10+J14)</f>
        <v>-0</v>
      </c>
      <c r="K62" s="1">
        <f>-Inputs!$E$203*$E$35*(1+$E$51)^(K$5-YEAR(Inputs!$E$155))*(K10+K14)</f>
        <v>-187.84904614832988</v>
      </c>
      <c r="L62" s="1">
        <f>-Inputs!$E$203*$E$35*(1+$E$51)^(L$5-YEAR(Inputs!$E$155))*(L10+L14)</f>
        <v>-763.9024390243903</v>
      </c>
      <c r="M62" s="1">
        <f>-Inputs!$E$203*$E$35*(1+$E$51)^(M$5-YEAR(Inputs!$E$155))*(M10+M14)</f>
        <v>-781.391095890411</v>
      </c>
      <c r="N62" s="1">
        <f>-Inputs!$E$203*$E$35*(1+$E$51)^(N$5-YEAR(Inputs!$E$155))*(N10+N14)</f>
        <v>-802.5749999999999</v>
      </c>
      <c r="O62" s="1">
        <f>-Inputs!$E$203*$E$35*(1+$E$51)^(O$5-YEAR(Inputs!$E$155))*(O10+O14)</f>
        <v>-822.639375</v>
      </c>
      <c r="P62" s="1">
        <f>-Inputs!$E$203*$E$35*(1+$E$51)^(P$5-YEAR(Inputs!$E$155))*(P10+P14)</f>
        <v>-843.2053593749997</v>
      </c>
      <c r="Q62" s="1">
        <f>-Inputs!$E$203*$E$35*(1+$E$51)^(Q$5-YEAR(Inputs!$E$155))*(Q10+Q14)</f>
        <v>-864.2854933593746</v>
      </c>
      <c r="R62" s="1">
        <f>-Inputs!$E$203*$E$35*(1+$E$51)^(R$5-YEAR(Inputs!$E$155))*(R10+R14)</f>
        <v>-885.8926306933589</v>
      </c>
      <c r="S62" s="1">
        <f>-Inputs!$E$203*$E$35*(1+$E$51)^(S$5-YEAR(Inputs!$E$155))*(S10+S14)</f>
        <v>-908.0399464606928</v>
      </c>
      <c r="T62" s="1">
        <f>-Inputs!$E$203*$E$35*(1+$E$51)^(T$5-YEAR(Inputs!$E$155))*(T10+T14)</f>
        <v>-930.7409451222102</v>
      </c>
      <c r="U62" s="1">
        <f>-Inputs!$E$203*$E$35*(1+$E$51)^(U$5-YEAR(Inputs!$E$155))*(U10+U14)</f>
        <v>-954.0094687502652</v>
      </c>
      <c r="V62" s="1">
        <f>-Inputs!$E$203*$E$35*(1+$E$51)^(V$5-YEAR(Inputs!$E$155))*(V10+V14)</f>
        <v>-977.8597054690218</v>
      </c>
      <c r="W62" s="1">
        <f>-Inputs!$E$203*$E$35*(1+$E$51)^(W$5-YEAR(Inputs!$E$155))*(W10+W14)</f>
        <v>-1002.3061981057473</v>
      </c>
      <c r="X62" s="1">
        <f>-Inputs!$E$203*$E$35*(1+$E$51)^(X$5-YEAR(Inputs!$E$155))*(X10+X14)</f>
        <v>-1027.363853058391</v>
      </c>
      <c r="Y62" s="1">
        <f>-Inputs!$E$203*$E$35*(1+$E$51)^(Y$5-YEAR(Inputs!$E$155))*(Y10+Y14)</f>
        <v>-1053.0479493848507</v>
      </c>
      <c r="Z62" s="1">
        <f>-Inputs!$E$203*$E$35*(1+$E$51)^(Z$5-YEAR(Inputs!$E$155))*(Z10+Z14)</f>
        <v>-1079.3741481194716</v>
      </c>
      <c r="AA62" s="1">
        <f>-Inputs!$E$203*$E$35*(1+$E$51)^(AA$5-YEAR(Inputs!$E$155))*(AA10+AA14)</f>
        <v>-1106.3585018224585</v>
      </c>
      <c r="AB62" s="1">
        <f>-Inputs!$E$203*$E$35*(1+$E$51)^(AB$5-YEAR(Inputs!$E$155))*(AB10+AB14)</f>
        <v>-1134.0174643680198</v>
      </c>
      <c r="AC62" s="1">
        <f>-Inputs!$E$203*$E$35*(1+$E$51)^(AC$5-YEAR(Inputs!$E$155))*(AC10+AC14)</f>
        <v>-1162.3679009772202</v>
      </c>
      <c r="AD62" s="1">
        <f>-Inputs!$E$203*$E$35*(1+$E$51)^(AD$5-YEAR(Inputs!$E$155))*(AD10+AD14)</f>
        <v>-1191.4270985016506</v>
      </c>
      <c r="AE62" s="1">
        <f>-Inputs!$E$203*$E$35*(1+$E$51)^(AE$5-YEAR(Inputs!$E$155))*(AE10+AE14)</f>
        <v>-1221.2127759641917</v>
      </c>
      <c r="AF62" s="1">
        <f>-Inputs!$E$203*$E$35*(1+$E$51)^(AF$5-YEAR(Inputs!$E$155))*(AF10+AF14)</f>
        <v>-1251.7430953632963</v>
      </c>
      <c r="AG62" s="1">
        <f>-Inputs!$E$203*$E$35*(1+$E$51)^(AG$5-YEAR(Inputs!$E$155))*(AG10+AG14)</f>
        <v>-1283.0366727473786</v>
      </c>
      <c r="AH62" s="1">
        <f>-Inputs!$E$203*$E$35*(1+$E$51)^(AH$5-YEAR(Inputs!$E$155))*(AH10+AH14)</f>
        <v>-1315.1125895660632</v>
      </c>
      <c r="AI62" s="1">
        <f>-Inputs!$E$203*$E$35*(1+$E$51)^(AI$5-YEAR(Inputs!$E$155))*(AI10+AI14)</f>
        <v>-1347.9904043052145</v>
      </c>
      <c r="AJ62" s="1">
        <f>-Inputs!$E$203*$E$35*(1+$E$51)^(AJ$5-YEAR(Inputs!$E$155))*(AJ10+AJ14)</f>
        <v>-1381.6901644128448</v>
      </c>
      <c r="AK62" s="1">
        <f>-Inputs!$E$203*$E$35*(1+$E$51)^(AK$5-YEAR(Inputs!$E$155))*(AK10+AK14)</f>
        <v>-1416.2324185231657</v>
      </c>
      <c r="AL62" s="1">
        <f>-Inputs!$E$203*$E$35*(1+$E$51)^(AL$5-YEAR(Inputs!$E$155))*(AL10+AL14)</f>
        <v>-1451.638228986245</v>
      </c>
      <c r="AM62" s="1">
        <f>-Inputs!$E$203*$E$35*(1+$E$51)^(AM$5-YEAR(Inputs!$E$155))*(AM10+AM14)</f>
        <v>-1487.9291847109007</v>
      </c>
      <c r="AN62" s="1">
        <f>-Inputs!$E$203*$E$35*(1+$E$51)^(AN$5-YEAR(Inputs!$E$155))*(AN10+AN14)</f>
        <v>-1525.1274143286732</v>
      </c>
      <c r="AO62" s="1">
        <f>-Inputs!$E$203*$E$35*(1+$E$51)^(AO$5-YEAR(Inputs!$E$155))*(AO10+AO14)</f>
        <v>-1563.25559968689</v>
      </c>
      <c r="AP62" s="1">
        <f>-Inputs!$E$203*$E$35*(1+$E$51)^(AP$5-YEAR(Inputs!$E$155))*(AP10+AP14)</f>
        <v>-1602.336989679062</v>
      </c>
      <c r="AQ62" s="1">
        <f>-Inputs!$E$203*$E$35*(1+$E$51)^(AQ$5-YEAR(Inputs!$E$155))*(AQ10+AQ14)</f>
        <v>-1231.7965608157788</v>
      </c>
    </row>
    <row r="63" spans="3:43" x14ac:dyDescent="0.25">
      <c r="C63" t="s">
        <v>371</v>
      </c>
      <c r="D63" t="s">
        <v>844</v>
      </c>
      <c r="E63" s="1"/>
      <c r="F63" s="1"/>
      <c r="G63" s="1">
        <f t="shared" si="21"/>
        <v>-29183.635948047864</v>
      </c>
      <c r="H63" s="1">
        <f>-Inputs!$E$204*$E$35*H55*H10</f>
        <v>-0</v>
      </c>
      <c r="I63" s="1">
        <f>-Inputs!$E$204*$E$35*I55*I10</f>
        <v>-0</v>
      </c>
      <c r="J63" s="1">
        <f>-Inputs!$E$204*$E$35*J55*J10</f>
        <v>-0</v>
      </c>
      <c r="K63" s="1">
        <f>-Inputs!$E$204*$E$35*K55*K10</f>
        <v>-0</v>
      </c>
      <c r="L63" s="1">
        <f>-Inputs!$E$204*$E$35*L55*L10</f>
        <v>-0</v>
      </c>
      <c r="M63" s="1">
        <f>-Inputs!$E$204*$E$35*M55*M10</f>
        <v>-163.125</v>
      </c>
      <c r="N63" s="1">
        <f>-Inputs!$E$204*$E$35*N55*N10</f>
        <v>-668.8124999999999</v>
      </c>
      <c r="O63" s="1">
        <f>-Inputs!$E$204*$E$35*O55*O10</f>
        <v>-685.5328125</v>
      </c>
      <c r="P63" s="1">
        <f>-Inputs!$E$204*$E$35*P55*P10</f>
        <v>-702.6711328124998</v>
      </c>
      <c r="Q63" s="1">
        <f>-Inputs!$E$204*$E$35*Q55*Q10</f>
        <v>-720.2379111328122</v>
      </c>
      <c r="R63" s="1">
        <f>-Inputs!$E$204*$E$35*R55*R10</f>
        <v>-738.2438589111324</v>
      </c>
      <c r="S63" s="1">
        <f>-Inputs!$E$204*$E$35*S55*S10</f>
        <v>-756.6999553839107</v>
      </c>
      <c r="T63" s="1">
        <f>-Inputs!$E$204*$E$35*T55*T10</f>
        <v>-775.6174542685085</v>
      </c>
      <c r="U63" s="1">
        <f>-Inputs!$E$204*$E$35*U55*U10</f>
        <v>-795.007890625221</v>
      </c>
      <c r="V63" s="1">
        <f>-Inputs!$E$204*$E$35*V55*V10</f>
        <v>-814.8830878908516</v>
      </c>
      <c r="W63" s="1">
        <f>-Inputs!$E$204*$E$35*W55*W10</f>
        <v>-835.2551650881227</v>
      </c>
      <c r="X63" s="1">
        <f>-Inputs!$E$204*$E$35*X55*X10</f>
        <v>-856.1365442153258</v>
      </c>
      <c r="Y63" s="1">
        <f>-Inputs!$E$204*$E$35*Y55*Y10</f>
        <v>-877.5399578207089</v>
      </c>
      <c r="Z63" s="1">
        <f>-Inputs!$E$204*$E$35*Z55*Z10</f>
        <v>-899.4784567662264</v>
      </c>
      <c r="AA63" s="1">
        <f>-Inputs!$E$204*$E$35*AA55*AA10</f>
        <v>-921.9654181853821</v>
      </c>
      <c r="AB63" s="1">
        <f>-Inputs!$E$204*$E$35*AB55*AB10</f>
        <v>-945.0145536400165</v>
      </c>
      <c r="AC63" s="1">
        <f>-Inputs!$E$204*$E$35*AC55*AC10</f>
        <v>-968.6399174810168</v>
      </c>
      <c r="AD63" s="1">
        <f>-Inputs!$E$204*$E$35*AD55*AD10</f>
        <v>-992.8559154180422</v>
      </c>
      <c r="AE63" s="1">
        <f>-Inputs!$E$204*$E$35*AE55*AE10</f>
        <v>-1017.6773133034932</v>
      </c>
      <c r="AF63" s="1">
        <f>-Inputs!$E$204*$E$35*AF55*AF10</f>
        <v>-1043.1192461360804</v>
      </c>
      <c r="AG63" s="1">
        <f>-Inputs!$E$204*$E$35*AG55*AG10</f>
        <v>-1069.1972272894823</v>
      </c>
      <c r="AH63" s="1">
        <f>-Inputs!$E$204*$E$35*AH55*AH10</f>
        <v>-1095.9271579717192</v>
      </c>
      <c r="AI63" s="1">
        <f>-Inputs!$E$204*$E$35*AI55*AI10</f>
        <v>-1123.3253369210122</v>
      </c>
      <c r="AJ63" s="1">
        <f>-Inputs!$E$204*$E$35*AJ55*AJ10</f>
        <v>-1151.4084703440374</v>
      </c>
      <c r="AK63" s="1">
        <f>-Inputs!$E$204*$E$35*AK55*AK10</f>
        <v>-1180.1936821026381</v>
      </c>
      <c r="AL63" s="1">
        <f>-Inputs!$E$204*$E$35*AL55*AL10</f>
        <v>-1209.698524155204</v>
      </c>
      <c r="AM63" s="1">
        <f>-Inputs!$E$204*$E$35*AM55*AM10</f>
        <v>-1239.9409872590838</v>
      </c>
      <c r="AN63" s="1">
        <f>-Inputs!$E$204*$E$35*AN55*AN10</f>
        <v>-1270.939511940561</v>
      </c>
      <c r="AO63" s="1">
        <f>-Inputs!$E$204*$E$35*AO55*AO10</f>
        <v>-1302.712999739075</v>
      </c>
      <c r="AP63" s="1">
        <f>-Inputs!$E$204*$E$35*AP55*AP10</f>
        <v>-1335.2808247325518</v>
      </c>
      <c r="AQ63" s="1">
        <f>-Inputs!$E$204*$E$35*AQ55*AQ10</f>
        <v>-1026.4971340131488</v>
      </c>
    </row>
    <row r="64" spans="3:43" x14ac:dyDescent="0.25">
      <c r="C64" t="s">
        <v>372</v>
      </c>
      <c r="D64" t="s">
        <v>844</v>
      </c>
      <c r="E64" s="1"/>
      <c r="F64" s="1"/>
      <c r="G64" s="1">
        <f t="shared" si="21"/>
        <v>-17510.181568828717</v>
      </c>
      <c r="H64" s="1">
        <f>-Inputs!$E$205*$E$35*H55*H10</f>
        <v>-0</v>
      </c>
      <c r="I64" s="1">
        <f>-Inputs!$E$205*$E$35*I55*I10</f>
        <v>-0</v>
      </c>
      <c r="J64" s="1">
        <f>-Inputs!$E$205*$E$35*J55*J10</f>
        <v>-0</v>
      </c>
      <c r="K64" s="1">
        <f>-Inputs!$E$205*$E$35*K55*K10</f>
        <v>-0</v>
      </c>
      <c r="L64" s="1">
        <f>-Inputs!$E$205*$E$35*L55*L10</f>
        <v>-0</v>
      </c>
      <c r="M64" s="1">
        <f>-Inputs!$E$205*$E$35*M55*M10</f>
        <v>-97.875</v>
      </c>
      <c r="N64" s="1">
        <f>-Inputs!$E$205*$E$35*N55*N10</f>
        <v>-401.28749999999997</v>
      </c>
      <c r="O64" s="1">
        <f>-Inputs!$E$205*$E$35*O55*O10</f>
        <v>-411.3196875</v>
      </c>
      <c r="P64" s="1">
        <f>-Inputs!$E$205*$E$35*P55*P10</f>
        <v>-421.60267968749986</v>
      </c>
      <c r="Q64" s="1">
        <f>-Inputs!$E$205*$E$35*Q55*Q10</f>
        <v>-432.1427466796873</v>
      </c>
      <c r="R64" s="1">
        <f>-Inputs!$E$205*$E$35*R55*R10</f>
        <v>-442.94631534667946</v>
      </c>
      <c r="S64" s="1">
        <f>-Inputs!$E$205*$E$35*S55*S10</f>
        <v>-454.0199732303464</v>
      </c>
      <c r="T64" s="1">
        <f>-Inputs!$E$205*$E$35*T55*T10</f>
        <v>-465.3704725611051</v>
      </c>
      <c r="U64" s="1">
        <f>-Inputs!$E$205*$E$35*U55*U10</f>
        <v>-477.0047343751326</v>
      </c>
      <c r="V64" s="1">
        <f>-Inputs!$E$205*$E$35*V55*V10</f>
        <v>-488.9298527345109</v>
      </c>
      <c r="W64" s="1">
        <f>-Inputs!$E$205*$E$35*W55*W10</f>
        <v>-501.15309905287364</v>
      </c>
      <c r="X64" s="1">
        <f>-Inputs!$E$205*$E$35*X55*X10</f>
        <v>-513.6819265291955</v>
      </c>
      <c r="Y64" s="1">
        <f>-Inputs!$E$205*$E$35*Y55*Y10</f>
        <v>-526.5239746924253</v>
      </c>
      <c r="Z64" s="1">
        <f>-Inputs!$E$205*$E$35*Z55*Z10</f>
        <v>-539.6870740597358</v>
      </c>
      <c r="AA64" s="1">
        <f>-Inputs!$E$205*$E$35*AA55*AA10</f>
        <v>-553.1792509112292</v>
      </c>
      <c r="AB64" s="1">
        <f>-Inputs!$E$205*$E$35*AB55*AB10</f>
        <v>-567.0087321840099</v>
      </c>
      <c r="AC64" s="1">
        <f>-Inputs!$E$205*$E$35*AC55*AC10</f>
        <v>-581.1839504886101</v>
      </c>
      <c r="AD64" s="1">
        <f>-Inputs!$E$205*$E$35*AD55*AD10</f>
        <v>-595.7135492508253</v>
      </c>
      <c r="AE64" s="1">
        <f>-Inputs!$E$205*$E$35*AE55*AE10</f>
        <v>-610.6063879820958</v>
      </c>
      <c r="AF64" s="1">
        <f>-Inputs!$E$205*$E$35*AF55*AF10</f>
        <v>-625.8715476816482</v>
      </c>
      <c r="AG64" s="1">
        <f>-Inputs!$E$205*$E$35*AG55*AG10</f>
        <v>-641.5183363736893</v>
      </c>
      <c r="AH64" s="1">
        <f>-Inputs!$E$205*$E$35*AH55*AH10</f>
        <v>-657.5562947830316</v>
      </c>
      <c r="AI64" s="1">
        <f>-Inputs!$E$205*$E$35*AI55*AI10</f>
        <v>-673.9952021526072</v>
      </c>
      <c r="AJ64" s="1">
        <f>-Inputs!$E$205*$E$35*AJ55*AJ10</f>
        <v>-690.8450822064224</v>
      </c>
      <c r="AK64" s="1">
        <f>-Inputs!$E$205*$E$35*AK55*AK10</f>
        <v>-708.1162092615829</v>
      </c>
      <c r="AL64" s="1">
        <f>-Inputs!$E$205*$E$35*AL55*AL10</f>
        <v>-725.8191144931225</v>
      </c>
      <c r="AM64" s="1">
        <f>-Inputs!$E$205*$E$35*AM55*AM10</f>
        <v>-743.9645923554503</v>
      </c>
      <c r="AN64" s="1">
        <f>-Inputs!$E$205*$E$35*AN55*AN10</f>
        <v>-762.5637071643366</v>
      </c>
      <c r="AO64" s="1">
        <f>-Inputs!$E$205*$E$35*AO55*AO10</f>
        <v>-781.627799843445</v>
      </c>
      <c r="AP64" s="1">
        <f>-Inputs!$E$205*$E$35*AP55*AP10</f>
        <v>-801.168494839531</v>
      </c>
      <c r="AQ64" s="1">
        <f>-Inputs!$E$205*$E$35*AQ55*AQ10</f>
        <v>-615.8982804078894</v>
      </c>
    </row>
    <row r="65" spans="3:43" x14ac:dyDescent="0.25">
      <c r="C65" t="s">
        <v>374</v>
      </c>
      <c r="D65" t="s">
        <v>844</v>
      </c>
      <c r="E65" s="1"/>
      <c r="F65" s="1"/>
      <c r="G65" s="1">
        <f t="shared" si="21"/>
        <v>-35020.363137657434</v>
      </c>
      <c r="H65" s="1">
        <f>-Inputs!$E$206*$E$35*H55*H10</f>
        <v>-0</v>
      </c>
      <c r="I65" s="1">
        <f>-Inputs!$E$206*$E$35*I55*I10</f>
        <v>-0</v>
      </c>
      <c r="J65" s="1">
        <f>-Inputs!$E$206*$E$35*J55*J10</f>
        <v>-0</v>
      </c>
      <c r="K65" s="1">
        <f>-Inputs!$E$206*$E$35*K55*K10</f>
        <v>-0</v>
      </c>
      <c r="L65" s="1">
        <f>-Inputs!$E$206*$E$35*L55*L10</f>
        <v>-0</v>
      </c>
      <c r="M65" s="1">
        <f>-Inputs!$E$206*$E$35*M55*M10</f>
        <v>-195.75</v>
      </c>
      <c r="N65" s="1">
        <f>-Inputs!$E$206*$E$35*N55*N10</f>
        <v>-802.5749999999999</v>
      </c>
      <c r="O65" s="1">
        <f>-Inputs!$E$206*$E$35*O55*O10</f>
        <v>-822.639375</v>
      </c>
      <c r="P65" s="1">
        <f>-Inputs!$E$206*$E$35*P55*P10</f>
        <v>-843.2053593749997</v>
      </c>
      <c r="Q65" s="1">
        <f>-Inputs!$E$206*$E$35*Q55*Q10</f>
        <v>-864.2854933593746</v>
      </c>
      <c r="R65" s="1">
        <f>-Inputs!$E$206*$E$35*R55*R10</f>
        <v>-885.8926306933589</v>
      </c>
      <c r="S65" s="1">
        <f>-Inputs!$E$206*$E$35*S55*S10</f>
        <v>-908.0399464606928</v>
      </c>
      <c r="T65" s="1">
        <f>-Inputs!$E$206*$E$35*T55*T10</f>
        <v>-930.7409451222102</v>
      </c>
      <c r="U65" s="1">
        <f>-Inputs!$E$206*$E$35*U55*U10</f>
        <v>-954.0094687502652</v>
      </c>
      <c r="V65" s="1">
        <f>-Inputs!$E$206*$E$35*V55*V10</f>
        <v>-977.8597054690218</v>
      </c>
      <c r="W65" s="1">
        <f>-Inputs!$E$206*$E$35*W55*W10</f>
        <v>-1002.3061981057473</v>
      </c>
      <c r="X65" s="1">
        <f>-Inputs!$E$206*$E$35*X55*X10</f>
        <v>-1027.363853058391</v>
      </c>
      <c r="Y65" s="1">
        <f>-Inputs!$E$206*$E$35*Y55*Y10</f>
        <v>-1053.0479493848507</v>
      </c>
      <c r="Z65" s="1">
        <f>-Inputs!$E$206*$E$35*Z55*Z10</f>
        <v>-1079.3741481194716</v>
      </c>
      <c r="AA65" s="1">
        <f>-Inputs!$E$206*$E$35*AA55*AA10</f>
        <v>-1106.3585018224585</v>
      </c>
      <c r="AB65" s="1">
        <f>-Inputs!$E$206*$E$35*AB55*AB10</f>
        <v>-1134.0174643680198</v>
      </c>
      <c r="AC65" s="1">
        <f>-Inputs!$E$206*$E$35*AC55*AC10</f>
        <v>-1162.3679009772202</v>
      </c>
      <c r="AD65" s="1">
        <f>-Inputs!$E$206*$E$35*AD55*AD10</f>
        <v>-1191.4270985016506</v>
      </c>
      <c r="AE65" s="1">
        <f>-Inputs!$E$206*$E$35*AE55*AE10</f>
        <v>-1221.2127759641917</v>
      </c>
      <c r="AF65" s="1">
        <f>-Inputs!$E$206*$E$35*AF55*AF10</f>
        <v>-1251.7430953632963</v>
      </c>
      <c r="AG65" s="1">
        <f>-Inputs!$E$206*$E$35*AG55*AG10</f>
        <v>-1283.0366727473786</v>
      </c>
      <c r="AH65" s="1">
        <f>-Inputs!$E$206*$E$35*AH55*AH10</f>
        <v>-1315.1125895660632</v>
      </c>
      <c r="AI65" s="1">
        <f>-Inputs!$E$206*$E$35*AI55*AI10</f>
        <v>-1347.9904043052145</v>
      </c>
      <c r="AJ65" s="1">
        <f>-Inputs!$E$206*$E$35*AJ55*AJ10</f>
        <v>-1381.6901644128448</v>
      </c>
      <c r="AK65" s="1">
        <f>-Inputs!$E$206*$E$35*AK55*AK10</f>
        <v>-1416.2324185231657</v>
      </c>
      <c r="AL65" s="1">
        <f>-Inputs!$E$206*$E$35*AL55*AL10</f>
        <v>-1451.638228986245</v>
      </c>
      <c r="AM65" s="1">
        <f>-Inputs!$E$206*$E$35*AM55*AM10</f>
        <v>-1487.9291847109007</v>
      </c>
      <c r="AN65" s="1">
        <f>-Inputs!$E$206*$E$35*AN55*AN10</f>
        <v>-1525.1274143286732</v>
      </c>
      <c r="AO65" s="1">
        <f>-Inputs!$E$206*$E$35*AO55*AO10</f>
        <v>-1563.25559968689</v>
      </c>
      <c r="AP65" s="1">
        <f>-Inputs!$E$206*$E$35*AP55*AP10</f>
        <v>-1602.336989679062</v>
      </c>
      <c r="AQ65" s="1">
        <f>-Inputs!$E$206*$E$35*AQ55*AQ10</f>
        <v>-1231.7965608157788</v>
      </c>
    </row>
    <row r="66" spans="3:43" x14ac:dyDescent="0.25">
      <c r="C66" t="s">
        <v>970</v>
      </c>
      <c r="D66" t="s">
        <v>844</v>
      </c>
      <c r="E66" s="1"/>
      <c r="F66" s="1"/>
      <c r="G66" s="1">
        <f t="shared" si="21"/>
        <v>-6708.88182713744</v>
      </c>
      <c r="H66" s="1">
        <f>-Inputs!$E$207*H55*H10</f>
        <v>-0</v>
      </c>
      <c r="I66" s="1">
        <f>-Inputs!$E$207*I55*I10</f>
        <v>-0</v>
      </c>
      <c r="J66" s="1">
        <f>-Inputs!$E$207*J55*J10</f>
        <v>-0</v>
      </c>
      <c r="K66" s="1">
        <f>-Inputs!$E$207*K55*K10</f>
        <v>-0</v>
      </c>
      <c r="L66" s="1">
        <f>-Inputs!$E$207*L55*L10</f>
        <v>-0</v>
      </c>
      <c r="M66" s="1">
        <f>-Inputs!$E$207*M55*M10</f>
        <v>-37.5</v>
      </c>
      <c r="N66" s="1">
        <f>-Inputs!$E$207*N55*N10</f>
        <v>-153.75</v>
      </c>
      <c r="O66" s="1">
        <f>-Inputs!$E$207*O55*O10</f>
        <v>-157.59375</v>
      </c>
      <c r="P66" s="1">
        <f>-Inputs!$E$207*P55*P10</f>
        <v>-161.53359374999994</v>
      </c>
      <c r="Q66" s="1">
        <f>-Inputs!$E$207*Q55*Q10</f>
        <v>-165.57193359374992</v>
      </c>
      <c r="R66" s="1">
        <f>-Inputs!$E$207*R55*R10</f>
        <v>-169.71123193359367</v>
      </c>
      <c r="S66" s="1">
        <f>-Inputs!$E$207*S55*S10</f>
        <v>-173.9540127319335</v>
      </c>
      <c r="T66" s="1">
        <f>-Inputs!$E$207*T55*T10</f>
        <v>-178.30286305023185</v>
      </c>
      <c r="U66" s="1">
        <f>-Inputs!$E$207*U55*U10</f>
        <v>-182.76043462648758</v>
      </c>
      <c r="V66" s="1">
        <f>-Inputs!$E$207*V55*V10</f>
        <v>-187.32944549214977</v>
      </c>
      <c r="W66" s="1">
        <f>-Inputs!$E$207*W55*W10</f>
        <v>-192.0126816294535</v>
      </c>
      <c r="X66" s="1">
        <f>-Inputs!$E$207*X55*X10</f>
        <v>-196.81299867018984</v>
      </c>
      <c r="Y66" s="1">
        <f>-Inputs!$E$207*Y55*Y10</f>
        <v>-201.73332363694456</v>
      </c>
      <c r="Z66" s="1">
        <f>-Inputs!$E$207*Z55*Z10</f>
        <v>-206.77665672786813</v>
      </c>
      <c r="AA66" s="1">
        <f>-Inputs!$E$207*AA55*AA10</f>
        <v>-211.94607314606486</v>
      </c>
      <c r="AB66" s="1">
        <f>-Inputs!$E$207*AB55*AB10</f>
        <v>-217.24472497471643</v>
      </c>
      <c r="AC66" s="1">
        <f>-Inputs!$E$207*AC55*AC10</f>
        <v>-222.67584309908435</v>
      </c>
      <c r="AD66" s="1">
        <f>-Inputs!$E$207*AD55*AD10</f>
        <v>-228.24273917656143</v>
      </c>
      <c r="AE66" s="1">
        <f>-Inputs!$E$207*AE55*AE10</f>
        <v>-233.94880765597543</v>
      </c>
      <c r="AF66" s="1">
        <f>-Inputs!$E$207*AF55*AF10</f>
        <v>-239.7975278473748</v>
      </c>
      <c r="AG66" s="1">
        <f>-Inputs!$E$207*AG55*AG10</f>
        <v>-245.79246604355913</v>
      </c>
      <c r="AH66" s="1">
        <f>-Inputs!$E$207*AH55*AH10</f>
        <v>-251.93727769464812</v>
      </c>
      <c r="AI66" s="1">
        <f>-Inputs!$E$207*AI55*AI10</f>
        <v>-258.2357096370143</v>
      </c>
      <c r="AJ66" s="1">
        <f>-Inputs!$E$207*AJ55*AJ10</f>
        <v>-264.6916023779396</v>
      </c>
      <c r="AK66" s="1">
        <f>-Inputs!$E$207*AK55*AK10</f>
        <v>-271.30889243738807</v>
      </c>
      <c r="AL66" s="1">
        <f>-Inputs!$E$207*AL55*AL10</f>
        <v>-278.09161474832274</v>
      </c>
      <c r="AM66" s="1">
        <f>-Inputs!$E$207*AM55*AM10</f>
        <v>-285.0439051170308</v>
      </c>
      <c r="AN66" s="1">
        <f>-Inputs!$E$207*AN55*AN10</f>
        <v>-292.17000274495655</v>
      </c>
      <c r="AO66" s="1">
        <f>-Inputs!$E$207*AO55*AO10</f>
        <v>-299.47425281358045</v>
      </c>
      <c r="AP66" s="1">
        <f>-Inputs!$E$207*AP55*AP10</f>
        <v>-306.96110913391993</v>
      </c>
      <c r="AQ66" s="1">
        <f>-Inputs!$E$207*AQ55*AQ10</f>
        <v>-235.9763526467009</v>
      </c>
    </row>
    <row r="67" spans="3:43" x14ac:dyDescent="0.25">
      <c r="C67" t="s">
        <v>912</v>
      </c>
      <c r="D67" t="s">
        <v>844</v>
      </c>
      <c r="E67" s="31">
        <f>Inputs!$E$208</f>
        <v>0.05</v>
      </c>
      <c r="F67" s="1"/>
      <c r="G67" s="1">
        <f t="shared" si="21"/>
        <v>-21524.004367951868</v>
      </c>
      <c r="H67" s="1">
        <f>(SUM(H56:H58)+SUM(H60:H66))*$E$67</f>
        <v>0</v>
      </c>
      <c r="I67" s="1">
        <f t="shared" ref="I67:AO67" si="22">(SUM(I56:I58)+SUM(I60:I66))*$E$67</f>
        <v>0</v>
      </c>
      <c r="J67" s="1">
        <f t="shared" si="22"/>
        <v>0</v>
      </c>
      <c r="K67" s="1">
        <f t="shared" si="22"/>
        <v>-9.392452307416495</v>
      </c>
      <c r="L67" s="1">
        <f t="shared" si="22"/>
        <v>-38.19512195121952</v>
      </c>
      <c r="M67" s="1">
        <f t="shared" si="22"/>
        <v>-151.0845198540726</v>
      </c>
      <c r="N67" s="1">
        <f t="shared" si="22"/>
        <v>-499.26489476657156</v>
      </c>
      <c r="O67" s="1">
        <f t="shared" si="22"/>
        <v>-511.2618691709558</v>
      </c>
      <c r="P67" s="1">
        <f t="shared" si="22"/>
        <v>-523.3969812507977</v>
      </c>
      <c r="Q67" s="1">
        <f t="shared" si="22"/>
        <v>-535.9525733353847</v>
      </c>
      <c r="R67" s="1">
        <f t="shared" si="22"/>
        <v>-548.8228528796022</v>
      </c>
      <c r="S67" s="1">
        <f t="shared" si="22"/>
        <v>-562.1240641676125</v>
      </c>
      <c r="T67" s="1">
        <f t="shared" si="22"/>
        <v>-575.5695245442027</v>
      </c>
      <c r="U67" s="1">
        <f t="shared" si="22"/>
        <v>-589.3703910974427</v>
      </c>
      <c r="V67" s="1">
        <f t="shared" si="22"/>
        <v>-603.4789566560568</v>
      </c>
      <c r="W67" s="1">
        <f t="shared" si="22"/>
        <v>-617.9252521727095</v>
      </c>
      <c r="X67" s="1">
        <f t="shared" si="22"/>
        <v>-632.8005470081234</v>
      </c>
      <c r="Y67" s="1">
        <f t="shared" si="22"/>
        <v>-648.0100222655932</v>
      </c>
      <c r="Z67" s="1">
        <f t="shared" si="22"/>
        <v>-663.5463520100392</v>
      </c>
      <c r="AA67" s="1">
        <f t="shared" si="22"/>
        <v>-679.5569874730116</v>
      </c>
      <c r="AB67" s="1">
        <f t="shared" si="22"/>
        <v>-695.8925911509807</v>
      </c>
      <c r="AC67" s="1">
        <f t="shared" si="22"/>
        <v>-712.6054910690908</v>
      </c>
      <c r="AD67" s="1">
        <f t="shared" si="22"/>
        <v>-729.6520775340714</v>
      </c>
      <c r="AE67" s="1">
        <f t="shared" si="22"/>
        <v>-747.194002726076</v>
      </c>
      <c r="AF67" s="1">
        <f t="shared" si="22"/>
        <v>-765.0986507148928</v>
      </c>
      <c r="AG67" s="1">
        <f t="shared" si="22"/>
        <v>-783.4447871188382</v>
      </c>
      <c r="AH67" s="1">
        <f t="shared" si="22"/>
        <v>-802.2038293340357</v>
      </c>
      <c r="AI67" s="1">
        <f t="shared" si="22"/>
        <v>-821.5350354451498</v>
      </c>
      <c r="AJ67" s="1">
        <f t="shared" si="22"/>
        <v>-841.2679691010159</v>
      </c>
      <c r="AK67" s="1">
        <f t="shared" si="22"/>
        <v>-861.47908301429</v>
      </c>
      <c r="AL67" s="1">
        <f t="shared" si="22"/>
        <v>-882.1408236260188</v>
      </c>
      <c r="AM67" s="1">
        <f t="shared" si="22"/>
        <v>-903.3973698442147</v>
      </c>
      <c r="AN67" s="1">
        <f t="shared" si="22"/>
        <v>-925.2257003920382</v>
      </c>
      <c r="AO67" s="1">
        <f t="shared" si="22"/>
        <v>-947.5614958720535</v>
      </c>
      <c r="AP67" s="1">
        <f>(SUM(AP56:AP58)+SUM(AP60:AP66))*$E$67</f>
        <v>-970.3089648626831</v>
      </c>
      <c r="AQ67" s="1">
        <f>(SUM(AQ56:AQ58)+SUM(AQ60:AQ66))*$E$67</f>
        <v>-745.2431332356053</v>
      </c>
    </row>
    <row r="68" spans="3:43" x14ac:dyDescent="0.25">
      <c r="C68" t="s">
        <v>375</v>
      </c>
      <c r="D68" t="s">
        <v>844</v>
      </c>
      <c r="E68" s="22">
        <f>Inputs!$E$210</f>
        <v>0.02</v>
      </c>
      <c r="F68" s="1"/>
      <c r="G68" s="1">
        <f t="shared" si="21"/>
        <v>-50426.397271201655</v>
      </c>
      <c r="H68" s="1">
        <f>-H54*$E$68</f>
        <v>-0</v>
      </c>
      <c r="I68" s="1">
        <f t="shared" ref="I68:AO68" si="23">-I54*$E$68</f>
        <v>-0</v>
      </c>
      <c r="J68" s="1">
        <f t="shared" si="23"/>
        <v>-0</v>
      </c>
      <c r="K68" s="1">
        <f t="shared" si="23"/>
        <v>-0</v>
      </c>
      <c r="L68" s="1">
        <f t="shared" si="23"/>
        <v>-0</v>
      </c>
      <c r="M68" s="1">
        <f t="shared" si="23"/>
        <v>-347.1795096958239</v>
      </c>
      <c r="N68" s="1">
        <f t="shared" si="23"/>
        <v>-1373.3511987161132</v>
      </c>
      <c r="O68" s="1">
        <f t="shared" si="23"/>
        <v>-1402.9232458988201</v>
      </c>
      <c r="P68" s="1">
        <f t="shared" si="23"/>
        <v>-1372.6658820601715</v>
      </c>
      <c r="Q68" s="1">
        <f t="shared" si="23"/>
        <v>-1392.729827094353</v>
      </c>
      <c r="R68" s="1">
        <f t="shared" si="23"/>
        <v>-1417.9441888264073</v>
      </c>
      <c r="S68" s="1">
        <f t="shared" si="23"/>
        <v>-1491.883496622183</v>
      </c>
      <c r="T68" s="1">
        <f t="shared" si="23"/>
        <v>-1496.8805058276407</v>
      </c>
      <c r="U68" s="1">
        <f t="shared" si="23"/>
        <v>-1514.3311415086314</v>
      </c>
      <c r="V68" s="1">
        <f t="shared" si="23"/>
        <v>-1522.0111258431652</v>
      </c>
      <c r="W68" s="1">
        <f t="shared" si="23"/>
        <v>-1528.7151166141532</v>
      </c>
      <c r="X68" s="1">
        <f t="shared" si="23"/>
        <v>-1567.6549617074436</v>
      </c>
      <c r="Y68" s="1">
        <f t="shared" si="23"/>
        <v>-1597.5271283588897</v>
      </c>
      <c r="Z68" s="1">
        <f t="shared" si="23"/>
        <v>-1611.9432396939333</v>
      </c>
      <c r="AA68" s="1">
        <f t="shared" si="23"/>
        <v>-1666.3417579851798</v>
      </c>
      <c r="AB68" s="1">
        <f t="shared" si="23"/>
        <v>-1697.3595763958917</v>
      </c>
      <c r="AC68" s="1">
        <f t="shared" si="23"/>
        <v>-1722.2116268836876</v>
      </c>
      <c r="AD68" s="1">
        <f t="shared" si="23"/>
        <v>-1719.6474325180986</v>
      </c>
      <c r="AE68" s="1">
        <f t="shared" si="23"/>
        <v>-1750.4287428626465</v>
      </c>
      <c r="AF68" s="1">
        <f t="shared" si="23"/>
        <v>-1757.5152853164755</v>
      </c>
      <c r="AG68" s="1">
        <f t="shared" si="23"/>
        <v>-1768.322318419412</v>
      </c>
      <c r="AH68" s="1">
        <f t="shared" si="23"/>
        <v>-1767.2263568527846</v>
      </c>
      <c r="AI68" s="1">
        <f t="shared" si="23"/>
        <v>-1813.6383111820685</v>
      </c>
      <c r="AJ68" s="1">
        <f t="shared" si="23"/>
        <v>-1834.9869542982726</v>
      </c>
      <c r="AK68" s="1">
        <f t="shared" si="23"/>
        <v>-1857.3497767571212</v>
      </c>
      <c r="AL68" s="1">
        <f t="shared" si="23"/>
        <v>-1865.092245890734</v>
      </c>
      <c r="AM68" s="1">
        <f t="shared" si="23"/>
        <v>-1911.1606307976795</v>
      </c>
      <c r="AN68" s="1">
        <f t="shared" si="23"/>
        <v>-1981.5062058945043</v>
      </c>
      <c r="AO68" s="1">
        <f t="shared" si="23"/>
        <v>-2045.4432740144048</v>
      </c>
      <c r="AP68" s="1">
        <f>-AP54*$E$68</f>
        <v>-2059.5767338635574</v>
      </c>
      <c r="AQ68" s="1">
        <f>-AQ54*$E$68</f>
        <v>-1570.8494728014048</v>
      </c>
    </row>
    <row r="69" spans="3:43" x14ac:dyDescent="0.25">
      <c r="C69" s="6" t="s">
        <v>971</v>
      </c>
      <c r="D69" s="6" t="s">
        <v>844</v>
      </c>
      <c r="E69" s="37"/>
      <c r="F69" s="37"/>
      <c r="G69" s="37">
        <f t="shared" si="21"/>
        <v>-536929.750408032</v>
      </c>
      <c r="H69" s="37">
        <f>SUM(H56:H68)</f>
        <v>0</v>
      </c>
      <c r="I69" s="37">
        <f t="shared" ref="I69:AO69" si="24">SUM(I56:I68)</f>
        <v>0</v>
      </c>
      <c r="J69" s="37">
        <f t="shared" si="24"/>
        <v>0</v>
      </c>
      <c r="K69" s="37">
        <f t="shared" si="24"/>
        <v>-197.24149845574638</v>
      </c>
      <c r="L69" s="37">
        <f t="shared" si="24"/>
        <v>-802.0975609756099</v>
      </c>
      <c r="M69" s="37">
        <f t="shared" si="24"/>
        <v>-3819.9305569138487</v>
      </c>
      <c r="N69" s="37">
        <f t="shared" si="24"/>
        <v>-13057.818509944114</v>
      </c>
      <c r="O69" s="37">
        <f t="shared" si="24"/>
        <v>-13335.727306055502</v>
      </c>
      <c r="P69" s="37">
        <f t="shared" si="24"/>
        <v>-13556.718381470833</v>
      </c>
      <c r="Q69" s="37">
        <f t="shared" si="24"/>
        <v>-13836.87161260191</v>
      </c>
      <c r="R69" s="37">
        <f t="shared" si="24"/>
        <v>-14128.794431526137</v>
      </c>
      <c r="S69" s="37">
        <f t="shared" si="24"/>
        <v>-14478.502465373444</v>
      </c>
      <c r="T69" s="37">
        <f t="shared" si="24"/>
        <v>-14762.308101623605</v>
      </c>
      <c r="U69" s="37">
        <f t="shared" si="24"/>
        <v>-15066.041532181534</v>
      </c>
      <c r="V69" s="37">
        <f t="shared" si="24"/>
        <v>-15366.476596714081</v>
      </c>
      <c r="W69" s="37">
        <f t="shared" si="24"/>
        <v>-15673.038571191495</v>
      </c>
      <c r="X69" s="37">
        <f t="shared" si="24"/>
        <v>-16020.855928351628</v>
      </c>
      <c r="Y69" s="37">
        <f t="shared" si="24"/>
        <v>-16366.633906971516</v>
      </c>
      <c r="Z69" s="37">
        <f t="shared" si="24"/>
        <v>-16703.830254006818</v>
      </c>
      <c r="AA69" s="37">
        <f t="shared" si="24"/>
        <v>-17090.979876154182</v>
      </c>
      <c r="AB69" s="37">
        <f t="shared" si="24"/>
        <v>-17461.583547658538</v>
      </c>
      <c r="AC69" s="37">
        <f t="shared" si="24"/>
        <v>-17833.955057755367</v>
      </c>
      <c r="AD69" s="37">
        <f t="shared" si="24"/>
        <v>-18185.928094799106</v>
      </c>
      <c r="AE69" s="37">
        <f t="shared" si="24"/>
        <v>-18581.659073073555</v>
      </c>
      <c r="AF69" s="37">
        <f t="shared" si="24"/>
        <v>-18961.32275447365</v>
      </c>
      <c r="AG69" s="37">
        <f t="shared" si="24"/>
        <v>-19353.98844464701</v>
      </c>
      <c r="AH69" s="37">
        <f t="shared" si="24"/>
        <v>-19743.432392809333</v>
      </c>
      <c r="AI69" s="37">
        <f t="shared" si="24"/>
        <v>-20192.409898612183</v>
      </c>
      <c r="AJ69" s="37">
        <f t="shared" si="24"/>
        <v>-20624.770540972335</v>
      </c>
      <c r="AK69" s="37">
        <f t="shared" si="24"/>
        <v>-21068.197286903276</v>
      </c>
      <c r="AL69" s="37">
        <f t="shared" si="24"/>
        <v>-21506.47694858266</v>
      </c>
      <c r="AM69" s="37">
        <f t="shared" si="24"/>
        <v>-21995.583521852084</v>
      </c>
      <c r="AN69" s="37">
        <f t="shared" si="24"/>
        <v>-22520.984804080224</v>
      </c>
      <c r="AO69" s="37">
        <f t="shared" si="24"/>
        <v>-23050.644360610582</v>
      </c>
      <c r="AP69" s="37">
        <f>SUM(AP56:AP68)</f>
        <v>-23539.155440243107</v>
      </c>
      <c r="AQ69" s="37">
        <f>SUM(AQ56:AQ68)</f>
        <v>-18045.791150446927</v>
      </c>
    </row>
    <row r="70" spans="3:43" x14ac:dyDescent="0.25">
      <c r="C70" s="6" t="s">
        <v>381</v>
      </c>
      <c r="D70" s="6" t="s">
        <v>844</v>
      </c>
      <c r="E70" s="37"/>
      <c r="F70" s="37"/>
      <c r="G70" s="37">
        <f t="shared" si="21"/>
        <v>1984390.1131520506</v>
      </c>
      <c r="H70" s="37">
        <f>H54+H69</f>
        <v>0</v>
      </c>
      <c r="I70" s="37">
        <f t="shared" ref="I70:AO70" si="25">I54+I69</f>
        <v>0</v>
      </c>
      <c r="J70" s="37">
        <f t="shared" si="25"/>
        <v>0</v>
      </c>
      <c r="K70" s="37">
        <f t="shared" si="25"/>
        <v>-197.24149845574638</v>
      </c>
      <c r="L70" s="37">
        <f t="shared" si="25"/>
        <v>-802.0975609756099</v>
      </c>
      <c r="M70" s="37">
        <f t="shared" si="25"/>
        <v>13539.044927877349</v>
      </c>
      <c r="N70" s="37">
        <f t="shared" si="25"/>
        <v>55609.741425861546</v>
      </c>
      <c r="O70" s="37">
        <f t="shared" si="25"/>
        <v>56810.43498888551</v>
      </c>
      <c r="P70" s="37">
        <f t="shared" si="25"/>
        <v>55076.575721537745</v>
      </c>
      <c r="Q70" s="37">
        <f t="shared" si="25"/>
        <v>55799.61974211573</v>
      </c>
      <c r="R70" s="37">
        <f t="shared" si="25"/>
        <v>56768.41500979422</v>
      </c>
      <c r="S70" s="37">
        <f t="shared" si="25"/>
        <v>60115.67236573571</v>
      </c>
      <c r="T70" s="37">
        <f t="shared" si="25"/>
        <v>60081.71718975843</v>
      </c>
      <c r="U70" s="37">
        <f t="shared" si="25"/>
        <v>60650.51554325003</v>
      </c>
      <c r="V70" s="37">
        <f t="shared" si="25"/>
        <v>60734.079695444176</v>
      </c>
      <c r="W70" s="37">
        <f t="shared" si="25"/>
        <v>60762.71725951616</v>
      </c>
      <c r="X70" s="37">
        <f t="shared" si="25"/>
        <v>62361.89215702055</v>
      </c>
      <c r="Y70" s="37">
        <f t="shared" si="25"/>
        <v>63509.72251097296</v>
      </c>
      <c r="Z70" s="37">
        <f t="shared" si="25"/>
        <v>63893.331730689846</v>
      </c>
      <c r="AA70" s="37">
        <f t="shared" si="25"/>
        <v>66226.10802310481</v>
      </c>
      <c r="AB70" s="37">
        <f t="shared" si="25"/>
        <v>67406.39527213605</v>
      </c>
      <c r="AC70" s="37">
        <f t="shared" si="25"/>
        <v>68276.626286429</v>
      </c>
      <c r="AD70" s="37">
        <f t="shared" si="25"/>
        <v>67796.44353110582</v>
      </c>
      <c r="AE70" s="37">
        <f t="shared" si="25"/>
        <v>68939.77807005876</v>
      </c>
      <c r="AF70" s="37">
        <f t="shared" si="25"/>
        <v>68914.44151135013</v>
      </c>
      <c r="AG70" s="37">
        <f t="shared" si="25"/>
        <v>69062.1274763236</v>
      </c>
      <c r="AH70" s="37">
        <f t="shared" si="25"/>
        <v>68617.88544982989</v>
      </c>
      <c r="AI70" s="37">
        <f t="shared" si="25"/>
        <v>70489.50566049124</v>
      </c>
      <c r="AJ70" s="37">
        <f t="shared" si="25"/>
        <v>71124.5771739413</v>
      </c>
      <c r="AK70" s="37">
        <f t="shared" si="25"/>
        <v>71799.29155095278</v>
      </c>
      <c r="AL70" s="37">
        <f t="shared" si="25"/>
        <v>71748.13534595404</v>
      </c>
      <c r="AM70" s="37">
        <f t="shared" si="25"/>
        <v>73562.4480180319</v>
      </c>
      <c r="AN70" s="37">
        <f t="shared" si="25"/>
        <v>76554.32549064499</v>
      </c>
      <c r="AO70" s="37">
        <f t="shared" si="25"/>
        <v>79221.51934010966</v>
      </c>
      <c r="AP70" s="37">
        <f>AP54+AP69</f>
        <v>79439.68125293475</v>
      </c>
      <c r="AQ70" s="37">
        <f>AQ54+AQ69</f>
        <v>60496.682489623316</v>
      </c>
    </row>
    <row r="71" spans="3:43" x14ac:dyDescent="0.25">
      <c r="C71" t="s">
        <v>972</v>
      </c>
      <c r="D71" t="s">
        <v>2</v>
      </c>
      <c r="E71" s="1"/>
      <c r="F71" s="1"/>
      <c r="G71" s="31">
        <f>IF(G54=0,"",G70/G54)</f>
        <v>0.7870441754859727</v>
      </c>
      <c r="H71" s="31" t="str">
        <f>IF(H54=0,"",H70/H54)</f>
        <v/>
      </c>
      <c r="I71" s="31" t="str">
        <f t="shared" ref="I71:AO71" si="26">IF(I54=0,"",I70/I54)</f>
        <v/>
      </c>
      <c r="J71" s="31" t="str">
        <f t="shared" si="26"/>
        <v/>
      </c>
      <c r="K71" s="31" t="str">
        <f t="shared" si="26"/>
        <v/>
      </c>
      <c r="L71" s="31" t="str">
        <f t="shared" si="26"/>
        <v/>
      </c>
      <c r="M71" s="31">
        <f t="shared" si="26"/>
        <v>0.7799449304908217</v>
      </c>
      <c r="N71" s="31">
        <f t="shared" si="26"/>
        <v>0.8098400682629279</v>
      </c>
      <c r="O71" s="31">
        <f t="shared" si="26"/>
        <v>0.8098865729819508</v>
      </c>
      <c r="P71" s="31">
        <f t="shared" si="26"/>
        <v>0.8024760641515447</v>
      </c>
      <c r="Q71" s="31">
        <f t="shared" si="26"/>
        <v>0.801298552764254</v>
      </c>
      <c r="R71" s="31">
        <f t="shared" si="26"/>
        <v>0.8007143787059751</v>
      </c>
      <c r="S71" s="31">
        <f t="shared" si="26"/>
        <v>0.8059030413815201</v>
      </c>
      <c r="T71" s="31">
        <f t="shared" si="26"/>
        <v>0.8027590306086407</v>
      </c>
      <c r="U71" s="31">
        <f t="shared" si="26"/>
        <v>0.8010205150087292</v>
      </c>
      <c r="V71" s="31">
        <f t="shared" si="26"/>
        <v>0.7980766850412956</v>
      </c>
      <c r="W71" s="31">
        <f t="shared" si="26"/>
        <v>0.794951480483759</v>
      </c>
      <c r="X71" s="31">
        <f t="shared" si="26"/>
        <v>0.795607371268711</v>
      </c>
      <c r="Y71" s="31">
        <f t="shared" si="26"/>
        <v>0.7951003946482629</v>
      </c>
      <c r="Z71" s="31">
        <f t="shared" si="26"/>
        <v>0.7927491509294279</v>
      </c>
      <c r="AA71" s="31">
        <f t="shared" si="26"/>
        <v>0.7948682520346924</v>
      </c>
      <c r="AB71" s="31">
        <f t="shared" si="26"/>
        <v>0.7942500364626829</v>
      </c>
      <c r="AC71" s="31">
        <f t="shared" si="26"/>
        <v>0.7928947316419457</v>
      </c>
      <c r="AD71" s="31">
        <f t="shared" si="26"/>
        <v>0.7884923647614296</v>
      </c>
      <c r="AE71" s="31">
        <f t="shared" si="26"/>
        <v>0.7876901970578344</v>
      </c>
      <c r="AF71" s="31">
        <f t="shared" si="26"/>
        <v>0.7842257997652716</v>
      </c>
      <c r="AG71" s="31">
        <f t="shared" si="26"/>
        <v>0.7811033854739076</v>
      </c>
      <c r="AH71" s="31">
        <f t="shared" si="26"/>
        <v>0.7765602316166222</v>
      </c>
      <c r="AI71" s="31">
        <f t="shared" si="26"/>
        <v>0.7773270472495538</v>
      </c>
      <c r="AJ71" s="31">
        <f t="shared" si="26"/>
        <v>0.7752052624389413</v>
      </c>
      <c r="AK71" s="31">
        <f t="shared" si="26"/>
        <v>0.7731369982051767</v>
      </c>
      <c r="AL71" s="31">
        <f t="shared" si="26"/>
        <v>0.7693789463125289</v>
      </c>
      <c r="AM71" s="31">
        <f t="shared" si="26"/>
        <v>0.7698196251283015</v>
      </c>
      <c r="AN71" s="31">
        <f t="shared" si="26"/>
        <v>0.7726882233617466</v>
      </c>
      <c r="AO71" s="31">
        <f t="shared" si="26"/>
        <v>0.7746146798256479</v>
      </c>
      <c r="AP71" s="31">
        <f>IF(AP54=0,"",AP70/AP54)</f>
        <v>0.7714175436805791</v>
      </c>
      <c r="AQ71" s="31">
        <f>IF(AQ54=0,"",AQ70/AQ54)</f>
        <v>0.7702416245107864</v>
      </c>
    </row>
    <row r="72" spans="3:43" x14ac:dyDescent="0.25">
      <c r="C72" t="s">
        <v>973</v>
      </c>
      <c r="D72" t="s">
        <v>905</v>
      </c>
      <c r="E72" s="1"/>
      <c r="F72" s="1"/>
      <c r="G72" s="20"/>
      <c r="H72" s="20" t="str">
        <f>IF(H8=1,-H69/H35,"")</f>
        <v/>
      </c>
      <c r="I72" s="20" t="str">
        <f t="shared" ref="I72:AO72" si="27">IF(I8=1,-I69/I35,"")</f>
        <v/>
      </c>
      <c r="J72" s="20" t="str">
        <f t="shared" si="27"/>
        <v/>
      </c>
      <c r="K72" s="20" t="str">
        <f t="shared" si="27"/>
        <v/>
      </c>
      <c r="L72" s="20" t="str">
        <f t="shared" si="27"/>
        <v/>
      </c>
      <c r="M72" s="20" t="str">
        <f t="shared" si="27"/>
        <v/>
      </c>
      <c r="N72" s="20">
        <f t="shared" si="27"/>
        <v>50.029955976797375</v>
      </c>
      <c r="O72" s="20">
        <f t="shared" si="27"/>
        <v>51.094740636227975</v>
      </c>
      <c r="P72" s="20">
        <f t="shared" si="27"/>
        <v>51.941449737436145</v>
      </c>
      <c r="Q72" s="20">
        <f t="shared" si="27"/>
        <v>53.01483376475827</v>
      </c>
      <c r="R72" s="20">
        <f t="shared" si="27"/>
        <v>54.13331199818443</v>
      </c>
      <c r="S72" s="20">
        <f t="shared" si="27"/>
        <v>55.47318952250362</v>
      </c>
      <c r="T72" s="20">
        <f t="shared" si="27"/>
        <v>56.560567439170896</v>
      </c>
      <c r="U72" s="20">
        <f t="shared" si="27"/>
        <v>57.7242970581668</v>
      </c>
      <c r="V72" s="20">
        <f t="shared" si="27"/>
        <v>58.87538925944092</v>
      </c>
      <c r="W72" s="20">
        <f t="shared" si="27"/>
        <v>60.04995621146167</v>
      </c>
      <c r="X72" s="20">
        <f t="shared" si="27"/>
        <v>61.38258976379934</v>
      </c>
      <c r="Y72" s="20">
        <f t="shared" si="27"/>
        <v>62.70740960525485</v>
      </c>
      <c r="Z72" s="20">
        <f t="shared" si="27"/>
        <v>63.999349632210034</v>
      </c>
      <c r="AA72" s="20">
        <f t="shared" si="27"/>
        <v>65.48268151783212</v>
      </c>
      <c r="AB72" s="20">
        <f t="shared" si="27"/>
        <v>66.90261895654612</v>
      </c>
      <c r="AC72" s="20">
        <f t="shared" si="27"/>
        <v>68.32932972320064</v>
      </c>
      <c r="AD72" s="20">
        <f t="shared" si="27"/>
        <v>69.67788542068624</v>
      </c>
      <c r="AE72" s="20">
        <f t="shared" si="27"/>
        <v>71.19409606541592</v>
      </c>
      <c r="AF72" s="20">
        <f t="shared" si="27"/>
        <v>72.6487461857228</v>
      </c>
      <c r="AG72" s="20">
        <f t="shared" si="27"/>
        <v>74.15321243159774</v>
      </c>
      <c r="AH72" s="20">
        <f t="shared" si="27"/>
        <v>75.64533483834994</v>
      </c>
      <c r="AI72" s="20">
        <f t="shared" si="27"/>
        <v>77.36555516709649</v>
      </c>
      <c r="AJ72" s="20">
        <f t="shared" si="27"/>
        <v>79.02210935238442</v>
      </c>
      <c r="AK72" s="20">
        <f t="shared" si="27"/>
        <v>80.72106240192826</v>
      </c>
      <c r="AL72" s="20">
        <f t="shared" si="27"/>
        <v>82.40029482215577</v>
      </c>
      <c r="AM72" s="20">
        <f t="shared" si="27"/>
        <v>84.27426636724937</v>
      </c>
      <c r="AN72" s="20">
        <f t="shared" si="27"/>
        <v>86.28729809992423</v>
      </c>
      <c r="AO72" s="20">
        <f t="shared" si="27"/>
        <v>88.31664505981065</v>
      </c>
      <c r="AP72" s="20">
        <f>IF(AP8=1,-AP69/AP35,"")</f>
        <v>90.18833502008853</v>
      </c>
      <c r="AQ72" s="20" t="str">
        <f>IF(AQ8=1,-AQ69/AQ35,"")</f>
        <v/>
      </c>
    </row>
    <row r="73" spans="3:43" x14ac:dyDescent="0.25">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spans="3:43" x14ac:dyDescent="0.25">
      <c r="C74" s="43" t="s">
        <v>974</v>
      </c>
      <c r="D74" s="43"/>
      <c r="E74" s="129">
        <f>Inputs!$E$218</f>
        <v>0.05</v>
      </c>
      <c r="F74" s="134" t="s">
        <v>975</v>
      </c>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row>
    <row r="75" spans="3:43" x14ac:dyDescent="0.25">
      <c r="C75" t="s">
        <v>976</v>
      </c>
      <c r="D75" t="s">
        <v>844</v>
      </c>
      <c r="E75" s="1">
        <f>Inputs!$E$217*-G30</f>
        <v>237160.71312246576</v>
      </c>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spans="3:43" x14ac:dyDescent="0.25">
      <c r="C76" t="s">
        <v>32</v>
      </c>
      <c r="D76" t="s">
        <v>844</v>
      </c>
      <c r="E76" s="1"/>
      <c r="F76" s="1"/>
      <c r="G76" s="1"/>
      <c r="H76" s="1">
        <f>G84</f>
        <v>0</v>
      </c>
      <c r="I76" s="1">
        <f>H84</f>
        <v>0</v>
      </c>
      <c r="J76" s="1">
        <f t="shared" ref="J76:AO76" si="28">I84</f>
        <v>0</v>
      </c>
      <c r="K76" s="1">
        <f t="shared" si="28"/>
        <v>0</v>
      </c>
      <c r="L76" s="1">
        <f t="shared" si="28"/>
        <v>30635.966092395236</v>
      </c>
      <c r="M76" s="1">
        <f t="shared" si="28"/>
        <v>153712.62987227872</v>
      </c>
      <c r="N76" s="1">
        <f t="shared" si="28"/>
        <v>249826.3327263181</v>
      </c>
      <c r="O76" s="1">
        <f t="shared" si="28"/>
        <v>218921.9424272839</v>
      </c>
      <c r="P76" s="1">
        <f t="shared" si="28"/>
        <v>186345.64223416022</v>
      </c>
      <c r="Q76" s="1">
        <f t="shared" si="28"/>
        <v>153002.7296734581</v>
      </c>
      <c r="R76" s="1">
        <f t="shared" si="28"/>
        <v>117738.70800861945</v>
      </c>
      <c r="S76" s="1">
        <f t="shared" si="28"/>
        <v>80350.02746249104</v>
      </c>
      <c r="T76" s="1">
        <f t="shared" si="28"/>
        <v>52013.87580071501</v>
      </c>
      <c r="U76" s="1">
        <f t="shared" si="28"/>
        <v>22260.91655585018</v>
      </c>
      <c r="V76" s="1">
        <f t="shared" si="28"/>
        <v>0</v>
      </c>
      <c r="W76" s="1">
        <f t="shared" si="28"/>
        <v>0</v>
      </c>
      <c r="X76" s="1">
        <f t="shared" si="28"/>
        <v>0</v>
      </c>
      <c r="Y76" s="1">
        <f t="shared" si="28"/>
        <v>0</v>
      </c>
      <c r="Z76" s="1">
        <f t="shared" si="28"/>
        <v>0</v>
      </c>
      <c r="AA76" s="1">
        <f t="shared" si="28"/>
        <v>0</v>
      </c>
      <c r="AB76" s="1">
        <f t="shared" si="28"/>
        <v>0</v>
      </c>
      <c r="AC76" s="1">
        <f t="shared" si="28"/>
        <v>0</v>
      </c>
      <c r="AD76" s="1">
        <f t="shared" si="28"/>
        <v>0</v>
      </c>
      <c r="AE76" s="1">
        <f t="shared" si="28"/>
        <v>0</v>
      </c>
      <c r="AF76" s="1">
        <f t="shared" si="28"/>
        <v>0</v>
      </c>
      <c r="AG76" s="1">
        <f t="shared" si="28"/>
        <v>0</v>
      </c>
      <c r="AH76" s="1">
        <f t="shared" si="28"/>
        <v>0</v>
      </c>
      <c r="AI76" s="1">
        <f t="shared" si="28"/>
        <v>0</v>
      </c>
      <c r="AJ76" s="1">
        <f t="shared" si="28"/>
        <v>0</v>
      </c>
      <c r="AK76" s="1">
        <f t="shared" si="28"/>
        <v>0</v>
      </c>
      <c r="AL76" s="1">
        <f t="shared" si="28"/>
        <v>0</v>
      </c>
      <c r="AM76" s="1">
        <f t="shared" si="28"/>
        <v>0</v>
      </c>
      <c r="AN76" s="1">
        <f t="shared" si="28"/>
        <v>0</v>
      </c>
      <c r="AO76" s="1">
        <f t="shared" si="28"/>
        <v>0</v>
      </c>
      <c r="AP76" s="1">
        <f>AO84</f>
        <v>0</v>
      </c>
      <c r="AQ76" s="1">
        <f>AP84</f>
        <v>0</v>
      </c>
    </row>
    <row r="77" spans="3:43" x14ac:dyDescent="0.25">
      <c r="C77" t="s">
        <v>977</v>
      </c>
      <c r="D77" t="s">
        <v>844</v>
      </c>
      <c r="E77" s="1"/>
      <c r="F77" s="1"/>
      <c r="G77" s="1">
        <f>SUM(H77:AQ77)</f>
        <v>237160.71312246576</v>
      </c>
      <c r="H77" s="1">
        <f>$E$75*H7</f>
        <v>0</v>
      </c>
      <c r="I77" s="1">
        <f t="shared" ref="I77:AO77" si="29">$E$75*I7</f>
        <v>0</v>
      </c>
      <c r="J77" s="1">
        <f t="shared" si="29"/>
        <v>0</v>
      </c>
      <c r="K77" s="1">
        <f t="shared" si="29"/>
        <v>29888.747407214865</v>
      </c>
      <c r="L77" s="1">
        <f t="shared" si="29"/>
        <v>118580.35656123288</v>
      </c>
      <c r="M77" s="1">
        <f t="shared" si="29"/>
        <v>88691.60915401802</v>
      </c>
      <c r="N77" s="1">
        <f t="shared" si="29"/>
        <v>0</v>
      </c>
      <c r="O77" s="1">
        <f t="shared" si="29"/>
        <v>0</v>
      </c>
      <c r="P77" s="1">
        <f t="shared" si="29"/>
        <v>0</v>
      </c>
      <c r="Q77" s="1">
        <f t="shared" si="29"/>
        <v>0</v>
      </c>
      <c r="R77" s="1">
        <f t="shared" si="29"/>
        <v>0</v>
      </c>
      <c r="S77" s="1">
        <f t="shared" si="29"/>
        <v>0</v>
      </c>
      <c r="T77" s="1">
        <f t="shared" si="29"/>
        <v>0</v>
      </c>
      <c r="U77" s="1">
        <f t="shared" si="29"/>
        <v>0</v>
      </c>
      <c r="V77" s="1">
        <f t="shared" si="29"/>
        <v>0</v>
      </c>
      <c r="W77" s="1">
        <f t="shared" si="29"/>
        <v>0</v>
      </c>
      <c r="X77" s="1">
        <f t="shared" si="29"/>
        <v>0</v>
      </c>
      <c r="Y77" s="1">
        <f t="shared" si="29"/>
        <v>0</v>
      </c>
      <c r="Z77" s="1">
        <f t="shared" si="29"/>
        <v>0</v>
      </c>
      <c r="AA77" s="1">
        <f t="shared" si="29"/>
        <v>0</v>
      </c>
      <c r="AB77" s="1">
        <f t="shared" si="29"/>
        <v>0</v>
      </c>
      <c r="AC77" s="1">
        <f t="shared" si="29"/>
        <v>0</v>
      </c>
      <c r="AD77" s="1">
        <f t="shared" si="29"/>
        <v>0</v>
      </c>
      <c r="AE77" s="1">
        <f t="shared" si="29"/>
        <v>0</v>
      </c>
      <c r="AF77" s="1">
        <f t="shared" si="29"/>
        <v>0</v>
      </c>
      <c r="AG77" s="1">
        <f t="shared" si="29"/>
        <v>0</v>
      </c>
      <c r="AH77" s="1">
        <f t="shared" si="29"/>
        <v>0</v>
      </c>
      <c r="AI77" s="1">
        <f t="shared" si="29"/>
        <v>0</v>
      </c>
      <c r="AJ77" s="1">
        <f t="shared" si="29"/>
        <v>0</v>
      </c>
      <c r="AK77" s="1">
        <f t="shared" si="29"/>
        <v>0</v>
      </c>
      <c r="AL77" s="1">
        <f t="shared" si="29"/>
        <v>0</v>
      </c>
      <c r="AM77" s="1">
        <f t="shared" si="29"/>
        <v>0</v>
      </c>
      <c r="AN77" s="1">
        <f t="shared" si="29"/>
        <v>0</v>
      </c>
      <c r="AO77" s="1">
        <f t="shared" si="29"/>
        <v>0</v>
      </c>
      <c r="AP77" s="1">
        <f>$E$75*AP7</f>
        <v>0</v>
      </c>
      <c r="AQ77" s="1">
        <f>$E$75*AQ7</f>
        <v>0</v>
      </c>
    </row>
    <row r="78" spans="3:43" x14ac:dyDescent="0.25">
      <c r="C78" t="s">
        <v>1463</v>
      </c>
      <c r="D78" t="s">
        <v>844</v>
      </c>
      <c r="E78" s="1"/>
      <c r="F78" s="1"/>
      <c r="G78" s="1">
        <f>SUM(H78:AQ78)</f>
        <v>12665.619603852309</v>
      </c>
      <c r="H78" s="1">
        <f>IF(H7&gt;0,(H76+H77/2)*$E$74*IF(H10&gt;0,H14/(H14+H10),1),0)</f>
        <v>0</v>
      </c>
      <c r="I78" s="1">
        <f t="shared" ref="I78:AQ78" si="30">IF(I7&gt;0,(I76+I77/2)*$E$74*IF(I10&gt;0,I14/(I14+I10),1),0)</f>
        <v>0</v>
      </c>
      <c r="J78" s="1">
        <f t="shared" si="30"/>
        <v>0</v>
      </c>
      <c r="K78" s="1">
        <f t="shared" si="30"/>
        <v>747.2186851803717</v>
      </c>
      <c r="L78" s="1">
        <f t="shared" si="30"/>
        <v>4496.307218650584</v>
      </c>
      <c r="M78" s="1">
        <f t="shared" si="30"/>
        <v>7422.093700021353</v>
      </c>
      <c r="N78" s="1">
        <f t="shared" si="30"/>
        <v>0</v>
      </c>
      <c r="O78" s="1">
        <f t="shared" si="30"/>
        <v>0</v>
      </c>
      <c r="P78" s="1">
        <f t="shared" si="30"/>
        <v>0</v>
      </c>
      <c r="Q78" s="1">
        <f t="shared" si="30"/>
        <v>0</v>
      </c>
      <c r="R78" s="1">
        <f t="shared" si="30"/>
        <v>0</v>
      </c>
      <c r="S78" s="1">
        <f t="shared" si="30"/>
        <v>0</v>
      </c>
      <c r="T78" s="1">
        <f t="shared" si="30"/>
        <v>0</v>
      </c>
      <c r="U78" s="1">
        <f t="shared" si="30"/>
        <v>0</v>
      </c>
      <c r="V78" s="1">
        <f t="shared" si="30"/>
        <v>0</v>
      </c>
      <c r="W78" s="1">
        <f t="shared" si="30"/>
        <v>0</v>
      </c>
      <c r="X78" s="1">
        <f t="shared" si="30"/>
        <v>0</v>
      </c>
      <c r="Y78" s="1">
        <f t="shared" si="30"/>
        <v>0</v>
      </c>
      <c r="Z78" s="1">
        <f t="shared" si="30"/>
        <v>0</v>
      </c>
      <c r="AA78" s="1">
        <f t="shared" si="30"/>
        <v>0</v>
      </c>
      <c r="AB78" s="1">
        <f t="shared" si="30"/>
        <v>0</v>
      </c>
      <c r="AC78" s="1">
        <f t="shared" si="30"/>
        <v>0</v>
      </c>
      <c r="AD78" s="1">
        <f t="shared" si="30"/>
        <v>0</v>
      </c>
      <c r="AE78" s="1">
        <f t="shared" si="30"/>
        <v>0</v>
      </c>
      <c r="AF78" s="1">
        <f t="shared" si="30"/>
        <v>0</v>
      </c>
      <c r="AG78" s="1">
        <f t="shared" si="30"/>
        <v>0</v>
      </c>
      <c r="AH78" s="1">
        <f t="shared" si="30"/>
        <v>0</v>
      </c>
      <c r="AI78" s="1">
        <f t="shared" si="30"/>
        <v>0</v>
      </c>
      <c r="AJ78" s="1">
        <f t="shared" si="30"/>
        <v>0</v>
      </c>
      <c r="AK78" s="1">
        <f t="shared" si="30"/>
        <v>0</v>
      </c>
      <c r="AL78" s="1">
        <f t="shared" si="30"/>
        <v>0</v>
      </c>
      <c r="AM78" s="1">
        <f t="shared" si="30"/>
        <v>0</v>
      </c>
      <c r="AN78" s="1">
        <f t="shared" si="30"/>
        <v>0</v>
      </c>
      <c r="AO78" s="1">
        <f t="shared" si="30"/>
        <v>0</v>
      </c>
      <c r="AP78" s="1">
        <f t="shared" si="30"/>
        <v>0</v>
      </c>
      <c r="AQ78" s="1">
        <f t="shared" si="30"/>
        <v>0</v>
      </c>
    </row>
    <row r="79" spans="3:43" x14ac:dyDescent="0.25">
      <c r="C79" t="s">
        <v>978</v>
      </c>
      <c r="D79" t="s">
        <v>844</v>
      </c>
      <c r="E79" s="24">
        <f>Inputs!$E$221</f>
        <v>1</v>
      </c>
      <c r="F79" s="1"/>
      <c r="G79" s="1">
        <f>SUM(H79:AQ79)</f>
        <v>12665.619603852309</v>
      </c>
      <c r="H79" s="1">
        <f>H78*$E$79</f>
        <v>0</v>
      </c>
      <c r="I79" s="1">
        <f t="shared" ref="I79:AO79" si="31">I78*$E$79</f>
        <v>0</v>
      </c>
      <c r="J79" s="1">
        <f t="shared" si="31"/>
        <v>0</v>
      </c>
      <c r="K79" s="1">
        <f t="shared" si="31"/>
        <v>747.2186851803717</v>
      </c>
      <c r="L79" s="1">
        <f t="shared" si="31"/>
        <v>4496.307218650584</v>
      </c>
      <c r="M79" s="1">
        <f t="shared" si="31"/>
        <v>7422.093700021353</v>
      </c>
      <c r="N79" s="1">
        <f t="shared" si="31"/>
        <v>0</v>
      </c>
      <c r="O79" s="1">
        <f t="shared" si="31"/>
        <v>0</v>
      </c>
      <c r="P79" s="1">
        <f t="shared" si="31"/>
        <v>0</v>
      </c>
      <c r="Q79" s="1">
        <f t="shared" si="31"/>
        <v>0</v>
      </c>
      <c r="R79" s="1">
        <f t="shared" si="31"/>
        <v>0</v>
      </c>
      <c r="S79" s="1">
        <f t="shared" si="31"/>
        <v>0</v>
      </c>
      <c r="T79" s="1">
        <f t="shared" si="31"/>
        <v>0</v>
      </c>
      <c r="U79" s="1">
        <f t="shared" si="31"/>
        <v>0</v>
      </c>
      <c r="V79" s="1">
        <f t="shared" si="31"/>
        <v>0</v>
      </c>
      <c r="W79" s="1">
        <f t="shared" si="31"/>
        <v>0</v>
      </c>
      <c r="X79" s="1">
        <f t="shared" si="31"/>
        <v>0</v>
      </c>
      <c r="Y79" s="1">
        <f t="shared" si="31"/>
        <v>0</v>
      </c>
      <c r="Z79" s="1">
        <f t="shared" si="31"/>
        <v>0</v>
      </c>
      <c r="AA79" s="1">
        <f t="shared" si="31"/>
        <v>0</v>
      </c>
      <c r="AB79" s="1">
        <f t="shared" si="31"/>
        <v>0</v>
      </c>
      <c r="AC79" s="1">
        <f t="shared" si="31"/>
        <v>0</v>
      </c>
      <c r="AD79" s="1">
        <f t="shared" si="31"/>
        <v>0</v>
      </c>
      <c r="AE79" s="1">
        <f t="shared" si="31"/>
        <v>0</v>
      </c>
      <c r="AF79" s="1">
        <f t="shared" si="31"/>
        <v>0</v>
      </c>
      <c r="AG79" s="1">
        <f t="shared" si="31"/>
        <v>0</v>
      </c>
      <c r="AH79" s="1">
        <f t="shared" si="31"/>
        <v>0</v>
      </c>
      <c r="AI79" s="1">
        <f t="shared" si="31"/>
        <v>0</v>
      </c>
      <c r="AJ79" s="1">
        <f t="shared" si="31"/>
        <v>0</v>
      </c>
      <c r="AK79" s="1">
        <f t="shared" si="31"/>
        <v>0</v>
      </c>
      <c r="AL79" s="1">
        <f t="shared" si="31"/>
        <v>0</v>
      </c>
      <c r="AM79" s="1">
        <f t="shared" si="31"/>
        <v>0</v>
      </c>
      <c r="AN79" s="1">
        <f t="shared" si="31"/>
        <v>0</v>
      </c>
      <c r="AO79" s="1">
        <f t="shared" si="31"/>
        <v>0</v>
      </c>
      <c r="AP79" s="1">
        <f>AP78*$E$79</f>
        <v>0</v>
      </c>
      <c r="AQ79" s="1">
        <f>AQ78*$E$79</f>
        <v>0</v>
      </c>
    </row>
    <row r="80" spans="3:43" x14ac:dyDescent="0.25">
      <c r="C80" t="s">
        <v>979</v>
      </c>
      <c r="D80" t="s">
        <v>844</v>
      </c>
      <c r="E80" s="1"/>
      <c r="F80" s="1"/>
      <c r="G80" s="1">
        <f>SUM(H80:AQ80)</f>
        <v>0</v>
      </c>
      <c r="H80" s="1">
        <f>H78*(1-$E$79)</f>
        <v>0</v>
      </c>
      <c r="I80" s="1">
        <f t="shared" ref="I80:AO80" si="32">I78*(1-$E$79)</f>
        <v>0</v>
      </c>
      <c r="J80" s="1">
        <f t="shared" si="32"/>
        <v>0</v>
      </c>
      <c r="K80" s="1">
        <f t="shared" si="32"/>
        <v>0</v>
      </c>
      <c r="L80" s="1">
        <f t="shared" si="32"/>
        <v>0</v>
      </c>
      <c r="M80" s="1">
        <f t="shared" si="32"/>
        <v>0</v>
      </c>
      <c r="N80" s="1">
        <f t="shared" si="32"/>
        <v>0</v>
      </c>
      <c r="O80" s="1">
        <f t="shared" si="32"/>
        <v>0</v>
      </c>
      <c r="P80" s="1">
        <f t="shared" si="32"/>
        <v>0</v>
      </c>
      <c r="Q80" s="1">
        <f t="shared" si="32"/>
        <v>0</v>
      </c>
      <c r="R80" s="1">
        <f t="shared" si="32"/>
        <v>0</v>
      </c>
      <c r="S80" s="1">
        <f t="shared" si="32"/>
        <v>0</v>
      </c>
      <c r="T80" s="1">
        <f t="shared" si="32"/>
        <v>0</v>
      </c>
      <c r="U80" s="1">
        <f t="shared" si="32"/>
        <v>0</v>
      </c>
      <c r="V80" s="1">
        <f t="shared" si="32"/>
        <v>0</v>
      </c>
      <c r="W80" s="1">
        <f t="shared" si="32"/>
        <v>0</v>
      </c>
      <c r="X80" s="1">
        <f t="shared" si="32"/>
        <v>0</v>
      </c>
      <c r="Y80" s="1">
        <f t="shared" si="32"/>
        <v>0</v>
      </c>
      <c r="Z80" s="1">
        <f t="shared" si="32"/>
        <v>0</v>
      </c>
      <c r="AA80" s="1">
        <f t="shared" si="32"/>
        <v>0</v>
      </c>
      <c r="AB80" s="1">
        <f t="shared" si="32"/>
        <v>0</v>
      </c>
      <c r="AC80" s="1">
        <f t="shared" si="32"/>
        <v>0</v>
      </c>
      <c r="AD80" s="1">
        <f t="shared" si="32"/>
        <v>0</v>
      </c>
      <c r="AE80" s="1">
        <f t="shared" si="32"/>
        <v>0</v>
      </c>
      <c r="AF80" s="1">
        <f t="shared" si="32"/>
        <v>0</v>
      </c>
      <c r="AG80" s="1">
        <f t="shared" si="32"/>
        <v>0</v>
      </c>
      <c r="AH80" s="1">
        <f t="shared" si="32"/>
        <v>0</v>
      </c>
      <c r="AI80" s="1">
        <f t="shared" si="32"/>
        <v>0</v>
      </c>
      <c r="AJ80" s="1">
        <f t="shared" si="32"/>
        <v>0</v>
      </c>
      <c r="AK80" s="1">
        <f t="shared" si="32"/>
        <v>0</v>
      </c>
      <c r="AL80" s="1">
        <f t="shared" si="32"/>
        <v>0</v>
      </c>
      <c r="AM80" s="1">
        <f t="shared" si="32"/>
        <v>0</v>
      </c>
      <c r="AN80" s="1">
        <f t="shared" si="32"/>
        <v>0</v>
      </c>
      <c r="AO80" s="1">
        <f t="shared" si="32"/>
        <v>0</v>
      </c>
      <c r="AP80" s="1">
        <f>AP78*(1-$E$79)</f>
        <v>0</v>
      </c>
      <c r="AQ80" s="1">
        <f>AQ78*(1-$E$79)</f>
        <v>0</v>
      </c>
    </row>
    <row r="81" spans="3:43" x14ac:dyDescent="0.25">
      <c r="C81" t="s">
        <v>1464</v>
      </c>
      <c r="D81" t="s">
        <v>844</v>
      </c>
      <c r="E81" s="1"/>
      <c r="F81" s="1"/>
      <c r="G81" s="1">
        <f>SUM(H81:AQ81)</f>
        <v>57145.837903523774</v>
      </c>
      <c r="H81" s="1">
        <f>IF(H10&gt;0,IF(H9=0,(H76+H77+H79)*$E$74*H10,H76*$E$74),0)</f>
        <v>0</v>
      </c>
      <c r="I81" s="1">
        <f t="shared" ref="I81:AQ81" si="33">IF(I10&gt;0,IF(I9=0,(I76+I77+I79)*$E$74*I10,I76*$E$74),0)</f>
        <v>0</v>
      </c>
      <c r="J81" s="1">
        <f t="shared" si="33"/>
        <v>0</v>
      </c>
      <c r="K81" s="1">
        <f t="shared" si="33"/>
        <v>0</v>
      </c>
      <c r="L81" s="1">
        <f t="shared" si="33"/>
        <v>0</v>
      </c>
      <c r="M81" s="1">
        <f t="shared" si="33"/>
        <v>3122.8291590789763</v>
      </c>
      <c r="N81" s="1">
        <f t="shared" si="33"/>
        <v>12491.316636315905</v>
      </c>
      <c r="O81" s="1">
        <f t="shared" si="33"/>
        <v>10946.097121364197</v>
      </c>
      <c r="P81" s="1">
        <f t="shared" si="33"/>
        <v>9317.282111708011</v>
      </c>
      <c r="Q81" s="1">
        <f t="shared" si="33"/>
        <v>7650.136483672904</v>
      </c>
      <c r="R81" s="1">
        <f t="shared" si="33"/>
        <v>5886.935400430973</v>
      </c>
      <c r="S81" s="1">
        <f t="shared" si="33"/>
        <v>4017.501373124552</v>
      </c>
      <c r="T81" s="1">
        <f t="shared" si="33"/>
        <v>2600.6937900357507</v>
      </c>
      <c r="U81" s="1">
        <f t="shared" si="33"/>
        <v>1113.045827792509</v>
      </c>
      <c r="V81" s="1">
        <f t="shared" si="33"/>
        <v>0</v>
      </c>
      <c r="W81" s="1">
        <f t="shared" si="33"/>
        <v>0</v>
      </c>
      <c r="X81" s="1">
        <f t="shared" si="33"/>
        <v>0</v>
      </c>
      <c r="Y81" s="1">
        <f t="shared" si="33"/>
        <v>0</v>
      </c>
      <c r="Z81" s="1">
        <f t="shared" si="33"/>
        <v>0</v>
      </c>
      <c r="AA81" s="1">
        <f t="shared" si="33"/>
        <v>0</v>
      </c>
      <c r="AB81" s="1">
        <f t="shared" si="33"/>
        <v>0</v>
      </c>
      <c r="AC81" s="1">
        <f t="shared" si="33"/>
        <v>0</v>
      </c>
      <c r="AD81" s="1">
        <f t="shared" si="33"/>
        <v>0</v>
      </c>
      <c r="AE81" s="1">
        <f t="shared" si="33"/>
        <v>0</v>
      </c>
      <c r="AF81" s="1">
        <f t="shared" si="33"/>
        <v>0</v>
      </c>
      <c r="AG81" s="1">
        <f t="shared" si="33"/>
        <v>0</v>
      </c>
      <c r="AH81" s="1">
        <f t="shared" si="33"/>
        <v>0</v>
      </c>
      <c r="AI81" s="1">
        <f t="shared" si="33"/>
        <v>0</v>
      </c>
      <c r="AJ81" s="1">
        <f t="shared" si="33"/>
        <v>0</v>
      </c>
      <c r="AK81" s="1">
        <f t="shared" si="33"/>
        <v>0</v>
      </c>
      <c r="AL81" s="1">
        <f t="shared" si="33"/>
        <v>0</v>
      </c>
      <c r="AM81" s="1">
        <f t="shared" si="33"/>
        <v>0</v>
      </c>
      <c r="AN81" s="1">
        <f t="shared" si="33"/>
        <v>0</v>
      </c>
      <c r="AO81" s="1">
        <f t="shared" si="33"/>
        <v>0</v>
      </c>
      <c r="AP81" s="1">
        <f t="shared" si="33"/>
        <v>0</v>
      </c>
      <c r="AQ81" s="1">
        <f t="shared" si="33"/>
        <v>0</v>
      </c>
    </row>
    <row r="82" spans="3:43" x14ac:dyDescent="0.25">
      <c r="C82" t="s">
        <v>980</v>
      </c>
      <c r="D82" t="s">
        <v>844</v>
      </c>
      <c r="E82" s="1">
        <f>IF(G77+G79=0,0,PMT($E$74,Inputs!$E$220,-(G77+G79)))</f>
        <v>32353.65303490058</v>
      </c>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spans="3:43" x14ac:dyDescent="0.25">
      <c r="C83" t="s">
        <v>981</v>
      </c>
      <c r="D83" t="s">
        <v>844</v>
      </c>
      <c r="E83" s="1"/>
      <c r="F83" s="1"/>
      <c r="G83" s="1">
        <f>SUM(H83:AQ83)</f>
        <v>195826.52488350196</v>
      </c>
      <c r="H83" s="1">
        <f>IF(AND(H9&gt;=1,H9&lt;=Inputs!$E$220),MIN(MAX($E$82-H81,0),H76),0)</f>
        <v>0</v>
      </c>
      <c r="I83" s="1">
        <f>IF(AND(I9&gt;=1,I9&lt;=Inputs!$E$220),MIN(MAX($E$82-I81,0),I76),0)</f>
        <v>0</v>
      </c>
      <c r="J83" s="1">
        <f>IF(AND(J9&gt;=1,J9&lt;=Inputs!$E$220),MIN(MAX($E$82-J81,0),J76),0)</f>
        <v>0</v>
      </c>
      <c r="K83" s="1">
        <f>IF(AND(K9&gt;=1,K9&lt;=Inputs!$E$220),MIN(MAX($E$82-K81,0),K76),0)</f>
        <v>0</v>
      </c>
      <c r="L83" s="1">
        <f>IF(AND(L9&gt;=1,L9&lt;=Inputs!$E$220),MIN(MAX($E$82-L81,0),L76),0)</f>
        <v>0</v>
      </c>
      <c r="M83" s="1">
        <f>IF(AND(M9&gt;=1,M9&lt;=Inputs!$E$220),MIN(MAX($E$82-M81,0),M76),0)</f>
        <v>0</v>
      </c>
      <c r="N83" s="1">
        <f>IF(AND(N9&gt;=1,N9&lt;=Inputs!$E$220),MIN(MAX($E$82-N81,0),N76),0)</f>
        <v>19862.336398584674</v>
      </c>
      <c r="O83" s="1">
        <f>IF(AND(O9&gt;=1,O9&lt;=Inputs!$E$220),MIN(MAX($E$82-O81,0),O76),0)</f>
        <v>21407.555913536384</v>
      </c>
      <c r="P83" s="1">
        <f>IF(AND(P9&gt;=1,P9&lt;=Inputs!$E$220),MIN(MAX($E$82-P81,0),P76),0)</f>
        <v>23036.370923192568</v>
      </c>
      <c r="Q83" s="1">
        <f>IF(AND(Q9&gt;=1,Q9&lt;=Inputs!$E$220),MIN(MAX($E$82-Q81,0),Q76),0)</f>
        <v>24703.516551227676</v>
      </c>
      <c r="R83" s="1">
        <f>IF(AND(R9&gt;=1,R9&lt;=Inputs!$E$220),MIN(MAX($E$82-R81,0),R76),0)</f>
        <v>26466.71763446961</v>
      </c>
      <c r="S83" s="1">
        <f>IF(AND(S9&gt;=1,S9&lt;=Inputs!$E$220),MIN(MAX($E$82-S81,0),S76),0)</f>
        <v>28336.151661776028</v>
      </c>
      <c r="T83" s="1">
        <f>IF(AND(T9&gt;=1,T9&lt;=Inputs!$E$220),MIN(MAX($E$82-T81,0),T76),0)</f>
        <v>29752.95924486483</v>
      </c>
      <c r="U83" s="1">
        <f>IF(AND(U9&gt;=1,U9&lt;=Inputs!$E$220),MIN(MAX($E$82-U81,0),U76),0)</f>
        <v>22260.91655585018</v>
      </c>
      <c r="V83" s="1">
        <f>IF(AND(V9&gt;=1,V9&lt;=Inputs!$E$220),MIN(MAX($E$82-V81,0),V76),0)</f>
        <v>0</v>
      </c>
      <c r="W83" s="1">
        <f>IF(AND(W9&gt;=1,W9&lt;=Inputs!$E$220),MIN(MAX($E$82-W81,0),W76),0)</f>
        <v>0</v>
      </c>
      <c r="X83" s="1">
        <f>IF(AND(X9&gt;=1,X9&lt;=Inputs!$E$220),MIN(MAX($E$82-X81,0),X76),0)</f>
        <v>0</v>
      </c>
      <c r="Y83" s="1">
        <f>IF(AND(Y9&gt;=1,Y9&lt;=Inputs!$E$220),MIN(MAX($E$82-Y81,0),Y76),0)</f>
        <v>0</v>
      </c>
      <c r="Z83" s="1">
        <f>IF(AND(Z9&gt;=1,Z9&lt;=Inputs!$E$220),MIN(MAX($E$82-Z81,0),Z76),0)</f>
        <v>0</v>
      </c>
      <c r="AA83" s="1">
        <f>IF(AND(AA9&gt;=1,AA9&lt;=Inputs!$E$220),MIN(MAX($E$82-AA81,0),AA76),0)</f>
        <v>0</v>
      </c>
      <c r="AB83" s="1">
        <f>IF(AND(AB9&gt;=1,AB9&lt;=Inputs!$E$220),MIN(MAX($E$82-AB81,0),AB76),0)</f>
        <v>0</v>
      </c>
      <c r="AC83" s="1">
        <f>IF(AND(AC9&gt;=1,AC9&lt;=Inputs!$E$220),MIN(MAX($E$82-AC81,0),AC76),0)</f>
        <v>0</v>
      </c>
      <c r="AD83" s="1">
        <f>IF(AND(AD9&gt;=1,AD9&lt;=Inputs!$E$220),MIN(MAX($E$82-AD81,0),AD76),0)</f>
        <v>0</v>
      </c>
      <c r="AE83" s="1">
        <f>IF(AND(AE9&gt;=1,AE9&lt;=Inputs!$E$220),MIN(MAX($E$82-AE81,0),AE76),0)</f>
        <v>0</v>
      </c>
      <c r="AF83" s="1">
        <f>IF(AND(AF9&gt;=1,AF9&lt;=Inputs!$E$220),MIN(MAX($E$82-AF81,0),AF76),0)</f>
        <v>0</v>
      </c>
      <c r="AG83" s="1">
        <f>IF(AND(AG9&gt;=1,AG9&lt;=Inputs!$E$220),MIN(MAX($E$82-AG81,0),AG76),0)</f>
        <v>0</v>
      </c>
      <c r="AH83" s="1">
        <f>IF(AND(AH9&gt;=1,AH9&lt;=Inputs!$E$220),MIN(MAX($E$82-AH81,0),AH76),0)</f>
        <v>0</v>
      </c>
      <c r="AI83" s="1">
        <f>IF(AND(AI9&gt;=1,AI9&lt;=Inputs!$E$220),MIN(MAX($E$82-AI81,0),AI76),0)</f>
        <v>0</v>
      </c>
      <c r="AJ83" s="1">
        <f>IF(AND(AJ9&gt;=1,AJ9&lt;=Inputs!$E$220),MIN(MAX($E$82-AJ81,0),AJ76),0)</f>
        <v>0</v>
      </c>
      <c r="AK83" s="1">
        <f>IF(AND(AK9&gt;=1,AK9&lt;=Inputs!$E$220),MIN(MAX($E$82-AK81,0),AK76),0)</f>
        <v>0</v>
      </c>
      <c r="AL83" s="1">
        <f>IF(AND(AL9&gt;=1,AL9&lt;=Inputs!$E$220),MIN(MAX($E$82-AL81,0),AL76),0)</f>
        <v>0</v>
      </c>
      <c r="AM83" s="1">
        <f>IF(AND(AM9&gt;=1,AM9&lt;=Inputs!$E$220),MIN(MAX($E$82-AM81,0),AM76),0)</f>
        <v>0</v>
      </c>
      <c r="AN83" s="1">
        <f>IF(AND(AN9&gt;=1,AN9&lt;=Inputs!$E$220),MIN(MAX($E$82-AN81,0),AN76),0)</f>
        <v>0</v>
      </c>
      <c r="AO83" s="1">
        <f>IF(AND(AO9&gt;=1,AO9&lt;=Inputs!$E$220),MIN(MAX($E$82-AO81,0),AO76),0)</f>
        <v>0</v>
      </c>
      <c r="AP83" s="1">
        <f>IF(AND(AP9&gt;=1,AP9&lt;=Inputs!$E$220),MIN(MAX($E$82-AP81,0),AP76),0)</f>
        <v>0</v>
      </c>
      <c r="AQ83" s="1">
        <f>IF(AND(AQ9&gt;=1,AQ9&lt;=Inputs!$E$220),MIN(MAX($E$82-AQ81,0),AQ76),0)</f>
        <v>0</v>
      </c>
    </row>
    <row r="84" spans="3:43" x14ac:dyDescent="0.25">
      <c r="C84" s="6" t="s">
        <v>33</v>
      </c>
      <c r="D84" s="6" t="s">
        <v>844</v>
      </c>
      <c r="E84" s="37"/>
      <c r="F84" s="37"/>
      <c r="G84" s="37">
        <v>0</v>
      </c>
      <c r="H84" s="37">
        <f>H76+H77+H79-H83-H87</f>
        <v>0</v>
      </c>
      <c r="I84" s="37">
        <f t="shared" ref="I84:AQ84" si="34">I76+I77+I79-I83-I87</f>
        <v>0</v>
      </c>
      <c r="J84" s="37">
        <f t="shared" si="34"/>
        <v>0</v>
      </c>
      <c r="K84" s="37">
        <f t="shared" si="34"/>
        <v>30635.966092395236</v>
      </c>
      <c r="L84" s="37">
        <f t="shared" si="34"/>
        <v>153712.62987227872</v>
      </c>
      <c r="M84" s="37">
        <f t="shared" si="34"/>
        <v>249826.3327263181</v>
      </c>
      <c r="N84" s="37">
        <f t="shared" si="34"/>
        <v>218921.9424272839</v>
      </c>
      <c r="O84" s="37">
        <f t="shared" si="34"/>
        <v>186345.64223416022</v>
      </c>
      <c r="P84" s="37">
        <f t="shared" si="34"/>
        <v>153002.7296734581</v>
      </c>
      <c r="Q84" s="37">
        <f t="shared" si="34"/>
        <v>117738.70800861945</v>
      </c>
      <c r="R84" s="37">
        <f t="shared" si="34"/>
        <v>80350.02746249104</v>
      </c>
      <c r="S84" s="37">
        <f t="shared" si="34"/>
        <v>52013.87580071501</v>
      </c>
      <c r="T84" s="37">
        <f t="shared" si="34"/>
        <v>22260.91655585018</v>
      </c>
      <c r="U84" s="37">
        <f t="shared" si="34"/>
        <v>0</v>
      </c>
      <c r="V84" s="37">
        <f t="shared" si="34"/>
        <v>0</v>
      </c>
      <c r="W84" s="37">
        <f t="shared" si="34"/>
        <v>0</v>
      </c>
      <c r="X84" s="37">
        <f t="shared" si="34"/>
        <v>0</v>
      </c>
      <c r="Y84" s="37">
        <f t="shared" si="34"/>
        <v>0</v>
      </c>
      <c r="Z84" s="37">
        <f t="shared" si="34"/>
        <v>0</v>
      </c>
      <c r="AA84" s="37">
        <f t="shared" si="34"/>
        <v>0</v>
      </c>
      <c r="AB84" s="37">
        <f t="shared" si="34"/>
        <v>0</v>
      </c>
      <c r="AC84" s="37">
        <f t="shared" si="34"/>
        <v>0</v>
      </c>
      <c r="AD84" s="37">
        <f t="shared" si="34"/>
        <v>0</v>
      </c>
      <c r="AE84" s="37">
        <f t="shared" si="34"/>
        <v>0</v>
      </c>
      <c r="AF84" s="37">
        <f t="shared" si="34"/>
        <v>0</v>
      </c>
      <c r="AG84" s="37">
        <f t="shared" si="34"/>
        <v>0</v>
      </c>
      <c r="AH84" s="37">
        <f t="shared" si="34"/>
        <v>0</v>
      </c>
      <c r="AI84" s="37">
        <f t="shared" si="34"/>
        <v>0</v>
      </c>
      <c r="AJ84" s="37">
        <f t="shared" si="34"/>
        <v>0</v>
      </c>
      <c r="AK84" s="37">
        <f t="shared" si="34"/>
        <v>0</v>
      </c>
      <c r="AL84" s="37">
        <f t="shared" si="34"/>
        <v>0</v>
      </c>
      <c r="AM84" s="37">
        <f t="shared" si="34"/>
        <v>0</v>
      </c>
      <c r="AN84" s="37">
        <f t="shared" si="34"/>
        <v>0</v>
      </c>
      <c r="AO84" s="37">
        <f t="shared" si="34"/>
        <v>0</v>
      </c>
      <c r="AP84" s="37">
        <f t="shared" si="34"/>
        <v>0</v>
      </c>
      <c r="AQ84" s="37">
        <f t="shared" si="34"/>
        <v>0</v>
      </c>
    </row>
    <row r="85" spans="3:43" x14ac:dyDescent="0.25">
      <c r="C85" t="s">
        <v>2381</v>
      </c>
      <c r="D85" t="s">
        <v>844</v>
      </c>
      <c r="E85" s="31">
        <f>Inputs!$E$219</f>
        <v>0.0175</v>
      </c>
      <c r="F85" s="1"/>
      <c r="G85" s="1">
        <f>SUM(H85:AQ85)</f>
        <v>-6242.73709904252</v>
      </c>
      <c r="H85" s="1">
        <f>-IF(AND(H77&gt;0,H76=0),$E$75*$E$85,0)-MAX(0,$E$75-H76-H77/2)*Inputs!$E$222*H14</f>
        <v>-0</v>
      </c>
      <c r="I85" s="1">
        <f>-IF(AND(I77&gt;0,I76=0),$E$75*$E$85,0)-MAX(0,$E$75-I76-I77/2)*Inputs!$E$222*I14</f>
        <v>-0</v>
      </c>
      <c r="J85" s="1">
        <f>-IF(AND(J77&gt;0,J76=0),$E$75*$E$85,0)-MAX(0,$E$75-J76-J77/2)*Inputs!$E$222*J14</f>
        <v>-0</v>
      </c>
      <c r="K85" s="1">
        <f>-IF(AND(K77&gt;0,K76=0),$E$75*$E$85,0)-MAX(0,$E$75-K76-K77/2)*Inputs!$E$222*K14</f>
        <v>-4654.408723585109</v>
      </c>
      <c r="L85" s="1">
        <f>-IF(AND(L77&gt;0,L76=0),$E$75*$E$85,0)-MAX(0,$E$75-L76-L77/2)*Inputs!$E$222*L14</f>
        <v>-1325.1111187450865</v>
      </c>
      <c r="M85" s="1">
        <f>-IF(AND(M77&gt;0,M76=0),$E$75*$E$85,0)-MAX(0,$E$75-M76-M77/2)*Inputs!$E$222*M14</f>
        <v>-263.21725671232446</v>
      </c>
      <c r="N85" s="1">
        <f>-IF(AND(N77&gt;0,N76=0),$E$75*$E$85,0)-MAX(0,$E$75-N76-N77/2)*Inputs!$E$222*N14</f>
        <v>-0</v>
      </c>
      <c r="O85" s="1">
        <f>-IF(AND(O77&gt;0,O76=0),$E$75*$E$85,0)-MAX(0,$E$75-O76-O77/2)*Inputs!$E$222*O14</f>
        <v>-0</v>
      </c>
      <c r="P85" s="1">
        <f>-IF(AND(P77&gt;0,P76=0),$E$75*$E$85,0)-MAX(0,$E$75-P76-P77/2)*Inputs!$E$222*P14</f>
        <v>-0</v>
      </c>
      <c r="Q85" s="1">
        <f>-IF(AND(Q77&gt;0,Q76=0),$E$75*$E$85,0)-MAX(0,$E$75-Q76-Q77/2)*Inputs!$E$222*Q14</f>
        <v>-0</v>
      </c>
      <c r="R85" s="1">
        <f>-IF(AND(R77&gt;0,R76=0),$E$75*$E$85,0)-MAX(0,$E$75-R76-R77/2)*Inputs!$E$222*R14</f>
        <v>-0</v>
      </c>
      <c r="S85" s="1">
        <f>-IF(AND(S77&gt;0,S76=0),$E$75*$E$85,0)-MAX(0,$E$75-S76-S77/2)*Inputs!$E$222*S14</f>
        <v>-0</v>
      </c>
      <c r="T85" s="1">
        <f>-IF(AND(T77&gt;0,T76=0),$E$75*$E$85,0)-MAX(0,$E$75-T76-T77/2)*Inputs!$E$222*T14</f>
        <v>-0</v>
      </c>
      <c r="U85" s="1">
        <f>-IF(AND(U77&gt;0,U76=0),$E$75*$E$85,0)-MAX(0,$E$75-U76-U77/2)*Inputs!$E$222*U14</f>
        <v>-0</v>
      </c>
      <c r="V85" s="1">
        <f>-IF(AND(V77&gt;0,V76=0),$E$75*$E$85,0)-MAX(0,$E$75-V76-V77/2)*Inputs!$E$222*V14</f>
        <v>-0</v>
      </c>
      <c r="W85" s="1">
        <f>-IF(AND(W77&gt;0,W76=0),$E$75*$E$85,0)-MAX(0,$E$75-W76-W77/2)*Inputs!$E$222*W14</f>
        <v>-0</v>
      </c>
      <c r="X85" s="1">
        <f>-IF(AND(X77&gt;0,X76=0),$E$75*$E$85,0)-MAX(0,$E$75-X76-X77/2)*Inputs!$E$222*X14</f>
        <v>-0</v>
      </c>
      <c r="Y85" s="1">
        <f>-IF(AND(Y77&gt;0,Y76=0),$E$75*$E$85,0)-MAX(0,$E$75-Y76-Y77/2)*Inputs!$E$222*Y14</f>
        <v>-0</v>
      </c>
      <c r="Z85" s="1">
        <f>-IF(AND(Z77&gt;0,Z76=0),$E$75*$E$85,0)-MAX(0,$E$75-Z76-Z77/2)*Inputs!$E$222*Z14</f>
        <v>-0</v>
      </c>
      <c r="AA85" s="1">
        <f>-IF(AND(AA77&gt;0,AA76=0),$E$75*$E$85,0)-MAX(0,$E$75-AA76-AA77/2)*Inputs!$E$222*AA14</f>
        <v>-0</v>
      </c>
      <c r="AB85" s="1">
        <f>-IF(AND(AB77&gt;0,AB76=0),$E$75*$E$85,0)-MAX(0,$E$75-AB76-AB77/2)*Inputs!$E$222*AB14</f>
        <v>-0</v>
      </c>
      <c r="AC85" s="1">
        <f>-IF(AND(AC77&gt;0,AC76=0),$E$75*$E$85,0)-MAX(0,$E$75-AC76-AC77/2)*Inputs!$E$222*AC14</f>
        <v>-0</v>
      </c>
      <c r="AD85" s="1">
        <f>-IF(AND(AD77&gt;0,AD76=0),$E$75*$E$85,0)-MAX(0,$E$75-AD76-AD77/2)*Inputs!$E$222*AD14</f>
        <v>-0</v>
      </c>
      <c r="AE85" s="1">
        <f>-IF(AND(AE77&gt;0,AE76=0),$E$75*$E$85,0)-MAX(0,$E$75-AE76-AE77/2)*Inputs!$E$222*AE14</f>
        <v>-0</v>
      </c>
      <c r="AF85" s="1">
        <f>-IF(AND(AF77&gt;0,AF76=0),$E$75*$E$85,0)-MAX(0,$E$75-AF76-AF77/2)*Inputs!$E$222*AF14</f>
        <v>-0</v>
      </c>
      <c r="AG85" s="1">
        <f>-IF(AND(AG77&gt;0,AG76=0),$E$75*$E$85,0)-MAX(0,$E$75-AG76-AG77/2)*Inputs!$E$222*AG14</f>
        <v>-0</v>
      </c>
      <c r="AH85" s="1">
        <f>-IF(AND(AH77&gt;0,AH76=0),$E$75*$E$85,0)-MAX(0,$E$75-AH76-AH77/2)*Inputs!$E$222*AH14</f>
        <v>-0</v>
      </c>
      <c r="AI85" s="1">
        <f>-IF(AND(AI77&gt;0,AI76=0),$E$75*$E$85,0)-MAX(0,$E$75-AI76-AI77/2)*Inputs!$E$222*AI14</f>
        <v>-0</v>
      </c>
      <c r="AJ85" s="1">
        <f>-IF(AND(AJ77&gt;0,AJ76=0),$E$75*$E$85,0)-MAX(0,$E$75-AJ76-AJ77/2)*Inputs!$E$222*AJ14</f>
        <v>-0</v>
      </c>
      <c r="AK85" s="1">
        <f>-IF(AND(AK77&gt;0,AK76=0),$E$75*$E$85,0)-MAX(0,$E$75-AK76-AK77/2)*Inputs!$E$222*AK14</f>
        <v>-0</v>
      </c>
      <c r="AL85" s="1">
        <f>-IF(AND(AL77&gt;0,AL76=0),$E$75*$E$85,0)-MAX(0,$E$75-AL76-AL77/2)*Inputs!$E$222*AL14</f>
        <v>-0</v>
      </c>
      <c r="AM85" s="1">
        <f>-IF(AND(AM77&gt;0,AM76=0),$E$75*$E$85,0)-MAX(0,$E$75-AM76-AM77/2)*Inputs!$E$222*AM14</f>
        <v>-0</v>
      </c>
      <c r="AN85" s="1">
        <f>-IF(AND(AN77&gt;0,AN76=0),$E$75*$E$85,0)-MAX(0,$E$75-AN76-AN77/2)*Inputs!$E$222*AN14</f>
        <v>-0</v>
      </c>
      <c r="AO85" s="1">
        <f>-IF(AND(AO77&gt;0,AO76=0),$E$75*$E$85,0)-MAX(0,$E$75-AO76-AO77/2)*Inputs!$E$222*AO14</f>
        <v>-0</v>
      </c>
      <c r="AP85" s="1">
        <f>-IF(AND(AP77&gt;0,AP76=0),$E$75*$E$85,0)-MAX(0,$E$75-AP76-AP77/2)*Inputs!$E$222*AP14</f>
        <v>-0</v>
      </c>
      <c r="AQ85" s="1">
        <f>-IF(AND(AQ77&gt;0,AQ76=0),$E$75*$E$85,0)-MAX(0,$E$75-AQ76-AQ77/2)*Inputs!$E$222*AQ14</f>
        <v>-0</v>
      </c>
    </row>
    <row r="86" spans="3:43" x14ac:dyDescent="0.25">
      <c r="C86" s="6" t="s">
        <v>1514</v>
      </c>
      <c r="D86" s="6" t="s">
        <v>844</v>
      </c>
      <c r="E86" s="37"/>
      <c r="F86" s="37"/>
      <c r="G86" s="37">
        <f>SUM(H86:AQ86)</f>
        <v>-252972.36278702575</v>
      </c>
      <c r="H86" s="37">
        <f>-(H81+H83)</f>
        <v>-0</v>
      </c>
      <c r="I86" s="37">
        <f t="shared" ref="I86:AO86" si="35">-(I81+I83)</f>
        <v>-0</v>
      </c>
      <c r="J86" s="37">
        <f t="shared" si="35"/>
        <v>-0</v>
      </c>
      <c r="K86" s="37">
        <f t="shared" si="35"/>
        <v>-0</v>
      </c>
      <c r="L86" s="37">
        <f t="shared" si="35"/>
        <v>-0</v>
      </c>
      <c r="M86" s="37">
        <f t="shared" si="35"/>
        <v>-3122.8291590789763</v>
      </c>
      <c r="N86" s="37">
        <f t="shared" si="35"/>
        <v>-32353.653034900577</v>
      </c>
      <c r="O86" s="37">
        <f t="shared" si="35"/>
        <v>-32353.65303490058</v>
      </c>
      <c r="P86" s="37">
        <f t="shared" si="35"/>
        <v>-32353.653034900577</v>
      </c>
      <c r="Q86" s="37">
        <f t="shared" si="35"/>
        <v>-32353.65303490058</v>
      </c>
      <c r="R86" s="37">
        <f t="shared" si="35"/>
        <v>-32353.65303490058</v>
      </c>
      <c r="S86" s="37">
        <f t="shared" si="35"/>
        <v>-32353.65303490058</v>
      </c>
      <c r="T86" s="37">
        <f t="shared" si="35"/>
        <v>-32353.65303490058</v>
      </c>
      <c r="U86" s="37">
        <f t="shared" si="35"/>
        <v>-23373.96238364269</v>
      </c>
      <c r="V86" s="37">
        <f t="shared" si="35"/>
        <v>-0</v>
      </c>
      <c r="W86" s="37">
        <f t="shared" si="35"/>
        <v>-0</v>
      </c>
      <c r="X86" s="37">
        <f t="shared" si="35"/>
        <v>-0</v>
      </c>
      <c r="Y86" s="37">
        <f t="shared" si="35"/>
        <v>-0</v>
      </c>
      <c r="Z86" s="37">
        <f t="shared" si="35"/>
        <v>-0</v>
      </c>
      <c r="AA86" s="37">
        <f t="shared" si="35"/>
        <v>-0</v>
      </c>
      <c r="AB86" s="37">
        <f t="shared" si="35"/>
        <v>-0</v>
      </c>
      <c r="AC86" s="37">
        <f t="shared" si="35"/>
        <v>-0</v>
      </c>
      <c r="AD86" s="37">
        <f t="shared" si="35"/>
        <v>-0</v>
      </c>
      <c r="AE86" s="37">
        <f t="shared" si="35"/>
        <v>-0</v>
      </c>
      <c r="AF86" s="37">
        <f t="shared" si="35"/>
        <v>-0</v>
      </c>
      <c r="AG86" s="37">
        <f t="shared" si="35"/>
        <v>-0</v>
      </c>
      <c r="AH86" s="37">
        <f t="shared" si="35"/>
        <v>-0</v>
      </c>
      <c r="AI86" s="37">
        <f t="shared" si="35"/>
        <v>-0</v>
      </c>
      <c r="AJ86" s="37">
        <f t="shared" si="35"/>
        <v>-0</v>
      </c>
      <c r="AK86" s="37">
        <f t="shared" si="35"/>
        <v>-0</v>
      </c>
      <c r="AL86" s="37">
        <f t="shared" si="35"/>
        <v>-0</v>
      </c>
      <c r="AM86" s="37">
        <f t="shared" si="35"/>
        <v>-0</v>
      </c>
      <c r="AN86" s="37">
        <f t="shared" si="35"/>
        <v>-0</v>
      </c>
      <c r="AO86" s="37">
        <f t="shared" si="35"/>
        <v>-0</v>
      </c>
      <c r="AP86" s="37">
        <f>-(AP81+AP83)</f>
        <v>-0</v>
      </c>
      <c r="AQ86" s="37">
        <f>-(AQ81+AQ83)</f>
        <v>-0</v>
      </c>
    </row>
    <row r="87" spans="3:43" x14ac:dyDescent="0.25">
      <c r="C87" t="s">
        <v>2233</v>
      </c>
      <c r="D87" t="s">
        <v>844</v>
      </c>
      <c r="E87" s="1"/>
      <c r="F87" s="1"/>
      <c r="G87" s="1">
        <f>SUM(H87:AQ87)</f>
        <v>53999.80784281617</v>
      </c>
      <c r="H87" s="1">
        <f>IF(AND(H$9&gt;=1,H$9&lt;=Inputs!$E$270),MIN(MAX(H70+H100+H86+H89,0)*Inputs!$E$269,H76+H77+H79-H83),0)</f>
        <v>0</v>
      </c>
      <c r="I87" s="1">
        <f>IF(AND(I$9&gt;=1,I$9&lt;=Inputs!$E$270),MIN(MAX(I70+I100+I86+I89,0)*Inputs!$E$269,I76+I77+I79-I83),0)</f>
        <v>0</v>
      </c>
      <c r="J87" s="1">
        <f>IF(AND(J$9&gt;=1,J$9&lt;=Inputs!$E$270),MIN(MAX(J70+J100+J86+J89,0)*Inputs!$E$269,J76+J77+J79-J83),0)</f>
        <v>0</v>
      </c>
      <c r="K87" s="1">
        <f>IF(AND(K$9&gt;=1,K$9&lt;=Inputs!$E$270),MIN(MAX(K70+K100+K86+K89,0)*Inputs!$E$269,K76+K77+K79-K83),0)</f>
        <v>0</v>
      </c>
      <c r="L87" s="1">
        <f>IF(AND(L$9&gt;=1,L$9&lt;=Inputs!$E$270),MIN(MAX(L70+L100+L86+L89,0)*Inputs!$E$269,L76+L77+L79-L83),0)</f>
        <v>0</v>
      </c>
      <c r="M87" s="1">
        <f>IF(AND(M$9&gt;=1,M$9&lt;=Inputs!$E$270),MIN(MAX(M70+M100+M86+M89,0)*Inputs!$E$269,M76+M77+M79-M83),0)</f>
        <v>0</v>
      </c>
      <c r="N87" s="1">
        <f>IF(AND(N$9&gt;=1,N$9&lt;=Inputs!$E$270),MIN(MAX(N70+N100+N86+N89,0)*Inputs!$E$269,N76+N77+N79-N83),0)</f>
        <v>11042.0539004495</v>
      </c>
      <c r="O87" s="1">
        <f>IF(AND(O$9&gt;=1,O$9&lt;=Inputs!$E$270),MIN(MAX(O70+O100+O86+O89,0)*Inputs!$E$269,O76+O77+O79-O83),0)</f>
        <v>11168.74427958733</v>
      </c>
      <c r="P87" s="1">
        <f>IF(AND(P$9&gt;=1,P$9&lt;=Inputs!$E$270),MIN(MAX(P70+P100+P86+P89,0)*Inputs!$E$269,P76+P77+P79-P83),0)</f>
        <v>10306.54163750957</v>
      </c>
      <c r="Q87" s="1">
        <f>IF(AND(Q$9&gt;=1,Q$9&lt;=Inputs!$E$270),MIN(MAX(Q70+Q100+Q86+Q89,0)*Inputs!$E$269,Q76+Q77+Q79-Q83),0)</f>
        <v>10560.50511361097</v>
      </c>
      <c r="R87" s="1">
        <f>IF(AND(R$9&gt;=1,R$9&lt;=Inputs!$E$270),MIN(MAX(R70+R100+R86+R89,0)*Inputs!$E$269,R76+R77+R79-R83),0)</f>
        <v>10921.962911658798</v>
      </c>
      <c r="S87" s="1">
        <f>IF(AND(S$9&gt;=1,S$9&lt;=Inputs!$E$270),MIN(MAX(S70+S100+S86+S89,0)*Inputs!$E$269,S76+S77+S79-S83),0)</f>
        <v>0</v>
      </c>
      <c r="T87" s="1">
        <f>IF(AND(T$9&gt;=1,T$9&lt;=Inputs!$E$270),MIN(MAX(T70+T100+T86+T89,0)*Inputs!$E$269,T76+T77+T79-T83),0)</f>
        <v>0</v>
      </c>
      <c r="U87" s="1">
        <f>IF(AND(U$9&gt;=1,U$9&lt;=Inputs!$E$270),MIN(MAX(U70+U100+U86+U89,0)*Inputs!$E$269,U76+U77+U79-U83),0)</f>
        <v>0</v>
      </c>
      <c r="V87" s="1">
        <f>IF(AND(V$9&gt;=1,V$9&lt;=Inputs!$E$270),MIN(MAX(V70+V100+V86+V89,0)*Inputs!$E$269,V76+V77+V79-V83),0)</f>
        <v>0</v>
      </c>
      <c r="W87" s="1">
        <f>IF(AND(W$9&gt;=1,W$9&lt;=Inputs!$E$270),MIN(MAX(W70+W100+W86+W89,0)*Inputs!$E$269,W76+W77+W79-W83),0)</f>
        <v>0</v>
      </c>
      <c r="X87" s="1">
        <f>IF(AND(X$9&gt;=1,X$9&lt;=Inputs!$E$270),MIN(MAX(X70+X100+X86+X89,0)*Inputs!$E$269,X76+X77+X79-X83),0)</f>
        <v>0</v>
      </c>
      <c r="Y87" s="1">
        <f>IF(AND(Y$9&gt;=1,Y$9&lt;=Inputs!$E$270),MIN(MAX(Y70+Y100+Y86+Y89,0)*Inputs!$E$269,Y76+Y77+Y79-Y83),0)</f>
        <v>0</v>
      </c>
      <c r="Z87" s="1">
        <f>IF(AND(Z$9&gt;=1,Z$9&lt;=Inputs!$E$270),MIN(MAX(Z70+Z100+Z86+Z89,0)*Inputs!$E$269,Z76+Z77+Z79-Z83),0)</f>
        <v>0</v>
      </c>
      <c r="AA87" s="1">
        <f>IF(AND(AA$9&gt;=1,AA$9&lt;=Inputs!$E$270),MIN(MAX(AA70+AA100+AA86+AA89,0)*Inputs!$E$269,AA76+AA77+AA79-AA83),0)</f>
        <v>0</v>
      </c>
      <c r="AB87" s="1">
        <f>IF(AND(AB$9&gt;=1,AB$9&lt;=Inputs!$E$270),MIN(MAX(AB70+AB100+AB86+AB89,0)*Inputs!$E$269,AB76+AB77+AB79-AB83),0)</f>
        <v>0</v>
      </c>
      <c r="AC87" s="1">
        <f>IF(AND(AC$9&gt;=1,AC$9&lt;=Inputs!$E$270),MIN(MAX(AC70+AC100+AC86+AC89,0)*Inputs!$E$269,AC76+AC77+AC79-AC83),0)</f>
        <v>0</v>
      </c>
      <c r="AD87" s="1">
        <f>IF(AND(AD$9&gt;=1,AD$9&lt;=Inputs!$E$270),MIN(MAX(AD70+AD100+AD86+AD89,0)*Inputs!$E$269,AD76+AD77+AD79-AD83),0)</f>
        <v>0</v>
      </c>
      <c r="AE87" s="1">
        <f>IF(AND(AE$9&gt;=1,AE$9&lt;=Inputs!$E$270),MIN(MAX(AE70+AE100+AE86+AE89,0)*Inputs!$E$269,AE76+AE77+AE79-AE83),0)</f>
        <v>0</v>
      </c>
      <c r="AF87" s="1">
        <f>IF(AND(AF$9&gt;=1,AF$9&lt;=Inputs!$E$270),MIN(MAX(AF70+AF100+AF86+AF89,0)*Inputs!$E$269,AF76+AF77+AF79-AF83),0)</f>
        <v>0</v>
      </c>
      <c r="AG87" s="1">
        <f>IF(AND(AG$9&gt;=1,AG$9&lt;=Inputs!$E$270),MIN(MAX(AG70+AG100+AG86+AG89,0)*Inputs!$E$269,AG76+AG77+AG79-AG83),0)</f>
        <v>0</v>
      </c>
      <c r="AH87" s="1">
        <f>IF(AND(AH$9&gt;=1,AH$9&lt;=Inputs!$E$270),MIN(MAX(AH70+AH100+AH86+AH89,0)*Inputs!$E$269,AH76+AH77+AH79-AH83),0)</f>
        <v>0</v>
      </c>
      <c r="AI87" s="1">
        <f>IF(AND(AI$9&gt;=1,AI$9&lt;=Inputs!$E$270),MIN(MAX(AI70+AI100+AI86+AI89,0)*Inputs!$E$269,AI76+AI77+AI79-AI83),0)</f>
        <v>0</v>
      </c>
      <c r="AJ87" s="1">
        <f>IF(AND(AJ$9&gt;=1,AJ$9&lt;=Inputs!$E$270),MIN(MAX(AJ70+AJ100+AJ86+AJ89,0)*Inputs!$E$269,AJ76+AJ77+AJ79-AJ83),0)</f>
        <v>0</v>
      </c>
      <c r="AK87" s="1">
        <f>IF(AND(AK$9&gt;=1,AK$9&lt;=Inputs!$E$270),MIN(MAX(AK70+AK100+AK86+AK89,0)*Inputs!$E$269,AK76+AK77+AK79-AK83),0)</f>
        <v>0</v>
      </c>
      <c r="AL87" s="1">
        <f>IF(AND(AL$9&gt;=1,AL$9&lt;=Inputs!$E$270),MIN(MAX(AL70+AL100+AL86+AL89,0)*Inputs!$E$269,AL76+AL77+AL79-AL83),0)</f>
        <v>0</v>
      </c>
      <c r="AM87" s="1">
        <f>IF(AND(AM$9&gt;=1,AM$9&lt;=Inputs!$E$270),MIN(MAX(AM70+AM100+AM86+AM89,0)*Inputs!$E$269,AM76+AM77+AM79-AM83),0)</f>
        <v>0</v>
      </c>
      <c r="AN87" s="1">
        <f>IF(AND(AN$9&gt;=1,AN$9&lt;=Inputs!$E$270),MIN(MAX(AN70+AN100+AN86+AN89,0)*Inputs!$E$269,AN76+AN77+AN79-AN83),0)</f>
        <v>0</v>
      </c>
      <c r="AO87" s="1">
        <f>IF(AND(AO$9&gt;=1,AO$9&lt;=Inputs!$E$270),MIN(MAX(AO70+AO100+AO86+AO89,0)*Inputs!$E$269,AO76+AO77+AO79-AO83),0)</f>
        <v>0</v>
      </c>
      <c r="AP87" s="1">
        <f>IF(AND(AP$9&gt;=1,AP$9&lt;=Inputs!$E$270),MIN(MAX(AP70+AP100+AP86+AP89,0)*Inputs!$E$269,AP76+AP77+AP79-AP83),0)</f>
        <v>0</v>
      </c>
      <c r="AQ87" s="1">
        <f>IF(AND(AQ$9&gt;=1,AQ$9&lt;=Inputs!$E$270),MIN(MAX(AQ70+AQ100+AQ86+AQ89,0)*Inputs!$E$269,AQ76+AQ77+AQ79-AQ83),0)</f>
        <v>0</v>
      </c>
    </row>
    <row r="88" spans="3:43" x14ac:dyDescent="0.25">
      <c r="C88" t="s">
        <v>2234</v>
      </c>
      <c r="D88" t="s">
        <v>844</v>
      </c>
      <c r="E88" s="1"/>
      <c r="F88" s="1"/>
      <c r="G88" s="1"/>
      <c r="H88" s="1">
        <f>IF(AND(H$10&gt;0,H$9+1&lt;=Inputs!$E$220),Inputs!$E$268/12*MIN($E$82,(H76+H77+H79-H83)*(1+$E$74)),0)</f>
        <v>0</v>
      </c>
      <c r="I88" s="1">
        <f>IF(AND(I$10&gt;0,I$9+1&lt;=Inputs!$E$220),Inputs!$E$268/12*MIN($E$82,(I76+I77+I79-I83)*(1+$E$74)),0)</f>
        <v>0</v>
      </c>
      <c r="J88" s="1">
        <f>IF(AND(J$10&gt;0,J$9+1&lt;=Inputs!$E$220),Inputs!$E$268/12*MIN($E$82,(J76+J77+J79-J83)*(1+$E$74)),0)</f>
        <v>0</v>
      </c>
      <c r="K88" s="1">
        <f>IF(AND(K$10&gt;0,K$9+1&lt;=Inputs!$E$220),Inputs!$E$268/12*MIN($E$82,(K76+K77+K79-K83)*(1+$E$74)),0)</f>
        <v>0</v>
      </c>
      <c r="L88" s="1">
        <f>IF(AND(L$10&gt;0,L$9+1&lt;=Inputs!$E$220),Inputs!$E$268/12*MIN($E$82,(L76+L77+L79-L83)*(1+$E$74)),0)</f>
        <v>0</v>
      </c>
      <c r="M88" s="1">
        <f>IF(AND(M$10&gt;0,M$9+1&lt;=Inputs!$E$220),Inputs!$E$268/12*MIN($E$82,(M76+M77+M79-M83)*(1+$E$74)),0)</f>
        <v>16176.82651745029</v>
      </c>
      <c r="N88" s="1">
        <f>IF(AND(N$10&gt;0,N$9+1&lt;=Inputs!$E$220),Inputs!$E$268/12*MIN($E$82,(N76+N77+N79-N83)*(1+$E$74)),0)</f>
        <v>16176.82651745029</v>
      </c>
      <c r="O88" s="1">
        <f>IF(AND(O$10&gt;0,O$9+1&lt;=Inputs!$E$220),Inputs!$E$268/12*MIN($E$82,(O76+O77+O79-O83)*(1+$E$74)),0)</f>
        <v>16176.82651745029</v>
      </c>
      <c r="P88" s="1">
        <f>IF(AND(P$10&gt;0,P$9+1&lt;=Inputs!$E$220),Inputs!$E$268/12*MIN($E$82,(P76+P77+P79-P83)*(1+$E$74)),0)</f>
        <v>16176.82651745029</v>
      </c>
      <c r="Q88" s="1">
        <f>IF(AND(Q$10&gt;0,Q$9+1&lt;=Inputs!$E$220),Inputs!$E$268/12*MIN($E$82,(Q76+Q77+Q79-Q83)*(1+$E$74)),0)</f>
        <v>16176.82651745029</v>
      </c>
      <c r="R88" s="1">
        <f>IF(AND(R$10&gt;0,R$9+1&lt;=Inputs!$E$220),Inputs!$E$268/12*MIN($E$82,(R76+R77+R79-R83)*(1+$E$74)),0)</f>
        <v>16176.82651745029</v>
      </c>
      <c r="S88" s="1">
        <f>IF(AND(S$10&gt;0,S$9+1&lt;=Inputs!$E$220),Inputs!$E$268/12*MIN($E$82,(S76+S77+S79-S83)*(1+$E$74)),0)</f>
        <v>16176.82651745029</v>
      </c>
      <c r="T88" s="1">
        <f>IF(AND(T$10&gt;0,T$9+1&lt;=Inputs!$E$220),Inputs!$E$268/12*MIN($E$82,(T76+T77+T79-T83)*(1+$E$74)),0)</f>
        <v>11686.981191821345</v>
      </c>
      <c r="U88" s="1">
        <f>IF(AND(U$10&gt;0,U$9+1&lt;=Inputs!$E$220),Inputs!$E$268/12*MIN($E$82,(U76+U77+U79-U83)*(1+$E$74)),0)</f>
        <v>0</v>
      </c>
      <c r="V88" s="1">
        <f>IF(AND(V$10&gt;0,V$9+1&lt;=Inputs!$E$220),Inputs!$E$268/12*MIN($E$82,(V76+V77+V79-V83)*(1+$E$74)),0)</f>
        <v>0</v>
      </c>
      <c r="W88" s="1">
        <f>IF(AND(W$10&gt;0,W$9+1&lt;=Inputs!$E$220),Inputs!$E$268/12*MIN($E$82,(W76+W77+W79-W83)*(1+$E$74)),0)</f>
        <v>0</v>
      </c>
      <c r="X88" s="1">
        <f>IF(AND(X$10&gt;0,X$9+1&lt;=Inputs!$E$220),Inputs!$E$268/12*MIN($E$82,(X76+X77+X79-X83)*(1+$E$74)),0)</f>
        <v>0</v>
      </c>
      <c r="Y88" s="1">
        <f>IF(AND(Y$10&gt;0,Y$9+1&lt;=Inputs!$E$220),Inputs!$E$268/12*MIN($E$82,(Y76+Y77+Y79-Y83)*(1+$E$74)),0)</f>
        <v>0</v>
      </c>
      <c r="Z88" s="1">
        <f>IF(AND(Z$10&gt;0,Z$9+1&lt;=Inputs!$E$220),Inputs!$E$268/12*MIN($E$82,(Z76+Z77+Z79-Z83)*(1+$E$74)),0)</f>
        <v>0</v>
      </c>
      <c r="AA88" s="1">
        <f>IF(AND(AA$10&gt;0,AA$9+1&lt;=Inputs!$E$220),Inputs!$E$268/12*MIN($E$82,(AA76+AA77+AA79-AA83)*(1+$E$74)),0)</f>
        <v>0</v>
      </c>
      <c r="AB88" s="1">
        <f>IF(AND(AB$10&gt;0,AB$9+1&lt;=Inputs!$E$220),Inputs!$E$268/12*MIN($E$82,(AB76+AB77+AB79-AB83)*(1+$E$74)),0)</f>
        <v>0</v>
      </c>
      <c r="AC88" s="1">
        <f>IF(AND(AC$10&gt;0,AC$9+1&lt;=Inputs!$E$220),Inputs!$E$268/12*MIN($E$82,(AC76+AC77+AC79-AC83)*(1+$E$74)),0)</f>
        <v>0</v>
      </c>
      <c r="AD88" s="1">
        <f>IF(AND(AD$10&gt;0,AD$9+1&lt;=Inputs!$E$220),Inputs!$E$268/12*MIN($E$82,(AD76+AD77+AD79-AD83)*(1+$E$74)),0)</f>
        <v>0</v>
      </c>
      <c r="AE88" s="1">
        <f>IF(AND(AE$10&gt;0,AE$9+1&lt;=Inputs!$E$220),Inputs!$E$268/12*MIN($E$82,(AE76+AE77+AE79-AE83)*(1+$E$74)),0)</f>
        <v>0</v>
      </c>
      <c r="AF88" s="1">
        <f>IF(AND(AF$10&gt;0,AF$9+1&lt;=Inputs!$E$220),Inputs!$E$268/12*MIN($E$82,(AF76+AF77+AF79-AF83)*(1+$E$74)),0)</f>
        <v>0</v>
      </c>
      <c r="AG88" s="1">
        <f>IF(AND(AG$10&gt;0,AG$9+1&lt;=Inputs!$E$220),Inputs!$E$268/12*MIN($E$82,(AG76+AG77+AG79-AG83)*(1+$E$74)),0)</f>
        <v>0</v>
      </c>
      <c r="AH88" s="1">
        <f>IF(AND(AH$10&gt;0,AH$9+1&lt;=Inputs!$E$220),Inputs!$E$268/12*MIN($E$82,(AH76+AH77+AH79-AH83)*(1+$E$74)),0)</f>
        <v>0</v>
      </c>
      <c r="AI88" s="1">
        <f>IF(AND(AI$10&gt;0,AI$9+1&lt;=Inputs!$E$220),Inputs!$E$268/12*MIN($E$82,(AI76+AI77+AI79-AI83)*(1+$E$74)),0)</f>
        <v>0</v>
      </c>
      <c r="AJ88" s="1">
        <f>IF(AND(AJ$10&gt;0,AJ$9+1&lt;=Inputs!$E$220),Inputs!$E$268/12*MIN($E$82,(AJ76+AJ77+AJ79-AJ83)*(1+$E$74)),0)</f>
        <v>0</v>
      </c>
      <c r="AK88" s="1">
        <f>IF(AND(AK$10&gt;0,AK$9+1&lt;=Inputs!$E$220),Inputs!$E$268/12*MIN($E$82,(AK76+AK77+AK79-AK83)*(1+$E$74)),0)</f>
        <v>0</v>
      </c>
      <c r="AL88" s="1">
        <f>IF(AND(AL$10&gt;0,AL$9+1&lt;=Inputs!$E$220),Inputs!$E$268/12*MIN($E$82,(AL76+AL77+AL79-AL83)*(1+$E$74)),0)</f>
        <v>0</v>
      </c>
      <c r="AM88" s="1">
        <f>IF(AND(AM$10&gt;0,AM$9+1&lt;=Inputs!$E$220),Inputs!$E$268/12*MIN($E$82,(AM76+AM77+AM79-AM83)*(1+$E$74)),0)</f>
        <v>0</v>
      </c>
      <c r="AN88" s="1">
        <f>IF(AND(AN$10&gt;0,AN$9+1&lt;=Inputs!$E$220),Inputs!$E$268/12*MIN($E$82,(AN76+AN77+AN79-AN83)*(1+$E$74)),0)</f>
        <v>0</v>
      </c>
      <c r="AO88" s="1">
        <f>IF(AND(AO$10&gt;0,AO$9+1&lt;=Inputs!$E$220),Inputs!$E$268/12*MIN($E$82,(AO76+AO77+AO79-AO83)*(1+$E$74)),0)</f>
        <v>0</v>
      </c>
      <c r="AP88" s="1">
        <f>IF(AND(AP$10&gt;0,AP$9+1&lt;=Inputs!$E$220),Inputs!$E$268/12*MIN($E$82,(AP76+AP77+AP79-AP83)*(1+$E$74)),0)</f>
        <v>0</v>
      </c>
      <c r="AQ88" s="1">
        <f>IF(AND(AQ$10&gt;0,AQ$9+1&lt;=Inputs!$E$220),Inputs!$E$268/12*MIN($E$82,(AQ76+AQ77+AQ79-AQ83)*(1+$E$74)),0)</f>
        <v>0</v>
      </c>
    </row>
    <row r="89" spans="3:43" x14ac:dyDescent="0.25">
      <c r="C89" t="s">
        <v>1515</v>
      </c>
      <c r="D89" t="s">
        <v>844</v>
      </c>
      <c r="E89" s="1"/>
      <c r="F89" s="1"/>
      <c r="G89" s="1">
        <f>SUM(H89:AQ89)</f>
        <v>0</v>
      </c>
      <c r="H89" s="1">
        <f>-H88</f>
        <v>-0</v>
      </c>
      <c r="I89" s="1">
        <f>-(I88-H88)</f>
        <v>-0</v>
      </c>
      <c r="J89" s="1">
        <f t="shared" ref="J89:AQ89" si="36">-(J88-I88)</f>
        <v>-0</v>
      </c>
      <c r="K89" s="1">
        <f t="shared" si="36"/>
        <v>-0</v>
      </c>
      <c r="L89" s="1">
        <f t="shared" si="36"/>
        <v>-0</v>
      </c>
      <c r="M89" s="1">
        <f t="shared" si="36"/>
        <v>-16176.82651745029</v>
      </c>
      <c r="N89" s="1">
        <f t="shared" si="36"/>
        <v>-0</v>
      </c>
      <c r="O89" s="1">
        <f t="shared" si="36"/>
        <v>-0</v>
      </c>
      <c r="P89" s="1">
        <f t="shared" si="36"/>
        <v>-0</v>
      </c>
      <c r="Q89" s="1">
        <f t="shared" si="36"/>
        <v>-0</v>
      </c>
      <c r="R89" s="1">
        <f t="shared" si="36"/>
        <v>-0</v>
      </c>
      <c r="S89" s="1">
        <f t="shared" si="36"/>
        <v>-0</v>
      </c>
      <c r="T89" s="1">
        <f t="shared" si="36"/>
        <v>4489.845325628945</v>
      </c>
      <c r="U89" s="1">
        <f t="shared" si="36"/>
        <v>11686.981191821345</v>
      </c>
      <c r="V89" s="1">
        <f t="shared" si="36"/>
        <v>-0</v>
      </c>
      <c r="W89" s="1">
        <f t="shared" si="36"/>
        <v>-0</v>
      </c>
      <c r="X89" s="1">
        <f t="shared" si="36"/>
        <v>-0</v>
      </c>
      <c r="Y89" s="1">
        <f t="shared" si="36"/>
        <v>-0</v>
      </c>
      <c r="Z89" s="1">
        <f t="shared" si="36"/>
        <v>-0</v>
      </c>
      <c r="AA89" s="1">
        <f t="shared" si="36"/>
        <v>-0</v>
      </c>
      <c r="AB89" s="1">
        <f t="shared" si="36"/>
        <v>-0</v>
      </c>
      <c r="AC89" s="1">
        <f t="shared" si="36"/>
        <v>-0</v>
      </c>
      <c r="AD89" s="1">
        <f t="shared" si="36"/>
        <v>-0</v>
      </c>
      <c r="AE89" s="1">
        <f t="shared" si="36"/>
        <v>-0</v>
      </c>
      <c r="AF89" s="1">
        <f t="shared" si="36"/>
        <v>-0</v>
      </c>
      <c r="AG89" s="1">
        <f t="shared" si="36"/>
        <v>-0</v>
      </c>
      <c r="AH89" s="1">
        <f t="shared" si="36"/>
        <v>-0</v>
      </c>
      <c r="AI89" s="1">
        <f t="shared" si="36"/>
        <v>-0</v>
      </c>
      <c r="AJ89" s="1">
        <f t="shared" si="36"/>
        <v>-0</v>
      </c>
      <c r="AK89" s="1">
        <f t="shared" si="36"/>
        <v>-0</v>
      </c>
      <c r="AL89" s="1">
        <f t="shared" si="36"/>
        <v>-0</v>
      </c>
      <c r="AM89" s="1">
        <f t="shared" si="36"/>
        <v>-0</v>
      </c>
      <c r="AN89" s="1">
        <f t="shared" si="36"/>
        <v>-0</v>
      </c>
      <c r="AO89" s="1">
        <f t="shared" si="36"/>
        <v>-0</v>
      </c>
      <c r="AP89" s="1">
        <f t="shared" si="36"/>
        <v>-0</v>
      </c>
      <c r="AQ89" s="1">
        <f t="shared" si="36"/>
        <v>-0</v>
      </c>
    </row>
    <row r="90" spans="3:43" x14ac:dyDescent="0.25">
      <c r="C90" t="s">
        <v>1462</v>
      </c>
      <c r="D90" t="s">
        <v>2</v>
      </c>
      <c r="E90" s="1"/>
      <c r="F90" s="1"/>
      <c r="G90" s="1">
        <f>SUM(H90:AQ90)</f>
        <v>20</v>
      </c>
      <c r="H90" s="1">
        <f>IF(H10=0,0,IF(H9=0,H10,IF(H9&lt;$E$92,1,IF(H9=$E$92,1-SUMIFS($H$10:$AQ$10,$H$9:$AQ$9,0),0))))</f>
        <v>0</v>
      </c>
      <c r="I90" s="1">
        <f t="shared" ref="I90:AQ90" si="37">IF(I10=0,0,IF(I9=0,I10,IF(I9&lt;$E$92,1,IF(I9=$E$92,1-SUMIFS($H$10:$AQ$10,$H$9:$AQ$9,0),0))))</f>
        <v>0</v>
      </c>
      <c r="J90" s="1">
        <f t="shared" si="37"/>
        <v>0</v>
      </c>
      <c r="K90" s="1">
        <f t="shared" si="37"/>
        <v>0</v>
      </c>
      <c r="L90" s="1">
        <f t="shared" si="37"/>
        <v>0</v>
      </c>
      <c r="M90" s="1">
        <f t="shared" si="37"/>
        <v>0.25</v>
      </c>
      <c r="N90" s="1">
        <f t="shared" si="37"/>
        <v>1</v>
      </c>
      <c r="O90" s="1">
        <f t="shared" si="37"/>
        <v>1</v>
      </c>
      <c r="P90" s="1">
        <f t="shared" si="37"/>
        <v>1</v>
      </c>
      <c r="Q90" s="1">
        <f t="shared" si="37"/>
        <v>1</v>
      </c>
      <c r="R90" s="1">
        <f t="shared" si="37"/>
        <v>1</v>
      </c>
      <c r="S90" s="1">
        <f t="shared" si="37"/>
        <v>1</v>
      </c>
      <c r="T90" s="1">
        <f t="shared" si="37"/>
        <v>1</v>
      </c>
      <c r="U90" s="1">
        <f t="shared" si="37"/>
        <v>1</v>
      </c>
      <c r="V90" s="1">
        <f t="shared" si="37"/>
        <v>1</v>
      </c>
      <c r="W90" s="1">
        <f t="shared" si="37"/>
        <v>1</v>
      </c>
      <c r="X90" s="1">
        <f t="shared" si="37"/>
        <v>1</v>
      </c>
      <c r="Y90" s="1">
        <f t="shared" si="37"/>
        <v>1</v>
      </c>
      <c r="Z90" s="1">
        <f t="shared" si="37"/>
        <v>1</v>
      </c>
      <c r="AA90" s="1">
        <f t="shared" si="37"/>
        <v>1</v>
      </c>
      <c r="AB90" s="1">
        <f t="shared" si="37"/>
        <v>1</v>
      </c>
      <c r="AC90" s="1">
        <f t="shared" si="37"/>
        <v>1</v>
      </c>
      <c r="AD90" s="1">
        <f t="shared" si="37"/>
        <v>1</v>
      </c>
      <c r="AE90" s="1">
        <f t="shared" si="37"/>
        <v>1</v>
      </c>
      <c r="AF90" s="1">
        <f t="shared" si="37"/>
        <v>1</v>
      </c>
      <c r="AG90" s="1">
        <f t="shared" si="37"/>
        <v>0.75</v>
      </c>
      <c r="AH90" s="1">
        <f t="shared" si="37"/>
        <v>0</v>
      </c>
      <c r="AI90" s="1">
        <f t="shared" si="37"/>
        <v>0</v>
      </c>
      <c r="AJ90" s="1">
        <f t="shared" si="37"/>
        <v>0</v>
      </c>
      <c r="AK90" s="1">
        <f t="shared" si="37"/>
        <v>0</v>
      </c>
      <c r="AL90" s="1">
        <f t="shared" si="37"/>
        <v>0</v>
      </c>
      <c r="AM90" s="1">
        <f t="shared" si="37"/>
        <v>0</v>
      </c>
      <c r="AN90" s="1">
        <f t="shared" si="37"/>
        <v>0</v>
      </c>
      <c r="AO90" s="1">
        <f t="shared" si="37"/>
        <v>0</v>
      </c>
      <c r="AP90" s="1">
        <f t="shared" si="37"/>
        <v>0</v>
      </c>
      <c r="AQ90" s="1">
        <f t="shared" si="37"/>
        <v>0</v>
      </c>
    </row>
    <row r="91" spans="3:43" x14ac:dyDescent="0.25">
      <c r="C91" s="43" t="s">
        <v>982</v>
      </c>
      <c r="D91" s="43"/>
      <c r="E91" s="128">
        <f>Inputs!$E$12</f>
        <v>0.09</v>
      </c>
      <c r="F91" s="134" t="s">
        <v>983</v>
      </c>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row>
    <row r="92" spans="3:43" x14ac:dyDescent="0.25">
      <c r="C92" t="s">
        <v>2217</v>
      </c>
      <c r="D92" t="s">
        <v>844</v>
      </c>
      <c r="E92" s="24">
        <f>Inputs!$E$213</f>
        <v>20</v>
      </c>
      <c r="F92" s="1"/>
      <c r="G92" s="1">
        <f>SUM(H92:AQ92)</f>
        <v>446332.66961481114</v>
      </c>
      <c r="H92" s="1">
        <f>(-$G$30+$G$79+Deposits!$P$11*Deposits!$M$11*$E$15)/$E$92*H90</f>
        <v>0</v>
      </c>
      <c r="I92" s="1">
        <f>(-$G$30+$G$79+Deposits!$P$11*Deposits!$M$11*$E$15)/$E$92*I90</f>
        <v>0</v>
      </c>
      <c r="J92" s="1">
        <f>(-$G$30+$G$79+Deposits!$P$11*Deposits!$M$11*$E$15)/$E$92*J90</f>
        <v>0</v>
      </c>
      <c r="K92" s="1">
        <f>(-$G$30+$G$79+Deposits!$P$11*Deposits!$M$11*$E$15)/$E$92*K90</f>
        <v>0</v>
      </c>
      <c r="L92" s="1">
        <f>(-$G$30+$G$79+Deposits!$P$11*Deposits!$M$11*$E$15)/$E$92*L90</f>
        <v>0</v>
      </c>
      <c r="M92" s="1">
        <f>(-$G$30+$G$79+Deposits!$P$11*Deposits!$M$11*$E$15)/$E$92*M90</f>
        <v>5579.15837018514</v>
      </c>
      <c r="N92" s="1">
        <f>(-$G$30+$G$79+Deposits!$P$11*Deposits!$M$11*$E$15)/$E$92*N90</f>
        <v>22316.63348074056</v>
      </c>
      <c r="O92" s="1">
        <f>(-$G$30+$G$79+Deposits!$P$11*Deposits!$M$11*$E$15)/$E$92*O90</f>
        <v>22316.63348074056</v>
      </c>
      <c r="P92" s="1">
        <f>(-$G$30+$G$79+Deposits!$P$11*Deposits!$M$11*$E$15)/$E$92*P90</f>
        <v>22316.63348074056</v>
      </c>
      <c r="Q92" s="1">
        <f>(-$G$30+$G$79+Deposits!$P$11*Deposits!$M$11*$E$15)/$E$92*Q90</f>
        <v>22316.63348074056</v>
      </c>
      <c r="R92" s="1">
        <f>(-$G$30+$G$79+Deposits!$P$11*Deposits!$M$11*$E$15)/$E$92*R90</f>
        <v>22316.63348074056</v>
      </c>
      <c r="S92" s="1">
        <f>(-$G$30+$G$79+Deposits!$P$11*Deposits!$M$11*$E$15)/$E$92*S90</f>
        <v>22316.63348074056</v>
      </c>
      <c r="T92" s="1">
        <f>(-$G$30+$G$79+Deposits!$P$11*Deposits!$M$11*$E$15)/$E$92*T90</f>
        <v>22316.63348074056</v>
      </c>
      <c r="U92" s="1">
        <f>(-$G$30+$G$79+Deposits!$P$11*Deposits!$M$11*$E$15)/$E$92*U90</f>
        <v>22316.63348074056</v>
      </c>
      <c r="V92" s="1">
        <f>(-$G$30+$G$79+Deposits!$P$11*Deposits!$M$11*$E$15)/$E$92*V90</f>
        <v>22316.63348074056</v>
      </c>
      <c r="W92" s="1">
        <f>(-$G$30+$G$79+Deposits!$P$11*Deposits!$M$11*$E$15)/$E$92*W90</f>
        <v>22316.63348074056</v>
      </c>
      <c r="X92" s="1">
        <f>(-$G$30+$G$79+Deposits!$P$11*Deposits!$M$11*$E$15)/$E$92*X90</f>
        <v>22316.63348074056</v>
      </c>
      <c r="Y92" s="1">
        <f>(-$G$30+$G$79+Deposits!$P$11*Deposits!$M$11*$E$15)/$E$92*Y90</f>
        <v>22316.63348074056</v>
      </c>
      <c r="Z92" s="1">
        <f>(-$G$30+$G$79+Deposits!$P$11*Deposits!$M$11*$E$15)/$E$92*Z90</f>
        <v>22316.63348074056</v>
      </c>
      <c r="AA92" s="1">
        <f>(-$G$30+$G$79+Deposits!$P$11*Deposits!$M$11*$E$15)/$E$92*AA90</f>
        <v>22316.63348074056</v>
      </c>
      <c r="AB92" s="1">
        <f>(-$G$30+$G$79+Deposits!$P$11*Deposits!$M$11*$E$15)/$E$92*AB90</f>
        <v>22316.63348074056</v>
      </c>
      <c r="AC92" s="1">
        <f>(-$G$30+$G$79+Deposits!$P$11*Deposits!$M$11*$E$15)/$E$92*AC90</f>
        <v>22316.63348074056</v>
      </c>
      <c r="AD92" s="1">
        <f>(-$G$30+$G$79+Deposits!$P$11*Deposits!$M$11*$E$15)/$E$92*AD90</f>
        <v>22316.63348074056</v>
      </c>
      <c r="AE92" s="1">
        <f>(-$G$30+$G$79+Deposits!$P$11*Deposits!$M$11*$E$15)/$E$92*AE90</f>
        <v>22316.63348074056</v>
      </c>
      <c r="AF92" s="1">
        <f>(-$G$30+$G$79+Deposits!$P$11*Deposits!$M$11*$E$15)/$E$92*AF90</f>
        <v>22316.63348074056</v>
      </c>
      <c r="AG92" s="1">
        <f>(-$G$30+$G$79+Deposits!$P$11*Deposits!$M$11*$E$15)/$E$92*AG90</f>
        <v>16737.475110555417</v>
      </c>
      <c r="AH92" s="1">
        <f>(-$G$30+$G$79+Deposits!$P$11*Deposits!$M$11*$E$15)/$E$92*AH90</f>
        <v>0</v>
      </c>
      <c r="AI92" s="1">
        <f>(-$G$30+$G$79+Deposits!$P$11*Deposits!$M$11*$E$15)/$E$92*AI90</f>
        <v>0</v>
      </c>
      <c r="AJ92" s="1">
        <f>(-$G$30+$G$79+Deposits!$P$11*Deposits!$M$11*$E$15)/$E$92*AJ90</f>
        <v>0</v>
      </c>
      <c r="AK92" s="1">
        <f>(-$G$30+$G$79+Deposits!$P$11*Deposits!$M$11*$E$15)/$E$92*AK90</f>
        <v>0</v>
      </c>
      <c r="AL92" s="1">
        <f>(-$G$30+$G$79+Deposits!$P$11*Deposits!$M$11*$E$15)/$E$92*AL90</f>
        <v>0</v>
      </c>
      <c r="AM92" s="1">
        <f>(-$G$30+$G$79+Deposits!$P$11*Deposits!$M$11*$E$15)/$E$92*AM90</f>
        <v>0</v>
      </c>
      <c r="AN92" s="1">
        <f>(-$G$30+$G$79+Deposits!$P$11*Deposits!$M$11*$E$15)/$E$92*AN90</f>
        <v>0</v>
      </c>
      <c r="AO92" s="1">
        <f>(-$G$30+$G$79+Deposits!$P$11*Deposits!$M$11*$E$15)/$E$92*AO90</f>
        <v>0</v>
      </c>
      <c r="AP92" s="1">
        <f>(-$G$30+$G$79+Deposits!$P$11*Deposits!$M$11*$E$15)/$E$92*AP90</f>
        <v>0</v>
      </c>
      <c r="AQ92" s="1">
        <f>(-$G$30+$G$79+Deposits!$P$11*Deposits!$M$11*$E$15)/$E$92*AQ90</f>
        <v>0</v>
      </c>
    </row>
    <row r="93" spans="3:43" x14ac:dyDescent="0.25">
      <c r="C93" t="s">
        <v>1332</v>
      </c>
      <c r="D93" t="s">
        <v>844</v>
      </c>
      <c r="E93" s="1"/>
      <c r="F93" s="1"/>
      <c r="G93" s="1">
        <f>SUM(H93:AQ93)</f>
        <v>1471581.0226129233</v>
      </c>
      <c r="H93" s="1">
        <f>H70-H92-H81+H85+H16</f>
        <v>-177.24324324324326</v>
      </c>
      <c r="I93" s="1">
        <f t="shared" ref="I93:AQ93" si="38">I70-I92-I81+I85+I16</f>
        <v>-856.331081081081</v>
      </c>
      <c r="J93" s="1">
        <f t="shared" si="38"/>
        <v>-1753.731056885054</v>
      </c>
      <c r="K93" s="1">
        <f t="shared" si="38"/>
        <v>-5152.1907625813965</v>
      </c>
      <c r="L93" s="1">
        <f t="shared" si="38"/>
        <v>-2127.2086797206966</v>
      </c>
      <c r="M93" s="1">
        <f t="shared" si="38"/>
        <v>4573.840141900909</v>
      </c>
      <c r="N93" s="1">
        <f t="shared" si="38"/>
        <v>20801.791308805085</v>
      </c>
      <c r="O93" s="1">
        <f t="shared" si="38"/>
        <v>23547.70438678075</v>
      </c>
      <c r="P93" s="1">
        <f t="shared" si="38"/>
        <v>23442.660129089178</v>
      </c>
      <c r="Q93" s="1">
        <f t="shared" si="38"/>
        <v>25832.849777702264</v>
      </c>
      <c r="R93" s="1">
        <f t="shared" si="38"/>
        <v>28564.84612862269</v>
      </c>
      <c r="S93" s="1">
        <f t="shared" si="38"/>
        <v>33781.5375118706</v>
      </c>
      <c r="T93" s="1">
        <f t="shared" si="38"/>
        <v>35164.38991898212</v>
      </c>
      <c r="U93" s="1">
        <f t="shared" si="38"/>
        <v>37220.83623471697</v>
      </c>
      <c r="V93" s="1">
        <f t="shared" si="38"/>
        <v>38417.44621470362</v>
      </c>
      <c r="W93" s="1">
        <f t="shared" si="38"/>
        <v>38446.0837787756</v>
      </c>
      <c r="X93" s="1">
        <f t="shared" si="38"/>
        <v>40045.25867627999</v>
      </c>
      <c r="Y93" s="1">
        <f t="shared" si="38"/>
        <v>41193.089030232404</v>
      </c>
      <c r="Z93" s="1">
        <f t="shared" si="38"/>
        <v>41576.69824994929</v>
      </c>
      <c r="AA93" s="1">
        <f t="shared" si="38"/>
        <v>43909.47454236425</v>
      </c>
      <c r="AB93" s="1">
        <f t="shared" si="38"/>
        <v>45089.7617913955</v>
      </c>
      <c r="AC93" s="1">
        <f t="shared" si="38"/>
        <v>45959.992805688446</v>
      </c>
      <c r="AD93" s="1">
        <f t="shared" si="38"/>
        <v>45479.81005036526</v>
      </c>
      <c r="AE93" s="1">
        <f t="shared" si="38"/>
        <v>46623.1445893182</v>
      </c>
      <c r="AF93" s="1">
        <f t="shared" si="38"/>
        <v>46597.80803060957</v>
      </c>
      <c r="AG93" s="1">
        <f t="shared" si="38"/>
        <v>52324.65236576818</v>
      </c>
      <c r="AH93" s="1">
        <f t="shared" si="38"/>
        <v>68617.88544982989</v>
      </c>
      <c r="AI93" s="1">
        <f t="shared" si="38"/>
        <v>70489.50566049124</v>
      </c>
      <c r="AJ93" s="1">
        <f t="shared" si="38"/>
        <v>71124.5771739413</v>
      </c>
      <c r="AK93" s="1">
        <f t="shared" si="38"/>
        <v>71799.29155095278</v>
      </c>
      <c r="AL93" s="1">
        <f t="shared" si="38"/>
        <v>71748.13534595404</v>
      </c>
      <c r="AM93" s="1">
        <f t="shared" si="38"/>
        <v>73562.4480180319</v>
      </c>
      <c r="AN93" s="1">
        <f t="shared" si="38"/>
        <v>76554.32549064499</v>
      </c>
      <c r="AO93" s="1">
        <f t="shared" si="38"/>
        <v>79221.51934010966</v>
      </c>
      <c r="AP93" s="1">
        <f t="shared" si="38"/>
        <v>79439.68125293475</v>
      </c>
      <c r="AQ93" s="1">
        <f t="shared" si="38"/>
        <v>60496.682489623316</v>
      </c>
    </row>
    <row r="94" spans="3:43" x14ac:dyDescent="0.25">
      <c r="C94" t="s">
        <v>984</v>
      </c>
      <c r="D94" t="s">
        <v>844</v>
      </c>
      <c r="E94" s="1"/>
      <c r="F94" s="1"/>
      <c r="G94" s="1"/>
      <c r="H94" s="1">
        <f>G96</f>
        <v>0</v>
      </c>
      <c r="I94" s="1">
        <f>H96</f>
        <v>177.24324324324326</v>
      </c>
      <c r="J94" s="1">
        <f t="shared" ref="J94:AO94" si="39">I96</f>
        <v>1033.5743243243244</v>
      </c>
      <c r="K94" s="1">
        <f t="shared" si="39"/>
        <v>2787.3053812093785</v>
      </c>
      <c r="L94" s="1">
        <f t="shared" si="39"/>
        <v>7939.496143790775</v>
      </c>
      <c r="M94" s="1">
        <f t="shared" si="39"/>
        <v>10066.70482351147</v>
      </c>
      <c r="N94" s="1">
        <f t="shared" si="39"/>
        <v>7779.784752561016</v>
      </c>
      <c r="O94" s="1">
        <f t="shared" si="39"/>
        <v>0</v>
      </c>
      <c r="P94" s="1">
        <f t="shared" si="39"/>
        <v>0</v>
      </c>
      <c r="Q94" s="1">
        <f t="shared" si="39"/>
        <v>0</v>
      </c>
      <c r="R94" s="1">
        <f t="shared" si="39"/>
        <v>0</v>
      </c>
      <c r="S94" s="1">
        <f t="shared" si="39"/>
        <v>0</v>
      </c>
      <c r="T94" s="1">
        <f t="shared" si="39"/>
        <v>0</v>
      </c>
      <c r="U94" s="1">
        <f t="shared" si="39"/>
        <v>0</v>
      </c>
      <c r="V94" s="1">
        <f t="shared" si="39"/>
        <v>0</v>
      </c>
      <c r="W94" s="1">
        <f t="shared" si="39"/>
        <v>0</v>
      </c>
      <c r="X94" s="1">
        <f t="shared" si="39"/>
        <v>0</v>
      </c>
      <c r="Y94" s="1">
        <f t="shared" si="39"/>
        <v>0</v>
      </c>
      <c r="Z94" s="1">
        <f t="shared" si="39"/>
        <v>0</v>
      </c>
      <c r="AA94" s="1">
        <f t="shared" si="39"/>
        <v>0</v>
      </c>
      <c r="AB94" s="1">
        <f t="shared" si="39"/>
        <v>0</v>
      </c>
      <c r="AC94" s="1">
        <f t="shared" si="39"/>
        <v>0</v>
      </c>
      <c r="AD94" s="1">
        <f t="shared" si="39"/>
        <v>0</v>
      </c>
      <c r="AE94" s="1">
        <f t="shared" si="39"/>
        <v>0</v>
      </c>
      <c r="AF94" s="1">
        <f t="shared" si="39"/>
        <v>0</v>
      </c>
      <c r="AG94" s="1">
        <f t="shared" si="39"/>
        <v>0</v>
      </c>
      <c r="AH94" s="1">
        <f t="shared" si="39"/>
        <v>0</v>
      </c>
      <c r="AI94" s="1">
        <f t="shared" si="39"/>
        <v>0</v>
      </c>
      <c r="AJ94" s="1">
        <f t="shared" si="39"/>
        <v>0</v>
      </c>
      <c r="AK94" s="1">
        <f t="shared" si="39"/>
        <v>0</v>
      </c>
      <c r="AL94" s="1">
        <f t="shared" si="39"/>
        <v>0</v>
      </c>
      <c r="AM94" s="1">
        <f t="shared" si="39"/>
        <v>0</v>
      </c>
      <c r="AN94" s="1">
        <f t="shared" si="39"/>
        <v>0</v>
      </c>
      <c r="AO94" s="1">
        <f t="shared" si="39"/>
        <v>0</v>
      </c>
      <c r="AP94" s="1">
        <f>AO96</f>
        <v>0</v>
      </c>
      <c r="AQ94" s="1">
        <f>AP96</f>
        <v>0</v>
      </c>
    </row>
    <row r="95" spans="3:43" x14ac:dyDescent="0.25">
      <c r="C95" t="s">
        <v>985</v>
      </c>
      <c r="D95" t="s">
        <v>844</v>
      </c>
      <c r="E95" s="2">
        <f>Inputs!$E$214</f>
        <v>0.5</v>
      </c>
      <c r="F95" s="1"/>
      <c r="G95" s="1">
        <f>SUM(H95:AQ95)</f>
        <v>10066.70482351147</v>
      </c>
      <c r="H95" s="1">
        <f>MIN(H94,MAX(H93,0)*$E$95)</f>
        <v>0</v>
      </c>
      <c r="I95" s="1">
        <f t="shared" ref="I95:AO95" si="40">MIN(I94,MAX(I93,0)*$E$95)</f>
        <v>0</v>
      </c>
      <c r="J95" s="1">
        <f t="shared" si="40"/>
        <v>0</v>
      </c>
      <c r="K95" s="1">
        <f t="shared" si="40"/>
        <v>0</v>
      </c>
      <c r="L95" s="1">
        <f t="shared" si="40"/>
        <v>0</v>
      </c>
      <c r="M95" s="1">
        <f t="shared" si="40"/>
        <v>2286.9200709504544</v>
      </c>
      <c r="N95" s="1">
        <f t="shared" si="40"/>
        <v>7779.784752561016</v>
      </c>
      <c r="O95" s="1">
        <f t="shared" si="40"/>
        <v>0</v>
      </c>
      <c r="P95" s="1">
        <f t="shared" si="40"/>
        <v>0</v>
      </c>
      <c r="Q95" s="1">
        <f t="shared" si="40"/>
        <v>0</v>
      </c>
      <c r="R95" s="1">
        <f t="shared" si="40"/>
        <v>0</v>
      </c>
      <c r="S95" s="1">
        <f t="shared" si="40"/>
        <v>0</v>
      </c>
      <c r="T95" s="1">
        <f t="shared" si="40"/>
        <v>0</v>
      </c>
      <c r="U95" s="1">
        <f t="shared" si="40"/>
        <v>0</v>
      </c>
      <c r="V95" s="1">
        <f t="shared" si="40"/>
        <v>0</v>
      </c>
      <c r="W95" s="1">
        <f t="shared" si="40"/>
        <v>0</v>
      </c>
      <c r="X95" s="1">
        <f t="shared" si="40"/>
        <v>0</v>
      </c>
      <c r="Y95" s="1">
        <f t="shared" si="40"/>
        <v>0</v>
      </c>
      <c r="Z95" s="1">
        <f t="shared" si="40"/>
        <v>0</v>
      </c>
      <c r="AA95" s="1">
        <f t="shared" si="40"/>
        <v>0</v>
      </c>
      <c r="AB95" s="1">
        <f t="shared" si="40"/>
        <v>0</v>
      </c>
      <c r="AC95" s="1">
        <f t="shared" si="40"/>
        <v>0</v>
      </c>
      <c r="AD95" s="1">
        <f t="shared" si="40"/>
        <v>0</v>
      </c>
      <c r="AE95" s="1">
        <f t="shared" si="40"/>
        <v>0</v>
      </c>
      <c r="AF95" s="1">
        <f t="shared" si="40"/>
        <v>0</v>
      </c>
      <c r="AG95" s="1">
        <f t="shared" si="40"/>
        <v>0</v>
      </c>
      <c r="AH95" s="1">
        <f t="shared" si="40"/>
        <v>0</v>
      </c>
      <c r="AI95" s="1">
        <f t="shared" si="40"/>
        <v>0</v>
      </c>
      <c r="AJ95" s="1">
        <f t="shared" si="40"/>
        <v>0</v>
      </c>
      <c r="AK95" s="1">
        <f t="shared" si="40"/>
        <v>0</v>
      </c>
      <c r="AL95" s="1">
        <f t="shared" si="40"/>
        <v>0</v>
      </c>
      <c r="AM95" s="1">
        <f t="shared" si="40"/>
        <v>0</v>
      </c>
      <c r="AN95" s="1">
        <f t="shared" si="40"/>
        <v>0</v>
      </c>
      <c r="AO95" s="1">
        <f t="shared" si="40"/>
        <v>0</v>
      </c>
      <c r="AP95" s="1">
        <f>MIN(AP94,MAX(AP93,0)*$E$95)</f>
        <v>0</v>
      </c>
      <c r="AQ95" s="1">
        <f>MIN(AQ94,MAX(AQ93,0)*$E$95)</f>
        <v>0</v>
      </c>
    </row>
    <row r="96" spans="3:43" x14ac:dyDescent="0.25">
      <c r="C96" t="s">
        <v>986</v>
      </c>
      <c r="D96" t="s">
        <v>844</v>
      </c>
      <c r="E96" s="1"/>
      <c r="F96" s="1"/>
      <c r="G96" s="1">
        <v>0</v>
      </c>
      <c r="H96" s="1">
        <f>H94+MAX(-H93,0)-H95</f>
        <v>177.24324324324326</v>
      </c>
      <c r="I96" s="1">
        <f t="shared" ref="I96:AO96" si="41">I94+MAX(-I93,0)-I95</f>
        <v>1033.5743243243244</v>
      </c>
      <c r="J96" s="1">
        <f t="shared" si="41"/>
        <v>2787.3053812093785</v>
      </c>
      <c r="K96" s="1">
        <f t="shared" si="41"/>
        <v>7939.496143790775</v>
      </c>
      <c r="L96" s="1">
        <f t="shared" si="41"/>
        <v>10066.70482351147</v>
      </c>
      <c r="M96" s="1">
        <f t="shared" si="41"/>
        <v>7779.784752561016</v>
      </c>
      <c r="N96" s="1">
        <f t="shared" si="41"/>
        <v>0</v>
      </c>
      <c r="O96" s="1">
        <f t="shared" si="41"/>
        <v>0</v>
      </c>
      <c r="P96" s="1">
        <f t="shared" si="41"/>
        <v>0</v>
      </c>
      <c r="Q96" s="1">
        <f t="shared" si="41"/>
        <v>0</v>
      </c>
      <c r="R96" s="1">
        <f t="shared" si="41"/>
        <v>0</v>
      </c>
      <c r="S96" s="1">
        <f t="shared" si="41"/>
        <v>0</v>
      </c>
      <c r="T96" s="1">
        <f t="shared" si="41"/>
        <v>0</v>
      </c>
      <c r="U96" s="1">
        <f t="shared" si="41"/>
        <v>0</v>
      </c>
      <c r="V96" s="1">
        <f t="shared" si="41"/>
        <v>0</v>
      </c>
      <c r="W96" s="1">
        <f t="shared" si="41"/>
        <v>0</v>
      </c>
      <c r="X96" s="1">
        <f t="shared" si="41"/>
        <v>0</v>
      </c>
      <c r="Y96" s="1">
        <f t="shared" si="41"/>
        <v>0</v>
      </c>
      <c r="Z96" s="1">
        <f t="shared" si="41"/>
        <v>0</v>
      </c>
      <c r="AA96" s="1">
        <f t="shared" si="41"/>
        <v>0</v>
      </c>
      <c r="AB96" s="1">
        <f t="shared" si="41"/>
        <v>0</v>
      </c>
      <c r="AC96" s="1">
        <f t="shared" si="41"/>
        <v>0</v>
      </c>
      <c r="AD96" s="1">
        <f t="shared" si="41"/>
        <v>0</v>
      </c>
      <c r="AE96" s="1">
        <f t="shared" si="41"/>
        <v>0</v>
      </c>
      <c r="AF96" s="1">
        <f t="shared" si="41"/>
        <v>0</v>
      </c>
      <c r="AG96" s="1">
        <f t="shared" si="41"/>
        <v>0</v>
      </c>
      <c r="AH96" s="1">
        <f t="shared" si="41"/>
        <v>0</v>
      </c>
      <c r="AI96" s="1">
        <f t="shared" si="41"/>
        <v>0</v>
      </c>
      <c r="AJ96" s="1">
        <f t="shared" si="41"/>
        <v>0</v>
      </c>
      <c r="AK96" s="1">
        <f t="shared" si="41"/>
        <v>0</v>
      </c>
      <c r="AL96" s="1">
        <f t="shared" si="41"/>
        <v>0</v>
      </c>
      <c r="AM96" s="1">
        <f t="shared" si="41"/>
        <v>0</v>
      </c>
      <c r="AN96" s="1">
        <f t="shared" si="41"/>
        <v>0</v>
      </c>
      <c r="AO96" s="1">
        <f t="shared" si="41"/>
        <v>0</v>
      </c>
      <c r="AP96" s="1">
        <f>AP94+MAX(-AP93,0)-AP95</f>
        <v>0</v>
      </c>
      <c r="AQ96" s="1">
        <f>AQ94+MAX(-AQ93,0)-AQ95</f>
        <v>0</v>
      </c>
    </row>
    <row r="97" spans="3:43" x14ac:dyDescent="0.25">
      <c r="C97" t="s">
        <v>987</v>
      </c>
      <c r="D97" t="s">
        <v>844</v>
      </c>
      <c r="E97" s="1"/>
      <c r="F97" s="1"/>
      <c r="G97" s="1">
        <f>SUM(H97:AQ97)</f>
        <v>1471581.0226129233</v>
      </c>
      <c r="H97" s="1">
        <f>MAX(H93,0)-H95</f>
        <v>0</v>
      </c>
      <c r="I97" s="1">
        <f t="shared" ref="I97:AO97" si="42">MAX(I93,0)-I95</f>
        <v>0</v>
      </c>
      <c r="J97" s="1">
        <f t="shared" si="42"/>
        <v>0</v>
      </c>
      <c r="K97" s="1">
        <f t="shared" si="42"/>
        <v>0</v>
      </c>
      <c r="L97" s="1">
        <f t="shared" si="42"/>
        <v>0</v>
      </c>
      <c r="M97" s="1">
        <f t="shared" si="42"/>
        <v>2286.9200709504544</v>
      </c>
      <c r="N97" s="1">
        <f t="shared" si="42"/>
        <v>13022.006556244069</v>
      </c>
      <c r="O97" s="1">
        <f t="shared" si="42"/>
        <v>23547.70438678075</v>
      </c>
      <c r="P97" s="1">
        <f t="shared" si="42"/>
        <v>23442.660129089178</v>
      </c>
      <c r="Q97" s="1">
        <f t="shared" si="42"/>
        <v>25832.849777702264</v>
      </c>
      <c r="R97" s="1">
        <f t="shared" si="42"/>
        <v>28564.84612862269</v>
      </c>
      <c r="S97" s="1">
        <f t="shared" si="42"/>
        <v>33781.5375118706</v>
      </c>
      <c r="T97" s="1">
        <f t="shared" si="42"/>
        <v>35164.38991898212</v>
      </c>
      <c r="U97" s="1">
        <f t="shared" si="42"/>
        <v>37220.83623471697</v>
      </c>
      <c r="V97" s="1">
        <f t="shared" si="42"/>
        <v>38417.44621470362</v>
      </c>
      <c r="W97" s="1">
        <f t="shared" si="42"/>
        <v>38446.0837787756</v>
      </c>
      <c r="X97" s="1">
        <f t="shared" si="42"/>
        <v>40045.25867627999</v>
      </c>
      <c r="Y97" s="1">
        <f t="shared" si="42"/>
        <v>41193.089030232404</v>
      </c>
      <c r="Z97" s="1">
        <f t="shared" si="42"/>
        <v>41576.69824994929</v>
      </c>
      <c r="AA97" s="1">
        <f t="shared" si="42"/>
        <v>43909.47454236425</v>
      </c>
      <c r="AB97" s="1">
        <f t="shared" si="42"/>
        <v>45089.7617913955</v>
      </c>
      <c r="AC97" s="1">
        <f t="shared" si="42"/>
        <v>45959.992805688446</v>
      </c>
      <c r="AD97" s="1">
        <f t="shared" si="42"/>
        <v>45479.81005036526</v>
      </c>
      <c r="AE97" s="1">
        <f t="shared" si="42"/>
        <v>46623.1445893182</v>
      </c>
      <c r="AF97" s="1">
        <f t="shared" si="42"/>
        <v>46597.80803060957</v>
      </c>
      <c r="AG97" s="1">
        <f t="shared" si="42"/>
        <v>52324.65236576818</v>
      </c>
      <c r="AH97" s="1">
        <f t="shared" si="42"/>
        <v>68617.88544982989</v>
      </c>
      <c r="AI97" s="1">
        <f t="shared" si="42"/>
        <v>70489.50566049124</v>
      </c>
      <c r="AJ97" s="1">
        <f t="shared" si="42"/>
        <v>71124.5771739413</v>
      </c>
      <c r="AK97" s="1">
        <f t="shared" si="42"/>
        <v>71799.29155095278</v>
      </c>
      <c r="AL97" s="1">
        <f t="shared" si="42"/>
        <v>71748.13534595404</v>
      </c>
      <c r="AM97" s="1">
        <f t="shared" si="42"/>
        <v>73562.4480180319</v>
      </c>
      <c r="AN97" s="1">
        <f t="shared" si="42"/>
        <v>76554.32549064499</v>
      </c>
      <c r="AO97" s="1">
        <f t="shared" si="42"/>
        <v>79221.51934010966</v>
      </c>
      <c r="AP97" s="1">
        <f>MAX(AP93,0)-AP95</f>
        <v>79439.68125293475</v>
      </c>
      <c r="AQ97" s="1">
        <f>MAX(AQ93,0)-AQ95</f>
        <v>60496.682489623316</v>
      </c>
    </row>
    <row r="98" spans="3:43" x14ac:dyDescent="0.25">
      <c r="C98" t="s">
        <v>988</v>
      </c>
      <c r="D98" t="s">
        <v>844</v>
      </c>
      <c r="E98" s="1"/>
      <c r="F98" s="1"/>
      <c r="G98" s="1">
        <f>SUM(H98:AQ98)</f>
        <v>-132442.2920351631</v>
      </c>
      <c r="H98" s="1">
        <f>-H97*$E$91</f>
        <v>-0</v>
      </c>
      <c r="I98" s="1">
        <f t="shared" ref="I98:AO98" si="43">-I97*$E$91</f>
        <v>-0</v>
      </c>
      <c r="J98" s="1">
        <f t="shared" si="43"/>
        <v>-0</v>
      </c>
      <c r="K98" s="1">
        <f t="shared" si="43"/>
        <v>-0</v>
      </c>
      <c r="L98" s="1">
        <f t="shared" si="43"/>
        <v>-0</v>
      </c>
      <c r="M98" s="1">
        <f t="shared" si="43"/>
        <v>-205.82280638554087</v>
      </c>
      <c r="N98" s="1">
        <f t="shared" si="43"/>
        <v>-1171.980590061966</v>
      </c>
      <c r="O98" s="1">
        <f t="shared" si="43"/>
        <v>-2119.2933948102677</v>
      </c>
      <c r="P98" s="1">
        <f t="shared" si="43"/>
        <v>-2109.839411618026</v>
      </c>
      <c r="Q98" s="1">
        <f t="shared" si="43"/>
        <v>-2324.9564799932036</v>
      </c>
      <c r="R98" s="1">
        <f t="shared" si="43"/>
        <v>-2570.836151576042</v>
      </c>
      <c r="S98" s="1">
        <f t="shared" si="43"/>
        <v>-3040.3383760683537</v>
      </c>
      <c r="T98" s="1">
        <f t="shared" si="43"/>
        <v>-3164.7950927083903</v>
      </c>
      <c r="U98" s="1">
        <f t="shared" si="43"/>
        <v>-3349.875261124527</v>
      </c>
      <c r="V98" s="1">
        <f t="shared" si="43"/>
        <v>-3457.5701593233252</v>
      </c>
      <c r="W98" s="1">
        <f t="shared" si="43"/>
        <v>-3460.147540089804</v>
      </c>
      <c r="X98" s="1">
        <f t="shared" si="43"/>
        <v>-3604.073280865199</v>
      </c>
      <c r="Y98" s="1">
        <f t="shared" si="43"/>
        <v>-3707.378012720916</v>
      </c>
      <c r="Z98" s="1">
        <f t="shared" si="43"/>
        <v>-3741.902842495436</v>
      </c>
      <c r="AA98" s="1">
        <f t="shared" si="43"/>
        <v>-3951.8527088127826</v>
      </c>
      <c r="AB98" s="1">
        <f t="shared" si="43"/>
        <v>-4058.0785612255945</v>
      </c>
      <c r="AC98" s="1">
        <f t="shared" si="43"/>
        <v>-4136.39935251196</v>
      </c>
      <c r="AD98" s="1">
        <f t="shared" si="43"/>
        <v>-4093.182904532873</v>
      </c>
      <c r="AE98" s="1">
        <f t="shared" si="43"/>
        <v>-4196.0830130386385</v>
      </c>
      <c r="AF98" s="1">
        <f t="shared" si="43"/>
        <v>-4193.802722754861</v>
      </c>
      <c r="AG98" s="1">
        <f t="shared" si="43"/>
        <v>-4709.218712919136</v>
      </c>
      <c r="AH98" s="1">
        <f t="shared" si="43"/>
        <v>-6175.60969048469</v>
      </c>
      <c r="AI98" s="1">
        <f t="shared" si="43"/>
        <v>-6344.055509444212</v>
      </c>
      <c r="AJ98" s="1">
        <f t="shared" si="43"/>
        <v>-6401.211945654717</v>
      </c>
      <c r="AK98" s="1">
        <f t="shared" si="43"/>
        <v>-6461.93623958575</v>
      </c>
      <c r="AL98" s="1">
        <f t="shared" si="43"/>
        <v>-6457.332181135864</v>
      </c>
      <c r="AM98" s="1">
        <f t="shared" si="43"/>
        <v>-6620.6203216228705</v>
      </c>
      <c r="AN98" s="1">
        <f t="shared" si="43"/>
        <v>-6889.889294158049</v>
      </c>
      <c r="AO98" s="1">
        <f t="shared" si="43"/>
        <v>-7129.936740609869</v>
      </c>
      <c r="AP98" s="1">
        <f>-AP97*$E$91</f>
        <v>-7149.5713127641275</v>
      </c>
      <c r="AQ98" s="1">
        <f>-AQ97*$E$91</f>
        <v>-5444.701424066098</v>
      </c>
    </row>
    <row r="99" spans="3:43" x14ac:dyDescent="0.25">
      <c r="C99" t="s">
        <v>989</v>
      </c>
      <c r="D99" t="s">
        <v>844</v>
      </c>
      <c r="E99" s="31">
        <f>Inputs!$E$197*Inputs!$E$198</f>
        <v>0</v>
      </c>
      <c r="F99" s="1"/>
      <c r="G99" s="1">
        <f>SUM(H99:AQ99)</f>
        <v>0</v>
      </c>
      <c r="H99" s="1">
        <f>-MAX(H93,0)*$E$99</f>
        <v>-0</v>
      </c>
      <c r="I99" s="1">
        <f t="shared" ref="I99:AO99" si="44">-MAX(I93,0)*$E$99</f>
        <v>-0</v>
      </c>
      <c r="J99" s="1">
        <f t="shared" si="44"/>
        <v>-0</v>
      </c>
      <c r="K99" s="1">
        <f t="shared" si="44"/>
        <v>-0</v>
      </c>
      <c r="L99" s="1">
        <f t="shared" si="44"/>
        <v>-0</v>
      </c>
      <c r="M99" s="1">
        <f t="shared" si="44"/>
        <v>-0</v>
      </c>
      <c r="N99" s="1">
        <f t="shared" si="44"/>
        <v>-0</v>
      </c>
      <c r="O99" s="1">
        <f t="shared" si="44"/>
        <v>-0</v>
      </c>
      <c r="P99" s="1">
        <f t="shared" si="44"/>
        <v>-0</v>
      </c>
      <c r="Q99" s="1">
        <f t="shared" si="44"/>
        <v>-0</v>
      </c>
      <c r="R99" s="1">
        <f t="shared" si="44"/>
        <v>-0</v>
      </c>
      <c r="S99" s="1">
        <f t="shared" si="44"/>
        <v>-0</v>
      </c>
      <c r="T99" s="1">
        <f t="shared" si="44"/>
        <v>-0</v>
      </c>
      <c r="U99" s="1">
        <f t="shared" si="44"/>
        <v>-0</v>
      </c>
      <c r="V99" s="1">
        <f t="shared" si="44"/>
        <v>-0</v>
      </c>
      <c r="W99" s="1">
        <f t="shared" si="44"/>
        <v>-0</v>
      </c>
      <c r="X99" s="1">
        <f t="shared" si="44"/>
        <v>-0</v>
      </c>
      <c r="Y99" s="1">
        <f t="shared" si="44"/>
        <v>-0</v>
      </c>
      <c r="Z99" s="1">
        <f t="shared" si="44"/>
        <v>-0</v>
      </c>
      <c r="AA99" s="1">
        <f t="shared" si="44"/>
        <v>-0</v>
      </c>
      <c r="AB99" s="1">
        <f t="shared" si="44"/>
        <v>-0</v>
      </c>
      <c r="AC99" s="1">
        <f t="shared" si="44"/>
        <v>-0</v>
      </c>
      <c r="AD99" s="1">
        <f t="shared" si="44"/>
        <v>-0</v>
      </c>
      <c r="AE99" s="1">
        <f t="shared" si="44"/>
        <v>-0</v>
      </c>
      <c r="AF99" s="1">
        <f t="shared" si="44"/>
        <v>-0</v>
      </c>
      <c r="AG99" s="1">
        <f t="shared" si="44"/>
        <v>-0</v>
      </c>
      <c r="AH99" s="1">
        <f t="shared" si="44"/>
        <v>-0</v>
      </c>
      <c r="AI99" s="1">
        <f t="shared" si="44"/>
        <v>-0</v>
      </c>
      <c r="AJ99" s="1">
        <f t="shared" si="44"/>
        <v>-0</v>
      </c>
      <c r="AK99" s="1">
        <f t="shared" si="44"/>
        <v>-0</v>
      </c>
      <c r="AL99" s="1">
        <f t="shared" si="44"/>
        <v>-0</v>
      </c>
      <c r="AM99" s="1">
        <f t="shared" si="44"/>
        <v>-0</v>
      </c>
      <c r="AN99" s="1">
        <f t="shared" si="44"/>
        <v>-0</v>
      </c>
      <c r="AO99" s="1">
        <f t="shared" si="44"/>
        <v>-0</v>
      </c>
      <c r="AP99" s="1">
        <f>-MAX(AP93,0)*$E$99</f>
        <v>-0</v>
      </c>
      <c r="AQ99" s="1">
        <f>-MAX(AQ93,0)*$E$99</f>
        <v>-0</v>
      </c>
    </row>
    <row r="100" spans="3:43" x14ac:dyDescent="0.25">
      <c r="C100" s="6" t="s">
        <v>990</v>
      </c>
      <c r="D100" s="6" t="s">
        <v>844</v>
      </c>
      <c r="E100" s="37"/>
      <c r="F100" s="37"/>
      <c r="G100" s="37">
        <f>SUM(H100:AQ100)</f>
        <v>-132442.2920351631</v>
      </c>
      <c r="H100" s="37">
        <f>H98+H99</f>
        <v>-0</v>
      </c>
      <c r="I100" s="37">
        <f t="shared" ref="I100:AO100" si="45">I98+I99</f>
        <v>-0</v>
      </c>
      <c r="J100" s="37">
        <f t="shared" si="45"/>
        <v>-0</v>
      </c>
      <c r="K100" s="37">
        <f t="shared" si="45"/>
        <v>-0</v>
      </c>
      <c r="L100" s="37">
        <f t="shared" si="45"/>
        <v>-0</v>
      </c>
      <c r="M100" s="37">
        <f t="shared" si="45"/>
        <v>-205.82280638554087</v>
      </c>
      <c r="N100" s="37">
        <f t="shared" si="45"/>
        <v>-1171.980590061966</v>
      </c>
      <c r="O100" s="37">
        <f t="shared" si="45"/>
        <v>-2119.2933948102677</v>
      </c>
      <c r="P100" s="37">
        <f t="shared" si="45"/>
        <v>-2109.839411618026</v>
      </c>
      <c r="Q100" s="37">
        <f t="shared" si="45"/>
        <v>-2324.9564799932036</v>
      </c>
      <c r="R100" s="37">
        <f t="shared" si="45"/>
        <v>-2570.836151576042</v>
      </c>
      <c r="S100" s="37">
        <f t="shared" si="45"/>
        <v>-3040.3383760683537</v>
      </c>
      <c r="T100" s="37">
        <f t="shared" si="45"/>
        <v>-3164.7950927083903</v>
      </c>
      <c r="U100" s="37">
        <f t="shared" si="45"/>
        <v>-3349.875261124527</v>
      </c>
      <c r="V100" s="37">
        <f t="shared" si="45"/>
        <v>-3457.5701593233252</v>
      </c>
      <c r="W100" s="37">
        <f t="shared" si="45"/>
        <v>-3460.147540089804</v>
      </c>
      <c r="X100" s="37">
        <f t="shared" si="45"/>
        <v>-3604.073280865199</v>
      </c>
      <c r="Y100" s="37">
        <f t="shared" si="45"/>
        <v>-3707.378012720916</v>
      </c>
      <c r="Z100" s="37">
        <f t="shared" si="45"/>
        <v>-3741.902842495436</v>
      </c>
      <c r="AA100" s="37">
        <f t="shared" si="45"/>
        <v>-3951.8527088127826</v>
      </c>
      <c r="AB100" s="37">
        <f t="shared" si="45"/>
        <v>-4058.0785612255945</v>
      </c>
      <c r="AC100" s="37">
        <f t="shared" si="45"/>
        <v>-4136.39935251196</v>
      </c>
      <c r="AD100" s="37">
        <f t="shared" si="45"/>
        <v>-4093.182904532873</v>
      </c>
      <c r="AE100" s="37">
        <f t="shared" si="45"/>
        <v>-4196.0830130386385</v>
      </c>
      <c r="AF100" s="37">
        <f t="shared" si="45"/>
        <v>-4193.802722754861</v>
      </c>
      <c r="AG100" s="37">
        <f t="shared" si="45"/>
        <v>-4709.218712919136</v>
      </c>
      <c r="AH100" s="37">
        <f t="shared" si="45"/>
        <v>-6175.60969048469</v>
      </c>
      <c r="AI100" s="37">
        <f t="shared" si="45"/>
        <v>-6344.055509444212</v>
      </c>
      <c r="AJ100" s="37">
        <f t="shared" si="45"/>
        <v>-6401.211945654717</v>
      </c>
      <c r="AK100" s="37">
        <f t="shared" si="45"/>
        <v>-6461.93623958575</v>
      </c>
      <c r="AL100" s="37">
        <f t="shared" si="45"/>
        <v>-6457.332181135864</v>
      </c>
      <c r="AM100" s="37">
        <f t="shared" si="45"/>
        <v>-6620.6203216228705</v>
      </c>
      <c r="AN100" s="37">
        <f t="shared" si="45"/>
        <v>-6889.889294158049</v>
      </c>
      <c r="AO100" s="37">
        <f t="shared" si="45"/>
        <v>-7129.936740609869</v>
      </c>
      <c r="AP100" s="37">
        <f>AP98+AP99</f>
        <v>-7149.5713127641275</v>
      </c>
      <c r="AQ100" s="37">
        <f>AQ98+AQ99</f>
        <v>-5444.701424066098</v>
      </c>
    </row>
    <row r="101" spans="3:43" x14ac:dyDescent="0.25">
      <c r="C101" t="s">
        <v>991</v>
      </c>
      <c r="D101" t="s">
        <v>844</v>
      </c>
      <c r="E101" s="1"/>
      <c r="F101" s="1"/>
      <c r="G101" s="1">
        <f>SUM(H101:AQ101)</f>
        <v>-138515.11043370038</v>
      </c>
      <c r="H101" s="1">
        <f>-MAX(H70-H92,0)*($E$91+$E$99)</f>
        <v>-0</v>
      </c>
      <c r="I101" s="1">
        <f t="shared" ref="I101:AO101" si="46">-MAX(I70-I92,0)*($E$91+$E$99)</f>
        <v>-0</v>
      </c>
      <c r="J101" s="1">
        <f t="shared" si="46"/>
        <v>-0</v>
      </c>
      <c r="K101" s="1">
        <f t="shared" si="46"/>
        <v>-0</v>
      </c>
      <c r="L101" s="1">
        <f t="shared" si="46"/>
        <v>-0</v>
      </c>
      <c r="M101" s="1">
        <f t="shared" si="46"/>
        <v>-716.3897901922987</v>
      </c>
      <c r="N101" s="1">
        <f t="shared" si="46"/>
        <v>-2996.379715060889</v>
      </c>
      <c r="O101" s="1">
        <f t="shared" si="46"/>
        <v>-3104.4421357330452</v>
      </c>
      <c r="P101" s="1">
        <f t="shared" si="46"/>
        <v>-2948.394801671747</v>
      </c>
      <c r="Q101" s="1">
        <f t="shared" si="46"/>
        <v>-3013.468763523765</v>
      </c>
      <c r="R101" s="1">
        <f t="shared" si="46"/>
        <v>-3100.660337614829</v>
      </c>
      <c r="S101" s="1">
        <f t="shared" si="46"/>
        <v>-3401.913499649563</v>
      </c>
      <c r="T101" s="1">
        <f t="shared" si="46"/>
        <v>-3398.857533811608</v>
      </c>
      <c r="U101" s="1">
        <f t="shared" si="46"/>
        <v>-3450.0493856258527</v>
      </c>
      <c r="V101" s="1">
        <f t="shared" si="46"/>
        <v>-3457.5701593233252</v>
      </c>
      <c r="W101" s="1">
        <f t="shared" si="46"/>
        <v>-3460.147540089804</v>
      </c>
      <c r="X101" s="1">
        <f t="shared" si="46"/>
        <v>-3604.073280865199</v>
      </c>
      <c r="Y101" s="1">
        <f t="shared" si="46"/>
        <v>-3707.378012720916</v>
      </c>
      <c r="Z101" s="1">
        <f t="shared" si="46"/>
        <v>-3741.902842495436</v>
      </c>
      <c r="AA101" s="1">
        <f t="shared" si="46"/>
        <v>-3951.8527088127826</v>
      </c>
      <c r="AB101" s="1">
        <f t="shared" si="46"/>
        <v>-4058.0785612255945</v>
      </c>
      <c r="AC101" s="1">
        <f t="shared" si="46"/>
        <v>-4136.39935251196</v>
      </c>
      <c r="AD101" s="1">
        <f t="shared" si="46"/>
        <v>-4093.182904532873</v>
      </c>
      <c r="AE101" s="1">
        <f t="shared" si="46"/>
        <v>-4196.0830130386385</v>
      </c>
      <c r="AF101" s="1">
        <f t="shared" si="46"/>
        <v>-4193.802722754861</v>
      </c>
      <c r="AG101" s="1">
        <f t="shared" si="46"/>
        <v>-4709.218712919136</v>
      </c>
      <c r="AH101" s="1">
        <f t="shared" si="46"/>
        <v>-6175.60969048469</v>
      </c>
      <c r="AI101" s="1">
        <f t="shared" si="46"/>
        <v>-6344.055509444212</v>
      </c>
      <c r="AJ101" s="1">
        <f t="shared" si="46"/>
        <v>-6401.211945654717</v>
      </c>
      <c r="AK101" s="1">
        <f t="shared" si="46"/>
        <v>-6461.93623958575</v>
      </c>
      <c r="AL101" s="1">
        <f t="shared" si="46"/>
        <v>-6457.332181135864</v>
      </c>
      <c r="AM101" s="1">
        <f t="shared" si="46"/>
        <v>-6620.6203216228705</v>
      </c>
      <c r="AN101" s="1">
        <f t="shared" si="46"/>
        <v>-6889.889294158049</v>
      </c>
      <c r="AO101" s="1">
        <f t="shared" si="46"/>
        <v>-7129.936740609869</v>
      </c>
      <c r="AP101" s="1">
        <f>-MAX(AP70-AP92,0)*($E$91+$E$99)</f>
        <v>-7149.5713127641275</v>
      </c>
      <c r="AQ101" s="1">
        <f>-MAX(AQ70-AQ92,0)*($E$91+$E$99)</f>
        <v>-5444.701424066098</v>
      </c>
    </row>
    <row r="102" spans="3:43" x14ac:dyDescent="0.25">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spans="3:43" x14ac:dyDescent="0.25">
      <c r="C103" s="43" t="s">
        <v>992</v>
      </c>
      <c r="D103" s="4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row>
    <row r="104" spans="3:43" x14ac:dyDescent="0.25">
      <c r="C104" t="s">
        <v>993</v>
      </c>
      <c r="D104" t="s">
        <v>844</v>
      </c>
      <c r="E104" s="1"/>
      <c r="F104" s="1"/>
      <c r="G104" s="1">
        <f t="shared" ref="G104:G110" si="47">SUM(H104:AQ104)</f>
        <v>-33685.62023695843</v>
      </c>
      <c r="H104" s="1">
        <f>H24</f>
        <v>-3175.234818585709</v>
      </c>
      <c r="I104" s="1">
        <f t="shared" ref="I104:AO104" si="48">I24</f>
        <v>-1953.381766012588</v>
      </c>
      <c r="J104" s="1">
        <f t="shared" si="48"/>
        <v>-2850.781741816561</v>
      </c>
      <c r="K104" s="1">
        <f t="shared" si="48"/>
        <v>-1397.5912254720474</v>
      </c>
      <c r="L104" s="1">
        <f t="shared" si="48"/>
        <v>-23488.096885109055</v>
      </c>
      <c r="M104" s="1">
        <f t="shared" si="48"/>
        <v>-820.5337999624696</v>
      </c>
      <c r="N104" s="1">
        <f t="shared" si="48"/>
        <v>0</v>
      </c>
      <c r="O104" s="1">
        <f t="shared" si="48"/>
        <v>0</v>
      </c>
      <c r="P104" s="1">
        <f t="shared" si="48"/>
        <v>0</v>
      </c>
      <c r="Q104" s="1">
        <f t="shared" si="48"/>
        <v>0</v>
      </c>
      <c r="R104" s="1">
        <f t="shared" si="48"/>
        <v>0</v>
      </c>
      <c r="S104" s="1">
        <f t="shared" si="48"/>
        <v>0</v>
      </c>
      <c r="T104" s="1">
        <f t="shared" si="48"/>
        <v>0</v>
      </c>
      <c r="U104" s="1">
        <f t="shared" si="48"/>
        <v>0</v>
      </c>
      <c r="V104" s="1">
        <f t="shared" si="48"/>
        <v>0</v>
      </c>
      <c r="W104" s="1">
        <f t="shared" si="48"/>
        <v>0</v>
      </c>
      <c r="X104" s="1">
        <f t="shared" si="48"/>
        <v>0</v>
      </c>
      <c r="Y104" s="1">
        <f t="shared" si="48"/>
        <v>0</v>
      </c>
      <c r="Z104" s="1">
        <f t="shared" si="48"/>
        <v>0</v>
      </c>
      <c r="AA104" s="1">
        <f t="shared" si="48"/>
        <v>0</v>
      </c>
      <c r="AB104" s="1">
        <f t="shared" si="48"/>
        <v>0</v>
      </c>
      <c r="AC104" s="1">
        <f t="shared" si="48"/>
        <v>0</v>
      </c>
      <c r="AD104" s="1">
        <f t="shared" si="48"/>
        <v>0</v>
      </c>
      <c r="AE104" s="1">
        <f t="shared" si="48"/>
        <v>0</v>
      </c>
      <c r="AF104" s="1">
        <f t="shared" si="48"/>
        <v>0</v>
      </c>
      <c r="AG104" s="1">
        <f t="shared" si="48"/>
        <v>0</v>
      </c>
      <c r="AH104" s="1">
        <f t="shared" si="48"/>
        <v>0</v>
      </c>
      <c r="AI104" s="1">
        <f t="shared" si="48"/>
        <v>0</v>
      </c>
      <c r="AJ104" s="1">
        <f t="shared" si="48"/>
        <v>0</v>
      </c>
      <c r="AK104" s="1">
        <f t="shared" si="48"/>
        <v>0</v>
      </c>
      <c r="AL104" s="1">
        <f t="shared" si="48"/>
        <v>0</v>
      </c>
      <c r="AM104" s="1">
        <f t="shared" si="48"/>
        <v>0</v>
      </c>
      <c r="AN104" s="1">
        <f t="shared" si="48"/>
        <v>0</v>
      </c>
      <c r="AO104" s="1">
        <f t="shared" si="48"/>
        <v>0</v>
      </c>
      <c r="AP104" s="1">
        <f>AP24</f>
        <v>0</v>
      </c>
      <c r="AQ104" s="1">
        <f>AQ24</f>
        <v>0</v>
      </c>
    </row>
    <row r="105" spans="3:43" x14ac:dyDescent="0.25">
      <c r="C105" t="s">
        <v>994</v>
      </c>
      <c r="D105" t="s">
        <v>844</v>
      </c>
      <c r="E105" s="1"/>
      <c r="F105" s="1"/>
      <c r="G105" s="1">
        <f t="shared" si="47"/>
        <v>-431201.29658630135</v>
      </c>
      <c r="H105" s="1">
        <f>H30</f>
        <v>-0</v>
      </c>
      <c r="I105" s="1">
        <f t="shared" ref="I105:AO105" si="49">I30</f>
        <v>-0</v>
      </c>
      <c r="J105" s="1">
        <f t="shared" si="49"/>
        <v>-0</v>
      </c>
      <c r="K105" s="1">
        <f t="shared" si="49"/>
        <v>-87894.32466849315</v>
      </c>
      <c r="L105" s="1">
        <f t="shared" si="49"/>
        <v>-194117.625</v>
      </c>
      <c r="M105" s="1">
        <f t="shared" si="49"/>
        <v>-149189.34691780823</v>
      </c>
      <c r="N105" s="1">
        <f t="shared" si="49"/>
        <v>-0</v>
      </c>
      <c r="O105" s="1">
        <f t="shared" si="49"/>
        <v>-0</v>
      </c>
      <c r="P105" s="1">
        <f t="shared" si="49"/>
        <v>-0</v>
      </c>
      <c r="Q105" s="1">
        <f t="shared" si="49"/>
        <v>-0</v>
      </c>
      <c r="R105" s="1">
        <f t="shared" si="49"/>
        <v>-0</v>
      </c>
      <c r="S105" s="1">
        <f t="shared" si="49"/>
        <v>-0</v>
      </c>
      <c r="T105" s="1">
        <f t="shared" si="49"/>
        <v>-0</v>
      </c>
      <c r="U105" s="1">
        <f t="shared" si="49"/>
        <v>-0</v>
      </c>
      <c r="V105" s="1">
        <f t="shared" si="49"/>
        <v>-0</v>
      </c>
      <c r="W105" s="1">
        <f t="shared" si="49"/>
        <v>-0</v>
      </c>
      <c r="X105" s="1">
        <f t="shared" si="49"/>
        <v>-0</v>
      </c>
      <c r="Y105" s="1">
        <f t="shared" si="49"/>
        <v>-0</v>
      </c>
      <c r="Z105" s="1">
        <f t="shared" si="49"/>
        <v>-0</v>
      </c>
      <c r="AA105" s="1">
        <f t="shared" si="49"/>
        <v>-0</v>
      </c>
      <c r="AB105" s="1">
        <f t="shared" si="49"/>
        <v>-0</v>
      </c>
      <c r="AC105" s="1">
        <f t="shared" si="49"/>
        <v>-0</v>
      </c>
      <c r="AD105" s="1">
        <f t="shared" si="49"/>
        <v>-0</v>
      </c>
      <c r="AE105" s="1">
        <f t="shared" si="49"/>
        <v>-0</v>
      </c>
      <c r="AF105" s="1">
        <f t="shared" si="49"/>
        <v>-0</v>
      </c>
      <c r="AG105" s="1">
        <f t="shared" si="49"/>
        <v>-0</v>
      </c>
      <c r="AH105" s="1">
        <f t="shared" si="49"/>
        <v>-0</v>
      </c>
      <c r="AI105" s="1">
        <f t="shared" si="49"/>
        <v>-0</v>
      </c>
      <c r="AJ105" s="1">
        <f t="shared" si="49"/>
        <v>-0</v>
      </c>
      <c r="AK105" s="1">
        <f t="shared" si="49"/>
        <v>-0</v>
      </c>
      <c r="AL105" s="1">
        <f t="shared" si="49"/>
        <v>-0</v>
      </c>
      <c r="AM105" s="1">
        <f t="shared" si="49"/>
        <v>-0</v>
      </c>
      <c r="AN105" s="1">
        <f t="shared" si="49"/>
        <v>-0</v>
      </c>
      <c r="AO105" s="1">
        <f t="shared" si="49"/>
        <v>-0</v>
      </c>
      <c r="AP105" s="1">
        <f>AP30</f>
        <v>-0</v>
      </c>
      <c r="AQ105" s="1">
        <f>AQ30</f>
        <v>-0</v>
      </c>
    </row>
    <row r="106" spans="3:43" x14ac:dyDescent="0.25">
      <c r="C106" t="s">
        <v>381</v>
      </c>
      <c r="D106" t="s">
        <v>844</v>
      </c>
      <c r="E106" s="1"/>
      <c r="F106" s="1"/>
      <c r="G106" s="1">
        <f t="shared" si="47"/>
        <v>1984390.1131520506</v>
      </c>
      <c r="H106" s="1">
        <f>H70</f>
        <v>0</v>
      </c>
      <c r="I106" s="1">
        <f t="shared" ref="I106:AO106" si="50">I70</f>
        <v>0</v>
      </c>
      <c r="J106" s="1">
        <f t="shared" si="50"/>
        <v>0</v>
      </c>
      <c r="K106" s="1">
        <f t="shared" si="50"/>
        <v>-197.24149845574638</v>
      </c>
      <c r="L106" s="1">
        <f t="shared" si="50"/>
        <v>-802.0975609756099</v>
      </c>
      <c r="M106" s="1">
        <f t="shared" si="50"/>
        <v>13539.044927877349</v>
      </c>
      <c r="N106" s="1">
        <f t="shared" si="50"/>
        <v>55609.741425861546</v>
      </c>
      <c r="O106" s="1">
        <f t="shared" si="50"/>
        <v>56810.43498888551</v>
      </c>
      <c r="P106" s="1">
        <f t="shared" si="50"/>
        <v>55076.575721537745</v>
      </c>
      <c r="Q106" s="1">
        <f t="shared" si="50"/>
        <v>55799.61974211573</v>
      </c>
      <c r="R106" s="1">
        <f t="shared" si="50"/>
        <v>56768.41500979422</v>
      </c>
      <c r="S106" s="1">
        <f t="shared" si="50"/>
        <v>60115.67236573571</v>
      </c>
      <c r="T106" s="1">
        <f t="shared" si="50"/>
        <v>60081.71718975843</v>
      </c>
      <c r="U106" s="1">
        <f t="shared" si="50"/>
        <v>60650.51554325003</v>
      </c>
      <c r="V106" s="1">
        <f t="shared" si="50"/>
        <v>60734.079695444176</v>
      </c>
      <c r="W106" s="1">
        <f t="shared" si="50"/>
        <v>60762.71725951616</v>
      </c>
      <c r="X106" s="1">
        <f t="shared" si="50"/>
        <v>62361.89215702055</v>
      </c>
      <c r="Y106" s="1">
        <f t="shared" si="50"/>
        <v>63509.72251097296</v>
      </c>
      <c r="Z106" s="1">
        <f t="shared" si="50"/>
        <v>63893.331730689846</v>
      </c>
      <c r="AA106" s="1">
        <f t="shared" si="50"/>
        <v>66226.10802310481</v>
      </c>
      <c r="AB106" s="1">
        <f t="shared" si="50"/>
        <v>67406.39527213605</v>
      </c>
      <c r="AC106" s="1">
        <f t="shared" si="50"/>
        <v>68276.626286429</v>
      </c>
      <c r="AD106" s="1">
        <f t="shared" si="50"/>
        <v>67796.44353110582</v>
      </c>
      <c r="AE106" s="1">
        <f t="shared" si="50"/>
        <v>68939.77807005876</v>
      </c>
      <c r="AF106" s="1">
        <f t="shared" si="50"/>
        <v>68914.44151135013</v>
      </c>
      <c r="AG106" s="1">
        <f t="shared" si="50"/>
        <v>69062.1274763236</v>
      </c>
      <c r="AH106" s="1">
        <f t="shared" si="50"/>
        <v>68617.88544982989</v>
      </c>
      <c r="AI106" s="1">
        <f t="shared" si="50"/>
        <v>70489.50566049124</v>
      </c>
      <c r="AJ106" s="1">
        <f t="shared" si="50"/>
        <v>71124.5771739413</v>
      </c>
      <c r="AK106" s="1">
        <f t="shared" si="50"/>
        <v>71799.29155095278</v>
      </c>
      <c r="AL106" s="1">
        <f t="shared" si="50"/>
        <v>71748.13534595404</v>
      </c>
      <c r="AM106" s="1">
        <f t="shared" si="50"/>
        <v>73562.4480180319</v>
      </c>
      <c r="AN106" s="1">
        <f t="shared" si="50"/>
        <v>76554.32549064499</v>
      </c>
      <c r="AO106" s="1">
        <f t="shared" si="50"/>
        <v>79221.51934010966</v>
      </c>
      <c r="AP106" s="1">
        <f>AP70</f>
        <v>79439.68125293475</v>
      </c>
      <c r="AQ106" s="1">
        <f>AQ70</f>
        <v>60496.682489623316</v>
      </c>
    </row>
    <row r="107" spans="3:43" x14ac:dyDescent="0.25">
      <c r="C107" t="s">
        <v>995</v>
      </c>
      <c r="D107" t="s">
        <v>844</v>
      </c>
      <c r="E107" s="1">
        <f>Inputs!$E$175</f>
        <v>30</v>
      </c>
      <c r="F107" s="1"/>
      <c r="G107" s="1">
        <f t="shared" si="47"/>
        <v>-7830</v>
      </c>
      <c r="H107" s="1">
        <f>-$E$107*$E$35*H11</f>
        <v>-0</v>
      </c>
      <c r="I107" s="1">
        <f t="shared" ref="I107:AO107" si="51">-$E$107*$E$35*I11</f>
        <v>-0</v>
      </c>
      <c r="J107" s="1">
        <f t="shared" si="51"/>
        <v>-0</v>
      </c>
      <c r="K107" s="1">
        <f t="shared" si="51"/>
        <v>-0</v>
      </c>
      <c r="L107" s="1">
        <f t="shared" si="51"/>
        <v>-0</v>
      </c>
      <c r="M107" s="1">
        <f t="shared" si="51"/>
        <v>-0</v>
      </c>
      <c r="N107" s="1">
        <f t="shared" si="51"/>
        <v>-0</v>
      </c>
      <c r="O107" s="1">
        <f t="shared" si="51"/>
        <v>-0</v>
      </c>
      <c r="P107" s="1">
        <f t="shared" si="51"/>
        <v>-0</v>
      </c>
      <c r="Q107" s="1">
        <f t="shared" si="51"/>
        <v>-0</v>
      </c>
      <c r="R107" s="1">
        <f t="shared" si="51"/>
        <v>-0</v>
      </c>
      <c r="S107" s="1">
        <f t="shared" si="51"/>
        <v>-0</v>
      </c>
      <c r="T107" s="1">
        <f t="shared" si="51"/>
        <v>-0</v>
      </c>
      <c r="U107" s="1">
        <f t="shared" si="51"/>
        <v>-0</v>
      </c>
      <c r="V107" s="1">
        <f t="shared" si="51"/>
        <v>-0</v>
      </c>
      <c r="W107" s="1">
        <f t="shared" si="51"/>
        <v>-0</v>
      </c>
      <c r="X107" s="1">
        <f t="shared" si="51"/>
        <v>-0</v>
      </c>
      <c r="Y107" s="1">
        <f t="shared" si="51"/>
        <v>-0</v>
      </c>
      <c r="Z107" s="1">
        <f t="shared" si="51"/>
        <v>-0</v>
      </c>
      <c r="AA107" s="1">
        <f t="shared" si="51"/>
        <v>-0</v>
      </c>
      <c r="AB107" s="1">
        <f t="shared" si="51"/>
        <v>-0</v>
      </c>
      <c r="AC107" s="1">
        <f t="shared" si="51"/>
        <v>-0</v>
      </c>
      <c r="AD107" s="1">
        <f t="shared" si="51"/>
        <v>-0</v>
      </c>
      <c r="AE107" s="1">
        <f t="shared" si="51"/>
        <v>-0</v>
      </c>
      <c r="AF107" s="1">
        <f t="shared" si="51"/>
        <v>-0</v>
      </c>
      <c r="AG107" s="1">
        <f t="shared" si="51"/>
        <v>-0</v>
      </c>
      <c r="AH107" s="1">
        <f t="shared" si="51"/>
        <v>-0</v>
      </c>
      <c r="AI107" s="1">
        <f t="shared" si="51"/>
        <v>-0</v>
      </c>
      <c r="AJ107" s="1">
        <f t="shared" si="51"/>
        <v>-0</v>
      </c>
      <c r="AK107" s="1">
        <f t="shared" si="51"/>
        <v>-0</v>
      </c>
      <c r="AL107" s="1">
        <f t="shared" si="51"/>
        <v>-0</v>
      </c>
      <c r="AM107" s="1">
        <f t="shared" si="51"/>
        <v>-0</v>
      </c>
      <c r="AN107" s="1">
        <f t="shared" si="51"/>
        <v>-0</v>
      </c>
      <c r="AO107" s="1">
        <f t="shared" si="51"/>
        <v>-0</v>
      </c>
      <c r="AP107" s="1">
        <f>-$E$107*$E$35*AP11</f>
        <v>-0</v>
      </c>
      <c r="AQ107" s="1">
        <f>-$E$107*$E$35*AQ11</f>
        <v>-7830</v>
      </c>
    </row>
    <row r="108" spans="3:43" x14ac:dyDescent="0.25">
      <c r="C108" t="s">
        <v>996</v>
      </c>
      <c r="D108" t="s">
        <v>844</v>
      </c>
      <c r="E108" s="1">
        <f>Inputs!$E$176</f>
        <v>0</v>
      </c>
      <c r="F108" s="1"/>
      <c r="G108" s="1">
        <f t="shared" si="47"/>
        <v>0</v>
      </c>
      <c r="H108" s="1">
        <f>$E$108*$E$35*H11</f>
        <v>0</v>
      </c>
      <c r="I108" s="1">
        <f t="shared" ref="I108:AO108" si="52">$E$108*$E$35*I11</f>
        <v>0</v>
      </c>
      <c r="J108" s="1">
        <f t="shared" si="52"/>
        <v>0</v>
      </c>
      <c r="K108" s="1">
        <f t="shared" si="52"/>
        <v>0</v>
      </c>
      <c r="L108" s="1">
        <f t="shared" si="52"/>
        <v>0</v>
      </c>
      <c r="M108" s="1">
        <f t="shared" si="52"/>
        <v>0</v>
      </c>
      <c r="N108" s="1">
        <f t="shared" si="52"/>
        <v>0</v>
      </c>
      <c r="O108" s="1">
        <f t="shared" si="52"/>
        <v>0</v>
      </c>
      <c r="P108" s="1">
        <f t="shared" si="52"/>
        <v>0</v>
      </c>
      <c r="Q108" s="1">
        <f t="shared" si="52"/>
        <v>0</v>
      </c>
      <c r="R108" s="1">
        <f t="shared" si="52"/>
        <v>0</v>
      </c>
      <c r="S108" s="1">
        <f t="shared" si="52"/>
        <v>0</v>
      </c>
      <c r="T108" s="1">
        <f t="shared" si="52"/>
        <v>0</v>
      </c>
      <c r="U108" s="1">
        <f t="shared" si="52"/>
        <v>0</v>
      </c>
      <c r="V108" s="1">
        <f t="shared" si="52"/>
        <v>0</v>
      </c>
      <c r="W108" s="1">
        <f t="shared" si="52"/>
        <v>0</v>
      </c>
      <c r="X108" s="1">
        <f t="shared" si="52"/>
        <v>0</v>
      </c>
      <c r="Y108" s="1">
        <f t="shared" si="52"/>
        <v>0</v>
      </c>
      <c r="Z108" s="1">
        <f t="shared" si="52"/>
        <v>0</v>
      </c>
      <c r="AA108" s="1">
        <f t="shared" si="52"/>
        <v>0</v>
      </c>
      <c r="AB108" s="1">
        <f t="shared" si="52"/>
        <v>0</v>
      </c>
      <c r="AC108" s="1">
        <f t="shared" si="52"/>
        <v>0</v>
      </c>
      <c r="AD108" s="1">
        <f t="shared" si="52"/>
        <v>0</v>
      </c>
      <c r="AE108" s="1">
        <f t="shared" si="52"/>
        <v>0</v>
      </c>
      <c r="AF108" s="1">
        <f t="shared" si="52"/>
        <v>0</v>
      </c>
      <c r="AG108" s="1">
        <f t="shared" si="52"/>
        <v>0</v>
      </c>
      <c r="AH108" s="1">
        <f t="shared" si="52"/>
        <v>0</v>
      </c>
      <c r="AI108" s="1">
        <f t="shared" si="52"/>
        <v>0</v>
      </c>
      <c r="AJ108" s="1">
        <f t="shared" si="52"/>
        <v>0</v>
      </c>
      <c r="AK108" s="1">
        <f t="shared" si="52"/>
        <v>0</v>
      </c>
      <c r="AL108" s="1">
        <f t="shared" si="52"/>
        <v>0</v>
      </c>
      <c r="AM108" s="1">
        <f t="shared" si="52"/>
        <v>0</v>
      </c>
      <c r="AN108" s="1">
        <f t="shared" si="52"/>
        <v>0</v>
      </c>
      <c r="AO108" s="1">
        <f t="shared" si="52"/>
        <v>0</v>
      </c>
      <c r="AP108" s="1">
        <f>$E$108*$E$35*AP11</f>
        <v>0</v>
      </c>
      <c r="AQ108" s="1">
        <f>$E$108*$E$35*AQ11</f>
        <v>0</v>
      </c>
    </row>
    <row r="109" spans="3:43" x14ac:dyDescent="0.25">
      <c r="C109" s="6" t="s">
        <v>997</v>
      </c>
      <c r="D109" s="6" t="s">
        <v>844</v>
      </c>
      <c r="E109" s="37"/>
      <c r="F109" s="37"/>
      <c r="G109" s="37">
        <f t="shared" si="47"/>
        <v>1511673.1963287909</v>
      </c>
      <c r="H109" s="37">
        <f>SUM(H104:H108)</f>
        <v>-3175.234818585709</v>
      </c>
      <c r="I109" s="37">
        <f t="shared" ref="I109:AO109" si="53">SUM(I104:I108)</f>
        <v>-1953.381766012588</v>
      </c>
      <c r="J109" s="37">
        <f t="shared" si="53"/>
        <v>-2850.781741816561</v>
      </c>
      <c r="K109" s="37">
        <f t="shared" si="53"/>
        <v>-89489.15739242094</v>
      </c>
      <c r="L109" s="37">
        <f t="shared" si="53"/>
        <v>-218407.81944608467</v>
      </c>
      <c r="M109" s="37">
        <f t="shared" si="53"/>
        <v>-136470.83578989335</v>
      </c>
      <c r="N109" s="37">
        <f t="shared" si="53"/>
        <v>55609.741425861546</v>
      </c>
      <c r="O109" s="37">
        <f t="shared" si="53"/>
        <v>56810.43498888551</v>
      </c>
      <c r="P109" s="37">
        <f t="shared" si="53"/>
        <v>55076.575721537745</v>
      </c>
      <c r="Q109" s="37">
        <f t="shared" si="53"/>
        <v>55799.61974211573</v>
      </c>
      <c r="R109" s="37">
        <f t="shared" si="53"/>
        <v>56768.41500979422</v>
      </c>
      <c r="S109" s="37">
        <f t="shared" si="53"/>
        <v>60115.67236573571</v>
      </c>
      <c r="T109" s="37">
        <f t="shared" si="53"/>
        <v>60081.71718975843</v>
      </c>
      <c r="U109" s="37">
        <f t="shared" si="53"/>
        <v>60650.51554325003</v>
      </c>
      <c r="V109" s="37">
        <f t="shared" si="53"/>
        <v>60734.079695444176</v>
      </c>
      <c r="W109" s="37">
        <f t="shared" si="53"/>
        <v>60762.71725951616</v>
      </c>
      <c r="X109" s="37">
        <f t="shared" si="53"/>
        <v>62361.89215702055</v>
      </c>
      <c r="Y109" s="37">
        <f t="shared" si="53"/>
        <v>63509.72251097296</v>
      </c>
      <c r="Z109" s="37">
        <f t="shared" si="53"/>
        <v>63893.331730689846</v>
      </c>
      <c r="AA109" s="37">
        <f t="shared" si="53"/>
        <v>66226.10802310481</v>
      </c>
      <c r="AB109" s="37">
        <f t="shared" si="53"/>
        <v>67406.39527213605</v>
      </c>
      <c r="AC109" s="37">
        <f t="shared" si="53"/>
        <v>68276.626286429</v>
      </c>
      <c r="AD109" s="37">
        <f t="shared" si="53"/>
        <v>67796.44353110582</v>
      </c>
      <c r="AE109" s="37">
        <f t="shared" si="53"/>
        <v>68939.77807005876</v>
      </c>
      <c r="AF109" s="37">
        <f t="shared" si="53"/>
        <v>68914.44151135013</v>
      </c>
      <c r="AG109" s="37">
        <f t="shared" si="53"/>
        <v>69062.1274763236</v>
      </c>
      <c r="AH109" s="37">
        <f t="shared" si="53"/>
        <v>68617.88544982989</v>
      </c>
      <c r="AI109" s="37">
        <f t="shared" si="53"/>
        <v>70489.50566049124</v>
      </c>
      <c r="AJ109" s="37">
        <f t="shared" si="53"/>
        <v>71124.5771739413</v>
      </c>
      <c r="AK109" s="37">
        <f t="shared" si="53"/>
        <v>71799.29155095278</v>
      </c>
      <c r="AL109" s="37">
        <f t="shared" si="53"/>
        <v>71748.13534595404</v>
      </c>
      <c r="AM109" s="37">
        <f t="shared" si="53"/>
        <v>73562.4480180319</v>
      </c>
      <c r="AN109" s="37">
        <f t="shared" si="53"/>
        <v>76554.32549064499</v>
      </c>
      <c r="AO109" s="37">
        <f t="shared" si="53"/>
        <v>79221.51934010966</v>
      </c>
      <c r="AP109" s="37">
        <f>SUM(AP104:AP108)</f>
        <v>79439.68125293475</v>
      </c>
      <c r="AQ109" s="37">
        <f>SUM(AQ104:AQ108)</f>
        <v>52666.682489623316</v>
      </c>
    </row>
    <row r="110" spans="3:43" x14ac:dyDescent="0.25">
      <c r="C110" s="6" t="s">
        <v>998</v>
      </c>
      <c r="D110" s="6" t="s">
        <v>844</v>
      </c>
      <c r="E110" s="37"/>
      <c r="F110" s="37"/>
      <c r="G110" s="37">
        <f t="shared" si="47"/>
        <v>1373158.0858950904</v>
      </c>
      <c r="H110" s="37">
        <f>H109+H101</f>
        <v>-3175.234818585709</v>
      </c>
      <c r="I110" s="37">
        <f t="shared" ref="I110:AO110" si="54">I109+I101</f>
        <v>-1953.381766012588</v>
      </c>
      <c r="J110" s="37">
        <f t="shared" si="54"/>
        <v>-2850.781741816561</v>
      </c>
      <c r="K110" s="37">
        <f t="shared" si="54"/>
        <v>-89489.15739242094</v>
      </c>
      <c r="L110" s="37">
        <f t="shared" si="54"/>
        <v>-218407.81944608467</v>
      </c>
      <c r="M110" s="37">
        <f t="shared" si="54"/>
        <v>-137187.22558008565</v>
      </c>
      <c r="N110" s="37">
        <f t="shared" si="54"/>
        <v>52613.36171080066</v>
      </c>
      <c r="O110" s="37">
        <f t="shared" si="54"/>
        <v>53705.992853152464</v>
      </c>
      <c r="P110" s="37">
        <f t="shared" si="54"/>
        <v>52128.180919866</v>
      </c>
      <c r="Q110" s="37">
        <f t="shared" si="54"/>
        <v>52786.15097859196</v>
      </c>
      <c r="R110" s="37">
        <f t="shared" si="54"/>
        <v>53667.75467217939</v>
      </c>
      <c r="S110" s="37">
        <f t="shared" si="54"/>
        <v>56713.758866086144</v>
      </c>
      <c r="T110" s="37">
        <f t="shared" si="54"/>
        <v>56682.85965594682</v>
      </c>
      <c r="U110" s="37">
        <f t="shared" si="54"/>
        <v>57200.46615762418</v>
      </c>
      <c r="V110" s="37">
        <f t="shared" si="54"/>
        <v>57276.50953612085</v>
      </c>
      <c r="W110" s="37">
        <f t="shared" si="54"/>
        <v>57302.569719426356</v>
      </c>
      <c r="X110" s="37">
        <f t="shared" si="54"/>
        <v>58757.81887615535</v>
      </c>
      <c r="Y110" s="37">
        <f t="shared" si="54"/>
        <v>59802.344498252045</v>
      </c>
      <c r="Z110" s="37">
        <f t="shared" si="54"/>
        <v>60151.42888819441</v>
      </c>
      <c r="AA110" s="37">
        <f t="shared" si="54"/>
        <v>62274.25531429203</v>
      </c>
      <c r="AB110" s="37">
        <f t="shared" si="54"/>
        <v>63348.31671091046</v>
      </c>
      <c r="AC110" s="37">
        <f t="shared" si="54"/>
        <v>64140.226933917045</v>
      </c>
      <c r="AD110" s="37">
        <f t="shared" si="54"/>
        <v>63703.26062657295</v>
      </c>
      <c r="AE110" s="37">
        <f t="shared" si="54"/>
        <v>64743.69505702012</v>
      </c>
      <c r="AF110" s="37">
        <f t="shared" si="54"/>
        <v>64720.63878859527</v>
      </c>
      <c r="AG110" s="37">
        <f t="shared" si="54"/>
        <v>64352.90876340446</v>
      </c>
      <c r="AH110" s="37">
        <f t="shared" si="54"/>
        <v>62442.2757593452</v>
      </c>
      <c r="AI110" s="37">
        <f t="shared" si="54"/>
        <v>64145.45015104703</v>
      </c>
      <c r="AJ110" s="37">
        <f t="shared" si="54"/>
        <v>64723.36522828659</v>
      </c>
      <c r="AK110" s="37">
        <f t="shared" si="54"/>
        <v>65337.355311367035</v>
      </c>
      <c r="AL110" s="37">
        <f t="shared" si="54"/>
        <v>65290.80316481818</v>
      </c>
      <c r="AM110" s="37">
        <f t="shared" si="54"/>
        <v>66941.82769640902</v>
      </c>
      <c r="AN110" s="37">
        <f t="shared" si="54"/>
        <v>69664.43619648693</v>
      </c>
      <c r="AO110" s="37">
        <f t="shared" si="54"/>
        <v>72091.58259949979</v>
      </c>
      <c r="AP110" s="37">
        <f>AP109+AP101</f>
        <v>72290.10994017063</v>
      </c>
      <c r="AQ110" s="37">
        <f>AQ109+AQ101</f>
        <v>47221.981065557215</v>
      </c>
    </row>
    <row r="111" spans="3:43" x14ac:dyDescent="0.25">
      <c r="C111" t="s">
        <v>999</v>
      </c>
      <c r="D111" t="s">
        <v>844</v>
      </c>
      <c r="E111" s="1"/>
      <c r="F111" s="1"/>
      <c r="G111" s="1">
        <v>0</v>
      </c>
      <c r="H111" s="1">
        <f>G111+H110</f>
        <v>-3175.234818585709</v>
      </c>
      <c r="I111" s="1">
        <f>H111+I110</f>
        <v>-5128.616584598297</v>
      </c>
      <c r="J111" s="1">
        <f t="shared" ref="J111:AO111" si="55">I111+J110</f>
        <v>-7979.398326414857</v>
      </c>
      <c r="K111" s="1">
        <f t="shared" si="55"/>
        <v>-97468.55571883579</v>
      </c>
      <c r="L111" s="1">
        <f t="shared" si="55"/>
        <v>-315876.37516492046</v>
      </c>
      <c r="M111" s="1">
        <f t="shared" si="55"/>
        <v>-453063.6007450061</v>
      </c>
      <c r="N111" s="1">
        <f t="shared" si="55"/>
        <v>-400450.23903420544</v>
      </c>
      <c r="O111" s="1">
        <f t="shared" si="55"/>
        <v>-346744.246181053</v>
      </c>
      <c r="P111" s="1">
        <f t="shared" si="55"/>
        <v>-294616.065261187</v>
      </c>
      <c r="Q111" s="1">
        <f t="shared" si="55"/>
        <v>-241829.914282595</v>
      </c>
      <c r="R111" s="1">
        <f t="shared" si="55"/>
        <v>-188162.15961041563</v>
      </c>
      <c r="S111" s="1">
        <f t="shared" si="55"/>
        <v>-131448.4007443295</v>
      </c>
      <c r="T111" s="1">
        <f t="shared" si="55"/>
        <v>-74765.54108838268</v>
      </c>
      <c r="U111" s="1">
        <f t="shared" si="55"/>
        <v>-17565.074930758507</v>
      </c>
      <c r="V111" s="1">
        <f t="shared" si="55"/>
        <v>39711.434605362345</v>
      </c>
      <c r="W111" s="1">
        <f t="shared" si="55"/>
        <v>97014.0043247887</v>
      </c>
      <c r="X111" s="1">
        <f t="shared" si="55"/>
        <v>155771.82320094405</v>
      </c>
      <c r="Y111" s="1">
        <f t="shared" si="55"/>
        <v>215574.16769919608</v>
      </c>
      <c r="Z111" s="1">
        <f t="shared" si="55"/>
        <v>275725.5965873905</v>
      </c>
      <c r="AA111" s="1">
        <f t="shared" si="55"/>
        <v>337999.85190168256</v>
      </c>
      <c r="AB111" s="1">
        <f t="shared" si="55"/>
        <v>401348.168612593</v>
      </c>
      <c r="AC111" s="1">
        <f t="shared" si="55"/>
        <v>465488.39554651006</v>
      </c>
      <c r="AD111" s="1">
        <f t="shared" si="55"/>
        <v>529191.656173083</v>
      </c>
      <c r="AE111" s="1">
        <f t="shared" si="55"/>
        <v>593935.3512301032</v>
      </c>
      <c r="AF111" s="1">
        <f t="shared" si="55"/>
        <v>658655.9900186984</v>
      </c>
      <c r="AG111" s="1">
        <f t="shared" si="55"/>
        <v>723008.8987821029</v>
      </c>
      <c r="AH111" s="1">
        <f t="shared" si="55"/>
        <v>785451.174541448</v>
      </c>
      <c r="AI111" s="1">
        <f t="shared" si="55"/>
        <v>849596.624692495</v>
      </c>
      <c r="AJ111" s="1">
        <f t="shared" si="55"/>
        <v>914319.9899207816</v>
      </c>
      <c r="AK111" s="1">
        <f t="shared" si="55"/>
        <v>979657.3452321487</v>
      </c>
      <c r="AL111" s="1">
        <f t="shared" si="55"/>
        <v>1044948.1483969669</v>
      </c>
      <c r="AM111" s="1">
        <f t="shared" si="55"/>
        <v>1111889.9760933758</v>
      </c>
      <c r="AN111" s="1">
        <f t="shared" si="55"/>
        <v>1181554.4122898628</v>
      </c>
      <c r="AO111" s="1">
        <f t="shared" si="55"/>
        <v>1253645.9948893625</v>
      </c>
      <c r="AP111" s="1">
        <f>AO111+AP110</f>
        <v>1325936.104829533</v>
      </c>
      <c r="AQ111" s="1">
        <f>AP111+AQ110</f>
        <v>1373158.0858950901</v>
      </c>
    </row>
    <row r="112" spans="3:43" x14ac:dyDescent="0.25">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spans="3:43" x14ac:dyDescent="0.25">
      <c r="C113" s="43" t="s">
        <v>1000</v>
      </c>
      <c r="D113" s="4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row>
    <row r="114" spans="3:43" x14ac:dyDescent="0.25">
      <c r="C114" t="s">
        <v>993</v>
      </c>
      <c r="D114" t="s">
        <v>844</v>
      </c>
      <c r="E114" s="1"/>
      <c r="F114" s="1"/>
      <c r="G114" s="1">
        <f t="shared" ref="G114:G123" si="56">SUM(H114:AQ114)</f>
        <v>-33685.62023695843</v>
      </c>
      <c r="H114" s="1">
        <f>H24</f>
        <v>-3175.234818585709</v>
      </c>
      <c r="I114" s="1">
        <f t="shared" ref="I114:AO114" si="57">I24</f>
        <v>-1953.381766012588</v>
      </c>
      <c r="J114" s="1">
        <f t="shared" si="57"/>
        <v>-2850.781741816561</v>
      </c>
      <c r="K114" s="1">
        <f t="shared" si="57"/>
        <v>-1397.5912254720474</v>
      </c>
      <c r="L114" s="1">
        <f t="shared" si="57"/>
        <v>-23488.096885109055</v>
      </c>
      <c r="M114" s="1">
        <f t="shared" si="57"/>
        <v>-820.5337999624696</v>
      </c>
      <c r="N114" s="1">
        <f t="shared" si="57"/>
        <v>0</v>
      </c>
      <c r="O114" s="1">
        <f t="shared" si="57"/>
        <v>0</v>
      </c>
      <c r="P114" s="1">
        <f t="shared" si="57"/>
        <v>0</v>
      </c>
      <c r="Q114" s="1">
        <f t="shared" si="57"/>
        <v>0</v>
      </c>
      <c r="R114" s="1">
        <f t="shared" si="57"/>
        <v>0</v>
      </c>
      <c r="S114" s="1">
        <f t="shared" si="57"/>
        <v>0</v>
      </c>
      <c r="T114" s="1">
        <f t="shared" si="57"/>
        <v>0</v>
      </c>
      <c r="U114" s="1">
        <f t="shared" si="57"/>
        <v>0</v>
      </c>
      <c r="V114" s="1">
        <f t="shared" si="57"/>
        <v>0</v>
      </c>
      <c r="W114" s="1">
        <f t="shared" si="57"/>
        <v>0</v>
      </c>
      <c r="X114" s="1">
        <f t="shared" si="57"/>
        <v>0</v>
      </c>
      <c r="Y114" s="1">
        <f t="shared" si="57"/>
        <v>0</v>
      </c>
      <c r="Z114" s="1">
        <f t="shared" si="57"/>
        <v>0</v>
      </c>
      <c r="AA114" s="1">
        <f t="shared" si="57"/>
        <v>0</v>
      </c>
      <c r="AB114" s="1">
        <f t="shared" si="57"/>
        <v>0</v>
      </c>
      <c r="AC114" s="1">
        <f t="shared" si="57"/>
        <v>0</v>
      </c>
      <c r="AD114" s="1">
        <f t="shared" si="57"/>
        <v>0</v>
      </c>
      <c r="AE114" s="1">
        <f t="shared" si="57"/>
        <v>0</v>
      </c>
      <c r="AF114" s="1">
        <f t="shared" si="57"/>
        <v>0</v>
      </c>
      <c r="AG114" s="1">
        <f t="shared" si="57"/>
        <v>0</v>
      </c>
      <c r="AH114" s="1">
        <f t="shared" si="57"/>
        <v>0</v>
      </c>
      <c r="AI114" s="1">
        <f t="shared" si="57"/>
        <v>0</v>
      </c>
      <c r="AJ114" s="1">
        <f t="shared" si="57"/>
        <v>0</v>
      </c>
      <c r="AK114" s="1">
        <f t="shared" si="57"/>
        <v>0</v>
      </c>
      <c r="AL114" s="1">
        <f t="shared" si="57"/>
        <v>0</v>
      </c>
      <c r="AM114" s="1">
        <f t="shared" si="57"/>
        <v>0</v>
      </c>
      <c r="AN114" s="1">
        <f t="shared" si="57"/>
        <v>0</v>
      </c>
      <c r="AO114" s="1">
        <f t="shared" si="57"/>
        <v>0</v>
      </c>
      <c r="AP114" s="1">
        <f>AP24</f>
        <v>0</v>
      </c>
      <c r="AQ114" s="1">
        <f>AQ24</f>
        <v>0</v>
      </c>
    </row>
    <row r="115" spans="3:43" x14ac:dyDescent="0.25">
      <c r="C115" t="s">
        <v>994</v>
      </c>
      <c r="D115" t="s">
        <v>844</v>
      </c>
      <c r="E115" s="1"/>
      <c r="F115" s="1"/>
      <c r="G115" s="1">
        <f t="shared" si="56"/>
        <v>-431201.29658630135</v>
      </c>
      <c r="H115" s="1">
        <f>H30</f>
        <v>-0</v>
      </c>
      <c r="I115" s="1">
        <f t="shared" ref="I115:AO115" si="58">I30</f>
        <v>-0</v>
      </c>
      <c r="J115" s="1">
        <f t="shared" si="58"/>
        <v>-0</v>
      </c>
      <c r="K115" s="1">
        <f t="shared" si="58"/>
        <v>-87894.32466849315</v>
      </c>
      <c r="L115" s="1">
        <f t="shared" si="58"/>
        <v>-194117.625</v>
      </c>
      <c r="M115" s="1">
        <f t="shared" si="58"/>
        <v>-149189.34691780823</v>
      </c>
      <c r="N115" s="1">
        <f t="shared" si="58"/>
        <v>-0</v>
      </c>
      <c r="O115" s="1">
        <f t="shared" si="58"/>
        <v>-0</v>
      </c>
      <c r="P115" s="1">
        <f t="shared" si="58"/>
        <v>-0</v>
      </c>
      <c r="Q115" s="1">
        <f t="shared" si="58"/>
        <v>-0</v>
      </c>
      <c r="R115" s="1">
        <f t="shared" si="58"/>
        <v>-0</v>
      </c>
      <c r="S115" s="1">
        <f t="shared" si="58"/>
        <v>-0</v>
      </c>
      <c r="T115" s="1">
        <f t="shared" si="58"/>
        <v>-0</v>
      </c>
      <c r="U115" s="1">
        <f t="shared" si="58"/>
        <v>-0</v>
      </c>
      <c r="V115" s="1">
        <f t="shared" si="58"/>
        <v>-0</v>
      </c>
      <c r="W115" s="1">
        <f t="shared" si="58"/>
        <v>-0</v>
      </c>
      <c r="X115" s="1">
        <f t="shared" si="58"/>
        <v>-0</v>
      </c>
      <c r="Y115" s="1">
        <f t="shared" si="58"/>
        <v>-0</v>
      </c>
      <c r="Z115" s="1">
        <f t="shared" si="58"/>
        <v>-0</v>
      </c>
      <c r="AA115" s="1">
        <f t="shared" si="58"/>
        <v>-0</v>
      </c>
      <c r="AB115" s="1">
        <f t="shared" si="58"/>
        <v>-0</v>
      </c>
      <c r="AC115" s="1">
        <f t="shared" si="58"/>
        <v>-0</v>
      </c>
      <c r="AD115" s="1">
        <f t="shared" si="58"/>
        <v>-0</v>
      </c>
      <c r="AE115" s="1">
        <f t="shared" si="58"/>
        <v>-0</v>
      </c>
      <c r="AF115" s="1">
        <f t="shared" si="58"/>
        <v>-0</v>
      </c>
      <c r="AG115" s="1">
        <f t="shared" si="58"/>
        <v>-0</v>
      </c>
      <c r="AH115" s="1">
        <f t="shared" si="58"/>
        <v>-0</v>
      </c>
      <c r="AI115" s="1">
        <f t="shared" si="58"/>
        <v>-0</v>
      </c>
      <c r="AJ115" s="1">
        <f t="shared" si="58"/>
        <v>-0</v>
      </c>
      <c r="AK115" s="1">
        <f t="shared" si="58"/>
        <v>-0</v>
      </c>
      <c r="AL115" s="1">
        <f t="shared" si="58"/>
        <v>-0</v>
      </c>
      <c r="AM115" s="1">
        <f t="shared" si="58"/>
        <v>-0</v>
      </c>
      <c r="AN115" s="1">
        <f t="shared" si="58"/>
        <v>-0</v>
      </c>
      <c r="AO115" s="1">
        <f t="shared" si="58"/>
        <v>-0</v>
      </c>
      <c r="AP115" s="1">
        <f>AP30</f>
        <v>-0</v>
      </c>
      <c r="AQ115" s="1">
        <f>AQ30</f>
        <v>-0</v>
      </c>
    </row>
    <row r="116" spans="3:43" x14ac:dyDescent="0.25">
      <c r="C116" t="s">
        <v>1001</v>
      </c>
      <c r="D116" t="s">
        <v>844</v>
      </c>
      <c r="E116" s="1"/>
      <c r="F116" s="2"/>
      <c r="G116" s="1">
        <f t="shared" si="56"/>
        <v>237160.71312246576</v>
      </c>
      <c r="H116" s="1">
        <f>H77</f>
        <v>0</v>
      </c>
      <c r="I116" s="1">
        <f t="shared" ref="I116:AO116" si="59">I77</f>
        <v>0</v>
      </c>
      <c r="J116" s="1">
        <f t="shared" si="59"/>
        <v>0</v>
      </c>
      <c r="K116" s="1">
        <f t="shared" si="59"/>
        <v>29888.747407214865</v>
      </c>
      <c r="L116" s="1">
        <f t="shared" si="59"/>
        <v>118580.35656123288</v>
      </c>
      <c r="M116" s="1">
        <f t="shared" si="59"/>
        <v>88691.60915401802</v>
      </c>
      <c r="N116" s="1">
        <f t="shared" si="59"/>
        <v>0</v>
      </c>
      <c r="O116" s="1">
        <f t="shared" si="59"/>
        <v>0</v>
      </c>
      <c r="P116" s="1">
        <f t="shared" si="59"/>
        <v>0</v>
      </c>
      <c r="Q116" s="1">
        <f t="shared" si="59"/>
        <v>0</v>
      </c>
      <c r="R116" s="1">
        <f t="shared" si="59"/>
        <v>0</v>
      </c>
      <c r="S116" s="1">
        <f t="shared" si="59"/>
        <v>0</v>
      </c>
      <c r="T116" s="1">
        <f t="shared" si="59"/>
        <v>0</v>
      </c>
      <c r="U116" s="1">
        <f t="shared" si="59"/>
        <v>0</v>
      </c>
      <c r="V116" s="1">
        <f t="shared" si="59"/>
        <v>0</v>
      </c>
      <c r="W116" s="1">
        <f t="shared" si="59"/>
        <v>0</v>
      </c>
      <c r="X116" s="1">
        <f t="shared" si="59"/>
        <v>0</v>
      </c>
      <c r="Y116" s="1">
        <f t="shared" si="59"/>
        <v>0</v>
      </c>
      <c r="Z116" s="1">
        <f t="shared" si="59"/>
        <v>0</v>
      </c>
      <c r="AA116" s="1">
        <f t="shared" si="59"/>
        <v>0</v>
      </c>
      <c r="AB116" s="1">
        <f t="shared" si="59"/>
        <v>0</v>
      </c>
      <c r="AC116" s="1">
        <f t="shared" si="59"/>
        <v>0</v>
      </c>
      <c r="AD116" s="1">
        <f t="shared" si="59"/>
        <v>0</v>
      </c>
      <c r="AE116" s="1">
        <f t="shared" si="59"/>
        <v>0</v>
      </c>
      <c r="AF116" s="1">
        <f t="shared" si="59"/>
        <v>0</v>
      </c>
      <c r="AG116" s="1">
        <f t="shared" si="59"/>
        <v>0</v>
      </c>
      <c r="AH116" s="1">
        <f t="shared" si="59"/>
        <v>0</v>
      </c>
      <c r="AI116" s="1">
        <f t="shared" si="59"/>
        <v>0</v>
      </c>
      <c r="AJ116" s="1">
        <f t="shared" si="59"/>
        <v>0</v>
      </c>
      <c r="AK116" s="1">
        <f t="shared" si="59"/>
        <v>0</v>
      </c>
      <c r="AL116" s="1">
        <f t="shared" si="59"/>
        <v>0</v>
      </c>
      <c r="AM116" s="1">
        <f t="shared" si="59"/>
        <v>0</v>
      </c>
      <c r="AN116" s="1">
        <f t="shared" si="59"/>
        <v>0</v>
      </c>
      <c r="AO116" s="1">
        <f t="shared" si="59"/>
        <v>0</v>
      </c>
      <c r="AP116" s="1">
        <f>AP77</f>
        <v>0</v>
      </c>
      <c r="AQ116" s="1">
        <f>AQ77</f>
        <v>0</v>
      </c>
    </row>
    <row r="117" spans="3:43" x14ac:dyDescent="0.25">
      <c r="C117" t="s">
        <v>1002</v>
      </c>
      <c r="D117" t="s">
        <v>844</v>
      </c>
      <c r="E117" s="1"/>
      <c r="F117" s="1"/>
      <c r="G117" s="1">
        <f t="shared" si="56"/>
        <v>-6242.73709904252</v>
      </c>
      <c r="H117" s="1">
        <f>H85-H80</f>
        <v>-0</v>
      </c>
      <c r="I117" s="1">
        <f t="shared" ref="I117:AO117" si="60">I85-I80</f>
        <v>-0</v>
      </c>
      <c r="J117" s="1">
        <f t="shared" si="60"/>
        <v>-0</v>
      </c>
      <c r="K117" s="1">
        <f t="shared" si="60"/>
        <v>-4654.408723585109</v>
      </c>
      <c r="L117" s="1">
        <f t="shared" si="60"/>
        <v>-1325.1111187450865</v>
      </c>
      <c r="M117" s="1">
        <f t="shared" si="60"/>
        <v>-263.21725671232446</v>
      </c>
      <c r="N117" s="1">
        <f t="shared" si="60"/>
        <v>-0</v>
      </c>
      <c r="O117" s="1">
        <f t="shared" si="60"/>
        <v>-0</v>
      </c>
      <c r="P117" s="1">
        <f t="shared" si="60"/>
        <v>-0</v>
      </c>
      <c r="Q117" s="1">
        <f t="shared" si="60"/>
        <v>-0</v>
      </c>
      <c r="R117" s="1">
        <f t="shared" si="60"/>
        <v>-0</v>
      </c>
      <c r="S117" s="1">
        <f t="shared" si="60"/>
        <v>-0</v>
      </c>
      <c r="T117" s="1">
        <f t="shared" si="60"/>
        <v>-0</v>
      </c>
      <c r="U117" s="1">
        <f t="shared" si="60"/>
        <v>-0</v>
      </c>
      <c r="V117" s="1">
        <f t="shared" si="60"/>
        <v>-0</v>
      </c>
      <c r="W117" s="1">
        <f t="shared" si="60"/>
        <v>-0</v>
      </c>
      <c r="X117" s="1">
        <f t="shared" si="60"/>
        <v>-0</v>
      </c>
      <c r="Y117" s="1">
        <f t="shared" si="60"/>
        <v>-0</v>
      </c>
      <c r="Z117" s="1">
        <f t="shared" si="60"/>
        <v>-0</v>
      </c>
      <c r="AA117" s="1">
        <f t="shared" si="60"/>
        <v>-0</v>
      </c>
      <c r="AB117" s="1">
        <f t="shared" si="60"/>
        <v>-0</v>
      </c>
      <c r="AC117" s="1">
        <f t="shared" si="60"/>
        <v>-0</v>
      </c>
      <c r="AD117" s="1">
        <f t="shared" si="60"/>
        <v>-0</v>
      </c>
      <c r="AE117" s="1">
        <f t="shared" si="60"/>
        <v>-0</v>
      </c>
      <c r="AF117" s="1">
        <f t="shared" si="60"/>
        <v>-0</v>
      </c>
      <c r="AG117" s="1">
        <f t="shared" si="60"/>
        <v>-0</v>
      </c>
      <c r="AH117" s="1">
        <f t="shared" si="60"/>
        <v>-0</v>
      </c>
      <c r="AI117" s="1">
        <f t="shared" si="60"/>
        <v>-0</v>
      </c>
      <c r="AJ117" s="1">
        <f t="shared" si="60"/>
        <v>-0</v>
      </c>
      <c r="AK117" s="1">
        <f t="shared" si="60"/>
        <v>-0</v>
      </c>
      <c r="AL117" s="1">
        <f t="shared" si="60"/>
        <v>-0</v>
      </c>
      <c r="AM117" s="1">
        <f t="shared" si="60"/>
        <v>-0</v>
      </c>
      <c r="AN117" s="1">
        <f t="shared" si="60"/>
        <v>-0</v>
      </c>
      <c r="AO117" s="1">
        <f t="shared" si="60"/>
        <v>-0</v>
      </c>
      <c r="AP117" s="1">
        <f>AP85-AP80</f>
        <v>-0</v>
      </c>
      <c r="AQ117" s="1">
        <f>AQ85-AQ80</f>
        <v>-0</v>
      </c>
    </row>
    <row r="118" spans="3:43" x14ac:dyDescent="0.25">
      <c r="C118" t="s">
        <v>381</v>
      </c>
      <c r="D118" t="s">
        <v>844</v>
      </c>
      <c r="E118" s="1"/>
      <c r="F118" s="1"/>
      <c r="G118" s="1">
        <f t="shared" si="56"/>
        <v>1984390.1131520506</v>
      </c>
      <c r="H118" s="1">
        <f>H70</f>
        <v>0</v>
      </c>
      <c r="I118" s="1">
        <f t="shared" ref="I118:AO118" si="61">I70</f>
        <v>0</v>
      </c>
      <c r="J118" s="1">
        <f t="shared" si="61"/>
        <v>0</v>
      </c>
      <c r="K118" s="1">
        <f t="shared" si="61"/>
        <v>-197.24149845574638</v>
      </c>
      <c r="L118" s="1">
        <f t="shared" si="61"/>
        <v>-802.0975609756099</v>
      </c>
      <c r="M118" s="1">
        <f t="shared" si="61"/>
        <v>13539.044927877349</v>
      </c>
      <c r="N118" s="1">
        <f t="shared" si="61"/>
        <v>55609.741425861546</v>
      </c>
      <c r="O118" s="1">
        <f t="shared" si="61"/>
        <v>56810.43498888551</v>
      </c>
      <c r="P118" s="1">
        <f t="shared" si="61"/>
        <v>55076.575721537745</v>
      </c>
      <c r="Q118" s="1">
        <f t="shared" si="61"/>
        <v>55799.61974211573</v>
      </c>
      <c r="R118" s="1">
        <f t="shared" si="61"/>
        <v>56768.41500979422</v>
      </c>
      <c r="S118" s="1">
        <f t="shared" si="61"/>
        <v>60115.67236573571</v>
      </c>
      <c r="T118" s="1">
        <f t="shared" si="61"/>
        <v>60081.71718975843</v>
      </c>
      <c r="U118" s="1">
        <f t="shared" si="61"/>
        <v>60650.51554325003</v>
      </c>
      <c r="V118" s="1">
        <f t="shared" si="61"/>
        <v>60734.079695444176</v>
      </c>
      <c r="W118" s="1">
        <f t="shared" si="61"/>
        <v>60762.71725951616</v>
      </c>
      <c r="X118" s="1">
        <f t="shared" si="61"/>
        <v>62361.89215702055</v>
      </c>
      <c r="Y118" s="1">
        <f t="shared" si="61"/>
        <v>63509.72251097296</v>
      </c>
      <c r="Z118" s="1">
        <f t="shared" si="61"/>
        <v>63893.331730689846</v>
      </c>
      <c r="AA118" s="1">
        <f t="shared" si="61"/>
        <v>66226.10802310481</v>
      </c>
      <c r="AB118" s="1">
        <f t="shared" si="61"/>
        <v>67406.39527213605</v>
      </c>
      <c r="AC118" s="1">
        <f t="shared" si="61"/>
        <v>68276.626286429</v>
      </c>
      <c r="AD118" s="1">
        <f t="shared" si="61"/>
        <v>67796.44353110582</v>
      </c>
      <c r="AE118" s="1">
        <f t="shared" si="61"/>
        <v>68939.77807005876</v>
      </c>
      <c r="AF118" s="1">
        <f t="shared" si="61"/>
        <v>68914.44151135013</v>
      </c>
      <c r="AG118" s="1">
        <f t="shared" si="61"/>
        <v>69062.1274763236</v>
      </c>
      <c r="AH118" s="1">
        <f t="shared" si="61"/>
        <v>68617.88544982989</v>
      </c>
      <c r="AI118" s="1">
        <f t="shared" si="61"/>
        <v>70489.50566049124</v>
      </c>
      <c r="AJ118" s="1">
        <f t="shared" si="61"/>
        <v>71124.5771739413</v>
      </c>
      <c r="AK118" s="1">
        <f t="shared" si="61"/>
        <v>71799.29155095278</v>
      </c>
      <c r="AL118" s="1">
        <f t="shared" si="61"/>
        <v>71748.13534595404</v>
      </c>
      <c r="AM118" s="1">
        <f t="shared" si="61"/>
        <v>73562.4480180319</v>
      </c>
      <c r="AN118" s="1">
        <f t="shared" si="61"/>
        <v>76554.32549064499</v>
      </c>
      <c r="AO118" s="1">
        <f t="shared" si="61"/>
        <v>79221.51934010966</v>
      </c>
      <c r="AP118" s="1">
        <f>AP70</f>
        <v>79439.68125293475</v>
      </c>
      <c r="AQ118" s="1">
        <f>AQ70</f>
        <v>60496.682489623316</v>
      </c>
    </row>
    <row r="119" spans="3:43" x14ac:dyDescent="0.25">
      <c r="C119" t="s">
        <v>1516</v>
      </c>
      <c r="D119" t="s">
        <v>844</v>
      </c>
      <c r="E119" s="1"/>
      <c r="F119" s="1"/>
      <c r="G119" s="1">
        <f t="shared" si="56"/>
        <v>-306972.17062984186</v>
      </c>
      <c r="H119" s="1">
        <f>H86-H87</f>
        <v>-0</v>
      </c>
      <c r="I119" s="1">
        <f t="shared" ref="I119:AQ119" si="62">I86-I87</f>
        <v>-0</v>
      </c>
      <c r="J119" s="1">
        <f t="shared" si="62"/>
        <v>-0</v>
      </c>
      <c r="K119" s="1">
        <f t="shared" si="62"/>
        <v>-0</v>
      </c>
      <c r="L119" s="1">
        <f t="shared" si="62"/>
        <v>-0</v>
      </c>
      <c r="M119" s="1">
        <f t="shared" si="62"/>
        <v>-3122.8291590789763</v>
      </c>
      <c r="N119" s="1">
        <f t="shared" si="62"/>
        <v>-43395.70693535008</v>
      </c>
      <c r="O119" s="1">
        <f t="shared" si="62"/>
        <v>-43522.39731448791</v>
      </c>
      <c r="P119" s="1">
        <f t="shared" si="62"/>
        <v>-42660.19467241014</v>
      </c>
      <c r="Q119" s="1">
        <f t="shared" si="62"/>
        <v>-42914.15814851155</v>
      </c>
      <c r="R119" s="1">
        <f t="shared" si="62"/>
        <v>-43275.61594655938</v>
      </c>
      <c r="S119" s="1">
        <f t="shared" si="62"/>
        <v>-32353.65303490058</v>
      </c>
      <c r="T119" s="1">
        <f t="shared" si="62"/>
        <v>-32353.65303490058</v>
      </c>
      <c r="U119" s="1">
        <f t="shared" si="62"/>
        <v>-23373.96238364269</v>
      </c>
      <c r="V119" s="1">
        <f t="shared" si="62"/>
        <v>-0</v>
      </c>
      <c r="W119" s="1">
        <f t="shared" si="62"/>
        <v>-0</v>
      </c>
      <c r="X119" s="1">
        <f t="shared" si="62"/>
        <v>-0</v>
      </c>
      <c r="Y119" s="1">
        <f t="shared" si="62"/>
        <v>-0</v>
      </c>
      <c r="Z119" s="1">
        <f t="shared" si="62"/>
        <v>-0</v>
      </c>
      <c r="AA119" s="1">
        <f t="shared" si="62"/>
        <v>-0</v>
      </c>
      <c r="AB119" s="1">
        <f t="shared" si="62"/>
        <v>-0</v>
      </c>
      <c r="AC119" s="1">
        <f t="shared" si="62"/>
        <v>-0</v>
      </c>
      <c r="AD119" s="1">
        <f t="shared" si="62"/>
        <v>-0</v>
      </c>
      <c r="AE119" s="1">
        <f t="shared" si="62"/>
        <v>-0</v>
      </c>
      <c r="AF119" s="1">
        <f t="shared" si="62"/>
        <v>-0</v>
      </c>
      <c r="AG119" s="1">
        <f t="shared" si="62"/>
        <v>-0</v>
      </c>
      <c r="AH119" s="1">
        <f t="shared" si="62"/>
        <v>-0</v>
      </c>
      <c r="AI119" s="1">
        <f t="shared" si="62"/>
        <v>-0</v>
      </c>
      <c r="AJ119" s="1">
        <f t="shared" si="62"/>
        <v>-0</v>
      </c>
      <c r="AK119" s="1">
        <f t="shared" si="62"/>
        <v>-0</v>
      </c>
      <c r="AL119" s="1">
        <f t="shared" si="62"/>
        <v>-0</v>
      </c>
      <c r="AM119" s="1">
        <f t="shared" si="62"/>
        <v>-0</v>
      </c>
      <c r="AN119" s="1">
        <f t="shared" si="62"/>
        <v>-0</v>
      </c>
      <c r="AO119" s="1">
        <f t="shared" si="62"/>
        <v>-0</v>
      </c>
      <c r="AP119" s="1">
        <f t="shared" si="62"/>
        <v>-0</v>
      </c>
      <c r="AQ119" s="1">
        <f t="shared" si="62"/>
        <v>-0</v>
      </c>
    </row>
    <row r="120" spans="3:43" x14ac:dyDescent="0.25">
      <c r="C120" t="s">
        <v>1515</v>
      </c>
      <c r="D120" t="s">
        <v>844</v>
      </c>
      <c r="E120" s="1"/>
      <c r="F120" s="1"/>
      <c r="G120" s="1">
        <f>SUM(H120:AQ120)</f>
        <v>0</v>
      </c>
      <c r="H120" s="1">
        <f>H89</f>
        <v>-0</v>
      </c>
      <c r="I120" s="1">
        <f t="shared" ref="I120:AQ120" si="63">I89</f>
        <v>-0</v>
      </c>
      <c r="J120" s="1">
        <f t="shared" si="63"/>
        <v>-0</v>
      </c>
      <c r="K120" s="1">
        <f t="shared" si="63"/>
        <v>-0</v>
      </c>
      <c r="L120" s="1">
        <f t="shared" si="63"/>
        <v>-0</v>
      </c>
      <c r="M120" s="1">
        <f t="shared" si="63"/>
        <v>-16176.82651745029</v>
      </c>
      <c r="N120" s="1">
        <f t="shared" si="63"/>
        <v>-0</v>
      </c>
      <c r="O120" s="1">
        <f t="shared" si="63"/>
        <v>-0</v>
      </c>
      <c r="P120" s="1">
        <f t="shared" si="63"/>
        <v>-0</v>
      </c>
      <c r="Q120" s="1">
        <f t="shared" si="63"/>
        <v>-0</v>
      </c>
      <c r="R120" s="1">
        <f t="shared" si="63"/>
        <v>-0</v>
      </c>
      <c r="S120" s="1">
        <f t="shared" si="63"/>
        <v>-0</v>
      </c>
      <c r="T120" s="1">
        <f t="shared" si="63"/>
        <v>4489.845325628945</v>
      </c>
      <c r="U120" s="1">
        <f t="shared" si="63"/>
        <v>11686.981191821345</v>
      </c>
      <c r="V120" s="1">
        <f t="shared" si="63"/>
        <v>-0</v>
      </c>
      <c r="W120" s="1">
        <f t="shared" si="63"/>
        <v>-0</v>
      </c>
      <c r="X120" s="1">
        <f t="shared" si="63"/>
        <v>-0</v>
      </c>
      <c r="Y120" s="1">
        <f t="shared" si="63"/>
        <v>-0</v>
      </c>
      <c r="Z120" s="1">
        <f t="shared" si="63"/>
        <v>-0</v>
      </c>
      <c r="AA120" s="1">
        <f t="shared" si="63"/>
        <v>-0</v>
      </c>
      <c r="AB120" s="1">
        <f t="shared" si="63"/>
        <v>-0</v>
      </c>
      <c r="AC120" s="1">
        <f t="shared" si="63"/>
        <v>-0</v>
      </c>
      <c r="AD120" s="1">
        <f t="shared" si="63"/>
        <v>-0</v>
      </c>
      <c r="AE120" s="1">
        <f t="shared" si="63"/>
        <v>-0</v>
      </c>
      <c r="AF120" s="1">
        <f t="shared" si="63"/>
        <v>-0</v>
      </c>
      <c r="AG120" s="1">
        <f t="shared" si="63"/>
        <v>-0</v>
      </c>
      <c r="AH120" s="1">
        <f t="shared" si="63"/>
        <v>-0</v>
      </c>
      <c r="AI120" s="1">
        <f t="shared" si="63"/>
        <v>-0</v>
      </c>
      <c r="AJ120" s="1">
        <f t="shared" si="63"/>
        <v>-0</v>
      </c>
      <c r="AK120" s="1">
        <f t="shared" si="63"/>
        <v>-0</v>
      </c>
      <c r="AL120" s="1">
        <f t="shared" si="63"/>
        <v>-0</v>
      </c>
      <c r="AM120" s="1">
        <f t="shared" si="63"/>
        <v>-0</v>
      </c>
      <c r="AN120" s="1">
        <f t="shared" si="63"/>
        <v>-0</v>
      </c>
      <c r="AO120" s="1">
        <f t="shared" si="63"/>
        <v>-0</v>
      </c>
      <c r="AP120" s="1">
        <f t="shared" si="63"/>
        <v>-0</v>
      </c>
      <c r="AQ120" s="1">
        <f t="shared" si="63"/>
        <v>-0</v>
      </c>
    </row>
    <row r="121" spans="3:43" x14ac:dyDescent="0.25">
      <c r="C121" t="s">
        <v>87</v>
      </c>
      <c r="D121" t="s">
        <v>844</v>
      </c>
      <c r="E121" s="1"/>
      <c r="F121" s="1"/>
      <c r="G121" s="1">
        <f t="shared" si="56"/>
        <v>-132442.2920351631</v>
      </c>
      <c r="H121" s="1">
        <f>H100</f>
        <v>-0</v>
      </c>
      <c r="I121" s="1">
        <f t="shared" ref="I121:AO121" si="64">I100</f>
        <v>-0</v>
      </c>
      <c r="J121" s="1">
        <f t="shared" si="64"/>
        <v>-0</v>
      </c>
      <c r="K121" s="1">
        <f t="shared" si="64"/>
        <v>-0</v>
      </c>
      <c r="L121" s="1">
        <f t="shared" si="64"/>
        <v>-0</v>
      </c>
      <c r="M121" s="1">
        <f t="shared" si="64"/>
        <v>-205.82280638554087</v>
      </c>
      <c r="N121" s="1">
        <f t="shared" si="64"/>
        <v>-1171.980590061966</v>
      </c>
      <c r="O121" s="1">
        <f t="shared" si="64"/>
        <v>-2119.2933948102677</v>
      </c>
      <c r="P121" s="1">
        <f t="shared" si="64"/>
        <v>-2109.839411618026</v>
      </c>
      <c r="Q121" s="1">
        <f t="shared" si="64"/>
        <v>-2324.9564799932036</v>
      </c>
      <c r="R121" s="1">
        <f t="shared" si="64"/>
        <v>-2570.836151576042</v>
      </c>
      <c r="S121" s="1">
        <f t="shared" si="64"/>
        <v>-3040.3383760683537</v>
      </c>
      <c r="T121" s="1">
        <f t="shared" si="64"/>
        <v>-3164.7950927083903</v>
      </c>
      <c r="U121" s="1">
        <f t="shared" si="64"/>
        <v>-3349.875261124527</v>
      </c>
      <c r="V121" s="1">
        <f t="shared" si="64"/>
        <v>-3457.5701593233252</v>
      </c>
      <c r="W121" s="1">
        <f t="shared" si="64"/>
        <v>-3460.147540089804</v>
      </c>
      <c r="X121" s="1">
        <f t="shared" si="64"/>
        <v>-3604.073280865199</v>
      </c>
      <c r="Y121" s="1">
        <f t="shared" si="64"/>
        <v>-3707.378012720916</v>
      </c>
      <c r="Z121" s="1">
        <f t="shared" si="64"/>
        <v>-3741.902842495436</v>
      </c>
      <c r="AA121" s="1">
        <f t="shared" si="64"/>
        <v>-3951.8527088127826</v>
      </c>
      <c r="AB121" s="1">
        <f t="shared" si="64"/>
        <v>-4058.0785612255945</v>
      </c>
      <c r="AC121" s="1">
        <f t="shared" si="64"/>
        <v>-4136.39935251196</v>
      </c>
      <c r="AD121" s="1">
        <f t="shared" si="64"/>
        <v>-4093.182904532873</v>
      </c>
      <c r="AE121" s="1">
        <f t="shared" si="64"/>
        <v>-4196.0830130386385</v>
      </c>
      <c r="AF121" s="1">
        <f t="shared" si="64"/>
        <v>-4193.802722754861</v>
      </c>
      <c r="AG121" s="1">
        <f t="shared" si="64"/>
        <v>-4709.218712919136</v>
      </c>
      <c r="AH121" s="1">
        <f t="shared" si="64"/>
        <v>-6175.60969048469</v>
      </c>
      <c r="AI121" s="1">
        <f t="shared" si="64"/>
        <v>-6344.055509444212</v>
      </c>
      <c r="AJ121" s="1">
        <f t="shared" si="64"/>
        <v>-6401.211945654717</v>
      </c>
      <c r="AK121" s="1">
        <f t="shared" si="64"/>
        <v>-6461.93623958575</v>
      </c>
      <c r="AL121" s="1">
        <f t="shared" si="64"/>
        <v>-6457.332181135864</v>
      </c>
      <c r="AM121" s="1">
        <f t="shared" si="64"/>
        <v>-6620.6203216228705</v>
      </c>
      <c r="AN121" s="1">
        <f t="shared" si="64"/>
        <v>-6889.889294158049</v>
      </c>
      <c r="AO121" s="1">
        <f t="shared" si="64"/>
        <v>-7129.936740609869</v>
      </c>
      <c r="AP121" s="1">
        <f>AP100</f>
        <v>-7149.5713127641275</v>
      </c>
      <c r="AQ121" s="1">
        <f>AQ100</f>
        <v>-5444.701424066098</v>
      </c>
    </row>
    <row r="122" spans="3:43" x14ac:dyDescent="0.25">
      <c r="C122" t="s">
        <v>1003</v>
      </c>
      <c r="D122" t="s">
        <v>844</v>
      </c>
      <c r="E122" s="1"/>
      <c r="F122" s="1"/>
      <c r="G122" s="1">
        <f t="shared" si="56"/>
        <v>-7830</v>
      </c>
      <c r="H122" s="1">
        <f>H107+H108</f>
        <v>0</v>
      </c>
      <c r="I122" s="1">
        <f t="shared" ref="I122:AO122" si="65">I107+I108</f>
        <v>0</v>
      </c>
      <c r="J122" s="1">
        <f t="shared" si="65"/>
        <v>0</v>
      </c>
      <c r="K122" s="1">
        <f t="shared" si="65"/>
        <v>0</v>
      </c>
      <c r="L122" s="1">
        <f t="shared" si="65"/>
        <v>0</v>
      </c>
      <c r="M122" s="1">
        <f t="shared" si="65"/>
        <v>0</v>
      </c>
      <c r="N122" s="1">
        <f t="shared" si="65"/>
        <v>0</v>
      </c>
      <c r="O122" s="1">
        <f t="shared" si="65"/>
        <v>0</v>
      </c>
      <c r="P122" s="1">
        <f t="shared" si="65"/>
        <v>0</v>
      </c>
      <c r="Q122" s="1">
        <f t="shared" si="65"/>
        <v>0</v>
      </c>
      <c r="R122" s="1">
        <f t="shared" si="65"/>
        <v>0</v>
      </c>
      <c r="S122" s="1">
        <f t="shared" si="65"/>
        <v>0</v>
      </c>
      <c r="T122" s="1">
        <f t="shared" si="65"/>
        <v>0</v>
      </c>
      <c r="U122" s="1">
        <f t="shared" si="65"/>
        <v>0</v>
      </c>
      <c r="V122" s="1">
        <f t="shared" si="65"/>
        <v>0</v>
      </c>
      <c r="W122" s="1">
        <f t="shared" si="65"/>
        <v>0</v>
      </c>
      <c r="X122" s="1">
        <f t="shared" si="65"/>
        <v>0</v>
      </c>
      <c r="Y122" s="1">
        <f t="shared" si="65"/>
        <v>0</v>
      </c>
      <c r="Z122" s="1">
        <f t="shared" si="65"/>
        <v>0</v>
      </c>
      <c r="AA122" s="1">
        <f t="shared" si="65"/>
        <v>0</v>
      </c>
      <c r="AB122" s="1">
        <f t="shared" si="65"/>
        <v>0</v>
      </c>
      <c r="AC122" s="1">
        <f t="shared" si="65"/>
        <v>0</v>
      </c>
      <c r="AD122" s="1">
        <f t="shared" si="65"/>
        <v>0</v>
      </c>
      <c r="AE122" s="1">
        <f t="shared" si="65"/>
        <v>0</v>
      </c>
      <c r="AF122" s="1">
        <f t="shared" si="65"/>
        <v>0</v>
      </c>
      <c r="AG122" s="1">
        <f t="shared" si="65"/>
        <v>0</v>
      </c>
      <c r="AH122" s="1">
        <f t="shared" si="65"/>
        <v>0</v>
      </c>
      <c r="AI122" s="1">
        <f t="shared" si="65"/>
        <v>0</v>
      </c>
      <c r="AJ122" s="1">
        <f t="shared" si="65"/>
        <v>0</v>
      </c>
      <c r="AK122" s="1">
        <f t="shared" si="65"/>
        <v>0</v>
      </c>
      <c r="AL122" s="1">
        <f t="shared" si="65"/>
        <v>0</v>
      </c>
      <c r="AM122" s="1">
        <f t="shared" si="65"/>
        <v>0</v>
      </c>
      <c r="AN122" s="1">
        <f t="shared" si="65"/>
        <v>0</v>
      </c>
      <c r="AO122" s="1">
        <f t="shared" si="65"/>
        <v>0</v>
      </c>
      <c r="AP122" s="1">
        <f>AP107+AP108</f>
        <v>0</v>
      </c>
      <c r="AQ122" s="1">
        <f>AQ107+AQ108</f>
        <v>-7830</v>
      </c>
    </row>
    <row r="123" spans="3:43" x14ac:dyDescent="0.25">
      <c r="C123" s="6" t="s">
        <v>1004</v>
      </c>
      <c r="D123" s="6" t="s">
        <v>844</v>
      </c>
      <c r="E123" s="37"/>
      <c r="F123" s="37"/>
      <c r="G123" s="37">
        <f t="shared" si="56"/>
        <v>1303176.709687209</v>
      </c>
      <c r="H123" s="37">
        <f>SUM(H114:H122)</f>
        <v>-3175.234818585709</v>
      </c>
      <c r="I123" s="37">
        <f t="shared" ref="I123:AO123" si="66">SUM(I114:I122)</f>
        <v>-1953.381766012588</v>
      </c>
      <c r="J123" s="37">
        <f t="shared" si="66"/>
        <v>-2850.781741816561</v>
      </c>
      <c r="K123" s="37">
        <f t="shared" si="66"/>
        <v>-64254.81870879119</v>
      </c>
      <c r="L123" s="37">
        <f t="shared" si="66"/>
        <v>-101152.57400359688</v>
      </c>
      <c r="M123" s="37">
        <f t="shared" si="66"/>
        <v>-67547.92237550246</v>
      </c>
      <c r="N123" s="37">
        <f t="shared" si="66"/>
        <v>11042.053900449502</v>
      </c>
      <c r="O123" s="37">
        <f t="shared" si="66"/>
        <v>11168.744279587327</v>
      </c>
      <c r="P123" s="37">
        <f t="shared" si="66"/>
        <v>10306.541637509576</v>
      </c>
      <c r="Q123" s="37">
        <f t="shared" si="66"/>
        <v>10560.50511361097</v>
      </c>
      <c r="R123" s="37">
        <f t="shared" si="66"/>
        <v>10921.962911658795</v>
      </c>
      <c r="S123" s="37">
        <f t="shared" si="66"/>
        <v>24721.680954766773</v>
      </c>
      <c r="T123" s="37">
        <f t="shared" si="66"/>
        <v>29053.1143877784</v>
      </c>
      <c r="U123" s="37">
        <f t="shared" si="66"/>
        <v>45613.65909030416</v>
      </c>
      <c r="V123" s="37">
        <f t="shared" si="66"/>
        <v>57276.50953612085</v>
      </c>
      <c r="W123" s="37">
        <f t="shared" si="66"/>
        <v>57302.569719426356</v>
      </c>
      <c r="X123" s="37">
        <f t="shared" si="66"/>
        <v>58757.81887615535</v>
      </c>
      <c r="Y123" s="37">
        <f t="shared" si="66"/>
        <v>59802.344498252045</v>
      </c>
      <c r="Z123" s="37">
        <f t="shared" si="66"/>
        <v>60151.42888819441</v>
      </c>
      <c r="AA123" s="37">
        <f t="shared" si="66"/>
        <v>62274.25531429203</v>
      </c>
      <c r="AB123" s="37">
        <f t="shared" si="66"/>
        <v>63348.31671091046</v>
      </c>
      <c r="AC123" s="37">
        <f t="shared" si="66"/>
        <v>64140.226933917045</v>
      </c>
      <c r="AD123" s="37">
        <f t="shared" si="66"/>
        <v>63703.26062657295</v>
      </c>
      <c r="AE123" s="37">
        <f t="shared" si="66"/>
        <v>64743.69505702012</v>
      </c>
      <c r="AF123" s="37">
        <f t="shared" si="66"/>
        <v>64720.63878859527</v>
      </c>
      <c r="AG123" s="37">
        <f t="shared" si="66"/>
        <v>64352.90876340446</v>
      </c>
      <c r="AH123" s="37">
        <f t="shared" si="66"/>
        <v>62442.2757593452</v>
      </c>
      <c r="AI123" s="37">
        <f t="shared" si="66"/>
        <v>64145.45015104703</v>
      </c>
      <c r="AJ123" s="37">
        <f t="shared" si="66"/>
        <v>64723.36522828659</v>
      </c>
      <c r="AK123" s="37">
        <f t="shared" si="66"/>
        <v>65337.355311367035</v>
      </c>
      <c r="AL123" s="37">
        <f t="shared" si="66"/>
        <v>65290.80316481818</v>
      </c>
      <c r="AM123" s="37">
        <f t="shared" si="66"/>
        <v>66941.82769640902</v>
      </c>
      <c r="AN123" s="37">
        <f t="shared" si="66"/>
        <v>69664.43619648693</v>
      </c>
      <c r="AO123" s="37">
        <f t="shared" si="66"/>
        <v>72091.58259949979</v>
      </c>
      <c r="AP123" s="37">
        <f>SUM(AP114:AP122)</f>
        <v>72290.10994017063</v>
      </c>
      <c r="AQ123" s="37">
        <f>SUM(AQ114:AQ122)</f>
        <v>47221.981065557215</v>
      </c>
    </row>
    <row r="124" spans="3:43" x14ac:dyDescent="0.25">
      <c r="C124" t="s">
        <v>1005</v>
      </c>
      <c r="D124" t="s">
        <v>844</v>
      </c>
      <c r="E124" s="1"/>
      <c r="F124" s="1"/>
      <c r="G124" s="1">
        <v>0</v>
      </c>
      <c r="H124" s="1">
        <f>G124+H123</f>
        <v>-3175.234818585709</v>
      </c>
      <c r="I124" s="1">
        <f>H124+I123</f>
        <v>-5128.616584598297</v>
      </c>
      <c r="J124" s="1">
        <f t="shared" ref="J124:AO124" si="67">I124+J123</f>
        <v>-7979.398326414857</v>
      </c>
      <c r="K124" s="1">
        <f t="shared" si="67"/>
        <v>-72234.21703520605</v>
      </c>
      <c r="L124" s="1">
        <f t="shared" si="67"/>
        <v>-173386.79103880294</v>
      </c>
      <c r="M124" s="1">
        <f t="shared" si="67"/>
        <v>-240934.7134143054</v>
      </c>
      <c r="N124" s="1">
        <f t="shared" si="67"/>
        <v>-229892.6595138559</v>
      </c>
      <c r="O124" s="1">
        <f t="shared" si="67"/>
        <v>-218723.91523426858</v>
      </c>
      <c r="P124" s="1">
        <f t="shared" si="67"/>
        <v>-208417.37359675902</v>
      </c>
      <c r="Q124" s="1">
        <f t="shared" si="67"/>
        <v>-197856.86848314805</v>
      </c>
      <c r="R124" s="1">
        <f t="shared" si="67"/>
        <v>-186934.90557148925</v>
      </c>
      <c r="S124" s="1">
        <f t="shared" si="67"/>
        <v>-162213.22461672247</v>
      </c>
      <c r="T124" s="1">
        <f t="shared" si="67"/>
        <v>-133160.11022894408</v>
      </c>
      <c r="U124" s="1">
        <f t="shared" si="67"/>
        <v>-87546.45113863991</v>
      </c>
      <c r="V124" s="1">
        <f t="shared" si="67"/>
        <v>-30269.94160251906</v>
      </c>
      <c r="W124" s="1">
        <f t="shared" si="67"/>
        <v>27032.628116907297</v>
      </c>
      <c r="X124" s="1">
        <f t="shared" si="67"/>
        <v>85790.44699306265</v>
      </c>
      <c r="Y124" s="1">
        <f t="shared" si="67"/>
        <v>145592.7914913147</v>
      </c>
      <c r="Z124" s="1">
        <f t="shared" si="67"/>
        <v>205744.22037950912</v>
      </c>
      <c r="AA124" s="1">
        <f t="shared" si="67"/>
        <v>268018.4756938011</v>
      </c>
      <c r="AB124" s="1">
        <f t="shared" si="67"/>
        <v>331366.7924047116</v>
      </c>
      <c r="AC124" s="1">
        <f t="shared" si="67"/>
        <v>395507.0193386286</v>
      </c>
      <c r="AD124" s="1">
        <f t="shared" si="67"/>
        <v>459210.27996520157</v>
      </c>
      <c r="AE124" s="1">
        <f t="shared" si="67"/>
        <v>523953.9750222217</v>
      </c>
      <c r="AF124" s="1">
        <f t="shared" si="67"/>
        <v>588674.613810817</v>
      </c>
      <c r="AG124" s="1">
        <f t="shared" si="67"/>
        <v>653027.5225742215</v>
      </c>
      <c r="AH124" s="1">
        <f t="shared" si="67"/>
        <v>715469.7983335666</v>
      </c>
      <c r="AI124" s="1">
        <f t="shared" si="67"/>
        <v>779615.2484846136</v>
      </c>
      <c r="AJ124" s="1">
        <f t="shared" si="67"/>
        <v>844338.6137129002</v>
      </c>
      <c r="AK124" s="1">
        <f t="shared" si="67"/>
        <v>909675.9690242673</v>
      </c>
      <c r="AL124" s="1">
        <f t="shared" si="67"/>
        <v>974966.7721890855</v>
      </c>
      <c r="AM124" s="1">
        <f t="shared" si="67"/>
        <v>1041908.5998854944</v>
      </c>
      <c r="AN124" s="1">
        <f t="shared" si="67"/>
        <v>1111573.0360819814</v>
      </c>
      <c r="AO124" s="1">
        <f t="shared" si="67"/>
        <v>1183664.618681481</v>
      </c>
      <c r="AP124" s="1">
        <f>AO124+AP123</f>
        <v>1255954.7286216517</v>
      </c>
      <c r="AQ124" s="1">
        <f>AP124+AQ123</f>
        <v>1303176.7096872088</v>
      </c>
    </row>
    <row r="125" spans="3:43" x14ac:dyDescent="0.25">
      <c r="C125" t="s">
        <v>1006</v>
      </c>
      <c r="D125" t="s">
        <v>844</v>
      </c>
      <c r="E125" s="1"/>
      <c r="F125" s="1"/>
      <c r="G125" s="1">
        <f>SUM(H125:AQ125)</f>
        <v>1851947.8211168875</v>
      </c>
      <c r="H125" s="1">
        <f>H70+H100</f>
        <v>0</v>
      </c>
      <c r="I125" s="1">
        <f t="shared" ref="I125:AO125" si="68">I70+I100</f>
        <v>0</v>
      </c>
      <c r="J125" s="1">
        <f t="shared" si="68"/>
        <v>0</v>
      </c>
      <c r="K125" s="1">
        <f t="shared" si="68"/>
        <v>-197.24149845574638</v>
      </c>
      <c r="L125" s="1">
        <f t="shared" si="68"/>
        <v>-802.0975609756099</v>
      </c>
      <c r="M125" s="1">
        <f t="shared" si="68"/>
        <v>13333.222121491808</v>
      </c>
      <c r="N125" s="1">
        <f t="shared" si="68"/>
        <v>54437.76083579958</v>
      </c>
      <c r="O125" s="1">
        <f t="shared" si="68"/>
        <v>54691.14159407524</v>
      </c>
      <c r="P125" s="1">
        <f t="shared" si="68"/>
        <v>52966.73630991972</v>
      </c>
      <c r="Q125" s="1">
        <f t="shared" si="68"/>
        <v>53474.66326212252</v>
      </c>
      <c r="R125" s="1">
        <f t="shared" si="68"/>
        <v>54197.57885821818</v>
      </c>
      <c r="S125" s="1">
        <f t="shared" si="68"/>
        <v>57075.33398966736</v>
      </c>
      <c r="T125" s="1">
        <f t="shared" si="68"/>
        <v>56916.92209705004</v>
      </c>
      <c r="U125" s="1">
        <f t="shared" si="68"/>
        <v>57300.6402821255</v>
      </c>
      <c r="V125" s="1">
        <f t="shared" si="68"/>
        <v>57276.50953612085</v>
      </c>
      <c r="W125" s="1">
        <f t="shared" si="68"/>
        <v>57302.569719426356</v>
      </c>
      <c r="X125" s="1">
        <f t="shared" si="68"/>
        <v>58757.81887615535</v>
      </c>
      <c r="Y125" s="1">
        <f t="shared" si="68"/>
        <v>59802.344498252045</v>
      </c>
      <c r="Z125" s="1">
        <f t="shared" si="68"/>
        <v>60151.42888819441</v>
      </c>
      <c r="AA125" s="1">
        <f t="shared" si="68"/>
        <v>62274.25531429203</v>
      </c>
      <c r="AB125" s="1">
        <f t="shared" si="68"/>
        <v>63348.31671091046</v>
      </c>
      <c r="AC125" s="1">
        <f t="shared" si="68"/>
        <v>64140.226933917045</v>
      </c>
      <c r="AD125" s="1">
        <f t="shared" si="68"/>
        <v>63703.26062657295</v>
      </c>
      <c r="AE125" s="1">
        <f t="shared" si="68"/>
        <v>64743.69505702012</v>
      </c>
      <c r="AF125" s="1">
        <f t="shared" si="68"/>
        <v>64720.63878859527</v>
      </c>
      <c r="AG125" s="1">
        <f t="shared" si="68"/>
        <v>64352.90876340446</v>
      </c>
      <c r="AH125" s="1">
        <f t="shared" si="68"/>
        <v>62442.2757593452</v>
      </c>
      <c r="AI125" s="1">
        <f t="shared" si="68"/>
        <v>64145.45015104703</v>
      </c>
      <c r="AJ125" s="1">
        <f t="shared" si="68"/>
        <v>64723.36522828659</v>
      </c>
      <c r="AK125" s="1">
        <f t="shared" si="68"/>
        <v>65337.355311367035</v>
      </c>
      <c r="AL125" s="1">
        <f t="shared" si="68"/>
        <v>65290.80316481818</v>
      </c>
      <c r="AM125" s="1">
        <f t="shared" si="68"/>
        <v>66941.82769640902</v>
      </c>
      <c r="AN125" s="1">
        <f t="shared" si="68"/>
        <v>69664.43619648693</v>
      </c>
      <c r="AO125" s="1">
        <f t="shared" si="68"/>
        <v>72091.58259949979</v>
      </c>
      <c r="AP125" s="1">
        <f>AP70+AP100</f>
        <v>72290.10994017063</v>
      </c>
      <c r="AQ125" s="1">
        <f>AQ70+AQ100</f>
        <v>55051.981065557215</v>
      </c>
    </row>
    <row r="126" spans="3:43" x14ac:dyDescent="0.25">
      <c r="C126" t="s">
        <v>1007</v>
      </c>
      <c r="D126" t="s">
        <v>4</v>
      </c>
      <c r="E126" s="1"/>
      <c r="F126" s="1"/>
      <c r="G126" s="3">
        <f>IF(COUNT(H126:AQ126)=0,"",MIN(H126:AQ126))</f>
        <v>1.6371176464303232</v>
      </c>
      <c r="H126" s="3" t="str">
        <f>IF(AND(H9&gt;=1,H86&lt;-0.01),H125/-H86,"")</f>
        <v/>
      </c>
      <c r="I126" s="3" t="str">
        <f t="shared" ref="I126:AO126" si="69">IF(AND(I9&gt;=1,I86&lt;-0.01),I125/-I86,"")</f>
        <v/>
      </c>
      <c r="J126" s="3" t="str">
        <f t="shared" si="69"/>
        <v/>
      </c>
      <c r="K126" s="3" t="str">
        <f t="shared" si="69"/>
        <v/>
      </c>
      <c r="L126" s="3" t="str">
        <f t="shared" si="69"/>
        <v/>
      </c>
      <c r="M126" s="3" t="str">
        <f t="shared" si="69"/>
        <v/>
      </c>
      <c r="N126" s="3">
        <f t="shared" si="69"/>
        <v>1.6825846768238628</v>
      </c>
      <c r="O126" s="3">
        <f t="shared" si="69"/>
        <v>1.6904162733982073</v>
      </c>
      <c r="P126" s="3">
        <f t="shared" si="69"/>
        <v>1.6371176464303232</v>
      </c>
      <c r="Q126" s="3">
        <f t="shared" si="69"/>
        <v>1.6528168613429295</v>
      </c>
      <c r="R126" s="3">
        <f t="shared" si="69"/>
        <v>1.675161033585731</v>
      </c>
      <c r="S126" s="3">
        <f t="shared" si="69"/>
        <v>1.7641078714696905</v>
      </c>
      <c r="T126" s="3">
        <f t="shared" si="69"/>
        <v>1.7592116116116017</v>
      </c>
      <c r="U126" s="3">
        <f t="shared" si="69"/>
        <v>2.45147311104706</v>
      </c>
      <c r="V126" s="3" t="str">
        <f t="shared" si="69"/>
        <v/>
      </c>
      <c r="W126" s="3" t="str">
        <f t="shared" si="69"/>
        <v/>
      </c>
      <c r="X126" s="3" t="str">
        <f t="shared" si="69"/>
        <v/>
      </c>
      <c r="Y126" s="3" t="str">
        <f t="shared" si="69"/>
        <v/>
      </c>
      <c r="Z126" s="3" t="str">
        <f t="shared" si="69"/>
        <v/>
      </c>
      <c r="AA126" s="3" t="str">
        <f t="shared" si="69"/>
        <v/>
      </c>
      <c r="AB126" s="3" t="str">
        <f t="shared" si="69"/>
        <v/>
      </c>
      <c r="AC126" s="3" t="str">
        <f t="shared" si="69"/>
        <v/>
      </c>
      <c r="AD126" s="3" t="str">
        <f t="shared" si="69"/>
        <v/>
      </c>
      <c r="AE126" s="3" t="str">
        <f t="shared" si="69"/>
        <v/>
      </c>
      <c r="AF126" s="3" t="str">
        <f t="shared" si="69"/>
        <v/>
      </c>
      <c r="AG126" s="3" t="str">
        <f t="shared" si="69"/>
        <v/>
      </c>
      <c r="AH126" s="3" t="str">
        <f t="shared" si="69"/>
        <v/>
      </c>
      <c r="AI126" s="3" t="str">
        <f t="shared" si="69"/>
        <v/>
      </c>
      <c r="AJ126" s="3" t="str">
        <f t="shared" si="69"/>
        <v/>
      </c>
      <c r="AK126" s="3" t="str">
        <f t="shared" si="69"/>
        <v/>
      </c>
      <c r="AL126" s="3" t="str">
        <f t="shared" si="69"/>
        <v/>
      </c>
      <c r="AM126" s="3" t="str">
        <f t="shared" si="69"/>
        <v/>
      </c>
      <c r="AN126" s="3" t="str">
        <f t="shared" si="69"/>
        <v/>
      </c>
      <c r="AO126" s="3" t="str">
        <f t="shared" si="69"/>
        <v/>
      </c>
      <c r="AP126" s="3" t="str">
        <f>IF(AND(AP9&gt;=1,AP86&lt;-0.01),AP125/-AP86,"")</f>
        <v/>
      </c>
      <c r="AQ126" s="3" t="str">
        <f>IF(AND(AQ9&gt;=1,AQ86&lt;-0.01),AQ125/-AQ86,"")</f>
        <v/>
      </c>
    </row>
    <row r="127" spans="3:43" x14ac:dyDescent="0.25">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spans="3:43" x14ac:dyDescent="0.25">
      <c r="C128" s="43" t="s">
        <v>1008</v>
      </c>
      <c r="D128" s="43"/>
      <c r="E128" s="128">
        <f>IF(Inputs!$E$228=1,1,Inputs!$E$33)</f>
        <v>1</v>
      </c>
      <c r="F128" s="134" t="s">
        <v>1306</v>
      </c>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3"/>
      <c r="AJ128" s="123"/>
      <c r="AK128" s="123"/>
      <c r="AL128" s="123"/>
      <c r="AM128" s="123"/>
      <c r="AN128" s="123"/>
      <c r="AO128" s="123"/>
      <c r="AP128" s="123"/>
      <c r="AQ128" s="123"/>
    </row>
    <row r="129" x14ac:dyDescent="0.25">
      <c r="C129" s="6" t="inlineStr">
        <is>
          <t xml:space="preserve">FEP equity cash flow (after the community purchase right, rows 383–384)</t>
        </is>
      </c>
      <c r="D129" s="6" t="s">
        <v>844</v>
      </c>
      <c r="E129" s="37"/>
      <c r="F129" s="37"/>
      <c r="G129" s="37">
        <f>SUM(H129:AQ129)</f>
        <v>1303176.709687209</v>
      </c>
      <c r="H129" s="37">
        <f>H123*$E$128*(1-H383)+H384</f>
        <v>-3175.234818585709</v>
      </c>
      <c r="I129" s="37">
        <f>I123*$E$128*(1-I383)+I384</f>
        <v>-1953.381766012588</v>
      </c>
      <c r="J129" s="37">
        <f>J123*$E$128*(1-J383)+J384</f>
        <v>-2850.781741816561</v>
      </c>
      <c r="K129" s="37">
        <f>K123*$E$128*(1-K383)+K384</f>
        <v>-64254.81870879119</v>
      </c>
      <c r="L129" s="37">
        <f>L123*$E$128*(1-L383)+L384</f>
        <v>-101152.57400359688</v>
      </c>
      <c r="M129" s="37">
        <f>M123*$E$128*(1-M383)+M384</f>
        <v>-67547.92237550246</v>
      </c>
      <c r="N129" s="37">
        <f>N123*$E$128*(1-N383)+N384</f>
        <v>11042.053900449502</v>
      </c>
      <c r="O129" s="37">
        <f>O123*$E$128*(1-O383)+O384</f>
        <v>11168.744279587327</v>
      </c>
      <c r="P129" s="37">
        <f>P123*$E$128*(1-P383)+P384</f>
        <v>10306.541637509576</v>
      </c>
      <c r="Q129" s="37">
        <f>Q123*$E$128*(1-Q383)+Q384</f>
        <v>10560.50511361097</v>
      </c>
      <c r="R129" s="37">
        <f>R123*$E$128*(1-R383)+R384</f>
        <v>10921.962911658795</v>
      </c>
      <c r="S129" s="37">
        <f>S123*$E$128*(1-S383)+S384</f>
        <v>24721.680954766773</v>
      </c>
      <c r="T129" s="37">
        <f>T123*$E$128*(1-T383)+T384</f>
        <v>29053.1143877784</v>
      </c>
      <c r="U129" s="37">
        <f>U123*$E$128*(1-U383)+U384</f>
        <v>45613.65909030416</v>
      </c>
      <c r="V129" s="37">
        <f>V123*$E$128*(1-V383)+V384</f>
        <v>57276.50953612085</v>
      </c>
      <c r="W129" s="37">
        <f>W123*$E$128*(1-W383)+W384</f>
        <v>57302.569719426356</v>
      </c>
      <c r="X129" s="37">
        <f>X123*$E$128*(1-X383)+X384</f>
        <v>58757.81887615535</v>
      </c>
      <c r="Y129" s="37">
        <f>Y123*$E$128*(1-Y383)+Y384</f>
        <v>59802.344498252045</v>
      </c>
      <c r="Z129" s="37">
        <f>Z123*$E$128*(1-Z383)+Z384</f>
        <v>60151.42888819441</v>
      </c>
      <c r="AA129" s="37">
        <f>AA123*$E$128*(1-AA383)+AA384</f>
        <v>62274.25531429203</v>
      </c>
      <c r="AB129" s="37">
        <f>AB123*$E$128*(1-AB383)+AB384</f>
        <v>63348.31671091046</v>
      </c>
      <c r="AC129" s="37">
        <f>AC123*$E$128*(1-AC383)+AC384</f>
        <v>64140.226933917045</v>
      </c>
      <c r="AD129" s="37">
        <f>AD123*$E$128*(1-AD383)+AD384</f>
        <v>63703.26062657295</v>
      </c>
      <c r="AE129" s="37">
        <f>AE123*$E$128*(1-AE383)+AE384</f>
        <v>64743.69505702012</v>
      </c>
      <c r="AF129" s="37">
        <f>AF123*$E$128*(1-AF383)+AF384</f>
        <v>64720.63878859527</v>
      </c>
      <c r="AG129" s="37">
        <f>AG123*$E$128*(1-AG383)+AG384</f>
        <v>64352.90876340446</v>
      </c>
      <c r="AH129" s="37">
        <f>AH123*$E$128*(1-AH383)+AH384</f>
        <v>62442.2757593452</v>
      </c>
      <c r="AI129" s="37">
        <f>AI123*$E$128*(1-AI383)+AI384</f>
        <v>64145.45015104703</v>
      </c>
      <c r="AJ129" s="37">
        <f>AJ123*$E$128*(1-AJ383)+AJ384</f>
        <v>64723.36522828659</v>
      </c>
      <c r="AK129" s="37">
        <f>AK123*$E$128*(1-AK383)+AK384</f>
        <v>65337.355311367035</v>
      </c>
      <c r="AL129" s="37">
        <f>AL123*$E$128*(1-AL383)+AL384</f>
        <v>65290.80316481818</v>
      </c>
      <c r="AM129" s="37">
        <f>AM123*$E$128*(1-AM383)+AM384</f>
        <v>66941.82769640902</v>
      </c>
      <c r="AN129" s="37">
        <f>AN123*$E$128*(1-AN383)+AN384</f>
        <v>69664.43619648693</v>
      </c>
      <c r="AO129" s="37">
        <f>AO123*$E$128*(1-AO383)+AO384</f>
        <v>72091.58259949979</v>
      </c>
      <c r="AP129" s="37">
        <f>AP123*$E$128*(1-AP383)+AP384</f>
        <v>72290.10994017063</v>
      </c>
      <c r="AQ129" s="37">
        <f>AQ123*$E$128*(1-AQ383)+AQ384</f>
        <v>47221.981065557215</v>
      </c>
    </row>
    <row r="130" spans="3:43" x14ac:dyDescent="0.25">
      <c r="C130" t="s">
        <v>1010</v>
      </c>
      <c r="D130" t="s">
        <v>844</v>
      </c>
      <c r="E130" s="1"/>
      <c r="F130" s="1"/>
      <c r="G130" s="1">
        <v>0</v>
      </c>
      <c r="H130" s="1">
        <f>G130+H129</f>
        <v>-3175.234818585709</v>
      </c>
      <c r="I130" s="1">
        <f>H130+I129</f>
        <v>-5128.616584598297</v>
      </c>
      <c r="J130" s="1">
        <f t="shared" ref="J130:AO130" si="71">I130+J129</f>
        <v>-7979.398326414857</v>
      </c>
      <c r="K130" s="1">
        <f t="shared" si="71"/>
        <v>-72234.21703520605</v>
      </c>
      <c r="L130" s="1">
        <f t="shared" si="71"/>
        <v>-173386.79103880294</v>
      </c>
      <c r="M130" s="1">
        <f t="shared" si="71"/>
        <v>-240934.7134143054</v>
      </c>
      <c r="N130" s="1">
        <f t="shared" si="71"/>
        <v>-229892.6595138559</v>
      </c>
      <c r="O130" s="1">
        <f t="shared" si="71"/>
        <v>-218723.91523426858</v>
      </c>
      <c r="P130" s="1">
        <f t="shared" si="71"/>
        <v>-208417.37359675902</v>
      </c>
      <c r="Q130" s="1">
        <f t="shared" si="71"/>
        <v>-197856.86848314805</v>
      </c>
      <c r="R130" s="1">
        <f t="shared" si="71"/>
        <v>-186934.90557148925</v>
      </c>
      <c r="S130" s="1">
        <f t="shared" si="71"/>
        <v>-162213.22461672247</v>
      </c>
      <c r="T130" s="1">
        <f t="shared" si="71"/>
        <v>-133160.11022894408</v>
      </c>
      <c r="U130" s="1">
        <f t="shared" si="71"/>
        <v>-87546.45113863991</v>
      </c>
      <c r="V130" s="1">
        <f t="shared" si="71"/>
        <v>-30269.94160251906</v>
      </c>
      <c r="W130" s="1">
        <f t="shared" si="71"/>
        <v>27032.628116907297</v>
      </c>
      <c r="X130" s="1">
        <f t="shared" si="71"/>
        <v>85790.44699306265</v>
      </c>
      <c r="Y130" s="1">
        <f t="shared" si="71"/>
        <v>145592.7914913147</v>
      </c>
      <c r="Z130" s="1">
        <f t="shared" si="71"/>
        <v>205744.22037950912</v>
      </c>
      <c r="AA130" s="1">
        <f t="shared" si="71"/>
        <v>268018.4756938011</v>
      </c>
      <c r="AB130" s="1">
        <f t="shared" si="71"/>
        <v>331366.7924047116</v>
      </c>
      <c r="AC130" s="1">
        <f t="shared" si="71"/>
        <v>395507.0193386286</v>
      </c>
      <c r="AD130" s="1">
        <f t="shared" si="71"/>
        <v>459210.27996520157</v>
      </c>
      <c r="AE130" s="1">
        <f t="shared" si="71"/>
        <v>523953.9750222217</v>
      </c>
      <c r="AF130" s="1">
        <f t="shared" si="71"/>
        <v>588674.613810817</v>
      </c>
      <c r="AG130" s="1">
        <f t="shared" si="71"/>
        <v>653027.5225742215</v>
      </c>
      <c r="AH130" s="1">
        <f t="shared" si="71"/>
        <v>715469.7983335666</v>
      </c>
      <c r="AI130" s="1">
        <f t="shared" si="71"/>
        <v>779615.2484846136</v>
      </c>
      <c r="AJ130" s="1">
        <f t="shared" si="71"/>
        <v>844338.6137129002</v>
      </c>
      <c r="AK130" s="1">
        <f t="shared" si="71"/>
        <v>909675.9690242673</v>
      </c>
      <c r="AL130" s="1">
        <f t="shared" si="71"/>
        <v>974966.7721890855</v>
      </c>
      <c r="AM130" s="1">
        <f t="shared" si="71"/>
        <v>1041908.5998854944</v>
      </c>
      <c r="AN130" s="1">
        <f t="shared" si="71"/>
        <v>1111573.0360819814</v>
      </c>
      <c r="AO130" s="1">
        <f t="shared" si="71"/>
        <v>1183664.618681481</v>
      </c>
      <c r="AP130" s="1">
        <f>AO130+AP129</f>
        <v>1255954.7286216517</v>
      </c>
      <c r="AQ130" s="1">
        <f>AP130+AQ129</f>
        <v>1303176.7096872088</v>
      </c>
    </row>
    <row r="131" spans="3:43" x14ac:dyDescent="0.25">
      <c r="C131" t="s">
        <v>1010</v>
      </c>
      <c r="D131" t="s">
        <v>726</v>
      </c>
      <c r="E131" s="1"/>
      <c r="F131" s="1"/>
      <c r="G131" s="1"/>
      <c r="H131" s="1">
        <f>H130*Inputs!$E$11/1000</f>
        <v>-1158.9607087837837</v>
      </c>
      <c r="I131" s="1">
        <f>I130*Inputs!$E$11/1000</f>
        <v>-1871.9450533783784</v>
      </c>
      <c r="J131" s="1">
        <f>J130*Inputs!$E$11/1000</f>
        <v>-2912.480389141423</v>
      </c>
      <c r="K131" s="1">
        <f>K130*Inputs!$E$11/1000</f>
        <v>-26365.48921785021</v>
      </c>
      <c r="L131" s="1">
        <f>L130*Inputs!$E$11/1000</f>
        <v>-63286.178729163075</v>
      </c>
      <c r="M131" s="1">
        <f>M130*Inputs!$E$11/1000</f>
        <v>-87941.17039622147</v>
      </c>
      <c r="N131" s="1">
        <f>N130*Inputs!$E$11/1000</f>
        <v>-83910.82072255742</v>
      </c>
      <c r="O131" s="1">
        <f>O130*Inputs!$E$11/1000</f>
        <v>-79834.22906050803</v>
      </c>
      <c r="P131" s="1">
        <f>P130*Inputs!$E$11/1000</f>
        <v>-76072.34136281705</v>
      </c>
      <c r="Q131" s="1">
        <f>Q130*Inputs!$E$11/1000</f>
        <v>-72217.75699634904</v>
      </c>
      <c r="R131" s="1">
        <f>R130*Inputs!$E$11/1000</f>
        <v>-68231.24053359358</v>
      </c>
      <c r="S131" s="1">
        <f>S130*Inputs!$E$11/1000</f>
        <v>-59207.8269851037</v>
      </c>
      <c r="T131" s="1">
        <f>T130*Inputs!$E$11/1000</f>
        <v>-48603.44023356459</v>
      </c>
      <c r="U131" s="1">
        <f>U130*Inputs!$E$11/1000</f>
        <v>-31954.454665603567</v>
      </c>
      <c r="V131" s="1">
        <f>V130*Inputs!$E$11/1000</f>
        <v>-11048.528684919456</v>
      </c>
      <c r="W131" s="1">
        <f>W130*Inputs!$E$11/1000</f>
        <v>9866.909262671163</v>
      </c>
      <c r="X131" s="1">
        <f>X130*Inputs!$E$11/1000</f>
        <v>31313.51315246787</v>
      </c>
      <c r="Y131" s="1">
        <f>Y130*Inputs!$E$11/1000</f>
        <v>53141.36889432987</v>
      </c>
      <c r="Z131" s="1">
        <f>Z130*Inputs!$E$11/1000</f>
        <v>75096.64043852083</v>
      </c>
      <c r="AA131" s="1">
        <f>AA130*Inputs!$E$11/1000</f>
        <v>97826.74362823741</v>
      </c>
      <c r="AB131" s="1">
        <f>AB130*Inputs!$E$11/1000</f>
        <v>120948.87922771974</v>
      </c>
      <c r="AC131" s="1">
        <f>AC130*Inputs!$E$11/1000</f>
        <v>144360.06205859943</v>
      </c>
      <c r="AD131" s="1">
        <f>AD130*Inputs!$E$11/1000</f>
        <v>167611.75218729855</v>
      </c>
      <c r="AE131" s="1">
        <f>AE130*Inputs!$E$11/1000</f>
        <v>191243.2008831109</v>
      </c>
      <c r="AF131" s="1">
        <f>AF130*Inputs!$E$11/1000</f>
        <v>214866.2340409482</v>
      </c>
      <c r="AG131" s="1">
        <f>AG130*Inputs!$E$11/1000</f>
        <v>238355.04573959086</v>
      </c>
      <c r="AH131" s="1">
        <f>AH130*Inputs!$E$11/1000</f>
        <v>261146.4763917518</v>
      </c>
      <c r="AI131" s="1">
        <f>AI130*Inputs!$E$11/1000</f>
        <v>284559.565696884</v>
      </c>
      <c r="AJ131" s="1">
        <f>AJ130*Inputs!$E$11/1000</f>
        <v>308183.5940052086</v>
      </c>
      <c r="AK131" s="1">
        <f>AK130*Inputs!$E$11/1000</f>
        <v>332031.72869385756</v>
      </c>
      <c r="AL131" s="1">
        <f>AL130*Inputs!$E$11/1000</f>
        <v>355862.87184901617</v>
      </c>
      <c r="AM131" s="1">
        <f>AM130*Inputs!$E$11/1000</f>
        <v>380296.63895820547</v>
      </c>
      <c r="AN131" s="1">
        <f>AN130*Inputs!$E$11/1000</f>
        <v>405724.1581699232</v>
      </c>
      <c r="AO131" s="1">
        <f>AO130*Inputs!$E$11/1000</f>
        <v>432037.5858187406</v>
      </c>
      <c r="AP131" s="1">
        <f>AP130*Inputs!$E$11/1000</f>
        <v>458423.4759469029</v>
      </c>
      <c r="AQ131" s="1">
        <f>AQ130*Inputs!$E$11/1000</f>
        <v>475659.4990358312</v>
      </c>
    </row>
    <row r="133" spans="3:43" x14ac:dyDescent="0.25">
      <c r="C133" s="43" t="s">
        <v>1011</v>
      </c>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row>
    <row r="134" spans="3:43" x14ac:dyDescent="0.25">
      <c r="C134" t="s">
        <v>1012</v>
      </c>
      <c r="D134" t="s">
        <v>2</v>
      </c>
      <c r="G134" s="101">
        <f>IFERROR(IRR(H109:AQ109),"n/a")</f>
        <v>0.11574478334958782</v>
      </c>
    </row>
    <row r="135" spans="3:43" x14ac:dyDescent="0.25">
      <c r="C135" t="s">
        <v>1013</v>
      </c>
      <c r="D135" t="s">
        <v>2</v>
      </c>
      <c r="G135" s="101">
        <f>IFERROR(IRR(H110:AQ110),"n/a")</f>
        <v>0.10886199508753976</v>
      </c>
    </row>
    <row r="136" spans="3:43" x14ac:dyDescent="0.25">
      <c r="C136" t="s">
        <v>1014</v>
      </c>
      <c r="D136" t="s">
        <v>844</v>
      </c>
      <c r="G136" s="106">
        <f>SUMPRODUCT(H110:AQ110,H12:AQ12)</f>
        <v>112188.57274080778</v>
      </c>
    </row>
    <row r="137" spans="3:43" x14ac:dyDescent="0.25">
      <c r="C137" t="s">
        <v>1015</v>
      </c>
      <c r="D137" t="s">
        <v>2</v>
      </c>
      <c r="G137" s="101">
        <f>IFERROR(IRR(H123:AQ123),"n/a")</f>
        <v>0.11965554410827804</v>
      </c>
    </row>
    <row r="138" spans="3:43" x14ac:dyDescent="0.25">
      <c r="C138" t="s">
        <v>1016</v>
      </c>
      <c r="D138" t="s">
        <v>844</v>
      </c>
      <c r="G138" s="106">
        <f>SUMPRODUCT(H123:AQ123,H13:AQ13)</f>
        <v>122313.50898773255</v>
      </c>
    </row>
    <row r="139" spans="3:43" x14ac:dyDescent="0.25">
      <c r="C139" t="s">
        <v>1017</v>
      </c>
      <c r="D139" t="s">
        <v>2</v>
      </c>
      <c r="G139" s="101">
        <f>IFERROR(IRR(H129:AQ129),"n/a")</f>
        <v>0.11965554410827804</v>
      </c>
    </row>
    <row r="140" spans="3:43" x14ac:dyDescent="0.25">
      <c r="C140" t="s">
        <v>2235</v>
      </c>
      <c r="D140" t="s">
        <v>844</v>
      </c>
      <c r="G140" s="106" cm="1">
        <f t="array" ref="G140">SUMPRODUCT(H129:AQ129/(1+Inputs!$E$253)^H4:AQ4)</f>
        <v>122313.50898773255</v>
      </c>
    </row>
    <row r="141" spans="3:43" x14ac:dyDescent="0.25">
      <c r="C141" t="s">
        <v>2236</v>
      </c>
      <c r="D141" t="s">
        <v>844</v>
      </c>
      <c r="G141" s="106" cm="1">
        <f t="array" ref="G141">-SUMPRODUCT((H129:AQ129&lt;0)*H129:AQ129/(1+Inputs!$E$253)^H4:AQ4)</f>
        <v>178757.69676953243</v>
      </c>
    </row>
    <row r="142" spans="3:43" x14ac:dyDescent="0.25">
      <c r="C142" t="s">
        <v>1334</v>
      </c>
      <c r="D142" t="s">
        <v>4</v>
      </c>
      <c r="G142" s="100">
        <f>IF(G141=0,"n/a",G140/G141)</f>
        <v>0.6842419162819496</v>
      </c>
    </row>
    <row r="143" spans="3:43" x14ac:dyDescent="0.25">
      <c r="C143" t="s">
        <v>1335</v>
      </c>
      <c r="D143" t="s">
        <v>4</v>
      </c>
      <c r="G143" s="100">
        <f>IF(SUMIF(H129:AQ129,"&lt;0")=0,"n/a",G140/-SUMIF(H129:AQ129,"&lt;0"))</f>
        <v>0.5076624586570274</v>
      </c>
    </row>
    <row r="144" spans="3:43" x14ac:dyDescent="0.25">
      <c r="C144" t="s">
        <v>1018</v>
      </c>
      <c r="D144" t="s">
        <v>844</v>
      </c>
      <c r="G144" s="106">
        <f>G129</f>
        <v>1303176.709687209</v>
      </c>
    </row>
    <row r="145" spans="3:7" x14ac:dyDescent="0.25">
      <c r="C145" t="s">
        <v>1019</v>
      </c>
      <c r="D145" t="s">
        <v>726</v>
      </c>
      <c r="G145" s="106">
        <f>G144*Inputs!$E$11/1000</f>
        <v>475659.49903583125</v>
      </c>
    </row>
    <row r="146" spans="3:7" x14ac:dyDescent="0.25">
      <c r="C146" t="s">
        <v>1020</v>
      </c>
      <c r="D146" t="s">
        <v>844</v>
      </c>
      <c r="G146" s="106">
        <f>-MIN(H130:AQ130)</f>
        <v>240934.7134143054</v>
      </c>
    </row>
    <row r="147" spans="3:7" x14ac:dyDescent="0.25">
      <c r="C147" t="s">
        <v>1021</v>
      </c>
      <c r="D147" t="s">
        <v>4</v>
      </c>
      <c r="G147" s="100">
        <f>IFERROR(SUMIF(H129:AQ129,"&gt;0")/-SUMIF(H129:AQ129,"&lt;0"),"n/a")</f>
        <v>6.408837486387021</v>
      </c>
    </row>
    <row r="148" spans="3:7" x14ac:dyDescent="0.25">
      <c r="C148" t="s">
        <v>1022</v>
      </c>
      <c r="D148" t="s">
        <v>613</v>
      </c>
      <c r="G148" s="131" cm="1">
        <f t="array" ref="G148">IFERROR(INDEX(H5:AQ5,MATCH(TRUE,INDEX(H124:AQ124&gt;0,0),0)),"n/a")</f>
        <v>2041</v>
      </c>
    </row>
    <row r="149" spans="3:7" x14ac:dyDescent="0.25">
      <c r="C149" t="s">
        <v>871</v>
      </c>
      <c r="D149" t="s">
        <v>844</v>
      </c>
      <c r="G149" s="106">
        <f>-G30</f>
        <v>431201.29658630135</v>
      </c>
    </row>
    <row r="150" spans="3:7" x14ac:dyDescent="0.25">
      <c r="C150" t="s">
        <v>1023</v>
      </c>
      <c r="D150" t="s">
        <v>845</v>
      </c>
      <c r="G150" s="132">
        <f>G32</f>
        <v>2156.006482931507</v>
      </c>
    </row>
    <row r="151" spans="3:7" x14ac:dyDescent="0.25">
      <c r="C151" t="s">
        <v>1024</v>
      </c>
      <c r="D151" t="s">
        <v>956</v>
      </c>
      <c r="G151" s="132">
        <f>G38</f>
        <v>17249.630704920553</v>
      </c>
    </row>
    <row r="152" spans="3:7" x14ac:dyDescent="0.25">
      <c r="C152" t="s">
        <v>1025</v>
      </c>
      <c r="D152" t="s">
        <v>844</v>
      </c>
      <c r="G152" s="106">
        <f>G54</f>
        <v>2521319.863560083</v>
      </c>
    </row>
    <row r="153" spans="3:7" x14ac:dyDescent="0.25">
      <c r="C153" t="s">
        <v>1026</v>
      </c>
      <c r="D153" t="s">
        <v>377</v>
      </c>
      <c r="G153" s="133">
        <f>G49</f>
        <v>146.16659954585938</v>
      </c>
    </row>
    <row r="154" spans="3:7" x14ac:dyDescent="0.25">
      <c r="C154" t="s">
        <v>1027</v>
      </c>
      <c r="D154" t="s">
        <v>2</v>
      </c>
      <c r="G154" s="101">
        <f>G71</f>
        <v>0.7870441754859727</v>
      </c>
    </row>
    <row r="155" spans="3:7" x14ac:dyDescent="0.25">
      <c r="C155" t="s">
        <v>1028</v>
      </c>
      <c r="D155" t="s">
        <v>4</v>
      </c>
      <c r="G155" s="100">
        <f>G126</f>
        <v>1.6371176464303232</v>
      </c>
    </row>
    <row r="156" spans="3:7" x14ac:dyDescent="0.25">
      <c r="C156" t="s">
        <v>1029</v>
      </c>
      <c r="D156" t="s">
        <v>377</v>
      </c>
      <c r="G156" s="133">
        <f>IFERROR(-(SUMPRODUCT(H104:AQ104,H12:AQ12)+SUMPRODUCT(H105:AQ105,H12:AQ12)+SUMPRODUCT(H69:AQ69,H12:AQ12)+SUMPRODUCT(H107:AQ107,H12:AQ12))/SUMPRODUCT(H38:AQ38,H12:AQ12),"n/a")</f>
        <v>102.14704403482497</v>
      </c>
    </row>
    <row r="157" spans="3:7" x14ac:dyDescent="0.25">
      <c r="C157" t="s">
        <v>1030</v>
      </c>
      <c r="D157" t="s">
        <v>844</v>
      </c>
      <c r="G157" s="106">
        <f>G77+G79</f>
        <v>249826.33272631807</v>
      </c>
    </row>
    <row r="158" spans="3:7" x14ac:dyDescent="0.25">
      <c r="C158" t="s">
        <v>1031</v>
      </c>
      <c r="D158" t="s">
        <v>57</v>
      </c>
      <c r="G158" s="130" t="str">
        <f>IF(ABS(INDEX(H84:AQ84,MATCH(Inputs!$E$156+Inputs!$E$220-1,H5:AQ5,0)))&lt;0.01,"OK","CHECK")</f>
        <v>OK</v>
      </c>
    </row>
    <row r="159" spans="3:7" x14ac:dyDescent="0.25">
      <c r="C159" t="s">
        <v>1304</v>
      </c>
      <c r="D159" t="s">
        <v>844</v>
      </c>
      <c r="G159" s="106">
        <f>-G22</f>
        <v>7213.5646827684495</v>
      </c>
    </row>
    <row r="160" spans="3:7" x14ac:dyDescent="0.25">
      <c r="C160" t="s">
        <v>1305</v>
      </c>
      <c r="D160" t="s">
        <v>844</v>
      </c>
      <c r="G160" s="106">
        <f>Inputs!$E$229*MOIC!$G$143</f>
        <v>6639.525</v>
      </c>
    </row>
    <row r="162" spans="3:43" x14ac:dyDescent="0.25">
      <c r="C162" s="43" t="s">
        <v>1032</v>
      </c>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row>
    <row r="163" spans="3:43" x14ac:dyDescent="0.25">
      <c r="C163" t="s">
        <v>1299</v>
      </c>
      <c r="D163" t="s">
        <v>57</v>
      </c>
      <c r="G163" s="6" t="str">
        <f>IF(AND(Inputs!$E$240="OK",Inputs!$E$241="OK"),IF(Inputs!$E$155&lt;=Inputs!$E$101,"OK","OK – "&amp;ROUND((Inputs!$E$155-Inputs!$E$101)/30.44,0)&amp;" months after target COD"),"CHECK – outside tender window")</f>
        <v>OK – 9 months after target COD</v>
      </c>
    </row>
    <row r="164" spans="3:43" x14ac:dyDescent="0.25">
      <c r="C164" t="s">
        <v>1033</v>
      </c>
      <c r="D164" t="s">
        <v>57</v>
      </c>
      <c r="G164" s="6" t="str">
        <f>Inputs!$E$159</f>
        <v>OK</v>
      </c>
    </row>
    <row r="165" spans="3:43" x14ac:dyDescent="0.25">
      <c r="C165" t="s">
        <v>1034</v>
      </c>
      <c r="D165" t="s">
        <v>57</v>
      </c>
      <c r="G165" s="6" t="str">
        <f>IF(ABS(G7-1)&lt;0.0001,"OK","FAIL")</f>
        <v>OK</v>
      </c>
    </row>
    <row r="166" spans="3:43" x14ac:dyDescent="0.25">
      <c r="C166" t="s">
        <v>1035</v>
      </c>
      <c r="D166" t="s">
        <v>57</v>
      </c>
      <c r="G166" s="6" t="str">
        <f>IF(ABS(-G27-E27)&lt;0.01,"OK","FAIL")</f>
        <v>OK</v>
      </c>
    </row>
    <row r="167" spans="3:43" x14ac:dyDescent="0.25">
      <c r="C167" t="s">
        <v>1036</v>
      </c>
      <c r="D167" t="s">
        <v>57</v>
      </c>
      <c r="G167" s="6" t="str">
        <f>G158</f>
        <v>OK</v>
      </c>
    </row>
    <row r="168" spans="3:43" x14ac:dyDescent="0.25">
      <c r="C168" t="s">
        <v>1037</v>
      </c>
      <c r="D168" t="s">
        <v>57</v>
      </c>
      <c r="G168" s="6" t="str">
        <f>IF(MIN(H96:AQ96)&gt;=-0.01,"OK","FAIL")</f>
        <v>OK</v>
      </c>
    </row>
    <row r="169" spans="3:43" x14ac:dyDescent="0.25">
      <c r="C169" t="s">
        <v>1038</v>
      </c>
      <c r="D169" t="s">
        <v>57</v>
      </c>
      <c r="G169" s="6" t="str">
        <f>IF(G46=0,"OK","FALLBACK USED – "&amp;G46&amp;" years")</f>
        <v>OK</v>
      </c>
    </row>
    <row r="170" spans="3:43" x14ac:dyDescent="0.25">
      <c r="C170" t="s">
        <v>2220</v>
      </c>
      <c r="D170" t="s">
        <v>57</v>
      </c>
      <c r="G170" s="6" t="str">
        <f>IF(AND(ABS(-(G16+G17+G18+G28)-(MOIC!$G$18+MOIC!$G$20+Inputs!$E$24+Inputs!$E$25+SUMPRODUCT(Deposits!$M$7:$M$18,Deposits!$P$7:$P$18)))&lt;0.01,-G23&gt;=MOIC!$G$79-0.01),"OK",IF(Inputs!$E$226=0,"n/a – dev costs excluded","FAIL"))</f>
        <v>OK</v>
      </c>
    </row>
    <row r="171" spans="3:43" x14ac:dyDescent="0.25">
      <c r="C171" t="s">
        <v>1518</v>
      </c>
      <c r="D171" t="s">
        <v>57</v>
      </c>
      <c r="G171" s="6" t="str">
        <f>IF(ABS(G123-(G109+G77+G85-G80+G86-G87+G89+G100))&lt;0.01,"OK","FAIL")</f>
        <v>OK</v>
      </c>
    </row>
    <row r="172" x14ac:dyDescent="0.25">
      <c r="C172" t="s">
        <v>1039</v>
      </c>
      <c r="D172" t="s">
        <v>57</v>
      </c>
      <c r="G172" s="6" t="str">
        <f>IF(AND(COUNTIF(G163:G171,"OK*")+COUNTIF(G163:G171,"n/a*")=ROWS(G163:G171),G173="OK"),"ALL OK","REVIEW")</f>
        <v>ALL OK</v>
      </c>
    </row>
    <row r="173">
      <c r="C173" t="inlineStr">
        <is>
          <t xml:space="preserve">Tender checks – overall (Tender E343: links, clipping, price effects, scores) – counted in G172</t>
        </is>
      </c>
      <c r="D173" t="inlineStr">
        <is>
          <t xml:space="preserve">Status</t>
        </is>
      </c>
      <c r="G173" s="6" t="str">
        <f>Tender!$E$343</f>
        <v>OK</v>
      </c>
    </row>
    <row r="175" spans="3:43" x14ac:dyDescent="0.25">
      <c r="C175" s="43" t="s">
        <v>1122</v>
      </c>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row>
    <row r="176" spans="3:43" x14ac:dyDescent="0.25">
      <c r="C176" s="6" t="s">
        <v>1123</v>
      </c>
      <c r="D176" t="s">
        <v>4</v>
      </c>
    </row>
    <row r="177" spans="3:43" x14ac:dyDescent="0.25">
      <c r="C177" s="91" t="s">
        <v>1124</v>
      </c>
      <c r="D177" s="91" t="s">
        <v>1125</v>
      </c>
      <c r="E177" s="91" t="s">
        <v>1126</v>
      </c>
      <c r="F177" s="91" t="s">
        <v>1127</v>
      </c>
      <c r="G177" s="91" t="s">
        <v>1128</v>
      </c>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row>
    <row r="178" spans="3:43" x14ac:dyDescent="0.25">
      <c r="C178" t="s">
        <v>1129</v>
      </c>
      <c r="D178" s="143">
        <v>0.7</v>
      </c>
      <c r="E178" s="89">
        <f t="shared" ref="E178:E184" si="72">$G$153*D178</f>
        <v>102.31661968210156</v>
      </c>
      <c r="F178" s="31">
        <f t="shared" ref="F178:F184" si="73">IFERROR(IRR(H178:AQ178),"n/a")</f>
        <v>0.0696971427626796</v>
      </c>
      <c r="G178" s="1">
        <f t="shared" ref="G178:G184" si="74">SUMPRODUCT(H178:AQ178,$H$12:$AQ$12)</f>
        <v>-36653.75922107131</v>
      </c>
      <c r="H178" s="1">
        <f>H$109+H$54*($D178-1)*(1-Inputs!$E$196-Inputs!$E$210)</f>
        <v>-3175.234818585709</v>
      </c>
      <c r="I178" s="1">
        <f>I$109+I$54*($D178-1)*(1-Inputs!$E$196-Inputs!$E$210)</f>
        <v>-1953.381766012588</v>
      </c>
      <c r="J178" s="1">
        <f>J$109+J$54*($D178-1)*(1-Inputs!$E$196-Inputs!$E$210)</f>
        <v>-2850.781741816561</v>
      </c>
      <c r="K178" s="1">
        <f>K$109+K$54*($D178-1)*(1-Inputs!$E$196-Inputs!$E$210)</f>
        <v>-89489.15739242094</v>
      </c>
      <c r="L178" s="1">
        <f>L$109+L$54*($D178-1)*(1-Inputs!$E$196-Inputs!$E$210)</f>
        <v>-218407.81944608467</v>
      </c>
      <c r="M178" s="1">
        <f>M$109+M$54*($D178-1)*(1-Inputs!$E$196-Inputs!$E$210)</f>
        <v>-141569.16688977653</v>
      </c>
      <c r="N178" s="1">
        <f>N$109+N$54*($D178-1)*(1-Inputs!$E$196-Inputs!$E$210)</f>
        <v>35442.07907271542</v>
      </c>
      <c r="O178" s="1">
        <f>O$109+O$54*($D178-1)*(1-Inputs!$E$196-Inputs!$E$210)</f>
        <v>36208.50712286132</v>
      </c>
      <c r="P178" s="1">
        <f>P$109+P$54*($D178-1)*(1-Inputs!$E$196-Inputs!$E$210)</f>
        <v>34918.97724348412</v>
      </c>
      <c r="Q178" s="1">
        <f>Q$109+Q$54*($D178-1)*(1-Inputs!$E$196-Inputs!$E$210)</f>
        <v>35347.382231235155</v>
      </c>
      <c r="R178" s="1">
        <f>R$109+R$54*($D178-1)*(1-Inputs!$E$196-Inputs!$E$210)</f>
        <v>35945.90459687843</v>
      </c>
      <c r="S178" s="1">
        <f>S$109+S$54*($D178-1)*(1-Inputs!$E$196-Inputs!$E$210)</f>
        <v>38207.36321783895</v>
      </c>
      <c r="T178" s="1">
        <f>T$109+T$54*($D178-1)*(1-Inputs!$E$196-Inputs!$E$210)</f>
        <v>38100.02696167952</v>
      </c>
      <c r="U178" s="1">
        <f>U$109+U$54*($D178-1)*(1-Inputs!$E$196-Inputs!$E$210)</f>
        <v>38412.56273019578</v>
      </c>
      <c r="V178" s="1">
        <f>V$109+V$54*($D178-1)*(1-Inputs!$E$196-Inputs!$E$210)</f>
        <v>38383.346312437294</v>
      </c>
      <c r="W178" s="1">
        <f>W$109+W$54*($D178-1)*(1-Inputs!$E$196-Inputs!$E$210)</f>
        <v>38313.53577203732</v>
      </c>
      <c r="X178" s="1">
        <f>X$109+X$54*($D178-1)*(1-Inputs!$E$196-Inputs!$E$210)</f>
        <v>39340.87904434674</v>
      </c>
      <c r="Y178" s="1">
        <f>Y$109+Y$54*($D178-1)*(1-Inputs!$E$196-Inputs!$E$210)</f>
        <v>40050.03663102267</v>
      </c>
      <c r="Z178" s="1">
        <f>Z$109+Z$54*($D178-1)*(1-Inputs!$E$196-Inputs!$E$210)</f>
        <v>40221.945255784434</v>
      </c>
      <c r="AA178" s="1">
        <f>AA$109+AA$54*($D178-1)*(1-Inputs!$E$196-Inputs!$E$210)</f>
        <v>41755.879307092444</v>
      </c>
      <c r="AB178" s="1">
        <f>AB$109+AB$54*($D178-1)*(1-Inputs!$E$196-Inputs!$E$210)</f>
        <v>42480.66989276238</v>
      </c>
      <c r="AC178" s="1">
        <f>AC$109+AC$54*($D178-1)*(1-Inputs!$E$196-Inputs!$E$210)</f>
        <v>42985.94854564205</v>
      </c>
      <c r="AD178" s="1">
        <f>AD$109+AD$54*($D178-1)*(1-Inputs!$E$196-Inputs!$E$210)</f>
        <v>42543.42098457754</v>
      </c>
      <c r="AE178" s="1">
        <f>AE$109+AE$54*($D178-1)*(1-Inputs!$E$196-Inputs!$E$210)</f>
        <v>43234.73198112079</v>
      </c>
      <c r="AF178" s="1">
        <f>AF$109+AF$54*($D178-1)*(1-Inputs!$E$196-Inputs!$E$210)</f>
        <v>43105.32954647769</v>
      </c>
      <c r="AG178" s="1">
        <f>AG$109+AG$54*($D178-1)*(1-Inputs!$E$196-Inputs!$E$210)</f>
        <v>43094.31423033452</v>
      </c>
      <c r="AH178" s="1">
        <f>AH$109+AH$54*($D178-1)*(1-Inputs!$E$196-Inputs!$E$210)</f>
        <v>42666.166399446745</v>
      </c>
      <c r="AI178" s="1">
        <f>AI$109+AI$54*($D178-1)*(1-Inputs!$E$196-Inputs!$E$210)</f>
        <v>43856.22706078256</v>
      </c>
      <c r="AJ178" s="1">
        <f>AJ$109+AJ$54*($D178-1)*(1-Inputs!$E$196-Inputs!$E$210)</f>
        <v>44177.79375007116</v>
      </c>
      <c r="AK178" s="1">
        <f>AK$109+AK$54*($D178-1)*(1-Inputs!$E$196-Inputs!$E$210)</f>
        <v>44524.110079274455</v>
      </c>
      <c r="AL178" s="1">
        <f>AL$109+AL$54*($D178-1)*(1-Inputs!$E$196-Inputs!$E$210)</f>
        <v>44359.25571504861</v>
      </c>
      <c r="AM178" s="1">
        <f>AM$109+AM$54*($D178-1)*(1-Inputs!$E$196-Inputs!$E$210)</f>
        <v>45497.05415476797</v>
      </c>
      <c r="AN178" s="1">
        <f>AN$109+AN$54*($D178-1)*(1-Inputs!$E$196-Inputs!$E$210)</f>
        <v>47455.90685708419</v>
      </c>
      <c r="AO178" s="1">
        <f>AO$109+AO$54*($D178-1)*(1-Inputs!$E$196-Inputs!$E$210)</f>
        <v>49184.18486120812</v>
      </c>
      <c r="AP178" s="1">
        <f>AP$109+AP$54*($D178-1)*(1-Inputs!$E$196-Inputs!$E$210)</f>
        <v>49194.79691614841</v>
      </c>
      <c r="AQ178" s="1">
        <f>AQ$109+AQ$54*($D178-1)*(1-Inputs!$E$196-Inputs!$E$210)</f>
        <v>29598.757981534683</v>
      </c>
    </row>
    <row r="179" spans="3:43" x14ac:dyDescent="0.25">
      <c r="C179" t="s">
        <v>1130</v>
      </c>
      <c r="D179" s="143">
        <v>0.8</v>
      </c>
      <c r="E179" s="89">
        <f t="shared" si="72"/>
        <v>116.93327963668752</v>
      </c>
      <c r="F179" s="31">
        <f t="shared" si="73"/>
        <v>0.08616337767174403</v>
      </c>
      <c r="G179" s="1">
        <f t="shared" si="74"/>
        <v>22906.912851319565</v>
      </c>
      <c r="H179" s="1">
        <f>H$109+H$54*($D179-1)*(1-Inputs!$E$196-Inputs!$E$210)</f>
        <v>-3175.234818585709</v>
      </c>
      <c r="I179" s="1">
        <f>I$109+I$54*($D179-1)*(1-Inputs!$E$196-Inputs!$E$210)</f>
        <v>-1953.381766012588</v>
      </c>
      <c r="J179" s="1">
        <f>J$109+J$54*($D179-1)*(1-Inputs!$E$196-Inputs!$E$210)</f>
        <v>-2850.781741816561</v>
      </c>
      <c r="K179" s="1">
        <f>K$109+K$54*($D179-1)*(1-Inputs!$E$196-Inputs!$E$210)</f>
        <v>-89489.15739242094</v>
      </c>
      <c r="L179" s="1">
        <f>L$109+L$54*($D179-1)*(1-Inputs!$E$196-Inputs!$E$210)</f>
        <v>-218407.81944608467</v>
      </c>
      <c r="M179" s="1">
        <f>M$109+M$54*($D179-1)*(1-Inputs!$E$196-Inputs!$E$210)</f>
        <v>-139869.72318981547</v>
      </c>
      <c r="N179" s="1">
        <f>N$109+N$54*($D179-1)*(1-Inputs!$E$196-Inputs!$E$210)</f>
        <v>42164.6331904308</v>
      </c>
      <c r="O179" s="1">
        <f>O$109+O$54*($D179-1)*(1-Inputs!$E$196-Inputs!$E$210)</f>
        <v>43075.816411536056</v>
      </c>
      <c r="P179" s="1">
        <f>P$109+P$54*($D179-1)*(1-Inputs!$E$196-Inputs!$E$210)</f>
        <v>41638.176736168665</v>
      </c>
      <c r="Q179" s="1">
        <f>Q$109+Q$54*($D179-1)*(1-Inputs!$E$196-Inputs!$E$210)</f>
        <v>42164.794734862015</v>
      </c>
      <c r="R179" s="1">
        <f>R$109+R$54*($D179-1)*(1-Inputs!$E$196-Inputs!$E$210)</f>
        <v>42886.741401183695</v>
      </c>
      <c r="S179" s="1">
        <f>S$109+S$54*($D179-1)*(1-Inputs!$E$196-Inputs!$E$210)</f>
        <v>45510.13293380454</v>
      </c>
      <c r="T179" s="1">
        <f>T$109+T$54*($D179-1)*(1-Inputs!$E$196-Inputs!$E$210)</f>
        <v>45427.25703770583</v>
      </c>
      <c r="U179" s="1">
        <f>U$109+U$54*($D179-1)*(1-Inputs!$E$196-Inputs!$E$210)</f>
        <v>45825.21366788053</v>
      </c>
      <c r="V179" s="1">
        <f>V$109+V$54*($D179-1)*(1-Inputs!$E$196-Inputs!$E$210)</f>
        <v>45833.59077343959</v>
      </c>
      <c r="W179" s="1">
        <f>W$109+W$54*($D179-1)*(1-Inputs!$E$196-Inputs!$E$210)</f>
        <v>45796.596267863606</v>
      </c>
      <c r="X179" s="1">
        <f>X$109+X$54*($D179-1)*(1-Inputs!$E$196-Inputs!$E$210)</f>
        <v>47014.55008190468</v>
      </c>
      <c r="Y179" s="1">
        <f>Y$109+Y$54*($D179-1)*(1-Inputs!$E$196-Inputs!$E$210)</f>
        <v>47869.931924339435</v>
      </c>
      <c r="Z179" s="1">
        <f>Z$109+Z$54*($D179-1)*(1-Inputs!$E$196-Inputs!$E$210)</f>
        <v>48112.40741408624</v>
      </c>
      <c r="AA179" s="1">
        <f>AA$109+AA$54*($D179-1)*(1-Inputs!$E$196-Inputs!$E$210)</f>
        <v>49912.62221242991</v>
      </c>
      <c r="AB179" s="1">
        <f>AB$109+AB$54*($D179-1)*(1-Inputs!$E$196-Inputs!$E$210)</f>
        <v>50789.24501922028</v>
      </c>
      <c r="AC179" s="1">
        <f>AC$109+AC$54*($D179-1)*(1-Inputs!$E$196-Inputs!$E$210)</f>
        <v>51416.17445923771</v>
      </c>
      <c r="AD179" s="1">
        <f>AD$109+AD$54*($D179-1)*(1-Inputs!$E$196-Inputs!$E$210)</f>
        <v>50961.09516675364</v>
      </c>
      <c r="AE179" s="1">
        <f>AE$109+AE$54*($D179-1)*(1-Inputs!$E$196-Inputs!$E$210)</f>
        <v>51803.080677433456</v>
      </c>
      <c r="AF179" s="1">
        <f>AF$109+AF$54*($D179-1)*(1-Inputs!$E$196-Inputs!$E$210)</f>
        <v>51708.36686810184</v>
      </c>
      <c r="AG179" s="1">
        <f>AG$109+AG$54*($D179-1)*(1-Inputs!$E$196-Inputs!$E$210)</f>
        <v>51750.25197899756</v>
      </c>
      <c r="AH179" s="1">
        <f>AH$109+AH$54*($D179-1)*(1-Inputs!$E$196-Inputs!$E$210)</f>
        <v>51316.73941624114</v>
      </c>
      <c r="AI179" s="1">
        <f>AI$109+AI$54*($D179-1)*(1-Inputs!$E$196-Inputs!$E$210)</f>
        <v>52733.98659401879</v>
      </c>
      <c r="AJ179" s="1">
        <f>AJ$109+AJ$54*($D179-1)*(1-Inputs!$E$196-Inputs!$E$210)</f>
        <v>53160.05489136122</v>
      </c>
      <c r="AK179" s="1">
        <f>AK$109+AK$54*($D179-1)*(1-Inputs!$E$196-Inputs!$E$210)</f>
        <v>53615.83723650057</v>
      </c>
      <c r="AL179" s="1">
        <f>AL$109+AL$54*($D179-1)*(1-Inputs!$E$196-Inputs!$E$210)</f>
        <v>53488.88225868376</v>
      </c>
      <c r="AM179" s="1">
        <f>AM$109+AM$54*($D179-1)*(1-Inputs!$E$196-Inputs!$E$210)</f>
        <v>54852.18544252262</v>
      </c>
      <c r="AN179" s="1">
        <f>AN$109+AN$54*($D179-1)*(1-Inputs!$E$196-Inputs!$E$210)</f>
        <v>57155.37973493779</v>
      </c>
      <c r="AO179" s="1">
        <f>AO$109+AO$54*($D179-1)*(1-Inputs!$E$196-Inputs!$E$210)</f>
        <v>59196.62968750864</v>
      </c>
      <c r="AP179" s="1">
        <f>AP$109+AP$54*($D179-1)*(1-Inputs!$E$196-Inputs!$E$210)</f>
        <v>59276.42502841054</v>
      </c>
      <c r="AQ179" s="1">
        <f>AQ$109+AQ$54*($D179-1)*(1-Inputs!$E$196-Inputs!$E$210)</f>
        <v>37288.06615089757</v>
      </c>
    </row>
    <row r="180" spans="3:43" x14ac:dyDescent="0.25">
      <c r="C180" t="s">
        <v>1131</v>
      </c>
      <c r="D180" s="143">
        <v>0.9</v>
      </c>
      <c r="E180" s="89">
        <f t="shared" si="72"/>
        <v>131.54993959127344</v>
      </c>
      <c r="F180" s="31">
        <f t="shared" si="73"/>
        <v>0.10140083734993663</v>
      </c>
      <c r="G180" s="1">
        <f t="shared" si="74"/>
        <v>82467.5849237104</v>
      </c>
      <c r="H180" s="1">
        <f>H$109+H$54*($D180-1)*(1-Inputs!$E$196-Inputs!$E$210)</f>
        <v>-3175.234818585709</v>
      </c>
      <c r="I180" s="1">
        <f>I$109+I$54*($D180-1)*(1-Inputs!$E$196-Inputs!$E$210)</f>
        <v>-1953.381766012588</v>
      </c>
      <c r="J180" s="1">
        <f>J$109+J$54*($D180-1)*(1-Inputs!$E$196-Inputs!$E$210)</f>
        <v>-2850.781741816561</v>
      </c>
      <c r="K180" s="1">
        <f>K$109+K$54*($D180-1)*(1-Inputs!$E$196-Inputs!$E$210)</f>
        <v>-89489.15739242094</v>
      </c>
      <c r="L180" s="1">
        <f>L$109+L$54*($D180-1)*(1-Inputs!$E$196-Inputs!$E$210)</f>
        <v>-218407.81944608467</v>
      </c>
      <c r="M180" s="1">
        <f>M$109+M$54*($D180-1)*(1-Inputs!$E$196-Inputs!$E$210)</f>
        <v>-138170.2794898544</v>
      </c>
      <c r="N180" s="1">
        <f>N$109+N$54*($D180-1)*(1-Inputs!$E$196-Inputs!$E$210)</f>
        <v>48887.187308146174</v>
      </c>
      <c r="O180" s="1">
        <f>O$109+O$54*($D180-1)*(1-Inputs!$E$196-Inputs!$E$210)</f>
        <v>49943.12570021078</v>
      </c>
      <c r="P180" s="1">
        <f>P$109+P$54*($D180-1)*(1-Inputs!$E$196-Inputs!$E$210)</f>
        <v>48357.37622885321</v>
      </c>
      <c r="Q180" s="1">
        <f>Q$109+Q$54*($D180-1)*(1-Inputs!$E$196-Inputs!$E$210)</f>
        <v>48982.207238488874</v>
      </c>
      <c r="R180" s="1">
        <f>R$109+R$54*($D180-1)*(1-Inputs!$E$196-Inputs!$E$210)</f>
        <v>49827.57820548896</v>
      </c>
      <c r="S180" s="1">
        <f>S$109+S$54*($D180-1)*(1-Inputs!$E$196-Inputs!$E$210)</f>
        <v>52812.90264977013</v>
      </c>
      <c r="T180" s="1">
        <f>T$109+T$54*($D180-1)*(1-Inputs!$E$196-Inputs!$E$210)</f>
        <v>52754.48711373213</v>
      </c>
      <c r="U180" s="1">
        <f>U$109+U$54*($D180-1)*(1-Inputs!$E$196-Inputs!$E$210)</f>
        <v>53237.864605565286</v>
      </c>
      <c r="V180" s="1">
        <f>V$109+V$54*($D180-1)*(1-Inputs!$E$196-Inputs!$E$210)</f>
        <v>53283.83523444188</v>
      </c>
      <c r="W180" s="1">
        <f>W$109+W$54*($D180-1)*(1-Inputs!$E$196-Inputs!$E$210)</f>
        <v>53279.65676368988</v>
      </c>
      <c r="X180" s="1">
        <f>X$109+X$54*($D180-1)*(1-Inputs!$E$196-Inputs!$E$210)</f>
        <v>54688.221119462614</v>
      </c>
      <c r="Y180" s="1">
        <f>Y$109+Y$54*($D180-1)*(1-Inputs!$E$196-Inputs!$E$210)</f>
        <v>55689.8272176562</v>
      </c>
      <c r="Z180" s="1">
        <f>Z$109+Z$54*($D180-1)*(1-Inputs!$E$196-Inputs!$E$210)</f>
        <v>56002.869572388045</v>
      </c>
      <c r="AA180" s="1">
        <f>AA$109+AA$54*($D180-1)*(1-Inputs!$E$196-Inputs!$E$210)</f>
        <v>58069.36511776736</v>
      </c>
      <c r="AB180" s="1">
        <f>AB$109+AB$54*($D180-1)*(1-Inputs!$E$196-Inputs!$E$210)</f>
        <v>59097.82014567817</v>
      </c>
      <c r="AC180" s="1">
        <f>AC$109+AC$54*($D180-1)*(1-Inputs!$E$196-Inputs!$E$210)</f>
        <v>59846.400372833356</v>
      </c>
      <c r="AD180" s="1">
        <f>AD$109+AD$54*($D180-1)*(1-Inputs!$E$196-Inputs!$E$210)</f>
        <v>59378.76934892973</v>
      </c>
      <c r="AE180" s="1">
        <f>AE$109+AE$54*($D180-1)*(1-Inputs!$E$196-Inputs!$E$210)</f>
        <v>60371.42937374611</v>
      </c>
      <c r="AF180" s="1">
        <f>AF$109+AF$54*($D180-1)*(1-Inputs!$E$196-Inputs!$E$210)</f>
        <v>60311.40418972599</v>
      </c>
      <c r="AG180" s="1">
        <f>AG$109+AG$54*($D180-1)*(1-Inputs!$E$196-Inputs!$E$210)</f>
        <v>60406.18972766058</v>
      </c>
      <c r="AH180" s="1">
        <f>AH$109+AH$54*($D180-1)*(1-Inputs!$E$196-Inputs!$E$210)</f>
        <v>59967.31243303551</v>
      </c>
      <c r="AI180" s="1">
        <f>AI$109+AI$54*($D180-1)*(1-Inputs!$E$196-Inputs!$E$210)</f>
        <v>61611.74612725501</v>
      </c>
      <c r="AJ180" s="1">
        <f>AJ$109+AJ$54*($D180-1)*(1-Inputs!$E$196-Inputs!$E$210)</f>
        <v>62142.31603265126</v>
      </c>
      <c r="AK180" s="1">
        <f>AK$109+AK$54*($D180-1)*(1-Inputs!$E$196-Inputs!$E$210)</f>
        <v>62707.56439372667</v>
      </c>
      <c r="AL180" s="1">
        <f>AL$109+AL$54*($D180-1)*(1-Inputs!$E$196-Inputs!$E$210)</f>
        <v>62618.5088023189</v>
      </c>
      <c r="AM180" s="1">
        <f>AM$109+AM$54*($D180-1)*(1-Inputs!$E$196-Inputs!$E$210)</f>
        <v>64207.316730277256</v>
      </c>
      <c r="AN180" s="1">
        <f>AN$109+AN$54*($D180-1)*(1-Inputs!$E$196-Inputs!$E$210)</f>
        <v>66854.8526127914</v>
      </c>
      <c r="AO180" s="1">
        <f>AO$109+AO$54*($D180-1)*(1-Inputs!$E$196-Inputs!$E$210)</f>
        <v>69209.07451380916</v>
      </c>
      <c r="AP180" s="1">
        <f>AP$109+AP$54*($D180-1)*(1-Inputs!$E$196-Inputs!$E$210)</f>
        <v>69358.05314067264</v>
      </c>
      <c r="AQ180" s="1">
        <f>AQ$109+AQ$54*($D180-1)*(1-Inputs!$E$196-Inputs!$E$210)</f>
        <v>44977.37432026044</v>
      </c>
    </row>
    <row r="181" spans="3:43" x14ac:dyDescent="0.25">
      <c r="C181" s="145" t="s">
        <v>1132</v>
      </c>
      <c r="D181" s="140">
        <v>1</v>
      </c>
      <c r="E181" s="141">
        <f t="shared" si="72"/>
        <v>146.16659954585938</v>
      </c>
      <c r="F181" s="55">
        <f t="shared" si="73"/>
        <v>0.11574478334958782</v>
      </c>
      <c r="G181" s="146">
        <f t="shared" si="74"/>
        <v>142028.2569961012</v>
      </c>
      <c r="H181" s="1">
        <f>H$109+H$54*($D181-1)*(1-Inputs!$E$196-Inputs!$E$210)</f>
        <v>-3175.234818585709</v>
      </c>
      <c r="I181" s="1">
        <f>I$109+I$54*($D181-1)*(1-Inputs!$E$196-Inputs!$E$210)</f>
        <v>-1953.381766012588</v>
      </c>
      <c r="J181" s="1">
        <f>J$109+J$54*($D181-1)*(1-Inputs!$E$196-Inputs!$E$210)</f>
        <v>-2850.781741816561</v>
      </c>
      <c r="K181" s="1">
        <f>K$109+K$54*($D181-1)*(1-Inputs!$E$196-Inputs!$E$210)</f>
        <v>-89489.15739242094</v>
      </c>
      <c r="L181" s="1">
        <f>L$109+L$54*($D181-1)*(1-Inputs!$E$196-Inputs!$E$210)</f>
        <v>-218407.81944608467</v>
      </c>
      <c r="M181" s="1">
        <f>M$109+M$54*($D181-1)*(1-Inputs!$E$196-Inputs!$E$210)</f>
        <v>-136470.83578989335</v>
      </c>
      <c r="N181" s="1">
        <f>N$109+N$54*($D181-1)*(1-Inputs!$E$196-Inputs!$E$210)</f>
        <v>55609.741425861546</v>
      </c>
      <c r="O181" s="1">
        <f>O$109+O$54*($D181-1)*(1-Inputs!$E$196-Inputs!$E$210)</f>
        <v>56810.43498888551</v>
      </c>
      <c r="P181" s="1">
        <f>P$109+P$54*($D181-1)*(1-Inputs!$E$196-Inputs!$E$210)</f>
        <v>55076.575721537745</v>
      </c>
      <c r="Q181" s="1">
        <f>Q$109+Q$54*($D181-1)*(1-Inputs!$E$196-Inputs!$E$210)</f>
        <v>55799.61974211573</v>
      </c>
      <c r="R181" s="1">
        <f>R$109+R$54*($D181-1)*(1-Inputs!$E$196-Inputs!$E$210)</f>
        <v>56768.41500979422</v>
      </c>
      <c r="S181" s="1">
        <f>S$109+S$54*($D181-1)*(1-Inputs!$E$196-Inputs!$E$210)</f>
        <v>60115.67236573571</v>
      </c>
      <c r="T181" s="1">
        <f>T$109+T$54*($D181-1)*(1-Inputs!$E$196-Inputs!$E$210)</f>
        <v>60081.71718975843</v>
      </c>
      <c r="U181" s="1">
        <f>U$109+U$54*($D181-1)*(1-Inputs!$E$196-Inputs!$E$210)</f>
        <v>60650.51554325003</v>
      </c>
      <c r="V181" s="1">
        <f>V$109+V$54*($D181-1)*(1-Inputs!$E$196-Inputs!$E$210)</f>
        <v>60734.079695444176</v>
      </c>
      <c r="W181" s="1">
        <f>W$109+W$54*($D181-1)*(1-Inputs!$E$196-Inputs!$E$210)</f>
        <v>60762.71725951616</v>
      </c>
      <c r="X181" s="1">
        <f>X$109+X$54*($D181-1)*(1-Inputs!$E$196-Inputs!$E$210)</f>
        <v>62361.89215702055</v>
      </c>
      <c r="Y181" s="1">
        <f>Y$109+Y$54*($D181-1)*(1-Inputs!$E$196-Inputs!$E$210)</f>
        <v>63509.72251097296</v>
      </c>
      <c r="Z181" s="1">
        <f>Z$109+Z$54*($D181-1)*(1-Inputs!$E$196-Inputs!$E$210)</f>
        <v>63893.331730689846</v>
      </c>
      <c r="AA181" s="1">
        <f>AA$109+AA$54*($D181-1)*(1-Inputs!$E$196-Inputs!$E$210)</f>
        <v>66226.10802310481</v>
      </c>
      <c r="AB181" s="1">
        <f>AB$109+AB$54*($D181-1)*(1-Inputs!$E$196-Inputs!$E$210)</f>
        <v>67406.39527213605</v>
      </c>
      <c r="AC181" s="1">
        <f>AC$109+AC$54*($D181-1)*(1-Inputs!$E$196-Inputs!$E$210)</f>
        <v>68276.626286429</v>
      </c>
      <c r="AD181" s="1">
        <f>AD$109+AD$54*($D181-1)*(1-Inputs!$E$196-Inputs!$E$210)</f>
        <v>67796.44353110582</v>
      </c>
      <c r="AE181" s="1">
        <f>AE$109+AE$54*($D181-1)*(1-Inputs!$E$196-Inputs!$E$210)</f>
        <v>68939.77807005876</v>
      </c>
      <c r="AF181" s="1">
        <f>AF$109+AF$54*($D181-1)*(1-Inputs!$E$196-Inputs!$E$210)</f>
        <v>68914.44151135013</v>
      </c>
      <c r="AG181" s="1">
        <f>AG$109+AG$54*($D181-1)*(1-Inputs!$E$196-Inputs!$E$210)</f>
        <v>69062.1274763236</v>
      </c>
      <c r="AH181" s="1">
        <f>AH$109+AH$54*($D181-1)*(1-Inputs!$E$196-Inputs!$E$210)</f>
        <v>68617.88544982989</v>
      </c>
      <c r="AI181" s="1">
        <f>AI$109+AI$54*($D181-1)*(1-Inputs!$E$196-Inputs!$E$210)</f>
        <v>70489.50566049124</v>
      </c>
      <c r="AJ181" s="1">
        <f>AJ$109+AJ$54*($D181-1)*(1-Inputs!$E$196-Inputs!$E$210)</f>
        <v>71124.5771739413</v>
      </c>
      <c r="AK181" s="1">
        <f>AK$109+AK$54*($D181-1)*(1-Inputs!$E$196-Inputs!$E$210)</f>
        <v>71799.29155095278</v>
      </c>
      <c r="AL181" s="1">
        <f>AL$109+AL$54*($D181-1)*(1-Inputs!$E$196-Inputs!$E$210)</f>
        <v>71748.13534595404</v>
      </c>
      <c r="AM181" s="1">
        <f>AM$109+AM$54*($D181-1)*(1-Inputs!$E$196-Inputs!$E$210)</f>
        <v>73562.4480180319</v>
      </c>
      <c r="AN181" s="1">
        <f>AN$109+AN$54*($D181-1)*(1-Inputs!$E$196-Inputs!$E$210)</f>
        <v>76554.32549064499</v>
      </c>
      <c r="AO181" s="1">
        <f>AO$109+AO$54*($D181-1)*(1-Inputs!$E$196-Inputs!$E$210)</f>
        <v>79221.51934010966</v>
      </c>
      <c r="AP181" s="1">
        <f>AP$109+AP$54*($D181-1)*(1-Inputs!$E$196-Inputs!$E$210)</f>
        <v>79439.68125293475</v>
      </c>
      <c r="AQ181" s="1">
        <f>AQ$109+AQ$54*($D181-1)*(1-Inputs!$E$196-Inputs!$E$210)</f>
        <v>52666.682489623316</v>
      </c>
    </row>
    <row r="182" spans="3:43" x14ac:dyDescent="0.25">
      <c r="C182" t="s">
        <v>1133</v>
      </c>
      <c r="D182" s="143">
        <v>1.1000000000000001</v>
      </c>
      <c r="E182" s="89">
        <f t="shared" si="72"/>
        <v>160.78325950044533</v>
      </c>
      <c r="F182" s="31">
        <f t="shared" si="73"/>
        <v>0.1294093130723963</v>
      </c>
      <c r="G182" s="1">
        <f t="shared" si="74"/>
        <v>201588.9290684921</v>
      </c>
      <c r="H182" s="1">
        <f>H$109+H$54*($D182-1)*(1-Inputs!$E$196-Inputs!$E$210)</f>
        <v>-3175.234818585709</v>
      </c>
      <c r="I182" s="1">
        <f>I$109+I$54*($D182-1)*(1-Inputs!$E$196-Inputs!$E$210)</f>
        <v>-1953.381766012588</v>
      </c>
      <c r="J182" s="1">
        <f>J$109+J$54*($D182-1)*(1-Inputs!$E$196-Inputs!$E$210)</f>
        <v>-2850.781741816561</v>
      </c>
      <c r="K182" s="1">
        <f>K$109+K$54*($D182-1)*(1-Inputs!$E$196-Inputs!$E$210)</f>
        <v>-89489.15739242094</v>
      </c>
      <c r="L182" s="1">
        <f>L$109+L$54*($D182-1)*(1-Inputs!$E$196-Inputs!$E$210)</f>
        <v>-218407.81944608467</v>
      </c>
      <c r="M182" s="1">
        <f>M$109+M$54*($D182-1)*(1-Inputs!$E$196-Inputs!$E$210)</f>
        <v>-134771.39208993228</v>
      </c>
      <c r="N182" s="1">
        <f>N$109+N$54*($D182-1)*(1-Inputs!$E$196-Inputs!$E$210)</f>
        <v>62332.295543576925</v>
      </c>
      <c r="O182" s="1">
        <f>O$109+O$54*($D182-1)*(1-Inputs!$E$196-Inputs!$E$210)</f>
        <v>63677.74427756024</v>
      </c>
      <c r="P182" s="1">
        <f>P$109+P$54*($D182-1)*(1-Inputs!$E$196-Inputs!$E$210)</f>
        <v>61795.77521422229</v>
      </c>
      <c r="Q182" s="1">
        <f>Q$109+Q$54*($D182-1)*(1-Inputs!$E$196-Inputs!$E$210)</f>
        <v>62617.03224574259</v>
      </c>
      <c r="R182" s="1">
        <f>R$109+R$54*($D182-1)*(1-Inputs!$E$196-Inputs!$E$210)</f>
        <v>63709.25181409949</v>
      </c>
      <c r="S182" s="1">
        <f>S$109+S$54*($D182-1)*(1-Inputs!$E$196-Inputs!$E$210)</f>
        <v>67418.4420817013</v>
      </c>
      <c r="T182" s="1">
        <f>T$109+T$54*($D182-1)*(1-Inputs!$E$196-Inputs!$E$210)</f>
        <v>67408.94726578474</v>
      </c>
      <c r="U182" s="1">
        <f>U$109+U$54*($D182-1)*(1-Inputs!$E$196-Inputs!$E$210)</f>
        <v>68063.16648093479</v>
      </c>
      <c r="V182" s="1">
        <f>V$109+V$54*($D182-1)*(1-Inputs!$E$196-Inputs!$E$210)</f>
        <v>68184.32415644647</v>
      </c>
      <c r="W182" s="1">
        <f>W$109+W$54*($D182-1)*(1-Inputs!$E$196-Inputs!$E$210)</f>
        <v>68245.77775534245</v>
      </c>
      <c r="X182" s="1">
        <f>X$109+X$54*($D182-1)*(1-Inputs!$E$196-Inputs!$E$210)</f>
        <v>70035.5631945785</v>
      </c>
      <c r="Y182" s="1">
        <f>Y$109+Y$54*($D182-1)*(1-Inputs!$E$196-Inputs!$E$210)</f>
        <v>71329.61780428974</v>
      </c>
      <c r="Z182" s="1">
        <f>Z$109+Z$54*($D182-1)*(1-Inputs!$E$196-Inputs!$E$210)</f>
        <v>71783.79388899165</v>
      </c>
      <c r="AA182" s="1">
        <f>AA$109+AA$54*($D182-1)*(1-Inputs!$E$196-Inputs!$E$210)</f>
        <v>74382.85092844228</v>
      </c>
      <c r="AB182" s="1">
        <f>AB$109+AB$54*($D182-1)*(1-Inputs!$E$196-Inputs!$E$210)</f>
        <v>75714.97039859396</v>
      </c>
      <c r="AC182" s="1">
        <f>AC$109+AC$54*($D182-1)*(1-Inputs!$E$196-Inputs!$E$210)</f>
        <v>76706.85220002466</v>
      </c>
      <c r="AD182" s="1">
        <f>AD$109+AD$54*($D182-1)*(1-Inputs!$E$196-Inputs!$E$210)</f>
        <v>76214.11771328191</v>
      </c>
      <c r="AE182" s="1">
        <f>AE$109+AE$54*($D182-1)*(1-Inputs!$E$196-Inputs!$E$210)</f>
        <v>77508.12676637142</v>
      </c>
      <c r="AF182" s="1">
        <f>AF$109+AF$54*($D182-1)*(1-Inputs!$E$196-Inputs!$E$210)</f>
        <v>77517.47883297429</v>
      </c>
      <c r="AG182" s="1">
        <f>AG$109+AG$54*($D182-1)*(1-Inputs!$E$196-Inputs!$E$210)</f>
        <v>77718.06522498663</v>
      </c>
      <c r="AH182" s="1">
        <f>AH$109+AH$54*($D182-1)*(1-Inputs!$E$196-Inputs!$E$210)</f>
        <v>77268.45846662427</v>
      </c>
      <c r="AI182" s="1">
        <f>AI$109+AI$54*($D182-1)*(1-Inputs!$E$196-Inputs!$E$210)</f>
        <v>79367.26519372748</v>
      </c>
      <c r="AJ182" s="1">
        <f>AJ$109+AJ$54*($D182-1)*(1-Inputs!$E$196-Inputs!$E$210)</f>
        <v>80106.83831523135</v>
      </c>
      <c r="AK182" s="1">
        <f>AK$109+AK$54*($D182-1)*(1-Inputs!$E$196-Inputs!$E$210)</f>
        <v>80891.01870817889</v>
      </c>
      <c r="AL182" s="1">
        <f>AL$109+AL$54*($D182-1)*(1-Inputs!$E$196-Inputs!$E$210)</f>
        <v>80877.7618895892</v>
      </c>
      <c r="AM182" s="1">
        <f>AM$109+AM$54*($D182-1)*(1-Inputs!$E$196-Inputs!$E$210)</f>
        <v>82917.57930578654</v>
      </c>
      <c r="AN182" s="1">
        <f>AN$109+AN$54*($D182-1)*(1-Inputs!$E$196-Inputs!$E$210)</f>
        <v>86253.7983684986</v>
      </c>
      <c r="AO182" s="1">
        <f>AO$109+AO$54*($D182-1)*(1-Inputs!$E$196-Inputs!$E$210)</f>
        <v>89233.96416641018</v>
      </c>
      <c r="AP182" s="1">
        <f>AP$109+AP$54*($D182-1)*(1-Inputs!$E$196-Inputs!$E$210)</f>
        <v>89521.30936519687</v>
      </c>
      <c r="AQ182" s="1">
        <f>AQ$109+AQ$54*($D182-1)*(1-Inputs!$E$196-Inputs!$E$210)</f>
        <v>60355.9906589862</v>
      </c>
    </row>
    <row r="183" spans="3:43" x14ac:dyDescent="0.25">
      <c r="C183" t="s">
        <v>1134</v>
      </c>
      <c r="D183" s="143">
        <v>1.2</v>
      </c>
      <c r="E183" s="89">
        <f t="shared" si="72"/>
        <v>175.39991945503127</v>
      </c>
      <c r="F183" s="31">
        <f t="shared" si="73"/>
        <v>0.14253850888204364</v>
      </c>
      <c r="G183" s="1">
        <f t="shared" si="74"/>
        <v>261149.60114088285</v>
      </c>
      <c r="H183" s="1">
        <f>H$109+H$54*($D183-1)*(1-Inputs!$E$196-Inputs!$E$210)</f>
        <v>-3175.234818585709</v>
      </c>
      <c r="I183" s="1">
        <f>I$109+I$54*($D183-1)*(1-Inputs!$E$196-Inputs!$E$210)</f>
        <v>-1953.381766012588</v>
      </c>
      <c r="J183" s="1">
        <f>J$109+J$54*($D183-1)*(1-Inputs!$E$196-Inputs!$E$210)</f>
        <v>-2850.781741816561</v>
      </c>
      <c r="K183" s="1">
        <f>K$109+K$54*($D183-1)*(1-Inputs!$E$196-Inputs!$E$210)</f>
        <v>-89489.15739242094</v>
      </c>
      <c r="L183" s="1">
        <f>L$109+L$54*($D183-1)*(1-Inputs!$E$196-Inputs!$E$210)</f>
        <v>-218407.81944608467</v>
      </c>
      <c r="M183" s="1">
        <f>M$109+M$54*($D183-1)*(1-Inputs!$E$196-Inputs!$E$210)</f>
        <v>-133071.94838997122</v>
      </c>
      <c r="N183" s="1">
        <f>N$109+N$54*($D183-1)*(1-Inputs!$E$196-Inputs!$E$210)</f>
        <v>69054.84966129229</v>
      </c>
      <c r="O183" s="1">
        <f>O$109+O$54*($D183-1)*(1-Inputs!$E$196-Inputs!$E$210)</f>
        <v>70545.05356623496</v>
      </c>
      <c r="P183" s="1">
        <f>P$109+P$54*($D183-1)*(1-Inputs!$E$196-Inputs!$E$210)</f>
        <v>68514.97470690683</v>
      </c>
      <c r="Q183" s="1">
        <f>Q$109+Q$54*($D183-1)*(1-Inputs!$E$196-Inputs!$E$210)</f>
        <v>69434.44474936943</v>
      </c>
      <c r="R183" s="1">
        <f>R$109+R$54*($D183-1)*(1-Inputs!$E$196-Inputs!$E$210)</f>
        <v>70650.08861840474</v>
      </c>
      <c r="S183" s="1">
        <f>S$109+S$54*($D183-1)*(1-Inputs!$E$196-Inputs!$E$210)</f>
        <v>74721.21179766688</v>
      </c>
      <c r="T183" s="1">
        <f>T$109+T$54*($D183-1)*(1-Inputs!$E$196-Inputs!$E$210)</f>
        <v>74736.17734181102</v>
      </c>
      <c r="U183" s="1">
        <f>U$109+U$54*($D183-1)*(1-Inputs!$E$196-Inputs!$E$210)</f>
        <v>75475.81741861952</v>
      </c>
      <c r="V183" s="1">
        <f>V$109+V$54*($D183-1)*(1-Inputs!$E$196-Inputs!$E$210)</f>
        <v>75634.56861744876</v>
      </c>
      <c r="W183" s="1">
        <f>W$109+W$54*($D183-1)*(1-Inputs!$E$196-Inputs!$E$210)</f>
        <v>75728.83825116872</v>
      </c>
      <c r="X183" s="1">
        <f>X$109+X$54*($D183-1)*(1-Inputs!$E$196-Inputs!$E$210)</f>
        <v>77709.23423213641</v>
      </c>
      <c r="Y183" s="1">
        <f>Y$109+Y$54*($D183-1)*(1-Inputs!$E$196-Inputs!$E$210)</f>
        <v>79149.51309760648</v>
      </c>
      <c r="Z183" s="1">
        <f>Z$109+Z$54*($D183-1)*(1-Inputs!$E$196-Inputs!$E$210)</f>
        <v>79674.25604729346</v>
      </c>
      <c r="AA183" s="1">
        <f>AA$109+AA$54*($D183-1)*(1-Inputs!$E$196-Inputs!$E$210)</f>
        <v>82539.59383377971</v>
      </c>
      <c r="AB183" s="1">
        <f>AB$109+AB$54*($D183-1)*(1-Inputs!$E$196-Inputs!$E$210)</f>
        <v>84023.54552505183</v>
      </c>
      <c r="AC183" s="1">
        <f>AC$109+AC$54*($D183-1)*(1-Inputs!$E$196-Inputs!$E$210)</f>
        <v>85137.0781136203</v>
      </c>
      <c r="AD183" s="1">
        <f>AD$109+AD$54*($D183-1)*(1-Inputs!$E$196-Inputs!$E$210)</f>
        <v>84631.791895458</v>
      </c>
      <c r="AE183" s="1">
        <f>AE$109+AE$54*($D183-1)*(1-Inputs!$E$196-Inputs!$E$210)</f>
        <v>86076.47546268406</v>
      </c>
      <c r="AF183" s="1">
        <f>AF$109+AF$54*($D183-1)*(1-Inputs!$E$196-Inputs!$E$210)</f>
        <v>86120.51615459842</v>
      </c>
      <c r="AG183" s="1">
        <f>AG$109+AG$54*($D183-1)*(1-Inputs!$E$196-Inputs!$E$210)</f>
        <v>86374.00297364964</v>
      </c>
      <c r="AH183" s="1">
        <f>AH$109+AH$54*($D183-1)*(1-Inputs!$E$196-Inputs!$E$210)</f>
        <v>85919.03148341864</v>
      </c>
      <c r="AI183" s="1">
        <f>AI$109+AI$54*($D183-1)*(1-Inputs!$E$196-Inputs!$E$210)</f>
        <v>88245.02472696369</v>
      </c>
      <c r="AJ183" s="1">
        <f>AJ$109+AJ$54*($D183-1)*(1-Inputs!$E$196-Inputs!$E$210)</f>
        <v>89089.09945652139</v>
      </c>
      <c r="AK183" s="1">
        <f>AK$109+AK$54*($D183-1)*(1-Inputs!$E$196-Inputs!$E$210)</f>
        <v>89982.74586540498</v>
      </c>
      <c r="AL183" s="1">
        <f>AL$109+AL$54*($D183-1)*(1-Inputs!$E$196-Inputs!$E$210)</f>
        <v>90007.38843322432</v>
      </c>
      <c r="AM183" s="1">
        <f>AM$109+AM$54*($D183-1)*(1-Inputs!$E$196-Inputs!$E$210)</f>
        <v>92272.71059354117</v>
      </c>
      <c r="AN183" s="1">
        <f>AN$109+AN$54*($D183-1)*(1-Inputs!$E$196-Inputs!$E$210)</f>
        <v>95953.27124635217</v>
      </c>
      <c r="AO183" s="1">
        <f>AO$109+AO$54*($D183-1)*(1-Inputs!$E$196-Inputs!$E$210)</f>
        <v>99246.40899271068</v>
      </c>
      <c r="AP183" s="1">
        <f>AP$109+AP$54*($D183-1)*(1-Inputs!$E$196-Inputs!$E$210)</f>
        <v>99602.93747745897</v>
      </c>
      <c r="AQ183" s="1">
        <f>AQ$109+AQ$54*($D183-1)*(1-Inputs!$E$196-Inputs!$E$210)</f>
        <v>68045.29882834907</v>
      </c>
    </row>
    <row r="184" spans="3:43" x14ac:dyDescent="0.25">
      <c r="C184" t="s">
        <v>1135</v>
      </c>
      <c r="D184" s="143">
        <v>1.3</v>
      </c>
      <c r="E184" s="89">
        <f t="shared" si="72"/>
        <v>190.0165794096172</v>
      </c>
      <c r="F184" s="31">
        <f t="shared" si="73"/>
        <v>0.15523318885772044</v>
      </c>
      <c r="G184" s="1">
        <f t="shared" si="74"/>
        <v>320710.27321327373</v>
      </c>
      <c r="H184" s="1">
        <f>H$109+H$54*($D184-1)*(1-Inputs!$E$196-Inputs!$E$210)</f>
        <v>-3175.234818585709</v>
      </c>
      <c r="I184" s="1">
        <f>I$109+I$54*($D184-1)*(1-Inputs!$E$196-Inputs!$E$210)</f>
        <v>-1953.381766012588</v>
      </c>
      <c r="J184" s="1">
        <f>J$109+J$54*($D184-1)*(1-Inputs!$E$196-Inputs!$E$210)</f>
        <v>-2850.781741816561</v>
      </c>
      <c r="K184" s="1">
        <f>K$109+K$54*($D184-1)*(1-Inputs!$E$196-Inputs!$E$210)</f>
        <v>-89489.15739242094</v>
      </c>
      <c r="L184" s="1">
        <f>L$109+L$54*($D184-1)*(1-Inputs!$E$196-Inputs!$E$210)</f>
        <v>-218407.81944608467</v>
      </c>
      <c r="M184" s="1">
        <f>M$109+M$54*($D184-1)*(1-Inputs!$E$196-Inputs!$E$210)</f>
        <v>-131372.50469001016</v>
      </c>
      <c r="N184" s="1">
        <f>N$109+N$54*($D184-1)*(1-Inputs!$E$196-Inputs!$E$210)</f>
        <v>75777.40377900767</v>
      </c>
      <c r="O184" s="1">
        <f>O$109+O$54*($D184-1)*(1-Inputs!$E$196-Inputs!$E$210)</f>
        <v>77412.36285490969</v>
      </c>
      <c r="P184" s="1">
        <f>P$109+P$54*($D184-1)*(1-Inputs!$E$196-Inputs!$E$210)</f>
        <v>75234.17419959136</v>
      </c>
      <c r="Q184" s="1">
        <f>Q$109+Q$54*($D184-1)*(1-Inputs!$E$196-Inputs!$E$210)</f>
        <v>76251.8572529963</v>
      </c>
      <c r="R184" s="1">
        <f>R$109+R$54*($D184-1)*(1-Inputs!$E$196-Inputs!$E$210)</f>
        <v>77590.92542271002</v>
      </c>
      <c r="S184" s="1">
        <f>S$109+S$54*($D184-1)*(1-Inputs!$E$196-Inputs!$E$210)</f>
        <v>82023.98151363246</v>
      </c>
      <c r="T184" s="1">
        <f>T$109+T$54*($D184-1)*(1-Inputs!$E$196-Inputs!$E$210)</f>
        <v>82063.40741783733</v>
      </c>
      <c r="U184" s="1">
        <f>U$109+U$54*($D184-1)*(1-Inputs!$E$196-Inputs!$E$210)</f>
        <v>82888.46835630428</v>
      </c>
      <c r="V184" s="1">
        <f>V$109+V$54*($D184-1)*(1-Inputs!$E$196-Inputs!$E$210)</f>
        <v>83084.81307845106</v>
      </c>
      <c r="W184" s="1">
        <f>W$109+W$54*($D184-1)*(1-Inputs!$E$196-Inputs!$E$210)</f>
        <v>83211.898746995</v>
      </c>
      <c r="X184" s="1">
        <f>X$109+X$54*($D184-1)*(1-Inputs!$E$196-Inputs!$E$210)</f>
        <v>85382.90526969437</v>
      </c>
      <c r="Y184" s="1">
        <f>Y$109+Y$54*($D184-1)*(1-Inputs!$E$196-Inputs!$E$210)</f>
        <v>86969.40839092326</v>
      </c>
      <c r="Z184" s="1">
        <f>Z$109+Z$54*($D184-1)*(1-Inputs!$E$196-Inputs!$E$210)</f>
        <v>87564.71820559526</v>
      </c>
      <c r="AA184" s="1">
        <f>AA$109+AA$54*($D184-1)*(1-Inputs!$E$196-Inputs!$E$210)</f>
        <v>90696.33673911718</v>
      </c>
      <c r="AB184" s="1">
        <f>AB$109+AB$54*($D184-1)*(1-Inputs!$E$196-Inputs!$E$210)</f>
        <v>92332.12065150973</v>
      </c>
      <c r="AC184" s="1">
        <f>AC$109+AC$54*($D184-1)*(1-Inputs!$E$196-Inputs!$E$210)</f>
        <v>93567.30402721596</v>
      </c>
      <c r="AD184" s="1">
        <f>AD$109+AD$54*($D184-1)*(1-Inputs!$E$196-Inputs!$E$210)</f>
        <v>93049.4660776341</v>
      </c>
      <c r="AE184" s="1">
        <f>AE$109+AE$54*($D184-1)*(1-Inputs!$E$196-Inputs!$E$210)</f>
        <v>94644.82415899672</v>
      </c>
      <c r="AF184" s="1">
        <f>AF$109+AF$54*($D184-1)*(1-Inputs!$E$196-Inputs!$E$210)</f>
        <v>94723.55347622257</v>
      </c>
      <c r="AG184" s="1">
        <f>AG$109+AG$54*($D184-1)*(1-Inputs!$E$196-Inputs!$E$210)</f>
        <v>95029.94072231268</v>
      </c>
      <c r="AH184" s="1">
        <f>AH$109+AH$54*($D184-1)*(1-Inputs!$E$196-Inputs!$E$210)</f>
        <v>94569.60450021303</v>
      </c>
      <c r="AI184" s="1">
        <f>AI$109+AI$54*($D184-1)*(1-Inputs!$E$196-Inputs!$E$210)</f>
        <v>97122.78426019991</v>
      </c>
      <c r="AJ184" s="1">
        <f>AJ$109+AJ$54*($D184-1)*(1-Inputs!$E$196-Inputs!$E$210)</f>
        <v>98071.36059781144</v>
      </c>
      <c r="AK184" s="1">
        <f>AK$109+AK$54*($D184-1)*(1-Inputs!$E$196-Inputs!$E$210)</f>
        <v>99074.47302263111</v>
      </c>
      <c r="AL184" s="1">
        <f>AL$109+AL$54*($D184-1)*(1-Inputs!$E$196-Inputs!$E$210)</f>
        <v>99137.01497685947</v>
      </c>
      <c r="AM184" s="1">
        <f>AM$109+AM$54*($D184-1)*(1-Inputs!$E$196-Inputs!$E$210)</f>
        <v>101627.84188129581</v>
      </c>
      <c r="AN184" s="1">
        <f>AN$109+AN$54*($D184-1)*(1-Inputs!$E$196-Inputs!$E$210)</f>
        <v>105652.74412420578</v>
      </c>
      <c r="AO184" s="1">
        <f>AO$109+AO$54*($D184-1)*(1-Inputs!$E$196-Inputs!$E$210)</f>
        <v>109258.8538190112</v>
      </c>
      <c r="AP184" s="1">
        <f>AP$109+AP$54*($D184-1)*(1-Inputs!$E$196-Inputs!$E$210)</f>
        <v>109684.5655897211</v>
      </c>
      <c r="AQ184" s="1">
        <f>AQ$109+AQ$54*($D184-1)*(1-Inputs!$E$196-Inputs!$E$210)</f>
        <v>75734.60699771195</v>
      </c>
    </row>
    <row r="185" spans="3: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spans="3:43" x14ac:dyDescent="0.25">
      <c r="C186" s="6" t="s">
        <v>1136</v>
      </c>
      <c r="D186" t="s">
        <v>4</v>
      </c>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spans="3:43" x14ac:dyDescent="0.25">
      <c r="C187" s="91" t="s">
        <v>1124</v>
      </c>
      <c r="D187" s="91" t="s">
        <v>1137</v>
      </c>
      <c r="E187" s="91" t="s">
        <v>1138</v>
      </c>
      <c r="F187" s="91" t="s">
        <v>1127</v>
      </c>
      <c r="G187" s="91" t="s">
        <v>1128</v>
      </c>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row>
    <row r="188" spans="3:43" x14ac:dyDescent="0.25">
      <c r="C188" t="s">
        <v>1139</v>
      </c>
      <c r="D188" s="143">
        <v>0.8</v>
      </c>
      <c r="E188" s="19">
        <f>$G$150*D188</f>
        <v>1724.8051863452056</v>
      </c>
      <c r="F188" s="31">
        <f>IFERROR(IRR(H188:AQ188),"n/a")</f>
        <v>0.14034052807171715</v>
      </c>
      <c r="G188" s="1">
        <f>SUMPRODUCT(H188:AQ188,$H$12:$AQ$12)</f>
        <v>204826.5291445394</v>
      </c>
      <c r="H188" s="1">
        <f t="shared" ref="H188:Q192" si="75">H$109+H$30*($D188-1)</f>
        <v>-3175.234818585709</v>
      </c>
      <c r="I188" s="1">
        <f t="shared" si="75"/>
        <v>-1953.381766012588</v>
      </c>
      <c r="J188" s="1">
        <f t="shared" si="75"/>
        <v>-2850.781741816561</v>
      </c>
      <c r="K188" s="1">
        <f t="shared" si="75"/>
        <v>-71910.29245872231</v>
      </c>
      <c r="L188" s="1">
        <f t="shared" si="75"/>
        <v>-179584.29444608468</v>
      </c>
      <c r="M188" s="1">
        <f t="shared" si="75"/>
        <v>-106632.9664063317</v>
      </c>
      <c r="N188" s="1">
        <f t="shared" si="75"/>
        <v>55609.741425861546</v>
      </c>
      <c r="O188" s="1">
        <f t="shared" si="75"/>
        <v>56810.43498888551</v>
      </c>
      <c r="P188" s="1">
        <f t="shared" si="75"/>
        <v>55076.575721537745</v>
      </c>
      <c r="Q188" s="1">
        <f t="shared" si="75"/>
        <v>55799.61974211573</v>
      </c>
      <c r="R188" s="1">
        <f t="shared" ref="R188:AA192" si="76">R$109+R$30*($D188-1)</f>
        <v>56768.41500979422</v>
      </c>
      <c r="S188" s="1">
        <f t="shared" si="76"/>
        <v>60115.67236573571</v>
      </c>
      <c r="T188" s="1">
        <f t="shared" si="76"/>
        <v>60081.71718975843</v>
      </c>
      <c r="U188" s="1">
        <f t="shared" si="76"/>
        <v>60650.51554325003</v>
      </c>
      <c r="V188" s="1">
        <f t="shared" si="76"/>
        <v>60734.079695444176</v>
      </c>
      <c r="W188" s="1">
        <f t="shared" si="76"/>
        <v>60762.71725951616</v>
      </c>
      <c r="X188" s="1">
        <f t="shared" si="76"/>
        <v>62361.89215702055</v>
      </c>
      <c r="Y188" s="1">
        <f t="shared" si="76"/>
        <v>63509.72251097296</v>
      </c>
      <c r="Z188" s="1">
        <f t="shared" si="76"/>
        <v>63893.331730689846</v>
      </c>
      <c r="AA188" s="1">
        <f t="shared" si="76"/>
        <v>66226.10802310481</v>
      </c>
      <c r="AB188" s="1">
        <f t="shared" ref="AB188:AK192" si="77">AB$109+AB$30*($D188-1)</f>
        <v>67406.39527213605</v>
      </c>
      <c r="AC188" s="1">
        <f t="shared" si="77"/>
        <v>68276.626286429</v>
      </c>
      <c r="AD188" s="1">
        <f t="shared" si="77"/>
        <v>67796.44353110582</v>
      </c>
      <c r="AE188" s="1">
        <f t="shared" si="77"/>
        <v>68939.77807005876</v>
      </c>
      <c r="AF188" s="1">
        <f t="shared" si="77"/>
        <v>68914.44151135013</v>
      </c>
      <c r="AG188" s="1">
        <f t="shared" si="77"/>
        <v>69062.1274763236</v>
      </c>
      <c r="AH188" s="1">
        <f t="shared" si="77"/>
        <v>68617.88544982989</v>
      </c>
      <c r="AI188" s="1">
        <f t="shared" si="77"/>
        <v>70489.50566049124</v>
      </c>
      <c r="AJ188" s="1">
        <f t="shared" si="77"/>
        <v>71124.5771739413</v>
      </c>
      <c r="AK188" s="1">
        <f t="shared" si="77"/>
        <v>71799.29155095278</v>
      </c>
      <c r="AL188" s="1">
        <f t="shared" ref="AL188:AQ192" si="78">AL$109+AL$30*($D188-1)</f>
        <v>71748.13534595404</v>
      </c>
      <c r="AM188" s="1">
        <f t="shared" si="78"/>
        <v>73562.4480180319</v>
      </c>
      <c r="AN188" s="1">
        <f t="shared" si="78"/>
        <v>76554.32549064499</v>
      </c>
      <c r="AO188" s="1">
        <f t="shared" si="78"/>
        <v>79221.51934010966</v>
      </c>
      <c r="AP188" s="1">
        <f t="shared" si="78"/>
        <v>79439.68125293475</v>
      </c>
      <c r="AQ188" s="1">
        <f t="shared" si="78"/>
        <v>52666.682489623316</v>
      </c>
    </row>
    <row r="189" spans="3:43" x14ac:dyDescent="0.25">
      <c r="C189" t="s">
        <v>1140</v>
      </c>
      <c r="D189" s="143">
        <v>0.9</v>
      </c>
      <c r="E189" s="19">
        <f>$G$150*D189</f>
        <v>1940.4058346383563</v>
      </c>
      <c r="F189" s="31">
        <f>IFERROR(IRR(H189:AQ189),"n/a")</f>
        <v>0.12703170165608954</v>
      </c>
      <c r="G189" s="1">
        <f>SUMPRODUCT(H189:AQ189,$H$12:$AQ$12)</f>
        <v>173427.3930703203</v>
      </c>
      <c r="H189" s="1">
        <f t="shared" si="75"/>
        <v>-3175.234818585709</v>
      </c>
      <c r="I189" s="1">
        <f t="shared" si="75"/>
        <v>-1953.381766012588</v>
      </c>
      <c r="J189" s="1">
        <f t="shared" si="75"/>
        <v>-2850.781741816561</v>
      </c>
      <c r="K189" s="1">
        <f t="shared" si="75"/>
        <v>-80699.72492557162</v>
      </c>
      <c r="L189" s="1">
        <f t="shared" si="75"/>
        <v>-198996.05694608466</v>
      </c>
      <c r="M189" s="1">
        <f t="shared" si="75"/>
        <v>-121551.90109811253</v>
      </c>
      <c r="N189" s="1">
        <f t="shared" si="75"/>
        <v>55609.741425861546</v>
      </c>
      <c r="O189" s="1">
        <f t="shared" si="75"/>
        <v>56810.43498888551</v>
      </c>
      <c r="P189" s="1">
        <f t="shared" si="75"/>
        <v>55076.575721537745</v>
      </c>
      <c r="Q189" s="1">
        <f t="shared" si="75"/>
        <v>55799.61974211573</v>
      </c>
      <c r="R189" s="1">
        <f t="shared" si="76"/>
        <v>56768.41500979422</v>
      </c>
      <c r="S189" s="1">
        <f t="shared" si="76"/>
        <v>60115.67236573571</v>
      </c>
      <c r="T189" s="1">
        <f t="shared" si="76"/>
        <v>60081.71718975843</v>
      </c>
      <c r="U189" s="1">
        <f t="shared" si="76"/>
        <v>60650.51554325003</v>
      </c>
      <c r="V189" s="1">
        <f t="shared" si="76"/>
        <v>60734.079695444176</v>
      </c>
      <c r="W189" s="1">
        <f t="shared" si="76"/>
        <v>60762.71725951616</v>
      </c>
      <c r="X189" s="1">
        <f t="shared" si="76"/>
        <v>62361.89215702055</v>
      </c>
      <c r="Y189" s="1">
        <f t="shared" si="76"/>
        <v>63509.72251097296</v>
      </c>
      <c r="Z189" s="1">
        <f t="shared" si="76"/>
        <v>63893.331730689846</v>
      </c>
      <c r="AA189" s="1">
        <f t="shared" si="76"/>
        <v>66226.10802310481</v>
      </c>
      <c r="AB189" s="1">
        <f t="shared" si="77"/>
        <v>67406.39527213605</v>
      </c>
      <c r="AC189" s="1">
        <f t="shared" si="77"/>
        <v>68276.626286429</v>
      </c>
      <c r="AD189" s="1">
        <f t="shared" si="77"/>
        <v>67796.44353110582</v>
      </c>
      <c r="AE189" s="1">
        <f t="shared" si="77"/>
        <v>68939.77807005876</v>
      </c>
      <c r="AF189" s="1">
        <f t="shared" si="77"/>
        <v>68914.44151135013</v>
      </c>
      <c r="AG189" s="1">
        <f t="shared" si="77"/>
        <v>69062.1274763236</v>
      </c>
      <c r="AH189" s="1">
        <f t="shared" si="77"/>
        <v>68617.88544982989</v>
      </c>
      <c r="AI189" s="1">
        <f t="shared" si="77"/>
        <v>70489.50566049124</v>
      </c>
      <c r="AJ189" s="1">
        <f t="shared" si="77"/>
        <v>71124.5771739413</v>
      </c>
      <c r="AK189" s="1">
        <f t="shared" si="77"/>
        <v>71799.29155095278</v>
      </c>
      <c r="AL189" s="1">
        <f t="shared" si="78"/>
        <v>71748.13534595404</v>
      </c>
      <c r="AM189" s="1">
        <f t="shared" si="78"/>
        <v>73562.4480180319</v>
      </c>
      <c r="AN189" s="1">
        <f t="shared" si="78"/>
        <v>76554.32549064499</v>
      </c>
      <c r="AO189" s="1">
        <f t="shared" si="78"/>
        <v>79221.51934010966</v>
      </c>
      <c r="AP189" s="1">
        <f t="shared" si="78"/>
        <v>79439.68125293475</v>
      </c>
      <c r="AQ189" s="1">
        <f t="shared" si="78"/>
        <v>52666.682489623316</v>
      </c>
    </row>
    <row r="190" spans="3:43" x14ac:dyDescent="0.25">
      <c r="C190" s="145" t="s">
        <v>1141</v>
      </c>
      <c r="D190" s="140">
        <v>1</v>
      </c>
      <c r="E190" s="147">
        <f>$G$150*D190</f>
        <v>2156.006482931507</v>
      </c>
      <c r="F190" s="55">
        <f>IFERROR(IRR(H190:AQ190),"n/a")</f>
        <v>0.11574478334958782</v>
      </c>
      <c r="G190" s="146">
        <f>SUMPRODUCT(H190:AQ190,$H$12:$AQ$12)</f>
        <v>142028.2569961012</v>
      </c>
      <c r="H190" s="1">
        <f t="shared" si="75"/>
        <v>-3175.234818585709</v>
      </c>
      <c r="I190" s="1">
        <f t="shared" si="75"/>
        <v>-1953.381766012588</v>
      </c>
      <c r="J190" s="1">
        <f t="shared" si="75"/>
        <v>-2850.781741816561</v>
      </c>
      <c r="K190" s="1">
        <f t="shared" si="75"/>
        <v>-89489.15739242094</v>
      </c>
      <c r="L190" s="1">
        <f t="shared" si="75"/>
        <v>-218407.81944608467</v>
      </c>
      <c r="M190" s="1">
        <f t="shared" si="75"/>
        <v>-136470.83578989335</v>
      </c>
      <c r="N190" s="1">
        <f t="shared" si="75"/>
        <v>55609.741425861546</v>
      </c>
      <c r="O190" s="1">
        <f t="shared" si="75"/>
        <v>56810.43498888551</v>
      </c>
      <c r="P190" s="1">
        <f t="shared" si="75"/>
        <v>55076.575721537745</v>
      </c>
      <c r="Q190" s="1">
        <f t="shared" si="75"/>
        <v>55799.61974211573</v>
      </c>
      <c r="R190" s="1">
        <f t="shared" si="76"/>
        <v>56768.41500979422</v>
      </c>
      <c r="S190" s="1">
        <f t="shared" si="76"/>
        <v>60115.67236573571</v>
      </c>
      <c r="T190" s="1">
        <f t="shared" si="76"/>
        <v>60081.71718975843</v>
      </c>
      <c r="U190" s="1">
        <f t="shared" si="76"/>
        <v>60650.51554325003</v>
      </c>
      <c r="V190" s="1">
        <f t="shared" si="76"/>
        <v>60734.079695444176</v>
      </c>
      <c r="W190" s="1">
        <f t="shared" si="76"/>
        <v>60762.71725951616</v>
      </c>
      <c r="X190" s="1">
        <f t="shared" si="76"/>
        <v>62361.89215702055</v>
      </c>
      <c r="Y190" s="1">
        <f t="shared" si="76"/>
        <v>63509.72251097296</v>
      </c>
      <c r="Z190" s="1">
        <f t="shared" si="76"/>
        <v>63893.331730689846</v>
      </c>
      <c r="AA190" s="1">
        <f t="shared" si="76"/>
        <v>66226.10802310481</v>
      </c>
      <c r="AB190" s="1">
        <f t="shared" si="77"/>
        <v>67406.39527213605</v>
      </c>
      <c r="AC190" s="1">
        <f t="shared" si="77"/>
        <v>68276.626286429</v>
      </c>
      <c r="AD190" s="1">
        <f t="shared" si="77"/>
        <v>67796.44353110582</v>
      </c>
      <c r="AE190" s="1">
        <f t="shared" si="77"/>
        <v>68939.77807005876</v>
      </c>
      <c r="AF190" s="1">
        <f t="shared" si="77"/>
        <v>68914.44151135013</v>
      </c>
      <c r="AG190" s="1">
        <f t="shared" si="77"/>
        <v>69062.1274763236</v>
      </c>
      <c r="AH190" s="1">
        <f t="shared" si="77"/>
        <v>68617.88544982989</v>
      </c>
      <c r="AI190" s="1">
        <f t="shared" si="77"/>
        <v>70489.50566049124</v>
      </c>
      <c r="AJ190" s="1">
        <f t="shared" si="77"/>
        <v>71124.5771739413</v>
      </c>
      <c r="AK190" s="1">
        <f t="shared" si="77"/>
        <v>71799.29155095278</v>
      </c>
      <c r="AL190" s="1">
        <f t="shared" si="78"/>
        <v>71748.13534595404</v>
      </c>
      <c r="AM190" s="1">
        <f t="shared" si="78"/>
        <v>73562.4480180319</v>
      </c>
      <c r="AN190" s="1">
        <f t="shared" si="78"/>
        <v>76554.32549064499</v>
      </c>
      <c r="AO190" s="1">
        <f t="shared" si="78"/>
        <v>79221.51934010966</v>
      </c>
      <c r="AP190" s="1">
        <f t="shared" si="78"/>
        <v>79439.68125293475</v>
      </c>
      <c r="AQ190" s="1">
        <f t="shared" si="78"/>
        <v>52666.682489623316</v>
      </c>
    </row>
    <row r="191" spans="3:43" x14ac:dyDescent="0.25">
      <c r="C191" t="s">
        <v>1142</v>
      </c>
      <c r="D191" s="143">
        <v>1.1000000000000001</v>
      </c>
      <c r="E191" s="19">
        <f>$G$150*D191</f>
        <v>2371.6071312246577</v>
      </c>
      <c r="F191" s="31">
        <f>IFERROR(IRR(H191:AQ191),"n/a")</f>
        <v>0.10601224902961907</v>
      </c>
      <c r="G191" s="1">
        <f>SUMPRODUCT(H191:AQ191,$H$12:$AQ$12)</f>
        <v>110629.12092188209</v>
      </c>
      <c r="H191" s="1">
        <f t="shared" si="75"/>
        <v>-3175.234818585709</v>
      </c>
      <c r="I191" s="1">
        <f t="shared" si="75"/>
        <v>-1953.381766012588</v>
      </c>
      <c r="J191" s="1">
        <f t="shared" si="75"/>
        <v>-2850.781741816561</v>
      </c>
      <c r="K191" s="1">
        <f t="shared" si="75"/>
        <v>-98278.58985927026</v>
      </c>
      <c r="L191" s="1">
        <f t="shared" si="75"/>
        <v>-237819.58194608468</v>
      </c>
      <c r="M191" s="1">
        <f t="shared" si="75"/>
        <v>-151389.77048167418</v>
      </c>
      <c r="N191" s="1">
        <f t="shared" si="75"/>
        <v>55609.741425861546</v>
      </c>
      <c r="O191" s="1">
        <f t="shared" si="75"/>
        <v>56810.43498888551</v>
      </c>
      <c r="P191" s="1">
        <f t="shared" si="75"/>
        <v>55076.575721537745</v>
      </c>
      <c r="Q191" s="1">
        <f t="shared" si="75"/>
        <v>55799.61974211573</v>
      </c>
      <c r="R191" s="1">
        <f t="shared" si="76"/>
        <v>56768.41500979422</v>
      </c>
      <c r="S191" s="1">
        <f t="shared" si="76"/>
        <v>60115.67236573571</v>
      </c>
      <c r="T191" s="1">
        <f t="shared" si="76"/>
        <v>60081.71718975843</v>
      </c>
      <c r="U191" s="1">
        <f t="shared" si="76"/>
        <v>60650.51554325003</v>
      </c>
      <c r="V191" s="1">
        <f t="shared" si="76"/>
        <v>60734.079695444176</v>
      </c>
      <c r="W191" s="1">
        <f t="shared" si="76"/>
        <v>60762.71725951616</v>
      </c>
      <c r="X191" s="1">
        <f t="shared" si="76"/>
        <v>62361.89215702055</v>
      </c>
      <c r="Y191" s="1">
        <f t="shared" si="76"/>
        <v>63509.72251097296</v>
      </c>
      <c r="Z191" s="1">
        <f t="shared" si="76"/>
        <v>63893.331730689846</v>
      </c>
      <c r="AA191" s="1">
        <f t="shared" si="76"/>
        <v>66226.10802310481</v>
      </c>
      <c r="AB191" s="1">
        <f t="shared" si="77"/>
        <v>67406.39527213605</v>
      </c>
      <c r="AC191" s="1">
        <f t="shared" si="77"/>
        <v>68276.626286429</v>
      </c>
      <c r="AD191" s="1">
        <f t="shared" si="77"/>
        <v>67796.44353110582</v>
      </c>
      <c r="AE191" s="1">
        <f t="shared" si="77"/>
        <v>68939.77807005876</v>
      </c>
      <c r="AF191" s="1">
        <f t="shared" si="77"/>
        <v>68914.44151135013</v>
      </c>
      <c r="AG191" s="1">
        <f t="shared" si="77"/>
        <v>69062.1274763236</v>
      </c>
      <c r="AH191" s="1">
        <f t="shared" si="77"/>
        <v>68617.88544982989</v>
      </c>
      <c r="AI191" s="1">
        <f t="shared" si="77"/>
        <v>70489.50566049124</v>
      </c>
      <c r="AJ191" s="1">
        <f t="shared" si="77"/>
        <v>71124.5771739413</v>
      </c>
      <c r="AK191" s="1">
        <f t="shared" si="77"/>
        <v>71799.29155095278</v>
      </c>
      <c r="AL191" s="1">
        <f t="shared" si="78"/>
        <v>71748.13534595404</v>
      </c>
      <c r="AM191" s="1">
        <f t="shared" si="78"/>
        <v>73562.4480180319</v>
      </c>
      <c r="AN191" s="1">
        <f t="shared" si="78"/>
        <v>76554.32549064499</v>
      </c>
      <c r="AO191" s="1">
        <f t="shared" si="78"/>
        <v>79221.51934010966</v>
      </c>
      <c r="AP191" s="1">
        <f t="shared" si="78"/>
        <v>79439.68125293475</v>
      </c>
      <c r="AQ191" s="1">
        <f t="shared" si="78"/>
        <v>52666.682489623316</v>
      </c>
    </row>
    <row r="192" spans="3:43" x14ac:dyDescent="0.25">
      <c r="C192" t="s">
        <v>1143</v>
      </c>
      <c r="D192" s="143">
        <v>1.2</v>
      </c>
      <c r="E192" s="19">
        <f>$G$150*D192</f>
        <v>2587.2077795178084</v>
      </c>
      <c r="F192" s="31">
        <f>IFERROR(IRR(H192:AQ192),"n/a")</f>
        <v>0.09750272125153464</v>
      </c>
      <c r="G192" s="1">
        <f>SUMPRODUCT(H192:AQ192,$H$12:$AQ$12)</f>
        <v>79229.98484766303</v>
      </c>
      <c r="H192" s="1">
        <f t="shared" si="75"/>
        <v>-3175.234818585709</v>
      </c>
      <c r="I192" s="1">
        <f t="shared" si="75"/>
        <v>-1953.381766012588</v>
      </c>
      <c r="J192" s="1">
        <f t="shared" si="75"/>
        <v>-2850.781741816561</v>
      </c>
      <c r="K192" s="1">
        <f t="shared" si="75"/>
        <v>-107068.02232611956</v>
      </c>
      <c r="L192" s="1">
        <f t="shared" si="75"/>
        <v>-257231.34444608467</v>
      </c>
      <c r="M192" s="1">
        <f t="shared" si="75"/>
        <v>-166308.70517345498</v>
      </c>
      <c r="N192" s="1">
        <f t="shared" si="75"/>
        <v>55609.741425861546</v>
      </c>
      <c r="O192" s="1">
        <f t="shared" si="75"/>
        <v>56810.43498888551</v>
      </c>
      <c r="P192" s="1">
        <f t="shared" si="75"/>
        <v>55076.575721537745</v>
      </c>
      <c r="Q192" s="1">
        <f t="shared" si="75"/>
        <v>55799.61974211573</v>
      </c>
      <c r="R192" s="1">
        <f t="shared" si="76"/>
        <v>56768.41500979422</v>
      </c>
      <c r="S192" s="1">
        <f t="shared" si="76"/>
        <v>60115.67236573571</v>
      </c>
      <c r="T192" s="1">
        <f t="shared" si="76"/>
        <v>60081.71718975843</v>
      </c>
      <c r="U192" s="1">
        <f t="shared" si="76"/>
        <v>60650.51554325003</v>
      </c>
      <c r="V192" s="1">
        <f t="shared" si="76"/>
        <v>60734.079695444176</v>
      </c>
      <c r="W192" s="1">
        <f t="shared" si="76"/>
        <v>60762.71725951616</v>
      </c>
      <c r="X192" s="1">
        <f t="shared" si="76"/>
        <v>62361.89215702055</v>
      </c>
      <c r="Y192" s="1">
        <f t="shared" si="76"/>
        <v>63509.72251097296</v>
      </c>
      <c r="Z192" s="1">
        <f t="shared" si="76"/>
        <v>63893.331730689846</v>
      </c>
      <c r="AA192" s="1">
        <f t="shared" si="76"/>
        <v>66226.10802310481</v>
      </c>
      <c r="AB192" s="1">
        <f t="shared" si="77"/>
        <v>67406.39527213605</v>
      </c>
      <c r="AC192" s="1">
        <f t="shared" si="77"/>
        <v>68276.626286429</v>
      </c>
      <c r="AD192" s="1">
        <f t="shared" si="77"/>
        <v>67796.44353110582</v>
      </c>
      <c r="AE192" s="1">
        <f t="shared" si="77"/>
        <v>68939.77807005876</v>
      </c>
      <c r="AF192" s="1">
        <f t="shared" si="77"/>
        <v>68914.44151135013</v>
      </c>
      <c r="AG192" s="1">
        <f t="shared" si="77"/>
        <v>69062.1274763236</v>
      </c>
      <c r="AH192" s="1">
        <f t="shared" si="77"/>
        <v>68617.88544982989</v>
      </c>
      <c r="AI192" s="1">
        <f t="shared" si="77"/>
        <v>70489.50566049124</v>
      </c>
      <c r="AJ192" s="1">
        <f t="shared" si="77"/>
        <v>71124.5771739413</v>
      </c>
      <c r="AK192" s="1">
        <f t="shared" si="77"/>
        <v>71799.29155095278</v>
      </c>
      <c r="AL192" s="1">
        <f t="shared" si="78"/>
        <v>71748.13534595404</v>
      </c>
      <c r="AM192" s="1">
        <f t="shared" si="78"/>
        <v>73562.4480180319</v>
      </c>
      <c r="AN192" s="1">
        <f t="shared" si="78"/>
        <v>76554.32549064499</v>
      </c>
      <c r="AO192" s="1">
        <f t="shared" si="78"/>
        <v>79221.51934010966</v>
      </c>
      <c r="AP192" s="1">
        <f t="shared" si="78"/>
        <v>79439.68125293475</v>
      </c>
      <c r="AQ192" s="1">
        <f t="shared" si="78"/>
        <v>52666.682489623316</v>
      </c>
    </row>
    <row r="194" spans="3:43" x14ac:dyDescent="0.25">
      <c r="C194" s="6" t="s">
        <v>1144</v>
      </c>
    </row>
    <row r="195" spans="3:43" x14ac:dyDescent="0.25">
      <c r="C195" t="s">
        <v>1145</v>
      </c>
      <c r="D195" t="s">
        <v>844</v>
      </c>
      <c r="G195" s="1">
        <f>SUMPRODUCT($H$54:$AQ$54,$H$12:$AQ$12)*(1-Inputs!$E$196-Inputs!$E$210)</f>
        <v>595606.7207239083</v>
      </c>
    </row>
    <row r="196" spans="3:43" x14ac:dyDescent="0.25">
      <c r="C196" t="s">
        <v>1146</v>
      </c>
      <c r="D196" t="s">
        <v>844</v>
      </c>
      <c r="G196" s="1">
        <f>G181</f>
        <v>142028.2569961012</v>
      </c>
    </row>
    <row r="197" spans="3:43" x14ac:dyDescent="0.25">
      <c r="C197" t="s">
        <v>1147</v>
      </c>
      <c r="D197" t="s">
        <v>4</v>
      </c>
      <c r="G197" s="31">
        <f>1-G196/G195</f>
        <v>0.7615402042081088</v>
      </c>
    </row>
    <row r="198" spans="3:43" x14ac:dyDescent="0.25">
      <c r="C198" t="s">
        <v>1148</v>
      </c>
      <c r="D198" t="s">
        <v>1106</v>
      </c>
      <c r="G198" s="89">
        <f>$G$153*G197</f>
        <v>111.31174206655861</v>
      </c>
    </row>
    <row r="201" spans="3:43" x14ac:dyDescent="0.25">
      <c r="C201" s="43" t="s">
        <v>1336</v>
      </c>
      <c r="D201" s="4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c r="AA201" s="123"/>
      <c r="AB201" s="123"/>
      <c r="AC201" s="123"/>
      <c r="AD201" s="123"/>
      <c r="AE201" s="123"/>
      <c r="AF201" s="123"/>
      <c r="AG201" s="123"/>
      <c r="AH201" s="123"/>
      <c r="AI201" s="123"/>
      <c r="AJ201" s="123"/>
      <c r="AK201" s="123"/>
      <c r="AL201" s="123"/>
      <c r="AM201" s="123"/>
      <c r="AN201" s="123"/>
      <c r="AO201" s="123"/>
      <c r="AP201" s="123"/>
      <c r="AQ201" s="123"/>
    </row>
    <row r="202" spans="3:43" x14ac:dyDescent="0.25">
      <c r="C202" t="s">
        <v>1337</v>
      </c>
      <c r="D202" t="s">
        <v>844</v>
      </c>
      <c r="E202" s="1">
        <f>MOIC!$G$145</f>
        <v>71857.17974068865</v>
      </c>
      <c r="F202" s="1"/>
      <c r="G202" s="1">
        <f t="shared" ref="G202:G213" si="79">SUM(H202:AQ202)</f>
        <v>-71857.17974068865</v>
      </c>
      <c r="H202" s="1">
        <f>-IF(H$5=YEAR(Inputs!$E$58),$E$202,0)</f>
        <v>-0</v>
      </c>
      <c r="I202" s="1">
        <f>-IF(I$5=YEAR(Inputs!$E$58),$E$202,0)</f>
        <v>-0</v>
      </c>
      <c r="J202" s="1">
        <f>-IF(J$5=YEAR(Inputs!$E$58),$E$202,0)</f>
        <v>-0</v>
      </c>
      <c r="K202" s="1">
        <f>-IF(K$5=YEAR(Inputs!$E$58),$E$202,0)</f>
        <v>-0</v>
      </c>
      <c r="L202" s="1">
        <f>-IF(L$5=YEAR(Inputs!$E$58),$E$202,0)</f>
        <v>-71857.17974068865</v>
      </c>
      <c r="M202" s="1">
        <f>-IF(M$5=YEAR(Inputs!$E$58),$E$202,0)</f>
        <v>-0</v>
      </c>
      <c r="N202" s="1">
        <f>-IF(N$5=YEAR(Inputs!$E$58),$E$202,0)</f>
        <v>-0</v>
      </c>
      <c r="O202" s="1">
        <f>-IF(O$5=YEAR(Inputs!$E$58),$E$202,0)</f>
        <v>-0</v>
      </c>
      <c r="P202" s="1">
        <f>-IF(P$5=YEAR(Inputs!$E$58),$E$202,0)</f>
        <v>-0</v>
      </c>
      <c r="Q202" s="1">
        <f>-IF(Q$5=YEAR(Inputs!$E$58),$E$202,0)</f>
        <v>-0</v>
      </c>
      <c r="R202" s="1">
        <f>-IF(R$5=YEAR(Inputs!$E$58),$E$202,0)</f>
        <v>-0</v>
      </c>
      <c r="S202" s="1">
        <f>-IF(S$5=YEAR(Inputs!$E$58),$E$202,0)</f>
        <v>-0</v>
      </c>
      <c r="T202" s="1">
        <f>-IF(T$5=YEAR(Inputs!$E$58),$E$202,0)</f>
        <v>-0</v>
      </c>
      <c r="U202" s="1">
        <f>-IF(U$5=YEAR(Inputs!$E$58),$E$202,0)</f>
        <v>-0</v>
      </c>
      <c r="V202" s="1">
        <f>-IF(V$5=YEAR(Inputs!$E$58),$E$202,0)</f>
        <v>-0</v>
      </c>
      <c r="W202" s="1">
        <f>-IF(W$5=YEAR(Inputs!$E$58),$E$202,0)</f>
        <v>-0</v>
      </c>
      <c r="X202" s="1">
        <f>-IF(X$5=YEAR(Inputs!$E$58),$E$202,0)</f>
        <v>-0</v>
      </c>
      <c r="Y202" s="1">
        <f>-IF(Y$5=YEAR(Inputs!$E$58),$E$202,0)</f>
        <v>-0</v>
      </c>
      <c r="Z202" s="1">
        <f>-IF(Z$5=YEAR(Inputs!$E$58),$E$202,0)</f>
        <v>-0</v>
      </c>
      <c r="AA202" s="1">
        <f>-IF(AA$5=YEAR(Inputs!$E$58),$E$202,0)</f>
        <v>-0</v>
      </c>
      <c r="AB202" s="1">
        <f>-IF(AB$5=YEAR(Inputs!$E$58),$E$202,0)</f>
        <v>-0</v>
      </c>
      <c r="AC202" s="1">
        <f>-IF(AC$5=YEAR(Inputs!$E$58),$E$202,0)</f>
        <v>-0</v>
      </c>
      <c r="AD202" s="1">
        <f>-IF(AD$5=YEAR(Inputs!$E$58),$E$202,0)</f>
        <v>-0</v>
      </c>
      <c r="AE202" s="1">
        <f>-IF(AE$5=YEAR(Inputs!$E$58),$E$202,0)</f>
        <v>-0</v>
      </c>
      <c r="AF202" s="1">
        <f>-IF(AF$5=YEAR(Inputs!$E$58),$E$202,0)</f>
        <v>-0</v>
      </c>
      <c r="AG202" s="1">
        <f>-IF(AG$5=YEAR(Inputs!$E$58),$E$202,0)</f>
        <v>-0</v>
      </c>
      <c r="AH202" s="1">
        <f>-IF(AH$5=YEAR(Inputs!$E$58),$E$202,0)</f>
        <v>-0</v>
      </c>
      <c r="AI202" s="1">
        <f>-IF(AI$5=YEAR(Inputs!$E$58),$E$202,0)</f>
        <v>-0</v>
      </c>
      <c r="AJ202" s="1">
        <f>-IF(AJ$5=YEAR(Inputs!$E$58),$E$202,0)</f>
        <v>-0</v>
      </c>
      <c r="AK202" s="1">
        <f>-IF(AK$5=YEAR(Inputs!$E$58),$E$202,0)</f>
        <v>-0</v>
      </c>
      <c r="AL202" s="1">
        <f>-IF(AL$5=YEAR(Inputs!$E$58),$E$202,0)</f>
        <v>-0</v>
      </c>
      <c r="AM202" s="1">
        <f>-IF(AM$5=YEAR(Inputs!$E$58),$E$202,0)</f>
        <v>-0</v>
      </c>
      <c r="AN202" s="1">
        <f>-IF(AN$5=YEAR(Inputs!$E$58),$E$202,0)</f>
        <v>-0</v>
      </c>
      <c r="AO202" s="1">
        <f>-IF(AO$5=YEAR(Inputs!$E$58),$E$202,0)</f>
        <v>-0</v>
      </c>
      <c r="AP202" s="1">
        <f>-IF(AP$5=YEAR(Inputs!$E$58),$E$202,0)</f>
        <v>-0</v>
      </c>
      <c r="AQ202" s="1">
        <f>-IF(AQ$5=YEAR(Inputs!$E$58),$E$202,0)</f>
        <v>-0</v>
      </c>
    </row>
    <row r="203" spans="3:43" x14ac:dyDescent="0.25">
      <c r="C203" t="s">
        <v>1338</v>
      </c>
      <c r="D203" t="s">
        <v>844</v>
      </c>
      <c r="E203" s="1"/>
      <c r="F203" s="1"/>
      <c r="G203" s="1">
        <f t="shared" si="79"/>
        <v>0</v>
      </c>
      <c r="H203" s="1" cm="1">
        <f t="array" ref="H203">-SUMPRODUCT((YEAR(Deposits!$K$7:$K$18)=H$5)*(Deposits!$N$7:$N$18=1)*((Deposits!$R$7:$R$18&lt;&gt;"Connection fee")*Deposits!$P$7:$P$18+(Deposits!$R$7:$R$18="Connection fee"))*Deposits!$M$7:$M$18)</f>
        <v>-0</v>
      </c>
      <c r="I203" s="1" cm="1">
        <f t="array" ref="I203">-SUMPRODUCT((YEAR(Deposits!$K$7:$K$18)=I$5)*(Deposits!$N$7:$N$18=1)*((Deposits!$R$7:$R$18&lt;&gt;"Connection fee")*Deposits!$P$7:$P$18+(Deposits!$R$7:$R$18="Connection fee"))*Deposits!$M$7:$M$18)</f>
        <v>-0</v>
      </c>
      <c r="J203" s="1" cm="1">
        <f t="array" ref="J203">-SUMPRODUCT((YEAR(Deposits!$K$7:$K$18)=J$5)*(Deposits!$N$7:$N$18=1)*((Deposits!$R$7:$R$18&lt;&gt;"Connection fee")*Deposits!$P$7:$P$18+(Deposits!$R$7:$R$18="Connection fee"))*Deposits!$M$7:$M$18)</f>
        <v>-0</v>
      </c>
      <c r="K203" s="1" cm="1">
        <f t="array" ref="K203">-SUMPRODUCT((YEAR(Deposits!$K$7:$K$18)=K$5)*(Deposits!$N$7:$N$18=1)*((Deposits!$R$7:$R$18&lt;&gt;"Connection fee")*Deposits!$P$7:$P$18+(Deposits!$R$7:$R$18="Connection fee"))*Deposits!$M$7:$M$18)</f>
        <v>-0</v>
      </c>
      <c r="L203" s="1" cm="1">
        <f t="array" ref="L203">-SUMPRODUCT((YEAR(Deposits!$K$7:$K$18)=L$5)*(Deposits!$N$7:$N$18=1)*((Deposits!$R$7:$R$18&lt;&gt;"Connection fee")*Deposits!$P$7:$P$18+(Deposits!$R$7:$R$18="Connection fee"))*Deposits!$M$7:$M$18)</f>
        <v>-0</v>
      </c>
      <c r="M203" s="1" cm="1">
        <f t="array" ref="M203">-SUMPRODUCT((YEAR(Deposits!$K$7:$K$18)=M$5)*(Deposits!$N$7:$N$18=1)*((Deposits!$R$7:$R$18&lt;&gt;"Connection fee")*Deposits!$P$7:$P$18+(Deposits!$R$7:$R$18="Connection fee"))*Deposits!$M$7:$M$18)</f>
        <v>-0</v>
      </c>
      <c r="N203" s="1" cm="1">
        <f t="array" ref="N203">-SUMPRODUCT((YEAR(Deposits!$K$7:$K$18)=N$5)*(Deposits!$N$7:$N$18=1)*((Deposits!$R$7:$R$18&lt;&gt;"Connection fee")*Deposits!$P$7:$P$18+(Deposits!$R$7:$R$18="Connection fee"))*Deposits!$M$7:$M$18)</f>
        <v>-0</v>
      </c>
      <c r="O203" s="1" cm="1">
        <f t="array" ref="O203">-SUMPRODUCT((YEAR(Deposits!$K$7:$K$18)=O$5)*(Deposits!$N$7:$N$18=1)*((Deposits!$R$7:$R$18&lt;&gt;"Connection fee")*Deposits!$P$7:$P$18+(Deposits!$R$7:$R$18="Connection fee"))*Deposits!$M$7:$M$18)</f>
        <v>-0</v>
      </c>
      <c r="P203" s="1" cm="1">
        <f t="array" ref="P203">-SUMPRODUCT((YEAR(Deposits!$K$7:$K$18)=P$5)*(Deposits!$N$7:$N$18=1)*((Deposits!$R$7:$R$18&lt;&gt;"Connection fee")*Deposits!$P$7:$P$18+(Deposits!$R$7:$R$18="Connection fee"))*Deposits!$M$7:$M$18)</f>
        <v>-0</v>
      </c>
      <c r="Q203" s="1" cm="1">
        <f t="array" ref="Q203">-SUMPRODUCT((YEAR(Deposits!$K$7:$K$18)=Q$5)*(Deposits!$N$7:$N$18=1)*((Deposits!$R$7:$R$18&lt;&gt;"Connection fee")*Deposits!$P$7:$P$18+(Deposits!$R$7:$R$18="Connection fee"))*Deposits!$M$7:$M$18)</f>
        <v>-0</v>
      </c>
      <c r="R203" s="1" cm="1">
        <f t="array" ref="R203">-SUMPRODUCT((YEAR(Deposits!$K$7:$K$18)=R$5)*(Deposits!$N$7:$N$18=1)*((Deposits!$R$7:$R$18&lt;&gt;"Connection fee")*Deposits!$P$7:$P$18+(Deposits!$R$7:$R$18="Connection fee"))*Deposits!$M$7:$M$18)</f>
        <v>-0</v>
      </c>
      <c r="S203" s="1" cm="1">
        <f t="array" ref="S203">-SUMPRODUCT((YEAR(Deposits!$K$7:$K$18)=S$5)*(Deposits!$N$7:$N$18=1)*((Deposits!$R$7:$R$18&lt;&gt;"Connection fee")*Deposits!$P$7:$P$18+(Deposits!$R$7:$R$18="Connection fee"))*Deposits!$M$7:$M$18)</f>
        <v>-0</v>
      </c>
      <c r="T203" s="1" cm="1">
        <f t="array" ref="T203">-SUMPRODUCT((YEAR(Deposits!$K$7:$K$18)=T$5)*(Deposits!$N$7:$N$18=1)*((Deposits!$R$7:$R$18&lt;&gt;"Connection fee")*Deposits!$P$7:$P$18+(Deposits!$R$7:$R$18="Connection fee"))*Deposits!$M$7:$M$18)</f>
        <v>-0</v>
      </c>
      <c r="U203" s="1" cm="1">
        <f t="array" ref="U203">-SUMPRODUCT((YEAR(Deposits!$K$7:$K$18)=U$5)*(Deposits!$N$7:$N$18=1)*((Deposits!$R$7:$R$18&lt;&gt;"Connection fee")*Deposits!$P$7:$P$18+(Deposits!$R$7:$R$18="Connection fee"))*Deposits!$M$7:$M$18)</f>
        <v>-0</v>
      </c>
      <c r="V203" s="1" cm="1">
        <f t="array" ref="V203">-SUMPRODUCT((YEAR(Deposits!$K$7:$K$18)=V$5)*(Deposits!$N$7:$N$18=1)*((Deposits!$R$7:$R$18&lt;&gt;"Connection fee")*Deposits!$P$7:$P$18+(Deposits!$R$7:$R$18="Connection fee"))*Deposits!$M$7:$M$18)</f>
        <v>-0</v>
      </c>
      <c r="W203" s="1" cm="1">
        <f t="array" ref="W203">-SUMPRODUCT((YEAR(Deposits!$K$7:$K$18)=W$5)*(Deposits!$N$7:$N$18=1)*((Deposits!$R$7:$R$18&lt;&gt;"Connection fee")*Deposits!$P$7:$P$18+(Deposits!$R$7:$R$18="Connection fee"))*Deposits!$M$7:$M$18)</f>
        <v>-0</v>
      </c>
      <c r="X203" s="1" cm="1">
        <f t="array" ref="X203">-SUMPRODUCT((YEAR(Deposits!$K$7:$K$18)=X$5)*(Deposits!$N$7:$N$18=1)*((Deposits!$R$7:$R$18&lt;&gt;"Connection fee")*Deposits!$P$7:$P$18+(Deposits!$R$7:$R$18="Connection fee"))*Deposits!$M$7:$M$18)</f>
        <v>-0</v>
      </c>
      <c r="Y203" s="1" cm="1">
        <f t="array" ref="Y203">-SUMPRODUCT((YEAR(Deposits!$K$7:$K$18)=Y$5)*(Deposits!$N$7:$N$18=1)*((Deposits!$R$7:$R$18&lt;&gt;"Connection fee")*Deposits!$P$7:$P$18+(Deposits!$R$7:$R$18="Connection fee"))*Deposits!$M$7:$M$18)</f>
        <v>-0</v>
      </c>
      <c r="Z203" s="1" cm="1">
        <f t="array" ref="Z203">-SUMPRODUCT((YEAR(Deposits!$K$7:$K$18)=Z$5)*(Deposits!$N$7:$N$18=1)*((Deposits!$R$7:$R$18&lt;&gt;"Connection fee")*Deposits!$P$7:$P$18+(Deposits!$R$7:$R$18="Connection fee"))*Deposits!$M$7:$M$18)</f>
        <v>-0</v>
      </c>
      <c r="AA203" s="1" cm="1">
        <f t="array" ref="AA203">-SUMPRODUCT((YEAR(Deposits!$K$7:$K$18)=AA$5)*(Deposits!$N$7:$N$18=1)*((Deposits!$R$7:$R$18&lt;&gt;"Connection fee")*Deposits!$P$7:$P$18+(Deposits!$R$7:$R$18="Connection fee"))*Deposits!$M$7:$M$18)</f>
        <v>-0</v>
      </c>
      <c r="AB203" s="1" cm="1">
        <f t="array" ref="AB203">-SUMPRODUCT((YEAR(Deposits!$K$7:$K$18)=AB$5)*(Deposits!$N$7:$N$18=1)*((Deposits!$R$7:$R$18&lt;&gt;"Connection fee")*Deposits!$P$7:$P$18+(Deposits!$R$7:$R$18="Connection fee"))*Deposits!$M$7:$M$18)</f>
        <v>-0</v>
      </c>
      <c r="AC203" s="1" cm="1">
        <f t="array" ref="AC203">-SUMPRODUCT((YEAR(Deposits!$K$7:$K$18)=AC$5)*(Deposits!$N$7:$N$18=1)*((Deposits!$R$7:$R$18&lt;&gt;"Connection fee")*Deposits!$P$7:$P$18+(Deposits!$R$7:$R$18="Connection fee"))*Deposits!$M$7:$M$18)</f>
        <v>-0</v>
      </c>
      <c r="AD203" s="1" cm="1">
        <f t="array" ref="AD203">-SUMPRODUCT((YEAR(Deposits!$K$7:$K$18)=AD$5)*(Deposits!$N$7:$N$18=1)*((Deposits!$R$7:$R$18&lt;&gt;"Connection fee")*Deposits!$P$7:$P$18+(Deposits!$R$7:$R$18="Connection fee"))*Deposits!$M$7:$M$18)</f>
        <v>-0</v>
      </c>
      <c r="AE203" s="1" cm="1">
        <f t="array" ref="AE203">-SUMPRODUCT((YEAR(Deposits!$K$7:$K$18)=AE$5)*(Deposits!$N$7:$N$18=1)*((Deposits!$R$7:$R$18&lt;&gt;"Connection fee")*Deposits!$P$7:$P$18+(Deposits!$R$7:$R$18="Connection fee"))*Deposits!$M$7:$M$18)</f>
        <v>-0</v>
      </c>
      <c r="AF203" s="1" cm="1">
        <f t="array" ref="AF203">-SUMPRODUCT((YEAR(Deposits!$K$7:$K$18)=AF$5)*(Deposits!$N$7:$N$18=1)*((Deposits!$R$7:$R$18&lt;&gt;"Connection fee")*Deposits!$P$7:$P$18+(Deposits!$R$7:$R$18="Connection fee"))*Deposits!$M$7:$M$18)</f>
        <v>-0</v>
      </c>
      <c r="AG203" s="1" cm="1">
        <f t="array" ref="AG203">-SUMPRODUCT((YEAR(Deposits!$K$7:$K$18)=AG$5)*(Deposits!$N$7:$N$18=1)*((Deposits!$R$7:$R$18&lt;&gt;"Connection fee")*Deposits!$P$7:$P$18+(Deposits!$R$7:$R$18="Connection fee"))*Deposits!$M$7:$M$18)</f>
        <v>-0</v>
      </c>
      <c r="AH203" s="1" cm="1">
        <f t="array" ref="AH203">-SUMPRODUCT((YEAR(Deposits!$K$7:$K$18)=AH$5)*(Deposits!$N$7:$N$18=1)*((Deposits!$R$7:$R$18&lt;&gt;"Connection fee")*Deposits!$P$7:$P$18+(Deposits!$R$7:$R$18="Connection fee"))*Deposits!$M$7:$M$18)</f>
        <v>-0</v>
      </c>
      <c r="AI203" s="1" cm="1">
        <f t="array" ref="AI203">-SUMPRODUCT((YEAR(Deposits!$K$7:$K$18)=AI$5)*(Deposits!$N$7:$N$18=1)*((Deposits!$R$7:$R$18&lt;&gt;"Connection fee")*Deposits!$P$7:$P$18+(Deposits!$R$7:$R$18="Connection fee"))*Deposits!$M$7:$M$18)</f>
        <v>-0</v>
      </c>
      <c r="AJ203" s="1" cm="1">
        <f t="array" ref="AJ203">-SUMPRODUCT((YEAR(Deposits!$K$7:$K$18)=AJ$5)*(Deposits!$N$7:$N$18=1)*((Deposits!$R$7:$R$18&lt;&gt;"Connection fee")*Deposits!$P$7:$P$18+(Deposits!$R$7:$R$18="Connection fee"))*Deposits!$M$7:$M$18)</f>
        <v>-0</v>
      </c>
      <c r="AK203" s="1" cm="1">
        <f t="array" ref="AK203">-SUMPRODUCT((YEAR(Deposits!$K$7:$K$18)=AK$5)*(Deposits!$N$7:$N$18=1)*((Deposits!$R$7:$R$18&lt;&gt;"Connection fee")*Deposits!$P$7:$P$18+(Deposits!$R$7:$R$18="Connection fee"))*Deposits!$M$7:$M$18)</f>
        <v>-0</v>
      </c>
      <c r="AL203" s="1" cm="1">
        <f t="array" ref="AL203">-SUMPRODUCT((YEAR(Deposits!$K$7:$K$18)=AL$5)*(Deposits!$N$7:$N$18=1)*((Deposits!$R$7:$R$18&lt;&gt;"Connection fee")*Deposits!$P$7:$P$18+(Deposits!$R$7:$R$18="Connection fee"))*Deposits!$M$7:$M$18)</f>
        <v>-0</v>
      </c>
      <c r="AM203" s="1" cm="1">
        <f t="array" ref="AM203">-SUMPRODUCT((YEAR(Deposits!$K$7:$K$18)=AM$5)*(Deposits!$N$7:$N$18=1)*((Deposits!$R$7:$R$18&lt;&gt;"Connection fee")*Deposits!$P$7:$P$18+(Deposits!$R$7:$R$18="Connection fee"))*Deposits!$M$7:$M$18)</f>
        <v>-0</v>
      </c>
      <c r="AN203" s="1" cm="1">
        <f t="array" ref="AN203">-SUMPRODUCT((YEAR(Deposits!$K$7:$K$18)=AN$5)*(Deposits!$N$7:$N$18=1)*((Deposits!$R$7:$R$18&lt;&gt;"Connection fee")*Deposits!$P$7:$P$18+(Deposits!$R$7:$R$18="Connection fee"))*Deposits!$M$7:$M$18)</f>
        <v>-0</v>
      </c>
      <c r="AO203" s="1" cm="1">
        <f t="array" ref="AO203">-SUMPRODUCT((YEAR(Deposits!$K$7:$K$18)=AO$5)*(Deposits!$N$7:$N$18=1)*((Deposits!$R$7:$R$18&lt;&gt;"Connection fee")*Deposits!$P$7:$P$18+(Deposits!$R$7:$R$18="Connection fee"))*Deposits!$M$7:$M$18)</f>
        <v>-0</v>
      </c>
      <c r="AP203" s="1" cm="1">
        <f t="array" ref="AP203">-SUMPRODUCT((YEAR(Deposits!$K$7:$K$18)=AP$5)*(Deposits!$N$7:$N$18=1)*((Deposits!$R$7:$R$18&lt;&gt;"Connection fee")*Deposits!$P$7:$P$18+(Deposits!$R$7:$R$18="Connection fee"))*Deposits!$M$7:$M$18)</f>
        <v>-0</v>
      </c>
      <c r="AQ203" s="1" cm="1">
        <f t="array" ref="AQ203">-SUMPRODUCT((YEAR(Deposits!$K$7:$K$18)=AQ$5)*(Deposits!$N$7:$N$18=1)*((Deposits!$R$7:$R$18&lt;&gt;"Connection fee")*Deposits!$P$7:$P$18+(Deposits!$R$7:$R$18="Connection fee"))*Deposits!$M$7:$M$18)</f>
        <v>-0</v>
      </c>
    </row>
    <row r="204" spans="3:43" x14ac:dyDescent="0.25">
      <c r="C204" t="s">
        <v>2216</v>
      </c>
      <c r="D204" t="s">
        <v>844</v>
      </c>
      <c r="E204" s="1"/>
      <c r="F204" s="1"/>
      <c r="G204" s="1">
        <f t="shared" si="79"/>
        <v>0</v>
      </c>
      <c r="H204" s="1" cm="1">
        <f t="array" ref="H204">IF(H$5=YEAR(Inputs!$E$155),SUMPRODUCT(((Deposits!$R$7:$R$18="Security")+(Deposits!$R$7:$R$18="Refund"))*Deposits!$P$7:$P$18*Deposits!$M$7:$M$18)-Deposits!$P$11*Deposits!$M$11,0)</f>
        <v>0</v>
      </c>
      <c r="I204" s="1" cm="1">
        <f t="array" ref="I204">IF(I$5=YEAR(Inputs!$E$155),SUMPRODUCT(((Deposits!$R$7:$R$18="Security")+(Deposits!$R$7:$R$18="Refund"))*Deposits!$P$7:$P$18*Deposits!$M$7:$M$18)-Deposits!$P$11*Deposits!$M$11,0)</f>
        <v>0</v>
      </c>
      <c r="J204" s="1" cm="1">
        <f t="array" ref="J204">IF(J$5=YEAR(Inputs!$E$155),SUMPRODUCT(((Deposits!$R$7:$R$18="Security")+(Deposits!$R$7:$R$18="Refund"))*Deposits!$P$7:$P$18*Deposits!$M$7:$M$18)-Deposits!$P$11*Deposits!$M$11,0)</f>
        <v>0</v>
      </c>
      <c r="K204" s="1" cm="1">
        <f t="array" ref="K204">IF(K$5=YEAR(Inputs!$E$155),SUMPRODUCT(((Deposits!$R$7:$R$18="Security")+(Deposits!$R$7:$R$18="Refund"))*Deposits!$P$7:$P$18*Deposits!$M$7:$M$18)-Deposits!$P$11*Deposits!$M$11,0)</f>
        <v>0</v>
      </c>
      <c r="L204" s="1" cm="1">
        <f t="array" ref="L204">IF(L$5=YEAR(Inputs!$E$155),SUMPRODUCT(((Deposits!$R$7:$R$18="Security")+(Deposits!$R$7:$R$18="Refund"))*Deposits!$P$7:$P$18*Deposits!$M$7:$M$18)-Deposits!$P$11*Deposits!$M$11,0)</f>
        <v>0</v>
      </c>
      <c r="M204" s="1" cm="1">
        <f t="array" ref="M204">IF(M$5=YEAR(Inputs!$E$155),SUMPRODUCT(((Deposits!$R$7:$R$18="Security")+(Deposits!$R$7:$R$18="Refund"))*Deposits!$P$7:$P$18*Deposits!$M$7:$M$18)-Deposits!$P$11*Deposits!$M$11,0)</f>
        <v>0</v>
      </c>
      <c r="N204" s="1" cm="1">
        <f t="array" ref="N204">IF(N$5=YEAR(Inputs!$E$155),SUMPRODUCT(((Deposits!$R$7:$R$18="Security")+(Deposits!$R$7:$R$18="Refund"))*Deposits!$P$7:$P$18*Deposits!$M$7:$M$18)-Deposits!$P$11*Deposits!$M$11,0)</f>
        <v>0</v>
      </c>
      <c r="O204" s="1" cm="1">
        <f t="array" ref="O204">IF(O$5=YEAR(Inputs!$E$155),SUMPRODUCT(((Deposits!$R$7:$R$18="Security")+(Deposits!$R$7:$R$18="Refund"))*Deposits!$P$7:$P$18*Deposits!$M$7:$M$18)-Deposits!$P$11*Deposits!$M$11,0)</f>
        <v>0</v>
      </c>
      <c r="P204" s="1" cm="1">
        <f t="array" ref="P204">IF(P$5=YEAR(Inputs!$E$155),SUMPRODUCT(((Deposits!$R$7:$R$18="Security")+(Deposits!$R$7:$R$18="Refund"))*Deposits!$P$7:$P$18*Deposits!$M$7:$M$18)-Deposits!$P$11*Deposits!$M$11,0)</f>
        <v>0</v>
      </c>
      <c r="Q204" s="1" cm="1">
        <f t="array" ref="Q204">IF(Q$5=YEAR(Inputs!$E$155),SUMPRODUCT(((Deposits!$R$7:$R$18="Security")+(Deposits!$R$7:$R$18="Refund"))*Deposits!$P$7:$P$18*Deposits!$M$7:$M$18)-Deposits!$P$11*Deposits!$M$11,0)</f>
        <v>0</v>
      </c>
      <c r="R204" s="1" cm="1">
        <f t="array" ref="R204">IF(R$5=YEAR(Inputs!$E$155),SUMPRODUCT(((Deposits!$R$7:$R$18="Security")+(Deposits!$R$7:$R$18="Refund"))*Deposits!$P$7:$P$18*Deposits!$M$7:$M$18)-Deposits!$P$11*Deposits!$M$11,0)</f>
        <v>0</v>
      </c>
      <c r="S204" s="1" cm="1">
        <f t="array" ref="S204">IF(S$5=YEAR(Inputs!$E$155),SUMPRODUCT(((Deposits!$R$7:$R$18="Security")+(Deposits!$R$7:$R$18="Refund"))*Deposits!$P$7:$P$18*Deposits!$M$7:$M$18)-Deposits!$P$11*Deposits!$M$11,0)</f>
        <v>0</v>
      </c>
      <c r="T204" s="1" cm="1">
        <f t="array" ref="T204">IF(T$5=YEAR(Inputs!$E$155),SUMPRODUCT(((Deposits!$R$7:$R$18="Security")+(Deposits!$R$7:$R$18="Refund"))*Deposits!$P$7:$P$18*Deposits!$M$7:$M$18)-Deposits!$P$11*Deposits!$M$11,0)</f>
        <v>0</v>
      </c>
      <c r="U204" s="1" cm="1">
        <f t="array" ref="U204">IF(U$5=YEAR(Inputs!$E$155),SUMPRODUCT(((Deposits!$R$7:$R$18="Security")+(Deposits!$R$7:$R$18="Refund"))*Deposits!$P$7:$P$18*Deposits!$M$7:$M$18)-Deposits!$P$11*Deposits!$M$11,0)</f>
        <v>0</v>
      </c>
      <c r="V204" s="1" cm="1">
        <f t="array" ref="V204">IF(V$5=YEAR(Inputs!$E$155),SUMPRODUCT(((Deposits!$R$7:$R$18="Security")+(Deposits!$R$7:$R$18="Refund"))*Deposits!$P$7:$P$18*Deposits!$M$7:$M$18)-Deposits!$P$11*Deposits!$M$11,0)</f>
        <v>0</v>
      </c>
      <c r="W204" s="1" cm="1">
        <f t="array" ref="W204">IF(W$5=YEAR(Inputs!$E$155),SUMPRODUCT(((Deposits!$R$7:$R$18="Security")+(Deposits!$R$7:$R$18="Refund"))*Deposits!$P$7:$P$18*Deposits!$M$7:$M$18)-Deposits!$P$11*Deposits!$M$11,0)</f>
        <v>0</v>
      </c>
      <c r="X204" s="1" cm="1">
        <f t="array" ref="X204">IF(X$5=YEAR(Inputs!$E$155),SUMPRODUCT(((Deposits!$R$7:$R$18="Security")+(Deposits!$R$7:$R$18="Refund"))*Deposits!$P$7:$P$18*Deposits!$M$7:$M$18)-Deposits!$P$11*Deposits!$M$11,0)</f>
        <v>0</v>
      </c>
      <c r="Y204" s="1" cm="1">
        <f t="array" ref="Y204">IF(Y$5=YEAR(Inputs!$E$155),SUMPRODUCT(((Deposits!$R$7:$R$18="Security")+(Deposits!$R$7:$R$18="Refund"))*Deposits!$P$7:$P$18*Deposits!$M$7:$M$18)-Deposits!$P$11*Deposits!$M$11,0)</f>
        <v>0</v>
      </c>
      <c r="Z204" s="1" cm="1">
        <f t="array" ref="Z204">IF(Z$5=YEAR(Inputs!$E$155),SUMPRODUCT(((Deposits!$R$7:$R$18="Security")+(Deposits!$R$7:$R$18="Refund"))*Deposits!$P$7:$P$18*Deposits!$M$7:$M$18)-Deposits!$P$11*Deposits!$M$11,0)</f>
        <v>0</v>
      </c>
      <c r="AA204" s="1" cm="1">
        <f t="array" ref="AA204">IF(AA$5=YEAR(Inputs!$E$155),SUMPRODUCT(((Deposits!$R$7:$R$18="Security")+(Deposits!$R$7:$R$18="Refund"))*Deposits!$P$7:$P$18*Deposits!$M$7:$M$18)-Deposits!$P$11*Deposits!$M$11,0)</f>
        <v>0</v>
      </c>
      <c r="AB204" s="1" cm="1">
        <f t="array" ref="AB204">IF(AB$5=YEAR(Inputs!$E$155),SUMPRODUCT(((Deposits!$R$7:$R$18="Security")+(Deposits!$R$7:$R$18="Refund"))*Deposits!$P$7:$P$18*Deposits!$M$7:$M$18)-Deposits!$P$11*Deposits!$M$11,0)</f>
        <v>0</v>
      </c>
      <c r="AC204" s="1" cm="1">
        <f t="array" ref="AC204">IF(AC$5=YEAR(Inputs!$E$155),SUMPRODUCT(((Deposits!$R$7:$R$18="Security")+(Deposits!$R$7:$R$18="Refund"))*Deposits!$P$7:$P$18*Deposits!$M$7:$M$18)-Deposits!$P$11*Deposits!$M$11,0)</f>
        <v>0</v>
      </c>
      <c r="AD204" s="1" cm="1">
        <f t="array" ref="AD204">IF(AD$5=YEAR(Inputs!$E$155),SUMPRODUCT(((Deposits!$R$7:$R$18="Security")+(Deposits!$R$7:$R$18="Refund"))*Deposits!$P$7:$P$18*Deposits!$M$7:$M$18)-Deposits!$P$11*Deposits!$M$11,0)</f>
        <v>0</v>
      </c>
      <c r="AE204" s="1" cm="1">
        <f t="array" ref="AE204">IF(AE$5=YEAR(Inputs!$E$155),SUMPRODUCT(((Deposits!$R$7:$R$18="Security")+(Deposits!$R$7:$R$18="Refund"))*Deposits!$P$7:$P$18*Deposits!$M$7:$M$18)-Deposits!$P$11*Deposits!$M$11,0)</f>
        <v>0</v>
      </c>
      <c r="AF204" s="1" cm="1">
        <f t="array" ref="AF204">IF(AF$5=YEAR(Inputs!$E$155),SUMPRODUCT(((Deposits!$R$7:$R$18="Security")+(Deposits!$R$7:$R$18="Refund"))*Deposits!$P$7:$P$18*Deposits!$M$7:$M$18)-Deposits!$P$11*Deposits!$M$11,0)</f>
        <v>0</v>
      </c>
      <c r="AG204" s="1" cm="1">
        <f t="array" ref="AG204">IF(AG$5=YEAR(Inputs!$E$155),SUMPRODUCT(((Deposits!$R$7:$R$18="Security")+(Deposits!$R$7:$R$18="Refund"))*Deposits!$P$7:$P$18*Deposits!$M$7:$M$18)-Deposits!$P$11*Deposits!$M$11,0)</f>
        <v>0</v>
      </c>
      <c r="AH204" s="1" cm="1">
        <f t="array" ref="AH204">IF(AH$5=YEAR(Inputs!$E$155),SUMPRODUCT(((Deposits!$R$7:$R$18="Security")+(Deposits!$R$7:$R$18="Refund"))*Deposits!$P$7:$P$18*Deposits!$M$7:$M$18)-Deposits!$P$11*Deposits!$M$11,0)</f>
        <v>0</v>
      </c>
      <c r="AI204" s="1" cm="1">
        <f t="array" ref="AI204">IF(AI$5=YEAR(Inputs!$E$155),SUMPRODUCT(((Deposits!$R$7:$R$18="Security")+(Deposits!$R$7:$R$18="Refund"))*Deposits!$P$7:$P$18*Deposits!$M$7:$M$18)-Deposits!$P$11*Deposits!$M$11,0)</f>
        <v>0</v>
      </c>
      <c r="AJ204" s="1" cm="1">
        <f t="array" ref="AJ204">IF(AJ$5=YEAR(Inputs!$E$155),SUMPRODUCT(((Deposits!$R$7:$R$18="Security")+(Deposits!$R$7:$R$18="Refund"))*Deposits!$P$7:$P$18*Deposits!$M$7:$M$18)-Deposits!$P$11*Deposits!$M$11,0)</f>
        <v>0</v>
      </c>
      <c r="AK204" s="1" cm="1">
        <f t="array" ref="AK204">IF(AK$5=YEAR(Inputs!$E$155),SUMPRODUCT(((Deposits!$R$7:$R$18="Security")+(Deposits!$R$7:$R$18="Refund"))*Deposits!$P$7:$P$18*Deposits!$M$7:$M$18)-Deposits!$P$11*Deposits!$M$11,0)</f>
        <v>0</v>
      </c>
      <c r="AL204" s="1" cm="1">
        <f t="array" ref="AL204">IF(AL$5=YEAR(Inputs!$E$155),SUMPRODUCT(((Deposits!$R$7:$R$18="Security")+(Deposits!$R$7:$R$18="Refund"))*Deposits!$P$7:$P$18*Deposits!$M$7:$M$18)-Deposits!$P$11*Deposits!$M$11,0)</f>
        <v>0</v>
      </c>
      <c r="AM204" s="1" cm="1">
        <f t="array" ref="AM204">IF(AM$5=YEAR(Inputs!$E$155),SUMPRODUCT(((Deposits!$R$7:$R$18="Security")+(Deposits!$R$7:$R$18="Refund"))*Deposits!$P$7:$P$18*Deposits!$M$7:$M$18)-Deposits!$P$11*Deposits!$M$11,0)</f>
        <v>0</v>
      </c>
      <c r="AN204" s="1" cm="1">
        <f t="array" ref="AN204">IF(AN$5=YEAR(Inputs!$E$155),SUMPRODUCT(((Deposits!$R$7:$R$18="Security")+(Deposits!$R$7:$R$18="Refund"))*Deposits!$P$7:$P$18*Deposits!$M$7:$M$18)-Deposits!$P$11*Deposits!$M$11,0)</f>
        <v>0</v>
      </c>
      <c r="AO204" s="1" cm="1">
        <f t="array" ref="AO204">IF(AO$5=YEAR(Inputs!$E$155),SUMPRODUCT(((Deposits!$R$7:$R$18="Security")+(Deposits!$R$7:$R$18="Refund"))*Deposits!$P$7:$P$18*Deposits!$M$7:$M$18)-Deposits!$P$11*Deposits!$M$11,0)</f>
        <v>0</v>
      </c>
      <c r="AP204" s="1" cm="1">
        <f t="array" ref="AP204">IF(AP$5=YEAR(Inputs!$E$155),SUMPRODUCT(((Deposits!$R$7:$R$18="Security")+(Deposits!$R$7:$R$18="Refund"))*Deposits!$P$7:$P$18*Deposits!$M$7:$M$18)-Deposits!$P$11*Deposits!$M$11,0)</f>
        <v>0</v>
      </c>
      <c r="AQ204" s="1" cm="1">
        <f t="array" ref="AQ204">IF(AQ$5=YEAR(Inputs!$E$155),SUMPRODUCT(((Deposits!$R$7:$R$18="Security")+(Deposits!$R$7:$R$18="Refund"))*Deposits!$P$7:$P$18*Deposits!$M$7:$M$18)-Deposits!$P$11*Deposits!$M$11,0)</f>
        <v>0</v>
      </c>
    </row>
    <row r="205" spans="3:43" x14ac:dyDescent="0.25">
      <c r="C205" t="s">
        <v>1339</v>
      </c>
      <c r="D205" t="s">
        <v>844</v>
      </c>
      <c r="E205" s="1"/>
      <c r="F205" s="1"/>
      <c r="G205" s="1">
        <f t="shared" si="79"/>
        <v>-392235.25</v>
      </c>
      <c r="H205" s="1">
        <f>H27+H29</f>
        <v>-0</v>
      </c>
      <c r="I205" s="1">
        <f t="shared" ref="I205:AQ205" si="80">I27+I29</f>
        <v>-0</v>
      </c>
      <c r="J205" s="1">
        <f t="shared" si="80"/>
        <v>-0</v>
      </c>
      <c r="K205" s="1">
        <f t="shared" si="80"/>
        <v>-48928.278082191784</v>
      </c>
      <c r="L205" s="1">
        <f t="shared" si="80"/>
        <v>-194117.625</v>
      </c>
      <c r="M205" s="1">
        <f t="shared" si="80"/>
        <v>-149189.34691780823</v>
      </c>
      <c r="N205" s="1">
        <f t="shared" si="80"/>
        <v>-0</v>
      </c>
      <c r="O205" s="1">
        <f t="shared" si="80"/>
        <v>-0</v>
      </c>
      <c r="P205" s="1">
        <f t="shared" si="80"/>
        <v>-0</v>
      </c>
      <c r="Q205" s="1">
        <f t="shared" si="80"/>
        <v>-0</v>
      </c>
      <c r="R205" s="1">
        <f t="shared" si="80"/>
        <v>-0</v>
      </c>
      <c r="S205" s="1">
        <f t="shared" si="80"/>
        <v>-0</v>
      </c>
      <c r="T205" s="1">
        <f t="shared" si="80"/>
        <v>-0</v>
      </c>
      <c r="U205" s="1">
        <f t="shared" si="80"/>
        <v>-0</v>
      </c>
      <c r="V205" s="1">
        <f t="shared" si="80"/>
        <v>-0</v>
      </c>
      <c r="W205" s="1">
        <f t="shared" si="80"/>
        <v>-0</v>
      </c>
      <c r="X205" s="1">
        <f t="shared" si="80"/>
        <v>-0</v>
      </c>
      <c r="Y205" s="1">
        <f t="shared" si="80"/>
        <v>-0</v>
      </c>
      <c r="Z205" s="1">
        <f t="shared" si="80"/>
        <v>-0</v>
      </c>
      <c r="AA205" s="1">
        <f t="shared" si="80"/>
        <v>-0</v>
      </c>
      <c r="AB205" s="1">
        <f t="shared" si="80"/>
        <v>-0</v>
      </c>
      <c r="AC205" s="1">
        <f t="shared" si="80"/>
        <v>-0</v>
      </c>
      <c r="AD205" s="1">
        <f t="shared" si="80"/>
        <v>-0</v>
      </c>
      <c r="AE205" s="1">
        <f t="shared" si="80"/>
        <v>-0</v>
      </c>
      <c r="AF205" s="1">
        <f t="shared" si="80"/>
        <v>-0</v>
      </c>
      <c r="AG205" s="1">
        <f t="shared" si="80"/>
        <v>-0</v>
      </c>
      <c r="AH205" s="1">
        <f t="shared" si="80"/>
        <v>-0</v>
      </c>
      <c r="AI205" s="1">
        <f t="shared" si="80"/>
        <v>-0</v>
      </c>
      <c r="AJ205" s="1">
        <f t="shared" si="80"/>
        <v>-0</v>
      </c>
      <c r="AK205" s="1">
        <f t="shared" si="80"/>
        <v>-0</v>
      </c>
      <c r="AL205" s="1">
        <f t="shared" si="80"/>
        <v>-0</v>
      </c>
      <c r="AM205" s="1">
        <f t="shared" si="80"/>
        <v>-0</v>
      </c>
      <c r="AN205" s="1">
        <f t="shared" si="80"/>
        <v>-0</v>
      </c>
      <c r="AO205" s="1">
        <f t="shared" si="80"/>
        <v>-0</v>
      </c>
      <c r="AP205" s="1">
        <f t="shared" si="80"/>
        <v>-0</v>
      </c>
      <c r="AQ205" s="1">
        <f t="shared" si="80"/>
        <v>-0</v>
      </c>
    </row>
    <row r="206" spans="3:43" x14ac:dyDescent="0.25">
      <c r="C206" t="s">
        <v>1001</v>
      </c>
      <c r="D206" t="s">
        <v>844</v>
      </c>
      <c r="E206" s="1"/>
      <c r="F206" s="1"/>
      <c r="G206" s="1">
        <f t="shared" si="79"/>
        <v>237160.71312246576</v>
      </c>
      <c r="H206" s="1">
        <f>H77</f>
        <v>0</v>
      </c>
      <c r="I206" s="1">
        <f t="shared" ref="I206:AQ206" si="81">I77</f>
        <v>0</v>
      </c>
      <c r="J206" s="1">
        <f t="shared" si="81"/>
        <v>0</v>
      </c>
      <c r="K206" s="1">
        <f t="shared" si="81"/>
        <v>29888.747407214865</v>
      </c>
      <c r="L206" s="1">
        <f t="shared" si="81"/>
        <v>118580.35656123288</v>
      </c>
      <c r="M206" s="1">
        <f t="shared" si="81"/>
        <v>88691.60915401802</v>
      </c>
      <c r="N206" s="1">
        <f t="shared" si="81"/>
        <v>0</v>
      </c>
      <c r="O206" s="1">
        <f t="shared" si="81"/>
        <v>0</v>
      </c>
      <c r="P206" s="1">
        <f t="shared" si="81"/>
        <v>0</v>
      </c>
      <c r="Q206" s="1">
        <f t="shared" si="81"/>
        <v>0</v>
      </c>
      <c r="R206" s="1">
        <f t="shared" si="81"/>
        <v>0</v>
      </c>
      <c r="S206" s="1">
        <f t="shared" si="81"/>
        <v>0</v>
      </c>
      <c r="T206" s="1">
        <f t="shared" si="81"/>
        <v>0</v>
      </c>
      <c r="U206" s="1">
        <f t="shared" si="81"/>
        <v>0</v>
      </c>
      <c r="V206" s="1">
        <f t="shared" si="81"/>
        <v>0</v>
      </c>
      <c r="W206" s="1">
        <f t="shared" si="81"/>
        <v>0</v>
      </c>
      <c r="X206" s="1">
        <f t="shared" si="81"/>
        <v>0</v>
      </c>
      <c r="Y206" s="1">
        <f t="shared" si="81"/>
        <v>0</v>
      </c>
      <c r="Z206" s="1">
        <f t="shared" si="81"/>
        <v>0</v>
      </c>
      <c r="AA206" s="1">
        <f t="shared" si="81"/>
        <v>0</v>
      </c>
      <c r="AB206" s="1">
        <f t="shared" si="81"/>
        <v>0</v>
      </c>
      <c r="AC206" s="1">
        <f t="shared" si="81"/>
        <v>0</v>
      </c>
      <c r="AD206" s="1">
        <f t="shared" si="81"/>
        <v>0</v>
      </c>
      <c r="AE206" s="1">
        <f t="shared" si="81"/>
        <v>0</v>
      </c>
      <c r="AF206" s="1">
        <f t="shared" si="81"/>
        <v>0</v>
      </c>
      <c r="AG206" s="1">
        <f t="shared" si="81"/>
        <v>0</v>
      </c>
      <c r="AH206" s="1">
        <f t="shared" si="81"/>
        <v>0</v>
      </c>
      <c r="AI206" s="1">
        <f t="shared" si="81"/>
        <v>0</v>
      </c>
      <c r="AJ206" s="1">
        <f t="shared" si="81"/>
        <v>0</v>
      </c>
      <c r="AK206" s="1">
        <f t="shared" si="81"/>
        <v>0</v>
      </c>
      <c r="AL206" s="1">
        <f t="shared" si="81"/>
        <v>0</v>
      </c>
      <c r="AM206" s="1">
        <f t="shared" si="81"/>
        <v>0</v>
      </c>
      <c r="AN206" s="1">
        <f t="shared" si="81"/>
        <v>0</v>
      </c>
      <c r="AO206" s="1">
        <f t="shared" si="81"/>
        <v>0</v>
      </c>
      <c r="AP206" s="1">
        <f t="shared" si="81"/>
        <v>0</v>
      </c>
      <c r="AQ206" s="1">
        <f t="shared" si="81"/>
        <v>0</v>
      </c>
    </row>
    <row r="207" spans="3:43" x14ac:dyDescent="0.25">
      <c r="C207" t="s">
        <v>1002</v>
      </c>
      <c r="D207" t="s">
        <v>844</v>
      </c>
      <c r="E207" s="1"/>
      <c r="F207" s="1"/>
      <c r="G207" s="1">
        <f t="shared" si="79"/>
        <v>-6242.73709904252</v>
      </c>
      <c r="H207" s="1">
        <f>H117</f>
        <v>-0</v>
      </c>
      <c r="I207" s="1">
        <f t="shared" ref="I207:AQ207" si="82">I117</f>
        <v>-0</v>
      </c>
      <c r="J207" s="1">
        <f t="shared" si="82"/>
        <v>-0</v>
      </c>
      <c r="K207" s="1">
        <f t="shared" si="82"/>
        <v>-4654.408723585109</v>
      </c>
      <c r="L207" s="1">
        <f t="shared" si="82"/>
        <v>-1325.1111187450865</v>
      </c>
      <c r="M207" s="1">
        <f t="shared" si="82"/>
        <v>-263.21725671232446</v>
      </c>
      <c r="N207" s="1">
        <f t="shared" si="82"/>
        <v>-0</v>
      </c>
      <c r="O207" s="1">
        <f t="shared" si="82"/>
        <v>-0</v>
      </c>
      <c r="P207" s="1">
        <f t="shared" si="82"/>
        <v>-0</v>
      </c>
      <c r="Q207" s="1">
        <f t="shared" si="82"/>
        <v>-0</v>
      </c>
      <c r="R207" s="1">
        <f t="shared" si="82"/>
        <v>-0</v>
      </c>
      <c r="S207" s="1">
        <f t="shared" si="82"/>
        <v>-0</v>
      </c>
      <c r="T207" s="1">
        <f t="shared" si="82"/>
        <v>-0</v>
      </c>
      <c r="U207" s="1">
        <f t="shared" si="82"/>
        <v>-0</v>
      </c>
      <c r="V207" s="1">
        <f t="shared" si="82"/>
        <v>-0</v>
      </c>
      <c r="W207" s="1">
        <f t="shared" si="82"/>
        <v>-0</v>
      </c>
      <c r="X207" s="1">
        <f t="shared" si="82"/>
        <v>-0</v>
      </c>
      <c r="Y207" s="1">
        <f t="shared" si="82"/>
        <v>-0</v>
      </c>
      <c r="Z207" s="1">
        <f t="shared" si="82"/>
        <v>-0</v>
      </c>
      <c r="AA207" s="1">
        <f t="shared" si="82"/>
        <v>-0</v>
      </c>
      <c r="AB207" s="1">
        <f t="shared" si="82"/>
        <v>-0</v>
      </c>
      <c r="AC207" s="1">
        <f t="shared" si="82"/>
        <v>-0</v>
      </c>
      <c r="AD207" s="1">
        <f t="shared" si="82"/>
        <v>-0</v>
      </c>
      <c r="AE207" s="1">
        <f t="shared" si="82"/>
        <v>-0</v>
      </c>
      <c r="AF207" s="1">
        <f t="shared" si="82"/>
        <v>-0</v>
      </c>
      <c r="AG207" s="1">
        <f t="shared" si="82"/>
        <v>-0</v>
      </c>
      <c r="AH207" s="1">
        <f t="shared" si="82"/>
        <v>-0</v>
      </c>
      <c r="AI207" s="1">
        <f t="shared" si="82"/>
        <v>-0</v>
      </c>
      <c r="AJ207" s="1">
        <f t="shared" si="82"/>
        <v>-0</v>
      </c>
      <c r="AK207" s="1">
        <f t="shared" si="82"/>
        <v>-0</v>
      </c>
      <c r="AL207" s="1">
        <f t="shared" si="82"/>
        <v>-0</v>
      </c>
      <c r="AM207" s="1">
        <f t="shared" si="82"/>
        <v>-0</v>
      </c>
      <c r="AN207" s="1">
        <f t="shared" si="82"/>
        <v>-0</v>
      </c>
      <c r="AO207" s="1">
        <f t="shared" si="82"/>
        <v>-0</v>
      </c>
      <c r="AP207" s="1">
        <f t="shared" si="82"/>
        <v>-0</v>
      </c>
      <c r="AQ207" s="1">
        <f t="shared" si="82"/>
        <v>-0</v>
      </c>
    </row>
    <row r="208" spans="3:43" x14ac:dyDescent="0.25">
      <c r="C208" t="s">
        <v>1340</v>
      </c>
      <c r="D208" t="s">
        <v>844</v>
      </c>
      <c r="E208" s="1"/>
      <c r="F208" s="1"/>
      <c r="G208" s="1">
        <f t="shared" si="79"/>
        <v>1984390.1131520506</v>
      </c>
      <c r="H208" s="1">
        <f>H70</f>
        <v>0</v>
      </c>
      <c r="I208" s="1">
        <f t="shared" ref="I208:AQ208" si="83">I70</f>
        <v>0</v>
      </c>
      <c r="J208" s="1">
        <f t="shared" si="83"/>
        <v>0</v>
      </c>
      <c r="K208" s="1">
        <f t="shared" si="83"/>
        <v>-197.24149845574638</v>
      </c>
      <c r="L208" s="1">
        <f t="shared" si="83"/>
        <v>-802.0975609756099</v>
      </c>
      <c r="M208" s="1">
        <f t="shared" si="83"/>
        <v>13539.044927877349</v>
      </c>
      <c r="N208" s="1">
        <f t="shared" si="83"/>
        <v>55609.741425861546</v>
      </c>
      <c r="O208" s="1">
        <f t="shared" si="83"/>
        <v>56810.43498888551</v>
      </c>
      <c r="P208" s="1">
        <f t="shared" si="83"/>
        <v>55076.575721537745</v>
      </c>
      <c r="Q208" s="1">
        <f t="shared" si="83"/>
        <v>55799.61974211573</v>
      </c>
      <c r="R208" s="1">
        <f t="shared" si="83"/>
        <v>56768.41500979422</v>
      </c>
      <c r="S208" s="1">
        <f t="shared" si="83"/>
        <v>60115.67236573571</v>
      </c>
      <c r="T208" s="1">
        <f t="shared" si="83"/>
        <v>60081.71718975843</v>
      </c>
      <c r="U208" s="1">
        <f t="shared" si="83"/>
        <v>60650.51554325003</v>
      </c>
      <c r="V208" s="1">
        <f t="shared" si="83"/>
        <v>60734.079695444176</v>
      </c>
      <c r="W208" s="1">
        <f t="shared" si="83"/>
        <v>60762.71725951616</v>
      </c>
      <c r="X208" s="1">
        <f t="shared" si="83"/>
        <v>62361.89215702055</v>
      </c>
      <c r="Y208" s="1">
        <f t="shared" si="83"/>
        <v>63509.72251097296</v>
      </c>
      <c r="Z208" s="1">
        <f t="shared" si="83"/>
        <v>63893.331730689846</v>
      </c>
      <c r="AA208" s="1">
        <f t="shared" si="83"/>
        <v>66226.10802310481</v>
      </c>
      <c r="AB208" s="1">
        <f t="shared" si="83"/>
        <v>67406.39527213605</v>
      </c>
      <c r="AC208" s="1">
        <f t="shared" si="83"/>
        <v>68276.626286429</v>
      </c>
      <c r="AD208" s="1">
        <f t="shared" si="83"/>
        <v>67796.44353110582</v>
      </c>
      <c r="AE208" s="1">
        <f t="shared" si="83"/>
        <v>68939.77807005876</v>
      </c>
      <c r="AF208" s="1">
        <f t="shared" si="83"/>
        <v>68914.44151135013</v>
      </c>
      <c r="AG208" s="1">
        <f t="shared" si="83"/>
        <v>69062.1274763236</v>
      </c>
      <c r="AH208" s="1">
        <f t="shared" si="83"/>
        <v>68617.88544982989</v>
      </c>
      <c r="AI208" s="1">
        <f t="shared" si="83"/>
        <v>70489.50566049124</v>
      </c>
      <c r="AJ208" s="1">
        <f t="shared" si="83"/>
        <v>71124.5771739413</v>
      </c>
      <c r="AK208" s="1">
        <f t="shared" si="83"/>
        <v>71799.29155095278</v>
      </c>
      <c r="AL208" s="1">
        <f t="shared" si="83"/>
        <v>71748.13534595404</v>
      </c>
      <c r="AM208" s="1">
        <f t="shared" si="83"/>
        <v>73562.4480180319</v>
      </c>
      <c r="AN208" s="1">
        <f t="shared" si="83"/>
        <v>76554.32549064499</v>
      </c>
      <c r="AO208" s="1">
        <f t="shared" si="83"/>
        <v>79221.51934010966</v>
      </c>
      <c r="AP208" s="1">
        <f t="shared" si="83"/>
        <v>79439.68125293475</v>
      </c>
      <c r="AQ208" s="1">
        <f t="shared" si="83"/>
        <v>60496.682489623316</v>
      </c>
    </row>
    <row r="209" spans="3:43" x14ac:dyDescent="0.25">
      <c r="C209" t="s">
        <v>1517</v>
      </c>
      <c r="D209" t="s">
        <v>844</v>
      </c>
      <c r="E209" s="1"/>
      <c r="F209" s="1"/>
      <c r="G209" s="1">
        <f t="shared" si="79"/>
        <v>-306972.1706298419</v>
      </c>
      <c r="H209" s="1">
        <f>H119+H120</f>
        <v>-0</v>
      </c>
      <c r="I209" s="1">
        <f t="shared" ref="I209:AQ209" si="84">I119+I120</f>
        <v>-0</v>
      </c>
      <c r="J209" s="1">
        <f t="shared" si="84"/>
        <v>-0</v>
      </c>
      <c r="K209" s="1">
        <f t="shared" si="84"/>
        <v>-0</v>
      </c>
      <c r="L209" s="1">
        <f t="shared" si="84"/>
        <v>-0</v>
      </c>
      <c r="M209" s="1">
        <f t="shared" si="84"/>
        <v>-19299.655676529266</v>
      </c>
      <c r="N209" s="1">
        <f t="shared" si="84"/>
        <v>-43395.70693535008</v>
      </c>
      <c r="O209" s="1">
        <f t="shared" si="84"/>
        <v>-43522.39731448791</v>
      </c>
      <c r="P209" s="1">
        <f t="shared" si="84"/>
        <v>-42660.19467241014</v>
      </c>
      <c r="Q209" s="1">
        <f t="shared" si="84"/>
        <v>-42914.15814851155</v>
      </c>
      <c r="R209" s="1">
        <f t="shared" si="84"/>
        <v>-43275.61594655938</v>
      </c>
      <c r="S209" s="1">
        <f t="shared" si="84"/>
        <v>-32353.65303490058</v>
      </c>
      <c r="T209" s="1">
        <f t="shared" si="84"/>
        <v>-27863.807709271634</v>
      </c>
      <c r="U209" s="1">
        <f t="shared" si="84"/>
        <v>-11686.981191821345</v>
      </c>
      <c r="V209" s="1">
        <f t="shared" si="84"/>
        <v>-0</v>
      </c>
      <c r="W209" s="1">
        <f t="shared" si="84"/>
        <v>-0</v>
      </c>
      <c r="X209" s="1">
        <f t="shared" si="84"/>
        <v>-0</v>
      </c>
      <c r="Y209" s="1">
        <f t="shared" si="84"/>
        <v>-0</v>
      </c>
      <c r="Z209" s="1">
        <f t="shared" si="84"/>
        <v>-0</v>
      </c>
      <c r="AA209" s="1">
        <f t="shared" si="84"/>
        <v>-0</v>
      </c>
      <c r="AB209" s="1">
        <f t="shared" si="84"/>
        <v>-0</v>
      </c>
      <c r="AC209" s="1">
        <f t="shared" si="84"/>
        <v>-0</v>
      </c>
      <c r="AD209" s="1">
        <f t="shared" si="84"/>
        <v>-0</v>
      </c>
      <c r="AE209" s="1">
        <f t="shared" si="84"/>
        <v>-0</v>
      </c>
      <c r="AF209" s="1">
        <f t="shared" si="84"/>
        <v>-0</v>
      </c>
      <c r="AG209" s="1">
        <f t="shared" si="84"/>
        <v>-0</v>
      </c>
      <c r="AH209" s="1">
        <f t="shared" si="84"/>
        <v>-0</v>
      </c>
      <c r="AI209" s="1">
        <f t="shared" si="84"/>
        <v>-0</v>
      </c>
      <c r="AJ209" s="1">
        <f t="shared" si="84"/>
        <v>-0</v>
      </c>
      <c r="AK209" s="1">
        <f t="shared" si="84"/>
        <v>-0</v>
      </c>
      <c r="AL209" s="1">
        <f t="shared" si="84"/>
        <v>-0</v>
      </c>
      <c r="AM209" s="1">
        <f t="shared" si="84"/>
        <v>-0</v>
      </c>
      <c r="AN209" s="1">
        <f t="shared" si="84"/>
        <v>-0</v>
      </c>
      <c r="AO209" s="1">
        <f t="shared" si="84"/>
        <v>-0</v>
      </c>
      <c r="AP209" s="1">
        <f t="shared" si="84"/>
        <v>-0</v>
      </c>
      <c r="AQ209" s="1">
        <f t="shared" si="84"/>
        <v>-0</v>
      </c>
    </row>
    <row r="210" spans="3:43" x14ac:dyDescent="0.25">
      <c r="C210" t="s">
        <v>1341</v>
      </c>
      <c r="D210" t="s">
        <v>844</v>
      </c>
      <c r="E210" s="1"/>
      <c r="F210" s="1"/>
      <c r="G210" s="1">
        <f t="shared" si="79"/>
        <v>-132442.2920351631</v>
      </c>
      <c r="H210" s="1">
        <f>H100</f>
        <v>-0</v>
      </c>
      <c r="I210" s="1">
        <f t="shared" ref="I210:AQ210" si="85">I100</f>
        <v>-0</v>
      </c>
      <c r="J210" s="1">
        <f t="shared" si="85"/>
        <v>-0</v>
      </c>
      <c r="K210" s="1">
        <f t="shared" si="85"/>
        <v>-0</v>
      </c>
      <c r="L210" s="1">
        <f t="shared" si="85"/>
        <v>-0</v>
      </c>
      <c r="M210" s="1">
        <f t="shared" si="85"/>
        <v>-205.82280638554087</v>
      </c>
      <c r="N210" s="1">
        <f t="shared" si="85"/>
        <v>-1171.980590061966</v>
      </c>
      <c r="O210" s="1">
        <f t="shared" si="85"/>
        <v>-2119.2933948102677</v>
      </c>
      <c r="P210" s="1">
        <f t="shared" si="85"/>
        <v>-2109.839411618026</v>
      </c>
      <c r="Q210" s="1">
        <f t="shared" si="85"/>
        <v>-2324.9564799932036</v>
      </c>
      <c r="R210" s="1">
        <f t="shared" si="85"/>
        <v>-2570.836151576042</v>
      </c>
      <c r="S210" s="1">
        <f t="shared" si="85"/>
        <v>-3040.3383760683537</v>
      </c>
      <c r="T210" s="1">
        <f t="shared" si="85"/>
        <v>-3164.7950927083903</v>
      </c>
      <c r="U210" s="1">
        <f t="shared" si="85"/>
        <v>-3349.875261124527</v>
      </c>
      <c r="V210" s="1">
        <f t="shared" si="85"/>
        <v>-3457.5701593233252</v>
      </c>
      <c r="W210" s="1">
        <f t="shared" si="85"/>
        <v>-3460.147540089804</v>
      </c>
      <c r="X210" s="1">
        <f t="shared" si="85"/>
        <v>-3604.073280865199</v>
      </c>
      <c r="Y210" s="1">
        <f t="shared" si="85"/>
        <v>-3707.378012720916</v>
      </c>
      <c r="Z210" s="1">
        <f t="shared" si="85"/>
        <v>-3741.902842495436</v>
      </c>
      <c r="AA210" s="1">
        <f t="shared" si="85"/>
        <v>-3951.8527088127826</v>
      </c>
      <c r="AB210" s="1">
        <f t="shared" si="85"/>
        <v>-4058.0785612255945</v>
      </c>
      <c r="AC210" s="1">
        <f t="shared" si="85"/>
        <v>-4136.39935251196</v>
      </c>
      <c r="AD210" s="1">
        <f t="shared" si="85"/>
        <v>-4093.182904532873</v>
      </c>
      <c r="AE210" s="1">
        <f t="shared" si="85"/>
        <v>-4196.0830130386385</v>
      </c>
      <c r="AF210" s="1">
        <f t="shared" si="85"/>
        <v>-4193.802722754861</v>
      </c>
      <c r="AG210" s="1">
        <f t="shared" si="85"/>
        <v>-4709.218712919136</v>
      </c>
      <c r="AH210" s="1">
        <f t="shared" si="85"/>
        <v>-6175.60969048469</v>
      </c>
      <c r="AI210" s="1">
        <f t="shared" si="85"/>
        <v>-6344.055509444212</v>
      </c>
      <c r="AJ210" s="1">
        <f t="shared" si="85"/>
        <v>-6401.211945654717</v>
      </c>
      <c r="AK210" s="1">
        <f t="shared" si="85"/>
        <v>-6461.93623958575</v>
      </c>
      <c r="AL210" s="1">
        <f t="shared" si="85"/>
        <v>-6457.332181135864</v>
      </c>
      <c r="AM210" s="1">
        <f t="shared" si="85"/>
        <v>-6620.6203216228705</v>
      </c>
      <c r="AN210" s="1">
        <f t="shared" si="85"/>
        <v>-6889.889294158049</v>
      </c>
      <c r="AO210" s="1">
        <f t="shared" si="85"/>
        <v>-7129.936740609869</v>
      </c>
      <c r="AP210" s="1">
        <f t="shared" si="85"/>
        <v>-7149.5713127641275</v>
      </c>
      <c r="AQ210" s="1">
        <f t="shared" si="85"/>
        <v>-5444.701424066098</v>
      </c>
    </row>
    <row r="211" spans="3:43" x14ac:dyDescent="0.25">
      <c r="C211" t="s">
        <v>1003</v>
      </c>
      <c r="D211" t="s">
        <v>844</v>
      </c>
      <c r="E211" s="1"/>
      <c r="F211" s="1"/>
      <c r="G211" s="1">
        <f t="shared" si="79"/>
        <v>-7830</v>
      </c>
      <c r="H211" s="1">
        <f>H122</f>
        <v>0</v>
      </c>
      <c r="I211" s="1">
        <f t="shared" ref="I211:AQ211" si="86">I122</f>
        <v>0</v>
      </c>
      <c r="J211" s="1">
        <f t="shared" si="86"/>
        <v>0</v>
      </c>
      <c r="K211" s="1">
        <f t="shared" si="86"/>
        <v>0</v>
      </c>
      <c r="L211" s="1">
        <f t="shared" si="86"/>
        <v>0</v>
      </c>
      <c r="M211" s="1">
        <f t="shared" si="86"/>
        <v>0</v>
      </c>
      <c r="N211" s="1">
        <f t="shared" si="86"/>
        <v>0</v>
      </c>
      <c r="O211" s="1">
        <f t="shared" si="86"/>
        <v>0</v>
      </c>
      <c r="P211" s="1">
        <f t="shared" si="86"/>
        <v>0</v>
      </c>
      <c r="Q211" s="1">
        <f t="shared" si="86"/>
        <v>0</v>
      </c>
      <c r="R211" s="1">
        <f t="shared" si="86"/>
        <v>0</v>
      </c>
      <c r="S211" s="1">
        <f t="shared" si="86"/>
        <v>0</v>
      </c>
      <c r="T211" s="1">
        <f t="shared" si="86"/>
        <v>0</v>
      </c>
      <c r="U211" s="1">
        <f t="shared" si="86"/>
        <v>0</v>
      </c>
      <c r="V211" s="1">
        <f t="shared" si="86"/>
        <v>0</v>
      </c>
      <c r="W211" s="1">
        <f t="shared" si="86"/>
        <v>0</v>
      </c>
      <c r="X211" s="1">
        <f t="shared" si="86"/>
        <v>0</v>
      </c>
      <c r="Y211" s="1">
        <f t="shared" si="86"/>
        <v>0</v>
      </c>
      <c r="Z211" s="1">
        <f t="shared" si="86"/>
        <v>0</v>
      </c>
      <c r="AA211" s="1">
        <f t="shared" si="86"/>
        <v>0</v>
      </c>
      <c r="AB211" s="1">
        <f t="shared" si="86"/>
        <v>0</v>
      </c>
      <c r="AC211" s="1">
        <f t="shared" si="86"/>
        <v>0</v>
      </c>
      <c r="AD211" s="1">
        <f t="shared" si="86"/>
        <v>0</v>
      </c>
      <c r="AE211" s="1">
        <f t="shared" si="86"/>
        <v>0</v>
      </c>
      <c r="AF211" s="1">
        <f t="shared" si="86"/>
        <v>0</v>
      </c>
      <c r="AG211" s="1">
        <f t="shared" si="86"/>
        <v>0</v>
      </c>
      <c r="AH211" s="1">
        <f t="shared" si="86"/>
        <v>0</v>
      </c>
      <c r="AI211" s="1">
        <f t="shared" si="86"/>
        <v>0</v>
      </c>
      <c r="AJ211" s="1">
        <f t="shared" si="86"/>
        <v>0</v>
      </c>
      <c r="AK211" s="1">
        <f t="shared" si="86"/>
        <v>0</v>
      </c>
      <c r="AL211" s="1">
        <f t="shared" si="86"/>
        <v>0</v>
      </c>
      <c r="AM211" s="1">
        <f t="shared" si="86"/>
        <v>0</v>
      </c>
      <c r="AN211" s="1">
        <f t="shared" si="86"/>
        <v>0</v>
      </c>
      <c r="AO211" s="1">
        <f t="shared" si="86"/>
        <v>0</v>
      </c>
      <c r="AP211" s="1">
        <f t="shared" si="86"/>
        <v>0</v>
      </c>
      <c r="AQ211" s="1">
        <f t="shared" si="86"/>
        <v>-7830</v>
      </c>
    </row>
    <row r="212" spans="3:43" x14ac:dyDescent="0.25">
      <c r="C212" s="6" t="s">
        <v>1342</v>
      </c>
      <c r="D212" s="6" t="s">
        <v>844</v>
      </c>
      <c r="E212" s="37"/>
      <c r="F212" s="37"/>
      <c r="G212" s="37">
        <f t="shared" si="79"/>
        <v>1303971.19676978</v>
      </c>
      <c r="H212" s="37">
        <f>SUM(H202:H211)</f>
        <v>0</v>
      </c>
      <c r="I212" s="37">
        <f t="shared" ref="I212:AQ212" si="87">SUM(I202:I211)</f>
        <v>0</v>
      </c>
      <c r="J212" s="37">
        <f t="shared" si="87"/>
        <v>0</v>
      </c>
      <c r="K212" s="37">
        <f t="shared" si="87"/>
        <v>-23891.180897017774</v>
      </c>
      <c r="L212" s="37">
        <f t="shared" si="87"/>
        <v>-149521.65685917647</v>
      </c>
      <c r="M212" s="37">
        <f t="shared" si="87"/>
        <v>-66727.38857553998</v>
      </c>
      <c r="N212" s="37">
        <f t="shared" si="87"/>
        <v>11042.053900449502</v>
      </c>
      <c r="O212" s="37">
        <f t="shared" si="87"/>
        <v>11168.744279587327</v>
      </c>
      <c r="P212" s="37">
        <f t="shared" si="87"/>
        <v>10306.541637509576</v>
      </c>
      <c r="Q212" s="37">
        <f t="shared" si="87"/>
        <v>10560.50511361097</v>
      </c>
      <c r="R212" s="37">
        <f t="shared" si="87"/>
        <v>10921.962911658795</v>
      </c>
      <c r="S212" s="37">
        <f t="shared" si="87"/>
        <v>24721.680954766773</v>
      </c>
      <c r="T212" s="37">
        <f t="shared" si="87"/>
        <v>29053.1143877784</v>
      </c>
      <c r="U212" s="37">
        <f t="shared" si="87"/>
        <v>45613.65909030416</v>
      </c>
      <c r="V212" s="37">
        <f t="shared" si="87"/>
        <v>57276.50953612085</v>
      </c>
      <c r="W212" s="37">
        <f t="shared" si="87"/>
        <v>57302.569719426356</v>
      </c>
      <c r="X212" s="37">
        <f t="shared" si="87"/>
        <v>58757.81887615535</v>
      </c>
      <c r="Y212" s="37">
        <f t="shared" si="87"/>
        <v>59802.344498252045</v>
      </c>
      <c r="Z212" s="37">
        <f t="shared" si="87"/>
        <v>60151.42888819441</v>
      </c>
      <c r="AA212" s="37">
        <f t="shared" si="87"/>
        <v>62274.25531429203</v>
      </c>
      <c r="AB212" s="37">
        <f t="shared" si="87"/>
        <v>63348.31671091046</v>
      </c>
      <c r="AC212" s="37">
        <f t="shared" si="87"/>
        <v>64140.226933917045</v>
      </c>
      <c r="AD212" s="37">
        <f t="shared" si="87"/>
        <v>63703.26062657295</v>
      </c>
      <c r="AE212" s="37">
        <f t="shared" si="87"/>
        <v>64743.69505702012</v>
      </c>
      <c r="AF212" s="37">
        <f t="shared" si="87"/>
        <v>64720.63878859527</v>
      </c>
      <c r="AG212" s="37">
        <f t="shared" si="87"/>
        <v>64352.90876340446</v>
      </c>
      <c r="AH212" s="37">
        <f t="shared" si="87"/>
        <v>62442.2757593452</v>
      </c>
      <c r="AI212" s="37">
        <f t="shared" si="87"/>
        <v>64145.45015104703</v>
      </c>
      <c r="AJ212" s="37">
        <f t="shared" si="87"/>
        <v>64723.36522828659</v>
      </c>
      <c r="AK212" s="37">
        <f t="shared" si="87"/>
        <v>65337.355311367035</v>
      </c>
      <c r="AL212" s="37">
        <f t="shared" si="87"/>
        <v>65290.80316481818</v>
      </c>
      <c r="AM212" s="37">
        <f t="shared" si="87"/>
        <v>66941.82769640902</v>
      </c>
      <c r="AN212" s="37">
        <f t="shared" si="87"/>
        <v>69664.43619648693</v>
      </c>
      <c r="AO212" s="37">
        <f t="shared" si="87"/>
        <v>72091.58259949979</v>
      </c>
      <c r="AP212" s="37">
        <f t="shared" si="87"/>
        <v>72290.10994017063</v>
      </c>
      <c r="AQ212" s="37">
        <f t="shared" si="87"/>
        <v>47221.981065557215</v>
      </c>
    </row>
    <row r="213" spans="3:43" x14ac:dyDescent="0.25">
      <c r="C213" s="6" t="s">
        <v>1343</v>
      </c>
      <c r="D213" s="6" t="s">
        <v>844</v>
      </c>
      <c r="E213" s="37"/>
      <c r="F213" s="37"/>
      <c r="G213" s="37">
        <f t="shared" si="79"/>
        <v>1373952.5729776616</v>
      </c>
      <c r="H213" s="37">
        <f>H202+H203+H204+H205+H208+H101+H211</f>
        <v>0</v>
      </c>
      <c r="I213" s="37">
        <f t="shared" ref="I213:AQ213" si="88">I202+I203+I204+I205+I208+I101+I211</f>
        <v>0</v>
      </c>
      <c r="J213" s="37">
        <f t="shared" si="88"/>
        <v>0</v>
      </c>
      <c r="K213" s="37">
        <f t="shared" si="88"/>
        <v>-49125.51958064753</v>
      </c>
      <c r="L213" s="37">
        <f t="shared" si="88"/>
        <v>-266776.90230166423</v>
      </c>
      <c r="M213" s="37">
        <f t="shared" si="88"/>
        <v>-136366.6917801232</v>
      </c>
      <c r="N213" s="37">
        <f t="shared" si="88"/>
        <v>52613.36171080066</v>
      </c>
      <c r="O213" s="37">
        <f t="shared" si="88"/>
        <v>53705.992853152464</v>
      </c>
      <c r="P213" s="37">
        <f t="shared" si="88"/>
        <v>52128.180919866</v>
      </c>
      <c r="Q213" s="37">
        <f t="shared" si="88"/>
        <v>52786.15097859196</v>
      </c>
      <c r="R213" s="37">
        <f t="shared" si="88"/>
        <v>53667.75467217939</v>
      </c>
      <c r="S213" s="37">
        <f t="shared" si="88"/>
        <v>56713.758866086144</v>
      </c>
      <c r="T213" s="37">
        <f t="shared" si="88"/>
        <v>56682.85965594682</v>
      </c>
      <c r="U213" s="37">
        <f t="shared" si="88"/>
        <v>57200.46615762418</v>
      </c>
      <c r="V213" s="37">
        <f t="shared" si="88"/>
        <v>57276.50953612085</v>
      </c>
      <c r="W213" s="37">
        <f t="shared" si="88"/>
        <v>57302.569719426356</v>
      </c>
      <c r="X213" s="37">
        <f t="shared" si="88"/>
        <v>58757.81887615535</v>
      </c>
      <c r="Y213" s="37">
        <f t="shared" si="88"/>
        <v>59802.344498252045</v>
      </c>
      <c r="Z213" s="37">
        <f t="shared" si="88"/>
        <v>60151.42888819441</v>
      </c>
      <c r="AA213" s="37">
        <f t="shared" si="88"/>
        <v>62274.25531429203</v>
      </c>
      <c r="AB213" s="37">
        <f t="shared" si="88"/>
        <v>63348.31671091046</v>
      </c>
      <c r="AC213" s="37">
        <f t="shared" si="88"/>
        <v>64140.226933917045</v>
      </c>
      <c r="AD213" s="37">
        <f t="shared" si="88"/>
        <v>63703.26062657295</v>
      </c>
      <c r="AE213" s="37">
        <f t="shared" si="88"/>
        <v>64743.69505702012</v>
      </c>
      <c r="AF213" s="37">
        <f t="shared" si="88"/>
        <v>64720.63878859527</v>
      </c>
      <c r="AG213" s="37">
        <f t="shared" si="88"/>
        <v>64352.90876340446</v>
      </c>
      <c r="AH213" s="37">
        <f t="shared" si="88"/>
        <v>62442.2757593452</v>
      </c>
      <c r="AI213" s="37">
        <f t="shared" si="88"/>
        <v>64145.45015104703</v>
      </c>
      <c r="AJ213" s="37">
        <f t="shared" si="88"/>
        <v>64723.36522828659</v>
      </c>
      <c r="AK213" s="37">
        <f t="shared" si="88"/>
        <v>65337.355311367035</v>
      </c>
      <c r="AL213" s="37">
        <f t="shared" si="88"/>
        <v>65290.80316481818</v>
      </c>
      <c r="AM213" s="37">
        <f t="shared" si="88"/>
        <v>66941.82769640902</v>
      </c>
      <c r="AN213" s="37">
        <f t="shared" si="88"/>
        <v>69664.43619648693</v>
      </c>
      <c r="AO213" s="37">
        <f t="shared" si="88"/>
        <v>72091.58259949979</v>
      </c>
      <c r="AP213" s="37">
        <f t="shared" si="88"/>
        <v>72290.10994017063</v>
      </c>
      <c r="AQ213" s="37">
        <f t="shared" si="88"/>
        <v>47221.981065557215</v>
      </c>
    </row>
    <row r="215" spans="3:43" x14ac:dyDescent="0.25">
      <c r="C215" t="s">
        <v>1344</v>
      </c>
      <c r="D215" t="s">
        <v>2</v>
      </c>
      <c r="G215" s="101">
        <f>IFERROR(IRR(H213:AQ213),"n/a")</f>
        <v>0.11084850689079948</v>
      </c>
    </row>
    <row r="216" spans="3:43" x14ac:dyDescent="0.25">
      <c r="C216" t="s">
        <v>1345</v>
      </c>
      <c r="D216" t="s">
        <v>2</v>
      </c>
      <c r="G216" s="101">
        <f>IFERROR(IRR(H212:AQ212),"n/a")</f>
        <v>0.1227874454672247</v>
      </c>
    </row>
    <row r="217" spans="3:43" x14ac:dyDescent="0.25">
      <c r="C217" t="s">
        <v>2237</v>
      </c>
      <c r="D217" t="s">
        <v>844</v>
      </c>
      <c r="G217" s="106">
        <f>SUMPRODUCT(H212:AQ212,H13:AQ13)/INDEX($H$13:$AQ$13,MATCH(YEAR(Inputs!$E$58),$H$5:$AQ$5,0))</f>
        <v>172495.30032726596</v>
      </c>
    </row>
    <row r="218" spans="3:43" x14ac:dyDescent="0.25">
      <c r="C218" t="s">
        <v>2238</v>
      </c>
      <c r="D218" t="s">
        <v>4</v>
      </c>
      <c r="G218" s="100" cm="1">
        <f t="array" ref="G218">IFERROR(SUMPRODUCT(H212:AQ212/(1+Inputs!$E$253)^H4:AQ4)/-SUMPRODUCT((H212:AQ212&lt;0)*H212:AQ212/(1+Inputs!$E$253)^H4:AQ4),"n/a")</f>
        <v>0.727494448840555</v>
      </c>
    </row>
    <row r="219" spans="3:43" x14ac:dyDescent="0.25">
      <c r="C219" t="s">
        <v>2239</v>
      </c>
      <c r="D219" t="s">
        <v>844</v>
      </c>
      <c r="G219" s="106">
        <f>SUMPRODUCT(H213:AQ213,H12:AQ12)/INDEX($H$12:$AQ$12,MATCH(YEAR(Inputs!$E$58),$H$5:$AQ$5,0))</f>
        <v>158720.436342621</v>
      </c>
    </row>
    <row r="220" spans="3:43" x14ac:dyDescent="0.25">
      <c r="C220" t="s">
        <v>2240</v>
      </c>
      <c r="D220" t="s">
        <v>845</v>
      </c>
      <c r="G220" s="133">
        <f>Inputs!$E$141</f>
        <v>150</v>
      </c>
    </row>
    <row r="221" x14ac:dyDescent="0.25">
      <c r="C221" t="inlineStr">
        <is>
          <t xml:space="preserve">Implied maximum RTB premium – buyer unlevered NPV = 0 at Inputs E224 (per MW of the premium basis, Inputs E150)</t>
        </is>
      </c>
      <c r="D221" t="s">
        <v>845</v>
      </c>
      <c r="G221" s="133">
        <f>G220+G219/Inputs!$E$150</f>
        <v>943.602181713105</v>
      </c>
    </row>
    <row r="222" x14ac:dyDescent="0.25">
      <c r="C222" t="inlineStr">
        <is>
          <t xml:space="preserve">Implied maximum RTB premium – buyer equity NPV = 0 at Inputs E225 (per MW of the premium basis, Inputs E150)</t>
        </is>
      </c>
      <c r="D222" t="s">
        <v>845</v>
      </c>
      <c r="G222" s="133">
        <f>G220+G217/Inputs!$E$150</f>
        <v>1012.4765016363298</v>
      </c>
    </row>
    <row r="223" spans="3:43" x14ac:dyDescent="0.25">
      <c r="C223" t="s">
        <v>1346</v>
      </c>
      <c r="D223" t="s">
        <v>845</v>
      </c>
      <c r="G223" s="133">
        <f>E202/Inputs!$E$18</f>
        <v>359.28589870344325</v>
      </c>
    </row>
    <row r="225" spans="3:43" x14ac:dyDescent="0.25">
      <c r="C225" s="6" t="s">
        <v>2243</v>
      </c>
    </row>
    <row r="226" spans="3:43" x14ac:dyDescent="0.25">
      <c r="C226" s="91" t="s">
        <v>1124</v>
      </c>
      <c r="D226" s="91" t="s">
        <v>1347</v>
      </c>
      <c r="E226" s="91" t="s">
        <v>1348</v>
      </c>
      <c r="F226" s="91" t="s">
        <v>53</v>
      </c>
      <c r="G226" s="91" t="s">
        <v>2244</v>
      </c>
      <c r="H226" s="90"/>
      <c r="I226" s="90"/>
      <c r="J226" s="90"/>
      <c r="K226" s="90"/>
      <c r="L226" s="90"/>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90"/>
      <c r="AM226" s="90"/>
      <c r="AN226" s="90"/>
      <c r="AO226" s="90"/>
      <c r="AP226" s="90"/>
      <c r="AQ226" s="90"/>
    </row>
    <row r="227" x14ac:dyDescent="0.25">
      <c r="C227" t="s">
        <v>1350</v>
      </c>
      <c r="D227" s="28">
        <f>Inputs!$E$142</f>
        <v>50</v>
      </c>
      <c r="E227" s="19">
        <f>D227*Inputs!$E$150+Tender!$E$213+MOIC!$G$144</f>
        <v>51857.17974068864</v>
      </c>
      <c r="F227" s="31">
        <f t="shared" ref="F227:F233" si="89">IFERROR(IRR(H227:AQ227),"n/a")</f>
        <v>0.11601917994060926</v>
      </c>
      <c r="G227" s="1">
        <f>SUMPRODUCT(H227:AQ227,$H$12:$AQ$12)/INDEX($H$12:$AQ$12,MATCH(YEAR(Inputs!$E$58),$H$5:$AQ$5,0))</f>
        <v>178720.43634262096</v>
      </c>
      <c r="H227" s="1">
        <f>H$213+(H$5=YEAR(Inputs!$E$58))*($E$202-$E227)</f>
        <v>0</v>
      </c>
      <c r="I227" s="1">
        <f>I$213+(I$5=YEAR(Inputs!$E$58))*($E$202-$E227)</f>
        <v>0</v>
      </c>
      <c r="J227" s="1">
        <f>J$213+(J$5=YEAR(Inputs!$E$58))*($E$202-$E227)</f>
        <v>0</v>
      </c>
      <c r="K227" s="1">
        <f>K$213+(K$5=YEAR(Inputs!$E$58))*($E$202-$E227)</f>
        <v>-49125.51958064753</v>
      </c>
      <c r="L227" s="1">
        <f>L$213+(L$5=YEAR(Inputs!$E$58))*($E$202-$E227)</f>
        <v>-246776.90230166423</v>
      </c>
      <c r="M227" s="1">
        <f>M$213+(M$5=YEAR(Inputs!$E$58))*($E$202-$E227)</f>
        <v>-136366.6917801232</v>
      </c>
      <c r="N227" s="1">
        <f>N$213+(N$5=YEAR(Inputs!$E$58))*($E$202-$E227)</f>
        <v>52613.36171080066</v>
      </c>
      <c r="O227" s="1">
        <f>O$213+(O$5=YEAR(Inputs!$E$58))*($E$202-$E227)</f>
        <v>53705.992853152464</v>
      </c>
      <c r="P227" s="1">
        <f>P$213+(P$5=YEAR(Inputs!$E$58))*($E$202-$E227)</f>
        <v>52128.180919866</v>
      </c>
      <c r="Q227" s="1">
        <f>Q$213+(Q$5=YEAR(Inputs!$E$58))*($E$202-$E227)</f>
        <v>52786.15097859196</v>
      </c>
      <c r="R227" s="1">
        <f>R$213+(R$5=YEAR(Inputs!$E$58))*($E$202-$E227)</f>
        <v>53667.75467217939</v>
      </c>
      <c r="S227" s="1">
        <f>S$213+(S$5=YEAR(Inputs!$E$58))*($E$202-$E227)</f>
        <v>56713.758866086144</v>
      </c>
      <c r="T227" s="1">
        <f>T$213+(T$5=YEAR(Inputs!$E$58))*($E$202-$E227)</f>
        <v>56682.85965594682</v>
      </c>
      <c r="U227" s="1">
        <f>U$213+(U$5=YEAR(Inputs!$E$58))*($E$202-$E227)</f>
        <v>57200.46615762418</v>
      </c>
      <c r="V227" s="1">
        <f>V$213+(V$5=YEAR(Inputs!$E$58))*($E$202-$E227)</f>
        <v>57276.50953612085</v>
      </c>
      <c r="W227" s="1">
        <f>W$213+(W$5=YEAR(Inputs!$E$58))*($E$202-$E227)</f>
        <v>57302.569719426356</v>
      </c>
      <c r="X227" s="1">
        <f>X$213+(X$5=YEAR(Inputs!$E$58))*($E$202-$E227)</f>
        <v>58757.81887615535</v>
      </c>
      <c r="Y227" s="1">
        <f>Y$213+(Y$5=YEAR(Inputs!$E$58))*($E$202-$E227)</f>
        <v>59802.344498252045</v>
      </c>
      <c r="Z227" s="1">
        <f>Z$213+(Z$5=YEAR(Inputs!$E$58))*($E$202-$E227)</f>
        <v>60151.42888819441</v>
      </c>
      <c r="AA227" s="1">
        <f>AA$213+(AA$5=YEAR(Inputs!$E$58))*($E$202-$E227)</f>
        <v>62274.25531429203</v>
      </c>
      <c r="AB227" s="1">
        <f>AB$213+(AB$5=YEAR(Inputs!$E$58))*($E$202-$E227)</f>
        <v>63348.31671091046</v>
      </c>
      <c r="AC227" s="1">
        <f>AC$213+(AC$5=YEAR(Inputs!$E$58))*($E$202-$E227)</f>
        <v>64140.226933917045</v>
      </c>
      <c r="AD227" s="1">
        <f>AD$213+(AD$5=YEAR(Inputs!$E$58))*($E$202-$E227)</f>
        <v>63703.26062657295</v>
      </c>
      <c r="AE227" s="1">
        <f>AE$213+(AE$5=YEAR(Inputs!$E$58))*($E$202-$E227)</f>
        <v>64743.69505702012</v>
      </c>
      <c r="AF227" s="1">
        <f>AF$213+(AF$5=YEAR(Inputs!$E$58))*($E$202-$E227)</f>
        <v>64720.63878859527</v>
      </c>
      <c r="AG227" s="1">
        <f>AG$213+(AG$5=YEAR(Inputs!$E$58))*($E$202-$E227)</f>
        <v>64352.90876340446</v>
      </c>
      <c r="AH227" s="1">
        <f>AH$213+(AH$5=YEAR(Inputs!$E$58))*($E$202-$E227)</f>
        <v>62442.2757593452</v>
      </c>
      <c r="AI227" s="1">
        <f>AI$213+(AI$5=YEAR(Inputs!$E$58))*($E$202-$E227)</f>
        <v>64145.45015104703</v>
      </c>
      <c r="AJ227" s="1">
        <f>AJ$213+(AJ$5=YEAR(Inputs!$E$58))*($E$202-$E227)</f>
        <v>64723.36522828659</v>
      </c>
      <c r="AK227" s="1">
        <f>AK$213+(AK$5=YEAR(Inputs!$E$58))*($E$202-$E227)</f>
        <v>65337.355311367035</v>
      </c>
      <c r="AL227" s="1">
        <f>AL$213+(AL$5=YEAR(Inputs!$E$58))*($E$202-$E227)</f>
        <v>65290.80316481818</v>
      </c>
      <c r="AM227" s="1">
        <f>AM$213+(AM$5=YEAR(Inputs!$E$58))*($E$202-$E227)</f>
        <v>66941.82769640902</v>
      </c>
      <c r="AN227" s="1">
        <f>AN$213+(AN$5=YEAR(Inputs!$E$58))*($E$202-$E227)</f>
        <v>69664.43619648693</v>
      </c>
      <c r="AO227" s="1">
        <f>AO$213+(AO$5=YEAR(Inputs!$E$58))*($E$202-$E227)</f>
        <v>72091.58259949979</v>
      </c>
      <c r="AP227" s="1">
        <f>AP$213+(AP$5=YEAR(Inputs!$E$58))*($E$202-$E227)</f>
        <v>72290.10994017063</v>
      </c>
      <c r="AQ227" s="1">
        <f>AQ$213+(AQ$5=YEAR(Inputs!$E$58))*($E$202-$E227)</f>
        <v>47221.981065557215</v>
      </c>
    </row>
    <row r="228" x14ac:dyDescent="0.25">
      <c r="C228" t="s">
        <v>1351</v>
      </c>
      <c r="D228" s="28">
        <f>Inputs!$E$143</f>
        <v>75</v>
      </c>
      <c r="E228" s="19">
        <f>D228*Inputs!$E$150+Tender!$E$213+MOIC!$G$144</f>
        <v>56857.17974068864</v>
      </c>
      <c r="F228" s="31">
        <f t="shared" si="89"/>
        <v>0.11468945646460423</v>
      </c>
      <c r="G228" s="1">
        <f>SUMPRODUCT(H228:AQ228,$H$12:$AQ$12)/INDEX($H$12:$AQ$12,MATCH(YEAR(Inputs!$E$58),$H$5:$AQ$5,0))</f>
        <v>173720.436342621</v>
      </c>
      <c r="H228" s="1">
        <f>H$213+(H$5=YEAR(Inputs!$E$58))*($E$202-$E228)</f>
        <v>0</v>
      </c>
      <c r="I228" s="1">
        <f>I$213+(I$5=YEAR(Inputs!$E$58))*($E$202-$E228)</f>
        <v>0</v>
      </c>
      <c r="J228" s="1">
        <f>J$213+(J$5=YEAR(Inputs!$E$58))*($E$202-$E228)</f>
        <v>0</v>
      </c>
      <c r="K228" s="1">
        <f>K$213+(K$5=YEAR(Inputs!$E$58))*($E$202-$E228)</f>
        <v>-49125.51958064753</v>
      </c>
      <c r="L228" s="1">
        <f>L$213+(L$5=YEAR(Inputs!$E$58))*($E$202-$E228)</f>
        <v>-251776.90230166423</v>
      </c>
      <c r="M228" s="1">
        <f>M$213+(M$5=YEAR(Inputs!$E$58))*($E$202-$E228)</f>
        <v>-136366.6917801232</v>
      </c>
      <c r="N228" s="1">
        <f>N$213+(N$5=YEAR(Inputs!$E$58))*($E$202-$E228)</f>
        <v>52613.36171080066</v>
      </c>
      <c r="O228" s="1">
        <f>O$213+(O$5=YEAR(Inputs!$E$58))*($E$202-$E228)</f>
        <v>53705.992853152464</v>
      </c>
      <c r="P228" s="1">
        <f>P$213+(P$5=YEAR(Inputs!$E$58))*($E$202-$E228)</f>
        <v>52128.180919866</v>
      </c>
      <c r="Q228" s="1">
        <f>Q$213+(Q$5=YEAR(Inputs!$E$58))*($E$202-$E228)</f>
        <v>52786.15097859196</v>
      </c>
      <c r="R228" s="1">
        <f>R$213+(R$5=YEAR(Inputs!$E$58))*($E$202-$E228)</f>
        <v>53667.75467217939</v>
      </c>
      <c r="S228" s="1">
        <f>S$213+(S$5=YEAR(Inputs!$E$58))*($E$202-$E228)</f>
        <v>56713.758866086144</v>
      </c>
      <c r="T228" s="1">
        <f>T$213+(T$5=YEAR(Inputs!$E$58))*($E$202-$E228)</f>
        <v>56682.85965594682</v>
      </c>
      <c r="U228" s="1">
        <f>U$213+(U$5=YEAR(Inputs!$E$58))*($E$202-$E228)</f>
        <v>57200.46615762418</v>
      </c>
      <c r="V228" s="1">
        <f>V$213+(V$5=YEAR(Inputs!$E$58))*($E$202-$E228)</f>
        <v>57276.50953612085</v>
      </c>
      <c r="W228" s="1">
        <f>W$213+(W$5=YEAR(Inputs!$E$58))*($E$202-$E228)</f>
        <v>57302.569719426356</v>
      </c>
      <c r="X228" s="1">
        <f>X$213+(X$5=YEAR(Inputs!$E$58))*($E$202-$E228)</f>
        <v>58757.81887615535</v>
      </c>
      <c r="Y228" s="1">
        <f>Y$213+(Y$5=YEAR(Inputs!$E$58))*($E$202-$E228)</f>
        <v>59802.344498252045</v>
      </c>
      <c r="Z228" s="1">
        <f>Z$213+(Z$5=YEAR(Inputs!$E$58))*($E$202-$E228)</f>
        <v>60151.42888819441</v>
      </c>
      <c r="AA228" s="1">
        <f>AA$213+(AA$5=YEAR(Inputs!$E$58))*($E$202-$E228)</f>
        <v>62274.25531429203</v>
      </c>
      <c r="AB228" s="1">
        <f>AB$213+(AB$5=YEAR(Inputs!$E$58))*($E$202-$E228)</f>
        <v>63348.31671091046</v>
      </c>
      <c r="AC228" s="1">
        <f>AC$213+(AC$5=YEAR(Inputs!$E$58))*($E$202-$E228)</f>
        <v>64140.226933917045</v>
      </c>
      <c r="AD228" s="1">
        <f>AD$213+(AD$5=YEAR(Inputs!$E$58))*($E$202-$E228)</f>
        <v>63703.26062657295</v>
      </c>
      <c r="AE228" s="1">
        <f>AE$213+(AE$5=YEAR(Inputs!$E$58))*($E$202-$E228)</f>
        <v>64743.69505702012</v>
      </c>
      <c r="AF228" s="1">
        <f>AF$213+(AF$5=YEAR(Inputs!$E$58))*($E$202-$E228)</f>
        <v>64720.63878859527</v>
      </c>
      <c r="AG228" s="1">
        <f>AG$213+(AG$5=YEAR(Inputs!$E$58))*($E$202-$E228)</f>
        <v>64352.90876340446</v>
      </c>
      <c r="AH228" s="1">
        <f>AH$213+(AH$5=YEAR(Inputs!$E$58))*($E$202-$E228)</f>
        <v>62442.2757593452</v>
      </c>
      <c r="AI228" s="1">
        <f>AI$213+(AI$5=YEAR(Inputs!$E$58))*($E$202-$E228)</f>
        <v>64145.45015104703</v>
      </c>
      <c r="AJ228" s="1">
        <f>AJ$213+(AJ$5=YEAR(Inputs!$E$58))*($E$202-$E228)</f>
        <v>64723.36522828659</v>
      </c>
      <c r="AK228" s="1">
        <f>AK$213+(AK$5=YEAR(Inputs!$E$58))*($E$202-$E228)</f>
        <v>65337.355311367035</v>
      </c>
      <c r="AL228" s="1">
        <f>AL$213+(AL$5=YEAR(Inputs!$E$58))*($E$202-$E228)</f>
        <v>65290.80316481818</v>
      </c>
      <c r="AM228" s="1">
        <f>AM$213+(AM$5=YEAR(Inputs!$E$58))*($E$202-$E228)</f>
        <v>66941.82769640902</v>
      </c>
      <c r="AN228" s="1">
        <f>AN$213+(AN$5=YEAR(Inputs!$E$58))*($E$202-$E228)</f>
        <v>69664.43619648693</v>
      </c>
      <c r="AO228" s="1">
        <f>AO$213+(AO$5=YEAR(Inputs!$E$58))*($E$202-$E228)</f>
        <v>72091.58259949979</v>
      </c>
      <c r="AP228" s="1">
        <f>AP$213+(AP$5=YEAR(Inputs!$E$58))*($E$202-$E228)</f>
        <v>72290.10994017063</v>
      </c>
      <c r="AQ228" s="1">
        <f>AQ$213+(AQ$5=YEAR(Inputs!$E$58))*($E$202-$E228)</f>
        <v>47221.981065557215</v>
      </c>
    </row>
    <row r="229" x14ac:dyDescent="0.25">
      <c r="C229" t="s">
        <v>1352</v>
      </c>
      <c r="D229" s="28">
        <f>Inputs!$E$144</f>
        <v>100</v>
      </c>
      <c r="E229" s="19">
        <f>D229*Inputs!$E$150+Tender!$E$213+MOIC!$G$144</f>
        <v>61857.17974068864</v>
      </c>
      <c r="F229" s="31">
        <f t="shared" si="89"/>
        <v>0.11338497249440654</v>
      </c>
      <c r="G229" s="1">
        <f>SUMPRODUCT(H229:AQ229,$H$12:$AQ$12)/INDEX($H$12:$AQ$12,MATCH(YEAR(Inputs!$E$58),$H$5:$AQ$5,0))</f>
        <v>168720.43634262096</v>
      </c>
      <c r="H229" s="1">
        <f>H$213+(H$5=YEAR(Inputs!$E$58))*($E$202-$E229)</f>
        <v>0</v>
      </c>
      <c r="I229" s="1">
        <f>I$213+(I$5=YEAR(Inputs!$E$58))*($E$202-$E229)</f>
        <v>0</v>
      </c>
      <c r="J229" s="1">
        <f>J$213+(J$5=YEAR(Inputs!$E$58))*($E$202-$E229)</f>
        <v>0</v>
      </c>
      <c r="K229" s="1">
        <f>K$213+(K$5=YEAR(Inputs!$E$58))*($E$202-$E229)</f>
        <v>-49125.51958064753</v>
      </c>
      <c r="L229" s="1">
        <f>L$213+(L$5=YEAR(Inputs!$E$58))*($E$202-$E229)</f>
        <v>-256776.90230166423</v>
      </c>
      <c r="M229" s="1">
        <f>M$213+(M$5=YEAR(Inputs!$E$58))*($E$202-$E229)</f>
        <v>-136366.6917801232</v>
      </c>
      <c r="N229" s="1">
        <f>N$213+(N$5=YEAR(Inputs!$E$58))*($E$202-$E229)</f>
        <v>52613.36171080066</v>
      </c>
      <c r="O229" s="1">
        <f>O$213+(O$5=YEAR(Inputs!$E$58))*($E$202-$E229)</f>
        <v>53705.992853152464</v>
      </c>
      <c r="P229" s="1">
        <f>P$213+(P$5=YEAR(Inputs!$E$58))*($E$202-$E229)</f>
        <v>52128.180919866</v>
      </c>
      <c r="Q229" s="1">
        <f>Q$213+(Q$5=YEAR(Inputs!$E$58))*($E$202-$E229)</f>
        <v>52786.15097859196</v>
      </c>
      <c r="R229" s="1">
        <f>R$213+(R$5=YEAR(Inputs!$E$58))*($E$202-$E229)</f>
        <v>53667.75467217939</v>
      </c>
      <c r="S229" s="1">
        <f>S$213+(S$5=YEAR(Inputs!$E$58))*($E$202-$E229)</f>
        <v>56713.758866086144</v>
      </c>
      <c r="T229" s="1">
        <f>T$213+(T$5=YEAR(Inputs!$E$58))*($E$202-$E229)</f>
        <v>56682.85965594682</v>
      </c>
      <c r="U229" s="1">
        <f>U$213+(U$5=YEAR(Inputs!$E$58))*($E$202-$E229)</f>
        <v>57200.46615762418</v>
      </c>
      <c r="V229" s="1">
        <f>V$213+(V$5=YEAR(Inputs!$E$58))*($E$202-$E229)</f>
        <v>57276.50953612085</v>
      </c>
      <c r="W229" s="1">
        <f>W$213+(W$5=YEAR(Inputs!$E$58))*($E$202-$E229)</f>
        <v>57302.569719426356</v>
      </c>
      <c r="X229" s="1">
        <f>X$213+(X$5=YEAR(Inputs!$E$58))*($E$202-$E229)</f>
        <v>58757.81887615535</v>
      </c>
      <c r="Y229" s="1">
        <f>Y$213+(Y$5=YEAR(Inputs!$E$58))*($E$202-$E229)</f>
        <v>59802.344498252045</v>
      </c>
      <c r="Z229" s="1">
        <f>Z$213+(Z$5=YEAR(Inputs!$E$58))*($E$202-$E229)</f>
        <v>60151.42888819441</v>
      </c>
      <c r="AA229" s="1">
        <f>AA$213+(AA$5=YEAR(Inputs!$E$58))*($E$202-$E229)</f>
        <v>62274.25531429203</v>
      </c>
      <c r="AB229" s="1">
        <f>AB$213+(AB$5=YEAR(Inputs!$E$58))*($E$202-$E229)</f>
        <v>63348.31671091046</v>
      </c>
      <c r="AC229" s="1">
        <f>AC$213+(AC$5=YEAR(Inputs!$E$58))*($E$202-$E229)</f>
        <v>64140.226933917045</v>
      </c>
      <c r="AD229" s="1">
        <f>AD$213+(AD$5=YEAR(Inputs!$E$58))*($E$202-$E229)</f>
        <v>63703.26062657295</v>
      </c>
      <c r="AE229" s="1">
        <f>AE$213+(AE$5=YEAR(Inputs!$E$58))*($E$202-$E229)</f>
        <v>64743.69505702012</v>
      </c>
      <c r="AF229" s="1">
        <f>AF$213+(AF$5=YEAR(Inputs!$E$58))*($E$202-$E229)</f>
        <v>64720.63878859527</v>
      </c>
      <c r="AG229" s="1">
        <f>AG$213+(AG$5=YEAR(Inputs!$E$58))*($E$202-$E229)</f>
        <v>64352.90876340446</v>
      </c>
      <c r="AH229" s="1">
        <f>AH$213+(AH$5=YEAR(Inputs!$E$58))*($E$202-$E229)</f>
        <v>62442.2757593452</v>
      </c>
      <c r="AI229" s="1">
        <f>AI$213+(AI$5=YEAR(Inputs!$E$58))*($E$202-$E229)</f>
        <v>64145.45015104703</v>
      </c>
      <c r="AJ229" s="1">
        <f>AJ$213+(AJ$5=YEAR(Inputs!$E$58))*($E$202-$E229)</f>
        <v>64723.36522828659</v>
      </c>
      <c r="AK229" s="1">
        <f>AK$213+(AK$5=YEAR(Inputs!$E$58))*($E$202-$E229)</f>
        <v>65337.355311367035</v>
      </c>
      <c r="AL229" s="1">
        <f>AL$213+(AL$5=YEAR(Inputs!$E$58))*($E$202-$E229)</f>
        <v>65290.80316481818</v>
      </c>
      <c r="AM229" s="1">
        <f>AM$213+(AM$5=YEAR(Inputs!$E$58))*($E$202-$E229)</f>
        <v>66941.82769640902</v>
      </c>
      <c r="AN229" s="1">
        <f>AN$213+(AN$5=YEAR(Inputs!$E$58))*($E$202-$E229)</f>
        <v>69664.43619648693</v>
      </c>
      <c r="AO229" s="1">
        <f>AO$213+(AO$5=YEAR(Inputs!$E$58))*($E$202-$E229)</f>
        <v>72091.58259949979</v>
      </c>
      <c r="AP229" s="1">
        <f>AP$213+(AP$5=YEAR(Inputs!$E$58))*($E$202-$E229)</f>
        <v>72290.10994017063</v>
      </c>
      <c r="AQ229" s="1">
        <f>AQ$213+(AQ$5=YEAR(Inputs!$E$58))*($E$202-$E229)</f>
        <v>47221.981065557215</v>
      </c>
    </row>
    <row r="230" x14ac:dyDescent="0.25">
      <c r="C230" s="145" t="s">
        <v>1353</v>
      </c>
      <c r="D230" s="35">
        <f>Inputs!$E$145</f>
        <v>125</v>
      </c>
      <c r="E230" s="147">
        <f>D230*Inputs!$E$150+Tender!$E$213+MOIC!$G$144</f>
        <v>66857.17974068865</v>
      </c>
      <c r="F230" s="55">
        <f t="shared" si="89"/>
        <v>0.11210491499137795</v>
      </c>
      <c r="G230" s="146">
        <f>SUMPRODUCT(H230:AQ230,$H$12:$AQ$12)/INDEX($H$12:$AQ$12,MATCH(YEAR(Inputs!$E$58),$H$5:$AQ$5,0))</f>
        <v>163720.436342621</v>
      </c>
      <c r="H230" s="1">
        <f>H$213+(H$5=YEAR(Inputs!$E$58))*($E$202-$E230)</f>
        <v>0</v>
      </c>
      <c r="I230" s="1">
        <f>I$213+(I$5=YEAR(Inputs!$E$58))*($E$202-$E230)</f>
        <v>0</v>
      </c>
      <c r="J230" s="1">
        <f>J$213+(J$5=YEAR(Inputs!$E$58))*($E$202-$E230)</f>
        <v>0</v>
      </c>
      <c r="K230" s="1">
        <f>K$213+(K$5=YEAR(Inputs!$E$58))*($E$202-$E230)</f>
        <v>-49125.51958064753</v>
      </c>
      <c r="L230" s="1">
        <f>L$213+(L$5=YEAR(Inputs!$E$58))*($E$202-$E230)</f>
        <v>-261776.90230166423</v>
      </c>
      <c r="M230" s="1">
        <f>M$213+(M$5=YEAR(Inputs!$E$58))*($E$202-$E230)</f>
        <v>-136366.6917801232</v>
      </c>
      <c r="N230" s="1">
        <f>N$213+(N$5=YEAR(Inputs!$E$58))*($E$202-$E230)</f>
        <v>52613.36171080066</v>
      </c>
      <c r="O230" s="1">
        <f>O$213+(O$5=YEAR(Inputs!$E$58))*($E$202-$E230)</f>
        <v>53705.992853152464</v>
      </c>
      <c r="P230" s="1">
        <f>P$213+(P$5=YEAR(Inputs!$E$58))*($E$202-$E230)</f>
        <v>52128.180919866</v>
      </c>
      <c r="Q230" s="1">
        <f>Q$213+(Q$5=YEAR(Inputs!$E$58))*($E$202-$E230)</f>
        <v>52786.15097859196</v>
      </c>
      <c r="R230" s="1">
        <f>R$213+(R$5=YEAR(Inputs!$E$58))*($E$202-$E230)</f>
        <v>53667.75467217939</v>
      </c>
      <c r="S230" s="1">
        <f>S$213+(S$5=YEAR(Inputs!$E$58))*($E$202-$E230)</f>
        <v>56713.758866086144</v>
      </c>
      <c r="T230" s="1">
        <f>T$213+(T$5=YEAR(Inputs!$E$58))*($E$202-$E230)</f>
        <v>56682.85965594682</v>
      </c>
      <c r="U230" s="1">
        <f>U$213+(U$5=YEAR(Inputs!$E$58))*($E$202-$E230)</f>
        <v>57200.46615762418</v>
      </c>
      <c r="V230" s="1">
        <f>V$213+(V$5=YEAR(Inputs!$E$58))*($E$202-$E230)</f>
        <v>57276.50953612085</v>
      </c>
      <c r="W230" s="1">
        <f>W$213+(W$5=YEAR(Inputs!$E$58))*($E$202-$E230)</f>
        <v>57302.569719426356</v>
      </c>
      <c r="X230" s="1">
        <f>X$213+(X$5=YEAR(Inputs!$E$58))*($E$202-$E230)</f>
        <v>58757.81887615535</v>
      </c>
      <c r="Y230" s="1">
        <f>Y$213+(Y$5=YEAR(Inputs!$E$58))*($E$202-$E230)</f>
        <v>59802.344498252045</v>
      </c>
      <c r="Z230" s="1">
        <f>Z$213+(Z$5=YEAR(Inputs!$E$58))*($E$202-$E230)</f>
        <v>60151.42888819441</v>
      </c>
      <c r="AA230" s="1">
        <f>AA$213+(AA$5=YEAR(Inputs!$E$58))*($E$202-$E230)</f>
        <v>62274.25531429203</v>
      </c>
      <c r="AB230" s="1">
        <f>AB$213+(AB$5=YEAR(Inputs!$E$58))*($E$202-$E230)</f>
        <v>63348.31671091046</v>
      </c>
      <c r="AC230" s="1">
        <f>AC$213+(AC$5=YEAR(Inputs!$E$58))*($E$202-$E230)</f>
        <v>64140.226933917045</v>
      </c>
      <c r="AD230" s="1">
        <f>AD$213+(AD$5=YEAR(Inputs!$E$58))*($E$202-$E230)</f>
        <v>63703.26062657295</v>
      </c>
      <c r="AE230" s="1">
        <f>AE$213+(AE$5=YEAR(Inputs!$E$58))*($E$202-$E230)</f>
        <v>64743.69505702012</v>
      </c>
      <c r="AF230" s="1">
        <f>AF$213+(AF$5=YEAR(Inputs!$E$58))*($E$202-$E230)</f>
        <v>64720.63878859527</v>
      </c>
      <c r="AG230" s="1">
        <f>AG$213+(AG$5=YEAR(Inputs!$E$58))*($E$202-$E230)</f>
        <v>64352.90876340446</v>
      </c>
      <c r="AH230" s="1">
        <f>AH$213+(AH$5=YEAR(Inputs!$E$58))*($E$202-$E230)</f>
        <v>62442.2757593452</v>
      </c>
      <c r="AI230" s="1">
        <f>AI$213+(AI$5=YEAR(Inputs!$E$58))*($E$202-$E230)</f>
        <v>64145.45015104703</v>
      </c>
      <c r="AJ230" s="1">
        <f>AJ$213+(AJ$5=YEAR(Inputs!$E$58))*($E$202-$E230)</f>
        <v>64723.36522828659</v>
      </c>
      <c r="AK230" s="1">
        <f>AK$213+(AK$5=YEAR(Inputs!$E$58))*($E$202-$E230)</f>
        <v>65337.355311367035</v>
      </c>
      <c r="AL230" s="1">
        <f>AL$213+(AL$5=YEAR(Inputs!$E$58))*($E$202-$E230)</f>
        <v>65290.80316481818</v>
      </c>
      <c r="AM230" s="1">
        <f>AM$213+(AM$5=YEAR(Inputs!$E$58))*($E$202-$E230)</f>
        <v>66941.82769640902</v>
      </c>
      <c r="AN230" s="1">
        <f>AN$213+(AN$5=YEAR(Inputs!$E$58))*($E$202-$E230)</f>
        <v>69664.43619648693</v>
      </c>
      <c r="AO230" s="1">
        <f>AO$213+(AO$5=YEAR(Inputs!$E$58))*($E$202-$E230)</f>
        <v>72091.58259949979</v>
      </c>
      <c r="AP230" s="1">
        <f>AP$213+(AP$5=YEAR(Inputs!$E$58))*($E$202-$E230)</f>
        <v>72290.10994017063</v>
      </c>
      <c r="AQ230" s="1">
        <f>AQ$213+(AQ$5=YEAR(Inputs!$E$58))*($E$202-$E230)</f>
        <v>47221.981065557215</v>
      </c>
    </row>
    <row r="231" x14ac:dyDescent="0.25">
      <c r="C231" t="s">
        <v>1354</v>
      </c>
      <c r="D231" s="28">
        <f>Inputs!$E$146</f>
        <v>150</v>
      </c>
      <c r="E231" s="19">
        <f>D231*Inputs!$E$150+Tender!$E$213+MOIC!$G$144</f>
        <v>71857.17974068865</v>
      </c>
      <c r="F231" s="31">
        <f t="shared" si="89"/>
        <v>0.11084850689079948</v>
      </c>
      <c r="G231" s="1">
        <f>SUMPRODUCT(H231:AQ231,$H$12:$AQ$12)/INDEX($H$12:$AQ$12,MATCH(YEAR(Inputs!$E$58),$H$5:$AQ$5,0))</f>
        <v>158720.436342621</v>
      </c>
      <c r="H231" s="1">
        <f>H$213+(H$5=YEAR(Inputs!$E$58))*($E$202-$E231)</f>
        <v>0</v>
      </c>
      <c r="I231" s="1">
        <f>I$213+(I$5=YEAR(Inputs!$E$58))*($E$202-$E231)</f>
        <v>0</v>
      </c>
      <c r="J231" s="1">
        <f>J$213+(J$5=YEAR(Inputs!$E$58))*($E$202-$E231)</f>
        <v>0</v>
      </c>
      <c r="K231" s="1">
        <f>K$213+(K$5=YEAR(Inputs!$E$58))*($E$202-$E231)</f>
        <v>-49125.51958064753</v>
      </c>
      <c r="L231" s="1">
        <f>L$213+(L$5=YEAR(Inputs!$E$58))*($E$202-$E231)</f>
        <v>-266776.90230166423</v>
      </c>
      <c r="M231" s="1">
        <f>M$213+(M$5=YEAR(Inputs!$E$58))*($E$202-$E231)</f>
        <v>-136366.6917801232</v>
      </c>
      <c r="N231" s="1">
        <f>N$213+(N$5=YEAR(Inputs!$E$58))*($E$202-$E231)</f>
        <v>52613.36171080066</v>
      </c>
      <c r="O231" s="1">
        <f>O$213+(O$5=YEAR(Inputs!$E$58))*($E$202-$E231)</f>
        <v>53705.992853152464</v>
      </c>
      <c r="P231" s="1">
        <f>P$213+(P$5=YEAR(Inputs!$E$58))*($E$202-$E231)</f>
        <v>52128.180919866</v>
      </c>
      <c r="Q231" s="1">
        <f>Q$213+(Q$5=YEAR(Inputs!$E$58))*($E$202-$E231)</f>
        <v>52786.15097859196</v>
      </c>
      <c r="R231" s="1">
        <f>R$213+(R$5=YEAR(Inputs!$E$58))*($E$202-$E231)</f>
        <v>53667.75467217939</v>
      </c>
      <c r="S231" s="1">
        <f>S$213+(S$5=YEAR(Inputs!$E$58))*($E$202-$E231)</f>
        <v>56713.758866086144</v>
      </c>
      <c r="T231" s="1">
        <f>T$213+(T$5=YEAR(Inputs!$E$58))*($E$202-$E231)</f>
        <v>56682.85965594682</v>
      </c>
      <c r="U231" s="1">
        <f>U$213+(U$5=YEAR(Inputs!$E$58))*($E$202-$E231)</f>
        <v>57200.46615762418</v>
      </c>
      <c r="V231" s="1">
        <f>V$213+(V$5=YEAR(Inputs!$E$58))*($E$202-$E231)</f>
        <v>57276.50953612085</v>
      </c>
      <c r="W231" s="1">
        <f>W$213+(W$5=YEAR(Inputs!$E$58))*($E$202-$E231)</f>
        <v>57302.569719426356</v>
      </c>
      <c r="X231" s="1">
        <f>X$213+(X$5=YEAR(Inputs!$E$58))*($E$202-$E231)</f>
        <v>58757.81887615535</v>
      </c>
      <c r="Y231" s="1">
        <f>Y$213+(Y$5=YEAR(Inputs!$E$58))*($E$202-$E231)</f>
        <v>59802.344498252045</v>
      </c>
      <c r="Z231" s="1">
        <f>Z$213+(Z$5=YEAR(Inputs!$E$58))*($E$202-$E231)</f>
        <v>60151.42888819441</v>
      </c>
      <c r="AA231" s="1">
        <f>AA$213+(AA$5=YEAR(Inputs!$E$58))*($E$202-$E231)</f>
        <v>62274.25531429203</v>
      </c>
      <c r="AB231" s="1">
        <f>AB$213+(AB$5=YEAR(Inputs!$E$58))*($E$202-$E231)</f>
        <v>63348.31671091046</v>
      </c>
      <c r="AC231" s="1">
        <f>AC$213+(AC$5=YEAR(Inputs!$E$58))*($E$202-$E231)</f>
        <v>64140.226933917045</v>
      </c>
      <c r="AD231" s="1">
        <f>AD$213+(AD$5=YEAR(Inputs!$E$58))*($E$202-$E231)</f>
        <v>63703.26062657295</v>
      </c>
      <c r="AE231" s="1">
        <f>AE$213+(AE$5=YEAR(Inputs!$E$58))*($E$202-$E231)</f>
        <v>64743.69505702012</v>
      </c>
      <c r="AF231" s="1">
        <f>AF$213+(AF$5=YEAR(Inputs!$E$58))*($E$202-$E231)</f>
        <v>64720.63878859527</v>
      </c>
      <c r="AG231" s="1">
        <f>AG$213+(AG$5=YEAR(Inputs!$E$58))*($E$202-$E231)</f>
        <v>64352.90876340446</v>
      </c>
      <c r="AH231" s="1">
        <f>AH$213+(AH$5=YEAR(Inputs!$E$58))*($E$202-$E231)</f>
        <v>62442.2757593452</v>
      </c>
      <c r="AI231" s="1">
        <f>AI$213+(AI$5=YEAR(Inputs!$E$58))*($E$202-$E231)</f>
        <v>64145.45015104703</v>
      </c>
      <c r="AJ231" s="1">
        <f>AJ$213+(AJ$5=YEAR(Inputs!$E$58))*($E$202-$E231)</f>
        <v>64723.36522828659</v>
      </c>
      <c r="AK231" s="1">
        <f>AK$213+(AK$5=YEAR(Inputs!$E$58))*($E$202-$E231)</f>
        <v>65337.355311367035</v>
      </c>
      <c r="AL231" s="1">
        <f>AL$213+(AL$5=YEAR(Inputs!$E$58))*($E$202-$E231)</f>
        <v>65290.80316481818</v>
      </c>
      <c r="AM231" s="1">
        <f>AM$213+(AM$5=YEAR(Inputs!$E$58))*($E$202-$E231)</f>
        <v>66941.82769640902</v>
      </c>
      <c r="AN231" s="1">
        <f>AN$213+(AN$5=YEAR(Inputs!$E$58))*($E$202-$E231)</f>
        <v>69664.43619648693</v>
      </c>
      <c r="AO231" s="1">
        <f>AO$213+(AO$5=YEAR(Inputs!$E$58))*($E$202-$E231)</f>
        <v>72091.58259949979</v>
      </c>
      <c r="AP231" s="1">
        <f>AP$213+(AP$5=YEAR(Inputs!$E$58))*($E$202-$E231)</f>
        <v>72290.10994017063</v>
      </c>
      <c r="AQ231" s="1">
        <f>AQ$213+(AQ$5=YEAR(Inputs!$E$58))*($E$202-$E231)</f>
        <v>47221.981065557215</v>
      </c>
    </row>
    <row r="232" x14ac:dyDescent="0.25">
      <c r="C232" t="s">
        <v>1355</v>
      </c>
      <c r="D232" s="28">
        <f>Inputs!$E$147</f>
        <v>175</v>
      </c>
      <c r="E232" s="19">
        <f>D232*Inputs!$E$150+Tender!$E$213+MOIC!$G$144</f>
        <v>76857.17974068865</v>
      </c>
      <c r="F232" s="31">
        <f t="shared" si="89"/>
        <v>0.10961500510284959</v>
      </c>
      <c r="G232" s="1">
        <f>SUMPRODUCT(H232:AQ232,$H$12:$AQ$12)/INDEX($H$12:$AQ$12,MATCH(YEAR(Inputs!$E$58),$H$5:$AQ$5,0))</f>
        <v>153720.43634262096</v>
      </c>
      <c r="H232" s="1">
        <f>H$213+(H$5=YEAR(Inputs!$E$58))*($E$202-$E232)</f>
        <v>0</v>
      </c>
      <c r="I232" s="1">
        <f>I$213+(I$5=YEAR(Inputs!$E$58))*($E$202-$E232)</f>
        <v>0</v>
      </c>
      <c r="J232" s="1">
        <f>J$213+(J$5=YEAR(Inputs!$E$58))*($E$202-$E232)</f>
        <v>0</v>
      </c>
      <c r="K232" s="1">
        <f>K$213+(K$5=YEAR(Inputs!$E$58))*($E$202-$E232)</f>
        <v>-49125.51958064753</v>
      </c>
      <c r="L232" s="1">
        <f>L$213+(L$5=YEAR(Inputs!$E$58))*($E$202-$E232)</f>
        <v>-271776.90230166423</v>
      </c>
      <c r="M232" s="1">
        <f>M$213+(M$5=YEAR(Inputs!$E$58))*($E$202-$E232)</f>
        <v>-136366.6917801232</v>
      </c>
      <c r="N232" s="1">
        <f>N$213+(N$5=YEAR(Inputs!$E$58))*($E$202-$E232)</f>
        <v>52613.36171080066</v>
      </c>
      <c r="O232" s="1">
        <f>O$213+(O$5=YEAR(Inputs!$E$58))*($E$202-$E232)</f>
        <v>53705.992853152464</v>
      </c>
      <c r="P232" s="1">
        <f>P$213+(P$5=YEAR(Inputs!$E$58))*($E$202-$E232)</f>
        <v>52128.180919866</v>
      </c>
      <c r="Q232" s="1">
        <f>Q$213+(Q$5=YEAR(Inputs!$E$58))*($E$202-$E232)</f>
        <v>52786.15097859196</v>
      </c>
      <c r="R232" s="1">
        <f>R$213+(R$5=YEAR(Inputs!$E$58))*($E$202-$E232)</f>
        <v>53667.75467217939</v>
      </c>
      <c r="S232" s="1">
        <f>S$213+(S$5=YEAR(Inputs!$E$58))*($E$202-$E232)</f>
        <v>56713.758866086144</v>
      </c>
      <c r="T232" s="1">
        <f>T$213+(T$5=YEAR(Inputs!$E$58))*($E$202-$E232)</f>
        <v>56682.85965594682</v>
      </c>
      <c r="U232" s="1">
        <f>U$213+(U$5=YEAR(Inputs!$E$58))*($E$202-$E232)</f>
        <v>57200.46615762418</v>
      </c>
      <c r="V232" s="1">
        <f>V$213+(V$5=YEAR(Inputs!$E$58))*($E$202-$E232)</f>
        <v>57276.50953612085</v>
      </c>
      <c r="W232" s="1">
        <f>W$213+(W$5=YEAR(Inputs!$E$58))*($E$202-$E232)</f>
        <v>57302.569719426356</v>
      </c>
      <c r="X232" s="1">
        <f>X$213+(X$5=YEAR(Inputs!$E$58))*($E$202-$E232)</f>
        <v>58757.81887615535</v>
      </c>
      <c r="Y232" s="1">
        <f>Y$213+(Y$5=YEAR(Inputs!$E$58))*($E$202-$E232)</f>
        <v>59802.344498252045</v>
      </c>
      <c r="Z232" s="1">
        <f>Z$213+(Z$5=YEAR(Inputs!$E$58))*($E$202-$E232)</f>
        <v>60151.42888819441</v>
      </c>
      <c r="AA232" s="1">
        <f>AA$213+(AA$5=YEAR(Inputs!$E$58))*($E$202-$E232)</f>
        <v>62274.25531429203</v>
      </c>
      <c r="AB232" s="1">
        <f>AB$213+(AB$5=YEAR(Inputs!$E$58))*($E$202-$E232)</f>
        <v>63348.31671091046</v>
      </c>
      <c r="AC232" s="1">
        <f>AC$213+(AC$5=YEAR(Inputs!$E$58))*($E$202-$E232)</f>
        <v>64140.226933917045</v>
      </c>
      <c r="AD232" s="1">
        <f>AD$213+(AD$5=YEAR(Inputs!$E$58))*($E$202-$E232)</f>
        <v>63703.26062657295</v>
      </c>
      <c r="AE232" s="1">
        <f>AE$213+(AE$5=YEAR(Inputs!$E$58))*($E$202-$E232)</f>
        <v>64743.69505702012</v>
      </c>
      <c r="AF232" s="1">
        <f>AF$213+(AF$5=YEAR(Inputs!$E$58))*($E$202-$E232)</f>
        <v>64720.63878859527</v>
      </c>
      <c r="AG232" s="1">
        <f>AG$213+(AG$5=YEAR(Inputs!$E$58))*($E$202-$E232)</f>
        <v>64352.90876340446</v>
      </c>
      <c r="AH232" s="1">
        <f>AH$213+(AH$5=YEAR(Inputs!$E$58))*($E$202-$E232)</f>
        <v>62442.2757593452</v>
      </c>
      <c r="AI232" s="1">
        <f>AI$213+(AI$5=YEAR(Inputs!$E$58))*($E$202-$E232)</f>
        <v>64145.45015104703</v>
      </c>
      <c r="AJ232" s="1">
        <f>AJ$213+(AJ$5=YEAR(Inputs!$E$58))*($E$202-$E232)</f>
        <v>64723.36522828659</v>
      </c>
      <c r="AK232" s="1">
        <f>AK$213+(AK$5=YEAR(Inputs!$E$58))*($E$202-$E232)</f>
        <v>65337.355311367035</v>
      </c>
      <c r="AL232" s="1">
        <f>AL$213+(AL$5=YEAR(Inputs!$E$58))*($E$202-$E232)</f>
        <v>65290.80316481818</v>
      </c>
      <c r="AM232" s="1">
        <f>AM$213+(AM$5=YEAR(Inputs!$E$58))*($E$202-$E232)</f>
        <v>66941.82769640902</v>
      </c>
      <c r="AN232" s="1">
        <f>AN$213+(AN$5=YEAR(Inputs!$E$58))*($E$202-$E232)</f>
        <v>69664.43619648693</v>
      </c>
      <c r="AO232" s="1">
        <f>AO$213+(AO$5=YEAR(Inputs!$E$58))*($E$202-$E232)</f>
        <v>72091.58259949979</v>
      </c>
      <c r="AP232" s="1">
        <f>AP$213+(AP$5=YEAR(Inputs!$E$58))*($E$202-$E232)</f>
        <v>72290.10994017063</v>
      </c>
      <c r="AQ232" s="1">
        <f>AQ$213+(AQ$5=YEAR(Inputs!$E$58))*($E$202-$E232)</f>
        <v>47221.981065557215</v>
      </c>
    </row>
    <row r="233" x14ac:dyDescent="0.25">
      <c r="C233" t="s">
        <v>1356</v>
      </c>
      <c r="D233" s="28">
        <f>Inputs!$E$148</f>
        <v>200</v>
      </c>
      <c r="E233" s="19">
        <f>D233*Inputs!$E$150+Tender!$E$213+MOIC!$G$144</f>
        <v>81857.17974068865</v>
      </c>
      <c r="F233" s="31">
        <f t="shared" si="89"/>
        <v>0.10840369864629609</v>
      </c>
      <c r="G233" s="1">
        <f>SUMPRODUCT(H233:AQ233,$H$12:$AQ$12)/INDEX($H$12:$AQ$12,MATCH(YEAR(Inputs!$E$58),$H$5:$AQ$5,0))</f>
        <v>148720.436342621</v>
      </c>
      <c r="H233" s="1">
        <f>H$213+(H$5=YEAR(Inputs!$E$58))*($E$202-$E233)</f>
        <v>0</v>
      </c>
      <c r="I233" s="1">
        <f>I$213+(I$5=YEAR(Inputs!$E$58))*($E$202-$E233)</f>
        <v>0</v>
      </c>
      <c r="J233" s="1">
        <f>J$213+(J$5=YEAR(Inputs!$E$58))*($E$202-$E233)</f>
        <v>0</v>
      </c>
      <c r="K233" s="1">
        <f>K$213+(K$5=YEAR(Inputs!$E$58))*($E$202-$E233)</f>
        <v>-49125.51958064753</v>
      </c>
      <c r="L233" s="1">
        <f>L$213+(L$5=YEAR(Inputs!$E$58))*($E$202-$E233)</f>
        <v>-276776.90230166423</v>
      </c>
      <c r="M233" s="1">
        <f>M$213+(M$5=YEAR(Inputs!$E$58))*($E$202-$E233)</f>
        <v>-136366.6917801232</v>
      </c>
      <c r="N233" s="1">
        <f>N$213+(N$5=YEAR(Inputs!$E$58))*($E$202-$E233)</f>
        <v>52613.36171080066</v>
      </c>
      <c r="O233" s="1">
        <f>O$213+(O$5=YEAR(Inputs!$E$58))*($E$202-$E233)</f>
        <v>53705.992853152464</v>
      </c>
      <c r="P233" s="1">
        <f>P$213+(P$5=YEAR(Inputs!$E$58))*($E$202-$E233)</f>
        <v>52128.180919866</v>
      </c>
      <c r="Q233" s="1">
        <f>Q$213+(Q$5=YEAR(Inputs!$E$58))*($E$202-$E233)</f>
        <v>52786.15097859196</v>
      </c>
      <c r="R233" s="1">
        <f>R$213+(R$5=YEAR(Inputs!$E$58))*($E$202-$E233)</f>
        <v>53667.75467217939</v>
      </c>
      <c r="S233" s="1">
        <f>S$213+(S$5=YEAR(Inputs!$E$58))*($E$202-$E233)</f>
        <v>56713.758866086144</v>
      </c>
      <c r="T233" s="1">
        <f>T$213+(T$5=YEAR(Inputs!$E$58))*($E$202-$E233)</f>
        <v>56682.85965594682</v>
      </c>
      <c r="U233" s="1">
        <f>U$213+(U$5=YEAR(Inputs!$E$58))*($E$202-$E233)</f>
        <v>57200.46615762418</v>
      </c>
      <c r="V233" s="1">
        <f>V$213+(V$5=YEAR(Inputs!$E$58))*($E$202-$E233)</f>
        <v>57276.50953612085</v>
      </c>
      <c r="W233" s="1">
        <f>W$213+(W$5=YEAR(Inputs!$E$58))*($E$202-$E233)</f>
        <v>57302.569719426356</v>
      </c>
      <c r="X233" s="1">
        <f>X$213+(X$5=YEAR(Inputs!$E$58))*($E$202-$E233)</f>
        <v>58757.81887615535</v>
      </c>
      <c r="Y233" s="1">
        <f>Y$213+(Y$5=YEAR(Inputs!$E$58))*($E$202-$E233)</f>
        <v>59802.344498252045</v>
      </c>
      <c r="Z233" s="1">
        <f>Z$213+(Z$5=YEAR(Inputs!$E$58))*($E$202-$E233)</f>
        <v>60151.42888819441</v>
      </c>
      <c r="AA233" s="1">
        <f>AA$213+(AA$5=YEAR(Inputs!$E$58))*($E$202-$E233)</f>
        <v>62274.25531429203</v>
      </c>
      <c r="AB233" s="1">
        <f>AB$213+(AB$5=YEAR(Inputs!$E$58))*($E$202-$E233)</f>
        <v>63348.31671091046</v>
      </c>
      <c r="AC233" s="1">
        <f>AC$213+(AC$5=YEAR(Inputs!$E$58))*($E$202-$E233)</f>
        <v>64140.226933917045</v>
      </c>
      <c r="AD233" s="1">
        <f>AD$213+(AD$5=YEAR(Inputs!$E$58))*($E$202-$E233)</f>
        <v>63703.26062657295</v>
      </c>
      <c r="AE233" s="1">
        <f>AE$213+(AE$5=YEAR(Inputs!$E$58))*($E$202-$E233)</f>
        <v>64743.69505702012</v>
      </c>
      <c r="AF233" s="1">
        <f>AF$213+(AF$5=YEAR(Inputs!$E$58))*($E$202-$E233)</f>
        <v>64720.63878859527</v>
      </c>
      <c r="AG233" s="1">
        <f>AG$213+(AG$5=YEAR(Inputs!$E$58))*($E$202-$E233)</f>
        <v>64352.90876340446</v>
      </c>
      <c r="AH233" s="1">
        <f>AH$213+(AH$5=YEAR(Inputs!$E$58))*($E$202-$E233)</f>
        <v>62442.2757593452</v>
      </c>
      <c r="AI233" s="1">
        <f>AI$213+(AI$5=YEAR(Inputs!$E$58))*($E$202-$E233)</f>
        <v>64145.45015104703</v>
      </c>
      <c r="AJ233" s="1">
        <f>AJ$213+(AJ$5=YEAR(Inputs!$E$58))*($E$202-$E233)</f>
        <v>64723.36522828659</v>
      </c>
      <c r="AK233" s="1">
        <f>AK$213+(AK$5=YEAR(Inputs!$E$58))*($E$202-$E233)</f>
        <v>65337.355311367035</v>
      </c>
      <c r="AL233" s="1">
        <f>AL$213+(AL$5=YEAR(Inputs!$E$58))*($E$202-$E233)</f>
        <v>65290.80316481818</v>
      </c>
      <c r="AM233" s="1">
        <f>AM$213+(AM$5=YEAR(Inputs!$E$58))*($E$202-$E233)</f>
        <v>66941.82769640902</v>
      </c>
      <c r="AN233" s="1">
        <f>AN$213+(AN$5=YEAR(Inputs!$E$58))*($E$202-$E233)</f>
        <v>69664.43619648693</v>
      </c>
      <c r="AO233" s="1">
        <f>AO$213+(AO$5=YEAR(Inputs!$E$58))*($E$202-$E233)</f>
        <v>72091.58259949979</v>
      </c>
      <c r="AP233" s="1">
        <f>AP$213+(AP$5=YEAR(Inputs!$E$58))*($E$202-$E233)</f>
        <v>72290.10994017063</v>
      </c>
      <c r="AQ233" s="1">
        <f>AQ$213+(AQ$5=YEAR(Inputs!$E$58))*($E$202-$E233)</f>
        <v>47221.981065557215</v>
      </c>
    </row>
    <row r="235" spans="3:43" x14ac:dyDescent="0.25">
      <c r="C235" s="6" t="s">
        <v>2245</v>
      </c>
    </row>
    <row r="236" spans="3:43" x14ac:dyDescent="0.25">
      <c r="C236" s="91" t="s">
        <v>1124</v>
      </c>
      <c r="D236" s="91" t="s">
        <v>1347</v>
      </c>
      <c r="E236" s="91" t="s">
        <v>1348</v>
      </c>
      <c r="F236" s="91" t="s">
        <v>1349</v>
      </c>
      <c r="G236" s="91" t="s">
        <v>2246</v>
      </c>
      <c r="H236" s="90"/>
      <c r="I236" s="90"/>
      <c r="J236" s="90"/>
      <c r="K236" s="90"/>
      <c r="L236" s="90"/>
      <c r="M236" s="90"/>
      <c r="N236" s="90"/>
      <c r="O236" s="90"/>
      <c r="P236" s="90"/>
      <c r="Q236" s="90"/>
      <c r="R236" s="90"/>
      <c r="S236" s="90"/>
      <c r="T236" s="90"/>
      <c r="U236" s="90"/>
      <c r="V236" s="90"/>
      <c r="W236" s="90"/>
      <c r="X236" s="90"/>
      <c r="Y236" s="90"/>
      <c r="Z236" s="90"/>
      <c r="AA236" s="90"/>
      <c r="AB236" s="90"/>
      <c r="AC236" s="90"/>
      <c r="AD236" s="90"/>
      <c r="AE236" s="90"/>
      <c r="AF236" s="90"/>
      <c r="AG236" s="90"/>
      <c r="AH236" s="90"/>
      <c r="AI236" s="90"/>
      <c r="AJ236" s="90"/>
      <c r="AK236" s="90"/>
      <c r="AL236" s="90"/>
      <c r="AM236" s="90"/>
      <c r="AN236" s="90"/>
      <c r="AO236" s="90"/>
      <c r="AP236" s="90"/>
      <c r="AQ236" s="90"/>
    </row>
    <row r="237" x14ac:dyDescent="0.25">
      <c r="C237" t="s">
        <v>1350</v>
      </c>
      <c r="D237" s="28">
        <f>Inputs!$E$142</f>
        <v>50</v>
      </c>
      <c r="E237" s="19">
        <f>D237*Inputs!$E$150+Tender!$E$213+MOIC!$G$144</f>
        <v>51857.17974068864</v>
      </c>
      <c r="F237" s="31">
        <f t="shared" ref="F237:F243" si="90">IFERROR(IRR(H237:AQ237),"n/a")</f>
        <v>0.13048531266344457</v>
      </c>
      <c r="G237" s="3" cm="1">
        <f t="array" ref="G237">IFERROR(SUMPRODUCT(H237:AQ237/(1+Inputs!$E$253)^$H$4:$AQ$4)/-SUMPRODUCT((H237:AQ237&lt;0)*H237:AQ237/(1+Inputs!$E$253)^$H$4:$AQ$4),"n/a")</f>
        <v>0.8866307746367978</v>
      </c>
      <c r="H237" s="1">
        <f>H$212+(H$5=YEAR(Inputs!$E$58))*($E$202-$E237)</f>
        <v>0</v>
      </c>
      <c r="I237" s="1">
        <f>I$212+(I$5=YEAR(Inputs!$E$58))*($E$202-$E237)</f>
        <v>0</v>
      </c>
      <c r="J237" s="1">
        <f>J$212+(J$5=YEAR(Inputs!$E$58))*($E$202-$E237)</f>
        <v>0</v>
      </c>
      <c r="K237" s="1">
        <f>K$212+(K$5=YEAR(Inputs!$E$58))*($E$202-$E237)</f>
        <v>-23891.180897017774</v>
      </c>
      <c r="L237" s="1">
        <f>L$212+(L$5=YEAR(Inputs!$E$58))*($E$202-$E237)</f>
        <v>-129521.65685917647</v>
      </c>
      <c r="M237" s="1">
        <f>M$212+(M$5=YEAR(Inputs!$E$58))*($E$202-$E237)</f>
        <v>-66727.38857553998</v>
      </c>
      <c r="N237" s="1">
        <f>N$212+(N$5=YEAR(Inputs!$E$58))*($E$202-$E237)</f>
        <v>11042.053900449502</v>
      </c>
      <c r="O237" s="1">
        <f>O$212+(O$5=YEAR(Inputs!$E$58))*($E$202-$E237)</f>
        <v>11168.744279587327</v>
      </c>
      <c r="P237" s="1">
        <f>P$212+(P$5=YEAR(Inputs!$E$58))*($E$202-$E237)</f>
        <v>10306.541637509576</v>
      </c>
      <c r="Q237" s="1">
        <f>Q$212+(Q$5=YEAR(Inputs!$E$58))*($E$202-$E237)</f>
        <v>10560.50511361097</v>
      </c>
      <c r="R237" s="1">
        <f>R$212+(R$5=YEAR(Inputs!$E$58))*($E$202-$E237)</f>
        <v>10921.962911658795</v>
      </c>
      <c r="S237" s="1">
        <f>S$212+(S$5=YEAR(Inputs!$E$58))*($E$202-$E237)</f>
        <v>24721.680954766773</v>
      </c>
      <c r="T237" s="1">
        <f>T$212+(T$5=YEAR(Inputs!$E$58))*($E$202-$E237)</f>
        <v>29053.1143877784</v>
      </c>
      <c r="U237" s="1">
        <f>U$212+(U$5=YEAR(Inputs!$E$58))*($E$202-$E237)</f>
        <v>45613.65909030416</v>
      </c>
      <c r="V237" s="1">
        <f>V$212+(V$5=YEAR(Inputs!$E$58))*($E$202-$E237)</f>
        <v>57276.50953612085</v>
      </c>
      <c r="W237" s="1">
        <f>W$212+(W$5=YEAR(Inputs!$E$58))*($E$202-$E237)</f>
        <v>57302.569719426356</v>
      </c>
      <c r="X237" s="1">
        <f>X$212+(X$5=YEAR(Inputs!$E$58))*($E$202-$E237)</f>
        <v>58757.81887615535</v>
      </c>
      <c r="Y237" s="1">
        <f>Y$212+(Y$5=YEAR(Inputs!$E$58))*($E$202-$E237)</f>
        <v>59802.344498252045</v>
      </c>
      <c r="Z237" s="1">
        <f>Z$212+(Z$5=YEAR(Inputs!$E$58))*($E$202-$E237)</f>
        <v>60151.42888819441</v>
      </c>
      <c r="AA237" s="1">
        <f>AA$212+(AA$5=YEAR(Inputs!$E$58))*($E$202-$E237)</f>
        <v>62274.25531429203</v>
      </c>
      <c r="AB237" s="1">
        <f>AB$212+(AB$5=YEAR(Inputs!$E$58))*($E$202-$E237)</f>
        <v>63348.31671091046</v>
      </c>
      <c r="AC237" s="1">
        <f>AC$212+(AC$5=YEAR(Inputs!$E$58))*($E$202-$E237)</f>
        <v>64140.226933917045</v>
      </c>
      <c r="AD237" s="1">
        <f>AD$212+(AD$5=YEAR(Inputs!$E$58))*($E$202-$E237)</f>
        <v>63703.26062657295</v>
      </c>
      <c r="AE237" s="1">
        <f>AE$212+(AE$5=YEAR(Inputs!$E$58))*($E$202-$E237)</f>
        <v>64743.69505702012</v>
      </c>
      <c r="AF237" s="1">
        <f>AF$212+(AF$5=YEAR(Inputs!$E$58))*($E$202-$E237)</f>
        <v>64720.63878859527</v>
      </c>
      <c r="AG237" s="1">
        <f>AG$212+(AG$5=YEAR(Inputs!$E$58))*($E$202-$E237)</f>
        <v>64352.90876340446</v>
      </c>
      <c r="AH237" s="1">
        <f>AH$212+(AH$5=YEAR(Inputs!$E$58))*($E$202-$E237)</f>
        <v>62442.2757593452</v>
      </c>
      <c r="AI237" s="1">
        <f>AI$212+(AI$5=YEAR(Inputs!$E$58))*($E$202-$E237)</f>
        <v>64145.45015104703</v>
      </c>
      <c r="AJ237" s="1">
        <f>AJ$212+(AJ$5=YEAR(Inputs!$E$58))*($E$202-$E237)</f>
        <v>64723.36522828659</v>
      </c>
      <c r="AK237" s="1">
        <f>AK$212+(AK$5=YEAR(Inputs!$E$58))*($E$202-$E237)</f>
        <v>65337.355311367035</v>
      </c>
      <c r="AL237" s="1">
        <f>AL$212+(AL$5=YEAR(Inputs!$E$58))*($E$202-$E237)</f>
        <v>65290.80316481818</v>
      </c>
      <c r="AM237" s="1">
        <f>AM$212+(AM$5=YEAR(Inputs!$E$58))*($E$202-$E237)</f>
        <v>66941.82769640902</v>
      </c>
      <c r="AN237" s="1">
        <f>AN$212+(AN$5=YEAR(Inputs!$E$58))*($E$202-$E237)</f>
        <v>69664.43619648693</v>
      </c>
      <c r="AO237" s="1">
        <f>AO$212+(AO$5=YEAR(Inputs!$E$58))*($E$202-$E237)</f>
        <v>72091.58259949979</v>
      </c>
      <c r="AP237" s="1">
        <f>AP$212+(AP$5=YEAR(Inputs!$E$58))*($E$202-$E237)</f>
        <v>72290.10994017063</v>
      </c>
      <c r="AQ237" s="1">
        <f>AQ$212+(AQ$5=YEAR(Inputs!$E$58))*($E$202-$E237)</f>
        <v>47221.981065557215</v>
      </c>
    </row>
    <row r="238" x14ac:dyDescent="0.25">
      <c r="C238" t="s">
        <v>1351</v>
      </c>
      <c r="D238" s="28">
        <f>Inputs!$E$143</f>
        <v>75</v>
      </c>
      <c r="E238" s="19">
        <f>D238*Inputs!$E$150+Tender!$E$213+MOIC!$G$144</f>
        <v>56857.17974068864</v>
      </c>
      <c r="F238" s="31">
        <f t="shared" si="90"/>
        <v>0.12847170584831388</v>
      </c>
      <c r="G238" s="3" cm="1">
        <f t="array" ref="G238">IFERROR(SUMPRODUCT(H238:AQ238/(1+Inputs!$E$253)^$H$4:$AQ$4)/-SUMPRODUCT((H238:AQ238&lt;0)*H238:AQ238/(1+Inputs!$E$253)^$H$4:$AQ$4),"n/a")</f>
        <v>0.8441598957594574</v>
      </c>
      <c r="H238" s="1">
        <f>H$212+(H$5=YEAR(Inputs!$E$58))*($E$202-$E238)</f>
        <v>0</v>
      </c>
      <c r="I238" s="1">
        <f>I$212+(I$5=YEAR(Inputs!$E$58))*($E$202-$E238)</f>
        <v>0</v>
      </c>
      <c r="J238" s="1">
        <f>J$212+(J$5=YEAR(Inputs!$E$58))*($E$202-$E238)</f>
        <v>0</v>
      </c>
      <c r="K238" s="1">
        <f>K$212+(K$5=YEAR(Inputs!$E$58))*($E$202-$E238)</f>
        <v>-23891.180897017774</v>
      </c>
      <c r="L238" s="1">
        <f>L$212+(L$5=YEAR(Inputs!$E$58))*($E$202-$E238)</f>
        <v>-134521.65685917647</v>
      </c>
      <c r="M238" s="1">
        <f>M$212+(M$5=YEAR(Inputs!$E$58))*($E$202-$E238)</f>
        <v>-66727.38857553998</v>
      </c>
      <c r="N238" s="1">
        <f>N$212+(N$5=YEAR(Inputs!$E$58))*($E$202-$E238)</f>
        <v>11042.053900449502</v>
      </c>
      <c r="O238" s="1">
        <f>O$212+(O$5=YEAR(Inputs!$E$58))*($E$202-$E238)</f>
        <v>11168.744279587327</v>
      </c>
      <c r="P238" s="1">
        <f>P$212+(P$5=YEAR(Inputs!$E$58))*($E$202-$E238)</f>
        <v>10306.541637509576</v>
      </c>
      <c r="Q238" s="1">
        <f>Q$212+(Q$5=YEAR(Inputs!$E$58))*($E$202-$E238)</f>
        <v>10560.50511361097</v>
      </c>
      <c r="R238" s="1">
        <f>R$212+(R$5=YEAR(Inputs!$E$58))*($E$202-$E238)</f>
        <v>10921.962911658795</v>
      </c>
      <c r="S238" s="1">
        <f>S$212+(S$5=YEAR(Inputs!$E$58))*($E$202-$E238)</f>
        <v>24721.680954766773</v>
      </c>
      <c r="T238" s="1">
        <f>T$212+(T$5=YEAR(Inputs!$E$58))*($E$202-$E238)</f>
        <v>29053.1143877784</v>
      </c>
      <c r="U238" s="1">
        <f>U$212+(U$5=YEAR(Inputs!$E$58))*($E$202-$E238)</f>
        <v>45613.65909030416</v>
      </c>
      <c r="V238" s="1">
        <f>V$212+(V$5=YEAR(Inputs!$E$58))*($E$202-$E238)</f>
        <v>57276.50953612085</v>
      </c>
      <c r="W238" s="1">
        <f>W$212+(W$5=YEAR(Inputs!$E$58))*($E$202-$E238)</f>
        <v>57302.569719426356</v>
      </c>
      <c r="X238" s="1">
        <f>X$212+(X$5=YEAR(Inputs!$E$58))*($E$202-$E238)</f>
        <v>58757.81887615535</v>
      </c>
      <c r="Y238" s="1">
        <f>Y$212+(Y$5=YEAR(Inputs!$E$58))*($E$202-$E238)</f>
        <v>59802.344498252045</v>
      </c>
      <c r="Z238" s="1">
        <f>Z$212+(Z$5=YEAR(Inputs!$E$58))*($E$202-$E238)</f>
        <v>60151.42888819441</v>
      </c>
      <c r="AA238" s="1">
        <f>AA$212+(AA$5=YEAR(Inputs!$E$58))*($E$202-$E238)</f>
        <v>62274.25531429203</v>
      </c>
      <c r="AB238" s="1">
        <f>AB$212+(AB$5=YEAR(Inputs!$E$58))*($E$202-$E238)</f>
        <v>63348.31671091046</v>
      </c>
      <c r="AC238" s="1">
        <f>AC$212+(AC$5=YEAR(Inputs!$E$58))*($E$202-$E238)</f>
        <v>64140.226933917045</v>
      </c>
      <c r="AD238" s="1">
        <f>AD$212+(AD$5=YEAR(Inputs!$E$58))*($E$202-$E238)</f>
        <v>63703.26062657295</v>
      </c>
      <c r="AE238" s="1">
        <f>AE$212+(AE$5=YEAR(Inputs!$E$58))*($E$202-$E238)</f>
        <v>64743.69505702012</v>
      </c>
      <c r="AF238" s="1">
        <f>AF$212+(AF$5=YEAR(Inputs!$E$58))*($E$202-$E238)</f>
        <v>64720.63878859527</v>
      </c>
      <c r="AG238" s="1">
        <f>AG$212+(AG$5=YEAR(Inputs!$E$58))*($E$202-$E238)</f>
        <v>64352.90876340446</v>
      </c>
      <c r="AH238" s="1">
        <f>AH$212+(AH$5=YEAR(Inputs!$E$58))*($E$202-$E238)</f>
        <v>62442.2757593452</v>
      </c>
      <c r="AI238" s="1">
        <f>AI$212+(AI$5=YEAR(Inputs!$E$58))*($E$202-$E238)</f>
        <v>64145.45015104703</v>
      </c>
      <c r="AJ238" s="1">
        <f>AJ$212+(AJ$5=YEAR(Inputs!$E$58))*($E$202-$E238)</f>
        <v>64723.36522828659</v>
      </c>
      <c r="AK238" s="1">
        <f>AK$212+(AK$5=YEAR(Inputs!$E$58))*($E$202-$E238)</f>
        <v>65337.355311367035</v>
      </c>
      <c r="AL238" s="1">
        <f>AL$212+(AL$5=YEAR(Inputs!$E$58))*($E$202-$E238)</f>
        <v>65290.80316481818</v>
      </c>
      <c r="AM238" s="1">
        <f>AM$212+(AM$5=YEAR(Inputs!$E$58))*($E$202-$E238)</f>
        <v>66941.82769640902</v>
      </c>
      <c r="AN238" s="1">
        <f>AN$212+(AN$5=YEAR(Inputs!$E$58))*($E$202-$E238)</f>
        <v>69664.43619648693</v>
      </c>
      <c r="AO238" s="1">
        <f>AO$212+(AO$5=YEAR(Inputs!$E$58))*($E$202-$E238)</f>
        <v>72091.58259949979</v>
      </c>
      <c r="AP238" s="1">
        <f>AP$212+(AP$5=YEAR(Inputs!$E$58))*($E$202-$E238)</f>
        <v>72290.10994017063</v>
      </c>
      <c r="AQ238" s="1">
        <f>AQ$212+(AQ$5=YEAR(Inputs!$E$58))*($E$202-$E238)</f>
        <v>47221.981065557215</v>
      </c>
    </row>
    <row r="239" x14ac:dyDescent="0.25">
      <c r="C239" t="s">
        <v>1352</v>
      </c>
      <c r="D239" s="28">
        <f>Inputs!$E$144</f>
        <v>100</v>
      </c>
      <c r="E239" s="19">
        <f>D239*Inputs!$E$150+Tender!$E$213+MOIC!$G$144</f>
        <v>61857.17974068864</v>
      </c>
      <c r="F239" s="31">
        <f t="shared" si="90"/>
        <v>0.12651969441448874</v>
      </c>
      <c r="G239" s="3" cm="1">
        <f t="array" ref="G239">IFERROR(SUMPRODUCT(H239:AQ239/(1+Inputs!$E$253)^$H$4:$AQ$4)/-SUMPRODUCT((H239:AQ239&lt;0)*H239:AQ239/(1+Inputs!$E$253)^$H$4:$AQ$4),"n/a")</f>
        <v>0.8035590847961925</v>
      </c>
      <c r="H239" s="1">
        <f>H$212+(H$5=YEAR(Inputs!$E$58))*($E$202-$E239)</f>
        <v>0</v>
      </c>
      <c r="I239" s="1">
        <f>I$212+(I$5=YEAR(Inputs!$E$58))*($E$202-$E239)</f>
        <v>0</v>
      </c>
      <c r="J239" s="1">
        <f>J$212+(J$5=YEAR(Inputs!$E$58))*($E$202-$E239)</f>
        <v>0</v>
      </c>
      <c r="K239" s="1">
        <f>K$212+(K$5=YEAR(Inputs!$E$58))*($E$202-$E239)</f>
        <v>-23891.180897017774</v>
      </c>
      <c r="L239" s="1">
        <f>L$212+(L$5=YEAR(Inputs!$E$58))*($E$202-$E239)</f>
        <v>-139521.65685917647</v>
      </c>
      <c r="M239" s="1">
        <f>M$212+(M$5=YEAR(Inputs!$E$58))*($E$202-$E239)</f>
        <v>-66727.38857553998</v>
      </c>
      <c r="N239" s="1">
        <f>N$212+(N$5=YEAR(Inputs!$E$58))*($E$202-$E239)</f>
        <v>11042.053900449502</v>
      </c>
      <c r="O239" s="1">
        <f>O$212+(O$5=YEAR(Inputs!$E$58))*($E$202-$E239)</f>
        <v>11168.744279587327</v>
      </c>
      <c r="P239" s="1">
        <f>P$212+(P$5=YEAR(Inputs!$E$58))*($E$202-$E239)</f>
        <v>10306.541637509576</v>
      </c>
      <c r="Q239" s="1">
        <f>Q$212+(Q$5=YEAR(Inputs!$E$58))*($E$202-$E239)</f>
        <v>10560.50511361097</v>
      </c>
      <c r="R239" s="1">
        <f>R$212+(R$5=YEAR(Inputs!$E$58))*($E$202-$E239)</f>
        <v>10921.962911658795</v>
      </c>
      <c r="S239" s="1">
        <f>S$212+(S$5=YEAR(Inputs!$E$58))*($E$202-$E239)</f>
        <v>24721.680954766773</v>
      </c>
      <c r="T239" s="1">
        <f>T$212+(T$5=YEAR(Inputs!$E$58))*($E$202-$E239)</f>
        <v>29053.1143877784</v>
      </c>
      <c r="U239" s="1">
        <f>U$212+(U$5=YEAR(Inputs!$E$58))*($E$202-$E239)</f>
        <v>45613.65909030416</v>
      </c>
      <c r="V239" s="1">
        <f>V$212+(V$5=YEAR(Inputs!$E$58))*($E$202-$E239)</f>
        <v>57276.50953612085</v>
      </c>
      <c r="W239" s="1">
        <f>W$212+(W$5=YEAR(Inputs!$E$58))*($E$202-$E239)</f>
        <v>57302.569719426356</v>
      </c>
      <c r="X239" s="1">
        <f>X$212+(X$5=YEAR(Inputs!$E$58))*($E$202-$E239)</f>
        <v>58757.81887615535</v>
      </c>
      <c r="Y239" s="1">
        <f>Y$212+(Y$5=YEAR(Inputs!$E$58))*($E$202-$E239)</f>
        <v>59802.344498252045</v>
      </c>
      <c r="Z239" s="1">
        <f>Z$212+(Z$5=YEAR(Inputs!$E$58))*($E$202-$E239)</f>
        <v>60151.42888819441</v>
      </c>
      <c r="AA239" s="1">
        <f>AA$212+(AA$5=YEAR(Inputs!$E$58))*($E$202-$E239)</f>
        <v>62274.25531429203</v>
      </c>
      <c r="AB239" s="1">
        <f>AB$212+(AB$5=YEAR(Inputs!$E$58))*($E$202-$E239)</f>
        <v>63348.31671091046</v>
      </c>
      <c r="AC239" s="1">
        <f>AC$212+(AC$5=YEAR(Inputs!$E$58))*($E$202-$E239)</f>
        <v>64140.226933917045</v>
      </c>
      <c r="AD239" s="1">
        <f>AD$212+(AD$5=YEAR(Inputs!$E$58))*($E$202-$E239)</f>
        <v>63703.26062657295</v>
      </c>
      <c r="AE239" s="1">
        <f>AE$212+(AE$5=YEAR(Inputs!$E$58))*($E$202-$E239)</f>
        <v>64743.69505702012</v>
      </c>
      <c r="AF239" s="1">
        <f>AF$212+(AF$5=YEAR(Inputs!$E$58))*($E$202-$E239)</f>
        <v>64720.63878859527</v>
      </c>
      <c r="AG239" s="1">
        <f>AG$212+(AG$5=YEAR(Inputs!$E$58))*($E$202-$E239)</f>
        <v>64352.90876340446</v>
      </c>
      <c r="AH239" s="1">
        <f>AH$212+(AH$5=YEAR(Inputs!$E$58))*($E$202-$E239)</f>
        <v>62442.2757593452</v>
      </c>
      <c r="AI239" s="1">
        <f>AI$212+(AI$5=YEAR(Inputs!$E$58))*($E$202-$E239)</f>
        <v>64145.45015104703</v>
      </c>
      <c r="AJ239" s="1">
        <f>AJ$212+(AJ$5=YEAR(Inputs!$E$58))*($E$202-$E239)</f>
        <v>64723.36522828659</v>
      </c>
      <c r="AK239" s="1">
        <f>AK$212+(AK$5=YEAR(Inputs!$E$58))*($E$202-$E239)</f>
        <v>65337.355311367035</v>
      </c>
      <c r="AL239" s="1">
        <f>AL$212+(AL$5=YEAR(Inputs!$E$58))*($E$202-$E239)</f>
        <v>65290.80316481818</v>
      </c>
      <c r="AM239" s="1">
        <f>AM$212+(AM$5=YEAR(Inputs!$E$58))*($E$202-$E239)</f>
        <v>66941.82769640902</v>
      </c>
      <c r="AN239" s="1">
        <f>AN$212+(AN$5=YEAR(Inputs!$E$58))*($E$202-$E239)</f>
        <v>69664.43619648693</v>
      </c>
      <c r="AO239" s="1">
        <f>AO$212+(AO$5=YEAR(Inputs!$E$58))*($E$202-$E239)</f>
        <v>72091.58259949979</v>
      </c>
      <c r="AP239" s="1">
        <f>AP$212+(AP$5=YEAR(Inputs!$E$58))*($E$202-$E239)</f>
        <v>72290.10994017063</v>
      </c>
      <c r="AQ239" s="1">
        <f>AQ$212+(AQ$5=YEAR(Inputs!$E$58))*($E$202-$E239)</f>
        <v>47221.981065557215</v>
      </c>
    </row>
    <row r="240" x14ac:dyDescent="0.25">
      <c r="C240" s="145" t="s">
        <v>1353</v>
      </c>
      <c r="D240" s="35">
        <f>Inputs!$E$145</f>
        <v>125</v>
      </c>
      <c r="E240" s="147">
        <f>D240*Inputs!$E$150+Tender!$E$213+MOIC!$G$144</f>
        <v>66857.17974068865</v>
      </c>
      <c r="F240" s="55">
        <f t="shared" si="90"/>
        <v>0.12462596271670341</v>
      </c>
      <c r="G240" s="178" cm="1">
        <f t="array" ref="G240">IFERROR(SUMPRODUCT(H240:AQ240/(1+Inputs!$E$253)^$H$4:$AQ$4)/-SUMPRODUCT((H240:AQ240&lt;0)*H240:AQ240/(1+Inputs!$E$253)^$H$4:$AQ$4),"n/a")</f>
        <v>0.7647074888340629</v>
      </c>
      <c r="H240" s="1">
        <f>H$212+(H$5=YEAR(Inputs!$E$58))*($E$202-$E240)</f>
        <v>0</v>
      </c>
      <c r="I240" s="1">
        <f>I$212+(I$5=YEAR(Inputs!$E$58))*($E$202-$E240)</f>
        <v>0</v>
      </c>
      <c r="J240" s="1">
        <f>J$212+(J$5=YEAR(Inputs!$E$58))*($E$202-$E240)</f>
        <v>0</v>
      </c>
      <c r="K240" s="1">
        <f>K$212+(K$5=YEAR(Inputs!$E$58))*($E$202-$E240)</f>
        <v>-23891.180897017774</v>
      </c>
      <c r="L240" s="1">
        <f>L$212+(L$5=YEAR(Inputs!$E$58))*($E$202-$E240)</f>
        <v>-144521.65685917647</v>
      </c>
      <c r="M240" s="1">
        <f>M$212+(M$5=YEAR(Inputs!$E$58))*($E$202-$E240)</f>
        <v>-66727.38857553998</v>
      </c>
      <c r="N240" s="1">
        <f>N$212+(N$5=YEAR(Inputs!$E$58))*($E$202-$E240)</f>
        <v>11042.053900449502</v>
      </c>
      <c r="O240" s="1">
        <f>O$212+(O$5=YEAR(Inputs!$E$58))*($E$202-$E240)</f>
        <v>11168.744279587327</v>
      </c>
      <c r="P240" s="1">
        <f>P$212+(P$5=YEAR(Inputs!$E$58))*($E$202-$E240)</f>
        <v>10306.541637509576</v>
      </c>
      <c r="Q240" s="1">
        <f>Q$212+(Q$5=YEAR(Inputs!$E$58))*($E$202-$E240)</f>
        <v>10560.50511361097</v>
      </c>
      <c r="R240" s="1">
        <f>R$212+(R$5=YEAR(Inputs!$E$58))*($E$202-$E240)</f>
        <v>10921.962911658795</v>
      </c>
      <c r="S240" s="1">
        <f>S$212+(S$5=YEAR(Inputs!$E$58))*($E$202-$E240)</f>
        <v>24721.680954766773</v>
      </c>
      <c r="T240" s="1">
        <f>T$212+(T$5=YEAR(Inputs!$E$58))*($E$202-$E240)</f>
        <v>29053.1143877784</v>
      </c>
      <c r="U240" s="1">
        <f>U$212+(U$5=YEAR(Inputs!$E$58))*($E$202-$E240)</f>
        <v>45613.65909030416</v>
      </c>
      <c r="V240" s="1">
        <f>V$212+(V$5=YEAR(Inputs!$E$58))*($E$202-$E240)</f>
        <v>57276.50953612085</v>
      </c>
      <c r="W240" s="1">
        <f>W$212+(W$5=YEAR(Inputs!$E$58))*($E$202-$E240)</f>
        <v>57302.569719426356</v>
      </c>
      <c r="X240" s="1">
        <f>X$212+(X$5=YEAR(Inputs!$E$58))*($E$202-$E240)</f>
        <v>58757.81887615535</v>
      </c>
      <c r="Y240" s="1">
        <f>Y$212+(Y$5=YEAR(Inputs!$E$58))*($E$202-$E240)</f>
        <v>59802.344498252045</v>
      </c>
      <c r="Z240" s="1">
        <f>Z$212+(Z$5=YEAR(Inputs!$E$58))*($E$202-$E240)</f>
        <v>60151.42888819441</v>
      </c>
      <c r="AA240" s="1">
        <f>AA$212+(AA$5=YEAR(Inputs!$E$58))*($E$202-$E240)</f>
        <v>62274.25531429203</v>
      </c>
      <c r="AB240" s="1">
        <f>AB$212+(AB$5=YEAR(Inputs!$E$58))*($E$202-$E240)</f>
        <v>63348.31671091046</v>
      </c>
      <c r="AC240" s="1">
        <f>AC$212+(AC$5=YEAR(Inputs!$E$58))*($E$202-$E240)</f>
        <v>64140.226933917045</v>
      </c>
      <c r="AD240" s="1">
        <f>AD$212+(AD$5=YEAR(Inputs!$E$58))*($E$202-$E240)</f>
        <v>63703.26062657295</v>
      </c>
      <c r="AE240" s="1">
        <f>AE$212+(AE$5=YEAR(Inputs!$E$58))*($E$202-$E240)</f>
        <v>64743.69505702012</v>
      </c>
      <c r="AF240" s="1">
        <f>AF$212+(AF$5=YEAR(Inputs!$E$58))*($E$202-$E240)</f>
        <v>64720.63878859527</v>
      </c>
      <c r="AG240" s="1">
        <f>AG$212+(AG$5=YEAR(Inputs!$E$58))*($E$202-$E240)</f>
        <v>64352.90876340446</v>
      </c>
      <c r="AH240" s="1">
        <f>AH$212+(AH$5=YEAR(Inputs!$E$58))*($E$202-$E240)</f>
        <v>62442.2757593452</v>
      </c>
      <c r="AI240" s="1">
        <f>AI$212+(AI$5=YEAR(Inputs!$E$58))*($E$202-$E240)</f>
        <v>64145.45015104703</v>
      </c>
      <c r="AJ240" s="1">
        <f>AJ$212+(AJ$5=YEAR(Inputs!$E$58))*($E$202-$E240)</f>
        <v>64723.36522828659</v>
      </c>
      <c r="AK240" s="1">
        <f>AK$212+(AK$5=YEAR(Inputs!$E$58))*($E$202-$E240)</f>
        <v>65337.355311367035</v>
      </c>
      <c r="AL240" s="1">
        <f>AL$212+(AL$5=YEAR(Inputs!$E$58))*($E$202-$E240)</f>
        <v>65290.80316481818</v>
      </c>
      <c r="AM240" s="1">
        <f>AM$212+(AM$5=YEAR(Inputs!$E$58))*($E$202-$E240)</f>
        <v>66941.82769640902</v>
      </c>
      <c r="AN240" s="1">
        <f>AN$212+(AN$5=YEAR(Inputs!$E$58))*($E$202-$E240)</f>
        <v>69664.43619648693</v>
      </c>
      <c r="AO240" s="1">
        <f>AO$212+(AO$5=YEAR(Inputs!$E$58))*($E$202-$E240)</f>
        <v>72091.58259949979</v>
      </c>
      <c r="AP240" s="1">
        <f>AP$212+(AP$5=YEAR(Inputs!$E$58))*($E$202-$E240)</f>
        <v>72290.10994017063</v>
      </c>
      <c r="AQ240" s="1">
        <f>AQ$212+(AQ$5=YEAR(Inputs!$E$58))*($E$202-$E240)</f>
        <v>47221.981065557215</v>
      </c>
    </row>
    <row r="241" x14ac:dyDescent="0.25">
      <c r="C241" t="s">
        <v>1354</v>
      </c>
      <c r="D241" s="28">
        <f>Inputs!$E$146</f>
        <v>150</v>
      </c>
      <c r="E241" s="19">
        <f>D241*Inputs!$E$150+Tender!$E$213+MOIC!$G$144</f>
        <v>71857.17974068865</v>
      </c>
      <c r="F241" s="31">
        <f t="shared" si="90"/>
        <v>0.1227874454672247</v>
      </c>
      <c r="G241" s="3" cm="1">
        <f t="array" ref="G241">IFERROR(SUMPRODUCT(H241:AQ241/(1+Inputs!$E$253)^$H$4:$AQ$4)/-SUMPRODUCT((H241:AQ241&lt;0)*H241:AQ241/(1+Inputs!$E$253)^$H$4:$AQ$4),"n/a")</f>
        <v>0.727494448840555</v>
      </c>
      <c r="H241" s="1">
        <f>H$212+(H$5=YEAR(Inputs!$E$58))*($E$202-$E241)</f>
        <v>0</v>
      </c>
      <c r="I241" s="1">
        <f>I$212+(I$5=YEAR(Inputs!$E$58))*($E$202-$E241)</f>
        <v>0</v>
      </c>
      <c r="J241" s="1">
        <f>J$212+(J$5=YEAR(Inputs!$E$58))*($E$202-$E241)</f>
        <v>0</v>
      </c>
      <c r="K241" s="1">
        <f>K$212+(K$5=YEAR(Inputs!$E$58))*($E$202-$E241)</f>
        <v>-23891.180897017774</v>
      </c>
      <c r="L241" s="1">
        <f>L$212+(L$5=YEAR(Inputs!$E$58))*($E$202-$E241)</f>
        <v>-149521.65685917647</v>
      </c>
      <c r="M241" s="1">
        <f>M$212+(M$5=YEAR(Inputs!$E$58))*($E$202-$E241)</f>
        <v>-66727.38857553998</v>
      </c>
      <c r="N241" s="1">
        <f>N$212+(N$5=YEAR(Inputs!$E$58))*($E$202-$E241)</f>
        <v>11042.053900449502</v>
      </c>
      <c r="O241" s="1">
        <f>O$212+(O$5=YEAR(Inputs!$E$58))*($E$202-$E241)</f>
        <v>11168.744279587327</v>
      </c>
      <c r="P241" s="1">
        <f>P$212+(P$5=YEAR(Inputs!$E$58))*($E$202-$E241)</f>
        <v>10306.541637509576</v>
      </c>
      <c r="Q241" s="1">
        <f>Q$212+(Q$5=YEAR(Inputs!$E$58))*($E$202-$E241)</f>
        <v>10560.50511361097</v>
      </c>
      <c r="R241" s="1">
        <f>R$212+(R$5=YEAR(Inputs!$E$58))*($E$202-$E241)</f>
        <v>10921.962911658795</v>
      </c>
      <c r="S241" s="1">
        <f>S$212+(S$5=YEAR(Inputs!$E$58))*($E$202-$E241)</f>
        <v>24721.680954766773</v>
      </c>
      <c r="T241" s="1">
        <f>T$212+(T$5=YEAR(Inputs!$E$58))*($E$202-$E241)</f>
        <v>29053.1143877784</v>
      </c>
      <c r="U241" s="1">
        <f>U$212+(U$5=YEAR(Inputs!$E$58))*($E$202-$E241)</f>
        <v>45613.65909030416</v>
      </c>
      <c r="V241" s="1">
        <f>V$212+(V$5=YEAR(Inputs!$E$58))*($E$202-$E241)</f>
        <v>57276.50953612085</v>
      </c>
      <c r="W241" s="1">
        <f>W$212+(W$5=YEAR(Inputs!$E$58))*($E$202-$E241)</f>
        <v>57302.569719426356</v>
      </c>
      <c r="X241" s="1">
        <f>X$212+(X$5=YEAR(Inputs!$E$58))*($E$202-$E241)</f>
        <v>58757.81887615535</v>
      </c>
      <c r="Y241" s="1">
        <f>Y$212+(Y$5=YEAR(Inputs!$E$58))*($E$202-$E241)</f>
        <v>59802.344498252045</v>
      </c>
      <c r="Z241" s="1">
        <f>Z$212+(Z$5=YEAR(Inputs!$E$58))*($E$202-$E241)</f>
        <v>60151.42888819441</v>
      </c>
      <c r="AA241" s="1">
        <f>AA$212+(AA$5=YEAR(Inputs!$E$58))*($E$202-$E241)</f>
        <v>62274.25531429203</v>
      </c>
      <c r="AB241" s="1">
        <f>AB$212+(AB$5=YEAR(Inputs!$E$58))*($E$202-$E241)</f>
        <v>63348.31671091046</v>
      </c>
      <c r="AC241" s="1">
        <f>AC$212+(AC$5=YEAR(Inputs!$E$58))*($E$202-$E241)</f>
        <v>64140.226933917045</v>
      </c>
      <c r="AD241" s="1">
        <f>AD$212+(AD$5=YEAR(Inputs!$E$58))*($E$202-$E241)</f>
        <v>63703.26062657295</v>
      </c>
      <c r="AE241" s="1">
        <f>AE$212+(AE$5=YEAR(Inputs!$E$58))*($E$202-$E241)</f>
        <v>64743.69505702012</v>
      </c>
      <c r="AF241" s="1">
        <f>AF$212+(AF$5=YEAR(Inputs!$E$58))*($E$202-$E241)</f>
        <v>64720.63878859527</v>
      </c>
      <c r="AG241" s="1">
        <f>AG$212+(AG$5=YEAR(Inputs!$E$58))*($E$202-$E241)</f>
        <v>64352.90876340446</v>
      </c>
      <c r="AH241" s="1">
        <f>AH$212+(AH$5=YEAR(Inputs!$E$58))*($E$202-$E241)</f>
        <v>62442.2757593452</v>
      </c>
      <c r="AI241" s="1">
        <f>AI$212+(AI$5=YEAR(Inputs!$E$58))*($E$202-$E241)</f>
        <v>64145.45015104703</v>
      </c>
      <c r="AJ241" s="1">
        <f>AJ$212+(AJ$5=YEAR(Inputs!$E$58))*($E$202-$E241)</f>
        <v>64723.36522828659</v>
      </c>
      <c r="AK241" s="1">
        <f>AK$212+(AK$5=YEAR(Inputs!$E$58))*($E$202-$E241)</f>
        <v>65337.355311367035</v>
      </c>
      <c r="AL241" s="1">
        <f>AL$212+(AL$5=YEAR(Inputs!$E$58))*($E$202-$E241)</f>
        <v>65290.80316481818</v>
      </c>
      <c r="AM241" s="1">
        <f>AM$212+(AM$5=YEAR(Inputs!$E$58))*($E$202-$E241)</f>
        <v>66941.82769640902</v>
      </c>
      <c r="AN241" s="1">
        <f>AN$212+(AN$5=YEAR(Inputs!$E$58))*($E$202-$E241)</f>
        <v>69664.43619648693</v>
      </c>
      <c r="AO241" s="1">
        <f>AO$212+(AO$5=YEAR(Inputs!$E$58))*($E$202-$E241)</f>
        <v>72091.58259949979</v>
      </c>
      <c r="AP241" s="1">
        <f>AP$212+(AP$5=YEAR(Inputs!$E$58))*($E$202-$E241)</f>
        <v>72290.10994017063</v>
      </c>
      <c r="AQ241" s="1">
        <f>AQ$212+(AQ$5=YEAR(Inputs!$E$58))*($E$202-$E241)</f>
        <v>47221.981065557215</v>
      </c>
    </row>
    <row r="242" x14ac:dyDescent="0.25">
      <c r="C242" t="s">
        <v>1355</v>
      </c>
      <c r="D242" s="28">
        <f>Inputs!$E$147</f>
        <v>175</v>
      </c>
      <c r="E242" s="19">
        <f>D242*Inputs!$E$150+Tender!$E$213+MOIC!$G$144</f>
        <v>76857.17974068865</v>
      </c>
      <c r="F242" s="31">
        <f t="shared" si="90"/>
        <v>0.12100130368605606</v>
      </c>
      <c r="G242" s="3" cm="1">
        <f t="array" ref="G242">IFERROR(SUMPRODUCT(H242:AQ242/(1+Inputs!$E$253)^$H$4:$AQ$4)/-SUMPRODUCT((H242:AQ242&lt;0)*H242:AQ242/(1+Inputs!$E$253)^$H$4:$AQ$4),"n/a")</f>
        <v>0.6918184470497915</v>
      </c>
      <c r="H242" s="1">
        <f>H$212+(H$5=YEAR(Inputs!$E$58))*($E$202-$E242)</f>
        <v>0</v>
      </c>
      <c r="I242" s="1">
        <f>I$212+(I$5=YEAR(Inputs!$E$58))*($E$202-$E242)</f>
        <v>0</v>
      </c>
      <c r="J242" s="1">
        <f>J$212+(J$5=YEAR(Inputs!$E$58))*($E$202-$E242)</f>
        <v>0</v>
      </c>
      <c r="K242" s="1">
        <f>K$212+(K$5=YEAR(Inputs!$E$58))*($E$202-$E242)</f>
        <v>-23891.180897017774</v>
      </c>
      <c r="L242" s="1">
        <f>L$212+(L$5=YEAR(Inputs!$E$58))*($E$202-$E242)</f>
        <v>-154521.65685917647</v>
      </c>
      <c r="M242" s="1">
        <f>M$212+(M$5=YEAR(Inputs!$E$58))*($E$202-$E242)</f>
        <v>-66727.38857553998</v>
      </c>
      <c r="N242" s="1">
        <f>N$212+(N$5=YEAR(Inputs!$E$58))*($E$202-$E242)</f>
        <v>11042.053900449502</v>
      </c>
      <c r="O242" s="1">
        <f>O$212+(O$5=YEAR(Inputs!$E$58))*($E$202-$E242)</f>
        <v>11168.744279587327</v>
      </c>
      <c r="P242" s="1">
        <f>P$212+(P$5=YEAR(Inputs!$E$58))*($E$202-$E242)</f>
        <v>10306.541637509576</v>
      </c>
      <c r="Q242" s="1">
        <f>Q$212+(Q$5=YEAR(Inputs!$E$58))*($E$202-$E242)</f>
        <v>10560.50511361097</v>
      </c>
      <c r="R242" s="1">
        <f>R$212+(R$5=YEAR(Inputs!$E$58))*($E$202-$E242)</f>
        <v>10921.962911658795</v>
      </c>
      <c r="S242" s="1">
        <f>S$212+(S$5=YEAR(Inputs!$E$58))*($E$202-$E242)</f>
        <v>24721.680954766773</v>
      </c>
      <c r="T242" s="1">
        <f>T$212+(T$5=YEAR(Inputs!$E$58))*($E$202-$E242)</f>
        <v>29053.1143877784</v>
      </c>
      <c r="U242" s="1">
        <f>U$212+(U$5=YEAR(Inputs!$E$58))*($E$202-$E242)</f>
        <v>45613.65909030416</v>
      </c>
      <c r="V242" s="1">
        <f>V$212+(V$5=YEAR(Inputs!$E$58))*($E$202-$E242)</f>
        <v>57276.50953612085</v>
      </c>
      <c r="W242" s="1">
        <f>W$212+(W$5=YEAR(Inputs!$E$58))*($E$202-$E242)</f>
        <v>57302.569719426356</v>
      </c>
      <c r="X242" s="1">
        <f>X$212+(X$5=YEAR(Inputs!$E$58))*($E$202-$E242)</f>
        <v>58757.81887615535</v>
      </c>
      <c r="Y242" s="1">
        <f>Y$212+(Y$5=YEAR(Inputs!$E$58))*($E$202-$E242)</f>
        <v>59802.344498252045</v>
      </c>
      <c r="Z242" s="1">
        <f>Z$212+(Z$5=YEAR(Inputs!$E$58))*($E$202-$E242)</f>
        <v>60151.42888819441</v>
      </c>
      <c r="AA242" s="1">
        <f>AA$212+(AA$5=YEAR(Inputs!$E$58))*($E$202-$E242)</f>
        <v>62274.25531429203</v>
      </c>
      <c r="AB242" s="1">
        <f>AB$212+(AB$5=YEAR(Inputs!$E$58))*($E$202-$E242)</f>
        <v>63348.31671091046</v>
      </c>
      <c r="AC242" s="1">
        <f>AC$212+(AC$5=YEAR(Inputs!$E$58))*($E$202-$E242)</f>
        <v>64140.226933917045</v>
      </c>
      <c r="AD242" s="1">
        <f>AD$212+(AD$5=YEAR(Inputs!$E$58))*($E$202-$E242)</f>
        <v>63703.26062657295</v>
      </c>
      <c r="AE242" s="1">
        <f>AE$212+(AE$5=YEAR(Inputs!$E$58))*($E$202-$E242)</f>
        <v>64743.69505702012</v>
      </c>
      <c r="AF242" s="1">
        <f>AF$212+(AF$5=YEAR(Inputs!$E$58))*($E$202-$E242)</f>
        <v>64720.63878859527</v>
      </c>
      <c r="AG242" s="1">
        <f>AG$212+(AG$5=YEAR(Inputs!$E$58))*($E$202-$E242)</f>
        <v>64352.90876340446</v>
      </c>
      <c r="AH242" s="1">
        <f>AH$212+(AH$5=YEAR(Inputs!$E$58))*($E$202-$E242)</f>
        <v>62442.2757593452</v>
      </c>
      <c r="AI242" s="1">
        <f>AI$212+(AI$5=YEAR(Inputs!$E$58))*($E$202-$E242)</f>
        <v>64145.45015104703</v>
      </c>
      <c r="AJ242" s="1">
        <f>AJ$212+(AJ$5=YEAR(Inputs!$E$58))*($E$202-$E242)</f>
        <v>64723.36522828659</v>
      </c>
      <c r="AK242" s="1">
        <f>AK$212+(AK$5=YEAR(Inputs!$E$58))*($E$202-$E242)</f>
        <v>65337.355311367035</v>
      </c>
      <c r="AL242" s="1">
        <f>AL$212+(AL$5=YEAR(Inputs!$E$58))*($E$202-$E242)</f>
        <v>65290.80316481818</v>
      </c>
      <c r="AM242" s="1">
        <f>AM$212+(AM$5=YEAR(Inputs!$E$58))*($E$202-$E242)</f>
        <v>66941.82769640902</v>
      </c>
      <c r="AN242" s="1">
        <f>AN$212+(AN$5=YEAR(Inputs!$E$58))*($E$202-$E242)</f>
        <v>69664.43619648693</v>
      </c>
      <c r="AO242" s="1">
        <f>AO$212+(AO$5=YEAR(Inputs!$E$58))*($E$202-$E242)</f>
        <v>72091.58259949979</v>
      </c>
      <c r="AP242" s="1">
        <f>AP$212+(AP$5=YEAR(Inputs!$E$58))*($E$202-$E242)</f>
        <v>72290.10994017063</v>
      </c>
      <c r="AQ242" s="1">
        <f>AQ$212+(AQ$5=YEAR(Inputs!$E$58))*($E$202-$E242)</f>
        <v>47221.981065557215</v>
      </c>
    </row>
    <row r="243" x14ac:dyDescent="0.25">
      <c r="C243" t="s">
        <v>1356</v>
      </c>
      <c r="D243" s="28">
        <f>Inputs!$E$148</f>
        <v>200</v>
      </c>
      <c r="E243" s="19">
        <f>D243*Inputs!$E$150+Tender!$E$213+MOIC!$G$144</f>
        <v>81857.17974068865</v>
      </c>
      <c r="F243" s="31">
        <f t="shared" si="90"/>
        <v>0.11926490343271173</v>
      </c>
      <c r="G243" s="3" cm="1">
        <f t="array" ref="G243">IFERROR(SUMPRODUCT(H243:AQ243/(1+Inputs!$E$253)^$H$4:$AQ$4)/-SUMPRODUCT((H243:AQ243&lt;0)*H243:AQ243/(1+Inputs!$E$253)^$H$4:$AQ$4),"n/a")</f>
        <v>0.657586182140302</v>
      </c>
      <c r="H243" s="1">
        <f>H$212+(H$5=YEAR(Inputs!$E$58))*($E$202-$E243)</f>
        <v>0</v>
      </c>
      <c r="I243" s="1">
        <f>I$212+(I$5=YEAR(Inputs!$E$58))*($E$202-$E243)</f>
        <v>0</v>
      </c>
      <c r="J243" s="1">
        <f>J$212+(J$5=YEAR(Inputs!$E$58))*($E$202-$E243)</f>
        <v>0</v>
      </c>
      <c r="K243" s="1">
        <f>K$212+(K$5=YEAR(Inputs!$E$58))*($E$202-$E243)</f>
        <v>-23891.180897017774</v>
      </c>
      <c r="L243" s="1">
        <f>L$212+(L$5=YEAR(Inputs!$E$58))*($E$202-$E243)</f>
        <v>-159521.65685917647</v>
      </c>
      <c r="M243" s="1">
        <f>M$212+(M$5=YEAR(Inputs!$E$58))*($E$202-$E243)</f>
        <v>-66727.38857553998</v>
      </c>
      <c r="N243" s="1">
        <f>N$212+(N$5=YEAR(Inputs!$E$58))*($E$202-$E243)</f>
        <v>11042.053900449502</v>
      </c>
      <c r="O243" s="1">
        <f>O$212+(O$5=YEAR(Inputs!$E$58))*($E$202-$E243)</f>
        <v>11168.744279587327</v>
      </c>
      <c r="P243" s="1">
        <f>P$212+(P$5=YEAR(Inputs!$E$58))*($E$202-$E243)</f>
        <v>10306.541637509576</v>
      </c>
      <c r="Q243" s="1">
        <f>Q$212+(Q$5=YEAR(Inputs!$E$58))*($E$202-$E243)</f>
        <v>10560.50511361097</v>
      </c>
      <c r="R243" s="1">
        <f>R$212+(R$5=YEAR(Inputs!$E$58))*($E$202-$E243)</f>
        <v>10921.962911658795</v>
      </c>
      <c r="S243" s="1">
        <f>S$212+(S$5=YEAR(Inputs!$E$58))*($E$202-$E243)</f>
        <v>24721.680954766773</v>
      </c>
      <c r="T243" s="1">
        <f>T$212+(T$5=YEAR(Inputs!$E$58))*($E$202-$E243)</f>
        <v>29053.1143877784</v>
      </c>
      <c r="U243" s="1">
        <f>U$212+(U$5=YEAR(Inputs!$E$58))*($E$202-$E243)</f>
        <v>45613.65909030416</v>
      </c>
      <c r="V243" s="1">
        <f>V$212+(V$5=YEAR(Inputs!$E$58))*($E$202-$E243)</f>
        <v>57276.50953612085</v>
      </c>
      <c r="W243" s="1">
        <f>W$212+(W$5=YEAR(Inputs!$E$58))*($E$202-$E243)</f>
        <v>57302.569719426356</v>
      </c>
      <c r="X243" s="1">
        <f>X$212+(X$5=YEAR(Inputs!$E$58))*($E$202-$E243)</f>
        <v>58757.81887615535</v>
      </c>
      <c r="Y243" s="1">
        <f>Y$212+(Y$5=YEAR(Inputs!$E$58))*($E$202-$E243)</f>
        <v>59802.344498252045</v>
      </c>
      <c r="Z243" s="1">
        <f>Z$212+(Z$5=YEAR(Inputs!$E$58))*($E$202-$E243)</f>
        <v>60151.42888819441</v>
      </c>
      <c r="AA243" s="1">
        <f>AA$212+(AA$5=YEAR(Inputs!$E$58))*($E$202-$E243)</f>
        <v>62274.25531429203</v>
      </c>
      <c r="AB243" s="1">
        <f>AB$212+(AB$5=YEAR(Inputs!$E$58))*($E$202-$E243)</f>
        <v>63348.31671091046</v>
      </c>
      <c r="AC243" s="1">
        <f>AC$212+(AC$5=YEAR(Inputs!$E$58))*($E$202-$E243)</f>
        <v>64140.226933917045</v>
      </c>
      <c r="AD243" s="1">
        <f>AD$212+(AD$5=YEAR(Inputs!$E$58))*($E$202-$E243)</f>
        <v>63703.26062657295</v>
      </c>
      <c r="AE243" s="1">
        <f>AE$212+(AE$5=YEAR(Inputs!$E$58))*($E$202-$E243)</f>
        <v>64743.69505702012</v>
      </c>
      <c r="AF243" s="1">
        <f>AF$212+(AF$5=YEAR(Inputs!$E$58))*($E$202-$E243)</f>
        <v>64720.63878859527</v>
      </c>
      <c r="AG243" s="1">
        <f>AG$212+(AG$5=YEAR(Inputs!$E$58))*($E$202-$E243)</f>
        <v>64352.90876340446</v>
      </c>
      <c r="AH243" s="1">
        <f>AH$212+(AH$5=YEAR(Inputs!$E$58))*($E$202-$E243)</f>
        <v>62442.2757593452</v>
      </c>
      <c r="AI243" s="1">
        <f>AI$212+(AI$5=YEAR(Inputs!$E$58))*($E$202-$E243)</f>
        <v>64145.45015104703</v>
      </c>
      <c r="AJ243" s="1">
        <f>AJ$212+(AJ$5=YEAR(Inputs!$E$58))*($E$202-$E243)</f>
        <v>64723.36522828659</v>
      </c>
      <c r="AK243" s="1">
        <f>AK$212+(AK$5=YEAR(Inputs!$E$58))*($E$202-$E243)</f>
        <v>65337.355311367035</v>
      </c>
      <c r="AL243" s="1">
        <f>AL$212+(AL$5=YEAR(Inputs!$E$58))*($E$202-$E243)</f>
        <v>65290.80316481818</v>
      </c>
      <c r="AM243" s="1">
        <f>AM$212+(AM$5=YEAR(Inputs!$E$58))*($E$202-$E243)</f>
        <v>66941.82769640902</v>
      </c>
      <c r="AN243" s="1">
        <f>AN$212+(AN$5=YEAR(Inputs!$E$58))*($E$202-$E243)</f>
        <v>69664.43619648693</v>
      </c>
      <c r="AO243" s="1">
        <f>AO$212+(AO$5=YEAR(Inputs!$E$58))*($E$202-$E243)</f>
        <v>72091.58259949979</v>
      </c>
      <c r="AP243" s="1">
        <f>AP$212+(AP$5=YEAR(Inputs!$E$58))*($E$202-$E243)</f>
        <v>72290.10994017063</v>
      </c>
      <c r="AQ243" s="1">
        <f>AQ$212+(AQ$5=YEAR(Inputs!$E$58))*($E$202-$E243)</f>
        <v>47221.981065557215</v>
      </c>
    </row>
    <row r="246" spans="3:43" x14ac:dyDescent="0.25">
      <c r="C246" s="6" t="s">
        <v>1357</v>
      </c>
    </row>
    <row r="247" spans="3:43" x14ac:dyDescent="0.25">
      <c r="C247" s="91" t="s">
        <v>1124</v>
      </c>
      <c r="D247" s="91" t="s">
        <v>1358</v>
      </c>
      <c r="E247" s="91" t="s">
        <v>1359</v>
      </c>
      <c r="F247" s="91" t="s">
        <v>1017</v>
      </c>
      <c r="G247" s="91" t="s">
        <v>1360</v>
      </c>
      <c r="H247" s="91" t="s">
        <v>1361</v>
      </c>
      <c r="I247" s="91" t="s">
        <v>1362</v>
      </c>
      <c r="J247" s="91" t="s">
        <v>2224</v>
      </c>
      <c r="K247" s="90"/>
      <c r="L247" s="90"/>
      <c r="M247" s="90"/>
      <c r="N247" s="90"/>
      <c r="O247" s="90"/>
      <c r="P247" s="90"/>
      <c r="Q247" s="90"/>
      <c r="R247" s="90"/>
      <c r="S247" s="90"/>
      <c r="T247" s="90"/>
      <c r="U247" s="90"/>
      <c r="V247" s="90"/>
      <c r="W247" s="90"/>
      <c r="X247" s="90"/>
      <c r="Y247" s="90"/>
      <c r="Z247" s="90"/>
      <c r="AA247" s="90"/>
      <c r="AB247" s="90"/>
      <c r="AC247" s="90"/>
      <c r="AD247" s="90"/>
      <c r="AE247" s="90"/>
      <c r="AF247" s="90"/>
      <c r="AG247" s="90"/>
      <c r="AH247" s="90"/>
      <c r="AI247" s="90"/>
      <c r="AJ247" s="90"/>
      <c r="AK247" s="90"/>
      <c r="AL247" s="90"/>
      <c r="AM247" s="90"/>
      <c r="AN247" s="90"/>
      <c r="AO247" s="90"/>
      <c r="AP247" s="90"/>
      <c r="AQ247" s="90"/>
    </row>
    <row r="248" spans="3:43" x14ac:dyDescent="0.25">
      <c r="C248" t="s">
        <v>1313</v>
      </c>
      <c r="D248" s="143">
        <f>Inputs!$E$244</f>
        <v>0</v>
      </c>
      <c r="E248" s="1">
        <f>$G$157*$E$259</f>
        <v>0</v>
      </c>
      <c r="F248" s="31">
        <f>IFERROR(IRR(H263:AQ263),"n/a")</f>
        <v>0.10882051434519704</v>
      </c>
      <c r="G248" s="3" cm="1">
        <f t="array" ref="G248">IFERROR(SUMPRODUCT(H263:AQ263/(1+Inputs!$E$253)^$H$4:$AQ$4)/-SUMPRODUCT((H263:AQ263&lt;0)*H263:AQ263/(1+Inputs!$E$253)^$H$4:$AQ$4),"n/a")</f>
        <v>0.3371383782066882</v>
      </c>
      <c r="H248" s="3" t="str">
        <f>IF(COUNT(H264:AQ264)=0,"n/a",MIN(H264:AQ264))</f>
        <v>n/a</v>
      </c>
      <c r="I248" s="1" cm="1">
        <f t="array" ref="I248">SUMPRODUCT(H263:AQ263/(1+Inputs!$E$253)^$H$4:$AQ$4)</f>
        <v>111974.77594419185</v>
      </c>
      <c r="J248" s="1" t="str">
        <f>IF(ISNUMBER(H248),IF(H248&gt;=Inputs!$E$251,"OK","BELOW"),"n/a")</f>
        <v>n/a</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spans="3:43" x14ac:dyDescent="0.25">
      <c r="C249" t="s">
        <v>1314</v>
      </c>
      <c r="D249" s="143">
        <f>Inputs!$E$245</f>
        <v>0.3</v>
      </c>
      <c r="E249" s="1">
        <f>$G$157*$E$266</f>
        <v>136268.90875980986</v>
      </c>
      <c r="F249" s="31">
        <f>IFERROR(IRR(H270:AQ270),"n/a")</f>
        <v>0.11400280409940727</v>
      </c>
      <c r="G249" s="3" cm="1">
        <f t="array" ref="G249">IFERROR(SUMPRODUCT(H270:AQ270/(1+Inputs!$E$253)^$H$4:$AQ$4)/-SUMPRODUCT((H270:AQ270&lt;0)*H270:AQ270/(1+Inputs!$E$253)^$H$4:$AQ$4),"n/a")</f>
        <v>0.4731792989820585</v>
      </c>
      <c r="H249" s="3">
        <f>IF(COUNT(H271:AQ271)=0,"n/a",MIN(H271:AQ271))</f>
        <v>2.9776868915940913</v>
      </c>
      <c r="I249" s="1" cm="1">
        <f t="array" ref="I249">SUMPRODUCT(H270:AQ270/(1+Inputs!$E$253)^$H$4:$AQ$4)</f>
        <v>117572.87228415255</v>
      </c>
      <c r="J249" s="1" t="str">
        <f>IF(ISNUMBER(H249),IF(H249&gt;=Inputs!$E$251,"OK","BELOW"),"n/a")</f>
        <v>OK</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spans="3:43" x14ac:dyDescent="0.25">
      <c r="C250" t="s">
        <v>1315</v>
      </c>
      <c r="D250" s="143">
        <f>Inputs!$E$246</f>
        <v>0.4</v>
      </c>
      <c r="E250" s="1">
        <f>$G$157*$E$273</f>
        <v>181691.87834641314</v>
      </c>
      <c r="F250" s="31">
        <f>IFERROR(IRR(H277:AQ277),"n/a")</f>
        <v>0.11607714053732247</v>
      </c>
      <c r="G250" s="3" cm="1">
        <f t="array" ref="G250">IFERROR(SUMPRODUCT(H277:AQ277/(1+Inputs!$E$253)^$H$4:$AQ$4)/-SUMPRODUCT((H277:AQ277&lt;0)*H277:AQ277/(1+Inputs!$E$253)^$H$4:$AQ$4),"n/a")</f>
        <v>0.541456926054191</v>
      </c>
      <c r="H250" s="3">
        <f>IF(COUNT(H278:AQ278)=0,"n/a",MIN(H278:AQ278))</f>
        <v>2.2401851807673507</v>
      </c>
      <c r="I250" s="1" cm="1">
        <f t="array" ref="I250">SUMPRODUCT(H277:AQ277/(1+Inputs!$E$253)^$H$4:$AQ$4)</f>
        <v>119438.90439747277</v>
      </c>
      <c r="J250" s="1" t="str">
        <f>IF(ISNUMBER(H250),IF(H250&gt;=Inputs!$E$251,"OK","BELOW"),"n/a")</f>
        <v>OK</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spans="3:43" x14ac:dyDescent="0.25">
      <c r="C251" s="145" t="s">
        <v>1316</v>
      </c>
      <c r="D251" s="140">
        <f>Inputs!$E$247</f>
        <v>0.5</v>
      </c>
      <c r="E251" s="146">
        <f>$G$157*$E$280</f>
        <v>227114.84793301643</v>
      </c>
      <c r="F251" s="55">
        <f>IFERROR(IRR(H284:AQ284),"n/a")</f>
        <v>0.11837922481351425</v>
      </c>
      <c r="G251" s="178" cm="1">
        <f t="array" ref="G251">IFERROR(SUMPRODUCT(H284:AQ284/(1+Inputs!$E$253)^$H$4:$AQ$4)/-SUMPRODUCT((H284:AQ284&lt;0)*H284:AQ284/(1+Inputs!$E$253)^$H$4:$AQ$4),"n/a")</f>
        <v>0.6294957277888233</v>
      </c>
      <c r="H251" s="3">
        <f>IF(COUNT(H285:AQ285)=0,"n/a",MIN(H285:AQ285))</f>
        <v>1.7976841542713065</v>
      </c>
      <c r="I251" s="1" cm="1">
        <f t="array" ref="I251">SUMPRODUCT(H284:AQ284/(1+Inputs!$E$253)^$H$4:$AQ$4)</f>
        <v>121304.936510793</v>
      </c>
      <c r="J251" s="1" t="str">
        <f>IF(ISNUMBER(H251),IF(H251&gt;=Inputs!$E$251,"OK","BELOW"),"n/a")</f>
        <v>OK</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spans="3:43" x14ac:dyDescent="0.25">
      <c r="C252" t="s">
        <v>1317</v>
      </c>
      <c r="D252" s="143">
        <f>Inputs!$E$248</f>
        <v>0.55</v>
      </c>
      <c r="E252" s="1">
        <f>$G$157*$E$287</f>
        <v>249826.33272631807</v>
      </c>
      <c r="F252" s="31">
        <f>IFERROR(IRR(H291:AQ291),"n/a")</f>
        <v>0.1196298896270639</v>
      </c>
      <c r="G252" s="3" cm="1">
        <f t="array" ref="G252">IFERROR(SUMPRODUCT(H291:AQ291/(1+Inputs!$E$253)^$H$4:$AQ$4)/-SUMPRODUCT((H291:AQ291&lt;0)*H291:AQ291/(1+Inputs!$E$253)^$H$4:$AQ$4),"n/a")</f>
        <v>0.683815630220059</v>
      </c>
      <c r="H252" s="3">
        <f>IF(COUNT(H292:AQ292)=0,"n/a",MIN(H292:AQ292))</f>
        <v>1.6367746900909266</v>
      </c>
      <c r="I252" s="1" cm="1">
        <f t="array" ref="I252">SUMPRODUCT(H291:AQ291/(1+Inputs!$E$253)^$H$4:$AQ$4)</f>
        <v>122237.95256745312</v>
      </c>
      <c r="J252" s="1" t="str">
        <f>IF(ISNUMBER(H252),IF(H252&gt;=Inputs!$E$251,"OK","BELOW"),"n/a")</f>
        <v>OK</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spans="3:43" x14ac:dyDescent="0.25">
      <c r="C253" t="s">
        <v>1318</v>
      </c>
      <c r="D253" s="143">
        <f>Inputs!$E$249</f>
        <v>0.6</v>
      </c>
      <c r="E253" s="1">
        <f>$G$157*$E$294</f>
        <v>272537.8175196197</v>
      </c>
      <c r="F253" s="31">
        <f>IFERROR(IRR(H298:AQ298),"n/a")</f>
        <v>0.12095629384291168</v>
      </c>
      <c r="G253" s="3" cm="1">
        <f t="array" ref="G253">IFERROR(SUMPRODUCT(H298:AQ298/(1+Inputs!$E$253)^$H$4:$AQ$4)/-SUMPRODUCT((H298:AQ298&lt;0)*H298:AQ298/(1+Inputs!$E$253)^$H$4:$AQ$4),"n/a")</f>
        <v>0.7473262817402602</v>
      </c>
      <c r="H253" s="3">
        <f>IF(COUNT(H299:AQ299)=0,"n/a",MIN(H299:AQ299))</f>
        <v>1.50268346994061</v>
      </c>
      <c r="I253" s="1" cm="1">
        <f t="array" ref="I253">SUMPRODUCT(H298:AQ298/(1+Inputs!$E$253)^$H$4:$AQ$4)</f>
        <v>123170.96862411323</v>
      </c>
      <c r="J253" s="1" t="str">
        <f>IF(ISNUMBER(H253),IF(H253&gt;=Inputs!$E$251,"OK","BELOW"),"n/a")</f>
        <v>OK</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spans="3:43" x14ac:dyDescent="0.25">
      <c r="C254" t="s">
        <v>1319</v>
      </c>
      <c r="D254" s="143">
        <f>Inputs!$E$250</f>
        <v>0.7</v>
      </c>
      <c r="E254" s="1">
        <f>$G$157*$E$301</f>
        <v>317960.78710622294</v>
      </c>
      <c r="F254" s="31">
        <f>IFERROR(IRR(H305:AQ305),"n/a")</f>
        <v>0.12386776991816983</v>
      </c>
      <c r="G254" s="3" cm="1">
        <f t="array" ref="G254">IFERROR(SUMPRODUCT(H305:AQ305/(1+Inputs!$E$253)^$H$4:$AQ$4)/-SUMPRODUCT((H305:AQ305&lt;0)*H305:AQ305/(1+Inputs!$E$253)^$H$4:$AQ$4),"n/a")</f>
        <v>0.9009690001775599</v>
      </c>
      <c r="H254" s="3">
        <f>IF(COUNT(H306:AQ306)=0,"n/a",MIN(H306:AQ306))</f>
        <v>1.2919686954186844</v>
      </c>
      <c r="I254" s="1" cm="1">
        <f t="array" ref="I254">SUMPRODUCT(H305:AQ305/(1+Inputs!$E$253)^$H$4:$AQ$4)</f>
        <v>125031.93563131762</v>
      </c>
      <c r="J254" s="1" t="str">
        <f>IF(ISNUMBER(H254),IF(H254&gt;=Inputs!$E$251,"OK","BELOW"),"n/a")</f>
        <v>BELOW</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spans="3:43" x14ac:dyDescent="0.25">
      <c r="C255" t="s">
        <v>2247</v>
      </c>
      <c r="D255" t="s">
        <v>2</v>
      </c>
      <c r="E255" s="180" cm="1">
        <f t="array" ref="E255">IFERROR(MATCH(TRUE,INDEX(F248:F254&gt;=Inputs!$E$252,0),0),0)</f>
        <v>2</v>
      </c>
      <c r="G255" s="101" cm="1">
        <f t="array" ref="G255">IF(E255=0,"none in range",IF(E255=1,D248,INDEX(D248:D254,E255-1)+(Inputs!$E$252-INDEX(F248:F254,E255-1))/(INDEX(F248:F254,E255)-INDEX(F248:F254,E255-1))*(INDEX(D248:D254,E255)-INDEX(D248:D254,E255-1))))</f>
        <v>0.06827979777730744</v>
      </c>
    </row>
    <row r="256" spans="3:43" x14ac:dyDescent="0.25">
      <c r="C256" t="s">
        <v>2248</v>
      </c>
      <c r="D256" t="s">
        <v>2</v>
      </c>
      <c r="E256" s="180" cm="1">
        <f t="array" ref="E256">IFERROR(LOOKUP(2,1/(ISNUMBER(H248:H254)*(H248:H254&gt;=Inputs!$E$251)),ROW(H248:H254)-ROW(H248)+1),0)</f>
        <v>6</v>
      </c>
      <c r="G256" s="101" cm="1">
        <f t="array" ref="G256">IF(E256=0,"none in range",IF(E256=7,D254,INDEX(D248:D254,E256)+(INDEX(H248:H254,E256)-Inputs!$E$251)/(INDEX(H248:H254,E256)-INDEX(H248:H254,E256+1))*(INDEX(D248:D254,E256+1)-INDEX(D248:D254,E256))))</f>
        <v>0.6012735082040157</v>
      </c>
    </row>
    <row r="257" spans="3:43" x14ac:dyDescent="0.25">
      <c r="C257" t="s">
        <v>1363</v>
      </c>
      <c r="D257" t="s">
        <v>57</v>
      </c>
      <c r="G257" s="130" t="str">
        <f>IFERROR(IF(ABS(INDEX(F248:F254,MATCH(Inputs!$E$217,D248:D254,0))-G139)&lt;0.00001,"OK","FAIL"),"n/a – live gearing not in scenarios")</f>
        <v>FAIL</v>
      </c>
    </row>
    <row r="259" spans="3:43" x14ac:dyDescent="0.25">
      <c r="C259" s="43" t="str">
        <f>"15."&amp;1&amp;" Gearing scenario 1 – "&amp;TEXT(D248,"0%")&amp;" (debt scale factor vs live case in E)"</f>
        <v>15.1 Gearing scenario 1 – 0% (debt scale factor vs live case in E)</v>
      </c>
      <c r="D259" s="43" t="s">
        <v>4</v>
      </c>
      <c r="E259" s="123">
        <f>IF(Inputs!$E$217=0,0,D248/Inputs!$E$217)</f>
        <v>0</v>
      </c>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c r="AC259" s="123"/>
      <c r="AD259" s="123"/>
      <c r="AE259" s="123"/>
      <c r="AF259" s="123"/>
      <c r="AG259" s="123"/>
      <c r="AH259" s="123"/>
      <c r="AI259" s="123"/>
      <c r="AJ259" s="123"/>
      <c r="AK259" s="123"/>
      <c r="AL259" s="123"/>
      <c r="AM259" s="123"/>
      <c r="AN259" s="123"/>
      <c r="AO259" s="123"/>
      <c r="AP259" s="123"/>
      <c r="AQ259" s="123"/>
    </row>
    <row r="260" spans="3:43" x14ac:dyDescent="0.25">
      <c r="C260" t="s">
        <v>1364</v>
      </c>
      <c r="D260" t="s">
        <v>844</v>
      </c>
      <c r="E260" s="1"/>
      <c r="F260" s="1"/>
      <c r="G260" s="1"/>
      <c r="H260" s="1">
        <f t="shared" ref="H260:AQ260" si="91">H$70+H$16-(-$G$30+$E$259*$G$79)/$E$92*H$90-$E$259*H$81+$E$259*H$85</f>
        <v>-177.24324324324326</v>
      </c>
      <c r="I260" s="1">
        <f t="shared" si="91"/>
        <v>-856.331081081081</v>
      </c>
      <c r="J260" s="1">
        <f t="shared" si="91"/>
        <v>-1753.731056885054</v>
      </c>
      <c r="K260" s="1">
        <f t="shared" si="91"/>
        <v>-497.78203899628693</v>
      </c>
      <c r="L260" s="1">
        <f t="shared" si="91"/>
        <v>-802.0975609756099</v>
      </c>
      <c r="M260" s="1">
        <f t="shared" si="91"/>
        <v>8149.028720548582</v>
      </c>
      <c r="N260" s="1">
        <f t="shared" si="91"/>
        <v>34049.67659654648</v>
      </c>
      <c r="O260" s="1">
        <f t="shared" si="91"/>
        <v>35250.37015957044</v>
      </c>
      <c r="P260" s="1">
        <f t="shared" si="91"/>
        <v>33516.51089222268</v>
      </c>
      <c r="Q260" s="1">
        <f t="shared" si="91"/>
        <v>34239.55491280066</v>
      </c>
      <c r="R260" s="1">
        <f t="shared" si="91"/>
        <v>35208.35018047915</v>
      </c>
      <c r="S260" s="1">
        <f t="shared" si="91"/>
        <v>38555.60753642064</v>
      </c>
      <c r="T260" s="1">
        <f t="shared" si="91"/>
        <v>38521.65236044336</v>
      </c>
      <c r="U260" s="1">
        <f t="shared" si="91"/>
        <v>39090.450713934966</v>
      </c>
      <c r="V260" s="1">
        <f t="shared" si="91"/>
        <v>39174.01486612911</v>
      </c>
      <c r="W260" s="1">
        <f t="shared" si="91"/>
        <v>39202.652430201095</v>
      </c>
      <c r="X260" s="1">
        <f t="shared" si="91"/>
        <v>40801.82732770548</v>
      </c>
      <c r="Y260" s="1">
        <f t="shared" si="91"/>
        <v>41949.657681657896</v>
      </c>
      <c r="Z260" s="1">
        <f t="shared" si="91"/>
        <v>42333.26690137478</v>
      </c>
      <c r="AA260" s="1">
        <f t="shared" si="91"/>
        <v>44666.043193789745</v>
      </c>
      <c r="AB260" s="1">
        <f t="shared" si="91"/>
        <v>45846.33044282099</v>
      </c>
      <c r="AC260" s="1">
        <f t="shared" si="91"/>
        <v>46716.56145711394</v>
      </c>
      <c r="AD260" s="1">
        <f t="shared" si="91"/>
        <v>46236.37870179075</v>
      </c>
      <c r="AE260" s="1">
        <f t="shared" si="91"/>
        <v>47379.713240743695</v>
      </c>
      <c r="AF260" s="1">
        <f t="shared" si="91"/>
        <v>47354.376682035065</v>
      </c>
      <c r="AG260" s="1">
        <f t="shared" si="91"/>
        <v>52892.0788543373</v>
      </c>
      <c r="AH260" s="1">
        <f t="shared" si="91"/>
        <v>68617.88544982989</v>
      </c>
      <c r="AI260" s="1">
        <f t="shared" si="91"/>
        <v>70489.50566049124</v>
      </c>
      <c r="AJ260" s="1">
        <f t="shared" si="91"/>
        <v>71124.5771739413</v>
      </c>
      <c r="AK260" s="1">
        <f t="shared" si="91"/>
        <v>71799.29155095278</v>
      </c>
      <c r="AL260" s="1">
        <f t="shared" si="91"/>
        <v>71748.13534595404</v>
      </c>
      <c r="AM260" s="1">
        <f t="shared" si="91"/>
        <v>73562.4480180319</v>
      </c>
      <c r="AN260" s="1">
        <f t="shared" si="91"/>
        <v>76554.32549064499</v>
      </c>
      <c r="AO260" s="1">
        <f t="shared" si="91"/>
        <v>79221.51934010966</v>
      </c>
      <c r="AP260" s="1">
        <f t="shared" si="91"/>
        <v>79439.68125293475</v>
      </c>
      <c r="AQ260" s="1">
        <f t="shared" si="91"/>
        <v>60496.682489623316</v>
      </c>
    </row>
    <row r="261" spans="3:43" x14ac:dyDescent="0.25">
      <c r="C261" t="s">
        <v>986</v>
      </c>
      <c r="D261" t="s">
        <v>844</v>
      </c>
      <c r="E261" s="1"/>
      <c r="F261" s="1"/>
      <c r="G261" s="1">
        <v>0</v>
      </c>
      <c r="H261" s="1">
        <f t="shared" ref="H261:AQ261" si="92">G261+MAX(-H260,0)-MIN(G261,MAX(H260,0)*$E$95)</f>
        <v>177.24324324324326</v>
      </c>
      <c r="I261" s="1">
        <f t="shared" si="92"/>
        <v>1033.5743243243244</v>
      </c>
      <c r="J261" s="1">
        <f t="shared" si="92"/>
        <v>2787.3053812093785</v>
      </c>
      <c r="K261" s="1">
        <f t="shared" si="92"/>
        <v>3285.0874202056657</v>
      </c>
      <c r="L261" s="1">
        <f t="shared" si="92"/>
        <v>4087.1849811812754</v>
      </c>
      <c r="M261" s="1">
        <f t="shared" si="92"/>
        <v>12.670620906984368</v>
      </c>
      <c r="N261" s="1">
        <f t="shared" si="92"/>
        <v>0</v>
      </c>
      <c r="O261" s="1">
        <f t="shared" si="92"/>
        <v>0</v>
      </c>
      <c r="P261" s="1">
        <f t="shared" si="92"/>
        <v>0</v>
      </c>
      <c r="Q261" s="1">
        <f t="shared" si="92"/>
        <v>0</v>
      </c>
      <c r="R261" s="1">
        <f t="shared" si="92"/>
        <v>0</v>
      </c>
      <c r="S261" s="1">
        <f t="shared" si="92"/>
        <v>0</v>
      </c>
      <c r="T261" s="1">
        <f t="shared" si="92"/>
        <v>0</v>
      </c>
      <c r="U261" s="1">
        <f t="shared" si="92"/>
        <v>0</v>
      </c>
      <c r="V261" s="1">
        <f t="shared" si="92"/>
        <v>0</v>
      </c>
      <c r="W261" s="1">
        <f t="shared" si="92"/>
        <v>0</v>
      </c>
      <c r="X261" s="1">
        <f t="shared" si="92"/>
        <v>0</v>
      </c>
      <c r="Y261" s="1">
        <f t="shared" si="92"/>
        <v>0</v>
      </c>
      <c r="Z261" s="1">
        <f t="shared" si="92"/>
        <v>0</v>
      </c>
      <c r="AA261" s="1">
        <f t="shared" si="92"/>
        <v>0</v>
      </c>
      <c r="AB261" s="1">
        <f t="shared" si="92"/>
        <v>0</v>
      </c>
      <c r="AC261" s="1">
        <f t="shared" si="92"/>
        <v>0</v>
      </c>
      <c r="AD261" s="1">
        <f t="shared" si="92"/>
        <v>0</v>
      </c>
      <c r="AE261" s="1">
        <f t="shared" si="92"/>
        <v>0</v>
      </c>
      <c r="AF261" s="1">
        <f t="shared" si="92"/>
        <v>0</v>
      </c>
      <c r="AG261" s="1">
        <f t="shared" si="92"/>
        <v>0</v>
      </c>
      <c r="AH261" s="1">
        <f t="shared" si="92"/>
        <v>0</v>
      </c>
      <c r="AI261" s="1">
        <f t="shared" si="92"/>
        <v>0</v>
      </c>
      <c r="AJ261" s="1">
        <f t="shared" si="92"/>
        <v>0</v>
      </c>
      <c r="AK261" s="1">
        <f t="shared" si="92"/>
        <v>0</v>
      </c>
      <c r="AL261" s="1">
        <f t="shared" si="92"/>
        <v>0</v>
      </c>
      <c r="AM261" s="1">
        <f t="shared" si="92"/>
        <v>0</v>
      </c>
      <c r="AN261" s="1">
        <f t="shared" si="92"/>
        <v>0</v>
      </c>
      <c r="AO261" s="1">
        <f t="shared" si="92"/>
        <v>0</v>
      </c>
      <c r="AP261" s="1">
        <f t="shared" si="92"/>
        <v>0</v>
      </c>
      <c r="AQ261" s="1">
        <f t="shared" si="92"/>
        <v>0</v>
      </c>
    </row>
    <row r="262" spans="3:43" x14ac:dyDescent="0.25">
      <c r="C262" t="s">
        <v>1365</v>
      </c>
      <c r="D262" t="s">
        <v>844</v>
      </c>
      <c r="E262" s="1"/>
      <c r="F262" s="1"/>
      <c r="G262" s="1"/>
      <c r="H262" s="1">
        <f t="shared" ref="H262:AQ262" si="93">-(MAX(H260,0)-MIN(G261,MAX(H260,0)*$E$95))*$E$91-MAX(H260,0)*$E$99</f>
        <v>-0</v>
      </c>
      <c r="I262" s="1">
        <f t="shared" si="93"/>
        <v>-0</v>
      </c>
      <c r="J262" s="1">
        <f t="shared" si="93"/>
        <v>-0</v>
      </c>
      <c r="K262" s="1">
        <f t="shared" si="93"/>
        <v>-0</v>
      </c>
      <c r="L262" s="1">
        <f t="shared" si="93"/>
        <v>-0</v>
      </c>
      <c r="M262" s="1">
        <f t="shared" si="93"/>
        <v>-366.7062924246862</v>
      </c>
      <c r="N262" s="1">
        <f t="shared" si="93"/>
        <v>-3063.3305378075547</v>
      </c>
      <c r="O262" s="1">
        <f t="shared" si="93"/>
        <v>-3172.5333143613398</v>
      </c>
      <c r="P262" s="1">
        <f t="shared" si="93"/>
        <v>-3016.485980300041</v>
      </c>
      <c r="Q262" s="1">
        <f t="shared" si="93"/>
        <v>-3081.559942152059</v>
      </c>
      <c r="R262" s="1">
        <f t="shared" si="93"/>
        <v>-3168.7515162431237</v>
      </c>
      <c r="S262" s="1">
        <f t="shared" si="93"/>
        <v>-3470.0046782778577</v>
      </c>
      <c r="T262" s="1">
        <f t="shared" si="93"/>
        <v>-3466.9487124399025</v>
      </c>
      <c r="U262" s="1">
        <f t="shared" si="93"/>
        <v>-3518.1405642541467</v>
      </c>
      <c r="V262" s="1">
        <f t="shared" si="93"/>
        <v>-3525.6613379516198</v>
      </c>
      <c r="W262" s="1">
        <f t="shared" si="93"/>
        <v>-3528.2387187180984</v>
      </c>
      <c r="X262" s="1">
        <f t="shared" si="93"/>
        <v>-3672.1644594934933</v>
      </c>
      <c r="Y262" s="1">
        <f t="shared" si="93"/>
        <v>-3775.4691913492106</v>
      </c>
      <c r="Z262" s="1">
        <f t="shared" si="93"/>
        <v>-3809.99402112373</v>
      </c>
      <c r="AA262" s="1">
        <f t="shared" si="93"/>
        <v>-4019.943887441077</v>
      </c>
      <c r="AB262" s="1">
        <f t="shared" si="93"/>
        <v>-4126.169739853889</v>
      </c>
      <c r="AC262" s="1">
        <f t="shared" si="93"/>
        <v>-4204.4905311402545</v>
      </c>
      <c r="AD262" s="1">
        <f t="shared" si="93"/>
        <v>-4161.274083161167</v>
      </c>
      <c r="AE262" s="1">
        <f t="shared" si="93"/>
        <v>-4264.1741916669325</v>
      </c>
      <c r="AF262" s="1">
        <f t="shared" si="93"/>
        <v>-4261.893901383156</v>
      </c>
      <c r="AG262" s="1">
        <f t="shared" si="93"/>
        <v>-4760.287096890356</v>
      </c>
      <c r="AH262" s="1">
        <f t="shared" si="93"/>
        <v>-6175.60969048469</v>
      </c>
      <c r="AI262" s="1">
        <f t="shared" si="93"/>
        <v>-6344.055509444212</v>
      </c>
      <c r="AJ262" s="1">
        <f t="shared" si="93"/>
        <v>-6401.211945654717</v>
      </c>
      <c r="AK262" s="1">
        <f t="shared" si="93"/>
        <v>-6461.93623958575</v>
      </c>
      <c r="AL262" s="1">
        <f t="shared" si="93"/>
        <v>-6457.332181135864</v>
      </c>
      <c r="AM262" s="1">
        <f t="shared" si="93"/>
        <v>-6620.6203216228705</v>
      </c>
      <c r="AN262" s="1">
        <f t="shared" si="93"/>
        <v>-6889.889294158049</v>
      </c>
      <c r="AO262" s="1">
        <f t="shared" si="93"/>
        <v>-7129.936740609869</v>
      </c>
      <c r="AP262" s="1">
        <f t="shared" si="93"/>
        <v>-7149.5713127641275</v>
      </c>
      <c r="AQ262" s="1">
        <f t="shared" si="93"/>
        <v>-5444.701424066098</v>
      </c>
    </row>
    <row r="263" spans="3:43" x14ac:dyDescent="0.25">
      <c r="C263" t="s">
        <v>1009</v>
      </c>
      <c r="D263" t="s">
        <v>844</v>
      </c>
      <c r="E263" s="1"/>
      <c r="F263" s="1"/>
      <c r="G263" s="1"/>
      <c r="H263" s="1">
        <f t="shared" ref="H263:AQ263" si="94">(H$109+$E$259*(H$77+H$85-H$80+H$86-H$87+H$89)+H262)*$E$128</f>
        <v>-3175.234818585709</v>
      </c>
      <c r="I263" s="1">
        <f t="shared" si="94"/>
        <v>-1953.381766012588</v>
      </c>
      <c r="J263" s="1">
        <f t="shared" si="94"/>
        <v>-2850.781741816561</v>
      </c>
      <c r="K263" s="1">
        <f t="shared" si="94"/>
        <v>-89489.15739242094</v>
      </c>
      <c r="L263" s="1">
        <f t="shared" si="94"/>
        <v>-218407.81944608467</v>
      </c>
      <c r="M263" s="1">
        <f t="shared" si="94"/>
        <v>-136837.54208231805</v>
      </c>
      <c r="N263" s="1">
        <f t="shared" si="94"/>
        <v>52546.41088805399</v>
      </c>
      <c r="O263" s="1">
        <f t="shared" si="94"/>
        <v>53637.90167452417</v>
      </c>
      <c r="P263" s="1">
        <f t="shared" si="94"/>
        <v>52060.0897412377</v>
      </c>
      <c r="Q263" s="1">
        <f t="shared" si="94"/>
        <v>52718.05979996367</v>
      </c>
      <c r="R263" s="1">
        <f t="shared" si="94"/>
        <v>53599.663493551096</v>
      </c>
      <c r="S263" s="1">
        <f t="shared" si="94"/>
        <v>56645.66768745785</v>
      </c>
      <c r="T263" s="1">
        <f t="shared" si="94"/>
        <v>56614.768477318525</v>
      </c>
      <c r="U263" s="1">
        <f t="shared" si="94"/>
        <v>57132.37497899588</v>
      </c>
      <c r="V263" s="1">
        <f t="shared" si="94"/>
        <v>57208.418357492556</v>
      </c>
      <c r="W263" s="1">
        <f t="shared" si="94"/>
        <v>57234.47854079806</v>
      </c>
      <c r="X263" s="1">
        <f t="shared" si="94"/>
        <v>58689.72769752706</v>
      </c>
      <c r="Y263" s="1">
        <f t="shared" si="94"/>
        <v>59734.25331962375</v>
      </c>
      <c r="Z263" s="1">
        <f t="shared" si="94"/>
        <v>60083.33770956611</v>
      </c>
      <c r="AA263" s="1">
        <f t="shared" si="94"/>
        <v>62206.164135663734</v>
      </c>
      <c r="AB263" s="1">
        <f t="shared" si="94"/>
        <v>63280.225532282166</v>
      </c>
      <c r="AC263" s="1">
        <f t="shared" si="94"/>
        <v>64072.13575528875</v>
      </c>
      <c r="AD263" s="1">
        <f t="shared" si="94"/>
        <v>63635.16944794465</v>
      </c>
      <c r="AE263" s="1">
        <f t="shared" si="94"/>
        <v>64675.60387839183</v>
      </c>
      <c r="AF263" s="1">
        <f t="shared" si="94"/>
        <v>64652.547609966976</v>
      </c>
      <c r="AG263" s="1">
        <f t="shared" si="94"/>
        <v>64301.84037943324</v>
      </c>
      <c r="AH263" s="1">
        <f t="shared" si="94"/>
        <v>62442.2757593452</v>
      </c>
      <c r="AI263" s="1">
        <f t="shared" si="94"/>
        <v>64145.45015104703</v>
      </c>
      <c r="AJ263" s="1">
        <f t="shared" si="94"/>
        <v>64723.36522828659</v>
      </c>
      <c r="AK263" s="1">
        <f t="shared" si="94"/>
        <v>65337.355311367035</v>
      </c>
      <c r="AL263" s="1">
        <f t="shared" si="94"/>
        <v>65290.80316481818</v>
      </c>
      <c r="AM263" s="1">
        <f t="shared" si="94"/>
        <v>66941.82769640902</v>
      </c>
      <c r="AN263" s="1">
        <f t="shared" si="94"/>
        <v>69664.43619648693</v>
      </c>
      <c r="AO263" s="1">
        <f t="shared" si="94"/>
        <v>72091.58259949979</v>
      </c>
      <c r="AP263" s="1">
        <f t="shared" si="94"/>
        <v>72290.10994017063</v>
      </c>
      <c r="AQ263" s="1">
        <f t="shared" si="94"/>
        <v>47221.981065557215</v>
      </c>
    </row>
    <row r="264" spans="3:43" x14ac:dyDescent="0.25">
      <c r="C264" t="s">
        <v>1007</v>
      </c>
      <c r="D264" t="s">
        <v>4</v>
      </c>
      <c r="E264" s="1"/>
      <c r="F264" s="1"/>
      <c r="G264" s="3"/>
      <c r="H264" s="3" t="str">
        <f t="shared" ref="H264:AQ264" si="95">IF(AND(H$9&gt;=1,H$86&lt;-0.01,$E$259&gt;0),(H$70+H262)/(-$E$259*H$86),"")</f>
        <v/>
      </c>
      <c r="I264" s="3" t="str">
        <f t="shared" si="95"/>
        <v/>
      </c>
      <c r="J264" s="3" t="str">
        <f t="shared" si="95"/>
        <v/>
      </c>
      <c r="K264" s="3" t="str">
        <f t="shared" si="95"/>
        <v/>
      </c>
      <c r="L264" s="3" t="str">
        <f t="shared" si="95"/>
        <v/>
      </c>
      <c r="M264" s="3" t="str">
        <f t="shared" si="95"/>
        <v/>
      </c>
      <c r="N264" s="3" t="str">
        <f t="shared" si="95"/>
        <v/>
      </c>
      <c r="O264" s="3" t="str">
        <f t="shared" si="95"/>
        <v/>
      </c>
      <c r="P264" s="3" t="str">
        <f t="shared" si="95"/>
        <v/>
      </c>
      <c r="Q264" s="3" t="str">
        <f t="shared" si="95"/>
        <v/>
      </c>
      <c r="R264" s="3" t="str">
        <f t="shared" si="95"/>
        <v/>
      </c>
      <c r="S264" s="3" t="str">
        <f t="shared" si="95"/>
        <v/>
      </c>
      <c r="T264" s="3" t="str">
        <f t="shared" si="95"/>
        <v/>
      </c>
      <c r="U264" s="3" t="str">
        <f t="shared" si="95"/>
        <v/>
      </c>
      <c r="V264" s="3" t="str">
        <f t="shared" si="95"/>
        <v/>
      </c>
      <c r="W264" s="3" t="str">
        <f t="shared" si="95"/>
        <v/>
      </c>
      <c r="X264" s="3" t="str">
        <f t="shared" si="95"/>
        <v/>
      </c>
      <c r="Y264" s="3" t="str">
        <f t="shared" si="95"/>
        <v/>
      </c>
      <c r="Z264" s="3" t="str">
        <f t="shared" si="95"/>
        <v/>
      </c>
      <c r="AA264" s="3" t="str">
        <f t="shared" si="95"/>
        <v/>
      </c>
      <c r="AB264" s="3" t="str">
        <f t="shared" si="95"/>
        <v/>
      </c>
      <c r="AC264" s="3" t="str">
        <f t="shared" si="95"/>
        <v/>
      </c>
      <c r="AD264" s="3" t="str">
        <f t="shared" si="95"/>
        <v/>
      </c>
      <c r="AE264" s="3" t="str">
        <f t="shared" si="95"/>
        <v/>
      </c>
      <c r="AF264" s="3" t="str">
        <f t="shared" si="95"/>
        <v/>
      </c>
      <c r="AG264" s="3" t="str">
        <f t="shared" si="95"/>
        <v/>
      </c>
      <c r="AH264" s="3" t="str">
        <f t="shared" si="95"/>
        <v/>
      </c>
      <c r="AI264" s="3" t="str">
        <f t="shared" si="95"/>
        <v/>
      </c>
      <c r="AJ264" s="3" t="str">
        <f t="shared" si="95"/>
        <v/>
      </c>
      <c r="AK264" s="3" t="str">
        <f t="shared" si="95"/>
        <v/>
      </c>
      <c r="AL264" s="3" t="str">
        <f t="shared" si="95"/>
        <v/>
      </c>
      <c r="AM264" s="3" t="str">
        <f t="shared" si="95"/>
        <v/>
      </c>
      <c r="AN264" s="3" t="str">
        <f t="shared" si="95"/>
        <v/>
      </c>
      <c r="AO264" s="3" t="str">
        <f t="shared" si="95"/>
        <v/>
      </c>
      <c r="AP264" s="3" t="str">
        <f t="shared" si="95"/>
        <v/>
      </c>
      <c r="AQ264" s="3" t="str">
        <f t="shared" si="95"/>
        <v/>
      </c>
    </row>
    <row r="266" spans="3:43" x14ac:dyDescent="0.25">
      <c r="C266" s="43" t="str">
        <f>"15."&amp;2&amp;" Gearing scenario 2 – "&amp;TEXT(D249,"0%")&amp;" (debt scale factor vs live case in E)"</f>
        <v>15.2 Gearing scenario 2 – 30% (debt scale factor vs live case in E)</v>
      </c>
      <c r="D266" s="43" t="s">
        <v>4</v>
      </c>
      <c r="E266" s="123">
        <f>IF(Inputs!$E$217=0,0,D249/Inputs!$E$217)</f>
        <v>0.5454545454545454</v>
      </c>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c r="AB266" s="123"/>
      <c r="AC266" s="123"/>
      <c r="AD266" s="123"/>
      <c r="AE266" s="123"/>
      <c r="AF266" s="123"/>
      <c r="AG266" s="123"/>
      <c r="AH266" s="123"/>
      <c r="AI266" s="123"/>
      <c r="AJ266" s="123"/>
      <c r="AK266" s="123"/>
      <c r="AL266" s="123"/>
      <c r="AM266" s="123"/>
      <c r="AN266" s="123"/>
      <c r="AO266" s="123"/>
      <c r="AP266" s="123"/>
      <c r="AQ266" s="123"/>
    </row>
    <row r="267" spans="3:43" x14ac:dyDescent="0.25">
      <c r="C267" t="s">
        <v>1364</v>
      </c>
      <c r="D267" t="s">
        <v>844</v>
      </c>
      <c r="E267" s="1"/>
      <c r="F267" s="1"/>
      <c r="G267" s="1"/>
      <c r="H267" s="1">
        <f t="shared" ref="H267:AQ267" si="96">H$70+H$16-(-$G$30+$E$266*$G$79)/$E$92*H$90-$E$266*H$81+$E$266*H$85</f>
        <v>-177.24324324324326</v>
      </c>
      <c r="I267" s="1">
        <f t="shared" si="96"/>
        <v>-856.331081081081</v>
      </c>
      <c r="J267" s="1">
        <f t="shared" si="96"/>
        <v>-1753.731056885054</v>
      </c>
      <c r="K267" s="1">
        <f t="shared" si="96"/>
        <v>-3036.5504336790736</v>
      </c>
      <c r="L267" s="1">
        <f t="shared" si="96"/>
        <v>-1524.885443927475</v>
      </c>
      <c r="M267" s="1">
        <f t="shared" si="96"/>
        <v>6215.737814636152</v>
      </c>
      <c r="N267" s="1">
        <f t="shared" si="96"/>
        <v>26890.805169360014</v>
      </c>
      <c r="O267" s="1">
        <f t="shared" si="96"/>
        <v>28934.34574053945</v>
      </c>
      <c r="P267" s="1">
        <f t="shared" si="96"/>
        <v>28088.931023913246</v>
      </c>
      <c r="Q267" s="1">
        <f t="shared" si="96"/>
        <v>29721.32720523765</v>
      </c>
      <c r="R267" s="1">
        <f t="shared" si="96"/>
        <v>31651.86851832083</v>
      </c>
      <c r="S267" s="1">
        <f t="shared" si="96"/>
        <v>36018.817161884</v>
      </c>
      <c r="T267" s="1">
        <f t="shared" si="96"/>
        <v>36757.66612213698</v>
      </c>
      <c r="U267" s="1">
        <f t="shared" si="96"/>
        <v>38137.90881867035</v>
      </c>
      <c r="V267" s="1">
        <f t="shared" si="96"/>
        <v>38828.588876933136</v>
      </c>
      <c r="W267" s="1">
        <f t="shared" si="96"/>
        <v>38857.22644100512</v>
      </c>
      <c r="X267" s="1">
        <f t="shared" si="96"/>
        <v>40456.40133850951</v>
      </c>
      <c r="Y267" s="1">
        <f t="shared" si="96"/>
        <v>41604.23169246192</v>
      </c>
      <c r="Z267" s="1">
        <f t="shared" si="96"/>
        <v>41987.840912178806</v>
      </c>
      <c r="AA267" s="1">
        <f t="shared" si="96"/>
        <v>44320.61720459377</v>
      </c>
      <c r="AB267" s="1">
        <f t="shared" si="96"/>
        <v>45500.904453625015</v>
      </c>
      <c r="AC267" s="1">
        <f t="shared" si="96"/>
        <v>46371.135467917964</v>
      </c>
      <c r="AD267" s="1">
        <f t="shared" si="96"/>
        <v>45890.95271259478</v>
      </c>
      <c r="AE267" s="1">
        <f t="shared" si="96"/>
        <v>47034.28725154772</v>
      </c>
      <c r="AF267" s="1">
        <f t="shared" si="96"/>
        <v>47008.95069283909</v>
      </c>
      <c r="AG267" s="1">
        <f t="shared" si="96"/>
        <v>52633.00936244032</v>
      </c>
      <c r="AH267" s="1">
        <f t="shared" si="96"/>
        <v>68617.88544982989</v>
      </c>
      <c r="AI267" s="1">
        <f t="shared" si="96"/>
        <v>70489.50566049124</v>
      </c>
      <c r="AJ267" s="1">
        <f t="shared" si="96"/>
        <v>71124.5771739413</v>
      </c>
      <c r="AK267" s="1">
        <f t="shared" si="96"/>
        <v>71799.29155095278</v>
      </c>
      <c r="AL267" s="1">
        <f t="shared" si="96"/>
        <v>71748.13534595404</v>
      </c>
      <c r="AM267" s="1">
        <f t="shared" si="96"/>
        <v>73562.4480180319</v>
      </c>
      <c r="AN267" s="1">
        <f t="shared" si="96"/>
        <v>76554.32549064499</v>
      </c>
      <c r="AO267" s="1">
        <f t="shared" si="96"/>
        <v>79221.51934010966</v>
      </c>
      <c r="AP267" s="1">
        <f t="shared" si="96"/>
        <v>79439.68125293475</v>
      </c>
      <c r="AQ267" s="1">
        <f t="shared" si="96"/>
        <v>60496.682489623316</v>
      </c>
    </row>
    <row r="268" spans="3:43" x14ac:dyDescent="0.25">
      <c r="C268" t="s">
        <v>986</v>
      </c>
      <c r="D268" t="s">
        <v>844</v>
      </c>
      <c r="E268" s="1"/>
      <c r="F268" s="1"/>
      <c r="G268" s="1">
        <v>0</v>
      </c>
      <c r="H268" s="1">
        <f t="shared" ref="H268:AQ268" si="97">G268+MAX(-H267,0)-MIN(G268,MAX(H267,0)*$E$95)</f>
        <v>177.24324324324326</v>
      </c>
      <c r="I268" s="1">
        <f t="shared" si="97"/>
        <v>1033.5743243243244</v>
      </c>
      <c r="J268" s="1">
        <f t="shared" si="97"/>
        <v>2787.3053812093785</v>
      </c>
      <c r="K268" s="1">
        <f t="shared" si="97"/>
        <v>5823.855814888452</v>
      </c>
      <c r="L268" s="1">
        <f t="shared" si="97"/>
        <v>7348.741258815928</v>
      </c>
      <c r="M268" s="1">
        <f t="shared" si="97"/>
        <v>4240.872351497852</v>
      </c>
      <c r="N268" s="1">
        <f t="shared" si="97"/>
        <v>0</v>
      </c>
      <c r="O268" s="1">
        <f t="shared" si="97"/>
        <v>0</v>
      </c>
      <c r="P268" s="1">
        <f t="shared" si="97"/>
        <v>0</v>
      </c>
      <c r="Q268" s="1">
        <f t="shared" si="97"/>
        <v>0</v>
      </c>
      <c r="R268" s="1">
        <f t="shared" si="97"/>
        <v>0</v>
      </c>
      <c r="S268" s="1">
        <f t="shared" si="97"/>
        <v>0</v>
      </c>
      <c r="T268" s="1">
        <f t="shared" si="97"/>
        <v>0</v>
      </c>
      <c r="U268" s="1">
        <f t="shared" si="97"/>
        <v>0</v>
      </c>
      <c r="V268" s="1">
        <f t="shared" si="97"/>
        <v>0</v>
      </c>
      <c r="W268" s="1">
        <f t="shared" si="97"/>
        <v>0</v>
      </c>
      <c r="X268" s="1">
        <f t="shared" si="97"/>
        <v>0</v>
      </c>
      <c r="Y268" s="1">
        <f t="shared" si="97"/>
        <v>0</v>
      </c>
      <c r="Z268" s="1">
        <f t="shared" si="97"/>
        <v>0</v>
      </c>
      <c r="AA268" s="1">
        <f t="shared" si="97"/>
        <v>0</v>
      </c>
      <c r="AB268" s="1">
        <f t="shared" si="97"/>
        <v>0</v>
      </c>
      <c r="AC268" s="1">
        <f t="shared" si="97"/>
        <v>0</v>
      </c>
      <c r="AD268" s="1">
        <f t="shared" si="97"/>
        <v>0</v>
      </c>
      <c r="AE268" s="1">
        <f t="shared" si="97"/>
        <v>0</v>
      </c>
      <c r="AF268" s="1">
        <f t="shared" si="97"/>
        <v>0</v>
      </c>
      <c r="AG268" s="1">
        <f t="shared" si="97"/>
        <v>0</v>
      </c>
      <c r="AH268" s="1">
        <f t="shared" si="97"/>
        <v>0</v>
      </c>
      <c r="AI268" s="1">
        <f t="shared" si="97"/>
        <v>0</v>
      </c>
      <c r="AJ268" s="1">
        <f t="shared" si="97"/>
        <v>0</v>
      </c>
      <c r="AK268" s="1">
        <f t="shared" si="97"/>
        <v>0</v>
      </c>
      <c r="AL268" s="1">
        <f t="shared" si="97"/>
        <v>0</v>
      </c>
      <c r="AM268" s="1">
        <f t="shared" si="97"/>
        <v>0</v>
      </c>
      <c r="AN268" s="1">
        <f t="shared" si="97"/>
        <v>0</v>
      </c>
      <c r="AO268" s="1">
        <f t="shared" si="97"/>
        <v>0</v>
      </c>
      <c r="AP268" s="1">
        <f t="shared" si="97"/>
        <v>0</v>
      </c>
      <c r="AQ268" s="1">
        <f t="shared" si="97"/>
        <v>0</v>
      </c>
    </row>
    <row r="269" spans="3:43" x14ac:dyDescent="0.25">
      <c r="C269" t="s">
        <v>1365</v>
      </c>
      <c r="D269" t="s">
        <v>844</v>
      </c>
      <c r="E269" s="1"/>
      <c r="F269" s="1"/>
      <c r="G269" s="1"/>
      <c r="H269" s="1">
        <f t="shared" ref="H269:AQ269" si="98">-(MAX(H267,0)-MIN(G268,MAX(H267,0)*$E$95))*$E$91-MAX(H267,0)*$E$99</f>
        <v>-0</v>
      </c>
      <c r="I269" s="1">
        <f t="shared" si="98"/>
        <v>-0</v>
      </c>
      <c r="J269" s="1">
        <f t="shared" si="98"/>
        <v>-0</v>
      </c>
      <c r="K269" s="1">
        <f t="shared" si="98"/>
        <v>-0</v>
      </c>
      <c r="L269" s="1">
        <f t="shared" si="98"/>
        <v>-0</v>
      </c>
      <c r="M269" s="1">
        <f t="shared" si="98"/>
        <v>-279.7082016586268</v>
      </c>
      <c r="N269" s="1">
        <f t="shared" si="98"/>
        <v>-2038.4939536075944</v>
      </c>
      <c r="O269" s="1">
        <f t="shared" si="98"/>
        <v>-2604.0911166485507</v>
      </c>
      <c r="P269" s="1">
        <f t="shared" si="98"/>
        <v>-2528.003792152192</v>
      </c>
      <c r="Q269" s="1">
        <f t="shared" si="98"/>
        <v>-2674.9194484713885</v>
      </c>
      <c r="R269" s="1">
        <f t="shared" si="98"/>
        <v>-2848.6681666488744</v>
      </c>
      <c r="S269" s="1">
        <f t="shared" si="98"/>
        <v>-3241.69354456956</v>
      </c>
      <c r="T269" s="1">
        <f t="shared" si="98"/>
        <v>-3308.1899509923282</v>
      </c>
      <c r="U269" s="1">
        <f t="shared" si="98"/>
        <v>-3432.4117936803314</v>
      </c>
      <c r="V269" s="1">
        <f t="shared" si="98"/>
        <v>-3494.572998923982</v>
      </c>
      <c r="W269" s="1">
        <f t="shared" si="98"/>
        <v>-3497.150379690461</v>
      </c>
      <c r="X269" s="1">
        <f t="shared" si="98"/>
        <v>-3641.0761204658556</v>
      </c>
      <c r="Y269" s="1">
        <f t="shared" si="98"/>
        <v>-3744.380852321573</v>
      </c>
      <c r="Z269" s="1">
        <f t="shared" si="98"/>
        <v>-3778.9056820960923</v>
      </c>
      <c r="AA269" s="1">
        <f t="shared" si="98"/>
        <v>-3988.8555484134395</v>
      </c>
      <c r="AB269" s="1">
        <f t="shared" si="98"/>
        <v>-4095.0814008262514</v>
      </c>
      <c r="AC269" s="1">
        <f t="shared" si="98"/>
        <v>-4173.402192112617</v>
      </c>
      <c r="AD269" s="1">
        <f t="shared" si="98"/>
        <v>-4130.18574413353</v>
      </c>
      <c r="AE269" s="1">
        <f t="shared" si="98"/>
        <v>-4233.085852639295</v>
      </c>
      <c r="AF269" s="1">
        <f t="shared" si="98"/>
        <v>-4230.805562355518</v>
      </c>
      <c r="AG269" s="1">
        <f t="shared" si="98"/>
        <v>-4736.970842619629</v>
      </c>
      <c r="AH269" s="1">
        <f t="shared" si="98"/>
        <v>-6175.60969048469</v>
      </c>
      <c r="AI269" s="1">
        <f t="shared" si="98"/>
        <v>-6344.055509444212</v>
      </c>
      <c r="AJ269" s="1">
        <f t="shared" si="98"/>
        <v>-6401.211945654717</v>
      </c>
      <c r="AK269" s="1">
        <f t="shared" si="98"/>
        <v>-6461.93623958575</v>
      </c>
      <c r="AL269" s="1">
        <f t="shared" si="98"/>
        <v>-6457.332181135864</v>
      </c>
      <c r="AM269" s="1">
        <f t="shared" si="98"/>
        <v>-6620.6203216228705</v>
      </c>
      <c r="AN269" s="1">
        <f t="shared" si="98"/>
        <v>-6889.889294158049</v>
      </c>
      <c r="AO269" s="1">
        <f t="shared" si="98"/>
        <v>-7129.936740609869</v>
      </c>
      <c r="AP269" s="1">
        <f t="shared" si="98"/>
        <v>-7149.5713127641275</v>
      </c>
      <c r="AQ269" s="1">
        <f t="shared" si="98"/>
        <v>-5444.701424066098</v>
      </c>
    </row>
    <row r="270" spans="3:43" x14ac:dyDescent="0.25">
      <c r="C270" t="s">
        <v>1009</v>
      </c>
      <c r="D270" t="s">
        <v>844</v>
      </c>
      <c r="E270" s="1"/>
      <c r="F270" s="1"/>
      <c r="G270" s="1"/>
      <c r="H270" s="1">
        <f t="shared" ref="H270:AQ270" si="99">(H$109+$E$266*(H$77+H$85-H$80+H$86-H$87+H$89)+H269)*$E$128</f>
        <v>-3175.234818585709</v>
      </c>
      <c r="I270" s="1">
        <f t="shared" si="99"/>
        <v>-1953.381766012588</v>
      </c>
      <c r="J270" s="1">
        <f t="shared" si="99"/>
        <v>-2850.781741816561</v>
      </c>
      <c r="K270" s="1">
        <f t="shared" si="99"/>
        <v>-75724.97265589562</v>
      </c>
      <c r="L270" s="1">
        <f t="shared" si="99"/>
        <v>-154450.41284109134</v>
      </c>
      <c r="M270" s="1">
        <f t="shared" si="99"/>
        <v>-99043.96059840119</v>
      </c>
      <c r="N270" s="1">
        <f t="shared" si="99"/>
        <v>29900.861871153913</v>
      </c>
      <c r="O270" s="1">
        <f t="shared" si="99"/>
        <v>30466.854427970826</v>
      </c>
      <c r="P270" s="1">
        <f t="shared" si="99"/>
        <v>29279.37483534366</v>
      </c>
      <c r="Q270" s="1">
        <f t="shared" si="99"/>
        <v>29716.97766718349</v>
      </c>
      <c r="R270" s="1">
        <f t="shared" si="99"/>
        <v>30314.865417749323</v>
      </c>
      <c r="S270" s="1">
        <f t="shared" si="99"/>
        <v>39226.53171122038</v>
      </c>
      <c r="T270" s="1">
        <f t="shared" si="99"/>
        <v>41575.08667007248</v>
      </c>
      <c r="U270" s="1">
        <f t="shared" si="99"/>
        <v>50843.386735848966</v>
      </c>
      <c r="V270" s="1">
        <f t="shared" si="99"/>
        <v>57239.50669652019</v>
      </c>
      <c r="W270" s="1">
        <f t="shared" si="99"/>
        <v>57265.5668798257</v>
      </c>
      <c r="X270" s="1">
        <f t="shared" si="99"/>
        <v>58720.816036554694</v>
      </c>
      <c r="Y270" s="1">
        <f t="shared" si="99"/>
        <v>59765.34165865139</v>
      </c>
      <c r="Z270" s="1">
        <f t="shared" si="99"/>
        <v>60114.426048593756</v>
      </c>
      <c r="AA270" s="1">
        <f t="shared" si="99"/>
        <v>62237.25247469137</v>
      </c>
      <c r="AB270" s="1">
        <f t="shared" si="99"/>
        <v>63311.3138713098</v>
      </c>
      <c r="AC270" s="1">
        <f t="shared" si="99"/>
        <v>64103.224094316385</v>
      </c>
      <c r="AD270" s="1">
        <f t="shared" si="99"/>
        <v>63666.25778697229</v>
      </c>
      <c r="AE270" s="1">
        <f t="shared" si="99"/>
        <v>64706.69221741946</v>
      </c>
      <c r="AF270" s="1">
        <f t="shared" si="99"/>
        <v>64683.63594899461</v>
      </c>
      <c r="AG270" s="1">
        <f t="shared" si="99"/>
        <v>64325.15663370397</v>
      </c>
      <c r="AH270" s="1">
        <f t="shared" si="99"/>
        <v>62442.2757593452</v>
      </c>
      <c r="AI270" s="1">
        <f t="shared" si="99"/>
        <v>64145.45015104703</v>
      </c>
      <c r="AJ270" s="1">
        <f t="shared" si="99"/>
        <v>64723.36522828659</v>
      </c>
      <c r="AK270" s="1">
        <f t="shared" si="99"/>
        <v>65337.355311367035</v>
      </c>
      <c r="AL270" s="1">
        <f t="shared" si="99"/>
        <v>65290.80316481818</v>
      </c>
      <c r="AM270" s="1">
        <f t="shared" si="99"/>
        <v>66941.82769640902</v>
      </c>
      <c r="AN270" s="1">
        <f t="shared" si="99"/>
        <v>69664.43619648693</v>
      </c>
      <c r="AO270" s="1">
        <f t="shared" si="99"/>
        <v>72091.58259949979</v>
      </c>
      <c r="AP270" s="1">
        <f t="shared" si="99"/>
        <v>72290.10994017063</v>
      </c>
      <c r="AQ270" s="1">
        <f t="shared" si="99"/>
        <v>47221.981065557215</v>
      </c>
    </row>
    <row r="271" spans="3:43" x14ac:dyDescent="0.25">
      <c r="C271" t="s">
        <v>1007</v>
      </c>
      <c r="D271" t="s">
        <v>4</v>
      </c>
      <c r="E271" s="1"/>
      <c r="F271" s="1"/>
      <c r="G271" s="3"/>
      <c r="H271" s="3" t="str">
        <f t="shared" ref="H271:AQ271" si="100">IF(AND(H$9&gt;=1,H$86&lt;-0.01,$E$266&gt;0),(H$70+H269)/(-$E$266*H$86),"")</f>
        <v/>
      </c>
      <c r="I271" s="3" t="str">
        <f t="shared" si="100"/>
        <v/>
      </c>
      <c r="J271" s="3" t="str">
        <f t="shared" si="100"/>
        <v/>
      </c>
      <c r="K271" s="3" t="str">
        <f t="shared" si="100"/>
        <v/>
      </c>
      <c r="L271" s="3" t="str">
        <f t="shared" si="100"/>
        <v/>
      </c>
      <c r="M271" s="3" t="str">
        <f t="shared" si="100"/>
        <v/>
      </c>
      <c r="N271" s="3">
        <f t="shared" si="100"/>
        <v>3.035637230614631</v>
      </c>
      <c r="O271" s="3">
        <f t="shared" si="100"/>
        <v>3.0716252347733217</v>
      </c>
      <c r="P271" s="3">
        <f t="shared" si="100"/>
        <v>2.9776868915940913</v>
      </c>
      <c r="Q271" s="3">
        <f t="shared" si="100"/>
        <v>3.0103334472499568</v>
      </c>
      <c r="R271" s="3">
        <f t="shared" si="100"/>
        <v>3.0553850937882787</v>
      </c>
      <c r="S271" s="3">
        <f t="shared" si="100"/>
        <v>3.2227878891963386</v>
      </c>
      <c r="T271" s="3">
        <f t="shared" si="100"/>
        <v>3.217095758103709</v>
      </c>
      <c r="U271" s="3">
        <f t="shared" si="100"/>
        <v>4.4878936293497675</v>
      </c>
      <c r="V271" s="3" t="str">
        <f t="shared" si="100"/>
        <v/>
      </c>
      <c r="W271" s="3" t="str">
        <f t="shared" si="100"/>
        <v/>
      </c>
      <c r="X271" s="3" t="str">
        <f t="shared" si="100"/>
        <v/>
      </c>
      <c r="Y271" s="3" t="str">
        <f t="shared" si="100"/>
        <v/>
      </c>
      <c r="Z271" s="3" t="str">
        <f t="shared" si="100"/>
        <v/>
      </c>
      <c r="AA271" s="3" t="str">
        <f t="shared" si="100"/>
        <v/>
      </c>
      <c r="AB271" s="3" t="str">
        <f t="shared" si="100"/>
        <v/>
      </c>
      <c r="AC271" s="3" t="str">
        <f t="shared" si="100"/>
        <v/>
      </c>
      <c r="AD271" s="3" t="str">
        <f t="shared" si="100"/>
        <v/>
      </c>
      <c r="AE271" s="3" t="str">
        <f t="shared" si="100"/>
        <v/>
      </c>
      <c r="AF271" s="3" t="str">
        <f t="shared" si="100"/>
        <v/>
      </c>
      <c r="AG271" s="3" t="str">
        <f t="shared" si="100"/>
        <v/>
      </c>
      <c r="AH271" s="3" t="str">
        <f t="shared" si="100"/>
        <v/>
      </c>
      <c r="AI271" s="3" t="str">
        <f t="shared" si="100"/>
        <v/>
      </c>
      <c r="AJ271" s="3" t="str">
        <f t="shared" si="100"/>
        <v/>
      </c>
      <c r="AK271" s="3" t="str">
        <f t="shared" si="100"/>
        <v/>
      </c>
      <c r="AL271" s="3" t="str">
        <f t="shared" si="100"/>
        <v/>
      </c>
      <c r="AM271" s="3" t="str">
        <f t="shared" si="100"/>
        <v/>
      </c>
      <c r="AN271" s="3" t="str">
        <f t="shared" si="100"/>
        <v/>
      </c>
      <c r="AO271" s="3" t="str">
        <f t="shared" si="100"/>
        <v/>
      </c>
      <c r="AP271" s="3" t="str">
        <f t="shared" si="100"/>
        <v/>
      </c>
      <c r="AQ271" s="3" t="str">
        <f t="shared" si="100"/>
        <v/>
      </c>
    </row>
    <row r="273" spans="3:43" x14ac:dyDescent="0.25">
      <c r="C273" s="43" t="str">
        <f>"15."&amp;3&amp;" Gearing scenario 3 – "&amp;TEXT(D250,"0%")&amp;" (debt scale factor vs live case in E)"</f>
        <v>15.3 Gearing scenario 3 – 40% (debt scale factor vs live case in E)</v>
      </c>
      <c r="D273" s="43" t="s">
        <v>4</v>
      </c>
      <c r="E273" s="123">
        <f>IF(Inputs!$E$217=0,0,D250/Inputs!$E$217)</f>
        <v>0.7272727272727273</v>
      </c>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c r="AB273" s="123"/>
      <c r="AC273" s="123"/>
      <c r="AD273" s="123"/>
      <c r="AE273" s="123"/>
      <c r="AF273" s="123"/>
      <c r="AG273" s="123"/>
      <c r="AH273" s="123"/>
      <c r="AI273" s="123"/>
      <c r="AJ273" s="123"/>
      <c r="AK273" s="123"/>
      <c r="AL273" s="123"/>
      <c r="AM273" s="123"/>
      <c r="AN273" s="123"/>
      <c r="AO273" s="123"/>
      <c r="AP273" s="123"/>
      <c r="AQ273" s="123"/>
    </row>
    <row r="274" spans="3:43" x14ac:dyDescent="0.25">
      <c r="C274" t="s">
        <v>1364</v>
      </c>
      <c r="D274" t="s">
        <v>844</v>
      </c>
      <c r="E274" s="1"/>
      <c r="F274" s="1"/>
      <c r="G274" s="1"/>
      <c r="H274" s="1">
        <f t="shared" ref="H274:AQ274" si="101">H$70+H$16-(-$G$30+$E$273*$G$79)/$E$92*H$90-$E$273*H$81+$E$273*H$85</f>
        <v>-177.24324324324326</v>
      </c>
      <c r="I274" s="1">
        <f t="shared" si="101"/>
        <v>-856.331081081081</v>
      </c>
      <c r="J274" s="1">
        <f t="shared" si="101"/>
        <v>-1753.731056885054</v>
      </c>
      <c r="K274" s="1">
        <f t="shared" si="101"/>
        <v>-3882.806565240003</v>
      </c>
      <c r="L274" s="1">
        <f t="shared" si="101"/>
        <v>-1765.8147382447637</v>
      </c>
      <c r="M274" s="1">
        <f t="shared" si="101"/>
        <v>5571.307512665341</v>
      </c>
      <c r="N274" s="1">
        <f t="shared" si="101"/>
        <v>24504.514693631194</v>
      </c>
      <c r="O274" s="1">
        <f t="shared" si="101"/>
        <v>26829.004267529122</v>
      </c>
      <c r="P274" s="1">
        <f t="shared" si="101"/>
        <v>26279.737734476763</v>
      </c>
      <c r="Q274" s="1">
        <f t="shared" si="101"/>
        <v>28215.251302716646</v>
      </c>
      <c r="R274" s="1">
        <f t="shared" si="101"/>
        <v>30466.374630934726</v>
      </c>
      <c r="S274" s="1">
        <f t="shared" si="101"/>
        <v>35173.22037037179</v>
      </c>
      <c r="T274" s="1">
        <f t="shared" si="101"/>
        <v>36169.670709368176</v>
      </c>
      <c r="U274" s="1">
        <f t="shared" si="101"/>
        <v>37820.39485358215</v>
      </c>
      <c r="V274" s="1">
        <f t="shared" si="101"/>
        <v>38713.44688053448</v>
      </c>
      <c r="W274" s="1">
        <f t="shared" si="101"/>
        <v>38742.08444460646</v>
      </c>
      <c r="X274" s="1">
        <f t="shared" si="101"/>
        <v>40341.25934211085</v>
      </c>
      <c r="Y274" s="1">
        <f t="shared" si="101"/>
        <v>41489.08969606327</v>
      </c>
      <c r="Z274" s="1">
        <f t="shared" si="101"/>
        <v>41872.69891578014</v>
      </c>
      <c r="AA274" s="1">
        <f t="shared" si="101"/>
        <v>44205.475208195116</v>
      </c>
      <c r="AB274" s="1">
        <f t="shared" si="101"/>
        <v>45385.76245722636</v>
      </c>
      <c r="AC274" s="1">
        <f t="shared" si="101"/>
        <v>46255.99347151931</v>
      </c>
      <c r="AD274" s="1">
        <f t="shared" si="101"/>
        <v>45775.81071619612</v>
      </c>
      <c r="AE274" s="1">
        <f t="shared" si="101"/>
        <v>46919.145255149066</v>
      </c>
      <c r="AF274" s="1">
        <f t="shared" si="101"/>
        <v>46893.808696440436</v>
      </c>
      <c r="AG274" s="1">
        <f t="shared" si="101"/>
        <v>52546.652865141325</v>
      </c>
      <c r="AH274" s="1">
        <f t="shared" si="101"/>
        <v>68617.88544982989</v>
      </c>
      <c r="AI274" s="1">
        <f t="shared" si="101"/>
        <v>70489.50566049124</v>
      </c>
      <c r="AJ274" s="1">
        <f t="shared" si="101"/>
        <v>71124.5771739413</v>
      </c>
      <c r="AK274" s="1">
        <f t="shared" si="101"/>
        <v>71799.29155095278</v>
      </c>
      <c r="AL274" s="1">
        <f t="shared" si="101"/>
        <v>71748.13534595404</v>
      </c>
      <c r="AM274" s="1">
        <f t="shared" si="101"/>
        <v>73562.4480180319</v>
      </c>
      <c r="AN274" s="1">
        <f t="shared" si="101"/>
        <v>76554.32549064499</v>
      </c>
      <c r="AO274" s="1">
        <f t="shared" si="101"/>
        <v>79221.51934010966</v>
      </c>
      <c r="AP274" s="1">
        <f t="shared" si="101"/>
        <v>79439.68125293475</v>
      </c>
      <c r="AQ274" s="1">
        <f t="shared" si="101"/>
        <v>60496.682489623316</v>
      </c>
    </row>
    <row r="275" spans="3:43" x14ac:dyDescent="0.25">
      <c r="C275" t="s">
        <v>986</v>
      </c>
      <c r="D275" t="s">
        <v>844</v>
      </c>
      <c r="E275" s="1"/>
      <c r="F275" s="1"/>
      <c r="G275" s="1">
        <v>0</v>
      </c>
      <c r="H275" s="1">
        <f t="shared" ref="H275:AQ275" si="102">G275+MAX(-H274,0)-MIN(G275,MAX(H274,0)*$E$95)</f>
        <v>177.24324324324326</v>
      </c>
      <c r="I275" s="1">
        <f t="shared" si="102"/>
        <v>1033.5743243243244</v>
      </c>
      <c r="J275" s="1">
        <f t="shared" si="102"/>
        <v>2787.3053812093785</v>
      </c>
      <c r="K275" s="1">
        <f t="shared" si="102"/>
        <v>6670.111946449381</v>
      </c>
      <c r="L275" s="1">
        <f t="shared" si="102"/>
        <v>8435.926684694145</v>
      </c>
      <c r="M275" s="1">
        <f t="shared" si="102"/>
        <v>5650.2729283614735</v>
      </c>
      <c r="N275" s="1">
        <f t="shared" si="102"/>
        <v>0</v>
      </c>
      <c r="O275" s="1">
        <f t="shared" si="102"/>
        <v>0</v>
      </c>
      <c r="P275" s="1">
        <f t="shared" si="102"/>
        <v>0</v>
      </c>
      <c r="Q275" s="1">
        <f t="shared" si="102"/>
        <v>0</v>
      </c>
      <c r="R275" s="1">
        <f t="shared" si="102"/>
        <v>0</v>
      </c>
      <c r="S275" s="1">
        <f t="shared" si="102"/>
        <v>0</v>
      </c>
      <c r="T275" s="1">
        <f t="shared" si="102"/>
        <v>0</v>
      </c>
      <c r="U275" s="1">
        <f t="shared" si="102"/>
        <v>0</v>
      </c>
      <c r="V275" s="1">
        <f t="shared" si="102"/>
        <v>0</v>
      </c>
      <c r="W275" s="1">
        <f t="shared" si="102"/>
        <v>0</v>
      </c>
      <c r="X275" s="1">
        <f t="shared" si="102"/>
        <v>0</v>
      </c>
      <c r="Y275" s="1">
        <f t="shared" si="102"/>
        <v>0</v>
      </c>
      <c r="Z275" s="1">
        <f t="shared" si="102"/>
        <v>0</v>
      </c>
      <c r="AA275" s="1">
        <f t="shared" si="102"/>
        <v>0</v>
      </c>
      <c r="AB275" s="1">
        <f t="shared" si="102"/>
        <v>0</v>
      </c>
      <c r="AC275" s="1">
        <f t="shared" si="102"/>
        <v>0</v>
      </c>
      <c r="AD275" s="1">
        <f t="shared" si="102"/>
        <v>0</v>
      </c>
      <c r="AE275" s="1">
        <f t="shared" si="102"/>
        <v>0</v>
      </c>
      <c r="AF275" s="1">
        <f t="shared" si="102"/>
        <v>0</v>
      </c>
      <c r="AG275" s="1">
        <f t="shared" si="102"/>
        <v>0</v>
      </c>
      <c r="AH275" s="1">
        <f t="shared" si="102"/>
        <v>0</v>
      </c>
      <c r="AI275" s="1">
        <f t="shared" si="102"/>
        <v>0</v>
      </c>
      <c r="AJ275" s="1">
        <f t="shared" si="102"/>
        <v>0</v>
      </c>
      <c r="AK275" s="1">
        <f t="shared" si="102"/>
        <v>0</v>
      </c>
      <c r="AL275" s="1">
        <f t="shared" si="102"/>
        <v>0</v>
      </c>
      <c r="AM275" s="1">
        <f t="shared" si="102"/>
        <v>0</v>
      </c>
      <c r="AN275" s="1">
        <f t="shared" si="102"/>
        <v>0</v>
      </c>
      <c r="AO275" s="1">
        <f t="shared" si="102"/>
        <v>0</v>
      </c>
      <c r="AP275" s="1">
        <f t="shared" si="102"/>
        <v>0</v>
      </c>
      <c r="AQ275" s="1">
        <f t="shared" si="102"/>
        <v>0</v>
      </c>
    </row>
    <row r="276" spans="3:43" x14ac:dyDescent="0.25">
      <c r="C276" t="s">
        <v>1365</v>
      </c>
      <c r="D276" t="s">
        <v>844</v>
      </c>
      <c r="E276" s="1"/>
      <c r="F276" s="1"/>
      <c r="G276" s="1"/>
      <c r="H276" s="1">
        <f t="shared" ref="H276:AQ276" si="103">-(MAX(H274,0)-MIN(G275,MAX(H274,0)*$E$95))*$E$91-MAX(H274,0)*$E$99</f>
        <v>-0</v>
      </c>
      <c r="I276" s="1">
        <f t="shared" si="103"/>
        <v>-0</v>
      </c>
      <c r="J276" s="1">
        <f t="shared" si="103"/>
        <v>-0</v>
      </c>
      <c r="K276" s="1">
        <f t="shared" si="103"/>
        <v>-0</v>
      </c>
      <c r="L276" s="1">
        <f t="shared" si="103"/>
        <v>-0</v>
      </c>
      <c r="M276" s="1">
        <f t="shared" si="103"/>
        <v>-250.70883806994036</v>
      </c>
      <c r="N276" s="1">
        <f t="shared" si="103"/>
        <v>-1696.8817588742745</v>
      </c>
      <c r="O276" s="1">
        <f t="shared" si="103"/>
        <v>-2414.610384077621</v>
      </c>
      <c r="P276" s="1">
        <f t="shared" si="103"/>
        <v>-2365.1763961029087</v>
      </c>
      <c r="Q276" s="1">
        <f t="shared" si="103"/>
        <v>-2539.372617244498</v>
      </c>
      <c r="R276" s="1">
        <f t="shared" si="103"/>
        <v>-2741.9737167841254</v>
      </c>
      <c r="S276" s="1">
        <f t="shared" si="103"/>
        <v>-3165.589833333461</v>
      </c>
      <c r="T276" s="1">
        <f t="shared" si="103"/>
        <v>-3255.270363843136</v>
      </c>
      <c r="U276" s="1">
        <f t="shared" si="103"/>
        <v>-3403.8355368223934</v>
      </c>
      <c r="V276" s="1">
        <f t="shared" si="103"/>
        <v>-3484.210219248103</v>
      </c>
      <c r="W276" s="1">
        <f t="shared" si="103"/>
        <v>-3486.787600014581</v>
      </c>
      <c r="X276" s="1">
        <f t="shared" si="103"/>
        <v>-3630.713340789976</v>
      </c>
      <c r="Y276" s="1">
        <f t="shared" si="103"/>
        <v>-3734.018072645694</v>
      </c>
      <c r="Z276" s="1">
        <f t="shared" si="103"/>
        <v>-3768.5429024202126</v>
      </c>
      <c r="AA276" s="1">
        <f t="shared" si="103"/>
        <v>-3978.4927687375603</v>
      </c>
      <c r="AB276" s="1">
        <f t="shared" si="103"/>
        <v>-4084.718621150372</v>
      </c>
      <c r="AC276" s="1">
        <f t="shared" si="103"/>
        <v>-4163.039412436738</v>
      </c>
      <c r="AD276" s="1">
        <f t="shared" si="103"/>
        <v>-4119.822964457651</v>
      </c>
      <c r="AE276" s="1">
        <f t="shared" si="103"/>
        <v>-4222.723072963416</v>
      </c>
      <c r="AF276" s="1">
        <f t="shared" si="103"/>
        <v>-4220.442782679639</v>
      </c>
      <c r="AG276" s="1">
        <f t="shared" si="103"/>
        <v>-4729.198757862719</v>
      </c>
      <c r="AH276" s="1">
        <f t="shared" si="103"/>
        <v>-6175.60969048469</v>
      </c>
      <c r="AI276" s="1">
        <f t="shared" si="103"/>
        <v>-6344.055509444212</v>
      </c>
      <c r="AJ276" s="1">
        <f t="shared" si="103"/>
        <v>-6401.211945654717</v>
      </c>
      <c r="AK276" s="1">
        <f t="shared" si="103"/>
        <v>-6461.93623958575</v>
      </c>
      <c r="AL276" s="1">
        <f t="shared" si="103"/>
        <v>-6457.332181135864</v>
      </c>
      <c r="AM276" s="1">
        <f t="shared" si="103"/>
        <v>-6620.6203216228705</v>
      </c>
      <c r="AN276" s="1">
        <f t="shared" si="103"/>
        <v>-6889.889294158049</v>
      </c>
      <c r="AO276" s="1">
        <f t="shared" si="103"/>
        <v>-7129.936740609869</v>
      </c>
      <c r="AP276" s="1">
        <f t="shared" si="103"/>
        <v>-7149.5713127641275</v>
      </c>
      <c r="AQ276" s="1">
        <f t="shared" si="103"/>
        <v>-5444.701424066098</v>
      </c>
    </row>
    <row r="277" spans="3:43" x14ac:dyDescent="0.25">
      <c r="C277" t="s">
        <v>1009</v>
      </c>
      <c r="D277" t="s">
        <v>844</v>
      </c>
      <c r="E277" s="1"/>
      <c r="F277" s="1"/>
      <c r="G277" s="1"/>
      <c r="H277" s="1">
        <f t="shared" ref="H277:AQ277" si="104">(H$109+$E$273*(H$77+H$85-H$80+H$86-H$87+H$89)+H276)*$E$128</f>
        <v>-3175.234818585709</v>
      </c>
      <c r="I277" s="1">
        <f t="shared" si="104"/>
        <v>-1953.381766012588</v>
      </c>
      <c r="J277" s="1">
        <f t="shared" si="104"/>
        <v>-2850.781741816561</v>
      </c>
      <c r="K277" s="1">
        <f t="shared" si="104"/>
        <v>-71136.91107705384</v>
      </c>
      <c r="L277" s="1">
        <f t="shared" si="104"/>
        <v>-133131.27730609354</v>
      </c>
      <c r="M277" s="1">
        <f t="shared" si="104"/>
        <v>-86446.10010376225</v>
      </c>
      <c r="N277" s="1">
        <f t="shared" si="104"/>
        <v>22352.345532187213</v>
      </c>
      <c r="O277" s="1">
        <f t="shared" si="104"/>
        <v>22743.17201245304</v>
      </c>
      <c r="P277" s="1">
        <f t="shared" si="104"/>
        <v>21685.80320004564</v>
      </c>
      <c r="Q277" s="1">
        <f t="shared" si="104"/>
        <v>22049.9502895901</v>
      </c>
      <c r="R277" s="1">
        <f t="shared" si="104"/>
        <v>22553.266059148722</v>
      </c>
      <c r="S277" s="1">
        <f t="shared" si="104"/>
        <v>33420.15305247455</v>
      </c>
      <c r="T277" s="1">
        <f t="shared" si="104"/>
        <v>36561.85940099047</v>
      </c>
      <c r="U277" s="1">
        <f t="shared" si="104"/>
        <v>48747.05732146666</v>
      </c>
      <c r="V277" s="1">
        <f t="shared" si="104"/>
        <v>57249.86947619607</v>
      </c>
      <c r="W277" s="1">
        <f t="shared" si="104"/>
        <v>57275.92965950158</v>
      </c>
      <c r="X277" s="1">
        <f t="shared" si="104"/>
        <v>58731.178816230575</v>
      </c>
      <c r="Y277" s="1">
        <f t="shared" si="104"/>
        <v>59775.704438327266</v>
      </c>
      <c r="Z277" s="1">
        <f t="shared" si="104"/>
        <v>60124.78882826964</v>
      </c>
      <c r="AA277" s="1">
        <f t="shared" si="104"/>
        <v>62247.61525436725</v>
      </c>
      <c r="AB277" s="1">
        <f t="shared" si="104"/>
        <v>63321.67665098568</v>
      </c>
      <c r="AC277" s="1">
        <f t="shared" si="104"/>
        <v>64113.586873992266</v>
      </c>
      <c r="AD277" s="1">
        <f t="shared" si="104"/>
        <v>63676.62056664817</v>
      </c>
      <c r="AE277" s="1">
        <f t="shared" si="104"/>
        <v>64717.05499709534</v>
      </c>
      <c r="AF277" s="1">
        <f t="shared" si="104"/>
        <v>64693.99872867049</v>
      </c>
      <c r="AG277" s="1">
        <f t="shared" si="104"/>
        <v>64332.928718460884</v>
      </c>
      <c r="AH277" s="1">
        <f t="shared" si="104"/>
        <v>62442.2757593452</v>
      </c>
      <c r="AI277" s="1">
        <f t="shared" si="104"/>
        <v>64145.45015104703</v>
      </c>
      <c r="AJ277" s="1">
        <f t="shared" si="104"/>
        <v>64723.36522828659</v>
      </c>
      <c r="AK277" s="1">
        <f t="shared" si="104"/>
        <v>65337.355311367035</v>
      </c>
      <c r="AL277" s="1">
        <f t="shared" si="104"/>
        <v>65290.80316481818</v>
      </c>
      <c r="AM277" s="1">
        <f t="shared" si="104"/>
        <v>66941.82769640902</v>
      </c>
      <c r="AN277" s="1">
        <f t="shared" si="104"/>
        <v>69664.43619648693</v>
      </c>
      <c r="AO277" s="1">
        <f t="shared" si="104"/>
        <v>72091.58259949979</v>
      </c>
      <c r="AP277" s="1">
        <f t="shared" si="104"/>
        <v>72290.10994017063</v>
      </c>
      <c r="AQ277" s="1">
        <f t="shared" si="104"/>
        <v>47221.981065557215</v>
      </c>
    </row>
    <row r="278" spans="3:43" x14ac:dyDescent="0.25">
      <c r="C278" t="s">
        <v>1007</v>
      </c>
      <c r="D278" t="s">
        <v>4</v>
      </c>
      <c r="E278" s="1"/>
      <c r="F278" s="1"/>
      <c r="G278" s="3"/>
      <c r="H278" s="3" t="str">
        <f t="shared" ref="H278:AQ278" si="105">IF(AND(H$9&gt;=1,H$86&lt;-0.01,$E$273&gt;0),(H$70+H276)/(-$E$273*H$86),"")</f>
        <v/>
      </c>
      <c r="I278" s="3" t="str">
        <f t="shared" si="105"/>
        <v/>
      </c>
      <c r="J278" s="3" t="str">
        <f t="shared" si="105"/>
        <v/>
      </c>
      <c r="K278" s="3" t="str">
        <f t="shared" si="105"/>
        <v/>
      </c>
      <c r="L278" s="3" t="str">
        <f t="shared" si="105"/>
        <v/>
      </c>
      <c r="M278" s="3" t="str">
        <f t="shared" si="105"/>
        <v/>
      </c>
      <c r="N278" s="3">
        <f t="shared" si="105"/>
        <v>2.291246121794707</v>
      </c>
      <c r="O278" s="3">
        <f t="shared" si="105"/>
        <v>2.3117716800303407</v>
      </c>
      <c r="P278" s="3">
        <f t="shared" si="105"/>
        <v>2.2401851807673507</v>
      </c>
      <c r="Q278" s="3">
        <f t="shared" si="105"/>
        <v>2.263510699014424</v>
      </c>
      <c r="R278" s="3">
        <f t="shared" si="105"/>
        <v>2.2960732346902093</v>
      </c>
      <c r="S278" s="3">
        <f t="shared" si="105"/>
        <v>2.4203252534600135</v>
      </c>
      <c r="T278" s="3">
        <f t="shared" si="105"/>
        <v>2.415070851546382</v>
      </c>
      <c r="U278" s="3">
        <f t="shared" si="105"/>
        <v>3.3676012529190555</v>
      </c>
      <c r="V278" s="3" t="str">
        <f t="shared" si="105"/>
        <v/>
      </c>
      <c r="W278" s="3" t="str">
        <f t="shared" si="105"/>
        <v/>
      </c>
      <c r="X278" s="3" t="str">
        <f t="shared" si="105"/>
        <v/>
      </c>
      <c r="Y278" s="3" t="str">
        <f t="shared" si="105"/>
        <v/>
      </c>
      <c r="Z278" s="3" t="str">
        <f t="shared" si="105"/>
        <v/>
      </c>
      <c r="AA278" s="3" t="str">
        <f t="shared" si="105"/>
        <v/>
      </c>
      <c r="AB278" s="3" t="str">
        <f t="shared" si="105"/>
        <v/>
      </c>
      <c r="AC278" s="3" t="str">
        <f t="shared" si="105"/>
        <v/>
      </c>
      <c r="AD278" s="3" t="str">
        <f t="shared" si="105"/>
        <v/>
      </c>
      <c r="AE278" s="3" t="str">
        <f t="shared" si="105"/>
        <v/>
      </c>
      <c r="AF278" s="3" t="str">
        <f t="shared" si="105"/>
        <v/>
      </c>
      <c r="AG278" s="3" t="str">
        <f t="shared" si="105"/>
        <v/>
      </c>
      <c r="AH278" s="3" t="str">
        <f t="shared" si="105"/>
        <v/>
      </c>
      <c r="AI278" s="3" t="str">
        <f t="shared" si="105"/>
        <v/>
      </c>
      <c r="AJ278" s="3" t="str">
        <f t="shared" si="105"/>
        <v/>
      </c>
      <c r="AK278" s="3" t="str">
        <f t="shared" si="105"/>
        <v/>
      </c>
      <c r="AL278" s="3" t="str">
        <f t="shared" si="105"/>
        <v/>
      </c>
      <c r="AM278" s="3" t="str">
        <f t="shared" si="105"/>
        <v/>
      </c>
      <c r="AN278" s="3" t="str">
        <f t="shared" si="105"/>
        <v/>
      </c>
      <c r="AO278" s="3" t="str">
        <f t="shared" si="105"/>
        <v/>
      </c>
      <c r="AP278" s="3" t="str">
        <f t="shared" si="105"/>
        <v/>
      </c>
      <c r="AQ278" s="3" t="str">
        <f t="shared" si="105"/>
        <v/>
      </c>
    </row>
    <row r="280" spans="3:43" x14ac:dyDescent="0.25">
      <c r="C280" s="43" t="str">
        <f>"15."&amp;4&amp;" Gearing scenario 4 – "&amp;TEXT(D251,"0%")&amp;" (debt scale factor vs live case in E)"</f>
        <v>15.4 Gearing scenario 4 – 50% (debt scale factor vs live case in E)</v>
      </c>
      <c r="D280" s="43" t="s">
        <v>4</v>
      </c>
      <c r="E280" s="123">
        <f>IF(Inputs!$E$217=0,0,D251/Inputs!$E$217)</f>
        <v>0.9090909090909091</v>
      </c>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c r="AB280" s="123"/>
      <c r="AC280" s="123"/>
      <c r="AD280" s="123"/>
      <c r="AE280" s="123"/>
      <c r="AF280" s="123"/>
      <c r="AG280" s="123"/>
      <c r="AH280" s="123"/>
      <c r="AI280" s="123"/>
      <c r="AJ280" s="123"/>
      <c r="AK280" s="123"/>
      <c r="AL280" s="123"/>
      <c r="AM280" s="123"/>
      <c r="AN280" s="123"/>
      <c r="AO280" s="123"/>
      <c r="AP280" s="123"/>
      <c r="AQ280" s="123"/>
    </row>
    <row r="281" spans="3:43" x14ac:dyDescent="0.25">
      <c r="C281" t="s">
        <v>1364</v>
      </c>
      <c r="D281" t="s">
        <v>844</v>
      </c>
      <c r="E281" s="1"/>
      <c r="F281" s="1"/>
      <c r="G281" s="1"/>
      <c r="H281" s="1">
        <f t="shared" ref="H281:AQ281" si="106">H$70+H$16-(-$G$30+$E$280*$G$79)/$E$92*H$90-$E$280*H$81+$E$280*H$85</f>
        <v>-177.24324324324326</v>
      </c>
      <c r="I281" s="1">
        <f t="shared" si="106"/>
        <v>-856.331081081081</v>
      </c>
      <c r="J281" s="1">
        <f t="shared" si="106"/>
        <v>-1753.731056885054</v>
      </c>
      <c r="K281" s="1">
        <f t="shared" si="106"/>
        <v>-4729.062696800932</v>
      </c>
      <c r="L281" s="1">
        <f t="shared" si="106"/>
        <v>-2006.744032562052</v>
      </c>
      <c r="M281" s="1">
        <f t="shared" si="106"/>
        <v>4926.877210694532</v>
      </c>
      <c r="N281" s="1">
        <f t="shared" si="106"/>
        <v>22118.224217902374</v>
      </c>
      <c r="O281" s="1">
        <f t="shared" si="106"/>
        <v>24723.662794518794</v>
      </c>
      <c r="P281" s="1">
        <f t="shared" si="106"/>
        <v>24470.544445040287</v>
      </c>
      <c r="Q281" s="1">
        <f t="shared" si="106"/>
        <v>26709.175400195643</v>
      </c>
      <c r="R281" s="1">
        <f t="shared" si="106"/>
        <v>29280.88074354862</v>
      </c>
      <c r="S281" s="1">
        <f t="shared" si="106"/>
        <v>34327.62357885958</v>
      </c>
      <c r="T281" s="1">
        <f t="shared" si="106"/>
        <v>35581.67529659939</v>
      </c>
      <c r="U281" s="1">
        <f t="shared" si="106"/>
        <v>37502.88088849394</v>
      </c>
      <c r="V281" s="1">
        <f t="shared" si="106"/>
        <v>38598.304884135825</v>
      </c>
      <c r="W281" s="1">
        <f t="shared" si="106"/>
        <v>38626.9424482078</v>
      </c>
      <c r="X281" s="1">
        <f t="shared" si="106"/>
        <v>40226.11734571219</v>
      </c>
      <c r="Y281" s="1">
        <f t="shared" si="106"/>
        <v>41373.94769966461</v>
      </c>
      <c r="Z281" s="1">
        <f t="shared" si="106"/>
        <v>41757.55691938149</v>
      </c>
      <c r="AA281" s="1">
        <f t="shared" si="106"/>
        <v>44090.33321179646</v>
      </c>
      <c r="AB281" s="1">
        <f t="shared" si="106"/>
        <v>45270.620460827704</v>
      </c>
      <c r="AC281" s="1">
        <f t="shared" si="106"/>
        <v>46140.85147512065</v>
      </c>
      <c r="AD281" s="1">
        <f t="shared" si="106"/>
        <v>45660.66871979747</v>
      </c>
      <c r="AE281" s="1">
        <f t="shared" si="106"/>
        <v>46804.00325875041</v>
      </c>
      <c r="AF281" s="1">
        <f t="shared" si="106"/>
        <v>46778.66670004178</v>
      </c>
      <c r="AG281" s="1">
        <f t="shared" si="106"/>
        <v>52460.29636784233</v>
      </c>
      <c r="AH281" s="1">
        <f t="shared" si="106"/>
        <v>68617.88544982989</v>
      </c>
      <c r="AI281" s="1">
        <f t="shared" si="106"/>
        <v>70489.50566049124</v>
      </c>
      <c r="AJ281" s="1">
        <f t="shared" si="106"/>
        <v>71124.5771739413</v>
      </c>
      <c r="AK281" s="1">
        <f t="shared" si="106"/>
        <v>71799.29155095278</v>
      </c>
      <c r="AL281" s="1">
        <f t="shared" si="106"/>
        <v>71748.13534595404</v>
      </c>
      <c r="AM281" s="1">
        <f t="shared" si="106"/>
        <v>73562.4480180319</v>
      </c>
      <c r="AN281" s="1">
        <f t="shared" si="106"/>
        <v>76554.32549064499</v>
      </c>
      <c r="AO281" s="1">
        <f t="shared" si="106"/>
        <v>79221.51934010966</v>
      </c>
      <c r="AP281" s="1">
        <f t="shared" si="106"/>
        <v>79439.68125293475</v>
      </c>
      <c r="AQ281" s="1">
        <f t="shared" si="106"/>
        <v>60496.682489623316</v>
      </c>
    </row>
    <row r="282" spans="3:43" x14ac:dyDescent="0.25">
      <c r="C282" t="s">
        <v>986</v>
      </c>
      <c r="D282" t="s">
        <v>844</v>
      </c>
      <c r="E282" s="1"/>
      <c r="F282" s="1"/>
      <c r="G282" s="1">
        <v>0</v>
      </c>
      <c r="H282" s="1">
        <f t="shared" ref="H282:AQ282" si="107">G282+MAX(-H281,0)-MIN(G282,MAX(H281,0)*$E$95)</f>
        <v>177.24324324324326</v>
      </c>
      <c r="I282" s="1">
        <f t="shared" si="107"/>
        <v>1033.5743243243244</v>
      </c>
      <c r="J282" s="1">
        <f t="shared" si="107"/>
        <v>2787.3053812093785</v>
      </c>
      <c r="K282" s="1">
        <f t="shared" si="107"/>
        <v>7516.3680780103105</v>
      </c>
      <c r="L282" s="1">
        <f t="shared" si="107"/>
        <v>9523.112110572363</v>
      </c>
      <c r="M282" s="1">
        <f t="shared" si="107"/>
        <v>7059.673505225097</v>
      </c>
      <c r="N282" s="1">
        <f t="shared" si="107"/>
        <v>0</v>
      </c>
      <c r="O282" s="1">
        <f t="shared" si="107"/>
        <v>0</v>
      </c>
      <c r="P282" s="1">
        <f t="shared" si="107"/>
        <v>0</v>
      </c>
      <c r="Q282" s="1">
        <f t="shared" si="107"/>
        <v>0</v>
      </c>
      <c r="R282" s="1">
        <f t="shared" si="107"/>
        <v>0</v>
      </c>
      <c r="S282" s="1">
        <f t="shared" si="107"/>
        <v>0</v>
      </c>
      <c r="T282" s="1">
        <f t="shared" si="107"/>
        <v>0</v>
      </c>
      <c r="U282" s="1">
        <f t="shared" si="107"/>
        <v>0</v>
      </c>
      <c r="V282" s="1">
        <f t="shared" si="107"/>
        <v>0</v>
      </c>
      <c r="W282" s="1">
        <f t="shared" si="107"/>
        <v>0</v>
      </c>
      <c r="X282" s="1">
        <f t="shared" si="107"/>
        <v>0</v>
      </c>
      <c r="Y282" s="1">
        <f t="shared" si="107"/>
        <v>0</v>
      </c>
      <c r="Z282" s="1">
        <f t="shared" si="107"/>
        <v>0</v>
      </c>
      <c r="AA282" s="1">
        <f t="shared" si="107"/>
        <v>0</v>
      </c>
      <c r="AB282" s="1">
        <f t="shared" si="107"/>
        <v>0</v>
      </c>
      <c r="AC282" s="1">
        <f t="shared" si="107"/>
        <v>0</v>
      </c>
      <c r="AD282" s="1">
        <f t="shared" si="107"/>
        <v>0</v>
      </c>
      <c r="AE282" s="1">
        <f t="shared" si="107"/>
        <v>0</v>
      </c>
      <c r="AF282" s="1">
        <f t="shared" si="107"/>
        <v>0</v>
      </c>
      <c r="AG282" s="1">
        <f t="shared" si="107"/>
        <v>0</v>
      </c>
      <c r="AH282" s="1">
        <f t="shared" si="107"/>
        <v>0</v>
      </c>
      <c r="AI282" s="1">
        <f t="shared" si="107"/>
        <v>0</v>
      </c>
      <c r="AJ282" s="1">
        <f t="shared" si="107"/>
        <v>0</v>
      </c>
      <c r="AK282" s="1">
        <f t="shared" si="107"/>
        <v>0</v>
      </c>
      <c r="AL282" s="1">
        <f t="shared" si="107"/>
        <v>0</v>
      </c>
      <c r="AM282" s="1">
        <f t="shared" si="107"/>
        <v>0</v>
      </c>
      <c r="AN282" s="1">
        <f t="shared" si="107"/>
        <v>0</v>
      </c>
      <c r="AO282" s="1">
        <f t="shared" si="107"/>
        <v>0</v>
      </c>
      <c r="AP282" s="1">
        <f t="shared" si="107"/>
        <v>0</v>
      </c>
      <c r="AQ282" s="1">
        <f t="shared" si="107"/>
        <v>0</v>
      </c>
    </row>
    <row r="283" spans="3:43" x14ac:dyDescent="0.25">
      <c r="C283" t="s">
        <v>1365</v>
      </c>
      <c r="D283" t="s">
        <v>844</v>
      </c>
      <c r="E283" s="1"/>
      <c r="F283" s="1"/>
      <c r="G283" s="1"/>
      <c r="H283" s="1">
        <f t="shared" ref="H283:AQ283" si="108">-(MAX(H281,0)-MIN(G282,MAX(H281,0)*$E$95))*$E$91-MAX(H281,0)*$E$99</f>
        <v>-0</v>
      </c>
      <c r="I283" s="1">
        <f t="shared" si="108"/>
        <v>-0</v>
      </c>
      <c r="J283" s="1">
        <f t="shared" si="108"/>
        <v>-0</v>
      </c>
      <c r="K283" s="1">
        <f t="shared" si="108"/>
        <v>-0</v>
      </c>
      <c r="L283" s="1">
        <f t="shared" si="108"/>
        <v>-0</v>
      </c>
      <c r="M283" s="1">
        <f t="shared" si="108"/>
        <v>-221.70947448125392</v>
      </c>
      <c r="N283" s="1">
        <f t="shared" si="108"/>
        <v>-1355.2695641409548</v>
      </c>
      <c r="O283" s="1">
        <f t="shared" si="108"/>
        <v>-2225.1296515066915</v>
      </c>
      <c r="P283" s="1">
        <f t="shared" si="108"/>
        <v>-2202.349000053626</v>
      </c>
      <c r="Q283" s="1">
        <f t="shared" si="108"/>
        <v>-2403.8257860176077</v>
      </c>
      <c r="R283" s="1">
        <f t="shared" si="108"/>
        <v>-2635.2792669193755</v>
      </c>
      <c r="S283" s="1">
        <f t="shared" si="108"/>
        <v>-3089.486122097362</v>
      </c>
      <c r="T283" s="1">
        <f t="shared" si="108"/>
        <v>-3202.3507766939447</v>
      </c>
      <c r="U283" s="1">
        <f t="shared" si="108"/>
        <v>-3375.259279964455</v>
      </c>
      <c r="V283" s="1">
        <f t="shared" si="108"/>
        <v>-3473.847439572224</v>
      </c>
      <c r="W283" s="1">
        <f t="shared" si="108"/>
        <v>-3476.424820338702</v>
      </c>
      <c r="X283" s="1">
        <f t="shared" si="108"/>
        <v>-3620.350561114097</v>
      </c>
      <c r="Y283" s="1">
        <f t="shared" si="108"/>
        <v>-3723.655292969815</v>
      </c>
      <c r="Z283" s="1">
        <f t="shared" si="108"/>
        <v>-3758.180122744334</v>
      </c>
      <c r="AA283" s="1">
        <f t="shared" si="108"/>
        <v>-3968.129989061681</v>
      </c>
      <c r="AB283" s="1">
        <f t="shared" si="108"/>
        <v>-4074.355841474493</v>
      </c>
      <c r="AC283" s="1">
        <f t="shared" si="108"/>
        <v>-4152.676632760858</v>
      </c>
      <c r="AD283" s="1">
        <f t="shared" si="108"/>
        <v>-4109.460184781772</v>
      </c>
      <c r="AE283" s="1">
        <f t="shared" si="108"/>
        <v>-4212.3602932875365</v>
      </c>
      <c r="AF283" s="1">
        <f t="shared" si="108"/>
        <v>-4210.08000300376</v>
      </c>
      <c r="AG283" s="1">
        <f t="shared" si="108"/>
        <v>-4721.42667310581</v>
      </c>
      <c r="AH283" s="1">
        <f t="shared" si="108"/>
        <v>-6175.60969048469</v>
      </c>
      <c r="AI283" s="1">
        <f t="shared" si="108"/>
        <v>-6344.055509444212</v>
      </c>
      <c r="AJ283" s="1">
        <f t="shared" si="108"/>
        <v>-6401.211945654717</v>
      </c>
      <c r="AK283" s="1">
        <f t="shared" si="108"/>
        <v>-6461.93623958575</v>
      </c>
      <c r="AL283" s="1">
        <f t="shared" si="108"/>
        <v>-6457.332181135864</v>
      </c>
      <c r="AM283" s="1">
        <f t="shared" si="108"/>
        <v>-6620.6203216228705</v>
      </c>
      <c r="AN283" s="1">
        <f t="shared" si="108"/>
        <v>-6889.889294158049</v>
      </c>
      <c r="AO283" s="1">
        <f t="shared" si="108"/>
        <v>-7129.936740609869</v>
      </c>
      <c r="AP283" s="1">
        <f t="shared" si="108"/>
        <v>-7149.5713127641275</v>
      </c>
      <c r="AQ283" s="1">
        <f t="shared" si="108"/>
        <v>-5444.701424066098</v>
      </c>
    </row>
    <row r="284" spans="3:43" x14ac:dyDescent="0.25">
      <c r="C284" t="s">
        <v>1009</v>
      </c>
      <c r="D284" t="s">
        <v>844</v>
      </c>
      <c r="E284" s="1"/>
      <c r="F284" s="1"/>
      <c r="G284" s="1"/>
      <c r="H284" s="1">
        <f t="shared" ref="H284:AQ284" si="109">(H$109+$E$280*(H$77+H$85-H$80+H$86-H$87+H$89)+H283)*$E$128</f>
        <v>-3175.234818585709</v>
      </c>
      <c r="I284" s="1">
        <f t="shared" si="109"/>
        <v>-1953.381766012588</v>
      </c>
      <c r="J284" s="1">
        <f t="shared" si="109"/>
        <v>-2850.781741816561</v>
      </c>
      <c r="K284" s="1">
        <f t="shared" si="109"/>
        <v>-66548.84949821208</v>
      </c>
      <c r="L284" s="1">
        <f t="shared" si="109"/>
        <v>-111812.14177109578</v>
      </c>
      <c r="M284" s="1">
        <f t="shared" si="109"/>
        <v>-73848.23960912328</v>
      </c>
      <c r="N284" s="1">
        <f t="shared" si="109"/>
        <v>14803.829193220521</v>
      </c>
      <c r="O284" s="1">
        <f t="shared" si="109"/>
        <v>15019.48959693526</v>
      </c>
      <c r="P284" s="1">
        <f t="shared" si="109"/>
        <v>14092.231564747628</v>
      </c>
      <c r="Q284" s="1">
        <f t="shared" si="109"/>
        <v>14382.922911996708</v>
      </c>
      <c r="R284" s="1">
        <f t="shared" si="109"/>
        <v>14791.666700548134</v>
      </c>
      <c r="S284" s="1">
        <f t="shared" si="109"/>
        <v>27613.774393728727</v>
      </c>
      <c r="T284" s="1">
        <f t="shared" si="109"/>
        <v>31548.632131908453</v>
      </c>
      <c r="U284" s="1">
        <f t="shared" si="109"/>
        <v>46650.72790708436</v>
      </c>
      <c r="V284" s="1">
        <f t="shared" si="109"/>
        <v>57260.23225587195</v>
      </c>
      <c r="W284" s="1">
        <f t="shared" si="109"/>
        <v>57286.29243917746</v>
      </c>
      <c r="X284" s="1">
        <f t="shared" si="109"/>
        <v>58741.541595906456</v>
      </c>
      <c r="Y284" s="1">
        <f t="shared" si="109"/>
        <v>59786.06721800315</v>
      </c>
      <c r="Z284" s="1">
        <f t="shared" si="109"/>
        <v>60135.15160794551</v>
      </c>
      <c r="AA284" s="1">
        <f t="shared" si="109"/>
        <v>62257.97803404313</v>
      </c>
      <c r="AB284" s="1">
        <f t="shared" si="109"/>
        <v>63332.03943066156</v>
      </c>
      <c r="AC284" s="1">
        <f t="shared" si="109"/>
        <v>64123.94965366815</v>
      </c>
      <c r="AD284" s="1">
        <f t="shared" si="109"/>
        <v>63686.98334632405</v>
      </c>
      <c r="AE284" s="1">
        <f t="shared" si="109"/>
        <v>64727.417776771224</v>
      </c>
      <c r="AF284" s="1">
        <f t="shared" si="109"/>
        <v>64704.361508346374</v>
      </c>
      <c r="AG284" s="1">
        <f t="shared" si="109"/>
        <v>64340.70080321779</v>
      </c>
      <c r="AH284" s="1">
        <f t="shared" si="109"/>
        <v>62442.2757593452</v>
      </c>
      <c r="AI284" s="1">
        <f t="shared" si="109"/>
        <v>64145.45015104703</v>
      </c>
      <c r="AJ284" s="1">
        <f t="shared" si="109"/>
        <v>64723.36522828659</v>
      </c>
      <c r="AK284" s="1">
        <f t="shared" si="109"/>
        <v>65337.355311367035</v>
      </c>
      <c r="AL284" s="1">
        <f t="shared" si="109"/>
        <v>65290.80316481818</v>
      </c>
      <c r="AM284" s="1">
        <f t="shared" si="109"/>
        <v>66941.82769640902</v>
      </c>
      <c r="AN284" s="1">
        <f t="shared" si="109"/>
        <v>69664.43619648693</v>
      </c>
      <c r="AO284" s="1">
        <f t="shared" si="109"/>
        <v>72091.58259949979</v>
      </c>
      <c r="AP284" s="1">
        <f t="shared" si="109"/>
        <v>72290.10994017063</v>
      </c>
      <c r="AQ284" s="1">
        <f t="shared" si="109"/>
        <v>47221.981065557215</v>
      </c>
    </row>
    <row r="285" spans="3:43" x14ac:dyDescent="0.25">
      <c r="C285" t="s">
        <v>1007</v>
      </c>
      <c r="D285" t="s">
        <v>4</v>
      </c>
      <c r="E285" s="1"/>
      <c r="F285" s="1"/>
      <c r="G285" s="3"/>
      <c r="H285" s="3" t="str">
        <f t="shared" ref="H285:AQ285" si="110">IF(AND(H$9&gt;=1,H$86&lt;-0.01,$E$280&gt;0),(H$70+H283)/(-$E$280*H$86),"")</f>
        <v/>
      </c>
      <c r="I285" s="3" t="str">
        <f t="shared" si="110"/>
        <v/>
      </c>
      <c r="J285" s="3" t="str">
        <f t="shared" si="110"/>
        <v/>
      </c>
      <c r="K285" s="3" t="str">
        <f t="shared" si="110"/>
        <v/>
      </c>
      <c r="L285" s="3" t="str">
        <f t="shared" si="110"/>
        <v/>
      </c>
      <c r="M285" s="3" t="str">
        <f t="shared" si="110"/>
        <v/>
      </c>
      <c r="N285" s="3">
        <f t="shared" si="110"/>
        <v>1.8446114565027525</v>
      </c>
      <c r="O285" s="3">
        <f t="shared" si="110"/>
        <v>1.8558595471845518</v>
      </c>
      <c r="P285" s="3">
        <f t="shared" si="110"/>
        <v>1.7976841542713065</v>
      </c>
      <c r="Q285" s="3">
        <f t="shared" si="110"/>
        <v>1.8154170500731037</v>
      </c>
      <c r="R285" s="3">
        <f t="shared" si="110"/>
        <v>1.8404861192313677</v>
      </c>
      <c r="S285" s="3">
        <f t="shared" si="110"/>
        <v>1.938847672018219</v>
      </c>
      <c r="T285" s="3">
        <f t="shared" si="110"/>
        <v>1.9338559076119854</v>
      </c>
      <c r="U285" s="3">
        <f t="shared" si="110"/>
        <v>2.695425827060629</v>
      </c>
      <c r="V285" s="3" t="str">
        <f t="shared" si="110"/>
        <v/>
      </c>
      <c r="W285" s="3" t="str">
        <f t="shared" si="110"/>
        <v/>
      </c>
      <c r="X285" s="3" t="str">
        <f t="shared" si="110"/>
        <v/>
      </c>
      <c r="Y285" s="3" t="str">
        <f t="shared" si="110"/>
        <v/>
      </c>
      <c r="Z285" s="3" t="str">
        <f t="shared" si="110"/>
        <v/>
      </c>
      <c r="AA285" s="3" t="str">
        <f t="shared" si="110"/>
        <v/>
      </c>
      <c r="AB285" s="3" t="str">
        <f t="shared" si="110"/>
        <v/>
      </c>
      <c r="AC285" s="3" t="str">
        <f t="shared" si="110"/>
        <v/>
      </c>
      <c r="AD285" s="3" t="str">
        <f t="shared" si="110"/>
        <v/>
      </c>
      <c r="AE285" s="3" t="str">
        <f t="shared" si="110"/>
        <v/>
      </c>
      <c r="AF285" s="3" t="str">
        <f t="shared" si="110"/>
        <v/>
      </c>
      <c r="AG285" s="3" t="str">
        <f t="shared" si="110"/>
        <v/>
      </c>
      <c r="AH285" s="3" t="str">
        <f t="shared" si="110"/>
        <v/>
      </c>
      <c r="AI285" s="3" t="str">
        <f t="shared" si="110"/>
        <v/>
      </c>
      <c r="AJ285" s="3" t="str">
        <f t="shared" si="110"/>
        <v/>
      </c>
      <c r="AK285" s="3" t="str">
        <f t="shared" si="110"/>
        <v/>
      </c>
      <c r="AL285" s="3" t="str">
        <f t="shared" si="110"/>
        <v/>
      </c>
      <c r="AM285" s="3" t="str">
        <f t="shared" si="110"/>
        <v/>
      </c>
      <c r="AN285" s="3" t="str">
        <f t="shared" si="110"/>
        <v/>
      </c>
      <c r="AO285" s="3" t="str">
        <f t="shared" si="110"/>
        <v/>
      </c>
      <c r="AP285" s="3" t="str">
        <f t="shared" si="110"/>
        <v/>
      </c>
      <c r="AQ285" s="3" t="str">
        <f t="shared" si="110"/>
        <v/>
      </c>
    </row>
    <row r="287" spans="3:43" x14ac:dyDescent="0.25">
      <c r="C287" s="43" t="str">
        <f>"15."&amp;5&amp;" Gearing scenario 5 – "&amp;TEXT(D252,"0%")&amp;" (debt scale factor vs live case in E)"</f>
        <v>15.5 Gearing scenario 5 – 55% (debt scale factor vs live case in E)</v>
      </c>
      <c r="D287" s="43" t="s">
        <v>4</v>
      </c>
      <c r="E287" s="123">
        <f>IF(Inputs!$E$217=0,0,D252/Inputs!$E$217)</f>
        <v>1</v>
      </c>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c r="AC287" s="123"/>
      <c r="AD287" s="123"/>
      <c r="AE287" s="123"/>
      <c r="AF287" s="123"/>
      <c r="AG287" s="123"/>
      <c r="AH287" s="123"/>
      <c r="AI287" s="123"/>
      <c r="AJ287" s="123"/>
      <c r="AK287" s="123"/>
      <c r="AL287" s="123"/>
      <c r="AM287" s="123"/>
      <c r="AN287" s="123"/>
      <c r="AO287" s="123"/>
      <c r="AP287" s="123"/>
      <c r="AQ287" s="123"/>
    </row>
    <row r="288" spans="3:43" x14ac:dyDescent="0.25">
      <c r="C288" t="s">
        <v>1364</v>
      </c>
      <c r="D288" t="s">
        <v>844</v>
      </c>
      <c r="E288" s="1"/>
      <c r="F288" s="1"/>
      <c r="G288" s="1"/>
      <c r="H288" s="1">
        <f t="shared" ref="H288:AQ288" si="111">H$70+H$16-(-$G$30+$E$287*$G$79)/$E$92*H$90-$E$287*H$81+$E$287*H$85</f>
        <v>-177.24324324324326</v>
      </c>
      <c r="I288" s="1">
        <f t="shared" si="111"/>
        <v>-856.331081081081</v>
      </c>
      <c r="J288" s="1">
        <f t="shared" si="111"/>
        <v>-1753.731056885054</v>
      </c>
      <c r="K288" s="1">
        <f t="shared" si="111"/>
        <v>-5152.1907625813965</v>
      </c>
      <c r="L288" s="1">
        <f t="shared" si="111"/>
        <v>-2127.2086797206966</v>
      </c>
      <c r="M288" s="1">
        <f t="shared" si="111"/>
        <v>4604.662059709127</v>
      </c>
      <c r="N288" s="1">
        <f t="shared" si="111"/>
        <v>20925.078980037957</v>
      </c>
      <c r="O288" s="1">
        <f t="shared" si="111"/>
        <v>23670.992058013624</v>
      </c>
      <c r="P288" s="1">
        <f t="shared" si="111"/>
        <v>23565.94780032205</v>
      </c>
      <c r="Q288" s="1">
        <f t="shared" si="111"/>
        <v>25956.137448935136</v>
      </c>
      <c r="R288" s="1">
        <f t="shared" si="111"/>
        <v>28688.13379985556</v>
      </c>
      <c r="S288" s="1">
        <f t="shared" si="111"/>
        <v>33904.82518310347</v>
      </c>
      <c r="T288" s="1">
        <f t="shared" si="111"/>
        <v>35287.67759021499</v>
      </c>
      <c r="U288" s="1">
        <f t="shared" si="111"/>
        <v>37344.12390594984</v>
      </c>
      <c r="V288" s="1">
        <f t="shared" si="111"/>
        <v>38540.73388593649</v>
      </c>
      <c r="W288" s="1">
        <f t="shared" si="111"/>
        <v>38569.371450008475</v>
      </c>
      <c r="X288" s="1">
        <f t="shared" si="111"/>
        <v>40168.54634751286</v>
      </c>
      <c r="Y288" s="1">
        <f t="shared" si="111"/>
        <v>41316.37670146528</v>
      </c>
      <c r="Z288" s="1">
        <f t="shared" si="111"/>
        <v>41699.98592118216</v>
      </c>
      <c r="AA288" s="1">
        <f t="shared" si="111"/>
        <v>44032.762213597125</v>
      </c>
      <c r="AB288" s="1">
        <f t="shared" si="111"/>
        <v>45213.04946262837</v>
      </c>
      <c r="AC288" s="1">
        <f t="shared" si="111"/>
        <v>46083.28047692132</v>
      </c>
      <c r="AD288" s="1">
        <f t="shared" si="111"/>
        <v>45603.09772159813</v>
      </c>
      <c r="AE288" s="1">
        <f t="shared" si="111"/>
        <v>46746.432260551075</v>
      </c>
      <c r="AF288" s="1">
        <f t="shared" si="111"/>
        <v>46721.095701842445</v>
      </c>
      <c r="AG288" s="1">
        <f t="shared" si="111"/>
        <v>52417.11811919283</v>
      </c>
      <c r="AH288" s="1">
        <f t="shared" si="111"/>
        <v>68617.88544982989</v>
      </c>
      <c r="AI288" s="1">
        <f t="shared" si="111"/>
        <v>70489.50566049124</v>
      </c>
      <c r="AJ288" s="1">
        <f t="shared" si="111"/>
        <v>71124.5771739413</v>
      </c>
      <c r="AK288" s="1">
        <f t="shared" si="111"/>
        <v>71799.29155095278</v>
      </c>
      <c r="AL288" s="1">
        <f t="shared" si="111"/>
        <v>71748.13534595404</v>
      </c>
      <c r="AM288" s="1">
        <f t="shared" si="111"/>
        <v>73562.4480180319</v>
      </c>
      <c r="AN288" s="1">
        <f t="shared" si="111"/>
        <v>76554.32549064499</v>
      </c>
      <c r="AO288" s="1">
        <f t="shared" si="111"/>
        <v>79221.51934010966</v>
      </c>
      <c r="AP288" s="1">
        <f t="shared" si="111"/>
        <v>79439.68125293475</v>
      </c>
      <c r="AQ288" s="1">
        <f t="shared" si="111"/>
        <v>60496.682489623316</v>
      </c>
    </row>
    <row r="289" spans="3:43" x14ac:dyDescent="0.25">
      <c r="C289" t="s">
        <v>986</v>
      </c>
      <c r="D289" t="s">
        <v>844</v>
      </c>
      <c r="E289" s="1"/>
      <c r="F289" s="1"/>
      <c r="G289" s="1">
        <v>0</v>
      </c>
      <c r="H289" s="1">
        <f t="shared" ref="H289:AQ289" si="112">G289+MAX(-H288,0)-MIN(G289,MAX(H288,0)*$E$95)</f>
        <v>177.24324324324326</v>
      </c>
      <c r="I289" s="1">
        <f t="shared" si="112"/>
        <v>1033.5743243243244</v>
      </c>
      <c r="J289" s="1">
        <f t="shared" si="112"/>
        <v>2787.3053812093785</v>
      </c>
      <c r="K289" s="1">
        <f t="shared" si="112"/>
        <v>7939.496143790775</v>
      </c>
      <c r="L289" s="1">
        <f t="shared" si="112"/>
        <v>10066.70482351147</v>
      </c>
      <c r="M289" s="1">
        <f t="shared" si="112"/>
        <v>7764.373793656907</v>
      </c>
      <c r="N289" s="1">
        <f t="shared" si="112"/>
        <v>0</v>
      </c>
      <c r="O289" s="1">
        <f t="shared" si="112"/>
        <v>0</v>
      </c>
      <c r="P289" s="1">
        <f t="shared" si="112"/>
        <v>0</v>
      </c>
      <c r="Q289" s="1">
        <f t="shared" si="112"/>
        <v>0</v>
      </c>
      <c r="R289" s="1">
        <f t="shared" si="112"/>
        <v>0</v>
      </c>
      <c r="S289" s="1">
        <f t="shared" si="112"/>
        <v>0</v>
      </c>
      <c r="T289" s="1">
        <f t="shared" si="112"/>
        <v>0</v>
      </c>
      <c r="U289" s="1">
        <f t="shared" si="112"/>
        <v>0</v>
      </c>
      <c r="V289" s="1">
        <f t="shared" si="112"/>
        <v>0</v>
      </c>
      <c r="W289" s="1">
        <f t="shared" si="112"/>
        <v>0</v>
      </c>
      <c r="X289" s="1">
        <f t="shared" si="112"/>
        <v>0</v>
      </c>
      <c r="Y289" s="1">
        <f t="shared" si="112"/>
        <v>0</v>
      </c>
      <c r="Z289" s="1">
        <f t="shared" si="112"/>
        <v>0</v>
      </c>
      <c r="AA289" s="1">
        <f t="shared" si="112"/>
        <v>0</v>
      </c>
      <c r="AB289" s="1">
        <f t="shared" si="112"/>
        <v>0</v>
      </c>
      <c r="AC289" s="1">
        <f t="shared" si="112"/>
        <v>0</v>
      </c>
      <c r="AD289" s="1">
        <f t="shared" si="112"/>
        <v>0</v>
      </c>
      <c r="AE289" s="1">
        <f t="shared" si="112"/>
        <v>0</v>
      </c>
      <c r="AF289" s="1">
        <f t="shared" si="112"/>
        <v>0</v>
      </c>
      <c r="AG289" s="1">
        <f t="shared" si="112"/>
        <v>0</v>
      </c>
      <c r="AH289" s="1">
        <f t="shared" si="112"/>
        <v>0</v>
      </c>
      <c r="AI289" s="1">
        <f t="shared" si="112"/>
        <v>0</v>
      </c>
      <c r="AJ289" s="1">
        <f t="shared" si="112"/>
        <v>0</v>
      </c>
      <c r="AK289" s="1">
        <f t="shared" si="112"/>
        <v>0</v>
      </c>
      <c r="AL289" s="1">
        <f t="shared" si="112"/>
        <v>0</v>
      </c>
      <c r="AM289" s="1">
        <f t="shared" si="112"/>
        <v>0</v>
      </c>
      <c r="AN289" s="1">
        <f t="shared" si="112"/>
        <v>0</v>
      </c>
      <c r="AO289" s="1">
        <f t="shared" si="112"/>
        <v>0</v>
      </c>
      <c r="AP289" s="1">
        <f t="shared" si="112"/>
        <v>0</v>
      </c>
      <c r="AQ289" s="1">
        <f t="shared" si="112"/>
        <v>0</v>
      </c>
    </row>
    <row r="290" spans="3:43" x14ac:dyDescent="0.25">
      <c r="C290" t="s">
        <v>1365</v>
      </c>
      <c r="D290" t="s">
        <v>844</v>
      </c>
      <c r="E290" s="1"/>
      <c r="F290" s="1"/>
      <c r="G290" s="1"/>
      <c r="H290" s="1">
        <f t="shared" ref="H290:AQ290" si="113">-(MAX(H288,0)-MIN(G289,MAX(H288,0)*$E$95))*$E$91-MAX(H288,0)*$E$99</f>
        <v>-0</v>
      </c>
      <c r="I290" s="1">
        <f t="shared" si="113"/>
        <v>-0</v>
      </c>
      <c r="J290" s="1">
        <f t="shared" si="113"/>
        <v>-0</v>
      </c>
      <c r="K290" s="1">
        <f t="shared" si="113"/>
        <v>-0</v>
      </c>
      <c r="L290" s="1">
        <f t="shared" si="113"/>
        <v>-0</v>
      </c>
      <c r="M290" s="1">
        <f t="shared" si="113"/>
        <v>-207.2097926869107</v>
      </c>
      <c r="N290" s="1">
        <f t="shared" si="113"/>
        <v>-1184.4634667742944</v>
      </c>
      <c r="O290" s="1">
        <f t="shared" si="113"/>
        <v>-2130.389285221226</v>
      </c>
      <c r="P290" s="1">
        <f t="shared" si="113"/>
        <v>-2120.9353020289846</v>
      </c>
      <c r="Q290" s="1">
        <f t="shared" si="113"/>
        <v>-2336.052370404162</v>
      </c>
      <c r="R290" s="1">
        <f t="shared" si="113"/>
        <v>-2581.9320419870005</v>
      </c>
      <c r="S290" s="1">
        <f t="shared" si="113"/>
        <v>-3051.4342664793126</v>
      </c>
      <c r="T290" s="1">
        <f t="shared" si="113"/>
        <v>-3175.890983119349</v>
      </c>
      <c r="U290" s="1">
        <f t="shared" si="113"/>
        <v>-3360.9711515354857</v>
      </c>
      <c r="V290" s="1">
        <f t="shared" si="113"/>
        <v>-3468.666049734284</v>
      </c>
      <c r="W290" s="1">
        <f t="shared" si="113"/>
        <v>-3471.2434305007628</v>
      </c>
      <c r="X290" s="1">
        <f t="shared" si="113"/>
        <v>-3615.1691712761576</v>
      </c>
      <c r="Y290" s="1">
        <f t="shared" si="113"/>
        <v>-3718.473903131875</v>
      </c>
      <c r="Z290" s="1">
        <f t="shared" si="113"/>
        <v>-3752.9987329063943</v>
      </c>
      <c r="AA290" s="1">
        <f t="shared" si="113"/>
        <v>-3962.948599223741</v>
      </c>
      <c r="AB290" s="1">
        <f t="shared" si="113"/>
        <v>-4069.174451636553</v>
      </c>
      <c r="AC290" s="1">
        <f t="shared" si="113"/>
        <v>-4147.495242922919</v>
      </c>
      <c r="AD290" s="1">
        <f t="shared" si="113"/>
        <v>-4104.278794943832</v>
      </c>
      <c r="AE290" s="1">
        <f t="shared" si="113"/>
        <v>-4207.178903449597</v>
      </c>
      <c r="AF290" s="1">
        <f t="shared" si="113"/>
        <v>-4204.89861316582</v>
      </c>
      <c r="AG290" s="1">
        <f t="shared" si="113"/>
        <v>-4717.540630727355</v>
      </c>
      <c r="AH290" s="1">
        <f t="shared" si="113"/>
        <v>-6175.60969048469</v>
      </c>
      <c r="AI290" s="1">
        <f t="shared" si="113"/>
        <v>-6344.055509444212</v>
      </c>
      <c r="AJ290" s="1">
        <f t="shared" si="113"/>
        <v>-6401.211945654717</v>
      </c>
      <c r="AK290" s="1">
        <f t="shared" si="113"/>
        <v>-6461.93623958575</v>
      </c>
      <c r="AL290" s="1">
        <f t="shared" si="113"/>
        <v>-6457.332181135864</v>
      </c>
      <c r="AM290" s="1">
        <f t="shared" si="113"/>
        <v>-6620.6203216228705</v>
      </c>
      <c r="AN290" s="1">
        <f t="shared" si="113"/>
        <v>-6889.889294158049</v>
      </c>
      <c r="AO290" s="1">
        <f t="shared" si="113"/>
        <v>-7129.936740609869</v>
      </c>
      <c r="AP290" s="1">
        <f t="shared" si="113"/>
        <v>-7149.5713127641275</v>
      </c>
      <c r="AQ290" s="1">
        <f t="shared" si="113"/>
        <v>-5444.701424066098</v>
      </c>
    </row>
    <row r="291" spans="3:43" x14ac:dyDescent="0.25">
      <c r="C291" t="s">
        <v>1009</v>
      </c>
      <c r="D291" t="s">
        <v>844</v>
      </c>
      <c r="E291" s="1"/>
      <c r="F291" s="1"/>
      <c r="G291" s="1"/>
      <c r="H291" s="1">
        <f t="shared" ref="H291:AQ291" si="114">(H$109+$E$287*(H$77+H$85-H$80+H$86-H$87+H$89)+H290)*$E$128</f>
        <v>-3175.234818585709</v>
      </c>
      <c r="I291" s="1">
        <f t="shared" si="114"/>
        <v>-1953.381766012588</v>
      </c>
      <c r="J291" s="1">
        <f t="shared" si="114"/>
        <v>-2850.781741816561</v>
      </c>
      <c r="K291" s="1">
        <f t="shared" si="114"/>
        <v>-64254.81870879118</v>
      </c>
      <c r="L291" s="1">
        <f t="shared" si="114"/>
        <v>-101152.57400359688</v>
      </c>
      <c r="M291" s="1">
        <f t="shared" si="114"/>
        <v>-67549.30936180383</v>
      </c>
      <c r="N291" s="1">
        <f t="shared" si="114"/>
        <v>11029.571023737175</v>
      </c>
      <c r="O291" s="1">
        <f t="shared" si="114"/>
        <v>11157.648389176367</v>
      </c>
      <c r="P291" s="1">
        <f t="shared" si="114"/>
        <v>10295.445747098616</v>
      </c>
      <c r="Q291" s="1">
        <f t="shared" si="114"/>
        <v>10549.409223200011</v>
      </c>
      <c r="R291" s="1">
        <f t="shared" si="114"/>
        <v>10910.867021247837</v>
      </c>
      <c r="S291" s="1">
        <f t="shared" si="114"/>
        <v>24710.585064355815</v>
      </c>
      <c r="T291" s="1">
        <f t="shared" si="114"/>
        <v>29042.018497367444</v>
      </c>
      <c r="U291" s="1">
        <f t="shared" si="114"/>
        <v>45602.5631998932</v>
      </c>
      <c r="V291" s="1">
        <f t="shared" si="114"/>
        <v>57265.413645709894</v>
      </c>
      <c r="W291" s="1">
        <f t="shared" si="114"/>
        <v>57291.4738290154</v>
      </c>
      <c r="X291" s="1">
        <f t="shared" si="114"/>
        <v>58746.72298574439</v>
      </c>
      <c r="Y291" s="1">
        <f t="shared" si="114"/>
        <v>59791.24860784109</v>
      </c>
      <c r="Z291" s="1">
        <f t="shared" si="114"/>
        <v>60140.33299778345</v>
      </c>
      <c r="AA291" s="1">
        <f t="shared" si="114"/>
        <v>62263.15942388107</v>
      </c>
      <c r="AB291" s="1">
        <f t="shared" si="114"/>
        <v>63337.220820499504</v>
      </c>
      <c r="AC291" s="1">
        <f t="shared" si="114"/>
        <v>64129.13104350609</v>
      </c>
      <c r="AD291" s="1">
        <f t="shared" si="114"/>
        <v>63692.16473616198</v>
      </c>
      <c r="AE291" s="1">
        <f t="shared" si="114"/>
        <v>64732.599166609165</v>
      </c>
      <c r="AF291" s="1">
        <f t="shared" si="114"/>
        <v>64709.542898184314</v>
      </c>
      <c r="AG291" s="1">
        <f t="shared" si="114"/>
        <v>64344.58684559625</v>
      </c>
      <c r="AH291" s="1">
        <f t="shared" si="114"/>
        <v>62442.2757593452</v>
      </c>
      <c r="AI291" s="1">
        <f t="shared" si="114"/>
        <v>64145.45015104703</v>
      </c>
      <c r="AJ291" s="1">
        <f t="shared" si="114"/>
        <v>64723.36522828659</v>
      </c>
      <c r="AK291" s="1">
        <f t="shared" si="114"/>
        <v>65337.355311367035</v>
      </c>
      <c r="AL291" s="1">
        <f t="shared" si="114"/>
        <v>65290.80316481818</v>
      </c>
      <c r="AM291" s="1">
        <f t="shared" si="114"/>
        <v>66941.82769640902</v>
      </c>
      <c r="AN291" s="1">
        <f t="shared" si="114"/>
        <v>69664.43619648693</v>
      </c>
      <c r="AO291" s="1">
        <f t="shared" si="114"/>
        <v>72091.58259949979</v>
      </c>
      <c r="AP291" s="1">
        <f t="shared" si="114"/>
        <v>72290.10994017063</v>
      </c>
      <c r="AQ291" s="1">
        <f t="shared" si="114"/>
        <v>47221.981065557215</v>
      </c>
    </row>
    <row r="292" spans="3:43" x14ac:dyDescent="0.25">
      <c r="C292" t="s">
        <v>1007</v>
      </c>
      <c r="D292" t="s">
        <v>4</v>
      </c>
      <c r="E292" s="1"/>
      <c r="F292" s="1"/>
      <c r="G292" s="3"/>
      <c r="H292" s="3" t="str">
        <f t="shared" ref="H292:AQ292" si="115">IF(AND(H$9&gt;=1,H$86&lt;-0.01,$E$287&gt;0),(H$70+H290)/(-$E$287*H$86),"")</f>
        <v/>
      </c>
      <c r="I292" s="3" t="str">
        <f t="shared" si="115"/>
        <v/>
      </c>
      <c r="J292" s="3" t="str">
        <f t="shared" si="115"/>
        <v/>
      </c>
      <c r="K292" s="3" t="str">
        <f t="shared" si="115"/>
        <v/>
      </c>
      <c r="L292" s="3" t="str">
        <f t="shared" si="115"/>
        <v/>
      </c>
      <c r="M292" s="3" t="str">
        <f t="shared" si="115"/>
        <v/>
      </c>
      <c r="N292" s="3">
        <f t="shared" si="115"/>
        <v>1.6821988509420418</v>
      </c>
      <c r="O292" s="3">
        <f t="shared" si="115"/>
        <v>1.6900733170588107</v>
      </c>
      <c r="P292" s="3">
        <f t="shared" si="115"/>
        <v>1.6367746900909266</v>
      </c>
      <c r="Q292" s="3">
        <f t="shared" si="115"/>
        <v>1.6524739050035329</v>
      </c>
      <c r="R292" s="3">
        <f t="shared" si="115"/>
        <v>1.6748180772463344</v>
      </c>
      <c r="S292" s="3">
        <f t="shared" si="115"/>
        <v>1.7637649151302937</v>
      </c>
      <c r="T292" s="3">
        <f t="shared" si="115"/>
        <v>1.7588686552722048</v>
      </c>
      <c r="U292" s="3">
        <f t="shared" si="115"/>
        <v>2.450998399475747</v>
      </c>
      <c r="V292" s="3" t="str">
        <f t="shared" si="115"/>
        <v/>
      </c>
      <c r="W292" s="3" t="str">
        <f t="shared" si="115"/>
        <v/>
      </c>
      <c r="X292" s="3" t="str">
        <f t="shared" si="115"/>
        <v/>
      </c>
      <c r="Y292" s="3" t="str">
        <f t="shared" si="115"/>
        <v/>
      </c>
      <c r="Z292" s="3" t="str">
        <f t="shared" si="115"/>
        <v/>
      </c>
      <c r="AA292" s="3" t="str">
        <f t="shared" si="115"/>
        <v/>
      </c>
      <c r="AB292" s="3" t="str">
        <f t="shared" si="115"/>
        <v/>
      </c>
      <c r="AC292" s="3" t="str">
        <f t="shared" si="115"/>
        <v/>
      </c>
      <c r="AD292" s="3" t="str">
        <f t="shared" si="115"/>
        <v/>
      </c>
      <c r="AE292" s="3" t="str">
        <f t="shared" si="115"/>
        <v/>
      </c>
      <c r="AF292" s="3" t="str">
        <f t="shared" si="115"/>
        <v/>
      </c>
      <c r="AG292" s="3" t="str">
        <f t="shared" si="115"/>
        <v/>
      </c>
      <c r="AH292" s="3" t="str">
        <f t="shared" si="115"/>
        <v/>
      </c>
      <c r="AI292" s="3" t="str">
        <f t="shared" si="115"/>
        <v/>
      </c>
      <c r="AJ292" s="3" t="str">
        <f t="shared" si="115"/>
        <v/>
      </c>
      <c r="AK292" s="3" t="str">
        <f t="shared" si="115"/>
        <v/>
      </c>
      <c r="AL292" s="3" t="str">
        <f t="shared" si="115"/>
        <v/>
      </c>
      <c r="AM292" s="3" t="str">
        <f t="shared" si="115"/>
        <v/>
      </c>
      <c r="AN292" s="3" t="str">
        <f t="shared" si="115"/>
        <v/>
      </c>
      <c r="AO292" s="3" t="str">
        <f t="shared" si="115"/>
        <v/>
      </c>
      <c r="AP292" s="3" t="str">
        <f t="shared" si="115"/>
        <v/>
      </c>
      <c r="AQ292" s="3" t="str">
        <f t="shared" si="115"/>
        <v/>
      </c>
    </row>
    <row r="294" spans="3:43" x14ac:dyDescent="0.25">
      <c r="C294" s="43" t="str">
        <f>"15."&amp;6&amp;" Gearing scenario 6 – "&amp;TEXT(D253,"0%")&amp;" (debt scale factor vs live case in E)"</f>
        <v>15.6 Gearing scenario 6 – 60% (debt scale factor vs live case in E)</v>
      </c>
      <c r="D294" s="43" t="s">
        <v>4</v>
      </c>
      <c r="E294" s="123">
        <f>IF(Inputs!$E$217=0,0,D253/Inputs!$E$217)</f>
        <v>1.0909090909090908</v>
      </c>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c r="AB294" s="123"/>
      <c r="AC294" s="123"/>
      <c r="AD294" s="123"/>
      <c r="AE294" s="123"/>
      <c r="AF294" s="123"/>
      <c r="AG294" s="123"/>
      <c r="AH294" s="123"/>
      <c r="AI294" s="123"/>
      <c r="AJ294" s="123"/>
      <c r="AK294" s="123"/>
      <c r="AL294" s="123"/>
      <c r="AM294" s="123"/>
      <c r="AN294" s="123"/>
      <c r="AO294" s="123"/>
      <c r="AP294" s="123"/>
      <c r="AQ294" s="123"/>
    </row>
    <row r="295" spans="3:43" x14ac:dyDescent="0.25">
      <c r="C295" t="s">
        <v>1364</v>
      </c>
      <c r="D295" t="s">
        <v>844</v>
      </c>
      <c r="E295" s="1"/>
      <c r="F295" s="1"/>
      <c r="G295" s="1"/>
      <c r="H295" s="1">
        <f t="shared" ref="H295:AQ295" si="116">H$70+H$16-(-$G$30+$E$294*$G$79)/$E$92*H$90-$E$294*H$81+$E$294*H$85</f>
        <v>-177.24324324324326</v>
      </c>
      <c r="I295" s="1">
        <f t="shared" si="116"/>
        <v>-856.331081081081</v>
      </c>
      <c r="J295" s="1">
        <f t="shared" si="116"/>
        <v>-1753.731056885054</v>
      </c>
      <c r="K295" s="1">
        <f t="shared" si="116"/>
        <v>-5575.31882836186</v>
      </c>
      <c r="L295" s="1">
        <f t="shared" si="116"/>
        <v>-2247.6733268793405</v>
      </c>
      <c r="M295" s="1">
        <f t="shared" si="116"/>
        <v>4282.446908723722</v>
      </c>
      <c r="N295" s="1">
        <f t="shared" si="116"/>
        <v>19731.933742173547</v>
      </c>
      <c r="O295" s="1">
        <f t="shared" si="116"/>
        <v>22618.32132150846</v>
      </c>
      <c r="P295" s="1">
        <f t="shared" si="116"/>
        <v>22661.351155603814</v>
      </c>
      <c r="Q295" s="1">
        <f t="shared" si="116"/>
        <v>25203.099497674637</v>
      </c>
      <c r="R295" s="1">
        <f t="shared" si="116"/>
        <v>28095.386856162506</v>
      </c>
      <c r="S295" s="1">
        <f t="shared" si="116"/>
        <v>33482.026787347364</v>
      </c>
      <c r="T295" s="1">
        <f t="shared" si="116"/>
        <v>34993.67988383059</v>
      </c>
      <c r="U295" s="1">
        <f t="shared" si="116"/>
        <v>37185.36692340574</v>
      </c>
      <c r="V295" s="1">
        <f t="shared" si="116"/>
        <v>38483.16288773716</v>
      </c>
      <c r="W295" s="1">
        <f t="shared" si="116"/>
        <v>38511.80045180915</v>
      </c>
      <c r="X295" s="1">
        <f t="shared" si="116"/>
        <v>40110.975349313536</v>
      </c>
      <c r="Y295" s="1">
        <f t="shared" si="116"/>
        <v>41258.80570326595</v>
      </c>
      <c r="Z295" s="1">
        <f t="shared" si="116"/>
        <v>41642.41492298283</v>
      </c>
      <c r="AA295" s="1">
        <f t="shared" si="116"/>
        <v>43975.1912153978</v>
      </c>
      <c r="AB295" s="1">
        <f t="shared" si="116"/>
        <v>45155.47846442904</v>
      </c>
      <c r="AC295" s="1">
        <f t="shared" si="116"/>
        <v>46025.70947872199</v>
      </c>
      <c r="AD295" s="1">
        <f t="shared" si="116"/>
        <v>45545.526723398805</v>
      </c>
      <c r="AE295" s="1">
        <f t="shared" si="116"/>
        <v>46688.86126235175</v>
      </c>
      <c r="AF295" s="1">
        <f t="shared" si="116"/>
        <v>46663.52470364312</v>
      </c>
      <c r="AG295" s="1">
        <f t="shared" si="116"/>
        <v>52373.93987054334</v>
      </c>
      <c r="AH295" s="1">
        <f t="shared" si="116"/>
        <v>68617.88544982989</v>
      </c>
      <c r="AI295" s="1">
        <f t="shared" si="116"/>
        <v>70489.50566049124</v>
      </c>
      <c r="AJ295" s="1">
        <f t="shared" si="116"/>
        <v>71124.5771739413</v>
      </c>
      <c r="AK295" s="1">
        <f t="shared" si="116"/>
        <v>71799.29155095278</v>
      </c>
      <c r="AL295" s="1">
        <f t="shared" si="116"/>
        <v>71748.13534595404</v>
      </c>
      <c r="AM295" s="1">
        <f t="shared" si="116"/>
        <v>73562.4480180319</v>
      </c>
      <c r="AN295" s="1">
        <f t="shared" si="116"/>
        <v>76554.32549064499</v>
      </c>
      <c r="AO295" s="1">
        <f t="shared" si="116"/>
        <v>79221.51934010966</v>
      </c>
      <c r="AP295" s="1">
        <f t="shared" si="116"/>
        <v>79439.68125293475</v>
      </c>
      <c r="AQ295" s="1">
        <f t="shared" si="116"/>
        <v>60496.682489623316</v>
      </c>
    </row>
    <row r="296" spans="3:43" x14ac:dyDescent="0.25">
      <c r="C296" t="s">
        <v>986</v>
      </c>
      <c r="D296" t="s">
        <v>844</v>
      </c>
      <c r="E296" s="1"/>
      <c r="F296" s="1"/>
      <c r="G296" s="1">
        <v>0</v>
      </c>
      <c r="H296" s="1">
        <f t="shared" ref="H296:AQ296" si="117">G296+MAX(-H295,0)-MIN(G296,MAX(H295,0)*$E$95)</f>
        <v>177.24324324324326</v>
      </c>
      <c r="I296" s="1">
        <f t="shared" si="117"/>
        <v>1033.5743243243244</v>
      </c>
      <c r="J296" s="1">
        <f t="shared" si="117"/>
        <v>2787.3053812093785</v>
      </c>
      <c r="K296" s="1">
        <f t="shared" si="117"/>
        <v>8362.624209571239</v>
      </c>
      <c r="L296" s="1">
        <f t="shared" si="117"/>
        <v>10610.29753645058</v>
      </c>
      <c r="M296" s="1">
        <f t="shared" si="117"/>
        <v>8469.074082088719</v>
      </c>
      <c r="N296" s="1">
        <f t="shared" si="117"/>
        <v>0</v>
      </c>
      <c r="O296" s="1">
        <f t="shared" si="117"/>
        <v>0</v>
      </c>
      <c r="P296" s="1">
        <f t="shared" si="117"/>
        <v>0</v>
      </c>
      <c r="Q296" s="1">
        <f t="shared" si="117"/>
        <v>0</v>
      </c>
      <c r="R296" s="1">
        <f t="shared" si="117"/>
        <v>0</v>
      </c>
      <c r="S296" s="1">
        <f t="shared" si="117"/>
        <v>0</v>
      </c>
      <c r="T296" s="1">
        <f t="shared" si="117"/>
        <v>0</v>
      </c>
      <c r="U296" s="1">
        <f t="shared" si="117"/>
        <v>0</v>
      </c>
      <c r="V296" s="1">
        <f t="shared" si="117"/>
        <v>0</v>
      </c>
      <c r="W296" s="1">
        <f t="shared" si="117"/>
        <v>0</v>
      </c>
      <c r="X296" s="1">
        <f t="shared" si="117"/>
        <v>0</v>
      </c>
      <c r="Y296" s="1">
        <f t="shared" si="117"/>
        <v>0</v>
      </c>
      <c r="Z296" s="1">
        <f t="shared" si="117"/>
        <v>0</v>
      </c>
      <c r="AA296" s="1">
        <f t="shared" si="117"/>
        <v>0</v>
      </c>
      <c r="AB296" s="1">
        <f t="shared" si="117"/>
        <v>0</v>
      </c>
      <c r="AC296" s="1">
        <f t="shared" si="117"/>
        <v>0</v>
      </c>
      <c r="AD296" s="1">
        <f t="shared" si="117"/>
        <v>0</v>
      </c>
      <c r="AE296" s="1">
        <f t="shared" si="117"/>
        <v>0</v>
      </c>
      <c r="AF296" s="1">
        <f t="shared" si="117"/>
        <v>0</v>
      </c>
      <c r="AG296" s="1">
        <f t="shared" si="117"/>
        <v>0</v>
      </c>
      <c r="AH296" s="1">
        <f t="shared" si="117"/>
        <v>0</v>
      </c>
      <c r="AI296" s="1">
        <f t="shared" si="117"/>
        <v>0</v>
      </c>
      <c r="AJ296" s="1">
        <f t="shared" si="117"/>
        <v>0</v>
      </c>
      <c r="AK296" s="1">
        <f t="shared" si="117"/>
        <v>0</v>
      </c>
      <c r="AL296" s="1">
        <f t="shared" si="117"/>
        <v>0</v>
      </c>
      <c r="AM296" s="1">
        <f t="shared" si="117"/>
        <v>0</v>
      </c>
      <c r="AN296" s="1">
        <f t="shared" si="117"/>
        <v>0</v>
      </c>
      <c r="AO296" s="1">
        <f t="shared" si="117"/>
        <v>0</v>
      </c>
      <c r="AP296" s="1">
        <f t="shared" si="117"/>
        <v>0</v>
      </c>
      <c r="AQ296" s="1">
        <f t="shared" si="117"/>
        <v>0</v>
      </c>
    </row>
    <row r="297" spans="3:43" x14ac:dyDescent="0.25">
      <c r="C297" t="s">
        <v>1365</v>
      </c>
      <c r="D297" t="s">
        <v>844</v>
      </c>
      <c r="E297" s="1"/>
      <c r="F297" s="1"/>
      <c r="G297" s="1"/>
      <c r="H297" s="1">
        <f t="shared" ref="H297:AQ297" si="118">-(MAX(H295,0)-MIN(G296,MAX(H295,0)*$E$95))*$E$91-MAX(H295,0)*$E$99</f>
        <v>-0</v>
      </c>
      <c r="I297" s="1">
        <f t="shared" si="118"/>
        <v>-0</v>
      </c>
      <c r="J297" s="1">
        <f t="shared" si="118"/>
        <v>-0</v>
      </c>
      <c r="K297" s="1">
        <f t="shared" si="118"/>
        <v>-0</v>
      </c>
      <c r="L297" s="1">
        <f t="shared" si="118"/>
        <v>-0</v>
      </c>
      <c r="M297" s="1">
        <f t="shared" si="118"/>
        <v>-192.71011089256749</v>
      </c>
      <c r="N297" s="1">
        <f t="shared" si="118"/>
        <v>-1013.6573694076345</v>
      </c>
      <c r="O297" s="1">
        <f t="shared" si="118"/>
        <v>-2035.6489189357615</v>
      </c>
      <c r="P297" s="1">
        <f t="shared" si="118"/>
        <v>-2039.521604004343</v>
      </c>
      <c r="Q297" s="1">
        <f t="shared" si="118"/>
        <v>-2268.2789547907173</v>
      </c>
      <c r="R297" s="1">
        <f t="shared" si="118"/>
        <v>-2528.5848170546255</v>
      </c>
      <c r="S297" s="1">
        <f t="shared" si="118"/>
        <v>-3013.3824108612625</v>
      </c>
      <c r="T297" s="1">
        <f t="shared" si="118"/>
        <v>-3149.431189544753</v>
      </c>
      <c r="U297" s="1">
        <f t="shared" si="118"/>
        <v>-3346.6830231065164</v>
      </c>
      <c r="V297" s="1">
        <f t="shared" si="118"/>
        <v>-3463.4846598963445</v>
      </c>
      <c r="W297" s="1">
        <f t="shared" si="118"/>
        <v>-3466.062040662823</v>
      </c>
      <c r="X297" s="1">
        <f t="shared" si="118"/>
        <v>-3609.987781438218</v>
      </c>
      <c r="Y297" s="1">
        <f t="shared" si="118"/>
        <v>-3713.2925132939354</v>
      </c>
      <c r="Z297" s="1">
        <f t="shared" si="118"/>
        <v>-3747.8173430684546</v>
      </c>
      <c r="AA297" s="1">
        <f t="shared" si="118"/>
        <v>-3957.767209385802</v>
      </c>
      <c r="AB297" s="1">
        <f t="shared" si="118"/>
        <v>-4063.993061798614</v>
      </c>
      <c r="AC297" s="1">
        <f t="shared" si="118"/>
        <v>-4142.313853084979</v>
      </c>
      <c r="AD297" s="1">
        <f t="shared" si="118"/>
        <v>-4099.097405105892</v>
      </c>
      <c r="AE297" s="1">
        <f t="shared" si="118"/>
        <v>-4201.997513611657</v>
      </c>
      <c r="AF297" s="1">
        <f t="shared" si="118"/>
        <v>-4199.717223327881</v>
      </c>
      <c r="AG297" s="1">
        <f t="shared" si="118"/>
        <v>-4713.654588348901</v>
      </c>
      <c r="AH297" s="1">
        <f t="shared" si="118"/>
        <v>-6175.60969048469</v>
      </c>
      <c r="AI297" s="1">
        <f t="shared" si="118"/>
        <v>-6344.055509444212</v>
      </c>
      <c r="AJ297" s="1">
        <f t="shared" si="118"/>
        <v>-6401.211945654717</v>
      </c>
      <c r="AK297" s="1">
        <f t="shared" si="118"/>
        <v>-6461.93623958575</v>
      </c>
      <c r="AL297" s="1">
        <f t="shared" si="118"/>
        <v>-6457.332181135864</v>
      </c>
      <c r="AM297" s="1">
        <f t="shared" si="118"/>
        <v>-6620.6203216228705</v>
      </c>
      <c r="AN297" s="1">
        <f t="shared" si="118"/>
        <v>-6889.889294158049</v>
      </c>
      <c r="AO297" s="1">
        <f t="shared" si="118"/>
        <v>-7129.936740609869</v>
      </c>
      <c r="AP297" s="1">
        <f t="shared" si="118"/>
        <v>-7149.5713127641275</v>
      </c>
      <c r="AQ297" s="1">
        <f t="shared" si="118"/>
        <v>-5444.701424066098</v>
      </c>
    </row>
    <row r="298" spans="3:43" x14ac:dyDescent="0.25">
      <c r="C298" t="s">
        <v>1009</v>
      </c>
      <c r="D298" t="s">
        <v>844</v>
      </c>
      <c r="E298" s="1"/>
      <c r="F298" s="1"/>
      <c r="G298" s="1"/>
      <c r="H298" s="1">
        <f t="shared" ref="H298:AQ298" si="119">(H$109+$E$294*(H$77+H$85-H$80+H$86-H$87+H$89)+H297)*$E$128</f>
        <v>-3175.234818585709</v>
      </c>
      <c r="I298" s="1">
        <f t="shared" si="119"/>
        <v>-1953.381766012588</v>
      </c>
      <c r="J298" s="1">
        <f t="shared" si="119"/>
        <v>-2850.781741816561</v>
      </c>
      <c r="K298" s="1">
        <f t="shared" si="119"/>
        <v>-61960.7879193703</v>
      </c>
      <c r="L298" s="1">
        <f t="shared" si="119"/>
        <v>-90493.006236098</v>
      </c>
      <c r="M298" s="1">
        <f t="shared" si="119"/>
        <v>-61250.379114484356</v>
      </c>
      <c r="N298" s="1">
        <f t="shared" si="119"/>
        <v>7255.312854253834</v>
      </c>
      <c r="O298" s="1">
        <f t="shared" si="119"/>
        <v>7295.807181417482</v>
      </c>
      <c r="P298" s="1">
        <f t="shared" si="119"/>
        <v>6498.659929449614</v>
      </c>
      <c r="Q298" s="1">
        <f t="shared" si="119"/>
        <v>6715.895534403315</v>
      </c>
      <c r="R298" s="1">
        <f t="shared" si="119"/>
        <v>7030.067341947548</v>
      </c>
      <c r="S298" s="1">
        <f t="shared" si="119"/>
        <v>21807.395734982907</v>
      </c>
      <c r="T298" s="1">
        <f t="shared" si="119"/>
        <v>26535.40486282644</v>
      </c>
      <c r="U298" s="1">
        <f t="shared" si="119"/>
        <v>44554.39849270205</v>
      </c>
      <c r="V298" s="1">
        <f t="shared" si="119"/>
        <v>57270.595035547834</v>
      </c>
      <c r="W298" s="1">
        <f t="shared" si="119"/>
        <v>57296.65521885334</v>
      </c>
      <c r="X298" s="1">
        <f t="shared" si="119"/>
        <v>58751.90437558233</v>
      </c>
      <c r="Y298" s="1">
        <f t="shared" si="119"/>
        <v>59796.42999767903</v>
      </c>
      <c r="Z298" s="1">
        <f t="shared" si="119"/>
        <v>60145.51438762139</v>
      </c>
      <c r="AA298" s="1">
        <f t="shared" si="119"/>
        <v>62268.34081371901</v>
      </c>
      <c r="AB298" s="1">
        <f t="shared" si="119"/>
        <v>63342.402210337445</v>
      </c>
      <c r="AC298" s="1">
        <f t="shared" si="119"/>
        <v>64134.31243334402</v>
      </c>
      <c r="AD298" s="1">
        <f t="shared" si="119"/>
        <v>63697.346125999924</v>
      </c>
      <c r="AE298" s="1">
        <f t="shared" si="119"/>
        <v>64737.780556447105</v>
      </c>
      <c r="AF298" s="1">
        <f t="shared" si="119"/>
        <v>64714.72428802225</v>
      </c>
      <c r="AG298" s="1">
        <f t="shared" si="119"/>
        <v>64348.4728879747</v>
      </c>
      <c r="AH298" s="1">
        <f t="shared" si="119"/>
        <v>62442.2757593452</v>
      </c>
      <c r="AI298" s="1">
        <f t="shared" si="119"/>
        <v>64145.45015104703</v>
      </c>
      <c r="AJ298" s="1">
        <f t="shared" si="119"/>
        <v>64723.36522828659</v>
      </c>
      <c r="AK298" s="1">
        <f t="shared" si="119"/>
        <v>65337.355311367035</v>
      </c>
      <c r="AL298" s="1">
        <f t="shared" si="119"/>
        <v>65290.80316481818</v>
      </c>
      <c r="AM298" s="1">
        <f t="shared" si="119"/>
        <v>66941.82769640902</v>
      </c>
      <c r="AN298" s="1">
        <f t="shared" si="119"/>
        <v>69664.43619648693</v>
      </c>
      <c r="AO298" s="1">
        <f t="shared" si="119"/>
        <v>72091.58259949979</v>
      </c>
      <c r="AP298" s="1">
        <f t="shared" si="119"/>
        <v>72290.10994017063</v>
      </c>
      <c r="AQ298" s="1">
        <f t="shared" si="119"/>
        <v>47221.981065557215</v>
      </c>
    </row>
    <row r="299" spans="3:43" x14ac:dyDescent="0.25">
      <c r="C299" t="s">
        <v>1007</v>
      </c>
      <c r="D299" t="s">
        <v>4</v>
      </c>
      <c r="E299" s="1"/>
      <c r="F299" s="1"/>
      <c r="G299" s="3"/>
      <c r="H299" s="3" t="str">
        <f t="shared" ref="H299:AQ299" si="120">IF(AND(H$9&gt;=1,H$86&lt;-0.01,$E$294&gt;0),(H$70+H297)/(-$E$294*H$86),"")</f>
        <v/>
      </c>
      <c r="I299" s="3" t="str">
        <f t="shared" si="120"/>
        <v/>
      </c>
      <c r="J299" s="3" t="str">
        <f t="shared" si="120"/>
        <v/>
      </c>
      <c r="K299" s="3" t="str">
        <f t="shared" si="120"/>
        <v/>
      </c>
      <c r="L299" s="3" t="str">
        <f t="shared" si="120"/>
        <v/>
      </c>
      <c r="M299" s="3" t="str">
        <f t="shared" si="120"/>
        <v/>
      </c>
      <c r="N299" s="3">
        <f t="shared" si="120"/>
        <v>1.5468550129747827</v>
      </c>
      <c r="O299" s="3">
        <f t="shared" si="120"/>
        <v>1.5519181252873597</v>
      </c>
      <c r="P299" s="3">
        <f t="shared" si="120"/>
        <v>1.50268346994061</v>
      </c>
      <c r="Q299" s="3">
        <f t="shared" si="120"/>
        <v>1.5166879507788906</v>
      </c>
      <c r="R299" s="3">
        <f t="shared" si="120"/>
        <v>1.53676137559214</v>
      </c>
      <c r="S299" s="3">
        <f t="shared" si="120"/>
        <v>1.6178626177236897</v>
      </c>
      <c r="T299" s="3">
        <f t="shared" si="120"/>
        <v>1.6130459449890546</v>
      </c>
      <c r="U299" s="3">
        <f t="shared" si="120"/>
        <v>2.247308876488345</v>
      </c>
      <c r="V299" s="3" t="str">
        <f t="shared" si="120"/>
        <v/>
      </c>
      <c r="W299" s="3" t="str">
        <f t="shared" si="120"/>
        <v/>
      </c>
      <c r="X299" s="3" t="str">
        <f t="shared" si="120"/>
        <v/>
      </c>
      <c r="Y299" s="3" t="str">
        <f t="shared" si="120"/>
        <v/>
      </c>
      <c r="Z299" s="3" t="str">
        <f t="shared" si="120"/>
        <v/>
      </c>
      <c r="AA299" s="3" t="str">
        <f t="shared" si="120"/>
        <v/>
      </c>
      <c r="AB299" s="3" t="str">
        <f t="shared" si="120"/>
        <v/>
      </c>
      <c r="AC299" s="3" t="str">
        <f t="shared" si="120"/>
        <v/>
      </c>
      <c r="AD299" s="3" t="str">
        <f t="shared" si="120"/>
        <v/>
      </c>
      <c r="AE299" s="3" t="str">
        <f t="shared" si="120"/>
        <v/>
      </c>
      <c r="AF299" s="3" t="str">
        <f t="shared" si="120"/>
        <v/>
      </c>
      <c r="AG299" s="3" t="str">
        <f t="shared" si="120"/>
        <v/>
      </c>
      <c r="AH299" s="3" t="str">
        <f t="shared" si="120"/>
        <v/>
      </c>
      <c r="AI299" s="3" t="str">
        <f t="shared" si="120"/>
        <v/>
      </c>
      <c r="AJ299" s="3" t="str">
        <f t="shared" si="120"/>
        <v/>
      </c>
      <c r="AK299" s="3" t="str">
        <f t="shared" si="120"/>
        <v/>
      </c>
      <c r="AL299" s="3" t="str">
        <f t="shared" si="120"/>
        <v/>
      </c>
      <c r="AM299" s="3" t="str">
        <f t="shared" si="120"/>
        <v/>
      </c>
      <c r="AN299" s="3" t="str">
        <f t="shared" si="120"/>
        <v/>
      </c>
      <c r="AO299" s="3" t="str">
        <f t="shared" si="120"/>
        <v/>
      </c>
      <c r="AP299" s="3" t="str">
        <f t="shared" si="120"/>
        <v/>
      </c>
      <c r="AQ299" s="3" t="str">
        <f t="shared" si="120"/>
        <v/>
      </c>
    </row>
    <row r="301" spans="3:43" x14ac:dyDescent="0.25">
      <c r="C301" s="43" t="str">
        <f>"15."&amp;7&amp;" Gearing scenario 7 – "&amp;TEXT(D254,"0%")&amp;" (debt scale factor vs live case in E)"</f>
        <v>15.7 Gearing scenario 7 – 70% (debt scale factor vs live case in E)</v>
      </c>
      <c r="D301" s="43" t="s">
        <v>4</v>
      </c>
      <c r="E301" s="123">
        <f>IF(Inputs!$E$217=0,0,D254/Inputs!$E$217)</f>
        <v>1.2727272727272725</v>
      </c>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c r="AB301" s="123"/>
      <c r="AC301" s="123"/>
      <c r="AD301" s="123"/>
      <c r="AE301" s="123"/>
      <c r="AF301" s="123"/>
      <c r="AG301" s="123"/>
      <c r="AH301" s="123"/>
      <c r="AI301" s="123"/>
      <c r="AJ301" s="123"/>
      <c r="AK301" s="123"/>
      <c r="AL301" s="123"/>
      <c r="AM301" s="123"/>
      <c r="AN301" s="123"/>
      <c r="AO301" s="123"/>
      <c r="AP301" s="123"/>
      <c r="AQ301" s="123"/>
    </row>
    <row r="302" spans="3:43" x14ac:dyDescent="0.25">
      <c r="C302" t="s">
        <v>1364</v>
      </c>
      <c r="D302" t="s">
        <v>844</v>
      </c>
      <c r="E302" s="1"/>
      <c r="F302" s="1"/>
      <c r="G302" s="1"/>
      <c r="H302" s="1">
        <f t="shared" ref="H302:AQ302" si="121">H$70+H$16-(-$G$30+$E$301*$G$79)/$E$92*H$90-$E$301*H$81+$E$301*H$85</f>
        <v>-177.24324324324326</v>
      </c>
      <c r="I302" s="1">
        <f t="shared" si="121"/>
        <v>-856.331081081081</v>
      </c>
      <c r="J302" s="1">
        <f t="shared" si="121"/>
        <v>-1753.731056885054</v>
      </c>
      <c r="K302" s="1">
        <f t="shared" si="121"/>
        <v>-6421.574959922788</v>
      </c>
      <c r="L302" s="1">
        <f t="shared" si="121"/>
        <v>-2488.6026211966287</v>
      </c>
      <c r="M302" s="1">
        <f t="shared" si="121"/>
        <v>3638.0166067529126</v>
      </c>
      <c r="N302" s="1">
        <f t="shared" si="121"/>
        <v>17345.643266444727</v>
      </c>
      <c r="O302" s="1">
        <f t="shared" si="121"/>
        <v>20512.979848498137</v>
      </c>
      <c r="P302" s="1">
        <f t="shared" si="121"/>
        <v>20852.157866167337</v>
      </c>
      <c r="Q302" s="1">
        <f t="shared" si="121"/>
        <v>23697.023595153638</v>
      </c>
      <c r="R302" s="1">
        <f t="shared" si="121"/>
        <v>26909.892968776403</v>
      </c>
      <c r="S302" s="1">
        <f t="shared" si="121"/>
        <v>32636.429995835155</v>
      </c>
      <c r="T302" s="1">
        <f t="shared" si="121"/>
        <v>34405.6844710618</v>
      </c>
      <c r="U302" s="1">
        <f t="shared" si="121"/>
        <v>36867.85295831753</v>
      </c>
      <c r="V302" s="1">
        <f t="shared" si="121"/>
        <v>38368.02089133851</v>
      </c>
      <c r="W302" s="1">
        <f t="shared" si="121"/>
        <v>38396.65845541049</v>
      </c>
      <c r="X302" s="1">
        <f t="shared" si="121"/>
        <v>39995.83335291488</v>
      </c>
      <c r="Y302" s="1">
        <f t="shared" si="121"/>
        <v>41143.66370686729</v>
      </c>
      <c r="Z302" s="1">
        <f t="shared" si="121"/>
        <v>41527.27292658418</v>
      </c>
      <c r="AA302" s="1">
        <f t="shared" si="121"/>
        <v>43860.04921899914</v>
      </c>
      <c r="AB302" s="1">
        <f t="shared" si="121"/>
        <v>45040.336468030386</v>
      </c>
      <c r="AC302" s="1">
        <f t="shared" si="121"/>
        <v>45910.567482323335</v>
      </c>
      <c r="AD302" s="1">
        <f t="shared" si="121"/>
        <v>45430.38472700015</v>
      </c>
      <c r="AE302" s="1">
        <f t="shared" si="121"/>
        <v>46573.71926595309</v>
      </c>
      <c r="AF302" s="1">
        <f t="shared" si="121"/>
        <v>46548.38270724446</v>
      </c>
      <c r="AG302" s="1">
        <f t="shared" si="121"/>
        <v>52287.58337324435</v>
      </c>
      <c r="AH302" s="1">
        <f t="shared" si="121"/>
        <v>68617.88544982989</v>
      </c>
      <c r="AI302" s="1">
        <f t="shared" si="121"/>
        <v>70489.50566049124</v>
      </c>
      <c r="AJ302" s="1">
        <f t="shared" si="121"/>
        <v>71124.5771739413</v>
      </c>
      <c r="AK302" s="1">
        <f t="shared" si="121"/>
        <v>71799.29155095278</v>
      </c>
      <c r="AL302" s="1">
        <f t="shared" si="121"/>
        <v>71748.13534595404</v>
      </c>
      <c r="AM302" s="1">
        <f t="shared" si="121"/>
        <v>73562.4480180319</v>
      </c>
      <c r="AN302" s="1">
        <f t="shared" si="121"/>
        <v>76554.32549064499</v>
      </c>
      <c r="AO302" s="1">
        <f t="shared" si="121"/>
        <v>79221.51934010966</v>
      </c>
      <c r="AP302" s="1">
        <f t="shared" si="121"/>
        <v>79439.68125293475</v>
      </c>
      <c r="AQ302" s="1">
        <f t="shared" si="121"/>
        <v>60496.682489623316</v>
      </c>
    </row>
    <row r="303" spans="3:43" x14ac:dyDescent="0.25">
      <c r="C303" t="s">
        <v>986</v>
      </c>
      <c r="D303" t="s">
        <v>844</v>
      </c>
      <c r="E303" s="1"/>
      <c r="F303" s="1"/>
      <c r="G303" s="1">
        <v>0</v>
      </c>
      <c r="H303" s="1">
        <f t="shared" ref="H303:AQ303" si="122">G303+MAX(-H302,0)-MIN(G303,MAX(H302,0)*$E$95)</f>
        <v>177.24324324324326</v>
      </c>
      <c r="I303" s="1">
        <f t="shared" si="122"/>
        <v>1033.5743243243244</v>
      </c>
      <c r="J303" s="1">
        <f t="shared" si="122"/>
        <v>2787.3053812093785</v>
      </c>
      <c r="K303" s="1">
        <f t="shared" si="122"/>
        <v>9208.880341132168</v>
      </c>
      <c r="L303" s="1">
        <f t="shared" si="122"/>
        <v>11697.482962328797</v>
      </c>
      <c r="M303" s="1">
        <f t="shared" si="122"/>
        <v>9878.47465895234</v>
      </c>
      <c r="N303" s="1">
        <f t="shared" si="122"/>
        <v>1205.6530257299764</v>
      </c>
      <c r="O303" s="1">
        <f t="shared" si="122"/>
        <v>0</v>
      </c>
      <c r="P303" s="1">
        <f t="shared" si="122"/>
        <v>0</v>
      </c>
      <c r="Q303" s="1">
        <f t="shared" si="122"/>
        <v>0</v>
      </c>
      <c r="R303" s="1">
        <f t="shared" si="122"/>
        <v>0</v>
      </c>
      <c r="S303" s="1">
        <f t="shared" si="122"/>
        <v>0</v>
      </c>
      <c r="T303" s="1">
        <f t="shared" si="122"/>
        <v>0</v>
      </c>
      <c r="U303" s="1">
        <f t="shared" si="122"/>
        <v>0</v>
      </c>
      <c r="V303" s="1">
        <f t="shared" si="122"/>
        <v>0</v>
      </c>
      <c r="W303" s="1">
        <f t="shared" si="122"/>
        <v>0</v>
      </c>
      <c r="X303" s="1">
        <f t="shared" si="122"/>
        <v>0</v>
      </c>
      <c r="Y303" s="1">
        <f t="shared" si="122"/>
        <v>0</v>
      </c>
      <c r="Z303" s="1">
        <f t="shared" si="122"/>
        <v>0</v>
      </c>
      <c r="AA303" s="1">
        <f t="shared" si="122"/>
        <v>0</v>
      </c>
      <c r="AB303" s="1">
        <f t="shared" si="122"/>
        <v>0</v>
      </c>
      <c r="AC303" s="1">
        <f t="shared" si="122"/>
        <v>0</v>
      </c>
      <c r="AD303" s="1">
        <f t="shared" si="122"/>
        <v>0</v>
      </c>
      <c r="AE303" s="1">
        <f t="shared" si="122"/>
        <v>0</v>
      </c>
      <c r="AF303" s="1">
        <f t="shared" si="122"/>
        <v>0</v>
      </c>
      <c r="AG303" s="1">
        <f t="shared" si="122"/>
        <v>0</v>
      </c>
      <c r="AH303" s="1">
        <f t="shared" si="122"/>
        <v>0</v>
      </c>
      <c r="AI303" s="1">
        <f t="shared" si="122"/>
        <v>0</v>
      </c>
      <c r="AJ303" s="1">
        <f t="shared" si="122"/>
        <v>0</v>
      </c>
      <c r="AK303" s="1">
        <f t="shared" si="122"/>
        <v>0</v>
      </c>
      <c r="AL303" s="1">
        <f t="shared" si="122"/>
        <v>0</v>
      </c>
      <c r="AM303" s="1">
        <f t="shared" si="122"/>
        <v>0</v>
      </c>
      <c r="AN303" s="1">
        <f t="shared" si="122"/>
        <v>0</v>
      </c>
      <c r="AO303" s="1">
        <f t="shared" si="122"/>
        <v>0</v>
      </c>
      <c r="AP303" s="1">
        <f t="shared" si="122"/>
        <v>0</v>
      </c>
      <c r="AQ303" s="1">
        <f t="shared" si="122"/>
        <v>0</v>
      </c>
    </row>
    <row r="304" spans="3:43" x14ac:dyDescent="0.25">
      <c r="C304" t="s">
        <v>1365</v>
      </c>
      <c r="D304" t="s">
        <v>844</v>
      </c>
      <c r="E304" s="1"/>
      <c r="F304" s="1"/>
      <c r="G304" s="1"/>
      <c r="H304" s="1">
        <f t="shared" ref="H304:AQ304" si="123">-(MAX(H302,0)-MIN(G303,MAX(H302,0)*$E$95))*$E$91-MAX(H302,0)*$E$99</f>
        <v>-0</v>
      </c>
      <c r="I304" s="1">
        <f t="shared" si="123"/>
        <v>-0</v>
      </c>
      <c r="J304" s="1">
        <f t="shared" si="123"/>
        <v>-0</v>
      </c>
      <c r="K304" s="1">
        <f t="shared" si="123"/>
        <v>-0</v>
      </c>
      <c r="L304" s="1">
        <f t="shared" si="123"/>
        <v>-0</v>
      </c>
      <c r="M304" s="1">
        <f t="shared" si="123"/>
        <v>-163.71074730388105</v>
      </c>
      <c r="N304" s="1">
        <f t="shared" si="123"/>
        <v>-780.5539469900127</v>
      </c>
      <c r="O304" s="1">
        <f t="shared" si="123"/>
        <v>-1737.6594140491345</v>
      </c>
      <c r="P304" s="1">
        <f t="shared" si="123"/>
        <v>-1876.6942079550604</v>
      </c>
      <c r="Q304" s="1">
        <f t="shared" si="123"/>
        <v>-2132.7321235638274</v>
      </c>
      <c r="R304" s="1">
        <f t="shared" si="123"/>
        <v>-2421.890367189876</v>
      </c>
      <c r="S304" s="1">
        <f t="shared" si="123"/>
        <v>-2937.278699625164</v>
      </c>
      <c r="T304" s="1">
        <f t="shared" si="123"/>
        <v>-3096.511602395562</v>
      </c>
      <c r="U304" s="1">
        <f t="shared" si="123"/>
        <v>-3318.106766248578</v>
      </c>
      <c r="V304" s="1">
        <f t="shared" si="123"/>
        <v>-3453.1218802204653</v>
      </c>
      <c r="W304" s="1">
        <f t="shared" si="123"/>
        <v>-3455.699260986944</v>
      </c>
      <c r="X304" s="1">
        <f t="shared" si="123"/>
        <v>-3599.6250017623393</v>
      </c>
      <c r="Y304" s="1">
        <f t="shared" si="123"/>
        <v>-3702.929733618056</v>
      </c>
      <c r="Z304" s="1">
        <f t="shared" si="123"/>
        <v>-3737.454563392576</v>
      </c>
      <c r="AA304" s="1">
        <f t="shared" si="123"/>
        <v>-3947.4044297099226</v>
      </c>
      <c r="AB304" s="1">
        <f t="shared" si="123"/>
        <v>-4053.6302821227346</v>
      </c>
      <c r="AC304" s="1">
        <f t="shared" si="123"/>
        <v>-4131.9510734091</v>
      </c>
      <c r="AD304" s="1">
        <f t="shared" si="123"/>
        <v>-4088.7346254300132</v>
      </c>
      <c r="AE304" s="1">
        <f t="shared" si="123"/>
        <v>-4191.634733935778</v>
      </c>
      <c r="AF304" s="1">
        <f t="shared" si="123"/>
        <v>-4189.3544436520015</v>
      </c>
      <c r="AG304" s="1">
        <f t="shared" si="123"/>
        <v>-4705.882503591992</v>
      </c>
      <c r="AH304" s="1">
        <f t="shared" si="123"/>
        <v>-6175.60969048469</v>
      </c>
      <c r="AI304" s="1">
        <f t="shared" si="123"/>
        <v>-6344.055509444212</v>
      </c>
      <c r="AJ304" s="1">
        <f t="shared" si="123"/>
        <v>-6401.211945654717</v>
      </c>
      <c r="AK304" s="1">
        <f t="shared" si="123"/>
        <v>-6461.93623958575</v>
      </c>
      <c r="AL304" s="1">
        <f t="shared" si="123"/>
        <v>-6457.332181135864</v>
      </c>
      <c r="AM304" s="1">
        <f t="shared" si="123"/>
        <v>-6620.6203216228705</v>
      </c>
      <c r="AN304" s="1">
        <f t="shared" si="123"/>
        <v>-6889.889294158049</v>
      </c>
      <c r="AO304" s="1">
        <f t="shared" si="123"/>
        <v>-7129.936740609869</v>
      </c>
      <c r="AP304" s="1">
        <f t="shared" si="123"/>
        <v>-7149.5713127641275</v>
      </c>
      <c r="AQ304" s="1">
        <f t="shared" si="123"/>
        <v>-5444.701424066098</v>
      </c>
    </row>
    <row r="305" spans="3:43" x14ac:dyDescent="0.25">
      <c r="C305" t="s">
        <v>1009</v>
      </c>
      <c r="D305" t="s">
        <v>844</v>
      </c>
      <c r="E305" s="1"/>
      <c r="F305" s="1"/>
      <c r="G305" s="1"/>
      <c r="H305" s="1">
        <f t="shared" ref="H305:AQ305" si="124">(H$109+$E$301*(H$77+H$85-H$80+H$86-H$87+H$89)+H304)*$E$128</f>
        <v>-3175.234818585709</v>
      </c>
      <c r="I305" s="1">
        <f t="shared" si="124"/>
        <v>-1953.381766012588</v>
      </c>
      <c r="J305" s="1">
        <f t="shared" si="124"/>
        <v>-2850.781741816561</v>
      </c>
      <c r="K305" s="1">
        <f t="shared" si="124"/>
        <v>-57372.72634052852</v>
      </c>
      <c r="L305" s="1">
        <f t="shared" si="124"/>
        <v>-69173.87070110024</v>
      </c>
      <c r="M305" s="1">
        <f t="shared" si="124"/>
        <v>-48652.51861984542</v>
      </c>
      <c r="N305" s="1">
        <f t="shared" si="124"/>
        <v>-401.71225702855236</v>
      </c>
      <c r="O305" s="1">
        <f t="shared" si="124"/>
        <v>-319.3664617845991</v>
      </c>
      <c r="P305" s="1">
        <f t="shared" si="124"/>
        <v>-1094.911705848393</v>
      </c>
      <c r="Q305" s="1">
        <f t="shared" si="124"/>
        <v>-951.13184319007</v>
      </c>
      <c r="R305" s="1">
        <f t="shared" si="124"/>
        <v>-731.5320166530391</v>
      </c>
      <c r="S305" s="1">
        <f t="shared" si="124"/>
        <v>16001.017076237087</v>
      </c>
      <c r="T305" s="1">
        <f t="shared" si="124"/>
        <v>21522.177593744425</v>
      </c>
      <c r="U305" s="1">
        <f t="shared" si="124"/>
        <v>42458.06907831974</v>
      </c>
      <c r="V305" s="1">
        <f t="shared" si="124"/>
        <v>57280.95781522371</v>
      </c>
      <c r="W305" s="1">
        <f t="shared" si="124"/>
        <v>57307.01799852922</v>
      </c>
      <c r="X305" s="1">
        <f t="shared" si="124"/>
        <v>58762.26715525821</v>
      </c>
      <c r="Y305" s="1">
        <f t="shared" si="124"/>
        <v>59806.79277735491</v>
      </c>
      <c r="Z305" s="1">
        <f t="shared" si="124"/>
        <v>60155.87716729727</v>
      </c>
      <c r="AA305" s="1">
        <f t="shared" si="124"/>
        <v>62278.70359339489</v>
      </c>
      <c r="AB305" s="1">
        <f t="shared" si="124"/>
        <v>63352.76499001332</v>
      </c>
      <c r="AC305" s="1">
        <f t="shared" si="124"/>
        <v>64144.6752130199</v>
      </c>
      <c r="AD305" s="1">
        <f t="shared" si="124"/>
        <v>63707.708905675805</v>
      </c>
      <c r="AE305" s="1">
        <f t="shared" si="124"/>
        <v>64748.14333612299</v>
      </c>
      <c r="AF305" s="1">
        <f t="shared" si="124"/>
        <v>64725.08706769813</v>
      </c>
      <c r="AG305" s="1">
        <f t="shared" si="124"/>
        <v>64356.244972731605</v>
      </c>
      <c r="AH305" s="1">
        <f t="shared" si="124"/>
        <v>62442.2757593452</v>
      </c>
      <c r="AI305" s="1">
        <f t="shared" si="124"/>
        <v>64145.45015104703</v>
      </c>
      <c r="AJ305" s="1">
        <f t="shared" si="124"/>
        <v>64723.36522828659</v>
      </c>
      <c r="AK305" s="1">
        <f t="shared" si="124"/>
        <v>65337.355311367035</v>
      </c>
      <c r="AL305" s="1">
        <f t="shared" si="124"/>
        <v>65290.80316481818</v>
      </c>
      <c r="AM305" s="1">
        <f t="shared" si="124"/>
        <v>66941.82769640902</v>
      </c>
      <c r="AN305" s="1">
        <f t="shared" si="124"/>
        <v>69664.43619648693</v>
      </c>
      <c r="AO305" s="1">
        <f t="shared" si="124"/>
        <v>72091.58259949979</v>
      </c>
      <c r="AP305" s="1">
        <f t="shared" si="124"/>
        <v>72290.10994017063</v>
      </c>
      <c r="AQ305" s="1">
        <f t="shared" si="124"/>
        <v>47221.981065557215</v>
      </c>
    </row>
    <row r="306" spans="3:43" x14ac:dyDescent="0.25">
      <c r="C306" t="s">
        <v>1007</v>
      </c>
      <c r="D306" t="s">
        <v>4</v>
      </c>
      <c r="E306" s="1"/>
      <c r="F306" s="1"/>
      <c r="G306" s="3"/>
      <c r="H306" s="3" t="str">
        <f t="shared" ref="H306:AQ306" si="125">IF(AND(H$9&gt;=1,H$86&lt;-0.01,$E$301&gt;0),(H$70+H304)/(-$E$301*H$86),"")</f>
        <v/>
      </c>
      <c r="I306" s="3" t="str">
        <f t="shared" si="125"/>
        <v/>
      </c>
      <c r="J306" s="3" t="str">
        <f t="shared" si="125"/>
        <v/>
      </c>
      <c r="K306" s="3" t="str">
        <f t="shared" si="125"/>
        <v/>
      </c>
      <c r="L306" s="3" t="str">
        <f t="shared" si="125"/>
        <v/>
      </c>
      <c r="M306" s="3" t="str">
        <f t="shared" si="125"/>
        <v/>
      </c>
      <c r="N306" s="3">
        <f t="shared" si="125"/>
        <v>1.3315366839653258</v>
      </c>
      <c r="O306" s="3">
        <f t="shared" si="125"/>
        <v>1.3374522647074156</v>
      </c>
      <c r="P306" s="3">
        <f t="shared" si="125"/>
        <v>1.2919686954186844</v>
      </c>
      <c r="Q306" s="3">
        <f t="shared" si="125"/>
        <v>1.3033100227115955</v>
      </c>
      <c r="R306" s="3">
        <f t="shared" si="125"/>
        <v>1.319815130135549</v>
      </c>
      <c r="S306" s="3">
        <f t="shared" si="125"/>
        <v>1.3885875789418827</v>
      </c>
      <c r="T306" s="3">
        <f t="shared" si="125"/>
        <v>1.3838959716869614</v>
      </c>
      <c r="U306" s="3">
        <f t="shared" si="125"/>
        <v>1.9272253403652848</v>
      </c>
      <c r="V306" s="3" t="str">
        <f t="shared" si="125"/>
        <v/>
      </c>
      <c r="W306" s="3" t="str">
        <f t="shared" si="125"/>
        <v/>
      </c>
      <c r="X306" s="3" t="str">
        <f t="shared" si="125"/>
        <v/>
      </c>
      <c r="Y306" s="3" t="str">
        <f t="shared" si="125"/>
        <v/>
      </c>
      <c r="Z306" s="3" t="str">
        <f t="shared" si="125"/>
        <v/>
      </c>
      <c r="AA306" s="3" t="str">
        <f t="shared" si="125"/>
        <v/>
      </c>
      <c r="AB306" s="3" t="str">
        <f t="shared" si="125"/>
        <v/>
      </c>
      <c r="AC306" s="3" t="str">
        <f t="shared" si="125"/>
        <v/>
      </c>
      <c r="AD306" s="3" t="str">
        <f t="shared" si="125"/>
        <v/>
      </c>
      <c r="AE306" s="3" t="str">
        <f t="shared" si="125"/>
        <v/>
      </c>
      <c r="AF306" s="3" t="str">
        <f t="shared" si="125"/>
        <v/>
      </c>
      <c r="AG306" s="3" t="str">
        <f t="shared" si="125"/>
        <v/>
      </c>
      <c r="AH306" s="3" t="str">
        <f t="shared" si="125"/>
        <v/>
      </c>
      <c r="AI306" s="3" t="str">
        <f t="shared" si="125"/>
        <v/>
      </c>
      <c r="AJ306" s="3" t="str">
        <f t="shared" si="125"/>
        <v/>
      </c>
      <c r="AK306" s="3" t="str">
        <f t="shared" si="125"/>
        <v/>
      </c>
      <c r="AL306" s="3" t="str">
        <f t="shared" si="125"/>
        <v/>
      </c>
      <c r="AM306" s="3" t="str">
        <f t="shared" si="125"/>
        <v/>
      </c>
      <c r="AN306" s="3" t="str">
        <f t="shared" si="125"/>
        <v/>
      </c>
      <c r="AO306" s="3" t="str">
        <f t="shared" si="125"/>
        <v/>
      </c>
      <c r="AP306" s="3" t="str">
        <f t="shared" si="125"/>
        <v/>
      </c>
      <c r="AQ306" s="3" t="str">
        <f t="shared" si="125"/>
        <v/>
      </c>
    </row>
    <row r="309" spans="3:43" x14ac:dyDescent="0.25">
      <c r="C309" s="6" t="s">
        <v>1519</v>
      </c>
    </row>
    <row r="310" spans="3:43" x14ac:dyDescent="0.25">
      <c r="C310" t="s">
        <v>1520</v>
      </c>
      <c r="D310" t="s">
        <v>4</v>
      </c>
      <c r="E310" s="1"/>
      <c r="F310" s="1"/>
      <c r="G310" s="1"/>
      <c r="H310" s="3" cm="1">
        <f t="array" ref="H310">IF(H$10=0,1,IF(Inputs!$E$273=1,INDEX(Curves!$G$22:$G$66,MATCH(MIN(H$5,MAX(Curves!$C$22:$C$66*(Curves!$G$22:$G$66&lt;&gt;""))),Curves!$C$22:$C$66,0))/INDEX(Curves!$H$22:$H$66,MATCH(MIN(H$5,MAX(Curves!$C$22:$C$66*(Curves!$G$22:$G$66&lt;&gt;""))),Curves!$C$22:$C$66,0)),1))</f>
        <v>1</v>
      </c>
      <c r="I310" s="3" cm="1">
        <f t="array" ref="I310">IF(I$10=0,1,IF(Inputs!$E$273=1,INDEX(Curves!$G$22:$G$66,MATCH(MIN(I$5,MAX(Curves!$C$22:$C$66*(Curves!$G$22:$G$66&lt;&gt;""))),Curves!$C$22:$C$66,0))/INDEX(Curves!$H$22:$H$66,MATCH(MIN(I$5,MAX(Curves!$C$22:$C$66*(Curves!$G$22:$G$66&lt;&gt;""))),Curves!$C$22:$C$66,0)),1))</f>
        <v>1</v>
      </c>
      <c r="J310" s="3" cm="1">
        <f t="array" ref="J310">IF(J$10=0,1,IF(Inputs!$E$273=1,INDEX(Curves!$G$22:$G$66,MATCH(MIN(J$5,MAX(Curves!$C$22:$C$66*(Curves!$G$22:$G$66&lt;&gt;""))),Curves!$C$22:$C$66,0))/INDEX(Curves!$H$22:$H$66,MATCH(MIN(J$5,MAX(Curves!$C$22:$C$66*(Curves!$G$22:$G$66&lt;&gt;""))),Curves!$C$22:$C$66,0)),1))</f>
        <v>1</v>
      </c>
      <c r="K310" s="3" cm="1">
        <f t="array" ref="K310">IF(K$10=0,1,IF(Inputs!$E$273=1,INDEX(Curves!$G$22:$G$66,MATCH(MIN(K$5,MAX(Curves!$C$22:$C$66*(Curves!$G$22:$G$66&lt;&gt;""))),Curves!$C$22:$C$66,0))/INDEX(Curves!$H$22:$H$66,MATCH(MIN(K$5,MAX(Curves!$C$22:$C$66*(Curves!$G$22:$G$66&lt;&gt;""))),Curves!$C$22:$C$66,0)),1))</f>
        <v>1</v>
      </c>
      <c r="L310" s="3" cm="1">
        <f t="array" ref="L310">IF(L$10=0,1,IF(Inputs!$E$273=1,INDEX(Curves!$G$22:$G$66,MATCH(MIN(L$5,MAX(Curves!$C$22:$C$66*(Curves!$G$22:$G$66&lt;&gt;""))),Curves!$C$22:$C$66,0))/INDEX(Curves!$H$22:$H$66,MATCH(MIN(L$5,MAX(Curves!$C$22:$C$66*(Curves!$G$22:$G$66&lt;&gt;""))),Curves!$C$22:$C$66,0)),1))</f>
        <v>1</v>
      </c>
      <c r="M310" s="3" cm="1">
        <f t="array" ref="M310">IF(M$10=0,1,IF(Inputs!$E$273=1,INDEX(Curves!$G$22:$G$66,MATCH(MIN(M$5,MAX(Curves!$C$22:$C$66*(Curves!$G$22:$G$66&lt;&gt;""))),Curves!$C$22:$C$66,0))/INDEX(Curves!$H$22:$H$66,MATCH(MIN(M$5,MAX(Curves!$C$22:$C$66*(Curves!$G$22:$G$66&lt;&gt;""))),Curves!$C$22:$C$66,0)),1))</f>
        <v>0.6930037948817749</v>
      </c>
      <c r="N310" s="3" cm="1">
        <f t="array" ref="N310">IF(N$10=0,1,IF(Inputs!$E$273=1,INDEX(Curves!$G$22:$G$66,MATCH(MIN(N$5,MAX(Curves!$C$22:$C$66*(Curves!$G$22:$G$66&lt;&gt;""))),Curves!$C$22:$C$66,0))/INDEX(Curves!$H$22:$H$66,MATCH(MIN(N$5,MAX(Curves!$C$22:$C$66*(Curves!$G$22:$G$66&lt;&gt;""))),Curves!$C$22:$C$66,0)),1))</f>
        <v>0.6880770774789241</v>
      </c>
      <c r="O310" s="3" cm="1">
        <f t="array" ref="O310">IF(O$10=0,1,IF(Inputs!$E$273=1,INDEX(Curves!$G$22:$G$66,MATCH(MIN(O$5,MAX(Curves!$C$22:$C$66*(Curves!$G$22:$G$66&lt;&gt;""))),Curves!$C$22:$C$66,0))/INDEX(Curves!$H$22:$H$66,MATCH(MIN(O$5,MAX(Curves!$C$22:$C$66*(Curves!$G$22:$G$66&lt;&gt;""))),Curves!$C$22:$C$66,0)),1))</f>
        <v>0.6812868418423419</v>
      </c>
      <c r="P310" s="3" cm="1">
        <f t="array" ref="P310">IF(P$10=0,1,IF(Inputs!$E$273=1,INDEX(Curves!$G$22:$G$66,MATCH(MIN(P$5,MAX(Curves!$C$22:$C$66*(Curves!$G$22:$G$66&lt;&gt;""))),Curves!$C$22:$C$66,0))/INDEX(Curves!$H$22:$H$66,MATCH(MIN(P$5,MAX(Curves!$C$22:$C$66*(Curves!$G$22:$G$66&lt;&gt;""))),Curves!$C$22:$C$66,0)),1))</f>
        <v>0.6698857736240914</v>
      </c>
      <c r="Q310" s="3" cm="1">
        <f t="array" ref="Q310">IF(Q$10=0,1,IF(Inputs!$E$273=1,INDEX(Curves!$G$22:$G$66,MATCH(MIN(Q$5,MAX(Curves!$C$22:$C$66*(Curves!$G$22:$G$66&lt;&gt;""))),Curves!$C$22:$C$66,0))/INDEX(Curves!$H$22:$H$66,MATCH(MIN(Q$5,MAX(Curves!$C$22:$C$66*(Curves!$G$22:$G$66&lt;&gt;""))),Curves!$C$22:$C$66,0)),1))</f>
        <v>0.664654454621149</v>
      </c>
      <c r="R310" s="3" cm="1">
        <f t="array" ref="R310">IF(R$10=0,1,IF(Inputs!$E$273=1,INDEX(Curves!$G$22:$G$66,MATCH(MIN(R$5,MAX(Curves!$C$22:$C$66*(Curves!$G$22:$G$66&lt;&gt;""))),Curves!$C$22:$C$66,0))/INDEX(Curves!$H$22:$H$66,MATCH(MIN(R$5,MAX(Curves!$C$22:$C$66*(Curves!$G$22:$G$66&lt;&gt;""))),Curves!$C$22:$C$66,0)),1))</f>
        <v>0.6675330075891465</v>
      </c>
      <c r="S310" s="3" cm="1">
        <f t="array" ref="S310">IF(S$10=0,1,IF(Inputs!$E$273=1,INDEX(Curves!$G$22:$G$66,MATCH(MIN(S$5,MAX(Curves!$C$22:$C$66*(Curves!$G$22:$G$66&lt;&gt;""))),Curves!$C$22:$C$66,0))/INDEX(Curves!$H$22:$H$66,MATCH(MIN(S$5,MAX(Curves!$C$22:$C$66*(Curves!$G$22:$G$66&lt;&gt;""))),Curves!$C$22:$C$66,0)),1))</f>
        <v>0.6710209003215435</v>
      </c>
      <c r="T310" s="3" cm="1">
        <f t="array" ref="T310">IF(T$10=0,1,IF(Inputs!$E$273=1,INDEX(Curves!$G$22:$G$66,MATCH(MIN(T$5,MAX(Curves!$C$22:$C$66*(Curves!$G$22:$G$66&lt;&gt;""))),Curves!$C$22:$C$66,0))/INDEX(Curves!$H$22:$H$66,MATCH(MIN(T$5,MAX(Curves!$C$22:$C$66*(Curves!$G$22:$G$66&lt;&gt;""))),Curves!$C$22:$C$66,0)),1))</f>
        <v>0.6731846420205723</v>
      </c>
      <c r="U310" s="3" cm="1">
        <f t="array" ref="U310">IF(U$10=0,1,IF(Inputs!$E$273=1,INDEX(Curves!$G$22:$G$66,MATCH(MIN(U$5,MAX(Curves!$C$22:$C$66*(Curves!$G$22:$G$66&lt;&gt;""))),Curves!$C$22:$C$66,0))/INDEX(Curves!$H$22:$H$66,MATCH(MIN(U$5,MAX(Curves!$C$22:$C$66*(Curves!$G$22:$G$66&lt;&gt;""))),Curves!$C$22:$C$66,0)),1))</f>
        <v>0.6712735462735462</v>
      </c>
      <c r="V310" s="3" cm="1">
        <f t="array" ref="V310">IF(V$10=0,1,IF(Inputs!$E$273=1,INDEX(Curves!$G$22:$G$66,MATCH(MIN(V$5,MAX(Curves!$C$22:$C$66*(Curves!$G$22:$G$66&lt;&gt;""))),Curves!$C$22:$C$66,0))/INDEX(Curves!$H$22:$H$66,MATCH(MIN(V$5,MAX(Curves!$C$22:$C$66*(Curves!$G$22:$G$66&lt;&gt;""))),Curves!$C$22:$C$66,0)),1))</f>
        <v>0.6671845866998135</v>
      </c>
      <c r="W310" s="3" cm="1">
        <f t="array" ref="W310">IF(W$10=0,1,IF(Inputs!$E$273=1,INDEX(Curves!$G$22:$G$66,MATCH(MIN(W$5,MAX(Curves!$C$22:$C$66*(Curves!$G$22:$G$66&lt;&gt;""))),Curves!$C$22:$C$66,0))/INDEX(Curves!$H$22:$H$66,MATCH(MIN(W$5,MAX(Curves!$C$22:$C$66*(Curves!$G$22:$G$66&lt;&gt;""))),Curves!$C$22:$C$66,0)),1))</f>
        <v>0.6648138437336131</v>
      </c>
      <c r="X310" s="3" cm="1">
        <f t="array" ref="X310">IF(X$10=0,1,IF(Inputs!$E$273=1,INDEX(Curves!$G$22:$G$66,MATCH(MIN(X$5,MAX(Curves!$C$22:$C$66*(Curves!$G$22:$G$66&lt;&gt;""))),Curves!$C$22:$C$66,0))/INDEX(Curves!$H$22:$H$66,MATCH(MIN(X$5,MAX(Curves!$C$22:$C$66*(Curves!$G$22:$G$66&lt;&gt;""))),Curves!$C$22:$C$66,0)),1))</f>
        <v>0.6615704628185127</v>
      </c>
      <c r="Y310" s="3" cm="1">
        <f t="array" ref="Y310">IF(Y$10=0,1,IF(Inputs!$E$273=1,INDEX(Curves!$G$22:$G$66,MATCH(MIN(Y$5,MAX(Curves!$C$22:$C$66*(Curves!$G$22:$G$66&lt;&gt;""))),Curves!$C$22:$C$66,0))/INDEX(Curves!$H$22:$H$66,MATCH(MIN(Y$5,MAX(Curves!$C$22:$C$66*(Curves!$G$22:$G$66&lt;&gt;""))),Curves!$C$22:$C$66,0)),1))</f>
        <v>0.6559418785677219</v>
      </c>
      <c r="Z310" s="3" cm="1">
        <f t="array" ref="Z310">IF(Z$10=0,1,IF(Inputs!$E$273=1,INDEX(Curves!$G$22:$G$66,MATCH(MIN(Z$5,MAX(Curves!$C$22:$C$66*(Curves!$G$22:$G$66&lt;&gt;""))),Curves!$C$22:$C$66,0))/INDEX(Curves!$H$22:$H$66,MATCH(MIN(Z$5,MAX(Curves!$C$22:$C$66*(Curves!$G$22:$G$66&lt;&gt;""))),Curves!$C$22:$C$66,0)),1))</f>
        <v>0.6504184100418411</v>
      </c>
      <c r="AA310" s="3" cm="1">
        <f t="array" ref="AA310">IF(AA$10=0,1,IF(Inputs!$E$273=1,INDEX(Curves!$G$22:$G$66,MATCH(MIN(AA$5,MAX(Curves!$C$22:$C$66*(Curves!$G$22:$G$66&lt;&gt;""))),Curves!$C$22:$C$66,0))/INDEX(Curves!$H$22:$H$66,MATCH(MIN(AA$5,MAX(Curves!$C$22:$C$66*(Curves!$G$22:$G$66&lt;&gt;""))),Curves!$C$22:$C$66,0)),1))</f>
        <v>0.6469438155999176</v>
      </c>
      <c r="AB310" s="3" cm="1">
        <f t="array" ref="AB310">IF(AB$10=0,1,IF(Inputs!$E$273=1,INDEX(Curves!$G$22:$G$66,MATCH(MIN(AB$5,MAX(Curves!$C$22:$C$66*(Curves!$G$22:$G$66&lt;&gt;""))),Curves!$C$22:$C$66,0))/INDEX(Curves!$H$22:$H$66,MATCH(MIN(AB$5,MAX(Curves!$C$22:$C$66*(Curves!$G$22:$G$66&lt;&gt;""))),Curves!$C$22:$C$66,0)),1))</f>
        <v>0.6362235463324429</v>
      </c>
      <c r="AC310" s="3" cm="1">
        <f t="array" ref="AC310">IF(AC$10=0,1,IF(Inputs!$E$273=1,INDEX(Curves!$G$22:$G$66,MATCH(MIN(AC$5,MAX(Curves!$C$22:$C$66*(Curves!$G$22:$G$66&lt;&gt;""))),Curves!$C$22:$C$66,0))/INDEX(Curves!$H$22:$H$66,MATCH(MIN(AC$5,MAX(Curves!$C$22:$C$66*(Curves!$G$22:$G$66&lt;&gt;""))),Curves!$C$22:$C$66,0)),1))</f>
        <v>0.631486820428336</v>
      </c>
      <c r="AD310" s="3" cm="1">
        <f t="array" ref="AD310">IF(AD$10=0,1,IF(Inputs!$E$273=1,INDEX(Curves!$G$22:$G$66,MATCH(MIN(AD$5,MAX(Curves!$C$22:$C$66*(Curves!$G$22:$G$66&lt;&gt;""))),Curves!$C$22:$C$66,0))/INDEX(Curves!$H$22:$H$66,MATCH(MIN(AD$5,MAX(Curves!$C$22:$C$66*(Curves!$G$22:$G$66&lt;&gt;""))),Curves!$C$22:$C$66,0)),1))</f>
        <v>0.6317114093959731</v>
      </c>
      <c r="AE310" s="3" cm="1">
        <f t="array" ref="AE310">IF(AE$10=0,1,IF(Inputs!$E$273=1,INDEX(Curves!$G$22:$G$66,MATCH(MIN(AE$5,MAX(Curves!$C$22:$C$66*(Curves!$G$22:$G$66&lt;&gt;""))),Curves!$C$22:$C$66,0))/INDEX(Curves!$H$22:$H$66,MATCH(MIN(AE$5,MAX(Curves!$C$22:$C$66*(Curves!$G$22:$G$66&lt;&gt;""))),Curves!$C$22:$C$66,0)),1))</f>
        <v>0.6243059193294919</v>
      </c>
      <c r="AF310" s="3" cm="1">
        <f t="array" ref="AF310">IF(AF$10=0,1,IF(Inputs!$E$273=1,INDEX(Curves!$G$22:$G$66,MATCH(MIN(AF$5,MAX(Curves!$C$22:$C$66*(Curves!$G$22:$G$66&lt;&gt;""))),Curves!$C$22:$C$66,0))/INDEX(Curves!$H$22:$H$66,MATCH(MIN(AF$5,MAX(Curves!$C$22:$C$66*(Curves!$G$22:$G$66&lt;&gt;""))),Curves!$C$22:$C$66,0)),1))</f>
        <v>0.6170415959252972</v>
      </c>
      <c r="AG310" s="3" cm="1">
        <f t="array" ref="AG310">IF(AG$10=0,1,IF(Inputs!$E$273=1,INDEX(Curves!$G$22:$G$66,MATCH(MIN(AG$5,MAX(Curves!$C$22:$C$66*(Curves!$G$22:$G$66&lt;&gt;""))),Curves!$C$22:$C$66,0))/INDEX(Curves!$H$22:$H$66,MATCH(MIN(AG$5,MAX(Curves!$C$22:$C$66*(Curves!$G$22:$G$66&lt;&gt;""))),Curves!$C$22:$C$66,0)),1))</f>
        <v>0.6173316173316173</v>
      </c>
      <c r="AH310" s="3" cm="1">
        <f t="array" ref="AH310">IF(AH$10=0,1,IF(Inputs!$E$273=1,INDEX(Curves!$G$22:$G$66,MATCH(MIN(AH$5,MAX(Curves!$C$22:$C$66*(Curves!$G$22:$G$66&lt;&gt;""))),Curves!$C$22:$C$66,0))/INDEX(Curves!$H$22:$H$66,MATCH(MIN(AH$5,MAX(Curves!$C$22:$C$66*(Curves!$G$22:$G$66&lt;&gt;""))),Curves!$C$22:$C$66,0)),1))</f>
        <v>0.6179198952308196</v>
      </c>
      <c r="AI310" s="3" cm="1">
        <f t="array" ref="AI310">IF(AI$10=0,1,IF(Inputs!$E$273=1,INDEX(Curves!$G$22:$G$66,MATCH(MIN(AI$5,MAX(Curves!$C$22:$C$66*(Curves!$G$22:$G$66&lt;&gt;""))),Curves!$C$22:$C$66,0))/INDEX(Curves!$H$22:$H$66,MATCH(MIN(AI$5,MAX(Curves!$C$22:$C$66*(Curves!$G$22:$G$66&lt;&gt;""))),Curves!$C$22:$C$66,0)),1))</f>
        <v>0.6169568508705526</v>
      </c>
      <c r="AJ310" s="3" cm="1">
        <f t="array" ref="AJ310">IF(AJ$10=0,1,IF(Inputs!$E$273=1,INDEX(Curves!$G$22:$G$66,MATCH(MIN(AJ$5,MAX(Curves!$C$22:$C$66*(Curves!$G$22:$G$66&lt;&gt;""))),Curves!$C$22:$C$66,0))/INDEX(Curves!$H$22:$H$66,MATCH(MIN(AJ$5,MAX(Curves!$C$22:$C$66*(Curves!$G$22:$G$66&lt;&gt;""))),Curves!$C$22:$C$66,0)),1))</f>
        <v>0.6241304347826088</v>
      </c>
      <c r="AK310" s="3" cm="1">
        <f t="array" ref="AK310">IF(AK$10=0,1,IF(Inputs!$E$273=1,INDEX(Curves!$G$22:$G$66,MATCH(MIN(AK$5,MAX(Curves!$C$22:$C$66*(Curves!$G$22:$G$66&lt;&gt;""))),Curves!$C$22:$C$66,0))/INDEX(Curves!$H$22:$H$66,MATCH(MIN(AK$5,MAX(Curves!$C$22:$C$66*(Curves!$G$22:$G$66&lt;&gt;""))),Curves!$C$22:$C$66,0)),1))</f>
        <v>0.6235666703068691</v>
      </c>
      <c r="AL310" s="3" cm="1">
        <f t="array" ref="AL310">IF(AL$10=0,1,IF(Inputs!$E$273=1,INDEX(Curves!$G$22:$G$66,MATCH(MIN(AL$5,MAX(Curves!$C$22:$C$66*(Curves!$G$22:$G$66&lt;&gt;""))),Curves!$C$22:$C$66,0))/INDEX(Curves!$H$22:$H$66,MATCH(MIN(AL$5,MAX(Curves!$C$22:$C$66*(Curves!$G$22:$G$66&lt;&gt;""))),Curves!$C$22:$C$66,0)),1))</f>
        <v>0.6266312762663128</v>
      </c>
      <c r="AM310" s="3" cm="1">
        <f t="array" ref="AM310">IF(AM$10=0,1,IF(Inputs!$E$273=1,INDEX(Curves!$G$22:$G$66,MATCH(MIN(AM$5,MAX(Curves!$C$22:$C$66*(Curves!$G$22:$G$66&lt;&gt;""))),Curves!$C$22:$C$66,0))/INDEX(Curves!$H$22:$H$66,MATCH(MIN(AM$5,MAX(Curves!$C$22:$C$66*(Curves!$G$22:$G$66&lt;&gt;""))),Curves!$C$22:$C$66,0)),1))</f>
        <v>0.6266052025024695</v>
      </c>
      <c r="AN310" s="3" cm="1">
        <f t="array" ref="AN310">IF(AN$10=0,1,IF(Inputs!$E$273=1,INDEX(Curves!$G$22:$G$66,MATCH(MIN(AN$5,MAX(Curves!$C$22:$C$66*(Curves!$G$22:$G$66&lt;&gt;""))),Curves!$C$22:$C$66,0))/INDEX(Curves!$H$22:$H$66,MATCH(MIN(AN$5,MAX(Curves!$C$22:$C$66*(Curves!$G$22:$G$66&lt;&gt;""))),Curves!$C$22:$C$66,0)),1))</f>
        <v>0.6308536979222736</v>
      </c>
      <c r="AO310" s="3" cm="1">
        <f t="array" ref="AO310">IF(AO$10=0,1,IF(Inputs!$E$273=1,INDEX(Curves!$G$22:$G$66,MATCH(MIN(AO$5,MAX(Curves!$C$22:$C$66*(Curves!$G$22:$G$66&lt;&gt;""))),Curves!$C$22:$C$66,0))/INDEX(Curves!$H$22:$H$66,MATCH(MIN(AO$5,MAX(Curves!$C$22:$C$66*(Curves!$G$22:$G$66&lt;&gt;""))),Curves!$C$22:$C$66,0)),1))</f>
        <v>0.6226535157492841</v>
      </c>
      <c r="AP310" s="3" cm="1">
        <f t="array" ref="AP310">IF(AP$10=0,1,IF(Inputs!$E$273=1,INDEX(Curves!$G$22:$G$66,MATCH(MIN(AP$5,MAX(Curves!$C$22:$C$66*(Curves!$G$22:$G$66&lt;&gt;""))),Curves!$C$22:$C$66,0))/INDEX(Curves!$H$22:$H$66,MATCH(MIN(AP$5,MAX(Curves!$C$22:$C$66*(Curves!$G$22:$G$66&lt;&gt;""))),Curves!$C$22:$C$66,0)),1))</f>
        <v>0.6223221936589546</v>
      </c>
      <c r="AQ310" s="3" cm="1">
        <f t="array" ref="AQ310">IF(AQ$10=0,1,IF(Inputs!$E$273=1,INDEX(Curves!$G$22:$G$66,MATCH(MIN(AQ$5,MAX(Curves!$C$22:$C$66*(Curves!$G$22:$G$66&lt;&gt;""))),Curves!$C$22:$C$66,0))/INDEX(Curves!$H$22:$H$66,MATCH(MIN(AQ$5,MAX(Curves!$C$22:$C$66*(Curves!$G$22:$G$66&lt;&gt;""))),Curves!$C$22:$C$66,0)),1))</f>
        <v>0.6223221936589546</v>
      </c>
    </row>
    <row r="311" spans="3:43" x14ac:dyDescent="0.25">
      <c r="C311" t="s">
        <v>1521</v>
      </c>
      <c r="D311" t="s">
        <v>4</v>
      </c>
      <c r="E311" s="1"/>
      <c r="F311" s="1"/>
      <c r="G311" s="1"/>
      <c r="H311" s="3">
        <f>Inputs!$E$272</f>
        <v>0.9</v>
      </c>
      <c r="I311" s="3">
        <f>Inputs!$E$272</f>
        <v>0.9</v>
      </c>
      <c r="J311" s="3">
        <f>Inputs!$E$272</f>
        <v>0.9</v>
      </c>
      <c r="K311" s="3">
        <f>Inputs!$E$272</f>
        <v>0.9</v>
      </c>
      <c r="L311" s="3">
        <f>Inputs!$E$272</f>
        <v>0.9</v>
      </c>
      <c r="M311" s="3">
        <f>Inputs!$E$272</f>
        <v>0.9</v>
      </c>
      <c r="N311" s="3">
        <f>Inputs!$E$272</f>
        <v>0.9</v>
      </c>
      <c r="O311" s="3">
        <f>Inputs!$E$272</f>
        <v>0.9</v>
      </c>
      <c r="P311" s="3">
        <f>Inputs!$E$272</f>
        <v>0.9</v>
      </c>
      <c r="Q311" s="3">
        <f>Inputs!$E$272</f>
        <v>0.9</v>
      </c>
      <c r="R311" s="3">
        <f>Inputs!$E$272</f>
        <v>0.9</v>
      </c>
      <c r="S311" s="3">
        <f>Inputs!$E$272</f>
        <v>0.9</v>
      </c>
      <c r="T311" s="3">
        <f>Inputs!$E$272</f>
        <v>0.9</v>
      </c>
      <c r="U311" s="3">
        <f>Inputs!$E$272</f>
        <v>0.9</v>
      </c>
      <c r="V311" s="3">
        <f>Inputs!$E$272</f>
        <v>0.9</v>
      </c>
      <c r="W311" s="3">
        <f>Inputs!$E$272</f>
        <v>0.9</v>
      </c>
      <c r="X311" s="3">
        <f>Inputs!$E$272</f>
        <v>0.9</v>
      </c>
      <c r="Y311" s="3">
        <f>Inputs!$E$272</f>
        <v>0.9</v>
      </c>
      <c r="Z311" s="3">
        <f>Inputs!$E$272</f>
        <v>0.9</v>
      </c>
      <c r="AA311" s="3">
        <f>Inputs!$E$272</f>
        <v>0.9</v>
      </c>
      <c r="AB311" s="3">
        <f>Inputs!$E$272</f>
        <v>0.9</v>
      </c>
      <c r="AC311" s="3">
        <f>Inputs!$E$272</f>
        <v>0.9</v>
      </c>
      <c r="AD311" s="3">
        <f>Inputs!$E$272</f>
        <v>0.9</v>
      </c>
      <c r="AE311" s="3">
        <f>Inputs!$E$272</f>
        <v>0.9</v>
      </c>
      <c r="AF311" s="3">
        <f>Inputs!$E$272</f>
        <v>0.9</v>
      </c>
      <c r="AG311" s="3">
        <f>Inputs!$E$272</f>
        <v>0.9</v>
      </c>
      <c r="AH311" s="3">
        <f>Inputs!$E$272</f>
        <v>0.9</v>
      </c>
      <c r="AI311" s="3">
        <f>Inputs!$E$272</f>
        <v>0.9</v>
      </c>
      <c r="AJ311" s="3">
        <f>Inputs!$E$272</f>
        <v>0.9</v>
      </c>
      <c r="AK311" s="3">
        <f>Inputs!$E$272</f>
        <v>0.9</v>
      </c>
      <c r="AL311" s="3">
        <f>Inputs!$E$272</f>
        <v>0.9</v>
      </c>
      <c r="AM311" s="3">
        <f>Inputs!$E$272</f>
        <v>0.9</v>
      </c>
      <c r="AN311" s="3">
        <f>Inputs!$E$272</f>
        <v>0.9</v>
      </c>
      <c r="AO311" s="3">
        <f>Inputs!$E$272</f>
        <v>0.9</v>
      </c>
      <c r="AP311" s="3">
        <f>Inputs!$E$272</f>
        <v>0.9</v>
      </c>
      <c r="AQ311" s="3">
        <f>Inputs!$E$272</f>
        <v>0.9</v>
      </c>
    </row>
    <row r="312" spans="3:43" x14ac:dyDescent="0.25">
      <c r="C312" t="s">
        <v>1522</v>
      </c>
      <c r="D312" t="s">
        <v>844</v>
      </c>
      <c r="E312" s="1"/>
      <c r="F312" s="1"/>
      <c r="G312" s="1">
        <f>SUM(H312:AQ312)</f>
        <v>1457455.9600968934</v>
      </c>
      <c r="H312" s="1">
        <f>H52*H310*H311+H53*H311</f>
        <v>0</v>
      </c>
      <c r="I312" s="1">
        <f t="shared" ref="I312:AQ312" si="126">I52*I310*I311+I53*I311</f>
        <v>0</v>
      </c>
      <c r="J312" s="1">
        <f t="shared" si="126"/>
        <v>0</v>
      </c>
      <c r="K312" s="1">
        <f t="shared" si="126"/>
        <v>0</v>
      </c>
      <c r="L312" s="1">
        <f t="shared" si="126"/>
        <v>0</v>
      </c>
      <c r="M312" s="1">
        <f t="shared" si="126"/>
        <v>10826.852297598</v>
      </c>
      <c r="N312" s="1">
        <f t="shared" si="126"/>
        <v>42523.71656241422</v>
      </c>
      <c r="O312" s="1">
        <f t="shared" si="126"/>
        <v>43010.69163955265</v>
      </c>
      <c r="P312" s="1">
        <f t="shared" si="126"/>
        <v>41378.82058490733</v>
      </c>
      <c r="Q312" s="1">
        <f t="shared" si="126"/>
        <v>41655.78376479019</v>
      </c>
      <c r="R312" s="1">
        <f t="shared" si="126"/>
        <v>42593.604703237994</v>
      </c>
      <c r="S312" s="1">
        <f t="shared" si="126"/>
        <v>45048.82531852214</v>
      </c>
      <c r="T312" s="1">
        <f t="shared" si="126"/>
        <v>45345.463535841904</v>
      </c>
      <c r="U312" s="1">
        <f t="shared" si="126"/>
        <v>45743.86960168348</v>
      </c>
      <c r="V312" s="1">
        <f t="shared" si="126"/>
        <v>45695.80637766855</v>
      </c>
      <c r="W312" s="1">
        <f t="shared" si="126"/>
        <v>45733.99376924702</v>
      </c>
      <c r="X312" s="1">
        <f t="shared" si="126"/>
        <v>46670.139835043905</v>
      </c>
      <c r="Y312" s="1">
        <f t="shared" si="126"/>
        <v>47154.822553738275</v>
      </c>
      <c r="Z312" s="1">
        <f t="shared" si="126"/>
        <v>47179.69015677401</v>
      </c>
      <c r="AA312" s="1">
        <f t="shared" si="126"/>
        <v>48511.32727519831</v>
      </c>
      <c r="AB312" s="1">
        <f t="shared" si="126"/>
        <v>48595.50580931673</v>
      </c>
      <c r="AC312" s="1">
        <f t="shared" si="126"/>
        <v>48939.927496447126</v>
      </c>
      <c r="AD312" s="1">
        <f t="shared" si="126"/>
        <v>48884.44064670786</v>
      </c>
      <c r="AE312" s="1">
        <f t="shared" si="126"/>
        <v>49176.1361490134</v>
      </c>
      <c r="AF312" s="1">
        <f t="shared" si="126"/>
        <v>48800.70164316519</v>
      </c>
      <c r="AG312" s="1">
        <f t="shared" si="126"/>
        <v>49123.85745570529</v>
      </c>
      <c r="AH312" s="1">
        <f t="shared" si="126"/>
        <v>49140.1946374027</v>
      </c>
      <c r="AI312" s="1">
        <f t="shared" si="126"/>
        <v>50352.14614882843</v>
      </c>
      <c r="AJ312" s="1">
        <f t="shared" si="126"/>
        <v>51537.20425229682</v>
      </c>
      <c r="AK312" s="1">
        <f t="shared" si="126"/>
        <v>52118.163714944014</v>
      </c>
      <c r="AL312" s="1">
        <f t="shared" si="126"/>
        <v>52592.63104786114</v>
      </c>
      <c r="AM312" s="1">
        <f t="shared" si="126"/>
        <v>53889.44373340773</v>
      </c>
      <c r="AN312" s="1">
        <f t="shared" si="126"/>
        <v>56251.8232850017</v>
      </c>
      <c r="AO312" s="1">
        <f t="shared" si="126"/>
        <v>57312.11006238579</v>
      </c>
      <c r="AP312" s="1">
        <f t="shared" si="126"/>
        <v>57677.41399621112</v>
      </c>
      <c r="AQ312" s="1">
        <f t="shared" si="126"/>
        <v>43990.852041980215</v>
      </c>
    </row>
    <row r="313" spans="3:43" x14ac:dyDescent="0.25">
      <c r="C313" t="s">
        <v>1523</v>
      </c>
      <c r="D313" t="s">
        <v>4</v>
      </c>
      <c r="E313" s="1"/>
      <c r="F313" s="1"/>
      <c r="G313" s="1"/>
      <c r="H313" s="3">
        <f>IF(H54=0,1,H312/H54)</f>
        <v>1</v>
      </c>
      <c r="I313" s="3">
        <f t="shared" ref="I313:AQ313" si="127">IF(I54=0,1,I312/I54)</f>
        <v>1</v>
      </c>
      <c r="J313" s="3">
        <f t="shared" si="127"/>
        <v>1</v>
      </c>
      <c r="K313" s="3">
        <f t="shared" si="127"/>
        <v>1</v>
      </c>
      <c r="L313" s="3">
        <f t="shared" si="127"/>
        <v>1</v>
      </c>
      <c r="M313" s="3">
        <f t="shared" si="127"/>
        <v>0.6237034153935975</v>
      </c>
      <c r="N313" s="3">
        <f t="shared" si="127"/>
        <v>0.6192693697310317</v>
      </c>
      <c r="O313" s="3">
        <f t="shared" si="127"/>
        <v>0.6131581576581077</v>
      </c>
      <c r="P313" s="3">
        <f t="shared" si="127"/>
        <v>0.6028971962616824</v>
      </c>
      <c r="Q313" s="3">
        <f t="shared" si="127"/>
        <v>0.5981890091590342</v>
      </c>
      <c r="R313" s="3">
        <f t="shared" si="127"/>
        <v>0.6007797068302319</v>
      </c>
      <c r="S313" s="3">
        <f t="shared" si="127"/>
        <v>0.6039188102893892</v>
      </c>
      <c r="T313" s="3">
        <f t="shared" si="127"/>
        <v>0.605866177818515</v>
      </c>
      <c r="U313" s="3">
        <f t="shared" si="127"/>
        <v>0.6041461916461915</v>
      </c>
      <c r="V313" s="3">
        <f t="shared" si="127"/>
        <v>0.6004661280298321</v>
      </c>
      <c r="W313" s="3">
        <f t="shared" si="127"/>
        <v>0.5983324593602518</v>
      </c>
      <c r="X313" s="3">
        <f t="shared" si="127"/>
        <v>0.5954134165366614</v>
      </c>
      <c r="Y313" s="3">
        <f t="shared" si="127"/>
        <v>0.5903476907109497</v>
      </c>
      <c r="Z313" s="3">
        <f t="shared" si="127"/>
        <v>0.585376569037657</v>
      </c>
      <c r="AA313" s="3">
        <f t="shared" si="127"/>
        <v>0.582249434039926</v>
      </c>
      <c r="AB313" s="3">
        <f t="shared" si="127"/>
        <v>0.5726011916991987</v>
      </c>
      <c r="AC313" s="3">
        <f t="shared" si="127"/>
        <v>0.5683381383855024</v>
      </c>
      <c r="AD313" s="3">
        <f t="shared" si="127"/>
        <v>0.5685402684563758</v>
      </c>
      <c r="AE313" s="3">
        <f t="shared" si="127"/>
        <v>0.5618753273965427</v>
      </c>
      <c r="AF313" s="3">
        <f t="shared" si="127"/>
        <v>0.5553374363327674</v>
      </c>
      <c r="AG313" s="3">
        <f t="shared" si="127"/>
        <v>0.5555984555984556</v>
      </c>
      <c r="AH313" s="3">
        <f t="shared" si="127"/>
        <v>0.5561279057077376</v>
      </c>
      <c r="AI313" s="3">
        <f t="shared" si="127"/>
        <v>0.5552611657834974</v>
      </c>
      <c r="AJ313" s="3">
        <f t="shared" si="127"/>
        <v>0.561717391304348</v>
      </c>
      <c r="AK313" s="3">
        <f t="shared" si="127"/>
        <v>0.5612100032761822</v>
      </c>
      <c r="AL313" s="3">
        <f t="shared" si="127"/>
        <v>0.5639681486396815</v>
      </c>
      <c r="AM313" s="3">
        <f t="shared" si="127"/>
        <v>0.5639446822522226</v>
      </c>
      <c r="AN313" s="3">
        <f t="shared" si="127"/>
        <v>0.5677683281300463</v>
      </c>
      <c r="AO313" s="3">
        <f t="shared" si="127"/>
        <v>0.5603881641743557</v>
      </c>
      <c r="AP313" s="3">
        <f t="shared" si="127"/>
        <v>0.5600899742930592</v>
      </c>
      <c r="AQ313" s="3">
        <f t="shared" si="127"/>
        <v>0.5600899742930592</v>
      </c>
    </row>
    <row r="314" spans="3:43" x14ac:dyDescent="0.25">
      <c r="C314" t="s">
        <v>1524</v>
      </c>
      <c r="D314" t="s">
        <v>844</v>
      </c>
      <c r="E314" s="1"/>
      <c r="F314" s="1"/>
      <c r="G314" s="1">
        <f>SUM(H314:AQ314)</f>
        <v>-497658.49507043394</v>
      </c>
      <c r="H314" s="1">
        <f>H69+(H311-1)*(H56+H57+H59)+(H313-1)*(H58+H68)+$E$67*((H311-1)*(H56+H57)+(H313-1)*H58)</f>
        <v>0</v>
      </c>
      <c r="I314" s="1">
        <f t="shared" ref="I314:AQ314" si="128">I69+(I311-1)*(I56+I57+I59)+(I313-1)*(I58+I68)+$E$67*((I311-1)*(I56+I57)+(I313-1)*I58)</f>
        <v>0</v>
      </c>
      <c r="J314" s="1">
        <f t="shared" si="128"/>
        <v>0</v>
      </c>
      <c r="K314" s="1">
        <f t="shared" si="128"/>
        <v>-197.24149845574638</v>
      </c>
      <c r="L314" s="1">
        <f t="shared" si="128"/>
        <v>-802.0975609756099</v>
      </c>
      <c r="M314" s="1">
        <f t="shared" si="128"/>
        <v>-3573.6880165960256</v>
      </c>
      <c r="N314" s="1">
        <f t="shared" si="128"/>
        <v>-12064.650844604685</v>
      </c>
      <c r="O314" s="1">
        <f t="shared" si="128"/>
        <v>-12314.967386659879</v>
      </c>
      <c r="P314" s="1">
        <f t="shared" si="128"/>
        <v>-12526.578676651425</v>
      </c>
      <c r="Q314" s="1">
        <f t="shared" si="128"/>
        <v>-12784.410230592224</v>
      </c>
      <c r="R314" s="1">
        <f t="shared" si="128"/>
        <v>-13062.338465720586</v>
      </c>
      <c r="S314" s="1">
        <f t="shared" si="128"/>
        <v>-13378.543474105587</v>
      </c>
      <c r="T314" s="1">
        <f t="shared" si="128"/>
        <v>-13655.799367347694</v>
      </c>
      <c r="U314" s="1">
        <f t="shared" si="128"/>
        <v>-13941.84379107703</v>
      </c>
      <c r="V314" s="1">
        <f t="shared" si="128"/>
        <v>-14225.297456399729</v>
      </c>
      <c r="W314" s="1">
        <f t="shared" si="128"/>
        <v>-14517.53914361586</v>
      </c>
      <c r="X314" s="1">
        <f t="shared" si="128"/>
        <v>-14835.824352853226</v>
      </c>
      <c r="Y314" s="1">
        <f t="shared" si="128"/>
        <v>-15151.920913386222</v>
      </c>
      <c r="Z314" s="1">
        <f t="shared" si="128"/>
        <v>-15465.830401167115</v>
      </c>
      <c r="AA314" s="1">
        <f t="shared" si="128"/>
        <v>-15814.921124205215</v>
      </c>
      <c r="AB314" s="1">
        <f t="shared" si="128"/>
        <v>-16145.612708882156</v>
      </c>
      <c r="AC314" s="1">
        <f t="shared" si="128"/>
        <v>-16489.83293909494</v>
      </c>
      <c r="AD314" s="1">
        <f t="shared" si="128"/>
        <v>-16833.88092928211</v>
      </c>
      <c r="AE314" s="1">
        <f t="shared" si="128"/>
        <v>-17193.683008798835</v>
      </c>
      <c r="AF314" s="1">
        <f t="shared" si="128"/>
        <v>-17548.09284346574</v>
      </c>
      <c r="AG314" s="1">
        <f t="shared" si="128"/>
        <v>-17926.06878109065</v>
      </c>
      <c r="AH314" s="1">
        <f t="shared" si="128"/>
        <v>-18306.66201414517</v>
      </c>
      <c r="AI314" s="1">
        <f t="shared" si="128"/>
        <v>-18721.71904819554</v>
      </c>
      <c r="AJ314" s="1">
        <f t="shared" si="128"/>
        <v>-19145.731756037836</v>
      </c>
      <c r="AK314" s="1">
        <f t="shared" si="128"/>
        <v>-19566.78112829303</v>
      </c>
      <c r="AL314" s="1">
        <f t="shared" si="128"/>
        <v>-19995.578577273413</v>
      </c>
      <c r="AM314" s="1">
        <f t="shared" si="128"/>
        <v>-20451.91869939133</v>
      </c>
      <c r="AN314" s="1">
        <f t="shared" si="128"/>
        <v>-20941.16978811373</v>
      </c>
      <c r="AO314" s="1">
        <f t="shared" si="128"/>
        <v>-21413.747146324054</v>
      </c>
      <c r="AP314" s="1">
        <f t="shared" si="128"/>
        <v>-21882.691182115028</v>
      </c>
      <c r="AQ314" s="1">
        <f t="shared" si="128"/>
        <v>-16781.831815516496</v>
      </c>
    </row>
    <row r="315" spans="3:43" x14ac:dyDescent="0.25">
      <c r="C315" t="s">
        <v>1525</v>
      </c>
      <c r="D315" t="s">
        <v>844</v>
      </c>
      <c r="E315" s="1"/>
      <c r="F315" s="1"/>
      <c r="G315" s="1">
        <f>SUM(H315:AQ315)</f>
        <v>959797.4650264593</v>
      </c>
      <c r="H315" s="1">
        <f>H312+H314</f>
        <v>0</v>
      </c>
      <c r="I315" s="1">
        <f t="shared" ref="I315:AQ315" si="129">I312+I314</f>
        <v>0</v>
      </c>
      <c r="J315" s="1">
        <f t="shared" si="129"/>
        <v>0</v>
      </c>
      <c r="K315" s="1">
        <f t="shared" si="129"/>
        <v>-197.24149845574638</v>
      </c>
      <c r="L315" s="1">
        <f t="shared" si="129"/>
        <v>-802.0975609756099</v>
      </c>
      <c r="M315" s="1">
        <f t="shared" si="129"/>
        <v>7253.164281001974</v>
      </c>
      <c r="N315" s="1">
        <f t="shared" si="129"/>
        <v>30459.065717809535</v>
      </c>
      <c r="O315" s="1">
        <f t="shared" si="129"/>
        <v>30695.72425289277</v>
      </c>
      <c r="P315" s="1">
        <f t="shared" si="129"/>
        <v>28852.241908255903</v>
      </c>
      <c r="Q315" s="1">
        <f t="shared" si="129"/>
        <v>28871.373534197966</v>
      </c>
      <c r="R315" s="1">
        <f t="shared" si="129"/>
        <v>29531.266237517408</v>
      </c>
      <c r="S315" s="1">
        <f t="shared" si="129"/>
        <v>31670.281844416553</v>
      </c>
      <c r="T315" s="1">
        <f t="shared" si="129"/>
        <v>31689.664168494208</v>
      </c>
      <c r="U315" s="1">
        <f t="shared" si="129"/>
        <v>31802.02581060645</v>
      </c>
      <c r="V315" s="1">
        <f t="shared" si="129"/>
        <v>31470.508921268825</v>
      </c>
      <c r="W315" s="1">
        <f t="shared" si="129"/>
        <v>31216.45462563116</v>
      </c>
      <c r="X315" s="1">
        <f t="shared" si="129"/>
        <v>31834.31548219068</v>
      </c>
      <c r="Y315" s="1">
        <f t="shared" si="129"/>
        <v>32002.90164035205</v>
      </c>
      <c r="Z315" s="1">
        <f t="shared" si="129"/>
        <v>31713.8597556069</v>
      </c>
      <c r="AA315" s="1">
        <f t="shared" si="129"/>
        <v>32696.406150993094</v>
      </c>
      <c r="AB315" s="1">
        <f t="shared" si="129"/>
        <v>32449.893100434576</v>
      </c>
      <c r="AC315" s="1">
        <f t="shared" si="129"/>
        <v>32450.094557352186</v>
      </c>
      <c r="AD315" s="1">
        <f t="shared" si="129"/>
        <v>32050.55971742575</v>
      </c>
      <c r="AE315" s="1">
        <f t="shared" si="129"/>
        <v>31982.453140214566</v>
      </c>
      <c r="AF315" s="1">
        <f t="shared" si="129"/>
        <v>31252.608799699447</v>
      </c>
      <c r="AG315" s="1">
        <f t="shared" si="129"/>
        <v>31197.788674614643</v>
      </c>
      <c r="AH315" s="1">
        <f t="shared" si="129"/>
        <v>30833.53262325753</v>
      </c>
      <c r="AI315" s="1">
        <f t="shared" si="129"/>
        <v>31630.427100632893</v>
      </c>
      <c r="AJ315" s="1">
        <f t="shared" si="129"/>
        <v>32391.472496258983</v>
      </c>
      <c r="AK315" s="1">
        <f t="shared" si="129"/>
        <v>32551.382586650983</v>
      </c>
      <c r="AL315" s="1">
        <f t="shared" si="129"/>
        <v>32597.05247058773</v>
      </c>
      <c r="AM315" s="1">
        <f t="shared" si="129"/>
        <v>33437.5250340164</v>
      </c>
      <c r="AN315" s="1">
        <f t="shared" si="129"/>
        <v>35310.65349688797</v>
      </c>
      <c r="AO315" s="1">
        <f t="shared" si="129"/>
        <v>35898.36291606174</v>
      </c>
      <c r="AP315" s="1">
        <f t="shared" si="129"/>
        <v>35794.722814096094</v>
      </c>
      <c r="AQ315" s="1">
        <f t="shared" si="129"/>
        <v>27209.02022646372</v>
      </c>
    </row>
    <row r="316" spans="3:43" x14ac:dyDescent="0.25">
      <c r="C316" t="s">
        <v>1526</v>
      </c>
      <c r="D316" t="s">
        <v>844</v>
      </c>
      <c r="E316" s="1"/>
      <c r="F316" s="1"/>
      <c r="G316" s="1">
        <f>SUM(H316:AQ316)</f>
        <v>446988.37448733195</v>
      </c>
      <c r="H316" s="1">
        <f>H315-H92-H81+H85+H16</f>
        <v>-177.24324324324326</v>
      </c>
      <c r="I316" s="1">
        <f t="shared" ref="I316:AQ316" si="130">I315-I92-I81+I85+I16</f>
        <v>-856.331081081081</v>
      </c>
      <c r="J316" s="1">
        <f t="shared" si="130"/>
        <v>-1753.731056885054</v>
      </c>
      <c r="K316" s="1">
        <f t="shared" si="130"/>
        <v>-5152.1907625813965</v>
      </c>
      <c r="L316" s="1">
        <f t="shared" si="130"/>
        <v>-2127.2086797206966</v>
      </c>
      <c r="M316" s="1">
        <f t="shared" si="130"/>
        <v>-1712.0405049744663</v>
      </c>
      <c r="N316" s="1">
        <f t="shared" si="130"/>
        <v>-4348.884399246928</v>
      </c>
      <c r="O316" s="1">
        <f t="shared" si="130"/>
        <v>-2567.0063492119843</v>
      </c>
      <c r="P316" s="1">
        <f t="shared" si="130"/>
        <v>-2781.6736841926668</v>
      </c>
      <c r="Q316" s="1">
        <f t="shared" si="130"/>
        <v>-1095.3964302154964</v>
      </c>
      <c r="R316" s="1">
        <f t="shared" si="130"/>
        <v>1327.6973563458769</v>
      </c>
      <c r="S316" s="1">
        <f t="shared" si="130"/>
        <v>5336.146990551442</v>
      </c>
      <c r="T316" s="1">
        <f t="shared" si="130"/>
        <v>6772.336897717899</v>
      </c>
      <c r="U316" s="1">
        <f t="shared" si="130"/>
        <v>8372.346502073382</v>
      </c>
      <c r="V316" s="1">
        <f t="shared" si="130"/>
        <v>9153.875440528267</v>
      </c>
      <c r="W316" s="1">
        <f t="shared" si="130"/>
        <v>8899.8211448906</v>
      </c>
      <c r="X316" s="1">
        <f t="shared" si="130"/>
        <v>9517.68200145012</v>
      </c>
      <c r="Y316" s="1">
        <f t="shared" si="130"/>
        <v>9686.268159611493</v>
      </c>
      <c r="Z316" s="1">
        <f t="shared" si="130"/>
        <v>9397.226274866342</v>
      </c>
      <c r="AA316" s="1">
        <f t="shared" si="130"/>
        <v>10379.772670252536</v>
      </c>
      <c r="AB316" s="1">
        <f t="shared" si="130"/>
        <v>10133.259619694018</v>
      </c>
      <c r="AC316" s="1">
        <f t="shared" si="130"/>
        <v>10133.461076611628</v>
      </c>
      <c r="AD316" s="1">
        <f t="shared" si="130"/>
        <v>9733.92623668519</v>
      </c>
      <c r="AE316" s="1">
        <f t="shared" si="130"/>
        <v>9665.819659474007</v>
      </c>
      <c r="AF316" s="1">
        <f t="shared" si="130"/>
        <v>8935.975318958888</v>
      </c>
      <c r="AG316" s="1">
        <f t="shared" si="130"/>
        <v>14460.313564059226</v>
      </c>
      <c r="AH316" s="1">
        <f t="shared" si="130"/>
        <v>30833.53262325753</v>
      </c>
      <c r="AI316" s="1">
        <f t="shared" si="130"/>
        <v>31630.427100632893</v>
      </c>
      <c r="AJ316" s="1">
        <f t="shared" si="130"/>
        <v>32391.472496258983</v>
      </c>
      <c r="AK316" s="1">
        <f t="shared" si="130"/>
        <v>32551.382586650983</v>
      </c>
      <c r="AL316" s="1">
        <f t="shared" si="130"/>
        <v>32597.05247058773</v>
      </c>
      <c r="AM316" s="1">
        <f t="shared" si="130"/>
        <v>33437.5250340164</v>
      </c>
      <c r="AN316" s="1">
        <f t="shared" si="130"/>
        <v>35310.65349688797</v>
      </c>
      <c r="AO316" s="1">
        <f t="shared" si="130"/>
        <v>35898.36291606174</v>
      </c>
      <c r="AP316" s="1">
        <f t="shared" si="130"/>
        <v>35794.722814096094</v>
      </c>
      <c r="AQ316" s="1">
        <f t="shared" si="130"/>
        <v>27209.02022646372</v>
      </c>
    </row>
    <row r="317" spans="3:43" x14ac:dyDescent="0.25">
      <c r="C317" t="s">
        <v>1527</v>
      </c>
      <c r="D317" t="s">
        <v>844</v>
      </c>
      <c r="E317" s="1"/>
      <c r="F317" s="1"/>
      <c r="G317" s="1"/>
      <c r="H317" s="1">
        <f>N(G317)+MAX(-H316,0)-MIN(N(G317),MAX(H316,0)*$E$95)</f>
        <v>177.24324324324326</v>
      </c>
      <c r="I317" s="1">
        <f t="shared" ref="I317:AQ317" si="131">N(H317)+MAX(-I316,0)-MIN(N(H317),MAX(I316,0)*$E$95)</f>
        <v>1033.5743243243244</v>
      </c>
      <c r="J317" s="1">
        <f t="shared" si="131"/>
        <v>2787.3053812093785</v>
      </c>
      <c r="K317" s="1">
        <f t="shared" si="131"/>
        <v>7939.496143790775</v>
      </c>
      <c r="L317" s="1">
        <f t="shared" si="131"/>
        <v>10066.70482351147</v>
      </c>
      <c r="M317" s="1">
        <f t="shared" si="131"/>
        <v>11778.745328485937</v>
      </c>
      <c r="N317" s="1">
        <f t="shared" si="131"/>
        <v>16127.629727732865</v>
      </c>
      <c r="O317" s="1">
        <f t="shared" si="131"/>
        <v>18694.63607694485</v>
      </c>
      <c r="P317" s="1">
        <f t="shared" si="131"/>
        <v>21476.30976113752</v>
      </c>
      <c r="Q317" s="1">
        <f t="shared" si="131"/>
        <v>22571.706191353016</v>
      </c>
      <c r="R317" s="1">
        <f t="shared" si="131"/>
        <v>21907.85751318008</v>
      </c>
      <c r="S317" s="1">
        <f t="shared" si="131"/>
        <v>19239.784017904356</v>
      </c>
      <c r="T317" s="1">
        <f t="shared" si="131"/>
        <v>15853.615569045407</v>
      </c>
      <c r="U317" s="1">
        <f t="shared" si="131"/>
        <v>11667.442318008716</v>
      </c>
      <c r="V317" s="1">
        <f t="shared" si="131"/>
        <v>7090.5045977445825</v>
      </c>
      <c r="W317" s="1">
        <f t="shared" si="131"/>
        <v>2640.5940252992823</v>
      </c>
      <c r="X317" s="1">
        <f t="shared" si="131"/>
        <v>0</v>
      </c>
      <c r="Y317" s="1">
        <f t="shared" si="131"/>
        <v>0</v>
      </c>
      <c r="Z317" s="1">
        <f t="shared" si="131"/>
        <v>0</v>
      </c>
      <c r="AA317" s="1">
        <f t="shared" si="131"/>
        <v>0</v>
      </c>
      <c r="AB317" s="1">
        <f t="shared" si="131"/>
        <v>0</v>
      </c>
      <c r="AC317" s="1">
        <f t="shared" si="131"/>
        <v>0</v>
      </c>
      <c r="AD317" s="1">
        <f t="shared" si="131"/>
        <v>0</v>
      </c>
      <c r="AE317" s="1">
        <f t="shared" si="131"/>
        <v>0</v>
      </c>
      <c r="AF317" s="1">
        <f t="shared" si="131"/>
        <v>0</v>
      </c>
      <c r="AG317" s="1">
        <f t="shared" si="131"/>
        <v>0</v>
      </c>
      <c r="AH317" s="1">
        <f t="shared" si="131"/>
        <v>0</v>
      </c>
      <c r="AI317" s="1">
        <f t="shared" si="131"/>
        <v>0</v>
      </c>
      <c r="AJ317" s="1">
        <f t="shared" si="131"/>
        <v>0</v>
      </c>
      <c r="AK317" s="1">
        <f t="shared" si="131"/>
        <v>0</v>
      </c>
      <c r="AL317" s="1">
        <f t="shared" si="131"/>
        <v>0</v>
      </c>
      <c r="AM317" s="1">
        <f t="shared" si="131"/>
        <v>0</v>
      </c>
      <c r="AN317" s="1">
        <f t="shared" si="131"/>
        <v>0</v>
      </c>
      <c r="AO317" s="1">
        <f t="shared" si="131"/>
        <v>0</v>
      </c>
      <c r="AP317" s="1">
        <f t="shared" si="131"/>
        <v>0</v>
      </c>
      <c r="AQ317" s="1">
        <f t="shared" si="131"/>
        <v>0</v>
      </c>
    </row>
    <row r="318" spans="3:43" x14ac:dyDescent="0.25">
      <c r="C318" t="s">
        <v>1528</v>
      </c>
      <c r="D318" t="s">
        <v>844</v>
      </c>
      <c r="E318" s="1"/>
      <c r="F318" s="1"/>
      <c r="G318" s="1">
        <f>SUM(H318:AQ318)</f>
        <v>-40228.95370385987</v>
      </c>
      <c r="H318" s="1">
        <f>-(MAX(H316,0)-MIN(N(G317),MAX(H316,0)*$E$95))*$E$91-MAX(H316,0)*$E$99</f>
        <v>-0</v>
      </c>
      <c r="I318" s="1">
        <f t="shared" ref="I318:AQ318" si="132">-(MAX(I316,0)-MIN(N(H317),MAX(I316,0)*$E$95))*$E$91-MAX(I316,0)*$E$99</f>
        <v>-0</v>
      </c>
      <c r="J318" s="1">
        <f t="shared" si="132"/>
        <v>-0</v>
      </c>
      <c r="K318" s="1">
        <f t="shared" si="132"/>
        <v>-0</v>
      </c>
      <c r="L318" s="1">
        <f t="shared" si="132"/>
        <v>-0</v>
      </c>
      <c r="M318" s="1">
        <f t="shared" si="132"/>
        <v>-0</v>
      </c>
      <c r="N318" s="1">
        <f t="shared" si="132"/>
        <v>-0</v>
      </c>
      <c r="O318" s="1">
        <f t="shared" si="132"/>
        <v>-0</v>
      </c>
      <c r="P318" s="1">
        <f t="shared" si="132"/>
        <v>-0</v>
      </c>
      <c r="Q318" s="1">
        <f t="shared" si="132"/>
        <v>-0</v>
      </c>
      <c r="R318" s="1">
        <f t="shared" si="132"/>
        <v>-59.746381035564454</v>
      </c>
      <c r="S318" s="1">
        <f t="shared" si="132"/>
        <v>-240.12661457481488</v>
      </c>
      <c r="T318" s="1">
        <f t="shared" si="132"/>
        <v>-304.7551603973054</v>
      </c>
      <c r="U318" s="1">
        <f t="shared" si="132"/>
        <v>-376.7555925933022</v>
      </c>
      <c r="V318" s="1">
        <f t="shared" si="132"/>
        <v>-411.924394823772</v>
      </c>
      <c r="W318" s="1">
        <f t="shared" si="132"/>
        <v>-400.491951520077</v>
      </c>
      <c r="X318" s="1">
        <f t="shared" si="132"/>
        <v>-618.9379178535754</v>
      </c>
      <c r="Y318" s="1">
        <f t="shared" si="132"/>
        <v>-871.7641343650344</v>
      </c>
      <c r="Z318" s="1">
        <f t="shared" si="132"/>
        <v>-845.7503647379707</v>
      </c>
      <c r="AA318" s="1">
        <f t="shared" si="132"/>
        <v>-934.1795403227283</v>
      </c>
      <c r="AB318" s="1">
        <f t="shared" si="132"/>
        <v>-911.9933657724615</v>
      </c>
      <c r="AC318" s="1">
        <f t="shared" si="132"/>
        <v>-912.0114968950464</v>
      </c>
      <c r="AD318" s="1">
        <f t="shared" si="132"/>
        <v>-876.0533613016671</v>
      </c>
      <c r="AE318" s="1">
        <f t="shared" si="132"/>
        <v>-869.9237693526607</v>
      </c>
      <c r="AF318" s="1">
        <f t="shared" si="132"/>
        <v>-804.2377787062999</v>
      </c>
      <c r="AG318" s="1">
        <f t="shared" si="132"/>
        <v>-1301.4282207653303</v>
      </c>
      <c r="AH318" s="1">
        <f t="shared" si="132"/>
        <v>-2775.017936093178</v>
      </c>
      <c r="AI318" s="1">
        <f t="shared" si="132"/>
        <v>-2846.73843905696</v>
      </c>
      <c r="AJ318" s="1">
        <f t="shared" si="132"/>
        <v>-2915.232524663308</v>
      </c>
      <c r="AK318" s="1">
        <f t="shared" si="132"/>
        <v>-2929.6244327985883</v>
      </c>
      <c r="AL318" s="1">
        <f t="shared" si="132"/>
        <v>-2933.7347223528955</v>
      </c>
      <c r="AM318" s="1">
        <f t="shared" si="132"/>
        <v>-3009.3772530614756</v>
      </c>
      <c r="AN318" s="1">
        <f t="shared" si="132"/>
        <v>-3177.9588147199174</v>
      </c>
      <c r="AO318" s="1">
        <f t="shared" si="132"/>
        <v>-3230.8526624455567</v>
      </c>
      <c r="AP318" s="1">
        <f t="shared" si="132"/>
        <v>-3221.525053268648</v>
      </c>
      <c r="AQ318" s="1">
        <f t="shared" si="132"/>
        <v>-2448.811820381735</v>
      </c>
    </row>
    <row r="319" spans="3:43" x14ac:dyDescent="0.25">
      <c r="C319" t="s">
        <v>1529</v>
      </c>
      <c r="D319" t="s">
        <v>844</v>
      </c>
      <c r="E319" s="1"/>
      <c r="F319" s="1"/>
      <c r="G319" s="1">
        <f>SUM(H319:AQ319)</f>
        <v>919568.5113225995</v>
      </c>
      <c r="H319" s="1">
        <f>H315+H318</f>
        <v>0</v>
      </c>
      <c r="I319" s="1">
        <f t="shared" ref="I319:AQ319" si="133">I315+I318</f>
        <v>0</v>
      </c>
      <c r="J319" s="1">
        <f t="shared" si="133"/>
        <v>0</v>
      </c>
      <c r="K319" s="1">
        <f t="shared" si="133"/>
        <v>-197.24149845574638</v>
      </c>
      <c r="L319" s="1">
        <f t="shared" si="133"/>
        <v>-802.0975609756099</v>
      </c>
      <c r="M319" s="1">
        <f t="shared" si="133"/>
        <v>7253.164281001974</v>
      </c>
      <c r="N319" s="1">
        <f t="shared" si="133"/>
        <v>30459.065717809535</v>
      </c>
      <c r="O319" s="1">
        <f t="shared" si="133"/>
        <v>30695.72425289277</v>
      </c>
      <c r="P319" s="1">
        <f t="shared" si="133"/>
        <v>28852.241908255903</v>
      </c>
      <c r="Q319" s="1">
        <f t="shared" si="133"/>
        <v>28871.373534197966</v>
      </c>
      <c r="R319" s="1">
        <f t="shared" si="133"/>
        <v>29471.519856481842</v>
      </c>
      <c r="S319" s="1">
        <f t="shared" si="133"/>
        <v>31430.155229841737</v>
      </c>
      <c r="T319" s="1">
        <f t="shared" si="133"/>
        <v>31384.909008096904</v>
      </c>
      <c r="U319" s="1">
        <f t="shared" si="133"/>
        <v>31425.27021801315</v>
      </c>
      <c r="V319" s="1">
        <f t="shared" si="133"/>
        <v>31058.584526445055</v>
      </c>
      <c r="W319" s="1">
        <f t="shared" si="133"/>
        <v>30815.96267411108</v>
      </c>
      <c r="X319" s="1">
        <f t="shared" si="133"/>
        <v>31215.377564337105</v>
      </c>
      <c r="Y319" s="1">
        <f t="shared" si="133"/>
        <v>31131.137505987015</v>
      </c>
      <c r="Z319" s="1">
        <f t="shared" si="133"/>
        <v>30868.10939086893</v>
      </c>
      <c r="AA319" s="1">
        <f t="shared" si="133"/>
        <v>31762.226610670365</v>
      </c>
      <c r="AB319" s="1">
        <f t="shared" si="133"/>
        <v>31537.899734662114</v>
      </c>
      <c r="AC319" s="1">
        <f t="shared" si="133"/>
        <v>31538.08306045714</v>
      </c>
      <c r="AD319" s="1">
        <f t="shared" si="133"/>
        <v>31174.506356124082</v>
      </c>
      <c r="AE319" s="1">
        <f t="shared" si="133"/>
        <v>31112.529370861907</v>
      </c>
      <c r="AF319" s="1">
        <f t="shared" si="133"/>
        <v>30448.371020993145</v>
      </c>
      <c r="AG319" s="1">
        <f t="shared" si="133"/>
        <v>29896.360453849313</v>
      </c>
      <c r="AH319" s="1">
        <f t="shared" si="133"/>
        <v>28058.514687164352</v>
      </c>
      <c r="AI319" s="1">
        <f t="shared" si="133"/>
        <v>28783.688661575932</v>
      </c>
      <c r="AJ319" s="1">
        <f t="shared" si="133"/>
        <v>29476.239971595674</v>
      </c>
      <c r="AK319" s="1">
        <f t="shared" si="133"/>
        <v>29621.758153852395</v>
      </c>
      <c r="AL319" s="1">
        <f t="shared" si="133"/>
        <v>29663.317748234833</v>
      </c>
      <c r="AM319" s="1">
        <f t="shared" si="133"/>
        <v>30428.14778095492</v>
      </c>
      <c r="AN319" s="1">
        <f t="shared" si="133"/>
        <v>32132.694682168054</v>
      </c>
      <c r="AO319" s="1">
        <f t="shared" si="133"/>
        <v>32667.510253616187</v>
      </c>
      <c r="AP319" s="1">
        <f t="shared" si="133"/>
        <v>32573.197760827446</v>
      </c>
      <c r="AQ319" s="1">
        <f t="shared" si="133"/>
        <v>24760.208406081983</v>
      </c>
    </row>
    <row r="320" spans="3:43" x14ac:dyDescent="0.25">
      <c r="C320" t="s">
        <v>1530</v>
      </c>
      <c r="D320" t="s">
        <v>4</v>
      </c>
      <c r="E320" s="1"/>
      <c r="F320" s="1"/>
      <c r="G320" s="3">
        <f>IF(COUNT(H320:AQ320)=0,"n/a",MIN(H320:AQ320))</f>
        <v>0.8917769463971309</v>
      </c>
      <c r="H320" s="3" t="str">
        <f>IF(AND(H$9&gt;=1,H$86&lt;-0.01),H319/-H86,"")</f>
        <v/>
      </c>
      <c r="I320" s="3" t="str">
        <f t="shared" ref="I320:AQ320" si="134">IF(AND(I$9&gt;=1,I$86&lt;-0.01),I319/-I86,"")</f>
        <v/>
      </c>
      <c r="J320" s="3" t="str">
        <f t="shared" si="134"/>
        <v/>
      </c>
      <c r="K320" s="3" t="str">
        <f t="shared" si="134"/>
        <v/>
      </c>
      <c r="L320" s="3" t="str">
        <f t="shared" si="134"/>
        <v/>
      </c>
      <c r="M320" s="3" t="str">
        <f t="shared" si="134"/>
        <v/>
      </c>
      <c r="N320" s="3">
        <f t="shared" si="134"/>
        <v>0.941441316841492</v>
      </c>
      <c r="O320" s="3">
        <f t="shared" si="134"/>
        <v>0.9487560560713386</v>
      </c>
      <c r="P320" s="3">
        <f t="shared" si="134"/>
        <v>0.8917769463971309</v>
      </c>
      <c r="Q320" s="3">
        <f t="shared" si="134"/>
        <v>0.8923682745516803</v>
      </c>
      <c r="R320" s="3">
        <f t="shared" si="134"/>
        <v>0.9109178436416525</v>
      </c>
      <c r="S320" s="3">
        <f t="shared" si="134"/>
        <v>0.9714561504364702</v>
      </c>
      <c r="T320" s="3">
        <f t="shared" si="134"/>
        <v>0.9700576616260713</v>
      </c>
      <c r="U320" s="3">
        <f t="shared" si="134"/>
        <v>1.3444562672867497</v>
      </c>
      <c r="V320" s="3" t="str">
        <f t="shared" si="134"/>
        <v/>
      </c>
      <c r="W320" s="3" t="str">
        <f t="shared" si="134"/>
        <v/>
      </c>
      <c r="X320" s="3" t="str">
        <f t="shared" si="134"/>
        <v/>
      </c>
      <c r="Y320" s="3" t="str">
        <f t="shared" si="134"/>
        <v/>
      </c>
      <c r="Z320" s="3" t="str">
        <f t="shared" si="134"/>
        <v/>
      </c>
      <c r="AA320" s="3" t="str">
        <f t="shared" si="134"/>
        <v/>
      </c>
      <c r="AB320" s="3" t="str">
        <f t="shared" si="134"/>
        <v/>
      </c>
      <c r="AC320" s="3" t="str">
        <f t="shared" si="134"/>
        <v/>
      </c>
      <c r="AD320" s="3" t="str">
        <f t="shared" si="134"/>
        <v/>
      </c>
      <c r="AE320" s="3" t="str">
        <f t="shared" si="134"/>
        <v/>
      </c>
      <c r="AF320" s="3" t="str">
        <f t="shared" si="134"/>
        <v/>
      </c>
      <c r="AG320" s="3" t="str">
        <f t="shared" si="134"/>
        <v/>
      </c>
      <c r="AH320" s="3" t="str">
        <f t="shared" si="134"/>
        <v/>
      </c>
      <c r="AI320" s="3" t="str">
        <f t="shared" si="134"/>
        <v/>
      </c>
      <c r="AJ320" s="3" t="str">
        <f t="shared" si="134"/>
        <v/>
      </c>
      <c r="AK320" s="3" t="str">
        <f t="shared" si="134"/>
        <v/>
      </c>
      <c r="AL320" s="3" t="str">
        <f t="shared" si="134"/>
        <v/>
      </c>
      <c r="AM320" s="3" t="str">
        <f t="shared" si="134"/>
        <v/>
      </c>
      <c r="AN320" s="3" t="str">
        <f t="shared" si="134"/>
        <v/>
      </c>
      <c r="AO320" s="3" t="str">
        <f t="shared" si="134"/>
        <v/>
      </c>
      <c r="AP320" s="3" t="str">
        <f t="shared" si="134"/>
        <v/>
      </c>
      <c r="AQ320" s="3" t="str">
        <f t="shared" si="134"/>
        <v/>
      </c>
    </row>
    <row r="321" spans="3:43" x14ac:dyDescent="0.25">
      <c r="C321" t="s">
        <v>1531</v>
      </c>
      <c r="D321" t="s">
        <v>844</v>
      </c>
      <c r="E321" s="1"/>
      <c r="F321" s="1"/>
      <c r="G321" s="1">
        <f>SUM(H321:AQ321)</f>
        <v>0</v>
      </c>
      <c r="H321" s="1">
        <f>IF(AND(H$9&gt;=1,H$9&lt;=Inputs!$E$270),MIN(MAX(H319+H86+H89,0)*Inputs!$E$269,H76+H77+H79-H83),0)</f>
        <v>0</v>
      </c>
      <c r="I321" s="1">
        <f>IF(AND(I$9&gt;=1,I$9&lt;=Inputs!$E$270),MIN(MAX(I319+I86+I89,0)*Inputs!$E$269,I76+I77+I79-I83),0)</f>
        <v>0</v>
      </c>
      <c r="J321" s="1">
        <f>IF(AND(J$9&gt;=1,J$9&lt;=Inputs!$E$270),MIN(MAX(J319+J86+J89,0)*Inputs!$E$269,J76+J77+J79-J83),0)</f>
        <v>0</v>
      </c>
      <c r="K321" s="1">
        <f>IF(AND(K$9&gt;=1,K$9&lt;=Inputs!$E$270),MIN(MAX(K319+K86+K89,0)*Inputs!$E$269,K76+K77+K79-K83),0)</f>
        <v>0</v>
      </c>
      <c r="L321" s="1">
        <f>IF(AND(L$9&gt;=1,L$9&lt;=Inputs!$E$270),MIN(MAX(L319+L86+L89,0)*Inputs!$E$269,L76+L77+L79-L83),0)</f>
        <v>0</v>
      </c>
      <c r="M321" s="1">
        <f>IF(AND(M$9&gt;=1,M$9&lt;=Inputs!$E$270),MIN(MAX(M319+M86+M89,0)*Inputs!$E$269,M76+M77+M79-M83),0)</f>
        <v>0</v>
      </c>
      <c r="N321" s="1">
        <f>IF(AND(N$9&gt;=1,N$9&lt;=Inputs!$E$270),MIN(MAX(N319+N86+N89,0)*Inputs!$E$269,N76+N77+N79-N83),0)</f>
        <v>0</v>
      </c>
      <c r="O321" s="1">
        <f>IF(AND(O$9&gt;=1,O$9&lt;=Inputs!$E$270),MIN(MAX(O319+O86+O89,0)*Inputs!$E$269,O76+O77+O79-O83),0)</f>
        <v>0</v>
      </c>
      <c r="P321" s="1">
        <f>IF(AND(P$9&gt;=1,P$9&lt;=Inputs!$E$270),MIN(MAX(P319+P86+P89,0)*Inputs!$E$269,P76+P77+P79-P83),0)</f>
        <v>0</v>
      </c>
      <c r="Q321" s="1">
        <f>IF(AND(Q$9&gt;=1,Q$9&lt;=Inputs!$E$270),MIN(MAX(Q319+Q86+Q89,0)*Inputs!$E$269,Q76+Q77+Q79-Q83),0)</f>
        <v>0</v>
      </c>
      <c r="R321" s="1">
        <f>IF(AND(R$9&gt;=1,R$9&lt;=Inputs!$E$270),MIN(MAX(R319+R86+R89,0)*Inputs!$E$269,R76+R77+R79-R83),0)</f>
        <v>0</v>
      </c>
      <c r="S321" s="1">
        <f>IF(AND(S$9&gt;=1,S$9&lt;=Inputs!$E$270),MIN(MAX(S319+S86+S89,0)*Inputs!$E$269,S76+S77+S79-S83),0)</f>
        <v>0</v>
      </c>
      <c r="T321" s="1">
        <f>IF(AND(T$9&gt;=1,T$9&lt;=Inputs!$E$270),MIN(MAX(T319+T86+T89,0)*Inputs!$E$269,T76+T77+T79-T83),0)</f>
        <v>0</v>
      </c>
      <c r="U321" s="1">
        <f>IF(AND(U$9&gt;=1,U$9&lt;=Inputs!$E$270),MIN(MAX(U319+U86+U89,0)*Inputs!$E$269,U76+U77+U79-U83),0)</f>
        <v>0</v>
      </c>
      <c r="V321" s="1">
        <f>IF(AND(V$9&gt;=1,V$9&lt;=Inputs!$E$270),MIN(MAX(V319+V86+V89,0)*Inputs!$E$269,V76+V77+V79-V83),0)</f>
        <v>0</v>
      </c>
      <c r="W321" s="1">
        <f>IF(AND(W$9&gt;=1,W$9&lt;=Inputs!$E$270),MIN(MAX(W319+W86+W89,0)*Inputs!$E$269,W76+W77+W79-W83),0)</f>
        <v>0</v>
      </c>
      <c r="X321" s="1">
        <f>IF(AND(X$9&gt;=1,X$9&lt;=Inputs!$E$270),MIN(MAX(X319+X86+X89,0)*Inputs!$E$269,X76+X77+X79-X83),0)</f>
        <v>0</v>
      </c>
      <c r="Y321" s="1">
        <f>IF(AND(Y$9&gt;=1,Y$9&lt;=Inputs!$E$270),MIN(MAX(Y319+Y86+Y89,0)*Inputs!$E$269,Y76+Y77+Y79-Y83),0)</f>
        <v>0</v>
      </c>
      <c r="Z321" s="1">
        <f>IF(AND(Z$9&gt;=1,Z$9&lt;=Inputs!$E$270),MIN(MAX(Z319+Z86+Z89,0)*Inputs!$E$269,Z76+Z77+Z79-Z83),0)</f>
        <v>0</v>
      </c>
      <c r="AA321" s="1">
        <f>IF(AND(AA$9&gt;=1,AA$9&lt;=Inputs!$E$270),MIN(MAX(AA319+AA86+AA89,0)*Inputs!$E$269,AA76+AA77+AA79-AA83),0)</f>
        <v>0</v>
      </c>
      <c r="AB321" s="1">
        <f>IF(AND(AB$9&gt;=1,AB$9&lt;=Inputs!$E$270),MIN(MAX(AB319+AB86+AB89,0)*Inputs!$E$269,AB76+AB77+AB79-AB83),0)</f>
        <v>0</v>
      </c>
      <c r="AC321" s="1">
        <f>IF(AND(AC$9&gt;=1,AC$9&lt;=Inputs!$E$270),MIN(MAX(AC319+AC86+AC89,0)*Inputs!$E$269,AC76+AC77+AC79-AC83),0)</f>
        <v>0</v>
      </c>
      <c r="AD321" s="1">
        <f>IF(AND(AD$9&gt;=1,AD$9&lt;=Inputs!$E$270),MIN(MAX(AD319+AD86+AD89,0)*Inputs!$E$269,AD76+AD77+AD79-AD83),0)</f>
        <v>0</v>
      </c>
      <c r="AE321" s="1">
        <f>IF(AND(AE$9&gt;=1,AE$9&lt;=Inputs!$E$270),MIN(MAX(AE319+AE86+AE89,0)*Inputs!$E$269,AE76+AE77+AE79-AE83),0)</f>
        <v>0</v>
      </c>
      <c r="AF321" s="1">
        <f>IF(AND(AF$9&gt;=1,AF$9&lt;=Inputs!$E$270),MIN(MAX(AF319+AF86+AF89,0)*Inputs!$E$269,AF76+AF77+AF79-AF83),0)</f>
        <v>0</v>
      </c>
      <c r="AG321" s="1">
        <f>IF(AND(AG$9&gt;=1,AG$9&lt;=Inputs!$E$270),MIN(MAX(AG319+AG86+AG89,0)*Inputs!$E$269,AG76+AG77+AG79-AG83),0)</f>
        <v>0</v>
      </c>
      <c r="AH321" s="1">
        <f>IF(AND(AH$9&gt;=1,AH$9&lt;=Inputs!$E$270),MIN(MAX(AH319+AH86+AH89,0)*Inputs!$E$269,AH76+AH77+AH79-AH83),0)</f>
        <v>0</v>
      </c>
      <c r="AI321" s="1">
        <f>IF(AND(AI$9&gt;=1,AI$9&lt;=Inputs!$E$270),MIN(MAX(AI319+AI86+AI89,0)*Inputs!$E$269,AI76+AI77+AI79-AI83),0)</f>
        <v>0</v>
      </c>
      <c r="AJ321" s="1">
        <f>IF(AND(AJ$9&gt;=1,AJ$9&lt;=Inputs!$E$270),MIN(MAX(AJ319+AJ86+AJ89,0)*Inputs!$E$269,AJ76+AJ77+AJ79-AJ83),0)</f>
        <v>0</v>
      </c>
      <c r="AK321" s="1">
        <f>IF(AND(AK$9&gt;=1,AK$9&lt;=Inputs!$E$270),MIN(MAX(AK319+AK86+AK89,0)*Inputs!$E$269,AK76+AK77+AK79-AK83),0)</f>
        <v>0</v>
      </c>
      <c r="AL321" s="1">
        <f>IF(AND(AL$9&gt;=1,AL$9&lt;=Inputs!$E$270),MIN(MAX(AL319+AL86+AL89,0)*Inputs!$E$269,AL76+AL77+AL79-AL83),0)</f>
        <v>0</v>
      </c>
      <c r="AM321" s="1">
        <f>IF(AND(AM$9&gt;=1,AM$9&lt;=Inputs!$E$270),MIN(MAX(AM319+AM86+AM89,0)*Inputs!$E$269,AM76+AM77+AM79-AM83),0)</f>
        <v>0</v>
      </c>
      <c r="AN321" s="1">
        <f>IF(AND(AN$9&gt;=1,AN$9&lt;=Inputs!$E$270),MIN(MAX(AN319+AN86+AN89,0)*Inputs!$E$269,AN76+AN77+AN79-AN83),0)</f>
        <v>0</v>
      </c>
      <c r="AO321" s="1">
        <f>IF(AND(AO$9&gt;=1,AO$9&lt;=Inputs!$E$270),MIN(MAX(AO319+AO86+AO89,0)*Inputs!$E$269,AO76+AO77+AO79-AO83),0)</f>
        <v>0</v>
      </c>
      <c r="AP321" s="1">
        <f>IF(AND(AP$9&gt;=1,AP$9&lt;=Inputs!$E$270),MIN(MAX(AP319+AP86+AP89,0)*Inputs!$E$269,AP76+AP77+AP79-AP83),0)</f>
        <v>0</v>
      </c>
      <c r="AQ321" s="1">
        <f>IF(AND(AQ$9&gt;=1,AQ$9&lt;=Inputs!$E$270),MIN(MAX(AQ319+AQ86+AQ89,0)*Inputs!$E$269,AQ76+AQ77+AQ79-AQ83),0)</f>
        <v>0</v>
      </c>
    </row>
    <row r="322" spans="3:43" x14ac:dyDescent="0.25">
      <c r="C322" t="s">
        <v>1532</v>
      </c>
      <c r="D322" t="s">
        <v>844</v>
      </c>
      <c r="E322" s="1"/>
      <c r="F322" s="1"/>
      <c r="G322" s="1">
        <f>SUM(H322:AQ322)</f>
        <v>424797.2077357372</v>
      </c>
      <c r="H322" s="1">
        <f>(H123+(H315-H70)+(H318-H100)+(H87-H321))*$E$128</f>
        <v>-3175.234818585709</v>
      </c>
      <c r="I322" s="1">
        <f t="shared" ref="I322:AQ322" si="135">(I123+(I315-I70)+(I318-I100)+(I87-I321))*$E$128</f>
        <v>-1953.381766012588</v>
      </c>
      <c r="J322" s="1">
        <f t="shared" si="135"/>
        <v>-2850.781741816561</v>
      </c>
      <c r="K322" s="1">
        <f t="shared" si="135"/>
        <v>-64254.81870879119</v>
      </c>
      <c r="L322" s="1">
        <f t="shared" si="135"/>
        <v>-101152.57400359688</v>
      </c>
      <c r="M322" s="1">
        <f t="shared" si="135"/>
        <v>-73627.9802159923</v>
      </c>
      <c r="N322" s="1">
        <f t="shared" si="135"/>
        <v>-1894.5873170910418</v>
      </c>
      <c r="O322" s="1">
        <f t="shared" si="135"/>
        <v>-1657.9287820078116</v>
      </c>
      <c r="P322" s="1">
        <f t="shared" si="135"/>
        <v>-3501.4111266446707</v>
      </c>
      <c r="Q322" s="1">
        <f t="shared" si="135"/>
        <v>-3482.279500702616</v>
      </c>
      <c r="R322" s="1">
        <f t="shared" si="135"/>
        <v>-2882.1331784187405</v>
      </c>
      <c r="S322" s="1">
        <f t="shared" si="135"/>
        <v>-923.4978050588425</v>
      </c>
      <c r="T322" s="1">
        <f t="shared" si="135"/>
        <v>3521.101298825268</v>
      </c>
      <c r="U322" s="1">
        <f t="shared" si="135"/>
        <v>19738.2890261918</v>
      </c>
      <c r="V322" s="1">
        <f t="shared" si="135"/>
        <v>31058.584526445055</v>
      </c>
      <c r="W322" s="1">
        <f t="shared" si="135"/>
        <v>30815.96267411108</v>
      </c>
      <c r="X322" s="1">
        <f t="shared" si="135"/>
        <v>31215.3775643371</v>
      </c>
      <c r="Y322" s="1">
        <f t="shared" si="135"/>
        <v>31131.137505987015</v>
      </c>
      <c r="Z322" s="1">
        <f t="shared" si="135"/>
        <v>30868.10939086893</v>
      </c>
      <c r="AA322" s="1">
        <f t="shared" si="135"/>
        <v>31762.226610670365</v>
      </c>
      <c r="AB322" s="1">
        <f t="shared" si="135"/>
        <v>31537.899734662118</v>
      </c>
      <c r="AC322" s="1">
        <f t="shared" si="135"/>
        <v>31538.083060457146</v>
      </c>
      <c r="AD322" s="1">
        <f t="shared" si="135"/>
        <v>31174.506356124086</v>
      </c>
      <c r="AE322" s="1">
        <f t="shared" si="135"/>
        <v>31112.529370861907</v>
      </c>
      <c r="AF322" s="1">
        <f t="shared" si="135"/>
        <v>30448.37102099315</v>
      </c>
      <c r="AG322" s="1">
        <f t="shared" si="135"/>
        <v>29896.36045384931</v>
      </c>
      <c r="AH322" s="1">
        <f t="shared" si="135"/>
        <v>28058.514687164352</v>
      </c>
      <c r="AI322" s="1">
        <f t="shared" si="135"/>
        <v>28783.688661575936</v>
      </c>
      <c r="AJ322" s="1">
        <f t="shared" si="135"/>
        <v>29476.239971595678</v>
      </c>
      <c r="AK322" s="1">
        <f t="shared" si="135"/>
        <v>29621.758153852403</v>
      </c>
      <c r="AL322" s="1">
        <f t="shared" si="135"/>
        <v>29663.31774823484</v>
      </c>
      <c r="AM322" s="1">
        <f t="shared" si="135"/>
        <v>30428.147780954918</v>
      </c>
      <c r="AN322" s="1">
        <f t="shared" si="135"/>
        <v>32132.694682168047</v>
      </c>
      <c r="AO322" s="1">
        <f t="shared" si="135"/>
        <v>32667.51025361618</v>
      </c>
      <c r="AP322" s="1">
        <f t="shared" si="135"/>
        <v>32573.197760827454</v>
      </c>
      <c r="AQ322" s="1">
        <f t="shared" si="135"/>
        <v>16930.208406081983</v>
      </c>
    </row>
    <row r="323" spans="3:43" x14ac:dyDescent="0.25">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spans="3:43" x14ac:dyDescent="0.25">
      <c r="C324" t="s">
        <v>1533</v>
      </c>
      <c r="D324" t="s">
        <v>4</v>
      </c>
      <c r="E324" s="1"/>
      <c r="F324" s="1"/>
      <c r="G324" s="3">
        <f>G320</f>
        <v>0.8917769463971309</v>
      </c>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spans="3:43" x14ac:dyDescent="0.25">
      <c r="C325" t="s">
        <v>2249</v>
      </c>
      <c r="D325" t="s">
        <v>57</v>
      </c>
      <c r="E325" s="1"/>
      <c r="F325" s="1"/>
      <c r="G325" s="1" t="str">
        <f>IF(ISNUMBER(G324),IF(G324&gt;=Inputs!$E$274,"OK","BELOW – debt would be sized down"),"n/a")</f>
        <v>BELOW – debt would be sized down</v>
      </c>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spans="3:43" x14ac:dyDescent="0.25">
      <c r="C326" t="s">
        <v>1534</v>
      </c>
      <c r="D326" t="s">
        <v>2</v>
      </c>
      <c r="E326" s="1"/>
      <c r="F326" s="1"/>
      <c r="G326" s="31">
        <f>IFERROR(IRR(H322:AQ322),"n/a")</f>
        <v>0.05307578730586886</v>
      </c>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spans="3:43" x14ac:dyDescent="0.25">
      <c r="C327" t="s">
        <v>2229</v>
      </c>
      <c r="D327" t="s">
        <v>4</v>
      </c>
      <c r="E327" s="1"/>
      <c r="F327" s="1"/>
      <c r="G327" s="3" cm="1">
        <f t="array" ref="G327">IFERROR(SUMPRODUCT(H322:AQ322/(1+Inputs!$E$253)^$H$4:$AQ$4)/-SUMPRODUCT((H322:AQ322&lt;0)*H322:AQ322/(1+Inputs!$E$253)^$H$4:$AQ$4),"n/a")</f>
        <v>-0.35214305688106184</v>
      </c>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spans="3:43" x14ac:dyDescent="0.25">
      <c r="C328" t="s">
        <v>1535</v>
      </c>
      <c r="D328" t="s">
        <v>1106</v>
      </c>
      <c r="E328" s="1"/>
      <c r="F328" s="1"/>
      <c r="G328" s="183">
        <f>IFERROR(G312/G38,"n/a")</f>
        <v>84.49200942494068</v>
      </c>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spans="3:43" x14ac:dyDescent="0.25">
      <c r="C329" t="s">
        <v>1536</v>
      </c>
      <c r="D329" t="s">
        <v>4</v>
      </c>
      <c r="E329" s="1"/>
      <c r="F329" s="1"/>
      <c r="G329" s="3">
        <f>G126</f>
        <v>1.6371176464303232</v>
      </c>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spans="3:43" x14ac:dyDescent="0.25">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2" x14ac:dyDescent="0.25">
      <c r="C332" s="43" t="inlineStr">
        <is>
          <t xml:space="preserve">17. Sale at COD (no RTB exit) – live when Inputs E230 &gt; 0 (cases 7 / 8)</t>
        </is>
      </c>
      <c r="D332" s="4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c r="AB332" s="123"/>
      <c r="AC332" s="123"/>
      <c r="AD332" s="123"/>
      <c r="AE332" s="123"/>
      <c r="AF332" s="123"/>
      <c r="AG332" s="123"/>
      <c r="AH332" s="123"/>
      <c r="AI332" s="123"/>
      <c r="AJ332" s="123"/>
      <c r="AK332" s="123"/>
      <c r="AL332" s="123"/>
      <c r="AM332" s="123"/>
      <c r="AN332" s="123"/>
      <c r="AO332" s="123"/>
      <c r="AP332" s="123"/>
      <c r="AQ332" s="123"/>
    </row>
    <row r="333" spans="3:43" x14ac:dyDescent="0.25">
      <c r="C333" t="s">
        <v>2537</v>
      </c>
      <c r="D333" t="s">
        <v>21</v>
      </c>
      <c r="E333" s="1"/>
      <c r="F333" s="1"/>
      <c r="G333" s="1"/>
      <c r="H333" s="1">
        <f>IF(H$5&lt;=YEAR(Inputs!$E$155),1,0)</f>
        <v>1</v>
      </c>
      <c r="I333" s="1">
        <f>IF(I$5&lt;=YEAR(Inputs!$E$155),1,0)</f>
        <v>1</v>
      </c>
      <c r="J333" s="1">
        <f>IF(J$5&lt;=YEAR(Inputs!$E$155),1,0)</f>
        <v>1</v>
      </c>
      <c r="K333" s="1">
        <f>IF(K$5&lt;=YEAR(Inputs!$E$155),1,0)</f>
        <v>1</v>
      </c>
      <c r="L333" s="1">
        <f>IF(L$5&lt;=YEAR(Inputs!$E$155),1,0)</f>
        <v>1</v>
      </c>
      <c r="M333" s="1">
        <f>IF(M$5&lt;=YEAR(Inputs!$E$155),1,0)</f>
        <v>1</v>
      </c>
      <c r="N333" s="1">
        <f>IF(N$5&lt;=YEAR(Inputs!$E$155),1,0)</f>
        <v>0</v>
      </c>
      <c r="O333" s="1">
        <f>IF(O$5&lt;=YEAR(Inputs!$E$155),1,0)</f>
        <v>0</v>
      </c>
      <c r="P333" s="1">
        <f>IF(P$5&lt;=YEAR(Inputs!$E$155),1,0)</f>
        <v>0</v>
      </c>
      <c r="Q333" s="1">
        <f>IF(Q$5&lt;=YEAR(Inputs!$E$155),1,0)</f>
        <v>0</v>
      </c>
      <c r="R333" s="1">
        <f>IF(R$5&lt;=YEAR(Inputs!$E$155),1,0)</f>
        <v>0</v>
      </c>
      <c r="S333" s="1">
        <f>IF(S$5&lt;=YEAR(Inputs!$E$155),1,0)</f>
        <v>0</v>
      </c>
      <c r="T333" s="1">
        <f>IF(T$5&lt;=YEAR(Inputs!$E$155),1,0)</f>
        <v>0</v>
      </c>
      <c r="U333" s="1">
        <f>IF(U$5&lt;=YEAR(Inputs!$E$155),1,0)</f>
        <v>0</v>
      </c>
      <c r="V333" s="1">
        <f>IF(V$5&lt;=YEAR(Inputs!$E$155),1,0)</f>
        <v>0</v>
      </c>
      <c r="W333" s="1">
        <f>IF(W$5&lt;=YEAR(Inputs!$E$155),1,0)</f>
        <v>0</v>
      </c>
      <c r="X333" s="1">
        <f>IF(X$5&lt;=YEAR(Inputs!$E$155),1,0)</f>
        <v>0</v>
      </c>
      <c r="Y333" s="1">
        <f>IF(Y$5&lt;=YEAR(Inputs!$E$155),1,0)</f>
        <v>0</v>
      </c>
      <c r="Z333" s="1">
        <f>IF(Z$5&lt;=YEAR(Inputs!$E$155),1,0)</f>
        <v>0</v>
      </c>
      <c r="AA333" s="1">
        <f>IF(AA$5&lt;=YEAR(Inputs!$E$155),1,0)</f>
        <v>0</v>
      </c>
      <c r="AB333" s="1">
        <f>IF(AB$5&lt;=YEAR(Inputs!$E$155),1,0)</f>
        <v>0</v>
      </c>
      <c r="AC333" s="1">
        <f>IF(AC$5&lt;=YEAR(Inputs!$E$155),1,0)</f>
        <v>0</v>
      </c>
      <c r="AD333" s="1">
        <f>IF(AD$5&lt;=YEAR(Inputs!$E$155),1,0)</f>
        <v>0</v>
      </c>
      <c r="AE333" s="1">
        <f>IF(AE$5&lt;=YEAR(Inputs!$E$155),1,0)</f>
        <v>0</v>
      </c>
      <c r="AF333" s="1">
        <f>IF(AF$5&lt;=YEAR(Inputs!$E$155),1,0)</f>
        <v>0</v>
      </c>
      <c r="AG333" s="1">
        <f>IF(AG$5&lt;=YEAR(Inputs!$E$155),1,0)</f>
        <v>0</v>
      </c>
      <c r="AH333" s="1">
        <f>IF(AH$5&lt;=YEAR(Inputs!$E$155),1,0)</f>
        <v>0</v>
      </c>
      <c r="AI333" s="1">
        <f>IF(AI$5&lt;=YEAR(Inputs!$E$155),1,0)</f>
        <v>0</v>
      </c>
      <c r="AJ333" s="1">
        <f>IF(AJ$5&lt;=YEAR(Inputs!$E$155),1,0)</f>
        <v>0</v>
      </c>
      <c r="AK333" s="1">
        <f>IF(AK$5&lt;=YEAR(Inputs!$E$155),1,0)</f>
        <v>0</v>
      </c>
      <c r="AL333" s="1">
        <f>IF(AL$5&lt;=YEAR(Inputs!$E$155),1,0)</f>
        <v>0</v>
      </c>
      <c r="AM333" s="1">
        <f>IF(AM$5&lt;=YEAR(Inputs!$E$155),1,0)</f>
        <v>0</v>
      </c>
      <c r="AN333" s="1">
        <f>IF(AN$5&lt;=YEAR(Inputs!$E$155),1,0)</f>
        <v>0</v>
      </c>
      <c r="AO333" s="1">
        <f>IF(AO$5&lt;=YEAR(Inputs!$E$155),1,0)</f>
        <v>0</v>
      </c>
      <c r="AP333" s="1">
        <f>IF(AP$5&lt;=YEAR(Inputs!$E$155),1,0)</f>
        <v>0</v>
      </c>
      <c r="AQ333" s="1">
        <f>IF(AQ$5&lt;=YEAR(Inputs!$E$155),1,0)</f>
        <v>0</v>
      </c>
    </row>
    <row r="334" spans="3:43" x14ac:dyDescent="0.25">
      <c r="C334" t="s">
        <v>2538</v>
      </c>
      <c r="D334" t="s">
        <v>21</v>
      </c>
      <c r="E334" s="1"/>
      <c r="F334" s="1"/>
      <c r="G334" s="1"/>
      <c r="H334" s="1">
        <f>IF(AND(H$5=YEAR(Inputs!$E$155),Inputs!$E$230&gt;0),1,0)</f>
        <v>0</v>
      </c>
      <c r="I334" s="1">
        <f>IF(AND(I$5=YEAR(Inputs!$E$155),Inputs!$E$230&gt;0),1,0)</f>
        <v>0</v>
      </c>
      <c r="J334" s="1">
        <f>IF(AND(J$5=YEAR(Inputs!$E$155),Inputs!$E$230&gt;0),1,0)</f>
        <v>0</v>
      </c>
      <c r="K334" s="1">
        <f>IF(AND(K$5=YEAR(Inputs!$E$155),Inputs!$E$230&gt;0),1,0)</f>
        <v>0</v>
      </c>
      <c r="L334" s="1">
        <f>IF(AND(L$5=YEAR(Inputs!$E$155),Inputs!$E$230&gt;0),1,0)</f>
        <v>0</v>
      </c>
      <c r="M334" s="1">
        <f>IF(AND(M$5=YEAR(Inputs!$E$155),Inputs!$E$230&gt;0),1,0)</f>
        <v>0</v>
      </c>
      <c r="N334" s="1">
        <f>IF(AND(N$5=YEAR(Inputs!$E$155),Inputs!$E$230&gt;0),1,0)</f>
        <v>0</v>
      </c>
      <c r="O334" s="1">
        <f>IF(AND(O$5=YEAR(Inputs!$E$155),Inputs!$E$230&gt;0),1,0)</f>
        <v>0</v>
      </c>
      <c r="P334" s="1">
        <f>IF(AND(P$5=YEAR(Inputs!$E$155),Inputs!$E$230&gt;0),1,0)</f>
        <v>0</v>
      </c>
      <c r="Q334" s="1">
        <f>IF(AND(Q$5=YEAR(Inputs!$E$155),Inputs!$E$230&gt;0),1,0)</f>
        <v>0</v>
      </c>
      <c r="R334" s="1">
        <f>IF(AND(R$5=YEAR(Inputs!$E$155),Inputs!$E$230&gt;0),1,0)</f>
        <v>0</v>
      </c>
      <c r="S334" s="1">
        <f>IF(AND(S$5=YEAR(Inputs!$E$155),Inputs!$E$230&gt;0),1,0)</f>
        <v>0</v>
      </c>
      <c r="T334" s="1">
        <f>IF(AND(T$5=YEAR(Inputs!$E$155),Inputs!$E$230&gt;0),1,0)</f>
        <v>0</v>
      </c>
      <c r="U334" s="1">
        <f>IF(AND(U$5=YEAR(Inputs!$E$155),Inputs!$E$230&gt;0),1,0)</f>
        <v>0</v>
      </c>
      <c r="V334" s="1">
        <f>IF(AND(V$5=YEAR(Inputs!$E$155),Inputs!$E$230&gt;0),1,0)</f>
        <v>0</v>
      </c>
      <c r="W334" s="1">
        <f>IF(AND(W$5=YEAR(Inputs!$E$155),Inputs!$E$230&gt;0),1,0)</f>
        <v>0</v>
      </c>
      <c r="X334" s="1">
        <f>IF(AND(X$5=YEAR(Inputs!$E$155),Inputs!$E$230&gt;0),1,0)</f>
        <v>0</v>
      </c>
      <c r="Y334" s="1">
        <f>IF(AND(Y$5=YEAR(Inputs!$E$155),Inputs!$E$230&gt;0),1,0)</f>
        <v>0</v>
      </c>
      <c r="Z334" s="1">
        <f>IF(AND(Z$5=YEAR(Inputs!$E$155),Inputs!$E$230&gt;0),1,0)</f>
        <v>0</v>
      </c>
      <c r="AA334" s="1">
        <f>IF(AND(AA$5=YEAR(Inputs!$E$155),Inputs!$E$230&gt;0),1,0)</f>
        <v>0</v>
      </c>
      <c r="AB334" s="1">
        <f>IF(AND(AB$5=YEAR(Inputs!$E$155),Inputs!$E$230&gt;0),1,0)</f>
        <v>0</v>
      </c>
      <c r="AC334" s="1">
        <f>IF(AND(AC$5=YEAR(Inputs!$E$155),Inputs!$E$230&gt;0),1,0)</f>
        <v>0</v>
      </c>
      <c r="AD334" s="1">
        <f>IF(AND(AD$5=YEAR(Inputs!$E$155),Inputs!$E$230&gt;0),1,0)</f>
        <v>0</v>
      </c>
      <c r="AE334" s="1">
        <f>IF(AND(AE$5=YEAR(Inputs!$E$155),Inputs!$E$230&gt;0),1,0)</f>
        <v>0</v>
      </c>
      <c r="AF334" s="1">
        <f>IF(AND(AF$5=YEAR(Inputs!$E$155),Inputs!$E$230&gt;0),1,0)</f>
        <v>0</v>
      </c>
      <c r="AG334" s="1">
        <f>IF(AND(AG$5=YEAR(Inputs!$E$155),Inputs!$E$230&gt;0),1,0)</f>
        <v>0</v>
      </c>
      <c r="AH334" s="1">
        <f>IF(AND(AH$5=YEAR(Inputs!$E$155),Inputs!$E$230&gt;0),1,0)</f>
        <v>0</v>
      </c>
      <c r="AI334" s="1">
        <f>IF(AND(AI$5=YEAR(Inputs!$E$155),Inputs!$E$230&gt;0),1,0)</f>
        <v>0</v>
      </c>
      <c r="AJ334" s="1">
        <f>IF(AND(AJ$5=YEAR(Inputs!$E$155),Inputs!$E$230&gt;0),1,0)</f>
        <v>0</v>
      </c>
      <c r="AK334" s="1">
        <f>IF(AND(AK$5=YEAR(Inputs!$E$155),Inputs!$E$230&gt;0),1,0)</f>
        <v>0</v>
      </c>
      <c r="AL334" s="1">
        <f>IF(AND(AL$5=YEAR(Inputs!$E$155),Inputs!$E$230&gt;0),1,0)</f>
        <v>0</v>
      </c>
      <c r="AM334" s="1">
        <f>IF(AND(AM$5=YEAR(Inputs!$E$155),Inputs!$E$230&gt;0),1,0)</f>
        <v>0</v>
      </c>
      <c r="AN334" s="1">
        <f>IF(AND(AN$5=YEAR(Inputs!$E$155),Inputs!$E$230&gt;0),1,0)</f>
        <v>0</v>
      </c>
      <c r="AO334" s="1">
        <f>IF(AND(AO$5=YEAR(Inputs!$E$155),Inputs!$E$230&gt;0),1,0)</f>
        <v>0</v>
      </c>
      <c r="AP334" s="1">
        <f>IF(AND(AP$5=YEAR(Inputs!$E$155),Inputs!$E$230&gt;0),1,0)</f>
        <v>0</v>
      </c>
      <c r="AQ334" s="1">
        <f>IF(AND(AQ$5=YEAR(Inputs!$E$155),Inputs!$E$230&gt;0),1,0)</f>
        <v>0</v>
      </c>
    </row>
    <row r="335" spans="3:43" x14ac:dyDescent="0.25">
      <c r="C335" t="s">
        <v>2539</v>
      </c>
      <c r="D335" t="s">
        <v>844</v>
      </c>
      <c r="E335" s="1"/>
      <c r="F335" s="2"/>
      <c r="G335" s="1">
        <f>SUM(H335:AQ335)</f>
        <v>-33685.62023695843</v>
      </c>
      <c r="H335" s="1">
        <f>H24*H333</f>
        <v>-3175.234818585709</v>
      </c>
      <c r="I335" s="1">
        <f t="shared" ref="I335:AQ335" si="136">I24*I333</f>
        <v>-1953.381766012588</v>
      </c>
      <c r="J335" s="1">
        <f t="shared" si="136"/>
        <v>-2850.781741816561</v>
      </c>
      <c r="K335" s="1">
        <f t="shared" si="136"/>
        <v>-1397.5912254720474</v>
      </c>
      <c r="L335" s="1">
        <f t="shared" si="136"/>
        <v>-23488.096885109055</v>
      </c>
      <c r="M335" s="1">
        <f t="shared" si="136"/>
        <v>-820.5337999624696</v>
      </c>
      <c r="N335" s="1">
        <f t="shared" si="136"/>
        <v>0</v>
      </c>
      <c r="O335" s="1">
        <f t="shared" si="136"/>
        <v>0</v>
      </c>
      <c r="P335" s="1">
        <f t="shared" si="136"/>
        <v>0</v>
      </c>
      <c r="Q335" s="1">
        <f t="shared" si="136"/>
        <v>0</v>
      </c>
      <c r="R335" s="1">
        <f t="shared" si="136"/>
        <v>0</v>
      </c>
      <c r="S335" s="1">
        <f t="shared" si="136"/>
        <v>0</v>
      </c>
      <c r="T335" s="1">
        <f t="shared" si="136"/>
        <v>0</v>
      </c>
      <c r="U335" s="1">
        <f t="shared" si="136"/>
        <v>0</v>
      </c>
      <c r="V335" s="1">
        <f t="shared" si="136"/>
        <v>0</v>
      </c>
      <c r="W335" s="1">
        <f t="shared" si="136"/>
        <v>0</v>
      </c>
      <c r="X335" s="1">
        <f t="shared" si="136"/>
        <v>0</v>
      </c>
      <c r="Y335" s="1">
        <f t="shared" si="136"/>
        <v>0</v>
      </c>
      <c r="Z335" s="1">
        <f t="shared" si="136"/>
        <v>0</v>
      </c>
      <c r="AA335" s="1">
        <f t="shared" si="136"/>
        <v>0</v>
      </c>
      <c r="AB335" s="1">
        <f t="shared" si="136"/>
        <v>0</v>
      </c>
      <c r="AC335" s="1">
        <f t="shared" si="136"/>
        <v>0</v>
      </c>
      <c r="AD335" s="1">
        <f t="shared" si="136"/>
        <v>0</v>
      </c>
      <c r="AE335" s="1">
        <f t="shared" si="136"/>
        <v>0</v>
      </c>
      <c r="AF335" s="1">
        <f t="shared" si="136"/>
        <v>0</v>
      </c>
      <c r="AG335" s="1">
        <f t="shared" si="136"/>
        <v>0</v>
      </c>
      <c r="AH335" s="1">
        <f t="shared" si="136"/>
        <v>0</v>
      </c>
      <c r="AI335" s="1">
        <f t="shared" si="136"/>
        <v>0</v>
      </c>
      <c r="AJ335" s="1">
        <f t="shared" si="136"/>
        <v>0</v>
      </c>
      <c r="AK335" s="1">
        <f t="shared" si="136"/>
        <v>0</v>
      </c>
      <c r="AL335" s="1">
        <f t="shared" si="136"/>
        <v>0</v>
      </c>
      <c r="AM335" s="1">
        <f t="shared" si="136"/>
        <v>0</v>
      </c>
      <c r="AN335" s="1">
        <f t="shared" si="136"/>
        <v>0</v>
      </c>
      <c r="AO335" s="1">
        <f t="shared" si="136"/>
        <v>0</v>
      </c>
      <c r="AP335" s="1">
        <f t="shared" si="136"/>
        <v>0</v>
      </c>
      <c r="AQ335" s="1">
        <f t="shared" si="136"/>
        <v>0</v>
      </c>
    </row>
    <row r="336" spans="3:43" x14ac:dyDescent="0.25">
      <c r="C336" t="s">
        <v>2540</v>
      </c>
      <c r="D336" t="s">
        <v>844</v>
      </c>
      <c r="E336" s="1"/>
      <c r="F336" s="1"/>
      <c r="G336" s="1">
        <f>SUM(H336:AQ336)</f>
        <v>-431201.29658630135</v>
      </c>
      <c r="H336" s="1">
        <f>H30*H333</f>
        <v>-0</v>
      </c>
      <c r="I336" s="1">
        <f t="shared" ref="I336:AQ336" si="137">I30*I333</f>
        <v>-0</v>
      </c>
      <c r="J336" s="1">
        <f t="shared" si="137"/>
        <v>-0</v>
      </c>
      <c r="K336" s="1">
        <f t="shared" si="137"/>
        <v>-87894.32466849315</v>
      </c>
      <c r="L336" s="1">
        <f t="shared" si="137"/>
        <v>-194117.625</v>
      </c>
      <c r="M336" s="1">
        <f t="shared" si="137"/>
        <v>-149189.34691780823</v>
      </c>
      <c r="N336" s="1">
        <f t="shared" si="137"/>
        <v>-0</v>
      </c>
      <c r="O336" s="1">
        <f t="shared" si="137"/>
        <v>-0</v>
      </c>
      <c r="P336" s="1">
        <f t="shared" si="137"/>
        <v>-0</v>
      </c>
      <c r="Q336" s="1">
        <f t="shared" si="137"/>
        <v>-0</v>
      </c>
      <c r="R336" s="1">
        <f t="shared" si="137"/>
        <v>-0</v>
      </c>
      <c r="S336" s="1">
        <f t="shared" si="137"/>
        <v>-0</v>
      </c>
      <c r="T336" s="1">
        <f t="shared" si="137"/>
        <v>-0</v>
      </c>
      <c r="U336" s="1">
        <f t="shared" si="137"/>
        <v>-0</v>
      </c>
      <c r="V336" s="1">
        <f t="shared" si="137"/>
        <v>-0</v>
      </c>
      <c r="W336" s="1">
        <f t="shared" si="137"/>
        <v>-0</v>
      </c>
      <c r="X336" s="1">
        <f t="shared" si="137"/>
        <v>-0</v>
      </c>
      <c r="Y336" s="1">
        <f t="shared" si="137"/>
        <v>-0</v>
      </c>
      <c r="Z336" s="1">
        <f t="shared" si="137"/>
        <v>-0</v>
      </c>
      <c r="AA336" s="1">
        <f t="shared" si="137"/>
        <v>-0</v>
      </c>
      <c r="AB336" s="1">
        <f t="shared" si="137"/>
        <v>-0</v>
      </c>
      <c r="AC336" s="1">
        <f t="shared" si="137"/>
        <v>-0</v>
      </c>
      <c r="AD336" s="1">
        <f t="shared" si="137"/>
        <v>-0</v>
      </c>
      <c r="AE336" s="1">
        <f t="shared" si="137"/>
        <v>-0</v>
      </c>
      <c r="AF336" s="1">
        <f t="shared" si="137"/>
        <v>-0</v>
      </c>
      <c r="AG336" s="1">
        <f t="shared" si="137"/>
        <v>-0</v>
      </c>
      <c r="AH336" s="1">
        <f t="shared" si="137"/>
        <v>-0</v>
      </c>
      <c r="AI336" s="1">
        <f t="shared" si="137"/>
        <v>-0</v>
      </c>
      <c r="AJ336" s="1">
        <f t="shared" si="137"/>
        <v>-0</v>
      </c>
      <c r="AK336" s="1">
        <f t="shared" si="137"/>
        <v>-0</v>
      </c>
      <c r="AL336" s="1">
        <f t="shared" si="137"/>
        <v>-0</v>
      </c>
      <c r="AM336" s="1">
        <f t="shared" si="137"/>
        <v>-0</v>
      </c>
      <c r="AN336" s="1">
        <f t="shared" si="137"/>
        <v>-0</v>
      </c>
      <c r="AO336" s="1">
        <f t="shared" si="137"/>
        <v>-0</v>
      </c>
      <c r="AP336" s="1">
        <f t="shared" si="137"/>
        <v>-0</v>
      </c>
      <c r="AQ336" s="1">
        <f t="shared" si="137"/>
        <v>-0</v>
      </c>
    </row>
    <row r="337" spans="3:43" x14ac:dyDescent="0.25">
      <c r="C337" t="s">
        <v>2541</v>
      </c>
      <c r="D337" t="s">
        <v>844</v>
      </c>
      <c r="E337" s="1"/>
      <c r="F337" s="1"/>
      <c r="G337" s="1">
        <f>SUM(H337:AQ337)</f>
        <v>237160.71312246576</v>
      </c>
      <c r="H337" s="1">
        <f>H77*H333</f>
        <v>0</v>
      </c>
      <c r="I337" s="1">
        <f t="shared" ref="I337:AQ337" si="138">I77*I333</f>
        <v>0</v>
      </c>
      <c r="J337" s="1">
        <f t="shared" si="138"/>
        <v>0</v>
      </c>
      <c r="K337" s="1">
        <f t="shared" si="138"/>
        <v>29888.747407214865</v>
      </c>
      <c r="L337" s="1">
        <f t="shared" si="138"/>
        <v>118580.35656123288</v>
      </c>
      <c r="M337" s="1">
        <f t="shared" si="138"/>
        <v>88691.60915401802</v>
      </c>
      <c r="N337" s="1">
        <f t="shared" si="138"/>
        <v>0</v>
      </c>
      <c r="O337" s="1">
        <f t="shared" si="138"/>
        <v>0</v>
      </c>
      <c r="P337" s="1">
        <f t="shared" si="138"/>
        <v>0</v>
      </c>
      <c r="Q337" s="1">
        <f t="shared" si="138"/>
        <v>0</v>
      </c>
      <c r="R337" s="1">
        <f t="shared" si="138"/>
        <v>0</v>
      </c>
      <c r="S337" s="1">
        <f t="shared" si="138"/>
        <v>0</v>
      </c>
      <c r="T337" s="1">
        <f t="shared" si="138"/>
        <v>0</v>
      </c>
      <c r="U337" s="1">
        <f t="shared" si="138"/>
        <v>0</v>
      </c>
      <c r="V337" s="1">
        <f t="shared" si="138"/>
        <v>0</v>
      </c>
      <c r="W337" s="1">
        <f t="shared" si="138"/>
        <v>0</v>
      </c>
      <c r="X337" s="1">
        <f t="shared" si="138"/>
        <v>0</v>
      </c>
      <c r="Y337" s="1">
        <f t="shared" si="138"/>
        <v>0</v>
      </c>
      <c r="Z337" s="1">
        <f t="shared" si="138"/>
        <v>0</v>
      </c>
      <c r="AA337" s="1">
        <f t="shared" si="138"/>
        <v>0</v>
      </c>
      <c r="AB337" s="1">
        <f t="shared" si="138"/>
        <v>0</v>
      </c>
      <c r="AC337" s="1">
        <f t="shared" si="138"/>
        <v>0</v>
      </c>
      <c r="AD337" s="1">
        <f t="shared" si="138"/>
        <v>0</v>
      </c>
      <c r="AE337" s="1">
        <f t="shared" si="138"/>
        <v>0</v>
      </c>
      <c r="AF337" s="1">
        <f t="shared" si="138"/>
        <v>0</v>
      </c>
      <c r="AG337" s="1">
        <f t="shared" si="138"/>
        <v>0</v>
      </c>
      <c r="AH337" s="1">
        <f t="shared" si="138"/>
        <v>0</v>
      </c>
      <c r="AI337" s="1">
        <f t="shared" si="138"/>
        <v>0</v>
      </c>
      <c r="AJ337" s="1">
        <f t="shared" si="138"/>
        <v>0</v>
      </c>
      <c r="AK337" s="1">
        <f t="shared" si="138"/>
        <v>0</v>
      </c>
      <c r="AL337" s="1">
        <f t="shared" si="138"/>
        <v>0</v>
      </c>
      <c r="AM337" s="1">
        <f t="shared" si="138"/>
        <v>0</v>
      </c>
      <c r="AN337" s="1">
        <f t="shared" si="138"/>
        <v>0</v>
      </c>
      <c r="AO337" s="1">
        <f t="shared" si="138"/>
        <v>0</v>
      </c>
      <c r="AP337" s="1">
        <f t="shared" si="138"/>
        <v>0</v>
      </c>
      <c r="AQ337" s="1">
        <f t="shared" si="138"/>
        <v>0</v>
      </c>
    </row>
    <row r="338" spans="3:43" x14ac:dyDescent="0.25">
      <c r="C338" t="s">
        <v>2542</v>
      </c>
      <c r="D338" t="s">
        <v>844</v>
      </c>
      <c r="E338" s="1"/>
      <c r="F338" s="1"/>
      <c r="G338" s="1">
        <f>SUM(H338:AQ338)</f>
        <v>-6242.73709904252</v>
      </c>
      <c r="H338" s="1">
        <f>H117*H333</f>
        <v>-0</v>
      </c>
      <c r="I338" s="1">
        <f t="shared" ref="I338:AQ338" si="139">I117*I333</f>
        <v>-0</v>
      </c>
      <c r="J338" s="1">
        <f t="shared" si="139"/>
        <v>-0</v>
      </c>
      <c r="K338" s="1">
        <f t="shared" si="139"/>
        <v>-4654.408723585109</v>
      </c>
      <c r="L338" s="1">
        <f t="shared" si="139"/>
        <v>-1325.1111187450865</v>
      </c>
      <c r="M338" s="1">
        <f t="shared" si="139"/>
        <v>-263.21725671232446</v>
      </c>
      <c r="N338" s="1">
        <f t="shared" si="139"/>
        <v>-0</v>
      </c>
      <c r="O338" s="1">
        <f t="shared" si="139"/>
        <v>-0</v>
      </c>
      <c r="P338" s="1">
        <f t="shared" si="139"/>
        <v>-0</v>
      </c>
      <c r="Q338" s="1">
        <f t="shared" si="139"/>
        <v>-0</v>
      </c>
      <c r="R338" s="1">
        <f t="shared" si="139"/>
        <v>-0</v>
      </c>
      <c r="S338" s="1">
        <f t="shared" si="139"/>
        <v>-0</v>
      </c>
      <c r="T338" s="1">
        <f t="shared" si="139"/>
        <v>-0</v>
      </c>
      <c r="U338" s="1">
        <f t="shared" si="139"/>
        <v>-0</v>
      </c>
      <c r="V338" s="1">
        <f t="shared" si="139"/>
        <v>-0</v>
      </c>
      <c r="W338" s="1">
        <f t="shared" si="139"/>
        <v>-0</v>
      </c>
      <c r="X338" s="1">
        <f t="shared" si="139"/>
        <v>-0</v>
      </c>
      <c r="Y338" s="1">
        <f t="shared" si="139"/>
        <v>-0</v>
      </c>
      <c r="Z338" s="1">
        <f t="shared" si="139"/>
        <v>-0</v>
      </c>
      <c r="AA338" s="1">
        <f t="shared" si="139"/>
        <v>-0</v>
      </c>
      <c r="AB338" s="1">
        <f t="shared" si="139"/>
        <v>-0</v>
      </c>
      <c r="AC338" s="1">
        <f t="shared" si="139"/>
        <v>-0</v>
      </c>
      <c r="AD338" s="1">
        <f t="shared" si="139"/>
        <v>-0</v>
      </c>
      <c r="AE338" s="1">
        <f t="shared" si="139"/>
        <v>-0</v>
      </c>
      <c r="AF338" s="1">
        <f t="shared" si="139"/>
        <v>-0</v>
      </c>
      <c r="AG338" s="1">
        <f t="shared" si="139"/>
        <v>-0</v>
      </c>
      <c r="AH338" s="1">
        <f t="shared" si="139"/>
        <v>-0</v>
      </c>
      <c r="AI338" s="1">
        <f t="shared" si="139"/>
        <v>-0</v>
      </c>
      <c r="AJ338" s="1">
        <f t="shared" si="139"/>
        <v>-0</v>
      </c>
      <c r="AK338" s="1">
        <f t="shared" si="139"/>
        <v>-0</v>
      </c>
      <c r="AL338" s="1">
        <f t="shared" si="139"/>
        <v>-0</v>
      </c>
      <c r="AM338" s="1">
        <f t="shared" si="139"/>
        <v>-0</v>
      </c>
      <c r="AN338" s="1">
        <f t="shared" si="139"/>
        <v>-0</v>
      </c>
      <c r="AO338" s="1">
        <f t="shared" si="139"/>
        <v>-0</v>
      </c>
      <c r="AP338" s="1">
        <f t="shared" si="139"/>
        <v>-0</v>
      </c>
      <c r="AQ338" s="1">
        <f t="shared" si="139"/>
        <v>-0</v>
      </c>
    </row>
    <row r="339" spans="3:43" x14ac:dyDescent="0.25">
      <c r="C339" t="s">
        <v>2543</v>
      </c>
      <c r="D339" t="s">
        <v>844</v>
      </c>
      <c r="E339" s="1"/>
      <c r="F339" s="1"/>
      <c r="G339" s="1">
        <f>SUM(H339:AQ339)</f>
        <v>-1537.3925810631313</v>
      </c>
      <c r="H339" s="1">
        <f>-Inputs!$E$203*$E$35*(1+$E$51)^(H$5-YEAR(Inputs!$E$155))*H14*H333</f>
        <v>-0</v>
      </c>
      <c r="I339" s="1">
        <f>-Inputs!$E$203*$E$35*(1+$E$51)^(I$5-YEAR(Inputs!$E$155))*I14*I333</f>
        <v>-0</v>
      </c>
      <c r="J339" s="1">
        <f>-Inputs!$E$203*$E$35*(1+$E$51)^(J$5-YEAR(Inputs!$E$155))*J14*J333</f>
        <v>-0</v>
      </c>
      <c r="K339" s="1">
        <f>-Inputs!$E$203*$E$35*(1+$E$51)^(K$5-YEAR(Inputs!$E$155))*K14*K333</f>
        <v>-187.84904614832988</v>
      </c>
      <c r="L339" s="1">
        <f>-Inputs!$E$203*$E$35*(1+$E$51)^(L$5-YEAR(Inputs!$E$155))*L14*L333</f>
        <v>-763.9024390243903</v>
      </c>
      <c r="M339" s="1">
        <f>-Inputs!$E$203*$E$35*(1+$E$51)^(M$5-YEAR(Inputs!$E$155))*M14*M333</f>
        <v>-585.641095890411</v>
      </c>
      <c r="N339" s="1">
        <f>-Inputs!$E$203*$E$35*(1+$E$51)^(N$5-YEAR(Inputs!$E$155))*N14*N333</f>
        <v>-0</v>
      </c>
      <c r="O339" s="1">
        <f>-Inputs!$E$203*$E$35*(1+$E$51)^(O$5-YEAR(Inputs!$E$155))*O14*O333</f>
        <v>-0</v>
      </c>
      <c r="P339" s="1">
        <f>-Inputs!$E$203*$E$35*(1+$E$51)^(P$5-YEAR(Inputs!$E$155))*P14*P333</f>
        <v>-0</v>
      </c>
      <c r="Q339" s="1">
        <f>-Inputs!$E$203*$E$35*(1+$E$51)^(Q$5-YEAR(Inputs!$E$155))*Q14*Q333</f>
        <v>-0</v>
      </c>
      <c r="R339" s="1">
        <f>-Inputs!$E$203*$E$35*(1+$E$51)^(R$5-YEAR(Inputs!$E$155))*R14*R333</f>
        <v>-0</v>
      </c>
      <c r="S339" s="1">
        <f>-Inputs!$E$203*$E$35*(1+$E$51)^(S$5-YEAR(Inputs!$E$155))*S14*S333</f>
        <v>-0</v>
      </c>
      <c r="T339" s="1">
        <f>-Inputs!$E$203*$E$35*(1+$E$51)^(T$5-YEAR(Inputs!$E$155))*T14*T333</f>
        <v>-0</v>
      </c>
      <c r="U339" s="1">
        <f>-Inputs!$E$203*$E$35*(1+$E$51)^(U$5-YEAR(Inputs!$E$155))*U14*U333</f>
        <v>-0</v>
      </c>
      <c r="V339" s="1">
        <f>-Inputs!$E$203*$E$35*(1+$E$51)^(V$5-YEAR(Inputs!$E$155))*V14*V333</f>
        <v>-0</v>
      </c>
      <c r="W339" s="1">
        <f>-Inputs!$E$203*$E$35*(1+$E$51)^(W$5-YEAR(Inputs!$E$155))*W14*W333</f>
        <v>-0</v>
      </c>
      <c r="X339" s="1">
        <f>-Inputs!$E$203*$E$35*(1+$E$51)^(X$5-YEAR(Inputs!$E$155))*X14*X333</f>
        <v>-0</v>
      </c>
      <c r="Y339" s="1">
        <f>-Inputs!$E$203*$E$35*(1+$E$51)^(Y$5-YEAR(Inputs!$E$155))*Y14*Y333</f>
        <v>-0</v>
      </c>
      <c r="Z339" s="1">
        <f>-Inputs!$E$203*$E$35*(1+$E$51)^(Z$5-YEAR(Inputs!$E$155))*Z14*Z333</f>
        <v>-0</v>
      </c>
      <c r="AA339" s="1">
        <f>-Inputs!$E$203*$E$35*(1+$E$51)^(AA$5-YEAR(Inputs!$E$155))*AA14*AA333</f>
        <v>-0</v>
      </c>
      <c r="AB339" s="1">
        <f>-Inputs!$E$203*$E$35*(1+$E$51)^(AB$5-YEAR(Inputs!$E$155))*AB14*AB333</f>
        <v>-0</v>
      </c>
      <c r="AC339" s="1">
        <f>-Inputs!$E$203*$E$35*(1+$E$51)^(AC$5-YEAR(Inputs!$E$155))*AC14*AC333</f>
        <v>-0</v>
      </c>
      <c r="AD339" s="1">
        <f>-Inputs!$E$203*$E$35*(1+$E$51)^(AD$5-YEAR(Inputs!$E$155))*AD14*AD333</f>
        <v>-0</v>
      </c>
      <c r="AE339" s="1">
        <f>-Inputs!$E$203*$E$35*(1+$E$51)^(AE$5-YEAR(Inputs!$E$155))*AE14*AE333</f>
        <v>-0</v>
      </c>
      <c r="AF339" s="1">
        <f>-Inputs!$E$203*$E$35*(1+$E$51)^(AF$5-YEAR(Inputs!$E$155))*AF14*AF333</f>
        <v>-0</v>
      </c>
      <c r="AG339" s="1">
        <f>-Inputs!$E$203*$E$35*(1+$E$51)^(AG$5-YEAR(Inputs!$E$155))*AG14*AG333</f>
        <v>-0</v>
      </c>
      <c r="AH339" s="1">
        <f>-Inputs!$E$203*$E$35*(1+$E$51)^(AH$5-YEAR(Inputs!$E$155))*AH14*AH333</f>
        <v>-0</v>
      </c>
      <c r="AI339" s="1">
        <f>-Inputs!$E$203*$E$35*(1+$E$51)^(AI$5-YEAR(Inputs!$E$155))*AI14*AI333</f>
        <v>-0</v>
      </c>
      <c r="AJ339" s="1">
        <f>-Inputs!$E$203*$E$35*(1+$E$51)^(AJ$5-YEAR(Inputs!$E$155))*AJ14*AJ333</f>
        <v>-0</v>
      </c>
      <c r="AK339" s="1">
        <f>-Inputs!$E$203*$E$35*(1+$E$51)^(AK$5-YEAR(Inputs!$E$155))*AK14*AK333</f>
        <v>-0</v>
      </c>
      <c r="AL339" s="1">
        <f>-Inputs!$E$203*$E$35*(1+$E$51)^(AL$5-YEAR(Inputs!$E$155))*AL14*AL333</f>
        <v>-0</v>
      </c>
      <c r="AM339" s="1">
        <f>-Inputs!$E$203*$E$35*(1+$E$51)^(AM$5-YEAR(Inputs!$E$155))*AM14*AM333</f>
        <v>-0</v>
      </c>
      <c r="AN339" s="1">
        <f>-Inputs!$E$203*$E$35*(1+$E$51)^(AN$5-YEAR(Inputs!$E$155))*AN14*AN333</f>
        <v>-0</v>
      </c>
      <c r="AO339" s="1">
        <f>-Inputs!$E$203*$E$35*(1+$E$51)^(AO$5-YEAR(Inputs!$E$155))*AO14*AO333</f>
        <v>-0</v>
      </c>
      <c r="AP339" s="1">
        <f>-Inputs!$E$203*$E$35*(1+$E$51)^(AP$5-YEAR(Inputs!$E$155))*AP14*AP333</f>
        <v>-0</v>
      </c>
      <c r="AQ339" s="1">
        <f>-Inputs!$E$203*$E$35*(1+$E$51)^(AQ$5-YEAR(Inputs!$E$155))*AQ14*AQ333</f>
        <v>-0</v>
      </c>
    </row>
    <row r="340" x14ac:dyDescent="0.25">
      <c r="C340" t="inlineStr">
        <is>
          <t xml:space="preserve">Sale price at COD (Inputs E230 × gross MW E29 + post-COD promise price adjustment, Tender E219)</t>
        </is>
      </c>
      <c r="D340" t="s">
        <v>844</v>
      </c>
      <c r="E340" s="1"/>
      <c r="F340" s="1"/>
      <c r="G340" s="1">
        <f>SUM(H340:AQ340)</f>
        <v>0</v>
      </c>
      <c r="H340" s="1">
        <f>H334*(Inputs!$E$230*Inputs!$E$29+Tender!$E$219)</f>
        <v>0</v>
      </c>
      <c r="I340" s="1">
        <f>I334*(Inputs!$E$230*Inputs!$E$29+Tender!$E$219)</f>
        <v>0</v>
      </c>
      <c r="J340" s="1">
        <f>J334*(Inputs!$E$230*Inputs!$E$29+Tender!$E$219)</f>
        <v>0</v>
      </c>
      <c r="K340" s="1">
        <f>K334*(Inputs!$E$230*Inputs!$E$29+Tender!$E$219)</f>
        <v>0</v>
      </c>
      <c r="L340" s="1">
        <f>L334*(Inputs!$E$230*Inputs!$E$29+Tender!$E$219)</f>
        <v>0</v>
      </c>
      <c r="M340" s="1">
        <f>M334*(Inputs!$E$230*Inputs!$E$29+Tender!$E$219)</f>
        <v>0</v>
      </c>
      <c r="N340" s="1">
        <f>N334*(Inputs!$E$230*Inputs!$E$29+Tender!$E$219)</f>
        <v>0</v>
      </c>
      <c r="O340" s="1">
        <f>O334*(Inputs!$E$230*Inputs!$E$29+Tender!$E$219)</f>
        <v>0</v>
      </c>
      <c r="P340" s="1">
        <f>P334*(Inputs!$E$230*Inputs!$E$29+Tender!$E$219)</f>
        <v>0</v>
      </c>
      <c r="Q340" s="1">
        <f>Q334*(Inputs!$E$230*Inputs!$E$29+Tender!$E$219)</f>
        <v>0</v>
      </c>
      <c r="R340" s="1">
        <f>R334*(Inputs!$E$230*Inputs!$E$29+Tender!$E$219)</f>
        <v>0</v>
      </c>
      <c r="S340" s="1">
        <f>S334*(Inputs!$E$230*Inputs!$E$29+Tender!$E$219)</f>
        <v>0</v>
      </c>
      <c r="T340" s="1">
        <f>T334*(Inputs!$E$230*Inputs!$E$29+Tender!$E$219)</f>
        <v>0</v>
      </c>
      <c r="U340" s="1">
        <f>U334*(Inputs!$E$230*Inputs!$E$29+Tender!$E$219)</f>
        <v>0</v>
      </c>
      <c r="V340" s="1">
        <f>V334*(Inputs!$E$230*Inputs!$E$29+Tender!$E$219)</f>
        <v>0</v>
      </c>
      <c r="W340" s="1">
        <f>W334*(Inputs!$E$230*Inputs!$E$29+Tender!$E$219)</f>
        <v>0</v>
      </c>
      <c r="X340" s="1">
        <f>X334*(Inputs!$E$230*Inputs!$E$29+Tender!$E$219)</f>
        <v>0</v>
      </c>
      <c r="Y340" s="1">
        <f>Y334*(Inputs!$E$230*Inputs!$E$29+Tender!$E$219)</f>
        <v>0</v>
      </c>
      <c r="Z340" s="1">
        <f>Z334*(Inputs!$E$230*Inputs!$E$29+Tender!$E$219)</f>
        <v>0</v>
      </c>
      <c r="AA340" s="1">
        <f>AA334*(Inputs!$E$230*Inputs!$E$29+Tender!$E$219)</f>
        <v>0</v>
      </c>
      <c r="AB340" s="1">
        <f>AB334*(Inputs!$E$230*Inputs!$E$29+Tender!$E$219)</f>
        <v>0</v>
      </c>
      <c r="AC340" s="1">
        <f>AC334*(Inputs!$E$230*Inputs!$E$29+Tender!$E$219)</f>
        <v>0</v>
      </c>
      <c r="AD340" s="1">
        <f>AD334*(Inputs!$E$230*Inputs!$E$29+Tender!$E$219)</f>
        <v>0</v>
      </c>
      <c r="AE340" s="1">
        <f>AE334*(Inputs!$E$230*Inputs!$E$29+Tender!$E$219)</f>
        <v>0</v>
      </c>
      <c r="AF340" s="1">
        <f>AF334*(Inputs!$E$230*Inputs!$E$29+Tender!$E$219)</f>
        <v>0</v>
      </c>
      <c r="AG340" s="1">
        <f>AG334*(Inputs!$E$230*Inputs!$E$29+Tender!$E$219)</f>
        <v>0</v>
      </c>
      <c r="AH340" s="1">
        <f>AH334*(Inputs!$E$230*Inputs!$E$29+Tender!$E$219)</f>
        <v>0</v>
      </c>
      <c r="AI340" s="1">
        <f>AI334*(Inputs!$E$230*Inputs!$E$29+Tender!$E$219)</f>
        <v>0</v>
      </c>
      <c r="AJ340" s="1">
        <f>AJ334*(Inputs!$E$230*Inputs!$E$29+Tender!$E$219)</f>
        <v>0</v>
      </c>
      <c r="AK340" s="1">
        <f>AK334*(Inputs!$E$230*Inputs!$E$29+Tender!$E$219)</f>
        <v>0</v>
      </c>
      <c r="AL340" s="1">
        <f>AL334*(Inputs!$E$230*Inputs!$E$29+Tender!$E$219)</f>
        <v>0</v>
      </c>
      <c r="AM340" s="1">
        <f>AM334*(Inputs!$E$230*Inputs!$E$29+Tender!$E$219)</f>
        <v>0</v>
      </c>
      <c r="AN340" s="1">
        <f>AN334*(Inputs!$E$230*Inputs!$E$29+Tender!$E$219)</f>
        <v>0</v>
      </c>
      <c r="AO340" s="1">
        <f>AO334*(Inputs!$E$230*Inputs!$E$29+Tender!$E$219)</f>
        <v>0</v>
      </c>
      <c r="AP340" s="1">
        <f>AP334*(Inputs!$E$230*Inputs!$E$29+Tender!$E$219)</f>
        <v>0</v>
      </c>
      <c r="AQ340" s="1">
        <f>AQ334*(Inputs!$E$230*Inputs!$E$29+Tender!$E$219)</f>
        <v>0</v>
      </c>
    </row>
    <row r="341" spans="3:43" x14ac:dyDescent="0.25">
      <c r="C341" t="s">
        <v>2545</v>
      </c>
      <c r="D341" t="s">
        <v>844</v>
      </c>
      <c r="E341" s="1"/>
      <c r="F341" s="1"/>
      <c r="G341" s="1">
        <f>SUM(H341:AQ341)</f>
        <v>0</v>
      </c>
      <c r="H341" s="1">
        <f>-H334*(H76+H77+H79)</f>
        <v>-0</v>
      </c>
      <c r="I341" s="1">
        <f t="shared" ref="I341:AQ341" si="140">-I334*(I76+I77+I79)</f>
        <v>-0</v>
      </c>
      <c r="J341" s="1">
        <f t="shared" si="140"/>
        <v>-0</v>
      </c>
      <c r="K341" s="1">
        <f t="shared" si="140"/>
        <v>-0</v>
      </c>
      <c r="L341" s="1">
        <f t="shared" si="140"/>
        <v>-0</v>
      </c>
      <c r="M341" s="1">
        <f t="shared" si="140"/>
        <v>-0</v>
      </c>
      <c r="N341" s="1">
        <f t="shared" si="140"/>
        <v>-0</v>
      </c>
      <c r="O341" s="1">
        <f t="shared" si="140"/>
        <v>-0</v>
      </c>
      <c r="P341" s="1">
        <f t="shared" si="140"/>
        <v>-0</v>
      </c>
      <c r="Q341" s="1">
        <f t="shared" si="140"/>
        <v>-0</v>
      </c>
      <c r="R341" s="1">
        <f t="shared" si="140"/>
        <v>-0</v>
      </c>
      <c r="S341" s="1">
        <f t="shared" si="140"/>
        <v>-0</v>
      </c>
      <c r="T341" s="1">
        <f t="shared" si="140"/>
        <v>-0</v>
      </c>
      <c r="U341" s="1">
        <f t="shared" si="140"/>
        <v>-0</v>
      </c>
      <c r="V341" s="1">
        <f t="shared" si="140"/>
        <v>-0</v>
      </c>
      <c r="W341" s="1">
        <f t="shared" si="140"/>
        <v>-0</v>
      </c>
      <c r="X341" s="1">
        <f t="shared" si="140"/>
        <v>-0</v>
      </c>
      <c r="Y341" s="1">
        <f t="shared" si="140"/>
        <v>-0</v>
      </c>
      <c r="Z341" s="1">
        <f t="shared" si="140"/>
        <v>-0</v>
      </c>
      <c r="AA341" s="1">
        <f t="shared" si="140"/>
        <v>-0</v>
      </c>
      <c r="AB341" s="1">
        <f t="shared" si="140"/>
        <v>-0</v>
      </c>
      <c r="AC341" s="1">
        <f t="shared" si="140"/>
        <v>-0</v>
      </c>
      <c r="AD341" s="1">
        <f t="shared" si="140"/>
        <v>-0</v>
      </c>
      <c r="AE341" s="1">
        <f t="shared" si="140"/>
        <v>-0</v>
      </c>
      <c r="AF341" s="1">
        <f t="shared" si="140"/>
        <v>-0</v>
      </c>
      <c r="AG341" s="1">
        <f t="shared" si="140"/>
        <v>-0</v>
      </c>
      <c r="AH341" s="1">
        <f t="shared" si="140"/>
        <v>-0</v>
      </c>
      <c r="AI341" s="1">
        <f t="shared" si="140"/>
        <v>-0</v>
      </c>
      <c r="AJ341" s="1">
        <f t="shared" si="140"/>
        <v>-0</v>
      </c>
      <c r="AK341" s="1">
        <f t="shared" si="140"/>
        <v>-0</v>
      </c>
      <c r="AL341" s="1">
        <f t="shared" si="140"/>
        <v>-0</v>
      </c>
      <c r="AM341" s="1">
        <f t="shared" si="140"/>
        <v>-0</v>
      </c>
      <c r="AN341" s="1">
        <f t="shared" si="140"/>
        <v>-0</v>
      </c>
      <c r="AO341" s="1">
        <f t="shared" si="140"/>
        <v>-0</v>
      </c>
      <c r="AP341" s="1">
        <f t="shared" si="140"/>
        <v>-0</v>
      </c>
      <c r="AQ341" s="1">
        <f t="shared" si="140"/>
        <v>-0</v>
      </c>
    </row>
    <row r="342" spans="3:43" x14ac:dyDescent="0.25">
      <c r="C342" s="6" t="s">
        <v>2546</v>
      </c>
      <c r="D342" s="6" t="s">
        <v>844</v>
      </c>
      <c r="E342" s="37"/>
      <c r="F342" s="37"/>
      <c r="G342" s="37">
        <f>SUM(H342:AQ342)</f>
        <v>0</v>
      </c>
      <c r="H342" s="37">
        <f>-H334*Inputs!$E$26</f>
        <v>-0</v>
      </c>
      <c r="I342" s="37">
        <f>-I334*Inputs!$E$26</f>
        <v>-0</v>
      </c>
      <c r="J342" s="37">
        <f>-J334*Inputs!$E$26</f>
        <v>-0</v>
      </c>
      <c r="K342" s="37">
        <f>-K334*Inputs!$E$26</f>
        <v>-0</v>
      </c>
      <c r="L342" s="37">
        <f>-L334*Inputs!$E$26</f>
        <v>-0</v>
      </c>
      <c r="M342" s="37">
        <f>-M334*Inputs!$E$26</f>
        <v>-0</v>
      </c>
      <c r="N342" s="37">
        <f>-N334*Inputs!$E$26</f>
        <v>-0</v>
      </c>
      <c r="O342" s="37">
        <f>-O334*Inputs!$E$26</f>
        <v>-0</v>
      </c>
      <c r="P342" s="37">
        <f>-P334*Inputs!$E$26</f>
        <v>-0</v>
      </c>
      <c r="Q342" s="37">
        <f>-Q334*Inputs!$E$26</f>
        <v>-0</v>
      </c>
      <c r="R342" s="37">
        <f>-R334*Inputs!$E$26</f>
        <v>-0</v>
      </c>
      <c r="S342" s="37">
        <f>-S334*Inputs!$E$26</f>
        <v>-0</v>
      </c>
      <c r="T342" s="37">
        <f>-T334*Inputs!$E$26</f>
        <v>-0</v>
      </c>
      <c r="U342" s="37">
        <f>-U334*Inputs!$E$26</f>
        <v>-0</v>
      </c>
      <c r="V342" s="37">
        <f>-V334*Inputs!$E$26</f>
        <v>-0</v>
      </c>
      <c r="W342" s="37">
        <f>-W334*Inputs!$E$26</f>
        <v>-0</v>
      </c>
      <c r="X342" s="37">
        <f>-X334*Inputs!$E$26</f>
        <v>-0</v>
      </c>
      <c r="Y342" s="37">
        <f>-Y334*Inputs!$E$26</f>
        <v>-0</v>
      </c>
      <c r="Z342" s="37">
        <f>-Z334*Inputs!$E$26</f>
        <v>-0</v>
      </c>
      <c r="AA342" s="37">
        <f>-AA334*Inputs!$E$26</f>
        <v>-0</v>
      </c>
      <c r="AB342" s="37">
        <f>-AB334*Inputs!$E$26</f>
        <v>-0</v>
      </c>
      <c r="AC342" s="37">
        <f>-AC334*Inputs!$E$26</f>
        <v>-0</v>
      </c>
      <c r="AD342" s="37">
        <f>-AD334*Inputs!$E$26</f>
        <v>-0</v>
      </c>
      <c r="AE342" s="37">
        <f>-AE334*Inputs!$E$26</f>
        <v>-0</v>
      </c>
      <c r="AF342" s="37">
        <f>-AF334*Inputs!$E$26</f>
        <v>-0</v>
      </c>
      <c r="AG342" s="37">
        <f>-AG334*Inputs!$E$26</f>
        <v>-0</v>
      </c>
      <c r="AH342" s="37">
        <f>-AH334*Inputs!$E$26</f>
        <v>-0</v>
      </c>
      <c r="AI342" s="37">
        <f>-AI334*Inputs!$E$26</f>
        <v>-0</v>
      </c>
      <c r="AJ342" s="37">
        <f>-AJ334*Inputs!$E$26</f>
        <v>-0</v>
      </c>
      <c r="AK342" s="37">
        <f>-AK334*Inputs!$E$26</f>
        <v>-0</v>
      </c>
      <c r="AL342" s="37">
        <f>-AL334*Inputs!$E$26</f>
        <v>-0</v>
      </c>
      <c r="AM342" s="37">
        <f>-AM334*Inputs!$E$26</f>
        <v>-0</v>
      </c>
      <c r="AN342" s="37">
        <f>-AN334*Inputs!$E$26</f>
        <v>-0</v>
      </c>
      <c r="AO342" s="37">
        <f>-AO334*Inputs!$E$26</f>
        <v>-0</v>
      </c>
      <c r="AP342" s="37">
        <f>-AP334*Inputs!$E$26</f>
        <v>-0</v>
      </c>
      <c r="AQ342" s="37">
        <f>-AQ334*Inputs!$E$26</f>
        <v>-0</v>
      </c>
    </row>
    <row r="343" spans="3:43" x14ac:dyDescent="0.25">
      <c r="C343" t="s">
        <v>2547</v>
      </c>
      <c r="D343" t="s">
        <v>844</v>
      </c>
      <c r="E343" s="1"/>
      <c r="F343" s="1"/>
      <c r="G343" s="1">
        <f>SUM(H343:AQ343)</f>
        <v>-235506.3333808997</v>
      </c>
      <c r="H343" s="1">
        <f>SUM(H335:H342)</f>
        <v>-3175.234818585709</v>
      </c>
      <c r="I343" s="1">
        <f t="shared" ref="I343:AQ343" si="141">SUM(I335:I342)</f>
        <v>-1953.381766012588</v>
      </c>
      <c r="J343" s="1">
        <f t="shared" si="141"/>
        <v>-2850.781741816561</v>
      </c>
      <c r="K343" s="1">
        <f t="shared" si="141"/>
        <v>-64245.42625648377</v>
      </c>
      <c r="L343" s="1">
        <f t="shared" si="141"/>
        <v>-101114.37888164565</v>
      </c>
      <c r="M343" s="1">
        <f t="shared" si="141"/>
        <v>-62167.129916355414</v>
      </c>
      <c r="N343" s="1">
        <f t="shared" si="141"/>
        <v>0</v>
      </c>
      <c r="O343" s="1">
        <f t="shared" si="141"/>
        <v>0</v>
      </c>
      <c r="P343" s="1">
        <f t="shared" si="141"/>
        <v>0</v>
      </c>
      <c r="Q343" s="1">
        <f t="shared" si="141"/>
        <v>0</v>
      </c>
      <c r="R343" s="1">
        <f t="shared" si="141"/>
        <v>0</v>
      </c>
      <c r="S343" s="1">
        <f t="shared" si="141"/>
        <v>0</v>
      </c>
      <c r="T343" s="1">
        <f t="shared" si="141"/>
        <v>0</v>
      </c>
      <c r="U343" s="1">
        <f t="shared" si="141"/>
        <v>0</v>
      </c>
      <c r="V343" s="1">
        <f t="shared" si="141"/>
        <v>0</v>
      </c>
      <c r="W343" s="1">
        <f t="shared" si="141"/>
        <v>0</v>
      </c>
      <c r="X343" s="1">
        <f t="shared" si="141"/>
        <v>0</v>
      </c>
      <c r="Y343" s="1">
        <f t="shared" si="141"/>
        <v>0</v>
      </c>
      <c r="Z343" s="1">
        <f t="shared" si="141"/>
        <v>0</v>
      </c>
      <c r="AA343" s="1">
        <f t="shared" si="141"/>
        <v>0</v>
      </c>
      <c r="AB343" s="1">
        <f t="shared" si="141"/>
        <v>0</v>
      </c>
      <c r="AC343" s="1">
        <f t="shared" si="141"/>
        <v>0</v>
      </c>
      <c r="AD343" s="1">
        <f t="shared" si="141"/>
        <v>0</v>
      </c>
      <c r="AE343" s="1">
        <f t="shared" si="141"/>
        <v>0</v>
      </c>
      <c r="AF343" s="1">
        <f t="shared" si="141"/>
        <v>0</v>
      </c>
      <c r="AG343" s="1">
        <f t="shared" si="141"/>
        <v>0</v>
      </c>
      <c r="AH343" s="1">
        <f t="shared" si="141"/>
        <v>0</v>
      </c>
      <c r="AI343" s="1">
        <f t="shared" si="141"/>
        <v>0</v>
      </c>
      <c r="AJ343" s="1">
        <f t="shared" si="141"/>
        <v>0</v>
      </c>
      <c r="AK343" s="1">
        <f t="shared" si="141"/>
        <v>0</v>
      </c>
      <c r="AL343" s="1">
        <f t="shared" si="141"/>
        <v>0</v>
      </c>
      <c r="AM343" s="1">
        <f t="shared" si="141"/>
        <v>0</v>
      </c>
      <c r="AN343" s="1">
        <f t="shared" si="141"/>
        <v>0</v>
      </c>
      <c r="AO343" s="1">
        <f t="shared" si="141"/>
        <v>0</v>
      </c>
      <c r="AP343" s="1">
        <f t="shared" si="141"/>
        <v>0</v>
      </c>
      <c r="AQ343" s="1">
        <f t="shared" si="141"/>
        <v>0</v>
      </c>
    </row>
    <row r="344" spans="3:43" x14ac:dyDescent="0.25">
      <c r="C344" t="s">
        <v>2548</v>
      </c>
      <c r="D344" t="s">
        <v>844</v>
      </c>
      <c r="E344" s="1"/>
      <c r="F344" s="1"/>
      <c r="G344" s="1">
        <f>SUM(H344:AQ344)</f>
        <v>0</v>
      </c>
      <c r="H344" s="1">
        <f>-H334*Inputs!$E$231*Inputs!$E$12*MAX(0,$G$343)</f>
        <v>-0</v>
      </c>
      <c r="I344" s="1">
        <f>-I334*Inputs!$E$231*Inputs!$E$12*MAX(0,$G$343)</f>
        <v>-0</v>
      </c>
      <c r="J344" s="1">
        <f>-J334*Inputs!$E$231*Inputs!$E$12*MAX(0,$G$343)</f>
        <v>-0</v>
      </c>
      <c r="K344" s="1">
        <f>-K334*Inputs!$E$231*Inputs!$E$12*MAX(0,$G$343)</f>
        <v>-0</v>
      </c>
      <c r="L344" s="1">
        <f>-L334*Inputs!$E$231*Inputs!$E$12*MAX(0,$G$343)</f>
        <v>-0</v>
      </c>
      <c r="M344" s="1">
        <f>-M334*Inputs!$E$231*Inputs!$E$12*MAX(0,$G$343)</f>
        <v>-0</v>
      </c>
      <c r="N344" s="1">
        <f>-N334*Inputs!$E$231*Inputs!$E$12*MAX(0,$G$343)</f>
        <v>-0</v>
      </c>
      <c r="O344" s="1">
        <f>-O334*Inputs!$E$231*Inputs!$E$12*MAX(0,$G$343)</f>
        <v>-0</v>
      </c>
      <c r="P344" s="1">
        <f>-P334*Inputs!$E$231*Inputs!$E$12*MAX(0,$G$343)</f>
        <v>-0</v>
      </c>
      <c r="Q344" s="1">
        <f>-Q334*Inputs!$E$231*Inputs!$E$12*MAX(0,$G$343)</f>
        <v>-0</v>
      </c>
      <c r="R344" s="1">
        <f>-R334*Inputs!$E$231*Inputs!$E$12*MAX(0,$G$343)</f>
        <v>-0</v>
      </c>
      <c r="S344" s="1">
        <f>-S334*Inputs!$E$231*Inputs!$E$12*MAX(0,$G$343)</f>
        <v>-0</v>
      </c>
      <c r="T344" s="1">
        <f>-T334*Inputs!$E$231*Inputs!$E$12*MAX(0,$G$343)</f>
        <v>-0</v>
      </c>
      <c r="U344" s="1">
        <f>-U334*Inputs!$E$231*Inputs!$E$12*MAX(0,$G$343)</f>
        <v>-0</v>
      </c>
      <c r="V344" s="1">
        <f>-V334*Inputs!$E$231*Inputs!$E$12*MAX(0,$G$343)</f>
        <v>-0</v>
      </c>
      <c r="W344" s="1">
        <f>-W334*Inputs!$E$231*Inputs!$E$12*MAX(0,$G$343)</f>
        <v>-0</v>
      </c>
      <c r="X344" s="1">
        <f>-X334*Inputs!$E$231*Inputs!$E$12*MAX(0,$G$343)</f>
        <v>-0</v>
      </c>
      <c r="Y344" s="1">
        <f>-Y334*Inputs!$E$231*Inputs!$E$12*MAX(0,$G$343)</f>
        <v>-0</v>
      </c>
      <c r="Z344" s="1">
        <f>-Z334*Inputs!$E$231*Inputs!$E$12*MAX(0,$G$343)</f>
        <v>-0</v>
      </c>
      <c r="AA344" s="1">
        <f>-AA334*Inputs!$E$231*Inputs!$E$12*MAX(0,$G$343)</f>
        <v>-0</v>
      </c>
      <c r="AB344" s="1">
        <f>-AB334*Inputs!$E$231*Inputs!$E$12*MAX(0,$G$343)</f>
        <v>-0</v>
      </c>
      <c r="AC344" s="1">
        <f>-AC334*Inputs!$E$231*Inputs!$E$12*MAX(0,$G$343)</f>
        <v>-0</v>
      </c>
      <c r="AD344" s="1">
        <f>-AD334*Inputs!$E$231*Inputs!$E$12*MAX(0,$G$343)</f>
        <v>-0</v>
      </c>
      <c r="AE344" s="1">
        <f>-AE334*Inputs!$E$231*Inputs!$E$12*MAX(0,$G$343)</f>
        <v>-0</v>
      </c>
      <c r="AF344" s="1">
        <f>-AF334*Inputs!$E$231*Inputs!$E$12*MAX(0,$G$343)</f>
        <v>-0</v>
      </c>
      <c r="AG344" s="1">
        <f>-AG334*Inputs!$E$231*Inputs!$E$12*MAX(0,$G$343)</f>
        <v>-0</v>
      </c>
      <c r="AH344" s="1">
        <f>-AH334*Inputs!$E$231*Inputs!$E$12*MAX(0,$G$343)</f>
        <v>-0</v>
      </c>
      <c r="AI344" s="1">
        <f>-AI334*Inputs!$E$231*Inputs!$E$12*MAX(0,$G$343)</f>
        <v>-0</v>
      </c>
      <c r="AJ344" s="1">
        <f>-AJ334*Inputs!$E$231*Inputs!$E$12*MAX(0,$G$343)</f>
        <v>-0</v>
      </c>
      <c r="AK344" s="1">
        <f>-AK334*Inputs!$E$231*Inputs!$E$12*MAX(0,$G$343)</f>
        <v>-0</v>
      </c>
      <c r="AL344" s="1">
        <f>-AL334*Inputs!$E$231*Inputs!$E$12*MAX(0,$G$343)</f>
        <v>-0</v>
      </c>
      <c r="AM344" s="1">
        <f>-AM334*Inputs!$E$231*Inputs!$E$12*MAX(0,$G$343)</f>
        <v>-0</v>
      </c>
      <c r="AN344" s="1">
        <f>-AN334*Inputs!$E$231*Inputs!$E$12*MAX(0,$G$343)</f>
        <v>-0</v>
      </c>
      <c r="AO344" s="1">
        <f>-AO334*Inputs!$E$231*Inputs!$E$12*MAX(0,$G$343)</f>
        <v>-0</v>
      </c>
      <c r="AP344" s="1">
        <f>-AP334*Inputs!$E$231*Inputs!$E$12*MAX(0,$G$343)</f>
        <v>-0</v>
      </c>
      <c r="AQ344" s="1">
        <f>-AQ334*Inputs!$E$231*Inputs!$E$12*MAX(0,$G$343)</f>
        <v>-0</v>
      </c>
    </row>
    <row r="345" spans="3:43" x14ac:dyDescent="0.25">
      <c r="C345" t="s">
        <v>2549</v>
      </c>
      <c r="D345" t="s">
        <v>844</v>
      </c>
      <c r="E345" s="1"/>
      <c r="F345" s="1"/>
      <c r="G345" s="3">
        <f>SUM(H345:AQ345)</f>
        <v>-235506.3333808997</v>
      </c>
      <c r="H345" s="3">
        <f>H343+H344</f>
        <v>-3175.234818585709</v>
      </c>
      <c r="I345" s="3">
        <f t="shared" ref="I345:AQ345" si="142">I343+I344</f>
        <v>-1953.381766012588</v>
      </c>
      <c r="J345" s="3">
        <f t="shared" si="142"/>
        <v>-2850.781741816561</v>
      </c>
      <c r="K345" s="3">
        <f t="shared" si="142"/>
        <v>-64245.42625648377</v>
      </c>
      <c r="L345" s="3">
        <f t="shared" si="142"/>
        <v>-101114.37888164565</v>
      </c>
      <c r="M345" s="3">
        <f t="shared" si="142"/>
        <v>-62167.129916355414</v>
      </c>
      <c r="N345" s="3">
        <f t="shared" si="142"/>
        <v>0</v>
      </c>
      <c r="O345" s="3">
        <f t="shared" si="142"/>
        <v>0</v>
      </c>
      <c r="P345" s="3">
        <f t="shared" si="142"/>
        <v>0</v>
      </c>
      <c r="Q345" s="3">
        <f t="shared" si="142"/>
        <v>0</v>
      </c>
      <c r="R345" s="3">
        <f t="shared" si="142"/>
        <v>0</v>
      </c>
      <c r="S345" s="3">
        <f t="shared" si="142"/>
        <v>0</v>
      </c>
      <c r="T345" s="3">
        <f t="shared" si="142"/>
        <v>0</v>
      </c>
      <c r="U345" s="3">
        <f t="shared" si="142"/>
        <v>0</v>
      </c>
      <c r="V345" s="3">
        <f t="shared" si="142"/>
        <v>0</v>
      </c>
      <c r="W345" s="3">
        <f t="shared" si="142"/>
        <v>0</v>
      </c>
      <c r="X345" s="3">
        <f t="shared" si="142"/>
        <v>0</v>
      </c>
      <c r="Y345" s="3">
        <f t="shared" si="142"/>
        <v>0</v>
      </c>
      <c r="Z345" s="3">
        <f t="shared" si="142"/>
        <v>0</v>
      </c>
      <c r="AA345" s="3">
        <f t="shared" si="142"/>
        <v>0</v>
      </c>
      <c r="AB345" s="3">
        <f t="shared" si="142"/>
        <v>0</v>
      </c>
      <c r="AC345" s="3">
        <f t="shared" si="142"/>
        <v>0</v>
      </c>
      <c r="AD345" s="3">
        <f t="shared" si="142"/>
        <v>0</v>
      </c>
      <c r="AE345" s="3">
        <f t="shared" si="142"/>
        <v>0</v>
      </c>
      <c r="AF345" s="3">
        <f t="shared" si="142"/>
        <v>0</v>
      </c>
      <c r="AG345" s="3">
        <f t="shared" si="142"/>
        <v>0</v>
      </c>
      <c r="AH345" s="3">
        <f t="shared" si="142"/>
        <v>0</v>
      </c>
      <c r="AI345" s="3">
        <f t="shared" si="142"/>
        <v>0</v>
      </c>
      <c r="AJ345" s="3">
        <f t="shared" si="142"/>
        <v>0</v>
      </c>
      <c r="AK345" s="3">
        <f t="shared" si="142"/>
        <v>0</v>
      </c>
      <c r="AL345" s="3">
        <f t="shared" si="142"/>
        <v>0</v>
      </c>
      <c r="AM345" s="3">
        <f t="shared" si="142"/>
        <v>0</v>
      </c>
      <c r="AN345" s="3">
        <f t="shared" si="142"/>
        <v>0</v>
      </c>
      <c r="AO345" s="3">
        <f t="shared" si="142"/>
        <v>0</v>
      </c>
      <c r="AP345" s="3">
        <f t="shared" si="142"/>
        <v>0</v>
      </c>
      <c r="AQ345" s="3">
        <f t="shared" si="142"/>
        <v>0</v>
      </c>
    </row>
    <row r="346" x14ac:dyDescent="0.25">
      <c r="C346" t="inlineStr">
        <is>
          <t xml:space="preserve">FEP cash flow – contributions (row 359) + proceeds at COD (row 360)</t>
        </is>
      </c>
      <c r="D346" t="s">
        <v>844</v>
      </c>
      <c r="E346" s="1"/>
      <c r="F346" s="1"/>
      <c r="G346" s="1">
        <f>SUM(H346:AQ346)</f>
        <v>-235506.3333808997</v>
      </c>
      <c r="H346" s="1">
        <f>H359+H360</f>
        <v>-3175.234818585709</v>
      </c>
      <c r="I346" s="1">
        <f>I359+I360</f>
        <v>-1953.381766012588</v>
      </c>
      <c r="J346" s="1">
        <f>J359+J360</f>
        <v>-2850.781741816561</v>
      </c>
      <c r="K346" s="1">
        <f>K359+K360</f>
        <v>-64245.42625648377</v>
      </c>
      <c r="L346" s="1">
        <f>L359+L360</f>
        <v>-101114.37888164565</v>
      </c>
      <c r="M346" s="1">
        <f>M359+M360</f>
        <v>-62167.129916355414</v>
      </c>
      <c r="N346" s="1">
        <f>N359+N360</f>
        <v>0</v>
      </c>
      <c r="O346" s="1">
        <f>O359+O360</f>
        <v>0</v>
      </c>
      <c r="P346" s="1">
        <f>P359+P360</f>
        <v>0</v>
      </c>
      <c r="Q346" s="1">
        <f>Q359+Q360</f>
        <v>0</v>
      </c>
      <c r="R346" s="1">
        <f>R359+R360</f>
        <v>0</v>
      </c>
      <c r="S346" s="1">
        <f>S359+S360</f>
        <v>0</v>
      </c>
      <c r="T346" s="1">
        <f>T359+T360</f>
        <v>0</v>
      </c>
      <c r="U346" s="1">
        <f>U359+U360</f>
        <v>0</v>
      </c>
      <c r="V346" s="1">
        <f>V359+V360</f>
        <v>0</v>
      </c>
      <c r="W346" s="1">
        <f>W359+W360</f>
        <v>0</v>
      </c>
      <c r="X346" s="1">
        <f>X359+X360</f>
        <v>0</v>
      </c>
      <c r="Y346" s="1">
        <f>Y359+Y360</f>
        <v>0</v>
      </c>
      <c r="Z346" s="1">
        <f>Z359+Z360</f>
        <v>0</v>
      </c>
      <c r="AA346" s="1">
        <f>AA359+AA360</f>
        <v>0</v>
      </c>
      <c r="AB346" s="1">
        <f>AB359+AB360</f>
        <v>0</v>
      </c>
      <c r="AC346" s="1">
        <f>AC359+AC360</f>
        <v>0</v>
      </c>
      <c r="AD346" s="1">
        <f>AD359+AD360</f>
        <v>0</v>
      </c>
      <c r="AE346" s="1">
        <f>AE359+AE360</f>
        <v>0</v>
      </c>
      <c r="AF346" s="1">
        <f>AF359+AF360</f>
        <v>0</v>
      </c>
      <c r="AG346" s="1">
        <f>AG359+AG360</f>
        <v>0</v>
      </c>
      <c r="AH346" s="1">
        <f>AH359+AH360</f>
        <v>0</v>
      </c>
      <c r="AI346" s="1">
        <f>AI359+AI360</f>
        <v>0</v>
      </c>
      <c r="AJ346" s="1">
        <f>AJ359+AJ360</f>
        <v>0</v>
      </c>
      <c r="AK346" s="1">
        <f>AK359+AK360</f>
        <v>0</v>
      </c>
      <c r="AL346" s="1">
        <f>AL359+AL360</f>
        <v>0</v>
      </c>
      <c r="AM346" s="1">
        <f>AM359+AM360</f>
        <v>0</v>
      </c>
      <c r="AN346" s="1">
        <f>AN359+AN360</f>
        <v>0</v>
      </c>
      <c r="AO346" s="1">
        <f>AO359+AO360</f>
        <v>0</v>
      </c>
      <c r="AP346" s="1">
        <f>AP359+AP360</f>
        <v>0</v>
      </c>
      <c r="AQ346" s="1">
        <f>AQ359+AQ360</f>
        <v>0</v>
      </c>
    </row>
    <row r="347" spans="3:43" x14ac:dyDescent="0.25">
      <c r="C347" s="43" t="s">
        <v>2551</v>
      </c>
      <c r="D347" s="43" t="s">
        <v>844</v>
      </c>
      <c r="E347" s="128"/>
      <c r="F347" s="134"/>
      <c r="G347" s="123">
        <v>0</v>
      </c>
      <c r="H347" s="123">
        <f>G347+H346</f>
        <v>-3175.234818585709</v>
      </c>
      <c r="I347" s="123">
        <f t="shared" ref="I347:AQ347" si="144">H347+I346</f>
        <v>-5128.616584598297</v>
      </c>
      <c r="J347" s="123">
        <f t="shared" si="144"/>
        <v>-7979.398326414857</v>
      </c>
      <c r="K347" s="123">
        <f t="shared" si="144"/>
        <v>-72224.82458289863</v>
      </c>
      <c r="L347" s="123">
        <f t="shared" si="144"/>
        <v>-173339.20346454426</v>
      </c>
      <c r="M347" s="123">
        <f t="shared" si="144"/>
        <v>-235506.33338089968</v>
      </c>
      <c r="N347" s="123">
        <f t="shared" si="144"/>
        <v>-235506.33338089968</v>
      </c>
      <c r="O347" s="123">
        <f t="shared" si="144"/>
        <v>-235506.33338089968</v>
      </c>
      <c r="P347" s="123">
        <f t="shared" si="144"/>
        <v>-235506.33338089968</v>
      </c>
      <c r="Q347" s="123">
        <f t="shared" si="144"/>
        <v>-235506.33338089968</v>
      </c>
      <c r="R347" s="123">
        <f t="shared" si="144"/>
        <v>-235506.33338089968</v>
      </c>
      <c r="S347" s="123">
        <f t="shared" si="144"/>
        <v>-235506.33338089968</v>
      </c>
      <c r="T347" s="123">
        <f t="shared" si="144"/>
        <v>-235506.33338089968</v>
      </c>
      <c r="U347" s="123">
        <f t="shared" si="144"/>
        <v>-235506.33338089968</v>
      </c>
      <c r="V347" s="123">
        <f t="shared" si="144"/>
        <v>-235506.33338089968</v>
      </c>
      <c r="W347" s="123">
        <f t="shared" si="144"/>
        <v>-235506.33338089968</v>
      </c>
      <c r="X347" s="123">
        <f t="shared" si="144"/>
        <v>-235506.33338089968</v>
      </c>
      <c r="Y347" s="123">
        <f t="shared" si="144"/>
        <v>-235506.33338089968</v>
      </c>
      <c r="Z347" s="123">
        <f t="shared" si="144"/>
        <v>-235506.33338089968</v>
      </c>
      <c r="AA347" s="123">
        <f t="shared" si="144"/>
        <v>-235506.33338089968</v>
      </c>
      <c r="AB347" s="123">
        <f t="shared" si="144"/>
        <v>-235506.33338089968</v>
      </c>
      <c r="AC347" s="123">
        <f t="shared" si="144"/>
        <v>-235506.33338089968</v>
      </c>
      <c r="AD347" s="123">
        <f t="shared" si="144"/>
        <v>-235506.33338089968</v>
      </c>
      <c r="AE347" s="123">
        <f t="shared" si="144"/>
        <v>-235506.33338089968</v>
      </c>
      <c r="AF347" s="123">
        <f t="shared" si="144"/>
        <v>-235506.33338089968</v>
      </c>
      <c r="AG347" s="123">
        <f t="shared" si="144"/>
        <v>-235506.33338089968</v>
      </c>
      <c r="AH347" s="123">
        <f t="shared" si="144"/>
        <v>-235506.33338089968</v>
      </c>
      <c r="AI347" s="123">
        <f t="shared" si="144"/>
        <v>-235506.33338089968</v>
      </c>
      <c r="AJ347" s="123">
        <f t="shared" si="144"/>
        <v>-235506.33338089968</v>
      </c>
      <c r="AK347" s="123">
        <f t="shared" si="144"/>
        <v>-235506.33338089968</v>
      </c>
      <c r="AL347" s="123">
        <f t="shared" si="144"/>
        <v>-235506.33338089968</v>
      </c>
      <c r="AM347" s="123">
        <f t="shared" si="144"/>
        <v>-235506.33338089968</v>
      </c>
      <c r="AN347" s="123">
        <f t="shared" si="144"/>
        <v>-235506.33338089968</v>
      </c>
      <c r="AO347" s="123">
        <f t="shared" si="144"/>
        <v>-235506.33338089968</v>
      </c>
      <c r="AP347" s="123">
        <f t="shared" si="144"/>
        <v>-235506.33338089968</v>
      </c>
      <c r="AQ347" s="123">
        <f t="shared" si="144"/>
        <v>-235506.33338089968</v>
      </c>
    </row>
    <row r="349" spans="3:43" x14ac:dyDescent="0.25">
      <c r="C349" s="6" t="s">
        <v>2552</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x14ac:dyDescent="0.25">
      <c r="C350" t="inlineStr">
        <is>
          <t xml:space="preserve">FEP net profit (pre-tax; the gain tax of row 344, 0 while Inputs E231 = 0, attributed to FEP)</t>
        </is>
      </c>
      <c r="D350" t="s">
        <v>844</v>
      </c>
      <c r="E350" s="1"/>
      <c r="F350" s="1"/>
      <c r="G350" s="1">
        <f>G351-G344*(1-SUMPRODUCT(H334:AQ334,H385:AQ385))</f>
        <v>-235506.3333808997</v>
      </c>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spans="3:43" x14ac:dyDescent="0.25">
      <c r="C351" t="s">
        <v>725</v>
      </c>
      <c r="D351" t="s">
        <v>844</v>
      </c>
      <c r="G351">
        <f>G346</f>
        <v>-235506.3333808997</v>
      </c>
    </row>
    <row r="352" spans="3:43" x14ac:dyDescent="0.25">
      <c r="C352" s="43" t="s">
        <v>2629</v>
      </c>
      <c r="D352" s="43" t="s">
        <v>2</v>
      </c>
      <c r="E352" s="43"/>
      <c r="F352" s="43"/>
      <c r="G352" s="128" t="str">
        <f>IF(Inputs!$E$230&gt;0,IFERROR(XIRR(H359:AR359,H362:AR362),"n/a"),"n/a")</f>
        <v>n/a</v>
      </c>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row>
    <row r="353" spans="3:44" x14ac:dyDescent="0.25">
      <c r="C353" t="s">
        <v>2630</v>
      </c>
      <c r="D353" t="s">
        <v>4</v>
      </c>
      <c r="G353" s="100">
        <f>IF(G359&gt;=0,"n/a",G360/-G359)</f>
        <v>0</v>
      </c>
    </row>
    <row r="354" spans="3:44" x14ac:dyDescent="0.25">
      <c r="C354" t="s">
        <v>2553</v>
      </c>
      <c r="D354" t="s">
        <v>844</v>
      </c>
      <c r="G354" s="101" cm="1">
        <f t="array" ref="G354">SUMPRODUCT(H346:AQ346/(1+Inputs!$E$253)^H4:AQ4)</f>
        <v>-175060.0892487818</v>
      </c>
    </row>
    <row r="355" spans="3:44" x14ac:dyDescent="0.25">
      <c r="C355" t="s">
        <v>2631</v>
      </c>
      <c r="D355" t="s">
        <v>844</v>
      </c>
      <c r="G355" s="106">
        <f>-MIN(H361:AQ361)</f>
        <v>235506.33338089968</v>
      </c>
    </row>
    <row r="356" spans="3:44" x14ac:dyDescent="0.25">
      <c r="C356" t="s">
        <v>2554</v>
      </c>
      <c r="D356" t="s">
        <v>844</v>
      </c>
      <c r="G356" s="101">
        <f>G340+G341+G342</f>
        <v>0</v>
      </c>
    </row>
    <row r="357" spans="3:44" x14ac:dyDescent="0.25">
      <c r="C357" t="s">
        <v>2555</v>
      </c>
      <c r="D357" t="s">
        <v>844</v>
      </c>
      <c r="G357" s="106">
        <f>-G341</f>
        <v>-0</v>
      </c>
    </row>
    <row r="358" spans="3:44" x14ac:dyDescent="0.25">
      <c r="C358" t="s">
        <v>2556</v>
      </c>
      <c r="D358" t="s">
        <v>57</v>
      </c>
      <c r="G358" s="101" t="str">
        <f>IF(Inputs!$E$230=0,"n/a – no COD sale",IF(SUM(H334:AQ334)=1,"OK","FAIL"))</f>
        <v>n/a – no COD sale</v>
      </c>
      <c r="AR358" t="s">
        <v>2628</v>
      </c>
    </row>
    <row r="359" x14ac:dyDescent="0.25">
      <c r="C359" t="inlineStr">
        <is>
          <t xml:space="preserve">FEP contributions before the sale (rows 335–339, FEP funds 100 % as on the RtB route; after the community purchase, rows 385–386) – not netted with sale proceeds</t>
        </is>
      </c>
      <c r="D359" t="s">
        <v>844</v>
      </c>
      <c r="E359" s="1"/>
      <c r="F359" s="1"/>
      <c r="G359" s="1">
        <f>SUM(H359:AQ359)</f>
        <v>-235506.3333808997</v>
      </c>
      <c r="H359" s="1">
        <f>SUM(H335:H339)*(1-H385)+H386</f>
        <v>-3175.234818585709</v>
      </c>
      <c r="I359" s="1">
        <f>SUM(I335:I339)*(1-I385)+I386</f>
        <v>-1953.381766012588</v>
      </c>
      <c r="J359" s="1">
        <f>SUM(J335:J339)*(1-J385)+J386</f>
        <v>-2850.781741816561</v>
      </c>
      <c r="K359" s="1">
        <f>SUM(K335:K339)*(1-K385)+K386</f>
        <v>-64245.42625648377</v>
      </c>
      <c r="L359" s="1">
        <f>SUM(L335:L339)*(1-L385)+L386</f>
        <v>-101114.37888164565</v>
      </c>
      <c r="M359" s="1">
        <f>SUM(M335:M339)*(1-M385)+M386</f>
        <v>-62167.129916355414</v>
      </c>
      <c r="N359" s="1">
        <f>SUM(N335:N339)*(1-N385)+N386</f>
        <v>0</v>
      </c>
      <c r="O359" s="1">
        <f>SUM(O335:O339)*(1-O385)+O386</f>
        <v>0</v>
      </c>
      <c r="P359" s="1">
        <f>SUM(P335:P339)*(1-P385)+P386</f>
        <v>0</v>
      </c>
      <c r="Q359" s="1">
        <f>SUM(Q335:Q339)*(1-Q385)+Q386</f>
        <v>0</v>
      </c>
      <c r="R359" s="1">
        <f>SUM(R335:R339)*(1-R385)+R386</f>
        <v>0</v>
      </c>
      <c r="S359" s="1">
        <f>SUM(S335:S339)*(1-S385)+S386</f>
        <v>0</v>
      </c>
      <c r="T359" s="1">
        <f>SUM(T335:T339)*(1-T385)+T386</f>
        <v>0</v>
      </c>
      <c r="U359" s="1">
        <f>SUM(U335:U339)*(1-U385)+U386</f>
        <v>0</v>
      </c>
      <c r="V359" s="1">
        <f>SUM(V335:V339)*(1-V385)+V386</f>
        <v>0</v>
      </c>
      <c r="W359" s="1">
        <f>SUM(W335:W339)*(1-W385)+W386</f>
        <v>0</v>
      </c>
      <c r="X359" s="1">
        <f>SUM(X335:X339)*(1-X385)+X386</f>
        <v>0</v>
      </c>
      <c r="Y359" s="1">
        <f>SUM(Y335:Y339)*(1-Y385)+Y386</f>
        <v>0</v>
      </c>
      <c r="Z359" s="1">
        <f>SUM(Z335:Z339)*(1-Z385)+Z386</f>
        <v>0</v>
      </c>
      <c r="AA359" s="1">
        <f>SUM(AA335:AA339)*(1-AA385)+AA386</f>
        <v>0</v>
      </c>
      <c r="AB359" s="1">
        <f>SUM(AB335:AB339)*(1-AB385)+AB386</f>
        <v>0</v>
      </c>
      <c r="AC359" s="1">
        <f>SUM(AC335:AC339)*(1-AC385)+AC386</f>
        <v>0</v>
      </c>
      <c r="AD359" s="1">
        <f>SUM(AD335:AD339)*(1-AD385)+AD386</f>
        <v>0</v>
      </c>
      <c r="AE359" s="1">
        <f>SUM(AE335:AE339)*(1-AE385)+AE386</f>
        <v>0</v>
      </c>
      <c r="AF359" s="1">
        <f>SUM(AF335:AF339)*(1-AF385)+AF386</f>
        <v>0</v>
      </c>
      <c r="AG359" s="1">
        <f>SUM(AG335:AG339)*(1-AG385)+AG386</f>
        <v>0</v>
      </c>
      <c r="AH359" s="1">
        <f>SUM(AH335:AH339)*(1-AH385)+AH386</f>
        <v>0</v>
      </c>
      <c r="AI359" s="1">
        <f>SUM(AI335:AI339)*(1-AI385)+AI386</f>
        <v>0</v>
      </c>
      <c r="AJ359" s="1">
        <f>SUM(AJ335:AJ339)*(1-AJ385)+AJ386</f>
        <v>0</v>
      </c>
      <c r="AK359" s="1">
        <f>SUM(AK335:AK339)*(1-AK385)+AK386</f>
        <v>0</v>
      </c>
      <c r="AL359" s="1">
        <f>SUM(AL335:AL339)*(1-AL385)+AL386</f>
        <v>0</v>
      </c>
      <c r="AM359" s="1">
        <f>SUM(AM335:AM339)*(1-AM385)+AM386</f>
        <v>0</v>
      </c>
      <c r="AN359" s="1">
        <f>SUM(AN335:AN339)*(1-AN385)+AN386</f>
        <v>0</v>
      </c>
      <c r="AO359" s="1">
        <f>SUM(AO335:AO339)*(1-AO385)+AO386</f>
        <v>0</v>
      </c>
      <c r="AP359" s="1">
        <f>SUM(AP335:AP339)*(1-AP385)+AP386</f>
        <v>0</v>
      </c>
      <c r="AQ359" s="1">
        <f>SUM(AQ335:AQ339)*(1-AQ385)+AQ386</f>
        <v>0</v>
      </c>
      <c r="AR359" s="1">
        <f>G360</f>
        <v>0</v>
      </c>
    </row>
    <row r="360" x14ac:dyDescent="0.25">
      <c r="C360" t="inlineStr">
        <is>
          <t xml:space="preserve">FEP proceeds at COD (waterfall row 372; × (1 − community share, row 385))</t>
        </is>
      </c>
      <c r="D360" t="s">
        <v>844</v>
      </c>
      <c r="E360" s="1"/>
      <c r="F360" s="1"/>
      <c r="G360" s="1">
        <f>SUM(H360:AQ360)</f>
        <v>0</v>
      </c>
      <c r="H360" s="1">
        <f>H334*$G$372*(1-H385)</f>
        <v>0</v>
      </c>
      <c r="I360" s="1">
        <f>I334*$G$372*(1-I385)</f>
        <v>0</v>
      </c>
      <c r="J360" s="1">
        <f>J334*$G$372*(1-J385)</f>
        <v>0</v>
      </c>
      <c r="K360" s="1">
        <f>K334*$G$372*(1-K385)</f>
        <v>0</v>
      </c>
      <c r="L360" s="1">
        <f>L334*$G$372*(1-L385)</f>
        <v>0</v>
      </c>
      <c r="M360" s="1">
        <f>M334*$G$372*(1-M385)</f>
        <v>0</v>
      </c>
      <c r="N360" s="1">
        <f>N334*$G$372*(1-N385)</f>
        <v>0</v>
      </c>
      <c r="O360" s="1">
        <f>O334*$G$372*(1-O385)</f>
        <v>0</v>
      </c>
      <c r="P360" s="1">
        <f>P334*$G$372*(1-P385)</f>
        <v>0</v>
      </c>
      <c r="Q360" s="1">
        <f>Q334*$G$372*(1-Q385)</f>
        <v>0</v>
      </c>
      <c r="R360" s="1">
        <f>R334*$G$372*(1-R385)</f>
        <v>0</v>
      </c>
      <c r="S360" s="1">
        <f>S334*$G$372*(1-S385)</f>
        <v>0</v>
      </c>
      <c r="T360" s="1">
        <f>T334*$G$372*(1-T385)</f>
        <v>0</v>
      </c>
      <c r="U360" s="1">
        <f>U334*$G$372*(1-U385)</f>
        <v>0</v>
      </c>
      <c r="V360" s="1">
        <f>V334*$G$372*(1-V385)</f>
        <v>0</v>
      </c>
      <c r="W360" s="1">
        <f>W334*$G$372*(1-W385)</f>
        <v>0</v>
      </c>
      <c r="X360" s="1">
        <f>X334*$G$372*(1-X385)</f>
        <v>0</v>
      </c>
      <c r="Y360" s="1">
        <f>Y334*$G$372*(1-Y385)</f>
        <v>0</v>
      </c>
      <c r="Z360" s="1">
        <f>Z334*$G$372*(1-Z385)</f>
        <v>0</v>
      </c>
      <c r="AA360" s="1">
        <f>AA334*$G$372*(1-AA385)</f>
        <v>0</v>
      </c>
      <c r="AB360" s="1">
        <f>AB334*$G$372*(1-AB385)</f>
        <v>0</v>
      </c>
      <c r="AC360" s="1">
        <f>AC334*$G$372*(1-AC385)</f>
        <v>0</v>
      </c>
      <c r="AD360" s="1">
        <f>AD334*$G$372*(1-AD385)</f>
        <v>0</v>
      </c>
      <c r="AE360" s="1">
        <f>AE334*$G$372*(1-AE385)</f>
        <v>0</v>
      </c>
      <c r="AF360" s="1">
        <f>AF334*$G$372*(1-AF385)</f>
        <v>0</v>
      </c>
      <c r="AG360" s="1">
        <f>AG334*$G$372*(1-AG385)</f>
        <v>0</v>
      </c>
      <c r="AH360" s="1">
        <f>AH334*$G$372*(1-AH385)</f>
        <v>0</v>
      </c>
      <c r="AI360" s="1">
        <f>AI334*$G$372*(1-AI385)</f>
        <v>0</v>
      </c>
      <c r="AJ360" s="1">
        <f>AJ334*$G$372*(1-AJ385)</f>
        <v>0</v>
      </c>
      <c r="AK360" s="1">
        <f>AK334*$G$372*(1-AK385)</f>
        <v>0</v>
      </c>
      <c r="AL360" s="1">
        <f>AL334*$G$372*(1-AL385)</f>
        <v>0</v>
      </c>
      <c r="AM360" s="1">
        <f>AM334*$G$372*(1-AM385)</f>
        <v>0</v>
      </c>
      <c r="AN360" s="1">
        <f>AN334*$G$372*(1-AN385)</f>
        <v>0</v>
      </c>
      <c r="AO360" s="1">
        <f>AO334*$G$372*(1-AO385)</f>
        <v>0</v>
      </c>
      <c r="AP360" s="1">
        <f>AP334*$G$372*(1-AP385)</f>
        <v>0</v>
      </c>
      <c r="AQ360" s="1">
        <f>AQ334*$G$372*(1-AQ385)</f>
        <v>0</v>
      </c>
      <c r="AR360" s="1"/>
    </row>
    <row r="361" spans="3:44" x14ac:dyDescent="0.25">
      <c r="C361" t="s">
        <v>2626</v>
      </c>
      <c r="D361" t="s">
        <v>844</v>
      </c>
      <c r="E361" s="1"/>
      <c r="F361" s="1"/>
      <c r="G361" s="1">
        <v>0</v>
      </c>
      <c r="H361" s="1">
        <f>G361+H359</f>
        <v>-3175.234818585709</v>
      </c>
      <c r="I361" s="1">
        <f t="shared" ref="I361:AQ361" si="147">H361+I359</f>
        <v>-5128.616584598297</v>
      </c>
      <c r="J361" s="1">
        <f t="shared" si="147"/>
        <v>-7979.398326414857</v>
      </c>
      <c r="K361" s="1">
        <f t="shared" si="147"/>
        <v>-72224.82458289863</v>
      </c>
      <c r="L361" s="1">
        <f t="shared" si="147"/>
        <v>-173339.20346454426</v>
      </c>
      <c r="M361" s="1">
        <f t="shared" si="147"/>
        <v>-235506.33338089968</v>
      </c>
      <c r="N361" s="1">
        <f t="shared" si="147"/>
        <v>-235506.33338089968</v>
      </c>
      <c r="O361" s="1">
        <f t="shared" si="147"/>
        <v>-235506.33338089968</v>
      </c>
      <c r="P361" s="1">
        <f t="shared" si="147"/>
        <v>-235506.33338089968</v>
      </c>
      <c r="Q361" s="1">
        <f t="shared" si="147"/>
        <v>-235506.33338089968</v>
      </c>
      <c r="R361" s="1">
        <f t="shared" si="147"/>
        <v>-235506.33338089968</v>
      </c>
      <c r="S361" s="1">
        <f t="shared" si="147"/>
        <v>-235506.33338089968</v>
      </c>
      <c r="T361" s="1">
        <f t="shared" si="147"/>
        <v>-235506.33338089968</v>
      </c>
      <c r="U361" s="1">
        <f t="shared" si="147"/>
        <v>-235506.33338089968</v>
      </c>
      <c r="V361" s="1">
        <f t="shared" si="147"/>
        <v>-235506.33338089968</v>
      </c>
      <c r="W361" s="1">
        <f t="shared" si="147"/>
        <v>-235506.33338089968</v>
      </c>
      <c r="X361" s="1">
        <f t="shared" si="147"/>
        <v>-235506.33338089968</v>
      </c>
      <c r="Y361" s="1">
        <f t="shared" si="147"/>
        <v>-235506.33338089968</v>
      </c>
      <c r="Z361" s="1">
        <f t="shared" si="147"/>
        <v>-235506.33338089968</v>
      </c>
      <c r="AA361" s="1">
        <f t="shared" si="147"/>
        <v>-235506.33338089968</v>
      </c>
      <c r="AB361" s="1">
        <f t="shared" si="147"/>
        <v>-235506.33338089968</v>
      </c>
      <c r="AC361" s="1">
        <f t="shared" si="147"/>
        <v>-235506.33338089968</v>
      </c>
      <c r="AD361" s="1">
        <f t="shared" si="147"/>
        <v>-235506.33338089968</v>
      </c>
      <c r="AE361" s="1">
        <f t="shared" si="147"/>
        <v>-235506.33338089968</v>
      </c>
      <c r="AF361" s="1">
        <f t="shared" si="147"/>
        <v>-235506.33338089968</v>
      </c>
      <c r="AG361" s="1">
        <f t="shared" si="147"/>
        <v>-235506.33338089968</v>
      </c>
      <c r="AH361" s="1">
        <f t="shared" si="147"/>
        <v>-235506.33338089968</v>
      </c>
      <c r="AI361" s="1">
        <f t="shared" si="147"/>
        <v>-235506.33338089968</v>
      </c>
      <c r="AJ361" s="1">
        <f t="shared" si="147"/>
        <v>-235506.33338089968</v>
      </c>
      <c r="AK361" s="1">
        <f t="shared" si="147"/>
        <v>-235506.33338089968</v>
      </c>
      <c r="AL361" s="1">
        <f t="shared" si="147"/>
        <v>-235506.33338089968</v>
      </c>
      <c r="AM361" s="1">
        <f t="shared" si="147"/>
        <v>-235506.33338089968</v>
      </c>
      <c r="AN361" s="1">
        <f t="shared" si="147"/>
        <v>-235506.33338089968</v>
      </c>
      <c r="AO361" s="1">
        <f t="shared" si="147"/>
        <v>-235506.33338089968</v>
      </c>
      <c r="AP361" s="1">
        <f t="shared" si="147"/>
        <v>-235506.33338089968</v>
      </c>
      <c r="AQ361" s="1">
        <f t="shared" si="147"/>
        <v>-235506.33338089968</v>
      </c>
      <c r="AR361" s="1"/>
    </row>
    <row r="362" spans="3:44" x14ac:dyDescent="0.25">
      <c r="C362" t="s">
        <v>2627</v>
      </c>
      <c r="D362" t="s">
        <v>15</v>
      </c>
      <c r="E362" s="1"/>
      <c r="F362" s="1"/>
      <c r="G362" s="3"/>
      <c r="H362" s="497">
        <f>(MAX(DATE(H$5,1,1),Inputs!$E$27)+MAX(MIN(DATE(H$5,12,31),Inputs!$E$155),DATE(H$5,1,1)))/2</f>
        <v>46310.5</v>
      </c>
      <c r="I362" s="497">
        <f>(MAX(DATE(I$5,1,1),Inputs!$E$27)+MAX(MIN(DATE(I$5,12,31),Inputs!$E$155),DATE(I$5,1,1)))/2</f>
        <v>46570</v>
      </c>
      <c r="J362" s="497">
        <f>(MAX(DATE(J$5,1,1),Inputs!$E$27)+MAX(MIN(DATE(J$5,12,31),Inputs!$E$155),DATE(J$5,1,1)))/2</f>
        <v>46935.5</v>
      </c>
      <c r="K362" s="497">
        <f>(MAX(DATE(K$5,1,1),Inputs!$E$27)+MAX(MIN(DATE(K$5,12,31),Inputs!$E$155),DATE(K$5,1,1)))/2</f>
        <v>47301</v>
      </c>
      <c r="L362" s="497">
        <f>(MAX(DATE(L$5,1,1),Inputs!$E$27)+MAX(MIN(DATE(L$5,12,31),Inputs!$E$155),DATE(L$5,1,1)))/2</f>
        <v>47666</v>
      </c>
      <c r="M362" s="497">
        <f>(MAX(DATE(M$5,1,1),Inputs!$E$27)+MAX(MIN(DATE(M$5,12,31),Inputs!$E$155),DATE(M$5,1,1)))/2</f>
        <v>47985</v>
      </c>
      <c r="N362" s="497">
        <f>(MAX(DATE(N$5,1,1),Inputs!$E$27)+MAX(MIN(DATE(N$5,12,31),Inputs!$E$155),DATE(N$5,1,1)))/2</f>
        <v>48214</v>
      </c>
      <c r="O362" s="497">
        <f>(MAX(DATE(O$5,1,1),Inputs!$E$27)+MAX(MIN(DATE(O$5,12,31),Inputs!$E$155),DATE(O$5,1,1)))/2</f>
        <v>48580</v>
      </c>
      <c r="P362" s="497">
        <f>(MAX(DATE(P$5,1,1),Inputs!$E$27)+MAX(MIN(DATE(P$5,12,31),Inputs!$E$155),DATE(P$5,1,1)))/2</f>
        <v>48945</v>
      </c>
      <c r="Q362" s="497">
        <f>(MAX(DATE(Q$5,1,1),Inputs!$E$27)+MAX(MIN(DATE(Q$5,12,31),Inputs!$E$155),DATE(Q$5,1,1)))/2</f>
        <v>49310</v>
      </c>
      <c r="R362" s="497">
        <f>(MAX(DATE(R$5,1,1),Inputs!$E$27)+MAX(MIN(DATE(R$5,12,31),Inputs!$E$155),DATE(R$5,1,1)))/2</f>
        <v>49675</v>
      </c>
      <c r="S362" s="497">
        <f>(MAX(DATE(S$5,1,1),Inputs!$E$27)+MAX(MIN(DATE(S$5,12,31),Inputs!$E$155),DATE(S$5,1,1)))/2</f>
        <v>50041</v>
      </c>
      <c r="T362" s="497">
        <f>(MAX(DATE(T$5,1,1),Inputs!$E$27)+MAX(MIN(DATE(T$5,12,31),Inputs!$E$155),DATE(T$5,1,1)))/2</f>
        <v>50406</v>
      </c>
      <c r="U362" s="497">
        <f>(MAX(DATE(U$5,1,1),Inputs!$E$27)+MAX(MIN(DATE(U$5,12,31),Inputs!$E$155),DATE(U$5,1,1)))/2</f>
        <v>50771</v>
      </c>
      <c r="V362" s="497">
        <f>(MAX(DATE(V$5,1,1),Inputs!$E$27)+MAX(MIN(DATE(V$5,12,31),Inputs!$E$155),DATE(V$5,1,1)))/2</f>
        <v>51136</v>
      </c>
      <c r="W362" s="497">
        <f>(MAX(DATE(W$5,1,1),Inputs!$E$27)+MAX(MIN(DATE(W$5,12,31),Inputs!$E$155),DATE(W$5,1,1)))/2</f>
        <v>51502</v>
      </c>
      <c r="X362" s="497">
        <f>(MAX(DATE(X$5,1,1),Inputs!$E$27)+MAX(MIN(DATE(X$5,12,31),Inputs!$E$155),DATE(X$5,1,1)))/2</f>
        <v>51867</v>
      </c>
      <c r="Y362" s="497">
        <f>(MAX(DATE(Y$5,1,1),Inputs!$E$27)+MAX(MIN(DATE(Y$5,12,31),Inputs!$E$155),DATE(Y$5,1,1)))/2</f>
        <v>52232</v>
      </c>
      <c r="Z362" s="497">
        <f>(MAX(DATE(Z$5,1,1),Inputs!$E$27)+MAX(MIN(DATE(Z$5,12,31),Inputs!$E$155),DATE(Z$5,1,1)))/2</f>
        <v>52597</v>
      </c>
      <c r="AA362" s="497">
        <f>(MAX(DATE(AA$5,1,1),Inputs!$E$27)+MAX(MIN(DATE(AA$5,12,31),Inputs!$E$155),DATE(AA$5,1,1)))/2</f>
        <v>52963</v>
      </c>
      <c r="AB362" s="497">
        <f>(MAX(DATE(AB$5,1,1),Inputs!$E$27)+MAX(MIN(DATE(AB$5,12,31),Inputs!$E$155),DATE(AB$5,1,1)))/2</f>
        <v>53328</v>
      </c>
      <c r="AC362" s="497">
        <f>(MAX(DATE(AC$5,1,1),Inputs!$E$27)+MAX(MIN(DATE(AC$5,12,31),Inputs!$E$155),DATE(AC$5,1,1)))/2</f>
        <v>53693</v>
      </c>
      <c r="AD362" s="497">
        <f>(MAX(DATE(AD$5,1,1),Inputs!$E$27)+MAX(MIN(DATE(AD$5,12,31),Inputs!$E$155),DATE(AD$5,1,1)))/2</f>
        <v>54058</v>
      </c>
      <c r="AE362" s="497">
        <f>(MAX(DATE(AE$5,1,1),Inputs!$E$27)+MAX(MIN(DATE(AE$5,12,31),Inputs!$E$155),DATE(AE$5,1,1)))/2</f>
        <v>54424</v>
      </c>
      <c r="AF362" s="497">
        <f>(MAX(DATE(AF$5,1,1),Inputs!$E$27)+MAX(MIN(DATE(AF$5,12,31),Inputs!$E$155),DATE(AF$5,1,1)))/2</f>
        <v>54789</v>
      </c>
      <c r="AG362" s="497">
        <f>(MAX(DATE(AG$5,1,1),Inputs!$E$27)+MAX(MIN(DATE(AG$5,12,31),Inputs!$E$155),DATE(AG$5,1,1)))/2</f>
        <v>55154</v>
      </c>
      <c r="AH362" s="497">
        <f>(MAX(DATE(AH$5,1,1),Inputs!$E$27)+MAX(MIN(DATE(AH$5,12,31),Inputs!$E$155),DATE(AH$5,1,1)))/2</f>
        <v>55519</v>
      </c>
      <c r="AI362" s="497">
        <f>(MAX(DATE(AI$5,1,1),Inputs!$E$27)+MAX(MIN(DATE(AI$5,12,31),Inputs!$E$155),DATE(AI$5,1,1)))/2</f>
        <v>55885</v>
      </c>
      <c r="AJ362" s="497">
        <f>(MAX(DATE(AJ$5,1,1),Inputs!$E$27)+MAX(MIN(DATE(AJ$5,12,31),Inputs!$E$155),DATE(AJ$5,1,1)))/2</f>
        <v>56250</v>
      </c>
      <c r="AK362" s="497">
        <f>(MAX(DATE(AK$5,1,1),Inputs!$E$27)+MAX(MIN(DATE(AK$5,12,31),Inputs!$E$155),DATE(AK$5,1,1)))/2</f>
        <v>56615</v>
      </c>
      <c r="AL362" s="497">
        <f>(MAX(DATE(AL$5,1,1),Inputs!$E$27)+MAX(MIN(DATE(AL$5,12,31),Inputs!$E$155),DATE(AL$5,1,1)))/2</f>
        <v>56980</v>
      </c>
      <c r="AM362" s="497">
        <f>(MAX(DATE(AM$5,1,1),Inputs!$E$27)+MAX(MIN(DATE(AM$5,12,31),Inputs!$E$155),DATE(AM$5,1,1)))/2</f>
        <v>57346</v>
      </c>
      <c r="AN362" s="497">
        <f>(MAX(DATE(AN$5,1,1),Inputs!$E$27)+MAX(MIN(DATE(AN$5,12,31),Inputs!$E$155),DATE(AN$5,1,1)))/2</f>
        <v>57711</v>
      </c>
      <c r="AO362" s="497">
        <f>(MAX(DATE(AO$5,1,1),Inputs!$E$27)+MAX(MIN(DATE(AO$5,12,31),Inputs!$E$155),DATE(AO$5,1,1)))/2</f>
        <v>58076</v>
      </c>
      <c r="AP362" s="497">
        <f>(MAX(DATE(AP$5,1,1),Inputs!$E$27)+MAX(MIN(DATE(AP$5,12,31),Inputs!$E$155),DATE(AP$5,1,1)))/2</f>
        <v>58441</v>
      </c>
      <c r="AQ362" s="497">
        <f>(MAX(DATE(AQ$5,1,1),Inputs!$E$27)+MAX(MIN(DATE(AQ$5,12,31),Inputs!$E$155),DATE(AQ$5,1,1)))/2</f>
        <v>58807</v>
      </c>
      <c r="AR362" s="497">
        <f>Inputs!$E$155</f>
        <v>48121</v>
      </c>
    </row>
    <row r="364">
      <c r="C364" s="43" t="inlineStr">
        <is>
          <t xml:space="preserve">17b. FEP proceeds at COD – the RtB route's JV waterfall (MOIC rows 145–154): FEP funds 100 %, JV on the proceeds after FEP's funding and its Stage-1 returns</t>
        </is>
      </c>
    </row>
    <row r="365">
      <c r="C365" t="inlineStr">
        <is>
          <t xml:space="preserve">Net equity proceeds at COD (rows 340–342 + 344: price − debt − sale costs − tax)</t>
        </is>
      </c>
      <c r="D365" t="inlineStr">
        <is>
          <t xml:space="preserve">k€</t>
        </is>
      </c>
      <c r="G365" s="1">
        <f>G340+G341+G342+G344</f>
        <v>0</v>
      </c>
    </row>
    <row r="366">
      <c r="C366" t="inlineStr">
        <is>
          <t xml:space="preserve">Less: FEP's funding returned at cost as MOIC G147 / G148 (rows 335–339 excl. signing fee / DD G17, guarantee fees G23 and, if Inputs E71 = 0, the at-risk principal: devex excl. land, MOIC G124) – in full; 0 unless the COD sale is live (Inputs E230 &gt; 0)</t>
        </is>
      </c>
      <c r="D366" t="inlineStr">
        <is>
          <t xml:space="preserve">k€</t>
        </is>
      </c>
      <c r="G366" s="1">
        <f>-(-SUM(H335:AQ339)+G17+G23+(1-Inputs!$E$71)*(G16+(MOIC!$G$20-MOIC!$G$124)*$E$15))*(Inputs!$E$230&gt;0)</f>
        <v>-0</v>
      </c>
    </row>
    <row r="367">
      <c r="C367" t="inlineStr">
        <is>
          <t xml:space="preserve">Less: FEP's Stage-1 returns accrued to the COD sale date, interest pause excluded (Deposits AF22:AF24 + MOIC G280) – in full</t>
        </is>
      </c>
      <c r="D367" t="inlineStr">
        <is>
          <t xml:space="preserve">k€</t>
        </is>
      </c>
      <c r="G367" s="1">
        <f>-(SUM(Deposits!$AF$22:$AF$24)+MOIC!$G$280)*(Inputs!$E$230&gt;0)</f>
        <v>-0</v>
      </c>
    </row>
    <row r="368">
      <c r="C368" t="inlineStr">
        <is>
          <t xml:space="preserve">Less: developer success fee / DSA accrued to the COD sale date (row 375; unless already paid in row 20) – in full</t>
        </is>
      </c>
      <c r="D368" t="inlineStr">
        <is>
          <t xml:space="preserve">k€</t>
        </is>
      </c>
      <c r="G368" s="1">
        <f>-G375*(1-$E$20)*(Inputs!$E$230&gt;0)</f>
        <v>-0</v>
      </c>
    </row>
    <row r="369">
      <c r="C369" t="inlineStr">
        <is>
          <t xml:space="preserve">Distributable proceeds (BORA_Devex V38: no floor – a negative amount is shared)</t>
        </is>
      </c>
      <c r="D369" t="inlineStr">
        <is>
          <t xml:space="preserve">k€</t>
        </is>
      </c>
      <c r="G369" s="1">
        <f>G365+G366+G367+G368</f>
        <v>0</v>
      </c>
    </row>
    <row r="370">
      <c r="C370" t="inlineStr">
        <is>
          <t xml:space="preserve">To FEP (distributable − developer share)</t>
        </is>
      </c>
      <c r="D370" t="inlineStr">
        <is>
          <t xml:space="preserve">k€</t>
        </is>
      </c>
      <c r="G370" s="1">
        <f>G369-G371</f>
        <v>0</v>
      </c>
    </row>
    <row r="371">
      <c r="C371" t="inlineStr">
        <is>
          <t xml:space="preserve">To the developer (× Inputs E34, floored at −success fee: the developer's total ≥ 0 – BORA_Devex silent)</t>
        </is>
      </c>
      <c r="D371" t="inlineStr">
        <is>
          <t xml:space="preserve">k€</t>
        </is>
      </c>
      <c r="G371" s="1">
        <f>MAX(G368,G369*Inputs!$E$34)</f>
        <v>0</v>
      </c>
    </row>
    <row r="372">
      <c r="C372" t="inlineStr">
        <is>
          <t xml:space="preserve">FEP proceeds at COD (rows 366 + 367 + 370)</t>
        </is>
      </c>
      <c r="D372" t="inlineStr">
        <is>
          <t xml:space="preserve">k€</t>
        </is>
      </c>
      <c r="G372" s="1">
        <f>-G366-G367+G370</f>
        <v>0</v>
      </c>
    </row>
    <row r="373">
      <c r="C373" t="inlineStr">
        <is>
          <t xml:space="preserve">Developer proceeds at COD (success fee + share)</t>
        </is>
      </c>
      <c r="D373" t="inlineStr">
        <is>
          <t xml:space="preserve">k€</t>
        </is>
      </c>
      <c r="G373" s="1">
        <f>-G368+G371</f>
        <v>0</v>
      </c>
    </row>
    <row r="374">
      <c r="C374" t="inlineStr">
        <is>
          <t xml:space="preserve">Check: FEP cash = 100 % contributions (rows 335–339) + net proceeds − developer proceeds − community's take (row 387); proceeds in the COD year (HTM row 5 vs Inputs E155)</t>
        </is>
      </c>
      <c r="D374" t="inlineStr">
        <is>
          <t xml:space="preserve">Status</t>
        </is>
      </c>
      <c r="G374" s="6" t="str">
        <f>IF(ABS(SUM(H346:AQ346)+G387-SUM(H335:AQ339)-G365+G373)+ABS(SUMPRODUCT((H5:AQ5=YEAR(Inputs!$E$155))*H360:AQ360)-G372*(1-SUMPRODUCT(H334:AQ334,H385:AQ385)))&lt;=Tender!$E$32,"OK","FAIL")</f>
        <v>OK</v>
      </c>
    </row>
    <row r="375">
      <c r="C375" t="inlineStr">
        <is>
          <t xml:space="preserve">Developer success fee accrued to the COD sale date (MOIC row 23 rule: Inputs E36 p.a. from E70, cap E37, × E38 × installed wind MW E29 – DSA on installed MW per BORA_Devex – user 09-Oct-26; to Inputs E155)</t>
        </is>
      </c>
      <c r="D375" t="inlineStr">
        <is>
          <t xml:space="preserve">k€</t>
        </is>
      </c>
      <c r="G375" s="1">
        <f>Inputs!$E$38*MIN(Inputs!$E$37,Inputs!$E$36*YEARFRAC(Inputs!$E$70,MAX(Inputs!$E$70,Inputs!$E$155)))*Inputs!$E$29</f>
        <v>2610</v>
      </c>
    </row>
    <row r="376">
      <c r="C376" t="inlineStr">
        <is>
          <t xml:space="preserve">Memo: the same rule to the RtB sale date (Inputs E58) – must equal MOIC G25 (MOIC's monthly accrual)</t>
        </is>
      </c>
      <c r="D376" t="inlineStr">
        <is>
          <t xml:space="preserve">k€</t>
        </is>
      </c>
      <c r="G376" s="1">
        <f>Inputs!$E$38*MIN(Inputs!$E$37,Inputs!$E$36*YEARFRAC(Inputs!$E$70,MAX(Inputs!$E$70,Inputs!$E$58)))*Inputs!$E$29</f>
        <v>2238.4375</v>
      </c>
    </row>
    <row r="377">
      <c r="C377" t="inlineStr">
        <is>
          <t xml:space="preserve">Check: developer share = MAX(−fee, distributable × MOIC E154); Stage-1 returns = Σ Deposits O × (AC × AD − 1) + MOIC G280</t>
        </is>
      </c>
      <c r="D377" t="inlineStr">
        <is>
          <t xml:space="preserve">Status</t>
        </is>
      </c>
      <c r="G377" s="6" t="str">
        <f>IF(ABS(G371-MAX(G368,G369*MOIC!$E$154))+ABS(G367+(Inputs!$E$230&gt;0)*(SUMPRODUCT(Deposits!$O$7:$O$18,Deposits!$AC$7:$AC$18*Deposits!$AD$7:$AD$18-1)+MOIC!$G$280))&lt;=Tender!$E$32,"OK","FAIL")</f>
        <v>OK</v>
      </c>
    </row>
    <row r="378">
      <c r="C378" t="inlineStr">
        <is>
          <t xml:space="preserve">Check: success fee = row 375 in full; row 376 = MOIC G25 (independent: MOIC's monthly accrual schedule)</t>
        </is>
      </c>
      <c r="D378" t="inlineStr">
        <is>
          <t xml:space="preserve">Status</t>
        </is>
      </c>
      <c r="G378" s="6" t="str">
        <f>IF(ABS(G368+G375*(1-$E$20)*(Inputs!$E$230&gt;0))+ABS(G376-MOIC!$G$25)&lt;=Tender!$E$32,"OK","FAIL")</f>
        <v>OK</v>
      </c>
    </row>
    <row r="379">
      <c r="C379" t="inlineStr">
        <is>
          <t xml:space="preserve">Check: funding repaid = MOIC's repayable principal (rows 336–339 + HTM rows 18–22 + MOIC G20 − G124, or + G125 if Inputs E71 = 1)</t>
        </is>
      </c>
      <c r="D379" t="inlineStr">
        <is>
          <t xml:space="preserve">Status</t>
        </is>
      </c>
      <c r="G379" s="6" t="str">
        <f>IF(ABS(G366-(Inputs!$E$230&gt;0)*(SUM(H336:AQ339)+SUM(H18:AQ22)-$E$15*(MOIC!$G$20-MOIC!$G$124+Inputs!$E$71*(MOIC!$G$125-MOIC!$G$20+MOIC!$G$124))))&lt;=Tender!$E$32,"OK","FAIL")</f>
        <v>OK</v>
      </c>
    </row>
    <row r="380">
      <c r="C380" t="inlineStr">
        <is>
          <t xml:space="preserve">Memo (info, not a check): loss beyond the developer's success fee borne by FEP on the COD route (developer's total floored at 0; as MOIC G156)</t>
        </is>
      </c>
      <c r="D380" t="inlineStr">
        <is>
          <t xml:space="preserve">k€</t>
        </is>
      </c>
      <c r="G380" s="1">
        <f>G371-G369*Inputs!$E$34</f>
        <v>0</v>
      </c>
    </row>
    <row r="381">
      <c r="C381" s="43" t="inlineStr">
        <is>
          <t xml:space="preserve">17c. Community purchase right (Tender section 9; kiírás VII.18–25) – default off. Annual sheet: effective at the end of the exercise year (E382); F382 = live share</t>
        </is>
      </c>
    </row>
    <row r="382">
      <c r="C382" t="inlineStr">
        <is>
          <t xml:space="preserve">Exercise year (E) / live share (F)</t>
        </is>
      </c>
      <c r="E382" s="128">
        <f>Tender!$E$366</f>
        <v>2028</v>
      </c>
      <c r="F382" s="128">
        <f>Tender!$E$364</f>
        <v>0</v>
      </c>
    </row>
    <row r="383">
      <c r="C383" t="inlineStr">
        <is>
          <t xml:space="preserve">Hold to maturity: community share of FEP's equity flows (years after the exercise year)</t>
        </is>
      </c>
      <c r="D383" t="inlineStr">
        <is>
          <t xml:space="preserve">x</t>
        </is>
      </c>
      <c r="H383" s="1">
        <f>$F$382*(H$5&gt;$E$382)</f>
        <v>0</v>
      </c>
      <c r="I383" s="1">
        <f>$F$382*(I$5&gt;$E$382)</f>
        <v>0</v>
      </c>
      <c r="J383" s="1">
        <f>$F$382*(J$5&gt;$E$382)</f>
        <v>0</v>
      </c>
      <c r="K383" s="1">
        <f>$F$382*(K$5&gt;$E$382)</f>
        <v>0</v>
      </c>
      <c r="L383" s="1">
        <f>$F$382*(L$5&gt;$E$382)</f>
        <v>0</v>
      </c>
      <c r="M383" s="1">
        <f>$F$382*(M$5&gt;$E$382)</f>
        <v>0</v>
      </c>
      <c r="N383" s="1">
        <f>$F$382*(N$5&gt;$E$382)</f>
        <v>0</v>
      </c>
      <c r="O383" s="1">
        <f>$F$382*(O$5&gt;$E$382)</f>
        <v>0</v>
      </c>
      <c r="P383" s="1">
        <f>$F$382*(P$5&gt;$E$382)</f>
        <v>0</v>
      </c>
      <c r="Q383" s="1">
        <f>$F$382*(Q$5&gt;$E$382)</f>
        <v>0</v>
      </c>
      <c r="R383" s="1">
        <f>$F$382*(R$5&gt;$E$382)</f>
        <v>0</v>
      </c>
      <c r="S383" s="1">
        <f>$F$382*(S$5&gt;$E$382)</f>
        <v>0</v>
      </c>
      <c r="T383" s="1">
        <f>$F$382*(T$5&gt;$E$382)</f>
        <v>0</v>
      </c>
      <c r="U383" s="1">
        <f>$F$382*(U$5&gt;$E$382)</f>
        <v>0</v>
      </c>
      <c r="V383" s="1">
        <f>$F$382*(V$5&gt;$E$382)</f>
        <v>0</v>
      </c>
      <c r="W383" s="1">
        <f>$F$382*(W$5&gt;$E$382)</f>
        <v>0</v>
      </c>
      <c r="X383" s="1">
        <f>$F$382*(X$5&gt;$E$382)</f>
        <v>0</v>
      </c>
      <c r="Y383" s="1">
        <f>$F$382*(Y$5&gt;$E$382)</f>
        <v>0</v>
      </c>
      <c r="Z383" s="1">
        <f>$F$382*(Z$5&gt;$E$382)</f>
        <v>0</v>
      </c>
      <c r="AA383" s="1">
        <f>$F$382*(AA$5&gt;$E$382)</f>
        <v>0</v>
      </c>
      <c r="AB383" s="1">
        <f>$F$382*(AB$5&gt;$E$382)</f>
        <v>0</v>
      </c>
      <c r="AC383" s="1">
        <f>$F$382*(AC$5&gt;$E$382)</f>
        <v>0</v>
      </c>
      <c r="AD383" s="1">
        <f>$F$382*(AD$5&gt;$E$382)</f>
        <v>0</v>
      </c>
      <c r="AE383" s="1">
        <f>$F$382*(AE$5&gt;$E$382)</f>
        <v>0</v>
      </c>
      <c r="AF383" s="1">
        <f>$F$382*(AF$5&gt;$E$382)</f>
        <v>0</v>
      </c>
      <c r="AG383" s="1">
        <f>$F$382*(AG$5&gt;$E$382)</f>
        <v>0</v>
      </c>
      <c r="AH383" s="1">
        <f>$F$382*(AH$5&gt;$E$382)</f>
        <v>0</v>
      </c>
      <c r="AI383" s="1">
        <f>$F$382*(AI$5&gt;$E$382)</f>
        <v>0</v>
      </c>
      <c r="AJ383" s="1">
        <f>$F$382*(AJ$5&gt;$E$382)</f>
        <v>0</v>
      </c>
      <c r="AK383" s="1">
        <f>$F$382*(AK$5&gt;$E$382)</f>
        <v>0</v>
      </c>
      <c r="AL383" s="1">
        <f>$F$382*(AL$5&gt;$E$382)</f>
        <v>0</v>
      </c>
      <c r="AM383" s="1">
        <f>$F$382*(AM$5&gt;$E$382)</f>
        <v>0</v>
      </c>
      <c r="AN383" s="1">
        <f>$F$382*(AN$5&gt;$E$382)</f>
        <v>0</v>
      </c>
      <c r="AO383" s="1">
        <f>$F$382*(AO$5&gt;$E$382)</f>
        <v>0</v>
      </c>
      <c r="AP383" s="1">
        <f>$F$382*(AP$5&gt;$E$382)</f>
        <v>0</v>
      </c>
      <c r="AQ383" s="1">
        <f>$F$382*(AQ$5&gt;$E$382)</f>
        <v>0</v>
      </c>
    </row>
    <row r="384">
      <c r="C384" t="inlineStr">
        <is>
          <t xml:space="preserve">Hold to maturity: buy-in at cost – share × FEP's paid-in capital to the exercise year (excl. signing fee / DD row 17)</t>
        </is>
      </c>
      <c r="D384" t="inlineStr">
        <is>
          <t xml:space="preserve">k€</t>
        </is>
      </c>
      <c r="G384" s="1">
        <f>SUM(H384:AQ384)</f>
        <v>0</v>
      </c>
      <c r="H384" s="1">
        <f>$F$382*(H$5=$E$382)*-$E$128*(SUM($H123:H123)-SUM($H17:H17))</f>
        <v>0</v>
      </c>
      <c r="I384" s="1">
        <f>$F$382*(I$5=$E$382)*-$E$128*(SUM($H123:I123)-SUM($H17:I17))</f>
        <v>0</v>
      </c>
      <c r="J384" s="1">
        <f>$F$382*(J$5=$E$382)*-$E$128*(SUM($H123:J123)-SUM($H17:J17))</f>
        <v>0</v>
      </c>
      <c r="K384" s="1">
        <f>$F$382*(K$5=$E$382)*-$E$128*(SUM($H123:K123)-SUM($H17:K17))</f>
        <v>0</v>
      </c>
      <c r="L384" s="1">
        <f>$F$382*(L$5=$E$382)*-$E$128*(SUM($H123:L123)-SUM($H17:L17))</f>
        <v>0</v>
      </c>
      <c r="M384" s="1">
        <f>$F$382*(M$5=$E$382)*-$E$128*(SUM($H123:M123)-SUM($H17:M17))</f>
        <v>0</v>
      </c>
      <c r="N384" s="1">
        <f>$F$382*(N$5=$E$382)*-$E$128*(SUM($H123:N123)-SUM($H17:N17))</f>
        <v>0</v>
      </c>
      <c r="O384" s="1">
        <f>$F$382*(O$5=$E$382)*-$E$128*(SUM($H123:O123)-SUM($H17:O17))</f>
        <v>0</v>
      </c>
      <c r="P384" s="1">
        <f>$F$382*(P$5=$E$382)*-$E$128*(SUM($H123:P123)-SUM($H17:P17))</f>
        <v>0</v>
      </c>
      <c r="Q384" s="1">
        <f>$F$382*(Q$5=$E$382)*-$E$128*(SUM($H123:Q123)-SUM($H17:Q17))</f>
        <v>0</v>
      </c>
      <c r="R384" s="1">
        <f>$F$382*(R$5=$E$382)*-$E$128*(SUM($H123:R123)-SUM($H17:R17))</f>
        <v>0</v>
      </c>
      <c r="S384" s="1">
        <f>$F$382*(S$5=$E$382)*-$E$128*(SUM($H123:S123)-SUM($H17:S17))</f>
        <v>0</v>
      </c>
      <c r="T384" s="1">
        <f>$F$382*(T$5=$E$382)*-$E$128*(SUM($H123:T123)-SUM($H17:T17))</f>
        <v>0</v>
      </c>
      <c r="U384" s="1">
        <f>$F$382*(U$5=$E$382)*-$E$128*(SUM($H123:U123)-SUM($H17:U17))</f>
        <v>0</v>
      </c>
      <c r="V384" s="1">
        <f>$F$382*(V$5=$E$382)*-$E$128*(SUM($H123:V123)-SUM($H17:V17))</f>
        <v>0</v>
      </c>
      <c r="W384" s="1">
        <f>$F$382*(W$5=$E$382)*-$E$128*(SUM($H123:W123)-SUM($H17:W17))</f>
        <v>-0</v>
      </c>
      <c r="X384" s="1">
        <f>$F$382*(X$5=$E$382)*-$E$128*(SUM($H123:X123)-SUM($H17:X17))</f>
        <v>-0</v>
      </c>
      <c r="Y384" s="1">
        <f>$F$382*(Y$5=$E$382)*-$E$128*(SUM($H123:Y123)-SUM($H17:Y17))</f>
        <v>-0</v>
      </c>
      <c r="Z384" s="1">
        <f>$F$382*(Z$5=$E$382)*-$E$128*(SUM($H123:Z123)-SUM($H17:Z17))</f>
        <v>-0</v>
      </c>
      <c r="AA384" s="1">
        <f>$F$382*(AA$5=$E$382)*-$E$128*(SUM($H123:AA123)-SUM($H17:AA17))</f>
        <v>-0</v>
      </c>
      <c r="AB384" s="1">
        <f>$F$382*(AB$5=$E$382)*-$E$128*(SUM($H123:AB123)-SUM($H17:AB17))</f>
        <v>-0</v>
      </c>
      <c r="AC384" s="1">
        <f>$F$382*(AC$5=$E$382)*-$E$128*(SUM($H123:AC123)-SUM($H17:AC17))</f>
        <v>-0</v>
      </c>
      <c r="AD384" s="1">
        <f>$F$382*(AD$5=$E$382)*-$E$128*(SUM($H123:AD123)-SUM($H17:AD17))</f>
        <v>-0</v>
      </c>
      <c r="AE384" s="1">
        <f>$F$382*(AE$5=$E$382)*-$E$128*(SUM($H123:AE123)-SUM($H17:AE17))</f>
        <v>-0</v>
      </c>
      <c r="AF384" s="1">
        <f>$F$382*(AF$5=$E$382)*-$E$128*(SUM($H123:AF123)-SUM($H17:AF17))</f>
        <v>-0</v>
      </c>
      <c r="AG384" s="1">
        <f>$F$382*(AG$5=$E$382)*-$E$128*(SUM($H123:AG123)-SUM($H17:AG17))</f>
        <v>-0</v>
      </c>
      <c r="AH384" s="1">
        <f>$F$382*(AH$5=$E$382)*-$E$128*(SUM($H123:AH123)-SUM($H17:AH17))</f>
        <v>-0</v>
      </c>
      <c r="AI384" s="1">
        <f>$F$382*(AI$5=$E$382)*-$E$128*(SUM($H123:AI123)-SUM($H17:AI17))</f>
        <v>-0</v>
      </c>
      <c r="AJ384" s="1">
        <f>$F$382*(AJ$5=$E$382)*-$E$128*(SUM($H123:AJ123)-SUM($H17:AJ17))</f>
        <v>-0</v>
      </c>
      <c r="AK384" s="1">
        <f>$F$382*(AK$5=$E$382)*-$E$128*(SUM($H123:AK123)-SUM($H17:AK17))</f>
        <v>-0</v>
      </c>
      <c r="AL384" s="1">
        <f>$F$382*(AL$5=$E$382)*-$E$128*(SUM($H123:AL123)-SUM($H17:AL17))</f>
        <v>-0</v>
      </c>
      <c r="AM384" s="1">
        <f>$F$382*(AM$5=$E$382)*-$E$128*(SUM($H123:AM123)-SUM($H17:AM17))</f>
        <v>-0</v>
      </c>
      <c r="AN384" s="1">
        <f>$F$382*(AN$5=$E$382)*-$E$128*(SUM($H123:AN123)-SUM($H17:AN17))</f>
        <v>-0</v>
      </c>
      <c r="AO384" s="1">
        <f>$F$382*(AO$5=$E$382)*-$E$128*(SUM($H123:AO123)-SUM($H17:AO17))</f>
        <v>-0</v>
      </c>
      <c r="AP384" s="1">
        <f>$F$382*(AP$5=$E$382)*-$E$128*(SUM($H123:AP123)-SUM($H17:AP17))</f>
        <v>-0</v>
      </c>
      <c r="AQ384" s="1">
        <f>$F$382*(AQ$5=$E$382)*-$E$128*(SUM($H123:AQ123)-SUM($H17:AQ17))</f>
        <v>-0</v>
      </c>
    </row>
    <row r="385">
      <c r="C385" t="inlineStr">
        <is>
          <t xml:space="preserve">Sale at COD: community share of FEP's flows (years after the exercise year, if before the COD year)</t>
        </is>
      </c>
      <c r="D385" t="inlineStr">
        <is>
          <t xml:space="preserve">x</t>
        </is>
      </c>
      <c r="H385" s="1">
        <f>$F$382*(H$5&gt;$E$382)*($E$382&lt;YEAR(Inputs!$E$155))</f>
        <v>0</v>
      </c>
      <c r="I385" s="1">
        <f>$F$382*(I$5&gt;$E$382)*($E$382&lt;YEAR(Inputs!$E$155))</f>
        <v>0</v>
      </c>
      <c r="J385" s="1">
        <f>$F$382*(J$5&gt;$E$382)*($E$382&lt;YEAR(Inputs!$E$155))</f>
        <v>0</v>
      </c>
      <c r="K385" s="1">
        <f>$F$382*(K$5&gt;$E$382)*($E$382&lt;YEAR(Inputs!$E$155))</f>
        <v>0</v>
      </c>
      <c r="L385" s="1">
        <f>$F$382*(L$5&gt;$E$382)*($E$382&lt;YEAR(Inputs!$E$155))</f>
        <v>0</v>
      </c>
      <c r="M385" s="1">
        <f>$F$382*(M$5&gt;$E$382)*($E$382&lt;YEAR(Inputs!$E$155))</f>
        <v>0</v>
      </c>
      <c r="N385" s="1">
        <f>$F$382*(N$5&gt;$E$382)*($E$382&lt;YEAR(Inputs!$E$155))</f>
        <v>0</v>
      </c>
      <c r="O385" s="1">
        <f>$F$382*(O$5&gt;$E$382)*($E$382&lt;YEAR(Inputs!$E$155))</f>
        <v>0</v>
      </c>
      <c r="P385" s="1">
        <f>$F$382*(P$5&gt;$E$382)*($E$382&lt;YEAR(Inputs!$E$155))</f>
        <v>0</v>
      </c>
      <c r="Q385" s="1">
        <f>$F$382*(Q$5&gt;$E$382)*($E$382&lt;YEAR(Inputs!$E$155))</f>
        <v>0</v>
      </c>
      <c r="R385" s="1">
        <f>$F$382*(R$5&gt;$E$382)*($E$382&lt;YEAR(Inputs!$E$155))</f>
        <v>0</v>
      </c>
      <c r="S385" s="1">
        <f>$F$382*(S$5&gt;$E$382)*($E$382&lt;YEAR(Inputs!$E$155))</f>
        <v>0</v>
      </c>
      <c r="T385" s="1">
        <f>$F$382*(T$5&gt;$E$382)*($E$382&lt;YEAR(Inputs!$E$155))</f>
        <v>0</v>
      </c>
      <c r="U385" s="1">
        <f>$F$382*(U$5&gt;$E$382)*($E$382&lt;YEAR(Inputs!$E$155))</f>
        <v>0</v>
      </c>
      <c r="V385" s="1">
        <f>$F$382*(V$5&gt;$E$382)*($E$382&lt;YEAR(Inputs!$E$155))</f>
        <v>0</v>
      </c>
      <c r="W385" s="1">
        <f>$F$382*(W$5&gt;$E$382)*($E$382&lt;YEAR(Inputs!$E$155))</f>
        <v>0</v>
      </c>
      <c r="X385" s="1">
        <f>$F$382*(X$5&gt;$E$382)*($E$382&lt;YEAR(Inputs!$E$155))</f>
        <v>0</v>
      </c>
      <c r="Y385" s="1">
        <f>$F$382*(Y$5&gt;$E$382)*($E$382&lt;YEAR(Inputs!$E$155))</f>
        <v>0</v>
      </c>
      <c r="Z385" s="1">
        <f>$F$382*(Z$5&gt;$E$382)*($E$382&lt;YEAR(Inputs!$E$155))</f>
        <v>0</v>
      </c>
      <c r="AA385" s="1">
        <f>$F$382*(AA$5&gt;$E$382)*($E$382&lt;YEAR(Inputs!$E$155))</f>
        <v>0</v>
      </c>
      <c r="AB385" s="1">
        <f>$F$382*(AB$5&gt;$E$382)*($E$382&lt;YEAR(Inputs!$E$155))</f>
        <v>0</v>
      </c>
      <c r="AC385" s="1">
        <f>$F$382*(AC$5&gt;$E$382)*($E$382&lt;YEAR(Inputs!$E$155))</f>
        <v>0</v>
      </c>
      <c r="AD385" s="1">
        <f>$F$382*(AD$5&gt;$E$382)*($E$382&lt;YEAR(Inputs!$E$155))</f>
        <v>0</v>
      </c>
      <c r="AE385" s="1">
        <f>$F$382*(AE$5&gt;$E$382)*($E$382&lt;YEAR(Inputs!$E$155))</f>
        <v>0</v>
      </c>
      <c r="AF385" s="1">
        <f>$F$382*(AF$5&gt;$E$382)*($E$382&lt;YEAR(Inputs!$E$155))</f>
        <v>0</v>
      </c>
      <c r="AG385" s="1">
        <f>$F$382*(AG$5&gt;$E$382)*($E$382&lt;YEAR(Inputs!$E$155))</f>
        <v>0</v>
      </c>
      <c r="AH385" s="1">
        <f>$F$382*(AH$5&gt;$E$382)*($E$382&lt;YEAR(Inputs!$E$155))</f>
        <v>0</v>
      </c>
      <c r="AI385" s="1">
        <f>$F$382*(AI$5&gt;$E$382)*($E$382&lt;YEAR(Inputs!$E$155))</f>
        <v>0</v>
      </c>
      <c r="AJ385" s="1">
        <f>$F$382*(AJ$5&gt;$E$382)*($E$382&lt;YEAR(Inputs!$E$155))</f>
        <v>0</v>
      </c>
      <c r="AK385" s="1">
        <f>$F$382*(AK$5&gt;$E$382)*($E$382&lt;YEAR(Inputs!$E$155))</f>
        <v>0</v>
      </c>
      <c r="AL385" s="1">
        <f>$F$382*(AL$5&gt;$E$382)*($E$382&lt;YEAR(Inputs!$E$155))</f>
        <v>0</v>
      </c>
      <c r="AM385" s="1">
        <f>$F$382*(AM$5&gt;$E$382)*($E$382&lt;YEAR(Inputs!$E$155))</f>
        <v>0</v>
      </c>
      <c r="AN385" s="1">
        <f>$F$382*(AN$5&gt;$E$382)*($E$382&lt;YEAR(Inputs!$E$155))</f>
        <v>0</v>
      </c>
      <c r="AO385" s="1">
        <f>$F$382*(AO$5&gt;$E$382)*($E$382&lt;YEAR(Inputs!$E$155))</f>
        <v>0</v>
      </c>
      <c r="AP385" s="1">
        <f>$F$382*(AP$5&gt;$E$382)*($E$382&lt;YEAR(Inputs!$E$155))</f>
        <v>0</v>
      </c>
      <c r="AQ385" s="1">
        <f>$F$382*(AQ$5&gt;$E$382)*($E$382&lt;YEAR(Inputs!$E$155))</f>
        <v>0</v>
      </c>
    </row>
    <row r="386">
      <c r="C386" t="inlineStr">
        <is>
          <t xml:space="preserve">Sale at COD: buy-in at cost – share × FEP's paid-in capital to the exercise year (rows 335–339 excl. row 17)</t>
        </is>
      </c>
      <c r="D386" t="inlineStr">
        <is>
          <t xml:space="preserve">k€</t>
        </is>
      </c>
      <c r="G386" s="1">
        <f>SUM(H386:AQ386)</f>
        <v>0</v>
      </c>
      <c r="H386" s="1">
        <f>$F$382*(H$5=$E$382)*($E$382&lt;YEAR(Inputs!$E$155))*-(SUM($H335:H339)-SUM($H17:H17))</f>
        <v>0</v>
      </c>
      <c r="I386" s="1">
        <f>$F$382*(I$5=$E$382)*($E$382&lt;YEAR(Inputs!$E$155))*-(SUM($H335:I339)-SUM($H17:I17))</f>
        <v>0</v>
      </c>
      <c r="J386" s="1">
        <f>$F$382*(J$5=$E$382)*($E$382&lt;YEAR(Inputs!$E$155))*-(SUM($H335:J339)-SUM($H17:J17))</f>
        <v>0</v>
      </c>
      <c r="K386" s="1">
        <f>$F$382*(K$5=$E$382)*($E$382&lt;YEAR(Inputs!$E$155))*-(SUM($H335:K339)-SUM($H17:K17))</f>
        <v>0</v>
      </c>
      <c r="L386" s="1">
        <f>$F$382*(L$5=$E$382)*($E$382&lt;YEAR(Inputs!$E$155))*-(SUM($H335:L339)-SUM($H17:L17))</f>
        <v>0</v>
      </c>
      <c r="M386" s="1">
        <f>$F$382*(M$5=$E$382)*($E$382&lt;YEAR(Inputs!$E$155))*-(SUM($H335:M339)-SUM($H17:M17))</f>
        <v>0</v>
      </c>
      <c r="N386" s="1">
        <f>$F$382*(N$5=$E$382)*($E$382&lt;YEAR(Inputs!$E$155))*-(SUM($H335:N339)-SUM($H17:N17))</f>
        <v>0</v>
      </c>
      <c r="O386" s="1">
        <f>$F$382*(O$5=$E$382)*($E$382&lt;YEAR(Inputs!$E$155))*-(SUM($H335:O339)-SUM($H17:O17))</f>
        <v>0</v>
      </c>
      <c r="P386" s="1">
        <f>$F$382*(P$5=$E$382)*($E$382&lt;YEAR(Inputs!$E$155))*-(SUM($H335:P339)-SUM($H17:P17))</f>
        <v>0</v>
      </c>
      <c r="Q386" s="1">
        <f>$F$382*(Q$5=$E$382)*($E$382&lt;YEAR(Inputs!$E$155))*-(SUM($H335:Q339)-SUM($H17:Q17))</f>
        <v>0</v>
      </c>
      <c r="R386" s="1">
        <f>$F$382*(R$5=$E$382)*($E$382&lt;YEAR(Inputs!$E$155))*-(SUM($H335:R339)-SUM($H17:R17))</f>
        <v>0</v>
      </c>
      <c r="S386" s="1">
        <f>$F$382*(S$5=$E$382)*($E$382&lt;YEAR(Inputs!$E$155))*-(SUM($H335:S339)-SUM($H17:S17))</f>
        <v>0</v>
      </c>
      <c r="T386" s="1">
        <f>$F$382*(T$5=$E$382)*($E$382&lt;YEAR(Inputs!$E$155))*-(SUM($H335:T339)-SUM($H17:T17))</f>
        <v>0</v>
      </c>
      <c r="U386" s="1">
        <f>$F$382*(U$5=$E$382)*($E$382&lt;YEAR(Inputs!$E$155))*-(SUM($H335:U339)-SUM($H17:U17))</f>
        <v>0</v>
      </c>
      <c r="V386" s="1">
        <f>$F$382*(V$5=$E$382)*($E$382&lt;YEAR(Inputs!$E$155))*-(SUM($H335:V339)-SUM($H17:V17))</f>
        <v>0</v>
      </c>
      <c r="W386" s="1">
        <f>$F$382*(W$5=$E$382)*($E$382&lt;YEAR(Inputs!$E$155))*-(SUM($H335:W339)-SUM($H17:W17))</f>
        <v>0</v>
      </c>
      <c r="X386" s="1">
        <f>$F$382*(X$5=$E$382)*($E$382&lt;YEAR(Inputs!$E$155))*-(SUM($H335:X339)-SUM($H17:X17))</f>
        <v>0</v>
      </c>
      <c r="Y386" s="1">
        <f>$F$382*(Y$5=$E$382)*($E$382&lt;YEAR(Inputs!$E$155))*-(SUM($H335:Y339)-SUM($H17:Y17))</f>
        <v>0</v>
      </c>
      <c r="Z386" s="1">
        <f>$F$382*(Z$5=$E$382)*($E$382&lt;YEAR(Inputs!$E$155))*-(SUM($H335:Z339)-SUM($H17:Z17))</f>
        <v>0</v>
      </c>
      <c r="AA386" s="1">
        <f>$F$382*(AA$5=$E$382)*($E$382&lt;YEAR(Inputs!$E$155))*-(SUM($H335:AA339)-SUM($H17:AA17))</f>
        <v>0</v>
      </c>
      <c r="AB386" s="1">
        <f>$F$382*(AB$5=$E$382)*($E$382&lt;YEAR(Inputs!$E$155))*-(SUM($H335:AB339)-SUM($H17:AB17))</f>
        <v>0</v>
      </c>
      <c r="AC386" s="1">
        <f>$F$382*(AC$5=$E$382)*($E$382&lt;YEAR(Inputs!$E$155))*-(SUM($H335:AC339)-SUM($H17:AC17))</f>
        <v>0</v>
      </c>
      <c r="AD386" s="1">
        <f>$F$382*(AD$5=$E$382)*($E$382&lt;YEAR(Inputs!$E$155))*-(SUM($H335:AD339)-SUM($H17:AD17))</f>
        <v>0</v>
      </c>
      <c r="AE386" s="1">
        <f>$F$382*(AE$5=$E$382)*($E$382&lt;YEAR(Inputs!$E$155))*-(SUM($H335:AE339)-SUM($H17:AE17))</f>
        <v>0</v>
      </c>
      <c r="AF386" s="1">
        <f>$F$382*(AF$5=$E$382)*($E$382&lt;YEAR(Inputs!$E$155))*-(SUM($H335:AF339)-SUM($H17:AF17))</f>
        <v>0</v>
      </c>
      <c r="AG386" s="1">
        <f>$F$382*(AG$5=$E$382)*($E$382&lt;YEAR(Inputs!$E$155))*-(SUM($H335:AG339)-SUM($H17:AG17))</f>
        <v>0</v>
      </c>
      <c r="AH386" s="1">
        <f>$F$382*(AH$5=$E$382)*($E$382&lt;YEAR(Inputs!$E$155))*-(SUM($H335:AH339)-SUM($H17:AH17))</f>
        <v>0</v>
      </c>
      <c r="AI386" s="1">
        <f>$F$382*(AI$5=$E$382)*($E$382&lt;YEAR(Inputs!$E$155))*-(SUM($H335:AI339)-SUM($H17:AI17))</f>
        <v>0</v>
      </c>
      <c r="AJ386" s="1">
        <f>$F$382*(AJ$5=$E$382)*($E$382&lt;YEAR(Inputs!$E$155))*-(SUM($H335:AJ339)-SUM($H17:AJ17))</f>
        <v>0</v>
      </c>
      <c r="AK386" s="1">
        <f>$F$382*(AK$5=$E$382)*($E$382&lt;YEAR(Inputs!$E$155))*-(SUM($H335:AK339)-SUM($H17:AK17))</f>
        <v>0</v>
      </c>
      <c r="AL386" s="1">
        <f>$F$382*(AL$5=$E$382)*($E$382&lt;YEAR(Inputs!$E$155))*-(SUM($H335:AL339)-SUM($H17:AL17))</f>
        <v>0</v>
      </c>
      <c r="AM386" s="1">
        <f>$F$382*(AM$5=$E$382)*($E$382&lt;YEAR(Inputs!$E$155))*-(SUM($H335:AM339)-SUM($H17:AM17))</f>
        <v>0</v>
      </c>
      <c r="AN386" s="1">
        <f>$F$382*(AN$5=$E$382)*($E$382&lt;YEAR(Inputs!$E$155))*-(SUM($H335:AN339)-SUM($H17:AN17))</f>
        <v>0</v>
      </c>
      <c r="AO386" s="1">
        <f>$F$382*(AO$5=$E$382)*($E$382&lt;YEAR(Inputs!$E$155))*-(SUM($H335:AO339)-SUM($H17:AO17))</f>
        <v>0</v>
      </c>
      <c r="AP386" s="1">
        <f>$F$382*(AP$5=$E$382)*($E$382&lt;YEAR(Inputs!$E$155))*-(SUM($H335:AP339)-SUM($H17:AP17))</f>
        <v>0</v>
      </c>
      <c r="AQ386" s="1">
        <f>$F$382*(AQ$5=$E$382)*($E$382&lt;YEAR(Inputs!$E$155))*-(SUM($H335:AQ339)-SUM($H17:AQ17))</f>
        <v>0</v>
      </c>
    </row>
    <row r="387">
      <c r="C387" t="inlineStr">
        <is>
          <t xml:space="preserve">Sale at COD: the community's net take (share × FEP's 100 % flows − buy-in) – conservation check G374</t>
        </is>
      </c>
      <c r="D387" t="inlineStr">
        <is>
          <t xml:space="preserve">k€</t>
        </is>
      </c>
      <c r="G387" s="1">
        <f>SUM(H387:AQ387)</f>
        <v>0</v>
      </c>
      <c r="H387" s="1">
        <f>H385*(SUM(H335:H339)+H334*$G$372)-H386</f>
        <v>-0</v>
      </c>
      <c r="I387" s="1">
        <f>I385*(SUM(I335:I339)+I334*$G$372)-I386</f>
        <v>-0</v>
      </c>
      <c r="J387" s="1">
        <f>J385*(SUM(J335:J339)+J334*$G$372)-J386</f>
        <v>-0</v>
      </c>
      <c r="K387" s="1">
        <f>K385*(SUM(K335:K339)+K334*$G$372)-K386</f>
        <v>-0</v>
      </c>
      <c r="L387" s="1">
        <f>L385*(SUM(L335:L339)+L334*$G$372)-L386</f>
        <v>-0</v>
      </c>
      <c r="M387" s="1">
        <f>M385*(SUM(M335:M339)+M334*$G$372)-M386</f>
        <v>-0</v>
      </c>
      <c r="N387" s="1">
        <f>N385*(SUM(N335:N339)+N334*$G$372)-N386</f>
        <v>0</v>
      </c>
      <c r="O387" s="1">
        <f>O385*(SUM(O335:O339)+O334*$G$372)-O386</f>
        <v>0</v>
      </c>
      <c r="P387" s="1">
        <f>P385*(SUM(P335:P339)+P334*$G$372)-P386</f>
        <v>0</v>
      </c>
      <c r="Q387" s="1">
        <f>Q385*(SUM(Q335:Q339)+Q334*$G$372)-Q386</f>
        <v>0</v>
      </c>
      <c r="R387" s="1">
        <f>R385*(SUM(R335:R339)+R334*$G$372)-R386</f>
        <v>0</v>
      </c>
      <c r="S387" s="1">
        <f>S385*(SUM(S335:S339)+S334*$G$372)-S386</f>
        <v>0</v>
      </c>
      <c r="T387" s="1">
        <f>T385*(SUM(T335:T339)+T334*$G$372)-T386</f>
        <v>0</v>
      </c>
      <c r="U387" s="1">
        <f>U385*(SUM(U335:U339)+U334*$G$372)-U386</f>
        <v>0</v>
      </c>
      <c r="V387" s="1">
        <f>V385*(SUM(V335:V339)+V334*$G$372)-V386</f>
        <v>0</v>
      </c>
      <c r="W387" s="1">
        <f>W385*(SUM(W335:W339)+W334*$G$372)-W386</f>
        <v>0</v>
      </c>
      <c r="X387" s="1">
        <f>X385*(SUM(X335:X339)+X334*$G$372)-X386</f>
        <v>0</v>
      </c>
      <c r="Y387" s="1">
        <f>Y385*(SUM(Y335:Y339)+Y334*$G$372)-Y386</f>
        <v>0</v>
      </c>
      <c r="Z387" s="1">
        <f>Z385*(SUM(Z335:Z339)+Z334*$G$372)-Z386</f>
        <v>0</v>
      </c>
      <c r="AA387" s="1">
        <f>AA385*(SUM(AA335:AA339)+AA334*$G$372)-AA386</f>
        <v>0</v>
      </c>
      <c r="AB387" s="1">
        <f>AB385*(SUM(AB335:AB339)+AB334*$G$372)-AB386</f>
        <v>0</v>
      </c>
      <c r="AC387" s="1">
        <f>AC385*(SUM(AC335:AC339)+AC334*$G$372)-AC386</f>
        <v>0</v>
      </c>
      <c r="AD387" s="1">
        <f>AD385*(SUM(AD335:AD339)+AD334*$G$372)-AD386</f>
        <v>0</v>
      </c>
      <c r="AE387" s="1">
        <f>AE385*(SUM(AE335:AE339)+AE334*$G$372)-AE386</f>
        <v>0</v>
      </c>
      <c r="AF387" s="1">
        <f>AF385*(SUM(AF335:AF339)+AF334*$G$372)-AF386</f>
        <v>0</v>
      </c>
      <c r="AG387" s="1">
        <f>AG385*(SUM(AG335:AG339)+AG334*$G$372)-AG386</f>
        <v>0</v>
      </c>
      <c r="AH387" s="1">
        <f>AH385*(SUM(AH335:AH339)+AH334*$G$372)-AH386</f>
        <v>0</v>
      </c>
      <c r="AI387" s="1">
        <f>AI385*(SUM(AI335:AI339)+AI334*$G$372)-AI386</f>
        <v>0</v>
      </c>
      <c r="AJ387" s="1">
        <f>AJ385*(SUM(AJ335:AJ339)+AJ334*$G$372)-AJ386</f>
        <v>0</v>
      </c>
      <c r="AK387" s="1">
        <f>AK385*(SUM(AK335:AK339)+AK334*$G$372)-AK386</f>
        <v>0</v>
      </c>
      <c r="AL387" s="1">
        <f>AL385*(SUM(AL335:AL339)+AL334*$G$372)-AL386</f>
        <v>0</v>
      </c>
      <c r="AM387" s="1">
        <f>AM385*(SUM(AM335:AM339)+AM334*$G$372)-AM386</f>
        <v>0</v>
      </c>
      <c r="AN387" s="1">
        <f>AN385*(SUM(AN335:AN339)+AN334*$G$372)-AN386</f>
        <v>0</v>
      </c>
      <c r="AO387" s="1">
        <f>AO385*(SUM(AO335:AO339)+AO334*$G$372)-AO386</f>
        <v>0</v>
      </c>
      <c r="AP387" s="1">
        <f>AP385*(SUM(AP335:AP339)+AP334*$G$372)-AP386</f>
        <v>0</v>
      </c>
      <c r="AQ387" s="1">
        <f>AQ385*(SUM(AQ335:AQ339)+AQ334*$G$372)-AQ386</f>
        <v>0</v>
      </c>
    </row>
    <row r="390">
      <c r="C390" s="43" t="inlineStr">
        <is>
          <t xml:space="preserve">18. Buyer view at our sale-at-COD price (cases 7 / 8; unlevered, post-tax): −price at COD, then the HTM flows of the same turbine (the HTM block of case 7 / 8 = case 2 / 3)</t>
        </is>
      </c>
    </row>
    <row r="391">
      <c r="C391" t="inlineStr">
        <is>
          <t xml:space="preserve">Cash-flow date: COD (column G), then 31-Dec of each year (never before COD – XIRR start)</t>
        </is>
      </c>
      <c r="D391" t="inlineStr">
        <is>
          <t xml:space="preserve">date</t>
        </is>
      </c>
      <c r="G391" s="596">
        <f>Inputs!$E$155</f>
        <v>48121</v>
      </c>
      <c r="H391" s="596">
        <f>MAX(DATE(H$5,12,31),$G$391)</f>
        <v>48121</v>
      </c>
      <c r="I391" s="596">
        <f>MAX(DATE(I$5,12,31),$G$391)</f>
        <v>48121</v>
      </c>
      <c r="J391" s="596">
        <f>MAX(DATE(J$5,12,31),$G$391)</f>
        <v>48121</v>
      </c>
      <c r="K391" s="596">
        <f>MAX(DATE(K$5,12,31),$G$391)</f>
        <v>48121</v>
      </c>
      <c r="L391" s="596">
        <f>MAX(DATE(L$5,12,31),$G$391)</f>
        <v>48121</v>
      </c>
      <c r="M391" s="596">
        <f>MAX(DATE(M$5,12,31),$G$391)</f>
        <v>48213</v>
      </c>
      <c r="N391" s="596">
        <f>MAX(DATE(N$5,12,31),$G$391)</f>
        <v>48579</v>
      </c>
      <c r="O391" s="596">
        <f>MAX(DATE(O$5,12,31),$G$391)</f>
        <v>48944</v>
      </c>
      <c r="P391" s="596">
        <f>MAX(DATE(P$5,12,31),$G$391)</f>
        <v>49309</v>
      </c>
      <c r="Q391" s="596">
        <f>MAX(DATE(Q$5,12,31),$G$391)</f>
        <v>49674</v>
      </c>
      <c r="R391" s="596">
        <f>MAX(DATE(R$5,12,31),$G$391)</f>
        <v>50040</v>
      </c>
      <c r="S391" s="596">
        <f>MAX(DATE(S$5,12,31),$G$391)</f>
        <v>50405</v>
      </c>
      <c r="T391" s="596">
        <f>MAX(DATE(T$5,12,31),$G$391)</f>
        <v>50770</v>
      </c>
      <c r="U391" s="596">
        <f>MAX(DATE(U$5,12,31),$G$391)</f>
        <v>51135</v>
      </c>
      <c r="V391" s="596">
        <f>MAX(DATE(V$5,12,31),$G$391)</f>
        <v>51501</v>
      </c>
      <c r="W391" s="596">
        <f>MAX(DATE(W$5,12,31),$G$391)</f>
        <v>51866</v>
      </c>
      <c r="X391" s="596">
        <f>MAX(DATE(X$5,12,31),$G$391)</f>
        <v>52231</v>
      </c>
      <c r="Y391" s="596">
        <f>MAX(DATE(Y$5,12,31),$G$391)</f>
        <v>52596</v>
      </c>
      <c r="Z391" s="596">
        <f>MAX(DATE(Z$5,12,31),$G$391)</f>
        <v>52962</v>
      </c>
      <c r="AA391" s="596">
        <f>MAX(DATE(AA$5,12,31),$G$391)</f>
        <v>53327</v>
      </c>
      <c r="AB391" s="596">
        <f>MAX(DATE(AB$5,12,31),$G$391)</f>
        <v>53692</v>
      </c>
      <c r="AC391" s="596">
        <f>MAX(DATE(AC$5,12,31),$G$391)</f>
        <v>54057</v>
      </c>
      <c r="AD391" s="596">
        <f>MAX(DATE(AD$5,12,31),$G$391)</f>
        <v>54423</v>
      </c>
      <c r="AE391" s="596">
        <f>MAX(DATE(AE$5,12,31),$G$391)</f>
        <v>54788</v>
      </c>
      <c r="AF391" s="596">
        <f>MAX(DATE(AF$5,12,31),$G$391)</f>
        <v>55153</v>
      </c>
      <c r="AG391" s="596">
        <f>MAX(DATE(AG$5,12,31),$G$391)</f>
        <v>55518</v>
      </c>
      <c r="AH391" s="596">
        <f>MAX(DATE(AH$5,12,31),$G$391)</f>
        <v>55884</v>
      </c>
      <c r="AI391" s="596">
        <f>MAX(DATE(AI$5,12,31),$G$391)</f>
        <v>56249</v>
      </c>
      <c r="AJ391" s="596">
        <f>MAX(DATE(AJ$5,12,31),$G$391)</f>
        <v>56614</v>
      </c>
      <c r="AK391" s="596">
        <f>MAX(DATE(AK$5,12,31),$G$391)</f>
        <v>56979</v>
      </c>
      <c r="AL391" s="596">
        <f>MAX(DATE(AL$5,12,31),$G$391)</f>
        <v>57345</v>
      </c>
      <c r="AM391" s="596">
        <f>MAX(DATE(AM$5,12,31),$G$391)</f>
        <v>57710</v>
      </c>
      <c r="AN391" s="596">
        <f>MAX(DATE(AN$5,12,31),$G$391)</f>
        <v>58075</v>
      </c>
      <c r="AO391" s="596">
        <f>MAX(DATE(AO$5,12,31),$G$391)</f>
        <v>58440</v>
      </c>
      <c r="AP391" s="596">
        <f>MAX(DATE(AP$5,12,31),$G$391)</f>
        <v>58806</v>
      </c>
      <c r="AQ391" s="596">
        <f>MAX(DATE(AQ$5,12,31),$G$391)</f>
        <v>59171</v>
      </c>
    </row>
    <row r="392">
      <c r="C392" t="inlineStr">
        <is>
          <t xml:space="preserve">Buyer cash flow: −price (G340) at COD; COD year = EBITDA (row 106) excl. the pre-COD land lease (row 339) + tax (row 101); later years = unlevered post-tax cash flow (row 110)</t>
        </is>
      </c>
      <c r="D392" t="inlineStr">
        <is>
          <t xml:space="preserve">k€</t>
        </is>
      </c>
      <c r="G392" s="1">
        <f>-$G$340</f>
        <v>-0</v>
      </c>
      <c r="H392" s="1">
        <f>(H$5=YEAR($G$391))*(H106-H339+H101)+(H$5&gt;YEAR($G$391))*H110</f>
        <v>0</v>
      </c>
      <c r="I392" s="1">
        <f>(I$5=YEAR($G$391))*(I106-I339+I101)+(I$5&gt;YEAR($G$391))*I110</f>
        <v>0</v>
      </c>
      <c r="J392" s="1">
        <f>(J$5=YEAR($G$391))*(J106-J339+J101)+(J$5&gt;YEAR($G$391))*J110</f>
        <v>0</v>
      </c>
      <c r="K392" s="1">
        <f>(K$5=YEAR($G$391))*(K106-K339+K101)+(K$5&gt;YEAR($G$391))*K110</f>
        <v>-0</v>
      </c>
      <c r="L392" s="1">
        <f>(L$5=YEAR($G$391))*(L106-L339+L101)+(L$5&gt;YEAR($G$391))*L110</f>
        <v>-0</v>
      </c>
      <c r="M392" s="1">
        <f>(M$5=YEAR($G$391))*(M106-M339+M101)+(M$5&gt;YEAR($G$391))*M110</f>
        <v>13408.29623357546</v>
      </c>
      <c r="N392" s="1">
        <f>(N$5=YEAR($G$391))*(N106-N339+N101)+(N$5&gt;YEAR($G$391))*N110</f>
        <v>52613.36171080066</v>
      </c>
      <c r="O392" s="1">
        <f>(O$5=YEAR($G$391))*(O106-O339+O101)+(O$5&gt;YEAR($G$391))*O110</f>
        <v>53705.992853152464</v>
      </c>
      <c r="P392" s="1">
        <f>(P$5=YEAR($G$391))*(P106-P339+P101)+(P$5&gt;YEAR($G$391))*P110</f>
        <v>52128.180919866</v>
      </c>
      <c r="Q392" s="1">
        <f>(Q$5=YEAR($G$391))*(Q106-Q339+Q101)+(Q$5&gt;YEAR($G$391))*Q110</f>
        <v>52786.15097859196</v>
      </c>
      <c r="R392" s="1">
        <f>(R$5=YEAR($G$391))*(R106-R339+R101)+(R$5&gt;YEAR($G$391))*R110</f>
        <v>53667.75467217939</v>
      </c>
      <c r="S392" s="1">
        <f>(S$5=YEAR($G$391))*(S106-S339+S101)+(S$5&gt;YEAR($G$391))*S110</f>
        <v>56713.758866086144</v>
      </c>
      <c r="T392" s="1">
        <f>(T$5=YEAR($G$391))*(T106-T339+T101)+(T$5&gt;YEAR($G$391))*T110</f>
        <v>56682.85965594682</v>
      </c>
      <c r="U392" s="1">
        <f>(U$5=YEAR($G$391))*(U106-U339+U101)+(U$5&gt;YEAR($G$391))*U110</f>
        <v>57200.46615762418</v>
      </c>
      <c r="V392" s="1">
        <f>(V$5=YEAR($G$391))*(V106-V339+V101)+(V$5&gt;YEAR($G$391))*V110</f>
        <v>57276.50953612085</v>
      </c>
      <c r="W392" s="1">
        <f>(W$5=YEAR($G$391))*(W106-W339+W101)+(W$5&gt;YEAR($G$391))*W110</f>
        <v>57302.569719426356</v>
      </c>
      <c r="X392" s="1">
        <f>(X$5=YEAR($G$391))*(X106-X339+X101)+(X$5&gt;YEAR($G$391))*X110</f>
        <v>58757.81887615535</v>
      </c>
      <c r="Y392" s="1">
        <f>(Y$5=YEAR($G$391))*(Y106-Y339+Y101)+(Y$5&gt;YEAR($G$391))*Y110</f>
        <v>59802.344498252045</v>
      </c>
      <c r="Z392" s="1">
        <f>(Z$5=YEAR($G$391))*(Z106-Z339+Z101)+(Z$5&gt;YEAR($G$391))*Z110</f>
        <v>60151.42888819441</v>
      </c>
      <c r="AA392" s="1">
        <f>(AA$5=YEAR($G$391))*(AA106-AA339+AA101)+(AA$5&gt;YEAR($G$391))*AA110</f>
        <v>62274.25531429203</v>
      </c>
      <c r="AB392" s="1">
        <f>(AB$5=YEAR($G$391))*(AB106-AB339+AB101)+(AB$5&gt;YEAR($G$391))*AB110</f>
        <v>63348.31671091046</v>
      </c>
      <c r="AC392" s="1">
        <f>(AC$5=YEAR($G$391))*(AC106-AC339+AC101)+(AC$5&gt;YEAR($G$391))*AC110</f>
        <v>64140.226933917045</v>
      </c>
      <c r="AD392" s="1">
        <f>(AD$5=YEAR($G$391))*(AD106-AD339+AD101)+(AD$5&gt;YEAR($G$391))*AD110</f>
        <v>63703.26062657295</v>
      </c>
      <c r="AE392" s="1">
        <f>(AE$5=YEAR($G$391))*(AE106-AE339+AE101)+(AE$5&gt;YEAR($G$391))*AE110</f>
        <v>64743.69505702012</v>
      </c>
      <c r="AF392" s="1">
        <f>(AF$5=YEAR($G$391))*(AF106-AF339+AF101)+(AF$5&gt;YEAR($G$391))*AF110</f>
        <v>64720.63878859527</v>
      </c>
      <c r="AG392" s="1">
        <f>(AG$5=YEAR($G$391))*(AG106-AG339+AG101)+(AG$5&gt;YEAR($G$391))*AG110</f>
        <v>64352.90876340446</v>
      </c>
      <c r="AH392" s="1">
        <f>(AH$5=YEAR($G$391))*(AH106-AH339+AH101)+(AH$5&gt;YEAR($G$391))*AH110</f>
        <v>62442.2757593452</v>
      </c>
      <c r="AI392" s="1">
        <f>(AI$5=YEAR($G$391))*(AI106-AI339+AI101)+(AI$5&gt;YEAR($G$391))*AI110</f>
        <v>64145.45015104703</v>
      </c>
      <c r="AJ392" s="1">
        <f>(AJ$5=YEAR($G$391))*(AJ106-AJ339+AJ101)+(AJ$5&gt;YEAR($G$391))*AJ110</f>
        <v>64723.36522828659</v>
      </c>
      <c r="AK392" s="1">
        <f>(AK$5=YEAR($G$391))*(AK106-AK339+AK101)+(AK$5&gt;YEAR($G$391))*AK110</f>
        <v>65337.355311367035</v>
      </c>
      <c r="AL392" s="1">
        <f>(AL$5=YEAR($G$391))*(AL106-AL339+AL101)+(AL$5&gt;YEAR($G$391))*AL110</f>
        <v>65290.80316481818</v>
      </c>
      <c r="AM392" s="1">
        <f>(AM$5=YEAR($G$391))*(AM106-AM339+AM101)+(AM$5&gt;YEAR($G$391))*AM110</f>
        <v>66941.82769640902</v>
      </c>
      <c r="AN392" s="1">
        <f>(AN$5=YEAR($G$391))*(AN106-AN339+AN101)+(AN$5&gt;YEAR($G$391))*AN110</f>
        <v>69664.43619648693</v>
      </c>
      <c r="AO392" s="1">
        <f>(AO$5=YEAR($G$391))*(AO106-AO339+AO101)+(AO$5&gt;YEAR($G$391))*AO110</f>
        <v>72091.58259949979</v>
      </c>
      <c r="AP392" s="1">
        <f>(AP$5=YEAR($G$391))*(AP106-AP339+AP101)+(AP$5&gt;YEAR($G$391))*AP110</f>
        <v>72290.10994017063</v>
      </c>
      <c r="AQ392" s="1">
        <f>(AQ$5=YEAR($G$391))*(AQ106-AQ339+AQ101)+(AQ$5&gt;YEAR($G$391))*AQ110</f>
        <v>47221.981065557215</v>
      </c>
    </row>
    <row r="393">
      <c r="C393" t="inlineStr">
        <is>
          <t xml:space="preserve">Same flows without the price (implied price = XNPV at the target rate, at COD)</t>
        </is>
      </c>
      <c r="D393" t="inlineStr">
        <is>
          <t xml:space="preserve">k€</t>
        </is>
      </c>
      <c r="G393" s="1">
        <v>0</v>
      </c>
      <c r="H393" s="1">
        <f>H392</f>
        <v>0</v>
      </c>
      <c r="I393" s="1">
        <f>I392</f>
        <v>0</v>
      </c>
      <c r="J393" s="1">
        <f>J392</f>
        <v>0</v>
      </c>
      <c r="K393" s="1">
        <f>K392</f>
        <v>-0</v>
      </c>
      <c r="L393" s="1">
        <f>L392</f>
        <v>-0</v>
      </c>
      <c r="M393" s="1">
        <f>M392</f>
        <v>13408.29623357546</v>
      </c>
      <c r="N393" s="1">
        <f>N392</f>
        <v>52613.36171080066</v>
      </c>
      <c r="O393" s="1">
        <f>O392</f>
        <v>53705.992853152464</v>
      </c>
      <c r="P393" s="1">
        <f>P392</f>
        <v>52128.180919866</v>
      </c>
      <c r="Q393" s="1">
        <f>Q392</f>
        <v>52786.15097859196</v>
      </c>
      <c r="R393" s="1">
        <f>R392</f>
        <v>53667.75467217939</v>
      </c>
      <c r="S393" s="1">
        <f>S392</f>
        <v>56713.758866086144</v>
      </c>
      <c r="T393" s="1">
        <f>T392</f>
        <v>56682.85965594682</v>
      </c>
      <c r="U393" s="1">
        <f>U392</f>
        <v>57200.46615762418</v>
      </c>
      <c r="V393" s="1">
        <f>V392</f>
        <v>57276.50953612085</v>
      </c>
      <c r="W393" s="1">
        <f>W392</f>
        <v>57302.569719426356</v>
      </c>
      <c r="X393" s="1">
        <f>X392</f>
        <v>58757.81887615535</v>
      </c>
      <c r="Y393" s="1">
        <f>Y392</f>
        <v>59802.344498252045</v>
      </c>
      <c r="Z393" s="1">
        <f>Z392</f>
        <v>60151.42888819441</v>
      </c>
      <c r="AA393" s="1">
        <f>AA392</f>
        <v>62274.25531429203</v>
      </c>
      <c r="AB393" s="1">
        <f>AB392</f>
        <v>63348.31671091046</v>
      </c>
      <c r="AC393" s="1">
        <f>AC392</f>
        <v>64140.226933917045</v>
      </c>
      <c r="AD393" s="1">
        <f>AD392</f>
        <v>63703.26062657295</v>
      </c>
      <c r="AE393" s="1">
        <f>AE392</f>
        <v>64743.69505702012</v>
      </c>
      <c r="AF393" s="1">
        <f>AF392</f>
        <v>64720.63878859527</v>
      </c>
      <c r="AG393" s="1">
        <f>AG392</f>
        <v>64352.90876340446</v>
      </c>
      <c r="AH393" s="1">
        <f>AH392</f>
        <v>62442.2757593452</v>
      </c>
      <c r="AI393" s="1">
        <f>AI392</f>
        <v>64145.45015104703</v>
      </c>
      <c r="AJ393" s="1">
        <f>AJ392</f>
        <v>64723.36522828659</v>
      </c>
      <c r="AK393" s="1">
        <f>AK392</f>
        <v>65337.355311367035</v>
      </c>
      <c r="AL393" s="1">
        <f>AL392</f>
        <v>65290.80316481818</v>
      </c>
      <c r="AM393" s="1">
        <f>AM392</f>
        <v>66941.82769640902</v>
      </c>
      <c r="AN393" s="1">
        <f>AN392</f>
        <v>69664.43619648693</v>
      </c>
      <c r="AO393" s="1">
        <f>AO392</f>
        <v>72091.58259949979</v>
      </c>
      <c r="AP393" s="1">
        <f>AP392</f>
        <v>72290.10994017063</v>
      </c>
      <c r="AQ393" s="1">
        <f>AQ392</f>
        <v>47221.981065557215</v>
      </c>
    </row>
    <row r="394">
      <c r="C394" t="inlineStr">
        <is>
          <t xml:space="preserve">Buyer IRR at our price (XIRR; n/a outside cases 7 / 8)</t>
        </is>
      </c>
      <c r="D394" t="inlineStr">
        <is>
          <t xml:space="preserve">%</t>
        </is>
      </c>
      <c r="G394" s="128" t="str">
        <f>IF(AND($G$340&gt;0,OR(Inputs!$E$6=7,Inputs!$E$6=8)),IFERROR(XIRR($G$392:$AQ$392,$G$391:$AQ$391),"n/a – no convergence"),"n/a")</f>
        <v>n/a</v>
      </c>
    </row>
    <row r="395">
      <c r="C395" t="inlineStr">
        <is>
          <t xml:space="preserve">Implied price for the target buyer IRR in column F (XNPV at COD ÷ installed MW Inputs E29) – target 1 (Control Panel)</t>
        </is>
      </c>
      <c r="D395" t="inlineStr">
        <is>
          <t xml:space="preserve">k€/MW</t>
        </is>
      </c>
      <c r="F395" s="515">
        <f>'Control Panel'!$E$135</f>
        <v>0.07</v>
      </c>
      <c r="G395" s="1" t="str">
        <f>IF(AND(AND($G$340&gt;0,OR(Inputs!$E$6=7,Inputs!$E$6=8)),Inputs!$E$29&gt;0),XNPV($F395,$G$393:$AQ$393,$G$391:$AQ$391)/Inputs!$E$29,"n/a")</f>
        <v>n/a</v>
      </c>
    </row>
    <row r="396">
      <c r="C396" t="inlineStr">
        <is>
          <t xml:space="preserve">Implied price for the target buyer IRR in column F (XNPV at COD ÷ installed MW Inputs E29) – target 2 (Control Panel)</t>
        </is>
      </c>
      <c r="D396" t="inlineStr">
        <is>
          <t xml:space="preserve">k€/MW</t>
        </is>
      </c>
      <c r="F396" s="515">
        <f>'Control Panel'!$F$135</f>
        <v>0.08</v>
      </c>
      <c r="G396" s="1" t="str">
        <f>IF(AND(AND($G$340&gt;0,OR(Inputs!$E$6=7,Inputs!$E$6=8)),Inputs!$E$29&gt;0),XNPV($F396,$G$393:$AQ$393,$G$391:$AQ$391)/Inputs!$E$29,"n/a")</f>
        <v>n/a</v>
      </c>
    </row>
    <row r="397">
      <c r="C397" t="inlineStr">
        <is>
          <t xml:space="preserve">Implied price for the target buyer IRR in column F (XNPV at COD ÷ installed MW Inputs E29) – target 3 (Control Panel)</t>
        </is>
      </c>
      <c r="D397" t="inlineStr">
        <is>
          <t xml:space="preserve">k€/MW</t>
        </is>
      </c>
      <c r="F397" s="515">
        <f>'Control Panel'!$G$135</f>
        <v>0.09</v>
      </c>
      <c r="G397" s="1" t="str">
        <f>IF(AND(AND($G$340&gt;0,OR(Inputs!$E$6=7,Inputs!$E$6=8)),Inputs!$E$29&gt;0),XNPV($F397,$G$393:$AQ$393,$G$391:$AQ$391)/Inputs!$E$29,"n/a")</f>
        <v>n/a</v>
      </c>
    </row>
    <row r="398">
      <c r="C398" t="inlineStr">
        <is>
          <t xml:space="preserve">Check (info): XNPV of the flows at the buyer IRR = our price (G340), within 0.01 % of the price</t>
        </is>
      </c>
      <c r="D398" t="inlineStr">
        <is>
          <t xml:space="preserve">status</t>
        </is>
      </c>
      <c r="G398" s="101" t="str">
        <f>IFERROR(IF(ABS(XNPV($G$394,$G$393:$AQ$393,$G$391:$AQ$391)-$G$340)&lt;=0.0001*$G$340,"OK","CHECK"),"n/a")</f>
        <v>n/a</v>
      </c>
    </row>
  </sheetData>
  <conditionalFormatting sqref="G163:G172">
    <cfRule type="containsText" dxfId="1" priority="1" operator="containsText" text="OK">
      <formula>NOT(ISERROR(SEARCH("OK",G163)))</formula>
    </cfRule>
    <cfRule type="containsText" dxfId="0" priority="2" operator="containsText" text="FAIL">
      <formula>NOT(ISERROR(SEARCH("FAIL",G163)))</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06D6-E4AC-49AB-9900-F17BB8CEB06F}">
  <sheetPr codeName="Sheet9"/>
  <dimension ref="A1:I60"/>
  <sheetViews>
    <sheetView workbookViewId="0">
      <pane ySplit="5" topLeftCell="A6" activePane="bottomLeft" state="frozen"/>
      <selection pane="bottomLeft" activeCell="E6" sqref="E6"/>
    </sheetView>
  </sheetViews>
  <sheetFormatPr defaultRowHeight="15" x14ac:dyDescent="0.25"/>
  <cols>
    <col min="1" max="1" width="3.7109375" customWidth="1"/>
    <col min="2" max="2" width="5.5703125" customWidth="1"/>
    <col min="3" max="3" width="17.5703125" customWidth="1"/>
    <col min="4" max="4" width="37" customWidth="1"/>
    <col min="5" max="6" width="61.140625" customWidth="1"/>
    <col min="7" max="7" width="17.5703125" customWidth="1"/>
    <col min="8" max="8" width="13" customWidth="1"/>
    <col min="9" max="9" width="37" customWidth="1"/>
  </cols>
  <sheetData>
    <row r="1" spans="1:9" x14ac:dyDescent="0.25">
      <c r="A1" s="5" t="s">
        <v>35</v>
      </c>
    </row>
    <row r="2" spans="1:9" x14ac:dyDescent="0.25">
      <c r="A2" s="4" t="s">
        <v>61</v>
      </c>
    </row>
    <row r="3" spans="1:9" x14ac:dyDescent="0.25">
      <c r="A3" s="109" t="s">
        <v>62</v>
      </c>
    </row>
    <row r="4" spans="1:9" x14ac:dyDescent="0.25">
      <c r="B4" t="s">
        <v>1728</v>
      </c>
    </row>
    <row r="5" spans="1:9" ht="30" x14ac:dyDescent="0.25">
      <c r="A5" s="9"/>
      <c r="B5" s="10" t="s">
        <v>7</v>
      </c>
      <c r="C5" s="11" t="s">
        <v>63</v>
      </c>
      <c r="D5" s="11" t="s">
        <v>64</v>
      </c>
      <c r="E5" s="14" t="s">
        <v>65</v>
      </c>
      <c r="F5" s="14" t="s">
        <v>66</v>
      </c>
      <c r="G5" s="11" t="s">
        <v>67</v>
      </c>
      <c r="H5" s="10" t="s">
        <v>57</v>
      </c>
      <c r="I5" s="18" t="s">
        <v>194</v>
      </c>
    </row>
    <row r="6" ht="60" x14ac:dyDescent="0.25">
      <c r="A6" s="9"/>
      <c r="B6" s="9">
        <v>1</v>
      </c>
      <c r="C6" s="9" t="s">
        <v>58</v>
      </c>
      <c r="D6" s="9" t="s">
        <v>2261</v>
      </c>
      <c r="E6" s="13" t="s">
        <v>1559</v>
      </c>
      <c r="F6" s="13" t="inlineStr">
        <is>
          <t xml:space="preserve">Accepted 02-Oct-26 (user decision): downside DSCR (Aurora Low + P90) is shown live in HTM block 16 (G324 vs Inputs E274); debt is sized at financing. Bora passed at 1.36x – check HTM G325.</t>
        </is>
      </c>
      <c r="G6" s="13" t="s">
        <v>1432</v>
      </c>
      <c r="H6" s="23" t="s">
        <v>2342</v>
      </c>
      <c r="I6" s="13"/>
    </row>
    <row r="7" ht="75" x14ac:dyDescent="0.25">
      <c r="A7" s="9"/>
      <c r="B7" s="9">
        <v>2</v>
      </c>
      <c r="C7" s="9" t="s">
        <v>1065</v>
      </c>
      <c r="D7" s="9" t="s">
        <v>1066</v>
      </c>
      <c r="E7" s="13" t="s">
        <v>2259</v>
      </c>
      <c r="F7" s="13" t="inlineStr">
        <is>
          <t xml:space="preserve">Accepted 02-Oct-26 as the base-case estimate: turbine 950 k€/MW (European, see #12) plus Inputs E163:E171 lines; capex ≈1,720 k€/MW excl. / ≈1,880 k€/MW incl. connection fee. Replace with tender quotes / technical DD when available.</t>
        </is>
      </c>
      <c r="G7" s="13" t="s">
        <v>1067</v>
      </c>
      <c r="H7" s="23" t="s">
        <v>2344</v>
      </c>
      <c r="I7" s="13" t="s">
        <v>1068</v>
      </c>
    </row>
    <row r="8" spans="1:9" ht="60" x14ac:dyDescent="0.25">
      <c r="A8" s="9"/>
      <c r="B8" s="9">
        <v>3</v>
      </c>
      <c r="C8" s="9" t="s">
        <v>1164</v>
      </c>
      <c r="D8" s="9" t="s">
        <v>1171</v>
      </c>
      <c r="E8" s="13" t="s">
        <v>1172</v>
      </c>
      <c r="F8" s="13" t="s">
        <v>2345</v>
      </c>
      <c r="G8" s="13" t="s">
        <v>1173</v>
      </c>
      <c r="H8" s="23" t="s">
        <v>2346</v>
      </c>
      <c r="I8" s="13" t="s">
        <v>1170</v>
      </c>
    </row>
    <row r="9" spans="1:9" ht="90" x14ac:dyDescent="0.25">
      <c r="A9" s="9"/>
      <c r="B9" s="9">
        <v>4</v>
      </c>
      <c r="C9" s="9" t="s">
        <v>1081</v>
      </c>
      <c r="D9" s="9" t="s">
        <v>1082</v>
      </c>
      <c r="E9" s="13" t="s">
        <v>1163</v>
      </c>
      <c r="F9" s="13" t="s">
        <v>2324</v>
      </c>
      <c r="G9" s="13" t="s">
        <v>302</v>
      </c>
      <c r="H9" s="23" t="s">
        <v>2325</v>
      </c>
      <c r="I9" s="13" t="s">
        <v>133</v>
      </c>
    </row>
    <row r="10" spans="1:9" ht="60" x14ac:dyDescent="0.25">
      <c r="A10" s="9"/>
      <c r="B10" s="9">
        <v>5</v>
      </c>
      <c r="C10" s="9" t="s">
        <v>1074</v>
      </c>
      <c r="D10" s="9" t="s">
        <v>1075</v>
      </c>
      <c r="E10" s="13" t="s">
        <v>2260</v>
      </c>
      <c r="F10" s="13" t="s">
        <v>2347</v>
      </c>
      <c r="G10" s="13" t="s">
        <v>1076</v>
      </c>
      <c r="H10" s="23" t="s">
        <v>2348</v>
      </c>
      <c r="I10" s="13" t="s">
        <v>133</v>
      </c>
    </row>
    <row r="11" ht="75" x14ac:dyDescent="0.25">
      <c r="A11" s="9"/>
      <c r="B11" s="9">
        <v>6</v>
      </c>
      <c r="C11" s="9" t="s">
        <v>1077</v>
      </c>
      <c r="D11" s="9" t="s">
        <v>1078</v>
      </c>
      <c r="E11" s="13" t="s">
        <v>1161</v>
      </c>
      <c r="F11" s="13" t="inlineStr">
        <is>
          <t xml:space="preserve">Robin Hood tax left OFF (≤ 50 MW per SPV) and flagged; switch on the Control Panel (→ Inputs G197, per case). 20-yr straight-line depreciation and 50% loss cap kept.</t>
        </is>
      </c>
      <c r="G11" s="13" t="s">
        <v>1079</v>
      </c>
      <c r="H11" s="23" t="inlineStr">
        <is>
          <t xml:space="preserve">Closed – off, switchable on the Control Panel</t>
        </is>
      </c>
      <c r="I11" s="13" t="s">
        <v>1080</v>
      </c>
    </row>
    <row r="12" ht="90" x14ac:dyDescent="0.25">
      <c r="A12" s="9"/>
      <c r="B12" s="9">
        <v>7</v>
      </c>
      <c r="C12" s="9" t="s">
        <v>1164</v>
      </c>
      <c r="D12" s="9" t="s">
        <v>1168</v>
      </c>
      <c r="E12" s="13" t="s">
        <v>1169</v>
      </c>
      <c r="F12" s="13" t="inlineStr">
        <is>
          <t xml:space="preserve">Bid offer kept at 20 k€/MW one-off and 2 €/MWh annual; now inputs of the tender scenarios on the Control Panel (→ Tender E12 / E13 → Inputs G233 / G234), so the bid can be flexed with one change (user decision 02-Oct-26).</t>
        </is>
      </c>
      <c r="G12" s="13" t="s">
        <v>83</v>
      </c>
      <c r="H12" s="23" t="inlineStr">
        <is>
          <t xml:space="preserve">Closed – tender-scenario inputs on the Control Panel</t>
        </is>
      </c>
      <c r="I12" s="13" t="s">
        <v>1170</v>
      </c>
    </row>
    <row r="13" spans="1:9" ht="120" x14ac:dyDescent="0.25">
      <c r="A13" s="9"/>
      <c r="B13" s="9">
        <v>8</v>
      </c>
      <c r="C13" s="9" t="s">
        <v>58</v>
      </c>
      <c r="D13" s="9" t="s">
        <v>300</v>
      </c>
      <c r="E13" s="13" t="s">
        <v>301</v>
      </c>
      <c r="F13" s="13" t="s">
        <v>2326</v>
      </c>
      <c r="G13" s="9" t="s">
        <v>302</v>
      </c>
      <c r="H13" s="15" t="s">
        <v>2327</v>
      </c>
      <c r="I13" s="13" t="s">
        <v>303</v>
      </c>
    </row>
    <row r="14" spans="1:9" ht="135" x14ac:dyDescent="0.25">
      <c r="A14" s="9"/>
      <c r="B14" s="9">
        <v>9</v>
      </c>
      <c r="C14" s="9" t="s">
        <v>1426</v>
      </c>
      <c r="D14" s="9" t="s">
        <v>1717</v>
      </c>
      <c r="E14" s="13" t="s">
        <v>1560</v>
      </c>
      <c r="F14" s="13" t="s">
        <v>2418</v>
      </c>
      <c r="G14" s="13" t="s">
        <v>71</v>
      </c>
      <c r="H14" s="23" t="s">
        <v>2419</v>
      </c>
      <c r="I14" s="13"/>
    </row>
    <row r="15" ht="60" x14ac:dyDescent="0.25">
      <c r="A15" s="9"/>
      <c r="B15" s="9">
        <v>10</v>
      </c>
      <c r="C15" s="9" t="s">
        <v>91</v>
      </c>
      <c r="D15" s="9" t="s">
        <v>92</v>
      </c>
      <c r="E15" s="13" t="s">
        <v>93</v>
      </c>
      <c r="F15" s="13" t="inlineStr">
        <is>
          <t xml:space="preserve">Single discount rate 8% on the Control Panel (→ Inputs 253) now drives Inputs 13 (economic-profit charge, was 8.9%), 224 (unlevered NPV, was 7%) and 225 (equity NPV, was 10%) – user decision 02-Oct-26.</t>
        </is>
      </c>
      <c r="G15" s="9" t="s">
        <v>71</v>
      </c>
      <c r="H15" s="15" t="s">
        <v>2421</v>
      </c>
      <c r="I15" s="8"/>
    </row>
    <row r="16" spans="1:9" ht="120" x14ac:dyDescent="0.25">
      <c r="A16" s="9"/>
      <c r="B16" s="9">
        <v>11</v>
      </c>
      <c r="C16" s="9" t="s">
        <v>100</v>
      </c>
      <c r="D16" s="9" t="s">
        <v>101</v>
      </c>
      <c r="E16" s="13" t="s">
        <v>102</v>
      </c>
      <c r="F16" s="13" t="s">
        <v>2328</v>
      </c>
      <c r="G16" s="9" t="s">
        <v>90</v>
      </c>
      <c r="H16" s="15" t="s">
        <v>2329</v>
      </c>
      <c r="I16" s="8"/>
    </row>
    <row r="17" ht="75" x14ac:dyDescent="0.25">
      <c r="A17" s="9"/>
      <c r="B17" s="9">
        <v>12</v>
      </c>
      <c r="C17" s="9" t="s">
        <v>1179</v>
      </c>
      <c r="D17" s="9" t="s">
        <v>1180</v>
      </c>
      <c r="E17" s="13" t="s">
        <v>1181</v>
      </c>
      <c r="F17" s="13" t="inlineStr">
        <is>
          <t xml:space="preserve">Base case switched to the European turbine (950 k€/MW, Control Panel → Inputs E162) on user decision 02-Oct-26, so the bid can score the ≥80% EU-equipment points. Chinese 500 k€/MW stays as case 6 sensitivity.</t>
        </is>
      </c>
      <c r="G17" s="13" t="s">
        <v>1182</v>
      </c>
      <c r="H17" s="23" t="s">
        <v>2349</v>
      </c>
      <c r="I17" s="13" t="s">
        <v>1170</v>
      </c>
    </row>
    <row r="18" spans="1:9" ht="90" x14ac:dyDescent="0.25">
      <c r="A18" s="9"/>
      <c r="B18" s="9">
        <v>13</v>
      </c>
      <c r="C18" s="9" t="s">
        <v>1083</v>
      </c>
      <c r="D18" s="9" t="s">
        <v>1084</v>
      </c>
      <c r="E18" s="13" t="s">
        <v>1162</v>
      </c>
      <c r="F18" s="13" t="s">
        <v>2330</v>
      </c>
      <c r="G18" s="13" t="s">
        <v>83</v>
      </c>
      <c r="H18" s="23" t="s">
        <v>2331</v>
      </c>
      <c r="I18" s="13" t="s">
        <v>822</v>
      </c>
    </row>
    <row r="19" ht="60" x14ac:dyDescent="0.25">
      <c r="A19" s="9"/>
      <c r="B19" s="9">
        <v>14</v>
      </c>
      <c r="C19" s="9" t="s">
        <v>58</v>
      </c>
      <c r="D19" s="9" t="s">
        <v>1477</v>
      </c>
      <c r="E19" s="13" t="s">
        <v>1478</v>
      </c>
      <c r="F19" s="13" t="inlineStr">
        <is>
          <t xml:space="preserve">Commitment fee 0.9% p.a. on undrawn senior debt during construction added: Control Panel → Inputs 222 → HTM row 85 (average undrawn × construction fraction; tax-deductible, equity-funded).</t>
        </is>
      </c>
      <c r="G19" s="13" t="s">
        <v>71</v>
      </c>
      <c r="H19" s="23" t="s">
        <v>2423</v>
      </c>
      <c r="I19" s="13"/>
    </row>
    <row r="20" spans="1:9" ht="45" x14ac:dyDescent="0.25">
      <c r="A20" s="9"/>
      <c r="B20" s="9">
        <v>15</v>
      </c>
      <c r="C20" s="9" t="s">
        <v>1164</v>
      </c>
      <c r="D20" s="9" t="s">
        <v>1480</v>
      </c>
      <c r="E20" s="13" t="s">
        <v>1481</v>
      </c>
      <c r="F20" s="13" t="s">
        <v>2332</v>
      </c>
      <c r="G20" s="13" t="s">
        <v>1173</v>
      </c>
      <c r="H20" s="23" t="s">
        <v>2333</v>
      </c>
      <c r="I20" s="13"/>
    </row>
    <row r="21" spans="1:9" ht="120" x14ac:dyDescent="0.25">
      <c r="A21" s="9"/>
      <c r="B21" s="9">
        <v>16</v>
      </c>
      <c r="C21" s="9" t="s">
        <v>87</v>
      </c>
      <c r="D21" s="9" t="s">
        <v>88</v>
      </c>
      <c r="E21" s="13" t="s">
        <v>89</v>
      </c>
      <c r="F21" s="13" t="s">
        <v>1718</v>
      </c>
      <c r="G21" s="9" t="s">
        <v>90</v>
      </c>
      <c r="H21" s="15" t="s">
        <v>1719</v>
      </c>
      <c r="I21" s="8"/>
    </row>
    <row r="22" ht="135" x14ac:dyDescent="0.25">
      <c r="A22" s="9"/>
      <c r="B22" s="9">
        <v>17</v>
      </c>
      <c r="C22" s="9" t="s">
        <v>1164</v>
      </c>
      <c r="D22" s="9" t="s">
        <v>1165</v>
      </c>
      <c r="E22" s="13" t="inlineStr">
        <is>
          <t xml:space="preserve">The final MEKH tender (30-Aug-26) offers 702 MVA at nine MV/HV nodes, incl. Szombathely OVIT 200 MVA. No 400 kV node is offered. BORA (~280 MW, 400 kV, ~8 km) does not obviously fit any single offered node; KKS / Cibo (132 kV, Vas / GYMS counties) may map to Szombathely.</t>
        </is>
      </c>
      <c r="F22" s="13" t="s">
        <v>1720</v>
      </c>
      <c r="G22" s="13" t="s">
        <v>1076</v>
      </c>
      <c r="H22" s="158" t="s">
        <v>1177</v>
      </c>
      <c r="I22" s="13" t="s">
        <v>1167</v>
      </c>
    </row>
    <row r="23" spans="1:9" ht="60" x14ac:dyDescent="0.25">
      <c r="A23" s="9"/>
      <c r="B23" s="9">
        <v>18</v>
      </c>
      <c r="C23" s="9" t="s">
        <v>109</v>
      </c>
      <c r="D23" s="9" t="s">
        <v>110</v>
      </c>
      <c r="E23" s="13" t="s">
        <v>111</v>
      </c>
      <c r="F23" s="13" t="s">
        <v>1721</v>
      </c>
      <c r="G23" s="9" t="s">
        <v>83</v>
      </c>
      <c r="H23" s="15" t="s">
        <v>1722</v>
      </c>
      <c r="I23" s="8"/>
    </row>
    <row r="24" spans="1:9" ht="150" x14ac:dyDescent="0.25">
      <c r="A24" s="9"/>
      <c r="B24" s="9">
        <v>19</v>
      </c>
      <c r="C24" s="9" t="s">
        <v>42</v>
      </c>
      <c r="D24" s="9" t="s">
        <v>1241</v>
      </c>
      <c r="E24" s="13" t="s">
        <v>1244</v>
      </c>
      <c r="F24" s="13" t="s">
        <v>1723</v>
      </c>
      <c r="G24" s="13" t="s">
        <v>83</v>
      </c>
      <c r="H24" s="23" t="s">
        <v>1177</v>
      </c>
      <c r="I24" s="13"/>
    </row>
    <row r="25" spans="1:9" ht="45" x14ac:dyDescent="0.25">
      <c r="A25" s="9"/>
      <c r="B25" s="9">
        <v>20</v>
      </c>
      <c r="C25" s="9" t="s">
        <v>42</v>
      </c>
      <c r="D25" s="9" t="s">
        <v>1724</v>
      </c>
      <c r="E25" s="13" t="s">
        <v>1482</v>
      </c>
      <c r="F25" s="13" t="s">
        <v>1725</v>
      </c>
      <c r="G25" s="13" t="s">
        <v>83</v>
      </c>
      <c r="H25" s="23" t="s">
        <v>1177</v>
      </c>
      <c r="I25" s="13"/>
    </row>
    <row r="26" spans="1:9" ht="105" x14ac:dyDescent="0.25">
      <c r="A26" s="9"/>
      <c r="B26" s="9">
        <v>21</v>
      </c>
      <c r="C26" s="9" t="s">
        <v>1069</v>
      </c>
      <c r="D26" s="9" t="s">
        <v>1070</v>
      </c>
      <c r="E26" s="13" t="s">
        <v>1071</v>
      </c>
      <c r="F26" s="13" t="s">
        <v>1469</v>
      </c>
      <c r="G26" s="13" t="s">
        <v>1072</v>
      </c>
      <c r="H26" s="23" t="s">
        <v>1470</v>
      </c>
      <c r="I26" s="13" t="s">
        <v>1073</v>
      </c>
    </row>
    <row r="27" spans="1:9" ht="60" x14ac:dyDescent="0.25">
      <c r="A27" s="9"/>
      <c r="B27" s="9">
        <v>22</v>
      </c>
      <c r="C27" s="9" t="s">
        <v>1164</v>
      </c>
      <c r="D27" s="9" t="s">
        <v>1174</v>
      </c>
      <c r="E27" s="13" t="s">
        <v>1175</v>
      </c>
      <c r="F27" s="13" t="s">
        <v>1176</v>
      </c>
      <c r="G27" s="13" t="s">
        <v>83</v>
      </c>
      <c r="H27" s="23" t="s">
        <v>1177</v>
      </c>
      <c r="I27" s="13" t="s">
        <v>1178</v>
      </c>
    </row>
    <row r="28" spans="1:9" ht="240" x14ac:dyDescent="0.25">
      <c r="A28" s="9"/>
      <c r="B28" s="9">
        <v>23</v>
      </c>
      <c r="C28" s="9" t="s">
        <v>18</v>
      </c>
      <c r="D28" s="9" t="s">
        <v>1240</v>
      </c>
      <c r="E28" s="13" t="s">
        <v>1242</v>
      </c>
      <c r="F28" s="13" t="s">
        <v>1285</v>
      </c>
      <c r="G28" s="13" t="s">
        <v>83</v>
      </c>
      <c r="H28" s="23" t="s">
        <v>1286</v>
      </c>
      <c r="I28" s="13"/>
    </row>
    <row r="29" spans="1:9" ht="180" x14ac:dyDescent="0.25">
      <c r="A29" s="9"/>
      <c r="B29" s="9">
        <v>24</v>
      </c>
      <c r="C29" s="9" t="s">
        <v>197</v>
      </c>
      <c r="D29" s="9" t="s">
        <v>1245</v>
      </c>
      <c r="E29" s="13" t="s">
        <v>1243</v>
      </c>
      <c r="F29" s="13" t="s">
        <v>1287</v>
      </c>
      <c r="G29" s="13" t="s">
        <v>83</v>
      </c>
      <c r="H29" s="23" t="s">
        <v>1177</v>
      </c>
      <c r="I29" s="13"/>
    </row>
    <row r="30" spans="1:9" ht="135" x14ac:dyDescent="0.25">
      <c r="B30" s="9">
        <v>25</v>
      </c>
      <c r="C30" s="9" t="s">
        <v>1288</v>
      </c>
      <c r="D30" s="9" t="s">
        <v>1289</v>
      </c>
      <c r="E30" s="13" t="s">
        <v>1290</v>
      </c>
      <c r="F30" s="13" t="s">
        <v>1297</v>
      </c>
      <c r="G30" s="13" t="s">
        <v>1076</v>
      </c>
      <c r="H30" s="23" t="s">
        <v>108</v>
      </c>
      <c r="I30" s="13" t="s">
        <v>1291</v>
      </c>
    </row>
    <row r="31" spans="1:9" ht="225" x14ac:dyDescent="0.25">
      <c r="B31" s="9">
        <v>26</v>
      </c>
      <c r="C31" s="9" t="s">
        <v>1288</v>
      </c>
      <c r="D31" s="9" t="s">
        <v>1292</v>
      </c>
      <c r="E31" s="13" t="s">
        <v>1293</v>
      </c>
      <c r="F31" s="13" t="s">
        <v>1307</v>
      </c>
      <c r="G31" s="13" t="s">
        <v>83</v>
      </c>
      <c r="H31" s="23" t="s">
        <v>1308</v>
      </c>
      <c r="I31" s="13" t="s">
        <v>1294</v>
      </c>
    </row>
    <row r="32" spans="1:9" ht="135" x14ac:dyDescent="0.25">
      <c r="B32" s="9">
        <v>27</v>
      </c>
      <c r="C32" s="9" t="s">
        <v>197</v>
      </c>
      <c r="D32" s="9" t="s">
        <v>1295</v>
      </c>
      <c r="E32" s="13" t="s">
        <v>1301</v>
      </c>
      <c r="F32" s="13" t="s">
        <v>1300</v>
      </c>
      <c r="G32" s="13" t="s">
        <v>83</v>
      </c>
      <c r="H32" s="23" t="s">
        <v>108</v>
      </c>
      <c r="I32" s="13" t="s">
        <v>1726</v>
      </c>
    </row>
    <row r="33" spans="2:9" ht="210" x14ac:dyDescent="0.25">
      <c r="B33" s="9">
        <v>28</v>
      </c>
      <c r="C33" s="9" t="s">
        <v>1418</v>
      </c>
      <c r="D33" s="9" t="s">
        <v>1419</v>
      </c>
      <c r="E33" s="13" t="s">
        <v>1420</v>
      </c>
      <c r="F33" s="13" t="s">
        <v>1421</v>
      </c>
      <c r="G33" s="13" t="s">
        <v>1422</v>
      </c>
      <c r="H33" s="23" t="s">
        <v>1727</v>
      </c>
      <c r="I33" s="13"/>
    </row>
    <row r="34" spans="2:9" ht="60" x14ac:dyDescent="0.25">
      <c r="B34" s="9">
        <v>29</v>
      </c>
      <c r="C34" s="9" t="s">
        <v>1058</v>
      </c>
      <c r="D34" s="9" t="s">
        <v>1423</v>
      </c>
      <c r="E34" s="13" t="s">
        <v>1424</v>
      </c>
      <c r="F34" s="13" t="s">
        <v>1425</v>
      </c>
      <c r="G34" s="13" t="s">
        <v>71</v>
      </c>
      <c r="H34" s="23" t="s">
        <v>1460</v>
      </c>
      <c r="I34" s="13"/>
    </row>
    <row r="35" spans="2:9" ht="45" x14ac:dyDescent="0.25">
      <c r="B35" s="9">
        <v>30</v>
      </c>
      <c r="C35" s="9" t="s">
        <v>1426</v>
      </c>
      <c r="D35" s="9" t="s">
        <v>1427</v>
      </c>
      <c r="E35" s="13" t="s">
        <v>2250</v>
      </c>
      <c r="F35" s="13" t="s">
        <v>1428</v>
      </c>
      <c r="G35" s="13" t="s">
        <v>1429</v>
      </c>
      <c r="H35" s="23" t="s">
        <v>2252</v>
      </c>
      <c r="I35" s="13"/>
    </row>
    <row r="36" spans="2:9" ht="60" x14ac:dyDescent="0.25">
      <c r="B36" s="9">
        <v>31</v>
      </c>
      <c r="C36" s="9" t="s">
        <v>58</v>
      </c>
      <c r="D36" s="9" t="s">
        <v>1430</v>
      </c>
      <c r="E36" s="13" t="s">
        <v>2251</v>
      </c>
      <c r="F36" s="13" t="s">
        <v>1431</v>
      </c>
      <c r="G36" s="13" t="s">
        <v>1432</v>
      </c>
      <c r="H36" s="23" t="s">
        <v>1461</v>
      </c>
      <c r="I36" s="13"/>
    </row>
    <row r="37" spans="2:9" ht="60" x14ac:dyDescent="0.25">
      <c r="B37" s="9">
        <v>32</v>
      </c>
      <c r="C37" s="9" t="s">
        <v>58</v>
      </c>
      <c r="D37" s="9" t="s">
        <v>1471</v>
      </c>
      <c r="E37" s="13" t="s">
        <v>1472</v>
      </c>
      <c r="F37" s="13" t="s">
        <v>1473</v>
      </c>
      <c r="G37" s="13" t="s">
        <v>71</v>
      </c>
      <c r="H37" s="23" t="s">
        <v>2253</v>
      </c>
      <c r="I37" s="13"/>
    </row>
    <row r="38" spans="2:9" ht="60" x14ac:dyDescent="0.25">
      <c r="B38" s="9">
        <v>33</v>
      </c>
      <c r="C38" s="9" t="s">
        <v>58</v>
      </c>
      <c r="D38" s="9" t="s">
        <v>1474</v>
      </c>
      <c r="E38" s="13" t="s">
        <v>1475</v>
      </c>
      <c r="F38" s="13" t="s">
        <v>1476</v>
      </c>
      <c r="G38" s="13" t="s">
        <v>1432</v>
      </c>
      <c r="H38" s="23" t="s">
        <v>1558</v>
      </c>
      <c r="I38" s="13"/>
    </row>
    <row r="39" spans="2:9" ht="60" x14ac:dyDescent="0.25">
      <c r="B39" s="9">
        <v>34</v>
      </c>
      <c r="C39" s="9" t="s">
        <v>1418</v>
      </c>
      <c r="D39" s="9" t="s">
        <v>1479</v>
      </c>
      <c r="E39" s="13" t="s">
        <v>1750</v>
      </c>
      <c r="F39" s="13" t="s">
        <v>1751</v>
      </c>
      <c r="G39" s="13" t="s">
        <v>83</v>
      </c>
      <c r="H39" s="23" t="s">
        <v>1752</v>
      </c>
      <c r="I39" s="13"/>
    </row>
    <row r="40" spans="2:9" ht="45" x14ac:dyDescent="0.25">
      <c r="B40" s="9">
        <v>35</v>
      </c>
      <c r="C40" s="9" t="s">
        <v>94</v>
      </c>
      <c r="D40" s="9" t="s">
        <v>95</v>
      </c>
      <c r="E40" s="13" t="s">
        <v>96</v>
      </c>
      <c r="F40" s="13" t="s">
        <v>1466</v>
      </c>
      <c r="G40" s="9" t="s">
        <v>71</v>
      </c>
      <c r="H40" s="15" t="s">
        <v>108</v>
      </c>
      <c r="I40" s="8"/>
    </row>
    <row r="41" spans="2:9" ht="45" x14ac:dyDescent="0.25">
      <c r="B41" s="9">
        <v>36</v>
      </c>
      <c r="C41" s="9" t="s">
        <v>103</v>
      </c>
      <c r="D41" s="9" t="s">
        <v>104</v>
      </c>
      <c r="E41" s="13" t="s">
        <v>105</v>
      </c>
      <c r="F41" s="13" t="s">
        <v>106</v>
      </c>
      <c r="G41" s="9" t="s">
        <v>107</v>
      </c>
      <c r="H41" s="16" t="s">
        <v>108</v>
      </c>
      <c r="I41" s="8"/>
    </row>
    <row r="42" spans="2:9" ht="60" x14ac:dyDescent="0.25">
      <c r="B42" s="9">
        <v>37</v>
      </c>
      <c r="C42" s="9" t="s">
        <v>68</v>
      </c>
      <c r="D42" s="9" t="s">
        <v>69</v>
      </c>
      <c r="E42" s="13" t="s">
        <v>70</v>
      </c>
      <c r="F42" s="13" t="s">
        <v>140</v>
      </c>
      <c r="G42" s="9" t="s">
        <v>144</v>
      </c>
      <c r="H42" s="16" t="s">
        <v>108</v>
      </c>
      <c r="I42" s="8"/>
    </row>
    <row r="43" ht="45" x14ac:dyDescent="0.25">
      <c r="B43" s="9">
        <v>38</v>
      </c>
      <c r="C43" s="9" t="s">
        <v>68</v>
      </c>
      <c r="D43" s="9" t="s">
        <v>72</v>
      </c>
      <c r="E43" s="13" t="inlineStr">
        <is>
          <t xml:space="preserve">Single asset with one COD versus several sub-projects with staggered RTB / COD. Determines whether Stage 2 / 3 run per sub-project or on a blended asset.</t>
        </is>
      </c>
      <c r="F43" s="13" t="s">
        <v>141</v>
      </c>
      <c r="G43" s="9" t="s">
        <v>144</v>
      </c>
      <c r="H43" s="16" t="s">
        <v>108</v>
      </c>
      <c r="I43" s="8"/>
    </row>
    <row r="44" spans="2:9" ht="45" x14ac:dyDescent="0.25">
      <c r="B44" s="9">
        <v>39</v>
      </c>
      <c r="C44" s="9" t="s">
        <v>68</v>
      </c>
      <c r="D44" s="9" t="s">
        <v>74</v>
      </c>
      <c r="E44" s="13" t="s">
        <v>75</v>
      </c>
      <c r="F44" s="13" t="s">
        <v>142</v>
      </c>
      <c r="G44" s="9" t="s">
        <v>144</v>
      </c>
      <c r="H44" s="16" t="s">
        <v>108</v>
      </c>
      <c r="I44" s="8"/>
    </row>
    <row r="45" spans="2:9" ht="30" x14ac:dyDescent="0.25">
      <c r="B45" s="9">
        <v>40</v>
      </c>
      <c r="C45" s="9" t="s">
        <v>76</v>
      </c>
      <c r="D45" s="9" t="s">
        <v>77</v>
      </c>
      <c r="E45" s="13" t="s">
        <v>78</v>
      </c>
      <c r="F45" s="13" t="s">
        <v>143</v>
      </c>
      <c r="G45" s="9" t="s">
        <v>144</v>
      </c>
      <c r="H45" s="16" t="s">
        <v>108</v>
      </c>
      <c r="I45" s="8"/>
    </row>
    <row r="46" spans="2:9" ht="90" x14ac:dyDescent="0.25">
      <c r="B46" s="9">
        <v>41</v>
      </c>
      <c r="C46" s="9" t="s">
        <v>296</v>
      </c>
      <c r="D46" s="9" t="s">
        <v>297</v>
      </c>
      <c r="E46" s="13" t="s">
        <v>298</v>
      </c>
      <c r="F46" s="13" t="s">
        <v>1467</v>
      </c>
      <c r="G46" s="9" t="s">
        <v>90</v>
      </c>
      <c r="H46" s="15" t="s">
        <v>1468</v>
      </c>
      <c r="I46" s="13" t="s">
        <v>299</v>
      </c>
    </row>
    <row r="47" spans="2:9" ht="45" x14ac:dyDescent="0.25">
      <c r="B47" s="9">
        <v>42</v>
      </c>
      <c r="C47" s="9" t="s">
        <v>79</v>
      </c>
      <c r="D47" s="9" t="s">
        <v>80</v>
      </c>
      <c r="E47" s="13" t="s">
        <v>81</v>
      </c>
      <c r="F47" s="13" t="s">
        <v>82</v>
      </c>
      <c r="G47" s="9" t="s">
        <v>83</v>
      </c>
      <c r="H47" s="15" t="s">
        <v>1465</v>
      </c>
      <c r="I47" s="8"/>
    </row>
    <row r="48" spans="2:9" ht="45" x14ac:dyDescent="0.25">
      <c r="B48" s="9">
        <v>43</v>
      </c>
      <c r="C48" s="9" t="s">
        <v>24</v>
      </c>
      <c r="D48" s="9" t="s">
        <v>84</v>
      </c>
      <c r="E48" s="13" t="s">
        <v>85</v>
      </c>
      <c r="F48" s="13" t="s">
        <v>86</v>
      </c>
      <c r="G48" s="9" t="s">
        <v>83</v>
      </c>
      <c r="H48" s="15" t="s">
        <v>1465</v>
      </c>
      <c r="I48" s="8"/>
    </row>
    <row r="49" spans="2:9" ht="45" x14ac:dyDescent="0.25">
      <c r="B49" s="9">
        <v>44</v>
      </c>
      <c r="C49" s="9" t="s">
        <v>58</v>
      </c>
      <c r="D49" s="9" t="s">
        <v>97</v>
      </c>
      <c r="E49" s="13" t="s">
        <v>98</v>
      </c>
      <c r="F49" s="13" t="s">
        <v>99</v>
      </c>
      <c r="G49" s="9" t="s">
        <v>83</v>
      </c>
      <c r="H49" s="15" t="s">
        <v>1465</v>
      </c>
      <c r="I49" s="8"/>
    </row>
    <row r="50" spans="2:9" ht="60" x14ac:dyDescent="0.25">
      <c r="B50" s="9">
        <v>45</v>
      </c>
      <c r="C50" s="9" t="s">
        <v>24</v>
      </c>
      <c r="D50" s="9" t="s">
        <v>145</v>
      </c>
      <c r="E50" s="13" t="s">
        <v>146</v>
      </c>
      <c r="F50" s="13" t="s">
        <v>147</v>
      </c>
      <c r="G50" s="9" t="s">
        <v>83</v>
      </c>
      <c r="H50" s="15" t="s">
        <v>1465</v>
      </c>
      <c r="I50" s="8"/>
    </row>
    <row r="51" spans="2:9" ht="45" x14ac:dyDescent="0.25">
      <c r="B51" s="9">
        <v>46</v>
      </c>
      <c r="C51" s="9" t="s">
        <v>24</v>
      </c>
      <c r="D51" s="9" t="s">
        <v>148</v>
      </c>
      <c r="E51" s="13" t="s">
        <v>149</v>
      </c>
      <c r="F51" s="13" t="s">
        <v>150</v>
      </c>
      <c r="G51" s="9" t="s">
        <v>83</v>
      </c>
      <c r="H51" s="15" t="s">
        <v>1465</v>
      </c>
      <c r="I51" s="8"/>
    </row>
    <row r="52" spans="2:9" ht="135" x14ac:dyDescent="0.25">
      <c r="B52" s="9">
        <v>47</v>
      </c>
      <c r="C52" s="9" t="s">
        <v>151</v>
      </c>
      <c r="D52" s="9" t="s">
        <v>152</v>
      </c>
      <c r="E52" s="13" t="s">
        <v>195</v>
      </c>
      <c r="F52" s="13" t="s">
        <v>196</v>
      </c>
      <c r="G52" s="9" t="s">
        <v>153</v>
      </c>
      <c r="H52" s="16" t="s">
        <v>1465</v>
      </c>
      <c r="I52" s="8"/>
    </row>
    <row r="53" spans="2:9" ht="105" x14ac:dyDescent="0.25">
      <c r="B53" s="9">
        <v>48</v>
      </c>
      <c r="C53" s="9" t="s">
        <v>197</v>
      </c>
      <c r="D53" s="9" t="s">
        <v>198</v>
      </c>
      <c r="E53" s="13" t="s">
        <v>199</v>
      </c>
      <c r="F53" s="13" t="s">
        <v>200</v>
      </c>
      <c r="G53" s="9" t="s">
        <v>83</v>
      </c>
      <c r="H53" s="15" t="s">
        <v>1465</v>
      </c>
      <c r="I53" s="13" t="s">
        <v>246</v>
      </c>
    </row>
    <row r="54" spans="2:9" ht="90" x14ac:dyDescent="0.25">
      <c r="B54" s="9">
        <v>49</v>
      </c>
      <c r="C54" s="9" t="s">
        <v>197</v>
      </c>
      <c r="D54" s="9" t="s">
        <v>201</v>
      </c>
      <c r="E54" s="13" t="s">
        <v>202</v>
      </c>
      <c r="F54" s="13" t="s">
        <v>248</v>
      </c>
      <c r="G54" s="9" t="s">
        <v>83</v>
      </c>
      <c r="H54" s="15" t="s">
        <v>1465</v>
      </c>
      <c r="I54" s="13" t="s">
        <v>247</v>
      </c>
    </row>
    <row r="55" spans="2:9" ht="45" x14ac:dyDescent="0.25">
      <c r="B55" s="9">
        <v>50</v>
      </c>
      <c r="C55" s="9" t="s">
        <v>197</v>
      </c>
      <c r="D55" s="9" t="s">
        <v>203</v>
      </c>
      <c r="E55" s="13" t="s">
        <v>204</v>
      </c>
      <c r="F55" s="13" t="s">
        <v>205</v>
      </c>
      <c r="G55" s="9" t="s">
        <v>83</v>
      </c>
      <c r="H55" s="15" t="s">
        <v>1465</v>
      </c>
      <c r="I55" s="13" t="s">
        <v>206</v>
      </c>
    </row>
    <row r="56" spans="2:9" ht="105" x14ac:dyDescent="0.25">
      <c r="B56" s="9">
        <v>51</v>
      </c>
      <c r="C56" s="9" t="s">
        <v>197</v>
      </c>
      <c r="D56" s="9" t="s">
        <v>207</v>
      </c>
      <c r="E56" s="13" t="s">
        <v>250</v>
      </c>
      <c r="F56" s="13" t="s">
        <v>251</v>
      </c>
      <c r="G56" s="9" t="s">
        <v>83</v>
      </c>
      <c r="H56" s="15" t="s">
        <v>1465</v>
      </c>
      <c r="I56" s="13" t="s">
        <v>249</v>
      </c>
    </row>
    <row r="57" spans="2:9" ht="150" x14ac:dyDescent="0.25">
      <c r="B57" s="9">
        <v>52</v>
      </c>
      <c r="C57" s="9" t="s">
        <v>252</v>
      </c>
      <c r="D57" s="9" t="s">
        <v>253</v>
      </c>
      <c r="E57" s="13" t="s">
        <v>254</v>
      </c>
      <c r="F57" s="13" t="s">
        <v>255</v>
      </c>
      <c r="G57" s="9" t="s">
        <v>256</v>
      </c>
      <c r="H57" s="15" t="s">
        <v>1465</v>
      </c>
      <c r="I57" s="13" t="s">
        <v>257</v>
      </c>
    </row>
    <row r="58" spans="2:9" ht="240" x14ac:dyDescent="0.25">
      <c r="B58" s="9">
        <v>53</v>
      </c>
      <c r="C58" s="9" t="s">
        <v>59</v>
      </c>
      <c r="D58" s="9" t="s">
        <v>316</v>
      </c>
      <c r="E58" s="13" t="s">
        <v>317</v>
      </c>
      <c r="F58" s="13" t="s">
        <v>334</v>
      </c>
      <c r="G58" s="13" t="s">
        <v>83</v>
      </c>
      <c r="H58" s="23" t="s">
        <v>1465</v>
      </c>
      <c r="I58" s="13" t="s">
        <v>333</v>
      </c>
    </row>
    <row r="59" spans="2:9" ht="60" x14ac:dyDescent="0.25">
      <c r="B59" s="9">
        <v>54</v>
      </c>
      <c r="C59" s="9" t="s">
        <v>2297</v>
      </c>
      <c r="D59" s="9" t="s">
        <v>2298</v>
      </c>
      <c r="E59" s="13" t="s">
        <v>2299</v>
      </c>
      <c r="F59" s="13" t="s">
        <v>2334</v>
      </c>
      <c r="G59" s="13" t="s">
        <v>1422</v>
      </c>
      <c r="H59" s="23" t="s">
        <v>2335</v>
      </c>
      <c r="I59" s="13"/>
    </row>
    <row r="60" spans="2:9" ht="60" x14ac:dyDescent="0.25">
      <c r="B60" s="9">
        <v>55</v>
      </c>
      <c r="C60" s="9" t="s">
        <v>91</v>
      </c>
      <c r="D60" s="9" t="s">
        <v>2300</v>
      </c>
      <c r="E60" s="13" t="s">
        <v>2301</v>
      </c>
      <c r="F60" s="13" t="s">
        <v>2350</v>
      </c>
      <c r="G60" s="13" t="s">
        <v>71</v>
      </c>
      <c r="H60" s="23" t="s">
        <v>2351</v>
      </c>
      <c r="I60" s="13"/>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647D-AB26-4FF8-8EFE-16D8E457DC40}">
  <sheetPr codeName="Sheet10"/>
  <dimension ref="A1:J120"/>
  <sheetViews>
    <sheetView workbookViewId="0">
      <pane ySplit="4" topLeftCell="A5" activePane="bottomLeft" state="frozen"/>
      <selection pane="bottomLeft" activeCell="E5" sqref="E5"/>
    </sheetView>
  </sheetViews>
  <sheetFormatPr defaultRowHeight="15" x14ac:dyDescent="0.25"/>
  <cols>
    <col min="1" max="1" width="3.7109375" customWidth="1"/>
    <col min="2" max="2" width="5.5703125" customWidth="1"/>
    <col min="3" max="3" width="13.85546875" customWidth="1"/>
    <col min="4" max="4" width="19.42578125" customWidth="1"/>
    <col min="5" max="5" width="27.7109375" customWidth="1"/>
    <col min="6" max="6" width="14.7109375" customWidth="1"/>
    <col min="7" max="7" width="66.7109375" customWidth="1"/>
    <col min="8" max="9" width="29.7109375" customWidth="1"/>
    <col min="10" max="10" width="37" customWidth="1"/>
  </cols>
  <sheetData>
    <row r="1" spans="1:10" x14ac:dyDescent="0.25">
      <c r="A1" s="5" t="s">
        <v>35</v>
      </c>
    </row>
    <row r="2" spans="1:10" x14ac:dyDescent="0.25">
      <c r="A2" s="4" t="s">
        <v>113</v>
      </c>
    </row>
    <row r="4" spans="1:10" x14ac:dyDescent="0.25">
      <c r="A4" s="9"/>
      <c r="B4" s="10" t="s">
        <v>7</v>
      </c>
      <c r="C4" s="10" t="s">
        <v>15</v>
      </c>
      <c r="D4" s="11" t="s">
        <v>114</v>
      </c>
      <c r="E4" s="11" t="s">
        <v>115</v>
      </c>
      <c r="F4" s="11" t="s">
        <v>116</v>
      </c>
      <c r="G4" s="11" t="s">
        <v>117</v>
      </c>
      <c r="H4" s="11" t="s">
        <v>118</v>
      </c>
      <c r="I4" s="11" t="s">
        <v>119</v>
      </c>
      <c r="J4" s="11" t="s">
        <v>120</v>
      </c>
    </row>
    <row r="5" spans="1:10" ht="60" x14ac:dyDescent="0.25">
      <c r="A5" s="9"/>
      <c r="B5" s="9">
        <v>1</v>
      </c>
      <c r="C5" s="12">
        <v>46268</v>
      </c>
      <c r="D5" s="9" t="s">
        <v>121</v>
      </c>
      <c r="E5" s="9" t="s">
        <v>56</v>
      </c>
      <c r="F5" s="9" t="s">
        <v>122</v>
      </c>
      <c r="G5" s="13" t="s">
        <v>123</v>
      </c>
      <c r="H5" s="13" t="s">
        <v>124</v>
      </c>
      <c r="I5" s="13" t="s">
        <v>125</v>
      </c>
      <c r="J5" s="13" t="s">
        <v>126</v>
      </c>
    </row>
    <row r="6" spans="1:10" ht="60" x14ac:dyDescent="0.25">
      <c r="A6" s="9"/>
      <c r="B6" s="9">
        <v>2</v>
      </c>
      <c r="C6" s="12">
        <v>46268</v>
      </c>
      <c r="D6" s="9" t="s">
        <v>121</v>
      </c>
      <c r="E6" s="9" t="s">
        <v>127</v>
      </c>
      <c r="F6" s="9" t="s">
        <v>122</v>
      </c>
      <c r="G6" s="13" t="s">
        <v>128</v>
      </c>
      <c r="H6" s="13" t="s">
        <v>124</v>
      </c>
      <c r="I6" s="13" t="s">
        <v>129</v>
      </c>
      <c r="J6" s="13" t="s">
        <v>130</v>
      </c>
    </row>
    <row r="7" spans="1:10" x14ac:dyDescent="0.25">
      <c r="A7" s="9"/>
      <c r="B7" s="9">
        <v>3</v>
      </c>
      <c r="C7" s="12">
        <v>46268</v>
      </c>
      <c r="D7" s="9" t="s">
        <v>121</v>
      </c>
      <c r="E7" s="9" t="s">
        <v>131</v>
      </c>
      <c r="F7" s="9" t="s">
        <v>122</v>
      </c>
      <c r="G7" s="13" t="s">
        <v>132</v>
      </c>
      <c r="H7" s="13" t="s">
        <v>124</v>
      </c>
      <c r="I7" s="13" t="s">
        <v>133</v>
      </c>
      <c r="J7" s="13" t="s">
        <v>134</v>
      </c>
    </row>
    <row r="8" spans="1:10" ht="60" x14ac:dyDescent="0.25">
      <c r="A8" s="9"/>
      <c r="B8" s="9">
        <v>4</v>
      </c>
      <c r="C8" s="12">
        <v>46268</v>
      </c>
      <c r="D8" s="9" t="s">
        <v>121</v>
      </c>
      <c r="E8" s="9" t="s">
        <v>135</v>
      </c>
      <c r="F8" s="9" t="s">
        <v>136</v>
      </c>
      <c r="G8" s="13" t="s">
        <v>137</v>
      </c>
      <c r="H8" s="13" t="s">
        <v>138</v>
      </c>
      <c r="I8" s="13" t="s">
        <v>138</v>
      </c>
      <c r="J8" s="13" t="s">
        <v>139</v>
      </c>
    </row>
    <row r="9" spans="1:10" ht="75" x14ac:dyDescent="0.25">
      <c r="A9" s="9"/>
      <c r="B9" s="9">
        <v>5</v>
      </c>
      <c r="C9" s="12">
        <v>46268</v>
      </c>
      <c r="D9" s="9" t="s">
        <v>154</v>
      </c>
      <c r="E9" s="9" t="s">
        <v>56</v>
      </c>
      <c r="F9" s="9" t="s">
        <v>155</v>
      </c>
      <c r="G9" s="13" t="s">
        <v>156</v>
      </c>
      <c r="H9" s="13" t="s">
        <v>157</v>
      </c>
      <c r="I9" s="13" t="s">
        <v>158</v>
      </c>
      <c r="J9" s="13" t="s">
        <v>159</v>
      </c>
    </row>
    <row r="10" spans="1:10" ht="60" x14ac:dyDescent="0.25">
      <c r="A10" s="9"/>
      <c r="B10" s="9">
        <v>6</v>
      </c>
      <c r="C10" s="12">
        <v>46268</v>
      </c>
      <c r="D10" s="9" t="s">
        <v>154</v>
      </c>
      <c r="E10" s="9" t="s">
        <v>160</v>
      </c>
      <c r="F10" s="9" t="s">
        <v>161</v>
      </c>
      <c r="G10" s="13" t="s">
        <v>162</v>
      </c>
      <c r="H10" s="13" t="s">
        <v>124</v>
      </c>
      <c r="I10" s="13" t="s">
        <v>163</v>
      </c>
      <c r="J10" s="13" t="s">
        <v>164</v>
      </c>
    </row>
    <row r="11" spans="1:10" ht="60" x14ac:dyDescent="0.25">
      <c r="A11" s="9"/>
      <c r="B11" s="9">
        <v>7</v>
      </c>
      <c r="C11" s="12">
        <v>46268</v>
      </c>
      <c r="D11" s="9" t="s">
        <v>154</v>
      </c>
      <c r="E11" s="9" t="s">
        <v>165</v>
      </c>
      <c r="F11" s="9" t="s">
        <v>166</v>
      </c>
      <c r="G11" s="13" t="s">
        <v>167</v>
      </c>
      <c r="H11" s="13">
        <v>280</v>
      </c>
      <c r="I11" s="13">
        <v>200</v>
      </c>
      <c r="J11" s="13" t="s">
        <v>168</v>
      </c>
    </row>
    <row r="12" spans="1:10" ht="60" x14ac:dyDescent="0.25">
      <c r="A12" s="9"/>
      <c r="B12" s="9">
        <v>8</v>
      </c>
      <c r="C12" s="12">
        <v>46268</v>
      </c>
      <c r="D12" s="9" t="s">
        <v>154</v>
      </c>
      <c r="E12" s="9" t="s">
        <v>169</v>
      </c>
      <c r="F12" s="9" t="s">
        <v>170</v>
      </c>
      <c r="G12" s="13" t="s">
        <v>171</v>
      </c>
      <c r="H12" s="17" t="s">
        <v>172</v>
      </c>
      <c r="I12" s="17" t="s">
        <v>173</v>
      </c>
      <c r="J12" s="13" t="s">
        <v>174</v>
      </c>
    </row>
    <row r="13" spans="1:10" ht="60" x14ac:dyDescent="0.25">
      <c r="A13" s="9"/>
      <c r="B13" s="9">
        <v>9</v>
      </c>
      <c r="C13" s="12">
        <v>46268</v>
      </c>
      <c r="D13" s="9" t="s">
        <v>154</v>
      </c>
      <c r="E13" s="9" t="s">
        <v>169</v>
      </c>
      <c r="F13" s="9" t="s">
        <v>175</v>
      </c>
      <c r="G13" s="13" t="s">
        <v>176</v>
      </c>
      <c r="H13" s="17" t="s">
        <v>177</v>
      </c>
      <c r="I13" s="17" t="s">
        <v>178</v>
      </c>
      <c r="J13" s="13" t="s">
        <v>174</v>
      </c>
    </row>
    <row r="14" spans="1:10" ht="90" x14ac:dyDescent="0.25">
      <c r="A14" s="9"/>
      <c r="B14" s="9">
        <v>10</v>
      </c>
      <c r="C14" s="12">
        <v>46268</v>
      </c>
      <c r="D14" s="9" t="s">
        <v>154</v>
      </c>
      <c r="E14" s="9" t="s">
        <v>56</v>
      </c>
      <c r="F14" s="9" t="s">
        <v>179</v>
      </c>
      <c r="G14" s="13" t="s">
        <v>180</v>
      </c>
      <c r="H14" s="13" t="s">
        <v>181</v>
      </c>
      <c r="I14" s="13" t="s">
        <v>182</v>
      </c>
      <c r="J14" s="13" t="s">
        <v>183</v>
      </c>
    </row>
    <row r="15" spans="1:10" ht="75" x14ac:dyDescent="0.25">
      <c r="A15" s="9"/>
      <c r="B15" s="9">
        <v>11</v>
      </c>
      <c r="C15" s="12">
        <v>46268</v>
      </c>
      <c r="D15" s="9" t="s">
        <v>154</v>
      </c>
      <c r="E15" s="9" t="s">
        <v>127</v>
      </c>
      <c r="F15" s="9" t="s">
        <v>184</v>
      </c>
      <c r="G15" s="13" t="s">
        <v>185</v>
      </c>
      <c r="H15" s="13" t="s">
        <v>186</v>
      </c>
      <c r="I15" s="13" t="s">
        <v>187</v>
      </c>
      <c r="J15" s="13" t="s">
        <v>188</v>
      </c>
    </row>
    <row r="16" spans="1:10" ht="90" x14ac:dyDescent="0.25">
      <c r="A16" s="9"/>
      <c r="B16" s="9">
        <v>12</v>
      </c>
      <c r="C16" s="12">
        <v>46268</v>
      </c>
      <c r="D16" s="9" t="s">
        <v>154</v>
      </c>
      <c r="E16" s="9" t="s">
        <v>56</v>
      </c>
      <c r="F16" s="9" t="s">
        <v>189</v>
      </c>
      <c r="G16" s="13" t="s">
        <v>190</v>
      </c>
      <c r="H16" s="13" t="s">
        <v>191</v>
      </c>
      <c r="I16" s="13" t="s">
        <v>192</v>
      </c>
      <c r="J16" s="13" t="s">
        <v>193</v>
      </c>
    </row>
    <row r="17" spans="1:10" ht="90" x14ac:dyDescent="0.25">
      <c r="A17" s="9"/>
      <c r="B17" s="9">
        <v>13</v>
      </c>
      <c r="C17" s="12">
        <v>46268</v>
      </c>
      <c r="D17" s="9" t="s">
        <v>154</v>
      </c>
      <c r="E17" s="9" t="s">
        <v>208</v>
      </c>
      <c r="F17" s="9" t="s">
        <v>209</v>
      </c>
      <c r="G17" s="13" t="s">
        <v>210</v>
      </c>
      <c r="H17" s="13" t="s">
        <v>211</v>
      </c>
      <c r="I17" s="13" t="s">
        <v>212</v>
      </c>
      <c r="J17" s="13" t="s">
        <v>213</v>
      </c>
    </row>
    <row r="18" spans="1:10" ht="90" x14ac:dyDescent="0.25">
      <c r="A18" s="9"/>
      <c r="B18" s="9">
        <v>14</v>
      </c>
      <c r="C18" s="12">
        <v>46268</v>
      </c>
      <c r="D18" s="9" t="s">
        <v>154</v>
      </c>
      <c r="E18" s="9" t="s">
        <v>56</v>
      </c>
      <c r="F18" s="9" t="s">
        <v>214</v>
      </c>
      <c r="G18" s="13" t="s">
        <v>215</v>
      </c>
      <c r="H18" s="13" t="s">
        <v>216</v>
      </c>
      <c r="I18" s="13" t="s">
        <v>217</v>
      </c>
      <c r="J18" s="13" t="s">
        <v>218</v>
      </c>
    </row>
    <row r="19" spans="1:10" ht="105" x14ac:dyDescent="0.25">
      <c r="A19" s="9"/>
      <c r="B19" s="9">
        <v>15</v>
      </c>
      <c r="C19" s="12">
        <v>46268</v>
      </c>
      <c r="D19" s="9" t="s">
        <v>154</v>
      </c>
      <c r="E19" s="9" t="s">
        <v>127</v>
      </c>
      <c r="F19" s="9" t="s">
        <v>219</v>
      </c>
      <c r="G19" s="13" t="s">
        <v>220</v>
      </c>
      <c r="H19" s="13" t="s">
        <v>221</v>
      </c>
      <c r="I19" s="13" t="s">
        <v>222</v>
      </c>
      <c r="J19" s="13" t="s">
        <v>223</v>
      </c>
    </row>
    <row r="20" spans="1:10" ht="180" x14ac:dyDescent="0.25">
      <c r="A20" s="9"/>
      <c r="B20" s="9">
        <v>16</v>
      </c>
      <c r="C20" s="12">
        <v>46268</v>
      </c>
      <c r="D20" s="9" t="s">
        <v>228</v>
      </c>
      <c r="E20" s="9" t="s">
        <v>160</v>
      </c>
      <c r="F20" s="9" t="s">
        <v>229</v>
      </c>
      <c r="G20" s="13" t="s">
        <v>230</v>
      </c>
      <c r="H20" s="13" t="s">
        <v>231</v>
      </c>
      <c r="I20" s="13" t="s">
        <v>232</v>
      </c>
      <c r="J20" s="13" t="s">
        <v>233</v>
      </c>
    </row>
    <row r="21" spans="1:10" ht="165" x14ac:dyDescent="0.25">
      <c r="A21" s="9"/>
      <c r="B21" s="9">
        <v>17</v>
      </c>
      <c r="C21" s="12">
        <v>46268</v>
      </c>
      <c r="D21" s="9" t="s">
        <v>228</v>
      </c>
      <c r="E21" s="9" t="s">
        <v>235</v>
      </c>
      <c r="F21" s="9" t="s">
        <v>236</v>
      </c>
      <c r="G21" s="13" t="s">
        <v>237</v>
      </c>
      <c r="H21" s="13" t="s">
        <v>238</v>
      </c>
      <c r="I21" s="13" t="s">
        <v>239</v>
      </c>
      <c r="J21" s="13" t="s">
        <v>240</v>
      </c>
    </row>
    <row r="22" spans="1:10" ht="240" x14ac:dyDescent="0.25">
      <c r="A22" s="9"/>
      <c r="B22" s="9">
        <v>18</v>
      </c>
      <c r="C22" s="12">
        <v>46268</v>
      </c>
      <c r="D22" s="9" t="s">
        <v>228</v>
      </c>
      <c r="E22" s="9" t="s">
        <v>160</v>
      </c>
      <c r="F22" s="9" t="s">
        <v>241</v>
      </c>
      <c r="G22" s="13" t="s">
        <v>242</v>
      </c>
      <c r="H22" s="13" t="s">
        <v>243</v>
      </c>
      <c r="I22" s="13" t="s">
        <v>244</v>
      </c>
      <c r="J22" s="13" t="s">
        <v>245</v>
      </c>
    </row>
    <row r="23" spans="1:10" ht="195" x14ac:dyDescent="0.25">
      <c r="A23" s="9"/>
      <c r="B23" s="9">
        <v>19</v>
      </c>
      <c r="C23" s="12">
        <v>46268</v>
      </c>
      <c r="D23" s="9" t="s">
        <v>228</v>
      </c>
      <c r="E23" s="9" t="s">
        <v>258</v>
      </c>
      <c r="F23" s="9" t="s">
        <v>259</v>
      </c>
      <c r="G23" s="13" t="s">
        <v>260</v>
      </c>
      <c r="H23" s="13" t="s">
        <v>261</v>
      </c>
      <c r="I23" s="13" t="s">
        <v>262</v>
      </c>
      <c r="J23" s="13" t="s">
        <v>263</v>
      </c>
    </row>
    <row r="24" spans="1:10" ht="210" x14ac:dyDescent="0.25">
      <c r="A24" s="9"/>
      <c r="B24" s="9">
        <v>20</v>
      </c>
      <c r="C24" s="12">
        <v>46268</v>
      </c>
      <c r="D24" s="9" t="s">
        <v>228</v>
      </c>
      <c r="E24" s="9" t="s">
        <v>160</v>
      </c>
      <c r="F24" s="9" t="s">
        <v>264</v>
      </c>
      <c r="G24" s="13" t="s">
        <v>265</v>
      </c>
      <c r="H24" s="13" t="s">
        <v>266</v>
      </c>
      <c r="I24" s="13" t="s">
        <v>267</v>
      </c>
      <c r="J24" s="13" t="s">
        <v>245</v>
      </c>
    </row>
    <row r="25" spans="1:10" ht="225" x14ac:dyDescent="0.25">
      <c r="B25" s="9">
        <v>21</v>
      </c>
      <c r="C25" s="7">
        <v>46268</v>
      </c>
      <c r="D25" s="9" t="s">
        <v>228</v>
      </c>
      <c r="E25" s="9" t="s">
        <v>268</v>
      </c>
      <c r="F25" s="9" t="s">
        <v>269</v>
      </c>
      <c r="G25" s="13" t="s">
        <v>270</v>
      </c>
      <c r="H25" s="13" t="s">
        <v>271</v>
      </c>
      <c r="I25" s="13" t="s">
        <v>272</v>
      </c>
      <c r="J25" s="13" t="s">
        <v>273</v>
      </c>
    </row>
    <row r="26" spans="1:10" ht="210" x14ac:dyDescent="0.25">
      <c r="B26" s="9">
        <v>22</v>
      </c>
      <c r="C26" s="7">
        <v>46268</v>
      </c>
      <c r="D26" s="9" t="s">
        <v>228</v>
      </c>
      <c r="E26" s="9" t="s">
        <v>160</v>
      </c>
      <c r="F26" s="9" t="s">
        <v>264</v>
      </c>
      <c r="G26" s="13" t="s">
        <v>274</v>
      </c>
      <c r="H26" s="13" t="s">
        <v>266</v>
      </c>
      <c r="I26" s="13" t="s">
        <v>267</v>
      </c>
      <c r="J26" s="13" t="s">
        <v>245</v>
      </c>
    </row>
    <row r="27" spans="1:10" ht="165" x14ac:dyDescent="0.25">
      <c r="A27" s="9"/>
      <c r="B27" s="9">
        <v>23</v>
      </c>
      <c r="C27" s="12">
        <v>46268</v>
      </c>
      <c r="D27" s="9" t="s">
        <v>279</v>
      </c>
      <c r="E27" s="9" t="s">
        <v>160</v>
      </c>
      <c r="F27" s="9" t="s">
        <v>280</v>
      </c>
      <c r="G27" s="13" t="s">
        <v>281</v>
      </c>
      <c r="H27" s="13" t="s">
        <v>282</v>
      </c>
      <c r="I27" s="13" t="s">
        <v>283</v>
      </c>
      <c r="J27" s="13" t="s">
        <v>284</v>
      </c>
    </row>
    <row r="28" spans="1:10" ht="180" x14ac:dyDescent="0.25">
      <c r="A28" s="9"/>
      <c r="B28" s="9">
        <v>24</v>
      </c>
      <c r="C28" s="12">
        <v>46268</v>
      </c>
      <c r="D28" s="9" t="s">
        <v>279</v>
      </c>
      <c r="E28" s="9" t="s">
        <v>285</v>
      </c>
      <c r="F28" s="9" t="s">
        <v>286</v>
      </c>
      <c r="G28" s="13" t="s">
        <v>287</v>
      </c>
      <c r="H28" s="13" t="s">
        <v>288</v>
      </c>
      <c r="I28" s="13" t="s">
        <v>289</v>
      </c>
      <c r="J28" s="13" t="s">
        <v>290</v>
      </c>
    </row>
    <row r="29" spans="1:10" ht="285" x14ac:dyDescent="0.25">
      <c r="A29" s="9"/>
      <c r="B29" s="9">
        <v>25</v>
      </c>
      <c r="C29" s="12">
        <v>46268</v>
      </c>
      <c r="D29" s="9" t="s">
        <v>279</v>
      </c>
      <c r="E29" s="9" t="s">
        <v>291</v>
      </c>
      <c r="F29" s="9" t="s">
        <v>292</v>
      </c>
      <c r="G29" s="13" t="s">
        <v>293</v>
      </c>
      <c r="H29" s="13" t="s">
        <v>294</v>
      </c>
      <c r="I29" s="13" t="s">
        <v>295</v>
      </c>
      <c r="J29" s="13" t="s">
        <v>245</v>
      </c>
    </row>
    <row r="30" spans="1:10" ht="225" x14ac:dyDescent="0.25">
      <c r="A30" s="9"/>
      <c r="B30" s="9">
        <v>26</v>
      </c>
      <c r="C30" s="12">
        <v>46268</v>
      </c>
      <c r="D30" s="9" t="s">
        <v>279</v>
      </c>
      <c r="E30" s="9" t="s">
        <v>304</v>
      </c>
      <c r="F30" s="9" t="s">
        <v>305</v>
      </c>
      <c r="G30" s="13" t="s">
        <v>306</v>
      </c>
      <c r="H30" s="13" t="s">
        <v>307</v>
      </c>
      <c r="I30" s="13" t="s">
        <v>308</v>
      </c>
      <c r="J30" s="13" t="s">
        <v>309</v>
      </c>
    </row>
    <row r="31" spans="1:10" ht="195" x14ac:dyDescent="0.25">
      <c r="A31" s="9"/>
      <c r="B31" s="9">
        <v>27</v>
      </c>
      <c r="C31" s="12">
        <v>46268</v>
      </c>
      <c r="D31" s="9" t="s">
        <v>279</v>
      </c>
      <c r="E31" s="9" t="s">
        <v>310</v>
      </c>
      <c r="F31" s="9" t="s">
        <v>311</v>
      </c>
      <c r="G31" s="13" t="s">
        <v>312</v>
      </c>
      <c r="H31" s="13" t="s">
        <v>313</v>
      </c>
      <c r="I31" s="13" t="s">
        <v>314</v>
      </c>
      <c r="J31" s="13" t="s">
        <v>315</v>
      </c>
    </row>
    <row r="32" spans="1:10" ht="315" x14ac:dyDescent="0.25">
      <c r="A32" s="9"/>
      <c r="B32" s="9">
        <v>28</v>
      </c>
      <c r="C32" s="12">
        <v>46268</v>
      </c>
      <c r="D32" s="9" t="s">
        <v>318</v>
      </c>
      <c r="E32" s="9" t="s">
        <v>319</v>
      </c>
      <c r="F32" s="9" t="s">
        <v>320</v>
      </c>
      <c r="G32" s="13" t="s">
        <v>321</v>
      </c>
      <c r="H32" s="13" t="s">
        <v>322</v>
      </c>
      <c r="I32" s="13" t="s">
        <v>323</v>
      </c>
      <c r="J32" s="13" t="s">
        <v>324</v>
      </c>
    </row>
    <row r="33" spans="1:10" ht="210" x14ac:dyDescent="0.25">
      <c r="A33" s="9"/>
      <c r="B33" s="9">
        <v>29</v>
      </c>
      <c r="C33" s="12">
        <v>46268</v>
      </c>
      <c r="D33" s="9" t="s">
        <v>279</v>
      </c>
      <c r="E33" s="9" t="s">
        <v>59</v>
      </c>
      <c r="F33" s="9" t="s">
        <v>325</v>
      </c>
      <c r="G33" s="13" t="s">
        <v>326</v>
      </c>
      <c r="H33" s="13" t="s">
        <v>327</v>
      </c>
      <c r="I33" s="13" t="s">
        <v>328</v>
      </c>
      <c r="J33" s="13" t="s">
        <v>329</v>
      </c>
    </row>
    <row r="34" spans="1:10" ht="90" x14ac:dyDescent="0.25">
      <c r="A34" s="9"/>
      <c r="B34" s="9">
        <v>30</v>
      </c>
      <c r="C34" s="12">
        <v>46268</v>
      </c>
      <c r="D34" s="9" t="s">
        <v>318</v>
      </c>
      <c r="E34" s="9" t="s">
        <v>160</v>
      </c>
      <c r="F34" s="9" t="s">
        <v>330</v>
      </c>
      <c r="G34" s="13" t="s">
        <v>331</v>
      </c>
      <c r="H34" s="13" t="s">
        <v>133</v>
      </c>
      <c r="I34" s="13" t="s">
        <v>332</v>
      </c>
      <c r="J34" s="13" t="s">
        <v>245</v>
      </c>
    </row>
    <row r="35" spans="1:10" ht="240" x14ac:dyDescent="0.25">
      <c r="A35" s="9"/>
      <c r="B35" s="9">
        <v>31</v>
      </c>
      <c r="C35" s="12">
        <v>46268</v>
      </c>
      <c r="D35" s="9" t="s">
        <v>318</v>
      </c>
      <c r="E35" s="9" t="s">
        <v>319</v>
      </c>
      <c r="F35" s="9" t="s">
        <v>335</v>
      </c>
      <c r="G35" s="13" t="s">
        <v>336</v>
      </c>
      <c r="H35" s="13" t="s">
        <v>337</v>
      </c>
      <c r="I35" s="13" t="s">
        <v>338</v>
      </c>
      <c r="J35" s="13" t="s">
        <v>339</v>
      </c>
    </row>
    <row r="36" spans="1:10" ht="240" x14ac:dyDescent="0.25">
      <c r="A36" s="9"/>
      <c r="B36" s="9">
        <v>32</v>
      </c>
      <c r="C36" s="12">
        <v>46268</v>
      </c>
      <c r="D36" s="9" t="s">
        <v>279</v>
      </c>
      <c r="E36" s="9" t="s">
        <v>127</v>
      </c>
      <c r="F36" s="9" t="s">
        <v>340</v>
      </c>
      <c r="G36" s="13" t="s">
        <v>341</v>
      </c>
      <c r="H36" s="13" t="s">
        <v>342</v>
      </c>
      <c r="I36" s="13" t="s">
        <v>343</v>
      </c>
      <c r="J36" s="13" t="s">
        <v>344</v>
      </c>
    </row>
    <row r="37" spans="1:10" ht="225" x14ac:dyDescent="0.25">
      <c r="A37" s="9"/>
      <c r="B37" s="9">
        <v>33</v>
      </c>
      <c r="C37" s="12">
        <v>46268</v>
      </c>
      <c r="D37" s="9" t="s">
        <v>345</v>
      </c>
      <c r="E37" s="9" t="s">
        <v>346</v>
      </c>
      <c r="F37" s="9" t="s">
        <v>347</v>
      </c>
      <c r="G37" s="13" t="s">
        <v>348</v>
      </c>
      <c r="H37" s="13" t="s">
        <v>349</v>
      </c>
      <c r="I37" s="13" t="s">
        <v>350</v>
      </c>
      <c r="J37" s="13" t="s">
        <v>351</v>
      </c>
    </row>
    <row r="38" spans="1:10" ht="225" x14ac:dyDescent="0.25">
      <c r="A38" s="9"/>
      <c r="B38" s="9">
        <v>34</v>
      </c>
      <c r="C38" s="12">
        <v>46268</v>
      </c>
      <c r="D38" s="9" t="s">
        <v>345</v>
      </c>
      <c r="E38" s="9" t="s">
        <v>352</v>
      </c>
      <c r="F38" s="9" t="s">
        <v>353</v>
      </c>
      <c r="G38" s="13" t="s">
        <v>354</v>
      </c>
      <c r="H38" s="13" t="s">
        <v>355</v>
      </c>
      <c r="I38" s="13" t="s">
        <v>356</v>
      </c>
      <c r="J38" s="13" t="s">
        <v>357</v>
      </c>
    </row>
    <row r="39" spans="1:10" ht="240" x14ac:dyDescent="0.25">
      <c r="A39" s="9"/>
      <c r="B39" s="9">
        <v>35</v>
      </c>
      <c r="C39" s="12">
        <v>46268</v>
      </c>
      <c r="D39" s="9" t="s">
        <v>103</v>
      </c>
      <c r="E39" s="9" t="s">
        <v>358</v>
      </c>
      <c r="F39" s="9" t="s">
        <v>359</v>
      </c>
      <c r="G39" s="13" t="s">
        <v>360</v>
      </c>
      <c r="H39" s="13" t="s">
        <v>361</v>
      </c>
      <c r="I39" s="13" t="s">
        <v>362</v>
      </c>
      <c r="J39" s="13" t="s">
        <v>363</v>
      </c>
    </row>
    <row r="40" spans="1:10" ht="105" x14ac:dyDescent="0.25">
      <c r="A40" s="9"/>
      <c r="B40" s="9">
        <v>36</v>
      </c>
      <c r="C40" s="12">
        <v>46268</v>
      </c>
      <c r="D40" s="9" t="s">
        <v>382</v>
      </c>
      <c r="E40" s="9" t="s">
        <v>383</v>
      </c>
      <c r="F40" s="9" t="s">
        <v>384</v>
      </c>
      <c r="G40" s="13" t="s">
        <v>385</v>
      </c>
      <c r="H40" s="13" t="s">
        <v>386</v>
      </c>
      <c r="I40" s="13" t="s">
        <v>387</v>
      </c>
      <c r="J40" s="13" t="s">
        <v>309</v>
      </c>
    </row>
    <row r="41" spans="1:10" ht="195" x14ac:dyDescent="0.25">
      <c r="A41" s="9"/>
      <c r="B41" s="9">
        <v>37</v>
      </c>
      <c r="C41" s="12">
        <v>46268</v>
      </c>
      <c r="D41" s="9" t="s">
        <v>279</v>
      </c>
      <c r="E41" s="9" t="s">
        <v>291</v>
      </c>
      <c r="F41" s="9" t="s">
        <v>388</v>
      </c>
      <c r="G41" s="13" t="s">
        <v>389</v>
      </c>
      <c r="H41" s="13" t="s">
        <v>390</v>
      </c>
      <c r="I41" s="13" t="s">
        <v>391</v>
      </c>
      <c r="J41" s="13" t="s">
        <v>392</v>
      </c>
    </row>
    <row r="42" spans="1:10" ht="225" x14ac:dyDescent="0.25">
      <c r="A42" s="9"/>
      <c r="B42" s="9">
        <v>38</v>
      </c>
      <c r="C42" s="12">
        <v>46268</v>
      </c>
      <c r="D42" s="9" t="s">
        <v>393</v>
      </c>
      <c r="E42" s="9" t="s">
        <v>160</v>
      </c>
      <c r="F42" s="9" t="s">
        <v>394</v>
      </c>
      <c r="G42" s="13" t="s">
        <v>395</v>
      </c>
      <c r="H42" s="13" t="s">
        <v>396</v>
      </c>
      <c r="I42" s="13" t="s">
        <v>397</v>
      </c>
      <c r="J42" s="13" t="s">
        <v>398</v>
      </c>
    </row>
    <row r="43" spans="1:10" ht="225" x14ac:dyDescent="0.25">
      <c r="A43" s="9"/>
      <c r="B43" s="9">
        <v>39</v>
      </c>
      <c r="C43" s="12">
        <v>46268</v>
      </c>
      <c r="D43" s="9" t="s">
        <v>393</v>
      </c>
      <c r="E43" s="9" t="s">
        <v>399</v>
      </c>
      <c r="F43" s="9" t="s">
        <v>400</v>
      </c>
      <c r="G43" s="13" t="s">
        <v>401</v>
      </c>
      <c r="H43" s="13" t="s">
        <v>402</v>
      </c>
      <c r="I43" s="13" t="s">
        <v>403</v>
      </c>
      <c r="J43" s="13" t="s">
        <v>398</v>
      </c>
    </row>
    <row r="44" spans="1:10" ht="240" x14ac:dyDescent="0.25">
      <c r="A44" s="9"/>
      <c r="B44" s="9">
        <v>40</v>
      </c>
      <c r="C44" s="12">
        <v>46268</v>
      </c>
      <c r="D44" s="9" t="s">
        <v>393</v>
      </c>
      <c r="E44" s="9" t="s">
        <v>404</v>
      </c>
      <c r="F44" s="9" t="s">
        <v>405</v>
      </c>
      <c r="G44" s="13" t="s">
        <v>406</v>
      </c>
      <c r="H44" s="13" t="s">
        <v>407</v>
      </c>
      <c r="I44" s="13" t="s">
        <v>408</v>
      </c>
      <c r="J44" s="13" t="s">
        <v>409</v>
      </c>
    </row>
    <row r="45" spans="1:10" ht="255" x14ac:dyDescent="0.25">
      <c r="A45" s="9"/>
      <c r="B45" s="9">
        <v>41</v>
      </c>
      <c r="C45" s="12">
        <v>46268</v>
      </c>
      <c r="D45" s="9" t="s">
        <v>410</v>
      </c>
      <c r="E45" s="9" t="s">
        <v>60</v>
      </c>
      <c r="F45" s="9" t="s">
        <v>411</v>
      </c>
      <c r="G45" s="13" t="s">
        <v>412</v>
      </c>
      <c r="H45" s="13" t="s">
        <v>413</v>
      </c>
      <c r="I45" s="13" t="s">
        <v>414</v>
      </c>
      <c r="J45" s="13" t="s">
        <v>415</v>
      </c>
    </row>
    <row r="46" spans="1:10" ht="195" x14ac:dyDescent="0.25">
      <c r="A46" s="9"/>
      <c r="B46" s="9">
        <v>42</v>
      </c>
      <c r="C46" s="12">
        <v>46268</v>
      </c>
      <c r="D46" s="9" t="s">
        <v>345</v>
      </c>
      <c r="E46" s="9" t="s">
        <v>352</v>
      </c>
      <c r="F46" s="9" t="s">
        <v>416</v>
      </c>
      <c r="G46" s="13" t="s">
        <v>417</v>
      </c>
      <c r="H46" s="13" t="s">
        <v>418</v>
      </c>
      <c r="I46" s="13" t="s">
        <v>419</v>
      </c>
      <c r="J46" s="13" t="s">
        <v>420</v>
      </c>
    </row>
    <row r="47" spans="1:10" ht="285" x14ac:dyDescent="0.25">
      <c r="A47" s="9"/>
      <c r="B47" s="9">
        <v>43</v>
      </c>
      <c r="C47" s="12">
        <v>46268</v>
      </c>
      <c r="D47" s="9" t="s">
        <v>345</v>
      </c>
      <c r="E47" s="9" t="s">
        <v>421</v>
      </c>
      <c r="F47" s="9" t="s">
        <v>422</v>
      </c>
      <c r="G47" s="13" t="s">
        <v>423</v>
      </c>
      <c r="H47" s="13" t="s">
        <v>424</v>
      </c>
      <c r="I47" s="13" t="s">
        <v>425</v>
      </c>
      <c r="J47" s="13" t="s">
        <v>426</v>
      </c>
    </row>
    <row r="48" spans="1:10" ht="255" x14ac:dyDescent="0.25">
      <c r="A48" s="9"/>
      <c r="B48" s="9">
        <v>44</v>
      </c>
      <c r="C48" s="12">
        <v>46268</v>
      </c>
      <c r="D48" s="9" t="s">
        <v>103</v>
      </c>
      <c r="E48" s="9" t="s">
        <v>358</v>
      </c>
      <c r="F48" s="9" t="s">
        <v>427</v>
      </c>
      <c r="G48" s="13" t="s">
        <v>428</v>
      </c>
      <c r="H48" s="13" t="s">
        <v>429</v>
      </c>
      <c r="I48" s="13" t="s">
        <v>430</v>
      </c>
      <c r="J48" s="13" t="s">
        <v>431</v>
      </c>
    </row>
    <row r="49" spans="1:10" ht="150" x14ac:dyDescent="0.25">
      <c r="A49" s="9"/>
      <c r="B49" s="9">
        <v>45</v>
      </c>
      <c r="C49" s="26">
        <v>46268</v>
      </c>
      <c r="D49" s="9" t="s">
        <v>432</v>
      </c>
      <c r="E49" s="9" t="s">
        <v>160</v>
      </c>
      <c r="F49" s="9" t="s">
        <v>433</v>
      </c>
      <c r="G49" s="13" t="s">
        <v>434</v>
      </c>
      <c r="H49" s="13" t="s">
        <v>435</v>
      </c>
      <c r="I49" s="13" t="s">
        <v>436</v>
      </c>
      <c r="J49" s="13" t="s">
        <v>437</v>
      </c>
    </row>
    <row r="50" spans="1:10" ht="135" x14ac:dyDescent="0.25">
      <c r="A50" s="9"/>
      <c r="B50" s="9">
        <v>46</v>
      </c>
      <c r="C50" s="26">
        <v>46268</v>
      </c>
      <c r="D50" s="9" t="s">
        <v>432</v>
      </c>
      <c r="E50" s="9" t="s">
        <v>438</v>
      </c>
      <c r="F50" s="9" t="s">
        <v>439</v>
      </c>
      <c r="G50" s="13" t="s">
        <v>440</v>
      </c>
      <c r="H50" s="13" t="s">
        <v>441</v>
      </c>
      <c r="I50" s="13" t="s">
        <v>442</v>
      </c>
      <c r="J50" s="13" t="s">
        <v>443</v>
      </c>
    </row>
    <row r="51" spans="1:10" ht="255" x14ac:dyDescent="0.25">
      <c r="A51" s="9"/>
      <c r="B51" s="9">
        <v>47</v>
      </c>
      <c r="C51" s="26">
        <v>46268</v>
      </c>
      <c r="D51" s="9" t="s">
        <v>410</v>
      </c>
      <c r="E51" s="9" t="s">
        <v>58</v>
      </c>
      <c r="F51" s="9" t="s">
        <v>444</v>
      </c>
      <c r="G51" s="13" t="s">
        <v>445</v>
      </c>
      <c r="H51" s="13" t="s">
        <v>446</v>
      </c>
      <c r="I51" s="13" t="s">
        <v>447</v>
      </c>
      <c r="J51" s="13" t="s">
        <v>415</v>
      </c>
    </row>
    <row r="52" spans="1:10" ht="225" x14ac:dyDescent="0.25">
      <c r="A52" s="9"/>
      <c r="B52" s="9">
        <v>48</v>
      </c>
      <c r="C52" s="26">
        <v>46268</v>
      </c>
      <c r="D52" s="9" t="s">
        <v>448</v>
      </c>
      <c r="E52" s="9" t="s">
        <v>449</v>
      </c>
      <c r="F52" s="9" t="s">
        <v>450</v>
      </c>
      <c r="G52" s="13" t="s">
        <v>451</v>
      </c>
      <c r="H52" s="13" t="s">
        <v>452</v>
      </c>
      <c r="I52" s="13" t="s">
        <v>453</v>
      </c>
      <c r="J52" s="13" t="s">
        <v>454</v>
      </c>
    </row>
    <row r="53" spans="1:10" ht="315" x14ac:dyDescent="0.25">
      <c r="A53" s="9"/>
      <c r="B53" s="9">
        <v>49</v>
      </c>
      <c r="C53" s="26">
        <v>46268</v>
      </c>
      <c r="D53" s="9" t="s">
        <v>455</v>
      </c>
      <c r="E53" s="9" t="s">
        <v>58</v>
      </c>
      <c r="F53" s="9" t="s">
        <v>456</v>
      </c>
      <c r="G53" s="13" t="s">
        <v>457</v>
      </c>
      <c r="H53" s="13" t="s">
        <v>458</v>
      </c>
      <c r="I53" s="13" t="s">
        <v>459</v>
      </c>
      <c r="J53" s="13" t="s">
        <v>460</v>
      </c>
    </row>
    <row r="54" spans="1:10" ht="165" x14ac:dyDescent="0.25">
      <c r="B54" s="9">
        <v>50</v>
      </c>
      <c r="C54" s="26">
        <v>46271</v>
      </c>
      <c r="D54" s="9" t="s">
        <v>798</v>
      </c>
      <c r="E54" s="9" t="s">
        <v>799</v>
      </c>
      <c r="F54" s="9" t="s">
        <v>800</v>
      </c>
      <c r="G54" s="13" t="s">
        <v>801</v>
      </c>
      <c r="H54" s="13" t="s">
        <v>802</v>
      </c>
      <c r="I54" s="13" t="s">
        <v>803</v>
      </c>
      <c r="J54" s="13" t="s">
        <v>804</v>
      </c>
    </row>
    <row r="55" spans="1:10" ht="90" x14ac:dyDescent="0.25">
      <c r="B55" s="9">
        <v>51</v>
      </c>
      <c r="C55" s="26">
        <v>46271</v>
      </c>
      <c r="D55" s="9" t="s">
        <v>798</v>
      </c>
      <c r="E55" s="9" t="s">
        <v>805</v>
      </c>
      <c r="F55" s="9" t="s">
        <v>806</v>
      </c>
      <c r="G55" s="13" t="s">
        <v>807</v>
      </c>
      <c r="H55" s="13" t="s">
        <v>808</v>
      </c>
      <c r="I55" s="13" t="s">
        <v>809</v>
      </c>
      <c r="J55" s="13" t="s">
        <v>810</v>
      </c>
    </row>
    <row r="56" spans="1:10" ht="165" x14ac:dyDescent="0.25">
      <c r="B56" s="9">
        <v>52</v>
      </c>
      <c r="C56" s="26">
        <v>46271</v>
      </c>
      <c r="D56" s="9" t="s">
        <v>798</v>
      </c>
      <c r="E56" s="9" t="s">
        <v>811</v>
      </c>
      <c r="F56" s="9" t="s">
        <v>812</v>
      </c>
      <c r="G56" s="13" t="s">
        <v>813</v>
      </c>
      <c r="H56" s="13" t="s">
        <v>814</v>
      </c>
      <c r="I56" s="13" t="s">
        <v>815</v>
      </c>
      <c r="J56" s="13" t="s">
        <v>816</v>
      </c>
    </row>
    <row r="57" spans="1:10" ht="120" x14ac:dyDescent="0.25">
      <c r="B57" s="9">
        <v>53</v>
      </c>
      <c r="C57" s="26">
        <v>46271</v>
      </c>
      <c r="D57" s="9" t="s">
        <v>798</v>
      </c>
      <c r="E57" s="9" t="s">
        <v>3</v>
      </c>
      <c r="F57" s="9" t="s">
        <v>817</v>
      </c>
      <c r="G57" s="13" t="s">
        <v>818</v>
      </c>
      <c r="H57" s="13" t="s">
        <v>819</v>
      </c>
      <c r="I57" s="13" t="s">
        <v>820</v>
      </c>
      <c r="J57" s="13" t="s">
        <v>821</v>
      </c>
    </row>
    <row r="58" spans="1:10" ht="210" x14ac:dyDescent="0.25">
      <c r="B58" s="9">
        <v>54</v>
      </c>
      <c r="C58" s="116">
        <v>46271</v>
      </c>
      <c r="D58" s="9" t="s">
        <v>798</v>
      </c>
      <c r="E58" s="9" t="s">
        <v>848</v>
      </c>
      <c r="F58" s="9" t="s">
        <v>849</v>
      </c>
      <c r="G58" s="13" t="s">
        <v>850</v>
      </c>
      <c r="H58" s="13" t="s">
        <v>851</v>
      </c>
      <c r="I58" s="13" t="s">
        <v>852</v>
      </c>
      <c r="J58" s="13" t="s">
        <v>853</v>
      </c>
    </row>
    <row r="59" spans="1:10" ht="210" x14ac:dyDescent="0.25">
      <c r="B59" s="9">
        <v>55</v>
      </c>
      <c r="C59" s="116">
        <v>46271</v>
      </c>
      <c r="D59" s="9" t="s">
        <v>1085</v>
      </c>
      <c r="E59" s="9" t="s">
        <v>1086</v>
      </c>
      <c r="F59" s="9" t="s">
        <v>119</v>
      </c>
      <c r="G59" s="13" t="s">
        <v>1087</v>
      </c>
      <c r="H59" s="13" t="s">
        <v>1088</v>
      </c>
      <c r="I59" s="13" t="s">
        <v>1089</v>
      </c>
      <c r="J59" s="13" t="s">
        <v>1090</v>
      </c>
    </row>
    <row r="60" spans="1:10" ht="75" x14ac:dyDescent="0.25">
      <c r="B60" s="9">
        <v>56</v>
      </c>
      <c r="C60" s="116">
        <v>46271</v>
      </c>
      <c r="D60" s="9" t="s">
        <v>1085</v>
      </c>
      <c r="E60" s="9" t="s">
        <v>1091</v>
      </c>
      <c r="F60" s="9" t="s">
        <v>806</v>
      </c>
      <c r="G60" s="13" t="s">
        <v>1092</v>
      </c>
      <c r="H60" s="13" t="s">
        <v>1093</v>
      </c>
      <c r="I60" s="13" t="s">
        <v>831</v>
      </c>
      <c r="J60" s="13" t="s">
        <v>1094</v>
      </c>
    </row>
    <row r="61" spans="1:10" ht="150" x14ac:dyDescent="0.25">
      <c r="B61" s="9">
        <v>61</v>
      </c>
      <c r="C61" s="116">
        <v>46272</v>
      </c>
      <c r="D61" s="9" t="s">
        <v>1183</v>
      </c>
      <c r="E61" s="9" t="s">
        <v>1225</v>
      </c>
      <c r="F61" s="9" t="s">
        <v>1226</v>
      </c>
      <c r="G61" s="13" t="s">
        <v>1227</v>
      </c>
      <c r="H61" s="13" t="s">
        <v>1228</v>
      </c>
      <c r="I61" s="13" t="s">
        <v>1230</v>
      </c>
      <c r="J61" s="13" t="s">
        <v>1229</v>
      </c>
    </row>
    <row r="62" ht="165" x14ac:dyDescent="0.25">
      <c r="B62" s="9">
        <v>58</v>
      </c>
      <c r="C62" s="116">
        <v>46271</v>
      </c>
      <c r="D62" s="9" t="s">
        <v>1183</v>
      </c>
      <c r="E62" s="9" t="s">
        <v>1184</v>
      </c>
      <c r="F62" s="9" t="s">
        <v>1185</v>
      </c>
      <c r="G62" s="13" t="inlineStr">
        <is>
          <t xml:space="preserve">FINAL MEKH TENDER (published 30-Aug-26) reflected: bid window to 30-Oct-26, results by 13-Dec-26, connection request = award + 14 d, participation fee HUF 3.0m per bid × number of bids (new input, 6 SPVs); new section Q with the municipal one-off contribution (25 k€/MW est.), annual community contribution (2.5 €/MWh est.), 25% community call option (info), permit / connection / COD deadlines with COD checks, and node capacity (info). One-off contribution capitalised in the COD year (HTM row 27); annual contribution as an opex line on net generation (HTM row 57), excluded from contingency. Deposits reconciliation columns kept on the July-draft basis (S7 = 2.0) so the 8,074.4 mHUF tie still proves.</t>
        </is>
      </c>
      <c r="H62" s="13" t="s">
        <v>1187</v>
      </c>
      <c r="I62" s="13" t="s">
        <v>1188</v>
      </c>
      <c r="J62" s="13" t="s">
        <v>1189</v>
      </c>
    </row>
    <row r="63" spans="1:10" ht="75" x14ac:dyDescent="0.25">
      <c r="B63" s="9">
        <v>59</v>
      </c>
      <c r="C63" s="116">
        <v>46271</v>
      </c>
      <c r="D63" s="9" t="s">
        <v>1183</v>
      </c>
      <c r="E63" s="9" t="s">
        <v>1190</v>
      </c>
      <c r="F63" s="9" t="s">
        <v>1191</v>
      </c>
      <c r="G63" s="13" t="s">
        <v>1192</v>
      </c>
      <c r="H63" s="13" t="s">
        <v>136</v>
      </c>
      <c r="I63" s="13" t="s">
        <v>1193</v>
      </c>
      <c r="J63" s="13" t="s">
        <v>1194</v>
      </c>
    </row>
    <row r="64" spans="1:10" ht="105" x14ac:dyDescent="0.25">
      <c r="B64" s="9">
        <v>60</v>
      </c>
      <c r="C64" s="116">
        <v>46271</v>
      </c>
      <c r="D64" s="9" t="s">
        <v>1183</v>
      </c>
      <c r="E64" s="9" t="s">
        <v>1195</v>
      </c>
      <c r="F64" s="9" t="s">
        <v>1196</v>
      </c>
      <c r="G64" s="13" t="s">
        <v>1197</v>
      </c>
      <c r="H64" s="13" t="s">
        <v>1198</v>
      </c>
      <c r="I64" s="13" t="s">
        <v>1199</v>
      </c>
      <c r="J64" s="13" t="s">
        <v>1200</v>
      </c>
    </row>
    <row r="65" spans="2:10" ht="180" x14ac:dyDescent="0.25">
      <c r="B65" s="9">
        <v>62</v>
      </c>
      <c r="C65" s="116">
        <v>46286</v>
      </c>
      <c r="D65" s="9" t="s">
        <v>1183</v>
      </c>
      <c r="E65" s="9" t="s">
        <v>1234</v>
      </c>
      <c r="F65" s="9" t="s">
        <v>1235</v>
      </c>
      <c r="G65" s="13" t="s">
        <v>1236</v>
      </c>
      <c r="H65" s="13" t="s">
        <v>1237</v>
      </c>
      <c r="I65" s="13" t="s">
        <v>1238</v>
      </c>
      <c r="J65" s="13" t="s">
        <v>1239</v>
      </c>
    </row>
    <row r="66" spans="2:10" ht="60" x14ac:dyDescent="0.25">
      <c r="B66" s="9">
        <v>63</v>
      </c>
      <c r="C66" s="116">
        <v>46290</v>
      </c>
      <c r="D66" s="9" t="s">
        <v>1374</v>
      </c>
      <c r="E66" s="9" t="s">
        <v>1375</v>
      </c>
      <c r="F66" s="9" t="s">
        <v>1376</v>
      </c>
      <c r="G66" s="13" t="s">
        <v>1377</v>
      </c>
      <c r="H66" s="13" t="s">
        <v>1378</v>
      </c>
      <c r="I66" s="13" t="s">
        <v>1379</v>
      </c>
      <c r="J66" s="13" t="s">
        <v>1380</v>
      </c>
    </row>
    <row r="67" spans="2:10" ht="60" x14ac:dyDescent="0.25">
      <c r="B67" s="9">
        <v>64</v>
      </c>
      <c r="C67" s="116">
        <v>46290</v>
      </c>
      <c r="D67" s="9" t="s">
        <v>1374</v>
      </c>
      <c r="E67" s="9" t="s">
        <v>1381</v>
      </c>
      <c r="F67" s="9" t="s">
        <v>1382</v>
      </c>
      <c r="G67" s="13" t="s">
        <v>1383</v>
      </c>
      <c r="H67" s="13" t="s">
        <v>1384</v>
      </c>
      <c r="I67" s="13" t="s">
        <v>1385</v>
      </c>
      <c r="J67" s="13" t="s">
        <v>1380</v>
      </c>
    </row>
    <row r="68" spans="2:10" ht="60" x14ac:dyDescent="0.25">
      <c r="B68" s="9">
        <v>65</v>
      </c>
      <c r="C68" s="116">
        <v>46290</v>
      </c>
      <c r="D68" s="9" t="s">
        <v>1374</v>
      </c>
      <c r="E68" s="9" t="s">
        <v>1058</v>
      </c>
      <c r="F68" s="9" t="s">
        <v>1386</v>
      </c>
      <c r="G68" s="13" t="s">
        <v>1387</v>
      </c>
      <c r="H68" s="13" t="s">
        <v>1388</v>
      </c>
      <c r="I68" s="13" t="s">
        <v>1389</v>
      </c>
      <c r="J68" s="13" t="s">
        <v>1380</v>
      </c>
    </row>
    <row r="69" spans="2:10" ht="30" x14ac:dyDescent="0.25">
      <c r="B69" s="9">
        <v>66</v>
      </c>
      <c r="C69" s="116">
        <v>46290</v>
      </c>
      <c r="D69" s="9" t="s">
        <v>1374</v>
      </c>
      <c r="E69" s="9" t="s">
        <v>1058</v>
      </c>
      <c r="F69" s="9" t="s">
        <v>1390</v>
      </c>
      <c r="G69" s="13" t="s">
        <v>1391</v>
      </c>
      <c r="H69" s="13" t="s">
        <v>1392</v>
      </c>
      <c r="I69" s="13" t="s">
        <v>1393</v>
      </c>
      <c r="J69" s="13" t="s">
        <v>1380</v>
      </c>
    </row>
    <row r="70" spans="2:10" ht="30" x14ac:dyDescent="0.25">
      <c r="B70" s="9">
        <v>67</v>
      </c>
      <c r="C70" s="116">
        <v>46290</v>
      </c>
      <c r="D70" s="9" t="s">
        <v>1374</v>
      </c>
      <c r="E70" s="9" t="s">
        <v>23</v>
      </c>
      <c r="F70" s="9" t="s">
        <v>1394</v>
      </c>
      <c r="G70" s="13" t="s">
        <v>1395</v>
      </c>
      <c r="H70" s="13" t="s">
        <v>1396</v>
      </c>
      <c r="I70" s="13" t="s">
        <v>1397</v>
      </c>
      <c r="J70" s="13" t="s">
        <v>1380</v>
      </c>
    </row>
    <row r="71" spans="2:10" ht="45" x14ac:dyDescent="0.25">
      <c r="B71" s="9">
        <v>68</v>
      </c>
      <c r="C71" s="116">
        <v>46290</v>
      </c>
      <c r="D71" s="9" t="s">
        <v>1374</v>
      </c>
      <c r="E71" s="9" t="s">
        <v>1398</v>
      </c>
      <c r="F71" s="9" t="s">
        <v>1399</v>
      </c>
      <c r="G71" s="13" t="s">
        <v>1400</v>
      </c>
      <c r="H71" s="13" t="s">
        <v>133</v>
      </c>
      <c r="I71" s="13" t="s">
        <v>1401</v>
      </c>
      <c r="J71" s="13" t="s">
        <v>1380</v>
      </c>
    </row>
    <row r="72" spans="2:10" ht="75" x14ac:dyDescent="0.25">
      <c r="B72" s="9">
        <v>69</v>
      </c>
      <c r="C72" s="116">
        <v>46290</v>
      </c>
      <c r="D72" s="9" t="s">
        <v>1374</v>
      </c>
      <c r="E72" s="9" t="s">
        <v>1190</v>
      </c>
      <c r="F72" s="9" t="s">
        <v>1402</v>
      </c>
      <c r="G72" s="13" t="s">
        <v>1403</v>
      </c>
      <c r="H72" s="13" t="s">
        <v>133</v>
      </c>
      <c r="I72" s="13" t="s">
        <v>1404</v>
      </c>
      <c r="J72" s="13" t="s">
        <v>1380</v>
      </c>
    </row>
    <row r="73" spans="2:10" ht="75" x14ac:dyDescent="0.25">
      <c r="B73" s="9">
        <v>70</v>
      </c>
      <c r="C73" s="116">
        <v>46290</v>
      </c>
      <c r="D73" s="9" t="s">
        <v>1374</v>
      </c>
      <c r="E73" s="9" t="s">
        <v>1405</v>
      </c>
      <c r="F73" s="9" t="s">
        <v>1406</v>
      </c>
      <c r="G73" s="13" t="s">
        <v>1407</v>
      </c>
      <c r="H73" s="13" t="s">
        <v>133</v>
      </c>
      <c r="I73" s="13" t="s">
        <v>1408</v>
      </c>
      <c r="J73" s="13" t="s">
        <v>1380</v>
      </c>
    </row>
    <row r="74" spans="2:10" ht="30" x14ac:dyDescent="0.25">
      <c r="B74" s="9">
        <v>71</v>
      </c>
      <c r="C74" s="116">
        <v>46290</v>
      </c>
      <c r="D74" s="9" t="s">
        <v>1374</v>
      </c>
      <c r="E74" s="9" t="s">
        <v>1058</v>
      </c>
      <c r="F74" s="9" t="s">
        <v>1409</v>
      </c>
      <c r="G74" s="13" t="s">
        <v>1410</v>
      </c>
      <c r="H74" s="13" t="s">
        <v>1411</v>
      </c>
      <c r="I74" s="13" t="s">
        <v>1412</v>
      </c>
      <c r="J74" s="13" t="s">
        <v>1200</v>
      </c>
    </row>
    <row r="75" spans="2:10" ht="90" x14ac:dyDescent="0.25">
      <c r="B75" s="9">
        <v>72</v>
      </c>
      <c r="C75" s="116">
        <v>46290</v>
      </c>
      <c r="D75" s="9" t="s">
        <v>1374</v>
      </c>
      <c r="E75" s="9" t="s">
        <v>1413</v>
      </c>
      <c r="F75" s="9" t="s">
        <v>1414</v>
      </c>
      <c r="G75" s="13" t="s">
        <v>1415</v>
      </c>
      <c r="H75" s="13" t="s">
        <v>1416</v>
      </c>
      <c r="I75" s="13" t="s">
        <v>1417</v>
      </c>
      <c r="J75" s="13" t="s">
        <v>1380</v>
      </c>
    </row>
    <row r="76" spans="2:10" ht="90" x14ac:dyDescent="0.25">
      <c r="B76" s="9">
        <v>73</v>
      </c>
      <c r="C76" s="116">
        <v>46292</v>
      </c>
      <c r="D76" s="9" t="s">
        <v>1374</v>
      </c>
      <c r="E76" s="9" t="s">
        <v>1443</v>
      </c>
      <c r="F76" s="9" t="s">
        <v>1444</v>
      </c>
      <c r="G76" s="17" t="s">
        <v>1445</v>
      </c>
      <c r="H76" s="13" t="s">
        <v>1446</v>
      </c>
      <c r="I76" s="13" t="s">
        <v>1447</v>
      </c>
      <c r="J76" s="13" t="s">
        <v>1448</v>
      </c>
    </row>
    <row r="77" spans="2:10" ht="45" x14ac:dyDescent="0.25">
      <c r="B77" s="9">
        <v>74</v>
      </c>
      <c r="C77" s="116">
        <v>46292</v>
      </c>
      <c r="D77" s="9" t="s">
        <v>1374</v>
      </c>
      <c r="E77" s="9" t="s">
        <v>1449</v>
      </c>
      <c r="F77" s="9" t="s">
        <v>1450</v>
      </c>
      <c r="G77" s="13" t="s">
        <v>1451</v>
      </c>
      <c r="H77" s="13" t="s">
        <v>1452</v>
      </c>
      <c r="I77" s="13" t="s">
        <v>1453</v>
      </c>
      <c r="J77" s="13" t="s">
        <v>1448</v>
      </c>
    </row>
    <row r="78" spans="2:10" ht="45" x14ac:dyDescent="0.25">
      <c r="B78" s="9">
        <v>75</v>
      </c>
      <c r="C78" s="116">
        <v>46292</v>
      </c>
      <c r="D78" s="9" t="s">
        <v>1374</v>
      </c>
      <c r="E78" s="9" t="s">
        <v>23</v>
      </c>
      <c r="F78" s="9" t="s">
        <v>1454</v>
      </c>
      <c r="G78" s="13" t="s">
        <v>1455</v>
      </c>
      <c r="H78" s="13" t="s">
        <v>1456</v>
      </c>
      <c r="I78" s="13" t="s">
        <v>1457</v>
      </c>
      <c r="J78" s="13" t="s">
        <v>1448</v>
      </c>
    </row>
    <row r="79" spans="2:10" x14ac:dyDescent="0.25">
      <c r="B79" s="9">
        <v>76</v>
      </c>
      <c r="C79" s="116">
        <v>46292</v>
      </c>
      <c r="D79" s="9" t="s">
        <v>1374</v>
      </c>
      <c r="E79" s="9" t="s">
        <v>1058</v>
      </c>
      <c r="F79" s="9" t="s">
        <v>1458</v>
      </c>
      <c r="G79" s="13" t="s">
        <v>1459</v>
      </c>
      <c r="H79" s="13"/>
      <c r="I79" s="13"/>
      <c r="J79" s="13" t="s">
        <v>1448</v>
      </c>
    </row>
    <row r="80" spans="2:10" ht="75" x14ac:dyDescent="0.25">
      <c r="B80" s="9">
        <v>77</v>
      </c>
      <c r="C80" s="116">
        <v>46292</v>
      </c>
      <c r="D80" s="9" t="s">
        <v>1483</v>
      </c>
      <c r="E80" s="9" t="s">
        <v>23</v>
      </c>
      <c r="F80" s="9" t="s">
        <v>1484</v>
      </c>
      <c r="G80" s="13" t="s">
        <v>1485</v>
      </c>
      <c r="H80" s="185">
        <v>0</v>
      </c>
      <c r="I80" s="185">
        <v>1</v>
      </c>
      <c r="J80" s="13" t="s">
        <v>1486</v>
      </c>
    </row>
    <row r="81" spans="2:10" ht="60" x14ac:dyDescent="0.25">
      <c r="B81" s="9">
        <v>78</v>
      </c>
      <c r="C81" s="116">
        <v>46292</v>
      </c>
      <c r="D81" s="9" t="s">
        <v>1483</v>
      </c>
      <c r="E81" s="9" t="s">
        <v>1058</v>
      </c>
      <c r="F81" s="9" t="s">
        <v>1487</v>
      </c>
      <c r="G81" s="13" t="s">
        <v>1488</v>
      </c>
      <c r="H81" s="13" t="s">
        <v>1489</v>
      </c>
      <c r="I81" s="13" t="s">
        <v>1490</v>
      </c>
      <c r="J81" s="13" t="s">
        <v>1486</v>
      </c>
    </row>
    <row r="82" spans="2:10" ht="45" x14ac:dyDescent="0.25">
      <c r="B82" s="9">
        <v>79</v>
      </c>
      <c r="C82" s="116">
        <v>46292</v>
      </c>
      <c r="D82" s="9" t="s">
        <v>1483</v>
      </c>
      <c r="E82" s="9" t="s">
        <v>1491</v>
      </c>
      <c r="F82" s="9" t="s">
        <v>1492</v>
      </c>
      <c r="G82" s="13" t="s">
        <v>1493</v>
      </c>
      <c r="H82" s="13"/>
      <c r="I82" s="13"/>
      <c r="J82" s="13" t="s">
        <v>1486</v>
      </c>
    </row>
    <row r="83" spans="2:10" ht="45" x14ac:dyDescent="0.25">
      <c r="B83" s="9">
        <v>80</v>
      </c>
      <c r="C83" s="116">
        <v>46292</v>
      </c>
      <c r="D83" s="9" t="s">
        <v>1483</v>
      </c>
      <c r="E83" s="9" t="s">
        <v>1543</v>
      </c>
      <c r="F83" s="9" t="s">
        <v>1544</v>
      </c>
      <c r="G83" s="13" t="s">
        <v>1545</v>
      </c>
      <c r="H83" s="185">
        <v>0.6</v>
      </c>
      <c r="I83" s="185">
        <v>0.55000000000000004</v>
      </c>
      <c r="J83" s="13" t="s">
        <v>1448</v>
      </c>
    </row>
    <row r="84" spans="2:10" ht="75" x14ac:dyDescent="0.25">
      <c r="B84" s="9">
        <v>81</v>
      </c>
      <c r="C84" s="116">
        <v>46292</v>
      </c>
      <c r="D84" s="9" t="s">
        <v>1483</v>
      </c>
      <c r="E84" s="9" t="s">
        <v>1375</v>
      </c>
      <c r="F84" s="9" t="s">
        <v>1546</v>
      </c>
      <c r="G84" s="13" t="s">
        <v>1547</v>
      </c>
      <c r="H84" s="13" t="s">
        <v>133</v>
      </c>
      <c r="I84" s="13" t="s">
        <v>1548</v>
      </c>
      <c r="J84" s="13" t="s">
        <v>1448</v>
      </c>
    </row>
    <row r="85" spans="2:10" ht="45" x14ac:dyDescent="0.25">
      <c r="B85" s="9">
        <v>82</v>
      </c>
      <c r="C85" s="116">
        <v>46292</v>
      </c>
      <c r="D85" s="9" t="s">
        <v>1483</v>
      </c>
      <c r="E85" s="9" t="s">
        <v>1405</v>
      </c>
      <c r="F85" s="9" t="s">
        <v>1549</v>
      </c>
      <c r="G85" s="13" t="s">
        <v>1550</v>
      </c>
      <c r="H85" s="13" t="s">
        <v>133</v>
      </c>
      <c r="I85" s="13" t="s">
        <v>1551</v>
      </c>
      <c r="J85" s="13" t="s">
        <v>1448</v>
      </c>
    </row>
    <row r="86" spans="2:10" ht="30" x14ac:dyDescent="0.25">
      <c r="B86" s="9">
        <v>83</v>
      </c>
      <c r="C86" s="116">
        <v>46292</v>
      </c>
      <c r="D86" s="9" t="s">
        <v>1483</v>
      </c>
      <c r="E86" s="9" t="s">
        <v>1058</v>
      </c>
      <c r="F86" s="9" t="s">
        <v>1552</v>
      </c>
      <c r="G86" s="13" t="s">
        <v>1553</v>
      </c>
      <c r="H86" s="13" t="s">
        <v>1554</v>
      </c>
      <c r="I86" s="13" t="s">
        <v>1555</v>
      </c>
      <c r="J86" s="13" t="s">
        <v>1448</v>
      </c>
    </row>
    <row r="87" spans="2:10" ht="90" x14ac:dyDescent="0.25">
      <c r="B87" s="9">
        <v>84</v>
      </c>
      <c r="C87" s="116">
        <v>46292</v>
      </c>
      <c r="D87" s="9" t="s">
        <v>1483</v>
      </c>
      <c r="E87" s="9" t="s">
        <v>3</v>
      </c>
      <c r="F87" s="9" t="s">
        <v>1556</v>
      </c>
      <c r="G87" s="13" t="s">
        <v>1557</v>
      </c>
      <c r="H87" s="13"/>
      <c r="I87" s="13"/>
      <c r="J87" s="13" t="s">
        <v>1448</v>
      </c>
    </row>
    <row r="88" spans="2:10" ht="60" x14ac:dyDescent="0.25">
      <c r="B88" s="9">
        <v>85</v>
      </c>
      <c r="C88" s="116">
        <v>46293</v>
      </c>
      <c r="D88" s="9" t="s">
        <v>1483</v>
      </c>
      <c r="E88" s="9" t="s">
        <v>826</v>
      </c>
      <c r="F88" s="9" t="s">
        <v>1582</v>
      </c>
      <c r="G88" s="13" t="s">
        <v>1583</v>
      </c>
      <c r="H88" s="13" t="s">
        <v>133</v>
      </c>
      <c r="I88" s="13" t="s">
        <v>133</v>
      </c>
      <c r="J88" s="13" t="s">
        <v>1580</v>
      </c>
    </row>
    <row r="89" spans="2:10" ht="60" x14ac:dyDescent="0.25">
      <c r="B89" s="9">
        <v>86</v>
      </c>
      <c r="C89" s="116">
        <v>46294</v>
      </c>
      <c r="D89" s="9" t="s">
        <v>1483</v>
      </c>
      <c r="E89" s="9" t="s">
        <v>1234</v>
      </c>
      <c r="F89" s="9" t="s">
        <v>1732</v>
      </c>
      <c r="G89" s="13" t="s">
        <v>1733</v>
      </c>
      <c r="H89" s="13" t="s">
        <v>1734</v>
      </c>
      <c r="I89" s="13" t="s">
        <v>1735</v>
      </c>
      <c r="J89" s="13" t="s">
        <v>1736</v>
      </c>
    </row>
    <row r="90" spans="2:10" ht="30" x14ac:dyDescent="0.25">
      <c r="B90" s="9">
        <v>87</v>
      </c>
      <c r="C90" s="116">
        <v>46294</v>
      </c>
      <c r="D90" s="9" t="s">
        <v>1483</v>
      </c>
      <c r="E90" s="9" t="s">
        <v>23</v>
      </c>
      <c r="F90" s="9" t="s">
        <v>1737</v>
      </c>
      <c r="G90" s="13" t="s">
        <v>1738</v>
      </c>
      <c r="H90" s="13" t="s">
        <v>133</v>
      </c>
      <c r="I90" s="13" t="s">
        <v>133</v>
      </c>
      <c r="J90" s="13" t="s">
        <v>1739</v>
      </c>
    </row>
    <row r="91" spans="2:10" ht="45" x14ac:dyDescent="0.25">
      <c r="B91" s="9">
        <v>88</v>
      </c>
      <c r="C91" s="116">
        <v>46294</v>
      </c>
      <c r="D91" s="9" t="s">
        <v>1483</v>
      </c>
      <c r="E91" s="9" t="s">
        <v>127</v>
      </c>
      <c r="F91" s="9" t="s">
        <v>1740</v>
      </c>
      <c r="G91" s="13" t="s">
        <v>1741</v>
      </c>
      <c r="H91" s="13" t="s">
        <v>133</v>
      </c>
      <c r="I91" s="13" t="s">
        <v>133</v>
      </c>
      <c r="J91" s="13" t="s">
        <v>1742</v>
      </c>
    </row>
    <row r="92" spans="2:10" ht="75" x14ac:dyDescent="0.25">
      <c r="B92" s="9">
        <v>89</v>
      </c>
      <c r="C92" s="116">
        <v>46294</v>
      </c>
      <c r="D92" s="9" t="s">
        <v>1483</v>
      </c>
      <c r="E92" s="9" t="s">
        <v>1743</v>
      </c>
      <c r="F92" s="9" t="s">
        <v>1744</v>
      </c>
      <c r="G92" s="13" t="s">
        <v>1745</v>
      </c>
      <c r="H92" s="13" t="s">
        <v>1746</v>
      </c>
      <c r="I92" s="13" t="s">
        <v>1747</v>
      </c>
      <c r="J92" s="13" t="s">
        <v>1742</v>
      </c>
    </row>
    <row r="93" spans="2:10" ht="90" x14ac:dyDescent="0.25">
      <c r="B93" s="9">
        <v>90</v>
      </c>
      <c r="C93" s="116">
        <v>46294</v>
      </c>
      <c r="D93" s="9" t="s">
        <v>1483</v>
      </c>
      <c r="E93" s="9" t="s">
        <v>1754</v>
      </c>
      <c r="F93" s="9" t="s">
        <v>1755</v>
      </c>
      <c r="G93" s="13" t="s">
        <v>1756</v>
      </c>
      <c r="H93" s="13" t="s">
        <v>1747</v>
      </c>
      <c r="I93" s="13" t="s">
        <v>1747</v>
      </c>
      <c r="J93" s="13" t="s">
        <v>1757</v>
      </c>
    </row>
    <row r="94" spans="2:10" ht="60" x14ac:dyDescent="0.25">
      <c r="B94" s="9">
        <v>91</v>
      </c>
      <c r="C94" s="116">
        <v>46294</v>
      </c>
      <c r="D94" s="9" t="s">
        <v>1483</v>
      </c>
      <c r="E94" s="9" t="s">
        <v>1743</v>
      </c>
      <c r="F94" s="9" t="s">
        <v>1760</v>
      </c>
      <c r="G94" s="13" t="s">
        <v>1761</v>
      </c>
      <c r="H94" s="13" t="s">
        <v>1747</v>
      </c>
      <c r="I94" s="13" t="s">
        <v>1746</v>
      </c>
      <c r="J94" s="13" t="s">
        <v>1742</v>
      </c>
    </row>
    <row r="95" spans="2:10" ht="75" x14ac:dyDescent="0.25">
      <c r="B95" s="9">
        <v>92</v>
      </c>
      <c r="C95" s="116">
        <v>46294</v>
      </c>
      <c r="D95" s="9" t="s">
        <v>1483</v>
      </c>
      <c r="E95" s="9" t="s">
        <v>1884</v>
      </c>
      <c r="F95" s="9" t="s">
        <v>1885</v>
      </c>
      <c r="G95" s="13" t="s">
        <v>1886</v>
      </c>
      <c r="H95" s="13" t="s">
        <v>1746</v>
      </c>
      <c r="I95" s="13" t="s">
        <v>1746</v>
      </c>
      <c r="J95" s="13" t="s">
        <v>1742</v>
      </c>
    </row>
    <row r="96" spans="2:10" ht="60" x14ac:dyDescent="0.25">
      <c r="B96" s="9">
        <v>93</v>
      </c>
      <c r="C96" s="116">
        <v>46294</v>
      </c>
      <c r="D96" s="9" t="s">
        <v>1483</v>
      </c>
      <c r="E96" s="9" t="s">
        <v>826</v>
      </c>
      <c r="F96" s="9" t="s">
        <v>1888</v>
      </c>
      <c r="G96" s="13" t="s">
        <v>1889</v>
      </c>
      <c r="H96" s="13" t="s">
        <v>1890</v>
      </c>
      <c r="I96" s="13" t="s">
        <v>1891</v>
      </c>
      <c r="J96" s="13" t="s">
        <v>1742</v>
      </c>
    </row>
    <row r="97" spans="2:10" ht="90" x14ac:dyDescent="0.25">
      <c r="B97" s="9">
        <v>94</v>
      </c>
      <c r="C97" s="116">
        <v>46296</v>
      </c>
      <c r="D97" s="9" t="s">
        <v>1906</v>
      </c>
      <c r="E97" s="9" t="s">
        <v>1907</v>
      </c>
      <c r="F97" s="9" t="s">
        <v>1908</v>
      </c>
      <c r="G97" s="13" t="s">
        <v>1909</v>
      </c>
      <c r="H97" s="13" t="s">
        <v>1910</v>
      </c>
      <c r="I97" s="13" t="s">
        <v>1911</v>
      </c>
      <c r="J97" s="13" t="s">
        <v>1912</v>
      </c>
    </row>
    <row r="98" spans="2:10" ht="90" x14ac:dyDescent="0.25">
      <c r="B98" s="9">
        <f>B97+1</f>
        <v>95</v>
      </c>
      <c r="C98" s="116">
        <v>46296</v>
      </c>
      <c r="D98" s="9" t="s">
        <v>1906</v>
      </c>
      <c r="E98" s="9" t="s">
        <v>1923</v>
      </c>
      <c r="F98" s="9" t="s">
        <v>1924</v>
      </c>
      <c r="G98" s="13" t="s">
        <v>1925</v>
      </c>
      <c r="H98" s="13" t="s">
        <v>1926</v>
      </c>
      <c r="I98" s="13" t="s">
        <v>1927</v>
      </c>
      <c r="J98" s="13" t="s">
        <v>1912</v>
      </c>
    </row>
    <row r="99" ht="105" customHeight="1">
      <c r="B99" s="9">
        <v>96</v>
      </c>
      <c r="C99" s="116">
        <v>46296</v>
      </c>
      <c r="D99" s="9" t="inlineStr">
        <is>
          <t xml:space="preserve">Scenario control</t>
        </is>
      </c>
      <c r="E99" s="9" t="inlineStr">
        <is>
          <t xml:space="preserve">Control panel; Inputs; Run_Map</t>
        </is>
      </c>
      <c r="F99" s="9" t="inlineStr">
        <is>
          <t xml:space="preserve">Inputs rows 6–9, case columns G:P</t>
        </is>
      </c>
      <c r="G99" s="13" t="inlineStr">
        <is>
          <t xml:space="preserve">Scenario control panel: case selector and case inputs (Base / European / Chinese: EYA, capex, PPA, Aurora, opex, gearing, rate); the Inputs case columns link to the panel. Grid-connection fees per the MEKH Kapacitás pályázati kiírás 2026, Annex 1 (Szombathely OVIT node).</t>
        </is>
      </c>
      <c r="H99" s="13" t="inlineStr">
        <is>
          <t xml:space="preserve">Inputs typed per case</t>
        </is>
      </c>
      <c r="I99" s="13" t="inlineStr">
        <is>
          <t xml:space="preserve">Panel inputs</t>
        </is>
      </c>
      <c r="J99" s="13" t="inlineStr">
        <is>
          <t xml:space="preserve">User 01-Oct-2026</t>
        </is>
      </c>
    </row>
    <row r="100" ht="105" customHeight="1">
      <c r="B100" s="9">
        <v>97</v>
      </c>
      <c r="C100" s="116">
        <v>46297</v>
      </c>
      <c r="D100" s="9" t="inlineStr">
        <is>
          <t xml:space="preserve">Review fixes</t>
        </is>
      </c>
      <c r="E100" s="9" t="inlineStr">
        <is>
          <t xml:space="preserve">MOIC; HTM; Dashboard; Inputs</t>
        </is>
      </c>
      <c r="F100" s="9" t="inlineStr">
        <is>
          <t xml:space="preserve">MOIC 245–251; HTM; Dashboard</t>
        </is>
      </c>
      <c r="G100" s="13" t="inlineStr">
        <is>
          <t xml:space="preserve">NPV sensitivities on their own rows; headline net profit on the MOIC basis (G172 / G182); TSO connection-request bond consumed against the connection fee (not returned at COD); hold-case guarantee fees to COD; developer IRR n/a without developer investment; P50 2,460 h (IC paper); buyer-reimbursed-deposit metrics removed.</t>
        </is>
      </c>
      <c r="H100" s="13" t="inlineStr">
        <is>
          <t xml:space="preserve"/>
        </is>
      </c>
      <c r="I100" s="13" t="inlineStr">
        <is>
          <t xml:space="preserve"/>
        </is>
      </c>
      <c r="J100" s="13" t="inlineStr">
        <is>
          <t xml:space="preserve">Review 02-Oct-2026</t>
        </is>
      </c>
    </row>
    <row r="101" ht="105" customHeight="1">
      <c r="B101" s="9">
        <v>98</v>
      </c>
      <c r="C101" s="116">
        <v>46297</v>
      </c>
      <c r="D101" s="9" t="inlineStr">
        <is>
          <t xml:space="preserve">Open items</t>
        </is>
      </c>
      <c r="E101" s="9" t="inlineStr">
        <is>
          <t xml:space="preserve">Inputs; Control panel; HTM; Devex_FEP; Deposits</t>
        </is>
      </c>
      <c r="F101" s="9" t="inlineStr">
        <is>
          <t xml:space="preserve">Inputs rows 162, 191, 197, 203, 222, 233, 234, 253</t>
        </is>
      </c>
      <c r="G101" s="13" t="inlineStr">
        <is>
          <t xml:space="preserve">Base turbine 950 k€/MW (European, to score the EU-equipment points); Robin Hood switch (off, flagged); O&amp;M full-service for the whole life; bid-offer contributions and a single discount rate as panel inputs; commitment fee on undrawn debt; devex line treatment and exit-waterfall interest per BORA Devex 01-Oct-26; land lease 3 k€/MW/yr; tender / grid dates per BORA_Devex_20261001; case numbering European 2 / Chinese 3; PPA 90 €/MWh in every case.</t>
        </is>
      </c>
      <c r="H101" s="13" t="inlineStr">
        <is>
          <t xml:space="preserve"/>
        </is>
      </c>
      <c r="I101" s="13" t="inlineStr">
        <is>
          <t xml:space="preserve"/>
        </is>
      </c>
      <c r="J101" s="13" t="inlineStr">
        <is>
          <t xml:space="preserve">User decisions 02-Oct-2026</t>
        </is>
      </c>
    </row>
    <row r="102" ht="105" customHeight="1">
      <c r="B102" s="9">
        <v>99</v>
      </c>
      <c r="C102" s="116">
        <v>46302</v>
      </c>
      <c r="D102" s="9" t="inlineStr">
        <is>
          <t xml:space="preserve">Inputs</t>
        </is>
      </c>
      <c r="E102" s="9" t="inlineStr">
        <is>
          <t xml:space="preserve">Inputs; Deposits; HTM</t>
        </is>
      </c>
      <c r="F102" s="9" t="inlineStr">
        <is>
          <t xml:space="preserve">Inputs rows 16–29, 78, 297</t>
        </is>
      </c>
      <c r="G102" s="13" t="inlineStr">
        <is>
          <t xml:space="preserve">Gross (overbuild) vs net grid capacity: net 200 MVA for the RtB premium (default basis), grid fees and the TSO bond; installed wind for bonds, turbine and BoP capex, generation and opex. Munka1 inputs: BESS 90 MW × 4 h, FX 365. No supplementary security in this procedure (GYIK 70).</t>
        </is>
      </c>
      <c r="H102" s="13" t="inlineStr">
        <is>
          <t xml:space="preserve">Net MW only</t>
        </is>
      </c>
      <c r="I102" s="13" t="inlineStr">
        <is>
          <t xml:space="preserve">Net / gross MW</t>
        </is>
      </c>
      <c r="J102" s="13" t="inlineStr">
        <is>
          <t xml:space="preserve">User 07-Oct-2026</t>
        </is>
      </c>
    </row>
    <row r="103" ht="105" customHeight="1">
      <c r="B103" s="9">
        <v>100</v>
      </c>
      <c r="C103" s="116">
        <v>46302</v>
      </c>
      <c r="D103" s="9" t="inlineStr">
        <is>
          <t xml:space="preserve">Structure</t>
        </is>
      </c>
      <c r="E103" s="9" t="inlineStr">
        <is>
          <t xml:space="preserve">Inputs; HTM; Run_Map</t>
        </is>
      </c>
      <c r="F103" s="9" t="inlineStr">
        <is>
          <t xml:space="preserve">Inputs M:N (cases 7 / 8), rows 230–231; HTM block 17</t>
        </is>
      </c>
      <c r="G103" s="13" t="inlineStr">
        <is>
          <t xml:space="preserve">Cases 7 / 8: sale of 100 % of the SPV at COD (European turbine 60 % gearing / Chinese 50 %, PPA 90 €/MWh), price 2,450 / 2,100 k€ per installed MW before clipping; enterprise value, senior debt and sale costs deducted.</t>
        </is>
      </c>
      <c r="H103" s="13" t="inlineStr">
        <is>
          <t xml:space="preserve"/>
        </is>
      </c>
      <c r="I103" s="13" t="inlineStr">
        <is>
          <t xml:space="preserve">Cases 7 / 8</t>
        </is>
      </c>
      <c r="J103" s="13" t="inlineStr">
        <is>
          <t xml:space="preserve">User 07-Oct-2026</t>
        </is>
      </c>
    </row>
    <row r="104" ht="105" customHeight="1">
      <c r="B104" s="9">
        <v>101</v>
      </c>
      <c r="C104" s="116">
        <v>46303</v>
      </c>
      <c r="D104" s="9" t="inlineStr">
        <is>
          <t xml:space="preserve">Structure</t>
        </is>
      </c>
      <c r="E104" s="9" t="inlineStr">
        <is>
          <t xml:space="preserve">Tender</t>
        </is>
      </c>
      <c r="F104" s="9" t="inlineStr">
        <is>
          <t xml:space="preserve">Tender B2:AQ376</t>
        </is>
      </c>
      <c r="G104" s="13" t="inlineStr">
        <is>
          <t xml:space="preserve">Tender sheet: scenario definitions (0 / A / B), common inputs, scenario block (gross / BESS MW, overbuild, ratio, clip, COD prices), points per Annex 3 / Annex 4 (band lookups, no nested IFs), promise price effect (RtB and COD), returns matrix, tie-out and independent checks (→ MOIC G271, HTM G173).</t>
        </is>
      </c>
      <c r="H104" s="13" t="inlineStr">
        <is>
          <t xml:space="preserve"/>
        </is>
      </c>
      <c r="I104" s="13" t="inlineStr">
        <is>
          <t xml:space="preserve">Tender sheet</t>
        </is>
      </c>
      <c r="J104" s="13" t="inlineStr">
        <is>
          <t xml:space="preserve">User 08-Oct-2026</t>
        </is>
      </c>
    </row>
    <row r="105" ht="105" customHeight="1">
      <c r="B105" s="9">
        <v>102</v>
      </c>
      <c r="C105" s="116">
        <v>46303</v>
      </c>
      <c r="D105" s="9" t="inlineStr">
        <is>
          <t xml:space="preserve">Exit</t>
        </is>
      </c>
      <c r="E105" s="9" t="inlineStr">
        <is>
          <t xml:space="preserve">MOIC; HTM; Tender</t>
        </is>
      </c>
      <c r="F105" s="9" t="inlineStr">
        <is>
          <t xml:space="preserve">MOIC G143; HTM row 340; Tender E212:E221</t>
        </is>
      </c>
      <c r="G105" s="13" t="inlineStr">
        <is>
          <t xml:space="preserve">RtB proceeds = premium × MW basis + promise price adjustment (Tender E213: buyer-view PV of the promises above the scenario-0 reference at the sale date × pass-through); sale price at COD + post-COD promise adjustment (Tender E219). Clipping estimate L20 (2 % at the 20 % reference overbuild) applied once, in every scenario.</t>
        </is>
      </c>
      <c r="H105" s="13" t="inlineStr">
        <is>
          <t xml:space="preserve"/>
        </is>
      </c>
      <c r="I105" s="13" t="inlineStr">
        <is>
          <t xml:space="preserve"/>
        </is>
      </c>
      <c r="J105" s="13" t="inlineStr">
        <is>
          <t xml:space="preserve">User 08-Oct-2026</t>
        </is>
      </c>
    </row>
    <row r="106" ht="105" customHeight="1">
      <c r="B106" s="9">
        <v>103</v>
      </c>
      <c r="C106" s="116">
        <v>46303</v>
      </c>
      <c r="D106" s="9" t="inlineStr">
        <is>
          <t xml:space="preserve">Exit</t>
        </is>
      </c>
      <c r="E106" s="9" t="inlineStr">
        <is>
          <t xml:space="preserve">HTM</t>
        </is>
      </c>
      <c r="F106" s="9" t="inlineStr">
        <is>
          <t xml:space="preserve">HTM rows 332–380</t>
        </is>
      </c>
      <c r="G106" s="13" t="inlineStr">
        <is>
          <t xml:space="preserve">Sale at COD with the RtB route's JV economics: FEP funds 100 % of the contributions; the net equity proceeds at COD repay FEP at cost what MOIC G147 / G148 repay, then FEP's Stage-1 returns and the developer success fee; the distributable amount is shared 70 / 30. Conservation and allocation checks HTM G374 / G377–G379.</t>
        </is>
      </c>
      <c r="H106" s="13" t="inlineStr">
        <is>
          <t xml:space="preserve"/>
        </is>
      </c>
      <c r="I106" s="13" t="inlineStr">
        <is>
          <t xml:space="preserve"/>
        </is>
      </c>
      <c r="J106" s="13" t="inlineStr">
        <is>
          <t xml:space="preserve">User 08-Oct-2026</t>
        </is>
      </c>
    </row>
    <row r="107" ht="105" customHeight="1">
      <c r="B107" s="9">
        <v>104</v>
      </c>
      <c r="C107" s="116">
        <v>46303</v>
      </c>
      <c r="D107" s="9" t="inlineStr">
        <is>
          <t xml:space="preserve">Checks</t>
        </is>
      </c>
      <c r="E107" s="9" t="inlineStr">
        <is>
          <t xml:space="preserve">Deposits; MOIC</t>
        </is>
      </c>
      <c r="F107" s="9" t="inlineStr">
        <is>
          <t xml:space="preserve">Deposits rows 34–50</t>
        </is>
      </c>
      <c r="G107" s="13" t="inlineStr">
        <is>
          <t xml:space="preserve">Bora reconciliation against the BORA_Devex source: E34 reads 'n/a – inputs differ from BORA_Devex source' when a driver (capacity, installed wind, BESS MW / MWh, uplift, connection fees) differs; with every driver at the source the reconciliation itself is tested (OK).</t>
        </is>
      </c>
      <c r="H107" s="13" t="inlineStr">
        <is>
          <t xml:space="preserve"/>
        </is>
      </c>
      <c r="I107" s="13" t="inlineStr">
        <is>
          <t xml:space="preserve"/>
        </is>
      </c>
      <c r="J107" s="13" t="inlineStr">
        <is>
          <t xml:space="preserve">Review 08-Oct-2026</t>
        </is>
      </c>
    </row>
    <row r="108" ht="105" customHeight="1">
      <c r="B108" s="9">
        <v>105</v>
      </c>
      <c r="C108" s="116">
        <v>46304</v>
      </c>
      <c r="D108" s="9" t="inlineStr">
        <is>
          <t xml:space="preserve">Timing</t>
        </is>
      </c>
      <c r="E108" s="9" t="inlineStr">
        <is>
          <t xml:space="preserve">Control panel; Inputs</t>
        </is>
      </c>
      <c r="F108" s="9" t="inlineStr">
        <is>
          <t xml:space="preserve">Inputs row 298, E55</t>
        </is>
      </c>
      <c r="G108" s="13" t="inlineStr">
        <is>
          <t xml:space="preserve">COD 30-Sep-2031 as an explicit override: Inputs E55 back-solves the months to RTB, so RTB 30-Jun-2029, RtB sale 31-Mar-2030 and NTP 30-Sep-2029 move with it; date texts built live from the date cells (locale-safe).</t>
        </is>
      </c>
      <c r="H108" s="13" t="inlineStr">
        <is>
          <t xml:space="preserve">COD 30-Jun-2031</t>
        </is>
      </c>
      <c r="I108" s="13" t="inlineStr">
        <is>
          <t xml:space="preserve">COD 30-Sep-2031</t>
        </is>
      </c>
      <c r="J108" s="13" t="inlineStr">
        <is>
          <t xml:space="preserve">User 09-Oct-2026</t>
        </is>
      </c>
    </row>
    <row r="109" ht="105" customHeight="1">
      <c r="B109" s="9">
        <v>106</v>
      </c>
      <c r="C109" s="116">
        <v>46304</v>
      </c>
      <c r="D109" s="9" t="inlineStr">
        <is>
          <t xml:space="preserve">Waterfall</t>
        </is>
      </c>
      <c r="E109" s="9" t="inlineStr">
        <is>
          <t xml:space="preserve">MOIC; HTM; Tender</t>
        </is>
      </c>
      <c r="F109" s="9" t="inlineStr">
        <is>
          <t xml:space="preserve">MOIC G146:G156; HTM 366–380</t>
        </is>
      </c>
      <c r="G109" s="13" t="inlineStr">
        <is>
          <t xml:space="preserve">RtB and COD waterfalls follow the user's BORA_Devex example (BORA_Devex_20261002_BG.xlsx V34:V44): sale costs, loan principal + interest, Stage-1 returns and the success fee deducted in full; the distributable amount has no floor and is shared FEP / developer 70 / 30; the developer's total is floored at 0 (memo MOIC G156 / HTM G380 = FEP's extra loss, info line). The model reproduces V34:V44 at the example's inputs.</t>
        </is>
      </c>
      <c r="H109" s="13" t="inlineStr">
        <is>
          <t xml:space="preserve"/>
        </is>
      </c>
      <c r="I109" s="13" t="inlineStr">
        <is>
          <t xml:space="preserve"/>
        </is>
      </c>
      <c r="J109" s="13" t="inlineStr">
        <is>
          <t xml:space="preserve">User 09-Oct-2026</t>
        </is>
      </c>
    </row>
    <row r="110" ht="105" customHeight="1">
      <c r="B110" s="9">
        <v>107</v>
      </c>
      <c r="C110" s="116">
        <v>46304</v>
      </c>
      <c r="D110" s="9" t="inlineStr">
        <is>
          <t xml:space="preserve">Interest</t>
        </is>
      </c>
      <c r="E110" s="9" t="inlineStr">
        <is>
          <t xml:space="preserve">Inputs; MOIC; Deposits; HTM; Devex_FEP; Tender</t>
        </is>
      </c>
      <c r="F110" s="9" t="inlineStr">
        <is>
          <t xml:space="preserve">Inputs E64 / E73; Deposits Z:AH; MOIC 274–280</t>
        </is>
      </c>
      <c r="G110" s="13" t="inlineStr">
        <is>
          <t xml:space="preserve">Interest pause: no accrual from Inputs E64 (30/06/2029) to E73 (01/01/2030); every interest / return accrual then runs on to the exit date (RtB sale or COD). The 20 % devex / land return runs per Devex_FEP line from its payment date; the 2× minimum stays a minimum. Not paused: the success fee and the bank guarantee fees.</t>
        </is>
      </c>
      <c r="H110" s="13" t="inlineStr">
        <is>
          <t xml:space="preserve">Freeze</t>
        </is>
      </c>
      <c r="I110" s="13" t="inlineStr">
        <is>
          <t xml:space="preserve">Pause</t>
        </is>
      </c>
      <c r="J110" s="13" t="inlineStr">
        <is>
          <t xml:space="preserve">User 09-Oct-2026</t>
        </is>
      </c>
    </row>
    <row r="111" ht="105" customHeight="1">
      <c r="B111" s="9">
        <v>108</v>
      </c>
      <c r="C111" s="116">
        <v>46304</v>
      </c>
      <c r="D111" s="9" t="inlineStr">
        <is>
          <t xml:space="preserve">Tender</t>
        </is>
      </c>
      <c r="E111" s="9" t="inlineStr">
        <is>
          <t xml:space="preserve">Tender</t>
        </is>
      </c>
      <c r="F111" s="9" t="inlineStr">
        <is>
          <t xml:space="preserve">Tender rows 25, 41, 44, 51–88</t>
        </is>
      </c>
      <c r="G111" s="13" t="inlineStr">
        <is>
          <t xml:space="preserve">Tender FAQ: ÖSZ-4 scored on BESS MW ÷ installed wind MW (GYIK 20, BT1) – also the 5 % eligibility; Scenario A's BESS = 51 % of installed wind, Scenario B 40 % of MVA; ÖSZ-6 x = 200 % → 100 points (GYIK 34); ÖSZ-1 / ÖSZ-2 below the band minimum → 0 points, not an invalid bid (GYIK 17).</t>
        </is>
      </c>
      <c r="H111" s="13" t="inlineStr">
        <is>
          <t xml:space="preserve"/>
        </is>
      </c>
      <c r="I111" s="13" t="inlineStr">
        <is>
          <t xml:space="preserve">GYIK rules</t>
        </is>
      </c>
      <c r="J111" s="13" t="inlineStr">
        <is>
          <t xml:space="preserve">User 09-Oct-2026</t>
        </is>
      </c>
    </row>
    <row r="112" ht="105" customHeight="1">
      <c r="B112" s="9">
        <v>109</v>
      </c>
      <c r="C112" s="116">
        <v>46304</v>
      </c>
      <c r="D112" s="9" t="inlineStr">
        <is>
          <t xml:space="preserve">Tender</t>
        </is>
      </c>
      <c r="E112" s="9" t="inlineStr">
        <is>
          <t xml:space="preserve">Tender; MOIC; HTM</t>
        </is>
      </c>
      <c r="F112" s="9" t="inlineStr">
        <is>
          <t xml:space="preserve">Tender sections 8–9; MOIC 283–286; HTM 382–387</t>
        </is>
      </c>
      <c r="G112" s="13" t="inlineStr">
        <is>
          <t xml:space="preserve">Group capacity caps (kiírás V.6 / V.7, VII.17, VII.36; GYIK 52) as an eligibility flag (node cap 100 MVA, group total 200 MVA; Bora 200 MVA &gt; 100 MVA node cap flagged, not resized). Community purchase right (VII.18–25): switch (default 0), 25 %, exercise 24 months after the award; check K19.</t>
        </is>
      </c>
      <c r="H112" s="13" t="inlineStr">
        <is>
          <t xml:space="preserve"/>
        </is>
      </c>
      <c r="I112" s="13" t="inlineStr">
        <is>
          <t xml:space="preserve"/>
        </is>
      </c>
      <c r="J112" s="13" t="inlineStr">
        <is>
          <t xml:space="preserve">User 09-Oct-2026</t>
        </is>
      </c>
    </row>
    <row r="113" ht="105" customHeight="1">
      <c r="B113" s="9">
        <v>110</v>
      </c>
      <c r="C113" s="116">
        <v>46304</v>
      </c>
      <c r="D113" s="9" t="inlineStr">
        <is>
          <t xml:space="preserve">Exit</t>
        </is>
      </c>
      <c r="E113" s="9" t="inlineStr">
        <is>
          <t xml:space="preserve">MOIC; HTM; Inputs; Tender</t>
        </is>
      </c>
      <c r="F113" s="9" t="inlineStr">
        <is>
          <t xml:space="preserve">Inputs E29, E149 / E150</t>
        </is>
      </c>
      <c r="G113" s="13" t="inlineStr">
        <is>
          <t xml:space="preserve">Developer success fee (DSA) on the installed wind MW (Inputs E29; Bora 261 MW) per BORA_Devex V37, cap per the same MW. RtB premium MW basis switch (Inputs E149 / E150): net MVA (default, user decision 06-Oct-26) or installed wind MW (FLAG) for every premium × MW.</t>
        </is>
      </c>
      <c r="H113" s="13" t="inlineStr">
        <is>
          <t xml:space="preserve">DSA on net MVA</t>
        </is>
      </c>
      <c r="I113" s="13" t="inlineStr">
        <is>
          <t xml:space="preserve">DSA on installed MW</t>
        </is>
      </c>
      <c r="J113" s="13" t="inlineStr">
        <is>
          <t xml:space="preserve">User 09-Oct-2026</t>
        </is>
      </c>
    </row>
    <row r="114" ht="105" customHeight="1">
      <c r="B114" s="9">
        <v>111</v>
      </c>
      <c r="C114" s="116">
        <v>46305</v>
      </c>
      <c r="D114" s="9" t="inlineStr">
        <is>
          <t xml:space="preserve">Model v2</t>
        </is>
      </c>
      <c r="E114" s="9" t="inlineStr">
        <is>
          <t xml:space="preserve">Workbook</t>
        </is>
      </c>
      <c r="F114" s="9" t="inlineStr">
        <is>
          <t xml:space="preserve">all sheets</t>
        </is>
      </c>
      <c r="G114" s="13" t="inlineStr">
        <is>
          <t xml:space="preserve">Bora IC model v2 (user 10-Oct-2026) – RtB sale (case 1), sale at COD (7 / 8) and hold to maturity (2 / 3); no macro (.xlsx), Excel recalculates every result incl. the data table. The Tender group-cap inputs are neutral (other bids by the same group at the node / in total, default 0).</t>
        </is>
      </c>
      <c r="H114" s="13" t="inlineStr">
        <is>
          <t xml:space="preserve"/>
        </is>
      </c>
      <c r="I114" s="13" t="inlineStr">
        <is>
          <t xml:space="preserve">v2</t>
        </is>
      </c>
      <c r="J114" s="13" t="inlineStr">
        <is>
          <t xml:space="preserve">User 10-Oct-2026</t>
        </is>
      </c>
    </row>
    <row r="115" ht="105" customHeight="1">
      <c r="B115" s="9">
        <v>112</v>
      </c>
      <c r="C115" s="116">
        <v>46305</v>
      </c>
      <c r="D115" s="9" t="inlineStr">
        <is>
          <t xml:space="preserve">Control Panel</t>
        </is>
      </c>
      <c r="E115" s="9" t="inlineStr">
        <is>
          <t xml:space="preserve">Control Panel (new); Inputs; Tender; Dashboard</t>
        </is>
      </c>
      <c r="F115" s="9" t="inlineStr">
        <is>
          <t xml:space="preserve">Control Panel B2:end; Inputs G-column links; Tender E5, E12:H25, E28, E30, E348, F351:G351</t>
        </is>
      </c>
      <c r="G115" s="13" t="inlineStr">
        <is>
          <t xml:space="preserve">One Control Panel sheet: a. route / tender-scenario selectors (Inputs E6, Tender E5 link there); b. tender scenarios 0 / A / B / C (C free, default = copy of 0) with derived MW, points per criterion, totals, validity and GYIK flags side by side; c. every business input (one source – the model's input cells link here, column N checks the links); d. results of all 4 scenarios × 5 routes with deltas vs scenario 0, RtB price effect, COD buyer view, HTM; e. integrity per run; f. the Excel data table.</t>
        </is>
      </c>
      <c r="H115" s="13" t="inlineStr">
        <is>
          <t xml:space="preserve">Separate input sheets</t>
        </is>
      </c>
      <c r="I115" s="13" t="inlineStr">
        <is>
          <t xml:space="preserve">Control Panel</t>
        </is>
      </c>
      <c r="J115" s="13" t="inlineStr">
        <is>
          <t xml:space="preserve">User 10-Oct-2026</t>
        </is>
      </c>
    </row>
    <row r="116" ht="105" customHeight="1">
      <c r="B116" s="9">
        <v>113</v>
      </c>
      <c r="C116" s="116">
        <v>46305</v>
      </c>
      <c r="D116" s="9" t="inlineStr">
        <is>
          <t xml:space="preserve">Tender</t>
        </is>
      </c>
      <c r="E116" s="9" t="inlineStr">
        <is>
          <t xml:space="preserve">Tender; Inputs</t>
        </is>
      </c>
      <c r="F116" s="9" t="inlineStr">
        <is>
          <t xml:space="preserve">Tender rows 10–88, 223–311, 326–327, 344</t>
        </is>
      </c>
      <c r="G116" s="13" t="inlineStr">
        <is>
          <t xml:space="preserve">Scenario block per scenario: columns E:H = scenarios 0 / A / B / C (gross = ROUND(net MVA × (1 + overbuild), 6), BESS = ROUND(ratio × basis, 6)), column I = active scenario; returns matrix and tie-out for 4 × 5 routes (F:Y); K3 over scenarios 0 / A / B / C.</t>
        </is>
      </c>
      <c r="H116" s="13" t="inlineStr">
        <is>
          <t xml:space="preserve">Scenarios 0 / A / B, active column only</t>
        </is>
      </c>
      <c r="I116" s="13" t="inlineStr">
        <is>
          <t xml:space="preserve">4 scenarios</t>
        </is>
      </c>
      <c r="J116" s="13" t="inlineStr">
        <is>
          <t xml:space="preserve">User 10-Oct-2026</t>
        </is>
      </c>
    </row>
    <row r="117" ht="105" customHeight="1">
      <c r="B117" s="9">
        <v>114</v>
      </c>
      <c r="C117" s="116">
        <v>46305</v>
      </c>
      <c r="D117" s="9" t="inlineStr">
        <is>
          <t xml:space="preserve">Results</t>
        </is>
      </c>
      <c r="E117" s="9" t="inlineStr">
        <is>
          <t xml:space="preserve">HTM; Bora; Dashboard; Run_Map</t>
        </is>
      </c>
      <c r="F117" s="9" t="inlineStr">
        <is>
          <t xml:space="preserve">HTM rows 390–398; Bora D22:H54; Dashboard E211:F240</t>
        </is>
      </c>
      <c r="G117" s="13" t="inlineStr">
        <is>
          <t xml:space="preserve">Buyer view at our sale-at-COD price: XIRR of −price at COD and the HTM unlevered post-tax flows (COD year: EBITDA excl. the pre-COD land lease + tax; later years row 110) and the implied price for the three target IRRs (XNPV at COD ÷ installed MW). The Bora sheet section B and Dashboard section 11 link to the data table (live, active scenario) – no snapshots.</t>
        </is>
      </c>
      <c r="H117" s="13" t="inlineStr">
        <is>
          <t xml:space="preserve">Snapshots</t>
        </is>
      </c>
      <c r="I117" s="13" t="inlineStr">
        <is>
          <t xml:space="preserve">Live</t>
        </is>
      </c>
      <c r="J117" s="13" t="inlineStr">
        <is>
          <t xml:space="preserve">User 10-Oct-2026</t>
        </is>
      </c>
    </row>
    <row r="118" ht="105" customHeight="1">
      <c r="B118" s="9">
        <v>115</v>
      </c>
      <c r="C118" s="116">
        <v>46305</v>
      </c>
      <c r="D118" s="9" t="inlineStr">
        <is>
          <t xml:space="preserve">Change_Log</t>
        </is>
      </c>
      <c r="E118" s="9" t="inlineStr">
        <is>
          <t xml:space="preserve">Change_Log</t>
        </is>
      </c>
      <c r="F118" s="9" t="inlineStr">
        <is>
          <t xml:space="preserve">rows 99+</t>
        </is>
      </c>
      <c r="G118" s="13" t="inlineStr">
        <is>
          <t xml:space="preserve">Entries #96–#115 summarise the model's history from 01-Oct-2026 for this Bora model; #1–#95 keep their original text and the cell references of their time.</t>
        </is>
      </c>
      <c r="H118" s="13" t="inlineStr">
        <is>
          <t xml:space="preserve"/>
        </is>
      </c>
      <c r="I118" s="13" t="inlineStr">
        <is>
          <t xml:space="preserve"/>
        </is>
      </c>
      <c r="J118" s="13" t="inlineStr">
        <is>
          <t xml:space="preserve">User 10-Oct-2026</t>
        </is>
      </c>
    </row>
    <row r="119" ht="105" customHeight="1">
      <c r="B119" s="9">
        <v>116</v>
      </c>
      <c r="C119" s="116">
        <v>46305</v>
      </c>
      <c r="D119" s="9" t="inlineStr">
        <is>
          <t xml:space="preserve">Tender strategies</t>
        </is>
      </c>
      <c r="E119" s="9" t="inlineStr">
        <is>
          <t xml:space="preserve">Control Panel; Tender; Cover</t>
        </is>
      </c>
      <c r="F119" s="9" t="inlineStr">
        <is>
          <t xml:space="preserve">Control Panel E22:H34; Tender E11:H25, E10:H10, rows 36 / 50, J14:J15</t>
        </is>
      </c>
      <c r="G119" s="13" t="inlineStr">
        <is>
          <t xml:space="preserve">Scenarios 0 / A / B / C = RtB tender strategies (user 10-Oct-2026): S1 current bid (scenario 0, unchanged); S2 free points – partial award, shared connection point and line, EU-made transformer, overbuild 40 % with the BESS held at 90 MW (45 % of the net MVA), performance security 160 %; S3 cost-efficient ≈70 points – S2 + performance security 200 % + municipal contribution 50 k€/MW; S4 maximum score (the former scenario A). The former scenario B (cost-disciplined, Chinese turbine) and the free copy of scenario 0 are replaced; COD sale prices unchanged (2,450 / 2,100 k€/MW); everything else as v2.</t>
        </is>
      </c>
      <c r="H119" s="13" t="inlineStr">
        <is>
          <t xml:space="preserve">A = max score, B = cost-disciplined CN, C = copy of 0</t>
        </is>
      </c>
      <c r="I119" s="13" t="inlineStr">
        <is>
          <t xml:space="preserve">S2 / S3 / S4</t>
        </is>
      </c>
      <c r="J119" s="13" t="inlineStr">
        <is>
          <t xml:space="preserve">User 10-Oct-2026</t>
        </is>
      </c>
    </row>
    <row r="120" ht="105" customHeight="1">
      <c r="B120" s="9">
        <v>117</v>
      </c>
      <c r="C120" s="116">
        <v>46306</v>
      </c>
      <c r="D120" s="9" t="inlineStr">
        <is>
          <t xml:space="preserve">Zero bid</t>
        </is>
      </c>
      <c r="E120" s="9" t="inlineStr">
        <is>
          <t xml:space="preserve">Control Panel; Tender; Cover</t>
        </is>
      </c>
      <c r="F120" s="9" t="inlineStr">
        <is>
          <t xml:space="preserve">Control Panel E:I, section g; Tender E:J rows 10–88, matrix F:AD, K3, KMAT, row 81</t>
        </is>
      </c>
      <c r="G120" s="13" t="inlineStr">
        <is>
          <t xml:space="preserve">Strategy S0 zero bid (user 11-Oct-2026) as the fifth tender scenario (Tender column I, index 4; shown first on the Control Panel): municipal 0, community 0, overbuild 0 % (200 MW), no BESS, performance security 100 % of the minimum, no partial award / brownfield / shared connection / EU turbine / EU transformer – 0 points EU and CN, bid valid (GYIK 17). Price-effect reference unchanged = S1 (current bid), so S0 shows a positive price effect. Active strategy column J, notes K; data table 25 runs; returns matrix 5 × 5 (F:AD). ÖSZ-9a turbine points (row 81) only with the EU-turbine commitment (row 22) – S1–S4 unchanged. New Control Panel section g: offerable range and weighted points of every band (live from the Tender band tables).</t>
        </is>
      </c>
      <c r="H120" s="13" t="inlineStr">
        <is>
          <t xml:space="preserve">4 strategies, ÖSZ-9a always on the EU routes</t>
        </is>
      </c>
      <c r="I120" s="13" t="inlineStr">
        <is>
          <t xml:space="preserve">5 strategies, ÖSZ-9a with the commitment</t>
        </is>
      </c>
      <c r="J120" s="13" t="inlineStr">
        <is>
          <t xml:space="preserve">User 11-Oct-2026</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2E6C-3595-49F0-88EE-73D4842FE68C}">
  <sheetPr codeName="Sheet15"/>
  <dimension ref="B2:T41"/>
  <sheetViews>
    <sheetView topLeftCell="A8" workbookViewId="0"/>
  </sheetViews>
  <sheetFormatPr defaultRowHeight="15" x14ac:dyDescent="0.25"/>
  <cols>
    <col min="2" max="2" width="10.28515625" customWidth="1"/>
    <col min="3" max="3" width="31.42578125" customWidth="1"/>
    <col min="4" max="4" width="29.7109375" customWidth="1"/>
    <col min="5" max="9" width="14.7109375" customWidth="1"/>
  </cols>
  <sheetData>
    <row r="2" ht="15.75" x14ac:dyDescent="0.25">
      <c r="B2" s="215" t="s">
        <v>1611</v>
      </c>
      <c r="M2" s="39" t="inlineStr">
        <is>
          <t xml:space="preserve">Round 5 (user 09-Oct-26, review N1): 20 % return per line from its payment date F, interest pause excluded (BORA_Devex convention per segment); row 3 = rate and segment dates</t>
        </is>
      </c>
    </row>
    <row r="3">
      <c r="M3" s="20">
        <f>Inputs!$E$62</f>
        <v>0.2</v>
      </c>
      <c r="N3" s="239">
        <f>MIN(Inputs!$E$58,Inputs!$E$64)</f>
        <v>47299</v>
      </c>
      <c r="O3" s="239">
        <f>Inputs!$E$73</f>
        <v>47484</v>
      </c>
      <c r="P3" s="239">
        <f>Inputs!$E$58</f>
        <v>47573</v>
      </c>
      <c r="Q3" s="239">
        <f>MIN(Inputs!$E$155,Inputs!$E$64)</f>
        <v>47299</v>
      </c>
      <c r="R3" s="239">
        <f>Inputs!$E$155</f>
        <v>48121</v>
      </c>
    </row>
    <row r="4" ht="30" customHeight="1" x14ac:dyDescent="0.25">
      <c r="B4" s="72" t="s">
        <v>1612</v>
      </c>
      <c r="C4" s="72" t="s">
        <v>1613</v>
      </c>
      <c r="D4" s="72" t="s">
        <v>64</v>
      </c>
      <c r="E4" s="72" t="s">
        <v>1614</v>
      </c>
      <c r="F4" s="72" t="s">
        <v>462</v>
      </c>
      <c r="G4" s="72" t="s">
        <v>1615</v>
      </c>
      <c r="H4" s="72" t="s">
        <v>1616</v>
      </c>
      <c r="I4" s="72" t="s">
        <v>634</v>
      </c>
      <c r="J4" s="72" t="s">
        <v>1701</v>
      </c>
      <c r="K4" s="72" t="s">
        <v>1702</v>
      </c>
      <c r="L4" s="72" t="s">
        <v>2032</v>
      </c>
      <c r="M4" s="72" t="inlineStr">
        <is>
          <t xml:space="preserve">Principal earning 20 % (H + K if Inputs E67 = 1, k€; M3 = rate)</t>
        </is>
      </c>
      <c r="N4" s="72" t="inlineStr">
        <is>
          <t xml:space="preserve">Segment 1 to the RtB sale (F → N3 = MIN(sale, pause start))</t>
        </is>
      </c>
      <c r="O4" s="72" t="inlineStr">
        <is>
          <t xml:space="preserve">Segment 2 start = MAX(F, O3 = pause end)</t>
        </is>
      </c>
      <c r="P4" s="72" t="inlineStr">
        <is>
          <t xml:space="preserve">Segment 2 to the RtB sale (O → P3 = Inputs E58)</t>
        </is>
      </c>
      <c r="Q4" s="72" t="inlineStr">
        <is>
          <t xml:space="preserve">Segment 1 to the COD sale (F → Q3)</t>
        </is>
      </c>
      <c r="R4" s="72" t="inlineStr">
        <is>
          <t xml:space="preserve">Segment 2 to the COD sale (O → R3 = Inputs E155)</t>
        </is>
      </c>
      <c r="S4" s="72" t="inlineStr">
        <is>
          <t xml:space="preserve">Multiple to the RtB sale = MAX(N × P, 2×)</t>
        </is>
      </c>
      <c r="T4" s="72" t="inlineStr">
        <is>
          <t xml:space="preserve">Multiple to the COD sale = MAX(Q × R, 2×)</t>
        </is>
      </c>
    </row>
    <row r="5" x14ac:dyDescent="0.25">
      <c r="B5" s="27">
        <v>14</v>
      </c>
      <c r="C5" s="27" t="s">
        <v>1617</v>
      </c>
      <c r="D5" s="27" t="s">
        <v>1618</v>
      </c>
      <c r="E5" s="85">
        <f>L5*Inputs!$E$294</f>
        <v>55.65</v>
      </c>
      <c r="F5" s="239">
        <f>BORA_Devex!$E$14</f>
        <v>46431</v>
      </c>
      <c r="G5" s="217">
        <v>0</v>
      </c>
      <c r="H5" s="20">
        <f t="shared" ref="H5:H38" si="0">E5*G5</f>
        <v>0</v>
      </c>
      <c r="I5">
        <f>IF(F5="","",(YEAR(F5)-YEAR(Inputs!$E$27))*12+MONTH(F5)-MONTH(Inputs!$E$27))</f>
        <v>7</v>
      </c>
      <c r="J5" s="217">
        <v>1</v>
      </c>
      <c r="K5" s="20">
        <f>E5*J5*(1-G5)</f>
        <v>55.65</v>
      </c>
      <c r="L5" s="85">
        <f>BORA_Devex!$J$14/1000</f>
        <v>55.65</v>
      </c>
      <c r="M5" s="20">
        <f>H5+K5*(Inputs!$E$67=1)</f>
        <v>55.65</v>
      </c>
      <c r="N5" s="20">
        <f>IF($F5&gt;N$3,1,(1+$M$3*(DATE(YEAR($F5),12,31)-$F5+1)/365)*(1+$M$3)^(YEAR(N$3)-YEAR($F5)-1)*(1+$M$3*(N$3-DATE(YEAR(N$3),1,1)+1)/365))</f>
        <v>1.5517383073747422</v>
      </c>
      <c r="O5" s="239">
        <f>MAX($F5,O$3)</f>
        <v>47484</v>
      </c>
      <c r="P5" s="20">
        <f>IF(P$3&lt;$O5,1,(1+$M$3*(DATE(YEAR($O5),12,31)-$O5+1)/365)*(1+$M$3)^(YEAR(P$3)-YEAR($O5)-1)*(1+$M$3*(P$3-DATE(YEAR(P$3),1,1)+1)/365))</f>
        <v>1.0493150684931507</v>
      </c>
      <c r="Q5" s="20">
        <f>IF($F5&gt;Q$3,1,(1+$M$3*(DATE(YEAR($F5),12,31)-$F5+1)/365)*(1+$M$3)^(YEAR(Q$3)-YEAR($F5)-1)*(1+$M$3*(Q$3-DATE(YEAR(Q$3),1,1)+1)/365))</f>
        <v>1.5517383073747422</v>
      </c>
      <c r="R5" s="20">
        <f>IF(R$3&lt;$O5,1,(1+$M$3*(DATE(YEAR($O5),12,31)-$O5+1)/365)*(1+$M$3)^(YEAR(R$3)-YEAR($O5)-1)*(1+$M$3*(R$3-DATE(YEAR(R$3),1,1)+1)/365))</f>
        <v>1.3795068493150684</v>
      </c>
      <c r="S5" s="20">
        <f>MAX(N5*P5,MOIC!$E$131)</f>
        <v>2</v>
      </c>
      <c r="T5" s="20">
        <f>MAX(Q5*R5,MOIC!$E$131)</f>
        <v>2.1406336233680276</v>
      </c>
    </row>
    <row r="6" x14ac:dyDescent="0.25">
      <c r="B6" s="27">
        <v>15</v>
      </c>
      <c r="C6" s="27"/>
      <c r="D6" s="27" t="s">
        <v>1619</v>
      </c>
      <c r="E6" s="85">
        <f>L6*Inputs!$E$294</f>
        <v>123.24324324324324</v>
      </c>
      <c r="F6" s="239">
        <f>BORA_Devex!$E$15</f>
        <v>46431</v>
      </c>
      <c r="G6" s="217">
        <v>0</v>
      </c>
      <c r="H6" s="20">
        <f t="shared" si="0"/>
        <v>0</v>
      </c>
      <c r="I6">
        <f>IF(F6="","",(YEAR(F6)-YEAR(Inputs!$E$27))*12+MONTH(F6)-MONTH(Inputs!$E$27))</f>
        <v>7</v>
      </c>
      <c r="J6" s="217">
        <v>1</v>
      </c>
      <c r="K6" s="20">
        <f t="shared" ref="K6:K38" si="1">E6*J6*(1-G6)</f>
        <v>123.24324324324324</v>
      </c>
      <c r="L6" s="85">
        <f>BORA_Devex!$J$15/1000</f>
        <v>123.24324324324324</v>
      </c>
      <c r="M6" s="20">
        <f>H6+K6*(Inputs!$E$67=1)</f>
        <v>123.24324324324324</v>
      </c>
      <c r="N6" s="20">
        <f>IF($F6&gt;N$3,1,(1+$M$3*(DATE(YEAR($F6),12,31)-$F6+1)/365)*(1+$M$3)^(YEAR(N$3)-YEAR($F6)-1)*(1+$M$3*(N$3-DATE(YEAR(N$3),1,1)+1)/365))</f>
        <v>1.5517383073747422</v>
      </c>
      <c r="O6" s="239">
        <f>MAX($F6,O$3)</f>
        <v>47484</v>
      </c>
      <c r="P6" s="20">
        <f>IF(P$3&lt;$O6,1,(1+$M$3*(DATE(YEAR($O6),12,31)-$O6+1)/365)*(1+$M$3)^(YEAR(P$3)-YEAR($O6)-1)*(1+$M$3*(P$3-DATE(YEAR(P$3),1,1)+1)/365))</f>
        <v>1.0493150684931507</v>
      </c>
      <c r="Q6" s="20">
        <f>IF($F6&gt;Q$3,1,(1+$M$3*(DATE(YEAR($F6),12,31)-$F6+1)/365)*(1+$M$3)^(YEAR(Q$3)-YEAR($F6)-1)*(1+$M$3*(Q$3-DATE(YEAR(Q$3),1,1)+1)/365))</f>
        <v>1.5517383073747422</v>
      </c>
      <c r="R6" s="20">
        <f>IF(R$3&lt;$O6,1,(1+$M$3*(DATE(YEAR($O6),12,31)-$O6+1)/365)*(1+$M$3)^(YEAR(R$3)-YEAR($O6)-1)*(1+$M$3*(R$3-DATE(YEAR(R$3),1,1)+1)/365))</f>
        <v>1.3795068493150684</v>
      </c>
      <c r="S6" s="20">
        <f>MAX(N6*P6,MOIC!$E$131)</f>
        <v>2</v>
      </c>
      <c r="T6" s="20">
        <f>MAX(Q6*R6,MOIC!$E$131)</f>
        <v>2.1406336233680276</v>
      </c>
    </row>
    <row r="7" x14ac:dyDescent="0.25">
      <c r="B7" s="27">
        <v>16</v>
      </c>
      <c r="C7" s="27" t="s">
        <v>1620</v>
      </c>
      <c r="D7" s="27" t="s">
        <v>1621</v>
      </c>
      <c r="E7" s="85">
        <f>L7*Inputs!$E$294</f>
        <v>159.84555984555982</v>
      </c>
      <c r="F7" s="239">
        <f>BORA_Devex!$E$16</f>
        <v>46976</v>
      </c>
      <c r="G7" s="217">
        <v>1</v>
      </c>
      <c r="H7" s="20">
        <f t="shared" si="0"/>
        <v>159.84555984555982</v>
      </c>
      <c r="I7">
        <f>IF(F7="","",(YEAR(F7)-YEAR(Inputs!$E$27))*12+MONTH(F7)-MONTH(Inputs!$E$27))</f>
        <v>25</v>
      </c>
      <c r="J7" s="217">
        <v>0</v>
      </c>
      <c r="K7" s="20">
        <f t="shared" si="1"/>
        <v>0</v>
      </c>
      <c r="L7" s="85">
        <f>BORA_Devex!$J$16/1000</f>
        <v>159.84555984555982</v>
      </c>
      <c r="M7" s="20">
        <f>H7+K7*(Inputs!$E$67=1)</f>
        <v>159.84555984555982</v>
      </c>
      <c r="N7" s="20">
        <f>IF($F7&gt;N$3,1,(1+$M$3*(DATE(YEAR($F7),12,31)-$F7+1)/365)*(1+$M$3)^(YEAR(N$3)-YEAR($F7)-1)*(1+$M$3*(N$3-DATE(YEAR(N$3),1,1)+1)/365))</f>
        <v>1.1853054606868083</v>
      </c>
      <c r="O7" s="239">
        <f>MAX($F7,O$3)</f>
        <v>47484</v>
      </c>
      <c r="P7" s="20">
        <f>IF(P$3&lt;$O7,1,(1+$M$3*(DATE(YEAR($O7),12,31)-$O7+1)/365)*(1+$M$3)^(YEAR(P$3)-YEAR($O7)-1)*(1+$M$3*(P$3-DATE(YEAR(P$3),1,1)+1)/365))</f>
        <v>1.0493150684931507</v>
      </c>
      <c r="Q7" s="20">
        <f>IF($F7&gt;Q$3,1,(1+$M$3*(DATE(YEAR($F7),12,31)-$F7+1)/365)*(1+$M$3)^(YEAR(Q$3)-YEAR($F7)-1)*(1+$M$3*(Q$3-DATE(YEAR(Q$3),1,1)+1)/365))</f>
        <v>1.1853054606868083</v>
      </c>
      <c r="R7" s="20">
        <f>IF(R$3&lt;$O7,1,(1+$M$3*(DATE(YEAR($O7),12,31)-$O7+1)/365)*(1+$M$3)^(YEAR(R$3)-YEAR($O7)-1)*(1+$M$3*(R$3-DATE(YEAR(R$3),1,1)+1)/365))</f>
        <v>1.3795068493150684</v>
      </c>
      <c r="S7" s="20">
        <f>MAX(N7*P7,MOIC!$E$131)</f>
        <v>2</v>
      </c>
      <c r="T7" s="20">
        <f>MAX(Q7*R7,MOIC!$E$131)</f>
        <v>2</v>
      </c>
    </row>
    <row r="8" x14ac:dyDescent="0.25">
      <c r="B8" s="27">
        <v>17</v>
      </c>
      <c r="C8" s="27"/>
      <c r="D8" s="27" t="s">
        <v>1622</v>
      </c>
      <c r="E8" s="85">
        <f>L8*Inputs!$E$294</f>
        <v>2.028497297297297</v>
      </c>
      <c r="F8" s="239">
        <f>BORA_Devex!$E$17</f>
        <v>46976</v>
      </c>
      <c r="G8" s="217">
        <v>1</v>
      </c>
      <c r="H8" s="20">
        <f t="shared" si="0"/>
        <v>2.028497297297297</v>
      </c>
      <c r="I8">
        <f>IF(F8="","",(YEAR(F8)-YEAR(Inputs!$E$27))*12+MONTH(F8)-MONTH(Inputs!$E$27))</f>
        <v>25</v>
      </c>
      <c r="J8" s="217">
        <v>0</v>
      </c>
      <c r="K8" s="20">
        <f t="shared" si="1"/>
        <v>0</v>
      </c>
      <c r="L8" s="85">
        <f>BORA_Devex!$J$17/1000</f>
        <v>2.028497297297297</v>
      </c>
      <c r="M8" s="20">
        <f>H8+K8*(Inputs!$E$67=1)</f>
        <v>2.028497297297297</v>
      </c>
      <c r="N8" s="20">
        <f>IF($F8&gt;N$3,1,(1+$M$3*(DATE(YEAR($F8),12,31)-$F8+1)/365)*(1+$M$3)^(YEAR(N$3)-YEAR($F8)-1)*(1+$M$3*(N$3-DATE(YEAR(N$3),1,1)+1)/365))</f>
        <v>1.1853054606868083</v>
      </c>
      <c r="O8" s="239">
        <f>MAX($F8,O$3)</f>
        <v>47484</v>
      </c>
      <c r="P8" s="20">
        <f>IF(P$3&lt;$O8,1,(1+$M$3*(DATE(YEAR($O8),12,31)-$O8+1)/365)*(1+$M$3)^(YEAR(P$3)-YEAR($O8)-1)*(1+$M$3*(P$3-DATE(YEAR(P$3),1,1)+1)/365))</f>
        <v>1.0493150684931507</v>
      </c>
      <c r="Q8" s="20">
        <f>IF($F8&gt;Q$3,1,(1+$M$3*(DATE(YEAR($F8),12,31)-$F8+1)/365)*(1+$M$3)^(YEAR(Q$3)-YEAR($F8)-1)*(1+$M$3*(Q$3-DATE(YEAR(Q$3),1,1)+1)/365))</f>
        <v>1.1853054606868083</v>
      </c>
      <c r="R8" s="20">
        <f>IF(R$3&lt;$O8,1,(1+$M$3*(DATE(YEAR($O8),12,31)-$O8+1)/365)*(1+$M$3)^(YEAR(R$3)-YEAR($O8)-1)*(1+$M$3*(R$3-DATE(YEAR(R$3),1,1)+1)/365))</f>
        <v>1.3795068493150684</v>
      </c>
      <c r="S8" s="20">
        <f>MAX(N8*P8,MOIC!$E$131)</f>
        <v>2</v>
      </c>
      <c r="T8" s="20">
        <f>MAX(Q8*R8,MOIC!$E$131)</f>
        <v>2</v>
      </c>
    </row>
    <row r="9" x14ac:dyDescent="0.25">
      <c r="B9" s="27">
        <v>20</v>
      </c>
      <c r="C9" s="27" t="s">
        <v>1623</v>
      </c>
      <c r="D9" s="27" t="s">
        <v>1624</v>
      </c>
      <c r="E9" s="85">
        <f>L9*Inputs!$E$294</f>
        <v>177.24324324324326</v>
      </c>
      <c r="F9" s="239">
        <f>BORA_Devex!$E$20</f>
        <v>46296</v>
      </c>
      <c r="G9" s="217">
        <v>1</v>
      </c>
      <c r="H9" s="20">
        <f t="shared" si="0"/>
        <v>177.24324324324326</v>
      </c>
      <c r="I9">
        <f>IF(F9="","",(YEAR(F9)-YEAR(Inputs!$E$27))*12+MONTH(F9)-MONTH(Inputs!$E$27))</f>
        <v>3</v>
      </c>
      <c r="J9" s="217">
        <v>0</v>
      </c>
      <c r="K9" s="20">
        <f t="shared" si="1"/>
        <v>0</v>
      </c>
      <c r="L9" s="85">
        <f>BORA_Devex!$J$20/1000</f>
        <v>177.24324324324326</v>
      </c>
      <c r="M9" s="20">
        <f>H9+K9*(Inputs!$E$67=1)</f>
        <v>177.24324324324326</v>
      </c>
      <c r="N9" s="20">
        <f>IF($F9&gt;N$3,1,(1+$M$3*(DATE(YEAR($F9),12,31)-$F9+1)/365)*(1+$M$3)^(YEAR(N$3)-YEAR($F9)-1)*(1+$M$3*(N$3-DATE(YEAR(N$3),1,1)+1)/365))</f>
        <v>1.662607732782886</v>
      </c>
      <c r="O9" s="239">
        <f>MAX($F9,O$3)</f>
        <v>47484</v>
      </c>
      <c r="P9" s="20">
        <f>IF(P$3&lt;$O9,1,(1+$M$3*(DATE(YEAR($O9),12,31)-$O9+1)/365)*(1+$M$3)^(YEAR(P$3)-YEAR($O9)-1)*(1+$M$3*(P$3-DATE(YEAR(P$3),1,1)+1)/365))</f>
        <v>1.0493150684931507</v>
      </c>
      <c r="Q9" s="20">
        <f>IF($F9&gt;Q$3,1,(1+$M$3*(DATE(YEAR($F9),12,31)-$F9+1)/365)*(1+$M$3)^(YEAR(Q$3)-YEAR($F9)-1)*(1+$M$3*(Q$3-DATE(YEAR(Q$3),1,1)+1)/365))</f>
        <v>1.662607732782886</v>
      </c>
      <c r="R9" s="20">
        <f>IF(R$3&lt;$O9,1,(1+$M$3*(DATE(YEAR($O9),12,31)-$O9+1)/365)*(1+$M$3)^(YEAR(R$3)-YEAR($O9)-1)*(1+$M$3*(R$3-DATE(YEAR(R$3),1,1)+1)/365))</f>
        <v>1.3795068493150684</v>
      </c>
      <c r="S9" s="20">
        <f>MAX(N9*P9,MOIC!$E$131)</f>
        <v>2</v>
      </c>
      <c r="T9" s="20">
        <f>MAX(Q9*R9,MOIC!$E$131)</f>
        <v>2.2935787550981885</v>
      </c>
    </row>
    <row r="10" x14ac:dyDescent="0.25">
      <c r="B10" s="27">
        <v>21</v>
      </c>
      <c r="C10" s="27" t="s">
        <v>1625</v>
      </c>
      <c r="D10" s="27" t="s">
        <v>1626</v>
      </c>
      <c r="E10" s="85">
        <f>L10*Inputs!$E$294</f>
        <v>398</v>
      </c>
      <c r="F10" s="239">
        <f>BORA_Devex!$E$21</f>
        <v>46447</v>
      </c>
      <c r="G10" s="217">
        <v>1</v>
      </c>
      <c r="H10" s="20">
        <f t="shared" si="0"/>
        <v>398</v>
      </c>
      <c r="I10">
        <f>IF(F10="","",(YEAR(F10)-YEAR(Inputs!$E$27))*12+MONTH(F10)-MONTH(Inputs!$E$27))</f>
        <v>8</v>
      </c>
      <c r="J10" s="217">
        <v>0</v>
      </c>
      <c r="K10" s="20">
        <f t="shared" si="1"/>
        <v>0</v>
      </c>
      <c r="L10" s="85">
        <f>BORA_Devex!$J$21/1000</f>
        <v>398</v>
      </c>
      <c r="M10" s="20">
        <f>H10+K10*(Inputs!$E$67=1)</f>
        <v>398</v>
      </c>
      <c r="N10" s="20">
        <f>IF($F10&gt;N$3,1,(1+$M$3*(DATE(YEAR($F10),12,31)-$F10+1)/365)*(1+$M$3)^(YEAR(N$3)-YEAR($F10)-1)*(1+$M$3*(N$3-DATE(YEAR(N$3),1,1)+1)/365))</f>
        <v>1.5401743516607245</v>
      </c>
      <c r="O10" s="239">
        <f>MAX($F10,O$3)</f>
        <v>47484</v>
      </c>
      <c r="P10" s="20">
        <f>IF(P$3&lt;$O10,1,(1+$M$3*(DATE(YEAR($O10),12,31)-$O10+1)/365)*(1+$M$3)^(YEAR(P$3)-YEAR($O10)-1)*(1+$M$3*(P$3-DATE(YEAR(P$3),1,1)+1)/365))</f>
        <v>1.0493150684931507</v>
      </c>
      <c r="Q10" s="20">
        <f>IF($F10&gt;Q$3,1,(1+$M$3*(DATE(YEAR($F10),12,31)-$F10+1)/365)*(1+$M$3)^(YEAR(Q$3)-YEAR($F10)-1)*(1+$M$3*(Q$3-DATE(YEAR(Q$3),1,1)+1)/365))</f>
        <v>1.5401743516607245</v>
      </c>
      <c r="R10" s="20">
        <f>IF(R$3&lt;$O10,1,(1+$M$3*(DATE(YEAR($O10),12,31)-$O10+1)/365)*(1+$M$3)^(YEAR(R$3)-YEAR($O10)-1)*(1+$M$3*(R$3-DATE(YEAR(R$3),1,1)+1)/365))</f>
        <v>1.3795068493150684</v>
      </c>
      <c r="S10" s="20">
        <f>MAX(N10*P10,MOIC!$E$131)</f>
        <v>2</v>
      </c>
      <c r="T10" s="20">
        <f>MAX(Q10*R10,MOIC!$E$131)</f>
        <v>2.124681067255364</v>
      </c>
    </row>
    <row r="11" x14ac:dyDescent="0.25">
      <c r="B11" s="27">
        <v>22</v>
      </c>
      <c r="C11" s="27"/>
      <c r="D11" s="27" t="s">
        <v>1621</v>
      </c>
      <c r="E11" s="85">
        <f>L11*Inputs!$E$294</f>
        <v>9.72972972972973</v>
      </c>
      <c r="F11" s="239">
        <f>BORA_Devex!$E$22</f>
        <v>46388</v>
      </c>
      <c r="G11" s="217">
        <v>1</v>
      </c>
      <c r="H11" s="20">
        <f t="shared" si="0"/>
        <v>9.72972972972973</v>
      </c>
      <c r="I11">
        <f>IF(F11="","",(YEAR(F11)-YEAR(Inputs!$E$27))*12+MONTH(F11)-MONTH(Inputs!$E$27))</f>
        <v>6</v>
      </c>
      <c r="J11" s="217">
        <v>0</v>
      </c>
      <c r="K11" s="20">
        <f t="shared" si="1"/>
        <v>0</v>
      </c>
      <c r="L11" s="85">
        <f>BORA_Devex!$J$22/1000</f>
        <v>9.72972972972973</v>
      </c>
      <c r="M11" s="20">
        <f>H11+K11*(Inputs!$E$67=1)</f>
        <v>9.72972972972973</v>
      </c>
      <c r="N11" s="20">
        <f>IF($F11&gt;N$3,1,(1+$M$3*(DATE(YEAR($F11),12,31)-$F11+1)/365)*(1+$M$3)^(YEAR(N$3)-YEAR($F11)-1)*(1+$M$3*(N$3-DATE(YEAR(N$3),1,1)+1)/365))</f>
        <v>1.5828164383561645</v>
      </c>
      <c r="O11" s="239">
        <f>MAX($F11,O$3)</f>
        <v>47484</v>
      </c>
      <c r="P11" s="20">
        <f>IF(P$3&lt;$O11,1,(1+$M$3*(DATE(YEAR($O11),12,31)-$O11+1)/365)*(1+$M$3)^(YEAR(P$3)-YEAR($O11)-1)*(1+$M$3*(P$3-DATE(YEAR(P$3),1,1)+1)/365))</f>
        <v>1.0493150684931507</v>
      </c>
      <c r="Q11" s="20">
        <f>IF($F11&gt;Q$3,1,(1+$M$3*(DATE(YEAR($F11),12,31)-$F11+1)/365)*(1+$M$3)^(YEAR(Q$3)-YEAR($F11)-1)*(1+$M$3*(Q$3-DATE(YEAR(Q$3),1,1)+1)/365))</f>
        <v>1.5828164383561645</v>
      </c>
      <c r="R11" s="20">
        <f>IF(R$3&lt;$O11,1,(1+$M$3*(DATE(YEAR($O11),12,31)-$O11+1)/365)*(1+$M$3)^(YEAR(R$3)-YEAR($O11)-1)*(1+$M$3*(R$3-DATE(YEAR(R$3),1,1)+1)/365))</f>
        <v>1.3795068493150684</v>
      </c>
      <c r="S11" s="20">
        <f>MAX(N11*P11,MOIC!$E$131)</f>
        <v>2</v>
      </c>
      <c r="T11" s="20">
        <f>MAX(Q11*R11,MOIC!$E$131)</f>
        <v>2.183506117920811</v>
      </c>
    </row>
    <row r="12" x14ac:dyDescent="0.25">
      <c r="B12" s="27">
        <v>23</v>
      </c>
      <c r="C12" s="27"/>
      <c r="D12" s="27" t="s">
        <v>1627</v>
      </c>
      <c r="E12" s="85">
        <f>L12*Inputs!$E$294</f>
        <v>4.5</v>
      </c>
      <c r="F12" s="239">
        <f>BORA_Devex!$E$23</f>
        <v>46932</v>
      </c>
      <c r="G12" s="217">
        <v>1</v>
      </c>
      <c r="H12" s="20">
        <f t="shared" si="0"/>
        <v>4.5</v>
      </c>
      <c r="I12">
        <f>IF(F12="","",(YEAR(F12)-YEAR(Inputs!$E$27))*12+MONTH(F12)-MONTH(Inputs!$E$27))</f>
        <v>23</v>
      </c>
      <c r="J12" s="217">
        <v>0</v>
      </c>
      <c r="K12" s="20">
        <f t="shared" si="1"/>
        <v>0</v>
      </c>
      <c r="L12" s="85">
        <f>BORA_Devex!$J$23/1000</f>
        <v>4.5</v>
      </c>
      <c r="M12" s="20">
        <f>H12+K12*(Inputs!$E$67=1)</f>
        <v>4.5</v>
      </c>
      <c r="N12" s="20">
        <f>IF($F12&gt;N$3,1,(1+$M$3*(DATE(YEAR($F12),12,31)-$F12+1)/365)*(1+$M$3)^(YEAR(N$3)-YEAR($F12)-1)*(1+$M$3*(N$3-DATE(YEAR(N$3),1,1)+1)/365))</f>
        <v>1.2118061925314318</v>
      </c>
      <c r="O12" s="239">
        <f>MAX($F12,O$3)</f>
        <v>47484</v>
      </c>
      <c r="P12" s="20">
        <f>IF(P$3&lt;$O12,1,(1+$M$3*(DATE(YEAR($O12),12,31)-$O12+1)/365)*(1+$M$3)^(YEAR(P$3)-YEAR($O12)-1)*(1+$M$3*(P$3-DATE(YEAR(P$3),1,1)+1)/365))</f>
        <v>1.0493150684931507</v>
      </c>
      <c r="Q12" s="20">
        <f>IF($F12&gt;Q$3,1,(1+$M$3*(DATE(YEAR($F12),12,31)-$F12+1)/365)*(1+$M$3)^(YEAR(Q$3)-YEAR($F12)-1)*(1+$M$3*(Q$3-DATE(YEAR(Q$3),1,1)+1)/365))</f>
        <v>1.2118061925314318</v>
      </c>
      <c r="R12" s="20">
        <f>IF(R$3&lt;$O12,1,(1+$M$3*(DATE(YEAR($O12),12,31)-$O12+1)/365)*(1+$M$3)^(YEAR(R$3)-YEAR($O12)-1)*(1+$M$3*(R$3-DATE(YEAR(R$3),1,1)+1)/365))</f>
        <v>1.3795068493150684</v>
      </c>
      <c r="S12" s="20">
        <f>MAX(N12*P12,MOIC!$E$131)</f>
        <v>2</v>
      </c>
      <c r="T12" s="20">
        <f>MAX(Q12*R12,MOIC!$E$131)</f>
        <v>2</v>
      </c>
    </row>
    <row r="13" x14ac:dyDescent="0.25">
      <c r="B13" s="27">
        <v>24</v>
      </c>
      <c r="C13" s="27" t="s">
        <v>1628</v>
      </c>
      <c r="D13" s="27" t="s">
        <v>1622</v>
      </c>
      <c r="E13" s="85">
        <f>L13*Inputs!$E$294</f>
        <v>2.5945945945945947</v>
      </c>
      <c r="F13" s="239">
        <f>BORA_Devex!$E$24</f>
        <v>46746</v>
      </c>
      <c r="G13" s="217">
        <v>1</v>
      </c>
      <c r="H13" s="20">
        <f t="shared" si="0"/>
        <v>2.5945945945945947</v>
      </c>
      <c r="I13">
        <f>IF(F13="","",(YEAR(F13)-YEAR(Inputs!$E$27))*12+MONTH(F13)-MONTH(Inputs!$E$27))</f>
        <v>17</v>
      </c>
      <c r="J13" s="217">
        <v>0</v>
      </c>
      <c r="K13" s="20">
        <f t="shared" si="1"/>
        <v>0</v>
      </c>
      <c r="L13" s="85">
        <f>BORA_Devex!$J$24/1000</f>
        <v>2.5945945945945947</v>
      </c>
      <c r="M13" s="20">
        <f>H13+K13*(Inputs!$E$67=1)</f>
        <v>2.5945945945945947</v>
      </c>
      <c r="N13" s="20">
        <f>IF($F13&gt;N$3,1,(1+$M$3*(DATE(YEAR($F13),12,31)-$F13+1)/365)*(1+$M$3)^(YEAR(N$3)-YEAR($F13)-1)*(1+$M$3*(N$3-DATE(YEAR(N$3),1,1)+1)/365))</f>
        <v>1.3240729292550197</v>
      </c>
      <c r="O13" s="239">
        <f>MAX($F13,O$3)</f>
        <v>47484</v>
      </c>
      <c r="P13" s="20">
        <f>IF(P$3&lt;$O13,1,(1+$M$3*(DATE(YEAR($O13),12,31)-$O13+1)/365)*(1+$M$3)^(YEAR(P$3)-YEAR($O13)-1)*(1+$M$3*(P$3-DATE(YEAR(P$3),1,1)+1)/365))</f>
        <v>1.0493150684931507</v>
      </c>
      <c r="Q13" s="20">
        <f>IF($F13&gt;Q$3,1,(1+$M$3*(DATE(YEAR($F13),12,31)-$F13+1)/365)*(1+$M$3)^(YEAR(Q$3)-YEAR($F13)-1)*(1+$M$3*(Q$3-DATE(YEAR(Q$3),1,1)+1)/365))</f>
        <v>1.3240729292550197</v>
      </c>
      <c r="R13" s="20">
        <f>IF(R$3&lt;$O13,1,(1+$M$3*(DATE(YEAR($O13),12,31)-$O13+1)/365)*(1+$M$3)^(YEAR(R$3)-YEAR($O13)-1)*(1+$M$3*(R$3-DATE(YEAR(R$3),1,1)+1)/365))</f>
        <v>1.3795068493150684</v>
      </c>
      <c r="S13" s="20">
        <f>MAX(N13*P13,MOIC!$E$131)</f>
        <v>2</v>
      </c>
      <c r="T13" s="20">
        <f>MAX(Q13*R13,MOIC!$E$131)</f>
        <v>2</v>
      </c>
    </row>
    <row r="14" x14ac:dyDescent="0.25">
      <c r="B14" s="27">
        <v>25</v>
      </c>
      <c r="C14" s="27"/>
      <c r="D14" s="27" t="s">
        <v>1629</v>
      </c>
      <c r="E14" s="85">
        <f>L14*Inputs!$E$294</f>
        <v>21.62162162162162</v>
      </c>
      <c r="F14" s="239">
        <f>BORA_Devex!$E$25</f>
        <v>46596</v>
      </c>
      <c r="G14" s="217">
        <v>1</v>
      </c>
      <c r="H14" s="20">
        <f t="shared" si="0"/>
        <v>21.62162162162162</v>
      </c>
      <c r="I14">
        <f>IF(F14="","",(YEAR(F14)-YEAR(Inputs!$E$27))*12+MONTH(F14)-MONTH(Inputs!$E$27))</f>
        <v>12</v>
      </c>
      <c r="J14" s="217">
        <v>0</v>
      </c>
      <c r="K14" s="20">
        <f t="shared" si="1"/>
        <v>0</v>
      </c>
      <c r="L14" s="85">
        <f>BORA_Devex!$J$25/1000</f>
        <v>21.62162162162162</v>
      </c>
      <c r="M14" s="20">
        <f>H14+K14*(Inputs!$E$67=1)</f>
        <v>21.62162162162162</v>
      </c>
      <c r="N14" s="20">
        <f>IF($F14&gt;N$3,1,(1+$M$3*(DATE(YEAR($F14),12,31)-$F14+1)/365)*(1+$M$3)^(YEAR(N$3)-YEAR($F14)-1)*(1+$M$3*(N$3-DATE(YEAR(N$3),1,1)+1)/365))</f>
        <v>1.4324850140739354</v>
      </c>
      <c r="O14" s="239">
        <f>MAX($F14,O$3)</f>
        <v>47484</v>
      </c>
      <c r="P14" s="20">
        <f>IF(P$3&lt;$O14,1,(1+$M$3*(DATE(YEAR($O14),12,31)-$O14+1)/365)*(1+$M$3)^(YEAR(P$3)-YEAR($O14)-1)*(1+$M$3*(P$3-DATE(YEAR(P$3),1,1)+1)/365))</f>
        <v>1.0493150684931507</v>
      </c>
      <c r="Q14" s="20">
        <f>IF($F14&gt;Q$3,1,(1+$M$3*(DATE(YEAR($F14),12,31)-$F14+1)/365)*(1+$M$3)^(YEAR(Q$3)-YEAR($F14)-1)*(1+$M$3*(Q$3-DATE(YEAR(Q$3),1,1)+1)/365))</f>
        <v>1.4324850140739354</v>
      </c>
      <c r="R14" s="20">
        <f>IF(R$3&lt;$O14,1,(1+$M$3*(DATE(YEAR($O14),12,31)-$O14+1)/365)*(1+$M$3)^(YEAR(R$3)-YEAR($O14)-1)*(1+$M$3*(R$3-DATE(YEAR(R$3),1,1)+1)/365))</f>
        <v>1.3795068493150684</v>
      </c>
      <c r="S14" s="20">
        <f>MAX(N14*P14,MOIC!$E$131)</f>
        <v>2</v>
      </c>
      <c r="T14" s="20">
        <f>MAX(Q14*R14,MOIC!$E$131)</f>
        <v>2</v>
      </c>
    </row>
    <row r="15" x14ac:dyDescent="0.25">
      <c r="B15" s="27">
        <v>26</v>
      </c>
      <c r="C15" s="27" t="s">
        <v>1630</v>
      </c>
      <c r="D15" s="27" t="s">
        <v>1621</v>
      </c>
      <c r="E15" s="85">
        <f>L15*Inputs!$E$294</f>
        <v>135.13513513513516</v>
      </c>
      <c r="F15" s="239">
        <f>BORA_Devex!$E$26</f>
        <v>46806</v>
      </c>
      <c r="G15" s="217">
        <v>1</v>
      </c>
      <c r="H15" s="20">
        <f t="shared" si="0"/>
        <v>135.13513513513516</v>
      </c>
      <c r="I15">
        <f>IF(F15="","",(YEAR(F15)-YEAR(Inputs!$E$27))*12+MONTH(F15)-MONTH(Inputs!$E$27))</f>
        <v>19</v>
      </c>
      <c r="J15" s="217">
        <v>0</v>
      </c>
      <c r="K15" s="20">
        <f t="shared" si="1"/>
        <v>0</v>
      </c>
      <c r="L15" s="85">
        <f>BORA_Devex!$J$26/1000</f>
        <v>135.13513513513516</v>
      </c>
      <c r="M15" s="20">
        <f>H15+K15*(Inputs!$E$67=1)</f>
        <v>135.13513513513516</v>
      </c>
      <c r="N15" s="20">
        <f>IF($F15&gt;N$3,1,(1+$M$3*(DATE(YEAR($F15),12,31)-$F15+1)/365)*(1+$M$3)^(YEAR(N$3)-YEAR($F15)-1)*(1+$M$3*(N$3-DATE(YEAR(N$3),1,1)+1)/365))</f>
        <v>1.2876946519046726</v>
      </c>
      <c r="O15" s="239">
        <f>MAX($F15,O$3)</f>
        <v>47484</v>
      </c>
      <c r="P15" s="20">
        <f>IF(P$3&lt;$O15,1,(1+$M$3*(DATE(YEAR($O15),12,31)-$O15+1)/365)*(1+$M$3)^(YEAR(P$3)-YEAR($O15)-1)*(1+$M$3*(P$3-DATE(YEAR(P$3),1,1)+1)/365))</f>
        <v>1.0493150684931507</v>
      </c>
      <c r="Q15" s="20">
        <f>IF($F15&gt;Q$3,1,(1+$M$3*(DATE(YEAR($F15),12,31)-$F15+1)/365)*(1+$M$3)^(YEAR(Q$3)-YEAR($F15)-1)*(1+$M$3*(Q$3-DATE(YEAR(Q$3),1,1)+1)/365))</f>
        <v>1.2876946519046726</v>
      </c>
      <c r="R15" s="20">
        <f>IF(R$3&lt;$O15,1,(1+$M$3*(DATE(YEAR($O15),12,31)-$O15+1)/365)*(1+$M$3)^(YEAR(R$3)-YEAR($O15)-1)*(1+$M$3*(R$3-DATE(YEAR(R$3),1,1)+1)/365))</f>
        <v>1.3795068493150684</v>
      </c>
      <c r="S15" s="20">
        <f>MAX(N15*P15,MOIC!$E$131)</f>
        <v>2</v>
      </c>
      <c r="T15" s="20">
        <f>MAX(Q15*R15,MOIC!$E$131)</f>
        <v>2</v>
      </c>
    </row>
    <row r="16" x14ac:dyDescent="0.25">
      <c r="B16" s="27">
        <v>27</v>
      </c>
      <c r="C16" s="27" t="s">
        <v>1631</v>
      </c>
      <c r="D16" s="27" t="s">
        <v>1632</v>
      </c>
      <c r="E16" s="85">
        <f>L16*Inputs!$E$294</f>
        <v>94.5945945945946</v>
      </c>
      <c r="F16" s="239">
        <f>BORA_Devex!$E$27</f>
        <v>46806</v>
      </c>
      <c r="G16" s="217">
        <v>1</v>
      </c>
      <c r="H16" s="20">
        <f t="shared" si="0"/>
        <v>94.5945945945946</v>
      </c>
      <c r="I16">
        <f>IF(F16="","",(YEAR(F16)-YEAR(Inputs!$E$27))*12+MONTH(F16)-MONTH(Inputs!$E$27))</f>
        <v>19</v>
      </c>
      <c r="J16" s="217">
        <v>0</v>
      </c>
      <c r="K16" s="20">
        <f t="shared" si="1"/>
        <v>0</v>
      </c>
      <c r="L16" s="85">
        <f>BORA_Devex!$J$27/1000</f>
        <v>94.5945945945946</v>
      </c>
      <c r="M16" s="20">
        <f>H16+K16*(Inputs!$E$67=1)</f>
        <v>94.5945945945946</v>
      </c>
      <c r="N16" s="20">
        <f>IF($F16&gt;N$3,1,(1+$M$3*(DATE(YEAR($F16),12,31)-$F16+1)/365)*(1+$M$3)^(YEAR(N$3)-YEAR($F16)-1)*(1+$M$3*(N$3-DATE(YEAR(N$3),1,1)+1)/365))</f>
        <v>1.2876946519046726</v>
      </c>
      <c r="O16" s="239">
        <f>MAX($F16,O$3)</f>
        <v>47484</v>
      </c>
      <c r="P16" s="20">
        <f>IF(P$3&lt;$O16,1,(1+$M$3*(DATE(YEAR($O16),12,31)-$O16+1)/365)*(1+$M$3)^(YEAR(P$3)-YEAR($O16)-1)*(1+$M$3*(P$3-DATE(YEAR(P$3),1,1)+1)/365))</f>
        <v>1.0493150684931507</v>
      </c>
      <c r="Q16" s="20">
        <f>IF($F16&gt;Q$3,1,(1+$M$3*(DATE(YEAR($F16),12,31)-$F16+1)/365)*(1+$M$3)^(YEAR(Q$3)-YEAR($F16)-1)*(1+$M$3*(Q$3-DATE(YEAR(Q$3),1,1)+1)/365))</f>
        <v>1.2876946519046726</v>
      </c>
      <c r="R16" s="20">
        <f>IF(R$3&lt;$O16,1,(1+$M$3*(DATE(YEAR($O16),12,31)-$O16+1)/365)*(1+$M$3)^(YEAR(R$3)-YEAR($O16)-1)*(1+$M$3*(R$3-DATE(YEAR(R$3),1,1)+1)/365))</f>
        <v>1.3795068493150684</v>
      </c>
      <c r="S16" s="20">
        <f>MAX(N16*P16,MOIC!$E$131)</f>
        <v>2</v>
      </c>
      <c r="T16" s="20">
        <f>MAX(Q16*R16,MOIC!$E$131)</f>
        <v>2</v>
      </c>
    </row>
    <row r="17" x14ac:dyDescent="0.25">
      <c r="B17" s="27">
        <v>28</v>
      </c>
      <c r="C17" s="27" t="s">
        <v>1633</v>
      </c>
      <c r="D17" s="27" t="s">
        <v>1634</v>
      </c>
      <c r="E17" s="85">
        <f>L17*Inputs!$E$294</f>
        <v>40.086486486486486</v>
      </c>
      <c r="F17" s="239">
        <f>BORA_Devex!$E$28</f>
        <v>46751</v>
      </c>
      <c r="G17" s="217">
        <v>1</v>
      </c>
      <c r="H17" s="20">
        <f t="shared" si="0"/>
        <v>40.086486486486486</v>
      </c>
      <c r="I17">
        <f>IF(F17="","",(YEAR(F17)-YEAR(Inputs!$E$27))*12+MONTH(F17)-MONTH(Inputs!$E$27))</f>
        <v>17</v>
      </c>
      <c r="J17" s="217">
        <v>0</v>
      </c>
      <c r="K17" s="20">
        <f t="shared" si="1"/>
        <v>0</v>
      </c>
      <c r="L17" s="85">
        <f>BORA_Devex!$J$28/1000</f>
        <v>40.086486486486486</v>
      </c>
      <c r="M17" s="20">
        <f>H17+K17*(Inputs!$E$67=1)</f>
        <v>40.086486486486486</v>
      </c>
      <c r="N17" s="20">
        <f>IF($F17&gt;N$3,1,(1+$M$3*(DATE(YEAR($F17),12,31)-$F17+1)/365)*(1+$M$3)^(YEAR(N$3)-YEAR($F17)-1)*(1+$M$3*(N$3-DATE(YEAR(N$3),1,1)+1)/365))</f>
        <v>1.3204591930943892</v>
      </c>
      <c r="O17" s="239">
        <f>MAX($F17,O$3)</f>
        <v>47484</v>
      </c>
      <c r="P17" s="20">
        <f>IF(P$3&lt;$O17,1,(1+$M$3*(DATE(YEAR($O17),12,31)-$O17+1)/365)*(1+$M$3)^(YEAR(P$3)-YEAR($O17)-1)*(1+$M$3*(P$3-DATE(YEAR(P$3),1,1)+1)/365))</f>
        <v>1.0493150684931507</v>
      </c>
      <c r="Q17" s="20">
        <f>IF($F17&gt;Q$3,1,(1+$M$3*(DATE(YEAR($F17),12,31)-$F17+1)/365)*(1+$M$3)^(YEAR(Q$3)-YEAR($F17)-1)*(1+$M$3*(Q$3-DATE(YEAR(Q$3),1,1)+1)/365))</f>
        <v>1.3204591930943892</v>
      </c>
      <c r="R17" s="20">
        <f>IF(R$3&lt;$O17,1,(1+$M$3*(DATE(YEAR($O17),12,31)-$O17+1)/365)*(1+$M$3)^(YEAR(R$3)-YEAR($O17)-1)*(1+$M$3*(R$3-DATE(YEAR(R$3),1,1)+1)/365))</f>
        <v>1.3795068493150684</v>
      </c>
      <c r="S17" s="20">
        <f>MAX(N17*P17,MOIC!$E$131)</f>
        <v>2</v>
      </c>
      <c r="T17" s="20">
        <f>MAX(Q17*R17,MOIC!$E$131)</f>
        <v>2</v>
      </c>
    </row>
    <row r="18" x14ac:dyDescent="0.25">
      <c r="B18" s="27">
        <v>29</v>
      </c>
      <c r="C18" s="27"/>
      <c r="D18" s="27" t="s">
        <v>1622</v>
      </c>
      <c r="E18" s="85">
        <f>L18*Inputs!$E$294</f>
        <v>0.10810810810810811</v>
      </c>
      <c r="F18" s="239">
        <f>BORA_Devex!$E$29</f>
        <v>46871</v>
      </c>
      <c r="G18" s="217">
        <v>1</v>
      </c>
      <c r="H18" s="20">
        <f t="shared" si="0"/>
        <v>0.10810810810810811</v>
      </c>
      <c r="I18">
        <f>IF(F18="","",(YEAR(F18)-YEAR(Inputs!$E$27))*12+MONTH(F18)-MONTH(Inputs!$E$27))</f>
        <v>21</v>
      </c>
      <c r="J18" s="217">
        <v>0</v>
      </c>
      <c r="K18" s="20">
        <f t="shared" si="1"/>
        <v>0</v>
      </c>
      <c r="L18" s="85">
        <f>BORA_Devex!$J$29/1000</f>
        <v>0.10810810810810811</v>
      </c>
      <c r="M18" s="20">
        <f>H18+K18*(Inputs!$E$67=1)</f>
        <v>0.10810810810810811</v>
      </c>
      <c r="N18" s="20">
        <f>IF($F18&gt;N$3,1,(1+$M$3*(DATE(YEAR($F18),12,31)-$F18+1)/365)*(1+$M$3)^(YEAR(N$3)-YEAR($F18)-1)*(1+$M$3*(N$3-DATE(YEAR(N$3),1,1)+1)/365))</f>
        <v>1.248545843497842</v>
      </c>
      <c r="O18" s="239">
        <f>MAX($F18,O$3)</f>
        <v>47484</v>
      </c>
      <c r="P18" s="20">
        <f>IF(P$3&lt;$O18,1,(1+$M$3*(DATE(YEAR($O18),12,31)-$O18+1)/365)*(1+$M$3)^(YEAR(P$3)-YEAR($O18)-1)*(1+$M$3*(P$3-DATE(YEAR(P$3),1,1)+1)/365))</f>
        <v>1.0493150684931507</v>
      </c>
      <c r="Q18" s="20">
        <f>IF($F18&gt;Q$3,1,(1+$M$3*(DATE(YEAR($F18),12,31)-$F18+1)/365)*(1+$M$3)^(YEAR(Q$3)-YEAR($F18)-1)*(1+$M$3*(Q$3-DATE(YEAR(Q$3),1,1)+1)/365))</f>
        <v>1.248545843497842</v>
      </c>
      <c r="R18" s="20">
        <f>IF(R$3&lt;$O18,1,(1+$M$3*(DATE(YEAR($O18),12,31)-$O18+1)/365)*(1+$M$3)^(YEAR(R$3)-YEAR($O18)-1)*(1+$M$3*(R$3-DATE(YEAR(R$3),1,1)+1)/365))</f>
        <v>1.3795068493150684</v>
      </c>
      <c r="S18" s="20">
        <f>MAX(N18*P18,MOIC!$E$131)</f>
        <v>2</v>
      </c>
      <c r="T18" s="20">
        <f>MAX(Q18*R18,MOIC!$E$131)</f>
        <v>2</v>
      </c>
    </row>
    <row r="19" x14ac:dyDescent="0.25">
      <c r="B19" s="27">
        <v>30</v>
      </c>
      <c r="C19" s="27"/>
      <c r="D19" s="27" t="s">
        <v>1635</v>
      </c>
      <c r="E19" s="85">
        <f>L19*Inputs!$E$294</f>
        <v>88.13513513513513</v>
      </c>
      <c r="F19" s="239">
        <f>BORA_Devex!$E$30</f>
        <v>46841</v>
      </c>
      <c r="G19" s="217">
        <v>1</v>
      </c>
      <c r="H19" s="20">
        <f t="shared" si="0"/>
        <v>88.13513513513513</v>
      </c>
      <c r="I19">
        <f>IF(F19="","",(YEAR(F19)-YEAR(Inputs!$E$27))*12+MONTH(F19)-MONTH(Inputs!$E$27))</f>
        <v>20</v>
      </c>
      <c r="J19" s="217">
        <v>0</v>
      </c>
      <c r="K19" s="20">
        <f t="shared" si="1"/>
        <v>0</v>
      </c>
      <c r="L19" s="85">
        <f>BORA_Devex!$J$30/1000</f>
        <v>88.13513513513513</v>
      </c>
      <c r="M19" s="20">
        <f>H19+K19*(Inputs!$E$67=1)</f>
        <v>88.13513513513513</v>
      </c>
      <c r="N19" s="20">
        <f>IF($F19&gt;N$3,1,(1+$M$3*(DATE(YEAR($F19),12,31)-$F19+1)/365)*(1+$M$3)^(YEAR(N$3)-YEAR($F19)-1)*(1+$M$3*(N$3-DATE(YEAR(N$3),1,1)+1)/365))</f>
        <v>1.2666145243009945</v>
      </c>
      <c r="O19" s="239">
        <f>MAX($F19,O$3)</f>
        <v>47484</v>
      </c>
      <c r="P19" s="20">
        <f>IF(P$3&lt;$O19,1,(1+$M$3*(DATE(YEAR($O19),12,31)-$O19+1)/365)*(1+$M$3)^(YEAR(P$3)-YEAR($O19)-1)*(1+$M$3*(P$3-DATE(YEAR(P$3),1,1)+1)/365))</f>
        <v>1.0493150684931507</v>
      </c>
      <c r="Q19" s="20">
        <f>IF($F19&gt;Q$3,1,(1+$M$3*(DATE(YEAR($F19),12,31)-$F19+1)/365)*(1+$M$3)^(YEAR(Q$3)-YEAR($F19)-1)*(1+$M$3*(Q$3-DATE(YEAR(Q$3),1,1)+1)/365))</f>
        <v>1.2666145243009945</v>
      </c>
      <c r="R19" s="20">
        <f>IF(R$3&lt;$O19,1,(1+$M$3*(DATE(YEAR($O19),12,31)-$O19+1)/365)*(1+$M$3)^(YEAR(R$3)-YEAR($O19)-1)*(1+$M$3*(R$3-DATE(YEAR(R$3),1,1)+1)/365))</f>
        <v>1.3795068493150684</v>
      </c>
      <c r="S19" s="20">
        <f>MAX(N19*P19,MOIC!$E$131)</f>
        <v>2</v>
      </c>
      <c r="T19" s="20">
        <f>MAX(Q19*R19,MOIC!$E$131)</f>
        <v>2</v>
      </c>
    </row>
    <row r="20" x14ac:dyDescent="0.25">
      <c r="B20" s="27">
        <v>31</v>
      </c>
      <c r="C20" s="27" t="s">
        <v>1636</v>
      </c>
      <c r="D20" s="27" t="s">
        <v>1637</v>
      </c>
      <c r="E20" s="85">
        <f>L20*Inputs!$E$294</f>
        <v>21.62162162162162</v>
      </c>
      <c r="F20" s="239">
        <f>BORA_Devex!$E$31</f>
        <v>46596</v>
      </c>
      <c r="G20" s="217">
        <v>1</v>
      </c>
      <c r="H20" s="20">
        <f t="shared" si="0"/>
        <v>21.62162162162162</v>
      </c>
      <c r="I20">
        <f>IF(F20="","",(YEAR(F20)-YEAR(Inputs!$E$27))*12+MONTH(F20)-MONTH(Inputs!$E$27))</f>
        <v>12</v>
      </c>
      <c r="J20" s="217">
        <v>0</v>
      </c>
      <c r="K20" s="20">
        <f t="shared" si="1"/>
        <v>0</v>
      </c>
      <c r="L20" s="85">
        <f>BORA_Devex!$J$31/1000</f>
        <v>21.62162162162162</v>
      </c>
      <c r="M20" s="20">
        <f>H20+K20*(Inputs!$E$67=1)</f>
        <v>21.62162162162162</v>
      </c>
      <c r="N20" s="20">
        <f>IF($F20&gt;N$3,1,(1+$M$3*(DATE(YEAR($F20),12,31)-$F20+1)/365)*(1+$M$3)^(YEAR(N$3)-YEAR($F20)-1)*(1+$M$3*(N$3-DATE(YEAR(N$3),1,1)+1)/365))</f>
        <v>1.4324850140739354</v>
      </c>
      <c r="O20" s="239">
        <f>MAX($F20,O$3)</f>
        <v>47484</v>
      </c>
      <c r="P20" s="20">
        <f>IF(P$3&lt;$O20,1,(1+$M$3*(DATE(YEAR($O20),12,31)-$O20+1)/365)*(1+$M$3)^(YEAR(P$3)-YEAR($O20)-1)*(1+$M$3*(P$3-DATE(YEAR(P$3),1,1)+1)/365))</f>
        <v>1.0493150684931507</v>
      </c>
      <c r="Q20" s="20">
        <f>IF($F20&gt;Q$3,1,(1+$M$3*(DATE(YEAR($F20),12,31)-$F20+1)/365)*(1+$M$3)^(YEAR(Q$3)-YEAR($F20)-1)*(1+$M$3*(Q$3-DATE(YEAR(Q$3),1,1)+1)/365))</f>
        <v>1.4324850140739354</v>
      </c>
      <c r="R20" s="20">
        <f>IF(R$3&lt;$O20,1,(1+$M$3*(DATE(YEAR($O20),12,31)-$O20+1)/365)*(1+$M$3)^(YEAR(R$3)-YEAR($O20)-1)*(1+$M$3*(R$3-DATE(YEAR(R$3),1,1)+1)/365))</f>
        <v>1.3795068493150684</v>
      </c>
      <c r="S20" s="20">
        <f>MAX(N20*P20,MOIC!$E$131)</f>
        <v>2</v>
      </c>
      <c r="T20" s="20">
        <f>MAX(Q20*R20,MOIC!$E$131)</f>
        <v>2</v>
      </c>
    </row>
    <row r="21" x14ac:dyDescent="0.25">
      <c r="B21" s="27">
        <v>32</v>
      </c>
      <c r="C21" s="27"/>
      <c r="D21" s="27" t="s">
        <v>1638</v>
      </c>
      <c r="E21" s="85">
        <f>L21*Inputs!$E$294</f>
        <v>21.62162162162162</v>
      </c>
      <c r="F21" s="239">
        <f>BORA_Devex!$E$32</f>
        <v>46566</v>
      </c>
      <c r="G21" s="217">
        <v>1</v>
      </c>
      <c r="H21" s="20">
        <f t="shared" si="0"/>
        <v>21.62162162162162</v>
      </c>
      <c r="I21">
        <f>IF(F21="","",(YEAR(F21)-YEAR(Inputs!$E$27))*12+MONTH(F21)-MONTH(Inputs!$E$27))</f>
        <v>11</v>
      </c>
      <c r="J21" s="217">
        <v>0</v>
      </c>
      <c r="K21" s="20">
        <f t="shared" si="1"/>
        <v>0</v>
      </c>
      <c r="L21" s="85">
        <f>BORA_Devex!$J$32/1000</f>
        <v>21.62162162162162</v>
      </c>
      <c r="M21" s="20">
        <f>H21+K21*(Inputs!$E$67=1)</f>
        <v>21.62162162162162</v>
      </c>
      <c r="N21" s="20">
        <f>IF($F21&gt;N$3,1,(1+$M$3*(DATE(YEAR($F21),12,31)-$F21+1)/365)*(1+$M$3)^(YEAR(N$3)-YEAR($F21)-1)*(1+$M$3*(N$3-DATE(YEAR(N$3),1,1)+1)/365))</f>
        <v>1.4541674310377184</v>
      </c>
      <c r="O21" s="239">
        <f>MAX($F21,O$3)</f>
        <v>47484</v>
      </c>
      <c r="P21" s="20">
        <f>IF(P$3&lt;$O21,1,(1+$M$3*(DATE(YEAR($O21),12,31)-$O21+1)/365)*(1+$M$3)^(YEAR(P$3)-YEAR($O21)-1)*(1+$M$3*(P$3-DATE(YEAR(P$3),1,1)+1)/365))</f>
        <v>1.0493150684931507</v>
      </c>
      <c r="Q21" s="20">
        <f>IF($F21&gt;Q$3,1,(1+$M$3*(DATE(YEAR($F21),12,31)-$F21+1)/365)*(1+$M$3)^(YEAR(Q$3)-YEAR($F21)-1)*(1+$M$3*(Q$3-DATE(YEAR(Q$3),1,1)+1)/365))</f>
        <v>1.4541674310377184</v>
      </c>
      <c r="R21" s="20">
        <f>IF(R$3&lt;$O21,1,(1+$M$3*(DATE(YEAR($O21),12,31)-$O21+1)/365)*(1+$M$3)^(YEAR(R$3)-YEAR($O21)-1)*(1+$M$3*(R$3-DATE(YEAR(R$3),1,1)+1)/365))</f>
        <v>1.3795068493150684</v>
      </c>
      <c r="S21" s="20">
        <f>MAX(N21*P21,MOIC!$E$131)</f>
        <v>2</v>
      </c>
      <c r="T21" s="20">
        <f>MAX(Q21*R21,MOIC!$E$131)</f>
        <v>2.00603393116743</v>
      </c>
    </row>
    <row r="22" x14ac:dyDescent="0.25">
      <c r="B22" s="27">
        <v>33</v>
      </c>
      <c r="C22" s="27"/>
      <c r="D22" s="27" t="s">
        <v>1639</v>
      </c>
      <c r="E22" s="85">
        <f>L22*Inputs!$E$294</f>
        <v>21.62162162162162</v>
      </c>
      <c r="F22" s="239">
        <f>BORA_Devex!$E$33</f>
        <v>46566</v>
      </c>
      <c r="G22" s="217">
        <v>1</v>
      </c>
      <c r="H22" s="20">
        <f t="shared" si="0"/>
        <v>21.62162162162162</v>
      </c>
      <c r="I22">
        <f>IF(F22="","",(YEAR(F22)-YEAR(Inputs!$E$27))*12+MONTH(F22)-MONTH(Inputs!$E$27))</f>
        <v>11</v>
      </c>
      <c r="J22" s="217">
        <v>0</v>
      </c>
      <c r="K22" s="20">
        <f t="shared" si="1"/>
        <v>0</v>
      </c>
      <c r="L22" s="85">
        <f>BORA_Devex!$J$33/1000</f>
        <v>21.62162162162162</v>
      </c>
      <c r="M22" s="20">
        <f>H22+K22*(Inputs!$E$67=1)</f>
        <v>21.62162162162162</v>
      </c>
      <c r="N22" s="20">
        <f>IF($F22&gt;N$3,1,(1+$M$3*(DATE(YEAR($F22),12,31)-$F22+1)/365)*(1+$M$3)^(YEAR(N$3)-YEAR($F22)-1)*(1+$M$3*(N$3-DATE(YEAR(N$3),1,1)+1)/365))</f>
        <v>1.4541674310377184</v>
      </c>
      <c r="O22" s="239">
        <f>MAX($F22,O$3)</f>
        <v>47484</v>
      </c>
      <c r="P22" s="20">
        <f>IF(P$3&lt;$O22,1,(1+$M$3*(DATE(YEAR($O22),12,31)-$O22+1)/365)*(1+$M$3)^(YEAR(P$3)-YEAR($O22)-1)*(1+$M$3*(P$3-DATE(YEAR(P$3),1,1)+1)/365))</f>
        <v>1.0493150684931507</v>
      </c>
      <c r="Q22" s="20">
        <f>IF($F22&gt;Q$3,1,(1+$M$3*(DATE(YEAR($F22),12,31)-$F22+1)/365)*(1+$M$3)^(YEAR(Q$3)-YEAR($F22)-1)*(1+$M$3*(Q$3-DATE(YEAR(Q$3),1,1)+1)/365))</f>
        <v>1.4541674310377184</v>
      </c>
      <c r="R22" s="20">
        <f>IF(R$3&lt;$O22,1,(1+$M$3*(DATE(YEAR($O22),12,31)-$O22+1)/365)*(1+$M$3)^(YEAR(R$3)-YEAR($O22)-1)*(1+$M$3*(R$3-DATE(YEAR(R$3),1,1)+1)/365))</f>
        <v>1.3795068493150684</v>
      </c>
      <c r="S22" s="20">
        <f>MAX(N22*P22,MOIC!$E$131)</f>
        <v>2</v>
      </c>
      <c r="T22" s="20">
        <f>MAX(Q22*R22,MOIC!$E$131)</f>
        <v>2.00603393116743</v>
      </c>
    </row>
    <row r="23" x14ac:dyDescent="0.25">
      <c r="B23" s="27">
        <v>34</v>
      </c>
      <c r="C23" s="27" t="s">
        <v>1640</v>
      </c>
      <c r="D23" s="27" t="s">
        <v>1622</v>
      </c>
      <c r="E23" s="85">
        <f>L23*Inputs!$E$294</f>
        <v>12.405405405405405</v>
      </c>
      <c r="F23" s="239">
        <f>BORA_Devex!$E$34</f>
        <v>46780</v>
      </c>
      <c r="G23" s="217">
        <v>1</v>
      </c>
      <c r="H23" s="20">
        <f t="shared" si="0"/>
        <v>12.405405405405405</v>
      </c>
      <c r="I23">
        <f>IF(F23="","",(YEAR(F23)-YEAR(Inputs!$E$27))*12+MONTH(F23)-MONTH(Inputs!$E$27))</f>
        <v>18</v>
      </c>
      <c r="J23" s="217">
        <v>0</v>
      </c>
      <c r="K23" s="20">
        <f t="shared" si="1"/>
        <v>0</v>
      </c>
      <c r="L23" s="85">
        <f>BORA_Devex!$J$34/1000</f>
        <v>12.405405405405405</v>
      </c>
      <c r="M23" s="20">
        <f>H23+K23*(Inputs!$E$67=1)</f>
        <v>12.405405405405405</v>
      </c>
      <c r="N23" s="20">
        <f>IF($F23&gt;N$3,1,(1+$M$3*(DATE(YEAR($F23),12,31)-$F23+1)/365)*(1+$M$3)^(YEAR(N$3)-YEAR($F23)-1)*(1+$M$3*(N$3-DATE(YEAR(N$3),1,1)+1)/365))</f>
        <v>1.303354175267405</v>
      </c>
      <c r="O23" s="239">
        <f>MAX($F23,O$3)</f>
        <v>47484</v>
      </c>
      <c r="P23" s="20">
        <f>IF(P$3&lt;$O23,1,(1+$M$3*(DATE(YEAR($O23),12,31)-$O23+1)/365)*(1+$M$3)^(YEAR(P$3)-YEAR($O23)-1)*(1+$M$3*(P$3-DATE(YEAR(P$3),1,1)+1)/365))</f>
        <v>1.0493150684931507</v>
      </c>
      <c r="Q23" s="20">
        <f>IF($F23&gt;Q$3,1,(1+$M$3*(DATE(YEAR($F23),12,31)-$F23+1)/365)*(1+$M$3)^(YEAR(Q$3)-YEAR($F23)-1)*(1+$M$3*(Q$3-DATE(YEAR(Q$3),1,1)+1)/365))</f>
        <v>1.303354175267405</v>
      </c>
      <c r="R23" s="20">
        <f>IF(R$3&lt;$O23,1,(1+$M$3*(DATE(YEAR($O23),12,31)-$O23+1)/365)*(1+$M$3)^(YEAR(R$3)-YEAR($O23)-1)*(1+$M$3*(R$3-DATE(YEAR(R$3),1,1)+1)/365))</f>
        <v>1.3795068493150684</v>
      </c>
      <c r="S23" s="20">
        <f>MAX(N23*P23,MOIC!$E$131)</f>
        <v>2</v>
      </c>
      <c r="T23" s="20">
        <f>MAX(Q23*R23,MOIC!$E$131)</f>
        <v>2</v>
      </c>
    </row>
    <row r="24" x14ac:dyDescent="0.25">
      <c r="B24" s="27">
        <v>35</v>
      </c>
      <c r="C24" s="27"/>
      <c r="D24" s="27" t="s">
        <v>1621</v>
      </c>
      <c r="E24" s="85">
        <f>L24*Inputs!$E$294</f>
        <v>372.97297297297297</v>
      </c>
      <c r="F24" s="239">
        <f>BORA_Devex!$E$35</f>
        <v>46780</v>
      </c>
      <c r="G24" s="217">
        <v>1</v>
      </c>
      <c r="H24" s="20">
        <f t="shared" si="0"/>
        <v>372.97297297297297</v>
      </c>
      <c r="I24">
        <f>IF(F24="","",(YEAR(F24)-YEAR(Inputs!$E$27))*12+MONTH(F24)-MONTH(Inputs!$E$27))</f>
        <v>18</v>
      </c>
      <c r="J24" s="217">
        <v>0</v>
      </c>
      <c r="K24" s="20">
        <f t="shared" si="1"/>
        <v>0</v>
      </c>
      <c r="L24" s="85">
        <f>BORA_Devex!$J$35/1000</f>
        <v>372.97297297297297</v>
      </c>
      <c r="M24" s="20">
        <f>H24+K24*(Inputs!$E$67=1)</f>
        <v>372.97297297297297</v>
      </c>
      <c r="N24" s="20">
        <f>IF($F24&gt;N$3,1,(1+$M$3*(DATE(YEAR($F24),12,31)-$F24+1)/365)*(1+$M$3)^(YEAR(N$3)-YEAR($F24)-1)*(1+$M$3*(N$3-DATE(YEAR(N$3),1,1)+1)/365))</f>
        <v>1.303354175267405</v>
      </c>
      <c r="O24" s="239">
        <f>MAX($F24,O$3)</f>
        <v>47484</v>
      </c>
      <c r="P24" s="20">
        <f>IF(P$3&lt;$O24,1,(1+$M$3*(DATE(YEAR($O24),12,31)-$O24+1)/365)*(1+$M$3)^(YEAR(P$3)-YEAR($O24)-1)*(1+$M$3*(P$3-DATE(YEAR(P$3),1,1)+1)/365))</f>
        <v>1.0493150684931507</v>
      </c>
      <c r="Q24" s="20">
        <f>IF($F24&gt;Q$3,1,(1+$M$3*(DATE(YEAR($F24),12,31)-$F24+1)/365)*(1+$M$3)^(YEAR(Q$3)-YEAR($F24)-1)*(1+$M$3*(Q$3-DATE(YEAR(Q$3),1,1)+1)/365))</f>
        <v>1.303354175267405</v>
      </c>
      <c r="R24" s="20">
        <f>IF(R$3&lt;$O24,1,(1+$M$3*(DATE(YEAR($O24),12,31)-$O24+1)/365)*(1+$M$3)^(YEAR(R$3)-YEAR($O24)-1)*(1+$M$3*(R$3-DATE(YEAR(R$3),1,1)+1)/365))</f>
        <v>1.3795068493150684</v>
      </c>
      <c r="S24" s="20">
        <f>MAX(N24*P24,MOIC!$E$131)</f>
        <v>2</v>
      </c>
      <c r="T24" s="20">
        <f>MAX(Q24*R24,MOIC!$E$131)</f>
        <v>2</v>
      </c>
    </row>
    <row r="25" x14ac:dyDescent="0.25">
      <c r="B25" s="27">
        <v>36</v>
      </c>
      <c r="C25" s="27" t="s">
        <v>1641</v>
      </c>
      <c r="D25" s="27" t="s">
        <v>1622</v>
      </c>
      <c r="E25" s="85">
        <f>L25*Inputs!$E$294</f>
        <v>121.62162162162163</v>
      </c>
      <c r="F25" s="239">
        <f>BORA_Devex!$E$36</f>
        <v>46780</v>
      </c>
      <c r="G25" s="217">
        <v>1</v>
      </c>
      <c r="H25" s="20">
        <f t="shared" si="0"/>
        <v>121.62162162162163</v>
      </c>
      <c r="I25">
        <f>IF(F25="","",(YEAR(F25)-YEAR(Inputs!$E$27))*12+MONTH(F25)-MONTH(Inputs!$E$27))</f>
        <v>18</v>
      </c>
      <c r="J25" s="217">
        <v>0</v>
      </c>
      <c r="K25" s="20">
        <f t="shared" si="1"/>
        <v>0</v>
      </c>
      <c r="L25" s="85">
        <f>BORA_Devex!$J$36/1000</f>
        <v>121.62162162162163</v>
      </c>
      <c r="M25" s="20">
        <f>H25+K25*(Inputs!$E$67=1)</f>
        <v>121.62162162162163</v>
      </c>
      <c r="N25" s="20">
        <f>IF($F25&gt;N$3,1,(1+$M$3*(DATE(YEAR($F25),12,31)-$F25+1)/365)*(1+$M$3)^(YEAR(N$3)-YEAR($F25)-1)*(1+$M$3*(N$3-DATE(YEAR(N$3),1,1)+1)/365))</f>
        <v>1.303354175267405</v>
      </c>
      <c r="O25" s="239">
        <f>MAX($F25,O$3)</f>
        <v>47484</v>
      </c>
      <c r="P25" s="20">
        <f>IF(P$3&lt;$O25,1,(1+$M$3*(DATE(YEAR($O25),12,31)-$O25+1)/365)*(1+$M$3)^(YEAR(P$3)-YEAR($O25)-1)*(1+$M$3*(P$3-DATE(YEAR(P$3),1,1)+1)/365))</f>
        <v>1.0493150684931507</v>
      </c>
      <c r="Q25" s="20">
        <f>IF($F25&gt;Q$3,1,(1+$M$3*(DATE(YEAR($F25),12,31)-$F25+1)/365)*(1+$M$3)^(YEAR(Q$3)-YEAR($F25)-1)*(1+$M$3*(Q$3-DATE(YEAR(Q$3),1,1)+1)/365))</f>
        <v>1.303354175267405</v>
      </c>
      <c r="R25" s="20">
        <f>IF(R$3&lt;$O25,1,(1+$M$3*(DATE(YEAR($O25),12,31)-$O25+1)/365)*(1+$M$3)^(YEAR(R$3)-YEAR($O25)-1)*(1+$M$3*(R$3-DATE(YEAR(R$3),1,1)+1)/365))</f>
        <v>1.3795068493150684</v>
      </c>
      <c r="S25" s="20">
        <f>MAX(N25*P25,MOIC!$E$131)</f>
        <v>2</v>
      </c>
      <c r="T25" s="20">
        <f>MAX(Q25*R25,MOIC!$E$131)</f>
        <v>2</v>
      </c>
    </row>
    <row r="26" x14ac:dyDescent="0.25">
      <c r="B26" s="27">
        <v>37</v>
      </c>
      <c r="C26" s="27"/>
      <c r="D26" s="27" t="s">
        <v>1621</v>
      </c>
      <c r="E26" s="85">
        <f>L26*Inputs!$E$294</f>
        <v>202.42346938775512</v>
      </c>
      <c r="F26" s="239">
        <f>BORA_Devex!$E$37</f>
        <v>46780</v>
      </c>
      <c r="G26" s="217">
        <v>1</v>
      </c>
      <c r="H26" s="20">
        <f t="shared" si="0"/>
        <v>202.42346938775512</v>
      </c>
      <c r="I26">
        <f>IF(F26="","",(YEAR(F26)-YEAR(Inputs!$E$27))*12+MONTH(F26)-MONTH(Inputs!$E$27))</f>
        <v>18</v>
      </c>
      <c r="J26" s="217">
        <v>0</v>
      </c>
      <c r="K26" s="20">
        <f t="shared" si="1"/>
        <v>0</v>
      </c>
      <c r="L26" s="85">
        <f>BORA_Devex!$J$37/1000</f>
        <v>202.42346938775512</v>
      </c>
      <c r="M26" s="20">
        <f>H26+K26*(Inputs!$E$67=1)</f>
        <v>202.42346938775512</v>
      </c>
      <c r="N26" s="20">
        <f>IF($F26&gt;N$3,1,(1+$M$3*(DATE(YEAR($F26),12,31)-$F26+1)/365)*(1+$M$3)^(YEAR(N$3)-YEAR($F26)-1)*(1+$M$3*(N$3-DATE(YEAR(N$3),1,1)+1)/365))</f>
        <v>1.303354175267405</v>
      </c>
      <c r="O26" s="239">
        <f>MAX($F26,O$3)</f>
        <v>47484</v>
      </c>
      <c r="P26" s="20">
        <f>IF(P$3&lt;$O26,1,(1+$M$3*(DATE(YEAR($O26),12,31)-$O26+1)/365)*(1+$M$3)^(YEAR(P$3)-YEAR($O26)-1)*(1+$M$3*(P$3-DATE(YEAR(P$3),1,1)+1)/365))</f>
        <v>1.0493150684931507</v>
      </c>
      <c r="Q26" s="20">
        <f>IF($F26&gt;Q$3,1,(1+$M$3*(DATE(YEAR($F26),12,31)-$F26+1)/365)*(1+$M$3)^(YEAR(Q$3)-YEAR($F26)-1)*(1+$M$3*(Q$3-DATE(YEAR(Q$3),1,1)+1)/365))</f>
        <v>1.303354175267405</v>
      </c>
      <c r="R26" s="20">
        <f>IF(R$3&lt;$O26,1,(1+$M$3*(DATE(YEAR($O26),12,31)-$O26+1)/365)*(1+$M$3)^(YEAR(R$3)-YEAR($O26)-1)*(1+$M$3*(R$3-DATE(YEAR(R$3),1,1)+1)/365))</f>
        <v>1.3795068493150684</v>
      </c>
      <c r="S26" s="20">
        <f>MAX(N26*P26,MOIC!$E$131)</f>
        <v>2</v>
      </c>
      <c r="T26" s="20">
        <f>MAX(Q26*R26,MOIC!$E$131)</f>
        <v>2</v>
      </c>
    </row>
    <row r="27" x14ac:dyDescent="0.25">
      <c r="B27" s="27">
        <v>38</v>
      </c>
      <c r="C27" s="27"/>
      <c r="D27" s="27" t="s">
        <v>1642</v>
      </c>
      <c r="E27" s="85">
        <f>L27*Inputs!$E$294</f>
        <v>40.54054054054054</v>
      </c>
      <c r="F27" s="239">
        <f>BORA_Devex!$E$38</f>
        <v>46720</v>
      </c>
      <c r="G27" s="217">
        <v>1</v>
      </c>
      <c r="H27" s="20">
        <f t="shared" si="0"/>
        <v>40.54054054054054</v>
      </c>
      <c r="I27">
        <f>IF(F27="","",(YEAR(F27)-YEAR(Inputs!$E$27))*12+MONTH(F27)-MONTH(Inputs!$E$27))</f>
        <v>16</v>
      </c>
      <c r="J27" s="217">
        <v>0</v>
      </c>
      <c r="K27" s="20">
        <f t="shared" si="1"/>
        <v>0</v>
      </c>
      <c r="L27" s="85">
        <f>BORA_Devex!$J$38/1000</f>
        <v>40.54054054054054</v>
      </c>
      <c r="M27" s="20">
        <f>H27+K27*(Inputs!$E$67=1)</f>
        <v>40.54054054054054</v>
      </c>
      <c r="N27" s="20">
        <f>IF($F27&gt;N$3,1,(1+$M$3*(DATE(YEAR($F27),12,31)-$F27+1)/365)*(1+$M$3)^(YEAR(N$3)-YEAR($F27)-1)*(1+$M$3*(N$3-DATE(YEAR(N$3),1,1)+1)/365))</f>
        <v>1.3428643572902983</v>
      </c>
      <c r="O27" s="239">
        <f>MAX($F27,O$3)</f>
        <v>47484</v>
      </c>
      <c r="P27" s="20">
        <f>IF(P$3&lt;$O27,1,(1+$M$3*(DATE(YEAR($O27),12,31)-$O27+1)/365)*(1+$M$3)^(YEAR(P$3)-YEAR($O27)-1)*(1+$M$3*(P$3-DATE(YEAR(P$3),1,1)+1)/365))</f>
        <v>1.0493150684931507</v>
      </c>
      <c r="Q27" s="20">
        <f>IF($F27&gt;Q$3,1,(1+$M$3*(DATE(YEAR($F27),12,31)-$F27+1)/365)*(1+$M$3)^(YEAR(Q$3)-YEAR($F27)-1)*(1+$M$3*(Q$3-DATE(YEAR(Q$3),1,1)+1)/365))</f>
        <v>1.3428643572902983</v>
      </c>
      <c r="R27" s="20">
        <f>IF(R$3&lt;$O27,1,(1+$M$3*(DATE(YEAR($O27),12,31)-$O27+1)/365)*(1+$M$3)^(YEAR(R$3)-YEAR($O27)-1)*(1+$M$3*(R$3-DATE(YEAR(R$3),1,1)+1)/365))</f>
        <v>1.3795068493150684</v>
      </c>
      <c r="S27" s="20">
        <f>MAX(N27*P27,MOIC!$E$131)</f>
        <v>2</v>
      </c>
      <c r="T27" s="20">
        <f>MAX(Q27*R27,MOIC!$E$131)</f>
        <v>2</v>
      </c>
    </row>
    <row r="28" x14ac:dyDescent="0.25">
      <c r="B28" s="27">
        <v>39</v>
      </c>
      <c r="C28" s="27" t="s">
        <v>1643</v>
      </c>
      <c r="D28" s="27" t="s">
        <v>1622</v>
      </c>
      <c r="E28" s="85">
        <f>L28*Inputs!$E$294</f>
        <v>16.216216216216218</v>
      </c>
      <c r="F28" s="239">
        <f>BORA_Devex!$E$39</f>
        <v>46780</v>
      </c>
      <c r="G28" s="217">
        <v>1</v>
      </c>
      <c r="H28" s="20">
        <f t="shared" si="0"/>
        <v>16.216216216216218</v>
      </c>
      <c r="I28">
        <f>IF(F28="","",(YEAR(F28)-YEAR(Inputs!$E$27))*12+MONTH(F28)-MONTH(Inputs!$E$27))</f>
        <v>18</v>
      </c>
      <c r="J28" s="217">
        <v>0</v>
      </c>
      <c r="K28" s="20">
        <f t="shared" si="1"/>
        <v>0</v>
      </c>
      <c r="L28" s="85">
        <f>BORA_Devex!$J$39/1000</f>
        <v>16.216216216216218</v>
      </c>
      <c r="M28" s="20">
        <f>H28+K28*(Inputs!$E$67=1)</f>
        <v>16.216216216216218</v>
      </c>
      <c r="N28" s="20">
        <f>IF($F28&gt;N$3,1,(1+$M$3*(DATE(YEAR($F28),12,31)-$F28+1)/365)*(1+$M$3)^(YEAR(N$3)-YEAR($F28)-1)*(1+$M$3*(N$3-DATE(YEAR(N$3),1,1)+1)/365))</f>
        <v>1.303354175267405</v>
      </c>
      <c r="O28" s="239">
        <f>MAX($F28,O$3)</f>
        <v>47484</v>
      </c>
      <c r="P28" s="20">
        <f>IF(P$3&lt;$O28,1,(1+$M$3*(DATE(YEAR($O28),12,31)-$O28+1)/365)*(1+$M$3)^(YEAR(P$3)-YEAR($O28)-1)*(1+$M$3*(P$3-DATE(YEAR(P$3),1,1)+1)/365))</f>
        <v>1.0493150684931507</v>
      </c>
      <c r="Q28" s="20">
        <f>IF($F28&gt;Q$3,1,(1+$M$3*(DATE(YEAR($F28),12,31)-$F28+1)/365)*(1+$M$3)^(YEAR(Q$3)-YEAR($F28)-1)*(1+$M$3*(Q$3-DATE(YEAR(Q$3),1,1)+1)/365))</f>
        <v>1.303354175267405</v>
      </c>
      <c r="R28" s="20">
        <f>IF(R$3&lt;$O28,1,(1+$M$3*(DATE(YEAR($O28),12,31)-$O28+1)/365)*(1+$M$3)^(YEAR(R$3)-YEAR($O28)-1)*(1+$M$3*(R$3-DATE(YEAR(R$3),1,1)+1)/365))</f>
        <v>1.3795068493150684</v>
      </c>
      <c r="S28" s="20">
        <f>MAX(N28*P28,MOIC!$E$131)</f>
        <v>2</v>
      </c>
      <c r="T28" s="20">
        <f>MAX(Q28*R28,MOIC!$E$131)</f>
        <v>2</v>
      </c>
    </row>
    <row r="29" x14ac:dyDescent="0.25">
      <c r="B29" s="27">
        <v>40</v>
      </c>
      <c r="C29" s="27"/>
      <c r="D29" s="27" t="s">
        <v>1621</v>
      </c>
      <c r="E29" s="85">
        <f>L29*Inputs!$E$294</f>
        <v>122.1042471042471</v>
      </c>
      <c r="F29" s="239">
        <f>BORA_Devex!$E$40</f>
        <v>46780</v>
      </c>
      <c r="G29" s="217">
        <v>1</v>
      </c>
      <c r="H29" s="20">
        <f t="shared" si="0"/>
        <v>122.1042471042471</v>
      </c>
      <c r="I29">
        <f>IF(F29="","",(YEAR(F29)-YEAR(Inputs!$E$27))*12+MONTH(F29)-MONTH(Inputs!$E$27))</f>
        <v>18</v>
      </c>
      <c r="J29" s="217">
        <v>0</v>
      </c>
      <c r="K29" s="20">
        <f t="shared" si="1"/>
        <v>0</v>
      </c>
      <c r="L29" s="85">
        <f>BORA_Devex!$J$40/1000</f>
        <v>122.1042471042471</v>
      </c>
      <c r="M29" s="20">
        <f>H29+K29*(Inputs!$E$67=1)</f>
        <v>122.1042471042471</v>
      </c>
      <c r="N29" s="20">
        <f>IF($F29&gt;N$3,1,(1+$M$3*(DATE(YEAR($F29),12,31)-$F29+1)/365)*(1+$M$3)^(YEAR(N$3)-YEAR($F29)-1)*(1+$M$3*(N$3-DATE(YEAR(N$3),1,1)+1)/365))</f>
        <v>1.303354175267405</v>
      </c>
      <c r="O29" s="239">
        <f>MAX($F29,O$3)</f>
        <v>47484</v>
      </c>
      <c r="P29" s="20">
        <f>IF(P$3&lt;$O29,1,(1+$M$3*(DATE(YEAR($O29),12,31)-$O29+1)/365)*(1+$M$3)^(YEAR(P$3)-YEAR($O29)-1)*(1+$M$3*(P$3-DATE(YEAR(P$3),1,1)+1)/365))</f>
        <v>1.0493150684931507</v>
      </c>
      <c r="Q29" s="20">
        <f>IF($F29&gt;Q$3,1,(1+$M$3*(DATE(YEAR($F29),12,31)-$F29+1)/365)*(1+$M$3)^(YEAR(Q$3)-YEAR($F29)-1)*(1+$M$3*(Q$3-DATE(YEAR(Q$3),1,1)+1)/365))</f>
        <v>1.303354175267405</v>
      </c>
      <c r="R29" s="20">
        <f>IF(R$3&lt;$O29,1,(1+$M$3*(DATE(YEAR($O29),12,31)-$O29+1)/365)*(1+$M$3)^(YEAR(R$3)-YEAR($O29)-1)*(1+$M$3*(R$3-DATE(YEAR(R$3),1,1)+1)/365))</f>
        <v>1.3795068493150684</v>
      </c>
      <c r="S29" s="20">
        <f>MAX(N29*P29,MOIC!$E$131)</f>
        <v>2</v>
      </c>
      <c r="T29" s="20">
        <f>MAX(Q29*R29,MOIC!$E$131)</f>
        <v>2</v>
      </c>
    </row>
    <row r="30" x14ac:dyDescent="0.25">
      <c r="B30" s="27">
        <v>41</v>
      </c>
      <c r="C30" s="27" t="s">
        <v>1644</v>
      </c>
      <c r="D30" s="27" t="s">
        <v>1622</v>
      </c>
      <c r="E30" s="85">
        <f>L30*Inputs!$E$294</f>
        <v>12.405405405405405</v>
      </c>
      <c r="F30" s="239">
        <f>BORA_Devex!$E$41</f>
        <v>46780</v>
      </c>
      <c r="G30" s="217">
        <v>1</v>
      </c>
      <c r="H30" s="20">
        <f t="shared" si="0"/>
        <v>12.405405405405405</v>
      </c>
      <c r="I30">
        <f>IF(F30="","",(YEAR(F30)-YEAR(Inputs!$E$27))*12+MONTH(F30)-MONTH(Inputs!$E$27))</f>
        <v>18</v>
      </c>
      <c r="J30" s="217">
        <v>0</v>
      </c>
      <c r="K30" s="20">
        <f t="shared" si="1"/>
        <v>0</v>
      </c>
      <c r="L30" s="85">
        <f>BORA_Devex!$J$41/1000</f>
        <v>12.405405405405405</v>
      </c>
      <c r="M30" s="20">
        <f>H30+K30*(Inputs!$E$67=1)</f>
        <v>12.405405405405405</v>
      </c>
      <c r="N30" s="20">
        <f>IF($F30&gt;N$3,1,(1+$M$3*(DATE(YEAR($F30),12,31)-$F30+1)/365)*(1+$M$3)^(YEAR(N$3)-YEAR($F30)-1)*(1+$M$3*(N$3-DATE(YEAR(N$3),1,1)+1)/365))</f>
        <v>1.303354175267405</v>
      </c>
      <c r="O30" s="239">
        <f>MAX($F30,O$3)</f>
        <v>47484</v>
      </c>
      <c r="P30" s="20">
        <f>IF(P$3&lt;$O30,1,(1+$M$3*(DATE(YEAR($O30),12,31)-$O30+1)/365)*(1+$M$3)^(YEAR(P$3)-YEAR($O30)-1)*(1+$M$3*(P$3-DATE(YEAR(P$3),1,1)+1)/365))</f>
        <v>1.0493150684931507</v>
      </c>
      <c r="Q30" s="20">
        <f>IF($F30&gt;Q$3,1,(1+$M$3*(DATE(YEAR($F30),12,31)-$F30+1)/365)*(1+$M$3)^(YEAR(Q$3)-YEAR($F30)-1)*(1+$M$3*(Q$3-DATE(YEAR(Q$3),1,1)+1)/365))</f>
        <v>1.303354175267405</v>
      </c>
      <c r="R30" s="20">
        <f>IF(R$3&lt;$O30,1,(1+$M$3*(DATE(YEAR($O30),12,31)-$O30+1)/365)*(1+$M$3)^(YEAR(R$3)-YEAR($O30)-1)*(1+$M$3*(R$3-DATE(YEAR(R$3),1,1)+1)/365))</f>
        <v>1.3795068493150684</v>
      </c>
      <c r="S30" s="20">
        <f>MAX(N30*P30,MOIC!$E$131)</f>
        <v>2</v>
      </c>
      <c r="T30" s="20">
        <f>MAX(Q30*R30,MOIC!$E$131)</f>
        <v>2</v>
      </c>
    </row>
    <row r="31" x14ac:dyDescent="0.25">
      <c r="B31" s="27">
        <v>42</v>
      </c>
      <c r="C31" s="27"/>
      <c r="D31" s="27" t="s">
        <v>1621</v>
      </c>
      <c r="E31" s="85">
        <f>L31*Inputs!$E$294</f>
        <v>94.5945945945946</v>
      </c>
      <c r="F31" s="239">
        <f>BORA_Devex!$E$42</f>
        <v>46780</v>
      </c>
      <c r="G31" s="217">
        <v>1</v>
      </c>
      <c r="H31" s="20">
        <f t="shared" si="0"/>
        <v>94.5945945945946</v>
      </c>
      <c r="I31">
        <f>IF(F31="","",(YEAR(F31)-YEAR(Inputs!$E$27))*12+MONTH(F31)-MONTH(Inputs!$E$27))</f>
        <v>18</v>
      </c>
      <c r="J31" s="217">
        <v>0</v>
      </c>
      <c r="K31" s="20">
        <f t="shared" si="1"/>
        <v>0</v>
      </c>
      <c r="L31" s="85">
        <f>BORA_Devex!$J$42/1000</f>
        <v>94.5945945945946</v>
      </c>
      <c r="M31" s="20">
        <f>H31+K31*(Inputs!$E$67=1)</f>
        <v>94.5945945945946</v>
      </c>
      <c r="N31" s="20">
        <f>IF($F31&gt;N$3,1,(1+$M$3*(DATE(YEAR($F31),12,31)-$F31+1)/365)*(1+$M$3)^(YEAR(N$3)-YEAR($F31)-1)*(1+$M$3*(N$3-DATE(YEAR(N$3),1,1)+1)/365))</f>
        <v>1.303354175267405</v>
      </c>
      <c r="O31" s="239">
        <f>MAX($F31,O$3)</f>
        <v>47484</v>
      </c>
      <c r="P31" s="20">
        <f>IF(P$3&lt;$O31,1,(1+$M$3*(DATE(YEAR($O31),12,31)-$O31+1)/365)*(1+$M$3)^(YEAR(P$3)-YEAR($O31)-1)*(1+$M$3*(P$3-DATE(YEAR(P$3),1,1)+1)/365))</f>
        <v>1.0493150684931507</v>
      </c>
      <c r="Q31" s="20">
        <f>IF($F31&gt;Q$3,1,(1+$M$3*(DATE(YEAR($F31),12,31)-$F31+1)/365)*(1+$M$3)^(YEAR(Q$3)-YEAR($F31)-1)*(1+$M$3*(Q$3-DATE(YEAR(Q$3),1,1)+1)/365))</f>
        <v>1.303354175267405</v>
      </c>
      <c r="R31" s="20">
        <f>IF(R$3&lt;$O31,1,(1+$M$3*(DATE(YEAR($O31),12,31)-$O31+1)/365)*(1+$M$3)^(YEAR(R$3)-YEAR($O31)-1)*(1+$M$3*(R$3-DATE(YEAR(R$3),1,1)+1)/365))</f>
        <v>1.3795068493150684</v>
      </c>
      <c r="S31" s="20">
        <f>MAX(N31*P31,MOIC!$E$131)</f>
        <v>2</v>
      </c>
      <c r="T31" s="20">
        <f>MAX(Q31*R31,MOIC!$E$131)</f>
        <v>2</v>
      </c>
    </row>
    <row r="32" x14ac:dyDescent="0.25">
      <c r="B32" s="27">
        <v>43</v>
      </c>
      <c r="C32" s="27" t="s">
        <v>1645</v>
      </c>
      <c r="D32" s="27" t="s">
        <v>1622</v>
      </c>
      <c r="E32" s="85">
        <f>L32*Inputs!$E$294</f>
        <v>54.054054054054056</v>
      </c>
      <c r="F32" s="239">
        <f>BORA_Devex!$E$43</f>
        <v>47126</v>
      </c>
      <c r="G32" s="217">
        <v>1</v>
      </c>
      <c r="H32" s="20">
        <f t="shared" si="0"/>
        <v>54.054054054054056</v>
      </c>
      <c r="I32">
        <f>IF(F32="","",(YEAR(F32)-YEAR(Inputs!$E$27))*12+MONTH(F32)-MONTH(Inputs!$E$27))</f>
        <v>30</v>
      </c>
      <c r="J32" s="217">
        <v>0</v>
      </c>
      <c r="K32" s="20">
        <f t="shared" si="1"/>
        <v>0</v>
      </c>
      <c r="L32" s="85">
        <f>BORA_Devex!$J$43/1000</f>
        <v>54.054054054054056</v>
      </c>
      <c r="M32" s="20">
        <f>H32+K32*(Inputs!$E$67=1)</f>
        <v>54.054054054054056</v>
      </c>
      <c r="N32" s="20">
        <f>IF($F32&gt;N$3,1,(1+$M$3*(DATE(YEAR($F32),12,31)-$F32+1)/365)*(1+$M$3)^(YEAR(N$3)-YEAR($F32)-1)*(1+$M$3*(N$3-DATE(YEAR(N$3),1,1)+1)/365))</f>
        <v>1.095664727591168</v>
      </c>
      <c r="O32" s="239">
        <f>MAX($F32,O$3)</f>
        <v>47484</v>
      </c>
      <c r="P32" s="20">
        <f>IF(P$3&lt;$O32,1,(1+$M$3*(DATE(YEAR($O32),12,31)-$O32+1)/365)*(1+$M$3)^(YEAR(P$3)-YEAR($O32)-1)*(1+$M$3*(P$3-DATE(YEAR(P$3),1,1)+1)/365))</f>
        <v>1.0493150684931507</v>
      </c>
      <c r="Q32" s="20">
        <f>IF($F32&gt;Q$3,1,(1+$M$3*(DATE(YEAR($F32),12,31)-$F32+1)/365)*(1+$M$3)^(YEAR(Q$3)-YEAR($F32)-1)*(1+$M$3*(Q$3-DATE(YEAR(Q$3),1,1)+1)/365))</f>
        <v>1.095664727591168</v>
      </c>
      <c r="R32" s="20">
        <f>IF(R$3&lt;$O32,1,(1+$M$3*(DATE(YEAR($O32),12,31)-$O32+1)/365)*(1+$M$3)^(YEAR(R$3)-YEAR($O32)-1)*(1+$M$3*(R$3-DATE(YEAR(R$3),1,1)+1)/365))</f>
        <v>1.3795068493150684</v>
      </c>
      <c r="S32" s="20">
        <f>MAX(N32*P32,MOIC!$E$131)</f>
        <v>2</v>
      </c>
      <c r="T32" s="20">
        <f>MAX(Q32*R32,MOIC!$E$131)</f>
        <v>2</v>
      </c>
    </row>
    <row r="33" x14ac:dyDescent="0.25">
      <c r="B33" s="27">
        <v>44</v>
      </c>
      <c r="C33" s="27"/>
      <c r="D33" s="27" t="s">
        <v>1629</v>
      </c>
      <c r="E33" s="85">
        <f>L33*Inputs!$E$294</f>
        <v>32.432432432432435</v>
      </c>
      <c r="F33" s="239">
        <f>BORA_Devex!$E$44</f>
        <v>47066</v>
      </c>
      <c r="G33" s="217">
        <v>1</v>
      </c>
      <c r="H33" s="20">
        <f t="shared" si="0"/>
        <v>32.432432432432435</v>
      </c>
      <c r="I33">
        <f>IF(F33="","",(YEAR(F33)-YEAR(Inputs!$E$27))*12+MONTH(F33)-MONTH(Inputs!$E$27))</f>
        <v>28</v>
      </c>
      <c r="J33" s="217">
        <v>0</v>
      </c>
      <c r="K33" s="20">
        <f t="shared" si="1"/>
        <v>0</v>
      </c>
      <c r="L33" s="85">
        <f>BORA_Devex!$J$44/1000</f>
        <v>32.432432432432435</v>
      </c>
      <c r="M33" s="20">
        <f>H33+K33*(Inputs!$E$67=1)</f>
        <v>32.432432432432435</v>
      </c>
      <c r="N33" s="20">
        <f>IF($F33&gt;N$3,1,(1+$M$3*(DATE(YEAR($F33),12,31)-$F33+1)/365)*(1+$M$3)^(YEAR(N$3)-YEAR($F33)-1)*(1+$M$3*(N$3-DATE(YEAR(N$3),1,1)+1)/365))</f>
        <v>1.1310994182773506</v>
      </c>
      <c r="O33" s="239">
        <f>MAX($F33,O$3)</f>
        <v>47484</v>
      </c>
      <c r="P33" s="20">
        <f>IF(P$3&lt;$O33,1,(1+$M$3*(DATE(YEAR($O33),12,31)-$O33+1)/365)*(1+$M$3)^(YEAR(P$3)-YEAR($O33)-1)*(1+$M$3*(P$3-DATE(YEAR(P$3),1,1)+1)/365))</f>
        <v>1.0493150684931507</v>
      </c>
      <c r="Q33" s="20">
        <f>IF($F33&gt;Q$3,1,(1+$M$3*(DATE(YEAR($F33),12,31)-$F33+1)/365)*(1+$M$3)^(YEAR(Q$3)-YEAR($F33)-1)*(1+$M$3*(Q$3-DATE(YEAR(Q$3),1,1)+1)/365))</f>
        <v>1.1310994182773506</v>
      </c>
      <c r="R33" s="20">
        <f>IF(R$3&lt;$O33,1,(1+$M$3*(DATE(YEAR($O33),12,31)-$O33+1)/365)*(1+$M$3)^(YEAR(R$3)-YEAR($O33)-1)*(1+$M$3*(R$3-DATE(YEAR(R$3),1,1)+1)/365))</f>
        <v>1.3795068493150684</v>
      </c>
      <c r="S33" s="20">
        <f>MAX(N33*P33,MOIC!$E$131)</f>
        <v>2</v>
      </c>
      <c r="T33" s="20">
        <f>MAX(Q33*R33,MOIC!$E$131)</f>
        <v>2</v>
      </c>
    </row>
    <row r="34" x14ac:dyDescent="0.25">
      <c r="B34" s="27">
        <v>45</v>
      </c>
      <c r="C34" s="27" t="s">
        <v>1646</v>
      </c>
      <c r="D34" s="27" t="s">
        <v>1646</v>
      </c>
      <c r="E34" s="85">
        <f>L34*Inputs!$E$294</f>
        <v>20</v>
      </c>
      <c r="F34" s="239">
        <f>DATE(2027,12,31)</f>
        <v>46752</v>
      </c>
      <c r="G34" s="217">
        <v>1</v>
      </c>
      <c r="H34" s="20">
        <f t="shared" si="0"/>
        <v>20</v>
      </c>
      <c r="I34">
        <f>IF(F34="","",(YEAR(F34)-YEAR(Inputs!$E$27))*12+MONTH(F34)-MONTH(Inputs!$E$27))</f>
        <v>17</v>
      </c>
      <c r="J34" s="217">
        <v>0</v>
      </c>
      <c r="K34" s="20">
        <f t="shared" si="1"/>
        <v>0</v>
      </c>
      <c r="L34" s="85">
        <f>BORA_Devex!$J$45/1000</f>
        <v>20</v>
      </c>
      <c r="M34" s="20">
        <f>H34+K34*(Inputs!$E$67=1)</f>
        <v>20</v>
      </c>
      <c r="N34" s="20">
        <f>IF($F34&gt;N$3,1,(1+$M$3*(DATE(YEAR($F34),12,31)-$F34+1)/365)*(1+$M$3)^(YEAR(N$3)-YEAR($F34)-1)*(1+$M$3*(N$3-DATE(YEAR(N$3),1,1)+1)/365))</f>
        <v>1.3197364458622631</v>
      </c>
      <c r="O34" s="239">
        <f>MAX($F34,O$3)</f>
        <v>47484</v>
      </c>
      <c r="P34" s="20">
        <f>IF(P$3&lt;$O34,1,(1+$M$3*(DATE(YEAR($O34),12,31)-$O34+1)/365)*(1+$M$3)^(YEAR(P$3)-YEAR($O34)-1)*(1+$M$3*(P$3-DATE(YEAR(P$3),1,1)+1)/365))</f>
        <v>1.0493150684931507</v>
      </c>
      <c r="Q34" s="20">
        <f>IF($F34&gt;Q$3,1,(1+$M$3*(DATE(YEAR($F34),12,31)-$F34+1)/365)*(1+$M$3)^(YEAR(Q$3)-YEAR($F34)-1)*(1+$M$3*(Q$3-DATE(YEAR(Q$3),1,1)+1)/365))</f>
        <v>1.3197364458622631</v>
      </c>
      <c r="R34" s="20">
        <f>IF(R$3&lt;$O34,1,(1+$M$3*(DATE(YEAR($O34),12,31)-$O34+1)/365)*(1+$M$3)^(YEAR(R$3)-YEAR($O34)-1)*(1+$M$3*(R$3-DATE(YEAR(R$3),1,1)+1)/365))</f>
        <v>1.3795068493150684</v>
      </c>
      <c r="S34" s="20">
        <f>MAX(N34*P34,MOIC!$E$131)</f>
        <v>2</v>
      </c>
      <c r="T34" s="20">
        <f>MAX(Q34*R34,MOIC!$E$131)</f>
        <v>2</v>
      </c>
    </row>
    <row r="35" x14ac:dyDescent="0.25">
      <c r="B35" s="27">
        <v>46</v>
      </c>
      <c r="C35" s="27" t="s">
        <v>1647</v>
      </c>
      <c r="D35" s="27" t="s">
        <v>1647</v>
      </c>
      <c r="E35" s="85">
        <f>L35*Inputs!$E$294</f>
        <v>80</v>
      </c>
      <c r="F35" s="239">
        <f>DATE(2027,12,31)</f>
        <v>46752</v>
      </c>
      <c r="G35" s="217">
        <v>1</v>
      </c>
      <c r="H35" s="20">
        <f t="shared" si="0"/>
        <v>80</v>
      </c>
      <c r="I35">
        <f>IF(F35="","",(YEAR(F35)-YEAR(Inputs!$E$27))*12+MONTH(F35)-MONTH(Inputs!$E$27))</f>
        <v>17</v>
      </c>
      <c r="J35" s="217">
        <v>0</v>
      </c>
      <c r="K35" s="20">
        <f t="shared" si="1"/>
        <v>0</v>
      </c>
      <c r="L35" s="85">
        <f>BORA_Devex!$J$46/1000</f>
        <v>80</v>
      </c>
      <c r="M35" s="20">
        <f>H35+K35*(Inputs!$E$67=1)</f>
        <v>80</v>
      </c>
      <c r="N35" s="20">
        <f>IF($F35&gt;N$3,1,(1+$M$3*(DATE(YEAR($F35),12,31)-$F35+1)/365)*(1+$M$3)^(YEAR(N$3)-YEAR($F35)-1)*(1+$M$3*(N$3-DATE(YEAR(N$3),1,1)+1)/365))</f>
        <v>1.3197364458622631</v>
      </c>
      <c r="O35" s="239">
        <f>MAX($F35,O$3)</f>
        <v>47484</v>
      </c>
      <c r="P35" s="20">
        <f>IF(P$3&lt;$O35,1,(1+$M$3*(DATE(YEAR($O35),12,31)-$O35+1)/365)*(1+$M$3)^(YEAR(P$3)-YEAR($O35)-1)*(1+$M$3*(P$3-DATE(YEAR(P$3),1,1)+1)/365))</f>
        <v>1.0493150684931507</v>
      </c>
      <c r="Q35" s="20">
        <f>IF($F35&gt;Q$3,1,(1+$M$3*(DATE(YEAR($F35),12,31)-$F35+1)/365)*(1+$M$3)^(YEAR(Q$3)-YEAR($F35)-1)*(1+$M$3*(Q$3-DATE(YEAR(Q$3),1,1)+1)/365))</f>
        <v>1.3197364458622631</v>
      </c>
      <c r="R35" s="20">
        <f>IF(R$3&lt;$O35,1,(1+$M$3*(DATE(YEAR($O35),12,31)-$O35+1)/365)*(1+$M$3)^(YEAR(R$3)-YEAR($O35)-1)*(1+$M$3*(R$3-DATE(YEAR(R$3),1,1)+1)/365))</f>
        <v>1.3795068493150684</v>
      </c>
      <c r="S35" s="20">
        <f>MAX(N35*P35,MOIC!$E$131)</f>
        <v>2</v>
      </c>
      <c r="T35" s="20">
        <f>MAX(Q35*R35,MOIC!$E$131)</f>
        <v>2</v>
      </c>
    </row>
    <row r="36" x14ac:dyDescent="0.25">
      <c r="B36" s="27">
        <v>47</v>
      </c>
      <c r="C36" s="27" t="s">
        <v>1648</v>
      </c>
      <c r="D36" s="27" t="s">
        <v>1649</v>
      </c>
      <c r="E36" s="85">
        <f>L36*Inputs!$E$294</f>
        <v>50</v>
      </c>
      <c r="F36" s="239">
        <f>DATE(2027,12,31)</f>
        <v>46752</v>
      </c>
      <c r="G36" s="217">
        <v>0</v>
      </c>
      <c r="H36" s="20">
        <f t="shared" si="0"/>
        <v>0</v>
      </c>
      <c r="I36">
        <f>IF(F36="","",(YEAR(F36)-YEAR(Inputs!$E$27))*12+MONTH(F36)-MONTH(Inputs!$E$27))</f>
        <v>17</v>
      </c>
      <c r="J36" s="217">
        <v>0</v>
      </c>
      <c r="K36" s="20">
        <f t="shared" si="1"/>
        <v>0</v>
      </c>
      <c r="L36" s="85">
        <f>BORA_Devex!$J$47/1000</f>
        <v>50</v>
      </c>
      <c r="M36" s="20">
        <f>H36+K36*(Inputs!$E$67=1)</f>
        <v>0</v>
      </c>
      <c r="N36" s="20">
        <f>IF($F36&gt;N$3,1,(1+$M$3*(DATE(YEAR($F36),12,31)-$F36+1)/365)*(1+$M$3)^(YEAR(N$3)-YEAR($F36)-1)*(1+$M$3*(N$3-DATE(YEAR(N$3),1,1)+1)/365))</f>
        <v>1.3197364458622631</v>
      </c>
      <c r="O36" s="239">
        <f>MAX($F36,O$3)</f>
        <v>47484</v>
      </c>
      <c r="P36" s="20">
        <f>IF(P$3&lt;$O36,1,(1+$M$3*(DATE(YEAR($O36),12,31)-$O36+1)/365)*(1+$M$3)^(YEAR(P$3)-YEAR($O36)-1)*(1+$M$3*(P$3-DATE(YEAR(P$3),1,1)+1)/365))</f>
        <v>1.0493150684931507</v>
      </c>
      <c r="Q36" s="20">
        <f>IF($F36&gt;Q$3,1,(1+$M$3*(DATE(YEAR($F36),12,31)-$F36+1)/365)*(1+$M$3)^(YEAR(Q$3)-YEAR($F36)-1)*(1+$M$3*(Q$3-DATE(YEAR(Q$3),1,1)+1)/365))</f>
        <v>1.3197364458622631</v>
      </c>
      <c r="R36" s="20">
        <f>IF(R$3&lt;$O36,1,(1+$M$3*(DATE(YEAR($O36),12,31)-$O36+1)/365)*(1+$M$3)^(YEAR(R$3)-YEAR($O36)-1)*(1+$M$3*(R$3-DATE(YEAR(R$3),1,1)+1)/365))</f>
        <v>1.3795068493150684</v>
      </c>
      <c r="S36" s="20">
        <f>MAX(N36*P36,MOIC!$E$131)</f>
        <v>2</v>
      </c>
      <c r="T36" s="20">
        <f>MAX(Q36*R36,MOIC!$E$131)</f>
        <v>2</v>
      </c>
    </row>
    <row r="37" x14ac:dyDescent="0.25">
      <c r="B37" s="27">
        <v>48</v>
      </c>
      <c r="C37" s="27" t="s">
        <v>1650</v>
      </c>
      <c r="D37" s="27" t="s">
        <v>1619</v>
      </c>
      <c r="E37" s="85">
        <f>L37*Inputs!$E$294</f>
        <v>246.48648648648648</v>
      </c>
      <c r="F37" s="239">
        <f>BORA_Devex!$E$48</f>
        <v>47201</v>
      </c>
      <c r="G37" s="217">
        <v>0</v>
      </c>
      <c r="H37" s="20">
        <f t="shared" si="0"/>
        <v>0</v>
      </c>
      <c r="I37">
        <f>IF(F37="","",(YEAR(F37)-YEAR(Inputs!$E$27))*12+MONTH(F37)-MONTH(Inputs!$E$27))</f>
        <v>32</v>
      </c>
      <c r="J37" s="217">
        <v>1</v>
      </c>
      <c r="K37" s="20">
        <f t="shared" si="1"/>
        <v>246.48648648648648</v>
      </c>
      <c r="L37" s="85">
        <f>BORA_Devex!$J$48/1000</f>
        <v>246.48648648648648</v>
      </c>
      <c r="M37" s="20">
        <f>H37+K37*(Inputs!$E$67=1)</f>
        <v>246.48648648648648</v>
      </c>
      <c r="N37" s="20">
        <f>IF($F37&gt;N$3,1,(1+$M$3*(DATE(YEAR($F37),12,31)-$F37+1)/365)*(1+$M$3)^(YEAR(N$3)-YEAR($F37)-1)*(1+$M$3*(N$3-DATE(YEAR(N$3),1,1)+1)/365))</f>
        <v>1.0580216425846</v>
      </c>
      <c r="O37" s="239">
        <f>MAX($F37,O$3)</f>
        <v>47484</v>
      </c>
      <c r="P37" s="20">
        <f>IF(P$3&lt;$O37,1,(1+$M$3*(DATE(YEAR($O37),12,31)-$O37+1)/365)*(1+$M$3)^(YEAR(P$3)-YEAR($O37)-1)*(1+$M$3*(P$3-DATE(YEAR(P$3),1,1)+1)/365))</f>
        <v>1.0493150684931507</v>
      </c>
      <c r="Q37" s="20">
        <f>IF($F37&gt;Q$3,1,(1+$M$3*(DATE(YEAR($F37),12,31)-$F37+1)/365)*(1+$M$3)^(YEAR(Q$3)-YEAR($F37)-1)*(1+$M$3*(Q$3-DATE(YEAR(Q$3),1,1)+1)/365))</f>
        <v>1.0580216425846</v>
      </c>
      <c r="R37" s="20">
        <f>IF(R$3&lt;$O37,1,(1+$M$3*(DATE(YEAR($O37),12,31)-$O37+1)/365)*(1+$M$3)^(YEAR(R$3)-YEAR($O37)-1)*(1+$M$3*(R$3-DATE(YEAR(R$3),1,1)+1)/365))</f>
        <v>1.3795068493150684</v>
      </c>
      <c r="S37" s="20">
        <f>MAX(N37*P37,MOIC!$E$131)</f>
        <v>2</v>
      </c>
      <c r="T37" s="20">
        <f>MAX(Q37*R37,MOIC!$E$131)</f>
        <v>2</v>
      </c>
    </row>
    <row r="38" x14ac:dyDescent="0.25">
      <c r="B38">
        <v>49</v>
      </c>
      <c r="C38" t="s">
        <v>1651</v>
      </c>
      <c r="D38" t="s">
        <v>1652</v>
      </c>
      <c r="E38" s="21">
        <f>Inputs!$E$68*(SUM(H5:H37)+SUM(K5:K37)+Deposits!$O$7)</f>
        <v>282.20766162857296</v>
      </c>
      <c r="F38" s="216">
        <f>DATE(2028,12,31)</f>
        <v>47118</v>
      </c>
      <c r="G38" s="217">
        <v>1</v>
      </c>
      <c r="H38" s="20">
        <f t="shared" si="0"/>
        <v>282.20766162857296</v>
      </c>
      <c r="I38">
        <f>IF(F38="","",(YEAR(F38)-YEAR(Inputs!$E$27))*12+MONTH(F38)-MONTH(Inputs!$E$27))</f>
        <v>29</v>
      </c>
      <c r="J38" s="217">
        <v>0</v>
      </c>
      <c r="K38" s="20">
        <f t="shared" si="1"/>
        <v>0</v>
      </c>
      <c r="M38" s="20">
        <f>H38+K38*(Inputs!$E$67=1)</f>
        <v>282.20766162857296</v>
      </c>
      <c r="N38" s="20">
        <f>IF($F38&gt;N$3,1,(1+$M$3*(DATE(YEAR($F38),12,31)-$F38+1)/365)*(1+$M$3)^(YEAR(N$3)-YEAR($F38)-1)*(1+$M$3*(N$3-DATE(YEAR(N$3),1,1)+1)/365))</f>
        <v>1.0997803715518861</v>
      </c>
      <c r="O38" s="239">
        <f>MAX($F38,O$3)</f>
        <v>47484</v>
      </c>
      <c r="P38" s="20">
        <f>IF(P$3&lt;$O38,1,(1+$M$3*(DATE(YEAR($O38),12,31)-$O38+1)/365)*(1+$M$3)^(YEAR(P$3)-YEAR($O38)-1)*(1+$M$3*(P$3-DATE(YEAR(P$3),1,1)+1)/365))</f>
        <v>1.0493150684931507</v>
      </c>
      <c r="Q38" s="20">
        <f>IF($F38&gt;Q$3,1,(1+$M$3*(DATE(YEAR($F38),12,31)-$F38+1)/365)*(1+$M$3)^(YEAR(Q$3)-YEAR($F38)-1)*(1+$M$3*(Q$3-DATE(YEAR(Q$3),1,1)+1)/365))</f>
        <v>1.0997803715518861</v>
      </c>
      <c r="R38" s="20">
        <f>IF(R$3&lt;$O38,1,(1+$M$3*(DATE(YEAR($O38),12,31)-$O38+1)/365)*(1+$M$3)^(YEAR(R$3)-YEAR($O38)-1)*(1+$M$3*(R$3-DATE(YEAR(R$3),1,1)+1)/365))</f>
        <v>1.3795068493150684</v>
      </c>
      <c r="S38" s="20">
        <f>MAX(N38*P38,MOIC!$E$131)</f>
        <v>2</v>
      </c>
      <c r="T38" s="20">
        <f>MAX(Q38*R38,MOIC!$E$131)</f>
        <v>2</v>
      </c>
    </row>
    <row r="39" spans="2:12" x14ac:dyDescent="0.25">
      <c r="B39" s="73"/>
      <c r="C39" s="73" t="s">
        <v>17</v>
      </c>
      <c r="D39" s="73"/>
      <c r="E39" s="80">
        <f>SUM(E5:E38)</f>
        <v>3137.845921749919</v>
      </c>
      <c r="F39" s="73"/>
      <c r="G39" s="73"/>
      <c r="H39" s="80">
        <f>SUM(H5:H38)</f>
        <v>2662.4661920201893</v>
      </c>
      <c r="I39" s="73"/>
      <c r="K39" s="80">
        <f>SUM(K5:K38)</f>
        <v>425.3797297297297</v>
      </c>
      <c r="L39" s="80">
        <f>SUM(L5:L37)</f>
        <v>2855.638260121346</v>
      </c>
    </row>
    <row r="40" x14ac:dyDescent="0.25">
      <c r="B40" t="inlineStr">
        <is>
          <t xml:space="preserve">Column E = column L × devex scaling factor (Inputs E294, block M). Bora factor = 1.</t>
        </is>
      </c>
      <c r="J40" t="s">
        <v>1703</v>
      </c>
    </row>
    <row r="41" spans="2:12" x14ac:dyDescent="0.25">
      <c r="B41" s="39" t="s">
        <v>1877</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4BC7-96A4-4305-9FAC-16C651DBEEBD}">
  <sheetPr codeName="Sheet16"/>
  <dimension ref="A1:AY72"/>
  <sheetViews>
    <sheetView workbookViewId="0">
      <pane ySplit="4" topLeftCell="A5" activePane="bottomLeft" state="frozen"/>
      <selection pane="bottomLeft"/>
    </sheetView>
  </sheetViews>
  <sheetFormatPr defaultRowHeight="15" x14ac:dyDescent="0.25"/>
  <cols>
    <col min="2" max="2" width="29.7109375" customWidth="1"/>
    <col min="3" max="7" width="13" customWidth="1"/>
    <col min="8" max="8" width="27.7109375" customWidth="1"/>
    <col min="9" max="51" width="14.7109375" customWidth="1"/>
  </cols>
  <sheetData>
    <row r="1" spans="1:51" x14ac:dyDescent="0.25">
      <c r="A1" s="236" t="s">
        <v>1876</v>
      </c>
    </row>
    <row r="2" spans="1:51" x14ac:dyDescent="0.25">
      <c r="B2" t="s">
        <v>1762</v>
      </c>
      <c r="Q2" t="s">
        <v>1763</v>
      </c>
      <c r="T2" t="s">
        <v>1764</v>
      </c>
      <c r="V2" t="s">
        <v>1764</v>
      </c>
    </row>
    <row r="3" spans="1:51" ht="45" x14ac:dyDescent="0.25">
      <c r="B3" s="237" t="s">
        <v>1765</v>
      </c>
      <c r="C3" s="237" t="s">
        <v>1766</v>
      </c>
      <c r="D3" s="237" t="s">
        <v>1767</v>
      </c>
      <c r="E3" s="237" t="s">
        <v>1768</v>
      </c>
      <c r="F3" s="237" t="s">
        <v>613</v>
      </c>
      <c r="G3" s="238" t="s">
        <v>1769</v>
      </c>
      <c r="H3" s="237" t="s">
        <v>1770</v>
      </c>
      <c r="I3" s="237" t="s">
        <v>1771</v>
      </c>
      <c r="J3" s="237" t="s">
        <v>1772</v>
      </c>
      <c r="K3" s="237" t="s">
        <v>693</v>
      </c>
      <c r="L3" s="237" t="s">
        <v>1773</v>
      </c>
      <c r="M3" s="237"/>
      <c r="N3" s="237" t="s">
        <v>1774</v>
      </c>
      <c r="O3" s="237"/>
      <c r="P3" s="237" t="s">
        <v>1775</v>
      </c>
      <c r="Q3" s="237"/>
      <c r="R3" s="237" t="s">
        <v>1776</v>
      </c>
      <c r="S3" s="237" t="s">
        <v>1777</v>
      </c>
      <c r="T3" s="237" t="s">
        <v>1776</v>
      </c>
      <c r="U3" s="237" t="s">
        <v>1777</v>
      </c>
      <c r="V3" s="237" t="s">
        <v>1776</v>
      </c>
      <c r="W3" s="237" t="s">
        <v>1777</v>
      </c>
      <c r="X3" s="237" t="s">
        <v>1778</v>
      </c>
      <c r="Y3" s="237" t="s">
        <v>1779</v>
      </c>
      <c r="Z3" s="237" t="s">
        <v>1780</v>
      </c>
      <c r="AA3" s="237"/>
      <c r="AB3" s="237"/>
      <c r="AC3" s="237"/>
      <c r="AD3" s="237"/>
      <c r="AE3" s="237"/>
      <c r="AF3" s="237"/>
      <c r="AG3" s="237"/>
      <c r="AH3" s="237"/>
      <c r="AI3" s="237"/>
      <c r="AJ3" s="237"/>
      <c r="AK3" s="237"/>
      <c r="AL3" s="237"/>
      <c r="AM3" s="237"/>
      <c r="AN3" s="237"/>
      <c r="AO3" s="237"/>
      <c r="AP3" s="237"/>
      <c r="AQ3" s="237"/>
      <c r="AR3" s="237"/>
      <c r="AS3" s="237"/>
      <c r="AT3" s="237"/>
      <c r="AU3" s="237"/>
      <c r="AV3" s="237"/>
      <c r="AW3" s="237"/>
      <c r="AX3" s="237"/>
      <c r="AY3" s="237"/>
    </row>
    <row r="4" spans="1:51" ht="45" x14ac:dyDescent="0.25">
      <c r="B4" s="237"/>
      <c r="C4" s="237"/>
      <c r="D4" s="237"/>
      <c r="E4" s="237"/>
      <c r="F4" s="237"/>
      <c r="G4" s="237"/>
      <c r="H4" s="237"/>
      <c r="I4" s="237"/>
      <c r="J4" s="237"/>
      <c r="K4" s="237"/>
      <c r="L4" s="237" t="s">
        <v>1776</v>
      </c>
      <c r="M4" s="237" t="s">
        <v>1777</v>
      </c>
      <c r="N4" s="237" t="s">
        <v>1776</v>
      </c>
      <c r="O4" s="237" t="s">
        <v>1777</v>
      </c>
      <c r="P4" s="237"/>
      <c r="Q4" s="237" t="s">
        <v>1781</v>
      </c>
      <c r="R4" s="237"/>
      <c r="S4" s="237"/>
      <c r="T4" s="237"/>
      <c r="U4" s="237"/>
      <c r="V4" s="237"/>
      <c r="W4" s="237"/>
      <c r="X4" s="237" t="s">
        <v>1782</v>
      </c>
      <c r="Y4" s="237" t="s">
        <v>1783</v>
      </c>
      <c r="Z4" s="237" t="s">
        <v>1784</v>
      </c>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row>
    <row r="5" spans="1:51" x14ac:dyDescent="0.25">
      <c r="B5" t="s">
        <v>1785</v>
      </c>
      <c r="C5" s="230">
        <v>46266</v>
      </c>
      <c r="D5" s="230">
        <v>46325</v>
      </c>
      <c r="E5" s="230">
        <v>46325</v>
      </c>
      <c r="F5" s="24">
        <f t="shared" ref="F5:F44" si="0">YEAR(E5)</f>
        <v>2026</v>
      </c>
      <c r="G5" s="24">
        <f t="shared" ref="G5:G44" si="1">DATE(YEAR(E5),12,31)-E5+1</f>
        <v>63</v>
      </c>
      <c r="H5" t="s">
        <v>1786</v>
      </c>
      <c r="I5" s="231">
        <f>AF13*3000000</f>
        <v>6000000</v>
      </c>
      <c r="J5" s="231">
        <f t="shared" ref="J5:J12" si="2">I5/$AF$6</f>
        <v>16216.216216216217</v>
      </c>
      <c r="K5" s="2">
        <v>0.12</v>
      </c>
      <c r="L5" s="231">
        <f t="shared" ref="L5:L49" si="3">(J5+(J5*K5*(G5/365)))*(1+K5)^($AF$18-F5)</f>
        <v>23254.497253461686</v>
      </c>
      <c r="M5" s="231">
        <f t="shared" ref="M5:M49" si="4">L5-J5</f>
        <v>7038.28103724547</v>
      </c>
      <c r="N5" s="231">
        <f t="shared" ref="N5:N49" si="5">((J5+(J5*K5*(G5/365)))*(1+K5)^($AF$18-F5-1))*(1+K5*(180/365))</f>
        <v>21991.655181478196</v>
      </c>
      <c r="O5" s="231">
        <f t="shared" ref="O5:O49" si="6">N5-J5</f>
        <v>5775.438965261979</v>
      </c>
      <c r="Q5" s="2">
        <v>0.12</v>
      </c>
      <c r="R5" s="231">
        <f t="shared" ref="R5:R49" si="7">IF(Q5&lt;0.2,(J5+(J5*Q5*(G5/365)))*(1+Q5)^($AF$18-F5),J5*2)</f>
        <v>23254.497253461686</v>
      </c>
      <c r="S5" s="231">
        <f t="shared" ref="S5:S49" si="8">R5-J5</f>
        <v>7038.28103724547</v>
      </c>
      <c r="T5" s="231">
        <f t="shared" ref="T5:T13" si="9">IF(K5&lt;0.2,N5*IF(J5=0,0,Y5/J5),MAX(N5*IF(J5=0,0,Y5/J5),Y5*2))</f>
        <v>21991.655181478196</v>
      </c>
      <c r="U5" s="231">
        <f t="shared" ref="U5:U49" si="10">T5-Y5</f>
        <v>5775.438965261979</v>
      </c>
      <c r="V5" s="231">
        <f t="shared" ref="V5:V13" si="11">IF(K5&lt;0.2,L5*IF(J5=0,0,Y5/J5),MAX(L5*IF(J5=0,0,Y5/J5),Y5*2))</f>
        <v>23254.497253461686</v>
      </c>
      <c r="W5" s="231">
        <f t="shared" ref="W5:W49" si="12">V5-Y5</f>
        <v>7038.28103724547</v>
      </c>
      <c r="X5" s="231">
        <v>1</v>
      </c>
      <c r="Y5" s="231">
        <f t="shared" ref="Y5:Y48" si="13">J5*X5</f>
        <v>16216.216216216217</v>
      </c>
      <c r="Z5" s="231">
        <f t="shared" ref="Z5:Z13" si="14">IF(K5=$AB$41,$AH$62*Y5*MAX(0,G5/365+YEAR($AB$44)-F5),Y5*((1+$AH$63*G5/365)*(1+$AH$63)^(YEAR($AB$44)-F5)-1))</f>
        <v>5048.222269700834</v>
      </c>
    </row>
    <row r="6" spans="1:51" x14ac:dyDescent="0.25">
      <c r="C6" s="230">
        <v>46266</v>
      </c>
      <c r="D6" s="230">
        <v>46325</v>
      </c>
      <c r="E6" s="230">
        <v>46325</v>
      </c>
      <c r="F6" s="24">
        <f t="shared" si="0"/>
        <v>2026</v>
      </c>
      <c r="G6" s="24">
        <f t="shared" si="1"/>
        <v>63</v>
      </c>
      <c r="H6" t="s">
        <v>1787</v>
      </c>
      <c r="I6" s="231">
        <f>AF11*AF7*0.005+AF12*AF10*0.005</f>
        <v>606000000</v>
      </c>
      <c r="J6" s="231">
        <f t="shared" si="2"/>
        <v>1637837.8378378379</v>
      </c>
      <c r="K6" s="2">
        <v>0.06</v>
      </c>
      <c r="L6" s="231">
        <f t="shared" si="3"/>
        <v>1970892.7476555351</v>
      </c>
      <c r="M6" s="231">
        <f t="shared" si="4"/>
        <v>333054.90981769725</v>
      </c>
      <c r="N6" s="231">
        <f t="shared" si="5"/>
        <v>1914348.6548693464</v>
      </c>
      <c r="O6" s="231">
        <f t="shared" si="6"/>
        <v>276510.81703150854</v>
      </c>
      <c r="P6" t="s">
        <v>1788</v>
      </c>
      <c r="Q6" s="2">
        <v>0.2</v>
      </c>
      <c r="R6" s="231">
        <f t="shared" si="7"/>
        <v>3275675.6756756757</v>
      </c>
      <c r="S6" s="231">
        <f t="shared" si="8"/>
        <v>1637837.8378378379</v>
      </c>
      <c r="T6" s="231">
        <f t="shared" si="9"/>
        <v>1914348.6548693464</v>
      </c>
      <c r="U6" s="231">
        <f t="shared" si="10"/>
        <v>276510.81703150854</v>
      </c>
      <c r="V6" s="231">
        <f t="shared" si="11"/>
        <v>1970892.7476555351</v>
      </c>
      <c r="W6" s="231">
        <f t="shared" si="12"/>
        <v>333054.90981769725</v>
      </c>
      <c r="X6" s="231">
        <v>1</v>
      </c>
      <c r="Y6" s="231">
        <f t="shared" si="13"/>
        <v>1637837.8378378379</v>
      </c>
      <c r="Z6" s="231">
        <f t="shared" si="14"/>
        <v>311772.5286930756</v>
      </c>
      <c r="AE6" t="s">
        <v>1789</v>
      </c>
      <c r="AF6">
        <v>370</v>
      </c>
    </row>
    <row r="7" spans="1:51" x14ac:dyDescent="0.25">
      <c r="C7" s="230">
        <v>46371</v>
      </c>
      <c r="D7" s="230">
        <v>46386</v>
      </c>
      <c r="E7" s="230">
        <v>46386</v>
      </c>
      <c r="F7" s="24">
        <f t="shared" si="0"/>
        <v>2026</v>
      </c>
      <c r="G7" s="24">
        <f t="shared" si="1"/>
        <v>2</v>
      </c>
      <c r="H7" t="s">
        <v>55</v>
      </c>
      <c r="I7" s="231">
        <f>((AF11*AF7*0.025+AF12*AF10*0.025)*1.5)-I6</f>
        <v>3939000000</v>
      </c>
      <c r="J7" s="231">
        <f t="shared" si="2"/>
        <v>10645945.945945946</v>
      </c>
      <c r="K7" s="2">
        <f>$AB$41</f>
        <v>0.06</v>
      </c>
      <c r="L7" s="231">
        <f t="shared" si="3"/>
        <v>12683660.55685213</v>
      </c>
      <c r="M7" s="231">
        <f t="shared" si="4"/>
        <v>2037714.6109061837</v>
      </c>
      <c r="N7" s="231">
        <f t="shared" si="5"/>
        <v>12319771.61350486</v>
      </c>
      <c r="O7" s="231">
        <f t="shared" si="6"/>
        <v>1673825.667558914</v>
      </c>
      <c r="P7" t="s">
        <v>1790</v>
      </c>
      <c r="Q7" s="2">
        <v>0.2</v>
      </c>
      <c r="R7" s="231">
        <f t="shared" si="7"/>
        <v>21291891.891891893</v>
      </c>
      <c r="S7" s="231">
        <f t="shared" si="8"/>
        <v>10645945.945945946</v>
      </c>
      <c r="T7" s="231">
        <f t="shared" si="9"/>
        <v>12319771.61350486</v>
      </c>
      <c r="U7" s="231">
        <f t="shared" si="10"/>
        <v>1673825.667558914</v>
      </c>
      <c r="V7" s="231">
        <f t="shared" si="11"/>
        <v>12683660.55685213</v>
      </c>
      <c r="W7" s="231">
        <f t="shared" si="12"/>
        <v>2037714.6109061837</v>
      </c>
      <c r="X7" s="231">
        <v>1</v>
      </c>
      <c r="Y7" s="231">
        <f t="shared" si="13"/>
        <v>10645945.945945946</v>
      </c>
      <c r="Z7" s="231">
        <f t="shared" si="14"/>
        <v>1919770.3072935443</v>
      </c>
      <c r="AE7" t="s">
        <v>1791</v>
      </c>
      <c r="AF7">
        <v>200</v>
      </c>
    </row>
    <row r="8" spans="1:51" x14ac:dyDescent="0.25">
      <c r="B8" t="s">
        <v>1792</v>
      </c>
      <c r="C8" s="230">
        <f>C7+15</f>
        <v>46386</v>
      </c>
      <c r="D8" s="230">
        <f t="shared" ref="D8:D13" si="15">C8</f>
        <v>46386</v>
      </c>
      <c r="E8" s="230">
        <f>C8</f>
        <v>46386</v>
      </c>
      <c r="F8" s="24">
        <f t="shared" si="0"/>
        <v>2026</v>
      </c>
      <c r="G8" s="24">
        <f t="shared" si="1"/>
        <v>2</v>
      </c>
      <c r="H8" t="s">
        <v>1793</v>
      </c>
      <c r="I8" s="231">
        <f>4500000*AF7</f>
        <v>900000000</v>
      </c>
      <c r="J8" s="232">
        <f t="shared" si="2"/>
        <v>2432432.4324324327</v>
      </c>
      <c r="K8" s="2">
        <v>0.12</v>
      </c>
      <c r="L8" s="231">
        <f t="shared" si="3"/>
        <v>3419639.4849907453</v>
      </c>
      <c r="M8" s="231">
        <f t="shared" si="4"/>
        <v>987207.0525583127</v>
      </c>
      <c r="N8" s="231">
        <f t="shared" si="5"/>
        <v>3233934.992410524</v>
      </c>
      <c r="O8" s="231">
        <f t="shared" si="6"/>
        <v>801502.5599780912</v>
      </c>
      <c r="P8" t="s">
        <v>1794</v>
      </c>
      <c r="Q8" s="2">
        <v>0.2</v>
      </c>
      <c r="R8" s="231">
        <f t="shared" si="7"/>
        <v>4864864.864864865</v>
      </c>
      <c r="S8" s="231">
        <f t="shared" si="8"/>
        <v>2432432.4324324327</v>
      </c>
      <c r="T8" s="231">
        <f t="shared" si="9"/>
        <v>3233934.992410524</v>
      </c>
      <c r="U8" s="231">
        <f t="shared" si="10"/>
        <v>801502.5599780912</v>
      </c>
      <c r="V8" s="231">
        <f t="shared" si="11"/>
        <v>3419639.4849907453</v>
      </c>
      <c r="W8" s="231">
        <f t="shared" si="12"/>
        <v>987207.0525583127</v>
      </c>
      <c r="X8" s="231">
        <v>1</v>
      </c>
      <c r="Y8" s="231">
        <f t="shared" si="13"/>
        <v>2432432.4324324327</v>
      </c>
      <c r="Z8" s="231">
        <f t="shared" si="14"/>
        <v>710508.1154026936</v>
      </c>
      <c r="AE8" t="s">
        <v>1795</v>
      </c>
      <c r="AF8" s="2">
        <v>0.5</v>
      </c>
    </row>
    <row r="9" spans="1:51" x14ac:dyDescent="0.25">
      <c r="B9" t="s">
        <v>1796</v>
      </c>
      <c r="C9" s="230">
        <v>46500</v>
      </c>
      <c r="D9" s="230">
        <f t="shared" si="15"/>
        <v>46500</v>
      </c>
      <c r="E9" s="230">
        <f>C9</f>
        <v>46500</v>
      </c>
      <c r="F9" s="24">
        <f t="shared" si="0"/>
        <v>2027</v>
      </c>
      <c r="G9" s="24">
        <f t="shared" si="1"/>
        <v>253</v>
      </c>
      <c r="H9" t="s">
        <v>1797</v>
      </c>
      <c r="I9" s="231">
        <f>AF11*AF7*0.02</f>
        <v>1624000000</v>
      </c>
      <c r="J9" s="232">
        <f t="shared" si="2"/>
        <v>4389189.189189189</v>
      </c>
      <c r="K9" s="2">
        <f>$AB$41</f>
        <v>0.06</v>
      </c>
      <c r="L9" s="231">
        <f t="shared" si="3"/>
        <v>5136797.35469826</v>
      </c>
      <c r="M9" s="231">
        <f t="shared" si="4"/>
        <v>747608.1655090712</v>
      </c>
      <c r="N9" s="231">
        <f t="shared" si="5"/>
        <v>4989424.776158195</v>
      </c>
      <c r="O9" s="231">
        <f t="shared" si="6"/>
        <v>600235.5869690059</v>
      </c>
      <c r="P9" t="s">
        <v>1798</v>
      </c>
      <c r="Q9" s="2">
        <v>0.2</v>
      </c>
      <c r="R9" s="231">
        <f t="shared" si="7"/>
        <v>8778378.378378378</v>
      </c>
      <c r="S9" s="231">
        <f t="shared" si="8"/>
        <v>4389189.189189189</v>
      </c>
      <c r="T9" s="231">
        <f t="shared" si="9"/>
        <v>4989424.776158195</v>
      </c>
      <c r="U9" s="231">
        <f t="shared" si="10"/>
        <v>600235.5869690059</v>
      </c>
      <c r="V9" s="231">
        <f t="shared" si="11"/>
        <v>5136797.35469826</v>
      </c>
      <c r="W9" s="231">
        <f t="shared" si="12"/>
        <v>747608.1655090712</v>
      </c>
      <c r="X9" s="231">
        <v>1</v>
      </c>
      <c r="Y9" s="231">
        <f t="shared" si="13"/>
        <v>4389189.189189189</v>
      </c>
      <c r="Z9" s="231">
        <f t="shared" si="14"/>
        <v>709244.8722695082</v>
      </c>
      <c r="AE9" t="s">
        <v>1799</v>
      </c>
      <c r="AF9">
        <f>AF7*AF8</f>
        <v>100</v>
      </c>
    </row>
    <row r="10" spans="1:51" x14ac:dyDescent="0.25">
      <c r="B10" t="s">
        <v>1800</v>
      </c>
      <c r="C10" s="230">
        <v>46866</v>
      </c>
      <c r="D10" s="230">
        <f t="shared" si="15"/>
        <v>46866</v>
      </c>
      <c r="E10" s="230">
        <f>C10</f>
        <v>46866</v>
      </c>
      <c r="F10" s="24">
        <f t="shared" si="0"/>
        <v>2028</v>
      </c>
      <c r="G10" s="24">
        <f t="shared" si="1"/>
        <v>253</v>
      </c>
      <c r="H10" t="s">
        <v>1801</v>
      </c>
      <c r="I10" s="231">
        <f>AF11*AF7*0.01</f>
        <v>812000000</v>
      </c>
      <c r="J10" s="232">
        <f t="shared" si="2"/>
        <v>2194594.5945945946</v>
      </c>
      <c r="K10" s="2">
        <f>$AB$41</f>
        <v>0.06</v>
      </c>
      <c r="L10" s="231">
        <f t="shared" si="3"/>
        <v>2423017.6201406885</v>
      </c>
      <c r="M10" s="231">
        <f t="shared" si="4"/>
        <v>228423.02554609394</v>
      </c>
      <c r="N10" s="231">
        <f t="shared" si="5"/>
        <v>2353502.252904809</v>
      </c>
      <c r="O10" s="231">
        <f t="shared" si="6"/>
        <v>158907.65831021452</v>
      </c>
      <c r="P10" t="s">
        <v>1802</v>
      </c>
      <c r="Q10" s="2">
        <v>0.2</v>
      </c>
      <c r="R10" s="231">
        <f t="shared" si="7"/>
        <v>4389189.189189189</v>
      </c>
      <c r="S10" s="231">
        <f t="shared" si="8"/>
        <v>2194594.5945945946</v>
      </c>
      <c r="T10" s="231">
        <f t="shared" si="9"/>
        <v>2353502.252904809</v>
      </c>
      <c r="U10" s="231">
        <f t="shared" si="10"/>
        <v>158907.65831021452</v>
      </c>
      <c r="V10" s="231">
        <f t="shared" si="11"/>
        <v>2423017.6201406885</v>
      </c>
      <c r="W10" s="231">
        <f t="shared" si="12"/>
        <v>228423.02554609394</v>
      </c>
      <c r="X10" s="231">
        <v>1</v>
      </c>
      <c r="Y10" s="231">
        <f t="shared" si="13"/>
        <v>2194594.5945945946</v>
      </c>
      <c r="Z10" s="231">
        <f t="shared" si="14"/>
        <v>222946.76045907842</v>
      </c>
      <c r="AE10" t="s">
        <v>1803</v>
      </c>
      <c r="AF10">
        <f>AF9*2</f>
        <v>200</v>
      </c>
    </row>
    <row r="11" spans="1:51" x14ac:dyDescent="0.25">
      <c r="B11" t="s">
        <v>1804</v>
      </c>
      <c r="C11" s="230">
        <f>D35+45</f>
        <v>46825</v>
      </c>
      <c r="D11" s="230">
        <f t="shared" si="15"/>
        <v>46825</v>
      </c>
      <c r="E11" s="230">
        <f>D11</f>
        <v>46825</v>
      </c>
      <c r="F11" s="24">
        <f t="shared" si="0"/>
        <v>2028</v>
      </c>
      <c r="G11" s="24">
        <f t="shared" si="1"/>
        <v>294</v>
      </c>
      <c r="H11" t="s">
        <v>1805</v>
      </c>
      <c r="I11" s="231">
        <f>-(I9+I10)/2</f>
        <v>-1218000000</v>
      </c>
      <c r="J11" s="232">
        <f t="shared" si="2"/>
        <v>-3291891.891891892</v>
      </c>
      <c r="K11" s="2">
        <f>$AB$41</f>
        <v>0.06</v>
      </c>
      <c r="L11" s="231">
        <f t="shared" si="3"/>
        <v>-3658044.066641985</v>
      </c>
      <c r="M11" s="231">
        <f t="shared" si="4"/>
        <v>-366152.1747500929</v>
      </c>
      <c r="N11" s="231">
        <f t="shared" si="5"/>
        <v>-3553096.3045853134</v>
      </c>
      <c r="O11" s="231">
        <f t="shared" si="6"/>
        <v>-261204.41269342136</v>
      </c>
      <c r="P11" t="s">
        <v>1806</v>
      </c>
      <c r="Q11" s="2">
        <v>0.2</v>
      </c>
      <c r="R11" s="231">
        <f t="shared" si="7"/>
        <v>-6583783.783783784</v>
      </c>
      <c r="S11" s="231">
        <f t="shared" si="8"/>
        <v>-3291891.891891892</v>
      </c>
      <c r="T11" s="231">
        <f t="shared" si="9"/>
        <v>-3553096.3045853134</v>
      </c>
      <c r="U11" s="231">
        <f t="shared" si="10"/>
        <v>-261204.41269342136</v>
      </c>
      <c r="V11" s="231">
        <f t="shared" si="11"/>
        <v>-3658044.066641985</v>
      </c>
      <c r="W11" s="231">
        <f t="shared" si="12"/>
        <v>-366152.1747500929</v>
      </c>
      <c r="X11" s="231">
        <v>1</v>
      </c>
      <c r="Y11" s="231">
        <f t="shared" si="13"/>
        <v>-3291891.891891892</v>
      </c>
      <c r="Z11" s="231">
        <f t="shared" si="14"/>
        <v>-356606.59015181585</v>
      </c>
      <c r="AE11" t="s">
        <v>1807</v>
      </c>
      <c r="AF11" s="231">
        <v>406000000</v>
      </c>
    </row>
    <row r="12" spans="1:51" x14ac:dyDescent="0.25">
      <c r="B12" t="s">
        <v>1808</v>
      </c>
      <c r="C12" s="230">
        <v>47231</v>
      </c>
      <c r="D12" s="230">
        <f t="shared" si="15"/>
        <v>47231</v>
      </c>
      <c r="E12" s="230">
        <f>C12</f>
        <v>47231</v>
      </c>
      <c r="F12" s="24">
        <f t="shared" si="0"/>
        <v>2029</v>
      </c>
      <c r="G12" s="24">
        <f t="shared" si="1"/>
        <v>253</v>
      </c>
      <c r="H12" t="s">
        <v>1809</v>
      </c>
      <c r="I12" s="231">
        <f>(AF11*AF7*0.01)/2</f>
        <v>406000000</v>
      </c>
      <c r="J12" s="232">
        <f t="shared" si="2"/>
        <v>1097297.2972972973</v>
      </c>
      <c r="K12" s="2">
        <f>$AB$41</f>
        <v>0.06</v>
      </c>
      <c r="L12" s="231">
        <f t="shared" si="3"/>
        <v>1142932.839689004</v>
      </c>
      <c r="M12" s="231">
        <f t="shared" si="4"/>
        <v>45635.542391706724</v>
      </c>
      <c r="N12" s="231">
        <f t="shared" si="5"/>
        <v>1110142.5721249098</v>
      </c>
      <c r="O12" s="231">
        <f t="shared" si="6"/>
        <v>12845.274827612564</v>
      </c>
      <c r="P12" t="s">
        <v>1810</v>
      </c>
      <c r="Q12" s="2">
        <v>0.2</v>
      </c>
      <c r="R12" s="231">
        <f t="shared" si="7"/>
        <v>2194594.5945945946</v>
      </c>
      <c r="S12" s="231">
        <f t="shared" si="8"/>
        <v>1097297.2972972973</v>
      </c>
      <c r="T12" s="231">
        <f t="shared" si="9"/>
        <v>1110142.5721249098</v>
      </c>
      <c r="U12" s="231">
        <f t="shared" si="10"/>
        <v>12845.274827612564</v>
      </c>
      <c r="V12" s="231">
        <f t="shared" si="11"/>
        <v>1142932.839689004</v>
      </c>
      <c r="W12" s="231">
        <f t="shared" si="12"/>
        <v>45635.542391706724</v>
      </c>
      <c r="X12" s="231">
        <v>1</v>
      </c>
      <c r="Y12" s="231">
        <f t="shared" si="13"/>
        <v>1097297.2972972973</v>
      </c>
      <c r="Z12" s="231">
        <f t="shared" si="14"/>
        <v>45635.54239170136</v>
      </c>
      <c r="AE12" t="s">
        <v>1811</v>
      </c>
      <c r="AF12" s="231">
        <v>200000000</v>
      </c>
    </row>
    <row r="13" spans="1:51" x14ac:dyDescent="0.25">
      <c r="B13" t="s">
        <v>1812</v>
      </c>
      <c r="C13" s="230">
        <v>47596</v>
      </c>
      <c r="D13" s="230">
        <f t="shared" si="15"/>
        <v>47596</v>
      </c>
      <c r="E13" s="230">
        <f>C13</f>
        <v>47596</v>
      </c>
      <c r="F13" s="24">
        <f t="shared" si="0"/>
        <v>2030</v>
      </c>
      <c r="G13" s="24">
        <f t="shared" si="1"/>
        <v>253</v>
      </c>
      <c r="H13" t="s">
        <v>1813</v>
      </c>
      <c r="I13" s="231">
        <v>0</v>
      </c>
      <c r="J13" s="232">
        <v>0</v>
      </c>
      <c r="K13" s="2">
        <f>$AB$41</f>
        <v>0.06</v>
      </c>
      <c r="L13" s="231">
        <f t="shared" si="3"/>
        <v>0</v>
      </c>
      <c r="M13" s="231">
        <f t="shared" si="4"/>
        <v>0</v>
      </c>
      <c r="N13" s="231">
        <f t="shared" si="5"/>
        <v>0</v>
      </c>
      <c r="O13" s="231">
        <f t="shared" si="6"/>
        <v>0</v>
      </c>
      <c r="P13" t="s">
        <v>1814</v>
      </c>
      <c r="Q13" s="2">
        <v>0.2</v>
      </c>
      <c r="R13" s="231">
        <f t="shared" si="7"/>
        <v>0</v>
      </c>
      <c r="S13" s="231">
        <f t="shared" si="8"/>
        <v>0</v>
      </c>
      <c r="T13" s="231">
        <f t="shared" si="9"/>
        <v>0</v>
      </c>
      <c r="U13" s="231">
        <f t="shared" si="10"/>
        <v>0</v>
      </c>
      <c r="V13" s="231">
        <f t="shared" si="11"/>
        <v>0</v>
      </c>
      <c r="W13" s="231">
        <f t="shared" si="12"/>
        <v>0</v>
      </c>
      <c r="X13" s="231">
        <v>1</v>
      </c>
      <c r="Y13" s="231">
        <f t="shared" si="13"/>
        <v>0</v>
      </c>
      <c r="Z13" s="231">
        <f t="shared" si="14"/>
        <v>0</v>
      </c>
      <c r="AE13" t="s">
        <v>1815</v>
      </c>
      <c r="AF13">
        <v>2</v>
      </c>
    </row>
    <row r="14" spans="1:51" x14ac:dyDescent="0.25">
      <c r="B14" t="s">
        <v>1617</v>
      </c>
      <c r="C14" s="230">
        <f>E8+15</f>
        <v>46401</v>
      </c>
      <c r="D14" s="230">
        <f>C14+30</f>
        <v>46431</v>
      </c>
      <c r="E14" s="230">
        <f>D14</f>
        <v>46431</v>
      </c>
      <c r="F14" s="24">
        <f t="shared" si="0"/>
        <v>2027</v>
      </c>
      <c r="G14" s="24">
        <f t="shared" si="1"/>
        <v>322</v>
      </c>
      <c r="H14" t="s">
        <v>1618</v>
      </c>
      <c r="I14" s="231">
        <f>J14*AF6</f>
        <v>20590500</v>
      </c>
      <c r="J14" s="232">
        <f>1325*AF15*1.5</f>
        <v>55650</v>
      </c>
      <c r="K14" s="2">
        <v>0.2</v>
      </c>
      <c r="L14" s="231">
        <f t="shared" si="3"/>
        <v>94275.06410958905</v>
      </c>
      <c r="M14" s="231">
        <f t="shared" si="4"/>
        <v>38625.064109589046</v>
      </c>
      <c r="N14" s="231">
        <f t="shared" si="5"/>
        <v>86311.18883092514</v>
      </c>
      <c r="O14" s="231">
        <f t="shared" si="6"/>
        <v>30661.188830925137</v>
      </c>
      <c r="P14" t="s">
        <v>1816</v>
      </c>
      <c r="Q14" s="2">
        <v>0.2</v>
      </c>
      <c r="R14" s="231">
        <f t="shared" si="7"/>
        <v>111300</v>
      </c>
      <c r="S14" s="231">
        <f t="shared" si="8"/>
        <v>55650</v>
      </c>
      <c r="T14" s="231">
        <f>Y14+MAX(N14,J14*2)-J14</f>
        <v>55650</v>
      </c>
      <c r="U14" s="231">
        <f t="shared" si="10"/>
        <v>55650</v>
      </c>
      <c r="V14" s="231">
        <f>Y14+MAX(L14,J14*2)-J14</f>
        <v>55650</v>
      </c>
      <c r="W14" s="231">
        <f t="shared" si="12"/>
        <v>55650</v>
      </c>
      <c r="X14" s="231">
        <v>0</v>
      </c>
      <c r="Y14" s="231">
        <f t="shared" si="13"/>
        <v>0</v>
      </c>
      <c r="Z14" s="231">
        <f>IF(K14=$AB$41,$AH$62*J14*MAX(0,G14/365+YEAR($AB$44)-F14),J14*((1+$AH$63*G14/365)*(1+$AH$63)^(YEAR($AB$44)-F14)-1))</f>
        <v>15528.223654388215</v>
      </c>
      <c r="AE14" t="s">
        <v>1817</v>
      </c>
      <c r="AF14">
        <v>28</v>
      </c>
    </row>
    <row r="15" spans="1:51" x14ac:dyDescent="0.25">
      <c r="C15" s="230">
        <f>C14</f>
        <v>46401</v>
      </c>
      <c r="D15" s="230">
        <f>D14</f>
        <v>46431</v>
      </c>
      <c r="E15" s="230">
        <f>E14</f>
        <v>46431</v>
      </c>
      <c r="F15" s="24">
        <f t="shared" si="0"/>
        <v>2027</v>
      </c>
      <c r="G15" s="24">
        <f t="shared" si="1"/>
        <v>322</v>
      </c>
      <c r="H15" t="s">
        <v>1818</v>
      </c>
      <c r="I15" s="231">
        <f>38000000*0.2*6</f>
        <v>45600000</v>
      </c>
      <c r="J15" s="232">
        <f>I15/$AF$6</f>
        <v>123243.24324324324</v>
      </c>
      <c r="K15" s="2">
        <v>0.2</v>
      </c>
      <c r="L15" s="231">
        <f t="shared" si="3"/>
        <v>208782.83302480562</v>
      </c>
      <c r="M15" s="231">
        <f t="shared" si="4"/>
        <v>85539.58978156238</v>
      </c>
      <c r="N15" s="231">
        <f t="shared" si="5"/>
        <v>191145.9270386919</v>
      </c>
      <c r="O15" s="231">
        <f t="shared" si="6"/>
        <v>67902.68379544867</v>
      </c>
      <c r="Q15" s="2">
        <v>0.2</v>
      </c>
      <c r="R15" s="231">
        <f t="shared" si="7"/>
        <v>246486.48648648648</v>
      </c>
      <c r="S15" s="231">
        <f t="shared" si="8"/>
        <v>123243.24324324324</v>
      </c>
      <c r="T15" s="231">
        <f>Y15+MAX(N15,J15*2)-J15</f>
        <v>123243.24324324324</v>
      </c>
      <c r="U15" s="231">
        <f t="shared" si="10"/>
        <v>123243.24324324324</v>
      </c>
      <c r="V15" s="231">
        <f>Y15+MAX(L15,J15*2)-J15</f>
        <v>123243.24324324324</v>
      </c>
      <c r="W15" s="231">
        <f t="shared" si="12"/>
        <v>123243.24324324324</v>
      </c>
      <c r="X15" s="231">
        <v>0</v>
      </c>
      <c r="Y15" s="231">
        <f t="shared" si="13"/>
        <v>0</v>
      </c>
      <c r="Z15" s="231">
        <f>IF(K15=$AB$41,$AH$62*J15*MAX(0,G15/365+YEAR($AB$44)-F15),J15*((1+$AH$63*G15/365)*(1+$AH$63)^(YEAR($AB$44)-F15)-1))</f>
        <v>34389.01428523361</v>
      </c>
      <c r="AE15" t="s">
        <v>1819</v>
      </c>
      <c r="AF15">
        <v>28</v>
      </c>
    </row>
    <row r="16" spans="1:51" x14ac:dyDescent="0.25">
      <c r="B16" t="s">
        <v>1620</v>
      </c>
      <c r="C16" s="230">
        <f>D14</f>
        <v>46431</v>
      </c>
      <c r="D16" s="230">
        <f>C16+365+180</f>
        <v>46976</v>
      </c>
      <c r="E16" s="230">
        <f>D16</f>
        <v>46976</v>
      </c>
      <c r="F16" s="24">
        <f t="shared" si="0"/>
        <v>2028</v>
      </c>
      <c r="G16" s="24">
        <f t="shared" si="1"/>
        <v>143</v>
      </c>
      <c r="H16" t="s">
        <v>1820</v>
      </c>
      <c r="I16" s="231">
        <f>72000000/280*AF7*1.15</f>
        <v>59142857.142857134</v>
      </c>
      <c r="J16" s="232">
        <f>I16/$AF$6</f>
        <v>159845.55984555982</v>
      </c>
      <c r="K16" s="2">
        <v>0.2</v>
      </c>
      <c r="L16" s="231">
        <f t="shared" si="3"/>
        <v>206844.53377056113</v>
      </c>
      <c r="M16" s="231">
        <f t="shared" si="4"/>
        <v>46998.97392500131</v>
      </c>
      <c r="N16" s="231">
        <f t="shared" si="5"/>
        <v>189371.36539268267</v>
      </c>
      <c r="O16" s="231">
        <f t="shared" si="6"/>
        <v>29525.805547122844</v>
      </c>
      <c r="Q16" s="2">
        <v>0.2</v>
      </c>
      <c r="R16" s="231">
        <f t="shared" si="7"/>
        <v>319691.11969111965</v>
      </c>
      <c r="S16" s="231">
        <f t="shared" si="8"/>
        <v>159845.55984555982</v>
      </c>
      <c r="T16" s="231">
        <f t="shared" ref="T16:T49" si="16">IF(K16&lt;0.2,N16*IF(J16=0,0,Y16/J16),MAX(N16*IF(J16=0,0,Y16/J16),Y16*2))</f>
        <v>319691.11969111965</v>
      </c>
      <c r="U16" s="231">
        <f t="shared" si="10"/>
        <v>159845.55984555982</v>
      </c>
      <c r="V16" s="231">
        <f t="shared" ref="V16:V49" si="17">IF(K16&lt;0.2,L16*IF(J16=0,0,Y16/J16),MAX(L16*IF(J16=0,0,Y16/J16),Y16*2))</f>
        <v>319691.11969111965</v>
      </c>
      <c r="W16" s="231">
        <f t="shared" si="12"/>
        <v>159845.55984555982</v>
      </c>
      <c r="X16" s="231">
        <v>1</v>
      </c>
      <c r="Y16" s="231">
        <f t="shared" si="13"/>
        <v>159845.55984555982</v>
      </c>
      <c r="Z16" s="231">
        <f t="shared" ref="Z16:Z49" si="18">IF(K16=$AB$41,$AH$62*Y16*MAX(0,G16/365+YEAR($AB$44)-F16),Y16*((1+$AH$63*G16/365)*(1+$AH$63)^(YEAR($AB$44)-F16)-1))</f>
        <v>20295.876703866266</v>
      </c>
      <c r="AE16" t="s">
        <v>1821</v>
      </c>
      <c r="AF16">
        <v>4</v>
      </c>
    </row>
    <row r="17" spans="2:32" x14ac:dyDescent="0.25">
      <c r="C17" s="230">
        <f>D16</f>
        <v>46976</v>
      </c>
      <c r="D17" s="230">
        <f>C17</f>
        <v>46976</v>
      </c>
      <c r="E17" s="230">
        <f>C17</f>
        <v>46976</v>
      </c>
      <c r="F17" s="24">
        <f t="shared" si="0"/>
        <v>2028</v>
      </c>
      <c r="G17" s="24">
        <f t="shared" si="1"/>
        <v>143</v>
      </c>
      <c r="H17" t="s">
        <v>1622</v>
      </c>
      <c r="I17" s="231">
        <f>187636*AF16</f>
        <v>750544</v>
      </c>
      <c r="J17" s="232">
        <f>I17/$AF$6</f>
        <v>2028.4972972972973</v>
      </c>
      <c r="K17" s="2">
        <v>0.2</v>
      </c>
      <c r="L17" s="231">
        <f t="shared" si="3"/>
        <v>2624.931077971122</v>
      </c>
      <c r="M17" s="231">
        <f t="shared" si="4"/>
        <v>596.4337806738245</v>
      </c>
      <c r="N17" s="231">
        <f t="shared" si="5"/>
        <v>2403.190324809178</v>
      </c>
      <c r="O17" s="231">
        <f t="shared" si="6"/>
        <v>374.6930275118807</v>
      </c>
      <c r="Q17" s="2">
        <v>0.2</v>
      </c>
      <c r="R17" s="231">
        <f t="shared" si="7"/>
        <v>4056.9945945945947</v>
      </c>
      <c r="S17" s="231">
        <f t="shared" si="8"/>
        <v>2028.4972972972973</v>
      </c>
      <c r="T17" s="231">
        <f t="shared" si="16"/>
        <v>4056.9945945945947</v>
      </c>
      <c r="U17" s="231">
        <f t="shared" si="10"/>
        <v>2028.4972972972973</v>
      </c>
      <c r="V17" s="231">
        <f t="shared" si="17"/>
        <v>4056.9945945945947</v>
      </c>
      <c r="W17" s="231">
        <f t="shared" si="12"/>
        <v>2028.4972972972973</v>
      </c>
      <c r="X17" s="231">
        <v>1</v>
      </c>
      <c r="Y17" s="231">
        <f t="shared" si="13"/>
        <v>2028.4972972972973</v>
      </c>
      <c r="Z17" s="231">
        <f t="shared" si="18"/>
        <v>257.5619309028653</v>
      </c>
      <c r="AE17" t="s">
        <v>1822</v>
      </c>
      <c r="AF17">
        <v>10</v>
      </c>
    </row>
    <row r="18" spans="2:32" x14ac:dyDescent="0.25">
      <c r="B18" t="s">
        <v>1823</v>
      </c>
      <c r="C18" s="230">
        <f>E17+90+60</f>
        <v>47126</v>
      </c>
      <c r="D18" s="230">
        <f>C18</f>
        <v>47126</v>
      </c>
      <c r="E18" s="230">
        <f>C18</f>
        <v>47126</v>
      </c>
      <c r="F18" s="24">
        <f t="shared" si="0"/>
        <v>2029</v>
      </c>
      <c r="G18" s="24">
        <f t="shared" si="1"/>
        <v>358</v>
      </c>
      <c r="H18" t="s">
        <v>1824</v>
      </c>
      <c r="I18" s="231">
        <f>(73071306*AF7)-I8</f>
        <v>13714261200</v>
      </c>
      <c r="J18" s="232">
        <f>I18/$AF$6</f>
        <v>37065570.81081081</v>
      </c>
      <c r="K18" s="2">
        <v>0.12</v>
      </c>
      <c r="L18" s="231">
        <f t="shared" si="3"/>
        <v>41428137.72048871</v>
      </c>
      <c r="M18" s="231">
        <f t="shared" si="4"/>
        <v>4362566.9096779</v>
      </c>
      <c r="N18" s="231">
        <f t="shared" si="5"/>
        <v>39178370.94603947</v>
      </c>
      <c r="O18" s="231">
        <f t="shared" si="6"/>
        <v>2112800.135228656</v>
      </c>
      <c r="P18" t="s">
        <v>1825</v>
      </c>
      <c r="Q18" s="2">
        <v>0.2</v>
      </c>
      <c r="R18" s="231">
        <f t="shared" si="7"/>
        <v>74131141.62162162</v>
      </c>
      <c r="S18" s="231">
        <f t="shared" si="8"/>
        <v>37065570.81081081</v>
      </c>
      <c r="T18" s="231">
        <f t="shared" si="16"/>
        <v>39178370.94603947</v>
      </c>
      <c r="U18" s="231">
        <f t="shared" si="10"/>
        <v>2112800.135228656</v>
      </c>
      <c r="V18" s="231">
        <f t="shared" si="17"/>
        <v>41428137.72048871</v>
      </c>
      <c r="W18" s="231">
        <f t="shared" si="12"/>
        <v>4362566.9096779</v>
      </c>
      <c r="X18" s="231">
        <v>1</v>
      </c>
      <c r="Y18" s="231">
        <f t="shared" si="13"/>
        <v>37065570.81081081</v>
      </c>
      <c r="Z18" s="231">
        <f t="shared" si="18"/>
        <v>3235570.458011106</v>
      </c>
      <c r="AE18" t="s">
        <v>1826</v>
      </c>
      <c r="AF18">
        <v>2029</v>
      </c>
    </row>
    <row r="19" spans="2:32" x14ac:dyDescent="0.25">
      <c r="C19" s="230">
        <f>C18</f>
        <v>47126</v>
      </c>
      <c r="D19" s="230">
        <f>D18</f>
        <v>47126</v>
      </c>
      <c r="E19" s="230">
        <f>E18</f>
        <v>47126</v>
      </c>
      <c r="F19" s="24">
        <f t="shared" si="0"/>
        <v>2029</v>
      </c>
      <c r="G19" s="24">
        <f t="shared" si="1"/>
        <v>358</v>
      </c>
      <c r="H19" t="s">
        <v>1827</v>
      </c>
      <c r="I19" s="231">
        <f>508345804</f>
        <v>508345804</v>
      </c>
      <c r="J19" s="232">
        <f>I19/$AF$6</f>
        <v>1373907.5783783784</v>
      </c>
      <c r="K19" s="2">
        <v>0.12</v>
      </c>
      <c r="L19" s="231">
        <f t="shared" si="3"/>
        <v>1535614.6182883377</v>
      </c>
      <c r="M19" s="231">
        <f t="shared" si="4"/>
        <v>161707.0399099593</v>
      </c>
      <c r="N19" s="231">
        <f t="shared" si="5"/>
        <v>1452222.6307002725</v>
      </c>
      <c r="O19" s="231">
        <f t="shared" si="6"/>
        <v>78315.0523218941</v>
      </c>
      <c r="P19" t="s">
        <v>1828</v>
      </c>
      <c r="Q19" s="2">
        <v>0.2</v>
      </c>
      <c r="R19" s="231">
        <f t="shared" si="7"/>
        <v>2747815.156756757</v>
      </c>
      <c r="S19" s="231">
        <f t="shared" si="8"/>
        <v>1373907.5783783784</v>
      </c>
      <c r="T19" s="231">
        <f t="shared" si="16"/>
        <v>1452222.6307002725</v>
      </c>
      <c r="U19" s="231">
        <f t="shared" si="10"/>
        <v>78315.0523218941</v>
      </c>
      <c r="V19" s="231">
        <f t="shared" si="17"/>
        <v>1535614.6182883377</v>
      </c>
      <c r="W19" s="231">
        <f t="shared" si="12"/>
        <v>161707.0399099593</v>
      </c>
      <c r="X19" s="231">
        <v>1</v>
      </c>
      <c r="Y19" s="231">
        <f t="shared" si="13"/>
        <v>1373907.5783783784</v>
      </c>
      <c r="Z19" s="231">
        <f t="shared" si="18"/>
        <v>119932.7212665531</v>
      </c>
    </row>
    <row r="20" spans="2:32" x14ac:dyDescent="0.25">
      <c r="B20" t="s">
        <v>1623</v>
      </c>
      <c r="C20" s="230">
        <v>46235</v>
      </c>
      <c r="D20" s="230">
        <v>46539</v>
      </c>
      <c r="E20" s="230">
        <v>46296</v>
      </c>
      <c r="F20" s="24">
        <f t="shared" si="0"/>
        <v>2026</v>
      </c>
      <c r="G20" s="24">
        <f t="shared" si="1"/>
        <v>92</v>
      </c>
      <c r="H20" t="s">
        <v>1829</v>
      </c>
      <c r="I20" s="231">
        <f>25*(1200000+180000)+3000*AF14*AF6</f>
        <v>65580000</v>
      </c>
      <c r="J20" s="232">
        <f>I20/AF6</f>
        <v>177243.24324324325</v>
      </c>
      <c r="K20" s="2">
        <v>0.2</v>
      </c>
      <c r="L20" s="231">
        <f t="shared" si="3"/>
        <v>321716.0075231396</v>
      </c>
      <c r="M20" s="231">
        <f t="shared" si="4"/>
        <v>144472.76427989634</v>
      </c>
      <c r="N20" s="231">
        <f t="shared" si="5"/>
        <v>294539.08451319404</v>
      </c>
      <c r="O20" s="231">
        <f t="shared" si="6"/>
        <v>117295.84126995079</v>
      </c>
      <c r="P20" t="s">
        <v>1830</v>
      </c>
      <c r="Q20" s="2">
        <v>0.2</v>
      </c>
      <c r="R20" s="231">
        <f t="shared" si="7"/>
        <v>354486.4864864865</v>
      </c>
      <c r="S20" s="231">
        <f t="shared" si="8"/>
        <v>177243.24324324325</v>
      </c>
      <c r="T20" s="231">
        <f t="shared" si="16"/>
        <v>354486.4864864865</v>
      </c>
      <c r="U20" s="231">
        <f t="shared" si="10"/>
        <v>177243.24324324325</v>
      </c>
      <c r="V20" s="231">
        <f t="shared" si="17"/>
        <v>354486.4864864865</v>
      </c>
      <c r="W20" s="231">
        <f t="shared" si="12"/>
        <v>177243.24324324325</v>
      </c>
      <c r="X20" s="231">
        <v>1</v>
      </c>
      <c r="Y20" s="231">
        <f t="shared" si="13"/>
        <v>177243.24324324325</v>
      </c>
      <c r="Z20" s="231">
        <f t="shared" si="18"/>
        <v>56795.702695793974</v>
      </c>
    </row>
    <row r="21" spans="2:32" x14ac:dyDescent="0.25">
      <c r="B21" t="s">
        <v>1625</v>
      </c>
      <c r="C21" s="230">
        <v>46447</v>
      </c>
      <c r="D21" s="230">
        <f>C21+365</f>
        <v>46812</v>
      </c>
      <c r="E21" s="230">
        <f>C21</f>
        <v>46447</v>
      </c>
      <c r="F21" s="24">
        <f t="shared" si="0"/>
        <v>2027</v>
      </c>
      <c r="G21" s="24">
        <f t="shared" si="1"/>
        <v>306</v>
      </c>
      <c r="H21" t="s">
        <v>1831</v>
      </c>
      <c r="I21" s="231">
        <f>J21*AF6</f>
        <v>147260000</v>
      </c>
      <c r="J21" s="232">
        <f>199000*2</f>
        <v>398000</v>
      </c>
      <c r="K21" s="2">
        <v>0.2</v>
      </c>
      <c r="L21" s="231">
        <f t="shared" si="3"/>
        <v>669215.7369863014</v>
      </c>
      <c r="M21" s="231">
        <f t="shared" si="4"/>
        <v>271215.7369863014</v>
      </c>
      <c r="N21" s="231">
        <f t="shared" si="5"/>
        <v>612683.8139988742</v>
      </c>
      <c r="O21" s="231">
        <f t="shared" si="6"/>
        <v>214683.81399887416</v>
      </c>
      <c r="P21" t="s">
        <v>1832</v>
      </c>
      <c r="Q21" s="2">
        <v>0.2</v>
      </c>
      <c r="R21" s="231">
        <f t="shared" si="7"/>
        <v>796000</v>
      </c>
      <c r="S21" s="231">
        <f t="shared" si="8"/>
        <v>398000</v>
      </c>
      <c r="T21" s="231">
        <f t="shared" si="16"/>
        <v>796000</v>
      </c>
      <c r="U21" s="231">
        <f t="shared" si="10"/>
        <v>398000</v>
      </c>
      <c r="V21" s="231">
        <f t="shared" si="17"/>
        <v>796000</v>
      </c>
      <c r="W21" s="231">
        <f t="shared" si="12"/>
        <v>398000</v>
      </c>
      <c r="X21" s="231">
        <v>1</v>
      </c>
      <c r="Y21" s="231">
        <f t="shared" si="13"/>
        <v>398000</v>
      </c>
      <c r="Z21" s="231">
        <f t="shared" si="18"/>
        <v>109213.96693307388</v>
      </c>
    </row>
    <row r="22" spans="2:32" x14ac:dyDescent="0.25">
      <c r="C22" s="230">
        <v>46388</v>
      </c>
      <c r="D22" s="230">
        <f>C22+90</f>
        <v>46478</v>
      </c>
      <c r="E22" s="230">
        <f>C22</f>
        <v>46388</v>
      </c>
      <c r="F22" s="24">
        <f t="shared" si="0"/>
        <v>2027</v>
      </c>
      <c r="G22" s="24">
        <f t="shared" si="1"/>
        <v>365</v>
      </c>
      <c r="H22" t="s">
        <v>1820</v>
      </c>
      <c r="I22" s="231">
        <f>1500000*2*1.2</f>
        <v>3600000</v>
      </c>
      <c r="J22" s="232">
        <f>I22/AF6</f>
        <v>9729.72972972973</v>
      </c>
      <c r="K22" s="2">
        <v>0.2</v>
      </c>
      <c r="L22" s="231">
        <f t="shared" si="3"/>
        <v>16812.972972972973</v>
      </c>
      <c r="M22" s="231">
        <f t="shared" si="4"/>
        <v>7083.243243243243</v>
      </c>
      <c r="N22" s="231">
        <f t="shared" si="5"/>
        <v>15392.699000370234</v>
      </c>
      <c r="O22" s="231">
        <f t="shared" si="6"/>
        <v>5662.969270640504</v>
      </c>
      <c r="P22" t="s">
        <v>1832</v>
      </c>
      <c r="Q22" s="2">
        <v>0.2</v>
      </c>
      <c r="R22" s="231">
        <f t="shared" si="7"/>
        <v>19459.45945945946</v>
      </c>
      <c r="S22" s="231">
        <f t="shared" si="8"/>
        <v>9729.72972972973</v>
      </c>
      <c r="T22" s="231">
        <f t="shared" si="16"/>
        <v>19459.45945945946</v>
      </c>
      <c r="U22" s="231">
        <f t="shared" si="10"/>
        <v>9729.72972972973</v>
      </c>
      <c r="V22" s="231">
        <f t="shared" si="17"/>
        <v>19459.45945945946</v>
      </c>
      <c r="W22" s="231">
        <f t="shared" si="12"/>
        <v>9729.72972972973</v>
      </c>
      <c r="X22" s="231">
        <v>1</v>
      </c>
      <c r="Y22" s="231">
        <f t="shared" si="13"/>
        <v>9729.72972972973</v>
      </c>
      <c r="Z22" s="231">
        <f t="shared" si="18"/>
        <v>2835.9045632432426</v>
      </c>
    </row>
    <row r="23" spans="2:32" x14ac:dyDescent="0.25">
      <c r="C23" s="230">
        <f>D21</f>
        <v>46812</v>
      </c>
      <c r="D23" s="230">
        <f>C23+120</f>
        <v>46932</v>
      </c>
      <c r="E23" s="230">
        <f>D23</f>
        <v>46932</v>
      </c>
      <c r="F23" s="24">
        <f t="shared" si="0"/>
        <v>2028</v>
      </c>
      <c r="G23" s="24">
        <f t="shared" si="1"/>
        <v>187</v>
      </c>
      <c r="H23" t="s">
        <v>1833</v>
      </c>
      <c r="I23" s="231">
        <f>J23*AF6</f>
        <v>1665000</v>
      </c>
      <c r="J23" s="232">
        <v>4500</v>
      </c>
      <c r="K23" s="2">
        <v>0.2</v>
      </c>
      <c r="L23" s="231">
        <f t="shared" si="3"/>
        <v>5953.315068493151</v>
      </c>
      <c r="M23" s="231">
        <f t="shared" si="4"/>
        <v>1453.3150684931506</v>
      </c>
      <c r="N23" s="231">
        <f t="shared" si="5"/>
        <v>5450.409457684369</v>
      </c>
      <c r="O23" s="231">
        <f t="shared" si="6"/>
        <v>950.409457684369</v>
      </c>
      <c r="Q23" s="2">
        <v>0.2</v>
      </c>
      <c r="R23" s="231">
        <f t="shared" si="7"/>
        <v>9000</v>
      </c>
      <c r="S23" s="231">
        <f t="shared" si="8"/>
        <v>4500</v>
      </c>
      <c r="T23" s="231">
        <f t="shared" si="16"/>
        <v>9000</v>
      </c>
      <c r="U23" s="231">
        <f t="shared" si="10"/>
        <v>4500</v>
      </c>
      <c r="V23" s="231">
        <f t="shared" si="17"/>
        <v>9000</v>
      </c>
      <c r="W23" s="231">
        <f t="shared" si="12"/>
        <v>4500</v>
      </c>
      <c r="X23" s="231">
        <v>1</v>
      </c>
      <c r="Y23" s="231">
        <f t="shared" si="13"/>
        <v>4500</v>
      </c>
      <c r="Z23" s="231">
        <f t="shared" si="18"/>
        <v>623.949373972603</v>
      </c>
    </row>
    <row r="24" spans="2:32" x14ac:dyDescent="0.25">
      <c r="B24" t="s">
        <v>1628</v>
      </c>
      <c r="C24" s="230">
        <f>E7+180</f>
        <v>46566</v>
      </c>
      <c r="D24" s="230">
        <f>C24+180</f>
        <v>46746</v>
      </c>
      <c r="E24" s="230">
        <f>D24</f>
        <v>46746</v>
      </c>
      <c r="F24" s="24">
        <f t="shared" si="0"/>
        <v>2027</v>
      </c>
      <c r="G24" s="24">
        <f t="shared" si="1"/>
        <v>7</v>
      </c>
      <c r="H24" t="s">
        <v>1622</v>
      </c>
      <c r="I24" s="231">
        <f>30000*(AF15+AF16)</f>
        <v>960000</v>
      </c>
      <c r="J24" s="232">
        <f t="shared" ref="J24:J44" si="19">I24/$AF$6</f>
        <v>2594.5945945945946</v>
      </c>
      <c r="K24" s="2">
        <v>0.2</v>
      </c>
      <c r="L24" s="231">
        <f t="shared" si="3"/>
        <v>3750.5469085523873</v>
      </c>
      <c r="M24" s="231">
        <f t="shared" si="4"/>
        <v>1155.9523139577927</v>
      </c>
      <c r="N24" s="231">
        <f t="shared" si="5"/>
        <v>3433.719886597049</v>
      </c>
      <c r="O24" s="231">
        <f t="shared" si="6"/>
        <v>839.1252920024544</v>
      </c>
      <c r="Q24" s="2">
        <v>0.2</v>
      </c>
      <c r="R24" s="231">
        <f t="shared" si="7"/>
        <v>5189.189189189189</v>
      </c>
      <c r="S24" s="231">
        <f t="shared" si="8"/>
        <v>2594.5945945945946</v>
      </c>
      <c r="T24" s="231">
        <f t="shared" si="16"/>
        <v>5189.189189189189</v>
      </c>
      <c r="U24" s="231">
        <f t="shared" si="10"/>
        <v>2594.5945945945946</v>
      </c>
      <c r="V24" s="231">
        <f t="shared" si="17"/>
        <v>5189.189189189189</v>
      </c>
      <c r="W24" s="231">
        <f t="shared" si="12"/>
        <v>2594.5945945945946</v>
      </c>
      <c r="X24" s="231">
        <v>1</v>
      </c>
      <c r="Y24" s="231">
        <f t="shared" si="13"/>
        <v>2594.5945945945946</v>
      </c>
      <c r="Z24" s="231">
        <f t="shared" si="18"/>
        <v>487.64157002354665</v>
      </c>
    </row>
    <row r="25" spans="2:32" x14ac:dyDescent="0.25">
      <c r="C25" s="230">
        <f>C24</f>
        <v>46566</v>
      </c>
      <c r="D25" s="230">
        <f>D24</f>
        <v>46746</v>
      </c>
      <c r="E25" s="230">
        <f>C25+30</f>
        <v>46596</v>
      </c>
      <c r="F25" s="24">
        <f t="shared" si="0"/>
        <v>2027</v>
      </c>
      <c r="G25" s="24">
        <f t="shared" si="1"/>
        <v>157</v>
      </c>
      <c r="H25" t="s">
        <v>1629</v>
      </c>
      <c r="I25" s="231">
        <f>250000*(AF15+AF16)</f>
        <v>8000000</v>
      </c>
      <c r="J25" s="232">
        <f t="shared" si="19"/>
        <v>21621.62162162162</v>
      </c>
      <c r="K25" s="2">
        <v>0.2</v>
      </c>
      <c r="L25" s="231">
        <f t="shared" si="3"/>
        <v>33813.60977415772</v>
      </c>
      <c r="M25" s="231">
        <f t="shared" si="4"/>
        <v>12191.988152536098</v>
      </c>
      <c r="N25" s="231">
        <f t="shared" si="5"/>
        <v>30957.20894848686</v>
      </c>
      <c r="O25" s="231">
        <f t="shared" si="6"/>
        <v>9335.58732686524</v>
      </c>
      <c r="Q25" s="2">
        <v>0.2</v>
      </c>
      <c r="R25" s="231">
        <f t="shared" si="7"/>
        <v>43243.24324324324</v>
      </c>
      <c r="S25" s="231">
        <f t="shared" si="8"/>
        <v>21621.62162162162</v>
      </c>
      <c r="T25" s="231">
        <f t="shared" si="16"/>
        <v>43243.24324324324</v>
      </c>
      <c r="U25" s="231">
        <f t="shared" si="10"/>
        <v>21621.62162162162</v>
      </c>
      <c r="V25" s="231">
        <f t="shared" si="17"/>
        <v>43243.24324324324</v>
      </c>
      <c r="W25" s="231">
        <f t="shared" si="12"/>
        <v>21621.62162162162</v>
      </c>
      <c r="X25" s="231">
        <v>1</v>
      </c>
      <c r="Y25" s="231">
        <f t="shared" si="13"/>
        <v>21621.62162162162</v>
      </c>
      <c r="Z25" s="231">
        <f t="shared" si="18"/>
        <v>5001.5276791114375</v>
      </c>
    </row>
    <row r="26" spans="2:32" x14ac:dyDescent="0.25">
      <c r="B26" t="s">
        <v>1630</v>
      </c>
      <c r="C26" s="230">
        <f>E24</f>
        <v>46746</v>
      </c>
      <c r="D26" s="230">
        <f>C26+180</f>
        <v>46926</v>
      </c>
      <c r="E26" s="230">
        <f>C26+60</f>
        <v>46806</v>
      </c>
      <c r="F26" s="24">
        <f t="shared" si="0"/>
        <v>2028</v>
      </c>
      <c r="G26" s="24">
        <f t="shared" si="1"/>
        <v>313</v>
      </c>
      <c r="H26" t="s">
        <v>1820</v>
      </c>
      <c r="I26" s="231">
        <f>5000000*AF17</f>
        <v>50000000</v>
      </c>
      <c r="J26" s="232">
        <f t="shared" si="19"/>
        <v>135135.13513513515</v>
      </c>
      <c r="K26" s="2">
        <v>0.2</v>
      </c>
      <c r="L26" s="231">
        <f t="shared" si="3"/>
        <v>189974.0836727138</v>
      </c>
      <c r="M26" s="231">
        <f t="shared" si="4"/>
        <v>54838.94853757866</v>
      </c>
      <c r="N26" s="231">
        <f t="shared" si="5"/>
        <v>173926.04464100054</v>
      </c>
      <c r="O26" s="231">
        <f t="shared" si="6"/>
        <v>38790.90950586539</v>
      </c>
      <c r="Q26" s="2">
        <v>0.2</v>
      </c>
      <c r="R26" s="231">
        <f t="shared" si="7"/>
        <v>270270.2702702703</v>
      </c>
      <c r="S26" s="231">
        <f t="shared" si="8"/>
        <v>135135.13513513515</v>
      </c>
      <c r="T26" s="231">
        <f t="shared" si="16"/>
        <v>270270.2702702703</v>
      </c>
      <c r="U26" s="231">
        <f t="shared" si="10"/>
        <v>135135.13513513515</v>
      </c>
      <c r="V26" s="231">
        <f t="shared" si="17"/>
        <v>270270.2702702703</v>
      </c>
      <c r="W26" s="231">
        <f t="shared" si="12"/>
        <v>135135.13513513515</v>
      </c>
      <c r="X26" s="231">
        <v>1</v>
      </c>
      <c r="Y26" s="231">
        <f t="shared" si="13"/>
        <v>135135.13513513515</v>
      </c>
      <c r="Z26" s="231">
        <f t="shared" si="18"/>
        <v>23258.523880044417</v>
      </c>
    </row>
    <row r="27" spans="2:32" x14ac:dyDescent="0.25">
      <c r="B27" t="s">
        <v>1631</v>
      </c>
      <c r="C27" s="230">
        <f>C26</f>
        <v>46746</v>
      </c>
      <c r="D27" s="230">
        <f>D26</f>
        <v>46926</v>
      </c>
      <c r="E27" s="230">
        <f>E26</f>
        <v>46806</v>
      </c>
      <c r="F27" s="24">
        <f t="shared" si="0"/>
        <v>2028</v>
      </c>
      <c r="G27" s="24">
        <f t="shared" si="1"/>
        <v>313</v>
      </c>
      <c r="H27" t="s">
        <v>1834</v>
      </c>
      <c r="I27" s="231">
        <f>3500000*AF17</f>
        <v>35000000</v>
      </c>
      <c r="J27" s="232">
        <f t="shared" si="19"/>
        <v>94594.5945945946</v>
      </c>
      <c r="K27" s="2">
        <v>0.2</v>
      </c>
      <c r="L27" s="231">
        <f t="shared" si="3"/>
        <v>132981.85857089967</v>
      </c>
      <c r="M27" s="231">
        <f t="shared" si="4"/>
        <v>38387.26397630507</v>
      </c>
      <c r="N27" s="231">
        <f t="shared" si="5"/>
        <v>121748.2312487004</v>
      </c>
      <c r="O27" s="231">
        <f t="shared" si="6"/>
        <v>27153.636654105794</v>
      </c>
      <c r="Q27" s="2">
        <v>0.2</v>
      </c>
      <c r="R27" s="231">
        <f t="shared" si="7"/>
        <v>189189.1891891892</v>
      </c>
      <c r="S27" s="231">
        <f t="shared" si="8"/>
        <v>94594.5945945946</v>
      </c>
      <c r="T27" s="231">
        <f t="shared" si="16"/>
        <v>189189.1891891892</v>
      </c>
      <c r="U27" s="231">
        <f t="shared" si="10"/>
        <v>94594.5945945946</v>
      </c>
      <c r="V27" s="231">
        <f t="shared" si="17"/>
        <v>189189.1891891892</v>
      </c>
      <c r="W27" s="231">
        <f t="shared" si="12"/>
        <v>94594.5945945946</v>
      </c>
      <c r="X27" s="231">
        <v>1</v>
      </c>
      <c r="Y27" s="231">
        <f t="shared" si="13"/>
        <v>94594.5945945946</v>
      </c>
      <c r="Z27" s="231">
        <f t="shared" si="18"/>
        <v>16280.966716031091</v>
      </c>
    </row>
    <row r="28" spans="2:32" x14ac:dyDescent="0.25">
      <c r="B28" t="s">
        <v>1633</v>
      </c>
      <c r="C28" s="230">
        <f>E8</f>
        <v>46386</v>
      </c>
      <c r="D28" s="230">
        <f>C28+365</f>
        <v>46751</v>
      </c>
      <c r="E28" s="230">
        <f>D28</f>
        <v>46751</v>
      </c>
      <c r="F28" s="24">
        <f t="shared" si="0"/>
        <v>2027</v>
      </c>
      <c r="G28" s="24">
        <f t="shared" si="1"/>
        <v>2</v>
      </c>
      <c r="H28" t="s">
        <v>1634</v>
      </c>
      <c r="I28" s="231">
        <f>12360000*1.2</f>
        <v>14832000</v>
      </c>
      <c r="J28" s="232">
        <f t="shared" si="19"/>
        <v>40086.48648648649</v>
      </c>
      <c r="K28" s="2">
        <v>0.2</v>
      </c>
      <c r="L28" s="231">
        <f t="shared" si="3"/>
        <v>57787.800310995925</v>
      </c>
      <c r="M28" s="231">
        <f t="shared" si="4"/>
        <v>17701.313824509438</v>
      </c>
      <c r="N28" s="231">
        <f t="shared" si="5"/>
        <v>52906.182476505404</v>
      </c>
      <c r="O28" s="231">
        <f t="shared" si="6"/>
        <v>12819.695990018918</v>
      </c>
      <c r="P28" t="s">
        <v>1830</v>
      </c>
      <c r="Q28" s="2">
        <v>0.2</v>
      </c>
      <c r="R28" s="231">
        <f t="shared" si="7"/>
        <v>80172.97297297297</v>
      </c>
      <c r="S28" s="231">
        <f t="shared" si="8"/>
        <v>40086.48648648649</v>
      </c>
      <c r="T28" s="231">
        <f t="shared" si="16"/>
        <v>80172.97297297297</v>
      </c>
      <c r="U28" s="231">
        <f t="shared" si="10"/>
        <v>40086.48648648649</v>
      </c>
      <c r="V28" s="231">
        <f t="shared" si="17"/>
        <v>80172.97297297297</v>
      </c>
      <c r="W28" s="231">
        <f t="shared" si="12"/>
        <v>40086.48648648649</v>
      </c>
      <c r="X28" s="231">
        <v>1</v>
      </c>
      <c r="Y28" s="231">
        <f t="shared" si="13"/>
        <v>40086.48648648649</v>
      </c>
      <c r="Z28" s="231">
        <f t="shared" si="18"/>
        <v>7476.103254856843</v>
      </c>
    </row>
    <row r="29" spans="2:32" x14ac:dyDescent="0.25">
      <c r="C29" s="230">
        <f>E28</f>
        <v>46751</v>
      </c>
      <c r="D29" s="230">
        <f>C29+120</f>
        <v>46871</v>
      </c>
      <c r="E29" s="230">
        <f>D29</f>
        <v>46871</v>
      </c>
      <c r="F29" s="24">
        <f t="shared" si="0"/>
        <v>2028</v>
      </c>
      <c r="G29" s="24">
        <f t="shared" si="1"/>
        <v>248</v>
      </c>
      <c r="H29" t="s">
        <v>1835</v>
      </c>
      <c r="I29" s="231">
        <f>10000*AF16</f>
        <v>40000</v>
      </c>
      <c r="J29" s="232">
        <f t="shared" si="19"/>
        <v>108.10810810810811</v>
      </c>
      <c r="K29" s="2">
        <v>0.2</v>
      </c>
      <c r="L29" s="231">
        <f t="shared" si="3"/>
        <v>147.35875601629024</v>
      </c>
      <c r="M29" s="231">
        <f t="shared" si="4"/>
        <v>39.25064790818213</v>
      </c>
      <c r="N29" s="231">
        <f t="shared" si="5"/>
        <v>134.91064192358994</v>
      </c>
      <c r="O29" s="231">
        <f t="shared" si="6"/>
        <v>26.802533815481823</v>
      </c>
      <c r="Q29" s="2">
        <v>0.2</v>
      </c>
      <c r="R29" s="231">
        <f t="shared" si="7"/>
        <v>216.21621621621622</v>
      </c>
      <c r="S29" s="231">
        <f t="shared" si="8"/>
        <v>108.10810810810811</v>
      </c>
      <c r="T29" s="231">
        <f t="shared" si="16"/>
        <v>216.21621621621622</v>
      </c>
      <c r="U29" s="231">
        <f t="shared" si="10"/>
        <v>108.10810810810811</v>
      </c>
      <c r="V29" s="231">
        <f t="shared" si="17"/>
        <v>216.21621621621622</v>
      </c>
      <c r="W29" s="231">
        <f t="shared" si="12"/>
        <v>108.10810810810811</v>
      </c>
      <c r="X29" s="231">
        <v>1</v>
      </c>
      <c r="Y29" s="231">
        <f t="shared" si="13"/>
        <v>108.10810810810811</v>
      </c>
      <c r="Z29" s="231">
        <f t="shared" si="18"/>
        <v>16.740883524620493</v>
      </c>
    </row>
    <row r="30" spans="2:32" x14ac:dyDescent="0.25">
      <c r="C30" s="230">
        <f>E28</f>
        <v>46751</v>
      </c>
      <c r="D30" s="230">
        <f>C30+90</f>
        <v>46841</v>
      </c>
      <c r="E30" s="230">
        <f>D30</f>
        <v>46841</v>
      </c>
      <c r="F30" s="24">
        <f t="shared" si="0"/>
        <v>2028</v>
      </c>
      <c r="G30" s="24">
        <f t="shared" si="1"/>
        <v>278</v>
      </c>
      <c r="H30" t="s">
        <v>1635</v>
      </c>
      <c r="I30" s="231">
        <f>(7200000+10180000+4360000)*1.5</f>
        <v>32610000</v>
      </c>
      <c r="J30" s="232">
        <f t="shared" si="19"/>
        <v>88135.13513513513</v>
      </c>
      <c r="K30" s="2">
        <v>0.2</v>
      </c>
      <c r="L30" s="231">
        <f t="shared" si="3"/>
        <v>121872.78193261754</v>
      </c>
      <c r="M30" s="231">
        <f t="shared" si="4"/>
        <v>33737.646797482405</v>
      </c>
      <c r="N30" s="231">
        <f t="shared" si="5"/>
        <v>111577.5925912777</v>
      </c>
      <c r="O30" s="231">
        <f t="shared" si="6"/>
        <v>23442.45745614257</v>
      </c>
      <c r="Q30" s="2">
        <v>0.2</v>
      </c>
      <c r="R30" s="231">
        <f t="shared" si="7"/>
        <v>176270.27027027027</v>
      </c>
      <c r="S30" s="231">
        <f t="shared" si="8"/>
        <v>88135.13513513513</v>
      </c>
      <c r="T30" s="231">
        <f t="shared" si="16"/>
        <v>176270.27027027027</v>
      </c>
      <c r="U30" s="231">
        <f t="shared" si="10"/>
        <v>88135.13513513513</v>
      </c>
      <c r="V30" s="231">
        <f t="shared" si="17"/>
        <v>176270.27027027027</v>
      </c>
      <c r="W30" s="231">
        <f t="shared" si="12"/>
        <v>88135.13513513513</v>
      </c>
      <c r="X30" s="231">
        <v>1</v>
      </c>
      <c r="Y30" s="231">
        <f t="shared" si="13"/>
        <v>88135.13513513513</v>
      </c>
      <c r="Z30" s="231">
        <f t="shared" si="18"/>
        <v>14350.099438578289</v>
      </c>
    </row>
    <row r="31" spans="2:32" x14ac:dyDescent="0.25">
      <c r="B31" t="s">
        <v>1636</v>
      </c>
      <c r="C31" s="230">
        <f>E8</f>
        <v>46386</v>
      </c>
      <c r="D31" s="230">
        <f>C31+210</f>
        <v>46596</v>
      </c>
      <c r="E31" s="230">
        <f>D31</f>
        <v>46596</v>
      </c>
      <c r="F31" s="24">
        <f t="shared" si="0"/>
        <v>2027</v>
      </c>
      <c r="G31" s="24">
        <f t="shared" si="1"/>
        <v>157</v>
      </c>
      <c r="H31" t="s">
        <v>1637</v>
      </c>
      <c r="I31" s="231">
        <f>250000*(AF15+AF16)</f>
        <v>8000000</v>
      </c>
      <c r="J31" s="232">
        <f t="shared" si="19"/>
        <v>21621.62162162162</v>
      </c>
      <c r="K31" s="2">
        <v>0.2</v>
      </c>
      <c r="L31" s="231">
        <f t="shared" si="3"/>
        <v>33813.60977415772</v>
      </c>
      <c r="M31" s="231">
        <f t="shared" si="4"/>
        <v>12191.988152536098</v>
      </c>
      <c r="N31" s="231">
        <f t="shared" si="5"/>
        <v>30957.20894848686</v>
      </c>
      <c r="O31" s="231">
        <f t="shared" si="6"/>
        <v>9335.58732686524</v>
      </c>
      <c r="Q31" s="2">
        <v>0.2</v>
      </c>
      <c r="R31" s="231">
        <f t="shared" si="7"/>
        <v>43243.24324324324</v>
      </c>
      <c r="S31" s="231">
        <f t="shared" si="8"/>
        <v>21621.62162162162</v>
      </c>
      <c r="T31" s="231">
        <f t="shared" si="16"/>
        <v>43243.24324324324</v>
      </c>
      <c r="U31" s="231">
        <f t="shared" si="10"/>
        <v>21621.62162162162</v>
      </c>
      <c r="V31" s="231">
        <f t="shared" si="17"/>
        <v>43243.24324324324</v>
      </c>
      <c r="W31" s="231">
        <f t="shared" si="12"/>
        <v>21621.62162162162</v>
      </c>
      <c r="X31" s="231">
        <v>1</v>
      </c>
      <c r="Y31" s="231">
        <f t="shared" si="13"/>
        <v>21621.62162162162</v>
      </c>
      <c r="Z31" s="231">
        <f t="shared" si="18"/>
        <v>5001.5276791114375</v>
      </c>
    </row>
    <row r="32" spans="2:32" x14ac:dyDescent="0.25">
      <c r="C32" s="230">
        <f>C31</f>
        <v>46386</v>
      </c>
      <c r="D32" s="230">
        <f>C32+210</f>
        <v>46596</v>
      </c>
      <c r="E32" s="230">
        <f>C32+180</f>
        <v>46566</v>
      </c>
      <c r="F32" s="24">
        <f t="shared" si="0"/>
        <v>2027</v>
      </c>
      <c r="G32" s="24">
        <f t="shared" si="1"/>
        <v>187</v>
      </c>
      <c r="H32" t="s">
        <v>1638</v>
      </c>
      <c r="I32" s="231">
        <f>250000*(AF15+AF16)</f>
        <v>8000000</v>
      </c>
      <c r="J32" s="232">
        <f t="shared" si="19"/>
        <v>21621.62162162162</v>
      </c>
      <c r="K32" s="2">
        <v>0.2</v>
      </c>
      <c r="L32" s="231">
        <f t="shared" si="3"/>
        <v>34325.42021473528</v>
      </c>
      <c r="M32" s="231">
        <f t="shared" si="4"/>
        <v>12703.798593113657</v>
      </c>
      <c r="N32" s="231">
        <f t="shared" si="5"/>
        <v>31425.784260522483</v>
      </c>
      <c r="O32" s="231">
        <f t="shared" si="6"/>
        <v>9804.162638900863</v>
      </c>
      <c r="Q32" s="2">
        <v>0.2</v>
      </c>
      <c r="R32" s="231">
        <f t="shared" si="7"/>
        <v>43243.24324324324</v>
      </c>
      <c r="S32" s="231">
        <f t="shared" si="8"/>
        <v>21621.62162162162</v>
      </c>
      <c r="T32" s="231">
        <f t="shared" si="16"/>
        <v>43243.24324324324</v>
      </c>
      <c r="U32" s="231">
        <f t="shared" si="10"/>
        <v>21621.62162162162</v>
      </c>
      <c r="V32" s="231">
        <f t="shared" si="17"/>
        <v>43243.24324324324</v>
      </c>
      <c r="W32" s="231">
        <f t="shared" si="12"/>
        <v>21621.62162162162</v>
      </c>
      <c r="X32" s="231">
        <v>1</v>
      </c>
      <c r="Y32" s="231">
        <f t="shared" si="13"/>
        <v>21621.62162162162</v>
      </c>
      <c r="Z32" s="231">
        <f t="shared" si="18"/>
        <v>5189.097264894485</v>
      </c>
    </row>
    <row r="33" spans="2:50" x14ac:dyDescent="0.25">
      <c r="C33" s="230">
        <f>C32</f>
        <v>46386</v>
      </c>
      <c r="D33" s="230">
        <f>C33+210</f>
        <v>46596</v>
      </c>
      <c r="E33" s="230">
        <f>C33+180</f>
        <v>46566</v>
      </c>
      <c r="F33" s="24">
        <f t="shared" si="0"/>
        <v>2027</v>
      </c>
      <c r="G33" s="24">
        <f t="shared" si="1"/>
        <v>187</v>
      </c>
      <c r="H33" t="s">
        <v>1836</v>
      </c>
      <c r="I33">
        <f>250000*(AF15+AF16)</f>
        <v>8000000</v>
      </c>
      <c r="J33" s="232">
        <f t="shared" si="19"/>
        <v>21621.62162162162</v>
      </c>
      <c r="K33" s="2">
        <v>0.2</v>
      </c>
      <c r="L33" s="231">
        <f t="shared" si="3"/>
        <v>34325.42021473528</v>
      </c>
      <c r="M33" s="231">
        <f t="shared" si="4"/>
        <v>12703.798593113657</v>
      </c>
      <c r="N33" s="231">
        <f t="shared" si="5"/>
        <v>31425.784260522483</v>
      </c>
      <c r="O33" s="231">
        <f t="shared" si="6"/>
        <v>9804.162638900863</v>
      </c>
      <c r="Q33" s="2">
        <v>0.2</v>
      </c>
      <c r="R33" s="231">
        <f t="shared" si="7"/>
        <v>43243.24324324324</v>
      </c>
      <c r="S33" s="231">
        <f t="shared" si="8"/>
        <v>21621.62162162162</v>
      </c>
      <c r="T33" s="231">
        <f t="shared" si="16"/>
        <v>43243.24324324324</v>
      </c>
      <c r="U33" s="231">
        <f t="shared" si="10"/>
        <v>21621.62162162162</v>
      </c>
      <c r="V33" s="231">
        <f t="shared" si="17"/>
        <v>43243.24324324324</v>
      </c>
      <c r="W33" s="231">
        <f t="shared" si="12"/>
        <v>21621.62162162162</v>
      </c>
      <c r="X33" s="231">
        <v>1</v>
      </c>
      <c r="Y33" s="231">
        <f t="shared" si="13"/>
        <v>21621.62162162162</v>
      </c>
      <c r="Z33" s="231">
        <f t="shared" si="18"/>
        <v>5189.097264894485</v>
      </c>
    </row>
    <row r="34" spans="2:50" x14ac:dyDescent="0.25">
      <c r="B34" t="s">
        <v>1640</v>
      </c>
      <c r="C34" s="230">
        <f>D35</f>
        <v>46780</v>
      </c>
      <c r="D34" s="230">
        <f>C34</f>
        <v>46780</v>
      </c>
      <c r="E34" s="230">
        <f>C34</f>
        <v>46780</v>
      </c>
      <c r="F34" s="24">
        <f t="shared" si="0"/>
        <v>2028</v>
      </c>
      <c r="G34" s="24">
        <f t="shared" si="1"/>
        <v>339</v>
      </c>
      <c r="H34" t="s">
        <v>1622</v>
      </c>
      <c r="I34" s="231">
        <f>1147500*AF16</f>
        <v>4590000</v>
      </c>
      <c r="J34" s="232">
        <f t="shared" si="19"/>
        <v>12405.405405405405</v>
      </c>
      <c r="K34" s="2">
        <v>0.2</v>
      </c>
      <c r="L34" s="231">
        <f t="shared" si="3"/>
        <v>17651.702332469456</v>
      </c>
      <c r="M34" s="231">
        <f t="shared" si="4"/>
        <v>5246.2969270640515</v>
      </c>
      <c r="N34" s="231">
        <f t="shared" si="5"/>
        <v>16160.576792968612</v>
      </c>
      <c r="O34" s="231">
        <f t="shared" si="6"/>
        <v>3755.1713875632067</v>
      </c>
      <c r="Q34" s="2">
        <v>0.2</v>
      </c>
      <c r="R34" s="231">
        <f t="shared" si="7"/>
        <v>24810.81081081081</v>
      </c>
      <c r="S34" s="231">
        <f t="shared" si="8"/>
        <v>12405.405405405405</v>
      </c>
      <c r="T34" s="231">
        <f t="shared" si="16"/>
        <v>24810.81081081081</v>
      </c>
      <c r="U34" s="231">
        <f t="shared" si="10"/>
        <v>12405.405405405405</v>
      </c>
      <c r="V34" s="231">
        <f t="shared" si="17"/>
        <v>24810.81081081081</v>
      </c>
      <c r="W34" s="231">
        <f t="shared" si="12"/>
        <v>12405.405405405405</v>
      </c>
      <c r="X34" s="231">
        <v>1</v>
      </c>
      <c r="Y34" s="231">
        <f t="shared" si="13"/>
        <v>12405.405405405405</v>
      </c>
      <c r="Z34" s="231">
        <f t="shared" si="18"/>
        <v>2220.778935283229</v>
      </c>
    </row>
    <row r="35" spans="2:50" x14ac:dyDescent="0.25">
      <c r="C35" s="230">
        <v>46600</v>
      </c>
      <c r="D35" s="230">
        <f>C35+180</f>
        <v>46780</v>
      </c>
      <c r="E35" s="230">
        <f>C34</f>
        <v>46780</v>
      </c>
      <c r="F35" s="24">
        <f t="shared" si="0"/>
        <v>2028</v>
      </c>
      <c r="G35" s="24">
        <f t="shared" si="1"/>
        <v>339</v>
      </c>
      <c r="H35" t="s">
        <v>1621</v>
      </c>
      <c r="I35" s="231">
        <f>30000000*AF16*1.15</f>
        <v>138000000</v>
      </c>
      <c r="J35" s="232">
        <f t="shared" si="19"/>
        <v>372972.97297297296</v>
      </c>
      <c r="K35" s="2">
        <v>0.2</v>
      </c>
      <c r="L35" s="231">
        <f t="shared" si="3"/>
        <v>530704.7760088856</v>
      </c>
      <c r="M35" s="231">
        <f t="shared" si="4"/>
        <v>157731.80303591263</v>
      </c>
      <c r="N35" s="231">
        <f t="shared" si="5"/>
        <v>485873.55063827196</v>
      </c>
      <c r="O35" s="231">
        <f t="shared" si="6"/>
        <v>112900.577665299</v>
      </c>
      <c r="Q35" s="2">
        <v>0.2</v>
      </c>
      <c r="R35" s="231">
        <f t="shared" si="7"/>
        <v>745945.9459459459</v>
      </c>
      <c r="S35" s="231">
        <f t="shared" si="8"/>
        <v>372972.97297297296</v>
      </c>
      <c r="T35" s="231">
        <f t="shared" si="16"/>
        <v>745945.9459459459</v>
      </c>
      <c r="U35" s="231">
        <f t="shared" si="10"/>
        <v>372972.97297297296</v>
      </c>
      <c r="V35" s="231">
        <f t="shared" si="17"/>
        <v>745945.9459459459</v>
      </c>
      <c r="W35" s="231">
        <f t="shared" si="12"/>
        <v>372972.97297297296</v>
      </c>
      <c r="X35" s="231">
        <v>1</v>
      </c>
      <c r="Y35" s="231">
        <f t="shared" si="13"/>
        <v>372972.97297297296</v>
      </c>
      <c r="Z35" s="231">
        <f t="shared" si="18"/>
        <v>66768.51700851538</v>
      </c>
    </row>
    <row r="36" spans="2:50" x14ac:dyDescent="0.25">
      <c r="B36" t="s">
        <v>1641</v>
      </c>
      <c r="C36" s="230">
        <f>E37</f>
        <v>46780</v>
      </c>
      <c r="D36" s="230">
        <f>C36</f>
        <v>46780</v>
      </c>
      <c r="E36" s="230">
        <f>C36</f>
        <v>46780</v>
      </c>
      <c r="F36" s="24">
        <f t="shared" si="0"/>
        <v>2028</v>
      </c>
      <c r="G36" s="24">
        <f t="shared" si="1"/>
        <v>339</v>
      </c>
      <c r="H36" t="s">
        <v>1622</v>
      </c>
      <c r="I36" s="231">
        <f>150000*300</f>
        <v>45000000</v>
      </c>
      <c r="J36" s="232">
        <f t="shared" si="19"/>
        <v>121621.62162162163</v>
      </c>
      <c r="K36" s="2">
        <v>0.2</v>
      </c>
      <c r="L36" s="231">
        <f t="shared" si="3"/>
        <v>173055.90522028878</v>
      </c>
      <c r="M36" s="231">
        <f t="shared" si="4"/>
        <v>51434.283598667156</v>
      </c>
      <c r="N36" s="231">
        <f t="shared" si="5"/>
        <v>158437.02738204523</v>
      </c>
      <c r="O36" s="231">
        <f t="shared" si="6"/>
        <v>36815.4057604236</v>
      </c>
      <c r="Q36" s="2">
        <v>0.2</v>
      </c>
      <c r="R36" s="231">
        <f t="shared" si="7"/>
        <v>243243.24324324325</v>
      </c>
      <c r="S36" s="231">
        <f t="shared" si="8"/>
        <v>121621.62162162163</v>
      </c>
      <c r="T36" s="231">
        <f t="shared" si="16"/>
        <v>243243.24324324325</v>
      </c>
      <c r="U36" s="231">
        <f t="shared" si="10"/>
        <v>121621.62162162163</v>
      </c>
      <c r="V36" s="231">
        <f t="shared" si="17"/>
        <v>243243.24324324325</v>
      </c>
      <c r="W36" s="231">
        <f t="shared" si="12"/>
        <v>121621.62162162163</v>
      </c>
      <c r="X36" s="231">
        <v>1</v>
      </c>
      <c r="Y36" s="231">
        <f t="shared" si="13"/>
        <v>121621.62162162163</v>
      </c>
      <c r="Z36" s="231">
        <f t="shared" si="18"/>
        <v>21772.34250277676</v>
      </c>
    </row>
    <row r="37" spans="2:50" x14ac:dyDescent="0.25">
      <c r="C37" s="230">
        <v>46600</v>
      </c>
      <c r="D37" s="230">
        <f>C37+180</f>
        <v>46780</v>
      </c>
      <c r="E37" s="230">
        <f>D37</f>
        <v>46780</v>
      </c>
      <c r="F37" s="24">
        <f t="shared" si="0"/>
        <v>2028</v>
      </c>
      <c r="G37" s="24">
        <f t="shared" si="1"/>
        <v>339</v>
      </c>
      <c r="H37" t="s">
        <v>1621</v>
      </c>
      <c r="I37" s="231">
        <f>(I40+I33+38000000)/280*AF7*1.15</f>
        <v>74896683.6734694</v>
      </c>
      <c r="J37" s="232">
        <f t="shared" si="19"/>
        <v>202423.46938775512</v>
      </c>
      <c r="K37" s="2">
        <v>0.2</v>
      </c>
      <c r="L37" s="231">
        <f t="shared" si="3"/>
        <v>288029.1864691082</v>
      </c>
      <c r="M37" s="231">
        <f t="shared" si="4"/>
        <v>85605.7170813531</v>
      </c>
      <c r="N37" s="231">
        <f t="shared" si="5"/>
        <v>263697.9538221744</v>
      </c>
      <c r="O37" s="231">
        <f t="shared" si="6"/>
        <v>61274.48443441928</v>
      </c>
      <c r="Q37" s="2">
        <v>0.2</v>
      </c>
      <c r="R37" s="231">
        <f t="shared" si="7"/>
        <v>404846.93877551024</v>
      </c>
      <c r="S37" s="231">
        <f t="shared" si="8"/>
        <v>202423.46938775512</v>
      </c>
      <c r="T37" s="231">
        <f t="shared" si="16"/>
        <v>404846.93877551024</v>
      </c>
      <c r="U37" s="231">
        <f t="shared" si="10"/>
        <v>202423.46938775512</v>
      </c>
      <c r="V37" s="231">
        <f t="shared" si="17"/>
        <v>404846.93877551024</v>
      </c>
      <c r="W37" s="231">
        <f t="shared" si="12"/>
        <v>202423.46938775512</v>
      </c>
      <c r="X37" s="231">
        <v>1</v>
      </c>
      <c r="Y37" s="231">
        <f t="shared" si="13"/>
        <v>202423.46938775512</v>
      </c>
      <c r="Z37" s="231">
        <f t="shared" si="18"/>
        <v>36237.24998357564</v>
      </c>
    </row>
    <row r="38" spans="2:50" x14ac:dyDescent="0.25">
      <c r="C38" s="230">
        <f>C37</f>
        <v>46600</v>
      </c>
      <c r="D38" s="230">
        <f>C38+180</f>
        <v>46780</v>
      </c>
      <c r="E38" s="230">
        <f>C38+120</f>
        <v>46720</v>
      </c>
      <c r="F38" s="24">
        <f t="shared" si="0"/>
        <v>2027</v>
      </c>
      <c r="G38" s="24">
        <f t="shared" si="1"/>
        <v>33</v>
      </c>
      <c r="H38" t="s">
        <v>1642</v>
      </c>
      <c r="I38" s="231">
        <f>50000*300</f>
        <v>15000000</v>
      </c>
      <c r="J38" s="232">
        <f t="shared" si="19"/>
        <v>40540.54054054054</v>
      </c>
      <c r="K38" s="2">
        <v>0.2</v>
      </c>
      <c r="L38" s="231">
        <f t="shared" si="3"/>
        <v>59433.9874120696</v>
      </c>
      <c r="M38" s="231">
        <f t="shared" si="4"/>
        <v>18893.446871529057</v>
      </c>
      <c r="N38" s="231">
        <f t="shared" si="5"/>
        <v>54413.30811013678</v>
      </c>
      <c r="O38" s="231">
        <f t="shared" si="6"/>
        <v>13872.767569596239</v>
      </c>
      <c r="Q38" s="2">
        <v>0.2</v>
      </c>
      <c r="R38" s="231">
        <f t="shared" si="7"/>
        <v>81081.08108108108</v>
      </c>
      <c r="S38" s="231">
        <f t="shared" si="8"/>
        <v>40540.54054054054</v>
      </c>
      <c r="T38" s="231">
        <f t="shared" si="16"/>
        <v>81081.08108108108</v>
      </c>
      <c r="U38" s="231">
        <f t="shared" si="10"/>
        <v>40540.54054054054</v>
      </c>
      <c r="V38" s="231">
        <f t="shared" si="17"/>
        <v>81081.08108108108</v>
      </c>
      <c r="W38" s="231">
        <f t="shared" si="12"/>
        <v>40540.54054054054</v>
      </c>
      <c r="X38" s="231">
        <v>1</v>
      </c>
      <c r="Y38" s="231">
        <f t="shared" si="13"/>
        <v>40540.54054054054</v>
      </c>
      <c r="Z38" s="231">
        <f t="shared" si="18"/>
        <v>7924.2001085153615</v>
      </c>
    </row>
    <row r="39" spans="2:50" x14ac:dyDescent="0.25">
      <c r="B39" t="s">
        <v>1643</v>
      </c>
      <c r="C39" s="230">
        <f>D40</f>
        <v>46780</v>
      </c>
      <c r="D39" s="230">
        <f>C39</f>
        <v>46780</v>
      </c>
      <c r="E39" s="230">
        <f>C39</f>
        <v>46780</v>
      </c>
      <c r="F39" s="24">
        <f t="shared" si="0"/>
        <v>2028</v>
      </c>
      <c r="G39" s="24">
        <f t="shared" si="1"/>
        <v>339</v>
      </c>
      <c r="H39" t="s">
        <v>1622</v>
      </c>
      <c r="I39" s="231">
        <f>1500000*AF16</f>
        <v>6000000</v>
      </c>
      <c r="J39" s="232">
        <f t="shared" si="19"/>
        <v>16216.216216216217</v>
      </c>
      <c r="K39" s="2">
        <v>0.2</v>
      </c>
      <c r="L39" s="231">
        <f t="shared" si="3"/>
        <v>23074.120696038506</v>
      </c>
      <c r="M39" s="231">
        <f t="shared" si="4"/>
        <v>6857.904479822289</v>
      </c>
      <c r="N39" s="231">
        <f t="shared" si="5"/>
        <v>21124.936984272696</v>
      </c>
      <c r="O39" s="231">
        <f t="shared" si="6"/>
        <v>4908.720768056479</v>
      </c>
      <c r="Q39" s="2">
        <v>0.2</v>
      </c>
      <c r="R39" s="231">
        <f t="shared" si="7"/>
        <v>32432.432432432433</v>
      </c>
      <c r="S39" s="231">
        <f t="shared" si="8"/>
        <v>16216.216216216217</v>
      </c>
      <c r="T39" s="231">
        <f t="shared" si="16"/>
        <v>32432.432432432433</v>
      </c>
      <c r="U39" s="231">
        <f t="shared" si="10"/>
        <v>16216.216216216217</v>
      </c>
      <c r="V39" s="231">
        <f t="shared" si="17"/>
        <v>32432.432432432433</v>
      </c>
      <c r="W39" s="231">
        <f t="shared" si="12"/>
        <v>16216.216216216217</v>
      </c>
      <c r="X39" s="231">
        <v>1</v>
      </c>
      <c r="Y39" s="231">
        <f t="shared" si="13"/>
        <v>16216.216216216217</v>
      </c>
      <c r="Z39" s="231">
        <f t="shared" si="18"/>
        <v>2902.979000370234</v>
      </c>
    </row>
    <row r="40" spans="2:50" x14ac:dyDescent="0.25">
      <c r="C40" s="230">
        <v>46600</v>
      </c>
      <c r="D40" s="230">
        <f>C40+180</f>
        <v>46780</v>
      </c>
      <c r="E40" s="230">
        <f>D40</f>
        <v>46780</v>
      </c>
      <c r="F40" s="24">
        <f t="shared" si="0"/>
        <v>2028</v>
      </c>
      <c r="G40" s="24">
        <f t="shared" si="1"/>
        <v>339</v>
      </c>
      <c r="H40" t="s">
        <v>1621</v>
      </c>
      <c r="I40" s="231">
        <f>55000000/280*AF7*1.15</f>
        <v>45178571.428571425</v>
      </c>
      <c r="J40" s="232">
        <f t="shared" si="19"/>
        <v>122104.2471042471</v>
      </c>
      <c r="K40" s="2">
        <v>0.2</v>
      </c>
      <c r="L40" s="231">
        <f t="shared" si="3"/>
        <v>173742.63500290897</v>
      </c>
      <c r="M40" s="231">
        <f t="shared" si="4"/>
        <v>51638.387898661866</v>
      </c>
      <c r="N40" s="231">
        <f t="shared" si="5"/>
        <v>159065.7457446724</v>
      </c>
      <c r="O40" s="231">
        <f t="shared" si="6"/>
        <v>36961.4986404253</v>
      </c>
      <c r="Q40" s="2">
        <v>0.2</v>
      </c>
      <c r="R40" s="231">
        <f t="shared" si="7"/>
        <v>244208.4942084942</v>
      </c>
      <c r="S40" s="231">
        <f t="shared" si="8"/>
        <v>122104.2471042471</v>
      </c>
      <c r="T40" s="231">
        <f t="shared" si="16"/>
        <v>244208.4942084942</v>
      </c>
      <c r="U40" s="231">
        <f t="shared" si="10"/>
        <v>122104.2471042471</v>
      </c>
      <c r="V40" s="231">
        <f t="shared" si="17"/>
        <v>244208.4942084942</v>
      </c>
      <c r="W40" s="231">
        <f t="shared" si="12"/>
        <v>122104.2471042471</v>
      </c>
      <c r="X40" s="231">
        <v>1</v>
      </c>
      <c r="Y40" s="231">
        <f t="shared" si="13"/>
        <v>122104.2471042471</v>
      </c>
      <c r="Z40" s="231">
        <f t="shared" si="18"/>
        <v>21858.740687311583</v>
      </c>
      <c r="AA40" t="s">
        <v>1837</v>
      </c>
      <c r="AB40" s="2">
        <v>0.7</v>
      </c>
    </row>
    <row r="41" spans="2:50" x14ac:dyDescent="0.25">
      <c r="B41" t="s">
        <v>1644</v>
      </c>
      <c r="C41" s="230">
        <f>E42</f>
        <v>46780</v>
      </c>
      <c r="D41" s="230">
        <f>C41</f>
        <v>46780</v>
      </c>
      <c r="E41" s="230">
        <f>C41</f>
        <v>46780</v>
      </c>
      <c r="F41" s="24">
        <f t="shared" si="0"/>
        <v>2028</v>
      </c>
      <c r="G41" s="24">
        <f t="shared" si="1"/>
        <v>339</v>
      </c>
      <c r="H41" t="s">
        <v>1622</v>
      </c>
      <c r="I41" s="231">
        <f>1147500*AF16</f>
        <v>4590000</v>
      </c>
      <c r="J41" s="232">
        <f t="shared" si="19"/>
        <v>12405.405405405405</v>
      </c>
      <c r="K41" s="2">
        <v>0.2</v>
      </c>
      <c r="L41" s="231">
        <f t="shared" si="3"/>
        <v>17651.702332469456</v>
      </c>
      <c r="M41" s="231">
        <f t="shared" si="4"/>
        <v>5246.2969270640515</v>
      </c>
      <c r="N41" s="231">
        <f t="shared" si="5"/>
        <v>16160.576792968612</v>
      </c>
      <c r="O41" s="231">
        <f t="shared" si="6"/>
        <v>3755.1713875632067</v>
      </c>
      <c r="Q41" s="2">
        <v>0.2</v>
      </c>
      <c r="R41" s="231">
        <f t="shared" si="7"/>
        <v>24810.81081081081</v>
      </c>
      <c r="S41" s="231">
        <f t="shared" si="8"/>
        <v>12405.405405405405</v>
      </c>
      <c r="T41" s="231">
        <f t="shared" si="16"/>
        <v>24810.81081081081</v>
      </c>
      <c r="U41" s="231">
        <f t="shared" si="10"/>
        <v>12405.405405405405</v>
      </c>
      <c r="V41" s="231">
        <f t="shared" si="17"/>
        <v>24810.81081081081</v>
      </c>
      <c r="W41" s="231">
        <f t="shared" si="12"/>
        <v>12405.405405405405</v>
      </c>
      <c r="X41" s="231">
        <v>1</v>
      </c>
      <c r="Y41" s="231">
        <f t="shared" si="13"/>
        <v>12405.405405405405</v>
      </c>
      <c r="Z41" s="231">
        <f t="shared" si="18"/>
        <v>2220.778935283229</v>
      </c>
      <c r="AA41" t="s">
        <v>1838</v>
      </c>
      <c r="AB41" s="2">
        <v>0.06</v>
      </c>
    </row>
    <row r="42" spans="2:50" x14ac:dyDescent="0.25">
      <c r="C42" s="230">
        <v>46600</v>
      </c>
      <c r="D42" s="230">
        <f>C42+180</f>
        <v>46780</v>
      </c>
      <c r="E42" s="230">
        <f>D42</f>
        <v>46780</v>
      </c>
      <c r="F42" s="24">
        <f t="shared" si="0"/>
        <v>2028</v>
      </c>
      <c r="G42" s="24">
        <f t="shared" si="1"/>
        <v>339</v>
      </c>
      <c r="H42" t="s">
        <v>1621</v>
      </c>
      <c r="I42" s="231">
        <f>7000000/40*AF10</f>
        <v>35000000</v>
      </c>
      <c r="J42" s="232">
        <f t="shared" si="19"/>
        <v>94594.5945945946</v>
      </c>
      <c r="K42" s="2">
        <v>0.2</v>
      </c>
      <c r="L42" s="231">
        <f t="shared" si="3"/>
        <v>134599.03739355793</v>
      </c>
      <c r="M42" s="231">
        <f t="shared" si="4"/>
        <v>40004.442798963326</v>
      </c>
      <c r="N42" s="231">
        <f t="shared" si="5"/>
        <v>123228.79907492406</v>
      </c>
      <c r="O42" s="231">
        <f t="shared" si="6"/>
        <v>28634.204480329456</v>
      </c>
      <c r="Q42" s="2">
        <v>0.2</v>
      </c>
      <c r="R42" s="231">
        <f t="shared" si="7"/>
        <v>189189.1891891892</v>
      </c>
      <c r="S42" s="231">
        <f t="shared" si="8"/>
        <v>94594.5945945946</v>
      </c>
      <c r="T42" s="231">
        <f t="shared" si="16"/>
        <v>189189.1891891892</v>
      </c>
      <c r="U42" s="231">
        <f t="shared" si="10"/>
        <v>94594.5945945946</v>
      </c>
      <c r="V42" s="231">
        <f t="shared" si="17"/>
        <v>189189.1891891892</v>
      </c>
      <c r="W42" s="231">
        <f t="shared" si="12"/>
        <v>94594.5945945946</v>
      </c>
      <c r="X42" s="231">
        <v>1</v>
      </c>
      <c r="Y42" s="231">
        <f t="shared" si="13"/>
        <v>94594.5945945946</v>
      </c>
      <c r="Z42" s="231">
        <f t="shared" si="18"/>
        <v>16934.044168826367</v>
      </c>
      <c r="AA42" t="s">
        <v>1839</v>
      </c>
      <c r="AB42" s="19">
        <v>2500</v>
      </c>
    </row>
    <row r="43" spans="2:50" x14ac:dyDescent="0.25">
      <c r="B43" t="s">
        <v>1645</v>
      </c>
      <c r="C43" s="230">
        <f>D19</f>
        <v>47126</v>
      </c>
      <c r="D43" s="230">
        <f>C43+75</f>
        <v>47201</v>
      </c>
      <c r="E43" s="230">
        <f>C43</f>
        <v>47126</v>
      </c>
      <c r="F43" s="24">
        <f t="shared" si="0"/>
        <v>2029</v>
      </c>
      <c r="G43" s="24">
        <f t="shared" si="1"/>
        <v>358</v>
      </c>
      <c r="H43" t="s">
        <v>1622</v>
      </c>
      <c r="I43" s="231">
        <f>2500000*AF16*2</f>
        <v>20000000</v>
      </c>
      <c r="J43" s="232">
        <f t="shared" si="19"/>
        <v>54054.05405405405</v>
      </c>
      <c r="K43" s="2">
        <v>0.2</v>
      </c>
      <c r="L43" s="231">
        <f t="shared" si="3"/>
        <v>64657.53424657534</v>
      </c>
      <c r="M43" s="231">
        <f t="shared" si="4"/>
        <v>10603.480192521289</v>
      </c>
      <c r="N43" s="231">
        <f t="shared" si="5"/>
        <v>59195.59642209295</v>
      </c>
      <c r="O43" s="231">
        <f t="shared" si="6"/>
        <v>5141.542368038899</v>
      </c>
      <c r="P43" t="s">
        <v>1840</v>
      </c>
      <c r="Q43" s="2">
        <v>0.2</v>
      </c>
      <c r="R43" s="231">
        <f t="shared" si="7"/>
        <v>108108.1081081081</v>
      </c>
      <c r="S43" s="231">
        <f t="shared" si="8"/>
        <v>54054.05405405405</v>
      </c>
      <c r="T43" s="231">
        <f t="shared" si="16"/>
        <v>108108.1081081081</v>
      </c>
      <c r="U43" s="231">
        <f t="shared" si="10"/>
        <v>54054.05405405405</v>
      </c>
      <c r="V43" s="231">
        <f t="shared" si="17"/>
        <v>108108.1081081081</v>
      </c>
      <c r="W43" s="231">
        <f t="shared" si="12"/>
        <v>54054.05405405405</v>
      </c>
      <c r="X43" s="231">
        <v>1</v>
      </c>
      <c r="Y43" s="231">
        <f t="shared" si="13"/>
        <v>54054.05405405405</v>
      </c>
      <c r="Z43" s="231">
        <f t="shared" si="18"/>
        <v>4718.548685671972</v>
      </c>
      <c r="AA43" t="s">
        <v>1841</v>
      </c>
      <c r="AB43" s="233">
        <f>DATE(2026,10,26)</f>
        <v>46321</v>
      </c>
    </row>
    <row r="44" spans="2:50" x14ac:dyDescent="0.25">
      <c r="C44" s="230">
        <f>C43-60</f>
        <v>47066</v>
      </c>
      <c r="D44" s="230">
        <f>C44</f>
        <v>47066</v>
      </c>
      <c r="E44" s="230">
        <f>C44</f>
        <v>47066</v>
      </c>
      <c r="F44" s="24">
        <f t="shared" si="0"/>
        <v>2028</v>
      </c>
      <c r="G44" s="24">
        <f t="shared" si="1"/>
        <v>53</v>
      </c>
      <c r="H44" t="s">
        <v>1629</v>
      </c>
      <c r="I44" s="231">
        <f>1500000*AF16*2</f>
        <v>12000000</v>
      </c>
      <c r="J44" s="232">
        <f t="shared" si="19"/>
        <v>32432.432432432433</v>
      </c>
      <c r="K44" s="2">
        <v>0.2</v>
      </c>
      <c r="L44" s="231">
        <f t="shared" si="3"/>
        <v>40049.16697519438</v>
      </c>
      <c r="M44" s="231">
        <f t="shared" si="4"/>
        <v>7616.734542761944</v>
      </c>
      <c r="N44" s="231">
        <f t="shared" si="5"/>
        <v>36666.018166787544</v>
      </c>
      <c r="O44" s="231">
        <f t="shared" si="6"/>
        <v>4233.585734355111</v>
      </c>
      <c r="P44" t="s">
        <v>1840</v>
      </c>
      <c r="Q44" s="2">
        <v>0.2</v>
      </c>
      <c r="R44" s="231">
        <f t="shared" si="7"/>
        <v>64864.86486486487</v>
      </c>
      <c r="S44" s="231">
        <f t="shared" si="8"/>
        <v>32432.432432432433</v>
      </c>
      <c r="T44" s="231">
        <f t="shared" si="16"/>
        <v>64864.86486486487</v>
      </c>
      <c r="U44" s="231">
        <f t="shared" si="10"/>
        <v>32432.432432432433</v>
      </c>
      <c r="V44" s="231">
        <f t="shared" si="17"/>
        <v>64864.86486486487</v>
      </c>
      <c r="W44" s="231">
        <f t="shared" si="12"/>
        <v>32432.432432432433</v>
      </c>
      <c r="X44" s="231">
        <v>1</v>
      </c>
      <c r="Y44" s="231">
        <f t="shared" si="13"/>
        <v>32432.432432432433</v>
      </c>
      <c r="Z44" s="231">
        <f t="shared" si="18"/>
        <v>3342.9230359126204</v>
      </c>
      <c r="AA44" t="s">
        <v>1842</v>
      </c>
      <c r="AB44" s="233">
        <f>DATE(2029,12,31)</f>
        <v>47483</v>
      </c>
    </row>
    <row r="45" spans="2:50" x14ac:dyDescent="0.25">
      <c r="B45" t="s">
        <v>1646</v>
      </c>
      <c r="C45" s="230" t="s">
        <v>1843</v>
      </c>
      <c r="D45" s="230" t="s">
        <v>1843</v>
      </c>
      <c r="E45" s="230" t="s">
        <v>1843</v>
      </c>
      <c r="F45" s="24">
        <v>2027</v>
      </c>
      <c r="G45" s="24">
        <v>0</v>
      </c>
      <c r="H45" t="s">
        <v>1646</v>
      </c>
      <c r="I45" s="231">
        <f>J45*$AF$6</f>
        <v>7400000</v>
      </c>
      <c r="J45" s="232">
        <v>20000</v>
      </c>
      <c r="K45" s="2">
        <v>0.2</v>
      </c>
      <c r="L45" s="231">
        <f t="shared" si="3"/>
        <v>28800</v>
      </c>
      <c r="M45" s="231">
        <f t="shared" si="4"/>
        <v>8800</v>
      </c>
      <c r="N45" s="231">
        <f t="shared" si="5"/>
        <v>26367.123287671235</v>
      </c>
      <c r="O45" s="231">
        <f t="shared" si="6"/>
        <v>6367.123287671235</v>
      </c>
      <c r="Q45" s="2">
        <v>0.2</v>
      </c>
      <c r="R45" s="231">
        <f t="shared" si="7"/>
        <v>40000</v>
      </c>
      <c r="S45" s="231">
        <f t="shared" si="8"/>
        <v>20000</v>
      </c>
      <c r="T45" s="231">
        <f t="shared" si="16"/>
        <v>40000</v>
      </c>
      <c r="U45" s="231">
        <f t="shared" si="10"/>
        <v>20000</v>
      </c>
      <c r="V45" s="231">
        <f t="shared" si="17"/>
        <v>40000</v>
      </c>
      <c r="W45" s="231">
        <f t="shared" si="12"/>
        <v>20000</v>
      </c>
      <c r="X45" s="231">
        <v>1</v>
      </c>
      <c r="Y45" s="231">
        <f t="shared" si="13"/>
        <v>20000</v>
      </c>
      <c r="Z45" s="231">
        <f t="shared" si="18"/>
        <v>3718.42</v>
      </c>
      <c r="AB45" t="s">
        <v>1774</v>
      </c>
      <c r="AD45" t="s">
        <v>1844</v>
      </c>
      <c r="AG45" t="s">
        <v>1845</v>
      </c>
      <c r="AL45" t="s">
        <v>1846</v>
      </c>
      <c r="AV45" t="s">
        <v>1847</v>
      </c>
    </row>
    <row r="46" spans="2:50" x14ac:dyDescent="0.25">
      <c r="B46" t="s">
        <v>1647</v>
      </c>
      <c r="C46" s="230" t="s">
        <v>1843</v>
      </c>
      <c r="D46" s="230" t="s">
        <v>1843</v>
      </c>
      <c r="E46" s="230" t="s">
        <v>1843</v>
      </c>
      <c r="F46" s="24">
        <v>2027</v>
      </c>
      <c r="G46" s="24">
        <v>0</v>
      </c>
      <c r="H46" t="s">
        <v>1647</v>
      </c>
      <c r="I46" s="231">
        <f>J46*$AF$6</f>
        <v>29600000</v>
      </c>
      <c r="J46" s="232">
        <v>80000</v>
      </c>
      <c r="K46" s="2">
        <v>0.2</v>
      </c>
      <c r="L46" s="231">
        <f t="shared" si="3"/>
        <v>115200</v>
      </c>
      <c r="M46" s="231">
        <f t="shared" si="4"/>
        <v>35200</v>
      </c>
      <c r="N46" s="231">
        <f t="shared" si="5"/>
        <v>105468.49315068494</v>
      </c>
      <c r="O46" s="231">
        <f t="shared" si="6"/>
        <v>25468.49315068494</v>
      </c>
      <c r="Q46" s="2">
        <v>0.2</v>
      </c>
      <c r="R46" s="231">
        <f t="shared" si="7"/>
        <v>160000</v>
      </c>
      <c r="S46" s="231">
        <f t="shared" si="8"/>
        <v>80000</v>
      </c>
      <c r="T46" s="231">
        <f t="shared" si="16"/>
        <v>0</v>
      </c>
      <c r="U46" s="231">
        <f t="shared" si="10"/>
        <v>0</v>
      </c>
      <c r="V46" s="231">
        <f t="shared" si="17"/>
        <v>0</v>
      </c>
      <c r="W46" s="231">
        <f t="shared" si="12"/>
        <v>0</v>
      </c>
      <c r="X46" s="231">
        <v>0</v>
      </c>
      <c r="Y46" s="231">
        <f t="shared" si="13"/>
        <v>0</v>
      </c>
      <c r="Z46" s="231">
        <f t="shared" si="18"/>
        <v>0</v>
      </c>
      <c r="AB46" s="231" t="s">
        <v>1848</v>
      </c>
      <c r="AC46" s="231" t="s">
        <v>1849</v>
      </c>
      <c r="AD46" s="231" t="s">
        <v>1848</v>
      </c>
      <c r="AE46" s="231" t="s">
        <v>1849</v>
      </c>
      <c r="AH46" s="231" t="s">
        <v>1848</v>
      </c>
      <c r="AI46" s="231" t="s">
        <v>1849</v>
      </c>
      <c r="AM46" s="231" t="s">
        <v>1848</v>
      </c>
      <c r="AN46" s="231" t="s">
        <v>1849</v>
      </c>
      <c r="AW46" s="231" t="s">
        <v>1848</v>
      </c>
      <c r="AX46" s="231" t="s">
        <v>1849</v>
      </c>
    </row>
    <row r="47" spans="2:50" x14ac:dyDescent="0.25">
      <c r="B47" t="s">
        <v>1648</v>
      </c>
      <c r="C47" s="230" t="s">
        <v>1843</v>
      </c>
      <c r="D47" s="230" t="s">
        <v>1843</v>
      </c>
      <c r="E47" s="230" t="s">
        <v>1843</v>
      </c>
      <c r="F47" s="24">
        <v>2027</v>
      </c>
      <c r="G47" s="24">
        <v>0</v>
      </c>
      <c r="H47" t="s">
        <v>1648</v>
      </c>
      <c r="I47" s="231">
        <f>J47*$AF$6</f>
        <v>18500000</v>
      </c>
      <c r="J47" s="232">
        <v>50000</v>
      </c>
      <c r="K47" s="2">
        <v>0.2</v>
      </c>
      <c r="L47" s="231">
        <f t="shared" si="3"/>
        <v>72000</v>
      </c>
      <c r="M47" s="231">
        <f t="shared" si="4"/>
        <v>22000</v>
      </c>
      <c r="N47" s="231">
        <f t="shared" si="5"/>
        <v>65917.80821917808</v>
      </c>
      <c r="O47" s="231">
        <f t="shared" si="6"/>
        <v>15917.808219178085</v>
      </c>
      <c r="Q47" s="2">
        <v>0.2</v>
      </c>
      <c r="R47" s="231">
        <f t="shared" si="7"/>
        <v>100000</v>
      </c>
      <c r="S47" s="231">
        <f t="shared" si="8"/>
        <v>50000</v>
      </c>
      <c r="T47" s="231">
        <f t="shared" si="16"/>
        <v>0</v>
      </c>
      <c r="U47" s="231">
        <f t="shared" si="10"/>
        <v>0</v>
      </c>
      <c r="V47" s="231">
        <f t="shared" si="17"/>
        <v>0</v>
      </c>
      <c r="W47" s="231">
        <f t="shared" si="12"/>
        <v>0</v>
      </c>
      <c r="X47" s="231">
        <v>0</v>
      </c>
      <c r="Y47" s="231">
        <f t="shared" si="13"/>
        <v>0</v>
      </c>
      <c r="Z47" s="231">
        <f t="shared" si="18"/>
        <v>0</v>
      </c>
      <c r="AA47" t="s">
        <v>1850</v>
      </c>
      <c r="AB47" s="231">
        <v>30000000</v>
      </c>
      <c r="AC47" s="231">
        <v>150000</v>
      </c>
      <c r="AD47" s="231">
        <f>150000*200</f>
        <v>30000000</v>
      </c>
      <c r="AE47" s="231">
        <f t="shared" ref="AE47:AE54" si="20">AD47/200</f>
        <v>150000</v>
      </c>
      <c r="AG47" t="s">
        <v>1850</v>
      </c>
      <c r="AH47" s="231">
        <f>150000*200</f>
        <v>30000000</v>
      </c>
      <c r="AI47" s="231">
        <f>AH47/200</f>
        <v>150000</v>
      </c>
      <c r="AL47" t="s">
        <v>1850</v>
      </c>
      <c r="AM47" s="231">
        <f>150000*200</f>
        <v>30000000</v>
      </c>
      <c r="AN47" s="231">
        <f>AM47/200</f>
        <v>150000</v>
      </c>
      <c r="AV47" t="s">
        <v>1850</v>
      </c>
      <c r="AW47" s="231">
        <f>150000*200</f>
        <v>30000000</v>
      </c>
      <c r="AX47" s="231">
        <f>AW47/200</f>
        <v>150000</v>
      </c>
    </row>
    <row r="48" spans="2:50" x14ac:dyDescent="0.25">
      <c r="B48" t="s">
        <v>1650</v>
      </c>
      <c r="C48" s="230">
        <f>D43</f>
        <v>47201</v>
      </c>
      <c r="D48" s="230">
        <f>C48</f>
        <v>47201</v>
      </c>
      <c r="E48" s="230">
        <f>C48</f>
        <v>47201</v>
      </c>
      <c r="F48" s="24">
        <f>YEAR(E48)</f>
        <v>2029</v>
      </c>
      <c r="G48" s="24">
        <f>DATE(YEAR(E48),12,31)-E48+1</f>
        <v>283</v>
      </c>
      <c r="H48" t="s">
        <v>1818</v>
      </c>
      <c r="I48" s="231">
        <f>38000000*0.4*6</f>
        <v>91200000</v>
      </c>
      <c r="J48" s="232">
        <f>I48/$AF$6</f>
        <v>246486.48648648648</v>
      </c>
      <c r="K48" s="2">
        <v>0.2</v>
      </c>
      <c r="L48" s="231">
        <f t="shared" si="3"/>
        <v>284708.7745279526</v>
      </c>
      <c r="M48" s="231">
        <f t="shared" si="4"/>
        <v>38222.28804146612</v>
      </c>
      <c r="N48" s="231">
        <f t="shared" si="5"/>
        <v>260658.0333007055</v>
      </c>
      <c r="O48" s="231">
        <f t="shared" si="6"/>
        <v>14171.546814219008</v>
      </c>
      <c r="Q48" s="2">
        <v>0.2</v>
      </c>
      <c r="R48" s="231">
        <f t="shared" si="7"/>
        <v>492972.97297297296</v>
      </c>
      <c r="S48" s="231">
        <f t="shared" si="8"/>
        <v>246486.48648648648</v>
      </c>
      <c r="T48" s="231">
        <f t="shared" si="16"/>
        <v>0</v>
      </c>
      <c r="U48" s="231">
        <f t="shared" si="10"/>
        <v>0</v>
      </c>
      <c r="V48" s="231">
        <f t="shared" si="17"/>
        <v>0</v>
      </c>
      <c r="W48" s="231">
        <f t="shared" si="12"/>
        <v>0</v>
      </c>
      <c r="X48" s="231">
        <v>0</v>
      </c>
      <c r="Y48" s="231">
        <f t="shared" si="13"/>
        <v>0</v>
      </c>
      <c r="Z48" s="231">
        <f t="shared" si="18"/>
        <v>0</v>
      </c>
      <c r="AA48" t="s">
        <v>1851</v>
      </c>
      <c r="AB48" s="231">
        <v>7143669.1524860105</v>
      </c>
      <c r="AC48" s="231">
        <v>35718.345762429999</v>
      </c>
      <c r="AD48" s="231">
        <f>S50</f>
        <v>60694745.783386946</v>
      </c>
      <c r="AE48" s="231">
        <f t="shared" si="20"/>
        <v>303473.72891693475</v>
      </c>
      <c r="AG48" t="s">
        <v>1852</v>
      </c>
      <c r="AH48" s="231">
        <v>500000</v>
      </c>
      <c r="AI48" s="231">
        <f>AH48/200</f>
        <v>2500</v>
      </c>
      <c r="AL48" t="s">
        <v>1852</v>
      </c>
      <c r="AM48" s="231">
        <v>150000</v>
      </c>
      <c r="AN48" s="231">
        <f>AM48/200</f>
        <v>750</v>
      </c>
      <c r="AV48" t="s">
        <v>1852</v>
      </c>
      <c r="AW48" s="231">
        <f>AH48</f>
        <v>500000</v>
      </c>
      <c r="AX48" s="231">
        <f>AW48/200</f>
        <v>2500</v>
      </c>
    </row>
    <row r="49" spans="2:51" x14ac:dyDescent="0.25">
      <c r="B49" t="s">
        <v>1651</v>
      </c>
      <c r="C49" s="230" t="s">
        <v>1843</v>
      </c>
      <c r="D49" s="230" t="s">
        <v>1843</v>
      </c>
      <c r="E49" s="230" t="s">
        <v>1843</v>
      </c>
      <c r="F49" s="24">
        <v>2028</v>
      </c>
      <c r="G49" s="24">
        <v>0</v>
      </c>
      <c r="H49" t="s">
        <v>1651</v>
      </c>
      <c r="I49" s="231">
        <f>0.1*(SUM(I5:I48)-I6-I7-I8-I18-I19-I9-I10-I11-I12-I13)</f>
        <v>106258615.62448998</v>
      </c>
      <c r="J49" s="231">
        <f>0.1*(SUM(J5:J48)-J6-J7-J8-J18-J19-J9-J10-J11-J12-J13)</f>
        <v>287185.447633756</v>
      </c>
      <c r="K49" s="2">
        <v>0.2</v>
      </c>
      <c r="L49" s="231">
        <f t="shared" si="3"/>
        <v>344622.53716050717</v>
      </c>
      <c r="M49" s="231">
        <f t="shared" si="4"/>
        <v>57437.089526751195</v>
      </c>
      <c r="N49" s="231">
        <f t="shared" si="5"/>
        <v>315510.5876743456</v>
      </c>
      <c r="O49" s="231">
        <f t="shared" si="6"/>
        <v>28325.140040589613</v>
      </c>
      <c r="Q49" s="2">
        <v>0.2</v>
      </c>
      <c r="R49" s="231">
        <f t="shared" si="7"/>
        <v>574370.895267512</v>
      </c>
      <c r="S49" s="231">
        <f t="shared" si="8"/>
        <v>287185.447633756</v>
      </c>
      <c r="T49" s="231">
        <f t="shared" si="16"/>
        <v>463294.94932156376</v>
      </c>
      <c r="U49" s="231">
        <f t="shared" si="10"/>
        <v>231647.47466078188</v>
      </c>
      <c r="V49" s="231">
        <f t="shared" si="17"/>
        <v>463294.94932156376</v>
      </c>
      <c r="W49" s="231">
        <f t="shared" si="12"/>
        <v>231647.47466078188</v>
      </c>
      <c r="Y49" s="231">
        <f>0.1*(SUM(Y5:Y48)-Y6-Y7-Y8-Y9-Y10-Y11-Y12-Y13-Y18-Y19)</f>
        <v>231647.47466078188</v>
      </c>
      <c r="Z49" s="231">
        <f t="shared" si="18"/>
        <v>20616.62524480958</v>
      </c>
      <c r="AA49" t="s">
        <v>1853</v>
      </c>
      <c r="AB49" s="231">
        <v>1500000</v>
      </c>
      <c r="AC49" s="231">
        <v>7500</v>
      </c>
      <c r="AD49" s="231">
        <f>2500*3*200</f>
        <v>1500000</v>
      </c>
      <c r="AE49" s="231">
        <f t="shared" si="20"/>
        <v>7500</v>
      </c>
      <c r="AG49" t="s">
        <v>1851</v>
      </c>
      <c r="AH49" s="231">
        <f>U50</f>
        <v>8170313.026793379</v>
      </c>
      <c r="AI49" s="231">
        <f>AH49/200</f>
        <v>40851.5651339669</v>
      </c>
      <c r="AL49" t="s">
        <v>1851</v>
      </c>
      <c r="AM49" s="231">
        <f>W50</f>
        <v>11255602.610899718</v>
      </c>
      <c r="AN49" s="231">
        <f>AM49/200</f>
        <v>56278.013054498595</v>
      </c>
      <c r="AV49" t="s">
        <v>1851</v>
      </c>
      <c r="AW49" s="231">
        <f>AH49</f>
        <v>8170313.026793379</v>
      </c>
      <c r="AX49" s="231">
        <f>AW49/200</f>
        <v>40851.5651339669</v>
      </c>
    </row>
    <row r="50" spans="2:51" x14ac:dyDescent="0.25">
      <c r="B50" t="s">
        <v>1854</v>
      </c>
      <c r="I50" s="231">
        <f>SUM(I5:I49)</f>
        <v>22460451775.86939</v>
      </c>
      <c r="J50" s="231">
        <f>SUM(J5:J49)</f>
        <v>60703923.71856592</v>
      </c>
      <c r="L50" s="231">
        <f>SUM(L5:L49)</f>
        <v>70642902.32385632</v>
      </c>
      <c r="M50" s="231">
        <f>SUM(M5:M49)</f>
        <v>9938978.605290418</v>
      </c>
      <c r="N50" s="231">
        <f>SUM(N5:N49)</f>
        <v>67174350.27133371</v>
      </c>
      <c r="O50" s="231">
        <f>SUM(O5:O49)</f>
        <v>6470426.552767792</v>
      </c>
      <c r="R50" s="231">
        <f t="shared" ref="R50:W50" si="21">SUM(R5:R49)</f>
        <v>121398669.50195286</v>
      </c>
      <c r="S50" s="231">
        <f t="shared" si="21"/>
        <v>60694745.783386946</v>
      </c>
      <c r="T50" s="231">
        <f t="shared" si="21"/>
        <v>68263319.0426566</v>
      </c>
      <c r="U50" s="231">
        <f t="shared" si="21"/>
        <v>8170313.026793379</v>
      </c>
      <c r="V50" s="231">
        <f t="shared" si="21"/>
        <v>71348608.62676293</v>
      </c>
      <c r="W50" s="231">
        <f t="shared" si="21"/>
        <v>11255602.610899718</v>
      </c>
      <c r="Y50" s="231">
        <f>SUM(Y5:Y49)</f>
        <v>60093006.01586321</v>
      </c>
      <c r="Z50" s="231">
        <f>SUM(Z5:Z49)</f>
        <v>7457250.611973543</v>
      </c>
      <c r="AA50" t="s">
        <v>1855</v>
      </c>
      <c r="AB50" s="231">
        <v>21356330.847514</v>
      </c>
      <c r="AC50" s="231">
        <v>106781.65423756999</v>
      </c>
      <c r="AD50" s="231">
        <f>IF(AD47-AD48-AD49&lt;0,0,AD47-AD48-AD49)</f>
        <v>0</v>
      </c>
      <c r="AE50" s="231">
        <f t="shared" si="20"/>
        <v>0</v>
      </c>
      <c r="AG50" t="s">
        <v>1853</v>
      </c>
      <c r="AH50" s="231">
        <f>$AB$42*$AF$7*YEARFRAC($AB$43,$AB$44)</f>
        <v>1590277.7777777778</v>
      </c>
      <c r="AI50" s="231">
        <f>AH50/200</f>
        <v>7951.388888888889</v>
      </c>
      <c r="AL50" t="s">
        <v>1853</v>
      </c>
      <c r="AM50" s="231">
        <f>2500*3*200</f>
        <v>1500000</v>
      </c>
      <c r="AN50" s="231">
        <f>AM50/200</f>
        <v>7500</v>
      </c>
      <c r="AV50" t="s">
        <v>1853</v>
      </c>
      <c r="AW50" s="231">
        <f>AH50</f>
        <v>1590277.7777777778</v>
      </c>
      <c r="AX50" s="231">
        <f>AW50/200</f>
        <v>7951.388888888889</v>
      </c>
    </row>
    <row r="51" spans="2:51" x14ac:dyDescent="0.25">
      <c r="B51" t="s">
        <v>1856</v>
      </c>
      <c r="I51" s="231">
        <f>I50/$AF$7</f>
        <v>112302258.87934694</v>
      </c>
      <c r="J51" s="231">
        <f>J50/$AF$7</f>
        <v>303519.6185928296</v>
      </c>
      <c r="L51" s="231">
        <f>L50/$AF$7</f>
        <v>353214.5116192816</v>
      </c>
      <c r="M51" s="231">
        <f>M50/$AF$7</f>
        <v>49694.89302645209</v>
      </c>
      <c r="N51" s="231">
        <f>N50/$AF$7</f>
        <v>335871.75135666854</v>
      </c>
      <c r="O51" s="231">
        <f>O50/$AF$7</f>
        <v>32352.13276383896</v>
      </c>
      <c r="R51" s="231">
        <f t="shared" ref="R51:W51" si="22">R50/$AF$7</f>
        <v>606993.3475097643</v>
      </c>
      <c r="S51" s="231">
        <f t="shared" si="22"/>
        <v>303473.72891693475</v>
      </c>
      <c r="T51" s="231">
        <f t="shared" si="22"/>
        <v>341316.595213283</v>
      </c>
      <c r="U51" s="231">
        <f t="shared" si="22"/>
        <v>40851.5651339669</v>
      </c>
      <c r="V51" s="231">
        <f t="shared" si="22"/>
        <v>356743.04313381464</v>
      </c>
      <c r="W51" s="231">
        <f t="shared" si="22"/>
        <v>56278.013054498595</v>
      </c>
      <c r="AA51" t="s">
        <v>1857</v>
      </c>
      <c r="AB51" s="231">
        <v>14949431.5932598</v>
      </c>
      <c r="AC51" s="231">
        <v>74747.157966298997</v>
      </c>
      <c r="AD51" s="231">
        <f>AD50*0.7</f>
        <v>0</v>
      </c>
      <c r="AE51" s="231">
        <f t="shared" si="20"/>
        <v>0</v>
      </c>
      <c r="AG51" t="s">
        <v>47</v>
      </c>
      <c r="AH51" s="231">
        <f>AH47-AH49-AH50-AH48</f>
        <v>19739409.195428845</v>
      </c>
      <c r="AI51" s="231">
        <f>AH51/200</f>
        <v>98697.04597714423</v>
      </c>
      <c r="AL51" t="s">
        <v>47</v>
      </c>
      <c r="AM51" s="231">
        <f>AM47-AM49-AM50-AM48</f>
        <v>17094397.389100283</v>
      </c>
      <c r="AN51" s="231">
        <f>AM51/200</f>
        <v>85471.98694550141</v>
      </c>
      <c r="AV51" t="s">
        <v>47</v>
      </c>
      <c r="AW51" s="231">
        <f>AW47-AW49-AW50-AW48</f>
        <v>19739409.195428845</v>
      </c>
      <c r="AX51" s="231">
        <f>AW51/200</f>
        <v>98697.04597714423</v>
      </c>
    </row>
    <row r="52" spans="2:51" x14ac:dyDescent="0.25">
      <c r="B52" t="s">
        <v>1858</v>
      </c>
      <c r="I52" s="231">
        <f>I50-I6-I7-I8-I18-I19-I9-I10-I11-I12-I13</f>
        <v>1168844771.8693886</v>
      </c>
      <c r="J52" s="231">
        <f>J50-J54-J14-J15</f>
        <v>2980146.6807280746</v>
      </c>
      <c r="L52" s="231">
        <f>L50-L54</f>
        <v>4560253.447694898</v>
      </c>
      <c r="M52" s="234">
        <f>M50-M54</f>
        <v>1401213.5237235874</v>
      </c>
      <c r="N52" s="231">
        <f>N50-N54</f>
        <v>4175728.137206629</v>
      </c>
      <c r="O52" s="231">
        <f>O50-O54</f>
        <v>1016688.2132353168</v>
      </c>
      <c r="R52" s="231">
        <f t="shared" ref="R52:W52" si="23">R50-R54</f>
        <v>6308901.912763655</v>
      </c>
      <c r="S52" s="231">
        <f t="shared" si="23"/>
        <v>3149861.988792345</v>
      </c>
      <c r="T52" s="231">
        <f t="shared" si="23"/>
        <v>5264696.90852952</v>
      </c>
      <c r="U52" s="231">
        <f t="shared" si="23"/>
        <v>2716574.6872609043</v>
      </c>
      <c r="V52" s="231">
        <f t="shared" si="23"/>
        <v>5265959.7506015</v>
      </c>
      <c r="W52" s="231">
        <f t="shared" si="23"/>
        <v>2717837.5293328874</v>
      </c>
      <c r="Y52" s="231">
        <f>Y50-Y54</f>
        <v>2548122.221268609</v>
      </c>
      <c r="AA52" t="s">
        <v>1859</v>
      </c>
      <c r="AB52" s="231">
        <v>22093100.7457458</v>
      </c>
      <c r="AC52" s="231">
        <v>110465.503728729</v>
      </c>
      <c r="AD52" s="231">
        <f>MIN(AD48+AD51,AD47)</f>
        <v>30000000</v>
      </c>
      <c r="AE52" s="231">
        <f t="shared" si="20"/>
        <v>150000</v>
      </c>
    </row>
    <row r="53" spans="2:51" x14ac:dyDescent="0.25">
      <c r="B53" t="s">
        <v>1860</v>
      </c>
      <c r="I53" s="231">
        <f>I52/$AF$7</f>
        <v>5844223.859346943</v>
      </c>
      <c r="J53" s="231">
        <f>J52/$AF$7</f>
        <v>14900.733403640374</v>
      </c>
      <c r="L53" s="231">
        <f>L52/$AF$7</f>
        <v>22801.267238474487</v>
      </c>
      <c r="M53" s="231">
        <f>M52/$AF$7</f>
        <v>7006.067618617937</v>
      </c>
      <c r="N53" s="231">
        <f>N52/$AF$7</f>
        <v>20878.640686033144</v>
      </c>
      <c r="O53" s="231">
        <f>O52/$AF$7</f>
        <v>5083.441066176584</v>
      </c>
      <c r="R53" s="231">
        <f t="shared" ref="R53:W53" si="24">R52/$AF$7</f>
        <v>31544.509563818276</v>
      </c>
      <c r="S53" s="231">
        <f t="shared" si="24"/>
        <v>15749.309943961725</v>
      </c>
      <c r="T53" s="231">
        <f t="shared" si="24"/>
        <v>26323.4845426476</v>
      </c>
      <c r="U53" s="231">
        <f t="shared" si="24"/>
        <v>13582.873436304522</v>
      </c>
      <c r="V53" s="231">
        <f t="shared" si="24"/>
        <v>26329.7987530075</v>
      </c>
      <c r="W53" s="231">
        <f t="shared" si="24"/>
        <v>13589.187646664437</v>
      </c>
      <c r="AA53" t="s">
        <v>1861</v>
      </c>
      <c r="AB53" s="231">
        <v>6406899.2542541996</v>
      </c>
      <c r="AC53" s="231">
        <v>32034.496271271</v>
      </c>
      <c r="AD53" s="231">
        <f>AD50*0.3</f>
        <v>0</v>
      </c>
      <c r="AE53" s="231">
        <f t="shared" si="20"/>
        <v>0</v>
      </c>
      <c r="AG53" t="s">
        <v>42</v>
      </c>
      <c r="AH53" s="231">
        <f>Y52</f>
        <v>2548122.221268609</v>
      </c>
      <c r="AI53" s="231">
        <f>AH53/200</f>
        <v>12740.611106343045</v>
      </c>
      <c r="AL53" t="s">
        <v>42</v>
      </c>
      <c r="AM53" s="231">
        <f>J52</f>
        <v>2980146.6807280746</v>
      </c>
      <c r="AN53" s="231">
        <f>AM53/200</f>
        <v>14900.733403640374</v>
      </c>
      <c r="AV53" t="s">
        <v>42</v>
      </c>
      <c r="AW53" s="231">
        <f>AH53</f>
        <v>2548122.221268609</v>
      </c>
      <c r="AX53" s="231">
        <f>AW53/200</f>
        <v>12740.611106343045</v>
      </c>
    </row>
    <row r="54" spans="2:51" x14ac:dyDescent="0.25">
      <c r="B54" t="s">
        <v>1862</v>
      </c>
      <c r="I54" s="231">
        <f>I6+I7+I8+I18+I19+I9+I10+I11+I12+I13</f>
        <v>21291607004</v>
      </c>
      <c r="J54" s="231">
        <f>J6+J7+J8+J18+J19+J9+J10+J11+J12+J13</f>
        <v>57544883.7945946</v>
      </c>
      <c r="L54" s="231">
        <f>L6+L7+L8+L18+L19+L9+L10+L11+L12+L13</f>
        <v>66082648.87616143</v>
      </c>
      <c r="M54" s="231">
        <f>M6+M7+M8+M18+M19+M9+M10+M11+M12+M13</f>
        <v>8537765.081566831</v>
      </c>
      <c r="N54" s="231">
        <f>N6+N7+N8+N18+N19+N9+N10+N11+N12+N13</f>
        <v>62998622.13412708</v>
      </c>
      <c r="O54" s="231">
        <f>O6+O7+O8+O18+O19+O9+O10+O11+O12+O13</f>
        <v>5453738.339532475</v>
      </c>
      <c r="R54" s="231">
        <f t="shared" ref="R54:W54" si="25">R6+R7+R8+R18+R19+R9+R10+R11+R12+R13</f>
        <v>115089767.5891892</v>
      </c>
      <c r="S54" s="231">
        <f t="shared" si="25"/>
        <v>57544883.7945946</v>
      </c>
      <c r="T54" s="231">
        <f t="shared" si="25"/>
        <v>62998622.13412708</v>
      </c>
      <c r="U54" s="231">
        <f t="shared" si="25"/>
        <v>5453738.339532475</v>
      </c>
      <c r="V54" s="231">
        <f t="shared" si="25"/>
        <v>66082648.87616143</v>
      </c>
      <c r="W54" s="231">
        <f t="shared" si="25"/>
        <v>8537765.081566831</v>
      </c>
      <c r="Y54" s="231">
        <f>Y6+Y7+Y8+Y18+Y19+Y9+Y10+Y11+Y12+Y13</f>
        <v>57544883.7945946</v>
      </c>
      <c r="AA54" t="s">
        <v>1863</v>
      </c>
      <c r="AB54" s="231">
        <v>7906899.2542541996</v>
      </c>
      <c r="AC54" s="231">
        <v>39534.496271270997</v>
      </c>
      <c r="AD54" s="231">
        <f>AD53+AD49</f>
        <v>1500000</v>
      </c>
      <c r="AE54" s="231">
        <f t="shared" si="20"/>
        <v>7500</v>
      </c>
      <c r="AQ54" t="s">
        <v>1864</v>
      </c>
    </row>
    <row r="55" spans="2:51" x14ac:dyDescent="0.25">
      <c r="AG55" t="s">
        <v>1857</v>
      </c>
      <c r="AH55" s="231">
        <f>AH51*$AB$40</f>
        <v>13817586.436800191</v>
      </c>
      <c r="AI55" s="231">
        <f>AH55/200</f>
        <v>69087.93218400095</v>
      </c>
      <c r="AJ55" s="2">
        <f>AH55/(AH55+AH57)</f>
        <v>0.7</v>
      </c>
      <c r="AL55" t="s">
        <v>1857</v>
      </c>
      <c r="AM55" s="231">
        <f>AM51*$AB$40</f>
        <v>11966078.172370197</v>
      </c>
      <c r="AN55" s="231">
        <f>AM55/200</f>
        <v>59830.39086185099</v>
      </c>
      <c r="AO55" s="2">
        <f>AM55/(AM55+AM57)</f>
        <v>0.7</v>
      </c>
      <c r="AQ55" t="s">
        <v>1857</v>
      </c>
      <c r="AR55" s="231">
        <f>AH55-AM55</f>
        <v>1851508.264429994</v>
      </c>
      <c r="AS55" s="231">
        <f>AR55/200</f>
        <v>9257.54132214997</v>
      </c>
      <c r="AV55" t="s">
        <v>1857</v>
      </c>
      <c r="AW55" s="231">
        <f>AW51*$AB$40</f>
        <v>13817586.436800191</v>
      </c>
      <c r="AX55" s="231">
        <f>AW55/200</f>
        <v>69087.93218400095</v>
      </c>
      <c r="AY55" s="2">
        <f>AW55/(AW55+AW57)</f>
        <v>0.7</v>
      </c>
    </row>
    <row r="56" spans="2:51" x14ac:dyDescent="0.25">
      <c r="AG56" t="s">
        <v>1865</v>
      </c>
      <c r="AH56" s="231">
        <f>AH49+AH55-AH53</f>
        <v>19439777.242324963</v>
      </c>
      <c r="AI56" s="231">
        <f>AH56/200</f>
        <v>97198.88621162482</v>
      </c>
      <c r="AJ56" s="31">
        <f>+AH56/AH47</f>
        <v>0.6479925747441655</v>
      </c>
      <c r="AL56" t="s">
        <v>1865</v>
      </c>
      <c r="AM56" s="231">
        <f>AM49+AM55-AM53</f>
        <v>20241534.10254184</v>
      </c>
      <c r="AN56" s="231">
        <f>AM56/200</f>
        <v>101207.67051270921</v>
      </c>
      <c r="AO56" s="31">
        <f>+AM56/AM47</f>
        <v>0.6747178034180614</v>
      </c>
      <c r="AQ56" t="s">
        <v>1865</v>
      </c>
      <c r="AR56" s="231">
        <f>AH56-AM56</f>
        <v>-801756.8602168784</v>
      </c>
      <c r="AS56" s="231">
        <f>AR56/200</f>
        <v>-4008.7843010843917</v>
      </c>
      <c r="AV56" t="s">
        <v>1865</v>
      </c>
      <c r="AW56" s="231">
        <f>AW49+AW55-AW53</f>
        <v>19439777.242324963</v>
      </c>
      <c r="AX56" s="231">
        <f>AW56/200</f>
        <v>97198.88621162482</v>
      </c>
      <c r="AY56" s="31">
        <f>+AW56/AW47</f>
        <v>0.6479925747441655</v>
      </c>
    </row>
    <row r="57" spans="2:51" x14ac:dyDescent="0.25">
      <c r="AG57" t="s">
        <v>1861</v>
      </c>
      <c r="AH57" s="231">
        <f>AH51*(1-AB40)</f>
        <v>5921822.758628654</v>
      </c>
      <c r="AI57" s="231">
        <f>AH57/200</f>
        <v>29609.11379314327</v>
      </c>
      <c r="AJ57" s="2">
        <f>AH57/(AH55+AH57)</f>
        <v>0.30000000000000004</v>
      </c>
      <c r="AL57" t="s">
        <v>1861</v>
      </c>
      <c r="AM57" s="231">
        <f>AM51*(1-AB40)</f>
        <v>5128319.216730086</v>
      </c>
      <c r="AN57" s="231">
        <f>AM57/200</f>
        <v>25641.59608365043</v>
      </c>
      <c r="AO57" s="2">
        <f>AM57/(AM55+AM57)</f>
        <v>0.30000000000000004</v>
      </c>
      <c r="AQ57" t="s">
        <v>1861</v>
      </c>
      <c r="AR57" s="231">
        <f>AH57-AM57</f>
        <v>793503.5418985682</v>
      </c>
      <c r="AS57" s="231">
        <f>AR57/200</f>
        <v>3967.517709492841</v>
      </c>
      <c r="AV57" t="s">
        <v>1861</v>
      </c>
      <c r="AW57" s="231">
        <f>AW51*(1-AB40)</f>
        <v>5921822.758628654</v>
      </c>
      <c r="AX57" s="231">
        <f>AW57/200</f>
        <v>29609.11379314327</v>
      </c>
      <c r="AY57" s="2">
        <f>AW57/(AW55+AW57)</f>
        <v>0.30000000000000004</v>
      </c>
    </row>
    <row r="58" spans="2:51" x14ac:dyDescent="0.25">
      <c r="AG58" t="s">
        <v>1863</v>
      </c>
      <c r="AH58" s="231">
        <f>AH57+AH50</f>
        <v>7512100.536406432</v>
      </c>
      <c r="AI58" s="231">
        <f>AH58/200</f>
        <v>37560.50268203216</v>
      </c>
      <c r="AJ58" s="2">
        <f>+AH58/AH47</f>
        <v>0.25040335121354773</v>
      </c>
      <c r="AL58" t="s">
        <v>1863</v>
      </c>
      <c r="AM58" s="231">
        <f>AM57+AM50</f>
        <v>6628319.216730086</v>
      </c>
      <c r="AN58" s="231">
        <f>AM58/200</f>
        <v>33141.59608365043</v>
      </c>
      <c r="AO58" s="2">
        <f>+AM58/AM47</f>
        <v>0.22094397389100287</v>
      </c>
      <c r="AQ58" t="s">
        <v>1863</v>
      </c>
      <c r="AR58" s="231">
        <f>AH58-AM58</f>
        <v>883781.3196763461</v>
      </c>
      <c r="AS58" s="231">
        <f>AR58/200</f>
        <v>4418.906598381731</v>
      </c>
      <c r="AV58" t="s">
        <v>1863</v>
      </c>
      <c r="AW58" s="231">
        <f>AW57+AW50</f>
        <v>7512100.536406432</v>
      </c>
      <c r="AX58" s="231">
        <f>AW58/200</f>
        <v>37560.50268203216</v>
      </c>
      <c r="AY58" s="2">
        <f>+AW58/AW47</f>
        <v>0.25040335121354773</v>
      </c>
    </row>
    <row r="59" spans="2:51" ht="409.5" x14ac:dyDescent="0.25">
      <c r="B59" s="235" t="s">
        <v>1866</v>
      </c>
    </row>
    <row r="60" spans="2:51" x14ac:dyDescent="0.25">
      <c r="AG60" t="s">
        <v>1867</v>
      </c>
      <c r="AH60" t="s">
        <v>1848</v>
      </c>
      <c r="AI60" t="s">
        <v>1849</v>
      </c>
      <c r="AJ60" t="s">
        <v>1681</v>
      </c>
    </row>
    <row r="61" spans="2:51" x14ac:dyDescent="0.25">
      <c r="AG61" t="s">
        <v>23</v>
      </c>
    </row>
    <row r="62" spans="2:51" x14ac:dyDescent="0.25">
      <c r="AG62" t="s">
        <v>1868</v>
      </c>
      <c r="AH62" s="31">
        <v>0.06</v>
      </c>
    </row>
    <row r="63" spans="2:51" x14ac:dyDescent="0.25">
      <c r="AG63" t="s">
        <v>1869</v>
      </c>
      <c r="AH63" s="31">
        <v>8.8999999999999996E-2</v>
      </c>
    </row>
    <row r="64" spans="2:51" x14ac:dyDescent="0.25">
      <c r="AG64" t="s">
        <v>37</v>
      </c>
      <c r="AH64" s="231">
        <v>250000</v>
      </c>
    </row>
    <row r="65" spans="33:36" x14ac:dyDescent="0.25">
      <c r="AG65" t="s">
        <v>1870</v>
      </c>
      <c r="AH65" s="231">
        <v>150000</v>
      </c>
    </row>
    <row r="67" spans="33:36" x14ac:dyDescent="0.25">
      <c r="AG67" t="s">
        <v>1871</v>
      </c>
      <c r="AH67" s="231">
        <f>AH56</f>
        <v>19439777.242324963</v>
      </c>
      <c r="AI67" s="231">
        <f t="shared" ref="AI67:AI72" si="26">AH67/$AF$7</f>
        <v>97198.88621162482</v>
      </c>
      <c r="AJ67" t="str">
        <f>FIXED(AH67/1000,0)&amp;" / "&amp;FIXED(AH67*$AF$6/1000000,0)</f>
        <v>19,440 / 7,193</v>
      </c>
    </row>
    <row r="68" spans="33:36" x14ac:dyDescent="0.25">
      <c r="AG68" t="s">
        <v>1584</v>
      </c>
      <c r="AH68" s="231">
        <f>-AH64</f>
        <v>-250000</v>
      </c>
      <c r="AI68" s="231">
        <f t="shared" si="26"/>
        <v>-1250</v>
      </c>
    </row>
    <row r="69" spans="33:36" x14ac:dyDescent="0.25">
      <c r="AG69" t="s">
        <v>1872</v>
      </c>
      <c r="AH69" s="231">
        <f>-AH65</f>
        <v>-150000</v>
      </c>
      <c r="AI69" s="231">
        <f t="shared" si="26"/>
        <v>-750</v>
      </c>
    </row>
    <row r="70" spans="33:36" x14ac:dyDescent="0.25">
      <c r="AG70" t="s">
        <v>1873</v>
      </c>
      <c r="AH70" s="231">
        <f>-SUMIF(K5:K49,$AB$41,Z5:Z49)</f>
        <v>-2852763.420955092</v>
      </c>
      <c r="AI70" s="231">
        <f t="shared" si="26"/>
        <v>-14263.81710477546</v>
      </c>
    </row>
    <row r="71" spans="33:36" x14ac:dyDescent="0.25">
      <c r="AG71" t="s">
        <v>1874</v>
      </c>
      <c r="AH71" s="231">
        <f>-(Z50-SUMIF(K5:K49,$AB$41,Z5:Z49))</f>
        <v>-4604487.191018451</v>
      </c>
      <c r="AI71" s="231">
        <f t="shared" si="26"/>
        <v>-23022.435955092256</v>
      </c>
    </row>
    <row r="72" spans="33:36" x14ac:dyDescent="0.25">
      <c r="AG72" t="s">
        <v>1875</v>
      </c>
      <c r="AH72" s="231">
        <f>SUM(AH67:AH71)</f>
        <v>11582526.63035142</v>
      </c>
      <c r="AI72" s="231">
        <f t="shared" si="26"/>
        <v>57912.6331517571</v>
      </c>
      <c r="AJ72" t="str">
        <f>FIXED(AH72/1000,0)&amp;" / "&amp;FIXED(AH72*$AF$6/1000000,0)</f>
        <v>11,583 / 4,286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CA8B-F662-4B87-9137-C39F1003A300}">
  <sheetPr codeName="Sheet17">
    <tabColor rgb="FF7F7F7F"/>
  </sheetPr>
  <dimension ref="B1:F155"/>
  <sheetViews>
    <sheetView showGridLines="0" topLeftCell="A111" workbookViewId="0">
      <selection activeCell="B100" sqref="B100:B146"/>
    </sheetView>
  </sheetViews>
  <sheetFormatPr defaultRowHeight="15" x14ac:dyDescent="0.25"/>
  <cols>
    <col min="2" max="2" width="61" customWidth="1"/>
    <col min="3" max="4" width="21" customWidth="1"/>
    <col min="5" max="5" width="49.5703125" customWidth="1"/>
  </cols>
  <sheetData>
    <row r="1" ht="18.75" x14ac:dyDescent="0.3">
      <c r="B1" s="476" t="inlineStr">
        <is>
          <t xml:space="preserve">Run_Map – live result formulas by route (C RtB, D hold to maturity, F sale at COD); read by the Control Panel (live block and data table) and the Tender tie-out</t>
        </is>
      </c>
    </row>
    <row r="2" x14ac:dyDescent="0.25">
      <c r="B2" s="262" t="inlineStr">
        <is>
          <t xml:space="preserve">Rows 22–54 match the rows of the Bora sheet (section B) and feed the Control Panel data table; rows 59–83 feed Dashboard section 11.</t>
        </is>
      </c>
    </row>
    <row r="3" x14ac:dyDescent="0.25"/>
    <row r="4" spans="2:3" x14ac:dyDescent="0.25"/>
    <row r="5" spans="2:3" x14ac:dyDescent="0.25"/>
    <row r="6" spans="2:3" x14ac:dyDescent="0.25"/>
    <row r="7" spans="2:3" x14ac:dyDescent="0.25"/>
    <row r="8" spans="2:3" x14ac:dyDescent="0.25"/>
    <row r="20" x14ac:dyDescent="0.25">
      <c r="B20" s="6" t="s">
        <v>2161</v>
      </c>
      <c r="C20" s="6" t="s">
        <v>2162</v>
      </c>
      <c r="D20" s="6" t="s">
        <v>2490</v>
      </c>
      <c r="E20" s="6" t="s">
        <v>120</v>
      </c>
      <c r="F20" s="6" t="inlineStr">
        <is>
          <t xml:space="preserve">Sale at COD (cases 7 / 8)</t>
        </is>
      </c>
    </row>
    <row r="22" x14ac:dyDescent="0.25">
      <c r="B22" t="s">
        <v>1586</v>
      </c>
      <c r="C22">
        <f>MOIC!G172</f>
        <v>15526.316248499032</v>
      </c>
      <c r="D22">
        <f>HTM!G144-SUMPRODUCT(HTM!H121:AQ121,1-HTM!H383:AQ383)*HTM!E128</f>
        <v>1435619.0017223721</v>
      </c>
      <c r="F22">
        <f>HTM!G350</f>
        <v>-235506.3333808997</v>
      </c>
    </row>
    <row r="23" spans="2:6" x14ac:dyDescent="0.25">
      <c r="B23" t="s">
        <v>725</v>
      </c>
      <c r="C23">
        <f>MOIC!G182</f>
        <v>15173.724494515496</v>
      </c>
      <c r="D23">
        <f>HTM!G144</f>
        <v>1303176.709687209</v>
      </c>
      <c r="F23">
        <f>HTM!G351</f>
        <v>-235506.3333808997</v>
      </c>
    </row>
    <row r="24" spans="2:6" x14ac:dyDescent="0.25">
      <c r="B24" t="s">
        <v>2062</v>
      </c>
      <c r="C24">
        <f>MOIC!G187</f>
        <v>0.20894449022377323</v>
      </c>
      <c r="D24">
        <f>HTM!G139</f>
        <v>0.11965554410827804</v>
      </c>
      <c r="F24" t="str">
        <f>HTM!G352</f>
        <v>n/a</v>
      </c>
    </row>
    <row r="25" spans="2:6" x14ac:dyDescent="0.25">
      <c r="B25" t="s">
        <v>2093</v>
      </c>
      <c r="C25">
        <f>MOIC!G192</f>
        <v>7253.356399284837</v>
      </c>
      <c r="D25">
        <f>HTM!G140</f>
        <v>122313.50898773255</v>
      </c>
      <c r="F25">
        <f>HTM!G354</f>
        <v>-175060.0892487818</v>
      </c>
    </row>
    <row r="26" spans="2:6" x14ac:dyDescent="0.25">
      <c r="B26" t="s">
        <v>1360</v>
      </c>
      <c r="C26">
        <f>MOIC!G194</f>
        <v>0.1778756777274503</v>
      </c>
      <c r="D26">
        <f>HTM!G142</f>
        <v>0.6842419162819496</v>
      </c>
      <c r="F26" cm="1">
        <f t="array" ref="F26">IFERROR(HTM!G354/-SUMPRODUCT(HTM!H359:AQ359/(1+Inputs!$E$253)^HTM!H4:AQ4),"n/a")</f>
        <v>-1</v>
      </c>
    </row>
    <row r="27" spans="2:6" x14ac:dyDescent="0.25">
      <c r="B27" t="s">
        <v>1050</v>
      </c>
      <c r="C27">
        <f>MOIC!G186</f>
        <v>1.312105461761588</v>
      </c>
      <c r="D27">
        <f>HTM!G147</f>
        <v>6.408837486387021</v>
      </c>
      <c r="F27">
        <f>HTM!G353</f>
        <v>0</v>
      </c>
    </row>
    <row r="28" spans="2:6" x14ac:dyDescent="0.25">
      <c r="B28" t="s">
        <v>1049</v>
      </c>
      <c r="C28">
        <f>MOIC!G188</f>
        <v>48525.87791901024</v>
      </c>
      <c r="D28">
        <f>HTM!G146</f>
        <v>240934.7134143054</v>
      </c>
      <c r="F28">
        <f>HTM!G355</f>
        <v>235506.33338089968</v>
      </c>
    </row>
    <row r="29" spans="2:6" x14ac:dyDescent="0.25">
      <c r="B29" t="s">
        <v>1099</v>
      </c>
      <c r="C29">
        <f>MOIC!G190</f>
        <v>9943.103878067472</v>
      </c>
      <c r="D29">
        <f>HTM!G136</f>
        <v>112188.57274080778</v>
      </c>
      <c r="F29">
        <f>HTM!G354</f>
        <v>-175060.0892487818</v>
      </c>
    </row>
    <row r="30" spans="2:6" x14ac:dyDescent="0.25">
      <c r="B30" t="s">
        <v>770</v>
      </c>
      <c r="C30" t="str">
        <f>MOIC!G270</f>
        <v>ALL OK</v>
      </c>
      <c r="D30" t="str">
        <f>HTM!G172</f>
        <v>ALL OK</v>
      </c>
      <c r="F30" t="str">
        <f>HTM!G172&amp;" / "&amp;HTM!G358</f>
        <v>ALL OK / n/a – no COD sale</v>
      </c>
    </row>
    <row r="32" spans="2:6" x14ac:dyDescent="0.25">
      <c r="B32" t="s">
        <v>2066</v>
      </c>
      <c r="C32" t="str">
        <f>CHOOSE(MONTH(Inputs!$E$56),"Jan","Feb","Mar","Apr","May","Jun","Jul","Aug","Sep","Oct","Nov","Dec")&amp;"-"&amp;RIGHT(YEAR(Inputs!$E$56),2)&amp;" → "&amp;CHOOSE(MONTH(Inputs!$E$58),"Jan","Feb","Mar","Apr","May","Jun","Jul","Aug","Sep","Oct","Nov","Dec")&amp;"-"&amp;RIGHT(YEAR(Inputs!$E$58),2)</f>
        <v>Jun-29 → Mar-30</v>
      </c>
      <c r="D32" t="s">
        <v>1919</v>
      </c>
      <c r="F32" t="str">
        <f>"COD "&amp;CHOOSE(MONTH(Inputs!$E$155),"Jan","Feb","Mar","Apr","May","Jun","Jul","Aug","Sep","Oct","Nov","Dec")&amp;"-"&amp;RIGHT(YEAR(Inputs!$E$155),2)&amp;" → sale at COD"</f>
        <v>COD Sep-31 → sale at COD</v>
      </c>
    </row>
    <row r="33" x14ac:dyDescent="0.25">
      <c r="B33" t="inlineStr">
        <is>
          <t xml:space="preserve">Gross RTB proceeds / sale price at COD</t>
        </is>
      </c>
      <c r="C33">
        <f>MOIC!G171</f>
        <v>64143.61505792019</v>
      </c>
      <c r="D33" t="s">
        <v>1919</v>
      </c>
      <c r="F33">
        <f>HTM!G340</f>
        <v>0</v>
      </c>
    </row>
    <row r="34" spans="2:6" x14ac:dyDescent="0.25">
      <c r="B34" t="s">
        <v>2164</v>
      </c>
      <c r="C34">
        <f>Dashboard!L40</f>
        <v>10273.223462631777</v>
      </c>
      <c r="D34" t="s">
        <v>1919</v>
      </c>
      <c r="F34">
        <f>HTM!G357</f>
        <v>-0</v>
      </c>
    </row>
    <row r="35" spans="2:6" x14ac:dyDescent="0.25">
      <c r="B35" t="s">
        <v>2070</v>
      </c>
      <c r="C35">
        <f>Dashboard!L42</f>
        <v>9920.631708648241</v>
      </c>
      <c r="D35" t="s">
        <v>1919</v>
      </c>
      <c r="F35">
        <f>HTM!G356</f>
        <v>0</v>
      </c>
    </row>
    <row r="36" x14ac:dyDescent="0.25">
      <c r="B36" t="inlineStr">
        <is>
          <t xml:space="preserve">Gearing (senior debt / total capex)</t>
        </is>
      </c>
      <c r="C36" t="inlineStr">
        <is>
          <t xml:space="preserve">–</t>
        </is>
      </c>
      <c r="D36" t="s">
        <v>1919</v>
      </c>
      <c r="F36">
        <f>Inputs!$E$217</f>
        <v>0.55</v>
      </c>
    </row>
    <row r="37" x14ac:dyDescent="0.25">
      <c r="B37" t="inlineStr">
        <is>
          <t xml:space="preserve">Sale at COD price per installed MW (after clipping)</t>
        </is>
      </c>
      <c r="C37" t="inlineStr">
        <is>
          <t xml:space="preserve">–</t>
        </is>
      </c>
      <c r="D37" t="s">
        <v>1919</v>
      </c>
      <c r="F37">
        <f>Inputs!$E$230</f>
        <v>0</v>
      </c>
    </row>
    <row r="38" spans="2:6" x14ac:dyDescent="0.25">
      <c r="B38" t="s">
        <v>2165</v>
      </c>
      <c r="C38" t="str">
        <f>FIXED(Inputs!$E$85*Inputs!$E$18,0)&amp;" / "&amp;FIXED(Inputs!$E$84*Inputs!$E$18,0)</f>
        <v>14,614 / 508</v>
      </c>
      <c r="D38" t="s">
        <v>1919</v>
      </c>
      <c r="F38" t="str">
        <f>C38</f>
        <v>14,614 / 508</v>
      </c>
    </row>
    <row r="39" spans="2:6" x14ac:dyDescent="0.25">
      <c r="B39" t="s">
        <v>2166</v>
      </c>
      <c r="C39">
        <f>Deposits!H19</f>
        <v>23592.162004</v>
      </c>
      <c r="D39" t="s">
        <v>1919</v>
      </c>
      <c r="F39">
        <f>C39</f>
        <v>23592.162004</v>
      </c>
    </row>
    <row r="40" spans="2:6" x14ac:dyDescent="0.25">
      <c r="B40" t="s">
        <v>2074</v>
      </c>
      <c r="C40" s="19">
        <f>Inputs!$E$292</f>
        <v>3137.845921749919</v>
      </c>
      <c r="D40" t="s">
        <v>1919</v>
      </c>
      <c r="F40">
        <f>C40</f>
        <v>3137.845921749919</v>
      </c>
    </row>
    <row r="42" spans="2:6" x14ac:dyDescent="0.25">
      <c r="B42" t="s">
        <v>1023</v>
      </c>
      <c r="C42" t="s">
        <v>1919</v>
      </c>
      <c r="D42" s="19">
        <f>HTM!G150</f>
        <v>2156.006482931507</v>
      </c>
      <c r="F42">
        <f>HTM!G150</f>
        <v>2156.006482931507</v>
      </c>
    </row>
    <row r="43" spans="2:6" x14ac:dyDescent="0.25">
      <c r="B43" t="s">
        <v>950</v>
      </c>
      <c r="C43" t="s">
        <v>1919</v>
      </c>
      <c r="D43">
        <f>HTM!G149</f>
        <v>431201.29658630135</v>
      </c>
      <c r="F43">
        <f>HTM!G149</f>
        <v>431201.29658630135</v>
      </c>
    </row>
    <row r="44" spans="2:6" x14ac:dyDescent="0.25">
      <c r="B44" t="s">
        <v>1897</v>
      </c>
      <c r="C44" t="s">
        <v>1919</v>
      </c>
      <c r="D44">
        <f>HTM!G157</f>
        <v>249826.33272631807</v>
      </c>
      <c r="F44">
        <f>HTM!G357</f>
        <v>-0</v>
      </c>
    </row>
    <row r="45" spans="2:6" x14ac:dyDescent="0.25">
      <c r="B45" t="s">
        <v>1024</v>
      </c>
      <c r="C45" t="s">
        <v>1919</v>
      </c>
      <c r="D45" s="19">
        <f>HTM!G151</f>
        <v>17249.630704920553</v>
      </c>
      <c r="F45" t="s">
        <v>1919</v>
      </c>
    </row>
    <row r="46" spans="2:6" x14ac:dyDescent="0.25">
      <c r="B46" t="s">
        <v>1026</v>
      </c>
      <c r="C46" t="s">
        <v>1919</v>
      </c>
      <c r="D46">
        <f>HTM!G153</f>
        <v>146.16659954585938</v>
      </c>
      <c r="F46" t="s">
        <v>1919</v>
      </c>
    </row>
    <row r="47" spans="2:6" x14ac:dyDescent="0.25">
      <c r="B47" t="s">
        <v>1025</v>
      </c>
      <c r="C47" t="s">
        <v>1919</v>
      </c>
      <c r="D47">
        <f>HTM!G152</f>
        <v>2521319.863560083</v>
      </c>
      <c r="F47" t="s">
        <v>1919</v>
      </c>
    </row>
    <row r="48" spans="2:6" x14ac:dyDescent="0.25">
      <c r="B48" t="s">
        <v>2079</v>
      </c>
      <c r="C48" t="s">
        <v>1919</v>
      </c>
      <c r="D48">
        <f>HTM!G156</f>
        <v>102.14704403482497</v>
      </c>
      <c r="F48" t="s">
        <v>1919</v>
      </c>
    </row>
    <row r="49" spans="2:6" x14ac:dyDescent="0.25">
      <c r="B49" t="s">
        <v>1013</v>
      </c>
      <c r="C49" t="s">
        <v>1919</v>
      </c>
      <c r="D49">
        <f>HTM!G135</f>
        <v>0.10886199508753976</v>
      </c>
      <c r="F49" t="s">
        <v>1919</v>
      </c>
    </row>
    <row r="50" spans="2:6" x14ac:dyDescent="0.25">
      <c r="B50" t="s">
        <v>1047</v>
      </c>
      <c r="C50" t="s">
        <v>1919</v>
      </c>
      <c r="D50">
        <f>HTM!G137</f>
        <v>0.11965554410827804</v>
      </c>
      <c r="F50" t="str">
        <f>IFERROR(IRR(HTM!H345:AQ345),"n/a")</f>
        <v>n/a</v>
      </c>
    </row>
    <row r="51" spans="2:6" x14ac:dyDescent="0.25">
      <c r="B51" t="s">
        <v>1051</v>
      </c>
      <c r="C51" t="s">
        <v>1919</v>
      </c>
      <c r="D51" s="24">
        <f>HTM!G148</f>
        <v>2041</v>
      </c>
      <c r="F51" t="s">
        <v>1919</v>
      </c>
    </row>
    <row r="52" spans="2:6" x14ac:dyDescent="0.25">
      <c r="B52" t="s">
        <v>1028</v>
      </c>
      <c r="C52" t="s">
        <v>1919</v>
      </c>
      <c r="D52">
        <f>IF(ISNUMBER(HTM!G155),HTM!G155,"n/a")</f>
        <v>1.6371176464303232</v>
      </c>
      <c r="F52" t="s">
        <v>1919</v>
      </c>
    </row>
    <row r="54">
      <c r="B54" t="inlineStr">
        <is>
          <t xml:space="preserve">Distributable &lt; 0: FEP's loss beyond its JV share (developer floor)</t>
        </is>
      </c>
      <c r="C54">
        <f>MOIC!G156</f>
        <v>0</v>
      </c>
      <c r="D54" t="inlineStr">
        <is>
          <t xml:space="preserve">–</t>
        </is>
      </c>
      <c r="F54">
        <f>HTM!G380</f>
        <v>0</v>
      </c>
    </row>
    <row r="58" spans="2:6" x14ac:dyDescent="0.25">
      <c r="B58" s="6" t="s">
        <v>2179</v>
      </c>
      <c r="C58" s="6" t="s">
        <v>1896</v>
      </c>
      <c r="D58" s="6" t="s">
        <v>2491</v>
      </c>
    </row>
    <row r="59" spans="2:6" x14ac:dyDescent="0.25">
      <c r="B59">
        <f>ROW(Dashboard!$E$211)</f>
        <v>211</v>
      </c>
      <c r="C59" t="s">
        <v>2167</v>
      </c>
      <c r="D59">
        <f>Inputs!$E$162</f>
        <v>950</v>
      </c>
    </row>
    <row r="60" spans="2:6" x14ac:dyDescent="0.25">
      <c r="B60">
        <f>ROW(Dashboard!$E$212)</f>
        <v>212</v>
      </c>
      <c r="C60" t="s">
        <v>1023</v>
      </c>
      <c r="D60" s="19">
        <f>HTM!G150</f>
        <v>2156.006482931507</v>
      </c>
    </row>
    <row r="61" spans="2:6" x14ac:dyDescent="0.25">
      <c r="B61">
        <f>ROW(Dashboard!$E$213)</f>
        <v>213</v>
      </c>
      <c r="C61" t="s">
        <v>950</v>
      </c>
      <c r="D61">
        <f>HTM!G149</f>
        <v>431201.29658630135</v>
      </c>
    </row>
    <row r="62" spans="2:6" x14ac:dyDescent="0.25">
      <c r="B62">
        <f>ROW(Dashboard!$E$214)</f>
        <v>214</v>
      </c>
      <c r="C62" t="s">
        <v>1358</v>
      </c>
      <c r="D62">
        <f>Inputs!$E$217</f>
        <v>0.55</v>
      </c>
    </row>
    <row r="63" spans="2:6" x14ac:dyDescent="0.25">
      <c r="B63">
        <f>ROW(Dashboard!$E$215)</f>
        <v>215</v>
      </c>
      <c r="C63" t="s">
        <v>2168</v>
      </c>
      <c r="D63">
        <f>HTM!G157</f>
        <v>249826.33272631807</v>
      </c>
    </row>
    <row r="64" spans="2:6" x14ac:dyDescent="0.25">
      <c r="B64">
        <f>ROW(Dashboard!$E$217)</f>
        <v>217</v>
      </c>
      <c r="C64" t="s">
        <v>1024</v>
      </c>
      <c r="D64" s="19">
        <f>HTM!G151</f>
        <v>17249.630704920553</v>
      </c>
    </row>
    <row r="65" spans="2:4" x14ac:dyDescent="0.25">
      <c r="B65">
        <f>ROW(Dashboard!$E$218)</f>
        <v>218</v>
      </c>
      <c r="C65" t="s">
        <v>1026</v>
      </c>
      <c r="D65">
        <f>HTM!G153</f>
        <v>146.16659954585938</v>
      </c>
    </row>
    <row r="66" spans="2:4" x14ac:dyDescent="0.25">
      <c r="B66">
        <f>ROW(Dashboard!$E$219)</f>
        <v>219</v>
      </c>
      <c r="C66" t="s">
        <v>1025</v>
      </c>
      <c r="D66">
        <f>HTM!G152</f>
        <v>2521319.863560083</v>
      </c>
    </row>
    <row r="67" spans="2:4" x14ac:dyDescent="0.25">
      <c r="B67">
        <f>ROW(Dashboard!$E$220)</f>
        <v>220</v>
      </c>
      <c r="C67" t="s">
        <v>972</v>
      </c>
      <c r="D67">
        <f>HTM!G154</f>
        <v>0.7870441754859727</v>
      </c>
    </row>
    <row r="68" spans="2:4" x14ac:dyDescent="0.25">
      <c r="B68">
        <f>ROW(Dashboard!$E$221)</f>
        <v>221</v>
      </c>
      <c r="C68" t="s">
        <v>2079</v>
      </c>
      <c r="D68">
        <f>HTM!G156</f>
        <v>102.14704403482497</v>
      </c>
    </row>
    <row r="69" spans="2:4" x14ac:dyDescent="0.25">
      <c r="B69">
        <f>ROW(Dashboard!$E$223)</f>
        <v>223</v>
      </c>
      <c r="C69" t="s">
        <v>2169</v>
      </c>
      <c r="D69">
        <f>HTM!G144-HTM!G121*HTM!E128</f>
        <v>1435619.0017223721</v>
      </c>
    </row>
    <row r="70" spans="2:4" x14ac:dyDescent="0.25">
      <c r="B70">
        <f>ROW(Dashboard!$E$224)</f>
        <v>224</v>
      </c>
      <c r="C70" t="s">
        <v>2170</v>
      </c>
      <c r="D70">
        <f>HTM!G144</f>
        <v>1303176.709687209</v>
      </c>
    </row>
    <row r="71" spans="2:4" x14ac:dyDescent="0.25">
      <c r="B71">
        <f>ROW(Dashboard!$E$225)</f>
        <v>225</v>
      </c>
      <c r="C71" t="s">
        <v>1017</v>
      </c>
      <c r="D71">
        <f>HTM!G139</f>
        <v>0.11965554410827804</v>
      </c>
    </row>
    <row r="72" spans="2:4" x14ac:dyDescent="0.25">
      <c r="B72">
        <f>ROW(Dashboard!$E$226)</f>
        <v>226</v>
      </c>
      <c r="C72" t="s">
        <v>2171</v>
      </c>
      <c r="D72">
        <f>HTM!G140</f>
        <v>122313.50898773255</v>
      </c>
    </row>
    <row r="73" spans="2:4" x14ac:dyDescent="0.25">
      <c r="B73">
        <f>ROW(Dashboard!$E$227)</f>
        <v>227</v>
      </c>
      <c r="C73" t="s">
        <v>1360</v>
      </c>
      <c r="D73">
        <f>HTM!G142</f>
        <v>0.6842419162819496</v>
      </c>
    </row>
    <row r="74" spans="2:4" x14ac:dyDescent="0.25">
      <c r="B74">
        <f>ROW(Dashboard!$E$228)</f>
        <v>228</v>
      </c>
      <c r="C74" t="s">
        <v>1050</v>
      </c>
      <c r="D74">
        <f>HTM!G147</f>
        <v>6.408837486387021</v>
      </c>
    </row>
    <row r="75" spans="2:4" x14ac:dyDescent="0.25">
      <c r="B75">
        <f>ROW(Dashboard!$E$229)</f>
        <v>229</v>
      </c>
      <c r="C75" t="s">
        <v>2172</v>
      </c>
      <c r="D75">
        <f>HTM!G146</f>
        <v>240934.7134143054</v>
      </c>
    </row>
    <row r="76" spans="2:4" x14ac:dyDescent="0.25">
      <c r="B76">
        <f>ROW(Dashboard!$E$230)</f>
        <v>230</v>
      </c>
      <c r="C76" t="s">
        <v>1051</v>
      </c>
      <c r="D76" s="24">
        <f>HTM!G148</f>
        <v>2041</v>
      </c>
    </row>
    <row r="77" spans="2:4" x14ac:dyDescent="0.25">
      <c r="B77">
        <f>ROW(Dashboard!$E$232)</f>
        <v>232</v>
      </c>
      <c r="C77" t="s">
        <v>2173</v>
      </c>
      <c r="D77">
        <f>HTM!G134</f>
        <v>0.11574478334958782</v>
      </c>
    </row>
    <row r="78" spans="2:4" x14ac:dyDescent="0.25">
      <c r="B78">
        <f>ROW(Dashboard!$E$233)</f>
        <v>233</v>
      </c>
      <c r="C78" t="s">
        <v>2174</v>
      </c>
      <c r="D78">
        <f>HTM!G135</f>
        <v>0.10886199508753976</v>
      </c>
    </row>
    <row r="79" spans="2:4" x14ac:dyDescent="0.25">
      <c r="B79">
        <f>ROW(Dashboard!$E$234)</f>
        <v>234</v>
      </c>
      <c r="C79" t="s">
        <v>2175</v>
      </c>
      <c r="D79">
        <f>HTM!G136</f>
        <v>112188.57274080778</v>
      </c>
    </row>
    <row r="80" spans="2:4" x14ac:dyDescent="0.25">
      <c r="B80">
        <f>ROW(Dashboard!$E$235)</f>
        <v>235</v>
      </c>
      <c r="C80" t="s">
        <v>1349</v>
      </c>
      <c r="D80">
        <f>HTM!G137</f>
        <v>0.11965554410827804</v>
      </c>
    </row>
    <row r="81" spans="2:4" x14ac:dyDescent="0.25">
      <c r="B81">
        <f>ROW(Dashboard!$E$237)</f>
        <v>237</v>
      </c>
      <c r="C81" t="s">
        <v>1361</v>
      </c>
      <c r="D81">
        <f>IF(ISNUMBER(HTM!G155),HTM!G155,"n/a")</f>
        <v>1.6371176464303232</v>
      </c>
    </row>
    <row r="82" spans="2:4" x14ac:dyDescent="0.25">
      <c r="B82">
        <f>ROW(Dashboard!$E$238)</f>
        <v>238</v>
      </c>
      <c r="C82" t="s">
        <v>2176</v>
      </c>
      <c r="D82">
        <f>IF(ISNUMBER(HTM!G324),HTM!G324,"n/a")</f>
        <v>0.8917769463971309</v>
      </c>
    </row>
    <row r="83" spans="2:4" x14ac:dyDescent="0.25">
      <c r="B83">
        <f>ROW(Dashboard!$E$240)</f>
        <v>240</v>
      </c>
      <c r="C83" t="s">
        <v>2177</v>
      </c>
      <c r="D83" t="str">
        <f>HTM!G172</f>
        <v>ALL OK</v>
      </c>
    </row>
    <row r="100" spans="2:2" x14ac:dyDescent="0.25"/>
    <row r="101" spans="2:2" x14ac:dyDescent="0.25"/>
    <row r="102" spans="2:2" x14ac:dyDescent="0.25"/>
    <row r="103" spans="2:2" x14ac:dyDescent="0.25"/>
    <row r="104" spans="2:2" x14ac:dyDescent="0.25"/>
    <row r="105" spans="2:2" x14ac:dyDescent="0.25"/>
    <row r="106" spans="2:2" x14ac:dyDescent="0.25"/>
    <row r="107" spans="2:2" x14ac:dyDescent="0.25"/>
    <row r="108" spans="2:2" x14ac:dyDescent="0.25"/>
    <row r="109" spans="2:2" x14ac:dyDescent="0.25"/>
    <row r="110" spans="2:2" x14ac:dyDescent="0.25"/>
    <row r="111" spans="2:2" x14ac:dyDescent="0.25"/>
    <row r="112" spans="2:2" x14ac:dyDescent="0.25"/>
    <row r="113" spans="2:2" x14ac:dyDescent="0.25"/>
    <row r="114" spans="2:2" x14ac:dyDescent="0.25"/>
    <row r="115" spans="2:2" x14ac:dyDescent="0.25"/>
    <row r="116" spans="2:2" x14ac:dyDescent="0.25"/>
    <row r="117" spans="2:2" x14ac:dyDescent="0.25"/>
    <row r="118" spans="2:2" x14ac:dyDescent="0.25"/>
    <row r="119" spans="2:2" x14ac:dyDescent="0.25"/>
    <row r="120" spans="2:2" x14ac:dyDescent="0.25"/>
    <row r="121" spans="2:2" x14ac:dyDescent="0.25"/>
    <row r="122" spans="2:2" x14ac:dyDescent="0.25"/>
    <row r="123" spans="2:2" x14ac:dyDescent="0.25"/>
    <row r="124" spans="2:2" x14ac:dyDescent="0.25"/>
    <row r="125" spans="2:2" x14ac:dyDescent="0.25"/>
    <row r="126" spans="2:2" x14ac:dyDescent="0.25"/>
    <row r="127" spans="2:2" x14ac:dyDescent="0.25"/>
    <row r="128" spans="2:2" x14ac:dyDescent="0.25"/>
    <row r="129" spans="2:2" x14ac:dyDescent="0.25"/>
    <row r="130" spans="2:2" x14ac:dyDescent="0.25"/>
    <row r="131" spans="2:2" x14ac:dyDescent="0.25"/>
    <row r="132" spans="2:2" x14ac:dyDescent="0.25"/>
    <row r="133" spans="2:2" x14ac:dyDescent="0.25"/>
    <row r="134" spans="2:2" x14ac:dyDescent="0.25"/>
    <row r="135" spans="2:2" x14ac:dyDescent="0.25"/>
    <row r="136" spans="2:2" x14ac:dyDescent="0.25"/>
    <row r="137" spans="2:2" x14ac:dyDescent="0.25"/>
    <row r="138" spans="2:2" x14ac:dyDescent="0.25"/>
    <row r="139" spans="2:2" x14ac:dyDescent="0.25"/>
    <row r="140" spans="2:2" x14ac:dyDescent="0.25"/>
    <row r="141" spans="2:2" x14ac:dyDescent="0.25"/>
    <row r="142" spans="2:2" x14ac:dyDescent="0.25"/>
    <row r="143" spans="2:2" x14ac:dyDescent="0.25"/>
    <row r="144" spans="2:2" x14ac:dyDescent="0.25"/>
    <row r="145" spans="2:2" x14ac:dyDescent="0.25"/>
    <row r="146" spans="2:2" x14ac:dyDescent="0.25"/>
    <row r="147" spans="2:2" x14ac:dyDescent="0.25"/>
    <row r="148" spans="2:2" x14ac:dyDescent="0.25"/>
    <row r="149" spans="2:2" x14ac:dyDescent="0.25"/>
    <row r="150" spans="2:2" x14ac:dyDescent="0.25"/>
    <row r="151" spans="2:2" x14ac:dyDescent="0.25"/>
    <row r="152" spans="2:2" x14ac:dyDescent="0.25"/>
    <row r="153" spans="2:2" x14ac:dyDescent="0.25"/>
    <row r="154" spans="2:2" x14ac:dyDescent="0.25"/>
    <row r="155" spans="2:2"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rgb="FF00A651"/>
  </sheetPr>
  <dimension ref="B2:AQ376"/>
  <sheetViews>
    <sheetView showGridLines="0" zoomScale="80" zoomScaleNormal="80" workbookViewId="0">
      <pane ySplit="7" topLeftCell="A8" activePane="bottomLeft" state="frozen"/>
      <selection pane="bottomLeft" activeCell="E5" sqref="E5"/>
    </sheetView>
  </sheetViews>
  <sheetFormatPr defaultRowHeight="15"/>
  <cols>
    <col min="1" max="2" width="2.7109375" customWidth="1"/>
    <col min="3" max="3" width="74.7109375" customWidth="1"/>
    <col min="4" max="4" width="13.7109375" customWidth="1"/>
    <col min="5" max="9" width="16.7109375" customWidth="1"/>
    <col min="10" max="20" width="15.7109375" customWidth="1"/>
    <col min="21" max="43" width="11.7109375" customWidth="1"/>
  </cols>
  <sheetData>
    <row r="2" ht="21" customHeight="1">
      <c r="C2" s="357" t="inlineStr">
        <is>
          <t xml:space="preserve">Tender – MEKH capacity tender 2026 for Bora: tender strategies S0–S4 (columns E:I; E = S1 current bid = price-effect reference, I = S0 zero bid; J = active), points (GYIK rules), price effect of the promises and the returns matrix</t>
        </is>
      </c>
      <c r="D2" s="357"/>
      <c r="E2" s="357"/>
      <c r="F2" s="357"/>
      <c r="G2" s="357"/>
      <c r="H2" s="357"/>
      <c r="I2" s="357"/>
      <c r="J2" s="357"/>
      <c r="K2" s="357"/>
      <c r="L2" s="357"/>
      <c r="M2" s="357"/>
      <c r="N2" s="357"/>
      <c r="O2" s="357"/>
      <c r="P2" s="357"/>
      <c r="Q2" s="357"/>
      <c r="R2" s="357"/>
      <c r="S2" s="357"/>
      <c r="T2" s="357"/>
    </row>
    <row r="3">
      <c r="C3" s="356" t="inlineStr">
        <is>
          <t xml:space="preserve">Column J = the active strategy (E5, set on the Control Panel) → Inputs G20 / G21 / G90 / G233 / G234 / G297 / M230 / N230, HTM E36 and row 340. Strategy columns E:I link to the Control Panel (one source). Blue = input, green = link, black = formula. Section 5 is live (Control Panel data table); section 7 holds the checks (→ MOIC G271, HTM G173).</t>
        </is>
      </c>
    </row>
    <row r="5">
      <c r="C5" s="360" t="inlineStr">
        <is>
          <t xml:space="preserve">Active tender strategy (0 = S1, 1 = S2, 2 = S3, 3 = S4, 4 = S0) – set on the Control Panel (E9; data-table runs: E10)</t>
        </is>
      </c>
      <c r="D5" s="411" t="inlineStr">
        <is>
          <t xml:space="preserve">#</t>
        </is>
      </c>
      <c r="E5" s="510">
        <f>IF('Control Panel'!$E$10=0,'Control Panel'!$F$9,INDEX('Control Panel'!$D$306:$D$330,'Control Panel'!$E$10))</f>
        <v>0</v>
      </c>
      <c r="F5" s="522" t="str">
        <f>$J$11</f>
        <v>S1 – Current bid</v>
      </c>
    </row>
    <row r="6"/>
    <row r="7">
      <c r="C7" s="360" t="inlineStr">
        <is>
          <t xml:space="preserve">Active case (set on the Control Panel → Inputs E6)</t>
        </is>
      </c>
      <c r="D7" s="411" t="inlineStr">
        <is>
          <t xml:space="preserve">#</t>
        </is>
      </c>
      <c r="E7" s="516">
        <f>Inputs!$E$6</f>
        <v>1</v>
      </c>
      <c r="F7" s="522" t="str">
        <f>Inputs!$E$7</f>
        <v>FEP base case</v>
      </c>
    </row>
    <row r="9">
      <c r="C9" s="447" t="inlineStr">
        <is>
          <t xml:space="preserve">1. Tender strategies – columns E:I = S1 / S2 / S3 / S4 / S0 (links to the Control Panel, section b), column J = active strategy; price-effect reference = S1 (column E)</t>
        </is>
      </c>
      <c r="D9" s="447"/>
      <c r="E9" s="447"/>
      <c r="F9" s="447"/>
      <c r="G9" s="447"/>
      <c r="H9" s="447"/>
      <c r="I9" s="447"/>
      <c r="J9" s="447"/>
    </row>
    <row r="10">
      <c r="C10" s="253" t="inlineStr">
        <is>
          <t xml:space="preserve">Item</t>
        </is>
      </c>
      <c r="D10" s="254" t="inlineStr">
        <is>
          <t xml:space="preserve">Unit</t>
        </is>
      </c>
      <c r="E10" s="254" t="inlineStr">
        <is>
          <t xml:space="preserve">S1 – current bid (reference)</t>
        </is>
      </c>
      <c r="F10" s="254" t="inlineStr">
        <is>
          <t xml:space="preserve">S2 – free points</t>
        </is>
      </c>
      <c r="G10" s="254" t="inlineStr">
        <is>
          <t xml:space="preserve">S3 – ≈70 points</t>
        </is>
      </c>
      <c r="H10" s="254" t="inlineStr">
        <is>
          <t xml:space="preserve">S4 – maximum score</t>
        </is>
      </c>
      <c r="I10" s="254" t="inlineStr">
        <is>
          <t xml:space="preserve">S0 – zero bid</t>
        </is>
      </c>
      <c r="J10" s="254" t="inlineStr">
        <is>
          <t xml:space="preserve">Active</t>
        </is>
      </c>
      <c r="K10" s="254" t="inlineStr">
        <is>
          <t xml:space="preserve">Feeds / note</t>
        </is>
      </c>
    </row>
    <row r="11">
      <c r="C11" s="360" t="inlineStr">
        <is>
          <t xml:space="preserve">Scenario name</t>
        </is>
      </c>
      <c r="D11" s="411" t="inlineStr">
        <is>
          <t xml:space="preserve">Text</t>
        </is>
      </c>
      <c r="E11" s="594" t="str">
        <f>'Control Panel'!$F$22</f>
        <v>S1 – Current bid</v>
      </c>
      <c r="F11" s="594" t="str">
        <f>'Control Panel'!$G$22</f>
        <v>S2 – Free points</v>
      </c>
      <c r="G11" s="594" t="str">
        <f>'Control Panel'!$H$22</f>
        <v>S3 – Cost-efficient (≈70 points)</v>
      </c>
      <c r="H11" s="594" t="str">
        <f>'Control Panel'!$I$22</f>
        <v>S4 – Maximum score</v>
      </c>
      <c r="I11" s="594" t="str">
        <f>'Control Panel'!$E$22</f>
        <v>S0 – Zero bid</v>
      </c>
      <c r="J11" s="522" t="str">
        <f>INDEX($E11:$I11,1,$E$5+1)</f>
        <v>S1 – Current bid</v>
      </c>
      <c r="K11" s="388" t="inlineStr">
        <is>
          <t xml:space="preserve">Selector E5 (Control Panel E9)</t>
        </is>
      </c>
    </row>
    <row r="12">
      <c r="C12" s="360" t="inlineStr">
        <is>
          <t xml:space="preserve">ÖSZ-1 One-off municipal contribution</t>
        </is>
      </c>
      <c r="D12" s="411" t="inlineStr">
        <is>
          <t xml:space="preserve">k€/MW</t>
        </is>
      </c>
      <c r="E12" s="512">
        <f>'Control Panel'!$F$23</f>
        <v>20</v>
      </c>
      <c r="F12" s="512">
        <f>'Control Panel'!$G$23</f>
        <v>20</v>
      </c>
      <c r="G12" s="512">
        <f>'Control Panel'!$H$23</f>
        <v>50</v>
      </c>
      <c r="H12" s="512">
        <f>'Control Panel'!$I$23</f>
        <v>50</v>
      </c>
      <c r="I12" s="512">
        <f>'Control Panel'!$E$23</f>
        <v>0</v>
      </c>
      <c r="J12" s="512">
        <f>INDEX($E12:$I12,1,$E$5+1)</f>
        <v>20</v>
      </c>
      <c r="K12" s="388" t="inlineStr">
        <is>
          <t xml:space="preserve">→ Inputs G233 (paid in the COD year on net MW, HTM row 29)</t>
        </is>
      </c>
    </row>
    <row r="13">
      <c r="C13" s="360" t="inlineStr">
        <is>
          <t xml:space="preserve">ÖSZ-2 Annual community contribution on energy fed in</t>
        </is>
      </c>
      <c r="D13" s="411" t="inlineStr">
        <is>
          <t xml:space="preserve">€/MWh</t>
        </is>
      </c>
      <c r="E13" s="513">
        <f>'Control Panel'!$F$24</f>
        <v>2</v>
      </c>
      <c r="F13" s="513">
        <f>'Control Panel'!$G$24</f>
        <v>2</v>
      </c>
      <c r="G13" s="513">
        <f>'Control Panel'!$H$24</f>
        <v>2</v>
      </c>
      <c r="H13" s="513">
        <f>'Control Panel'!$I$24</f>
        <v>3</v>
      </c>
      <c r="I13" s="513">
        <f>'Control Panel'!$E$24</f>
        <v>0</v>
      </c>
      <c r="J13" s="513">
        <f>INDEX($E13:$I13,1,$E$5+1)</f>
        <v>2</v>
      </c>
      <c r="K13" s="388" t="inlineStr">
        <is>
          <t xml:space="preserve">→ Inputs G234 (every operating year, HTM row 59)</t>
        </is>
      </c>
    </row>
    <row r="14">
      <c r="C14" s="360" t="inlineStr">
        <is>
          <t xml:space="preserve">ÖSZ-3 Overbuild – gross wind above net MVA</t>
        </is>
      </c>
      <c r="D14" s="411" t="inlineStr">
        <is>
          <t xml:space="preserve">%</t>
        </is>
      </c>
      <c r="E14" s="515">
        <f>'Control Panel'!$F$25</f>
        <v>0.305</v>
      </c>
      <c r="F14" s="515">
        <f>'Control Panel'!$G$25</f>
        <v>0.4</v>
      </c>
      <c r="G14" s="515">
        <f>'Control Panel'!$H$25</f>
        <v>0.4</v>
      </c>
      <c r="H14" s="515">
        <f>'Control Panel'!$I$25</f>
        <v>0.54</v>
      </c>
      <c r="I14" s="515">
        <f>'Control Panel'!$E$25</f>
        <v>0</v>
      </c>
      <c r="J14" s="514">
        <f>INDEX($E14:$I14,1,$E$5+1)</f>
        <v>0.305</v>
      </c>
      <c r="K14" s="388" t="inlineStr">
        <is>
          <t xml:space="preserve">Gross installed wind = net MVA × (1 + overbuild), row 40 per strategy (S1: 30.5 % → 261 MW, Munka1: Bora1 151 + Bora2 110; S2 / S3: 40 % → 280 MW; S4: 54 % → 308 MW; S0: 0 % → 200 MW)</t>
        </is>
      </c>
    </row>
    <row r="15">
      <c r="C15" s="360" t="inlineStr">
        <is>
          <t xml:space="preserve">ÖSZ-4 BESS power ratio (basis: row 25 – installed wind or net MVA)</t>
        </is>
      </c>
      <c r="D15" s="411" t="inlineStr">
        <is>
          <t xml:space="preserve">%</t>
        </is>
      </c>
      <c r="E15" s="595">
        <f>'Control Panel'!$F$26</f>
        <v>0.3448275862068966</v>
      </c>
      <c r="F15" s="595">
        <f>'Control Panel'!$G$26</f>
        <v>0.45</v>
      </c>
      <c r="G15" s="595">
        <f>'Control Panel'!$H$26</f>
        <v>0.45</v>
      </c>
      <c r="H15" s="595">
        <f>'Control Panel'!$I$26</f>
        <v>0.51</v>
      </c>
      <c r="I15" s="595">
        <f>'Control Panel'!$E$26</f>
        <v>0</v>
      </c>
      <c r="J15" s="514">
        <f>INDEX($E15:$I15,1,$E$5+1)</f>
        <v>0.3448275862068966</v>
      </c>
      <c r="K15" s="388" t="inlineStr">
        <is>
          <t xml:space="preserve">BESS = ratio × basis (row 25), row 41 per strategy. S1: 90 MW = 34.48 % of the 261 MW installed wind (Munka1: Bora 70 + 20 MW); S2 / S3: 45 % of the net MVA = 90 MW; S4: 51 % of installed wind (GYIK 20); S0: no BESS</t>
        </is>
      </c>
    </row>
    <row r="16">
      <c r="C16" s="360" t="inlineStr">
        <is>
          <t xml:space="preserve">ÖSZ-4 BESS duration</t>
        </is>
      </c>
      <c r="D16" s="411" t="inlineStr">
        <is>
          <t xml:space="preserve">h</t>
        </is>
      </c>
      <c r="E16" s="513">
        <f>'Control Panel'!$F$28</f>
        <v>4</v>
      </c>
      <c r="F16" s="513">
        <f>'Control Panel'!$G$28</f>
        <v>4</v>
      </c>
      <c r="G16" s="513">
        <f>'Control Panel'!$H$28</f>
        <v>4</v>
      </c>
      <c r="H16" s="513">
        <f>'Control Panel'!$I$28</f>
        <v>4</v>
      </c>
      <c r="I16" s="513">
        <f>'Control Panel'!$E$28</f>
        <v>4</v>
      </c>
      <c r="J16" s="512">
        <f>INDEX($E16:$I16,1,$E$5+1)</f>
        <v>4</v>
      </c>
      <c r="K16" s="388" t="inlineStr">
        <is>
          <t xml:space="preserve">→ Inputs G21 (≥ 4 h needed for ÖSZ-4 points)</t>
        </is>
      </c>
    </row>
    <row r="17">
      <c r="C17" s="360" t="inlineStr">
        <is>
          <t xml:space="preserve">ÖSZ-6 Performance security as % of the tender minimum</t>
        </is>
      </c>
      <c r="D17" s="411" t="inlineStr">
        <is>
          <t xml:space="preserve">%</t>
        </is>
      </c>
      <c r="E17" s="514">
        <f>'Control Panel'!$F$29</f>
        <v>1.5</v>
      </c>
      <c r="F17" s="514">
        <f>'Control Panel'!$G$29</f>
        <v>1.6</v>
      </c>
      <c r="G17" s="514">
        <f>'Control Panel'!$H$29</f>
        <v>2</v>
      </c>
      <c r="H17" s="514">
        <f>'Control Panel'!$I$29</f>
        <v>2.1</v>
      </c>
      <c r="I17" s="514">
        <f>'Control Panel'!$E$29</f>
        <v>1</v>
      </c>
      <c r="J17" s="514">
        <f>INDEX($E17:$I17,1,$E$5+1)</f>
        <v>1.5</v>
      </c>
      <c r="K17" s="388" t="inlineStr">
        <is>
          <t xml:space="preserve">→ Inputs G90 performance bond uplift (Deposits row 10)</t>
        </is>
      </c>
    </row>
    <row r="18">
      <c r="C18" s="360" t="inlineStr">
        <is>
          <t xml:space="preserve">ÖSZ-5 Accept partial award</t>
        </is>
      </c>
      <c r="D18" s="411" t="inlineStr">
        <is>
          <t xml:space="preserve">1 / 0</t>
        </is>
      </c>
      <c r="E18" s="516">
        <f>'Control Panel'!$F$30</f>
        <v>0</v>
      </c>
      <c r="F18" s="516">
        <f>'Control Panel'!$G$30</f>
        <v>1</v>
      </c>
      <c r="G18" s="516">
        <f>'Control Panel'!$H$30</f>
        <v>1</v>
      </c>
      <c r="H18" s="516">
        <f>'Control Panel'!$I$30</f>
        <v>1</v>
      </c>
      <c r="I18" s="516">
        <f>'Control Panel'!$E$30</f>
        <v>0</v>
      </c>
      <c r="J18" s="516">
        <f>INDEX($E18:$I18,1,$E$5+1)</f>
        <v>0</v>
      </c>
      <c r="K18" s="388" t="inlineStr">
        <is>
          <t xml:space="preserve">Scored; no cost modelled</t>
        </is>
      </c>
    </row>
    <row r="19">
      <c r="C19" s="360" t="inlineStr">
        <is>
          <t xml:space="preserve">ÖSZ-7 Brownfield site (≥ 70 %)</t>
        </is>
      </c>
      <c r="D19" s="411" t="inlineStr">
        <is>
          <t xml:space="preserve">1 / 0</t>
        </is>
      </c>
      <c r="E19" s="516">
        <f>'Control Panel'!$F$31</f>
        <v>0</v>
      </c>
      <c r="F19" s="516">
        <f>'Control Panel'!$G$31</f>
        <v>0</v>
      </c>
      <c r="G19" s="516">
        <f>'Control Panel'!$H$31</f>
        <v>0</v>
      </c>
      <c r="H19" s="516">
        <f>'Control Panel'!$I$31</f>
        <v>0</v>
      </c>
      <c r="I19" s="516">
        <f>'Control Panel'!$E$31</f>
        <v>0</v>
      </c>
      <c r="J19" s="516">
        <f>INDEX($E19:$I19,1,$E$5+1)</f>
        <v>0</v>
      </c>
      <c r="K19" s="388" t="inlineStr">
        <is>
          <t xml:space="preserve">Not available at Bora's node – no points in any scenario</t>
        </is>
      </c>
    </row>
    <row r="20">
      <c r="C20" s="360" t="inlineStr">
        <is>
          <t xml:space="preserve">ÖSZ-8 Shared connection point and line</t>
        </is>
      </c>
      <c r="D20" s="411" t="inlineStr">
        <is>
          <t xml:space="preserve">1 / 0</t>
        </is>
      </c>
      <c r="E20" s="516">
        <f>'Control Panel'!$F$32</f>
        <v>0</v>
      </c>
      <c r="F20" s="516">
        <f>'Control Panel'!$G$32</f>
        <v>1</v>
      </c>
      <c r="G20" s="516">
        <f>'Control Panel'!$H$32</f>
        <v>1</v>
      </c>
      <c r="H20" s="516">
        <f>'Control Panel'!$I$32</f>
        <v>1</v>
      </c>
      <c r="I20" s="516">
        <f>'Control Panel'!$E$32</f>
        <v>0</v>
      </c>
      <c r="J20" s="516">
        <f>INDEX($E20:$I20,1,$E$5+1)</f>
        <v>0</v>
      </c>
      <c r="K20" s="388" t="inlineStr">
        <is>
          <t xml:space="preserve">Scored; no cost modelled</t>
        </is>
      </c>
    </row>
    <row r="21">
      <c r="C21" s="360" t="inlineStr">
        <is>
          <t xml:space="preserve">ÖSZ-9b EU-made generator transformer (European-turbine routes only)</t>
        </is>
      </c>
      <c r="D21" s="411" t="inlineStr">
        <is>
          <t xml:space="preserve">1 / 0</t>
        </is>
      </c>
      <c r="E21" s="516">
        <f>'Control Panel'!$F$34</f>
        <v>0</v>
      </c>
      <c r="F21" s="516">
        <f>'Control Panel'!$G$34</f>
        <v>1</v>
      </c>
      <c r="G21" s="516">
        <f>'Control Panel'!$H$34</f>
        <v>1</v>
      </c>
      <c r="H21" s="516">
        <f>'Control Panel'!$I$34</f>
        <v>1</v>
      </c>
      <c r="I21" s="516">
        <f>'Control Panel'!$E$34</f>
        <v>0</v>
      </c>
      <c r="J21" s="516">
        <f>INDEX($E21:$I21,1,$E$5+1)</f>
        <v>0</v>
      </c>
      <c r="K21" s="388" t="inlineStr">
        <is>
          <t xml:space="preserve">Chinese routes: non-EU transformer, substation capex reduced by Tender E29 (Inputs I167 / N167)</t>
        </is>
      </c>
    </row>
    <row r="22">
      <c r="C22" s="360" t="inlineStr">
        <is>
          <t xml:space="preserve">Turbine of the scenario (1 = European, 0 = Chinese)</t>
        </is>
      </c>
      <c r="D22" s="411" t="inlineStr">
        <is>
          <t xml:space="preserve">1 / 0</t>
        </is>
      </c>
      <c r="E22" s="516">
        <f>'Control Panel'!$F$33</f>
        <v>1</v>
      </c>
      <c r="F22" s="516">
        <f>'Control Panel'!$G$33</f>
        <v>1</v>
      </c>
      <c r="G22" s="516">
        <f>'Control Panel'!$H$33</f>
        <v>1</v>
      </c>
      <c r="H22" s="516">
        <f>'Control Panel'!$I$33</f>
        <v>1</v>
      </c>
      <c r="I22" s="516">
        <f>'Control Panel'!$E$33</f>
        <v>0</v>
      </c>
      <c r="J22" s="516">
        <f>INDEX($E22:$I22,1,$E$5+1)</f>
        <v>1</v>
      </c>
      <c r="K22" s="388" t="inlineStr">
        <is>
          <t xml:space="preserve">Headline score of the scenario and the score of its RtB route; ÖSZ-9a turbine points only for European</t>
        </is>
      </c>
    </row>
    <row r="23">
      <c r="C23" s="360" t="inlineStr">
        <is>
          <t xml:space="preserve">Sale at COD price – European turbine, before clipping</t>
        </is>
      </c>
      <c r="D23" s="411" t="inlineStr">
        <is>
          <t xml:space="preserve">k€/gross MW</t>
        </is>
      </c>
      <c r="E23" s="511">
        <f>'Control Panel'!$E$133</f>
        <v>2450</v>
      </c>
      <c r="F23" s="511">
        <f>'Control Panel'!$E$133</f>
        <v>2450</v>
      </c>
      <c r="G23" s="511">
        <f>'Control Panel'!$E$133</f>
        <v>2450</v>
      </c>
      <c r="H23" s="511">
        <f>'Control Panel'!$E$133</f>
        <v>2450</v>
      </c>
      <c r="I23" s="511">
        <f>'Control Panel'!$E$133</f>
        <v>2450</v>
      </c>
      <c r="J23" s="511">
        <f>INDEX($E23:$I23,1,$E$5+1)</f>
        <v>2450</v>
      </c>
      <c r="K23" s="388" t="inlineStr">
        <is>
          <t xml:space="preserve">One price for all scenarios (Control Panel section c); × (1 − clip) per scenario (row 46) → Inputs M230 (case 7)</t>
        </is>
      </c>
    </row>
    <row r="24">
      <c r="C24" s="360" t="inlineStr">
        <is>
          <t xml:space="preserve">Sale at COD price – Chinese turbine, before clipping</t>
        </is>
      </c>
      <c r="D24" s="411" t="inlineStr">
        <is>
          <t xml:space="preserve">k€/gross MW</t>
        </is>
      </c>
      <c r="E24" s="511">
        <f>'Control Panel'!$E$134</f>
        <v>2100</v>
      </c>
      <c r="F24" s="511">
        <f>'Control Panel'!$E$134</f>
        <v>2100</v>
      </c>
      <c r="G24" s="511">
        <f>'Control Panel'!$E$134</f>
        <v>2100</v>
      </c>
      <c r="H24" s="511">
        <f>'Control Panel'!$E$134</f>
        <v>2100</v>
      </c>
      <c r="I24" s="511">
        <f>'Control Panel'!$E$134</f>
        <v>2100</v>
      </c>
      <c r="J24" s="511">
        <f>INDEX($E24:$I24,1,$E$5+1)</f>
        <v>2100</v>
      </c>
      <c r="K24" s="388" t="inlineStr">
        <is>
          <t xml:space="preserve">One price for all scenarios (Control Panel section c); × (1 − clip) per scenario (row 47) → Inputs N230 (case 8)</t>
        </is>
      </c>
    </row>
    <row r="25">
      <c r="C25" s="360" t="inlineStr">
        <is>
          <t xml:space="preserve">ÖSZ-4 BESS ratio basis (1 = % of installed gross wind, GYIK 20; 0 = % of net MVA)</t>
        </is>
      </c>
      <c r="D25" s="411" t="inlineStr">
        <is>
          <t xml:space="preserve">1 / 0</t>
        </is>
      </c>
      <c r="E25" s="516">
        <f>'Control Panel'!$F$27</f>
        <v>1</v>
      </c>
      <c r="F25" s="516">
        <f>'Control Panel'!$G$27</f>
        <v>0</v>
      </c>
      <c r="G25" s="516">
        <f>'Control Panel'!$H$27</f>
        <v>0</v>
      </c>
      <c r="H25" s="516">
        <f>'Control Panel'!$I$27</f>
        <v>1</v>
      </c>
      <c r="I25" s="516">
        <f>'Control Panel'!$E$27</f>
        <v>1</v>
      </c>
      <c r="J25" s="516">
        <f>INDEX($E25:$I25,1,$E$5+1)</f>
        <v>1</v>
      </c>
      <c r="K25" s="388" t="inlineStr">
        <is>
          <t xml:space="preserve">Round 5 (GYIK 20): ÖSZ-4 is scored on BESS MW ÷ installed wind MW (BT1)</t>
        </is>
      </c>
    </row>
    <row r="26">
      <c r="C26" s="253" t="inlineStr">
        <is>
          <t xml:space="preserve">1b. Common inputs (one value for all scenarios)</t>
        </is>
      </c>
      <c r="D26" s="254" t="inlineStr">
        <is>
          <t xml:space="preserve">Unit</t>
        </is>
      </c>
      <c r="E26" s="254" t="inlineStr">
        <is>
          <t xml:space="preserve">Value</t>
        </is>
      </c>
      <c r="F26" s="254" t="inlineStr">
        <is>
          <t xml:space="preserve">Note</t>
        </is>
      </c>
      <c r="G26" s="254"/>
      <c r="H26" s="254"/>
      <c r="I26" s="254"/>
      <c r="J26" s="254"/>
    </row>
    <row r="27">
      <c r="C27" s="360" t="inlineStr">
        <is>
          <t xml:space="preserve">Reference overbuild of the L20 clipping estimate</t>
        </is>
      </c>
      <c r="D27" s="411" t="inlineStr">
        <is>
          <t xml:space="preserve">%</t>
        </is>
      </c>
      <c r="E27" s="509">
        <v>0.2</v>
      </c>
      <c r="F27" s="388" t="inlineStr">
        <is>
          <t xml:space="preserve">clip(x) = L20 × (x ÷ 20 %)² – estimate, replace with an 8,760 h export-cap study</t>
        </is>
      </c>
    </row>
    <row r="28">
      <c r="C28" s="360" t="inlineStr">
        <is>
          <t xml:space="preserve">Clipping loss at the reference overbuild (L20) – ESTIMATE, all scenarios incl. 0</t>
        </is>
      </c>
      <c r="D28" s="411" t="inlineStr">
        <is>
          <t xml:space="preserve">%</t>
        </is>
      </c>
      <c r="E28" s="515">
        <f>'Control Panel'!$E$113</f>
        <v>0.02</v>
      </c>
      <c r="F28" s="388" t="inlineStr">
        <is>
          <t xml:space="preserve">Physical effect of the overbuild (row 43), so it applies in every scenario; set on the Control Panel</t>
        </is>
      </c>
    </row>
    <row r="29">
      <c r="C29" s="360" t="inlineStr">
        <is>
          <t xml:space="preserve">Chinese routes: substation and 132 kV bay capex reduction (non-EU transformer)</t>
        </is>
      </c>
      <c r="D29" s="411" t="inlineStr">
        <is>
          <t xml:space="preserve">%</t>
        </is>
      </c>
      <c r="E29" s="509">
        <v>0.1</v>
      </c>
      <c r="F29" s="388" t="inlineStr">
        <is>
          <t xml:space="preserve">→ Inputs I167 / N167 (cases 3 / 8)</t>
        </is>
      </c>
    </row>
    <row r="30">
      <c r="C30" s="360" t="inlineStr">
        <is>
          <t xml:space="preserve">Pass-through of the promises' PV into the exit price (RtB and sale at COD)</t>
        </is>
      </c>
      <c r="D30" s="411" t="inlineStr">
        <is>
          <t xml:space="preserve">%</t>
        </is>
      </c>
      <c r="E30" s="514">
        <f>'Control Panel'!$E$89</f>
        <v>1</v>
      </c>
      <c r="F30" s="388" t="inlineStr">
        <is>
          <t xml:space="preserve">100 % = the buyer deducts the full PV of the promises relative to the S1 current-bid reference (promises below it, e.g. S0, add to the price); set on the Control Panel</t>
        </is>
      </c>
    </row>
    <row r="31">
      <c r="C31" s="360" t="inlineStr">
        <is>
          <t xml:space="preserve">Performance security held after COD (buyer's guarantee fee, RtB price effect)</t>
        </is>
      </c>
      <c r="D31" s="411" t="inlineStr">
        <is>
          <t xml:space="preserve">months</t>
        </is>
      </c>
      <c r="E31" s="510">
        <v>6</v>
      </c>
      <c r="F31" s="388" t="inlineStr">
        <is>
          <t xml:space="preserve">Tender XII.2 – security returned 6 months after COD (as v5)</t>
        </is>
      </c>
    </row>
    <row r="32">
      <c r="C32" s="360" t="inlineStr">
        <is>
          <t xml:space="preserve">Check tolerance – absolute</t>
        </is>
      </c>
      <c r="D32" s="411" t="inlineStr">
        <is>
          <t xml:space="preserve">k€ / mHUF</t>
        </is>
      </c>
      <c r="E32" s="508">
        <v>0.01</v>
      </c>
      <c r="F32" s="388" t="inlineStr">
        <is>
          <t xml:space="preserve">Used by the check rows (section 7, Deposits)</t>
        </is>
      </c>
    </row>
    <row r="33">
      <c r="C33" s="360" t="inlineStr">
        <is>
          <t xml:space="preserve">Check tolerance – relative</t>
        </is>
      </c>
      <c r="D33" s="411" t="inlineStr">
        <is>
          <t xml:space="preserve">x</t>
        </is>
      </c>
      <c r="E33" s="443">
        <v>0.000001</v>
      </c>
      <c r="F33" s="388" t="inlineStr">
        <is>
          <t xml:space="preserve">Live vs data-table tie-out (section 6)</t>
        </is>
      </c>
    </row>
    <row r="35">
      <c r="C35" s="447" t="inlineStr">
        <is>
          <t xml:space="preserve">2. Strategy block – each tender strategy applied to Bora (columns E:I = S1 / S2 / S3 / S4 / S0; column J = active strategy → Inputs / HTM)</t>
        </is>
      </c>
      <c r="D35" s="447"/>
      <c r="E35" s="447"/>
      <c r="F35" s="447"/>
      <c r="G35" s="447"/>
      <c r="H35" s="447"/>
      <c r="I35" s="447"/>
      <c r="J35" s="447"/>
    </row>
    <row r="36">
      <c r="C36" s="253" t="inlineStr">
        <is>
          <t xml:space="preserve">Item</t>
        </is>
      </c>
      <c r="D36" s="254" t="inlineStr">
        <is>
          <t xml:space="preserve">Unit</t>
        </is>
      </c>
      <c r="E36" s="254" t="inlineStr">
        <is>
          <t xml:space="preserve">S1</t>
        </is>
      </c>
      <c r="F36" t="inlineStr">
        <is>
          <t xml:space="preserve">S2</t>
        </is>
      </c>
      <c r="G36" t="inlineStr">
        <is>
          <t xml:space="preserve">S3</t>
        </is>
      </c>
      <c r="H36" t="inlineStr">
        <is>
          <t xml:space="preserve">S4</t>
        </is>
      </c>
      <c r="I36" t="inlineStr">
        <is>
          <t xml:space="preserve">S0</t>
        </is>
      </c>
      <c r="J36" s="254" t="inlineStr">
        <is>
          <t xml:space="preserve">Active scenario</t>
        </is>
      </c>
      <c r="K36" s="254" t="inlineStr">
        <is>
          <t xml:space="preserve">Note</t>
        </is>
      </c>
    </row>
    <row r="37">
      <c r="C37" s="360" t="inlineStr">
        <is>
          <t xml:space="preserve">Net grid connection capacity (Annex 1)</t>
        </is>
      </c>
      <c r="D37" s="411" t="inlineStr">
        <is>
          <t xml:space="preserve">MVA</t>
        </is>
      </c>
      <c r="E37" s="511">
        <f>'Control Panel'!$E$74</f>
        <v>200</v>
      </c>
      <c r="F37" s="512">
        <f>$E37</f>
        <v>200</v>
      </c>
      <c r="G37" s="512">
        <f>$E37</f>
        <v>200</v>
      </c>
      <c r="H37" s="512">
        <f>$E37</f>
        <v>200</v>
      </c>
      <c r="I37" s="512">
        <f>$E37</f>
        <v>200</v>
      </c>
      <c r="J37" s="512">
        <f>$E37</f>
        <v>200</v>
      </c>
      <c r="K37" s="388" t="inlineStr">
        <is>
          <t xml:space="preserve">Control Panel section c – RtB premium (default basis), grid fees, TSO bond</t>
        </is>
      </c>
    </row>
    <row r="38">
      <c r="C38" s="360" t="inlineStr">
        <is>
          <t xml:space="preserve">S1 current bid (column E) – gross installed wind (reference of the price effect = column E row 40)</t>
        </is>
      </c>
      <c r="D38" s="411" t="inlineStr">
        <is>
          <t xml:space="preserve">MW</t>
        </is>
      </c>
      <c r="E38" s="507">
        <f>$E$40</f>
        <v>261</v>
      </c>
      <c r="J38" s="507">
        <f>$E38</f>
        <v>261</v>
      </c>
      <c r="K38" s="388" t="inlineStr">
        <is>
          <t xml:space="preserve">Munka1: Bora1 151 + Bora2 110 = 261 MW</t>
        </is>
      </c>
    </row>
    <row r="39">
      <c r="C39" s="360" t="inlineStr">
        <is>
          <t xml:space="preserve">S1 current bid (column E) – BESS power (reference of the price effect = column E row 41)</t>
        </is>
      </c>
      <c r="D39" s="411" t="inlineStr">
        <is>
          <t xml:space="preserve">MW</t>
        </is>
      </c>
      <c r="E39" s="507">
        <f>$E$41</f>
        <v>90</v>
      </c>
      <c r="J39" s="507">
        <f>$E39</f>
        <v>90</v>
      </c>
      <c r="K39" s="388" t="inlineStr">
        <is>
          <t xml:space="preserve">Munka1: Bora 70 + 20 MW</t>
        </is>
      </c>
    </row>
    <row r="40">
      <c r="C40" s="360" t="inlineStr">
        <is>
          <t xml:space="preserve">Gross installed wind = net MVA × (1 + overbuild)</t>
        </is>
      </c>
      <c r="D40" s="411" t="inlineStr">
        <is>
          <t xml:space="preserve">MW</t>
        </is>
      </c>
      <c r="E40" s="518">
        <f>ROUND($E37*(1+E$14),6)</f>
        <v>261</v>
      </c>
      <c r="F40" s="518">
        <f>ROUND($E37*(1+F$14),6)</f>
        <v>280</v>
      </c>
      <c r="G40" s="518">
        <f>ROUND($E37*(1+G$14),6)</f>
        <v>280</v>
      </c>
      <c r="H40" s="518">
        <f>ROUND($E37*(1+H$14),6)</f>
        <v>308</v>
      </c>
      <c r="I40" s="518">
        <f>ROUND($E37*(1+I$14),6)</f>
        <v>200</v>
      </c>
      <c r="J40" s="518">
        <f>INDEX($E40:$I40,1,$E$5+1)</f>
        <v>261</v>
      </c>
      <c r="K40" s="388" t="inlineStr">
        <is>
          <t xml:space="preserve">Active (column I) → Inputs G297 (installed wind)</t>
        </is>
      </c>
    </row>
    <row r="41">
      <c r="C41" s="360" t="inlineStr">
        <is>
          <t xml:space="preserve">BESS power = ratio × basis MW (row 25)</t>
        </is>
      </c>
      <c r="D41" s="411" t="inlineStr">
        <is>
          <t xml:space="preserve">MW</t>
        </is>
      </c>
      <c r="E41" s="518">
        <f>ROUND(E$15*CHOOSE(E$25+1,$E37,E40),6)</f>
        <v>90</v>
      </c>
      <c r="F41" s="518">
        <f>ROUND(F$15*CHOOSE(F$25+1,$E37,F40),6)</f>
        <v>90</v>
      </c>
      <c r="G41" s="518">
        <f>ROUND(G$15*CHOOSE(G$25+1,$E37,G40),6)</f>
        <v>90</v>
      </c>
      <c r="H41" s="518">
        <f>ROUND(H$15*CHOOSE(H$25+1,$E37,H40),6)</f>
        <v>157.08</v>
      </c>
      <c r="I41" s="518">
        <f>ROUND(I$15*CHOOSE(I$25+1,$E37,I40),6)</f>
        <v>0</v>
      </c>
      <c r="J41" s="518">
        <f>INDEX($E41:$I41,1,$E$5+1)</f>
        <v>90</v>
      </c>
      <c r="K41" s="388" t="inlineStr">
        <is>
          <t xml:space="preserve">Active → Inputs G20 / G282; ratio × installed wind (row 25 = 1) or × net MVA</t>
        </is>
      </c>
    </row>
    <row r="42">
      <c r="C42" s="360" t="inlineStr">
        <is>
          <t xml:space="preserve">BESS energy (power × duration)</t>
        </is>
      </c>
      <c r="D42" s="411" t="inlineStr">
        <is>
          <t xml:space="preserve">MWh</t>
        </is>
      </c>
      <c r="E42" s="518">
        <f>E41*E$16</f>
        <v>360</v>
      </c>
      <c r="F42" s="518">
        <f>F41*F$16</f>
        <v>360</v>
      </c>
      <c r="G42" s="518">
        <f>G41*G$16</f>
        <v>360</v>
      </c>
      <c r="H42" s="518">
        <f>H41*H$16</f>
        <v>628.32</v>
      </c>
      <c r="I42" s="518">
        <f>I41*I$16</f>
        <v>0</v>
      </c>
      <c r="J42" s="518">
        <f>INDEX($E42:$I42,1,$E$5+1)</f>
        <v>360</v>
      </c>
    </row>
    <row r="43">
      <c r="C43" s="360" t="inlineStr">
        <is>
          <t xml:space="preserve">Overbuild (gross wind ÷ net MVA − 1)</t>
        </is>
      </c>
      <c r="D43" s="411" t="inlineStr">
        <is>
          <t xml:space="preserve">%</t>
        </is>
      </c>
      <c r="E43" s="520">
        <f>E40/E37-1</f>
        <v>0.30499999999999994</v>
      </c>
      <c r="F43" s="520">
        <f>F40/F37-1</f>
        <v>0.3999999999999999</v>
      </c>
      <c r="G43" s="520">
        <f>G40/G37-1</f>
        <v>0.3999999999999999</v>
      </c>
      <c r="H43" s="520">
        <f>H40/H37-1</f>
        <v>0.54</v>
      </c>
      <c r="I43" s="520">
        <f>I40/I37-1</f>
        <v>0</v>
      </c>
      <c r="J43" s="520">
        <f>INDEX($E43:$I43,1,$E$5+1)</f>
        <v>0.30499999999999994</v>
      </c>
      <c r="K43" s="388" t="inlineStr">
        <is>
          <t xml:space="preserve">ÖSZ-3 commitment</t>
        </is>
      </c>
    </row>
    <row r="44">
      <c r="C44" s="360" t="inlineStr">
        <is>
          <t xml:space="preserve">BESS ratio (BESS MW ÷ installed gross wind MW – GYIK 20, BT1)</t>
        </is>
      </c>
      <c r="D44" s="411" t="inlineStr">
        <is>
          <t xml:space="preserve">%</t>
        </is>
      </c>
      <c r="E44" s="520">
        <f>E41/E40</f>
        <v>0.3448275862068966</v>
      </c>
      <c r="F44" s="520">
        <f>F41/F40</f>
        <v>0.32142857142857145</v>
      </c>
      <c r="G44" s="520">
        <f>G41/G40</f>
        <v>0.32142857142857145</v>
      </c>
      <c r="H44" s="520">
        <f>H41/H40</f>
        <v>0.51</v>
      </c>
      <c r="I44" s="520">
        <f>I41/I40</f>
        <v>0</v>
      </c>
      <c r="J44" s="520">
        <f>INDEX($E44:$I44,1,$E$5+1)</f>
        <v>0.3448275862068966</v>
      </c>
      <c r="K44" s="388" t="inlineStr">
        <is>
          <t xml:space="preserve">ÖSZ-4 commitment (round 5: was ÷ net MVA)</t>
        </is>
      </c>
    </row>
    <row r="45">
      <c r="C45" s="360" t="inlineStr">
        <is>
          <t xml:space="preserve">Clipping loss at the connection capacity (L20 × (overbuild ÷ reference)²)</t>
        </is>
      </c>
      <c r="D45" s="411" t="inlineStr">
        <is>
          <t xml:space="preserve">%</t>
        </is>
      </c>
      <c r="E45" s="520">
        <f>$E$28*(MAX(0,E43)/$E$27)^2</f>
        <v>0.046512499999999984</v>
      </c>
      <c r="F45" s="520">
        <f>$E$28*(MAX(0,F43)/$E$27)^2</f>
        <v>0.07999999999999996</v>
      </c>
      <c r="G45" s="520">
        <f>$E$28*(MAX(0,G43)/$E$27)^2</f>
        <v>0.07999999999999996</v>
      </c>
      <c r="H45" s="520">
        <f>$E$28*(MAX(0,H43)/$E$27)^2</f>
        <v>0.1458</v>
      </c>
      <c r="I45" s="520">
        <f>$E$28*(MAX(0,I43)/$E$27)^2</f>
        <v>0</v>
      </c>
      <c r="J45" s="520">
        <f>INDEX($E45:$I45,1,$E$5+1)</f>
        <v>0.046512499999999984</v>
      </c>
      <c r="K45" s="388" t="inlineStr">
        <is>
          <t xml:space="preserve">Active → HTM E36 (generation × (1 − clip)), applied once</t>
        </is>
      </c>
    </row>
    <row r="46">
      <c r="C46" s="360" t="inlineStr">
        <is>
          <t xml:space="preserve">Sale at COD price – European, after clipping</t>
        </is>
      </c>
      <c r="D46" s="411" t="inlineStr">
        <is>
          <t xml:space="preserve">k€/gross MW</t>
        </is>
      </c>
      <c r="E46" s="517">
        <f>E$23*(1-E45)</f>
        <v>2336.044375</v>
      </c>
      <c r="F46" s="517">
        <f>F$23*(1-F45)</f>
        <v>2254</v>
      </c>
      <c r="G46" s="517">
        <f>G$23*(1-G45)</f>
        <v>2254</v>
      </c>
      <c r="H46" s="517">
        <f>H$23*(1-H45)</f>
        <v>2092.79</v>
      </c>
      <c r="I46" s="517">
        <f>I$23*(1-I45)</f>
        <v>2450</v>
      </c>
      <c r="J46" s="517">
        <f>INDEX($E46:$I46,1,$E$5+1)</f>
        <v>2336.044375</v>
      </c>
      <c r="K46" s="388" t="inlineStr">
        <is>
          <t xml:space="preserve">Active → Inputs M230 (case 7)</t>
        </is>
      </c>
    </row>
    <row r="47">
      <c r="C47" s="360" t="inlineStr">
        <is>
          <t xml:space="preserve">Sale at COD price – Chinese, after clipping</t>
        </is>
      </c>
      <c r="D47" s="411" t="inlineStr">
        <is>
          <t xml:space="preserve">k€/gross MW</t>
        </is>
      </c>
      <c r="E47" s="517">
        <f>E$24*(1-E45)</f>
        <v>2002.32375</v>
      </c>
      <c r="F47" s="517">
        <f>F$24*(1-F45)</f>
        <v>1932</v>
      </c>
      <c r="G47" s="517">
        <f>G$24*(1-G45)</f>
        <v>1932</v>
      </c>
      <c r="H47" s="517">
        <f>H$24*(1-H45)</f>
        <v>1793.82</v>
      </c>
      <c r="I47" s="517">
        <f>I$24*(1-I45)</f>
        <v>2100</v>
      </c>
      <c r="J47" s="517">
        <f>INDEX($E47:$I47,1,$E$5+1)</f>
        <v>2002.32375</v>
      </c>
      <c r="K47" s="388" t="inlineStr">
        <is>
          <t xml:space="preserve">Active → Inputs N230 (case 8)</t>
        </is>
      </c>
    </row>
    <row r="48">
      <c r="C48" s="360" t="inlineStr">
        <is>
          <t xml:space="preserve">RtB exit route available (1 = yes)</t>
        </is>
      </c>
      <c r="D48" s="411" t="inlineStr">
        <is>
          <t xml:space="preserve">1 / 0</t>
        </is>
      </c>
      <c r="E48" s="510">
        <v>1</v>
      </c>
      <c r="F48" s="510">
        <f>$E48</f>
        <v>1</v>
      </c>
      <c r="G48" s="510">
        <f>$E48</f>
        <v>1</v>
      </c>
      <c r="H48" s="510">
        <f>$E48</f>
        <v>1</v>
      </c>
      <c r="I48" s="510">
        <f>$E48</f>
        <v>1</v>
      </c>
      <c r="J48" s="510">
        <f>INDEX($E48:$I48,1,$E$5+1)</f>
        <v>1</v>
      </c>
      <c r="K48" s="388" t="inlineStr">
        <is>
          <t xml:space="preserve">RtB exit available for Bora</t>
        </is>
      </c>
    </row>
    <row r="50">
      <c r="C50" s="253" t="inlineStr">
        <is>
          <t xml:space="preserve">Points – Annex 3 weight × Annex 4 inner points (tables and parameters in section 3)</t>
        </is>
      </c>
      <c r="D50" s="254" t="inlineStr">
        <is>
          <t xml:space="preserve">Unit</t>
        </is>
      </c>
      <c r="E50" s="254" t="inlineStr">
        <is>
          <t xml:space="preserve">S1</t>
        </is>
      </c>
      <c r="F50" t="inlineStr">
        <is>
          <t xml:space="preserve">S2</t>
        </is>
      </c>
      <c r="G50" t="inlineStr">
        <is>
          <t xml:space="preserve">S3</t>
        </is>
      </c>
      <c r="H50" t="inlineStr">
        <is>
          <t xml:space="preserve">S4</t>
        </is>
      </c>
      <c r="I50" t="inlineStr">
        <is>
          <t xml:space="preserve">S0</t>
        </is>
      </c>
      <c r="J50" s="254" t="inlineStr">
        <is>
          <t xml:space="preserve">Active scenario</t>
        </is>
      </c>
      <c r="K50" s="254" t="inlineStr">
        <is>
          <t xml:space="preserve">Rule</t>
        </is>
      </c>
    </row>
    <row r="51">
      <c r="C51" s="360" t="inlineStr">
        <is>
          <t xml:space="preserve">ÖSZ-1 commitment x (6 dp)</t>
        </is>
      </c>
      <c r="D51" s="411" t="inlineStr">
        <is>
          <t xml:space="preserve">EUR/MW</t>
        </is>
      </c>
      <c r="E51" s="517">
        <f>ROUND(E$12*1000,6)</f>
        <v>20000</v>
      </c>
      <c r="F51" s="517">
        <f>ROUND(F$12*1000,6)</f>
        <v>20000</v>
      </c>
      <c r="G51" s="517">
        <f>ROUND(G$12*1000,6)</f>
        <v>50000</v>
      </c>
      <c r="H51" s="517">
        <f>ROUND(H$12*1000,6)</f>
        <v>50000</v>
      </c>
      <c r="I51" s="517">
        <f>ROUND(I$12*1000,6)</f>
        <v>0</v>
      </c>
      <c r="J51" s="517">
        <f>INDEX($E51:$I51,1,$E$5+1)</f>
        <v>20000</v>
      </c>
      <c r="K51" s="388" t="inlineStr">
        <is>
          <t xml:space="preserve">x = active ÖSZ-1 × 1000</t>
        </is>
      </c>
    </row>
    <row r="52">
      <c r="C52" s="360" t="inlineStr">
        <is>
          <t xml:space="preserve">ÖSZ-1 eligible (min ≤ x ≤ max)</t>
        </is>
      </c>
      <c r="D52" s="411" t="inlineStr">
        <is>
          <t xml:space="preserve">1 / 0</t>
        </is>
      </c>
      <c r="E52" s="523">
        <f>AND(E51&gt;=$E$162,E51&lt;=$E$163)*1</f>
        <v>1</v>
      </c>
      <c r="F52" s="523">
        <f>AND(F51&gt;=$E$162,F51&lt;=$E$163)*1</f>
        <v>1</v>
      </c>
      <c r="G52" s="523">
        <f>AND(G51&gt;=$E$162,G51&lt;=$E$163)*1</f>
        <v>1</v>
      </c>
      <c r="H52" s="523">
        <f>AND(H51&gt;=$E$162,H51&lt;=$E$163)*1</f>
        <v>1</v>
      </c>
      <c r="I52" s="523">
        <f>AND(I51&gt;=$E$162,I51&lt;=$E$163)*1</f>
        <v>0</v>
      </c>
      <c r="J52" s="523">
        <f>INDEX($E52:$I52,1,$E$5+1)</f>
        <v>1</v>
      </c>
    </row>
    <row r="53">
      <c r="C53" s="360" t="inlineStr">
        <is>
          <t xml:space="preserve">ÖSZ-1 band number (lookup)</t>
        </is>
      </c>
      <c r="D53" s="411" t="inlineStr">
        <is>
          <t xml:space="preserve">band</t>
        </is>
      </c>
      <c r="E53" s="523">
        <f>SUMPRODUCT(($D$93:$D$101&lt;E51)+($D$93:$D$101=E51)*$E$93:$E$101)</f>
        <v>2</v>
      </c>
      <c r="F53" s="523">
        <f>SUMPRODUCT(($D$93:$D$101&lt;F51)+($D$93:$D$101=F51)*$E$93:$E$101)</f>
        <v>2</v>
      </c>
      <c r="G53" s="523">
        <f>SUMPRODUCT(($D$93:$D$101&lt;G51)+($D$93:$D$101=G51)*$E$93:$E$101)</f>
        <v>9</v>
      </c>
      <c r="H53" s="523">
        <f>SUMPRODUCT(($D$93:$D$101&lt;H51)+($D$93:$D$101=H51)*$E$93:$E$101)</f>
        <v>9</v>
      </c>
      <c r="I53" s="523">
        <f>SUMPRODUCT(($D$93:$D$101&lt;I51)+($D$93:$D$101=I51)*$E$93:$E$101)</f>
        <v>0</v>
      </c>
      <c r="J53" s="523">
        <f>INDEX($E53:$I53,1,$E$5+1)</f>
        <v>2</v>
      </c>
      <c r="K53" s="388" t="inlineStr">
        <is>
          <t xml:space="preserve">Σ (lower &lt; x) + (lower = x) × included</t>
        </is>
      </c>
    </row>
    <row r="54">
      <c r="C54" s="360" t="inlineStr">
        <is>
          <t xml:space="preserve">ÖSZ-1 inner points</t>
        </is>
      </c>
      <c r="D54" s="411" t="inlineStr">
        <is>
          <t xml:space="preserve">0–100</t>
        </is>
      </c>
      <c r="E54" s="523">
        <f>INDEX($F$92:$F$101,E53+1)*E52</f>
        <v>20</v>
      </c>
      <c r="F54" s="523">
        <f>INDEX($F$92:$F$101,F53+1)*F52</f>
        <v>20</v>
      </c>
      <c r="G54" s="523">
        <f>INDEX($F$92:$F$101,G53+1)*G52</f>
        <v>100</v>
      </c>
      <c r="H54" s="523">
        <f>INDEX($F$92:$F$101,H53+1)*H52</f>
        <v>100</v>
      </c>
      <c r="I54" s="523">
        <f>INDEX($F$92:$F$101,I53+1)*I52</f>
        <v>0</v>
      </c>
      <c r="J54" s="523">
        <f>INDEX($E54:$I54,1,$E$5+1)</f>
        <v>20</v>
      </c>
      <c r="K54" s="388" t="inlineStr">
        <is>
          <t xml:space="preserve">INDEX(points incl. row 0, band + 1) × eligible</t>
        </is>
      </c>
    </row>
    <row r="55">
      <c r="C55" s="360" t="inlineStr">
        <is>
          <t xml:space="preserve">ÖSZ-1 weighted points</t>
        </is>
      </c>
      <c r="D55" s="411" t="inlineStr">
        <is>
          <t xml:space="preserve">pts</t>
        </is>
      </c>
      <c r="E55" s="519">
        <f>E54*$E$153/100</f>
        <v>4</v>
      </c>
      <c r="F55" s="519">
        <f>F54*$E$153/100</f>
        <v>4</v>
      </c>
      <c r="G55" s="519">
        <f>G54*$E$153/100</f>
        <v>20</v>
      </c>
      <c r="H55" s="519">
        <f>H54*$E$153/100</f>
        <v>20</v>
      </c>
      <c r="I55" s="519">
        <f>I54*$E$153/100</f>
        <v>0</v>
      </c>
      <c r="J55" s="519">
        <f>INDEX($E55:$I55,1,$E$5+1)</f>
        <v>4</v>
      </c>
      <c r="K55" s="388" t="inlineStr">
        <is>
          <t xml:space="preserve">inner × weight ÷ 100</t>
        </is>
      </c>
    </row>
    <row r="56">
      <c r="C56" s="360" t="inlineStr">
        <is>
          <t xml:space="preserve">ÖSZ-2 commitment x (6 dp)</t>
        </is>
      </c>
      <c r="D56" s="411" t="inlineStr">
        <is>
          <t xml:space="preserve">EUR/MWh</t>
        </is>
      </c>
      <c r="E56" s="519">
        <f>ROUND(E$13,6)</f>
        <v>2</v>
      </c>
      <c r="F56" s="519">
        <f>ROUND(F$13,6)</f>
        <v>2</v>
      </c>
      <c r="G56" s="519">
        <f>ROUND(G$13,6)</f>
        <v>2</v>
      </c>
      <c r="H56" s="519">
        <f>ROUND(H$13,6)</f>
        <v>3</v>
      </c>
      <c r="I56" s="519">
        <f>ROUND(I$13,6)</f>
        <v>0</v>
      </c>
      <c r="J56" s="519">
        <f>INDEX($E56:$I56,1,$E$5+1)</f>
        <v>2</v>
      </c>
    </row>
    <row r="57">
      <c r="C57" s="360" t="inlineStr">
        <is>
          <t xml:space="preserve">ÖSZ-2 eligible (min ≤ x ≤ max)</t>
        </is>
      </c>
      <c r="D57" s="411" t="inlineStr">
        <is>
          <t xml:space="preserve">1 / 0</t>
        </is>
      </c>
      <c r="E57" s="523">
        <f>AND(E56&gt;=$E$164,E56&lt;=$E$165)*1</f>
        <v>1</v>
      </c>
      <c r="F57" s="523">
        <f>AND(F56&gt;=$E$164,F56&lt;=$E$165)*1</f>
        <v>1</v>
      </c>
      <c r="G57" s="523">
        <f>AND(G56&gt;=$E$164,G56&lt;=$E$165)*1</f>
        <v>1</v>
      </c>
      <c r="H57" s="523">
        <f>AND(H56&gt;=$E$164,H56&lt;=$E$165)*1</f>
        <v>1</v>
      </c>
      <c r="I57" s="523">
        <f>AND(I56&gt;=$E$164,I56&lt;=$E$165)*1</f>
        <v>0</v>
      </c>
      <c r="J57" s="523">
        <f>INDEX($E57:$I57,1,$E$5+1)</f>
        <v>1</v>
      </c>
    </row>
    <row r="58">
      <c r="C58" s="360" t="inlineStr">
        <is>
          <t xml:space="preserve">ÖSZ-2 band number (lookup)</t>
        </is>
      </c>
      <c r="D58" s="411" t="inlineStr">
        <is>
          <t xml:space="preserve">band</t>
        </is>
      </c>
      <c r="E58" s="523">
        <f>SUMPRODUCT(($D$104:$D$114&lt;E56)+($D$104:$D$114=E56)*$E$104:$E$114)</f>
        <v>0</v>
      </c>
      <c r="F58" s="523">
        <f>SUMPRODUCT(($D$104:$D$114&lt;F56)+($D$104:$D$114=F56)*$E$104:$E$114)</f>
        <v>0</v>
      </c>
      <c r="G58" s="523">
        <f>SUMPRODUCT(($D$104:$D$114&lt;G56)+($D$104:$D$114=G56)*$E$104:$E$114)</f>
        <v>0</v>
      </c>
      <c r="H58" s="523">
        <f>SUMPRODUCT(($D$104:$D$114&lt;H56)+($D$104:$D$114=H56)*$E$104:$E$114)</f>
        <v>11</v>
      </c>
      <c r="I58" s="523">
        <f>SUMPRODUCT(($D$104:$D$114&lt;I56)+($D$104:$D$114=I56)*$E$104:$E$114)</f>
        <v>0</v>
      </c>
      <c r="J58" s="523">
        <f>INDEX($E58:$I58,1,$E$5+1)</f>
        <v>0</v>
      </c>
    </row>
    <row r="59">
      <c r="C59" s="360" t="inlineStr">
        <is>
          <t xml:space="preserve">ÖSZ-2 inner points</t>
        </is>
      </c>
      <c r="D59" s="411" t="inlineStr">
        <is>
          <t xml:space="preserve">0–100</t>
        </is>
      </c>
      <c r="E59" s="523">
        <f>INDEX($F$103:$F$114,E58+1)*E57</f>
        <v>0</v>
      </c>
      <c r="F59" s="523">
        <f>INDEX($F$103:$F$114,F58+1)*F57</f>
        <v>0</v>
      </c>
      <c r="G59" s="523">
        <f>INDEX($F$103:$F$114,G58+1)*G57</f>
        <v>0</v>
      </c>
      <c r="H59" s="523">
        <f>INDEX($F$103:$F$114,H58+1)*H57</f>
        <v>100</v>
      </c>
      <c r="I59" s="523">
        <f>INDEX($F$103:$F$114,I58+1)*I57</f>
        <v>0</v>
      </c>
      <c r="J59" s="523">
        <f>INDEX($E59:$I59,1,$E$5+1)</f>
        <v>0</v>
      </c>
    </row>
    <row r="60">
      <c r="C60" s="360" t="inlineStr">
        <is>
          <t xml:space="preserve">ÖSZ-2 weighted points</t>
        </is>
      </c>
      <c r="D60" s="411" t="inlineStr">
        <is>
          <t xml:space="preserve">pts</t>
        </is>
      </c>
      <c r="E60" s="519">
        <f>E59*$E$154/100</f>
        <v>0</v>
      </c>
      <c r="F60" s="519">
        <f>F59*$E$154/100</f>
        <v>0</v>
      </c>
      <c r="G60" s="519">
        <f>G59*$E$154/100</f>
        <v>0</v>
      </c>
      <c r="H60" s="519">
        <f>H59*$E$154/100</f>
        <v>15</v>
      </c>
      <c r="I60" s="519">
        <f>I59*$E$154/100</f>
        <v>0</v>
      </c>
      <c r="J60" s="519">
        <f>INDEX($E60:$I60,1,$E$5+1)</f>
        <v>0</v>
      </c>
    </row>
    <row r="61">
      <c r="C61" s="360" t="inlineStr">
        <is>
          <t xml:space="preserve">ÖSZ-3 overbuild x (6 dp)</t>
        </is>
      </c>
      <c r="D61" s="411" t="inlineStr">
        <is>
          <t xml:space="preserve">%</t>
        </is>
      </c>
      <c r="E61" s="518">
        <f>ROUND(E43*100,6)</f>
        <v>30.5</v>
      </c>
      <c r="F61" s="518">
        <f>ROUND(F43*100,6)</f>
        <v>40</v>
      </c>
      <c r="G61" s="518">
        <f>ROUND(G43*100,6)</f>
        <v>40</v>
      </c>
      <c r="H61" s="518">
        <f>ROUND(H43*100,6)</f>
        <v>54</v>
      </c>
      <c r="I61" s="518">
        <f>ROUND(I43*100,6)</f>
        <v>0</v>
      </c>
      <c r="J61" s="518">
        <f>INDEX($E61:$I61,1,$E$5+1)</f>
        <v>30.5</v>
      </c>
    </row>
    <row r="62">
      <c r="C62" s="360" t="inlineStr">
        <is>
          <t xml:space="preserve">ÖSZ-3 eligible (gross wind ≥ net MVA, VII.16)</t>
        </is>
      </c>
      <c r="D62" s="411" t="inlineStr">
        <is>
          <t xml:space="preserve">1 / 0</t>
        </is>
      </c>
      <c r="E62" s="523">
        <f>(E61&gt;=0)*1</f>
        <v>1</v>
      </c>
      <c r="F62" s="523">
        <f>(F61&gt;=0)*1</f>
        <v>1</v>
      </c>
      <c r="G62" s="523">
        <f>(G61&gt;=0)*1</f>
        <v>1</v>
      </c>
      <c r="H62" s="523">
        <f>(H61&gt;=0)*1</f>
        <v>1</v>
      </c>
      <c r="I62" s="523">
        <f>(I61&gt;=0)*1</f>
        <v>1</v>
      </c>
      <c r="J62" s="523">
        <f>INDEX($E62:$I62,1,$E$5+1)</f>
        <v>1</v>
      </c>
    </row>
    <row r="63">
      <c r="C63" s="360" t="inlineStr">
        <is>
          <t xml:space="preserve">ÖSZ-3 band number (lookup)</t>
        </is>
      </c>
      <c r="D63" s="411" t="inlineStr">
        <is>
          <t xml:space="preserve">band</t>
        </is>
      </c>
      <c r="E63" s="523">
        <f>SUMPRODUCT(($D$117:$D$126&lt;E61)+($D$117:$D$126=E61)*$E$117:$E$126)</f>
        <v>7</v>
      </c>
      <c r="F63" s="523">
        <f>SUMPRODUCT(($D$117:$D$126&lt;F61)+($D$117:$D$126=F61)*$E$117:$E$126)</f>
        <v>9</v>
      </c>
      <c r="G63" s="523">
        <f>SUMPRODUCT(($D$117:$D$126&lt;G61)+($D$117:$D$126=G61)*$E$117:$E$126)</f>
        <v>9</v>
      </c>
      <c r="H63" s="523">
        <f>SUMPRODUCT(($D$117:$D$126&lt;H61)+($D$117:$D$126=H61)*$E$117:$E$126)</f>
        <v>10</v>
      </c>
      <c r="I63" s="523">
        <f>SUMPRODUCT(($D$117:$D$126&lt;I61)+($D$117:$D$126=I61)*$E$117:$E$126)</f>
        <v>0</v>
      </c>
      <c r="J63" s="523">
        <f>INDEX($E63:$I63,1,$E$5+1)</f>
        <v>7</v>
      </c>
    </row>
    <row r="64">
      <c r="C64" s="360" t="inlineStr">
        <is>
          <t xml:space="preserve">ÖSZ-3 inner points</t>
        </is>
      </c>
      <c r="D64" s="411" t="inlineStr">
        <is>
          <t xml:space="preserve">0–100</t>
        </is>
      </c>
      <c r="E64" s="523">
        <f>INDEX($F$116:$F$126,E63+1)*E62</f>
        <v>70</v>
      </c>
      <c r="F64" s="523">
        <f>INDEX($F$116:$F$126,F63+1)*F62</f>
        <v>90</v>
      </c>
      <c r="G64" s="523">
        <f>INDEX($F$116:$F$126,G63+1)*G62</f>
        <v>90</v>
      </c>
      <c r="H64" s="523">
        <f>INDEX($F$116:$F$126,H63+1)*H62</f>
        <v>100</v>
      </c>
      <c r="I64" s="523">
        <f>INDEX($F$116:$F$126,I63+1)*I62</f>
        <v>0</v>
      </c>
      <c r="J64" s="523">
        <f>INDEX($E64:$I64,1,$E$5+1)</f>
        <v>70</v>
      </c>
    </row>
    <row r="65">
      <c r="C65" s="360" t="inlineStr">
        <is>
          <t xml:space="preserve">ÖSZ-3 weighted points</t>
        </is>
      </c>
      <c r="D65" s="411" t="inlineStr">
        <is>
          <t xml:space="preserve">pts</t>
        </is>
      </c>
      <c r="E65" s="519">
        <f>E64*$E$155/100</f>
        <v>7</v>
      </c>
      <c r="F65" s="519">
        <f>F64*$E$155/100</f>
        <v>9</v>
      </c>
      <c r="G65" s="519">
        <f>G64*$E$155/100</f>
        <v>9</v>
      </c>
      <c r="H65" s="519">
        <f>H64*$E$155/100</f>
        <v>10</v>
      </c>
      <c r="I65" s="519">
        <f>I64*$E$155/100</f>
        <v>0</v>
      </c>
      <c r="J65" s="519">
        <f>INDEX($E65:$I65,1,$E$5+1)</f>
        <v>7</v>
      </c>
    </row>
    <row r="66">
      <c r="C66" s="360" t="inlineStr">
        <is>
          <t xml:space="preserve">ÖSZ-4 BESS ratio x (6 dp)</t>
        </is>
      </c>
      <c r="D66" s="411" t="inlineStr">
        <is>
          <t xml:space="preserve">%</t>
        </is>
      </c>
      <c r="E66" s="518">
        <f>ROUND(E44*100,6)</f>
        <v>34.482759</v>
      </c>
      <c r="F66" s="518">
        <f>ROUND(F44*100,6)</f>
        <v>32.142857</v>
      </c>
      <c r="G66" s="518">
        <f>ROUND(G44*100,6)</f>
        <v>32.142857</v>
      </c>
      <c r="H66" s="518">
        <f>ROUND(H44*100,6)</f>
        <v>51</v>
      </c>
      <c r="I66" s="518">
        <f>ROUND(I44*100,6)</f>
        <v>0</v>
      </c>
      <c r="J66" s="518">
        <f>INDEX($E66:$I66,1,$E$5+1)</f>
        <v>34.482759</v>
      </c>
    </row>
    <row r="67">
      <c r="C67" s="360" t="inlineStr">
        <is>
          <t xml:space="preserve">ÖSZ-4 eligible (ratio ≥ min on installed wind, duration ≥ min, BESS MW ≤ wind MW)</t>
        </is>
      </c>
      <c r="D67" s="411" t="inlineStr">
        <is>
          <t xml:space="preserve">1 / 0</t>
        </is>
      </c>
      <c r="E67" s="523">
        <f>AND(E66&gt;=$E$166,E$16&gt;=$E$167,ROUND(E41,6)&lt;=ROUND(E40,6))*1</f>
        <v>1</v>
      </c>
      <c r="F67" s="523">
        <f>AND(F66&gt;=$E$166,F$16&gt;=$E$167,ROUND(F41,6)&lt;=ROUND(F40,6))*1</f>
        <v>1</v>
      </c>
      <c r="G67" s="523">
        <f>AND(G66&gt;=$E$166,G$16&gt;=$E$167,ROUND(G41,6)&lt;=ROUND(G40,6))*1</f>
        <v>1</v>
      </c>
      <c r="H67" s="523">
        <f>AND(H66&gt;=$E$166,H$16&gt;=$E$167,ROUND(H41,6)&lt;=ROUND(H40,6))*1</f>
        <v>1</v>
      </c>
      <c r="I67" s="523">
        <f>AND(I66&gt;=$E$166,I$16&gt;=$E$167,ROUND(I41,6)&lt;=ROUND(I40,6))*1</f>
        <v>0</v>
      </c>
      <c r="J67" s="523">
        <f>INDEX($E67:$I67,1,$E$5+1)</f>
        <v>1</v>
      </c>
      <c r="K67" s="388" t="inlineStr">
        <is>
          <t xml:space="preserve">ratio ≥ 5 % of installed wind (GYIK 20), duration ≥ 4 h, BESS MW ≤ gross wind MW (VII.13)</t>
        </is>
      </c>
    </row>
    <row r="68">
      <c r="C68" s="360" t="inlineStr">
        <is>
          <t xml:space="preserve">ÖSZ-4 band number (lookup; GYIK 20: 40 ≤ x ≤ 50 → 90)</t>
        </is>
      </c>
      <c r="D68" s="411" t="inlineStr">
        <is>
          <t xml:space="preserve">band</t>
        </is>
      </c>
      <c r="E68" s="523">
        <f>SUMPRODUCT(($D$129:$D$138&lt;E66)+($D$129:$D$138=E66)*$E$129:$E$138)</f>
        <v>7</v>
      </c>
      <c r="F68" s="523">
        <f>SUMPRODUCT(($D$129:$D$138&lt;F66)+($D$129:$D$138=F66)*$E$129:$E$138)</f>
        <v>7</v>
      </c>
      <c r="G68" s="523">
        <f>SUMPRODUCT(($D$129:$D$138&lt;G66)+($D$129:$D$138=G66)*$E$129:$E$138)</f>
        <v>7</v>
      </c>
      <c r="H68" s="523">
        <f>SUMPRODUCT(($D$129:$D$138&lt;H66)+($D$129:$D$138=H66)*$E$129:$E$138)</f>
        <v>10</v>
      </c>
      <c r="I68" s="523">
        <f>SUMPRODUCT(($D$129:$D$138&lt;I66)+($D$129:$D$138=I66)*$E$129:$E$138)</f>
        <v>0</v>
      </c>
      <c r="J68" s="523">
        <f>INDEX($E68:$I68,1,$E$5+1)</f>
        <v>7</v>
      </c>
    </row>
    <row r="69">
      <c r="C69" s="360" t="inlineStr">
        <is>
          <t xml:space="preserve">ÖSZ-4 inner points</t>
        </is>
      </c>
      <c r="D69" s="411" t="inlineStr">
        <is>
          <t xml:space="preserve">0–100</t>
        </is>
      </c>
      <c r="E69" s="523">
        <f>INDEX($F$128:$F$138,E68+1)*E67</f>
        <v>70</v>
      </c>
      <c r="F69" s="523">
        <f>INDEX($F$128:$F$138,F68+1)*F67</f>
        <v>70</v>
      </c>
      <c r="G69" s="523">
        <f>INDEX($F$128:$F$138,G68+1)*G67</f>
        <v>70</v>
      </c>
      <c r="H69" s="523">
        <f>INDEX($F$128:$F$138,H68+1)*H67</f>
        <v>100</v>
      </c>
      <c r="I69" s="523">
        <f>INDEX($F$128:$F$138,I68+1)*I67</f>
        <v>0</v>
      </c>
      <c r="J69" s="523">
        <f>INDEX($E69:$I69,1,$E$5+1)</f>
        <v>70</v>
      </c>
    </row>
    <row r="70">
      <c r="C70" s="360" t="inlineStr">
        <is>
          <t xml:space="preserve">ÖSZ-4 weighted points</t>
        </is>
      </c>
      <c r="D70" s="411" t="inlineStr">
        <is>
          <t xml:space="preserve">pts</t>
        </is>
      </c>
      <c r="E70" s="519">
        <f>E69*$E$156/100</f>
        <v>10.5</v>
      </c>
      <c r="F70" s="519">
        <f>F69*$E$156/100</f>
        <v>10.5</v>
      </c>
      <c r="G70" s="519">
        <f>G69*$E$156/100</f>
        <v>10.5</v>
      </c>
      <c r="H70" s="519">
        <f>H69*$E$156/100</f>
        <v>15</v>
      </c>
      <c r="I70" s="519">
        <f>I69*$E$156/100</f>
        <v>0</v>
      </c>
      <c r="J70" s="519">
        <f>INDEX($E70:$I70,1,$E$5+1)</f>
        <v>10.5</v>
      </c>
    </row>
    <row r="71">
      <c r="C71" s="360" t="inlineStr">
        <is>
          <t xml:space="preserve">ÖSZ-5 partial award accepted</t>
        </is>
      </c>
      <c r="D71" s="411" t="inlineStr">
        <is>
          <t xml:space="preserve">1 / 0</t>
        </is>
      </c>
      <c r="E71" s="516">
        <f>E$18</f>
        <v>0</v>
      </c>
      <c r="F71" s="516">
        <f>F$18</f>
        <v>1</v>
      </c>
      <c r="G71" s="516">
        <f>G$18</f>
        <v>1</v>
      </c>
      <c r="H71" s="516">
        <f>H$18</f>
        <v>1</v>
      </c>
      <c r="I71" s="516">
        <f>I$18</f>
        <v>0</v>
      </c>
      <c r="J71" s="516">
        <f>INDEX($E71:$I71,1,$E$5+1)</f>
        <v>0</v>
      </c>
    </row>
    <row r="72">
      <c r="C72" s="360" t="inlineStr">
        <is>
          <t xml:space="preserve">ÖSZ-5 weighted points</t>
        </is>
      </c>
      <c r="D72" s="411" t="inlineStr">
        <is>
          <t xml:space="preserve">pts</t>
        </is>
      </c>
      <c r="E72" s="519">
        <f>E71*$E$168*$E$157/100</f>
        <v>0</v>
      </c>
      <c r="F72" s="519">
        <f>F71*$E$168*$E$157/100</f>
        <v>5</v>
      </c>
      <c r="G72" s="519">
        <f>G71*$E$168*$E$157/100</f>
        <v>5</v>
      </c>
      <c r="H72" s="519">
        <f>H71*$E$168*$E$157/100</f>
        <v>5</v>
      </c>
      <c r="I72" s="519">
        <f>I71*$E$168*$E$157/100</f>
        <v>0</v>
      </c>
      <c r="J72" s="519">
        <f>INDEX($E72:$I72,1,$E$5+1)</f>
        <v>0</v>
      </c>
    </row>
    <row r="73">
      <c r="C73" s="360" t="inlineStr">
        <is>
          <t xml:space="preserve">ÖSZ-6 performance security x (6 dp)</t>
        </is>
      </c>
      <c r="D73" s="411" t="inlineStr">
        <is>
          <t xml:space="preserve">% of min</t>
        </is>
      </c>
      <c r="E73" s="518">
        <f>ROUND(E$17*100,6)</f>
        <v>150</v>
      </c>
      <c r="F73" s="518">
        <f>ROUND(F$17*100,6)</f>
        <v>160</v>
      </c>
      <c r="G73" s="518">
        <f>ROUND(G$17*100,6)</f>
        <v>200</v>
      </c>
      <c r="H73" s="518">
        <f>ROUND(H$17*100,6)</f>
        <v>210</v>
      </c>
      <c r="I73" s="518">
        <f>ROUND(I$17*100,6)</f>
        <v>100</v>
      </c>
      <c r="J73" s="518">
        <f>INDEX($E73:$I73,1,$E$5+1)</f>
        <v>150</v>
      </c>
    </row>
    <row r="74">
      <c r="C74" s="360" t="inlineStr">
        <is>
          <t xml:space="preserve">ÖSZ-6 band number (lookup; GYIK 34: 200 ≤ x → 100)</t>
        </is>
      </c>
      <c r="D74" s="411" t="inlineStr">
        <is>
          <t xml:space="preserve">band</t>
        </is>
      </c>
      <c r="E74" s="523">
        <f>SUMPRODUCT(($D$141:$D$150&lt;E73)+($D$141:$D$150=E73)*$E$141:$E$150)</f>
        <v>5</v>
      </c>
      <c r="F74" s="523">
        <f>SUMPRODUCT(($D$141:$D$150&lt;F73)+($D$141:$D$150=F73)*$E$141:$E$150)</f>
        <v>6</v>
      </c>
      <c r="G74" s="523">
        <f>SUMPRODUCT(($D$141:$D$150&lt;G73)+($D$141:$D$150=G73)*$E$141:$E$150)</f>
        <v>10</v>
      </c>
      <c r="H74" s="523">
        <f>SUMPRODUCT(($D$141:$D$150&lt;H73)+($D$141:$D$150=H73)*$E$141:$E$150)</f>
        <v>10</v>
      </c>
      <c r="I74" s="523">
        <f>SUMPRODUCT(($D$141:$D$150&lt;I73)+($D$141:$D$150=I73)*$E$141:$E$150)</f>
        <v>0</v>
      </c>
      <c r="J74" s="523">
        <f>INDEX($E74:$I74,1,$E$5+1)</f>
        <v>5</v>
      </c>
    </row>
    <row r="75">
      <c r="C75" s="360" t="inlineStr">
        <is>
          <t xml:space="preserve">ÖSZ-6 inner points</t>
        </is>
      </c>
      <c r="D75" s="411" t="inlineStr">
        <is>
          <t xml:space="preserve">0–100</t>
        </is>
      </c>
      <c r="E75" s="523">
        <f>INDEX($F$140:$F$150,E74+1)</f>
        <v>50</v>
      </c>
      <c r="F75" s="523">
        <f>INDEX($F$140:$F$150,F74+1)</f>
        <v>60</v>
      </c>
      <c r="G75" s="523">
        <f>INDEX($F$140:$F$150,G74+1)</f>
        <v>100</v>
      </c>
      <c r="H75" s="523">
        <f>INDEX($F$140:$F$150,H74+1)</f>
        <v>100</v>
      </c>
      <c r="I75" s="523">
        <f>INDEX($F$140:$F$150,I74+1)</f>
        <v>0</v>
      </c>
      <c r="J75" s="523">
        <f>INDEX($E75:$I75,1,$E$5+1)</f>
        <v>50</v>
      </c>
    </row>
    <row r="76">
      <c r="C76" s="360" t="inlineStr">
        <is>
          <t xml:space="preserve">ÖSZ-6 weighted points</t>
        </is>
      </c>
      <c r="D76" s="411" t="inlineStr">
        <is>
          <t xml:space="preserve">pts</t>
        </is>
      </c>
      <c r="E76" s="519">
        <f>E75*$E$158/100</f>
        <v>2.5</v>
      </c>
      <c r="F76" s="519">
        <f>F75*$E$158/100</f>
        <v>3</v>
      </c>
      <c r="G76" s="519">
        <f>G75*$E$158/100</f>
        <v>5</v>
      </c>
      <c r="H76" s="519">
        <f>H75*$E$158/100</f>
        <v>5</v>
      </c>
      <c r="I76" s="519">
        <f>I75*$E$158/100</f>
        <v>0</v>
      </c>
      <c r="J76" s="519">
        <f>INDEX($E76:$I76,1,$E$5+1)</f>
        <v>2.5</v>
      </c>
    </row>
    <row r="77">
      <c r="C77" s="360" t="inlineStr">
        <is>
          <t xml:space="preserve">ÖSZ-7 brownfield site</t>
        </is>
      </c>
      <c r="D77" s="411" t="inlineStr">
        <is>
          <t xml:space="preserve">1 / 0</t>
        </is>
      </c>
      <c r="E77" s="516">
        <f>E$19</f>
        <v>0</v>
      </c>
      <c r="F77" s="516">
        <f>F$19</f>
        <v>0</v>
      </c>
      <c r="G77" s="516">
        <f>G$19</f>
        <v>0</v>
      </c>
      <c r="H77" s="516">
        <f>H$19</f>
        <v>0</v>
      </c>
      <c r="I77" s="516">
        <f>I$19</f>
        <v>0</v>
      </c>
      <c r="J77" s="516">
        <f>INDEX($E77:$I77,1,$E$5+1)</f>
        <v>0</v>
      </c>
    </row>
    <row r="78">
      <c r="C78" s="360" t="inlineStr">
        <is>
          <t xml:space="preserve">ÖSZ-7 weighted points</t>
        </is>
      </c>
      <c r="D78" s="411" t="inlineStr">
        <is>
          <t xml:space="preserve">pts</t>
        </is>
      </c>
      <c r="E78" s="519">
        <f>E77*$E$169*$E$159/100</f>
        <v>0</v>
      </c>
      <c r="F78" s="519">
        <f>F77*$E$169*$E$159/100</f>
        <v>0</v>
      </c>
      <c r="G78" s="519">
        <f>G77*$E$169*$E$159/100</f>
        <v>0</v>
      </c>
      <c r="H78" s="519">
        <f>H77*$E$169*$E$159/100</f>
        <v>0</v>
      </c>
      <c r="I78" s="519">
        <f>I77*$E$169*$E$159/100</f>
        <v>0</v>
      </c>
      <c r="J78" s="519">
        <f>INDEX($E78:$I78,1,$E$5+1)</f>
        <v>0</v>
      </c>
    </row>
    <row r="79">
      <c r="C79" s="360" t="inlineStr">
        <is>
          <t xml:space="preserve">ÖSZ-8 shared connection point and line</t>
        </is>
      </c>
      <c r="D79" s="411" t="inlineStr">
        <is>
          <t xml:space="preserve">1 / 0</t>
        </is>
      </c>
      <c r="E79" s="516">
        <f>E$20</f>
        <v>0</v>
      </c>
      <c r="F79" s="516">
        <f>F$20</f>
        <v>1</v>
      </c>
      <c r="G79" s="516">
        <f>G$20</f>
        <v>1</v>
      </c>
      <c r="H79" s="516">
        <f>H$20</f>
        <v>1</v>
      </c>
      <c r="I79" s="516">
        <f>I$20</f>
        <v>0</v>
      </c>
      <c r="J79" s="516">
        <f>INDEX($E79:$I79,1,$E$5+1)</f>
        <v>0</v>
      </c>
    </row>
    <row r="80">
      <c r="C80" s="360" t="inlineStr">
        <is>
          <t xml:space="preserve">ÖSZ-8 weighted points</t>
        </is>
      </c>
      <c r="D80" s="411" t="inlineStr">
        <is>
          <t xml:space="preserve">pts</t>
        </is>
      </c>
      <c r="E80" s="519">
        <f>E79*$E$170*$E$160/100</f>
        <v>0</v>
      </c>
      <c r="F80" s="519">
        <f>F79*$E$170*$E$160/100</f>
        <v>5</v>
      </c>
      <c r="G80" s="519">
        <f>G79*$E$170*$E$160/100</f>
        <v>5</v>
      </c>
      <c r="H80" s="519">
        <f>H79*$E$170*$E$160/100</f>
        <v>5</v>
      </c>
      <c r="I80" s="519">
        <f>I79*$E$170*$E$160/100</f>
        <v>0</v>
      </c>
      <c r="J80" s="519">
        <f>INDEX($E80:$I80,1,$E$5+1)</f>
        <v>0</v>
      </c>
    </row>
    <row r="81">
      <c r="C81" s="360" t="inlineStr">
        <is>
          <t xml:space="preserve">ÖSZ-9 inner points – EU turbine (only with the EU-turbine commitment, row 22) + EU transformer (row 21)</t>
        </is>
      </c>
      <c r="D81" s="411" t="inlineStr">
        <is>
          <t xml:space="preserve">0–100</t>
        </is>
      </c>
      <c r="E81" s="523">
        <f>$E$171*E$22+$E$172*E$21</f>
        <v>80</v>
      </c>
      <c r="F81" s="523">
        <f>$E$171*F$22+$E$172*F$21</f>
        <v>100</v>
      </c>
      <c r="G81" s="523">
        <f>$E$171*G$22+$E$172*G$21</f>
        <v>100</v>
      </c>
      <c r="H81" s="523">
        <f>$E$171*H$22+$E$172*H$21</f>
        <v>100</v>
      </c>
      <c r="I81" s="523">
        <f>$E$171*I$22+$E$172*I$21</f>
        <v>0</v>
      </c>
      <c r="J81" s="523">
        <f>INDEX($E81:$I81,1,$E$5+1)</f>
        <v>80</v>
      </c>
    </row>
    <row r="82">
      <c r="C82" s="360" t="inlineStr">
        <is>
          <t xml:space="preserve">ÖSZ-9 weighted points – European-turbine routes only</t>
        </is>
      </c>
      <c r="D82" s="411" t="inlineStr">
        <is>
          <t xml:space="preserve">pts EU</t>
        </is>
      </c>
      <c r="E82" s="519">
        <f>E81*$E$161/100</f>
        <v>12</v>
      </c>
      <c r="F82" s="519">
        <f>F81*$E$161/100</f>
        <v>15</v>
      </c>
      <c r="G82" s="519">
        <f>G81*$E$161/100</f>
        <v>15</v>
      </c>
      <c r="H82" s="519">
        <f>H81*$E$161/100</f>
        <v>15</v>
      </c>
      <c r="I82" s="519">
        <f>I81*$E$161/100</f>
        <v>0</v>
      </c>
      <c r="J82" s="519">
        <f>INDEX($E82:$I82,1,$E$5+1)</f>
        <v>12</v>
      </c>
      <c r="K82" s="388" t="inlineStr">
        <is>
          <t xml:space="preserve">excluded from Σ (unit 'pts EU'); Chinese routes score 0 on ÖSZ-9</t>
        </is>
      </c>
    </row>
    <row r="83">
      <c r="C83" s="360" t="inlineStr">
        <is>
          <t xml:space="preserve">Σ weighted points ÖSZ-1 … ÖSZ-8 (rows with unit 'pts')</t>
        </is>
      </c>
      <c r="D83" s="411" t="inlineStr">
        <is>
          <t xml:space="preserve">pts Σ</t>
        </is>
      </c>
      <c r="E83" s="519">
        <f>SUMIF($D$51:$D$82,"pts",E51:E82)</f>
        <v>24</v>
      </c>
      <c r="F83" s="519">
        <f>SUMIF($D$51:$D$82,"pts",F51:F82)</f>
        <v>36.5</v>
      </c>
      <c r="G83" s="519">
        <f>SUMIF($D$51:$D$82,"pts",G51:G82)</f>
        <v>54.5</v>
      </c>
      <c r="H83" s="519">
        <f>SUMIF($D$51:$D$82,"pts",H51:H82)</f>
        <v>75</v>
      </c>
      <c r="I83" s="519">
        <f>SUMIF($D$51:$D$82,"pts",I51:I82)</f>
        <v>0</v>
      </c>
      <c r="J83" s="519">
        <f>INDEX($E83:$I83,1,$E$5+1)</f>
        <v>24</v>
      </c>
      <c r="K83" s="388" t="inlineStr">
        <is>
          <t xml:space="preserve">SUMIF on the unit column</t>
        </is>
      </c>
    </row>
    <row r="84">
      <c r="C84" s="420" t="inlineStr">
        <is>
          <t xml:space="preserve">TOTAL SCORE – European-turbine routes (RtB, cases 2 / 7), rounded to 2 dp</t>
        </is>
      </c>
      <c r="D84" s="411" t="inlineStr">
        <is>
          <t xml:space="preserve">points</t>
        </is>
      </c>
      <c r="E84" s="524">
        <f>ROUND(E83+E82,2)</f>
        <v>36</v>
      </c>
      <c r="F84" s="524">
        <f>ROUND(F83+F82,2)</f>
        <v>51.5</v>
      </c>
      <c r="G84" s="524">
        <f>ROUND(G83+G82,2)</f>
        <v>69.5</v>
      </c>
      <c r="H84" s="524">
        <f>ROUND(H83+H82,2)</f>
        <v>90</v>
      </c>
      <c r="I84" s="524">
        <f>ROUND(I83+I82,2)</f>
        <v>0</v>
      </c>
      <c r="J84" s="524">
        <f>INDEX($E84:$I84,1,$E$5+1)</f>
        <v>36</v>
      </c>
      <c r="K84" s="388" t="inlineStr">
        <is>
          <t xml:space="preserve">Σ + ÖSZ-9 weighted, ROUND 2 (X.1)</t>
        </is>
      </c>
    </row>
    <row r="85">
      <c r="C85" s="420" t="inlineStr">
        <is>
          <t xml:space="preserve">TOTAL SCORE – Chinese-turbine routes (cases 3 / 8), rounded to 2 dp</t>
        </is>
      </c>
      <c r="D85" s="411" t="inlineStr">
        <is>
          <t xml:space="preserve">points</t>
        </is>
      </c>
      <c r="E85" s="524">
        <f>ROUND(E83,2)</f>
        <v>24</v>
      </c>
      <c r="F85" s="524">
        <f>ROUND(F83,2)</f>
        <v>36.5</v>
      </c>
      <c r="G85" s="524">
        <f>ROUND(G83,2)</f>
        <v>54.5</v>
      </c>
      <c r="H85" s="524">
        <f>ROUND(H83,2)</f>
        <v>75</v>
      </c>
      <c r="I85" s="524">
        <f>ROUND(I83,2)</f>
        <v>0</v>
      </c>
      <c r="J85" s="524">
        <f>INDEX($E85:$I85,1,$E$5+1)</f>
        <v>24</v>
      </c>
      <c r="K85" s="388" t="inlineStr">
        <is>
          <t xml:space="preserve">Σ only (no EU turbine, non-EU transformer)</t>
        </is>
      </c>
    </row>
    <row r="86">
      <c r="C86" s="420" t="inlineStr">
        <is>
          <t xml:space="preserve">Score of the scenario (its turbine, row 22)</t>
        </is>
      </c>
      <c r="D86" s="411" t="inlineStr">
        <is>
          <t xml:space="preserve">points</t>
        </is>
      </c>
      <c r="E86" s="524">
        <f>IF(E$22=1,E84,E85)</f>
        <v>36</v>
      </c>
      <c r="F86" s="524">
        <f>IF(F$22=1,F84,F85)</f>
        <v>51.5</v>
      </c>
      <c r="G86" s="524">
        <f>IF(G$22=1,G84,G85)</f>
        <v>69.5</v>
      </c>
      <c r="H86" s="524">
        <f>IF(H$22=1,H84,H85)</f>
        <v>90</v>
      </c>
      <c r="I86" s="524">
        <f>IF(I$22=1,I84,I85)</f>
        <v>0</v>
      </c>
      <c r="J86" s="524">
        <f>INDEX($E86:$I86,1,$E$5+1)</f>
        <v>36</v>
      </c>
    </row>
    <row r="87">
      <c r="C87" s="360" t="inlineStr">
        <is>
          <t xml:space="preserve">Bid validity (gross wind ≥ net MVA, VII.16; ÖSZ-1 / ÖSZ-2 below the minimum → 0 points, not invalid – GYIK 17)</t>
        </is>
      </c>
      <c r="D87" s="411" t="inlineStr">
        <is>
          <t xml:space="preserve">Status</t>
        </is>
      </c>
      <c r="E87" s="420" t="str">
        <f>IF(E61&gt;=0,"Valid","INVALID")</f>
        <v>Valid</v>
      </c>
      <c r="F87" s="420" t="str">
        <f>IF(F61&gt;=0,"Valid","INVALID")</f>
        <v>Valid</v>
      </c>
      <c r="G87" s="420" t="str">
        <f>IF(G61&gt;=0,"Valid","INVALID")</f>
        <v>Valid</v>
      </c>
      <c r="H87" s="420" t="str">
        <f>IF(H61&gt;=0,"Valid","INVALID")</f>
        <v>Valid</v>
      </c>
      <c r="I87" s="420" t="str">
        <f>IF(I61&gt;=0,"Valid","INVALID")</f>
        <v>Valid</v>
      </c>
      <c r="J87" s="420" t="str">
        <f>INDEX($E87:$I87,1,$E$5+1)</f>
        <v>Valid</v>
      </c>
    </row>
    <row r="88">
      <c r="C88" s="360" t="inlineStr">
        <is>
          <t xml:space="preserve">Check path: EU total = Σ inner points × weight ÷ 100 (rounded, K3)</t>
        </is>
      </c>
      <c r="D88" s="411" t="inlineStr">
        <is>
          <t xml:space="preserve">points</t>
        </is>
      </c>
      <c r="E88" s="519">
        <f>ROUND((E54*$E$153+E59*$E$154+E64*$E$155+E69*$E$156+E71*$E$168*$E$157+E75*$E$158+E77*$E$169*$E$159+E79*$E$170*$E$160+E81*$E$161)/100,2)</f>
        <v>36</v>
      </c>
      <c r="F88" s="519">
        <f>ROUND((F54*$E$153+F59*$E$154+F64*$E$155+F69*$E$156+F71*$E$168*$E$157+F75*$E$158+F77*$E$169*$E$159+F79*$E$170*$E$160+F81*$E$161)/100,2)</f>
        <v>51.5</v>
      </c>
      <c r="G88" s="519">
        <f>ROUND((G54*$E$153+G59*$E$154+G64*$E$155+G69*$E$156+G71*$E$168*$E$157+G75*$E$158+G77*$E$169*$E$159+G79*$E$170*$E$160+G81*$E$161)/100,2)</f>
        <v>69.5</v>
      </c>
      <c r="H88" s="519">
        <f>ROUND((H54*$E$153+H59*$E$154+H64*$E$155+H69*$E$156+H71*$E$168*$E$157+H75*$E$158+H77*$E$169*$E$159+H79*$E$170*$E$160+H81*$E$161)/100,2)</f>
        <v>90</v>
      </c>
      <c r="I88" s="519">
        <f>ROUND((I54*$E$153+I59*$E$154+I64*$E$155+I69*$E$156+I71*$E$168*$E$157+I75*$E$158+I77*$E$169*$E$159+I79*$E$170*$E$160+I81*$E$161)/100,2)</f>
        <v>0</v>
      </c>
      <c r="J88" s="519">
        <f>INDEX($E88:$I88,1,$E$5+1)</f>
        <v>36</v>
      </c>
    </row>
    <row r="90">
      <c r="C90" s="447" t="inlineStr">
        <is>
          <t xml:space="preserve">3. Annex 4 band tables (lookup – no nested IFs) and Annex 3 / X.4 parameters – MEKH Kapacitás pályázati kiírás 2026 (30-Aug-26), PDF pages in column G</t>
        </is>
      </c>
      <c r="D90" s="447"/>
      <c r="E90" s="447"/>
      <c r="F90" s="447"/>
      <c r="G90" s="447"/>
      <c r="H90" s="447"/>
      <c r="I90" s="447"/>
      <c r="J90" s="447"/>
    </row>
    <row r="91">
      <c r="C91" s="91" t="inlineStr">
        <is>
          <t xml:space="preserve">ÖSZ-1 municipal one-off – EUR/MW</t>
        </is>
      </c>
      <c r="D91" s="91" t="inlineStr">
        <is>
          <t xml:space="preserve">Lower bound</t>
        </is>
      </c>
      <c r="E91" s="91" t="inlineStr">
        <is>
          <t xml:space="preserve">Included 1/0</t>
        </is>
      </c>
      <c r="F91" s="91" t="inlineStr">
        <is>
          <t xml:space="preserve">Inner points</t>
        </is>
      </c>
      <c r="G91" s="91" t="inlineStr">
        <is>
          <t xml:space="preserve">PDF page</t>
        </is>
      </c>
      <c r="H91" s="372" t="str">
        <f>IF(SUMPRODUCT(--(D94:D101&lt;=D93:D100))=0,"OK","FAIL")</f>
        <v>OK</v>
      </c>
    </row>
    <row r="92">
      <c r="C92" s="360" t="inlineStr">
        <is>
          <t xml:space="preserve">below the lowest band (or not eligible)</t>
        </is>
      </c>
      <c r="F92" s="510">
        <v>0</v>
      </c>
    </row>
    <row r="93">
      <c r="C93" s="522" t="str">
        <f>IF(E93=1,"x ≥ ","x &gt; ")&amp;D93</f>
        <v>x &gt; 10000</v>
      </c>
      <c r="D93" s="506">
        <v>10000</v>
      </c>
      <c r="E93" s="510">
        <v>0</v>
      </c>
      <c r="F93" s="510">
        <v>10</v>
      </c>
      <c r="G93" s="388" t="inlineStr">
        <is>
          <t xml:space="preserve">36–37</t>
        </is>
      </c>
    </row>
    <row r="94">
      <c r="C94" s="522" t="str">
        <f>IF(E94=1,"x ≥ ","x &gt; ")&amp;D94</f>
        <v>x &gt; 15000</v>
      </c>
      <c r="D94" s="506">
        <v>15000</v>
      </c>
      <c r="E94" s="510">
        <v>0</v>
      </c>
      <c r="F94" s="510">
        <v>20</v>
      </c>
      <c r="G94" s="388" t="inlineStr">
        <is>
          <t xml:space="preserve">36–37</t>
        </is>
      </c>
    </row>
    <row r="95">
      <c r="C95" s="522" t="str">
        <f>IF(E95=1,"x ≥ ","x &gt; ")&amp;D95</f>
        <v>x &gt; 20000</v>
      </c>
      <c r="D95" s="506">
        <v>20000</v>
      </c>
      <c r="E95" s="510">
        <v>0</v>
      </c>
      <c r="F95" s="510">
        <v>30</v>
      </c>
      <c r="G95" s="388" t="inlineStr">
        <is>
          <t xml:space="preserve">36–37</t>
        </is>
      </c>
    </row>
    <row r="96">
      <c r="C96" s="522" t="str">
        <f>IF(E96=1,"x ≥ ","x &gt; ")&amp;D96</f>
        <v>x &gt; 25000</v>
      </c>
      <c r="D96" s="506">
        <v>25000</v>
      </c>
      <c r="E96" s="510">
        <v>0</v>
      </c>
      <c r="F96" s="510">
        <v>40</v>
      </c>
      <c r="G96" s="388" t="inlineStr">
        <is>
          <t xml:space="preserve">36–37</t>
        </is>
      </c>
    </row>
    <row r="97">
      <c r="C97" s="522" t="str">
        <f>IF(E97=1,"x ≥ ","x &gt; ")&amp;D97</f>
        <v>x &gt; 30000</v>
      </c>
      <c r="D97" s="506">
        <v>30000</v>
      </c>
      <c r="E97" s="510">
        <v>0</v>
      </c>
      <c r="F97" s="510">
        <v>55</v>
      </c>
      <c r="G97" s="388" t="inlineStr">
        <is>
          <t xml:space="preserve">36–37</t>
        </is>
      </c>
    </row>
    <row r="98">
      <c r="C98" s="522" t="str">
        <f>IF(E98=1,"x ≥ ","x &gt; ")&amp;D98</f>
        <v>x &gt; 35000</v>
      </c>
      <c r="D98" s="506">
        <v>35000</v>
      </c>
      <c r="E98" s="510">
        <v>0</v>
      </c>
      <c r="F98" s="510">
        <v>70</v>
      </c>
      <c r="G98" s="388" t="inlineStr">
        <is>
          <t xml:space="preserve">36–37</t>
        </is>
      </c>
    </row>
    <row r="99">
      <c r="C99" s="522" t="str">
        <f>IF(E99=1,"x ≥ ","x &gt; ")&amp;D99</f>
        <v>x &gt; 40000</v>
      </c>
      <c r="D99" s="506">
        <v>40000</v>
      </c>
      <c r="E99" s="510">
        <v>0</v>
      </c>
      <c r="F99" s="510">
        <v>80</v>
      </c>
      <c r="G99" s="388" t="inlineStr">
        <is>
          <t xml:space="preserve">36–37</t>
        </is>
      </c>
    </row>
    <row r="100">
      <c r="C100" s="522" t="str">
        <f>IF(E100=1,"x ≥ ","x &gt; ")&amp;D100</f>
        <v>x &gt; 45000</v>
      </c>
      <c r="D100" s="506">
        <v>45000</v>
      </c>
      <c r="E100" s="510">
        <v>0</v>
      </c>
      <c r="F100" s="510">
        <v>90</v>
      </c>
      <c r="G100" s="388" t="inlineStr">
        <is>
          <t xml:space="preserve">36–37</t>
        </is>
      </c>
    </row>
    <row r="101">
      <c r="C101" s="522" t="str">
        <f>IF(E101=1,"x ≥ ","x &gt; ")&amp;D101</f>
        <v>x ≥ 50000</v>
      </c>
      <c r="D101" s="506">
        <v>50000</v>
      </c>
      <c r="E101" s="510">
        <v>1</v>
      </c>
      <c r="F101" s="510">
        <v>100</v>
      </c>
      <c r="G101" s="388" t="inlineStr">
        <is>
          <t xml:space="preserve">36–37</t>
        </is>
      </c>
    </row>
    <row r="102">
      <c r="C102" s="91" t="inlineStr">
        <is>
          <t xml:space="preserve">ÖSZ-2 annual community contribution – EUR/MWh</t>
        </is>
      </c>
      <c r="D102" s="91" t="inlineStr">
        <is>
          <t xml:space="preserve">Lower bound</t>
        </is>
      </c>
      <c r="E102" s="91" t="inlineStr">
        <is>
          <t xml:space="preserve">Included 1/0</t>
        </is>
      </c>
      <c r="F102" s="91" t="inlineStr">
        <is>
          <t xml:space="preserve">Inner points</t>
        </is>
      </c>
      <c r="G102" s="91" t="inlineStr">
        <is>
          <t xml:space="preserve">PDF page</t>
        </is>
      </c>
      <c r="H102" s="372" t="str">
        <f>IF(SUMPRODUCT(--(D105:D114&lt;=D104:D113))=0,"OK","FAIL")</f>
        <v>OK</v>
      </c>
    </row>
    <row r="103">
      <c r="C103" s="360" t="inlineStr">
        <is>
          <t xml:space="preserve">below the lowest band (or not eligible)</t>
        </is>
      </c>
      <c r="F103" s="510">
        <v>0</v>
      </c>
    </row>
    <row r="104">
      <c r="C104" s="522" t="str">
        <f>IF(E104=1,"x ≥ ","x &gt; ")&amp;D104</f>
        <v>x &gt; 2</v>
      </c>
      <c r="D104" s="508">
        <v>2</v>
      </c>
      <c r="E104" s="510">
        <v>0</v>
      </c>
      <c r="F104" s="510">
        <v>5</v>
      </c>
      <c r="G104" s="388" t="inlineStr">
        <is>
          <t xml:space="preserve">37–38</t>
        </is>
      </c>
    </row>
    <row r="105">
      <c r="C105" s="522" t="str">
        <f>IF(E105=1,"x ≥ ","x &gt; ")&amp;D105</f>
        <v>x &gt; 2.1</v>
      </c>
      <c r="D105" s="508">
        <v>2.1</v>
      </c>
      <c r="E105" s="510">
        <v>0</v>
      </c>
      <c r="F105" s="510">
        <v>10</v>
      </c>
      <c r="G105" s="388" t="inlineStr">
        <is>
          <t xml:space="preserve">37–38</t>
        </is>
      </c>
    </row>
    <row r="106">
      <c r="C106" s="522" t="str">
        <f>IF(E106=1,"x ≥ ","x &gt; ")&amp;D106</f>
        <v>x &gt; 2.2</v>
      </c>
      <c r="D106" s="508">
        <v>2.2</v>
      </c>
      <c r="E106" s="510">
        <v>0</v>
      </c>
      <c r="F106" s="510">
        <v>20</v>
      </c>
      <c r="G106" s="388" t="inlineStr">
        <is>
          <t xml:space="preserve">37–38</t>
        </is>
      </c>
    </row>
    <row r="107">
      <c r="C107" s="522" t="str">
        <f>IF(E107=1,"x ≥ ","x &gt; ")&amp;D107</f>
        <v>x &gt; 2.3</v>
      </c>
      <c r="D107" s="508">
        <v>2.3</v>
      </c>
      <c r="E107" s="510">
        <v>0</v>
      </c>
      <c r="F107" s="510">
        <v>30</v>
      </c>
      <c r="G107" s="388" t="inlineStr">
        <is>
          <t xml:space="preserve">37–38</t>
        </is>
      </c>
    </row>
    <row r="108">
      <c r="C108" s="522" t="str">
        <f>IF(E108=1,"x ≥ ","x &gt; ")&amp;D108</f>
        <v>x &gt; 2.4</v>
      </c>
      <c r="D108" s="508">
        <v>2.4</v>
      </c>
      <c r="E108" s="510">
        <v>0</v>
      </c>
      <c r="F108" s="510">
        <v>40</v>
      </c>
      <c r="G108" s="388" t="inlineStr">
        <is>
          <t xml:space="preserve">37–38</t>
        </is>
      </c>
    </row>
    <row r="109">
      <c r="C109" s="522" t="str">
        <f>IF(E109=1,"x ≥ ","x &gt; ")&amp;D109</f>
        <v>x &gt; 2.5</v>
      </c>
      <c r="D109" s="508">
        <v>2.5</v>
      </c>
      <c r="E109" s="510">
        <v>0</v>
      </c>
      <c r="F109" s="510">
        <v>50</v>
      </c>
      <c r="G109" s="388" t="inlineStr">
        <is>
          <t xml:space="preserve">37–38</t>
        </is>
      </c>
    </row>
    <row r="110">
      <c r="C110" s="522" t="str">
        <f>IF(E110=1,"x ≥ ","x &gt; ")&amp;D110</f>
        <v>x &gt; 2.6</v>
      </c>
      <c r="D110" s="508">
        <v>2.6</v>
      </c>
      <c r="E110" s="510">
        <v>0</v>
      </c>
      <c r="F110" s="510">
        <v>60</v>
      </c>
      <c r="G110" s="388" t="inlineStr">
        <is>
          <t xml:space="preserve">37–38</t>
        </is>
      </c>
    </row>
    <row r="111">
      <c r="C111" s="522" t="str">
        <f>IF(E111=1,"x ≥ ","x &gt; ")&amp;D111</f>
        <v>x &gt; 2.7</v>
      </c>
      <c r="D111" s="508">
        <v>2.7</v>
      </c>
      <c r="E111" s="510">
        <v>0</v>
      </c>
      <c r="F111" s="510">
        <v>70</v>
      </c>
      <c r="G111" s="388" t="inlineStr">
        <is>
          <t xml:space="preserve">37–38</t>
        </is>
      </c>
    </row>
    <row r="112">
      <c r="C112" s="522" t="str">
        <f>IF(E112=1,"x ≥ ","x &gt; ")&amp;D112</f>
        <v>x &gt; 2.8</v>
      </c>
      <c r="D112" s="508">
        <v>2.8</v>
      </c>
      <c r="E112" s="510">
        <v>0</v>
      </c>
      <c r="F112" s="510">
        <v>80</v>
      </c>
      <c r="G112" s="388" t="inlineStr">
        <is>
          <t xml:space="preserve">37–38</t>
        </is>
      </c>
    </row>
    <row r="113">
      <c r="C113" s="522" t="str">
        <f>IF(E113=1,"x ≥ ","x &gt; ")&amp;D113</f>
        <v>x &gt; 2.9</v>
      </c>
      <c r="D113" s="508">
        <v>2.9</v>
      </c>
      <c r="E113" s="510">
        <v>0</v>
      </c>
      <c r="F113" s="510">
        <v>90</v>
      </c>
      <c r="G113" s="388" t="inlineStr">
        <is>
          <t xml:space="preserve">37–38</t>
        </is>
      </c>
    </row>
    <row r="114">
      <c r="C114" s="522" t="str">
        <f>IF(E114=1,"x ≥ ","x &gt; ")&amp;D114</f>
        <v>x ≥ 3</v>
      </c>
      <c r="D114" s="508">
        <v>3</v>
      </c>
      <c r="E114" s="510">
        <v>1</v>
      </c>
      <c r="F114" s="510">
        <v>100</v>
      </c>
      <c r="G114" s="388" t="inlineStr">
        <is>
          <t xml:space="preserve">37–38</t>
        </is>
      </c>
    </row>
    <row r="115">
      <c r="C115" s="91" t="inlineStr">
        <is>
          <t xml:space="preserve">ÖSZ-3 overbuild – % above net MVA</t>
        </is>
      </c>
      <c r="D115" s="91" t="inlineStr">
        <is>
          <t xml:space="preserve">Lower bound</t>
        </is>
      </c>
      <c r="E115" s="91" t="inlineStr">
        <is>
          <t xml:space="preserve">Included 1/0</t>
        </is>
      </c>
      <c r="F115" s="91" t="inlineStr">
        <is>
          <t xml:space="preserve">Inner points</t>
        </is>
      </c>
      <c r="G115" s="91" t="inlineStr">
        <is>
          <t xml:space="preserve">PDF page</t>
        </is>
      </c>
      <c r="H115" s="372" t="str">
        <f>IF(SUMPRODUCT(--(D118:D126&lt;=D117:D125))=0,"OK","FAIL")</f>
        <v>OK</v>
      </c>
    </row>
    <row r="116">
      <c r="C116" s="360" t="inlineStr">
        <is>
          <t xml:space="preserve">below the lowest band (or not eligible)</t>
        </is>
      </c>
      <c r="F116" s="510">
        <v>0</v>
      </c>
    </row>
    <row r="117">
      <c r="C117" s="522" t="str">
        <f>IF(E117=1,"x ≥ ","x &gt; ")&amp;D117</f>
        <v>x &gt; 2</v>
      </c>
      <c r="D117" s="506">
        <v>2</v>
      </c>
      <c r="E117" s="510">
        <v>0</v>
      </c>
      <c r="F117" s="510">
        <v>10</v>
      </c>
      <c r="G117" s="388" t="inlineStr">
        <is>
          <t xml:space="preserve">38</t>
        </is>
      </c>
    </row>
    <row r="118">
      <c r="C118" s="522" t="str">
        <f>IF(E118=1,"x ≥ ","x &gt; ")&amp;D118</f>
        <v>x ≥ 5</v>
      </c>
      <c r="D118" s="506">
        <v>5</v>
      </c>
      <c r="E118" s="510">
        <v>1</v>
      </c>
      <c r="F118" s="510">
        <v>20</v>
      </c>
      <c r="G118" s="388" t="inlineStr">
        <is>
          <t xml:space="preserve">38</t>
        </is>
      </c>
    </row>
    <row r="119">
      <c r="C119" s="522" t="str">
        <f>IF(E119=1,"x ≥ ","x &gt; ")&amp;D119</f>
        <v>x ≥ 10</v>
      </c>
      <c r="D119" s="506">
        <v>10</v>
      </c>
      <c r="E119" s="510">
        <v>1</v>
      </c>
      <c r="F119" s="510">
        <v>30</v>
      </c>
      <c r="G119" s="388" t="inlineStr">
        <is>
          <t xml:space="preserve">38</t>
        </is>
      </c>
    </row>
    <row r="120">
      <c r="C120" s="522" t="str">
        <f>IF(E120=1,"x ≥ ","x &gt; ")&amp;D120</f>
        <v>x ≥ 15</v>
      </c>
      <c r="D120" s="506">
        <v>15</v>
      </c>
      <c r="E120" s="510">
        <v>1</v>
      </c>
      <c r="F120" s="510">
        <v>40</v>
      </c>
      <c r="G120" s="388" t="inlineStr">
        <is>
          <t xml:space="preserve">38</t>
        </is>
      </c>
    </row>
    <row r="121">
      <c r="C121" s="522" t="str">
        <f>IF(E121=1,"x ≥ ","x &gt; ")&amp;D121</f>
        <v>x ≥ 20</v>
      </c>
      <c r="D121" s="506">
        <v>20</v>
      </c>
      <c r="E121" s="510">
        <v>1</v>
      </c>
      <c r="F121" s="510">
        <v>50</v>
      </c>
      <c r="G121" s="388" t="inlineStr">
        <is>
          <t xml:space="preserve">38</t>
        </is>
      </c>
    </row>
    <row r="122">
      <c r="C122" s="522" t="str">
        <f>IF(E122=1,"x ≥ ","x &gt; ")&amp;D122</f>
        <v>x ≥ 25</v>
      </c>
      <c r="D122" s="506">
        <v>25</v>
      </c>
      <c r="E122" s="510">
        <v>1</v>
      </c>
      <c r="F122" s="510">
        <v>60</v>
      </c>
      <c r="G122" s="388" t="inlineStr">
        <is>
          <t xml:space="preserve">38</t>
        </is>
      </c>
    </row>
    <row r="123">
      <c r="C123" s="522" t="str">
        <f>IF(E123=1,"x ≥ ","x &gt; ")&amp;D123</f>
        <v>x ≥ 30</v>
      </c>
      <c r="D123" s="506">
        <v>30</v>
      </c>
      <c r="E123" s="510">
        <v>1</v>
      </c>
      <c r="F123" s="510">
        <v>70</v>
      </c>
      <c r="G123" s="388" t="inlineStr">
        <is>
          <t xml:space="preserve">38</t>
        </is>
      </c>
    </row>
    <row r="124">
      <c r="C124" s="522" t="str">
        <f>IF(E124=1,"x ≥ ","x &gt; ")&amp;D124</f>
        <v>x ≥ 35</v>
      </c>
      <c r="D124" s="506">
        <v>35</v>
      </c>
      <c r="E124" s="510">
        <v>1</v>
      </c>
      <c r="F124" s="510">
        <v>80</v>
      </c>
      <c r="G124" s="388" t="inlineStr">
        <is>
          <t xml:space="preserve">38</t>
        </is>
      </c>
    </row>
    <row r="125">
      <c r="C125" s="522" t="str">
        <f>IF(E125=1,"x ≥ ","x &gt; ")&amp;D125</f>
        <v>x ≥ 40</v>
      </c>
      <c r="D125" s="506">
        <v>40</v>
      </c>
      <c r="E125" s="510">
        <v>1</v>
      </c>
      <c r="F125" s="510">
        <v>90</v>
      </c>
      <c r="G125" s="388" t="inlineStr">
        <is>
          <t xml:space="preserve">38</t>
        </is>
      </c>
    </row>
    <row r="126">
      <c r="C126" s="522" t="str">
        <f>IF(E126=1,"x ≥ ","x &gt; ")&amp;D126</f>
        <v>x &gt; 50</v>
      </c>
      <c r="D126" s="506">
        <v>50</v>
      </c>
      <c r="E126" s="510">
        <v>0</v>
      </c>
      <c r="F126" s="510">
        <v>100</v>
      </c>
      <c r="G126" s="388" t="inlineStr">
        <is>
          <t xml:space="preserve">38</t>
        </is>
      </c>
    </row>
    <row r="127">
      <c r="C127" s="91" t="inlineStr">
        <is>
          <t xml:space="preserve">ÖSZ-4 BESS ratio – % of installed wind BT1 (GYIK 20: 40 ≤ x ≤ 50 → 90, 50 &lt; x → 100)</t>
        </is>
      </c>
      <c r="D127" s="91" t="inlineStr">
        <is>
          <t xml:space="preserve">Lower bound</t>
        </is>
      </c>
      <c r="E127" s="91" t="inlineStr">
        <is>
          <t xml:space="preserve">Included 1/0</t>
        </is>
      </c>
      <c r="F127" s="91" t="inlineStr">
        <is>
          <t xml:space="preserve">Inner points</t>
        </is>
      </c>
      <c r="G127" s="91" t="inlineStr">
        <is>
          <t xml:space="preserve">PDF page</t>
        </is>
      </c>
      <c r="H127" s="372" t="str">
        <f>IF(SUMPRODUCT(--(D130:D138&lt;=D129:D137))=0,"OK","FAIL")</f>
        <v>OK</v>
      </c>
    </row>
    <row r="128">
      <c r="C128" s="360" t="inlineStr">
        <is>
          <t xml:space="preserve">below the lowest band (or not eligible)</t>
        </is>
      </c>
      <c r="F128" s="510">
        <v>0</v>
      </c>
    </row>
    <row r="129">
      <c r="C129" s="522" t="str">
        <f>IF(E129=1,"x ≥ ","x &gt; ")&amp;D129</f>
        <v>x &gt; 2</v>
      </c>
      <c r="D129" s="506">
        <v>2</v>
      </c>
      <c r="E129" s="510">
        <v>0</v>
      </c>
      <c r="F129" s="510">
        <v>10</v>
      </c>
      <c r="G129" s="388" t="inlineStr">
        <is>
          <t xml:space="preserve">38–39 / GYIK 20</t>
        </is>
      </c>
    </row>
    <row r="130">
      <c r="C130" s="522" t="str">
        <f>IF(E130=1,"x ≥ ","x &gt; ")&amp;D130</f>
        <v>x ≥ 5</v>
      </c>
      <c r="D130" s="506">
        <v>5</v>
      </c>
      <c r="E130" s="510">
        <v>1</v>
      </c>
      <c r="F130" s="510">
        <v>20</v>
      </c>
      <c r="G130" s="388" t="inlineStr">
        <is>
          <t xml:space="preserve">38–39 / GYIK 20</t>
        </is>
      </c>
    </row>
    <row r="131">
      <c r="C131" s="522" t="str">
        <f>IF(E131=1,"x ≥ ","x &gt; ")&amp;D131</f>
        <v>x ≥ 10</v>
      </c>
      <c r="D131" s="506">
        <v>10</v>
      </c>
      <c r="E131" s="510">
        <v>1</v>
      </c>
      <c r="F131" s="510">
        <v>30</v>
      </c>
      <c r="G131" s="388" t="inlineStr">
        <is>
          <t xml:space="preserve">38–39 / GYIK 20</t>
        </is>
      </c>
    </row>
    <row r="132">
      <c r="C132" s="522" t="str">
        <f>IF(E132=1,"x ≥ ","x &gt; ")&amp;D132</f>
        <v>x ≥ 15</v>
      </c>
      <c r="D132" s="506">
        <v>15</v>
      </c>
      <c r="E132" s="510">
        <v>1</v>
      </c>
      <c r="F132" s="510">
        <v>40</v>
      </c>
      <c r="G132" s="388" t="inlineStr">
        <is>
          <t xml:space="preserve">38–39 / GYIK 20</t>
        </is>
      </c>
    </row>
    <row r="133">
      <c r="C133" s="522" t="str">
        <f>IF(E133=1,"x ≥ ","x &gt; ")&amp;D133</f>
        <v>x ≥ 20</v>
      </c>
      <c r="D133" s="506">
        <v>20</v>
      </c>
      <c r="E133" s="510">
        <v>1</v>
      </c>
      <c r="F133" s="510">
        <v>50</v>
      </c>
      <c r="G133" s="388" t="inlineStr">
        <is>
          <t xml:space="preserve">38–39 / GYIK 20</t>
        </is>
      </c>
    </row>
    <row r="134">
      <c r="C134" s="522" t="str">
        <f>IF(E134=1,"x ≥ ","x &gt; ")&amp;D134</f>
        <v>x ≥ 25</v>
      </c>
      <c r="D134" s="506">
        <v>25</v>
      </c>
      <c r="E134" s="510">
        <v>1</v>
      </c>
      <c r="F134" s="510">
        <v>60</v>
      </c>
      <c r="G134" s="388" t="inlineStr">
        <is>
          <t xml:space="preserve">38–39 / GYIK 20</t>
        </is>
      </c>
    </row>
    <row r="135">
      <c r="C135" s="522" t="str">
        <f>IF(E135=1,"x ≥ ","x &gt; ")&amp;D135</f>
        <v>x ≥ 30</v>
      </c>
      <c r="D135" s="506">
        <v>30</v>
      </c>
      <c r="E135" s="510">
        <v>1</v>
      </c>
      <c r="F135" s="510">
        <v>70</v>
      </c>
      <c r="G135" s="388" t="inlineStr">
        <is>
          <t xml:space="preserve">38–39 / GYIK 20</t>
        </is>
      </c>
    </row>
    <row r="136">
      <c r="C136" s="522" t="str">
        <f>IF(E136=1,"x ≥ ","x &gt; ")&amp;D136</f>
        <v>x ≥ 35</v>
      </c>
      <c r="D136" s="506">
        <v>35</v>
      </c>
      <c r="E136" s="510">
        <v>1</v>
      </c>
      <c r="F136" s="510">
        <v>80</v>
      </c>
      <c r="G136" s="388" t="inlineStr">
        <is>
          <t xml:space="preserve">38–39 / GYIK 20</t>
        </is>
      </c>
    </row>
    <row r="137">
      <c r="C137" s="522" t="str">
        <f>IF(E137=1,"x ≥ ","x &gt; ")&amp;D137</f>
        <v>x ≥ 40</v>
      </c>
      <c r="D137" s="506">
        <v>40</v>
      </c>
      <c r="E137" s="510">
        <v>1</v>
      </c>
      <c r="F137" s="510">
        <v>90</v>
      </c>
      <c r="G137" s="388" t="inlineStr">
        <is>
          <t xml:space="preserve">38–39 / GYIK 20</t>
        </is>
      </c>
    </row>
    <row r="138">
      <c r="C138" s="522" t="str">
        <f>IF(E138=1,"x ≥ ","x &gt; ")&amp;D138</f>
        <v>x &gt; 50</v>
      </c>
      <c r="D138" s="506">
        <v>50</v>
      </c>
      <c r="E138" s="510">
        <v>0</v>
      </c>
      <c r="F138" s="510">
        <v>100</v>
      </c>
      <c r="G138" s="388" t="inlineStr">
        <is>
          <t xml:space="preserve">38–39 / GYIK 20</t>
        </is>
      </c>
    </row>
    <row r="139">
      <c r="C139" s="91" t="inlineStr">
        <is>
          <t xml:space="preserve">ÖSZ-6 performance security – % of the minimum (GYIK 34: 200 ≤ x → 100)</t>
        </is>
      </c>
      <c r="D139" s="91" t="inlineStr">
        <is>
          <t xml:space="preserve">Lower bound</t>
        </is>
      </c>
      <c r="E139" s="91" t="inlineStr">
        <is>
          <t xml:space="preserve">Included 1/0</t>
        </is>
      </c>
      <c r="F139" s="91" t="inlineStr">
        <is>
          <t xml:space="preserve">Inner points</t>
        </is>
      </c>
      <c r="G139" s="91" t="inlineStr">
        <is>
          <t xml:space="preserve">PDF page</t>
        </is>
      </c>
      <c r="H139" s="372" t="str">
        <f>IF(SUMPRODUCT(--(D142:D150&lt;=D141:D149))=0,"OK","FAIL")</f>
        <v>OK</v>
      </c>
    </row>
    <row r="140">
      <c r="C140" s="360" t="inlineStr">
        <is>
          <t xml:space="preserve">below the lowest band (or not eligible)</t>
        </is>
      </c>
      <c r="F140" s="510">
        <v>0</v>
      </c>
    </row>
    <row r="141">
      <c r="C141" s="522" t="str">
        <f>IF(E141=1,"x ≥ ","x &gt; ")&amp;D141</f>
        <v>x &gt; 100</v>
      </c>
      <c r="D141" s="506">
        <v>100</v>
      </c>
      <c r="E141" s="510">
        <v>0</v>
      </c>
      <c r="F141" s="510">
        <v>10</v>
      </c>
      <c r="G141" s="388" t="inlineStr">
        <is>
          <t xml:space="preserve">39–40 / GYIK 34</t>
        </is>
      </c>
    </row>
    <row r="142">
      <c r="C142" s="522" t="str">
        <f>IF(E142=1,"x ≥ ","x &gt; ")&amp;D142</f>
        <v>x ≥ 120</v>
      </c>
      <c r="D142" s="506">
        <v>120</v>
      </c>
      <c r="E142" s="510">
        <v>1</v>
      </c>
      <c r="F142" s="510">
        <v>20</v>
      </c>
      <c r="G142" s="388" t="inlineStr">
        <is>
          <t xml:space="preserve">39–40 / GYIK 34</t>
        </is>
      </c>
    </row>
    <row r="143">
      <c r="C143" s="522" t="str">
        <f>IF(E143=1,"x ≥ ","x &gt; ")&amp;D143</f>
        <v>x ≥ 130</v>
      </c>
      <c r="D143" s="506">
        <v>130</v>
      </c>
      <c r="E143" s="510">
        <v>1</v>
      </c>
      <c r="F143" s="510">
        <v>30</v>
      </c>
      <c r="G143" s="388" t="inlineStr">
        <is>
          <t xml:space="preserve">39–40 / GYIK 34</t>
        </is>
      </c>
    </row>
    <row r="144">
      <c r="C144" s="522" t="str">
        <f>IF(E144=1,"x ≥ ","x &gt; ")&amp;D144</f>
        <v>x ≥ 140</v>
      </c>
      <c r="D144" s="506">
        <v>140</v>
      </c>
      <c r="E144" s="510">
        <v>1</v>
      </c>
      <c r="F144" s="510">
        <v>40</v>
      </c>
      <c r="G144" s="388" t="inlineStr">
        <is>
          <t xml:space="preserve">39–40 / GYIK 34</t>
        </is>
      </c>
    </row>
    <row r="145">
      <c r="C145" s="522" t="str">
        <f>IF(E145=1,"x ≥ ","x &gt; ")&amp;D145</f>
        <v>x ≥ 150</v>
      </c>
      <c r="D145" s="506">
        <v>150</v>
      </c>
      <c r="E145" s="510">
        <v>1</v>
      </c>
      <c r="F145" s="510">
        <v>50</v>
      </c>
      <c r="G145" s="388" t="inlineStr">
        <is>
          <t xml:space="preserve">39–40 / GYIK 34</t>
        </is>
      </c>
    </row>
    <row r="146">
      <c r="C146" s="522" t="str">
        <f>IF(E146=1,"x ≥ ","x &gt; ")&amp;D146</f>
        <v>x ≥ 160</v>
      </c>
      <c r="D146" s="506">
        <v>160</v>
      </c>
      <c r="E146" s="510">
        <v>1</v>
      </c>
      <c r="F146" s="510">
        <v>60</v>
      </c>
      <c r="G146" s="388" t="inlineStr">
        <is>
          <t xml:space="preserve">39–40 / GYIK 34</t>
        </is>
      </c>
    </row>
    <row r="147">
      <c r="C147" s="522" t="str">
        <f>IF(E147=1,"x ≥ ","x &gt; ")&amp;D147</f>
        <v>x ≥ 170</v>
      </c>
      <c r="D147" s="506">
        <v>170</v>
      </c>
      <c r="E147" s="510">
        <v>1</v>
      </c>
      <c r="F147" s="510">
        <v>70</v>
      </c>
      <c r="G147" s="388" t="inlineStr">
        <is>
          <t xml:space="preserve">39–40 / GYIK 34</t>
        </is>
      </c>
    </row>
    <row r="148">
      <c r="C148" s="522" t="str">
        <f>IF(E148=1,"x ≥ ","x &gt; ")&amp;D148</f>
        <v>x ≥ 180</v>
      </c>
      <c r="D148" s="506">
        <v>180</v>
      </c>
      <c r="E148" s="510">
        <v>1</v>
      </c>
      <c r="F148" s="510">
        <v>80</v>
      </c>
      <c r="G148" s="388" t="inlineStr">
        <is>
          <t xml:space="preserve">39–40 / GYIK 34</t>
        </is>
      </c>
    </row>
    <row r="149">
      <c r="C149" s="522" t="str">
        <f>IF(E149=1,"x ≥ ","x &gt; ")&amp;D149</f>
        <v>x ≥ 190</v>
      </c>
      <c r="D149" s="506">
        <v>190</v>
      </c>
      <c r="E149" s="510">
        <v>1</v>
      </c>
      <c r="F149" s="510">
        <v>90</v>
      </c>
      <c r="G149" s="388" t="inlineStr">
        <is>
          <t xml:space="preserve">39–40 / GYIK 34</t>
        </is>
      </c>
    </row>
    <row r="150">
      <c r="C150" s="522" t="str">
        <f>IF(E150=1,"x ≥ ","x &gt; ")&amp;D150</f>
        <v>x ≥ 200</v>
      </c>
      <c r="D150" s="506">
        <v>200</v>
      </c>
      <c r="E150" s="510">
        <v>1</v>
      </c>
      <c r="F150" s="510">
        <v>100</v>
      </c>
      <c r="G150" s="388" t="inlineStr">
        <is>
          <t xml:space="preserve">39–40 / GYIK 34</t>
        </is>
      </c>
    </row>
    <row r="152">
      <c r="C152" s="253" t="inlineStr">
        <is>
          <t xml:space="preserve">Parameters (Annex 3 weights, PDF p. 35; X.4 minima / maxima; points of the yes / no items)</t>
        </is>
      </c>
      <c r="D152" s="254" t="inlineStr">
        <is>
          <t xml:space="preserve">Unit</t>
        </is>
      </c>
      <c r="E152" s="254" t="inlineStr">
        <is>
          <t xml:space="preserve">Value</t>
        </is>
      </c>
      <c r="F152" s="254" t="inlineStr">
        <is>
          <t xml:space="preserve">PDF page / note</t>
        </is>
      </c>
      <c r="G152" s="254"/>
      <c r="H152" s="254"/>
      <c r="I152" s="254"/>
      <c r="J152" s="254"/>
    </row>
    <row r="153">
      <c r="C153" s="360" t="inlineStr">
        <is>
          <t xml:space="preserve">Weight ÖSZ-1</t>
        </is>
      </c>
      <c r="D153" s="411" t="inlineStr">
        <is>
          <t xml:space="preserve">%</t>
        </is>
      </c>
      <c r="E153" s="510">
        <v>20</v>
      </c>
      <c r="F153" s="388" t="inlineStr">
        <is>
          <t xml:space="preserve">35</t>
        </is>
      </c>
    </row>
    <row r="154">
      <c r="C154" s="360" t="inlineStr">
        <is>
          <t xml:space="preserve">Weight ÖSZ-2</t>
        </is>
      </c>
      <c r="D154" s="411" t="inlineStr">
        <is>
          <t xml:space="preserve">%</t>
        </is>
      </c>
      <c r="E154" s="510">
        <v>15</v>
      </c>
      <c r="F154" s="388" t="inlineStr">
        <is>
          <t xml:space="preserve">35</t>
        </is>
      </c>
    </row>
    <row r="155">
      <c r="C155" s="360" t="inlineStr">
        <is>
          <t xml:space="preserve">Weight ÖSZ-3</t>
        </is>
      </c>
      <c r="D155" s="411" t="inlineStr">
        <is>
          <t xml:space="preserve">%</t>
        </is>
      </c>
      <c r="E155" s="510">
        <v>10</v>
      </c>
      <c r="F155" s="388" t="inlineStr">
        <is>
          <t xml:space="preserve">35</t>
        </is>
      </c>
    </row>
    <row r="156">
      <c r="C156" s="360" t="inlineStr">
        <is>
          <t xml:space="preserve">Weight ÖSZ-4</t>
        </is>
      </c>
      <c r="D156" s="411" t="inlineStr">
        <is>
          <t xml:space="preserve">%</t>
        </is>
      </c>
      <c r="E156" s="510">
        <v>15</v>
      </c>
      <c r="F156" s="388" t="inlineStr">
        <is>
          <t xml:space="preserve">35</t>
        </is>
      </c>
    </row>
    <row r="157">
      <c r="C157" s="360" t="inlineStr">
        <is>
          <t xml:space="preserve">Weight ÖSZ-5</t>
        </is>
      </c>
      <c r="D157" s="411" t="inlineStr">
        <is>
          <t xml:space="preserve">%</t>
        </is>
      </c>
      <c r="E157" s="510">
        <v>5</v>
      </c>
      <c r="F157" s="388" t="inlineStr">
        <is>
          <t xml:space="preserve">35</t>
        </is>
      </c>
    </row>
    <row r="158">
      <c r="C158" s="360" t="inlineStr">
        <is>
          <t xml:space="preserve">Weight ÖSZ-6</t>
        </is>
      </c>
      <c r="D158" s="411" t="inlineStr">
        <is>
          <t xml:space="preserve">%</t>
        </is>
      </c>
      <c r="E158" s="510">
        <v>5</v>
      </c>
      <c r="F158" s="388" t="inlineStr">
        <is>
          <t xml:space="preserve">35</t>
        </is>
      </c>
    </row>
    <row r="159">
      <c r="C159" s="360" t="inlineStr">
        <is>
          <t xml:space="preserve">Weight ÖSZ-7</t>
        </is>
      </c>
      <c r="D159" s="411" t="inlineStr">
        <is>
          <t xml:space="preserve">%</t>
        </is>
      </c>
      <c r="E159" s="510">
        <v>10</v>
      </c>
      <c r="F159" s="388" t="inlineStr">
        <is>
          <t xml:space="preserve">35</t>
        </is>
      </c>
    </row>
    <row r="160">
      <c r="C160" s="360" t="inlineStr">
        <is>
          <t xml:space="preserve">Weight ÖSZ-8</t>
        </is>
      </c>
      <c r="D160" s="411" t="inlineStr">
        <is>
          <t xml:space="preserve">%</t>
        </is>
      </c>
      <c r="E160" s="510">
        <v>5</v>
      </c>
      <c r="F160" s="388" t="inlineStr">
        <is>
          <t xml:space="preserve">35</t>
        </is>
      </c>
    </row>
    <row r="161">
      <c r="C161" s="360" t="inlineStr">
        <is>
          <t xml:space="preserve">Weight ÖSZ-9</t>
        </is>
      </c>
      <c r="D161" s="411" t="inlineStr">
        <is>
          <t xml:space="preserve">%</t>
        </is>
      </c>
      <c r="E161" s="510">
        <v>15</v>
      </c>
      <c r="F161" s="388" t="inlineStr">
        <is>
          <t xml:space="preserve">35</t>
        </is>
      </c>
    </row>
    <row r="162">
      <c r="C162" s="360" t="inlineStr">
        <is>
          <t xml:space="preserve">ÖSZ-1 minimum (below = 0 points, not invalid – GYIK 17)</t>
        </is>
      </c>
      <c r="D162" s="411" t="inlineStr">
        <is>
          <t xml:space="preserve">EUR/MW</t>
        </is>
      </c>
      <c r="E162" s="506">
        <v>10000</v>
      </c>
      <c r="F162" s="388" t="inlineStr">
        <is>
          <t xml:space="preserve">23–24 (X.4 ba)</t>
        </is>
      </c>
    </row>
    <row r="163">
      <c r="C163" s="360" t="inlineStr">
        <is>
          <t xml:space="preserve">ÖSZ-1 maximum</t>
        </is>
      </c>
      <c r="D163" s="411" t="inlineStr">
        <is>
          <t xml:space="preserve">EUR/MW</t>
        </is>
      </c>
      <c r="E163" s="506">
        <v>50000</v>
      </c>
      <c r="F163" s="388" t="inlineStr">
        <is>
          <t xml:space="preserve">24</t>
        </is>
      </c>
    </row>
    <row r="164">
      <c r="C164" s="360" t="inlineStr">
        <is>
          <t xml:space="preserve">ÖSZ-2 minimum (below = 0 points, not invalid – GYIK 17)</t>
        </is>
      </c>
      <c r="D164" s="411" t="inlineStr">
        <is>
          <t xml:space="preserve">EUR/MWh</t>
        </is>
      </c>
      <c r="E164" s="508">
        <v>2</v>
      </c>
      <c r="F164" s="388" t="inlineStr">
        <is>
          <t xml:space="preserve">24 (X.4 bb)</t>
        </is>
      </c>
    </row>
    <row r="165">
      <c r="C165" s="360" t="inlineStr">
        <is>
          <t xml:space="preserve">ÖSZ-2 maximum</t>
        </is>
      </c>
      <c r="D165" s="411" t="inlineStr">
        <is>
          <t xml:space="preserve">EUR/MWh</t>
        </is>
      </c>
      <c r="E165" s="508">
        <v>3</v>
      </c>
      <c r="F165" s="388" t="inlineStr">
        <is>
          <t xml:space="preserve">24</t>
        </is>
      </c>
    </row>
    <row r="166">
      <c r="C166" s="360" t="inlineStr">
        <is>
          <t xml:space="preserve">ÖSZ-4 minimum BESS ratio (% of installed wind, GYIK 20)</t>
        </is>
      </c>
      <c r="D166" s="411" t="inlineStr">
        <is>
          <t xml:space="preserve">%</t>
        </is>
      </c>
      <c r="E166" s="510">
        <v>5</v>
      </c>
      <c r="F166" s="388" t="inlineStr">
        <is>
          <t xml:space="preserve">25 (X.4 bd)</t>
        </is>
      </c>
    </row>
    <row r="167">
      <c r="C167" s="360" t="inlineStr">
        <is>
          <t xml:space="preserve">ÖSZ-4 minimum BESS duration</t>
        </is>
      </c>
      <c r="D167" s="411" t="inlineStr">
        <is>
          <t xml:space="preserve">h</t>
        </is>
      </c>
      <c r="E167" s="510">
        <v>4</v>
      </c>
      <c r="F167" s="388" t="inlineStr">
        <is>
          <t xml:space="preserve">57 (Annex 8, 0.25C)</t>
        </is>
      </c>
    </row>
    <row r="168">
      <c r="C168" s="360" t="inlineStr">
        <is>
          <t xml:space="preserve">ÖSZ-5 inner points if accepted</t>
        </is>
      </c>
      <c r="D168" s="411" t="inlineStr">
        <is>
          <t xml:space="preserve">0–100</t>
        </is>
      </c>
      <c r="E168" s="510">
        <v>100</v>
      </c>
      <c r="F168" s="388" t="inlineStr">
        <is>
          <t xml:space="preserve">39</t>
        </is>
      </c>
    </row>
    <row r="169">
      <c r="C169" s="360" t="inlineStr">
        <is>
          <t xml:space="preserve">ÖSZ-7 inner points if brownfield</t>
        </is>
      </c>
      <c r="D169" s="411" t="inlineStr">
        <is>
          <t xml:space="preserve">0–100</t>
        </is>
      </c>
      <c r="E169" s="510">
        <v>100</v>
      </c>
      <c r="F169" s="388" t="inlineStr">
        <is>
          <t xml:space="preserve">40</t>
        </is>
      </c>
    </row>
    <row r="170">
      <c r="C170" s="360" t="inlineStr">
        <is>
          <t xml:space="preserve">ÖSZ-8 inner points if shared connection</t>
        </is>
      </c>
      <c r="D170" s="411" t="inlineStr">
        <is>
          <t xml:space="preserve">0–100</t>
        </is>
      </c>
      <c r="E170" s="510">
        <v>100</v>
      </c>
      <c r="F170" s="388" t="inlineStr">
        <is>
          <t xml:space="preserve">40</t>
        </is>
      </c>
    </row>
    <row r="171">
      <c r="C171" s="360" t="inlineStr">
        <is>
          <t xml:space="preserve">ÖSZ-9a inner points – ≥ 80 % EU-made turbine units</t>
        </is>
      </c>
      <c r="D171" s="411" t="inlineStr">
        <is>
          <t xml:space="preserve">0–100</t>
        </is>
      </c>
      <c r="E171" s="510">
        <v>80</v>
      </c>
      <c r="F171" s="388" t="inlineStr">
        <is>
          <t xml:space="preserve">41</t>
        </is>
      </c>
    </row>
    <row r="172">
      <c r="C172" s="360" t="inlineStr">
        <is>
          <t xml:space="preserve">ÖSZ-9b inner points – ≥ 80 % EU-made generator transformers</t>
        </is>
      </c>
      <c r="D172" s="411" t="inlineStr">
        <is>
          <t xml:space="preserve">0–100</t>
        </is>
      </c>
      <c r="E172" s="510">
        <v>20</v>
      </c>
      <c r="F172" s="388" t="inlineStr">
        <is>
          <t xml:space="preserve">41</t>
        </is>
      </c>
    </row>
    <row r="174">
      <c r="C174" s="447" t="inlineStr">
        <is>
          <t xml:space="preserve">4. Price effect of the promises (buyer view, active strategy) – RtB exit (case 1) and sale at COD (cases 7 / 8); reference = S1 current-bid commitments (column E)</t>
        </is>
      </c>
      <c r="D174" s="447"/>
      <c r="E174" s="447"/>
      <c r="F174" s="447"/>
      <c r="G174" s="447"/>
      <c r="H174" s="447"/>
      <c r="I174" s="447"/>
      <c r="J174" s="447"/>
    </row>
    <row r="175">
      <c r="C175" s="253" t="inlineStr">
        <is>
          <t xml:space="preserve">Valuation basis</t>
        </is>
      </c>
      <c r="D175" s="254" t="inlineStr">
        <is>
          <t xml:space="preserve">Unit</t>
        </is>
      </c>
      <c r="E175" s="254" t="inlineStr">
        <is>
          <t xml:space="preserve">Value</t>
        </is>
      </c>
      <c r="F175" s="254" t="inlineStr">
        <is>
          <t xml:space="preserve">Note</t>
        </is>
      </c>
      <c r="G175" s="254"/>
      <c r="H175" s="254"/>
      <c r="I175" s="254"/>
      <c r="J175" s="254"/>
    </row>
    <row r="176">
      <c r="C176" s="360" t="inlineStr">
        <is>
          <t xml:space="preserve">Buyer discount rate (unlevered, Inputs E224)</t>
        </is>
      </c>
      <c r="D176" s="411" t="inlineStr">
        <is>
          <t xml:space="preserve">%</t>
        </is>
      </c>
      <c r="E176" s="515">
        <f>Inputs!$E$224</f>
        <v>0.08</v>
      </c>
      <c r="F176" s="388" t="inlineStr">
        <is>
          <t xml:space="preserve">As HTM G219</t>
        </is>
      </c>
    </row>
    <row r="177">
      <c r="C177" s="360" t="inlineStr">
        <is>
          <t xml:space="preserve">RtB sale date (Inputs E58) – valuation date of the RtB price effect</t>
        </is>
      </c>
      <c r="D177" s="411" t="inlineStr">
        <is>
          <t xml:space="preserve">Date</t>
        </is>
      </c>
      <c r="E177" s="239">
        <f>Inputs!$E$58</f>
        <v>47573</v>
      </c>
    </row>
    <row r="178">
      <c r="C178" s="360" t="inlineStr">
        <is>
          <t xml:space="preserve">COD (Inputs E155) – valuation date of the COD price effect</t>
        </is>
      </c>
      <c r="D178" s="411" t="inlineStr">
        <is>
          <t xml:space="preserve">Date</t>
        </is>
      </c>
      <c r="E178" s="239">
        <f>Inputs!$E$155</f>
        <v>48121</v>
      </c>
    </row>
    <row r="179">
      <c r="C179" s="360" t="inlineStr">
        <is>
          <t xml:space="preserve">Performance security released (COD + E31 months)</t>
        </is>
      </c>
      <c r="D179" s="411" t="inlineStr">
        <is>
          <t xml:space="preserve">Date</t>
        </is>
      </c>
      <c r="E179" s="212">
        <f>EDATE($E$178,$E$31)</f>
        <v>48303</v>
      </c>
    </row>
    <row r="180">
      <c r="C180" s="360" t="inlineStr">
        <is>
          <t xml:space="preserve">Tax rate on the buyer's flows (HTM E91 + E99, as HTM row 101)</t>
        </is>
      </c>
      <c r="D180" s="411" t="inlineStr">
        <is>
          <t xml:space="preserve">%</t>
        </is>
      </c>
      <c r="E180" s="520">
        <f>HTM!$E$91+HTM!$E$99</f>
        <v>0.09</v>
      </c>
      <c r="F180" s="388" t="inlineStr">
        <is>
          <t xml:space="preserve">Unlevered, no loss relief</t>
        </is>
      </c>
    </row>
    <row r="181">
      <c r="C181" s="360" t="inlineStr">
        <is>
          <t xml:space="preserve">Tax depreciation period (HTM E92)</t>
        </is>
      </c>
      <c r="D181" s="411" t="inlineStr">
        <is>
          <t xml:space="preserve">Years</t>
        </is>
      </c>
      <c r="E181" s="516">
        <f>HTM!$E$92</f>
        <v>20</v>
      </c>
      <c r="F181" s="388" t="inlineStr">
        <is>
          <t xml:space="preserve">HTM row 90 profile</t>
        </is>
      </c>
    </row>
    <row r="182">
      <c r="C182" s="360" t="inlineStr">
        <is>
          <t xml:space="preserve">Guarantee fee rate on the performance security (Inputs E113)</t>
        </is>
      </c>
      <c r="D182" s="411" t="inlineStr">
        <is>
          <t xml:space="preserve">% p.a.</t>
        </is>
      </c>
      <c r="E182" s="515">
        <f>Inputs!$E$113</f>
        <v>0.06</v>
      </c>
      <c r="F182" s="388" t="inlineStr">
        <is>
          <t xml:space="preserve">Not tax-deducted (as HTM row 93)</t>
        </is>
      </c>
    </row>
    <row r="184">
      <c r="C184" s="253" t="inlineStr">
        <is>
          <t xml:space="preserve">Commitments – reference (S1 current bid, column E) vs live (active strategy)</t>
        </is>
      </c>
      <c r="D184" s="254" t="inlineStr">
        <is>
          <t xml:space="preserve">Unit</t>
        </is>
      </c>
      <c r="E184" s="254" t="inlineStr">
        <is>
          <t xml:space="preserve">Reference (scen. 0)</t>
        </is>
      </c>
      <c r="F184" s="254" t="inlineStr">
        <is>
          <t xml:space="preserve">Live (Inputs)</t>
        </is>
      </c>
      <c r="G184" s="254" t="inlineStr">
        <is>
          <t xml:space="preserve">Δ live − ref.</t>
        </is>
      </c>
      <c r="H184" s="254" t="inlineStr">
        <is>
          <t xml:space="preserve">Note</t>
        </is>
      </c>
      <c r="I184" s="254"/>
      <c r="J184" s="254"/>
    </row>
    <row r="185">
      <c r="C185" s="360" t="inlineStr">
        <is>
          <t xml:space="preserve">ÖSZ-1 municipal one-off</t>
        </is>
      </c>
      <c r="D185" s="411" t="inlineStr">
        <is>
          <t xml:space="preserve">k€/MW</t>
        </is>
      </c>
      <c r="E185" s="518">
        <f>$E$12</f>
        <v>20</v>
      </c>
      <c r="F185" s="512">
        <f>Inputs!$E$233</f>
        <v>20</v>
      </c>
      <c r="G185" s="518">
        <f>F185-E185</f>
        <v>0</v>
      </c>
    </row>
    <row r="186">
      <c r="C186" s="360" t="inlineStr">
        <is>
          <t xml:space="preserve">ÖSZ-2 community contribution</t>
        </is>
      </c>
      <c r="D186" s="411" t="inlineStr">
        <is>
          <t xml:space="preserve">€/MWh</t>
        </is>
      </c>
      <c r="E186" s="518">
        <f>$E$13</f>
        <v>2</v>
      </c>
      <c r="F186" s="513">
        <f>Inputs!$E$234</f>
        <v>2</v>
      </c>
      <c r="G186" s="519">
        <f>F186-E186</f>
        <v>0</v>
      </c>
    </row>
    <row r="187">
      <c r="C187" s="360" t="inlineStr">
        <is>
          <t xml:space="preserve">ÖSZ-4 BESS power</t>
        </is>
      </c>
      <c r="D187" s="411" t="inlineStr">
        <is>
          <t xml:space="preserve">MW</t>
        </is>
      </c>
      <c r="E187" s="518">
        <f>$E$39</f>
        <v>90</v>
      </c>
      <c r="F187" s="512">
        <f>Inputs!$E$20</f>
        <v>90</v>
      </c>
      <c r="G187" s="518">
        <f>F187-E187</f>
        <v>0</v>
      </c>
    </row>
    <row r="188">
      <c r="C188" s="360" t="inlineStr">
        <is>
          <t xml:space="preserve">ÖSZ-4 BESS duration</t>
        </is>
      </c>
      <c r="D188" s="411" t="inlineStr">
        <is>
          <t xml:space="preserve">h</t>
        </is>
      </c>
      <c r="E188" s="518">
        <f>$E$16</f>
        <v>4</v>
      </c>
      <c r="F188" s="512">
        <f>Inputs!$E$21</f>
        <v>4</v>
      </c>
    </row>
    <row r="189">
      <c r="C189" s="360" t="inlineStr">
        <is>
          <t xml:space="preserve">ÖSZ-6 performance security uplift</t>
        </is>
      </c>
      <c r="D189" s="411" t="inlineStr">
        <is>
          <t xml:space="preserve">%</t>
        </is>
      </c>
      <c r="E189" s="521">
        <f>$E$17</f>
        <v>1.5</v>
      </c>
      <c r="F189" s="514">
        <f>Inputs!$E$90</f>
        <v>1.5</v>
      </c>
      <c r="G189" s="521">
        <f>F189-E189</f>
        <v>0</v>
      </c>
    </row>
    <row r="190">
      <c r="C190" s="360" t="inlineStr">
        <is>
          <t xml:space="preserve">Δ municipal one-off (× successful net MW, Inputs E18 – as HTM row 29)</t>
        </is>
      </c>
      <c r="D190" s="411" t="inlineStr">
        <is>
          <t xml:space="preserve">k€</t>
        </is>
      </c>
      <c r="E190" s="517">
        <f>$G$185*Inputs!$E$18</f>
        <v>0</v>
      </c>
    </row>
    <row r="191">
      <c r="C191" s="360" t="inlineStr">
        <is>
          <t xml:space="preserve">Δ BESS capex (× BESS capex Inputs E168 – as Inputs E173)</t>
        </is>
      </c>
      <c r="D191" s="411" t="inlineStr">
        <is>
          <t xml:space="preserve">k€</t>
        </is>
      </c>
      <c r="E191" s="517">
        <f>$G$187*Inputs!$E$168</f>
        <v>0</v>
      </c>
    </row>
    <row r="192">
      <c r="C192" s="360" t="inlineStr">
        <is>
          <t xml:space="preserve">Performance bond – live (Deposits H10)</t>
        </is>
      </c>
      <c r="D192" s="411" t="inlineStr">
        <is>
          <t xml:space="preserve">mHUF</t>
        </is>
      </c>
      <c r="E192" s="511">
        <f>Deposits!$H$10</f>
        <v>6673.725000000001</v>
      </c>
    </row>
    <row r="193">
      <c r="C193" s="360" t="inlineStr">
        <is>
          <t xml:space="preserve">Performance bond at the reference commitments (wind leg on live gross MW – overbuild has no price effect)</t>
        </is>
      </c>
      <c r="D193" s="411" t="inlineStr">
        <is>
          <t xml:space="preserve">mHUF</t>
        </is>
      </c>
      <c r="E193" s="517">
        <f>Inputs!$E$77*$E$189*(Inputs!$E$29*Inputs!$E$75+$E$187*Inputs!$E$17*$E$188*Inputs!$E$89)</f>
        <v>6673.725000000001</v>
      </c>
    </row>
    <row r="194">
      <c r="C194" s="360" t="inlineStr">
        <is>
          <t xml:space="preserve">Δ performance bond (mHUF → k€ at Inputs E11)</t>
        </is>
      </c>
      <c r="D194" s="411" t="inlineStr">
        <is>
          <t xml:space="preserve">k€</t>
        </is>
      </c>
      <c r="E194" s="517">
        <f>($E$192-$E$193)*1000/Inputs!$E$11</f>
        <v>0</v>
      </c>
    </row>
    <row r="196">
      <c r="C196" s="91" t="inlineStr">
        <is>
          <t xml:space="preserve">Timeline (HTM years, flows at 31-Dec)</t>
        </is>
      </c>
      <c r="D196" s="91" t="inlineStr">
        <is>
          <t xml:space="preserve">Unit</t>
        </is>
      </c>
      <c r="E196" s="91" t="inlineStr">
        <is>
          <t xml:space="preserve">Driver</t>
        </is>
      </c>
      <c r="F196" s="91" t="inlineStr">
        <is>
          <t xml:space="preserve">PV at RtB sale</t>
        </is>
      </c>
      <c r="G196" s="91" t="inlineStr">
        <is>
          <t xml:space="preserve">PV at COD</t>
        </is>
      </c>
      <c r="H196" s="93">
        <f>HTM!H$5</f>
        <v>2026</v>
      </c>
      <c r="I196" s="93">
        <f>HTM!I$5</f>
        <v>2027</v>
      </c>
      <c r="J196" s="93">
        <f>HTM!J$5</f>
        <v>2028</v>
      </c>
      <c r="K196" s="93">
        <f>HTM!K$5</f>
        <v>2029</v>
      </c>
      <c r="L196" s="93">
        <f>HTM!L$5</f>
        <v>2030</v>
      </c>
      <c r="M196" s="93">
        <f>HTM!M$5</f>
        <v>2031</v>
      </c>
      <c r="N196" s="93">
        <f>HTM!N$5</f>
        <v>2032</v>
      </c>
      <c r="O196" s="93">
        <f>HTM!O$5</f>
        <v>2033</v>
      </c>
      <c r="P196" s="93">
        <f>HTM!P$5</f>
        <v>2034</v>
      </c>
      <c r="Q196" s="93">
        <f>HTM!Q$5</f>
        <v>2035</v>
      </c>
      <c r="R196" s="93">
        <f>HTM!R$5</f>
        <v>2036</v>
      </c>
      <c r="S196" s="93">
        <f>HTM!S$5</f>
        <v>2037</v>
      </c>
      <c r="T196" s="93">
        <f>HTM!T$5</f>
        <v>2038</v>
      </c>
      <c r="U196" s="93">
        <f>HTM!U$5</f>
        <v>2039</v>
      </c>
      <c r="V196" s="93">
        <f>HTM!V$5</f>
        <v>2040</v>
      </c>
      <c r="W196" s="93">
        <f>HTM!W$5</f>
        <v>2041</v>
      </c>
      <c r="X196" s="93">
        <f>HTM!X$5</f>
        <v>2042</v>
      </c>
      <c r="Y196" s="93">
        <f>HTM!Y$5</f>
        <v>2043</v>
      </c>
      <c r="Z196" s="93">
        <f>HTM!Z$5</f>
        <v>2044</v>
      </c>
      <c r="AA196" s="93">
        <f>HTM!AA$5</f>
        <v>2045</v>
      </c>
      <c r="AB196" s="93">
        <f>HTM!AB$5</f>
        <v>2046</v>
      </c>
      <c r="AC196" s="93">
        <f>HTM!AC$5</f>
        <v>2047</v>
      </c>
      <c r="AD196" s="93">
        <f>HTM!AD$5</f>
        <v>2048</v>
      </c>
      <c r="AE196" s="93">
        <f>HTM!AE$5</f>
        <v>2049</v>
      </c>
      <c r="AF196" s="93">
        <f>HTM!AF$5</f>
        <v>2050</v>
      </c>
      <c r="AG196" s="93">
        <f>HTM!AG$5</f>
        <v>2051</v>
      </c>
      <c r="AH196" s="93">
        <f>HTM!AH$5</f>
        <v>2052</v>
      </c>
      <c r="AI196" s="93">
        <f>HTM!AI$5</f>
        <v>2053</v>
      </c>
      <c r="AJ196" s="93">
        <f>HTM!AJ$5</f>
        <v>2054</v>
      </c>
      <c r="AK196" s="93">
        <f>HTM!AK$5</f>
        <v>2055</v>
      </c>
      <c r="AL196" s="93">
        <f>HTM!AL$5</f>
        <v>2056</v>
      </c>
      <c r="AM196" s="93">
        <f>HTM!AM$5</f>
        <v>2057</v>
      </c>
      <c r="AN196" s="93">
        <f>HTM!AN$5</f>
        <v>2058</v>
      </c>
      <c r="AO196" s="93">
        <f>HTM!AO$5</f>
        <v>2059</v>
      </c>
      <c r="AP196" s="93">
        <f>HTM!AP$5</f>
        <v>2060</v>
      </c>
      <c r="AQ196" s="93">
        <f>HTM!AQ$5</f>
        <v>2061</v>
      </c>
    </row>
    <row r="197">
      <c r="C197" s="90" t="inlineStr">
        <is>
          <t xml:space="preserve">Discount factor to the RtB sale date (flows on or before the sale date: factor 1)</t>
        </is>
      </c>
      <c r="D197" s="90" t="inlineStr">
        <is>
          <t xml:space="preserve">x</t>
        </is>
      </c>
      <c r="H197" s="126">
        <f>1/(1+$E$176)^(MAX(0,DATE(H$196,12,31)-$E$177)/365)</f>
        <v>1</v>
      </c>
      <c r="I197" s="126">
        <f>1/(1+$E$176)^(MAX(0,DATE(I$196,12,31)-$E$177)/365)</f>
        <v>1</v>
      </c>
      <c r="J197" s="126">
        <f>1/(1+$E$176)^(MAX(0,DATE(J$196,12,31)-$E$177)/365)</f>
        <v>1</v>
      </c>
      <c r="K197" s="126">
        <f>1/(1+$E$176)^(MAX(0,DATE(K$196,12,31)-$E$177)/365)</f>
        <v>1</v>
      </c>
      <c r="L197" s="126">
        <f>1/(1+$E$176)^(MAX(0,DATE(L$196,12,31)-$E$177)/365)</f>
        <v>0.9436647193906922</v>
      </c>
      <c r="M197" s="126">
        <f>1/(1+$E$176)^(MAX(0,DATE(M$196,12,31)-$E$177)/365)</f>
        <v>0.8737636290654556</v>
      </c>
      <c r="N197" s="126">
        <f>1/(1+$E$176)^(MAX(0,DATE(N$196,12,31)-$E$177)/365)</f>
        <v>0.8088698273446226</v>
      </c>
      <c r="O197" s="126">
        <f>1/(1+$E$176)^(MAX(0,DATE(O$196,12,31)-$E$177)/365)</f>
        <v>0.7489535438376135</v>
      </c>
      <c r="P197" s="126">
        <f>1/(1+$E$176)^(MAX(0,DATE(P$196,12,31)-$E$177)/365)</f>
        <v>0.6934755035533458</v>
      </c>
      <c r="Q197" s="126">
        <f>1/(1+$E$176)^(MAX(0,DATE(Q$196,12,31)-$E$177)/365)</f>
        <v>0.6421069477345793</v>
      </c>
      <c r="R197" s="126">
        <f>1/(1+$E$176)^(MAX(0,DATE(R$196,12,31)-$E$177)/365)</f>
        <v>0.5944181225606312</v>
      </c>
      <c r="S197" s="126">
        <f>1/(1+$E$176)^(MAX(0,DATE(S$196,12,31)-$E$177)/365)</f>
        <v>0.5503871505191029</v>
      </c>
      <c r="T197" s="126">
        <f>1/(1+$E$176)^(MAX(0,DATE(T$196,12,31)-$E$177)/365)</f>
        <v>0.5096177319621322</v>
      </c>
      <c r="U197" s="126">
        <f>1/(1+$E$176)^(MAX(0,DATE(U$196,12,31)-$E$177)/365)</f>
        <v>0.47186827033530765</v>
      </c>
      <c r="V197" s="126">
        <f>1/(1+$E$176)^(MAX(0,DATE(V$196,12,31)-$E$177)/365)</f>
        <v>0.4368229503484329</v>
      </c>
      <c r="W197" s="126">
        <f>1/(1+$E$176)^(MAX(0,DATE(W$196,12,31)-$E$177)/365)</f>
        <v>0.4044656947670674</v>
      </c>
      <c r="X197" s="126">
        <f>1/(1+$E$176)^(MAX(0,DATE(X$196,12,31)-$E$177)/365)</f>
        <v>0.3745052729324698</v>
      </c>
      <c r="Y197" s="126">
        <f>1/(1+$E$176)^(MAX(0,DATE(Y$196,12,31)-$E$177)/365)</f>
        <v>0.3467641416041387</v>
      </c>
      <c r="Z197" s="126">
        <f>1/(1+$E$176)^(MAX(0,DATE(Z$196,12,31)-$E$177)/365)</f>
        <v>0.3210102160565372</v>
      </c>
      <c r="AA197" s="126">
        <f>1/(1+$E$176)^(MAX(0,DATE(AA$196,12,31)-$E$177)/365)</f>
        <v>0.2972316815338307</v>
      </c>
      <c r="AB197" s="126">
        <f>1/(1+$E$176)^(MAX(0,DATE(AB$196,12,31)-$E$177)/365)</f>
        <v>0.27521451993873214</v>
      </c>
      <c r="AC197" s="126">
        <f>1/(1+$E$176)^(MAX(0,DATE(AC$196,12,31)-$E$177)/365)</f>
        <v>0.2548282592025297</v>
      </c>
      <c r="AD197" s="126">
        <f>1/(1+$E$176)^(MAX(0,DATE(AD$196,12,31)-$E$177)/365)</f>
        <v>0.23590234608888697</v>
      </c>
      <c r="AE197" s="126">
        <f>1/(1+$E$176)^(MAX(0,DATE(AE$196,12,31)-$E$177)/365)</f>
        <v>0.2184280982304509</v>
      </c>
      <c r="AF197" s="126">
        <f>1/(1+$E$176)^(MAX(0,DATE(AF$196,12,31)-$E$177)/365)</f>
        <v>0.20224823910226933</v>
      </c>
      <c r="AG197" s="126">
        <f>1/(1+$E$176)^(MAX(0,DATE(AG$196,12,31)-$E$177)/365)</f>
        <v>0.1872668880576568</v>
      </c>
      <c r="AH197" s="126">
        <f>1/(1+$E$176)^(MAX(0,DATE(AH$196,12,31)-$E$177)/365)</f>
        <v>0.17335870980641874</v>
      </c>
      <c r="AI197" s="126">
        <f>1/(1+$E$176)^(MAX(0,DATE(AI$196,12,31)-$E$177)/365)</f>
        <v>0.16051732389483217</v>
      </c>
      <c r="AJ197" s="126">
        <f>1/(1+$E$176)^(MAX(0,DATE(AJ$196,12,31)-$E$177)/365)</f>
        <v>0.14862715175447422</v>
      </c>
      <c r="AK197" s="126">
        <f>1/(1+$E$176)^(MAX(0,DATE(AK$196,12,31)-$E$177)/365)</f>
        <v>0.13761773310599462</v>
      </c>
      <c r="AL197" s="126">
        <f>1/(1+$E$176)^(MAX(0,DATE(AL$196,12,31)-$E$177)/365)</f>
        <v>0.12739696219223764</v>
      </c>
      <c r="AM197" s="126">
        <f>1/(1+$E$176)^(MAX(0,DATE(AM$196,12,31)-$E$177)/365)</f>
        <v>0.11796015017799782</v>
      </c>
      <c r="AN197" s="126">
        <f>1/(1+$E$176)^(MAX(0,DATE(AN$196,12,31)-$E$177)/365)</f>
        <v>0.1092223612759239</v>
      </c>
      <c r="AO197" s="126">
        <f>1/(1+$E$176)^(MAX(0,DATE(AO$196,12,31)-$E$177)/365)</f>
        <v>0.10113181599622582</v>
      </c>
      <c r="AP197" s="126">
        <f>1/(1+$E$176)^(MAX(0,DATE(AP$196,12,31)-$E$177)/365)</f>
        <v>0.09362082813106806</v>
      </c>
      <c r="AQ197" s="126">
        <f>1/(1+$E$176)^(MAX(0,DATE(AQ$196,12,31)-$E$177)/365)</f>
        <v>0.08668595197321116</v>
      </c>
    </row>
    <row r="198">
      <c r="C198" s="90" t="inlineStr">
        <is>
          <t xml:space="preserve">Discount factor to COD (flows on or before COD: factor 1)</t>
        </is>
      </c>
      <c r="D198" s="90" t="inlineStr">
        <is>
          <t xml:space="preserve">x</t>
        </is>
      </c>
      <c r="H198" s="126">
        <f>1/(1+$E$176)^(MAX(0,DATE(H$196,12,31)-$E$178)/365)</f>
        <v>1</v>
      </c>
      <c r="I198" s="126">
        <f>1/(1+$E$176)^(MAX(0,DATE(I$196,12,31)-$E$178)/365)</f>
        <v>1</v>
      </c>
      <c r="J198" s="126">
        <f>1/(1+$E$176)^(MAX(0,DATE(J$196,12,31)-$E$178)/365)</f>
        <v>1</v>
      </c>
      <c r="K198" s="126">
        <f>1/(1+$E$176)^(MAX(0,DATE(K$196,12,31)-$E$178)/365)</f>
        <v>1</v>
      </c>
      <c r="L198" s="126">
        <f>1/(1+$E$176)^(MAX(0,DATE(L$196,12,31)-$E$178)/365)</f>
        <v>1</v>
      </c>
      <c r="M198" s="126">
        <f>1/(1+$E$176)^(MAX(0,DATE(M$196,12,31)-$E$178)/365)</f>
        <v>0.9807885388212031</v>
      </c>
      <c r="N198" s="126">
        <f>1/(1+$E$176)^(MAX(0,DATE(N$196,12,31)-$E$178)/365)</f>
        <v>0.9079460733635791</v>
      </c>
      <c r="O198" s="126">
        <f>1/(1+$E$176)^(MAX(0,DATE(O$196,12,31)-$E$178)/365)</f>
        <v>0.8406908086699806</v>
      </c>
      <c r="P198" s="126">
        <f>1/(1+$E$176)^(MAX(0,DATE(P$196,12,31)-$E$178)/365)</f>
        <v>0.7784174154351672</v>
      </c>
      <c r="Q198" s="126">
        <f>1/(1+$E$176)^(MAX(0,DATE(Q$196,12,31)-$E$178)/365)</f>
        <v>0.7207568661436733</v>
      </c>
      <c r="R198" s="126">
        <f>1/(1+$E$176)^(MAX(0,DATE(R$196,12,31)-$E$178)/365)</f>
        <v>0.6672267676083489</v>
      </c>
      <c r="S198" s="126">
        <f>1/(1+$E$176)^(MAX(0,DATE(S$196,12,31)-$E$178)/365)</f>
        <v>0.617802562600323</v>
      </c>
      <c r="T198" s="126">
        <f>1/(1+$E$176)^(MAX(0,DATE(T$196,12,31)-$E$178)/365)</f>
        <v>0.5720394098151138</v>
      </c>
      <c r="U198" s="126">
        <f>1/(1+$E$176)^(MAX(0,DATE(U$196,12,31)-$E$178)/365)</f>
        <v>0.5296661201991794</v>
      </c>
      <c r="V198" s="126">
        <f>1/(1+$E$176)^(MAX(0,DATE(V$196,12,31)-$E$178)/365)</f>
        <v>0.49032819511386605</v>
      </c>
      <c r="W198" s="126">
        <f>1/(1+$E$176)^(MAX(0,DATE(W$196,12,31)-$E$178)/365)</f>
        <v>0.45400758806839453</v>
      </c>
      <c r="X198" s="126">
        <f>1/(1+$E$176)^(MAX(0,DATE(X$196,12,31)-$E$178)/365)</f>
        <v>0.42037739635962446</v>
      </c>
      <c r="Y198" s="126">
        <f>1/(1+$E$176)^(MAX(0,DATE(Y$196,12,31)-$E$178)/365)</f>
        <v>0.38923832996261526</v>
      </c>
      <c r="Z198" s="126">
        <f>1/(1+$E$176)^(MAX(0,DATE(Z$196,12,31)-$E$178)/365)</f>
        <v>0.36032987673052275</v>
      </c>
      <c r="AA198" s="126">
        <f>1/(1+$E$176)^(MAX(0,DATE(AA$196,12,31)-$E$178)/365)</f>
        <v>0.33363877475048404</v>
      </c>
      <c r="AB198" s="126">
        <f>1/(1+$E$176)^(MAX(0,DATE(AB$196,12,31)-$E$178)/365)</f>
        <v>0.3089247914356333</v>
      </c>
      <c r="AC198" s="126">
        <f>1/(1+$E$176)^(MAX(0,DATE(AC$196,12,31)-$E$178)/365)</f>
        <v>0.2860414735515124</v>
      </c>
      <c r="AD198" s="126">
        <f>1/(1+$E$176)^(MAX(0,DATE(AD$196,12,31)-$E$178)/365)</f>
        <v>0.26479737726377794</v>
      </c>
      <c r="AE198" s="126">
        <f>1/(1+$E$176)^(MAX(0,DATE(AE$196,12,31)-$E$178)/365)</f>
        <v>0.24518275672572032</v>
      </c>
      <c r="AF198" s="126">
        <f>1/(1+$E$176)^(MAX(0,DATE(AF$196,12,31)-$E$178)/365)</f>
        <v>0.2270210710423336</v>
      </c>
      <c r="AG198" s="126">
        <f>1/(1+$E$176)^(MAX(0,DATE(AG$196,12,31)-$E$178)/365)</f>
        <v>0.21020469540956813</v>
      </c>
      <c r="AH198" s="126">
        <f>1/(1+$E$176)^(MAX(0,DATE(AH$196,12,31)-$E$178)/365)</f>
        <v>0.19459294256139056</v>
      </c>
      <c r="AI198" s="126">
        <f>1/(1+$E$176)^(MAX(0,DATE(AI$196,12,31)-$E$178)/365)</f>
        <v>0.18017865051980608</v>
      </c>
      <c r="AJ198" s="126">
        <f>1/(1+$E$176)^(MAX(0,DATE(AJ$196,12,31)-$E$178)/365)</f>
        <v>0.16683208381463524</v>
      </c>
      <c r="AK198" s="126">
        <f>1/(1+$E$176)^(MAX(0,DATE(AK$196,12,31)-$E$178)/365)</f>
        <v>0.1544741516802178</v>
      </c>
      <c r="AL198" s="126">
        <f>1/(1+$E$176)^(MAX(0,DATE(AL$196,12,31)-$E$178)/365)</f>
        <v>0.14300146657789595</v>
      </c>
      <c r="AM198" s="126">
        <f>1/(1+$E$176)^(MAX(0,DATE(AM$196,12,31)-$E$178)/365)</f>
        <v>0.13240876534990367</v>
      </c>
      <c r="AN198" s="126">
        <f>1/(1+$E$176)^(MAX(0,DATE(AN$196,12,31)-$E$178)/365)</f>
        <v>0.12260070865731819</v>
      </c>
      <c r="AO198" s="126">
        <f>1/(1+$E$176)^(MAX(0,DATE(AO$196,12,31)-$E$178)/365)</f>
        <v>0.11351917468270203</v>
      </c>
      <c r="AP198" s="126">
        <f>1/(1+$E$176)^(MAX(0,DATE(AP$196,12,31)-$E$178)/365)</f>
        <v>0.10508818652031882</v>
      </c>
      <c r="AQ198" s="126">
        <f>1/(1+$E$176)^(MAX(0,DATE(AQ$196,12,31)-$E$178)/365)</f>
        <v>0.09730387640770259</v>
      </c>
    </row>
    <row r="199">
      <c r="C199" s="90" t="inlineStr">
        <is>
          <t xml:space="preserve">Construction share of capex (HTM row 7)</t>
        </is>
      </c>
      <c r="D199" s="90" t="inlineStr">
        <is>
          <t xml:space="preserve">%</t>
        </is>
      </c>
      <c r="H199" s="125">
        <f>HTM!H$7</f>
        <v>0</v>
      </c>
      <c r="I199" s="125">
        <f>HTM!I$7</f>
        <v>0</v>
      </c>
      <c r="J199" s="125">
        <f>HTM!J$7</f>
        <v>0</v>
      </c>
      <c r="K199" s="125">
        <f>HTM!K$7</f>
        <v>0.12602739726027398</v>
      </c>
      <c r="L199" s="125">
        <f>HTM!L$7</f>
        <v>0.5</v>
      </c>
      <c r="M199" s="125">
        <f>HTM!M$7</f>
        <v>0.37397260273972605</v>
      </c>
      <c r="N199" s="125">
        <f>HTM!N$7</f>
        <v>0</v>
      </c>
      <c r="O199" s="125">
        <f>HTM!O$7</f>
        <v>0</v>
      </c>
      <c r="P199" s="125">
        <f>HTM!P$7</f>
        <v>0</v>
      </c>
      <c r="Q199" s="125">
        <f>HTM!Q$7</f>
        <v>0</v>
      </c>
      <c r="R199" s="125">
        <f>HTM!R$7</f>
        <v>0</v>
      </c>
      <c r="S199" s="125">
        <f>HTM!S$7</f>
        <v>0</v>
      </c>
      <c r="T199" s="125">
        <f>HTM!T$7</f>
        <v>0</v>
      </c>
      <c r="U199" s="125">
        <f>HTM!U$7</f>
        <v>0</v>
      </c>
      <c r="V199" s="125">
        <f>HTM!V$7</f>
        <v>0</v>
      </c>
      <c r="W199" s="125">
        <f>HTM!W$7</f>
        <v>0</v>
      </c>
      <c r="X199" s="125">
        <f>HTM!X$7</f>
        <v>0</v>
      </c>
      <c r="Y199" s="125">
        <f>HTM!Y$7</f>
        <v>0</v>
      </c>
      <c r="Z199" s="125">
        <f>HTM!Z$7</f>
        <v>0</v>
      </c>
      <c r="AA199" s="125">
        <f>HTM!AA$7</f>
        <v>0</v>
      </c>
      <c r="AB199" s="125">
        <f>HTM!AB$7</f>
        <v>0</v>
      </c>
      <c r="AC199" s="125">
        <f>HTM!AC$7</f>
        <v>0</v>
      </c>
      <c r="AD199" s="125">
        <f>HTM!AD$7</f>
        <v>0</v>
      </c>
      <c r="AE199" s="125">
        <f>HTM!AE$7</f>
        <v>0</v>
      </c>
      <c r="AF199" s="125">
        <f>HTM!AF$7</f>
        <v>0</v>
      </c>
      <c r="AG199" s="125">
        <f>HTM!AG$7</f>
        <v>0</v>
      </c>
      <c r="AH199" s="125">
        <f>HTM!AH$7</f>
        <v>0</v>
      </c>
      <c r="AI199" s="125">
        <f>HTM!AI$7</f>
        <v>0</v>
      </c>
      <c r="AJ199" s="125">
        <f>HTM!AJ$7</f>
        <v>0</v>
      </c>
      <c r="AK199" s="125">
        <f>HTM!AK$7</f>
        <v>0</v>
      </c>
      <c r="AL199" s="125">
        <f>HTM!AL$7</f>
        <v>0</v>
      </c>
      <c r="AM199" s="125">
        <f>HTM!AM$7</f>
        <v>0</v>
      </c>
      <c r="AN199" s="125">
        <f>HTM!AN$7</f>
        <v>0</v>
      </c>
      <c r="AO199" s="125">
        <f>HTM!AO$7</f>
        <v>0</v>
      </c>
      <c r="AP199" s="125">
        <f>HTM!AP$7</f>
        <v>0</v>
      </c>
      <c r="AQ199" s="125">
        <f>HTM!AQ$7</f>
        <v>0</v>
      </c>
    </row>
    <row r="200">
      <c r="C200" s="90" t="inlineStr">
        <is>
          <t xml:space="preserve">Tax depreciation share (HTM row 90 ÷ E92)</t>
        </is>
      </c>
      <c r="D200" s="90" t="inlineStr">
        <is>
          <t xml:space="preserve">x</t>
        </is>
      </c>
      <c r="H200" s="126">
        <f>HTM!H$90/$E$181</f>
        <v>0</v>
      </c>
      <c r="I200" s="126">
        <f>HTM!I$90/$E$181</f>
        <v>0</v>
      </c>
      <c r="J200" s="126">
        <f>HTM!J$90/$E$181</f>
        <v>0</v>
      </c>
      <c r="K200" s="126">
        <f>HTM!K$90/$E$181</f>
        <v>0</v>
      </c>
      <c r="L200" s="126">
        <f>HTM!L$90/$E$181</f>
        <v>0</v>
      </c>
      <c r="M200" s="126">
        <f>HTM!M$90/$E$181</f>
        <v>0.0125</v>
      </c>
      <c r="N200" s="126">
        <f>HTM!N$90/$E$181</f>
        <v>0.05</v>
      </c>
      <c r="O200" s="126">
        <f>HTM!O$90/$E$181</f>
        <v>0.05</v>
      </c>
      <c r="P200" s="126">
        <f>HTM!P$90/$E$181</f>
        <v>0.05</v>
      </c>
      <c r="Q200" s="126">
        <f>HTM!Q$90/$E$181</f>
        <v>0.05</v>
      </c>
      <c r="R200" s="126">
        <f>HTM!R$90/$E$181</f>
        <v>0.05</v>
      </c>
      <c r="S200" s="126">
        <f>HTM!S$90/$E$181</f>
        <v>0.05</v>
      </c>
      <c r="T200" s="126">
        <f>HTM!T$90/$E$181</f>
        <v>0.05</v>
      </c>
      <c r="U200" s="126">
        <f>HTM!U$90/$E$181</f>
        <v>0.05</v>
      </c>
      <c r="V200" s="126">
        <f>HTM!V$90/$E$181</f>
        <v>0.05</v>
      </c>
      <c r="W200" s="126">
        <f>HTM!W$90/$E$181</f>
        <v>0.05</v>
      </c>
      <c r="X200" s="126">
        <f>HTM!X$90/$E$181</f>
        <v>0.05</v>
      </c>
      <c r="Y200" s="126">
        <f>HTM!Y$90/$E$181</f>
        <v>0.05</v>
      </c>
      <c r="Z200" s="126">
        <f>HTM!Z$90/$E$181</f>
        <v>0.05</v>
      </c>
      <c r="AA200" s="126">
        <f>HTM!AA$90/$E$181</f>
        <v>0.05</v>
      </c>
      <c r="AB200" s="126">
        <f>HTM!AB$90/$E$181</f>
        <v>0.05</v>
      </c>
      <c r="AC200" s="126">
        <f>HTM!AC$90/$E$181</f>
        <v>0.05</v>
      </c>
      <c r="AD200" s="126">
        <f>HTM!AD$90/$E$181</f>
        <v>0.05</v>
      </c>
      <c r="AE200" s="126">
        <f>HTM!AE$90/$E$181</f>
        <v>0.05</v>
      </c>
      <c r="AF200" s="126">
        <f>HTM!AF$90/$E$181</f>
        <v>0.05</v>
      </c>
      <c r="AG200" s="126">
        <f>HTM!AG$90/$E$181</f>
        <v>0.0375</v>
      </c>
      <c r="AH200" s="126">
        <f>HTM!AH$90/$E$181</f>
        <v>0</v>
      </c>
      <c r="AI200" s="126">
        <f>HTM!AI$90/$E$181</f>
        <v>0</v>
      </c>
      <c r="AJ200" s="126">
        <f>HTM!AJ$90/$E$181</f>
        <v>0</v>
      </c>
      <c r="AK200" s="126">
        <f>HTM!AK$90/$E$181</f>
        <v>0</v>
      </c>
      <c r="AL200" s="126">
        <f>HTM!AL$90/$E$181</f>
        <v>0</v>
      </c>
      <c r="AM200" s="126">
        <f>HTM!AM$90/$E$181</f>
        <v>0</v>
      </c>
      <c r="AN200" s="126">
        <f>HTM!AN$90/$E$181</f>
        <v>0</v>
      </c>
      <c r="AO200" s="126">
        <f>HTM!AO$90/$E$181</f>
        <v>0</v>
      </c>
      <c r="AP200" s="126">
        <f>HTM!AP$90/$E$181</f>
        <v>0</v>
      </c>
      <c r="AQ200" s="126">
        <f>HTM!AQ$90/$E$181</f>
        <v>0</v>
      </c>
    </row>
    <row r="201">
      <c r="C201" s="90" t="inlineStr">
        <is>
          <t xml:space="preserve">Net generation (HTM row 38)</t>
        </is>
      </c>
      <c r="D201" s="90" t="inlineStr">
        <is>
          <t xml:space="preserve">GWh</t>
        </is>
      </c>
      <c r="H201" s="527">
        <f>HTM!H$38</f>
        <v>0</v>
      </c>
      <c r="I201" s="527">
        <f>HTM!I$38</f>
        <v>0</v>
      </c>
      <c r="J201" s="527">
        <f>HTM!J$38</f>
        <v>0</v>
      </c>
      <c r="K201" s="527">
        <f>HTM!K$38</f>
        <v>0</v>
      </c>
      <c r="L201" s="527">
        <f>HTM!L$38</f>
        <v>0</v>
      </c>
      <c r="M201" s="527">
        <f>HTM!M$38</f>
        <v>149.98806514125002</v>
      </c>
      <c r="N201" s="527">
        <f>HTM!N$38</f>
        <v>599.9522605650001</v>
      </c>
      <c r="O201" s="527">
        <f>HTM!O$38</f>
        <v>598.1524037833051</v>
      </c>
      <c r="P201" s="527">
        <f>HTM!P$38</f>
        <v>596.3579465719553</v>
      </c>
      <c r="Q201" s="527">
        <f>HTM!Q$38</f>
        <v>594.5688727322394</v>
      </c>
      <c r="R201" s="527">
        <f>HTM!R$38</f>
        <v>592.7851661140427</v>
      </c>
      <c r="S201" s="527">
        <f>HTM!S$38</f>
        <v>591.0068106157005</v>
      </c>
      <c r="T201" s="527">
        <f>HTM!T$38</f>
        <v>589.2337901838533</v>
      </c>
      <c r="U201" s="527">
        <f>HTM!U$38</f>
        <v>587.4660888133018</v>
      </c>
      <c r="V201" s="527">
        <f>HTM!V$38</f>
        <v>585.7036905468619</v>
      </c>
      <c r="W201" s="527">
        <f>HTM!W$38</f>
        <v>583.9465794752214</v>
      </c>
      <c r="X201" s="527">
        <f>HTM!X$38</f>
        <v>582.1947397367957</v>
      </c>
      <c r="Y201" s="527">
        <f>HTM!Y$38</f>
        <v>580.4481555175852</v>
      </c>
      <c r="Z201" s="527">
        <f>HTM!Z$38</f>
        <v>578.7068110510326</v>
      </c>
      <c r="AA201" s="527">
        <f>HTM!AA$38</f>
        <v>576.9706906178794</v>
      </c>
      <c r="AB201" s="527">
        <f>HTM!AB$38</f>
        <v>575.2397785460257</v>
      </c>
      <c r="AC201" s="527">
        <f>HTM!AC$38</f>
        <v>573.5140592103878</v>
      </c>
      <c r="AD201" s="527">
        <f>HTM!AD$38</f>
        <v>571.7935170327564</v>
      </c>
      <c r="AE201" s="527">
        <f>HTM!AE$38</f>
        <v>570.0781364816582</v>
      </c>
      <c r="AF201" s="527">
        <f>HTM!AF$38</f>
        <v>568.3679020722134</v>
      </c>
      <c r="AG201" s="527">
        <f>HTM!AG$38</f>
        <v>566.6627983659967</v>
      </c>
      <c r="AH201" s="527">
        <f>HTM!AH$38</f>
        <v>564.9628099708987</v>
      </c>
      <c r="AI201" s="527">
        <f>HTM!AI$38</f>
        <v>563.267921540986</v>
      </c>
      <c r="AJ201" s="527">
        <f>HTM!AJ$38</f>
        <v>561.5781177763629</v>
      </c>
      <c r="AK201" s="527">
        <f>HTM!AK$38</f>
        <v>559.8933834230339</v>
      </c>
      <c r="AL201" s="527">
        <f>HTM!AL$38</f>
        <v>558.2137032727649</v>
      </c>
      <c r="AM201" s="527">
        <f>HTM!AM$38</f>
        <v>556.5390621629466</v>
      </c>
      <c r="AN201" s="527">
        <f>HTM!AN$38</f>
        <v>554.8694449764578</v>
      </c>
      <c r="AO201" s="527">
        <f>HTM!AO$38</f>
        <v>553.2048366415283</v>
      </c>
      <c r="AP201" s="527">
        <f>HTM!AP$38</f>
        <v>551.5452221316036</v>
      </c>
      <c r="AQ201" s="527">
        <f>HTM!AQ$38</f>
        <v>412.4179398489067</v>
      </c>
    </row>
    <row r="202">
      <c r="C202" s="90" t="inlineStr">
        <is>
          <t xml:space="preserve">COD-year flag</t>
        </is>
      </c>
      <c r="D202" s="90" t="inlineStr">
        <is>
          <t xml:space="preserve">1 / 0</t>
        </is>
      </c>
      <c r="H202" s="523">
        <f>(H$196=YEAR($E$178))*1</f>
        <v>0</v>
      </c>
      <c r="I202" s="523">
        <f>(I$196=YEAR($E$178))*1</f>
        <v>0</v>
      </c>
      <c r="J202" s="523">
        <f>(J$196=YEAR($E$178))*1</f>
        <v>0</v>
      </c>
      <c r="K202" s="523">
        <f>(K$196=YEAR($E$178))*1</f>
        <v>0</v>
      </c>
      <c r="L202" s="523">
        <f>(L$196=YEAR($E$178))*1</f>
        <v>0</v>
      </c>
      <c r="M202" s="523">
        <f>(M$196=YEAR($E$178))*1</f>
        <v>1</v>
      </c>
      <c r="N202" s="523">
        <f>(N$196=YEAR($E$178))*1</f>
        <v>0</v>
      </c>
      <c r="O202" s="523">
        <f>(O$196=YEAR($E$178))*1</f>
        <v>0</v>
      </c>
      <c r="P202" s="523">
        <f>(P$196=YEAR($E$178))*1</f>
        <v>0</v>
      </c>
      <c r="Q202" s="523">
        <f>(Q$196=YEAR($E$178))*1</f>
        <v>0</v>
      </c>
      <c r="R202" s="523">
        <f>(R$196=YEAR($E$178))*1</f>
        <v>0</v>
      </c>
      <c r="S202" s="523">
        <f>(S$196=YEAR($E$178))*1</f>
        <v>0</v>
      </c>
      <c r="T202" s="523">
        <f>(T$196=YEAR($E$178))*1</f>
        <v>0</v>
      </c>
      <c r="U202" s="523">
        <f>(U$196=YEAR($E$178))*1</f>
        <v>0</v>
      </c>
      <c r="V202" s="523">
        <f>(V$196=YEAR($E$178))*1</f>
        <v>0</v>
      </c>
      <c r="W202" s="523">
        <f>(W$196=YEAR($E$178))*1</f>
        <v>0</v>
      </c>
      <c r="X202" s="523">
        <f>(X$196=YEAR($E$178))*1</f>
        <v>0</v>
      </c>
      <c r="Y202" s="523">
        <f>(Y$196=YEAR($E$178))*1</f>
        <v>0</v>
      </c>
      <c r="Z202" s="523">
        <f>(Z$196=YEAR($E$178))*1</f>
        <v>0</v>
      </c>
      <c r="AA202" s="523">
        <f>(AA$196=YEAR($E$178))*1</f>
        <v>0</v>
      </c>
      <c r="AB202" s="523">
        <f>(AB$196=YEAR($E$178))*1</f>
        <v>0</v>
      </c>
      <c r="AC202" s="523">
        <f>(AC$196=YEAR($E$178))*1</f>
        <v>0</v>
      </c>
      <c r="AD202" s="523">
        <f>(AD$196=YEAR($E$178))*1</f>
        <v>0</v>
      </c>
      <c r="AE202" s="523">
        <f>(AE$196=YEAR($E$178))*1</f>
        <v>0</v>
      </c>
      <c r="AF202" s="523">
        <f>(AF$196=YEAR($E$178))*1</f>
        <v>0</v>
      </c>
      <c r="AG202" s="523">
        <f>(AG$196=YEAR($E$178))*1</f>
        <v>0</v>
      </c>
      <c r="AH202" s="523">
        <f>(AH$196=YEAR($E$178))*1</f>
        <v>0</v>
      </c>
      <c r="AI202" s="523">
        <f>(AI$196=YEAR($E$178))*1</f>
        <v>0</v>
      </c>
      <c r="AJ202" s="523">
        <f>(AJ$196=YEAR($E$178))*1</f>
        <v>0</v>
      </c>
      <c r="AK202" s="523">
        <f>(AK$196=YEAR($E$178))*1</f>
        <v>0</v>
      </c>
      <c r="AL202" s="523">
        <f>(AL$196=YEAR($E$178))*1</f>
        <v>0</v>
      </c>
      <c r="AM202" s="523">
        <f>(AM$196=YEAR($E$178))*1</f>
        <v>0</v>
      </c>
      <c r="AN202" s="523">
        <f>(AN$196=YEAR($E$178))*1</f>
        <v>0</v>
      </c>
      <c r="AO202" s="523">
        <f>(AO$196=YEAR($E$178))*1</f>
        <v>0</v>
      </c>
      <c r="AP202" s="523">
        <f>(AP$196=YEAR($E$178))*1</f>
        <v>0</v>
      </c>
      <c r="AQ202" s="523">
        <f>(AQ$196=YEAR($E$178))*1</f>
        <v>0</v>
      </c>
    </row>
    <row r="203">
      <c r="C203" s="90" t="inlineStr">
        <is>
          <t xml:space="preserve">Performance security outstanding after the RtB sale (to COD + E31 months)</t>
        </is>
      </c>
      <c r="D203" s="90" t="inlineStr">
        <is>
          <t xml:space="preserve">years</t>
        </is>
      </c>
      <c r="H203" s="126">
        <f>MAX(0,MIN(DATE(H$196,12,31),$E$179)-MAX(DATE(H$196,1,1)-1,$E$177))/365</f>
        <v>0</v>
      </c>
      <c r="I203" s="126">
        <f>MAX(0,MIN(DATE(I$196,12,31),$E$179)-MAX(DATE(I$196,1,1)-1,$E$177))/365</f>
        <v>0</v>
      </c>
      <c r="J203" s="126">
        <f>MAX(0,MIN(DATE(J$196,12,31),$E$179)-MAX(DATE(J$196,1,1)-1,$E$177))/365</f>
        <v>0</v>
      </c>
      <c r="K203" s="126">
        <f>MAX(0,MIN(DATE(K$196,12,31),$E$179)-MAX(DATE(K$196,1,1)-1,$E$177))/365</f>
        <v>0</v>
      </c>
      <c r="L203" s="126">
        <f>MAX(0,MIN(DATE(L$196,12,31),$E$179)-MAX(DATE(L$196,1,1)-1,$E$177))/365</f>
        <v>0.7534246575342466</v>
      </c>
      <c r="M203" s="126">
        <f>MAX(0,MIN(DATE(M$196,12,31),$E$179)-MAX(DATE(M$196,1,1)-1,$E$177))/365</f>
        <v>1</v>
      </c>
      <c r="N203" s="126">
        <f>MAX(0,MIN(DATE(N$196,12,31),$E$179)-MAX(DATE(N$196,1,1)-1,$E$177))/365</f>
        <v>0.2465753424657534</v>
      </c>
      <c r="O203" s="126">
        <f>MAX(0,MIN(DATE(O$196,12,31),$E$179)-MAX(DATE(O$196,1,1)-1,$E$177))/365</f>
        <v>0</v>
      </c>
      <c r="P203" s="126">
        <f>MAX(0,MIN(DATE(P$196,12,31),$E$179)-MAX(DATE(P$196,1,1)-1,$E$177))/365</f>
        <v>0</v>
      </c>
      <c r="Q203" s="126">
        <f>MAX(0,MIN(DATE(Q$196,12,31),$E$179)-MAX(DATE(Q$196,1,1)-1,$E$177))/365</f>
        <v>0</v>
      </c>
      <c r="R203" s="126">
        <f>MAX(0,MIN(DATE(R$196,12,31),$E$179)-MAX(DATE(R$196,1,1)-1,$E$177))/365</f>
        <v>0</v>
      </c>
      <c r="S203" s="126">
        <f>MAX(0,MIN(DATE(S$196,12,31),$E$179)-MAX(DATE(S$196,1,1)-1,$E$177))/365</f>
        <v>0</v>
      </c>
      <c r="T203" s="126">
        <f>MAX(0,MIN(DATE(T$196,12,31),$E$179)-MAX(DATE(T$196,1,1)-1,$E$177))/365</f>
        <v>0</v>
      </c>
      <c r="U203" s="126">
        <f>MAX(0,MIN(DATE(U$196,12,31),$E$179)-MAX(DATE(U$196,1,1)-1,$E$177))/365</f>
        <v>0</v>
      </c>
      <c r="V203" s="126">
        <f>MAX(0,MIN(DATE(V$196,12,31),$E$179)-MAX(DATE(V$196,1,1)-1,$E$177))/365</f>
        <v>0</v>
      </c>
      <c r="W203" s="126">
        <f>MAX(0,MIN(DATE(W$196,12,31),$E$179)-MAX(DATE(W$196,1,1)-1,$E$177))/365</f>
        <v>0</v>
      </c>
      <c r="X203" s="126">
        <f>MAX(0,MIN(DATE(X$196,12,31),$E$179)-MAX(DATE(X$196,1,1)-1,$E$177))/365</f>
        <v>0</v>
      </c>
      <c r="Y203" s="126">
        <f>MAX(0,MIN(DATE(Y$196,12,31),$E$179)-MAX(DATE(Y$196,1,1)-1,$E$177))/365</f>
        <v>0</v>
      </c>
      <c r="Z203" s="126">
        <f>MAX(0,MIN(DATE(Z$196,12,31),$E$179)-MAX(DATE(Z$196,1,1)-1,$E$177))/365</f>
        <v>0</v>
      </c>
      <c r="AA203" s="126">
        <f>MAX(0,MIN(DATE(AA$196,12,31),$E$179)-MAX(DATE(AA$196,1,1)-1,$E$177))/365</f>
        <v>0</v>
      </c>
      <c r="AB203" s="126">
        <f>MAX(0,MIN(DATE(AB$196,12,31),$E$179)-MAX(DATE(AB$196,1,1)-1,$E$177))/365</f>
        <v>0</v>
      </c>
      <c r="AC203" s="126">
        <f>MAX(0,MIN(DATE(AC$196,12,31),$E$179)-MAX(DATE(AC$196,1,1)-1,$E$177))/365</f>
        <v>0</v>
      </c>
      <c r="AD203" s="126">
        <f>MAX(0,MIN(DATE(AD$196,12,31),$E$179)-MAX(DATE(AD$196,1,1)-1,$E$177))/365</f>
        <v>0</v>
      </c>
      <c r="AE203" s="126">
        <f>MAX(0,MIN(DATE(AE$196,12,31),$E$179)-MAX(DATE(AE$196,1,1)-1,$E$177))/365</f>
        <v>0</v>
      </c>
      <c r="AF203" s="126">
        <f>MAX(0,MIN(DATE(AF$196,12,31),$E$179)-MAX(DATE(AF$196,1,1)-1,$E$177))/365</f>
        <v>0</v>
      </c>
      <c r="AG203" s="126">
        <f>MAX(0,MIN(DATE(AG$196,12,31),$E$179)-MAX(DATE(AG$196,1,1)-1,$E$177))/365</f>
        <v>0</v>
      </c>
      <c r="AH203" s="126">
        <f>MAX(0,MIN(DATE(AH$196,12,31),$E$179)-MAX(DATE(AH$196,1,1)-1,$E$177))/365</f>
        <v>0</v>
      </c>
      <c r="AI203" s="126">
        <f>MAX(0,MIN(DATE(AI$196,12,31),$E$179)-MAX(DATE(AI$196,1,1)-1,$E$177))/365</f>
        <v>0</v>
      </c>
      <c r="AJ203" s="126">
        <f>MAX(0,MIN(DATE(AJ$196,12,31),$E$179)-MAX(DATE(AJ$196,1,1)-1,$E$177))/365</f>
        <v>0</v>
      </c>
      <c r="AK203" s="126">
        <f>MAX(0,MIN(DATE(AK$196,12,31),$E$179)-MAX(DATE(AK$196,1,1)-1,$E$177))/365</f>
        <v>0</v>
      </c>
      <c r="AL203" s="126">
        <f>MAX(0,MIN(DATE(AL$196,12,31),$E$179)-MAX(DATE(AL$196,1,1)-1,$E$177))/365</f>
        <v>0</v>
      </c>
      <c r="AM203" s="126">
        <f>MAX(0,MIN(DATE(AM$196,12,31),$E$179)-MAX(DATE(AM$196,1,1)-1,$E$177))/365</f>
        <v>0</v>
      </c>
      <c r="AN203" s="126">
        <f>MAX(0,MIN(DATE(AN$196,12,31),$E$179)-MAX(DATE(AN$196,1,1)-1,$E$177))/365</f>
        <v>0</v>
      </c>
      <c r="AO203" s="126">
        <f>MAX(0,MIN(DATE(AO$196,12,31),$E$179)-MAX(DATE(AO$196,1,1)-1,$E$177))/365</f>
        <v>0</v>
      </c>
      <c r="AP203" s="126">
        <f>MAX(0,MIN(DATE(AP$196,12,31),$E$179)-MAX(DATE(AP$196,1,1)-1,$E$177))/365</f>
        <v>0</v>
      </c>
      <c r="AQ203" s="126">
        <f>MAX(0,MIN(DATE(AQ$196,12,31),$E$179)-MAX(DATE(AQ$196,1,1)-1,$E$177))/365</f>
        <v>0</v>
      </c>
    </row>
    <row r="205">
      <c r="C205" s="360" t="inlineStr">
        <is>
          <t xml:space="preserve">ÖSZ-1 municipal: −Δ in the COD year + depreciation tax shield</t>
        </is>
      </c>
      <c r="D205" s="411" t="inlineStr">
        <is>
          <t xml:space="preserve">k€</t>
        </is>
      </c>
      <c r="E205" s="517">
        <f>$E$190</f>
        <v>0</v>
      </c>
      <c r="F205" s="517">
        <f>SUMPRODUCT($H205:$AQ205,$H$197:$AQ$197)</f>
        <v>0</v>
      </c>
      <c r="H205" s="525">
        <f>-$E205*H$202+$E205*H$200*$E$180</f>
        <v>0</v>
      </c>
      <c r="I205" s="525">
        <f>-$E205*I$202+$E205*I$200*$E$180</f>
        <v>0</v>
      </c>
      <c r="J205" s="525">
        <f>-$E205*J$202+$E205*J$200*$E$180</f>
        <v>0</v>
      </c>
      <c r="K205" s="525">
        <f>-$E205*K$202+$E205*K$200*$E$180</f>
        <v>0</v>
      </c>
      <c r="L205" s="525">
        <f>-$E205*L$202+$E205*L$200*$E$180</f>
        <v>0</v>
      </c>
      <c r="M205" s="525">
        <f>-$E205*M$202+$E205*M$200*$E$180</f>
        <v>0</v>
      </c>
      <c r="N205" s="525">
        <f>-$E205*N$202+$E205*N$200*$E$180</f>
        <v>0</v>
      </c>
      <c r="O205" s="525">
        <f>-$E205*O$202+$E205*O$200*$E$180</f>
        <v>0</v>
      </c>
      <c r="P205" s="525">
        <f>-$E205*P$202+$E205*P$200*$E$180</f>
        <v>0</v>
      </c>
      <c r="Q205" s="525">
        <f>-$E205*Q$202+$E205*Q$200*$E$180</f>
        <v>0</v>
      </c>
      <c r="R205" s="525">
        <f>-$E205*R$202+$E205*R$200*$E$180</f>
        <v>0</v>
      </c>
      <c r="S205" s="525">
        <f>-$E205*S$202+$E205*S$200*$E$180</f>
        <v>0</v>
      </c>
      <c r="T205" s="525">
        <f>-$E205*T$202+$E205*T$200*$E$180</f>
        <v>0</v>
      </c>
      <c r="U205" s="525">
        <f>-$E205*U$202+$E205*U$200*$E$180</f>
        <v>0</v>
      </c>
      <c r="V205" s="525">
        <f>-$E205*V$202+$E205*V$200*$E$180</f>
        <v>0</v>
      </c>
      <c r="W205" s="525">
        <f>-$E205*W$202+$E205*W$200*$E$180</f>
        <v>0</v>
      </c>
      <c r="X205" s="525">
        <f>-$E205*X$202+$E205*X$200*$E$180</f>
        <v>0</v>
      </c>
      <c r="Y205" s="525">
        <f>-$E205*Y$202+$E205*Y$200*$E$180</f>
        <v>0</v>
      </c>
      <c r="Z205" s="525">
        <f>-$E205*Z$202+$E205*Z$200*$E$180</f>
        <v>0</v>
      </c>
      <c r="AA205" s="525">
        <f>-$E205*AA$202+$E205*AA$200*$E$180</f>
        <v>0</v>
      </c>
      <c r="AB205" s="525">
        <f>-$E205*AB$202+$E205*AB$200*$E$180</f>
        <v>0</v>
      </c>
      <c r="AC205" s="525">
        <f>-$E205*AC$202+$E205*AC$200*$E$180</f>
        <v>0</v>
      </c>
      <c r="AD205" s="525">
        <f>-$E205*AD$202+$E205*AD$200*$E$180</f>
        <v>0</v>
      </c>
      <c r="AE205" s="525">
        <f>-$E205*AE$202+$E205*AE$200*$E$180</f>
        <v>0</v>
      </c>
      <c r="AF205" s="525">
        <f>-$E205*AF$202+$E205*AF$200*$E$180</f>
        <v>0</v>
      </c>
      <c r="AG205" s="525">
        <f>-$E205*AG$202+$E205*AG$200*$E$180</f>
        <v>0</v>
      </c>
      <c r="AH205" s="525">
        <f>-$E205*AH$202+$E205*AH$200*$E$180</f>
        <v>0</v>
      </c>
      <c r="AI205" s="525">
        <f>-$E205*AI$202+$E205*AI$200*$E$180</f>
        <v>0</v>
      </c>
      <c r="AJ205" s="525">
        <f>-$E205*AJ$202+$E205*AJ$200*$E$180</f>
        <v>0</v>
      </c>
      <c r="AK205" s="525">
        <f>-$E205*AK$202+$E205*AK$200*$E$180</f>
        <v>0</v>
      </c>
      <c r="AL205" s="525">
        <f>-$E205*AL$202+$E205*AL$200*$E$180</f>
        <v>0</v>
      </c>
      <c r="AM205" s="525">
        <f>-$E205*AM$202+$E205*AM$200*$E$180</f>
        <v>0</v>
      </c>
      <c r="AN205" s="525">
        <f>-$E205*AN$202+$E205*AN$200*$E$180</f>
        <v>0</v>
      </c>
      <c r="AO205" s="525">
        <f>-$E205*AO$202+$E205*AO$200*$E$180</f>
        <v>0</v>
      </c>
      <c r="AP205" s="525">
        <f>-$E205*AP$202+$E205*AP$200*$E$180</f>
        <v>0</v>
      </c>
      <c r="AQ205" s="525">
        <f>-$E205*AQ$202+$E205*AQ$200*$E$180</f>
        <v>0</v>
      </c>
    </row>
    <row r="206">
      <c r="C206" s="360" t="inlineStr">
        <is>
          <t xml:space="preserve">ÖSZ-2 community: −Δ €/MWh × net generation × (1 − tax)</t>
        </is>
      </c>
      <c r="D206" s="411" t="inlineStr">
        <is>
          <t xml:space="preserve">€/MWh</t>
        </is>
      </c>
      <c r="E206" s="519">
        <f>$G$186</f>
        <v>0</v>
      </c>
      <c r="F206" s="517">
        <f>SUMPRODUCT($H206:$AQ206,$H$197:$AQ$197)</f>
        <v>0</v>
      </c>
      <c r="G206" s="517">
        <f>SUMPRODUCT($H206:$AQ206,$H$198:$AQ$198)</f>
        <v>0</v>
      </c>
      <c r="H206" s="525">
        <f>-$E206*H$201*(1-$E$180)</f>
        <v>-0</v>
      </c>
      <c r="I206" s="525">
        <f>-$E206*I$201*(1-$E$180)</f>
        <v>-0</v>
      </c>
      <c r="J206" s="525">
        <f>-$E206*J$201*(1-$E$180)</f>
        <v>-0</v>
      </c>
      <c r="K206" s="525">
        <f>-$E206*K$201*(1-$E$180)</f>
        <v>-0</v>
      </c>
      <c r="L206" s="525">
        <f>-$E206*L$201*(1-$E$180)</f>
        <v>-0</v>
      </c>
      <c r="M206" s="525">
        <f>-$E206*M$201*(1-$E$180)</f>
        <v>-0</v>
      </c>
      <c r="N206" s="525">
        <f>-$E206*N$201*(1-$E$180)</f>
        <v>-0</v>
      </c>
      <c r="O206" s="525">
        <f>-$E206*O$201*(1-$E$180)</f>
        <v>-0</v>
      </c>
      <c r="P206" s="525">
        <f>-$E206*P$201*(1-$E$180)</f>
        <v>-0</v>
      </c>
      <c r="Q206" s="525">
        <f>-$E206*Q$201*(1-$E$180)</f>
        <v>-0</v>
      </c>
      <c r="R206" s="525">
        <f>-$E206*R$201*(1-$E$180)</f>
        <v>-0</v>
      </c>
      <c r="S206" s="525">
        <f>-$E206*S$201*(1-$E$180)</f>
        <v>-0</v>
      </c>
      <c r="T206" s="525">
        <f>-$E206*T$201*(1-$E$180)</f>
        <v>-0</v>
      </c>
      <c r="U206" s="525">
        <f>-$E206*U$201*(1-$E$180)</f>
        <v>-0</v>
      </c>
      <c r="V206" s="525">
        <f>-$E206*V$201*(1-$E$180)</f>
        <v>-0</v>
      </c>
      <c r="W206" s="525">
        <f>-$E206*W$201*(1-$E$180)</f>
        <v>-0</v>
      </c>
      <c r="X206" s="525">
        <f>-$E206*X$201*(1-$E$180)</f>
        <v>-0</v>
      </c>
      <c r="Y206" s="525">
        <f>-$E206*Y$201*(1-$E$180)</f>
        <v>-0</v>
      </c>
      <c r="Z206" s="525">
        <f>-$E206*Z$201*(1-$E$180)</f>
        <v>-0</v>
      </c>
      <c r="AA206" s="525">
        <f>-$E206*AA$201*(1-$E$180)</f>
        <v>-0</v>
      </c>
      <c r="AB206" s="525">
        <f>-$E206*AB$201*(1-$E$180)</f>
        <v>-0</v>
      </c>
      <c r="AC206" s="525">
        <f>-$E206*AC$201*(1-$E$180)</f>
        <v>-0</v>
      </c>
      <c r="AD206" s="525">
        <f>-$E206*AD$201*(1-$E$180)</f>
        <v>-0</v>
      </c>
      <c r="AE206" s="525">
        <f>-$E206*AE$201*(1-$E$180)</f>
        <v>-0</v>
      </c>
      <c r="AF206" s="525">
        <f>-$E206*AF$201*(1-$E$180)</f>
        <v>-0</v>
      </c>
      <c r="AG206" s="525">
        <f>-$E206*AG$201*(1-$E$180)</f>
        <v>-0</v>
      </c>
      <c r="AH206" s="525">
        <f>-$E206*AH$201*(1-$E$180)</f>
        <v>-0</v>
      </c>
      <c r="AI206" s="525">
        <f>-$E206*AI$201*(1-$E$180)</f>
        <v>-0</v>
      </c>
      <c r="AJ206" s="525">
        <f>-$E206*AJ$201*(1-$E$180)</f>
        <v>-0</v>
      </c>
      <c r="AK206" s="525">
        <f>-$E206*AK$201*(1-$E$180)</f>
        <v>-0</v>
      </c>
      <c r="AL206" s="525">
        <f>-$E206*AL$201*(1-$E$180)</f>
        <v>-0</v>
      </c>
      <c r="AM206" s="525">
        <f>-$E206*AM$201*(1-$E$180)</f>
        <v>-0</v>
      </c>
      <c r="AN206" s="525">
        <f>-$E206*AN$201*(1-$E$180)</f>
        <v>-0</v>
      </c>
      <c r="AO206" s="525">
        <f>-$E206*AO$201*(1-$E$180)</f>
        <v>-0</v>
      </c>
      <c r="AP206" s="525">
        <f>-$E206*AP$201*(1-$E$180)</f>
        <v>-0</v>
      </c>
      <c r="AQ206" s="525">
        <f>-$E206*AQ$201*(1-$E$180)</f>
        <v>-0</v>
      </c>
    </row>
    <row r="207">
      <c r="C207" s="360" t="inlineStr">
        <is>
          <t xml:space="preserve">ÖSZ-4 BESS: −Δ capex × construction share + depreciation tax shield</t>
        </is>
      </c>
      <c r="D207" s="411" t="inlineStr">
        <is>
          <t xml:space="preserve">k€</t>
        </is>
      </c>
      <c r="E207" s="517">
        <f>$E$191</f>
        <v>0</v>
      </c>
      <c r="F207" s="517">
        <f>SUMPRODUCT($H207:$AQ207,$H$197:$AQ$197)</f>
        <v>0</v>
      </c>
      <c r="H207" s="525">
        <f>-$E207*H$199+$E207*H$200*$E$180</f>
        <v>0</v>
      </c>
      <c r="I207" s="525">
        <f>-$E207*I$199+$E207*I$200*$E$180</f>
        <v>0</v>
      </c>
      <c r="J207" s="525">
        <f>-$E207*J$199+$E207*J$200*$E$180</f>
        <v>0</v>
      </c>
      <c r="K207" s="525">
        <f>-$E207*K$199+$E207*K$200*$E$180</f>
        <v>0</v>
      </c>
      <c r="L207" s="525">
        <f>-$E207*L$199+$E207*L$200*$E$180</f>
        <v>0</v>
      </c>
      <c r="M207" s="525">
        <f>-$E207*M$199+$E207*M$200*$E$180</f>
        <v>0</v>
      </c>
      <c r="N207" s="525">
        <f>-$E207*N$199+$E207*N$200*$E$180</f>
        <v>0</v>
      </c>
      <c r="O207" s="525">
        <f>-$E207*O$199+$E207*O$200*$E$180</f>
        <v>0</v>
      </c>
      <c r="P207" s="525">
        <f>-$E207*P$199+$E207*P$200*$E$180</f>
        <v>0</v>
      </c>
      <c r="Q207" s="525">
        <f>-$E207*Q$199+$E207*Q$200*$E$180</f>
        <v>0</v>
      </c>
      <c r="R207" s="525">
        <f>-$E207*R$199+$E207*R$200*$E$180</f>
        <v>0</v>
      </c>
      <c r="S207" s="525">
        <f>-$E207*S$199+$E207*S$200*$E$180</f>
        <v>0</v>
      </c>
      <c r="T207" s="525">
        <f>-$E207*T$199+$E207*T$200*$E$180</f>
        <v>0</v>
      </c>
      <c r="U207" s="525">
        <f>-$E207*U$199+$E207*U$200*$E$180</f>
        <v>0</v>
      </c>
      <c r="V207" s="525">
        <f>-$E207*V$199+$E207*V$200*$E$180</f>
        <v>0</v>
      </c>
      <c r="W207" s="525">
        <f>-$E207*W$199+$E207*W$200*$E$180</f>
        <v>0</v>
      </c>
      <c r="X207" s="525">
        <f>-$E207*X$199+$E207*X$200*$E$180</f>
        <v>0</v>
      </c>
      <c r="Y207" s="525">
        <f>-$E207*Y$199+$E207*Y$200*$E$180</f>
        <v>0</v>
      </c>
      <c r="Z207" s="525">
        <f>-$E207*Z$199+$E207*Z$200*$E$180</f>
        <v>0</v>
      </c>
      <c r="AA207" s="525">
        <f>-$E207*AA$199+$E207*AA$200*$E$180</f>
        <v>0</v>
      </c>
      <c r="AB207" s="525">
        <f>-$E207*AB$199+$E207*AB$200*$E$180</f>
        <v>0</v>
      </c>
      <c r="AC207" s="525">
        <f>-$E207*AC$199+$E207*AC$200*$E$180</f>
        <v>0</v>
      </c>
      <c r="AD207" s="525">
        <f>-$E207*AD$199+$E207*AD$200*$E$180</f>
        <v>0</v>
      </c>
      <c r="AE207" s="525">
        <f>-$E207*AE$199+$E207*AE$200*$E$180</f>
        <v>0</v>
      </c>
      <c r="AF207" s="525">
        <f>-$E207*AF$199+$E207*AF$200*$E$180</f>
        <v>0</v>
      </c>
      <c r="AG207" s="525">
        <f>-$E207*AG$199+$E207*AG$200*$E$180</f>
        <v>0</v>
      </c>
      <c r="AH207" s="525">
        <f>-$E207*AH$199+$E207*AH$200*$E$180</f>
        <v>0</v>
      </c>
      <c r="AI207" s="525">
        <f>-$E207*AI$199+$E207*AI$200*$E$180</f>
        <v>0</v>
      </c>
      <c r="AJ207" s="525">
        <f>-$E207*AJ$199+$E207*AJ$200*$E$180</f>
        <v>0</v>
      </c>
      <c r="AK207" s="525">
        <f>-$E207*AK$199+$E207*AK$200*$E$180</f>
        <v>0</v>
      </c>
      <c r="AL207" s="525">
        <f>-$E207*AL$199+$E207*AL$200*$E$180</f>
        <v>0</v>
      </c>
      <c r="AM207" s="525">
        <f>-$E207*AM$199+$E207*AM$200*$E$180</f>
        <v>0</v>
      </c>
      <c r="AN207" s="525">
        <f>-$E207*AN$199+$E207*AN$200*$E$180</f>
        <v>0</v>
      </c>
      <c r="AO207" s="525">
        <f>-$E207*AO$199+$E207*AO$200*$E$180</f>
        <v>0</v>
      </c>
      <c r="AP207" s="525">
        <f>-$E207*AP$199+$E207*AP$200*$E$180</f>
        <v>0</v>
      </c>
      <c r="AQ207" s="525">
        <f>-$E207*AQ$199+$E207*AQ$200*$E$180</f>
        <v>0</v>
      </c>
    </row>
    <row r="208">
      <c r="C208" s="360" t="inlineStr">
        <is>
          <t xml:space="preserve">ÖSZ-6 security: −Δ bond × guarantee fee × years outstanding</t>
        </is>
      </c>
      <c r="D208" s="411" t="inlineStr">
        <is>
          <t xml:space="preserve">k€</t>
        </is>
      </c>
      <c r="E208" s="517">
        <f>$E$194</f>
        <v>0</v>
      </c>
      <c r="F208" s="517">
        <f>SUMPRODUCT($H208:$AQ208,$H$197:$AQ$197)</f>
        <v>0</v>
      </c>
      <c r="H208" s="525">
        <f>-$E208*$E$182*H$203</f>
        <v>-0</v>
      </c>
      <c r="I208" s="525">
        <f>-$E208*$E$182*I$203</f>
        <v>-0</v>
      </c>
      <c r="J208" s="525">
        <f>-$E208*$E$182*J$203</f>
        <v>-0</v>
      </c>
      <c r="K208" s="525">
        <f>-$E208*$E$182*K$203</f>
        <v>-0</v>
      </c>
      <c r="L208" s="525">
        <f>-$E208*$E$182*L$203</f>
        <v>-0</v>
      </c>
      <c r="M208" s="525">
        <f>-$E208*$E$182*M$203</f>
        <v>-0</v>
      </c>
      <c r="N208" s="525">
        <f>-$E208*$E$182*N$203</f>
        <v>-0</v>
      </c>
      <c r="O208" s="525">
        <f>-$E208*$E$182*O$203</f>
        <v>-0</v>
      </c>
      <c r="P208" s="525">
        <f>-$E208*$E$182*P$203</f>
        <v>-0</v>
      </c>
      <c r="Q208" s="525">
        <f>-$E208*$E$182*Q$203</f>
        <v>-0</v>
      </c>
      <c r="R208" s="525">
        <f>-$E208*$E$182*R$203</f>
        <v>-0</v>
      </c>
      <c r="S208" s="525">
        <f>-$E208*$E$182*S$203</f>
        <v>-0</v>
      </c>
      <c r="T208" s="525">
        <f>-$E208*$E$182*T$203</f>
        <v>-0</v>
      </c>
      <c r="U208" s="525">
        <f>-$E208*$E$182*U$203</f>
        <v>-0</v>
      </c>
      <c r="V208" s="525">
        <f>-$E208*$E$182*V$203</f>
        <v>-0</v>
      </c>
      <c r="W208" s="525">
        <f>-$E208*$E$182*W$203</f>
        <v>-0</v>
      </c>
      <c r="X208" s="525">
        <f>-$E208*$E$182*X$203</f>
        <v>-0</v>
      </c>
      <c r="Y208" s="525">
        <f>-$E208*$E$182*Y$203</f>
        <v>-0</v>
      </c>
      <c r="Z208" s="525">
        <f>-$E208*$E$182*Z$203</f>
        <v>-0</v>
      </c>
      <c r="AA208" s="525">
        <f>-$E208*$E$182*AA$203</f>
        <v>-0</v>
      </c>
      <c r="AB208" s="525">
        <f>-$E208*$E$182*AB$203</f>
        <v>-0</v>
      </c>
      <c r="AC208" s="525">
        <f>-$E208*$E$182*AC$203</f>
        <v>-0</v>
      </c>
      <c r="AD208" s="525">
        <f>-$E208*$E$182*AD$203</f>
        <v>-0</v>
      </c>
      <c r="AE208" s="525">
        <f>-$E208*$E$182*AE$203</f>
        <v>-0</v>
      </c>
      <c r="AF208" s="525">
        <f>-$E208*$E$182*AF$203</f>
        <v>-0</v>
      </c>
      <c r="AG208" s="525">
        <f>-$E208*$E$182*AG$203</f>
        <v>-0</v>
      </c>
      <c r="AH208" s="525">
        <f>-$E208*$E$182*AH$203</f>
        <v>-0</v>
      </c>
      <c r="AI208" s="525">
        <f>-$E208*$E$182*AI$203</f>
        <v>-0</v>
      </c>
      <c r="AJ208" s="525">
        <f>-$E208*$E$182*AJ$203</f>
        <v>-0</v>
      </c>
      <c r="AK208" s="525">
        <f>-$E208*$E$182*AK$203</f>
        <v>-0</v>
      </c>
      <c r="AL208" s="525">
        <f>-$E208*$E$182*AL$203</f>
        <v>-0</v>
      </c>
      <c r="AM208" s="525">
        <f>-$E208*$E$182*AM$203</f>
        <v>-0</v>
      </c>
      <c r="AN208" s="525">
        <f>-$E208*$E$182*AN$203</f>
        <v>-0</v>
      </c>
      <c r="AO208" s="525">
        <f>-$E208*$E$182*AO$203</f>
        <v>-0</v>
      </c>
      <c r="AP208" s="525">
        <f>-$E208*$E$182*AP$203</f>
        <v>-0</v>
      </c>
      <c r="AQ208" s="525">
        <f>-$E208*$E$182*AQ$203</f>
        <v>-0</v>
      </c>
    </row>
    <row r="209">
      <c r="C209" s="420" t="inlineStr">
        <is>
          <t xml:space="preserve">Total Δ cash flow to the buyer (sum of the item rows – independent path for the Σ PV)</t>
        </is>
      </c>
      <c r="D209" s="411" t="inlineStr">
        <is>
          <t xml:space="preserve">k€</t>
        </is>
      </c>
      <c r="F209" s="517">
        <f>SUMPRODUCT($H209:$AQ209,$H$197:$AQ$197)</f>
        <v>0</v>
      </c>
      <c r="H209" s="525">
        <f>SUM(H205:H208)</f>
        <v>0</v>
      </c>
      <c r="I209" s="525">
        <f>SUM(I205:I208)</f>
        <v>0</v>
      </c>
      <c r="J209" s="525">
        <f>SUM(J205:J208)</f>
        <v>0</v>
      </c>
      <c r="K209" s="525">
        <f>SUM(K205:K208)</f>
        <v>0</v>
      </c>
      <c r="L209" s="525">
        <f>SUM(L205:L208)</f>
        <v>0</v>
      </c>
      <c r="M209" s="525">
        <f>SUM(M205:M208)</f>
        <v>0</v>
      </c>
      <c r="N209" s="525">
        <f>SUM(N205:N208)</f>
        <v>0</v>
      </c>
      <c r="O209" s="525">
        <f>SUM(O205:O208)</f>
        <v>0</v>
      </c>
      <c r="P209" s="525">
        <f>SUM(P205:P208)</f>
        <v>0</v>
      </c>
      <c r="Q209" s="525">
        <f>SUM(Q205:Q208)</f>
        <v>0</v>
      </c>
      <c r="R209" s="525">
        <f>SUM(R205:R208)</f>
        <v>0</v>
      </c>
      <c r="S209" s="525">
        <f>SUM(S205:S208)</f>
        <v>0</v>
      </c>
      <c r="T209" s="525">
        <f>SUM(T205:T208)</f>
        <v>0</v>
      </c>
      <c r="U209" s="525">
        <f>SUM(U205:U208)</f>
        <v>0</v>
      </c>
      <c r="V209" s="525">
        <f>SUM(V205:V208)</f>
        <v>0</v>
      </c>
      <c r="W209" s="525">
        <f>SUM(W205:W208)</f>
        <v>0</v>
      </c>
      <c r="X209" s="525">
        <f>SUM(X205:X208)</f>
        <v>0</v>
      </c>
      <c r="Y209" s="525">
        <f>SUM(Y205:Y208)</f>
        <v>0</v>
      </c>
      <c r="Z209" s="525">
        <f>SUM(Z205:Z208)</f>
        <v>0</v>
      </c>
      <c r="AA209" s="525">
        <f>SUM(AA205:AA208)</f>
        <v>0</v>
      </c>
      <c r="AB209" s="525">
        <f>SUM(AB205:AB208)</f>
        <v>0</v>
      </c>
      <c r="AC209" s="525">
        <f>SUM(AC205:AC208)</f>
        <v>0</v>
      </c>
      <c r="AD209" s="525">
        <f>SUM(AD205:AD208)</f>
        <v>0</v>
      </c>
      <c r="AE209" s="525">
        <f>SUM(AE205:AE208)</f>
        <v>0</v>
      </c>
      <c r="AF209" s="525">
        <f>SUM(AF205:AF208)</f>
        <v>0</v>
      </c>
      <c r="AG209" s="525">
        <f>SUM(AG205:AG208)</f>
        <v>0</v>
      </c>
      <c r="AH209" s="525">
        <f>SUM(AH205:AH208)</f>
        <v>0</v>
      </c>
      <c r="AI209" s="525">
        <f>SUM(AI205:AI208)</f>
        <v>0</v>
      </c>
      <c r="AJ209" s="525">
        <f>SUM(AJ205:AJ208)</f>
        <v>0</v>
      </c>
      <c r="AK209" s="525">
        <f>SUM(AK205:AK208)</f>
        <v>0</v>
      </c>
      <c r="AL209" s="525">
        <f>SUM(AL205:AL208)</f>
        <v>0</v>
      </c>
      <c r="AM209" s="525">
        <f>SUM(AM205:AM208)</f>
        <v>0</v>
      </c>
      <c r="AN209" s="525">
        <f>SUM(AN205:AN208)</f>
        <v>0</v>
      </c>
      <c r="AO209" s="525">
        <f>SUM(AO205:AO208)</f>
        <v>0</v>
      </c>
      <c r="AP209" s="525">
        <f>SUM(AP205:AP208)</f>
        <v>0</v>
      </c>
      <c r="AQ209" s="525">
        <f>SUM(AQ205:AQ208)</f>
        <v>0</v>
      </c>
    </row>
    <row r="211">
      <c r="C211" s="253" t="inlineStr">
        <is>
          <t xml:space="preserve">Result</t>
        </is>
      </c>
      <c r="D211" s="254" t="inlineStr">
        <is>
          <t xml:space="preserve">Unit</t>
        </is>
      </c>
      <c r="E211" s="254" t="inlineStr">
        <is>
          <t xml:space="preserve">Value</t>
        </is>
      </c>
      <c r="F211" s="254" t="inlineStr">
        <is>
          <t xml:space="preserve">Feeds / note</t>
        </is>
      </c>
      <c r="G211" s="254"/>
      <c r="H211" s="254"/>
      <c r="I211" s="254"/>
      <c r="J211" s="254"/>
    </row>
    <row r="212">
      <c r="C212" s="360" t="inlineStr">
        <is>
          <t xml:space="preserve">Σ PV of the promises vs the reference at the RtB sale date</t>
        </is>
      </c>
      <c r="D212" s="411" t="inlineStr">
        <is>
          <t xml:space="preserve">k€</t>
        </is>
      </c>
      <c r="E212" s="517">
        <f>SUM($F$205:$F$208)</f>
        <v>0</v>
      </c>
    </row>
    <row r="213">
      <c r="C213" s="420" t="inlineStr">
        <is>
          <t xml:space="preserve">RtB price adjustment = pass-through × Σ PV (≤ 0 when the promises exceed the reference)</t>
        </is>
      </c>
      <c r="D213" s="411" t="inlineStr">
        <is>
          <t xml:space="preserve">k€</t>
        </is>
      </c>
      <c r="E213" s="368">
        <f>$E$30*$E$212</f>
        <v>0</v>
      </c>
      <c r="F213" s="388" t="inlineStr">
        <is>
          <t xml:space="preserve">→ MOIC G143, H226:N226; HTM E227:E243</t>
        </is>
      </c>
    </row>
    <row r="214">
      <c r="C214" s="360" t="inlineStr">
        <is>
          <t xml:space="preserve">Gross RtB premium (Inputs E141 × Inputs E150 – MW basis per switch Inputs E149: net MVA or installed wind)</t>
        </is>
      </c>
      <c r="D214" s="411" t="inlineStr">
        <is>
          <t xml:space="preserve">k€</t>
        </is>
      </c>
      <c r="E214" s="517">
        <f>Inputs!$E$141*Inputs!$E$150</f>
        <v>30000</v>
      </c>
    </row>
    <row r="215">
      <c r="C215" s="360" t="inlineStr">
        <is>
          <t xml:space="preserve">RtB premium proceeds after the adjustment (MOIC G143)</t>
        </is>
      </c>
      <c r="D215" s="411" t="inlineStr">
        <is>
          <t xml:space="preserve">k€</t>
        </is>
      </c>
      <c r="E215" s="511">
        <f>MOIC!$G$143</f>
        <v>30000</v>
      </c>
    </row>
    <row r="216">
      <c r="C216" s="360" t="inlineStr">
        <is>
          <t xml:space="preserve">Effective RtB premium per MW of the premium basis (Inputs E150)</t>
        </is>
      </c>
      <c r="D216" s="411" t="inlineStr">
        <is>
          <t xml:space="preserve">k€/MW</t>
        </is>
      </c>
      <c r="E216" s="518">
        <f>IF(Inputs!$E$150&gt;0,Inputs!$E$141+$E$213/Inputs!$E$150,0)</f>
        <v>150</v>
      </c>
      <c r="F216" s="388" t="inlineStr">
        <is>
          <t xml:space="preserve">Premium + adjustment ÷ basis MW (K8)</t>
        </is>
      </c>
    </row>
    <row r="217">
      <c r="C217" s="360" t="inlineStr">
        <is>
          <t xml:space="preserve">Price check: adjustment within the gross RtB premium</t>
        </is>
      </c>
      <c r="D217" s="411" t="inlineStr">
        <is>
          <t xml:space="preserve">Status</t>
        </is>
      </c>
      <c r="E217" s="372" t="str">
        <f>IF(-$E$213&gt;$E$214,"WARNING – adjustment exceeds the gross RtB premium","OK")</f>
        <v>OK</v>
      </c>
    </row>
    <row r="218">
      <c r="C218" s="360" t="inlineStr">
        <is>
          <t xml:space="preserve">Σ PV of the post-COD promise costs vs the reference at COD (community contribution)</t>
        </is>
      </c>
      <c r="D218" s="411" t="inlineStr">
        <is>
          <t xml:space="preserve">k€</t>
        </is>
      </c>
      <c r="E218" s="517">
        <f>$G$206</f>
        <v>0</v>
      </c>
      <c r="F218" s="388" t="inlineStr">
        <is>
          <t xml:space="preserve">Municipal, BESS and security are paid by FEP before COD (HTM block 17)</t>
        </is>
      </c>
    </row>
    <row r="219">
      <c r="C219" s="420" t="inlineStr">
        <is>
          <t xml:space="preserve">COD price adjustment = pass-through × Σ PV</t>
        </is>
      </c>
      <c r="D219" s="411" t="inlineStr">
        <is>
          <t xml:space="preserve">k€</t>
        </is>
      </c>
      <c r="E219" s="368">
        <f>$E$30*$E$218</f>
        <v>0</v>
      </c>
      <c r="F219" s="388" t="inlineStr">
        <is>
          <t xml:space="preserve">→ HTM row 340 (sale price at COD)</t>
        </is>
      </c>
    </row>
    <row r="220">
      <c r="C220" s="360" t="inlineStr">
        <is>
          <t xml:space="preserve">Sale price at COD before the adjustment (Inputs E230 × Inputs E29)</t>
        </is>
      </c>
      <c r="D220" s="411" t="inlineStr">
        <is>
          <t xml:space="preserve">k€</t>
        </is>
      </c>
      <c r="E220" s="517">
        <f>Inputs!$E$230*Inputs!$E$29</f>
        <v>0</v>
      </c>
      <c r="F220" s="388" t="inlineStr">
        <is>
          <t xml:space="preserve">0 outside cases 7 / 8</t>
        </is>
      </c>
    </row>
    <row r="221">
      <c r="C221" s="360" t="inlineStr">
        <is>
          <t xml:space="preserve">Sale price at COD after the adjustment (HTM G340)</t>
        </is>
      </c>
      <c r="D221" s="411" t="inlineStr">
        <is>
          <t xml:space="preserve">k€</t>
        </is>
      </c>
      <c r="E221" s="511">
        <f>HTM!$G$340</f>
        <v>0</v>
      </c>
    </row>
    <row r="223">
      <c r="C223" s="447" t="inlineStr">
        <is>
          <t xml:space="preserve">5. Returns matrix – Bora × 5 tender strategies × 5 routes, FEP view (LIVE – each cell links to the Excel data table on the Control Panel, section f)</t>
        </is>
      </c>
      <c r="D223" s="447"/>
      <c r="E223" s="447"/>
      <c r="F223" s="447"/>
      <c r="G223" s="447"/>
      <c r="H223" s="447"/>
      <c r="I223" s="447"/>
      <c r="J223" s="447"/>
      <c r="K223" s="447"/>
      <c r="L223" s="447"/>
      <c r="M223" s="447"/>
      <c r="N223" s="447"/>
      <c r="O223" s="447"/>
      <c r="P223" s="447"/>
      <c r="Q223" s="447"/>
      <c r="R223" s="447"/>
      <c r="S223" s="447"/>
      <c r="T223" s="447"/>
    </row>
    <row r="224">
      <c r="C224" s="253" t="inlineStr">
        <is>
          <t xml:space="preserve">Tender scenario</t>
        </is>
      </c>
      <c r="F224" s="391" t="inlineStr">
        <is>
          <t xml:space="preserve">S1 – current bid (0)</t>
        </is>
      </c>
      <c r="G224" s="391"/>
      <c r="H224" s="391"/>
      <c r="I224" s="391"/>
      <c r="J224" s="391"/>
      <c r="K224" s="392" t="inlineStr">
        <is>
          <t xml:space="preserve">S2 – free points (1)</t>
        </is>
      </c>
      <c r="L224" s="392"/>
      <c r="M224" s="392"/>
      <c r="N224" s="392"/>
      <c r="O224" s="392"/>
      <c r="P224" s="393" t="inlineStr">
        <is>
          <t xml:space="preserve">S3 – ≈70 points (2)</t>
        </is>
      </c>
      <c r="Q224" s="393"/>
      <c r="R224" s="393"/>
      <c r="S224" s="393"/>
      <c r="T224" s="393"/>
      <c r="U224" s="393" t="inlineStr">
        <is>
          <t xml:space="preserve">S4 – maximum score (3)</t>
        </is>
      </c>
      <c r="V224" s="393"/>
      <c r="W224" s="393"/>
      <c r="X224" s="393"/>
      <c r="Y224" s="393"/>
      <c r="Z224" s="393" t="inlineStr">
        <is>
          <t xml:space="preserve">S0 – zero bid (4)</t>
        </is>
      </c>
      <c r="AA224" s="393"/>
      <c r="AB224" s="393"/>
      <c r="AC224" s="393"/>
      <c r="AD224" s="393"/>
    </row>
    <row r="225">
      <c r="C225" s="253" t="inlineStr">
        <is>
          <t xml:space="preserve">Route</t>
        </is>
      </c>
      <c r="D225" s="254" t="inlineStr">
        <is>
          <t xml:space="preserve">Unit</t>
        </is>
      </c>
      <c r="E225" s="254" t="inlineStr">
        <is>
          <t xml:space="preserve">Run_Map row</t>
        </is>
      </c>
      <c r="F225" s="254" t="inlineStr">
        <is>
          <t xml:space="preserve">RtB sale</t>
        </is>
      </c>
      <c r="G225" s="254" t="inlineStr">
        <is>
          <t xml:space="preserve">COD sale – EU</t>
        </is>
      </c>
      <c r="H225" s="254" t="inlineStr">
        <is>
          <t xml:space="preserve">COD sale – CN</t>
        </is>
      </c>
      <c r="I225" s="254" t="inlineStr">
        <is>
          <t xml:space="preserve">HTM – EU</t>
        </is>
      </c>
      <c r="J225" s="254" t="inlineStr">
        <is>
          <t xml:space="preserve">HTM – CN</t>
        </is>
      </c>
      <c r="K225" s="254" t="inlineStr">
        <is>
          <t xml:space="preserve">RtB sale</t>
        </is>
      </c>
      <c r="L225" s="254" t="inlineStr">
        <is>
          <t xml:space="preserve">COD sale – EU</t>
        </is>
      </c>
      <c r="M225" s="254" t="inlineStr">
        <is>
          <t xml:space="preserve">COD sale – CN</t>
        </is>
      </c>
      <c r="N225" s="254" t="inlineStr">
        <is>
          <t xml:space="preserve">HTM – EU</t>
        </is>
      </c>
      <c r="O225" s="254" t="inlineStr">
        <is>
          <t xml:space="preserve">HTM – CN</t>
        </is>
      </c>
      <c r="P225" s="254" t="inlineStr">
        <is>
          <t xml:space="preserve">RtB sale</t>
        </is>
      </c>
      <c r="Q225" s="254" t="inlineStr">
        <is>
          <t xml:space="preserve">COD sale – EU</t>
        </is>
      </c>
      <c r="R225" s="254" t="inlineStr">
        <is>
          <t xml:space="preserve">COD sale – CN</t>
        </is>
      </c>
      <c r="S225" s="254" t="inlineStr">
        <is>
          <t xml:space="preserve">HTM – EU</t>
        </is>
      </c>
      <c r="T225" s="254" t="inlineStr">
        <is>
          <t xml:space="preserve">HTM – CN</t>
        </is>
      </c>
      <c r="U225" s="254" t="inlineStr">
        <is>
          <t xml:space="preserve">RtB sale</t>
        </is>
      </c>
      <c r="V225" s="254" t="inlineStr">
        <is>
          <t xml:space="preserve">COD sale – EU</t>
        </is>
      </c>
      <c r="W225" s="254" t="inlineStr">
        <is>
          <t xml:space="preserve">COD sale – CN</t>
        </is>
      </c>
      <c r="X225" s="254" t="inlineStr">
        <is>
          <t xml:space="preserve">HTM – EU</t>
        </is>
      </c>
      <c r="Y225" s="254" t="inlineStr">
        <is>
          <t xml:space="preserve">HTM – CN</t>
        </is>
      </c>
      <c r="Z225" s="254" t="inlineStr">
        <is>
          <t xml:space="preserve">RtB sale</t>
        </is>
      </c>
      <c r="AA225" s="254" t="inlineStr">
        <is>
          <t xml:space="preserve">COD sale – EU</t>
        </is>
      </c>
      <c r="AB225" s="254" t="inlineStr">
        <is>
          <t xml:space="preserve">COD sale – CN</t>
        </is>
      </c>
      <c r="AC225" s="254" t="inlineStr">
        <is>
          <t xml:space="preserve">HTM – EU</t>
        </is>
      </c>
      <c r="AD225" s="254" t="inlineStr">
        <is>
          <t xml:space="preserve">HTM – CN</t>
        </is>
      </c>
    </row>
    <row r="226">
      <c r="C226" s="360" t="inlineStr">
        <is>
          <t xml:space="preserve">Model case (Inputs E6)</t>
        </is>
      </c>
      <c r="D226" s="411" t="inlineStr">
        <is>
          <t xml:space="preserve">#</t>
        </is>
      </c>
      <c r="F226" s="510">
        <v>1</v>
      </c>
      <c r="G226" s="510">
        <v>7</v>
      </c>
      <c r="H226" s="510">
        <v>8</v>
      </c>
      <c r="I226" s="510">
        <v>2</v>
      </c>
      <c r="J226" s="510">
        <v>3</v>
      </c>
      <c r="K226" s="510">
        <v>1</v>
      </c>
      <c r="L226" s="510">
        <v>7</v>
      </c>
      <c r="M226" s="510">
        <v>8</v>
      </c>
      <c r="N226" s="510">
        <v>2</v>
      </c>
      <c r="O226" s="510">
        <v>3</v>
      </c>
      <c r="P226" s="510">
        <v>1</v>
      </c>
      <c r="Q226" s="510">
        <v>7</v>
      </c>
      <c r="R226" s="510">
        <v>8</v>
      </c>
      <c r="S226" s="510">
        <v>2</v>
      </c>
      <c r="T226" s="510">
        <v>3</v>
      </c>
      <c r="U226" s="510">
        <v>1</v>
      </c>
      <c r="V226" s="510">
        <v>7</v>
      </c>
      <c r="W226" s="510">
        <v>8</v>
      </c>
      <c r="X226" s="510">
        <v>2</v>
      </c>
      <c r="Y226" s="510">
        <v>3</v>
      </c>
      <c r="Z226" s="510">
        <v>1</v>
      </c>
      <c r="AA226" s="510">
        <v>7</v>
      </c>
      <c r="AB226" s="510">
        <v>8</v>
      </c>
      <c r="AC226" s="510">
        <v>2</v>
      </c>
      <c r="AD226" s="510">
        <v>3</v>
      </c>
    </row>
    <row r="227">
      <c r="C227" s="360" t="inlineStr">
        <is>
          <t xml:space="preserve">Run_Map result column (1 = C RtB, 2 = D hold to maturity, 4 = F sale at COD)</t>
        </is>
      </c>
      <c r="D227" s="411" t="inlineStr">
        <is>
          <t xml:space="preserve">#</t>
        </is>
      </c>
      <c r="F227" s="510">
        <v>1</v>
      </c>
      <c r="G227" s="510">
        <v>4</v>
      </c>
      <c r="H227" s="510">
        <v>4</v>
      </c>
      <c r="I227" s="510">
        <v>2</v>
      </c>
      <c r="J227" s="510">
        <v>2</v>
      </c>
      <c r="K227" s="510">
        <v>1</v>
      </c>
      <c r="L227" s="510">
        <v>4</v>
      </c>
      <c r="M227" s="510">
        <v>4</v>
      </c>
      <c r="N227" s="510">
        <v>2</v>
      </c>
      <c r="O227" s="510">
        <v>2</v>
      </c>
      <c r="P227" s="510">
        <v>1</v>
      </c>
      <c r="Q227" s="510">
        <v>4</v>
      </c>
      <c r="R227" s="510">
        <v>4</v>
      </c>
      <c r="S227" s="510">
        <v>2</v>
      </c>
      <c r="T227" s="510">
        <v>2</v>
      </c>
      <c r="U227" s="510">
        <v>1</v>
      </c>
      <c r="V227" s="510">
        <v>4</v>
      </c>
      <c r="W227" s="510">
        <v>4</v>
      </c>
      <c r="X227" s="510">
        <v>2</v>
      </c>
      <c r="Y227" s="510">
        <v>2</v>
      </c>
      <c r="Z227" s="510">
        <v>1</v>
      </c>
      <c r="AA227" s="510">
        <v>4</v>
      </c>
      <c r="AB227" s="510">
        <v>4</v>
      </c>
      <c r="AC227" s="510">
        <v>2</v>
      </c>
      <c r="AD227" s="510">
        <v>2</v>
      </c>
    </row>
    <row r="228">
      <c r="C228" s="360" t="inlineStr">
        <is>
          <t xml:space="preserve">Turbine of the route (1 = European, 0 = Chinese; RtB = turbine of the scenario)</t>
        </is>
      </c>
      <c r="D228" s="411" t="inlineStr">
        <is>
          <t xml:space="preserve">1 / 0</t>
        </is>
      </c>
      <c r="F228" s="516">
        <f>$E$22</f>
        <v>1</v>
      </c>
      <c r="G228" s="510">
        <v>1</v>
      </c>
      <c r="H228" s="510">
        <v>0</v>
      </c>
      <c r="I228" s="510">
        <v>1</v>
      </c>
      <c r="J228" s="510">
        <v>0</v>
      </c>
      <c r="K228" s="516">
        <f>$F$22</f>
        <v>1</v>
      </c>
      <c r="L228" s="510">
        <v>1</v>
      </c>
      <c r="M228" s="510">
        <v>0</v>
      </c>
      <c r="N228" s="510">
        <v>1</v>
      </c>
      <c r="O228" s="510">
        <v>0</v>
      </c>
      <c r="P228" s="516">
        <f>$G$22</f>
        <v>1</v>
      </c>
      <c r="Q228" s="510">
        <v>1</v>
      </c>
      <c r="R228" s="510">
        <v>0</v>
      </c>
      <c r="S228" s="510">
        <v>1</v>
      </c>
      <c r="T228" s="510">
        <v>0</v>
      </c>
      <c r="U228" s="516">
        <f>$H$22</f>
        <v>1</v>
      </c>
      <c r="V228" s="510">
        <v>1</v>
      </c>
      <c r="W228" s="510">
        <v>0</v>
      </c>
      <c r="X228" s="510">
        <v>1</v>
      </c>
      <c r="Y228" s="510">
        <v>0</v>
      </c>
      <c r="Z228" s="516">
        <f>$I$22</f>
        <v>0</v>
      </c>
      <c r="AA228" s="510">
        <v>1</v>
      </c>
      <c r="AB228" s="510">
        <v>0</v>
      </c>
      <c r="AC228" s="510">
        <v>1</v>
      </c>
      <c r="AD228" s="510">
        <v>0</v>
      </c>
    </row>
    <row r="229">
      <c r="C229" s="91" t="str">
        <f>Inputs!$G$279</f>
        <v>Bora</v>
      </c>
      <c r="D229" s="91" t="inlineStr">
        <is>
          <t xml:space="preserve"/>
        </is>
      </c>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row>
    <row r="230">
      <c r="C230" s="360" t="inlineStr">
        <is>
          <t xml:space="preserve">Tender score</t>
        </is>
      </c>
      <c r="D230" s="411" t="inlineStr">
        <is>
          <t xml:space="preserve">points</t>
        </is>
      </c>
      <c r="E230" s="388" t="inlineStr">
        <is>
          <t xml:space="preserve">row 84 / 85</t>
        </is>
      </c>
      <c r="F230" s="524">
        <f>'Control Panel'!$BJ$306</f>
        <v>36</v>
      </c>
      <c r="G230" s="524">
        <f>'Control Panel'!$BJ$307</f>
        <v>36</v>
      </c>
      <c r="H230" s="524">
        <f>'Control Panel'!$BJ$308</f>
        <v>24</v>
      </c>
      <c r="I230" s="524">
        <f>'Control Panel'!$BJ$309</f>
        <v>36</v>
      </c>
      <c r="J230" s="524">
        <f>'Control Panel'!$BJ$310</f>
        <v>24</v>
      </c>
      <c r="K230" s="524">
        <f>'Control Panel'!$BJ$311</f>
        <v>51.5</v>
      </c>
      <c r="L230" s="524">
        <f>'Control Panel'!$BJ$312</f>
        <v>51.5</v>
      </c>
      <c r="M230" s="524">
        <f>'Control Panel'!$BJ$313</f>
        <v>36.5</v>
      </c>
      <c r="N230" s="524">
        <f>'Control Panel'!$BJ$314</f>
        <v>51.5</v>
      </c>
      <c r="O230" s="524">
        <f>'Control Panel'!$BJ$315</f>
        <v>36.5</v>
      </c>
      <c r="P230" s="524">
        <f>'Control Panel'!$BJ$316</f>
        <v>69.5</v>
      </c>
      <c r="Q230" s="524">
        <f>'Control Panel'!$BJ$317</f>
        <v>69.5</v>
      </c>
      <c r="R230" s="524">
        <f>'Control Panel'!$BJ$318</f>
        <v>54.5</v>
      </c>
      <c r="S230" s="524">
        <f>'Control Panel'!$BJ$319</f>
        <v>69.5</v>
      </c>
      <c r="T230" s="524">
        <f>'Control Panel'!$BJ$320</f>
        <v>54.5</v>
      </c>
      <c r="U230" s="524">
        <f>'Control Panel'!$BJ$321</f>
        <v>90</v>
      </c>
      <c r="V230" s="524">
        <f>'Control Panel'!$BJ$322</f>
        <v>90</v>
      </c>
      <c r="W230" s="524">
        <f>'Control Panel'!$BJ$323</f>
        <v>75</v>
      </c>
      <c r="X230" s="524">
        <f>'Control Panel'!$BJ$324</f>
        <v>90</v>
      </c>
      <c r="Y230" s="524">
        <f>'Control Panel'!$BJ$325</f>
        <v>75</v>
      </c>
      <c r="Z230" s="524">
        <f>'Control Panel'!$BJ$326</f>
        <v>0</v>
      </c>
      <c r="AA230" s="524">
        <f>'Control Panel'!$BJ$327</f>
        <v>0</v>
      </c>
      <c r="AB230" s="524">
        <f>'Control Panel'!$BJ$328</f>
        <v>0</v>
      </c>
      <c r="AC230" s="524">
        <f>'Control Panel'!$BJ$329</f>
        <v>0</v>
      </c>
      <c r="AD230" s="524">
        <f>'Control Panel'!$BJ$330</f>
        <v>0</v>
      </c>
    </row>
    <row r="231">
      <c r="C231" s="360" t="inlineStr">
        <is>
          <t xml:space="preserve">Total capex</t>
        </is>
      </c>
      <c r="D231" s="411" t="inlineStr">
        <is>
          <t xml:space="preserve">k€</t>
        </is>
      </c>
      <c r="E231" s="523">
        <f>MATCH($C231,Run_Map!$B$1:$B$60,0)</f>
        <v>43</v>
      </c>
      <c r="F231" s="523" t="str">
        <f>'Control Panel'!$Z$306</f>
        <v>–</v>
      </c>
      <c r="G231" s="525">
        <f>'Control Panel'!$Z$307</f>
        <v>431201.29658630135</v>
      </c>
      <c r="H231" s="525">
        <f>'Control Panel'!$Z$308</f>
        <v>306618.79658630135</v>
      </c>
      <c r="I231" s="525">
        <f>'Control Panel'!$Z$309</f>
        <v>431201.29658630135</v>
      </c>
      <c r="J231" s="525">
        <f>'Control Panel'!$Z$310</f>
        <v>306618.79658630135</v>
      </c>
      <c r="K231" s="523" t="str">
        <f>'Control Panel'!$Z$311</f>
        <v>–</v>
      </c>
      <c r="L231" s="525">
        <f>'Control Panel'!$Z$312</f>
        <v>457236.0465863014</v>
      </c>
      <c r="M231" s="525">
        <f>'Control Panel'!$Z$313</f>
        <v>323676.0465863014</v>
      </c>
      <c r="N231" s="525">
        <f>'Control Panel'!$Z$314</f>
        <v>457236.0465863014</v>
      </c>
      <c r="O231" s="525">
        <f>'Control Panel'!$Z$315</f>
        <v>323676.0465863014</v>
      </c>
      <c r="P231" s="523" t="str">
        <f>'Control Panel'!$Z$316</f>
        <v>–</v>
      </c>
      <c r="Q231" s="525">
        <f>'Control Panel'!$Z$317</f>
        <v>463236.0465863014</v>
      </c>
      <c r="R231" s="525">
        <f>'Control Panel'!$Z$318</f>
        <v>329676.0465863014</v>
      </c>
      <c r="S231" s="525">
        <f>'Control Panel'!$Z$319</f>
        <v>463236.0465863014</v>
      </c>
      <c r="T231" s="525">
        <f>'Control Panel'!$Z$320</f>
        <v>329676.0465863014</v>
      </c>
      <c r="U231" s="523" t="str">
        <f>'Control Panel'!$Z$321</f>
        <v>–</v>
      </c>
      <c r="V231" s="525">
        <f>'Control Panel'!$Z$322</f>
        <v>515019.0465863014</v>
      </c>
      <c r="W231" s="525">
        <f>'Control Panel'!$Z$323</f>
        <v>368229.0465863014</v>
      </c>
      <c r="X231" s="525">
        <f>'Control Panel'!$Z$324</f>
        <v>515019.0465863014</v>
      </c>
      <c r="Y231" s="525">
        <f>'Control Panel'!$Z$325</f>
        <v>368229.0465863014</v>
      </c>
      <c r="Z231" s="523" t="str">
        <f>'Control Panel'!$Z$326</f>
        <v>–</v>
      </c>
      <c r="AA231" s="525">
        <f>'Control Panel'!$Z$327</f>
        <v>325616.0465863014</v>
      </c>
      <c r="AB231" s="525">
        <f>'Control Panel'!$Z$328</f>
        <v>229856.0465863014</v>
      </c>
      <c r="AC231" s="525">
        <f>'Control Panel'!$Z$329</f>
        <v>325616.0465863014</v>
      </c>
      <c r="AD231" s="525">
        <f>'Control Panel'!$Z$330</f>
        <v>229856.0465863014</v>
      </c>
    </row>
    <row r="232">
      <c r="C232" s="360" t="inlineStr">
        <is>
          <t xml:space="preserve">Senior debt at COD</t>
        </is>
      </c>
      <c r="D232" s="411" t="inlineStr">
        <is>
          <t xml:space="preserve">k€</t>
        </is>
      </c>
      <c r="E232" s="523">
        <f>MATCH($C232,Run_Map!$B$1:$B$60,0)</f>
        <v>44</v>
      </c>
      <c r="F232" s="523" t="str">
        <f>'Control Panel'!$AA$306</f>
        <v>–</v>
      </c>
      <c r="G232" s="525">
        <f>'Control Panel'!$AA$307</f>
        <v>272537.8175196197</v>
      </c>
      <c r="H232" s="525">
        <f>'Control Panel'!$AA$308</f>
        <v>161496.92014241178</v>
      </c>
      <c r="I232" s="525">
        <f>'Control Panel'!$AA$309</f>
        <v>272537.81751961965</v>
      </c>
      <c r="J232" s="525">
        <f>'Control Panel'!$AA$310</f>
        <v>161496.92014241178</v>
      </c>
      <c r="K232" s="523" t="str">
        <f>'Control Panel'!$AA$311</f>
        <v>–</v>
      </c>
      <c r="L232" s="525">
        <f>'Control Panel'!$AA$312</f>
        <v>288992.90242043434</v>
      </c>
      <c r="M232" s="525">
        <f>'Control Panel'!$AA$313</f>
        <v>170481.01822044275</v>
      </c>
      <c r="N232" s="525">
        <f>'Control Panel'!$AA$314</f>
        <v>288992.90242043434</v>
      </c>
      <c r="O232" s="525">
        <f>'Control Panel'!$AA$315</f>
        <v>170481.01822044275</v>
      </c>
      <c r="P232" s="523" t="str">
        <f>'Control Panel'!$AA$316</f>
        <v>–</v>
      </c>
      <c r="Q232" s="525">
        <f>'Control Panel'!$AA$317</f>
        <v>292785.1612055154</v>
      </c>
      <c r="R232" s="525">
        <f>'Control Panel'!$AA$318</f>
        <v>173641.23387467692</v>
      </c>
      <c r="S232" s="525">
        <f>'Control Panel'!$AA$319</f>
        <v>292785.1612055153</v>
      </c>
      <c r="T232" s="525">
        <f>'Control Panel'!$AA$320</f>
        <v>173641.23387467692</v>
      </c>
      <c r="U232" s="523" t="str">
        <f>'Control Panel'!$AA$321</f>
        <v>–</v>
      </c>
      <c r="V232" s="525">
        <f>'Control Panel'!$AA$322</f>
        <v>325514.2506501569</v>
      </c>
      <c r="W232" s="525">
        <f>'Control Panel'!$AA$323</f>
        <v>193947.19956095854</v>
      </c>
      <c r="X232" s="525">
        <f>'Control Panel'!$AA$324</f>
        <v>325514.2506501569</v>
      </c>
      <c r="Y232" s="525">
        <f>'Control Panel'!$AA$325</f>
        <v>193947.19956095854</v>
      </c>
      <c r="Z232" s="523" t="str">
        <f>'Control Panel'!$AA$326</f>
        <v>–</v>
      </c>
      <c r="AA232" s="525">
        <f>'Control Panel'!$AA$327</f>
        <v>205803.38553837416</v>
      </c>
      <c r="AB232" s="525">
        <f>'Control Panel'!$AA$328</f>
        <v>121065.7794404012</v>
      </c>
      <c r="AC232" s="525">
        <f>'Control Panel'!$AA$329</f>
        <v>205803.38553837416</v>
      </c>
      <c r="AD232" s="525">
        <f>'Control Panel'!$AA$330</f>
        <v>121065.7794404012</v>
      </c>
    </row>
    <row r="233">
      <c r="C233" s="360" t="inlineStr">
        <is>
          <t xml:space="preserve">Gross RTB proceeds / sale price at COD</t>
        </is>
      </c>
      <c r="D233" s="411" t="inlineStr">
        <is>
          <t xml:space="preserve">k€</t>
        </is>
      </c>
      <c r="E233" s="523">
        <f>MATCH($C233,Run_Map!$B$1:$B$60,0)</f>
        <v>33</v>
      </c>
      <c r="F233" s="525">
        <f>'Control Panel'!$Q$306</f>
        <v>64143.61505792019</v>
      </c>
      <c r="G233" s="525">
        <f>'Control Panel'!$Q$307</f>
        <v>609707.581875</v>
      </c>
      <c r="H233" s="525">
        <f>'Control Panel'!$Q$308</f>
        <v>522606.49875</v>
      </c>
      <c r="I233" s="523" t="str">
        <f>'Control Panel'!$Q$309</f>
        <v>–</v>
      </c>
      <c r="J233" s="523" t="str">
        <f>'Control Panel'!$Q$310</f>
        <v>–</v>
      </c>
      <c r="K233" s="525">
        <f>'Control Panel'!$Q$311</f>
        <v>64042.7084932444</v>
      </c>
      <c r="L233" s="525">
        <f>'Control Panel'!$Q$312</f>
        <v>631120</v>
      </c>
      <c r="M233" s="525">
        <f>'Control Panel'!$Q$313</f>
        <v>540960</v>
      </c>
      <c r="N233" s="523" t="str">
        <f>'Control Panel'!$Q$314</f>
        <v>–</v>
      </c>
      <c r="O233" s="523" t="str">
        <f>'Control Panel'!$Q$315</f>
        <v>–</v>
      </c>
      <c r="P233" s="525">
        <f>'Control Panel'!$Q$316</f>
        <v>60423.35583811589</v>
      </c>
      <c r="Q233" s="525">
        <f>'Control Panel'!$Q$317</f>
        <v>631120</v>
      </c>
      <c r="R233" s="525">
        <f>'Control Panel'!$Q$318</f>
        <v>540960</v>
      </c>
      <c r="S233" s="523" t="str">
        <f>'Control Panel'!$Q$319</f>
        <v>–</v>
      </c>
      <c r="T233" s="523" t="str">
        <f>'Control Panel'!$Q$320</f>
        <v>–</v>
      </c>
      <c r="U233" s="525">
        <f>'Control Panel'!$Q$321</f>
        <v>47145.212940849364</v>
      </c>
      <c r="V233" s="525">
        <f>'Control Panel'!$Q$322</f>
        <v>638253.4340580788</v>
      </c>
      <c r="W233" s="525">
        <f>'Control Panel'!$Q$323</f>
        <v>546170.6740580788</v>
      </c>
      <c r="X233" s="523" t="str">
        <f>'Control Panel'!$Q$324</f>
        <v>–</v>
      </c>
      <c r="Y233" s="523" t="str">
        <f>'Control Panel'!$Q$325</f>
        <v>–</v>
      </c>
      <c r="Z233" s="525">
        <f>'Control Panel'!$Q$326</f>
        <v>84090.12831659075</v>
      </c>
      <c r="AA233" s="525">
        <f>'Control Panel'!$Q$327</f>
        <v>499617.69642731134</v>
      </c>
      <c r="AB233" s="525">
        <f>'Control Panel'!$Q$328</f>
        <v>429617.69642731134</v>
      </c>
      <c r="AC233" s="523" t="str">
        <f>'Control Panel'!$Q$329</f>
        <v>–</v>
      </c>
      <c r="AD233" s="523" t="str">
        <f>'Control Panel'!$Q$330</f>
        <v>–</v>
      </c>
    </row>
    <row r="234">
      <c r="C234" s="360" t="inlineStr">
        <is>
          <t xml:space="preserve">FEP peak cumulative exposure</t>
        </is>
      </c>
      <c r="D234" s="411" t="inlineStr">
        <is>
          <t xml:space="preserve">k€</t>
        </is>
      </c>
      <c r="E234" s="523">
        <f>MATCH($C234,Run_Map!$B$1:$B$60,0)</f>
        <v>28</v>
      </c>
      <c r="F234" s="525">
        <f>'Control Panel'!$M$306</f>
        <v>48525.87791901024</v>
      </c>
      <c r="G234" s="525">
        <f>'Control Panel'!$M$307</f>
        <v>192126.5009287591</v>
      </c>
      <c r="H234" s="525">
        <f>'Control Panel'!$M$308</f>
        <v>170180.65655408622</v>
      </c>
      <c r="I234" s="525">
        <f>'Control Panel'!$M$309</f>
        <v>221682.18461006615</v>
      </c>
      <c r="J234" s="525">
        <f>'Control Panel'!$M$310</f>
        <v>191299.14634928823</v>
      </c>
      <c r="K234" s="525">
        <f>'Control Panel'!$M$311</f>
        <v>48929.47606969508</v>
      </c>
      <c r="L234" s="525">
        <f>'Control Panel'!$M$312</f>
        <v>203663.3808614948</v>
      </c>
      <c r="M234" s="525">
        <f>'Control Panel'!$M$313</f>
        <v>179645.5741744955</v>
      </c>
      <c r="N234" s="525">
        <f>'Control Panel'!$M$314</f>
        <v>233508.94078162848</v>
      </c>
      <c r="O234" s="525">
        <f>'Control Panel'!$M$315</f>
        <v>200486.60892881406</v>
      </c>
      <c r="P234" s="525">
        <f>'Control Panel'!$M$316</f>
        <v>49921.46511079098</v>
      </c>
      <c r="Q234" s="525">
        <f>'Control Panel'!$M$317</f>
        <v>207633.82686138974</v>
      </c>
      <c r="R234" s="525">
        <f>'Control Panel'!$M$318</f>
        <v>184200.22648659907</v>
      </c>
      <c r="S234" s="525">
        <f>'Control Panel'!$M$319</f>
        <v>231209.76219911868</v>
      </c>
      <c r="T234" s="525">
        <f>'Control Panel'!$M$320</f>
        <v>198723.21339584485</v>
      </c>
      <c r="U234" s="525">
        <f>'Control Panel'!$M$321</f>
        <v>52002.384836818426</v>
      </c>
      <c r="V234" s="525">
        <f>'Control Panel'!$M$322</f>
        <v>232421.03684213653</v>
      </c>
      <c r="W234" s="525">
        <f>'Control Panel'!$M$323</f>
        <v>207240.3036369634</v>
      </c>
      <c r="X234" s="525">
        <f>'Control Panel'!$M$324</f>
        <v>237837.57320754416</v>
      </c>
      <c r="Y234" s="525">
        <f>'Control Panel'!$M$325</f>
        <v>202659.5500095157</v>
      </c>
      <c r="Z234" s="525">
        <f>'Control Panel'!$M$326</f>
        <v>46031.72812448969</v>
      </c>
      <c r="AA234" s="525">
        <f>'Control Panel'!$M$327</f>
        <v>144161.67024431354</v>
      </c>
      <c r="AB234" s="525">
        <f>'Control Panel'!$M$328</f>
        <v>126725.82558725693</v>
      </c>
      <c r="AC234" s="525">
        <f>'Control Panel'!$M$329</f>
        <v>202481.3704289096</v>
      </c>
      <c r="AD234" s="525">
        <f>'Control Panel'!$M$330</f>
        <v>178607.31585214377</v>
      </c>
    </row>
    <row r="235">
      <c r="C235" s="360" t="inlineStr">
        <is>
          <t xml:space="preserve">FEP net profit (post-tax)</t>
        </is>
      </c>
      <c r="D235" s="411" t="inlineStr">
        <is>
          <t xml:space="preserve">k€</t>
        </is>
      </c>
      <c r="E235" s="523">
        <f>MATCH($C235,Run_Map!$B$1:$B$60,0)</f>
        <v>23</v>
      </c>
      <c r="F235" s="525">
        <f>'Control Panel'!$H$306</f>
        <v>15173.724494515496</v>
      </c>
      <c r="G235" s="525">
        <f>'Control Panel'!$H$307</f>
        <v>103211.97771165345</v>
      </c>
      <c r="H235" s="525">
        <f>'Control Panel'!$H$308</f>
        <v>135331.93875046997</v>
      </c>
      <c r="I235" s="525">
        <f>'Control Panel'!$H$309</f>
        <v>1137959.1645636046</v>
      </c>
      <c r="J235" s="525">
        <f>'Control Panel'!$H$310</f>
        <v>1299225.3867605191</v>
      </c>
      <c r="K235" s="525">
        <f>'Control Panel'!$H$311</f>
        <v>14663.612494160967</v>
      </c>
      <c r="L235" s="525">
        <f>'Control Panel'!$H$312</f>
        <v>98468.32640750008</v>
      </c>
      <c r="M235" s="525">
        <f>'Control Panel'!$H$313</f>
        <v>135127.11002839365</v>
      </c>
      <c r="N235" s="525">
        <f>'Control Panel'!$H$314</f>
        <v>1155103.8112538464</v>
      </c>
      <c r="O235" s="525">
        <f>'Control Panel'!$H$315</f>
        <v>1328203.7314024107</v>
      </c>
      <c r="P235" s="525">
        <f>'Control Panel'!$H$316</f>
        <v>10038.494248053641</v>
      </c>
      <c r="Q235" s="525">
        <f>'Control Panel'!$H$317</f>
        <v>93021.96619023028</v>
      </c>
      <c r="R235" s="525">
        <f>'Control Panel'!$H$318</f>
        <v>129714.23558417066</v>
      </c>
      <c r="S235" s="525">
        <f>'Control Panel'!$H$319</f>
        <v>1152984.063074571</v>
      </c>
      <c r="T235" s="525">
        <f>'Control Panel'!$H$320</f>
        <v>1326543.6173482314</v>
      </c>
      <c r="U235" s="525">
        <f>'Control Panel'!$H$321</f>
        <v>-5349.486267543791</v>
      </c>
      <c r="V235" s="525">
        <f>'Control Panel'!$H$322</f>
        <v>57532.68202082554</v>
      </c>
      <c r="W235" s="525">
        <f>'Control Panel'!$H$323</f>
        <v>102798.19902688553</v>
      </c>
      <c r="X235" s="525">
        <f>'Control Panel'!$H$324</f>
        <v>1103512.8634818878</v>
      </c>
      <c r="Y235" s="525">
        <f>'Control Panel'!$H$325</f>
        <v>1296069.1004568324</v>
      </c>
      <c r="Z235" s="525">
        <f>'Control Panel'!$H$326</f>
        <v>37649.05331909948</v>
      </c>
      <c r="AA235" s="525">
        <f>'Control Panel'!$H$327</f>
        <v>106895.5871488787</v>
      </c>
      <c r="AB235" s="525">
        <f>'Control Panel'!$H$328</f>
        <v>129417.0026773994</v>
      </c>
      <c r="AC235" s="525">
        <f>'Control Panel'!$H$329</f>
        <v>941142.1382199355</v>
      </c>
      <c r="AD235" s="525">
        <f>'Control Panel'!$H$330</f>
        <v>1063488.9309388015</v>
      </c>
    </row>
    <row r="236">
      <c r="C236" s="360" t="inlineStr">
        <is>
          <t xml:space="preserve">FEP IRR (post-tax)</t>
        </is>
      </c>
      <c r="D236" s="411" t="inlineStr">
        <is>
          <t xml:space="preserve">%</t>
        </is>
      </c>
      <c r="E236" s="523">
        <f>MATCH($C236,Run_Map!$B$1:$B$60,0)</f>
        <v>24</v>
      </c>
      <c r="F236" s="367">
        <f>'Control Panel'!$I$306</f>
        <v>0.20894449022377323</v>
      </c>
      <c r="G236" s="367">
        <f>'Control Panel'!$I$307</f>
        <v>0.3136423750460425</v>
      </c>
      <c r="H236" s="367">
        <f>'Control Panel'!$I$308</f>
        <v>0.42123413226421264</v>
      </c>
      <c r="I236" s="367">
        <f>'Control Panel'!$I$309</f>
        <v>0.09991355961167205</v>
      </c>
      <c r="J236" s="367">
        <f>'Control Panel'!$I$310</f>
        <v>0.13111232656651206</v>
      </c>
      <c r="K236" s="367">
        <f>'Control Panel'!$I$311</f>
        <v>0.2004243752726126</v>
      </c>
      <c r="L236" s="367">
        <f>'Control Panel'!$I$312</f>
        <v>0.29014519684283974</v>
      </c>
      <c r="M236" s="367">
        <f>'Control Panel'!$I$313</f>
        <v>0.40784371495977667</v>
      </c>
      <c r="N236" s="367">
        <f>'Control Panel'!$I$314</f>
        <v>0.09716327861618469</v>
      </c>
      <c r="O236" s="367">
        <f>'Control Panel'!$I$315</f>
        <v>0.1288631587267528</v>
      </c>
      <c r="P236" s="367">
        <f>'Control Panel'!$I$316</f>
        <v>0.13688527561568004</v>
      </c>
      <c r="Q236" s="367">
        <f>'Control Panel'!$I$317</f>
        <v>0.27398227038920586</v>
      </c>
      <c r="R236" s="367">
        <f>'Control Panel'!$I$318</f>
        <v>0.39043141054334973</v>
      </c>
      <c r="S236" s="367">
        <f>'Control Panel'!$I$319</f>
        <v>0.09726662363662938</v>
      </c>
      <c r="T236" s="367">
        <f>'Control Panel'!$I$320</f>
        <v>0.12909658652699293</v>
      </c>
      <c r="U236" s="367">
        <f>'Control Panel'!$I$321</f>
        <v>-0.0749152579605665</v>
      </c>
      <c r="V236" s="367">
        <f>'Control Panel'!$I$322</f>
        <v>0.1630761981817325</v>
      </c>
      <c r="W236" s="367">
        <f>'Control Panel'!$I$323</f>
        <v>0.2959532095999144</v>
      </c>
      <c r="X236" s="367">
        <f>'Control Panel'!$I$324</f>
        <v>0.09019075393091146</v>
      </c>
      <c r="Y236" s="367">
        <f>'Control Panel'!$I$325</f>
        <v>0.12311565150873711</v>
      </c>
      <c r="Z236" s="367">
        <f>'Control Panel'!$I$326</f>
        <v>0.501558169297414</v>
      </c>
      <c r="AA236" s="367">
        <f>'Control Panel'!$I$327</f>
        <v>0.38242527707340657</v>
      </c>
      <c r="AB236" s="367">
        <f>'Control Panel'!$I$328</f>
        <v>0.4743681946422939</v>
      </c>
      <c r="AC236" s="367">
        <f>'Control Panel'!$I$329</f>
        <v>0.09692215757580577</v>
      </c>
      <c r="AD236" s="367">
        <f>'Control Panel'!$I$330</f>
        <v>0.12385291624963445</v>
      </c>
    </row>
    <row r="237">
      <c r="C237" s="360" t="inlineStr">
        <is>
          <t xml:space="preserve">FEP NPV (post-tax)</t>
        </is>
      </c>
      <c r="D237" s="411" t="inlineStr">
        <is>
          <t xml:space="preserve">k€</t>
        </is>
      </c>
      <c r="E237" s="523">
        <f>MATCH($C237,Run_Map!$B$1:$B$60,0)</f>
        <v>25</v>
      </c>
      <c r="F237" s="525">
        <f>'Control Panel'!$J$306</f>
        <v>7253.356399284837</v>
      </c>
      <c r="G237" s="525">
        <f>'Control Panel'!$J$307</f>
        <v>57524.98944635041</v>
      </c>
      <c r="H237" s="525">
        <f>'Control Panel'!$J$308</f>
        <v>80447.16875917108</v>
      </c>
      <c r="I237" s="525">
        <f>'Control Panel'!$J$309</f>
        <v>62081.30688179275</v>
      </c>
      <c r="J237" s="525">
        <f>'Control Panel'!$J$310</f>
        <v>139279.28641793394</v>
      </c>
      <c r="K237" s="525">
        <f>'Control Panel'!$J$311</f>
        <v>6826.050756115276</v>
      </c>
      <c r="L237" s="525">
        <f>'Control Panel'!$J$312</f>
        <v>53743.6510754388</v>
      </c>
      <c r="M237" s="525">
        <f>'Control Panel'!$J$313</f>
        <v>79851.02834527977</v>
      </c>
      <c r="N237" s="525">
        <f>'Control Panel'!$J$314</f>
        <v>55911.614375163284</v>
      </c>
      <c r="O237" s="525">
        <f>'Control Panel'!$J$315</f>
        <v>138606.18659691172</v>
      </c>
      <c r="P237" s="525">
        <f>'Control Panel'!$J$316</f>
        <v>3234.0332275449878</v>
      </c>
      <c r="Q237" s="525">
        <f>'Control Panel'!$J$317</f>
        <v>49989.0355210328</v>
      </c>
      <c r="R237" s="525">
        <f>'Control Panel'!$J$318</f>
        <v>76095.82123298569</v>
      </c>
      <c r="S237" s="525">
        <f>'Control Panel'!$J$319</f>
        <v>55966.25893289026</v>
      </c>
      <c r="T237" s="525">
        <f>'Control Panel'!$J$320</f>
        <v>138567.36142870146</v>
      </c>
      <c r="U237" s="525">
        <f>'Control Panel'!$J$321</f>
        <v>-8589.28057164893</v>
      </c>
      <c r="V237" s="525">
        <f>'Control Panel'!$J$322</f>
        <v>24494.91000854238</v>
      </c>
      <c r="W237" s="525">
        <f>'Control Panel'!$J$323</f>
        <v>56525.92020671938</v>
      </c>
      <c r="X237" s="525">
        <f>'Control Panel'!$J$324</f>
        <v>34048.89404343646</v>
      </c>
      <c r="Y237" s="525">
        <f>'Control Panel'!$J$325</f>
        <v>124486.86140761414</v>
      </c>
      <c r="Z237" s="525">
        <f>'Control Panel'!$J$326</f>
        <v>24464.774458537166</v>
      </c>
      <c r="AA237" s="525">
        <f>'Control Panel'!$J$327</f>
        <v>62268.23071038199</v>
      </c>
      <c r="AB237" s="525">
        <f>'Control Panel'!$J$328</f>
        <v>78434.83592174726</v>
      </c>
      <c r="AC237" s="525">
        <f>'Control Panel'!$J$329</f>
        <v>45835.48647349481</v>
      </c>
      <c r="AD237" s="525">
        <f>'Control Panel'!$J$330</f>
        <v>105571.80767792829</v>
      </c>
    </row>
    <row r="238">
      <c r="C238" s="360" t="inlineStr">
        <is>
          <t xml:space="preserve">FEP MOIC</t>
        </is>
      </c>
      <c r="D238" s="411" t="inlineStr">
        <is>
          <t xml:space="preserve">x</t>
        </is>
      </c>
      <c r="E238" s="523">
        <f>MATCH($C238,Run_Map!$B$1:$B$60,0)</f>
        <v>27</v>
      </c>
      <c r="F238" s="526">
        <f>'Control Panel'!$L$306</f>
        <v>1.312105461761588</v>
      </c>
      <c r="G238" s="526">
        <f>'Control Panel'!$L$307</f>
        <v>1.5372084392976306</v>
      </c>
      <c r="H238" s="526">
        <f>'Control Panel'!$L$308</f>
        <v>1.795225153614678</v>
      </c>
      <c r="I238" s="526">
        <f>'Control Panel'!$L$309</f>
        <v>6.1332910065156945</v>
      </c>
      <c r="J238" s="526">
        <f>'Control Panel'!$L$310</f>
        <v>7.791590090989202</v>
      </c>
      <c r="K238" s="526">
        <f>'Control Panel'!$L$311</f>
        <v>1.299066858466091</v>
      </c>
      <c r="L238" s="526">
        <f>'Control Panel'!$L$312</f>
        <v>1.4834856712629423</v>
      </c>
      <c r="M238" s="526">
        <f>'Control Panel'!$L$313</f>
        <v>1.7521872478591671</v>
      </c>
      <c r="N238" s="526">
        <f>'Control Panel'!$L$314</f>
        <v>5.946721985836378</v>
      </c>
      <c r="O238" s="526">
        <f>'Control Panel'!$L$315</f>
        <v>7.624899979599188</v>
      </c>
      <c r="P238" s="526">
        <f>'Control Panel'!$L$316</f>
        <v>1.200574753032688</v>
      </c>
      <c r="Q238" s="526">
        <f>'Control Panel'!$L$317</f>
        <v>1.4480096889623337</v>
      </c>
      <c r="R238" s="526">
        <f>'Control Panel'!$L$318</f>
        <v>1.7042023674906153</v>
      </c>
      <c r="S238" s="526">
        <f>'Control Panel'!$L$319</f>
        <v>5.986744729582902</v>
      </c>
      <c r="T238" s="526">
        <f>'Control Panel'!$L$320</f>
        <v>7.6753329652829</v>
      </c>
      <c r="U238" s="526">
        <f>'Control Panel'!$L$321</f>
        <v>0.8974854281606272</v>
      </c>
      <c r="V238" s="526">
        <f>'Control Panel'!$L$322</f>
        <v>1.2475364657283692</v>
      </c>
      <c r="W238" s="526">
        <f>'Control Panel'!$L$323</f>
        <v>1.4960338178569934</v>
      </c>
      <c r="X238" s="526">
        <f>'Control Panel'!$L$324</f>
        <v>5.6397751566314955</v>
      </c>
      <c r="Y238" s="526">
        <f>'Control Panel'!$L$325</f>
        <v>7.395302369890669</v>
      </c>
      <c r="Z238" s="526">
        <f>'Control Panel'!$L$326</f>
        <v>1.8173997462368177</v>
      </c>
      <c r="AA238" s="526">
        <f>'Control Panel'!$L$327</f>
        <v>1.741497979093338</v>
      </c>
      <c r="AB238" s="526">
        <f>'Control Panel'!$L$328</f>
        <v>2.0212362166722637</v>
      </c>
      <c r="AC238" s="526">
        <f>'Control Panel'!$L$329</f>
        <v>5.648043107503398</v>
      </c>
      <c r="AD238" s="526">
        <f>'Control Panel'!$L$330</f>
        <v>6.954341376582738</v>
      </c>
    </row>
    <row r="239">
      <c r="C239" s="360" t="inlineStr">
        <is>
          <t xml:space="preserve">LCOE</t>
        </is>
      </c>
      <c r="D239" s="411" t="inlineStr">
        <is>
          <t xml:space="preserve">€/MWh</t>
        </is>
      </c>
      <c r="E239" s="523">
        <f>MATCH($C239,Run_Map!$B$1:$B$60,0)</f>
        <v>48</v>
      </c>
      <c r="F239" s="523" t="str">
        <f>'Control Panel'!$AE$306</f>
        <v>–</v>
      </c>
      <c r="G239" s="523" t="str">
        <f>'Control Panel'!$AE$307</f>
        <v>–</v>
      </c>
      <c r="H239" s="523" t="str">
        <f>'Control Panel'!$AE$308</f>
        <v>–</v>
      </c>
      <c r="I239" s="527">
        <f>'Control Panel'!$AE$309</f>
        <v>101.81218403143477</v>
      </c>
      <c r="J239" s="527">
        <f>'Control Panel'!$AE$310</f>
        <v>82.1083205081397</v>
      </c>
      <c r="K239" s="523" t="str">
        <f>'Control Panel'!$AE$311</f>
        <v>–</v>
      </c>
      <c r="L239" s="523" t="str">
        <f>'Control Panel'!$AE$312</f>
        <v>–</v>
      </c>
      <c r="M239" s="523" t="str">
        <f>'Control Panel'!$AE$313</f>
        <v>–</v>
      </c>
      <c r="N239" s="527">
        <f>'Control Panel'!$AE$314</f>
        <v>103.83602245196423</v>
      </c>
      <c r="O239" s="527">
        <f>'Control Panel'!$AE$315</f>
        <v>83.42896382879175</v>
      </c>
      <c r="P239" s="523" t="str">
        <f>'Control Panel'!$AE$316</f>
        <v>–</v>
      </c>
      <c r="Q239" s="523" t="str">
        <f>'Control Panel'!$AE$317</f>
        <v>–</v>
      </c>
      <c r="R239" s="523" t="str">
        <f>'Control Panel'!$AE$318</f>
        <v>–</v>
      </c>
      <c r="S239" s="527">
        <f>'Control Panel'!$AE$319</f>
        <v>103.93263809051415</v>
      </c>
      <c r="T239" s="527">
        <f>'Control Panel'!$AE$320</f>
        <v>83.52557946734166</v>
      </c>
      <c r="U239" s="523" t="str">
        <f>'Control Panel'!$AE$321</f>
        <v>–</v>
      </c>
      <c r="V239" s="523" t="str">
        <f>'Control Panel'!$AE$322</f>
        <v>–</v>
      </c>
      <c r="W239" s="523" t="str">
        <f>'Control Panel'!$AE$323</f>
        <v>–</v>
      </c>
      <c r="X239" s="527">
        <f>'Control Panel'!$AE$324</f>
        <v>109.70728399037151</v>
      </c>
      <c r="Y239" s="527">
        <f>'Control Panel'!$AE$325</f>
        <v>87.7470963188436</v>
      </c>
      <c r="Z239" s="523" t="str">
        <f>'Control Panel'!$AE$326</f>
        <v>–</v>
      </c>
      <c r="AA239" s="523" t="str">
        <f>'Control Panel'!$AE$327</f>
        <v>–</v>
      </c>
      <c r="AB239" s="523" t="str">
        <f>'Control Panel'!$AE$328</f>
        <v>–</v>
      </c>
      <c r="AC239" s="527">
        <f>'Control Panel'!$AE$329</f>
        <v>102.13469888283906</v>
      </c>
      <c r="AD239" s="527">
        <f>'Control Panel'!$AE$330</f>
        <v>83.28935780260218</v>
      </c>
    </row>
    <row r="240">
      <c r="C240" s="360" t="inlineStr">
        <is>
          <t xml:space="preserve">Minimum DSCR</t>
        </is>
      </c>
      <c r="D240" s="411" t="inlineStr">
        <is>
          <t xml:space="preserve">x</t>
        </is>
      </c>
      <c r="E240" s="523">
        <f>MATCH($C240,Run_Map!$B$1:$B$60,0)</f>
        <v>52</v>
      </c>
      <c r="F240" s="523" t="str">
        <f>'Control Panel'!$AI$306</f>
        <v>–</v>
      </c>
      <c r="G240" s="523" t="str">
        <f>'Control Panel'!$AI$307</f>
        <v>–</v>
      </c>
      <c r="H240" s="523" t="str">
        <f>'Control Panel'!$AI$308</f>
        <v>–</v>
      </c>
      <c r="I240" s="526">
        <f>'Control Panel'!$AI$309</f>
        <v>1.1631739211938075</v>
      </c>
      <c r="J240" s="526">
        <f>'Control Panel'!$AI$310</f>
        <v>1.9196058721534874</v>
      </c>
      <c r="K240" s="523" t="str">
        <f>'Control Panel'!$AI$311</f>
        <v>–</v>
      </c>
      <c r="L240" s="523" t="str">
        <f>'Control Panel'!$AI$312</f>
        <v>–</v>
      </c>
      <c r="M240" s="523" t="str">
        <f>'Control Panel'!$AI$313</f>
        <v>–</v>
      </c>
      <c r="N240" s="526">
        <f>'Control Panel'!$AI$314</f>
        <v>1.1297425280917526</v>
      </c>
      <c r="O240" s="526">
        <f>'Control Panel'!$AI$315</f>
        <v>1.8722648328717875</v>
      </c>
      <c r="P240" s="523" t="str">
        <f>'Control Panel'!$AI$316</f>
        <v>–</v>
      </c>
      <c r="Q240" s="523" t="str">
        <f>'Control Panel'!$AI$317</f>
        <v>–</v>
      </c>
      <c r="R240" s="523" t="str">
        <f>'Control Panel'!$AI$318</f>
        <v>–</v>
      </c>
      <c r="S240" s="526">
        <f>'Control Panel'!$AI$319</f>
        <v>1.1161219689982838</v>
      </c>
      <c r="T240" s="526">
        <f>'Control Panel'!$AI$320</f>
        <v>1.8399794650261854</v>
      </c>
      <c r="U240" s="523" t="str">
        <f>'Control Panel'!$AI$321</f>
        <v>–</v>
      </c>
      <c r="V240" s="523" t="str">
        <f>'Control Panel'!$AI$322</f>
        <v>–</v>
      </c>
      <c r="W240" s="523" t="str">
        <f>'Control Panel'!$AI$323</f>
        <v>–</v>
      </c>
      <c r="X240" s="526">
        <f>'Control Panel'!$AI$324</f>
        <v>1.00321000162642</v>
      </c>
      <c r="Y240" s="526">
        <f>'Control Panel'!$AI$325</f>
        <v>1.6439896671953536</v>
      </c>
      <c r="Z240" s="523" t="str">
        <f>'Control Panel'!$AI$326</f>
        <v>–</v>
      </c>
      <c r="AA240" s="523" t="str">
        <f>'Control Panel'!$AI$327</f>
        <v>–</v>
      </c>
      <c r="AB240" s="523" t="str">
        <f>'Control Panel'!$AI$328</f>
        <v>–</v>
      </c>
      <c r="AC240" s="526">
        <f>'Control Panel'!$AI$329</f>
        <v>1.274247914604795</v>
      </c>
      <c r="AD240" s="526">
        <f>'Control Panel'!$AI$330</f>
        <v>2.1204008018420577</v>
      </c>
    </row>
    <row r="241">
      <c r="C241" s="360" t="inlineStr">
        <is>
          <t xml:space="preserve">Integrity checks</t>
        </is>
      </c>
      <c r="D241" s="411" t="inlineStr">
        <is>
          <t xml:space="preserve">Status</t>
        </is>
      </c>
      <c r="E241" s="523">
        <f>MATCH($C241,Run_Map!$B$1:$B$60,0)</f>
        <v>30</v>
      </c>
      <c r="F241" s="372" t="str">
        <f>'Control Panel'!$O$306</f>
        <v>ALL OK</v>
      </c>
      <c r="G241" s="372" t="str">
        <f>'Control Panel'!$O$307</f>
        <v>ALL OK / OK</v>
      </c>
      <c r="H241" s="372" t="str">
        <f>'Control Panel'!$O$308</f>
        <v>ALL OK / OK</v>
      </c>
      <c r="I241" s="372" t="str">
        <f>'Control Panel'!$O$309</f>
        <v>ALL OK</v>
      </c>
      <c r="J241" s="372" t="str">
        <f>'Control Panel'!$O$310</f>
        <v>ALL OK</v>
      </c>
      <c r="K241" s="372" t="str">
        <f>'Control Panel'!$O$311</f>
        <v>ALL OK</v>
      </c>
      <c r="L241" s="372" t="str">
        <f>'Control Panel'!$O$312</f>
        <v>ALL OK / OK</v>
      </c>
      <c r="M241" s="372" t="str">
        <f>'Control Panel'!$O$313</f>
        <v>ALL OK / OK</v>
      </c>
      <c r="N241" s="372" t="str">
        <f>'Control Panel'!$O$314</f>
        <v>ALL OK</v>
      </c>
      <c r="O241" s="372" t="str">
        <f>'Control Panel'!$O$315</f>
        <v>ALL OK</v>
      </c>
      <c r="P241" s="372" t="str">
        <f>'Control Panel'!$O$316</f>
        <v>ALL OK</v>
      </c>
      <c r="Q241" s="372" t="str">
        <f>'Control Panel'!$O$317</f>
        <v>ALL OK / OK</v>
      </c>
      <c r="R241" s="372" t="str">
        <f>'Control Panel'!$O$318</f>
        <v>ALL OK / OK</v>
      </c>
      <c r="S241" s="372" t="str">
        <f>'Control Panel'!$O$319</f>
        <v>ALL OK</v>
      </c>
      <c r="T241" s="372" t="str">
        <f>'Control Panel'!$O$320</f>
        <v>ALL OK</v>
      </c>
      <c r="U241" s="372" t="str">
        <f>'Control Panel'!$O$321</f>
        <v>ALL OK</v>
      </c>
      <c r="V241" s="372" t="str">
        <f>'Control Panel'!$O$322</f>
        <v>ALL OK / OK</v>
      </c>
      <c r="W241" s="372" t="str">
        <f>'Control Panel'!$O$323</f>
        <v>ALL OK / OK</v>
      </c>
      <c r="X241" s="372" t="str">
        <f>'Control Panel'!$O$324</f>
        <v>ALL OK</v>
      </c>
      <c r="Y241" s="372" t="str">
        <f>'Control Panel'!$O$325</f>
        <v>ALL OK</v>
      </c>
      <c r="Z241" s="372" t="str">
        <f>'Control Panel'!$O$326</f>
        <v>ALL OK</v>
      </c>
      <c r="AA241" s="372" t="str">
        <f>'Control Panel'!$O$327</f>
        <v>ALL OK / OK</v>
      </c>
      <c r="AB241" s="372" t="str">
        <f>'Control Panel'!$O$328</f>
        <v>ALL OK / OK</v>
      </c>
      <c r="AC241" s="372" t="str">
        <f>'Control Panel'!$O$329</f>
        <v>ALL OK</v>
      </c>
      <c r="AD241" s="372" t="str">
        <f>'Control Panel'!$O$330</f>
        <v>ALL OK</v>
      </c>
    </row>
    <row r="242">
      <c r="C242" s="360" t="inlineStr">
        <is>
          <t xml:space="preserve">Distributable &lt; 0: FEP's loss beyond its JV share (developer floor)</t>
        </is>
      </c>
      <c r="D242" s="411" t="inlineStr">
        <is>
          <t xml:space="preserve">k€</t>
        </is>
      </c>
      <c r="E242" s="523">
        <f>MATCH($C242,Run_Map!$B$1:$B$60,0)</f>
        <v>54</v>
      </c>
      <c r="F242" s="525">
        <f>'Control Panel'!$AJ$306</f>
        <v>0</v>
      </c>
      <c r="G242" s="525">
        <f>'Control Panel'!$AJ$307</f>
        <v>0</v>
      </c>
      <c r="H242" s="525">
        <f>'Control Panel'!$AJ$308</f>
        <v>0</v>
      </c>
      <c r="I242" s="523" t="str">
        <f>'Control Panel'!$AJ$309</f>
        <v>–</v>
      </c>
      <c r="J242" s="523" t="str">
        <f>'Control Panel'!$AJ$310</f>
        <v>–</v>
      </c>
      <c r="K242" s="525">
        <f>'Control Panel'!$AJ$311</f>
        <v>0</v>
      </c>
      <c r="L242" s="525">
        <f>'Control Panel'!$AJ$312</f>
        <v>0</v>
      </c>
      <c r="M242" s="525">
        <f>'Control Panel'!$AJ$313</f>
        <v>0</v>
      </c>
      <c r="N242" s="523" t="str">
        <f>'Control Panel'!$AJ$314</f>
        <v>–</v>
      </c>
      <c r="O242" s="523" t="str">
        <f>'Control Panel'!$AJ$315</f>
        <v>–</v>
      </c>
      <c r="P242" s="525">
        <f>'Control Panel'!$AJ$316</f>
        <v>0</v>
      </c>
      <c r="Q242" s="525">
        <f>'Control Panel'!$AJ$317</f>
        <v>0</v>
      </c>
      <c r="R242" s="525">
        <f>'Control Panel'!$AJ$318</f>
        <v>0</v>
      </c>
      <c r="S242" s="523" t="str">
        <f>'Control Panel'!$AJ$319</f>
        <v>–</v>
      </c>
      <c r="T242" s="523" t="str">
        <f>'Control Panel'!$AJ$320</f>
        <v>–</v>
      </c>
      <c r="U242" s="525">
        <f>'Control Panel'!$AJ$321</f>
        <v>702.2000843899177</v>
      </c>
      <c r="V242" s="525">
        <f>'Control Panel'!$AJ$322</f>
        <v>0</v>
      </c>
      <c r="W242" s="525">
        <f>'Control Panel'!$AJ$323</f>
        <v>0</v>
      </c>
      <c r="X242" s="523" t="str">
        <f>'Control Panel'!$AJ$324</f>
        <v>–</v>
      </c>
      <c r="Y242" s="523" t="str">
        <f>'Control Panel'!$AJ$325</f>
        <v>–</v>
      </c>
      <c r="Z242" s="525">
        <f>'Control Panel'!$AJ$326</f>
        <v>0</v>
      </c>
      <c r="AA242" s="525">
        <f>'Control Panel'!$AJ$327</f>
        <v>0</v>
      </c>
      <c r="AB242" s="525">
        <f>'Control Panel'!$AJ$328</f>
        <v>0</v>
      </c>
      <c r="AC242" s="523" t="str">
        <f>'Control Panel'!$AJ$329</f>
        <v>–</v>
      </c>
      <c r="AD242" s="523" t="str">
        <f>'Control Panel'!$AJ$330</f>
        <v>–</v>
      </c>
    </row>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c r="C285" s="356" t="inlineStr">
        <is>
          <t xml:space="preserve">LIVE: the matrix links to the data table on the Control Panel (section f), recalculated by Excel with the workbook – no macro, no snapshot. The tie-out (section 6) therefore reads 'current' unless the table has not been recalculated (F9).</t>
        </is>
      </c>
    </row>
    <row r="286">
      <c r="C286" s="356" t="inlineStr">
        <is>
          <t xml:space="preserve">n/a in a cell: the metric does not exist for that route – RtB sale: no construction (capex, debt, LCOE, DSCR); sale at COD: no operation (LCOE, DSCR); hold to maturity: no exit price.</t>
        </is>
      </c>
    </row>
    <row r="287">
      <c r="C287" s="356" t="inlineStr">
        <is>
          <t xml:space="preserve">Score: European total on the EU routes, Chinese total on the CN routes, the scenario's own turbine on the RtB route.</t>
        </is>
      </c>
    </row>
    <row r="288">
      <c r="C288" s="356" t="inlineStr">
        <is>
          <t xml:space="preserve">Integrity: Run_Map row 30 – MOIC G270 (RtB) / HTM G172 (HTM) / HTM G172 &amp; G358 (sale at COD); the Tender checks (section 7) are inside MOIC G270 and HTM G172 (rows 271 / 173).</t>
        </is>
      </c>
    </row>
    <row r="290">
      <c r="C290" s="447" t="inlineStr">
        <is>
          <t xml:space="preserve">6. Live tie-out – active scenario × route against the matrix (stale marker)</t>
        </is>
      </c>
      <c r="D290" s="447"/>
      <c r="E290" s="447"/>
      <c r="F290" s="447"/>
      <c r="G290" s="447"/>
      <c r="H290" s="447"/>
      <c r="I290" s="447"/>
      <c r="J290" s="447"/>
    </row>
    <row r="291">
      <c r="C291" s="253" t="inlineStr">
        <is>
          <t xml:space="preserve">Item</t>
        </is>
      </c>
      <c r="D291" s="254" t="inlineStr">
        <is>
          <t xml:space="preserve">Unit</t>
        </is>
      </c>
      <c r="E291" s="254" t="inlineStr">
        <is>
          <t xml:space="preserve">Live</t>
        </is>
      </c>
      <c r="F291" s="254" t="inlineStr">
        <is>
          <t xml:space="preserve">Matrix</t>
        </is>
      </c>
      <c r="G291" s="254" t="inlineStr">
        <is>
          <t xml:space="preserve">Rel. difference</t>
        </is>
      </c>
      <c r="H291" s="254" t="inlineStr">
        <is>
          <t xml:space="preserve">Note</t>
        </is>
      </c>
      <c r="I291" s="254"/>
      <c r="J291" s="254"/>
    </row>
    <row r="292">
      <c r="C292" s="360" t="inlineStr">
        <is>
          <t xml:space="preserve">Route of the active case (position in row 226)</t>
        </is>
      </c>
      <c r="D292" s="411" t="inlineStr">
        <is>
          <t xml:space="preserve">#</t>
        </is>
      </c>
      <c r="E292" s="523">
        <f>MATCH(Inputs!$E$6,$F$226:$J$226,0)</f>
        <v>1</v>
      </c>
    </row>
    <row r="293">
      <c r="C293" s="360" t="inlineStr">
        <is>
          <t xml:space="preserve">Run_Map result column of that route</t>
        </is>
      </c>
      <c r="D293" s="411" t="inlineStr">
        <is>
          <t xml:space="preserve">#</t>
        </is>
      </c>
      <c r="E293" s="523">
        <f>INDEX($F$227:$J$227,$E$292)</f>
        <v>1</v>
      </c>
    </row>
    <row r="294">
      <c r="C294" s="360" t="inlineStr">
        <is>
          <t xml:space="preserve">Matrix column of the active scenario × route (1–25)</t>
        </is>
      </c>
      <c r="D294" s="411" t="inlineStr">
        <is>
          <t xml:space="preserve">#</t>
        </is>
      </c>
      <c r="E294" s="523">
        <f>$E$5*COLUMNS($F$226:$J$226)+$E$292</f>
        <v>1</v>
      </c>
    </row>
    <row r="295">
      <c r="C295" s="360" t="inlineStr">
        <is>
          <t xml:space="preserve">Matrix row of the block title (relative to row 229)</t>
        </is>
      </c>
      <c r="D295" s="411" t="inlineStr">
        <is>
          <t xml:space="preserve">#</t>
        </is>
      </c>
      <c r="E295" s="523">
        <f>MATCH(Inputs!$E$279,$C$229:$C$242,0)</f>
        <v>1</v>
      </c>
    </row>
    <row r="296">
      <c r="C296" s="360" t="inlineStr">
        <is>
          <t xml:space="preserve">Route applies (RtB availability, row 48)</t>
        </is>
      </c>
      <c r="D296" s="411" t="inlineStr">
        <is>
          <t xml:space="preserve">1 / 0</t>
        </is>
      </c>
      <c r="E296" s="523">
        <f>IF($E$292=1,$J$48,1)</f>
        <v>1</v>
      </c>
    </row>
    <row r="297">
      <c r="C297" s="360" t="inlineStr">
        <is>
          <t xml:space="preserve">Turbine of the active route (1 = European)</t>
        </is>
      </c>
      <c r="D297" s="411" t="inlineStr">
        <is>
          <t xml:space="preserve">1 / 0</t>
        </is>
      </c>
      <c r="E297" s="523">
        <f>INDEX($F$228:$AD$228,$E$294)</f>
        <v>1</v>
      </c>
    </row>
    <row r="298">
      <c r="C298" s="360" t="inlineStr">
        <is>
          <t xml:space="preserve">Tender score</t>
        </is>
      </c>
      <c r="D298" s="411" t="inlineStr">
        <is>
          <t xml:space="preserve">points</t>
        </is>
      </c>
      <c r="E298" s="519">
        <f>IF($E$297=1,$J$84,$J$85)</f>
        <v>36</v>
      </c>
      <c r="F298" s="517">
        <f>INDEX($F$229:$AD$242,$E$295+MATCH($C298,$C$230:$C$242,0),$E$294)</f>
        <v>36</v>
      </c>
      <c r="G298" s="349">
        <f>IFERROR(ABS(E298-F298)/MAX(1,ABS(F298)),(E298&amp;""&lt;&gt;F298&amp;"")*1)</f>
        <v>0</v>
      </c>
    </row>
    <row r="299">
      <c r="C299" s="360" t="inlineStr">
        <is>
          <t xml:space="preserve">FEP net profit (post-tax)</t>
        </is>
      </c>
      <c r="D299" s="411" t="inlineStr">
        <is>
          <t xml:space="preserve">k€</t>
        </is>
      </c>
      <c r="E299" s="517">
        <f>INDEX(Run_Map!$C$1:$F$60,MATCH($C299,Run_Map!$B$1:$B$60,0),$E$293)</f>
        <v>15173.724494515496</v>
      </c>
      <c r="F299" s="517">
        <f>INDEX($F$229:$AD$242,$E$295+MATCH($C299,$C$230:$C$242,0),$E$294)</f>
        <v>15173.724494515496</v>
      </c>
      <c r="G299" s="349">
        <f>IFERROR(ABS(E299-F299)/MAX(1,ABS(F299)),(E299&amp;""&lt;&gt;F299&amp;"")*1)</f>
        <v>0</v>
      </c>
    </row>
    <row r="300">
      <c r="C300" s="360" t="inlineStr">
        <is>
          <t xml:space="preserve">FEP IRR (post-tax)</t>
        </is>
      </c>
      <c r="D300" s="411" t="inlineStr">
        <is>
          <t xml:space="preserve">%</t>
        </is>
      </c>
      <c r="E300" s="520">
        <f>INDEX(Run_Map!$C$1:$F$60,MATCH($C300,Run_Map!$B$1:$B$60,0),$E$293)</f>
        <v>0.20894449022377323</v>
      </c>
      <c r="F300" s="520">
        <f>INDEX($F$229:$AD$242,$E$295+MATCH($C300,$C$230:$C$242,0),$E$294)</f>
        <v>0.20894449022377323</v>
      </c>
      <c r="G300" s="349">
        <f>IFERROR(ABS(E300-F300)/MAX(1,ABS(F300)),(E300&amp;""&lt;&gt;F300&amp;"")*1)</f>
        <v>0</v>
      </c>
    </row>
    <row r="301">
      <c r="C301" s="360" t="inlineStr">
        <is>
          <t xml:space="preserve">FEP NPV (post-tax)</t>
        </is>
      </c>
      <c r="D301" s="411" t="inlineStr">
        <is>
          <t xml:space="preserve">k€</t>
        </is>
      </c>
      <c r="E301" s="517">
        <f>INDEX(Run_Map!$C$1:$F$60,MATCH($C301,Run_Map!$B$1:$B$60,0),$E$293)</f>
        <v>7253.356399284837</v>
      </c>
      <c r="F301" s="517">
        <f>INDEX($F$229:$AD$242,$E$295+MATCH($C301,$C$230:$C$242,0),$E$294)</f>
        <v>7253.356399284837</v>
      </c>
      <c r="G301" s="349">
        <f>IFERROR(ABS(E301-F301)/MAX(1,ABS(F301)),(E301&amp;""&lt;&gt;F301&amp;"")*1)</f>
        <v>0</v>
      </c>
    </row>
    <row r="302">
      <c r="C302" s="360" t="inlineStr">
        <is>
          <t xml:space="preserve">Integrity checks</t>
        </is>
      </c>
      <c r="D302" s="411" t="inlineStr">
        <is>
          <t xml:space="preserve">Status</t>
        </is>
      </c>
      <c r="E302" s="523" t="str">
        <f>INDEX(Run_Map!$C$1:$F$60,MATCH($C302,Run_Map!$B$1:$B$60,0),$E$293)</f>
        <v>ALL OK</v>
      </c>
      <c r="F302" s="523" t="str">
        <f>INDEX($F$229:$AD$242,$E$295+MATCH($C302,$C$230:$C$242,0),$E$294)</f>
        <v>ALL OK</v>
      </c>
      <c r="G302" s="349">
        <f>IFERROR(ABS(E302-F302)/MAX(1,ABS(F302)),(E302&amp;""&lt;&gt;F302&amp;"")*1)</f>
        <v>0</v>
      </c>
    </row>
    <row r="303">
      <c r="C303" s="360" t="inlineStr">
        <is>
          <t xml:space="preserve">Largest relative difference</t>
        </is>
      </c>
      <c r="D303" s="411" t="inlineStr">
        <is>
          <t xml:space="preserve">x</t>
        </is>
      </c>
      <c r="E303" s="349">
        <f>MAX($G$298:$G$302)</f>
        <v>0</v>
      </c>
    </row>
    <row r="304">
      <c r="C304" s="360" t="inlineStr">
        <is>
          <t xml:space="preserve">Matrix status for the active combination (before the route test)</t>
        </is>
      </c>
      <c r="D304" s="411" t="inlineStr">
        <is>
          <t xml:space="preserve">Status</t>
        </is>
      </c>
      <c r="E304" s="522" t="str">
        <f>IF($E$303&lt;=$E$33,"current","STALE – data table not recalculated (press F9)")</f>
        <v>current</v>
      </c>
    </row>
    <row r="305">
      <c r="C305" s="420" t="inlineStr">
        <is>
          <t xml:space="preserve">MATRIX STATUS (stale marker)</t>
        </is>
      </c>
      <c r="D305" s="411" t="inlineStr">
        <is>
          <t xml:space="preserve">Status</t>
        </is>
      </c>
      <c r="E305" s="372" t="str">
        <f>IF($E$296=0,"n/a – route not applicable",$E$304)</f>
        <v>current</v>
      </c>
    </row>
    <row r="307"/>
    <row r="308"/>
    <row r="309"/>
    <row r="310"/>
    <row r="311"/>
    <row r="313">
      <c r="C313" s="447" t="inlineStr">
        <is>
          <t xml:space="preserve">7. Checks – each ties to an independent path (other cells, other sheets); overall → MOIC G271 (in G270) and HTM G173 (in G172)</t>
        </is>
      </c>
      <c r="D313" s="447"/>
      <c r="E313" s="447"/>
      <c r="F313" s="447"/>
      <c r="G313" s="447"/>
      <c r="H313" s="447"/>
      <c r="I313" s="447"/>
      <c r="J313" s="447"/>
    </row>
    <row r="314">
      <c r="C314" s="253" t="inlineStr">
        <is>
          <t xml:space="preserve">Independent recomputations used by the checks</t>
        </is>
      </c>
      <c r="D314" s="254" t="inlineStr">
        <is>
          <t xml:space="preserve">Unit</t>
        </is>
      </c>
      <c r="E314" s="254" t="inlineStr">
        <is>
          <t xml:space="preserve">Value</t>
        </is>
      </c>
      <c r="F314" s="254" t="inlineStr">
        <is>
          <t xml:space="preserve">How</t>
        </is>
      </c>
      <c r="G314" s="254"/>
      <c r="H314" s="254"/>
      <c r="I314" s="254"/>
      <c r="J314" s="254"/>
    </row>
    <row r="315">
      <c r="C315" s="360" t="inlineStr">
        <is>
          <t xml:space="preserve">Clip from the model's own gross / net MW (Inputs E29 ÷ E18)</t>
        </is>
      </c>
      <c r="D315" s="411" t="inlineStr">
        <is>
          <t xml:space="preserve">%</t>
        </is>
      </c>
      <c r="E315" s="520">
        <f>$E$28*(MAX(0,Inputs!$E$29/Inputs!$E$18-1)/$E$27)^2</f>
        <v>0.046512499999999984</v>
      </c>
      <c r="F315" s="388" t="inlineStr">
        <is>
          <t xml:space="preserve">not from the scenario block</t>
        </is>
      </c>
    </row>
    <row r="316">
      <c r="C316" s="360" t="inlineStr">
        <is>
          <t xml:space="preserve">COD price per gross MW of the active case – scenario price × (1 − independent clip)</t>
        </is>
      </c>
      <c r="D316" s="411" t="inlineStr">
        <is>
          <t xml:space="preserve">k€/MW</t>
        </is>
      </c>
      <c r="E316" s="517">
        <f>($J$23*(Inputs!$E$6=$G$226)+$J$24*(Inputs!$E$6=$H$226))*(1-$E$315)</f>
        <v>0</v>
      </c>
      <c r="F316" s="388" t="inlineStr">
        <is>
          <t xml:space="preserve">0 outside cases 7 / 8; not via Inputs M230 / N230</t>
        </is>
      </c>
    </row>
    <row r="317">
      <c r="C317" s="360" t="inlineStr">
        <is>
          <t xml:space="preserve">RtB sale date per the MOIC grid (period end of the sale-flag month, MOIC rows 5 / 7)</t>
        </is>
      </c>
      <c r="D317" s="411" t="inlineStr">
        <is>
          <t xml:space="preserve">Date</t>
        </is>
      </c>
      <c r="E317" s="212">
        <f>INDEX(MOIC!$H$5:$BP$5,MATCH(1,MOIC!$H$7:$BP$7,0))</f>
        <v>47573</v>
      </c>
    </row>
    <row r="318">
      <c r="C318" s="360" t="inlineStr">
        <is>
          <t xml:space="preserve">COD year per HTM (last year with a construction share, HTM rows 5 / 7)</t>
        </is>
      </c>
      <c r="D318" s="411" t="inlineStr">
        <is>
          <t xml:space="preserve">Year</t>
        </is>
      </c>
      <c r="E318" s="523">
        <f>SUMPRODUCT(MAX((HTM!$H$7:$AQ$7&gt;0)*HTM!$H$5:$AQ$5))</f>
        <v>2031</v>
      </c>
    </row>
    <row r="319">
      <c r="C319" s="360" t="inlineStr">
        <is>
          <t xml:space="preserve">Interest pause: MOIC interest booked in months inside the window (rows 82 + 111 + 118 + 126 + 136)</t>
        </is>
      </c>
      <c r="D319" s="411" t="inlineStr">
        <is>
          <t xml:space="preserve">k€</t>
        </is>
      </c>
      <c r="E319" s="517">
        <f>SUMPRODUCT((MOIC!$H$5:$BP$5&gt;Inputs!$E$64)*(MOIC!$H$5:$BP$5&lt;Inputs!$E$73)*(MOIC!$H$82:$BP$82+MOIC!$H$111:$BP$111+MOIC!$H$118:$BP$118+MOIC!$H$126:$BP$126+MOIC!$H$136:$BP$136))</f>
        <v>0</v>
      </c>
      <c r="F319" s="388" t="inlineStr">
        <is>
          <t xml:space="preserve">0 expected – outcome, not the flag row</t>
        </is>
      </c>
    </row>
    <row r="320">
      <c r="C320" s="360" t="inlineStr">
        <is>
          <t xml:space="preserve">Interest pause: Deposits factors ≠ product of the two segments (RtB X = Z × AB, COD AE = AC × AD)</t>
        </is>
      </c>
      <c r="D320" s="411" t="inlineStr">
        <is>
          <t xml:space="preserve">x</t>
        </is>
      </c>
      <c r="E320" s="349">
        <f>SUMPRODUCT(ABS(Deposits!$X$7:$X$18-Deposits!$Z$7:$Z$18*Deposits!$AB$7:$AB$18))+SUMPRODUCT(ABS(Deposits!$AE$7:$AE$18-Deposits!$AC$7:$AC$18*Deposits!$AD$7:$AD$18))</f>
        <v>0</v>
      </c>
      <c r="F320" s="388" t="inlineStr">
        <is>
          <t xml:space="preserve">0 expected</t>
        </is>
      </c>
    </row>
    <row r="321">
      <c r="C321" s="360" t="inlineStr">
        <is>
          <t xml:space="preserve">Interest pause: segment dates vs Inputs E58 / E155 / E64 / E73, and lines with 0 accrual days (Deposits AG) must have factor 1</t>
        </is>
      </c>
      <c r="D321" s="411" t="inlineStr">
        <is>
          <t xml:space="preserve">days / x</t>
        </is>
      </c>
      <c r="E321" s="349">
        <f>ABS(Deposits!$Z$6-MIN(Inputs!$E$58,Inputs!$E$64))+ABS(Deposits!$AC$6-MIN(Inputs!$E$155,Inputs!$E$64))+ABS(Deposits!$AA$6-Inputs!$E$73)+SUMPRODUCT((Deposits!$AG$7:$AG$18=0)*ABS(Deposits!$X$7:$X$18-1))</f>
        <v>0</v>
      </c>
      <c r="F321" s="388" t="inlineStr">
        <is>
          <t xml:space="preserve">0 expected</t>
        </is>
      </c>
    </row>
    <row r="322">
      <c r="C322" s="360" t="inlineStr">
        <is>
          <t xml:space="preserve">Interest pause: pause end before the pause start (Inputs E73 &lt; E64), days – review S5</t>
        </is>
      </c>
      <c r="D322" s="411" t="inlineStr">
        <is>
          <t xml:space="preserve">days</t>
        </is>
      </c>
      <c r="E322" s="349">
        <f>MAX(0,Inputs!$E$64-Inputs!$E$73)</f>
        <v>0</v>
      </c>
      <c r="F322" s="388" t="inlineStr">
        <is>
          <t xml:space="preserve">0 expected (Inputs G73 also has a date validation ≥ G64)</t>
        </is>
      </c>
    </row>
    <row r="323">
      <c r="C323" s="253" t="inlineStr">
        <is>
          <t xml:space="preserve">Check</t>
        </is>
      </c>
      <c r="D323" s="254" t="inlineStr">
        <is>
          <t xml:space="preserve">Status</t>
        </is>
      </c>
      <c r="E323" s="254" t="inlineStr">
        <is>
          <t xml:space="preserve">Status</t>
        </is>
      </c>
      <c r="F323" s="254" t="inlineStr">
        <is>
          <t xml:space="preserve">How</t>
        </is>
      </c>
      <c r="G323" s="254"/>
      <c r="H323" s="254"/>
      <c r="I323" s="254"/>
      <c r="J323" s="254"/>
    </row>
    <row r="324">
      <c r="C324" s="360" t="inlineStr">
        <is>
          <t xml:space="preserve">Annex 3 weights sum to 100</t>
        </is>
      </c>
      <c r="D324" s="411" t="inlineStr">
        <is>
          <t xml:space="preserve">Status</t>
        </is>
      </c>
      <c r="E324" s="372" t="str">
        <f>IF(SUM($E$153:$E$161)=100,"OK","FAIL")</f>
        <v>OK</v>
      </c>
      <c r="F324" s="388" t="inlineStr">
        <is>
          <t xml:space="preserve">Σ of the weight inputs</t>
        </is>
      </c>
    </row>
    <row r="325">
      <c r="C325" s="360" t="inlineStr">
        <is>
          <t xml:space="preserve">Annex 4 band tables strictly ascending (5 tables)</t>
        </is>
      </c>
      <c r="D325" s="411" t="inlineStr">
        <is>
          <t xml:space="preserve">Status</t>
        </is>
      </c>
      <c r="E325" s="372" t="str">
        <f>IF(COUNTIF($H$91:$H$139,"FAIL")=0,"OK","FAIL")</f>
        <v>OK</v>
      </c>
      <c r="F325" s="388" t="inlineStr">
        <is>
          <t xml:space="preserve">Each table's own test in column H of its title row</t>
        </is>
      </c>
    </row>
    <row r="326">
      <c r="C326" s="360" t="inlineStr">
        <is>
          <t xml:space="preserve">EU totals (row 84, all five strategies) = Σ inner points × weight ÷ 100 (row 88)</t>
        </is>
      </c>
      <c r="D326" s="411" t="inlineStr">
        <is>
          <t xml:space="preserve">Status</t>
        </is>
      </c>
      <c r="E326" s="372" t="str">
        <f>IF(SUMPRODUCT(ABS($E$84:$I$84-$E$88:$I$88))&lt;=$E$32,"OK","FAIL")</f>
        <v>OK</v>
      </c>
      <c r="F326" s="388" t="inlineStr">
        <is>
          <t xml:space="preserve">Second path from the inner points and the weight table</t>
        </is>
      </c>
    </row>
    <row r="327">
      <c r="C327" s="360" t="inlineStr">
        <is>
          <t xml:space="preserve">Inputs G20 / G282 / G297 = BESS / gross wind of the active strategy (Tender J41 / J40)</t>
        </is>
      </c>
      <c r="D327" s="411" t="inlineStr">
        <is>
          <t xml:space="preserve">Status</t>
        </is>
      </c>
      <c r="E327" s="372" t="str">
        <f>IF(ABS(Inputs!$G$282-$J$41)+ABS(Inputs!$G$20-$J$41)+ABS(Inputs!$G$297-$J$40)&lt;=$E$32,"OK","FAIL")</f>
        <v>OK</v>
      </c>
      <c r="F327" s="388" t="inlineStr">
        <is>
          <t xml:space="preserve">Destination vs source (catches a typed override)</t>
        </is>
      </c>
    </row>
    <row r="328">
      <c r="C328" s="360" t="inlineStr">
        <is>
          <t xml:space="preserve">Inputs G233 / G234 / G21 / G90 = active scenario commitments</t>
        </is>
      </c>
      <c r="D328" s="411" t="inlineStr">
        <is>
          <t xml:space="preserve">Status</t>
        </is>
      </c>
      <c r="E328" s="372" t="str">
        <f>IF(ABS(Inputs!$G$233-$J$12)+ABS(Inputs!$G$234-$J$13)+ABS(Inputs!$G$21-$J$16)+ABS(Inputs!$G$90-$J$17)&lt;=$E$32,"OK","FAIL")</f>
        <v>OK</v>
      </c>
      <c r="F328" s="388" t="inlineStr">
        <is>
          <t xml:space="preserve">Destination vs source</t>
        </is>
      </c>
    </row>
    <row r="329">
      <c r="C329" s="360" t="inlineStr">
        <is>
          <t xml:space="preserve">Inputs M230 / N230 / N167 = COD prices of the active scenario and CN substation</t>
        </is>
      </c>
      <c r="D329" s="411" t="inlineStr">
        <is>
          <t xml:space="preserve">Status</t>
        </is>
      </c>
      <c r="E329" s="372" t="str">
        <f>IF(ABS(Inputs!$M$230-$J$46)+ABS(Inputs!$N$230-$J$47)+ABS(Inputs!$N$167-Inputs!$G$167*(1-$E$29))&lt;=$E$32,"OK","FAIL")</f>
        <v>OK</v>
      </c>
      <c r="F329" s="388" t="inlineStr">
        <is>
          <t xml:space="preserve">Destination vs source</t>
        </is>
      </c>
    </row>
    <row r="330">
      <c r="C330" s="360" t="inlineStr">
        <is>
          <t xml:space="preserve">Clipping applied once: HTM E36 = hours × (1 − haircut) × (1 − curtailment) × yield × (1 − clip of E315)</t>
        </is>
      </c>
      <c r="D330" s="411" t="inlineStr">
        <is>
          <t xml:space="preserve">Status</t>
        </is>
      </c>
      <c r="E330" s="372" t="str">
        <f>IF(ABS(HTM!$E$36-Inputs!$E$179*(1-Inputs!$E$180)*(1-Inputs!$E$181)*Inputs!$E$183*(1-$E$315))&lt;=$E$32,"OK","FAIL")</f>
        <v>OK</v>
      </c>
      <c r="F330" s="388" t="inlineStr">
        <is>
          <t xml:space="preserve">Clip recomputed from Inputs E29 / E18</t>
        </is>
      </c>
    </row>
    <row r="331">
      <c r="C331" s="360" t="inlineStr">
        <is>
          <t xml:space="preserve">RtB proceeds: MOIC G143 = effective premium (E216) × premium-basis MW (Inputs E150 = E18 or E29 per E149)</t>
        </is>
      </c>
      <c r="D331" s="411" t="inlineStr">
        <is>
          <t xml:space="preserve">Status</t>
        </is>
      </c>
      <c r="E331" s="372" t="str">
        <f>IF(ABS(MOIC!$G$143-$E$216*CHOOSE(Inputs!$E$149+1,Inputs!$E$18,Inputs!$E$29))&lt;=$E$32,"OK","FAIL")</f>
        <v>OK</v>
      </c>
      <c r="F331" s="388" t="inlineStr">
        <is>
          <t xml:space="preserve">MOIC side vs Tender side</t>
        </is>
      </c>
    </row>
    <row r="332">
      <c r="C332" s="360" t="inlineStr">
        <is>
          <t xml:space="preserve">Δ municipal (E190) = −HTM G29 − reference k€/MW × Inputs E18</t>
        </is>
      </c>
      <c r="D332" s="411" t="inlineStr">
        <is>
          <t xml:space="preserve">Status</t>
        </is>
      </c>
      <c r="E332" s="372" t="str">
        <f>IF(ABS($E$190+HTM!$G$29+$E$185*Inputs!$E$18)&lt;=$E$32,"OK","FAIL")</f>
        <v>OK</v>
      </c>
      <c r="F332" s="388" t="inlineStr">
        <is>
          <t xml:space="preserve">Against the HTM capex row</t>
        </is>
      </c>
    </row>
    <row r="333">
      <c r="C333" s="360" t="inlineStr">
        <is>
          <t xml:space="preserve">Δ community × Σ generation (row 201) = −(HTM G59 + reference €/MWh × HTM G38)</t>
        </is>
      </c>
      <c r="D333" s="411" t="inlineStr">
        <is>
          <t xml:space="preserve">Status</t>
        </is>
      </c>
      <c r="E333" s="372" t="str">
        <f>IF(ABS($E$206*SUM($H$201:$AQ$201)+HTM!$G$59+$E$186*HTM!$G$38)&lt;=$E$32,"OK","FAIL")</f>
        <v>OK</v>
      </c>
      <c r="F333" s="388" t="inlineStr">
        <is>
          <t xml:space="preserve">Against the HTM opex row (undiscounted)</t>
        </is>
      </c>
    </row>
    <row r="334">
      <c r="C334" s="360" t="inlineStr">
        <is>
          <t xml:space="preserve">Δ performance bond k€ (E194) = Δ mHUF × Deposits' own k€ factor (M10 ÷ J10)</t>
        </is>
      </c>
      <c r="D334" s="411" t="inlineStr">
        <is>
          <t xml:space="preserve">Status</t>
        </is>
      </c>
      <c r="E334" s="372" t="str">
        <f>IF(ABS($E$194-($E$192-$E$193)*Deposits!$M$10/Deposits!$J$10)&lt;=$E$32,"OK","FAIL")</f>
        <v>OK</v>
      </c>
      <c r="F334" s="388" t="inlineStr">
        <is>
          <t xml:space="preserve">Unit conversion via Deposits</t>
        </is>
      </c>
    </row>
    <row r="335">
      <c r="C335" s="360" t="inlineStr">
        <is>
          <t xml:space="preserve">Discounting dates: RtB sale date = MOIC sale month (E317), COD year = HTM (E318)</t>
        </is>
      </c>
      <c r="D335" s="411" t="inlineStr">
        <is>
          <t xml:space="preserve">Status</t>
        </is>
      </c>
      <c r="E335" s="372" t="str">
        <f>IF(AND($E$177=$E$317,YEAR($E$178)=$E$318),"OK","FAIL")</f>
        <v>OK</v>
      </c>
      <c r="F335" s="388" t="inlineStr">
        <is>
          <t xml:space="preserve">Dates from the MOIC and HTM grids</t>
        </is>
      </c>
    </row>
    <row r="336">
      <c r="C336" s="360" t="inlineStr">
        <is>
          <t xml:space="preserve">COD price: HTM G340 = E316 × gross MW (J40 ÷ J37 × successful net MW Inputs E18) + COD adjustment (cases 7 / 8)</t>
        </is>
      </c>
      <c r="D336" s="411" t="inlineStr">
        <is>
          <t xml:space="preserve">Status</t>
        </is>
      </c>
      <c r="E336" s="372" t="str">
        <f>IF(ABS(HTM!$G$340-$E$316*IFERROR($J$40/$J$37,0)*Inputs!$E$18-$E$219*($E$316&gt;0))&lt;=$E$32,"OK","FAIL")</f>
        <v>OK</v>
      </c>
      <c r="F336" s="388" t="inlineStr">
        <is>
          <t xml:space="preserve">Not via Inputs E230 / E29 (gross ratio from Tender, MW from E18)</t>
        </is>
      </c>
    </row>
    <row r="337">
      <c r="C337" s="360" t="inlineStr">
        <is>
          <t xml:space="preserve">COD route: conservation (HTM G374), JV split / Stage-1 returns (G377), success fee (G378), repaid principal (G379)</t>
        </is>
      </c>
      <c r="D337" s="411" t="inlineStr">
        <is>
          <t xml:space="preserve">Status</t>
        </is>
      </c>
      <c r="E337" s="372" t="str">
        <f>IF(AND(HTM!$G$374="OK",HTM!$G$377="OK",HTM!$G$378="OK",HTM!$G$379="OK"),"OK","FAIL")</f>
        <v>OK</v>
      </c>
      <c r="F337" s="388" t="inlineStr">
        <is>
          <t xml:space="preserve">HTM block 17b: conservation + allocation ties</t>
        </is>
      </c>
    </row>
    <row r="338">
      <c r="C338" s="360" t="inlineStr">
        <is>
          <t xml:space="preserve">S1 current bid (E5 = 0) = reference: no price adjustments when E5 = 0; S0 zero bid (E5 = 4) shows a positive price effect</t>
        </is>
      </c>
      <c r="D338" s="411" t="inlineStr">
        <is>
          <t xml:space="preserve">Status</t>
        </is>
      </c>
      <c r="E338" s="372" t="str">
        <f>IF(OR($E$5&gt;0,ABS($E$213)+ABS($E$219)&lt;=$E$32),"OK","FAIL")</f>
        <v>OK</v>
      </c>
      <c r="F338" s="388" t="inlineStr">
        <is>
          <t xml:space="preserve">Reference commitments = S1 current bid (column E)</t>
        </is>
      </c>
    </row>
    <row r="339">
      <c r="C339" s="360" t="inlineStr">
        <is>
          <t xml:space="preserve">J2: HTM E21 / E22 (deemed RtB exit) = Inputs E228 × RtB route available (J48)</t>
        </is>
      </c>
      <c r="D339" s="411" t="inlineStr">
        <is>
          <t xml:space="preserve">Status</t>
        </is>
      </c>
      <c r="E339" s="372" t="str">
        <f>IF(ABS(HTM!$E$21-Inputs!$E$228*$J$48)+ABS(HTM!$E$22-Inputs!$E$228*$J$48)&lt;=$E$32,"OK","FAIL")</f>
        <v>OK</v>
      </c>
      <c r="F339" s="388" t="inlineStr">
        <is>
          <t xml:space="preserve">Regression guard: no deemed exit without an RtB route</t>
        </is>
      </c>
    </row>
    <row r="340">
      <c r="C340" s="360" t="inlineStr">
        <is>
          <t xml:space="preserve">Interest pause (Inputs E64 → E73): no MOIC interest inside the window (E319) and the Deposits segment factors (E320), boundary dates / zero-day lines (E321) and pause end ≥ start (E322)</t>
        </is>
      </c>
      <c r="D340" s="411" t="inlineStr">
        <is>
          <t xml:space="preserve">Status</t>
        </is>
      </c>
      <c r="E340" s="372" t="str">
        <f>IF(ABS($E$319)+ABS($E$320)+ABS($E$321)+$E$322&lt;=$E$32,"OK","FAIL")</f>
        <v>OK</v>
      </c>
      <c r="F340" s="388" t="inlineStr">
        <is>
          <t xml:space="preserve">Outcome in the window (MOIC rows 82 / 111 / 118 / 126 / 136) + Deposits columns X, Z:AE</t>
        </is>
      </c>
    </row>
    <row r="341">
      <c r="C341" s="360" t="inlineStr">
        <is>
          <t xml:space="preserve">Waterfalls per BORA_Devex: every claim deducted in full (MOIC G155 = 0) and the developer's share = MAX(−success fee, distributable × Inputs E34) on the RtB (MOIC G154) and COD (HTM G371) routes</t>
        </is>
      </c>
      <c r="D341" s="411" t="inlineStr">
        <is>
          <t xml:space="preserve">Status</t>
        </is>
      </c>
      <c r="E341" s="372" t="str">
        <f>IF(ABS(MOIC!$G$155)+ABS(MOIC!$G$154-MAX(MOIC!$G$151,MOIC!$G$152*Inputs!$E$34))+ABS(HTM!$G$371-MAX(HTM!$G$368,HTM!$G$369*Inputs!$E$34))&lt;=$E$32,"OK","FAIL")</f>
        <v>OK</v>
      </c>
      <c r="F341" s="388" t="inlineStr">
        <is>
          <t xml:space="preserve">G155 recomputes the claims from their source cells; split from Inputs E34, not MOIC E154</t>
        </is>
      </c>
    </row>
    <row r="342">
      <c r="C342" s="360" t="inlineStr">
        <is>
          <t xml:space="preserve">Community purchase right (section 9): FEP's flows after the exercise × (1 − share) + buy-in at paid-in capital – MOIC, HTM hold and sale at COD restated (E371 / E372 / E375); nil when off</t>
        </is>
      </c>
      <c r="D342" s="411" t="inlineStr">
        <is>
          <t xml:space="preserve">Status</t>
        </is>
      </c>
      <c r="E342" s="372" t="str">
        <f>IF(ABS(SUM(MOIC!$G$284:$G$286)-$E$371)+ABS(SUM(HTM!$H$129:$AQ$129)-HTM!$E$128*SUM(HTM!$H$123:$AQ$123)-$E$372)+ABS($E$376-$E$375)&lt;=$E$32,"OK","FAIL")</f>
        <v>OK</v>
      </c>
      <c r="F342" s="388" t="inlineStr">
        <is>
          <t xml:space="preserve">SUMPRODUCT masks on the FEP flow rows (not the community rows)</t>
        </is>
      </c>
    </row>
    <row r="343">
      <c r="C343" s="420" t="inlineStr">
        <is>
          <t xml:space="preserve">TENDER CHECKS – OVERALL (→ MOIC G271, HTM G173)</t>
        </is>
      </c>
      <c r="D343" s="411" t="inlineStr">
        <is>
          <t xml:space="preserve">Status</t>
        </is>
      </c>
      <c r="E343" s="372" t="str">
        <f>IF(COUNTIF($E$324:$E$342,"OK")=ROWS($E$324:$E$342),"OK","FAIL")</f>
        <v>OK</v>
      </c>
    </row>
    <row r="344">
      <c r="C344" s="360" t="inlineStr">
        <is>
          <t xml:space="preserve">Returns matrix complete (numeric IRR in every applicable cell; not part of the model checks)</t>
        </is>
      </c>
      <c r="D344" s="411" t="inlineStr">
        <is>
          <t xml:space="preserve">Status</t>
        </is>
      </c>
      <c r="E344" s="372" t="str">
        <f>IF(COUNT($F$236:$AD$236)=COLUMNS($F$226:$AD$226)-(1-$E$48)*COLUMNS($E$10:$I$10),"OK","INCOMPLETE")</f>
        <v>OK</v>
      </c>
    </row>
    <row r="346">
      <c r="C346" s="447" t="inlineStr">
        <is>
          <t xml:space="preserve">8. Tender eligibility – company-group capacity caps (kiírás V.6 / V.7, VII.17, VII.36; GYIK 52). An ELIGIBILITY flag only – not part of the model checks (MOIC G270, HTM G172, Tender E343)</t>
        </is>
      </c>
      <c r="D346" s="447"/>
      <c r="E346" s="447"/>
      <c r="F346" s="447"/>
      <c r="G346" s="447"/>
      <c r="H346" s="447"/>
      <c r="I346" s="447"/>
      <c r="J346" s="447"/>
    </row>
    <row r="347">
      <c r="C347" s="253" t="inlineStr">
        <is>
          <t xml:space="preserve">Item</t>
        </is>
      </c>
      <c r="D347" s="254" t="inlineStr">
        <is>
          <t xml:space="preserve">Unit</t>
        </is>
      </c>
      <c r="E347" s="254" t="str">
        <f>Inputs!$G$279</f>
        <v>Bora</v>
      </c>
      <c r="F347" s="254" t="inlineStr">
        <is>
          <t xml:space="preserve">Other bids – this node</t>
        </is>
      </c>
      <c r="G347" s="254" t="inlineStr">
        <is>
          <t xml:space="preserve">Other bids – total</t>
        </is>
      </c>
      <c r="I347" s="254" t="inlineStr">
        <is>
          <t xml:space="preserve">Group total</t>
        </is>
      </c>
      <c r="J347" s="254" t="inlineStr">
        <is>
          <t xml:space="preserve">Note</t>
        </is>
      </c>
    </row>
    <row r="348">
      <c r="C348" s="360" t="inlineStr">
        <is>
          <t xml:space="preserve">Same company group (1 = Bora's SPV bids within a company group – the group-total flag then adds the group's other bids, column G)</t>
        </is>
      </c>
      <c r="D348" s="411" t="inlineStr">
        <is>
          <t xml:space="preserve">1 / 0</t>
        </is>
      </c>
      <c r="E348" s="516">
        <f>'Control Panel'!$E$62</f>
        <v>1</v>
      </c>
      <c r="J348" s="388" t="inlineStr">
        <is>
          <t xml:space="preserve">User 09-Oct-26 (GYIK 52): default 1</t>
        </is>
      </c>
    </row>
    <row r="349">
      <c r="C349" s="360" t="inlineStr">
        <is>
          <t xml:space="preserve">Cap per network node on the group's requested capacity (V.7, VII.36)</t>
        </is>
      </c>
      <c r="D349" s="411" t="inlineStr">
        <is>
          <t xml:space="preserve">MVA</t>
        </is>
      </c>
      <c r="E349" s="510">
        <v>100</v>
      </c>
      <c r="J349" s="388" t="inlineStr">
        <is>
          <t xml:space="preserve">Kiírás V.7; GYIK 52: several group companies may bid at one node, together ≤ 100 MVA</t>
        </is>
      </c>
    </row>
    <row r="350">
      <c r="C350" s="360" t="inlineStr">
        <is>
          <t xml:space="preserve">Cap on the group's total awarded capacity (V.6)</t>
        </is>
      </c>
      <c r="D350" s="411" t="inlineStr">
        <is>
          <t xml:space="preserve">MVA</t>
        </is>
      </c>
      <c r="E350" s="510">
        <v>200</v>
      </c>
      <c r="J350" s="388" t="inlineStr">
        <is>
          <t xml:space="preserve">Kiírás V.6 / VII.17: above 200 MVA a joint preference-order declaration is required</t>
        </is>
      </c>
    </row>
    <row r="351">
      <c r="C351" s="360" t="inlineStr">
        <is>
          <t xml:space="preserve">Requested capacity at the node: Bora (Annex 1 net MVA, row 37) / the same group's other bids at this node (F) and in total (G) – inputs on the Control Panel</t>
        </is>
      </c>
      <c r="D351" s="411" t="inlineStr">
        <is>
          <t xml:space="preserve">MVA</t>
        </is>
      </c>
      <c r="E351" s="512">
        <f>E37</f>
        <v>200</v>
      </c>
      <c r="F351" s="511">
        <f>'Control Panel'!$E$63</f>
        <v>0</v>
      </c>
      <c r="G351" s="511">
        <f>'Control Panel'!$E$64</f>
        <v>0</v>
      </c>
      <c r="I351" s="518">
        <f>E351+G351</f>
        <v>200</v>
      </c>
      <c r="J351" s="388" t="inlineStr">
        <is>
          <t xml:space="preserve">Column I = Bora + the group's other bids in total</t>
        </is>
      </c>
    </row>
    <row r="352">
      <c r="C352" s="360" t="inlineStr">
        <is>
          <t xml:space="preserve">Node cap exceeded (1 = Bora + the group's other bids at this node &gt; node cap; a single company is its own group)</t>
        </is>
      </c>
      <c r="D352" s="411" t="inlineStr">
        <is>
          <t xml:space="preserve">1 / 0</t>
        </is>
      </c>
      <c r="E352" s="523">
        <f>((E351+F351)&gt;$E$349)*1</f>
        <v>1</v>
      </c>
      <c r="F352" s="388" t="inlineStr">
        <is>
          <t xml:space="preserve">MVA of the same company group's other bids at this node (default 0)</t>
        </is>
      </c>
      <c r="G352" s="388" t="inlineStr">
        <is>
          <t xml:space="preserve">MVA of the same company group's other bids in total (default 0)</t>
        </is>
      </c>
      <c r="I352" s="523">
        <f>E352</f>
        <v>1</v>
      </c>
    </row>
    <row r="353">
      <c r="C353" s="360" t="inlineStr">
        <is>
          <t xml:space="preserve">Node-cap flag</t>
        </is>
      </c>
      <c r="D353" s="411" t="inlineStr">
        <is>
          <t xml:space="preserve">Status</t>
        </is>
      </c>
      <c r="E353" s="522" t="str">
        <f>IF(E352=1,"FLAG – eligibility: "&amp;FIXED(E351+F351,0)&amp;" MVA &gt; "&amp;FIXED($E$349,0)&amp;" MVA node cap (V.7 / VII.36)"&amp;REPT(" – incl. the group's other bids",F351&gt;0),"OK")</f>
        <v>FLAG – eligibility: 200 MVA &gt; 100 MVA node cap (V.7 / VII.36)</v>
      </c>
      <c r="I353" s="522" t="str">
        <f>$E353</f>
        <v>FLAG – eligibility: 200 MVA &gt; 100 MVA node cap (V.7 / VII.36)</v>
      </c>
      <c r="J353" s="388" t="inlineStr">
        <is>
          <t xml:space="preserve">Column I → Control Panel section b</t>
        </is>
      </c>
    </row>
    <row r="354">
      <c r="C354" s="360" t="inlineStr">
        <is>
          <t xml:space="preserve">Group total above the cap (1 = Σ requested &gt; group cap and same group)</t>
        </is>
      </c>
      <c r="D354" s="411" t="inlineStr">
        <is>
          <t xml:space="preserve">1 / 0</t>
        </is>
      </c>
      <c r="E354" s="523">
        <f>($I$351&gt;$E$350)*$E$348</f>
        <v>0</v>
      </c>
    </row>
    <row r="355">
      <c r="C355" s="360" t="inlineStr">
        <is>
          <t xml:space="preserve">Group-total flag</t>
        </is>
      </c>
      <c r="D355" s="411" t="inlineStr">
        <is>
          <t xml:space="preserve">Status</t>
        </is>
      </c>
      <c r="E355" s="522" t="str">
        <f>IF($E$354=1,"Group total "&amp;FIXED($I$351,0)&amp;" MVA &gt; "&amp;FIXED($E$350,0)&amp;" MVA (V.6): at most "&amp;FIXED($E$350,0)&amp;" MVA awardable – preference order (VII.17)","OK")</f>
        <v>OK</v>
      </c>
    </row>
    <row r="356">
      <c r="C356" s="420" t="inlineStr">
        <is>
          <t xml:space="preserve">TENDER ELIGIBILITY – group caps (flag only, not an integrity check)</t>
        </is>
      </c>
      <c r="D356" s="411" t="inlineStr">
        <is>
          <t xml:space="preserve">Status</t>
        </is>
      </c>
      <c r="E356" s="372" t="str">
        <f>IF($I$352+$E$354=0,"OK","FLAG – "&amp;($I$352+$E$354)&amp;" group-cap issue(s), rows 353 / 355")</f>
        <v>FLAG – 1 group-cap issue(s), rows 353 / 355</v>
      </c>
      <c r="F356" s="388" t="inlineStr">
        <is>
          <t xml:space="preserve">Bora is not resized (user 09-Oct-26); the flag stays visible</t>
        </is>
      </c>
    </row>
    <row r="358">
      <c r="C358" s="447" t="inlineStr">
        <is>
          <t xml:space="preserve">9. Community purchase right (kiírás VII.18–VII.25): 25 % of the project company to the designated renewable-energy community at paid-in capital – default off</t>
        </is>
      </c>
      <c r="D358" s="447"/>
      <c r="E358" s="447"/>
      <c r="F358" s="447"/>
      <c r="G358" s="447"/>
      <c r="H358" s="447"/>
      <c r="I358" s="447"/>
      <c r="J358" s="447"/>
    </row>
    <row r="359">
      <c r="C359" s="253" t="inlineStr">
        <is>
          <t xml:space="preserve">Item</t>
        </is>
      </c>
      <c r="D359" s="254" t="inlineStr">
        <is>
          <t xml:space="preserve">Unit</t>
        </is>
      </c>
      <c r="E359" s="254" t="inlineStr">
        <is>
          <t xml:space="preserve">Value</t>
        </is>
      </c>
      <c r="F359" s="254" t="inlineStr">
        <is>
          <t xml:space="preserve">Note</t>
        </is>
      </c>
      <c r="G359" s="254"/>
      <c r="H359" s="254"/>
      <c r="I359" s="254"/>
      <c r="J359" s="254"/>
    </row>
    <row r="360">
      <c r="C360" s="360" t="inlineStr">
        <is>
          <t xml:space="preserve">Community purchase right exercised (1 = on, 0 = off)</t>
        </is>
      </c>
      <c r="D360" s="411" t="inlineStr">
        <is>
          <t xml:space="preserve">1 / 0</t>
        </is>
      </c>
      <c r="E360" s="510">
        <v>0</v>
      </c>
      <c r="F360" s="388" t="inlineStr">
        <is>
          <t xml:space="preserve">The community's option (VII.19–VII.23) – off in the base case</t>
        </is>
      </c>
    </row>
    <row r="361">
      <c r="C361" s="360" t="inlineStr">
        <is>
          <t xml:space="preserve">Share bought by the community</t>
        </is>
      </c>
      <c r="D361" s="411" t="inlineStr">
        <is>
          <t xml:space="preserve">%</t>
        </is>
      </c>
      <c r="E361" s="509">
        <v>0.25</v>
      </c>
      <c r="F361" s="388" t="inlineStr">
        <is>
          <t xml:space="preserve">VII.18 / VII.21: 25 % of the company holding the grid-connection right</t>
        </is>
      </c>
    </row>
    <row r="362">
      <c r="C362" s="360" t="inlineStr">
        <is>
          <t xml:space="preserve">Months from the award decision to the exercise</t>
        </is>
      </c>
      <c r="D362" s="411" t="inlineStr">
        <is>
          <t xml:space="preserve">months</t>
        </is>
      </c>
      <c r="E362" s="510">
        <v>24</v>
      </c>
      <c r="F362" s="388" t="inlineStr">
        <is>
          <t xml:space="preserve">VII.23: the right lapses two years after the award decision becomes final – exercise assumed at the end</t>
        </is>
      </c>
    </row>
    <row r="363">
      <c r="C363" s="360" t="inlineStr">
        <is>
          <t xml:space="preserve">Exercise date (award date Inputs E96 + row 362 months)</t>
        </is>
      </c>
      <c r="D363" s="411" t="inlineStr">
        <is>
          <t xml:space="preserve">Date</t>
        </is>
      </c>
      <c r="E363" s="239">
        <f>EDATE(Inputs!$E$96,$E$362)</f>
        <v>47100</v>
      </c>
      <c r="F363" s="388" t="inlineStr">
        <is>
          <t xml:space="preserve">Award 13/12/2026 + 24 months = 13/12/2028 (review N3: no typed date)</t>
        </is>
      </c>
    </row>
    <row r="364">
      <c r="C364" s="360" t="inlineStr">
        <is>
          <t xml:space="preserve">Live share (switch × share)</t>
        </is>
      </c>
      <c r="D364" s="411" t="inlineStr">
        <is>
          <t xml:space="preserve">%</t>
        </is>
      </c>
      <c r="E364" s="520">
        <f>$E$360*$E$361</f>
        <v>0</v>
      </c>
    </row>
    <row r="365">
      <c r="C365" s="360" t="inlineStr">
        <is>
          <t xml:space="preserve">Exercise month on the MOIC grid (RtB route; month index as MOIC row 4)</t>
        </is>
      </c>
      <c r="D365" s="411" t="inlineStr">
        <is>
          <t xml:space="preserve">#</t>
        </is>
      </c>
      <c r="E365" s="523">
        <f>(YEAR($E$363)-YEAR(Inputs!$E$27))*12+MONTH($E$363)-MONTH(Inputs!$E$27)</f>
        <v>29</v>
      </c>
    </row>
    <row r="366">
      <c r="C366" s="360" t="inlineStr">
        <is>
          <t xml:space="preserve">Exercise year on the HTM grid (annual sheets: effective at the end of this year)</t>
        </is>
      </c>
      <c r="D366" s="411" t="inlineStr">
        <is>
          <t xml:space="preserve">Year</t>
        </is>
      </c>
      <c r="E366" s="523">
        <f>YEAR($E$363)</f>
        <v>2028</v>
      </c>
    </row>
    <row r="367">
      <c r="C367" s="356" t="inlineStr">
        <is>
          <t xml:space="preserve">Modelling: at the exercise the community pays FEP its share × FEP's paid-in capital to date (every FEP contribution except the signing fee and DD costs, which are not capital paid into the company – VII.25), then bears its share of every later FEP flow (further capital, VII.25, and the exit proceeds). The developer's success fee and JV share are unchanged. RtB: MOIC rows 283–286 (monthly); hold: HTM rows 382–384; sale at COD: HTM rows 385–387 (annual, end of the exercise year). No effect if the exit comes first.</t>
        </is>
      </c>
    </row>
    <row r="368">
      <c r="C368" s="253" t="inlineStr">
        <is>
          <t xml:space="preserve">Independent restatement for check K19 (SUMPRODUCT masks on the FEP flow rows)</t>
        </is>
      </c>
      <c r="D368" s="254" t="inlineStr">
        <is>
          <t xml:space="preserve">Unit</t>
        </is>
      </c>
      <c r="E368" s="254" t="inlineStr">
        <is>
          <t xml:space="preserve">Value</t>
        </is>
      </c>
      <c r="F368" s="254" t="inlineStr">
        <is>
          <t xml:space="preserve">How</t>
        </is>
      </c>
      <c r="G368" s="254"/>
      <c r="H368" s="254"/>
      <c r="I368" s="254"/>
      <c r="J368" s="254"/>
    </row>
    <row r="369">
      <c r="C369" s="360" t="inlineStr">
        <is>
          <t xml:space="preserve">MOIC: FEP flows after the exercise month (outflows + inflows, rows 164 + 171)</t>
        </is>
      </c>
      <c r="D369" s="411" t="inlineStr">
        <is>
          <t xml:space="preserve">k€</t>
        </is>
      </c>
      <c r="E369" s="517">
        <f>SUMPRODUCT((MOIC!$H$4:$BP$4&gt;$E$365)*(MOIC!$H$164:$BP$164+MOIC!$H$171:$BP$171))</f>
        <v>23505.71457491389</v>
      </c>
    </row>
    <row r="370">
      <c r="C370" s="360" t="inlineStr">
        <is>
          <t xml:space="preserve">MOIC: paid-in capital to the exercise month (rows 164 + 171 excl. signing fee / DD rows 158–159)</t>
        </is>
      </c>
      <c r="D370" s="411" t="inlineStr">
        <is>
          <t xml:space="preserve">k€</t>
        </is>
      </c>
      <c r="E370" s="517">
        <f>SUMPRODUCT((MOIC!$H$4:$BP$4&lt;=$E$365)*(MOIC!$H$164:$BP$164+MOIC!$H$171:$BP$171-MOIC!$H$158:$BP$158-MOIC!$H$159:$BP$159))</f>
        <v>-7579.398326414858</v>
      </c>
    </row>
    <row r="371">
      <c r="C371" s="360" t="inlineStr">
        <is>
          <t xml:space="preserve">MOIC: community effect = live share × (−XC1A − XC1B) if exercised by the RtB sale (Inputs E57)</t>
        </is>
      </c>
      <c r="D371" s="411" t="inlineStr">
        <is>
          <t xml:space="preserve">k€</t>
        </is>
      </c>
      <c r="E371" s="517">
        <f>$E$364*($E$365&lt;=Inputs!$E$57)*($E$365&gt;=0)*(-$E$369-$E$370)</f>
        <v>-0</v>
      </c>
    </row>
    <row r="372">
      <c r="C372" s="360" t="inlineStr">
        <is>
          <t xml:space="preserve">HTM hold: community effect = live share × FEP share × (−flows after the year − paid-in to it)</t>
        </is>
      </c>
      <c r="D372" s="411" t="inlineStr">
        <is>
          <t xml:space="preserve">k€</t>
        </is>
      </c>
      <c r="E372" s="517">
        <f>$E$364*HTM!$E$128*(-SUMPRODUCT((HTM!$H$5:$AQ$5&gt;$E$366)*HTM!$H$123:$AQ$123)-SUMPRODUCT((HTM!$H$5:$AQ$5&lt;=$E$366)*(HTM!$H$123:$AQ$123-HTM!$H$17:$AQ$17)))</f>
        <v>-0</v>
      </c>
    </row>
    <row r="373">
      <c r="C373" s="360" t="inlineStr">
        <is>
          <t xml:space="preserve">Sale at COD: FEP 100 % flows after the exercise year (rows 335–339 + proceeds G372 × row 334)</t>
        </is>
      </c>
      <c r="D373" s="411" t="inlineStr">
        <is>
          <t xml:space="preserve">k€</t>
        </is>
      </c>
      <c r="E373" s="517">
        <f>SUMPRODUCT((HTM!$H$5:$AQ$5&gt;$E$366)*HTM!$H$335:$AQ$339)+SUMPRODUCT((HTM!$H$5:$AQ$5&gt;$E$366)*HTM!$H$334:$AQ$334)*HTM!$G$372</f>
        <v>-227526.93505448484</v>
      </c>
    </row>
    <row r="374">
      <c r="C374" s="360" t="inlineStr">
        <is>
          <t xml:space="preserve">Sale at COD: paid-in capital to the exercise year (rows 335–339 excl. signing fee / DD row 17)</t>
        </is>
      </c>
      <c r="D374" s="411" t="inlineStr">
        <is>
          <t xml:space="preserve">k€</t>
        </is>
      </c>
      <c r="E374" s="517">
        <f>SUMPRODUCT((HTM!$H$5:$AQ$5&lt;=$E$366)*HTM!$H$335:$AQ$339)-SUMPRODUCT((HTM!$H$5:$AQ$5&lt;=$E$366)*HTM!$H$17:$AQ$17)</f>
        <v>-7579.398326414858</v>
      </c>
    </row>
    <row r="375">
      <c r="C375" s="360" t="inlineStr">
        <is>
          <t xml:space="preserve">Sale at COD: community effect = live share × (−XC3A − XC3B) if exercised before the COD year</t>
        </is>
      </c>
      <c r="D375" s="411" t="inlineStr">
        <is>
          <t xml:space="preserve">k€</t>
        </is>
      </c>
      <c r="E375" s="517">
        <f>$E$364*($E$366&lt;YEAR(Inputs!$E$155))*(-$E$373-$E$374)</f>
        <v>0</v>
      </c>
    </row>
    <row r="376">
      <c r="C376" s="360" t="inlineStr">
        <is>
          <t xml:space="preserve">Sale at COD: FEP cash (HTM G346) − 100 % contributions − proceeds (the community's effect, from the sheet)</t>
        </is>
      </c>
      <c r="D376" s="411" t="inlineStr">
        <is>
          <t xml:space="preserve">k€</t>
        </is>
      </c>
      <c r="E376" s="517">
        <f>HTM!$G$346-SUM(HTM!$H$335:$AQ$339)-HTM!$G$372*SUM(HTM!$H$334:$AQ$334)</f>
        <v>0</v>
      </c>
    </row>
  </sheetData>
  <dataValidations count="7">
    <dataValidation type="list" allowBlank="1" showInputMessage="1" showErrorMessage="1" sqref="E48">
      <formula1>"0,1"</formula1>
    </dataValidation>
    <dataValidation type="list" allowBlank="1" showInputMessage="1" showErrorMessage="1" sqref="E93:E101">
      <formula1>"0,1"</formula1>
    </dataValidation>
    <dataValidation type="list" allowBlank="1" showInputMessage="1" showErrorMessage="1" sqref="E104:E114">
      <formula1>"0,1"</formula1>
    </dataValidation>
    <dataValidation type="list" allowBlank="1" showInputMessage="1" showErrorMessage="1" sqref="E117:E126">
      <formula1>"0,1"</formula1>
    </dataValidation>
    <dataValidation type="list" allowBlank="1" showInputMessage="1" showErrorMessage="1" sqref="E129:E138">
      <formula1>"0,1"</formula1>
    </dataValidation>
    <dataValidation type="list" allowBlank="1" showInputMessage="1" showErrorMessage="1" sqref="E141:E150">
      <formula1>"0,1"</formula1>
    </dataValidation>
    <dataValidation type="list" allowBlank="1" showInputMessage="1" showErrorMessage="1" sqref="E360">
      <formula1>"0,1"</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548235"/>
    <pageSetUpPr fitToPage="1"/>
  </sheetPr>
  <dimension ref="B2:CE330"/>
  <sheetViews>
    <sheetView showGridLines="0" tabSelected="1" zoomScale="85" zoomScaleNormal="85" workbookViewId="0">
      <pane ySplit="4" topLeftCell="A5" activePane="bottomLeft" state="frozen"/>
      <selection pane="bottomLeft" activeCell="E8" sqref="E8"/>
    </sheetView>
  </sheetViews>
  <sheetFormatPr defaultRowHeight="15"/>
  <cols>
    <col min="1" max="1" width="1.7" customWidth="1"/>
    <col min="2" max="2" width="1.7" customWidth="1"/>
    <col min="3" max="3" width="80" customWidth="1"/>
    <col min="4" max="4" width="12" customWidth="1"/>
    <col min="5" max="5" width="14" customWidth="1"/>
    <col min="6" max="6" width="14" customWidth="1"/>
    <col min="7" max="7" width="14" customWidth="1"/>
    <col min="8" max="8" width="14" customWidth="1"/>
    <col min="9" max="9" width="14" customWidth="1"/>
    <col min="10" max="10" width="12" customWidth="1"/>
    <col min="11" max="11" width="12" customWidth="1"/>
    <col min="12" max="12" width="12" customWidth="1"/>
    <col min="13" max="13" width="12" customWidth="1"/>
    <col min="14" max="14" width="12" customWidth="1"/>
    <col min="15" max="15" width="70" customWidth="1"/>
    <col min="16" max="16" width="10" customWidth="1"/>
    <col min="17" max="83" width="13" customWidth="1"/>
  </cols>
  <sheetData>
    <row r="2" ht="24" customHeight="1">
      <c r="C2" s="537" t="inlineStr">
        <is>
          <t xml:space="preserve">Bora – Control Panel (IC model v4: RtB tender strategies S0–S4; RtB sale, sale at COD, hold to maturity)</t>
        </is>
      </c>
      <c r="D2" s="537"/>
      <c r="E2" s="537"/>
      <c r="F2" s="537"/>
      <c r="G2" s="537"/>
      <c r="H2" s="537"/>
      <c r="I2" s="537"/>
      <c r="J2" s="537"/>
      <c r="K2" s="537"/>
      <c r="L2" s="537"/>
      <c r="M2" s="537"/>
      <c r="N2" s="537"/>
      <c r="O2" s="537"/>
    </row>
    <row r="3">
      <c r="C3" s="356" t="inlineStr">
        <is>
          <t xml:space="preserve">Blue cells on cream are the inputs – the model's input cells link here (one source). Everything else is a formula; Excel recalculates the whole workbook, including the scenario comparison (Excel data table, section f). No macro.</t>
        </is>
      </c>
    </row>
    <row r="4">
      <c r="C4" s="356" t="inlineStr">
        <is>
          <t xml:space="preserve">If recalculation feels slow: File › Options › Formulas › 'Automatic except for data tables'; F9 then refreshes sections d and e. Other model inputs (rates, deposits, curves): blue cells on the Inputs and Tender sheets.</t>
        </is>
      </c>
    </row>
    <row r="6" ht="20" customHeight="1">
      <c r="C6" s="536" t="inlineStr">
        <is>
          <t xml:space="preserve">a. Selection</t>
        </is>
      </c>
      <c r="D6" s="536"/>
      <c r="E6" s="536"/>
      <c r="F6" s="536"/>
      <c r="G6" s="536"/>
      <c r="H6" s="536"/>
      <c r="I6" s="536"/>
      <c r="J6" s="536"/>
      <c r="K6" s="536"/>
      <c r="L6" s="536"/>
      <c r="M6" s="536"/>
      <c r="N6" s="536"/>
      <c r="O6" s="536"/>
    </row>
    <row r="7" ht="18" customHeight="1">
      <c r="C7" s="253" t="inlineStr">
        <is>
          <t xml:space="preserve">Item</t>
        </is>
      </c>
      <c r="D7" s="538" t="inlineStr">
        <is>
          <t xml:space="preserve">Unit</t>
        </is>
      </c>
      <c r="E7" s="538" t="inlineStr">
        <is>
          <t xml:space="preserve">Selection</t>
        </is>
      </c>
      <c r="F7" s="538" t="inlineStr">
        <is>
          <t xml:space="preserve">Code</t>
        </is>
      </c>
      <c r="G7" s="538" t="inlineStr">
        <is>
          <t xml:space="preserve">Name</t>
        </is>
      </c>
      <c r="H7" s="254"/>
      <c r="I7" s="254"/>
      <c r="J7" s="254"/>
      <c r="K7" s="254"/>
      <c r="L7" s="254"/>
      <c r="M7" s="254"/>
      <c r="N7" s="254"/>
      <c r="O7" s="253" t="inlineStr">
        <is>
          <t xml:space="preserve">Model cell</t>
        </is>
      </c>
    </row>
    <row r="8">
      <c r="C8" s="360" t="inlineStr">
        <is>
          <t xml:space="preserve">Active route</t>
        </is>
      </c>
      <c r="D8" s="541" t="inlineStr">
        <is>
          <t xml:space="preserve">route</t>
        </is>
      </c>
      <c r="E8" s="553" t="inlineStr">
        <is>
          <t xml:space="preserve">RtB sale (case 1)</t>
        </is>
      </c>
      <c r="F8" s="565">
        <f>INDEX($D$14:$D$18,MATCH($E$8,$C$14:$C$18,0))</f>
        <v>1</v>
      </c>
      <c r="O8" s="388" t="inlineStr">
        <is>
          <t xml:space="preserve">→ Inputs E6 (model case) – while the data-table driver E10 = 0</t>
        </is>
      </c>
    </row>
    <row r="9">
      <c r="C9" s="360" t="inlineStr">
        <is>
          <t xml:space="preserve">Active tender strategy (S0 zero bid … S4 maximum score)</t>
        </is>
      </c>
      <c r="D9" s="541" t="inlineStr">
        <is>
          <t xml:space="preserve">scenario</t>
        </is>
      </c>
      <c r="E9" s="553" t="inlineStr">
        <is>
          <t xml:space="preserve">S1</t>
        </is>
      </c>
      <c r="F9" s="565">
        <f>MATCH($E$9&amp;"",{"S1","S2","S3","S4","S0"},0)-1</f>
        <v>0</v>
      </c>
      <c r="G9" s="522" t="str">
        <f>INDEX(Tender!$E$11:$I$11,1,$F$9+1)</f>
        <v>S1 – Current bid</v>
      </c>
      <c r="O9" s="388" t="inlineStr">
        <is>
          <t xml:space="preserve">→ Tender E5 (0 … 4, F9) – while E10 = 0</t>
        </is>
      </c>
    </row>
    <row r="10">
      <c r="C10" s="360" t="inlineStr">
        <is>
          <t xml:space="preserve">Data-table driver – leave 0 (input cell of the data table, section f)</t>
        </is>
      </c>
      <c r="D10" s="541" t="inlineStr">
        <is>
          <t xml:space="preserve">#</t>
        </is>
      </c>
      <c r="E10" s="593">
        <v>0</v>
      </c>
      <c r="O10" s="388" t="inlineStr">
        <is>
          <t xml:space="preserve">→ Inputs E6 and Tender E5 take the run's case / scenario while Excel fills the table</t>
        </is>
      </c>
    </row>
    <row r="11">
      <c r="C11" s="360" t="inlineStr">
        <is>
          <t xml:space="preserve">Model in use: case (Inputs E6) / tender scenario (Tender E5)</t>
        </is>
      </c>
      <c r="D11" s="541" t="inlineStr">
        <is>
          <t xml:space="preserve">check</t>
        </is>
      </c>
      <c r="E11" s="565">
        <f>Inputs!$E$6</f>
        <v>1</v>
      </c>
      <c r="F11" s="565">
        <f>Tender!$E$5</f>
        <v>0</v>
      </c>
      <c r="G11" s="372" t="str">
        <f>IF(AND(Inputs!$E$6=$F$8,Tender!$E$5=$F$9,$E$10=0),"OK","FAIL – set E10 back to 0")</f>
        <v>OK</v>
      </c>
    </row>
    <row r="13" ht="18" customHeight="1">
      <c r="C13" s="253" t="inlineStr">
        <is>
          <t xml:space="preserve">Route (list for E8)</t>
        </is>
      </c>
      <c r="D13" s="538" t="inlineStr">
        <is>
          <t xml:space="preserve">Case</t>
        </is>
      </c>
      <c r="E13" s="538" t="inlineStr">
        <is>
          <t xml:space="preserve">Exit</t>
        </is>
      </c>
      <c r="F13" s="254"/>
      <c r="G13" s="538" t="inlineStr">
        <is>
          <t xml:space="preserve">Turbine</t>
        </is>
      </c>
      <c r="H13" s="254"/>
      <c r="I13" s="254"/>
      <c r="J13" s="254"/>
      <c r="K13" s="254"/>
      <c r="L13" s="254"/>
      <c r="M13" s="254"/>
      <c r="N13" s="254"/>
      <c r="O13" s="253" t="inlineStr">
        <is>
          <t xml:space="preserve">Note</t>
        </is>
      </c>
    </row>
    <row r="14">
      <c r="C14" s="360" t="inlineStr">
        <is>
          <t xml:space="preserve">RtB sale (case 1)</t>
        </is>
      </c>
      <c r="D14" s="565">
        <v>1</v>
      </c>
      <c r="E14" s="522" t="inlineStr">
        <is>
          <t xml:space="preserve">Sale of the project rights at RtB</t>
        </is>
      </c>
      <c r="G14" s="522" t="inlineStr">
        <is>
          <t xml:space="preserve">Scenario's turbine (row 22)</t>
        </is>
      </c>
      <c r="O14" s="388" t="inlineStr">
        <is>
          <t xml:space="preserve">RtB: no construction; buyer pays the RtB premium (± price effect of the promises)</t>
        </is>
      </c>
    </row>
    <row r="15">
      <c r="C15" s="360" t="inlineStr">
        <is>
          <t xml:space="preserve">Sale at COD – European turbine (case 7)</t>
        </is>
      </c>
      <c r="D15" s="565">
        <v>7</v>
      </c>
      <c r="E15" s="522" t="inlineStr">
        <is>
          <t xml:space="preserve">Sale of 100 % of the SPV at COD</t>
        </is>
      </c>
      <c r="G15" s="522" t="inlineStr">
        <is>
          <t xml:space="preserve">European</t>
        </is>
      </c>
      <c r="O15" s="388" t="inlineStr">
        <is>
          <t xml:space="preserve">Cases 7 / 8: build, sell 100 % of the SPV at COD (price per installed MW)</t>
        </is>
      </c>
    </row>
    <row r="16">
      <c r="C16" s="360" t="inlineStr">
        <is>
          <t xml:space="preserve">Sale at COD – Chinese turbine (case 8)</t>
        </is>
      </c>
      <c r="D16" s="565">
        <v>8</v>
      </c>
      <c r="E16" s="522" t="inlineStr">
        <is>
          <t xml:space="preserve">Sale of 100 % of the SPV at COD</t>
        </is>
      </c>
      <c r="G16" s="522" t="inlineStr">
        <is>
          <t xml:space="preserve">Chinese</t>
        </is>
      </c>
    </row>
    <row r="17">
      <c r="C17" s="360" t="inlineStr">
        <is>
          <t xml:space="preserve">Hold to maturity – European turbine (case 2)</t>
        </is>
      </c>
      <c r="D17" s="565">
        <v>2</v>
      </c>
      <c r="E17" s="522" t="inlineStr">
        <is>
          <t xml:space="preserve">Build, operate, hold</t>
        </is>
      </c>
      <c r="G17" s="522" t="inlineStr">
        <is>
          <t xml:space="preserve">European</t>
        </is>
      </c>
      <c r="O17" s="388" t="inlineStr">
        <is>
          <t xml:space="preserve">Cases 2 / 3: build and operate for the full life (FEP JV share)</t>
        </is>
      </c>
    </row>
    <row r="18">
      <c r="C18" s="360" t="inlineStr">
        <is>
          <t xml:space="preserve">Hold to maturity – Chinese turbine (case 3)</t>
        </is>
      </c>
      <c r="D18" s="565">
        <v>3</v>
      </c>
      <c r="E18" s="522" t="inlineStr">
        <is>
          <t xml:space="preserve">Build, operate, hold</t>
        </is>
      </c>
      <c r="G18" s="522" t="inlineStr">
        <is>
          <t xml:space="preserve">Chinese</t>
        </is>
      </c>
    </row>
    <row r="20" ht="20" customHeight="1">
      <c r="C20" s="536" t="inlineStr">
        <is>
          <t xml:space="preserve">b. Tender strategies S0–S4 (ÖSZ commitments) – edit columns E:I; price-effect reference = S1 current bid</t>
        </is>
      </c>
      <c r="D20" s="536"/>
      <c r="E20" s="536"/>
      <c r="F20" s="536"/>
      <c r="G20" s="536"/>
      <c r="H20" s="536"/>
      <c r="I20" s="536"/>
      <c r="J20" s="536"/>
      <c r="K20" s="536"/>
      <c r="L20" s="536"/>
      <c r="M20" s="536"/>
      <c r="N20" s="536"/>
      <c r="O20" s="536"/>
    </row>
    <row r="21" ht="32" customHeight="1">
      <c r="C21" s="253" t="inlineStr">
        <is>
          <t xml:space="preserve">Commitment</t>
        </is>
      </c>
      <c r="D21" s="538" t="inlineStr">
        <is>
          <t xml:space="preserve">Unit</t>
        </is>
      </c>
      <c r="E21" s="538" t="inlineStr">
        <is>
          <t xml:space="preserve">S0 – zero bid</t>
        </is>
      </c>
      <c r="F21" s="538" t="inlineStr">
        <is>
          <t xml:space="preserve">S1 – current bid</t>
        </is>
      </c>
      <c r="G21" s="538" t="inlineStr">
        <is>
          <t xml:space="preserve">S2 – free points</t>
        </is>
      </c>
      <c r="H21" s="538" t="inlineStr">
        <is>
          <t xml:space="preserve">S3 – ≈70 points</t>
        </is>
      </c>
      <c r="I21" s="538" t="inlineStr">
        <is>
          <t xml:space="preserve">S4 – max. score</t>
        </is>
      </c>
      <c r="J21" s="538" t="inlineStr">
        <is>
          <t xml:space="preserve">Active (Tender J)</t>
        </is>
      </c>
      <c r="K21" s="254"/>
      <c r="L21" s="254"/>
      <c r="M21" s="254"/>
      <c r="N21" s="254"/>
      <c r="O21" s="253" t="inlineStr">
        <is>
          <t xml:space="preserve">Tender row (columns E:I link here) / rule</t>
        </is>
      </c>
      <c r="P21" s="538" t="inlineStr">
        <is>
          <t xml:space="preserve">Link check</t>
        </is>
      </c>
    </row>
    <row r="22" ht="48" customHeight="1">
      <c r="C22" s="360" t="inlineStr">
        <is>
          <t xml:space="preserve">Scenario name</t>
        </is>
      </c>
      <c r="D22" s="541" t="inlineStr">
        <is>
          <t xml:space="preserve">text</t>
        </is>
      </c>
      <c r="E22" s="559" t="inlineStr">
        <is>
          <t xml:space="preserve">S0 – Zero bid</t>
        </is>
      </c>
      <c r="F22" s="559" t="inlineStr">
        <is>
          <t xml:space="preserve">S1 – Current bid</t>
        </is>
      </c>
      <c r="G22" s="559" t="inlineStr">
        <is>
          <t xml:space="preserve">S2 – Free points</t>
        </is>
      </c>
      <c r="H22" s="559" t="inlineStr">
        <is>
          <t xml:space="preserve">S3 – Cost-efficient (≈70 points)</t>
        </is>
      </c>
      <c r="I22" s="559" t="inlineStr">
        <is>
          <t xml:space="preserve">S4 – Maximum score</t>
        </is>
      </c>
      <c r="J22" s="522" t="str">
        <f>Tender!$J$11</f>
        <v>S1 – Current bid</v>
      </c>
      <c r="O22" s="388" t="inlineStr">
        <is>
          <t xml:space="preserve">Tender E11:I11</t>
        </is>
      </c>
      <c r="P22" s="372" t="str">
        <f>IF(AND((Tender!$E$11&amp;"")=($F$22&amp;""),(Tender!$F$11&amp;"")=($G$22&amp;""),(Tender!$G$11&amp;"")=($H$22&amp;""),(Tender!$H$11&amp;"")=($I$22&amp;""),(Tender!$I$11&amp;"")=($E$22&amp;"")),"OK","FAIL")</f>
        <v>OK</v>
      </c>
    </row>
    <row r="23">
      <c r="C23" s="360" t="inlineStr">
        <is>
          <t xml:space="preserve">ÖSZ-1 one-off municipal contribution</t>
        </is>
      </c>
      <c r="D23" s="541" t="inlineStr">
        <is>
          <t xml:space="preserve">k€/MW</t>
        </is>
      </c>
      <c r="E23" s="543">
        <v>0</v>
      </c>
      <c r="F23" s="543">
        <v>20</v>
      </c>
      <c r="G23" s="543">
        <v>20</v>
      </c>
      <c r="H23" s="543">
        <v>50</v>
      </c>
      <c r="I23" s="543">
        <v>50</v>
      </c>
      <c r="J23" s="561">
        <f>Tender!$J$12</f>
        <v>20</v>
      </c>
      <c r="O23" s="388" t="inlineStr">
        <is>
          <t xml:space="preserve">Tender E12:I12</t>
        </is>
      </c>
      <c r="P23" s="372" t="str">
        <f>IF(AND(ABS(N(Tender!$E$12)-N($F$23))&lt;=Tender!$E$32,ABS(N(Tender!$F$12)-N($G$23))&lt;=Tender!$E$32,ABS(N(Tender!$G$12)-N($H$23))&lt;=Tender!$E$32,ABS(N(Tender!$H$12)-N($I$23))&lt;=Tender!$E$32,ABS(N(Tender!$I$12)-N($E$23))&lt;=Tender!$E$32),"OK","FAIL")</f>
        <v>OK</v>
      </c>
    </row>
    <row r="24">
      <c r="C24" s="360" t="inlineStr">
        <is>
          <t xml:space="preserve">ÖSZ-2 annual community contribution on energy fed in</t>
        </is>
      </c>
      <c r="D24" s="541" t="inlineStr">
        <is>
          <t xml:space="preserve">€/MWh</t>
        </is>
      </c>
      <c r="E24" s="545">
        <v>0</v>
      </c>
      <c r="F24" s="545">
        <v>2</v>
      </c>
      <c r="G24" s="545">
        <v>2</v>
      </c>
      <c r="H24" s="545">
        <v>2</v>
      </c>
      <c r="I24" s="545">
        <v>3</v>
      </c>
      <c r="J24" s="563">
        <f>Tender!$J$13</f>
        <v>2</v>
      </c>
      <c r="O24" s="388" t="inlineStr">
        <is>
          <t xml:space="preserve">Tender E13:I13</t>
        </is>
      </c>
      <c r="P24" s="372" t="str">
        <f>IF(AND(ABS(N(Tender!$E$13)-N($F$24))&lt;=Tender!$E$32,ABS(N(Tender!$F$13)-N($G$24))&lt;=Tender!$E$32,ABS(N(Tender!$G$13)-N($H$24))&lt;=Tender!$E$32,ABS(N(Tender!$H$13)-N($I$24))&lt;=Tender!$E$32,ABS(N(Tender!$I$13)-N($E$24))&lt;=Tender!$E$32),"OK","FAIL")</f>
        <v>OK</v>
      </c>
    </row>
    <row r="25">
      <c r="C25" s="360" t="inlineStr">
        <is>
          <t xml:space="preserve">ÖSZ-3 overbuild – installed wind above the net connection capacity</t>
        </is>
      </c>
      <c r="D25" s="541" t="inlineStr">
        <is>
          <t xml:space="preserve">%</t>
        </is>
      </c>
      <c r="E25" s="549">
        <v>0</v>
      </c>
      <c r="F25" s="549">
        <v>0.305</v>
      </c>
      <c r="G25" s="549">
        <v>0.4</v>
      </c>
      <c r="H25" s="549">
        <v>0.4</v>
      </c>
      <c r="I25" s="549">
        <v>0.54</v>
      </c>
      <c r="J25" s="567">
        <f>Tender!$J$14</f>
        <v>0.305</v>
      </c>
      <c r="O25" s="388" t="inlineStr">
        <is>
          <t xml:space="preserve">Tender E14:I14</t>
        </is>
      </c>
      <c r="P25" s="372" t="str">
        <f>IF(AND(ABS(N(Tender!$E$14)-N($F$25))&lt;=Tender!$E$32,ABS(N(Tender!$F$14)-N($G$25))&lt;=Tender!$E$32,ABS(N(Tender!$G$14)-N($H$25))&lt;=Tender!$E$32,ABS(N(Tender!$H$14)-N($I$25))&lt;=Tender!$E$32,ABS(N(Tender!$I$14)-N($E$25))&lt;=Tender!$E$32),"OK","FAIL")</f>
        <v>OK</v>
      </c>
    </row>
    <row r="26">
      <c r="C26" s="360" t="inlineStr">
        <is>
          <t xml:space="preserve">ÖSZ-4 BESS power as % of the ratio basis (row below)</t>
        </is>
      </c>
      <c r="D26" s="541" t="inlineStr">
        <is>
          <t xml:space="preserve">%</t>
        </is>
      </c>
      <c r="E26" s="550">
        <v>0</v>
      </c>
      <c r="F26" s="550">
        <v>0.3448275862068966</v>
      </c>
      <c r="G26" s="550">
        <v>0.45</v>
      </c>
      <c r="H26" s="550">
        <v>0.45</v>
      </c>
      <c r="I26" s="550">
        <v>0.51</v>
      </c>
      <c r="J26" s="568">
        <f>Tender!$J$15</f>
        <v>0.3448275862068966</v>
      </c>
      <c r="O26" s="388" t="inlineStr">
        <is>
          <t xml:space="preserve">Tender E15:I15</t>
        </is>
      </c>
      <c r="P26" s="372" t="str">
        <f>IF(AND(ABS(N(Tender!$E$15)-N($F$26))&lt;=Tender!$E$32,ABS(N(Tender!$F$15)-N($G$26))&lt;=Tender!$E$32,ABS(N(Tender!$G$15)-N($H$26))&lt;=Tender!$E$32,ABS(N(Tender!$H$15)-N($I$26))&lt;=Tender!$E$32,ABS(N(Tender!$I$15)-N($E$26))&lt;=Tender!$E$32),"OK","FAIL")</f>
        <v>OK</v>
      </c>
    </row>
    <row r="27">
      <c r="C27" s="360" t="inlineStr">
        <is>
          <t xml:space="preserve">ÖSZ-4 BESS ratio basis (1 = installed wind, GYIK 20; 0 = net MVA)</t>
        </is>
      </c>
      <c r="D27" s="541" t="inlineStr">
        <is>
          <t xml:space="preserve">1 / 0</t>
        </is>
      </c>
      <c r="E27" s="547">
        <v>1</v>
      </c>
      <c r="F27" s="547">
        <v>1</v>
      </c>
      <c r="G27" s="547">
        <v>0</v>
      </c>
      <c r="H27" s="547">
        <v>0</v>
      </c>
      <c r="I27" s="547">
        <v>1</v>
      </c>
      <c r="J27" s="565">
        <f>Tender!$J$25</f>
        <v>1</v>
      </c>
      <c r="O27" s="388" t="inlineStr">
        <is>
          <t xml:space="preserve">Tender E25:I25</t>
        </is>
      </c>
      <c r="P27" s="372" t="str">
        <f>IF(AND(ABS(N(Tender!$E$25)-N($F$27))&lt;=Tender!$E$32,ABS(N(Tender!$F$25)-N($G$27))&lt;=Tender!$E$32,ABS(N(Tender!$G$25)-N($H$27))&lt;=Tender!$E$32,ABS(N(Tender!$H$25)-N($I$27))&lt;=Tender!$E$32,ABS(N(Tender!$I$25)-N($E$27))&lt;=Tender!$E$32),"OK","FAIL")</f>
        <v>OK</v>
      </c>
    </row>
    <row r="28">
      <c r="C28" s="360" t="inlineStr">
        <is>
          <t xml:space="preserve">ÖSZ-4 BESS duration</t>
        </is>
      </c>
      <c r="D28" s="541" t="inlineStr">
        <is>
          <t xml:space="preserve">h</t>
        </is>
      </c>
      <c r="E28" s="545">
        <v>4</v>
      </c>
      <c r="F28" s="545">
        <v>4</v>
      </c>
      <c r="G28" s="545">
        <v>4</v>
      </c>
      <c r="H28" s="545">
        <v>4</v>
      </c>
      <c r="I28" s="545">
        <v>4</v>
      </c>
      <c r="J28" s="563">
        <f>Tender!$J$16</f>
        <v>4</v>
      </c>
      <c r="O28" s="388" t="inlineStr">
        <is>
          <t xml:space="preserve">Tender E16:I16</t>
        </is>
      </c>
      <c r="P28" s="372" t="str">
        <f>IF(AND(ABS(N(Tender!$E$16)-N($F$28))&lt;=Tender!$E$32,ABS(N(Tender!$F$16)-N($G$28))&lt;=Tender!$E$32,ABS(N(Tender!$G$16)-N($H$28))&lt;=Tender!$E$32,ABS(N(Tender!$H$16)-N($I$28))&lt;=Tender!$E$32,ABS(N(Tender!$I$16)-N($E$28))&lt;=Tender!$E$32),"OK","FAIL")</f>
        <v>OK</v>
      </c>
    </row>
    <row r="29">
      <c r="C29" s="360" t="inlineStr">
        <is>
          <t xml:space="preserve">ÖSZ-6 performance security (% of the tender minimum)</t>
        </is>
      </c>
      <c r="D29" s="541" t="inlineStr">
        <is>
          <t xml:space="preserve">%</t>
        </is>
      </c>
      <c r="E29" s="548">
        <v>1</v>
      </c>
      <c r="F29" s="548">
        <v>1.5</v>
      </c>
      <c r="G29" s="548">
        <v>1.6</v>
      </c>
      <c r="H29" s="548">
        <v>2</v>
      </c>
      <c r="I29" s="548">
        <v>2.1</v>
      </c>
      <c r="J29" s="566">
        <f>Tender!$J$17</f>
        <v>1.5</v>
      </c>
      <c r="O29" s="388" t="inlineStr">
        <is>
          <t xml:space="preserve">Tender E17:I17</t>
        </is>
      </c>
      <c r="P29" s="372" t="str">
        <f>IF(AND(ABS(N(Tender!$E$17)-N($F$29))&lt;=Tender!$E$32,ABS(N(Tender!$F$17)-N($G$29))&lt;=Tender!$E$32,ABS(N(Tender!$G$17)-N($H$29))&lt;=Tender!$E$32,ABS(N(Tender!$H$17)-N($I$29))&lt;=Tender!$E$32,ABS(N(Tender!$I$17)-N($E$29))&lt;=Tender!$E$32),"OK","FAIL")</f>
        <v>OK</v>
      </c>
    </row>
    <row r="30">
      <c r="C30" s="360" t="inlineStr">
        <is>
          <t xml:space="preserve">ÖSZ-5 accept partial award (1 = yes)</t>
        </is>
      </c>
      <c r="D30" s="541" t="inlineStr">
        <is>
          <t xml:space="preserve">1 / 0</t>
        </is>
      </c>
      <c r="E30" s="547">
        <v>0</v>
      </c>
      <c r="F30" s="547">
        <v>0</v>
      </c>
      <c r="G30" s="547">
        <v>1</v>
      </c>
      <c r="H30" s="547">
        <v>1</v>
      </c>
      <c r="I30" s="547">
        <v>1</v>
      </c>
      <c r="J30" s="565">
        <f>Tender!$J$18</f>
        <v>0</v>
      </c>
      <c r="O30" s="388" t="inlineStr">
        <is>
          <t xml:space="preserve">Tender E18:I18</t>
        </is>
      </c>
      <c r="P30" s="372" t="str">
        <f>IF(AND(ABS(N(Tender!$E$18)-N($F$30))&lt;=Tender!$E$32,ABS(N(Tender!$F$18)-N($G$30))&lt;=Tender!$E$32,ABS(N(Tender!$G$18)-N($H$30))&lt;=Tender!$E$32,ABS(N(Tender!$H$18)-N($I$30))&lt;=Tender!$E$32,ABS(N(Tender!$I$18)-N($E$30))&lt;=Tender!$E$32),"OK","FAIL")</f>
        <v>OK</v>
      </c>
    </row>
    <row r="31">
      <c r="C31" s="360" t="inlineStr">
        <is>
          <t xml:space="preserve">ÖSZ-7 brownfield site ≥ 70 % (1 = yes)</t>
        </is>
      </c>
      <c r="D31" s="541" t="inlineStr">
        <is>
          <t xml:space="preserve">1 / 0</t>
        </is>
      </c>
      <c r="E31" s="547">
        <v>0</v>
      </c>
      <c r="F31" s="547">
        <v>0</v>
      </c>
      <c r="G31" s="547">
        <v>0</v>
      </c>
      <c r="H31" s="547">
        <v>0</v>
      </c>
      <c r="I31" s="547">
        <v>0</v>
      </c>
      <c r="J31" s="565">
        <f>Tender!$J$19</f>
        <v>0</v>
      </c>
      <c r="O31" s="388" t="inlineStr">
        <is>
          <t xml:space="preserve">Tender E19:I19</t>
        </is>
      </c>
      <c r="P31" s="372" t="str">
        <f>IF(AND(ABS(N(Tender!$E$19)-N($F$31))&lt;=Tender!$E$32,ABS(N(Tender!$F$19)-N($G$31))&lt;=Tender!$E$32,ABS(N(Tender!$G$19)-N($H$31))&lt;=Tender!$E$32,ABS(N(Tender!$H$19)-N($I$31))&lt;=Tender!$E$32,ABS(N(Tender!$I$19)-N($E$31))&lt;=Tender!$E$32),"OK","FAIL")</f>
        <v>OK</v>
      </c>
    </row>
    <row r="32">
      <c r="C32" s="360" t="inlineStr">
        <is>
          <t xml:space="preserve">ÖSZ-8 shared connection point and line (1 = yes)</t>
        </is>
      </c>
      <c r="D32" s="541" t="inlineStr">
        <is>
          <t xml:space="preserve">1 / 0</t>
        </is>
      </c>
      <c r="E32" s="547">
        <v>0</v>
      </c>
      <c r="F32" s="547">
        <v>0</v>
      </c>
      <c r="G32" s="547">
        <v>1</v>
      </c>
      <c r="H32" s="547">
        <v>1</v>
      </c>
      <c r="I32" s="547">
        <v>1</v>
      </c>
      <c r="J32" s="565">
        <f>Tender!$J$20</f>
        <v>0</v>
      </c>
      <c r="O32" s="388" t="inlineStr">
        <is>
          <t xml:space="preserve">Tender E20:I20</t>
        </is>
      </c>
      <c r="P32" s="372" t="str">
        <f>IF(AND(ABS(N(Tender!$E$20)-N($F$32))&lt;=Tender!$E$32,ABS(N(Tender!$F$20)-N($G$32))&lt;=Tender!$E$32,ABS(N(Tender!$G$20)-N($H$32))&lt;=Tender!$E$32,ABS(N(Tender!$H$20)-N($I$32))&lt;=Tender!$E$32,ABS(N(Tender!$I$20)-N($E$32))&lt;=Tender!$E$32),"OK","FAIL")</f>
        <v>OK</v>
      </c>
    </row>
    <row r="33">
      <c r="C33" s="360" t="inlineStr">
        <is>
          <t xml:space="preserve">ÖSZ-9a turbine of the scenario (1 = EU, 0 = CN) – RtB route and headline score</t>
        </is>
      </c>
      <c r="D33" s="541" t="inlineStr">
        <is>
          <t xml:space="preserve">1 / 0</t>
        </is>
      </c>
      <c r="E33" s="547">
        <v>0</v>
      </c>
      <c r="F33" s="547">
        <v>1</v>
      </c>
      <c r="G33" s="547">
        <v>1</v>
      </c>
      <c r="H33" s="547">
        <v>1</v>
      </c>
      <c r="I33" s="547">
        <v>1</v>
      </c>
      <c r="J33" s="565">
        <f>Tender!$J$22</f>
        <v>1</v>
      </c>
      <c r="O33" s="388" t="inlineStr">
        <is>
          <t xml:space="preserve">Tender E22:I22</t>
        </is>
      </c>
      <c r="P33" s="372" t="str">
        <f>IF(AND(ABS(N(Tender!$E$22)-N($F$33))&lt;=Tender!$E$32,ABS(N(Tender!$F$22)-N($G$33))&lt;=Tender!$E$32,ABS(N(Tender!$G$22)-N($H$33))&lt;=Tender!$E$32,ABS(N(Tender!$H$22)-N($I$33))&lt;=Tender!$E$32,ABS(N(Tender!$I$22)-N($E$33))&lt;=Tender!$E$32),"OK","FAIL")</f>
        <v>OK</v>
      </c>
    </row>
    <row r="34">
      <c r="C34" s="360" t="inlineStr">
        <is>
          <t xml:space="preserve">ÖSZ-9b EU-made generator transformer (1 = yes; European-turbine routes only)</t>
        </is>
      </c>
      <c r="D34" s="541" t="inlineStr">
        <is>
          <t xml:space="preserve">1 / 0</t>
        </is>
      </c>
      <c r="E34" s="547">
        <v>0</v>
      </c>
      <c r="F34" s="547">
        <v>0</v>
      </c>
      <c r="G34" s="547">
        <v>1</v>
      </c>
      <c r="H34" s="547">
        <v>1</v>
      </c>
      <c r="I34" s="547">
        <v>1</v>
      </c>
      <c r="J34" s="565">
        <f>Tender!$J$21</f>
        <v>0</v>
      </c>
      <c r="O34" s="388" t="inlineStr">
        <is>
          <t xml:space="preserve">Tender E21:I21</t>
        </is>
      </c>
      <c r="P34" s="372" t="str">
        <f>IF(AND(ABS(N(Tender!$E$21)-N($F$34))&lt;=Tender!$E$32,ABS(N(Tender!$F$21)-N($G$34))&lt;=Tender!$E$32,ABS(N(Tender!$G$21)-N($H$34))&lt;=Tender!$E$32,ABS(N(Tender!$H$21)-N($I$34))&lt;=Tender!$E$32,ABS(N(Tender!$I$21)-N($E$34))&lt;=Tender!$E$32),"OK","FAIL")</f>
        <v>OK</v>
      </c>
    </row>
    <row r="35">
      <c r="C35" s="539" t="inlineStr">
        <is>
          <t xml:space="preserve">Derived per scenario (Tender rows 40–45, live)</t>
        </is>
      </c>
      <c r="D35" s="254"/>
      <c r="E35" s="254"/>
      <c r="F35" s="254"/>
      <c r="G35" s="254"/>
      <c r="H35" s="254"/>
      <c r="I35" s="254"/>
      <c r="J35" s="254"/>
      <c r="K35" s="254"/>
      <c r="L35" s="254"/>
      <c r="M35" s="254"/>
    </row>
    <row r="36">
      <c r="C36" s="540" t="inlineStr">
        <is>
          <t xml:space="preserve">Gross installed wind = net MVA × (1 + overbuild)</t>
        </is>
      </c>
      <c r="D36" s="541" t="inlineStr">
        <is>
          <t xml:space="preserve">MW</t>
        </is>
      </c>
      <c r="E36" s="561">
        <f>Tender!I$40</f>
        <v>200</v>
      </c>
      <c r="F36" s="561">
        <f>Tender!E$40</f>
        <v>261</v>
      </c>
      <c r="G36" s="561">
        <f>Tender!F$40</f>
        <v>280</v>
      </c>
      <c r="H36" s="561">
        <f>Tender!G$40</f>
        <v>280</v>
      </c>
      <c r="I36" s="561">
        <f>Tender!H$40</f>
        <v>308</v>
      </c>
      <c r="J36" s="561">
        <f>Tender!$J$40</f>
        <v>261</v>
      </c>
      <c r="O36" s="388" t="inlineStr">
        <is>
          <t xml:space="preserve">Tender E40:I40</t>
        </is>
      </c>
    </row>
    <row r="37">
      <c r="C37" s="540" t="inlineStr">
        <is>
          <t xml:space="preserve">BESS power = ratio × basis MW</t>
        </is>
      </c>
      <c r="D37" s="541" t="inlineStr">
        <is>
          <t xml:space="preserve">MW</t>
        </is>
      </c>
      <c r="E37" s="561">
        <f>Tender!I$41</f>
        <v>0</v>
      </c>
      <c r="F37" s="561">
        <f>Tender!E$41</f>
        <v>90</v>
      </c>
      <c r="G37" s="561">
        <f>Tender!F$41</f>
        <v>90</v>
      </c>
      <c r="H37" s="561">
        <f>Tender!G$41</f>
        <v>90</v>
      </c>
      <c r="I37" s="561">
        <f>Tender!H$41</f>
        <v>157.08</v>
      </c>
      <c r="J37" s="561">
        <f>Tender!$J$41</f>
        <v>90</v>
      </c>
      <c r="O37" s="388" t="inlineStr">
        <is>
          <t xml:space="preserve">Tender E41:I41</t>
        </is>
      </c>
    </row>
    <row r="38">
      <c r="C38" s="540" t="inlineStr">
        <is>
          <t xml:space="preserve">BESS energy (power × duration)</t>
        </is>
      </c>
      <c r="D38" s="541" t="inlineStr">
        <is>
          <t xml:space="preserve">MWh</t>
        </is>
      </c>
      <c r="E38" s="561">
        <f>Tender!I$42</f>
        <v>0</v>
      </c>
      <c r="F38" s="561">
        <f>Tender!E$42</f>
        <v>360</v>
      </c>
      <c r="G38" s="561">
        <f>Tender!F$42</f>
        <v>360</v>
      </c>
      <c r="H38" s="561">
        <f>Tender!G$42</f>
        <v>360</v>
      </c>
      <c r="I38" s="561">
        <f>Tender!H$42</f>
        <v>628.32</v>
      </c>
      <c r="J38" s="561">
        <f>Tender!$J$42</f>
        <v>360</v>
      </c>
      <c r="O38" s="388" t="inlineStr">
        <is>
          <t xml:space="preserve">Tender E42:I42</t>
        </is>
      </c>
    </row>
    <row r="39">
      <c r="C39" s="540" t="inlineStr">
        <is>
          <t xml:space="preserve">BESS ratio of installed wind (ÖSZ-4 x, GYIK 20)</t>
        </is>
      </c>
      <c r="D39" s="541" t="inlineStr">
        <is>
          <t xml:space="preserve">%</t>
        </is>
      </c>
      <c r="E39" s="567">
        <f>Tender!I$44</f>
        <v>0</v>
      </c>
      <c r="F39" s="567">
        <f>Tender!E$44</f>
        <v>0.3448275862068966</v>
      </c>
      <c r="G39" s="567">
        <f>Tender!F$44</f>
        <v>0.32142857142857145</v>
      </c>
      <c r="H39" s="567">
        <f>Tender!G$44</f>
        <v>0.32142857142857145</v>
      </c>
      <c r="I39" s="567">
        <f>Tender!H$44</f>
        <v>0.51</v>
      </c>
      <c r="J39" s="567">
        <f>Tender!$J$44</f>
        <v>0.3448275862068966</v>
      </c>
      <c r="O39" s="388" t="inlineStr">
        <is>
          <t xml:space="preserve">Tender E44:I44</t>
        </is>
      </c>
    </row>
    <row r="40">
      <c r="C40" s="540" t="inlineStr">
        <is>
          <t xml:space="preserve">Clipping loss at the connection capacity (L20 estimate)</t>
        </is>
      </c>
      <c r="D40" s="541" t="inlineStr">
        <is>
          <t xml:space="preserve">%</t>
        </is>
      </c>
      <c r="E40" s="568">
        <f>Tender!I$45</f>
        <v>0</v>
      </c>
      <c r="F40" s="568">
        <f>Tender!E$45</f>
        <v>0.046512499999999984</v>
      </c>
      <c r="G40" s="568">
        <f>Tender!F$45</f>
        <v>0.07999999999999996</v>
      </c>
      <c r="H40" s="568">
        <f>Tender!G$45</f>
        <v>0.07999999999999996</v>
      </c>
      <c r="I40" s="568">
        <f>Tender!H$45</f>
        <v>0.1458</v>
      </c>
      <c r="J40" s="568">
        <f>Tender!$J$45</f>
        <v>0.046512499999999984</v>
      </c>
      <c r="O40" s="388" t="inlineStr">
        <is>
          <t xml:space="preserve">Tender E45:I45</t>
        </is>
      </c>
    </row>
    <row r="41">
      <c r="C41" s="539" t="inlineStr">
        <is>
          <t xml:space="preserve">Points – Annex 3 weight × Annex 4 inner points, GYIK rules (Tender rows 51–88, live)</t>
        </is>
      </c>
      <c r="D41" s="254"/>
      <c r="E41" s="254"/>
      <c r="F41" s="254"/>
      <c r="G41" s="254"/>
      <c r="H41" s="254"/>
      <c r="I41" s="254"/>
      <c r="J41" s="254"/>
      <c r="K41" s="254"/>
      <c r="L41" s="254"/>
      <c r="M41" s="254"/>
    </row>
    <row r="42">
      <c r="C42" s="540" t="inlineStr">
        <is>
          <t xml:space="preserve">ÖSZ-1 municipal contribution</t>
        </is>
      </c>
      <c r="D42" s="541" t="inlineStr">
        <is>
          <t xml:space="preserve">pts</t>
        </is>
      </c>
      <c r="E42" s="562">
        <f>Tender!I$55</f>
        <v>0</v>
      </c>
      <c r="F42" s="562">
        <f>Tender!E$55</f>
        <v>4</v>
      </c>
      <c r="G42" s="562">
        <f>Tender!F$55</f>
        <v>4</v>
      </c>
      <c r="H42" s="562">
        <f>Tender!G$55</f>
        <v>20</v>
      </c>
      <c r="I42" s="562">
        <f>Tender!H$55</f>
        <v>20</v>
      </c>
      <c r="O42" s="388" t="inlineStr">
        <is>
          <t xml:space="preserve">Tender E55:I55</t>
        </is>
      </c>
    </row>
    <row r="43">
      <c r="C43" s="540" t="inlineStr">
        <is>
          <t xml:space="preserve">ÖSZ-2 community contribution</t>
        </is>
      </c>
      <c r="D43" s="541" t="inlineStr">
        <is>
          <t xml:space="preserve">pts</t>
        </is>
      </c>
      <c r="E43" s="562">
        <f>Tender!I$60</f>
        <v>0</v>
      </c>
      <c r="F43" s="562">
        <f>Tender!E$60</f>
        <v>0</v>
      </c>
      <c r="G43" s="562">
        <f>Tender!F$60</f>
        <v>0</v>
      </c>
      <c r="H43" s="562">
        <f>Tender!G$60</f>
        <v>0</v>
      </c>
      <c r="I43" s="562">
        <f>Tender!H$60</f>
        <v>15</v>
      </c>
      <c r="O43" s="388" t="inlineStr">
        <is>
          <t xml:space="preserve">Tender E60:I60</t>
        </is>
      </c>
    </row>
    <row r="44">
      <c r="C44" s="540" t="inlineStr">
        <is>
          <t xml:space="preserve">ÖSZ-3 overbuild</t>
        </is>
      </c>
      <c r="D44" s="541" t="inlineStr">
        <is>
          <t xml:space="preserve">pts</t>
        </is>
      </c>
      <c r="E44" s="562">
        <f>Tender!I$65</f>
        <v>0</v>
      </c>
      <c r="F44" s="562">
        <f>Tender!E$65</f>
        <v>7</v>
      </c>
      <c r="G44" s="562">
        <f>Tender!F$65</f>
        <v>9</v>
      </c>
      <c r="H44" s="562">
        <f>Tender!G$65</f>
        <v>9</v>
      </c>
      <c r="I44" s="562">
        <f>Tender!H$65</f>
        <v>10</v>
      </c>
      <c r="O44" s="388" t="inlineStr">
        <is>
          <t xml:space="preserve">Tender E65:I65</t>
        </is>
      </c>
    </row>
    <row r="45">
      <c r="C45" s="540" t="inlineStr">
        <is>
          <t xml:space="preserve">ÖSZ-4 BESS (ratio of installed wind)</t>
        </is>
      </c>
      <c r="D45" s="541" t="inlineStr">
        <is>
          <t xml:space="preserve">pts</t>
        </is>
      </c>
      <c r="E45" s="562">
        <f>Tender!I$70</f>
        <v>0</v>
      </c>
      <c r="F45" s="562">
        <f>Tender!E$70</f>
        <v>10.5</v>
      </c>
      <c r="G45" s="562">
        <f>Tender!F$70</f>
        <v>10.5</v>
      </c>
      <c r="H45" s="562">
        <f>Tender!G$70</f>
        <v>10.5</v>
      </c>
      <c r="I45" s="562">
        <f>Tender!H$70</f>
        <v>15</v>
      </c>
      <c r="O45" s="388" t="inlineStr">
        <is>
          <t xml:space="preserve">Tender E70:I70</t>
        </is>
      </c>
    </row>
    <row r="46">
      <c r="C46" s="540" t="inlineStr">
        <is>
          <t xml:space="preserve">ÖSZ-5 partial award</t>
        </is>
      </c>
      <c r="D46" s="541" t="inlineStr">
        <is>
          <t xml:space="preserve">pts</t>
        </is>
      </c>
      <c r="E46" s="562">
        <f>Tender!I$72</f>
        <v>0</v>
      </c>
      <c r="F46" s="562">
        <f>Tender!E$72</f>
        <v>0</v>
      </c>
      <c r="G46" s="562">
        <f>Tender!F$72</f>
        <v>5</v>
      </c>
      <c r="H46" s="562">
        <f>Tender!G$72</f>
        <v>5</v>
      </c>
      <c r="I46" s="562">
        <f>Tender!H$72</f>
        <v>5</v>
      </c>
      <c r="O46" s="388" t="inlineStr">
        <is>
          <t xml:space="preserve">Tender E72:I72</t>
        </is>
      </c>
    </row>
    <row r="47">
      <c r="C47" s="540" t="inlineStr">
        <is>
          <t xml:space="preserve">ÖSZ-6 performance security</t>
        </is>
      </c>
      <c r="D47" s="541" t="inlineStr">
        <is>
          <t xml:space="preserve">pts</t>
        </is>
      </c>
      <c r="E47" s="562">
        <f>Tender!I$76</f>
        <v>0</v>
      </c>
      <c r="F47" s="562">
        <f>Tender!E$76</f>
        <v>2.5</v>
      </c>
      <c r="G47" s="562">
        <f>Tender!F$76</f>
        <v>3</v>
      </c>
      <c r="H47" s="562">
        <f>Tender!G$76</f>
        <v>5</v>
      </c>
      <c r="I47" s="562">
        <f>Tender!H$76</f>
        <v>5</v>
      </c>
      <c r="O47" s="388" t="inlineStr">
        <is>
          <t xml:space="preserve">Tender E76:I76</t>
        </is>
      </c>
    </row>
    <row r="48">
      <c r="C48" s="540" t="inlineStr">
        <is>
          <t xml:space="preserve">ÖSZ-7 brownfield site</t>
        </is>
      </c>
      <c r="D48" s="541" t="inlineStr">
        <is>
          <t xml:space="preserve">pts</t>
        </is>
      </c>
      <c r="E48" s="562">
        <f>Tender!I$78</f>
        <v>0</v>
      </c>
      <c r="F48" s="562">
        <f>Tender!E$78</f>
        <v>0</v>
      </c>
      <c r="G48" s="562">
        <f>Tender!F$78</f>
        <v>0</v>
      </c>
      <c r="H48" s="562">
        <f>Tender!G$78</f>
        <v>0</v>
      </c>
      <c r="I48" s="562">
        <f>Tender!H$78</f>
        <v>0</v>
      </c>
      <c r="O48" s="388" t="inlineStr">
        <is>
          <t xml:space="preserve">Tender E78:I78</t>
        </is>
      </c>
    </row>
    <row r="49">
      <c r="C49" s="540" t="inlineStr">
        <is>
          <t xml:space="preserve">ÖSZ-8 shared connection</t>
        </is>
      </c>
      <c r="D49" s="541" t="inlineStr">
        <is>
          <t xml:space="preserve">pts</t>
        </is>
      </c>
      <c r="E49" s="562">
        <f>Tender!I$80</f>
        <v>0</v>
      </c>
      <c r="F49" s="562">
        <f>Tender!E$80</f>
        <v>0</v>
      </c>
      <c r="G49" s="562">
        <f>Tender!F$80</f>
        <v>5</v>
      </c>
      <c r="H49" s="562">
        <f>Tender!G$80</f>
        <v>5</v>
      </c>
      <c r="I49" s="562">
        <f>Tender!H$80</f>
        <v>5</v>
      </c>
      <c r="O49" s="388" t="inlineStr">
        <is>
          <t xml:space="preserve">Tender E80:I80</t>
        </is>
      </c>
    </row>
    <row r="50">
      <c r="C50" s="540" t="inlineStr">
        <is>
          <t xml:space="preserve">ÖSZ-9 EU-made equipment (European-turbine routes only)</t>
        </is>
      </c>
      <c r="D50" s="541" t="inlineStr">
        <is>
          <t xml:space="preserve">pts</t>
        </is>
      </c>
      <c r="E50" s="562">
        <f>Tender!I$82</f>
        <v>0</v>
      </c>
      <c r="F50" s="562">
        <f>Tender!E$82</f>
        <v>12</v>
      </c>
      <c r="G50" s="562">
        <f>Tender!F$82</f>
        <v>15</v>
      </c>
      <c r="H50" s="562">
        <f>Tender!G$82</f>
        <v>15</v>
      </c>
      <c r="I50" s="562">
        <f>Tender!H$82</f>
        <v>15</v>
      </c>
      <c r="O50" s="388" t="inlineStr">
        <is>
          <t xml:space="preserve">Tender E82:I82</t>
        </is>
      </c>
    </row>
    <row r="51">
      <c r="C51" s="540" t="inlineStr">
        <is>
          <t xml:space="preserve">Σ ÖSZ-1 … ÖSZ-8</t>
        </is>
      </c>
      <c r="D51" s="541" t="inlineStr">
        <is>
          <t xml:space="preserve">pts</t>
        </is>
      </c>
      <c r="E51" s="562">
        <f>Tender!I$83</f>
        <v>0</v>
      </c>
      <c r="F51" s="562">
        <f>Tender!E$83</f>
        <v>24</v>
      </c>
      <c r="G51" s="562">
        <f>Tender!F$83</f>
        <v>36.5</v>
      </c>
      <c r="H51" s="562">
        <f>Tender!G$83</f>
        <v>54.5</v>
      </c>
      <c r="I51" s="562">
        <f>Tender!H$83</f>
        <v>75</v>
      </c>
      <c r="O51" s="388" t="inlineStr">
        <is>
          <t xml:space="preserve">Tender E83:I83</t>
        </is>
      </c>
    </row>
    <row r="52">
      <c r="C52" s="360" t="inlineStr">
        <is>
          <t xml:space="preserve">TOTAL SCORE – European-turbine routes (RtB with EU turbine, cases 2 / 7)</t>
        </is>
      </c>
      <c r="D52" s="541" t="inlineStr">
        <is>
          <t xml:space="preserve">pts</t>
        </is>
      </c>
      <c r="E52" s="578">
        <f>Tender!I$84</f>
        <v>0</v>
      </c>
      <c r="F52" s="578">
        <f>Tender!E$84</f>
        <v>36</v>
      </c>
      <c r="G52" s="578">
        <f>Tender!F$84</f>
        <v>51.5</v>
      </c>
      <c r="H52" s="578">
        <f>Tender!G$84</f>
        <v>69.5</v>
      </c>
      <c r="I52" s="578">
        <f>Tender!H$84</f>
        <v>90</v>
      </c>
      <c r="J52" s="578">
        <f>Tender!$J$84</f>
        <v>36</v>
      </c>
      <c r="O52" s="388" t="inlineStr">
        <is>
          <t xml:space="preserve">Tender E84:I84</t>
        </is>
      </c>
    </row>
    <row r="53">
      <c r="C53" s="360" t="inlineStr">
        <is>
          <t xml:space="preserve">TOTAL SCORE – Chinese-turbine routes (cases 3 / 8)</t>
        </is>
      </c>
      <c r="D53" s="541" t="inlineStr">
        <is>
          <t xml:space="preserve">pts</t>
        </is>
      </c>
      <c r="E53" s="578">
        <f>Tender!I$85</f>
        <v>0</v>
      </c>
      <c r="F53" s="578">
        <f>Tender!E$85</f>
        <v>24</v>
      </c>
      <c r="G53" s="578">
        <f>Tender!F$85</f>
        <v>36.5</v>
      </c>
      <c r="H53" s="578">
        <f>Tender!G$85</f>
        <v>54.5</v>
      </c>
      <c r="I53" s="578">
        <f>Tender!H$85</f>
        <v>75</v>
      </c>
      <c r="J53" s="578">
        <f>Tender!$J$85</f>
        <v>24</v>
      </c>
      <c r="O53" s="388" t="inlineStr">
        <is>
          <t xml:space="preserve">Tender E85:I85</t>
        </is>
      </c>
    </row>
    <row r="54">
      <c r="C54" s="360" t="inlineStr">
        <is>
          <t xml:space="preserve">Score of the scenario (its own turbine, row 22)</t>
        </is>
      </c>
      <c r="D54" s="541" t="inlineStr">
        <is>
          <t xml:space="preserve">pts</t>
        </is>
      </c>
      <c r="E54" s="578">
        <f>Tender!I$86</f>
        <v>0</v>
      </c>
      <c r="F54" s="578">
        <f>Tender!E$86</f>
        <v>36</v>
      </c>
      <c r="G54" s="578">
        <f>Tender!F$86</f>
        <v>51.5</v>
      </c>
      <c r="H54" s="578">
        <f>Tender!G$86</f>
        <v>69.5</v>
      </c>
      <c r="I54" s="578">
        <f>Tender!H$86</f>
        <v>90</v>
      </c>
      <c r="J54" s="578">
        <f>Tender!$J$86</f>
        <v>36</v>
      </c>
      <c r="O54" s="388" t="inlineStr">
        <is>
          <t xml:space="preserve">Tender E86:I86</t>
        </is>
      </c>
    </row>
    <row r="55">
      <c r="C55" s="360" t="inlineStr">
        <is>
          <t xml:space="preserve">Bid validity – scoring rules (node cap: see row 65)</t>
        </is>
      </c>
      <c r="D55" s="541" t="inlineStr">
        <is>
          <t xml:space="preserve">status</t>
        </is>
      </c>
      <c r="E55" s="372" t="str">
        <f>Tender!I$87</f>
        <v>Valid</v>
      </c>
      <c r="F55" s="372" t="str">
        <f>Tender!E$87</f>
        <v>Valid</v>
      </c>
      <c r="G55" s="372" t="str">
        <f>Tender!F$87</f>
        <v>Valid</v>
      </c>
      <c r="H55" s="372" t="str">
        <f>Tender!G$87</f>
        <v>Valid</v>
      </c>
      <c r="I55" s="372" t="str">
        <f>Tender!H$87</f>
        <v>Valid</v>
      </c>
      <c r="O55" s="388" t="inlineStr">
        <is>
          <t xml:space="preserve">Tender E87:I87 (installed wind ≥ net MVA, VII.16)</t>
        </is>
      </c>
    </row>
    <row r="56">
      <c r="C56" s="539" t="inlineStr">
        <is>
          <t xml:space="preserve">GYIK eligibility of the scored items (1 = points awarded; 0 = below the minimum / not eligible)</t>
        </is>
      </c>
      <c r="D56" s="254"/>
      <c r="E56" s="254"/>
      <c r="F56" s="254"/>
      <c r="G56" s="254"/>
      <c r="H56" s="254"/>
      <c r="I56" s="254"/>
      <c r="J56" s="254"/>
      <c r="K56" s="254"/>
      <c r="L56" s="254"/>
      <c r="M56" s="254"/>
    </row>
    <row r="57">
      <c r="C57" s="540" t="inlineStr">
        <is>
          <t xml:space="preserve">ÖSZ-1 eligible (10 000 ≤ x ≤ 50 000 €/MW; below → 0 points, GYIK 17)</t>
        </is>
      </c>
      <c r="D57" s="541" t="inlineStr">
        <is>
          <t xml:space="preserve">1 / 0</t>
        </is>
      </c>
      <c r="E57" s="565">
        <f>Tender!I$52</f>
        <v>0</v>
      </c>
      <c r="F57" s="565">
        <f>Tender!E$52</f>
        <v>1</v>
      </c>
      <c r="G57" s="565">
        <f>Tender!F$52</f>
        <v>1</v>
      </c>
      <c r="H57" s="565">
        <f>Tender!G$52</f>
        <v>1</v>
      </c>
      <c r="I57" s="565">
        <f>Tender!H$52</f>
        <v>1</v>
      </c>
      <c r="O57" s="388" t="inlineStr">
        <is>
          <t xml:space="preserve">Tender E52:I52</t>
        </is>
      </c>
    </row>
    <row r="58">
      <c r="C58" s="540" t="inlineStr">
        <is>
          <t xml:space="preserve">ÖSZ-2 eligible (2 ≤ x ≤ 3 €/MWh; below → 0 points, GYIK 17)</t>
        </is>
      </c>
      <c r="D58" s="541" t="inlineStr">
        <is>
          <t xml:space="preserve">1 / 0</t>
        </is>
      </c>
      <c r="E58" s="565">
        <f>Tender!I$57</f>
        <v>0</v>
      </c>
      <c r="F58" s="565">
        <f>Tender!E$57</f>
        <v>1</v>
      </c>
      <c r="G58" s="565">
        <f>Tender!F$57</f>
        <v>1</v>
      </c>
      <c r="H58" s="565">
        <f>Tender!G$57</f>
        <v>1</v>
      </c>
      <c r="I58" s="565">
        <f>Tender!H$57</f>
        <v>1</v>
      </c>
      <c r="O58" s="388" t="inlineStr">
        <is>
          <t xml:space="preserve">Tender E57:I57</t>
        </is>
      </c>
    </row>
    <row r="59">
      <c r="C59" s="540" t="inlineStr">
        <is>
          <t xml:space="preserve">ÖSZ-3 eligible (installed wind ≥ net MVA)</t>
        </is>
      </c>
      <c r="D59" s="541" t="inlineStr">
        <is>
          <t xml:space="preserve">1 / 0</t>
        </is>
      </c>
      <c r="E59" s="565">
        <f>Tender!I$62</f>
        <v>1</v>
      </c>
      <c r="F59" s="565">
        <f>Tender!E$62</f>
        <v>1</v>
      </c>
      <c r="G59" s="565">
        <f>Tender!F$62</f>
        <v>1</v>
      </c>
      <c r="H59" s="565">
        <f>Tender!G$62</f>
        <v>1</v>
      </c>
      <c r="I59" s="565">
        <f>Tender!H$62</f>
        <v>1</v>
      </c>
      <c r="O59" s="388" t="inlineStr">
        <is>
          <t xml:space="preserve">Tender E62:I62</t>
        </is>
      </c>
    </row>
    <row r="60">
      <c r="C60" s="540" t="inlineStr">
        <is>
          <t xml:space="preserve">ÖSZ-4 eligible (ratio ≥ 5 % of installed wind, ≥ 4 h, BESS MW ≤ wind MW)</t>
        </is>
      </c>
      <c r="D60" s="541" t="inlineStr">
        <is>
          <t xml:space="preserve">1 / 0</t>
        </is>
      </c>
      <c r="E60" s="565">
        <f>Tender!I$67</f>
        <v>0</v>
      </c>
      <c r="F60" s="565">
        <f>Tender!E$67</f>
        <v>1</v>
      </c>
      <c r="G60" s="565">
        <f>Tender!F$67</f>
        <v>1</v>
      </c>
      <c r="H60" s="565">
        <f>Tender!G$67</f>
        <v>1</v>
      </c>
      <c r="I60" s="565">
        <f>Tender!H$67</f>
        <v>1</v>
      </c>
      <c r="O60" s="388" t="inlineStr">
        <is>
          <t xml:space="preserve">Tender E67:I67</t>
        </is>
      </c>
    </row>
    <row r="61">
      <c r="C61" s="539" t="inlineStr">
        <is>
          <t xml:space="preserve">Company-group caps – eligibility flag only (not an integrity check; Tender section 8)</t>
        </is>
      </c>
      <c r="D61" s="254"/>
      <c r="E61" s="254"/>
      <c r="F61" s="254"/>
      <c r="G61" s="254"/>
      <c r="H61" s="254"/>
      <c r="I61" s="254"/>
      <c r="J61" s="254"/>
      <c r="K61" s="254"/>
      <c r="L61" s="254"/>
      <c r="M61" s="254"/>
    </row>
    <row r="62">
      <c r="C62" s="540" t="inlineStr">
        <is>
          <t xml:space="preserve">Same company group (1 = Bora's SPV bids within a company group)</t>
        </is>
      </c>
      <c r="D62" s="541" t="inlineStr">
        <is>
          <t xml:space="preserve">1 / 0</t>
        </is>
      </c>
      <c r="E62" s="547">
        <v>1</v>
      </c>
      <c r="O62" s="388" t="inlineStr">
        <is>
          <t xml:space="preserve">→ Tender E348</t>
        </is>
      </c>
      <c r="P62" s="372" t="str">
        <f>IF(AND(ABS(N(Tender!$E$348)-N($E$62))&lt;=Tender!$E$32),"OK","FAIL")</f>
        <v>OK</v>
      </c>
    </row>
    <row r="63">
      <c r="C63" s="540" t="inlineStr">
        <is>
          <t xml:space="preserve">Other bids by the same group at this node</t>
        </is>
      </c>
      <c r="D63" s="541" t="inlineStr">
        <is>
          <t xml:space="preserve">MVA</t>
        </is>
      </c>
      <c r="E63" s="542">
        <v>0</v>
      </c>
      <c r="O63" s="388" t="inlineStr">
        <is>
          <t xml:space="preserve">→ Tender F351</t>
        </is>
      </c>
      <c r="P63" s="372" t="str">
        <f>IF(AND(ABS(N(Tender!$F$351)-N($E$63))&lt;=Tender!$E$32),"OK","FAIL")</f>
        <v>OK</v>
      </c>
    </row>
    <row r="64">
      <c r="C64" s="540" t="inlineStr">
        <is>
          <t xml:space="preserve">Other bids by the same group in total (all nodes)</t>
        </is>
      </c>
      <c r="D64" s="541" t="inlineStr">
        <is>
          <t xml:space="preserve">MVA</t>
        </is>
      </c>
      <c r="E64" s="542">
        <v>0</v>
      </c>
      <c r="O64" s="388" t="inlineStr">
        <is>
          <t xml:space="preserve">→ Tender G351</t>
        </is>
      </c>
      <c r="P64" s="372" t="str">
        <f>IF(AND(ABS(N(Tender!$G$351)-N($E$64))&lt;=Tender!$E$32),"OK","FAIL")</f>
        <v>OK</v>
      </c>
    </row>
    <row r="65">
      <c r="C65" s="540" t="inlineStr">
        <is>
          <t xml:space="preserve">Node cap (100 MVA per node, V.7 / VII.36): Bora + other bids at the node</t>
        </is>
      </c>
      <c r="D65" s="541" t="inlineStr">
        <is>
          <t xml:space="preserve">flag</t>
        </is>
      </c>
      <c r="E65" s="522" t="str">
        <f>Tender!$I$353</f>
        <v>FLAG – eligibility: 200 MVA &gt; 100 MVA node cap (V.7 / VII.36)</v>
      </c>
      <c r="O65" s="388" t="inlineStr">
        <is>
          <t xml:space="preserve">Tender I353</t>
        </is>
      </c>
    </row>
    <row r="66">
      <c r="C66" s="540" t="inlineStr">
        <is>
          <t xml:space="preserve">Group total cap (200 MVA, V.6)</t>
        </is>
      </c>
      <c r="D66" s="541" t="inlineStr">
        <is>
          <t xml:space="preserve">flag</t>
        </is>
      </c>
      <c r="E66" s="522" t="str">
        <f>Tender!$E$355</f>
        <v>OK</v>
      </c>
      <c r="O66" s="388" t="inlineStr">
        <is>
          <t xml:space="preserve">Tender E355</t>
        </is>
      </c>
    </row>
    <row r="67">
      <c r="C67" s="540" t="inlineStr">
        <is>
          <t xml:space="preserve">Group caps – status</t>
        </is>
      </c>
      <c r="D67" s="541" t="inlineStr">
        <is>
          <t xml:space="preserve">flag</t>
        </is>
      </c>
      <c r="E67" s="522" t="str">
        <f>Tender!$E$356</f>
        <v>FLAG – 1 group-cap issue(s), rows 353 / 355</v>
      </c>
      <c r="O67" s="388" t="inlineStr">
        <is>
          <t xml:space="preserve">Tender E356</t>
        </is>
      </c>
    </row>
    <row r="69" ht="20" customHeight="1">
      <c r="C69" s="536" t="inlineStr">
        <is>
          <t xml:space="preserve">c. Business inputs – single source (the model's input cells link here)</t>
        </is>
      </c>
      <c r="D69" s="536"/>
      <c r="E69" s="536"/>
      <c r="F69" s="536"/>
      <c r="G69" s="536"/>
      <c r="H69" s="536"/>
      <c r="I69" s="536"/>
      <c r="J69" s="536"/>
      <c r="K69" s="536"/>
      <c r="L69" s="536"/>
      <c r="M69" s="536"/>
      <c r="N69" s="536"/>
      <c r="O69" s="536"/>
    </row>
    <row r="70" ht="32" customHeight="1">
      <c r="C70" s="253" t="inlineStr">
        <is>
          <t xml:space="preserve">Input</t>
        </is>
      </c>
      <c r="D70" s="538" t="inlineStr">
        <is>
          <t xml:space="preserve">Unit</t>
        </is>
      </c>
      <c r="E70" s="538" t="inlineStr">
        <is>
          <t xml:space="preserve">Base / RtB (case 1)</t>
        </is>
      </c>
      <c r="F70" s="538" t="inlineStr">
        <is>
          <t xml:space="preserve">European (cases 2, 7)</t>
        </is>
      </c>
      <c r="G70" s="538" t="inlineStr">
        <is>
          <t xml:space="preserve">Chinese (cases 3, 8)</t>
        </is>
      </c>
      <c r="H70" s="254"/>
      <c r="I70" s="254"/>
      <c r="J70" s="254"/>
      <c r="K70" s="254"/>
      <c r="L70" s="254"/>
      <c r="M70" s="254"/>
      <c r="N70" s="254"/>
      <c r="O70" s="253" t="inlineStr">
        <is>
          <t xml:space="preserve">Model cell (→) / note</t>
        </is>
      </c>
      <c r="P70" s="538" t="inlineStr">
        <is>
          <t xml:space="preserve">Link check</t>
        </is>
      </c>
    </row>
    <row r="71">
      <c r="C71" s="356" t="inlineStr">
        <is>
          <t xml:space="preserve">European / Chinese columns left blank = same as Base. Rows without a European / Chinese cell apply to every route.</t>
        </is>
      </c>
    </row>
    <row r="72">
      <c r="C72" s="539" t="inlineStr">
        <is>
          <t xml:space="preserve">Project and deal</t>
        </is>
      </c>
      <c r="D72" s="254"/>
      <c r="E72" s="254"/>
      <c r="F72" s="254"/>
      <c r="G72" s="254"/>
      <c r="H72" s="254"/>
      <c r="I72" s="254"/>
      <c r="J72" s="254"/>
      <c r="K72" s="254"/>
      <c r="L72" s="254"/>
      <c r="M72" s="254"/>
    </row>
    <row r="73">
      <c r="C73" s="360" t="inlineStr">
        <is>
          <t xml:space="preserve">Grid node (Annex 1)</t>
        </is>
      </c>
      <c r="D73" s="541" t="inlineStr">
        <is>
          <t xml:space="preserve">name</t>
        </is>
      </c>
      <c r="E73" s="553" t="inlineStr">
        <is>
          <t xml:space="preserve">Szombathely OVIT (SZHO B 132.00)</t>
        </is>
      </c>
      <c r="O73" s="388" t="inlineStr">
        <is>
          <t xml:space="preserve">→ Inputs G280</t>
        </is>
      </c>
      <c r="P73" s="372" t="str">
        <f>IF(AND((Inputs!$G$280&amp;"")=($E$73&amp;"")),"OK","FAIL")</f>
        <v>OK</v>
      </c>
    </row>
    <row r="74">
      <c r="C74" s="360" t="inlineStr">
        <is>
          <t xml:space="preserve">Net grid connection capacity – requested MVA (premium basis, grid fees, TSO bond)</t>
        </is>
      </c>
      <c r="D74" s="541" t="inlineStr">
        <is>
          <t xml:space="preserve">MVA</t>
        </is>
      </c>
      <c r="E74" s="542">
        <v>200</v>
      </c>
      <c r="O74" s="388" t="inlineStr">
        <is>
          <t xml:space="preserve">→ Inputs G16 / G281, Tender E37</t>
        </is>
      </c>
      <c r="P74" s="372" t="str">
        <f>IF(AND(ABS(N(Inputs!$G$16)-N($E$74))&lt;=Tender!$E$32,ABS(N(Inputs!$G$281)-N($E$74))&lt;=Tender!$E$32,ABS(N(Tender!$E$37)-N($E$74))&lt;=Tender!$E$32),"OK","FAIL")</f>
        <v>OK</v>
      </c>
    </row>
    <row r="75">
      <c r="C75" s="360" t="inlineStr">
        <is>
          <t xml:space="preserve">Signing fee / purchase price to the current owners</t>
        </is>
      </c>
      <c r="D75" s="541" t="inlineStr">
        <is>
          <t xml:space="preserve">k€</t>
        </is>
      </c>
      <c r="E75" s="542">
        <v>250</v>
      </c>
      <c r="O75" s="388" t="inlineStr">
        <is>
          <t xml:space="preserve">→ Inputs G24 / G283</t>
        </is>
      </c>
      <c r="P75" s="372" t="str">
        <f>IF(AND(ABS(N(Inputs!$G$24)-N($E$75))&lt;=Tender!$E$32,ABS(N(Inputs!$G$283)-N($E$75))&lt;=Tender!$E$32),"OK","FAIL")</f>
        <v>OK</v>
      </c>
    </row>
    <row r="76">
      <c r="C76" s="360" t="inlineStr">
        <is>
          <t xml:space="preserve">JV structure live (1 = 70/30 JV with A.RES, 0 = FEP 100 %)</t>
        </is>
      </c>
      <c r="D76" s="541" t="inlineStr">
        <is>
          <t xml:space="preserve">1 / 0</t>
        </is>
      </c>
      <c r="E76" s="547">
        <v>1</v>
      </c>
      <c r="O76" s="388" t="inlineStr">
        <is>
          <t xml:space="preserve">→ Inputs G31 / G284</t>
        </is>
      </c>
      <c r="P76" s="372" t="str">
        <f>IF(AND(ABS(N(Inputs!$G$31)-N($E$76))&lt;=Tender!$E$32,ABS(N(Inputs!$G$284)-N($E$76))&lt;=Tender!$E$32),"OK","FAIL")</f>
        <v>OK</v>
      </c>
    </row>
    <row r="77">
      <c r="C77" s="360" t="inlineStr">
        <is>
          <t xml:space="preserve">FEP share of the net proceeds if JV</t>
        </is>
      </c>
      <c r="D77" s="541" t="inlineStr">
        <is>
          <t xml:space="preserve">%</t>
        </is>
      </c>
      <c r="E77" s="548">
        <v>0.7</v>
      </c>
      <c r="O77" s="388" t="inlineStr">
        <is>
          <t xml:space="preserve">→ Inputs G32 / G285</t>
        </is>
      </c>
      <c r="P77" s="372" t="str">
        <f>IF(AND(ABS(N(Inputs!$G$32)-N($E$77))&lt;=Tender!$E$32,ABS(N(Inputs!$G$285)-N($E$77))&lt;=Tender!$E$32),"OK","FAIL")</f>
        <v>OK</v>
      </c>
    </row>
    <row r="78">
      <c r="C78" s="360" t="inlineStr">
        <is>
          <t xml:space="preserve">Developer success fee (DSA) live</t>
        </is>
      </c>
      <c r="D78" s="541" t="inlineStr">
        <is>
          <t xml:space="preserve">1 / 0</t>
        </is>
      </c>
      <c r="E78" s="547">
        <v>1</v>
      </c>
      <c r="O78" s="388" t="inlineStr">
        <is>
          <t xml:space="preserve">→ Inputs G286</t>
        </is>
      </c>
      <c r="P78" s="372" t="str">
        <f>IF(AND(ABS(N(Inputs!$G$286)-N($E$78))&lt;=Tender!$E$32),"OK","FAIL")</f>
        <v>OK</v>
      </c>
    </row>
    <row r="79">
      <c r="C79" s="360" t="inlineStr">
        <is>
          <t xml:space="preserve">DSA basis = installed wind MW (FLAG – BORA_Devex V37, user 09-Oct-26)</t>
        </is>
      </c>
      <c r="D79" s="541" t="inlineStr">
        <is>
          <t xml:space="preserve">MW</t>
        </is>
      </c>
      <c r="E79" s="561">
        <f>Inputs!$E$29</f>
        <v>261</v>
      </c>
      <c r="O79" s="388" t="inlineStr">
        <is>
          <t xml:space="preserve">DSA = 2.5 k€/MW × installed wind MW (cap Inputs E37 per MW)</t>
        </is>
      </c>
    </row>
    <row r="80">
      <c r="C80" s="360" t="inlineStr">
        <is>
          <t xml:space="preserve">Number of tender bids (participation fee per bid)</t>
        </is>
      </c>
      <c r="D80" s="541" t="inlineStr">
        <is>
          <t xml:space="preserve">#</t>
        </is>
      </c>
      <c r="E80" s="547">
        <v>2</v>
      </c>
      <c r="O80" s="388" t="inlineStr">
        <is>
          <t xml:space="preserve">→ Inputs G82 / G287</t>
        </is>
      </c>
      <c r="P80" s="372" t="str">
        <f>IF(AND(ABS(N(Inputs!$G$82)-N($E$80))&lt;=Tender!$E$32,ABS(N(Inputs!$G$287)-N($E$80))&lt;=Tender!$E$32),"OK","FAIL")</f>
        <v>OK</v>
      </c>
    </row>
    <row r="81">
      <c r="C81" s="360" t="inlineStr">
        <is>
          <t xml:space="preserve">Indirect connection fee (Annex 1)</t>
        </is>
      </c>
      <c r="D81" s="541" t="inlineStr">
        <is>
          <t xml:space="preserve">Ft/MVA</t>
        </is>
      </c>
      <c r="E81" s="542">
        <v>73071306</v>
      </c>
      <c r="O81" s="388" t="inlineStr">
        <is>
          <t xml:space="preserve">→ Inputs G85 / G288</t>
        </is>
      </c>
      <c r="P81" s="372" t="str">
        <f>IF(AND(ABS(N(Inputs!$G$288)-N($E$81))&lt;=Tender!$E$32,ABS(Inputs!$G$85-$E$81/1000000)&lt;=Tender!$E$32),"OK","FAIL")</f>
        <v>OK</v>
      </c>
    </row>
    <row r="82">
      <c r="C82" s="360" t="inlineStr">
        <is>
          <t xml:space="preserve">Direct connection investment (Annex 1, per connection point)</t>
        </is>
      </c>
      <c r="D82" s="541" t="inlineStr">
        <is>
          <t xml:space="preserve">Ft</t>
        </is>
      </c>
      <c r="E82" s="542">
        <v>508345804</v>
      </c>
      <c r="O82" s="388" t="inlineStr">
        <is>
          <t xml:space="preserve">→ Inputs G84 / G289</t>
        </is>
      </c>
      <c r="P82" s="372" t="str">
        <f>IF(AND(ABS(N(Inputs!$G$289)-N($E$82))&lt;=Tender!$E$32,ABS(Inputs!$G$84-$E$82/1000000/$E$74)&lt;=Tender!$E$32),"OK","FAIL")</f>
        <v>OK</v>
      </c>
    </row>
    <row r="83">
      <c r="C83" s="360" t="inlineStr">
        <is>
          <t xml:space="preserve">Devex – total incl. contingency (BORA_Devex line items)</t>
        </is>
      </c>
      <c r="D83" s="541" t="inlineStr">
        <is>
          <t xml:space="preserve">k€</t>
        </is>
      </c>
      <c r="E83" s="560">
        <f>Inputs!$E$292</f>
        <v>3137.845921749919</v>
      </c>
      <c r="O83" s="388" t="inlineStr">
        <is>
          <t xml:space="preserve">Inputs G292 (formula)</t>
        </is>
      </c>
    </row>
    <row r="84">
      <c r="C84" s="539" t="inlineStr">
        <is>
          <t xml:space="preserve">RtB exit</t>
        </is>
      </c>
      <c r="D84" s="254"/>
      <c r="E84" s="254"/>
      <c r="F84" s="254"/>
      <c r="G84" s="254"/>
      <c r="H84" s="254"/>
      <c r="I84" s="254"/>
      <c r="J84" s="254"/>
      <c r="K84" s="254"/>
      <c r="L84" s="254"/>
      <c r="M84" s="254"/>
    </row>
    <row r="85">
      <c r="C85" s="360" t="inlineStr">
        <is>
          <t xml:space="preserve">RtB exit premium (sale price)</t>
        </is>
      </c>
      <c r="D85" s="541" t="inlineStr">
        <is>
          <t xml:space="preserve">k€/MW</t>
        </is>
      </c>
      <c r="E85" s="542">
        <v>150</v>
      </c>
      <c r="F85" s="542"/>
      <c r="G85" s="542"/>
      <c r="O85" s="388" t="inlineStr">
        <is>
          <t xml:space="preserve">→ Inputs G141:I141</t>
        </is>
      </c>
      <c r="P85" s="372" t="str">
        <f>IF(AND(ABS(N(Inputs!$G$141)-N($E$85))&lt;=Tender!$E$32,ABS(N(Inputs!$H$141)-N($F$85))&lt;=Tender!$E$32,ABS(N(Inputs!$I$141)-N($G$85))&lt;=Tender!$E$32),"OK","FAIL")</f>
        <v>OK</v>
      </c>
    </row>
    <row r="86">
      <c r="C86" s="360" t="inlineStr">
        <is>
          <t xml:space="preserve">RtB premium MW basis (0 = net MVA, 1 = installed wind – FLAG)</t>
        </is>
      </c>
      <c r="D86" s="541" t="inlineStr">
        <is>
          <t xml:space="preserve">1 / 0</t>
        </is>
      </c>
      <c r="E86" s="547">
        <v>0</v>
      </c>
      <c r="O86" s="388" t="inlineStr">
        <is>
          <t xml:space="preserve">→ Inputs G149 (E149 / E150)</t>
        </is>
      </c>
      <c r="P86" s="372" t="str">
        <f>IF(AND(ABS(N(Inputs!$G$149)-N($E$86))&lt;=Tender!$E$32),"OK","FAIL")</f>
        <v>OK</v>
      </c>
    </row>
    <row r="87">
      <c r="C87" s="360" t="inlineStr">
        <is>
          <t xml:space="preserve">Premium basis MW (Inputs E150)</t>
        </is>
      </c>
      <c r="D87" s="541" t="inlineStr">
        <is>
          <t xml:space="preserve">MW</t>
        </is>
      </c>
      <c r="E87" s="561">
        <f>Inputs!$E$150</f>
        <v>200</v>
      </c>
      <c r="O87" s="388" t="inlineStr">
        <is>
          <t xml:space="preserve">Inputs E150</t>
        </is>
      </c>
    </row>
    <row r="88">
      <c r="C88" s="360" t="inlineStr">
        <is>
          <t xml:space="preserve">Lag from RtB to the RtB sale</t>
        </is>
      </c>
      <c r="D88" s="541" t="inlineStr">
        <is>
          <t xml:space="preserve">months</t>
        </is>
      </c>
      <c r="E88" s="547">
        <v>9</v>
      </c>
      <c r="F88" s="547"/>
      <c r="G88" s="547"/>
      <c r="O88" s="388" t="inlineStr">
        <is>
          <t xml:space="preserve">→ Inputs G28:I28</t>
        </is>
      </c>
      <c r="P88" s="372" t="str">
        <f>IF(AND(ABS(N(Inputs!$G$28)-N($E$88))&lt;=Tender!$E$32,ABS(N(Inputs!$H$28)-N($F$88))&lt;=Tender!$E$32,ABS(N(Inputs!$I$28)-N($G$88))&lt;=Tender!$E$32),"OK","FAIL")</f>
        <v>OK</v>
      </c>
    </row>
    <row r="89">
      <c r="C89" s="360" t="inlineStr">
        <is>
          <t xml:space="preserve">Pass-through of the promises' PV into the exit price (RtB and sale at COD)</t>
        </is>
      </c>
      <c r="D89" s="541" t="inlineStr">
        <is>
          <t xml:space="preserve">%</t>
        </is>
      </c>
      <c r="E89" s="548">
        <v>1</v>
      </c>
      <c r="O89" s="388" t="inlineStr">
        <is>
          <t xml:space="preserve">→ Tender E30</t>
        </is>
      </c>
      <c r="P89" s="372" t="str">
        <f>IF(AND(ABS(N(Tender!$E$30)-N($E$89))&lt;=Tender!$E$32),"OK","FAIL")</f>
        <v>OK</v>
      </c>
    </row>
    <row r="90">
      <c r="C90" s="539" t="inlineStr">
        <is>
          <t xml:space="preserve">Timing</t>
        </is>
      </c>
      <c r="D90" s="254"/>
      <c r="E90" s="254"/>
      <c r="F90" s="254"/>
      <c r="G90" s="254"/>
      <c r="H90" s="254"/>
      <c r="I90" s="254"/>
      <c r="J90" s="254"/>
      <c r="K90" s="254"/>
      <c r="L90" s="254"/>
      <c r="M90" s="254"/>
    </row>
    <row r="91">
      <c r="C91" s="360" t="inlineStr">
        <is>
          <t xml:space="preserve">COD (month end) – the timeline moves with it (RtB, RtB sale, NTP)</t>
        </is>
      </c>
      <c r="D91" s="541" t="inlineStr">
        <is>
          <t xml:space="preserve">date</t>
        </is>
      </c>
      <c r="E91" s="552">
        <v>48121</v>
      </c>
      <c r="O91" s="388" t="inlineStr">
        <is>
          <t xml:space="preserve">→ Inputs G298 (E55 back-solves the months to RtB)</t>
        </is>
      </c>
      <c r="P91" s="372" t="str">
        <f>IF(AND(ABS(N(Inputs!$G$298)-N($E$91))&lt;=Tender!$E$32),"OK","FAIL")</f>
        <v>OK</v>
      </c>
    </row>
    <row r="92">
      <c r="C92" s="360" t="inlineStr">
        <is>
          <t xml:space="preserve">Construction (NTP → COD)</t>
        </is>
      </c>
      <c r="D92" s="541" t="inlineStr">
        <is>
          <t xml:space="preserve">months</t>
        </is>
      </c>
      <c r="E92" s="547">
        <v>24</v>
      </c>
      <c r="F92" s="547"/>
      <c r="G92" s="547"/>
      <c r="O92" s="388" t="inlineStr">
        <is>
          <t xml:space="preserve">→ Inputs G153:I153</t>
        </is>
      </c>
      <c r="P92" s="372" t="str">
        <f>IF(AND(ABS(N(Inputs!$G$153)-N($E$92))&lt;=Tender!$E$32,ABS(N(Inputs!$H$153)-N($F$92))&lt;=Tender!$E$32,ABS(N(Inputs!$I$153)-N($G$92))&lt;=Tender!$E$32),"OK","FAIL")</f>
        <v>OK</v>
      </c>
    </row>
    <row r="93">
      <c r="C93" s="360" t="inlineStr">
        <is>
          <t xml:space="preserve">NTP / FID lag after RtB</t>
        </is>
      </c>
      <c r="D93" s="541" t="inlineStr">
        <is>
          <t xml:space="preserve">months</t>
        </is>
      </c>
      <c r="E93" s="547">
        <v>3</v>
      </c>
      <c r="O93" s="388" t="inlineStr">
        <is>
          <t xml:space="preserve">→ Inputs G152</t>
        </is>
      </c>
      <c r="P93" s="372" t="str">
        <f>IF(AND(ABS(N(Inputs!$G$152)-N($E$93))&lt;=Tender!$E$32),"OK","FAIL")</f>
        <v>OK</v>
      </c>
    </row>
    <row r="94">
      <c r="C94" s="360" t="inlineStr">
        <is>
          <t xml:space="preserve">Operating life</t>
        </is>
      </c>
      <c r="D94" s="541" t="inlineStr">
        <is>
          <t xml:space="preserve">years</t>
        </is>
      </c>
      <c r="E94" s="547">
        <v>30</v>
      </c>
      <c r="F94" s="547"/>
      <c r="G94" s="547"/>
      <c r="O94" s="388" t="inlineStr">
        <is>
          <t xml:space="preserve">→ Inputs G157:I157</t>
        </is>
      </c>
      <c r="P94" s="372" t="str">
        <f>IF(AND(ABS(N(Inputs!$G$157)-N($E$94))&lt;=Tender!$E$32,ABS(N(Inputs!$H$157)-N($F$94))&lt;=Tender!$E$32,ABS(N(Inputs!$I$157)-N($G$94))&lt;=Tender!$E$32),"OK","FAIL")</f>
        <v>OK</v>
      </c>
    </row>
    <row r="95">
      <c r="C95" s="360" t="inlineStr">
        <is>
          <t xml:space="preserve">Valid COD window – earliest</t>
        </is>
      </c>
      <c r="D95" s="541" t="inlineStr">
        <is>
          <t xml:space="preserve">date</t>
        </is>
      </c>
      <c r="E95" s="570">
        <f>MAX(Inputs!$E$237,EOMONTH(Inputs!$E$27,MAX(Devex_FEP!$I$5:$I$38)-Inputs!$E$28+Inputs!$E$152+Inputs!$E$153),EOMONTH(Inputs!$E$27,Inputs!$E$152+Inputs!$E$153))</f>
        <v>47756</v>
      </c>
      <c r="O95" s="388" t="inlineStr">
        <is>
          <t xml:space="preserve">Earliest grid connection (Inputs E237); RtB sale after the last devex payment; months to RtB ≥ 0</t>
        </is>
      </c>
    </row>
    <row r="96">
      <c r="C96" s="360" t="inlineStr">
        <is>
          <t xml:space="preserve">Valid COD window – latest</t>
        </is>
      </c>
      <c r="D96" s="541" t="inlineStr">
        <is>
          <t xml:space="preserve">date</t>
        </is>
      </c>
      <c r="E96" s="570">
        <f>MIN(Inputs!$E$238,DATE(HTM!$AQ$5-Inputs!$E$157,12,31),EOMONTH(Inputs!$E$27,MOIC!$BP$4-Inputs!$E$28+Inputs!$E$152+Inputs!$E$153))</f>
        <v>48213</v>
      </c>
      <c r="O96" s="388" t="inlineStr">
        <is>
          <t xml:space="preserve">COD deadline (Inputs E238); life inside the HTM horizon; RtB sale inside the MOIC grid</t>
        </is>
      </c>
    </row>
    <row r="97">
      <c r="C97" s="360" t="inlineStr">
        <is>
          <t xml:space="preserve">Timeline validity</t>
        </is>
      </c>
      <c r="D97" s="541" t="inlineStr">
        <is>
          <t xml:space="preserve">status</t>
        </is>
      </c>
      <c r="E97" s="372" t="str">
        <f>IF(AND(Inputs!$E$155&gt;=$E$95,Inputs!$E$155&lt;=$E$96),"OK","FLAG – COD outside the valid window – see MOIC G270 / HTM G172")</f>
        <v>OK</v>
      </c>
      <c r="O97" s="388" t="inlineStr">
        <is>
          <t xml:space="preserve">Inputs E155 vs the two rows above</t>
        </is>
      </c>
    </row>
    <row r="98">
      <c r="C98" s="360" t="inlineStr">
        <is>
          <t xml:space="preserve">RtB date / RtB sale date</t>
        </is>
      </c>
      <c r="D98" s="541" t="inlineStr">
        <is>
          <t xml:space="preserve">date</t>
        </is>
      </c>
      <c r="E98" s="570">
        <f>Inputs!$E$56</f>
        <v>47299</v>
      </c>
      <c r="F98" s="570">
        <f>Inputs!$E$58</f>
        <v>47573</v>
      </c>
      <c r="O98" s="388" t="inlineStr">
        <is>
          <t xml:space="preserve">Inputs E56 / E58</t>
        </is>
      </c>
    </row>
    <row r="99">
      <c r="C99" s="360" t="inlineStr">
        <is>
          <t xml:space="preserve">NTP / COD</t>
        </is>
      </c>
      <c r="D99" s="541" t="inlineStr">
        <is>
          <t xml:space="preserve">date</t>
        </is>
      </c>
      <c r="E99" s="570">
        <f>Inputs!$E$154</f>
        <v>47391</v>
      </c>
      <c r="F99" s="570">
        <f>Inputs!$E$155</f>
        <v>48121</v>
      </c>
      <c r="O99" s="388" t="inlineStr">
        <is>
          <t xml:space="preserve">Inputs E154 / E155</t>
        </is>
      </c>
    </row>
    <row r="100">
      <c r="C100" s="539" t="inlineStr">
        <is>
          <t xml:space="preserve">Capex</t>
        </is>
      </c>
      <c r="D100" s="254"/>
      <c r="E100" s="254"/>
      <c r="F100" s="254"/>
      <c r="G100" s="254"/>
      <c r="H100" s="254"/>
      <c r="I100" s="254"/>
      <c r="J100" s="254"/>
      <c r="K100" s="254"/>
      <c r="L100" s="254"/>
      <c r="M100" s="254"/>
    </row>
    <row r="101">
      <c r="C101" s="360" t="inlineStr">
        <is>
          <t xml:space="preserve">Turbine supply incl. transport</t>
        </is>
      </c>
      <c r="D101" s="541" t="inlineStr">
        <is>
          <t xml:space="preserve">k€/MW</t>
        </is>
      </c>
      <c r="E101" s="542">
        <v>950</v>
      </c>
      <c r="F101" s="542">
        <v>950</v>
      </c>
      <c r="G101" s="542">
        <v>500</v>
      </c>
      <c r="O101" s="388" t="inlineStr">
        <is>
          <t xml:space="preserve">→ Inputs G162:I162</t>
        </is>
      </c>
      <c r="P101" s="372" t="str">
        <f>IF(AND(ABS(N(Inputs!$G$162)-N($E$101))&lt;=Tender!$E$32,ABS(N(Inputs!$H$162)-N($F$101))&lt;=Tender!$E$32,ABS(N(Inputs!$I$162)-N($G$101))&lt;=Tender!$E$32),"OK","FAIL")</f>
        <v>OK</v>
      </c>
    </row>
    <row r="102">
      <c r="C102" s="360" t="inlineStr">
        <is>
          <t xml:space="preserve">Turbine installation and erection</t>
        </is>
      </c>
      <c r="D102" s="541" t="inlineStr">
        <is>
          <t xml:space="preserve">k€/MW</t>
        </is>
      </c>
      <c r="E102" s="542">
        <v>80</v>
      </c>
      <c r="F102" s="542"/>
      <c r="G102" s="542"/>
      <c r="O102" s="388" t="inlineStr">
        <is>
          <t xml:space="preserve">→ Inputs G163:I163</t>
        </is>
      </c>
      <c r="P102" s="372" t="str">
        <f>IF(AND(ABS(N(Inputs!$G$163)-N($E$102))&lt;=Tender!$E$32,ABS(N(Inputs!$H$163)-N($F$102))&lt;=Tender!$E$32,ABS(N(Inputs!$I$163)-N($G$102))&lt;=Tender!$E$32),"OK","FAIL")</f>
        <v>OK</v>
      </c>
    </row>
    <row r="103">
      <c r="C103" s="360" t="inlineStr">
        <is>
          <t xml:space="preserve">Foundations</t>
        </is>
      </c>
      <c r="D103" s="541" t="inlineStr">
        <is>
          <t xml:space="preserve">k€/MW</t>
        </is>
      </c>
      <c r="E103" s="542">
        <v>90</v>
      </c>
      <c r="F103" s="542"/>
      <c r="G103" s="542"/>
      <c r="O103" s="388" t="inlineStr">
        <is>
          <t xml:space="preserve">→ Inputs G164:I164</t>
        </is>
      </c>
      <c r="P103" s="372" t="str">
        <f>IF(AND(ABS(N(Inputs!$G$164)-N($E$103))&lt;=Tender!$E$32,ABS(N(Inputs!$H$164)-N($F$103))&lt;=Tender!$E$32,ABS(N(Inputs!$I$164)-N($G$103))&lt;=Tender!$E$32),"OK","FAIL")</f>
        <v>OK</v>
      </c>
    </row>
    <row r="104">
      <c r="C104" s="360" t="inlineStr">
        <is>
          <t xml:space="preserve">Balance of plant – civil</t>
        </is>
      </c>
      <c r="D104" s="541" t="inlineStr">
        <is>
          <t xml:space="preserve">k€/MW</t>
        </is>
      </c>
      <c r="E104" s="542">
        <v>70</v>
      </c>
      <c r="F104" s="542"/>
      <c r="G104" s="542"/>
      <c r="O104" s="388" t="inlineStr">
        <is>
          <t xml:space="preserve">→ Inputs G165:I165</t>
        </is>
      </c>
      <c r="P104" s="372" t="str">
        <f>IF(AND(ABS(N(Inputs!$G$165)-N($E$104))&lt;=Tender!$E$32,ABS(N(Inputs!$H$165)-N($F$104))&lt;=Tender!$E$32,ABS(N(Inputs!$I$165)-N($G$104))&lt;=Tender!$E$32),"OK","FAIL")</f>
        <v>OK</v>
      </c>
    </row>
    <row r="105">
      <c r="C105" s="360" t="inlineStr">
        <is>
          <t xml:space="preserve">Balance of plant – electrical</t>
        </is>
      </c>
      <c r="D105" s="541" t="inlineStr">
        <is>
          <t xml:space="preserve">k€/MW</t>
        </is>
      </c>
      <c r="E105" s="542">
        <v>60</v>
      </c>
      <c r="F105" s="542"/>
      <c r="G105" s="542"/>
      <c r="O105" s="388" t="inlineStr">
        <is>
          <t xml:space="preserve">→ Inputs G166:I166</t>
        </is>
      </c>
      <c r="P105" s="372" t="str">
        <f>IF(AND(ABS(N(Inputs!$G$166)-N($E$105))&lt;=Tender!$E$32,ABS(N(Inputs!$H$166)-N($F$105))&lt;=Tender!$E$32,ABS(N(Inputs!$I$166)-N($G$105))&lt;=Tender!$E$32),"OK","FAIL")</f>
        <v>OK</v>
      </c>
    </row>
    <row r="106">
      <c r="C106" s="360" t="inlineStr">
        <is>
          <t xml:space="preserve">BESS capex (all-in)</t>
        </is>
      </c>
      <c r="D106" s="541" t="inlineStr">
        <is>
          <t xml:space="preserve">k€/MW</t>
        </is>
      </c>
      <c r="E106" s="542">
        <v>200</v>
      </c>
      <c r="O106" s="388" t="inlineStr">
        <is>
          <t xml:space="preserve">→ Inputs G168</t>
        </is>
      </c>
      <c r="P106" s="372" t="str">
        <f>IF(AND(ABS(N(Inputs!$G$168)-N($E$106))&lt;=Tender!$E$32),"OK","FAIL")</f>
        <v>OK</v>
      </c>
    </row>
    <row r="107">
      <c r="C107" s="360" t="inlineStr">
        <is>
          <t xml:space="preserve">Owner's costs, engineering, PM, insurance</t>
        </is>
      </c>
      <c r="D107" s="541" t="inlineStr">
        <is>
          <t xml:space="preserve">k€/MW</t>
        </is>
      </c>
      <c r="E107" s="542">
        <v>40</v>
      </c>
      <c r="O107" s="388" t="inlineStr">
        <is>
          <t xml:space="preserve">→ Inputs G169</t>
        </is>
      </c>
      <c r="P107" s="372" t="str">
        <f>IF(AND(ABS(N(Inputs!$G$169)-N($E$107))&lt;=Tender!$E$32),"OK","FAIL")</f>
        <v>OK</v>
      </c>
    </row>
    <row r="108">
      <c r="C108" s="539" t="inlineStr">
        <is>
          <t xml:space="preserve">Generation and revenue</t>
        </is>
      </c>
      <c r="D108" s="254"/>
      <c r="E108" s="254"/>
      <c r="F108" s="254"/>
      <c r="G108" s="254"/>
      <c r="H108" s="254"/>
      <c r="I108" s="254"/>
      <c r="J108" s="254"/>
      <c r="K108" s="254"/>
      <c r="L108" s="254"/>
      <c r="M108" s="254"/>
    </row>
    <row r="109">
      <c r="C109" s="360" t="inlineStr">
        <is>
          <t xml:space="preserve">Energy yield – net equivalent hours P50</t>
        </is>
      </c>
      <c r="D109" s="541" t="inlineStr">
        <is>
          <t xml:space="preserve">MWh/MW</t>
        </is>
      </c>
      <c r="E109" s="542">
        <v>2460</v>
      </c>
      <c r="F109" s="542"/>
      <c r="G109" s="542"/>
      <c r="O109" s="388" t="inlineStr">
        <is>
          <t xml:space="preserve">→ Inputs G179:I179</t>
        </is>
      </c>
      <c r="P109" s="372" t="str">
        <f>IF(AND(ABS(N(Inputs!$G$179)-N($E$109))&lt;=Tender!$E$32,ABS(N(Inputs!$H$179)-N($F$109))&lt;=Tender!$E$32,ABS(N(Inputs!$I$179)-N($G$109))&lt;=Tender!$E$32),"OK","FAIL")</f>
        <v>OK</v>
      </c>
    </row>
    <row r="110">
      <c r="C110" s="360" t="inlineStr">
        <is>
          <t xml:space="preserve">Additional availability / loss haircut</t>
        </is>
      </c>
      <c r="D110" s="541" t="inlineStr">
        <is>
          <t xml:space="preserve">%</t>
        </is>
      </c>
      <c r="E110" s="549">
        <v>0</v>
      </c>
      <c r="F110" s="549"/>
      <c r="G110" s="549"/>
      <c r="O110" s="388" t="inlineStr">
        <is>
          <t xml:space="preserve">→ Inputs G180:I180</t>
        </is>
      </c>
      <c r="P110" s="372" t="str">
        <f>IF(AND(ABS(N(Inputs!$G$180)-N($E$110))&lt;=Tender!$E$32,ABS(N(Inputs!$H$180)-N($F$110))&lt;=Tender!$E$32,ABS(N(Inputs!$I$180)-N($G$110))&lt;=Tender!$E$32),"OK","FAIL")</f>
        <v>OK</v>
      </c>
    </row>
    <row r="111">
      <c r="C111" s="360" t="inlineStr">
        <is>
          <t xml:space="preserve">Curtailment / grid constraint</t>
        </is>
      </c>
      <c r="D111" s="541" t="inlineStr">
        <is>
          <t xml:space="preserve">%</t>
        </is>
      </c>
      <c r="E111" s="549">
        <v>0.02</v>
      </c>
      <c r="F111" s="549"/>
      <c r="G111" s="549"/>
      <c r="O111" s="388" t="inlineStr">
        <is>
          <t xml:space="preserve">→ Inputs G181:I181</t>
        </is>
      </c>
      <c r="P111" s="372" t="str">
        <f>IF(AND(ABS(N(Inputs!$G$181)-N($E$111))&lt;=Tender!$E$32,ABS(N(Inputs!$H$181)-N($F$111))&lt;=Tender!$E$32,ABS(N(Inputs!$I$181)-N($G$111))&lt;=Tender!$E$32),"OK","FAIL")</f>
        <v>OK</v>
      </c>
    </row>
    <row r="112">
      <c r="C112" s="360" t="inlineStr">
        <is>
          <t xml:space="preserve">Annual degradation</t>
        </is>
      </c>
      <c r="D112" s="541" t="inlineStr">
        <is>
          <t xml:space="preserve">% p.a.</t>
        </is>
      </c>
      <c r="E112" s="550">
        <v>0.003</v>
      </c>
      <c r="F112" s="550"/>
      <c r="G112" s="550"/>
      <c r="O112" s="388" t="inlineStr">
        <is>
          <t xml:space="preserve">→ Inputs G182:I182</t>
        </is>
      </c>
      <c r="P112" s="372" t="str">
        <f>IF(AND(ABS(N(Inputs!$G$182)-N($E$112))&lt;=Tender!$E$32,ABS(N(Inputs!$H$182)-N($F$112))&lt;=Tender!$E$32,ABS(N(Inputs!$I$182)-N($G$112))&lt;=Tender!$E$32),"OK","FAIL")</f>
        <v>OK</v>
      </c>
    </row>
    <row r="113">
      <c r="C113" s="360" t="inlineStr">
        <is>
          <t xml:space="preserve">Clipping loss at the 20 % reference overbuild (L20) – ESTIMATE</t>
        </is>
      </c>
      <c r="D113" s="541" t="inlineStr">
        <is>
          <t xml:space="preserve">%</t>
        </is>
      </c>
      <c r="E113" s="549">
        <v>0.02</v>
      </c>
      <c r="O113" s="388" t="inlineStr">
        <is>
          <t xml:space="preserve">→ Tender E28</t>
        </is>
      </c>
      <c r="P113" s="372" t="str">
        <f>IF(AND(ABS(N(Tender!$E$28)-N($E$113))&lt;=Tender!$E$32),"OK","FAIL")</f>
        <v>OK</v>
      </c>
    </row>
    <row r="114">
      <c r="C114" s="360" t="inlineStr">
        <is>
          <t xml:space="preserve">Aurora price scenario (1 Low, 2 Central, 3 High)</t>
        </is>
      </c>
      <c r="D114" s="541" t="inlineStr">
        <is>
          <t xml:space="preserve">1 / 2 / 3</t>
        </is>
      </c>
      <c r="E114" s="547">
        <v>2</v>
      </c>
      <c r="F114" s="547">
        <v>2</v>
      </c>
      <c r="G114" s="547">
        <v>2</v>
      </c>
      <c r="O114" s="388" t="inlineStr">
        <is>
          <t xml:space="preserve">→ Inputs G199:I199</t>
        </is>
      </c>
      <c r="P114" s="372" t="str">
        <f>IF(AND(ABS(N(Inputs!$G$199)-N($E$114))&lt;=Tender!$E$32,ABS(N(Inputs!$H$199)-N($F$114))&lt;=Tender!$E$32,ABS(N(Inputs!$I$199)-N($G$114))&lt;=Tender!$E$32),"OK","FAIL")</f>
        <v>OK</v>
      </c>
    </row>
    <row r="115">
      <c r="C115" s="360" t="inlineStr">
        <is>
          <t xml:space="preserve">Merchant price factor (1.00 = Aurora curve)</t>
        </is>
      </c>
      <c r="D115" s="541" t="inlineStr">
        <is>
          <t xml:space="preserve">x</t>
        </is>
      </c>
      <c r="E115" s="545">
        <v>1</v>
      </c>
      <c r="F115" s="545"/>
      <c r="G115" s="545"/>
      <c r="O115" s="388" t="inlineStr">
        <is>
          <t xml:space="preserve">→ Inputs G184:I184</t>
        </is>
      </c>
      <c r="P115" s="372" t="str">
        <f>IF(AND(ABS(N(Inputs!$G$184)-N($E$115))&lt;=Tender!$E$32,ABS(N(Inputs!$H$184)-N($F$115))&lt;=Tender!$E$32,ABS(N(Inputs!$I$184)-N($G$115))&lt;=Tender!$E$32),"OK","FAIL")</f>
        <v>OK</v>
      </c>
    </row>
    <row r="116">
      <c r="C116" s="360" t="inlineStr">
        <is>
          <t xml:space="preserve">Merchant share of output (1 − PPA share)</t>
        </is>
      </c>
      <c r="D116" s="541" t="inlineStr">
        <is>
          <t xml:space="preserve">%</t>
        </is>
      </c>
      <c r="E116" s="548">
        <v>1</v>
      </c>
      <c r="F116" s="548">
        <v>0</v>
      </c>
      <c r="G116" s="548">
        <v>0</v>
      </c>
      <c r="O116" s="388" t="inlineStr">
        <is>
          <t xml:space="preserve">→ Inputs G190:I190</t>
        </is>
      </c>
      <c r="P116" s="372" t="str">
        <f>IF(AND(ABS(N(Inputs!$G$190)-N($E$116))&lt;=Tender!$E$32,ABS(N(Inputs!$H$190)-N($F$116))&lt;=Tender!$E$32,ABS(N(Inputs!$I$190)-N($G$116))&lt;=Tender!$E$32),"OK","FAIL")</f>
        <v>OK</v>
      </c>
    </row>
    <row r="117">
      <c r="C117" s="360" t="inlineStr">
        <is>
          <t xml:space="preserve">PPA strike, first operating year</t>
        </is>
      </c>
      <c r="D117" s="541" t="inlineStr">
        <is>
          <t xml:space="preserve">€/MWh</t>
        </is>
      </c>
      <c r="E117" s="543">
        <v>90</v>
      </c>
      <c r="F117" s="543"/>
      <c r="G117" s="543"/>
      <c r="O117" s="388" t="inlineStr">
        <is>
          <t xml:space="preserve">→ Inputs G191:I191 (and M / N)</t>
        </is>
      </c>
      <c r="P117" s="372" t="str">
        <f>IF(AND(ABS(N(Inputs!$G$191)-N($E$117))&lt;=Tender!$E$32,ABS(N(Inputs!$M$191)-N($E$117))&lt;=Tender!$E$32,ABS(N(Inputs!$N$191)-N($E$117))&lt;=Tender!$E$32,ABS(N(Inputs!$H$191)-N($F$117))&lt;=Tender!$E$32,ABS(N(Inputs!$I$191)-N($G$117))&lt;=Tender!$E$32),"OK","FAIL")</f>
        <v>OK</v>
      </c>
    </row>
    <row r="118">
      <c r="C118" s="360" t="inlineStr">
        <is>
          <t xml:space="preserve">PPA strike escalation</t>
        </is>
      </c>
      <c r="D118" s="541" t="inlineStr">
        <is>
          <t xml:space="preserve">% p.a.</t>
        </is>
      </c>
      <c r="E118" s="549">
        <v>0.01</v>
      </c>
      <c r="F118" s="549"/>
      <c r="G118" s="549"/>
      <c r="O118" s="388" t="inlineStr">
        <is>
          <t xml:space="preserve">→ Inputs G192:I192</t>
        </is>
      </c>
      <c r="P118" s="372" t="str">
        <f>IF(AND(ABS(N(Inputs!$G$192)-N($E$118))&lt;=Tender!$E$32,ABS(N(Inputs!$H$192)-N($F$118))&lt;=Tender!$E$32,ABS(N(Inputs!$I$192)-N($G$118))&lt;=Tender!$E$32),"OK","FAIL")</f>
        <v>OK</v>
      </c>
    </row>
    <row r="119">
      <c r="C119" s="360" t="inlineStr">
        <is>
          <t xml:space="preserve">PPA tenor</t>
        </is>
      </c>
      <c r="D119" s="541" t="inlineStr">
        <is>
          <t xml:space="preserve">years</t>
        </is>
      </c>
      <c r="E119" s="547">
        <v>10</v>
      </c>
      <c r="F119" s="547"/>
      <c r="G119" s="547"/>
      <c r="O119" s="388" t="inlineStr">
        <is>
          <t xml:space="preserve">→ Inputs G193:I193</t>
        </is>
      </c>
      <c r="P119" s="372" t="str">
        <f>IF(AND(ABS(N(Inputs!$G$193)-N($E$119))&lt;=Tender!$E$32,ABS(N(Inputs!$H$193)-N($F$119))&lt;=Tender!$E$32,ABS(N(Inputs!$I$193)-N($G$119))&lt;=Tender!$E$32),"OK","FAIL")</f>
        <v>OK</v>
      </c>
    </row>
    <row r="120">
      <c r="C120" s="539" t="inlineStr">
        <is>
          <t xml:space="preserve">Opex</t>
        </is>
      </c>
      <c r="D120" s="254"/>
      <c r="E120" s="254"/>
      <c r="F120" s="254"/>
      <c r="G120" s="254"/>
      <c r="H120" s="254"/>
      <c r="I120" s="254"/>
      <c r="J120" s="254"/>
      <c r="K120" s="254"/>
      <c r="L120" s="254"/>
      <c r="M120" s="254"/>
    </row>
    <row r="121">
      <c r="C121" s="360" t="inlineStr">
        <is>
          <t xml:space="preserve">O&amp;M full-service contract</t>
        </is>
      </c>
      <c r="D121" s="541" t="inlineStr">
        <is>
          <t xml:space="preserve">k€/MW/yr</t>
        </is>
      </c>
      <c r="E121" s="543">
        <v>12</v>
      </c>
      <c r="F121" s="543"/>
      <c r="G121" s="543"/>
      <c r="O121" s="388" t="inlineStr">
        <is>
          <t xml:space="preserve">→ Inputs G201:I201</t>
        </is>
      </c>
      <c r="P121" s="372" t="str">
        <f>IF(AND(ABS(N(Inputs!$G$201)-N($E$121))&lt;=Tender!$E$32,ABS(N(Inputs!$H$201)-N($F$121))&lt;=Tender!$E$32,ABS(N(Inputs!$I$201)-N($G$121))&lt;=Tender!$E$32),"OK","FAIL")</f>
        <v>OK</v>
      </c>
    </row>
    <row r="122">
      <c r="C122" s="360" t="inlineStr">
        <is>
          <t xml:space="preserve">Balance of plant maintenance</t>
        </is>
      </c>
      <c r="D122" s="541" t="inlineStr">
        <is>
          <t xml:space="preserve">k€/MW/yr</t>
        </is>
      </c>
      <c r="E122" s="543">
        <v>3</v>
      </c>
      <c r="F122" s="543"/>
      <c r="G122" s="543"/>
      <c r="O122" s="388" t="inlineStr">
        <is>
          <t xml:space="preserve">→ Inputs G202:I202</t>
        </is>
      </c>
      <c r="P122" s="372" t="str">
        <f>IF(AND(ABS(N(Inputs!$G$202)-N($E$122))&lt;=Tender!$E$32,ABS(N(Inputs!$H$202)-N($F$122))&lt;=Tender!$E$32,ABS(N(Inputs!$I$202)-N($G$122))&lt;=Tender!$E$32),"OK","FAIL")</f>
        <v>OK</v>
      </c>
    </row>
    <row r="123">
      <c r="C123" s="360" t="inlineStr">
        <is>
          <t xml:space="preserve">Land lease</t>
        </is>
      </c>
      <c r="D123" s="541" t="inlineStr">
        <is>
          <t xml:space="preserve">k€/MW/yr</t>
        </is>
      </c>
      <c r="E123" s="543">
        <v>3</v>
      </c>
      <c r="F123" s="543"/>
      <c r="G123" s="543"/>
      <c r="O123" s="388" t="inlineStr">
        <is>
          <t xml:space="preserve">→ Inputs G203:I203</t>
        </is>
      </c>
      <c r="P123" s="372" t="str">
        <f>IF(AND(ABS(N(Inputs!$G$203)-N($E$123))&lt;=Tender!$E$32,ABS(N(Inputs!$H$203)-N($F$123))&lt;=Tender!$E$32,ABS(N(Inputs!$I$203)-N($G$123))&lt;=Tender!$E$32),"OK","FAIL")</f>
        <v>OK</v>
      </c>
    </row>
    <row r="124">
      <c r="C124" s="360" t="inlineStr">
        <is>
          <t xml:space="preserve">Opex escalation</t>
        </is>
      </c>
      <c r="D124" s="541" t="inlineStr">
        <is>
          <t xml:space="preserve">% p.a.</t>
        </is>
      </c>
      <c r="E124" s="549">
        <v>0.025</v>
      </c>
      <c r="F124" s="549"/>
      <c r="G124" s="549"/>
      <c r="O124" s="388" t="inlineStr">
        <is>
          <t xml:space="preserve">→ Inputs G209:I209</t>
        </is>
      </c>
      <c r="P124" s="372" t="str">
        <f>IF(AND(ABS(N(Inputs!$G$209)-N($E$124))&lt;=Tender!$E$32,ABS(N(Inputs!$H$209)-N($F$124))&lt;=Tender!$E$32,ABS(N(Inputs!$I$209)-N($G$124))&lt;=Tender!$E$32),"OK","FAIL")</f>
        <v>OK</v>
      </c>
    </row>
    <row r="125">
      <c r="C125" s="539" t="inlineStr">
        <is>
          <t xml:space="preserve">Financing and valuation</t>
        </is>
      </c>
      <c r="D125" s="254"/>
      <c r="E125" s="254"/>
      <c r="F125" s="254"/>
      <c r="G125" s="254"/>
      <c r="H125" s="254"/>
      <c r="I125" s="254"/>
      <c r="J125" s="254"/>
      <c r="K125" s="254"/>
      <c r="L125" s="254"/>
      <c r="M125" s="254"/>
    </row>
    <row r="126">
      <c r="C126" s="360" t="inlineStr">
        <is>
          <t xml:space="preserve">Gearing (senior debt / total capex)</t>
        </is>
      </c>
      <c r="D126" s="541" t="inlineStr">
        <is>
          <t xml:space="preserve">%</t>
        </is>
      </c>
      <c r="E126" s="548">
        <v>0.55</v>
      </c>
      <c r="F126" s="548">
        <v>0.6</v>
      </c>
      <c r="G126" s="548">
        <v>0.5</v>
      </c>
      <c r="O126" s="388" t="inlineStr">
        <is>
          <t xml:space="preserve">→ Inputs G217:I217</t>
        </is>
      </c>
      <c r="P126" s="372" t="str">
        <f>IF(AND(ABS(N(Inputs!$G$217)-N($E$126))&lt;=Tender!$E$32,ABS(N(Inputs!$H$217)-N($F$126))&lt;=Tender!$E$32,ABS(N(Inputs!$I$217)-N($G$126))&lt;=Tender!$E$32),"OK","FAIL")</f>
        <v>OK</v>
      </c>
    </row>
    <row r="127">
      <c r="C127" s="360" t="inlineStr">
        <is>
          <t xml:space="preserve">All-in interest rate (senior debt)</t>
        </is>
      </c>
      <c r="D127" s="541" t="inlineStr">
        <is>
          <t xml:space="preserve">%</t>
        </is>
      </c>
      <c r="E127" s="550">
        <v>0.05</v>
      </c>
      <c r="F127" s="550"/>
      <c r="G127" s="550"/>
      <c r="O127" s="388" t="inlineStr">
        <is>
          <t xml:space="preserve">→ Inputs G218:I218</t>
        </is>
      </c>
      <c r="P127" s="372" t="str">
        <f>IF(AND(ABS(N(Inputs!$G$218)-N($E$127))&lt;=Tender!$E$32,ABS(N(Inputs!$H$218)-N($F$127))&lt;=Tender!$E$32,ABS(N(Inputs!$I$218)-N($G$127))&lt;=Tender!$E$32),"OK","FAIL")</f>
        <v>OK</v>
      </c>
    </row>
    <row r="128">
      <c r="C128" s="360" t="inlineStr">
        <is>
          <t xml:space="preserve">Commitment fee on undrawn senior debt (construction)</t>
        </is>
      </c>
      <c r="D128" s="541" t="inlineStr">
        <is>
          <t xml:space="preserve">% p.a.</t>
        </is>
      </c>
      <c r="E128" s="550">
        <v>0.009</v>
      </c>
      <c r="F128" s="550"/>
      <c r="G128" s="550"/>
      <c r="O128" s="388" t="inlineStr">
        <is>
          <t xml:space="preserve">→ Inputs G222:I222</t>
        </is>
      </c>
      <c r="P128" s="372" t="str">
        <f>IF(AND(ABS(N(Inputs!$G$222)-N($E$128))&lt;=Tender!$E$32,ABS(N(Inputs!$H$222)-N($F$128))&lt;=Tender!$E$32,ABS(N(Inputs!$I$222)-N($G$128))&lt;=Tender!$E$32),"OK","FAIL")</f>
        <v>OK</v>
      </c>
    </row>
    <row r="129">
      <c r="C129" s="360" t="inlineStr">
        <is>
          <t xml:space="preserve">Senior debt tenor (from the first full operating year)</t>
        </is>
      </c>
      <c r="D129" s="541" t="inlineStr">
        <is>
          <t xml:space="preserve">years</t>
        </is>
      </c>
      <c r="E129" s="547">
        <v>10</v>
      </c>
      <c r="O129" s="388" t="inlineStr">
        <is>
          <t xml:space="preserve">→ Inputs G220</t>
        </is>
      </c>
      <c r="P129" s="372" t="str">
        <f>IF(AND(ABS(N(Inputs!$G$220)-N($E$129))&lt;=Tender!$E$32),"OK","FAIL")</f>
        <v>OK</v>
      </c>
    </row>
    <row r="130">
      <c r="C130" s="360" t="inlineStr">
        <is>
          <t xml:space="preserve">Discount rate – NPV, hurdle and economic-profit charge (single rate)</t>
        </is>
      </c>
      <c r="D130" s="541" t="inlineStr">
        <is>
          <t xml:space="preserve">%</t>
        </is>
      </c>
      <c r="E130" s="550">
        <v>0.08</v>
      </c>
      <c r="F130" s="550"/>
      <c r="G130" s="550"/>
      <c r="O130" s="388" t="inlineStr">
        <is>
          <t xml:space="preserve">→ Inputs G253:I253</t>
        </is>
      </c>
      <c r="P130" s="372" t="str">
        <f>IF(AND(ABS(N(Inputs!$G$253)-N($E$130))&lt;=Tender!$E$32,ABS(N(Inputs!$H$253)-N($F$130))&lt;=Tender!$E$32,ABS(N(Inputs!$I$253)-N($G$130))&lt;=Tender!$E$32),"OK","FAIL")</f>
        <v>OK</v>
      </c>
    </row>
    <row r="131">
      <c r="C131" s="360" t="inlineStr">
        <is>
          <t xml:space="preserve">Robin Hood tax (31 %) – 1 = on (FLAG: off, each SPV ≤ 50 MW)</t>
        </is>
      </c>
      <c r="D131" s="541" t="inlineStr">
        <is>
          <t xml:space="preserve">1 / 0</t>
        </is>
      </c>
      <c r="E131" s="547">
        <v>0</v>
      </c>
      <c r="F131" s="547"/>
      <c r="G131" s="547"/>
      <c r="O131" s="388" t="inlineStr">
        <is>
          <t xml:space="preserve">→ Inputs G197:I197</t>
        </is>
      </c>
      <c r="P131" s="372" t="str">
        <f>IF(AND(ABS(N(Inputs!$G$197)-N($E$131))&lt;=Tender!$E$32,ABS(N(Inputs!$H$197)-N($F$131))&lt;=Tender!$E$32,ABS(N(Inputs!$I$197)-N($G$131))&lt;=Tender!$E$32),"OK","FAIL")</f>
        <v>OK</v>
      </c>
    </row>
    <row r="132">
      <c r="C132" s="539" t="inlineStr">
        <is>
          <t xml:space="preserve">Sale at COD</t>
        </is>
      </c>
      <c r="D132" s="254"/>
      <c r="E132" s="254"/>
      <c r="F132" s="254"/>
      <c r="G132" s="254"/>
      <c r="H132" s="254"/>
      <c r="I132" s="254"/>
      <c r="J132" s="254"/>
      <c r="K132" s="254"/>
      <c r="L132" s="254"/>
      <c r="M132" s="254"/>
    </row>
    <row r="133">
      <c r="C133" s="360" t="inlineStr">
        <is>
          <t xml:space="preserve">Sale at COD price – European turbine (before clipping)</t>
        </is>
      </c>
      <c r="D133" s="541" t="inlineStr">
        <is>
          <t xml:space="preserve">k€/MW</t>
        </is>
      </c>
      <c r="E133" s="542">
        <v>2450</v>
      </c>
      <c r="O133" s="388" t="inlineStr">
        <is>
          <t xml:space="preserve">→ Tender E23 / Tender F23 / Tender G23 / Tender H23 / Tender I23</t>
        </is>
      </c>
      <c r="P133" s="372" t="str">
        <f>IF(AND(ABS(N(Tender!$E$23)-N($E$133))&lt;=Tender!$E$32,ABS(N(Tender!$F$23)-N($E$133))&lt;=Tender!$E$32,ABS(N(Tender!$G$23)-N($E$133))&lt;=Tender!$E$32,ABS(N(Tender!$H$23)-N($E$133))&lt;=Tender!$E$32,ABS(N(Tender!$I$23)-N($E$133))&lt;=Tender!$E$32),"OK","FAIL")</f>
        <v>OK</v>
      </c>
    </row>
    <row r="134">
      <c r="C134" s="360" t="inlineStr">
        <is>
          <t xml:space="preserve">Sale at COD price – Chinese turbine (before clipping)</t>
        </is>
      </c>
      <c r="D134" s="541" t="inlineStr">
        <is>
          <t xml:space="preserve">k€/MW</t>
        </is>
      </c>
      <c r="E134" s="542">
        <v>2100</v>
      </c>
      <c r="O134" s="388" t="inlineStr">
        <is>
          <t xml:space="preserve">→ Tender E24 / Tender F24 / Tender G24 / Tender H24 / Tender I24</t>
        </is>
      </c>
      <c r="P134" s="372" t="str">
        <f>IF(AND(ABS(N(Tender!$E$24)-N($E$134))&lt;=Tender!$E$32,ABS(N(Tender!$F$24)-N($E$134))&lt;=Tender!$E$32,ABS(N(Tender!$G$24)-N($E$134))&lt;=Tender!$E$32,ABS(N(Tender!$H$24)-N($E$134))&lt;=Tender!$E$32,ABS(N(Tender!$I$24)-N($E$134))&lt;=Tender!$E$32),"OK","FAIL")</f>
        <v>OK</v>
      </c>
    </row>
    <row r="135">
      <c r="C135" s="360" t="inlineStr">
        <is>
          <t xml:space="preserve">Buyer target IRRs for the implied price (section d)</t>
        </is>
      </c>
      <c r="D135" s="541" t="inlineStr">
        <is>
          <t xml:space="preserve">%</t>
        </is>
      </c>
      <c r="E135" s="549">
        <v>0.07</v>
      </c>
      <c r="F135" s="549">
        <v>0.08</v>
      </c>
      <c r="G135" s="549">
        <v>0.09</v>
      </c>
      <c r="O135" s="388" t="inlineStr">
        <is>
          <t xml:space="preserve">→ HTM F395:F397</t>
        </is>
      </c>
      <c r="P135" s="372" t="str">
        <f>IF(AND(ABS(N(HTM!$F$395)-N($E$135))&lt;=Tender!$E$32,ABS(N(HTM!$F$396)-N($F$135))&lt;=Tender!$E$32,ABS(N(HTM!$F$397)-N($G$135))&lt;=Tender!$E$32),"OK","FAIL")</f>
        <v>OK</v>
      </c>
    </row>
    <row r="137" ht="20" customHeight="1">
      <c r="C137" s="536" t="inlineStr">
        <is>
          <t xml:space="preserve">d. Results – FEP view, post-tax (scenario comparison = Excel data table, section f)</t>
        </is>
      </c>
      <c r="D137" s="536"/>
      <c r="E137" s="536"/>
      <c r="F137" s="536"/>
      <c r="G137" s="536"/>
      <c r="H137" s="536"/>
      <c r="I137" s="536"/>
      <c r="J137" s="536"/>
      <c r="K137" s="536"/>
      <c r="L137" s="536"/>
      <c r="M137" s="536"/>
      <c r="N137" s="536"/>
      <c r="O137" s="536"/>
    </row>
    <row r="138" ht="18" customHeight="1">
      <c r="C138" s="253" t="inlineStr">
        <is>
          <t xml:space="preserve">Live model – active route × active tender scenario (section a)</t>
        </is>
      </c>
      <c r="D138" s="538" t="inlineStr">
        <is>
          <t xml:space="preserve">Unit</t>
        </is>
      </c>
      <c r="E138" s="538" t="inlineStr">
        <is>
          <t xml:space="preserve">Value</t>
        </is>
      </c>
      <c r="F138" s="254"/>
      <c r="G138" s="254"/>
      <c r="H138" s="254"/>
      <c r="I138" s="254"/>
      <c r="J138" s="254"/>
      <c r="K138" s="254"/>
      <c r="L138" s="254"/>
      <c r="M138" s="254"/>
      <c r="N138" s="254"/>
      <c r="O138" s="253" t="inlineStr">
        <is>
          <t xml:space="preserve">Source</t>
        </is>
      </c>
    </row>
    <row r="139">
      <c r="C139" s="360" t="inlineStr">
        <is>
          <t xml:space="preserve">FEP net profit (post-tax)</t>
        </is>
      </c>
      <c r="D139" s="541" t="inlineStr">
        <is>
          <t xml:space="preserve">k€</t>
        </is>
      </c>
      <c r="E139" s="560">
        <f>INDEX(Run_Map!$C$23:$F$23,1,Tender!$E$293)</f>
        <v>15173.724494515496</v>
      </c>
      <c r="O139" s="388" t="inlineStr">
        <is>
          <t xml:space="preserve">Run_Map row 23, column of the active route (Tender E293)</t>
        </is>
      </c>
    </row>
    <row r="140">
      <c r="C140" s="360" t="inlineStr">
        <is>
          <t xml:space="preserve">FEP IRR (post-tax)</t>
        </is>
      </c>
      <c r="D140" s="541" t="inlineStr">
        <is>
          <t xml:space="preserve">%</t>
        </is>
      </c>
      <c r="E140" s="567">
        <f>INDEX(Run_Map!$C$24:$F$24,1,Tender!$E$293)</f>
        <v>0.20894449022377323</v>
      </c>
      <c r="O140" s="388" t="inlineStr">
        <is>
          <t xml:space="preserve">Run_Map row 24, column of the active route (Tender E293)</t>
        </is>
      </c>
    </row>
    <row r="141">
      <c r="C141" s="360" t="inlineStr">
        <is>
          <t xml:space="preserve">FEP MOIC</t>
        </is>
      </c>
      <c r="D141" s="541" t="inlineStr">
        <is>
          <t xml:space="preserve">x</t>
        </is>
      </c>
      <c r="E141" s="569">
        <f>INDEX(Run_Map!$C$27:$F$27,1,Tender!$E$293)</f>
        <v>1.312105461761588</v>
      </c>
      <c r="O141" s="388" t="inlineStr">
        <is>
          <t xml:space="preserve">Run_Map row 27, column of the active route (Tender E293)</t>
        </is>
      </c>
    </row>
    <row r="142">
      <c r="C142" s="360" t="inlineStr">
        <is>
          <t xml:space="preserve">FEP NPV (post-tax)</t>
        </is>
      </c>
      <c r="D142" s="541" t="inlineStr">
        <is>
          <t xml:space="preserve">k€</t>
        </is>
      </c>
      <c r="E142" s="560">
        <f>INDEX(Run_Map!$C$25:$F$25,1,Tender!$E$293)</f>
        <v>7253.356399284837</v>
      </c>
      <c r="O142" s="388" t="inlineStr">
        <is>
          <t xml:space="preserve">Run_Map row 25, column of the active route (Tender E293)</t>
        </is>
      </c>
    </row>
    <row r="143">
      <c r="C143" s="360" t="inlineStr">
        <is>
          <t xml:space="preserve">FEP NPV / Equity</t>
        </is>
      </c>
      <c r="D143" s="541" t="inlineStr">
        <is>
          <t xml:space="preserve">x</t>
        </is>
      </c>
      <c r="E143" s="569">
        <f>INDEX(Run_Map!$C$26:$F$26,1,Tender!$E$293)</f>
        <v>0.1778756777274503</v>
      </c>
      <c r="O143" s="388" t="inlineStr">
        <is>
          <t xml:space="preserve">Run_Map row 26, column of the active route (Tender E293)</t>
        </is>
      </c>
    </row>
    <row r="144">
      <c r="C144" s="360" t="inlineStr">
        <is>
          <t xml:space="preserve">FEP peak cumulative exposure</t>
        </is>
      </c>
      <c r="D144" s="541" t="inlineStr">
        <is>
          <t xml:space="preserve">k€</t>
        </is>
      </c>
      <c r="E144" s="560">
        <f>INDEX(Run_Map!$C$28:$F$28,1,Tender!$E$293)</f>
        <v>48525.87791901024</v>
      </c>
      <c r="O144" s="388" t="inlineStr">
        <is>
          <t xml:space="preserve">Run_Map row 28, column of the active route (Tender E293)</t>
        </is>
      </c>
    </row>
    <row r="145">
      <c r="C145" s="360" t="inlineStr">
        <is>
          <t xml:space="preserve">Integrity checks of the route</t>
        </is>
      </c>
      <c r="D145" s="541" t="inlineStr">
        <is>
          <t xml:space="preserve">status</t>
        </is>
      </c>
      <c r="E145" s="372" t="str">
        <f>INDEX(Run_Map!$C$30:$F$30,1,Tender!$E$293)</f>
        <v>ALL OK</v>
      </c>
      <c r="O145" s="388" t="inlineStr">
        <is>
          <t xml:space="preserve">Run_Map row 30, column of the active route (Tender E293)</t>
        </is>
      </c>
    </row>
    <row r="146">
      <c r="C146" s="360" t="inlineStr">
        <is>
          <t xml:space="preserve">Integrity – MOIC G270 (all routes)</t>
        </is>
      </c>
      <c r="D146" s="541" t="inlineStr">
        <is>
          <t xml:space="preserve">status</t>
        </is>
      </c>
      <c r="E146" s="372" t="str">
        <f>MOIC!$G$270</f>
        <v>ALL OK</v>
      </c>
      <c r="O146" s="388" t="inlineStr">
        <is>
          <t xml:space="preserve">MOIC G270</t>
        </is>
      </c>
    </row>
    <row r="147">
      <c r="C147" s="360" t="inlineStr">
        <is>
          <t xml:space="preserve">Integrity – HTM G172 (all routes)</t>
        </is>
      </c>
      <c r="D147" s="541" t="inlineStr">
        <is>
          <t xml:space="preserve">status</t>
        </is>
      </c>
      <c r="E147" s="372" t="str">
        <f>HTM!$G$172</f>
        <v>ALL OK</v>
      </c>
      <c r="O147" s="388" t="inlineStr">
        <is>
          <t xml:space="preserve">HTM G172</t>
        </is>
      </c>
    </row>
    <row r="148">
      <c r="C148" s="360" t="inlineStr">
        <is>
          <t xml:space="preserve">Integrity – Tender checks, overall (Tender E343)</t>
        </is>
      </c>
      <c r="D148" s="541" t="inlineStr">
        <is>
          <t xml:space="preserve">status</t>
        </is>
      </c>
      <c r="E148" s="372" t="str">
        <f>Tender!$E$343</f>
        <v>OK</v>
      </c>
      <c r="O148" s="388" t="inlineStr">
        <is>
          <t xml:space="preserve">Tender E343</t>
        </is>
      </c>
    </row>
    <row r="149">
      <c r="C149" s="360" t="inlineStr">
        <is>
          <t xml:space="preserve">Control Panel links (every input row, column P check) and selection</t>
        </is>
      </c>
      <c r="D149" s="541" t="inlineStr">
        <is>
          <t xml:space="preserve">status</t>
        </is>
      </c>
      <c r="E149" s="372" t="str">
        <f>IF(AND(COUNTIF($P$1:$P$137,"FAIL*")=0,$G$11="OK"),"OK","FAIL")</f>
        <v>OK</v>
      </c>
      <c r="O149" s="388" t="inlineStr">
        <is>
          <t xml:space="preserve">Column P of sections b / c; selection check G11</t>
        </is>
      </c>
    </row>
    <row r="150">
      <c r="C150" s="360" t="inlineStr">
        <is>
          <t xml:space="preserve">Timeline inside the valid window (section c)</t>
        </is>
      </c>
      <c r="D150" s="541" t="inlineStr">
        <is>
          <t xml:space="preserve">status</t>
        </is>
      </c>
      <c r="E150" s="372" t="str">
        <f>$E$97</f>
        <v>OK</v>
      </c>
      <c r="O150" s="388" t="inlineStr">
        <is>
          <t xml:space="preserve">Timing block of section c</t>
        </is>
      </c>
    </row>
    <row r="152" ht="30" customHeight="1">
      <c r="C152" s="253" t="inlineStr">
        <is>
          <t xml:space="preserve">Scenario comparison – all routes (data table)</t>
        </is>
      </c>
      <c r="D152" s="538" t="inlineStr">
        <is>
          <t xml:space="preserve">Unit</t>
        </is>
      </c>
      <c r="E152" s="538" t="inlineStr">
        <is>
          <t xml:space="preserve">S0 – zero bid</t>
        </is>
      </c>
      <c r="F152" s="538" t="inlineStr">
        <is>
          <t xml:space="preserve">S1 – current bid</t>
        </is>
      </c>
      <c r="G152" s="538" t="inlineStr">
        <is>
          <t xml:space="preserve">S2 – free points</t>
        </is>
      </c>
      <c r="H152" s="538" t="inlineStr">
        <is>
          <t xml:space="preserve">S3 – ≈70 points</t>
        </is>
      </c>
      <c r="I152" s="538" t="inlineStr">
        <is>
          <t xml:space="preserve">S4 – max. score</t>
        </is>
      </c>
      <c r="J152" s="538" t="inlineStr">
        <is>
          <t xml:space="preserve">Δ S0 vs S1</t>
        </is>
      </c>
      <c r="K152" s="538" t="inlineStr">
        <is>
          <t xml:space="preserve">Δ S2 vs S1</t>
        </is>
      </c>
      <c r="L152" s="538" t="inlineStr">
        <is>
          <t xml:space="preserve">Δ S3 vs S1</t>
        </is>
      </c>
      <c r="M152" s="538" t="inlineStr">
        <is>
          <t xml:space="preserve">Δ S4 vs S1</t>
        </is>
      </c>
      <c r="N152" s="254"/>
      <c r="O152" s="253" t="inlineStr">
        <is>
          <t xml:space="preserve">Δ IRR in percentage points</t>
        </is>
      </c>
    </row>
    <row r="153">
      <c r="C153" s="360" t="inlineStr">
        <is>
          <t xml:space="preserve">Tender score – European-turbine routes</t>
        </is>
      </c>
      <c r="D153" s="541" t="inlineStr">
        <is>
          <t xml:space="preserve">pts</t>
        </is>
      </c>
      <c r="E153" s="578">
        <f>Tender!I$84</f>
        <v>0</v>
      </c>
      <c r="F153" s="578">
        <f>Tender!E$84</f>
        <v>36</v>
      </c>
      <c r="G153" s="578">
        <f>Tender!F$84</f>
        <v>51.5</v>
      </c>
      <c r="H153" s="578">
        <f>Tender!G$84</f>
        <v>69.5</v>
      </c>
      <c r="I153" s="578">
        <f>Tender!H$84</f>
        <v>90</v>
      </c>
      <c r="J153" s="575">
        <f>IFERROR(E153-$F153,"n/a")</f>
        <v>-36</v>
      </c>
      <c r="K153" s="575">
        <f>IFERROR(G153-$F153,"n/a")</f>
        <v>15.5</v>
      </c>
      <c r="L153" s="575">
        <f>IFERROR(H153-$F153,"n/a")</f>
        <v>33.5</v>
      </c>
      <c r="M153" s="575">
        <f>IFERROR(I153-$F153,"n/a")</f>
        <v>54</v>
      </c>
      <c r="O153" s="388" t="inlineStr">
        <is>
          <t xml:space="preserve">Tender row 84 (live)</t>
        </is>
      </c>
    </row>
    <row r="154">
      <c r="C154" s="360" t="inlineStr">
        <is>
          <t xml:space="preserve">Tender score – Chinese-turbine routes</t>
        </is>
      </c>
      <c r="D154" s="541" t="inlineStr">
        <is>
          <t xml:space="preserve">pts</t>
        </is>
      </c>
      <c r="E154" s="578">
        <f>Tender!I$85</f>
        <v>0</v>
      </c>
      <c r="F154" s="578">
        <f>Tender!E$85</f>
        <v>24</v>
      </c>
      <c r="G154" s="578">
        <f>Tender!F$85</f>
        <v>36.5</v>
      </c>
      <c r="H154" s="578">
        <f>Tender!G$85</f>
        <v>54.5</v>
      </c>
      <c r="I154" s="578">
        <f>Tender!H$85</f>
        <v>75</v>
      </c>
      <c r="J154" s="575">
        <f>IFERROR(E154-$F154,"n/a")</f>
        <v>-24</v>
      </c>
      <c r="K154" s="575">
        <f>IFERROR(G154-$F154,"n/a")</f>
        <v>12.5</v>
      </c>
      <c r="L154" s="575">
        <f>IFERROR(H154-$F154,"n/a")</f>
        <v>30.5</v>
      </c>
      <c r="M154" s="575">
        <f>IFERROR(I154-$F154,"n/a")</f>
        <v>51</v>
      </c>
      <c r="O154" s="388" t="inlineStr">
        <is>
          <t xml:space="preserve">Tender row 85 (live)</t>
        </is>
      </c>
    </row>
    <row r="155">
      <c r="C155" s="539" t="inlineStr">
        <is>
          <t xml:space="preserve">FEP net profit (post-tax)</t>
        </is>
      </c>
      <c r="D155" s="254"/>
      <c r="E155" s="254"/>
      <c r="F155" s="254"/>
      <c r="G155" s="254"/>
      <c r="H155" s="254"/>
      <c r="I155" s="254"/>
      <c r="J155" s="254"/>
      <c r="K155" s="254"/>
      <c r="L155" s="254"/>
      <c r="M155" s="254"/>
    </row>
    <row r="156">
      <c r="C156" s="540" t="inlineStr">
        <is>
          <t xml:space="preserve">RtB sale (case 1)</t>
        </is>
      </c>
      <c r="D156" s="541" t="inlineStr">
        <is>
          <t xml:space="preserve">k€</t>
        </is>
      </c>
      <c r="E156" s="560">
        <f>$H$326</f>
        <v>37649.05331909948</v>
      </c>
      <c r="F156" s="560">
        <f>$H$306</f>
        <v>15173.724494515496</v>
      </c>
      <c r="G156" s="560">
        <f>$H$311</f>
        <v>14663.612494160967</v>
      </c>
      <c r="H156" s="560">
        <f>$H$316</f>
        <v>10038.494248053641</v>
      </c>
      <c r="I156" s="560">
        <f>$H$321</f>
        <v>-5349.486267543791</v>
      </c>
      <c r="J156" s="573">
        <f>IFERROR(E156-$F156,"n/a")</f>
        <v>22475.328824583987</v>
      </c>
      <c r="K156" s="573">
        <f>IFERROR(G156-$F156,"n/a")</f>
        <v>-510.1120003545293</v>
      </c>
      <c r="L156" s="573">
        <f>IFERROR(H156-$F156,"n/a")</f>
        <v>-5135.230246461855</v>
      </c>
      <c r="M156" s="573">
        <f>IFERROR(I156-$F156,"n/a")</f>
        <v>-20523.210762059287</v>
      </c>
    </row>
    <row r="157">
      <c r="C157" s="540" t="inlineStr">
        <is>
          <t xml:space="preserve">Sale at COD – European turbine (case 7)</t>
        </is>
      </c>
      <c r="D157" s="541" t="inlineStr">
        <is>
          <t xml:space="preserve">k€</t>
        </is>
      </c>
      <c r="E157" s="560">
        <f>$H$327</f>
        <v>106895.5871488787</v>
      </c>
      <c r="F157" s="560">
        <f>$H$307</f>
        <v>103211.97771165345</v>
      </c>
      <c r="G157" s="560">
        <f>$H$312</f>
        <v>98468.32640750008</v>
      </c>
      <c r="H157" s="560">
        <f>$H$317</f>
        <v>93021.96619023028</v>
      </c>
      <c r="I157" s="560">
        <f>$H$322</f>
        <v>57532.68202082554</v>
      </c>
      <c r="J157" s="573">
        <f>IFERROR(E157-$F157,"n/a")</f>
        <v>3683.609437225241</v>
      </c>
      <c r="K157" s="573">
        <f>IFERROR(G157-$F157,"n/a")</f>
        <v>-4743.651304153376</v>
      </c>
      <c r="L157" s="573">
        <f>IFERROR(H157-$F157,"n/a")</f>
        <v>-10190.011521423177</v>
      </c>
      <c r="M157" s="573">
        <f>IFERROR(I157-$F157,"n/a")</f>
        <v>-45679.295690827916</v>
      </c>
    </row>
    <row r="158">
      <c r="C158" s="540" t="inlineStr">
        <is>
          <t xml:space="preserve">Sale at COD – Chinese turbine (case 8)</t>
        </is>
      </c>
      <c r="D158" s="541" t="inlineStr">
        <is>
          <t xml:space="preserve">k€</t>
        </is>
      </c>
      <c r="E158" s="560">
        <f>$H$328</f>
        <v>129417.0026773994</v>
      </c>
      <c r="F158" s="560">
        <f>$H$308</f>
        <v>135331.93875046997</v>
      </c>
      <c r="G158" s="560">
        <f>$H$313</f>
        <v>135127.11002839365</v>
      </c>
      <c r="H158" s="560">
        <f>$H$318</f>
        <v>129714.23558417066</v>
      </c>
      <c r="I158" s="560">
        <f>$H$323</f>
        <v>102798.19902688553</v>
      </c>
      <c r="J158" s="573">
        <f>IFERROR(E158-$F158,"n/a")</f>
        <v>-5914.936073070567</v>
      </c>
      <c r="K158" s="573">
        <f>IFERROR(G158-$F158,"n/a")</f>
        <v>-204.8287220763159</v>
      </c>
      <c r="L158" s="573">
        <f>IFERROR(H158-$F158,"n/a")</f>
        <v>-5617.70316629931</v>
      </c>
      <c r="M158" s="573">
        <f>IFERROR(I158-$F158,"n/a")</f>
        <v>-32533.73972358444</v>
      </c>
    </row>
    <row r="159">
      <c r="C159" s="540" t="inlineStr">
        <is>
          <t xml:space="preserve">Hold to maturity – European turbine (case 2)</t>
        </is>
      </c>
      <c r="D159" s="541" t="inlineStr">
        <is>
          <t xml:space="preserve">k€</t>
        </is>
      </c>
      <c r="E159" s="560">
        <f>$H$329</f>
        <v>941142.1382199355</v>
      </c>
      <c r="F159" s="560">
        <f>$H$309</f>
        <v>1137959.1645636046</v>
      </c>
      <c r="G159" s="560">
        <f>$H$314</f>
        <v>1155103.8112538464</v>
      </c>
      <c r="H159" s="560">
        <f>$H$319</f>
        <v>1152984.063074571</v>
      </c>
      <c r="I159" s="560">
        <f>$H$324</f>
        <v>1103512.8634818878</v>
      </c>
      <c r="J159" s="573">
        <f>IFERROR(E159-$F159,"n/a")</f>
        <v>-196817.02634366916</v>
      </c>
      <c r="K159" s="573">
        <f>IFERROR(G159-$F159,"n/a")</f>
        <v>17144.64669024176</v>
      </c>
      <c r="L159" s="573">
        <f>IFERROR(H159-$F159,"n/a")</f>
        <v>15024.89851096645</v>
      </c>
      <c r="M159" s="573">
        <f>IFERROR(I159-$F159,"n/a")</f>
        <v>-34446.30108171678</v>
      </c>
    </row>
    <row r="160">
      <c r="C160" s="540" t="inlineStr">
        <is>
          <t xml:space="preserve">Hold to maturity – Chinese turbine (case 3)</t>
        </is>
      </c>
      <c r="D160" s="541" t="inlineStr">
        <is>
          <t xml:space="preserve">k€</t>
        </is>
      </c>
      <c r="E160" s="560">
        <f>$H$330</f>
        <v>1063488.9309388015</v>
      </c>
      <c r="F160" s="560">
        <f>$H$310</f>
        <v>1299225.3867605191</v>
      </c>
      <c r="G160" s="560">
        <f>$H$315</f>
        <v>1328203.7314024107</v>
      </c>
      <c r="H160" s="560">
        <f>$H$320</f>
        <v>1326543.6173482314</v>
      </c>
      <c r="I160" s="560">
        <f>$H$325</f>
        <v>1296069.1004568324</v>
      </c>
      <c r="J160" s="573">
        <f>IFERROR(E160-$F160,"n/a")</f>
        <v>-235736.45582171762</v>
      </c>
      <c r="K160" s="573">
        <f>IFERROR(G160-$F160,"n/a")</f>
        <v>28978.34464189154</v>
      </c>
      <c r="L160" s="573">
        <f>IFERROR(H160-$F160,"n/a")</f>
        <v>27318.230587712256</v>
      </c>
      <c r="M160" s="573">
        <f>IFERROR(I160-$F160,"n/a")</f>
        <v>-3156.2863036866765</v>
      </c>
    </row>
    <row r="161">
      <c r="C161" s="539" t="inlineStr">
        <is>
          <t xml:space="preserve">FEP IRR (post-tax)</t>
        </is>
      </c>
      <c r="D161" s="254"/>
      <c r="E161" s="254"/>
      <c r="F161" s="254"/>
      <c r="G161" s="254"/>
      <c r="H161" s="254"/>
      <c r="I161" s="254"/>
      <c r="J161" s="254"/>
      <c r="K161" s="254"/>
      <c r="L161" s="254"/>
      <c r="M161" s="254"/>
    </row>
    <row r="162">
      <c r="C162" s="540" t="inlineStr">
        <is>
          <t xml:space="preserve">RtB sale (case 1)</t>
        </is>
      </c>
      <c r="D162" s="541" t="inlineStr">
        <is>
          <t xml:space="preserve">%</t>
        </is>
      </c>
      <c r="E162" s="567">
        <f>$I$326</f>
        <v>0.501558169297414</v>
      </c>
      <c r="F162" s="567">
        <f>$I$306</f>
        <v>0.20894449022377323</v>
      </c>
      <c r="G162" s="567">
        <f>$I$311</f>
        <v>0.2004243752726126</v>
      </c>
      <c r="H162" s="567">
        <f>$I$316</f>
        <v>0.13688527561568004</v>
      </c>
      <c r="I162" s="567">
        <f>$I$321</f>
        <v>-0.0749152579605665</v>
      </c>
      <c r="J162" s="572">
        <f>IFERROR((E162-$F162)*100,"n/a")</f>
        <v>29.26136790736408</v>
      </c>
      <c r="K162" s="572">
        <f>IFERROR((G162-$F162)*100,"n/a")</f>
        <v>-0.8520114951160646</v>
      </c>
      <c r="L162" s="572">
        <f>IFERROR((H162-$F162)*100,"n/a")</f>
        <v>-7.20592146080932</v>
      </c>
      <c r="M162" s="572">
        <f>IFERROR((I162-$F162)*100,"n/a")</f>
        <v>-28.385974818433972</v>
      </c>
    </row>
    <row r="163">
      <c r="C163" s="540" t="inlineStr">
        <is>
          <t xml:space="preserve">Sale at COD – European turbine (case 7)</t>
        </is>
      </c>
      <c r="D163" s="541" t="inlineStr">
        <is>
          <t xml:space="preserve">%</t>
        </is>
      </c>
      <c r="E163" s="567">
        <f>$I$327</f>
        <v>0.38242527707340657</v>
      </c>
      <c r="F163" s="567">
        <f>$I$307</f>
        <v>0.3136423750460425</v>
      </c>
      <c r="G163" s="567">
        <f>$I$312</f>
        <v>0.29014519684283974</v>
      </c>
      <c r="H163" s="567">
        <f>$I$317</f>
        <v>0.27398227038920586</v>
      </c>
      <c r="I163" s="567">
        <f>$I$322</f>
        <v>0.1630761981817325</v>
      </c>
      <c r="J163" s="572">
        <f>IFERROR((E163-$F163)*100,"n/a")</f>
        <v>6.878290202736409</v>
      </c>
      <c r="K163" s="572">
        <f>IFERROR((G163-$F163)*100,"n/a")</f>
        <v>-2.349717820320274</v>
      </c>
      <c r="L163" s="572">
        <f>IFERROR((H163-$F163)*100,"n/a")</f>
        <v>-3.9660104656836612</v>
      </c>
      <c r="M163" s="572">
        <f>IFERROR((I163-$F163)*100,"n/a")</f>
        <v>-15.056617686430998</v>
      </c>
    </row>
    <row r="164">
      <c r="C164" s="540" t="inlineStr">
        <is>
          <t xml:space="preserve">Sale at COD – Chinese turbine (case 8)</t>
        </is>
      </c>
      <c r="D164" s="541" t="inlineStr">
        <is>
          <t xml:space="preserve">%</t>
        </is>
      </c>
      <c r="E164" s="567">
        <f>$I$328</f>
        <v>0.4743681946422939</v>
      </c>
      <c r="F164" s="567">
        <f>$I$308</f>
        <v>0.42123413226421264</v>
      </c>
      <c r="G164" s="567">
        <f>$I$313</f>
        <v>0.40784371495977667</v>
      </c>
      <c r="H164" s="567">
        <f>$I$318</f>
        <v>0.39043141054334973</v>
      </c>
      <c r="I164" s="567">
        <f>$I$323</f>
        <v>0.2959532095999144</v>
      </c>
      <c r="J164" s="572">
        <f>IFERROR((E164-$F164)*100,"n/a")</f>
        <v>5.3134062378081275</v>
      </c>
      <c r="K164" s="572">
        <f>IFERROR((G164-$F164)*100,"n/a")</f>
        <v>-1.3390417304435964</v>
      </c>
      <c r="L164" s="572">
        <f>IFERROR((H164-$F164)*100,"n/a")</f>
        <v>-3.08027217208629</v>
      </c>
      <c r="M164" s="572">
        <f>IFERROR((I164-$F164)*100,"n/a")</f>
        <v>-12.528092266429825</v>
      </c>
    </row>
    <row r="165">
      <c r="C165" s="540" t="inlineStr">
        <is>
          <t xml:space="preserve">Hold to maturity – European turbine (case 2)</t>
        </is>
      </c>
      <c r="D165" s="541" t="inlineStr">
        <is>
          <t xml:space="preserve">%</t>
        </is>
      </c>
      <c r="E165" s="567">
        <f>$I$329</f>
        <v>0.09692215757580577</v>
      </c>
      <c r="F165" s="567">
        <f>$I$309</f>
        <v>0.09991355961167205</v>
      </c>
      <c r="G165" s="567">
        <f>$I$314</f>
        <v>0.09716327861618469</v>
      </c>
      <c r="H165" s="567">
        <f>$I$319</f>
        <v>0.09726662363662938</v>
      </c>
      <c r="I165" s="567">
        <f>$I$324</f>
        <v>0.09019075393091146</v>
      </c>
      <c r="J165" s="572">
        <f>IFERROR((E165-$F165)*100,"n/a")</f>
        <v>-0.29914020358662724</v>
      </c>
      <c r="K165" s="572">
        <f>IFERROR((G165-$F165)*100,"n/a")</f>
        <v>-0.2750280995487353</v>
      </c>
      <c r="L165" s="572">
        <f>IFERROR((H165-$F165)*100,"n/a")</f>
        <v>-0.2646935975042661</v>
      </c>
      <c r="M165" s="572">
        <f>IFERROR((I165-$F165)*100,"n/a")</f>
        <v>-0.9722805680760588</v>
      </c>
    </row>
    <row r="166">
      <c r="C166" s="540" t="inlineStr">
        <is>
          <t xml:space="preserve">Hold to maturity – Chinese turbine (case 3)</t>
        </is>
      </c>
      <c r="D166" s="541" t="inlineStr">
        <is>
          <t xml:space="preserve">%</t>
        </is>
      </c>
      <c r="E166" s="567">
        <f>$I$330</f>
        <v>0.12385291624963445</v>
      </c>
      <c r="F166" s="567">
        <f>$I$310</f>
        <v>0.13111232656651206</v>
      </c>
      <c r="G166" s="567">
        <f>$I$315</f>
        <v>0.1288631587267528</v>
      </c>
      <c r="H166" s="567">
        <f>$I$320</f>
        <v>0.12909658652699293</v>
      </c>
      <c r="I166" s="567">
        <f>$I$325</f>
        <v>0.12311565150873711</v>
      </c>
      <c r="J166" s="572">
        <f>IFERROR((E166-$F166)*100,"n/a")</f>
        <v>-0.7259410316877615</v>
      </c>
      <c r="K166" s="572">
        <f>IFERROR((G166-$F166)*100,"n/a")</f>
        <v>-0.22491678397592585</v>
      </c>
      <c r="L166" s="572">
        <f>IFERROR((H166-$F166)*100,"n/a")</f>
        <v>-0.2015740039519126</v>
      </c>
      <c r="M166" s="572">
        <f>IFERROR((I166-$F166)*100,"n/a")</f>
        <v>-0.7996675057774947</v>
      </c>
    </row>
    <row r="167">
      <c r="C167" s="539" t="inlineStr">
        <is>
          <t xml:space="preserve">FEP MOIC</t>
        </is>
      </c>
      <c r="D167" s="254"/>
      <c r="E167" s="254"/>
      <c r="F167" s="254"/>
      <c r="G167" s="254"/>
      <c r="H167" s="254"/>
      <c r="I167" s="254"/>
      <c r="J167" s="254"/>
      <c r="K167" s="254"/>
      <c r="L167" s="254"/>
      <c r="M167" s="254"/>
    </row>
    <row r="168">
      <c r="C168" s="540" t="inlineStr">
        <is>
          <t xml:space="preserve">RtB sale (case 1)</t>
        </is>
      </c>
      <c r="D168" s="541" t="inlineStr">
        <is>
          <t xml:space="preserve">x</t>
        </is>
      </c>
      <c r="E168" s="569">
        <f>$L$326</f>
        <v>1.8173997462368177</v>
      </c>
      <c r="F168" s="569">
        <f>$L$306</f>
        <v>1.312105461761588</v>
      </c>
      <c r="G168" s="569">
        <f>$L$311</f>
        <v>1.299066858466091</v>
      </c>
      <c r="H168" s="569">
        <f>$L$316</f>
        <v>1.200574753032688</v>
      </c>
      <c r="I168" s="569">
        <f>$L$321</f>
        <v>0.8974854281606272</v>
      </c>
      <c r="J168" s="574">
        <f>IFERROR(E168-$F168,"n/a")</f>
        <v>0.5052942844752297</v>
      </c>
      <c r="K168" s="574">
        <f>IFERROR(G168-$F168,"n/a")</f>
        <v>-0.013038603295496998</v>
      </c>
      <c r="L168" s="574">
        <f>IFERROR(H168-$F168,"n/a")</f>
        <v>-0.11153070872889992</v>
      </c>
      <c r="M168" s="574">
        <f>IFERROR(I168-$F168,"n/a")</f>
        <v>-0.4146200336009608</v>
      </c>
    </row>
    <row r="169">
      <c r="C169" s="540" t="inlineStr">
        <is>
          <t xml:space="preserve">Sale at COD – European turbine (case 7)</t>
        </is>
      </c>
      <c r="D169" s="541" t="inlineStr">
        <is>
          <t xml:space="preserve">x</t>
        </is>
      </c>
      <c r="E169" s="569">
        <f>$L$327</f>
        <v>1.741497979093338</v>
      </c>
      <c r="F169" s="569">
        <f>$L$307</f>
        <v>1.5372084392976306</v>
      </c>
      <c r="G169" s="569">
        <f>$L$312</f>
        <v>1.4834856712629423</v>
      </c>
      <c r="H169" s="569">
        <f>$L$317</f>
        <v>1.4480096889623337</v>
      </c>
      <c r="I169" s="569">
        <f>$L$322</f>
        <v>1.2475364657283692</v>
      </c>
      <c r="J169" s="574">
        <f>IFERROR(E169-$F169,"n/a")</f>
        <v>0.2042895397957074</v>
      </c>
      <c r="K169" s="574">
        <f>IFERROR(G169-$F169,"n/a")</f>
        <v>-0.05372276803468834</v>
      </c>
      <c r="L169" s="574">
        <f>IFERROR(H169-$F169,"n/a")</f>
        <v>-0.0891987503352969</v>
      </c>
      <c r="M169" s="574">
        <f>IFERROR(I169-$F169,"n/a")</f>
        <v>-0.28967197356926144</v>
      </c>
    </row>
    <row r="170">
      <c r="C170" s="540" t="inlineStr">
        <is>
          <t xml:space="preserve">Sale at COD – Chinese turbine (case 8)</t>
        </is>
      </c>
      <c r="D170" s="541" t="inlineStr">
        <is>
          <t xml:space="preserve">x</t>
        </is>
      </c>
      <c r="E170" s="569">
        <f>$L$328</f>
        <v>2.0212362166722637</v>
      </c>
      <c r="F170" s="569">
        <f>$L$308</f>
        <v>1.795225153614678</v>
      </c>
      <c r="G170" s="569">
        <f>$L$313</f>
        <v>1.7521872478591671</v>
      </c>
      <c r="H170" s="569">
        <f>$L$318</f>
        <v>1.7042023674906153</v>
      </c>
      <c r="I170" s="569">
        <f>$L$323</f>
        <v>1.4960338178569934</v>
      </c>
      <c r="J170" s="574">
        <f>IFERROR(E170-$F170,"n/a")</f>
        <v>0.22601106305758578</v>
      </c>
      <c r="K170" s="574">
        <f>IFERROR(G170-$F170,"n/a")</f>
        <v>-0.04303790575551081</v>
      </c>
      <c r="L170" s="574">
        <f>IFERROR(H170-$F170,"n/a")</f>
        <v>-0.09102278612406267</v>
      </c>
      <c r="M170" s="574">
        <f>IFERROR(I170-$F170,"n/a")</f>
        <v>-0.29919133575768453</v>
      </c>
    </row>
    <row r="171">
      <c r="C171" s="540" t="inlineStr">
        <is>
          <t xml:space="preserve">Hold to maturity – European turbine (case 2)</t>
        </is>
      </c>
      <c r="D171" s="541" t="inlineStr">
        <is>
          <t xml:space="preserve">x</t>
        </is>
      </c>
      <c r="E171" s="569">
        <f>$L$329</f>
        <v>5.648043107503398</v>
      </c>
      <c r="F171" s="569">
        <f>$L$309</f>
        <v>6.1332910065156945</v>
      </c>
      <c r="G171" s="569">
        <f>$L$314</f>
        <v>5.946721985836378</v>
      </c>
      <c r="H171" s="569">
        <f>$L$319</f>
        <v>5.986744729582902</v>
      </c>
      <c r="I171" s="569">
        <f>$L$324</f>
        <v>5.6397751566314955</v>
      </c>
      <c r="J171" s="574">
        <f>IFERROR(E171-$F171,"n/a")</f>
        <v>-0.4852478990122968</v>
      </c>
      <c r="K171" s="574">
        <f>IFERROR(G171-$F171,"n/a")</f>
        <v>-0.18656902067931647</v>
      </c>
      <c r="L171" s="574">
        <f>IFERROR(H171-$F171,"n/a")</f>
        <v>-0.1465462769327921</v>
      </c>
      <c r="M171" s="574">
        <f>IFERROR(I171-$F171,"n/a")</f>
        <v>-0.49351584988419894</v>
      </c>
    </row>
    <row r="172">
      <c r="C172" s="540" t="inlineStr">
        <is>
          <t xml:space="preserve">Hold to maturity – Chinese turbine (case 3)</t>
        </is>
      </c>
      <c r="D172" s="541" t="inlineStr">
        <is>
          <t xml:space="preserve">x</t>
        </is>
      </c>
      <c r="E172" s="569">
        <f>$L$330</f>
        <v>6.954341376582738</v>
      </c>
      <c r="F172" s="569">
        <f>$L$310</f>
        <v>7.791590090989202</v>
      </c>
      <c r="G172" s="569">
        <f>$L$315</f>
        <v>7.624899979599188</v>
      </c>
      <c r="H172" s="569">
        <f>$L$320</f>
        <v>7.6753329652829</v>
      </c>
      <c r="I172" s="569">
        <f>$L$325</f>
        <v>7.395302369890669</v>
      </c>
      <c r="J172" s="574">
        <f>IFERROR(E172-$F172,"n/a")</f>
        <v>-0.8372487144064644</v>
      </c>
      <c r="K172" s="574">
        <f>IFERROR(G172-$F172,"n/a")</f>
        <v>-0.16669011139001455</v>
      </c>
      <c r="L172" s="574">
        <f>IFERROR(H172-$F172,"n/a")</f>
        <v>-0.11625712570630231</v>
      </c>
      <c r="M172" s="574">
        <f>IFERROR(I172-$F172,"n/a")</f>
        <v>-0.39628772109853294</v>
      </c>
    </row>
    <row r="173">
      <c r="C173" s="539" t="inlineStr">
        <is>
          <t xml:space="preserve">FEP NPV (post-tax, discount rate of section c)</t>
        </is>
      </c>
      <c r="D173" s="254"/>
      <c r="E173" s="254"/>
      <c r="F173" s="254"/>
      <c r="G173" s="254"/>
      <c r="H173" s="254"/>
      <c r="I173" s="254"/>
      <c r="J173" s="254"/>
      <c r="K173" s="254"/>
      <c r="L173" s="254"/>
      <c r="M173" s="254"/>
    </row>
    <row r="174">
      <c r="C174" s="540" t="inlineStr">
        <is>
          <t xml:space="preserve">RtB sale (case 1)</t>
        </is>
      </c>
      <c r="D174" s="541" t="inlineStr">
        <is>
          <t xml:space="preserve">k€</t>
        </is>
      </c>
      <c r="E174" s="560">
        <f>$J$326</f>
        <v>24464.774458537166</v>
      </c>
      <c r="F174" s="560">
        <f>$J$306</f>
        <v>7253.356399284837</v>
      </c>
      <c r="G174" s="560">
        <f>$J$311</f>
        <v>6826.050756115276</v>
      </c>
      <c r="H174" s="560">
        <f>$J$316</f>
        <v>3234.0332275449878</v>
      </c>
      <c r="I174" s="560">
        <f>$J$321</f>
        <v>-8589.28057164893</v>
      </c>
      <c r="J174" s="573">
        <f>IFERROR(E174-$F174,"n/a")</f>
        <v>17211.41805925233</v>
      </c>
      <c r="K174" s="573">
        <f>IFERROR(G174-$F174,"n/a")</f>
        <v>-427.3056431695604</v>
      </c>
      <c r="L174" s="573">
        <f>IFERROR(H174-$F174,"n/a")</f>
        <v>-4019.323171739849</v>
      </c>
      <c r="M174" s="573">
        <f>IFERROR(I174-$F174,"n/a")</f>
        <v>-15842.636970933767</v>
      </c>
    </row>
    <row r="175">
      <c r="C175" s="540" t="inlineStr">
        <is>
          <t xml:space="preserve">Sale at COD – European turbine (case 7)</t>
        </is>
      </c>
      <c r="D175" s="541" t="inlineStr">
        <is>
          <t xml:space="preserve">k€</t>
        </is>
      </c>
      <c r="E175" s="560">
        <f>$J$327</f>
        <v>62268.23071038199</v>
      </c>
      <c r="F175" s="560">
        <f>$J$307</f>
        <v>57524.98944635041</v>
      </c>
      <c r="G175" s="560">
        <f>$J$312</f>
        <v>53743.6510754388</v>
      </c>
      <c r="H175" s="560">
        <f>$J$317</f>
        <v>49989.0355210328</v>
      </c>
      <c r="I175" s="560">
        <f>$J$322</f>
        <v>24494.91000854238</v>
      </c>
      <c r="J175" s="573">
        <f>IFERROR(E175-$F175,"n/a")</f>
        <v>4743.2412640315815</v>
      </c>
      <c r="K175" s="573">
        <f>IFERROR(G175-$F175,"n/a")</f>
        <v>-3781.3383709116097</v>
      </c>
      <c r="L175" s="573">
        <f>IFERROR(H175-$F175,"n/a")</f>
        <v>-7535.953925317612</v>
      </c>
      <c r="M175" s="573">
        <f>IFERROR(I175-$F175,"n/a")</f>
        <v>-33030.07943780803</v>
      </c>
    </row>
    <row r="176">
      <c r="C176" s="540" t="inlineStr">
        <is>
          <t xml:space="preserve">Sale at COD – Chinese turbine (case 8)</t>
        </is>
      </c>
      <c r="D176" s="541" t="inlineStr">
        <is>
          <t xml:space="preserve">k€</t>
        </is>
      </c>
      <c r="E176" s="560">
        <f>$J$328</f>
        <v>78434.83592174726</v>
      </c>
      <c r="F176" s="560">
        <f>$J$308</f>
        <v>80447.16875917108</v>
      </c>
      <c r="G176" s="560">
        <f>$J$313</f>
        <v>79851.02834527977</v>
      </c>
      <c r="H176" s="560">
        <f>$J$318</f>
        <v>76095.82123298569</v>
      </c>
      <c r="I176" s="560">
        <f>$J$323</f>
        <v>56525.92020671938</v>
      </c>
      <c r="J176" s="573">
        <f>IFERROR(E176-$F176,"n/a")</f>
        <v>-2012.332837423819</v>
      </c>
      <c r="K176" s="573">
        <f>IFERROR(G176-$F176,"n/a")</f>
        <v>-596.1404138913058</v>
      </c>
      <c r="L176" s="573">
        <f>IFERROR(H176-$F176,"n/a")</f>
        <v>-4351.347526185389</v>
      </c>
      <c r="M176" s="573">
        <f>IFERROR(I176-$F176,"n/a")</f>
        <v>-23921.248552451703</v>
      </c>
    </row>
    <row r="177">
      <c r="C177" s="540" t="inlineStr">
        <is>
          <t xml:space="preserve">Hold to maturity – European turbine (case 2)</t>
        </is>
      </c>
      <c r="D177" s="541" t="inlineStr">
        <is>
          <t xml:space="preserve">k€</t>
        </is>
      </c>
      <c r="E177" s="560">
        <f>$J$329</f>
        <v>45835.48647349481</v>
      </c>
      <c r="F177" s="560">
        <f>$J$309</f>
        <v>62081.30688179275</v>
      </c>
      <c r="G177" s="560">
        <f>$J$314</f>
        <v>55911.614375163284</v>
      </c>
      <c r="H177" s="560">
        <f>$J$319</f>
        <v>55966.25893289026</v>
      </c>
      <c r="I177" s="560">
        <f>$J$324</f>
        <v>34048.89404343646</v>
      </c>
      <c r="J177" s="573">
        <f>IFERROR(E177-$F177,"n/a")</f>
        <v>-16245.820408297936</v>
      </c>
      <c r="K177" s="573">
        <f>IFERROR(G177-$F177,"n/a")</f>
        <v>-6169.692506629464</v>
      </c>
      <c r="L177" s="573">
        <f>IFERROR(H177-$F177,"n/a")</f>
        <v>-6115.047948902487</v>
      </c>
      <c r="M177" s="573">
        <f>IFERROR(I177-$F177,"n/a")</f>
        <v>-28032.412838356286</v>
      </c>
    </row>
    <row r="178">
      <c r="C178" s="540" t="inlineStr">
        <is>
          <t xml:space="preserve">Hold to maturity – Chinese turbine (case 3)</t>
        </is>
      </c>
      <c r="D178" s="541" t="inlineStr">
        <is>
          <t xml:space="preserve">k€</t>
        </is>
      </c>
      <c r="E178" s="560">
        <f>$J$330</f>
        <v>105571.80767792829</v>
      </c>
      <c r="F178" s="560">
        <f>$J$310</f>
        <v>139279.28641793394</v>
      </c>
      <c r="G178" s="560">
        <f>$J$315</f>
        <v>138606.18659691172</v>
      </c>
      <c r="H178" s="560">
        <f>$J$320</f>
        <v>138567.36142870146</v>
      </c>
      <c r="I178" s="560">
        <f>$J$325</f>
        <v>124486.86140761414</v>
      </c>
      <c r="J178" s="573">
        <f>IFERROR(E178-$F178,"n/a")</f>
        <v>-33707.47874000565</v>
      </c>
      <c r="K178" s="573">
        <f>IFERROR(G178-$F178,"n/a")</f>
        <v>-673.0998210222169</v>
      </c>
      <c r="L178" s="573">
        <f>IFERROR(H178-$F178,"n/a")</f>
        <v>-711.9249892324733</v>
      </c>
      <c r="M178" s="573">
        <f>IFERROR(I178-$F178,"n/a")</f>
        <v>-14792.4250103198</v>
      </c>
    </row>
    <row r="180" ht="30" customHeight="1">
      <c r="C180" s="253" t="inlineStr">
        <is>
          <t xml:space="preserve">RtB sale (case 1) – price and price effect of the promises (NPV basis)</t>
        </is>
      </c>
      <c r="D180" s="538" t="inlineStr">
        <is>
          <t xml:space="preserve">Unit</t>
        </is>
      </c>
      <c r="E180" s="538" t="inlineStr">
        <is>
          <t xml:space="preserve">S0 – zero bid</t>
        </is>
      </c>
      <c r="F180" s="538" t="inlineStr">
        <is>
          <t xml:space="preserve">S1 – current bid</t>
        </is>
      </c>
      <c r="G180" s="538" t="inlineStr">
        <is>
          <t xml:space="preserve">S2 – free points</t>
        </is>
      </c>
      <c r="H180" s="538" t="inlineStr">
        <is>
          <t xml:space="preserve">S3 – ≈70 points</t>
        </is>
      </c>
      <c r="I180" s="538" t="inlineStr">
        <is>
          <t xml:space="preserve">S4 – max. score</t>
        </is>
      </c>
      <c r="J180" s="538" t="inlineStr">
        <is>
          <t xml:space="preserve">Δ S0 vs S1</t>
        </is>
      </c>
      <c r="K180" s="538" t="inlineStr">
        <is>
          <t xml:space="preserve">Δ S2 vs S1</t>
        </is>
      </c>
      <c r="L180" s="538" t="inlineStr">
        <is>
          <t xml:space="preserve">Δ S3 vs S1</t>
        </is>
      </c>
      <c r="M180" s="538" t="inlineStr">
        <is>
          <t xml:space="preserve">Δ S4 vs S1</t>
        </is>
      </c>
      <c r="N180" s="254"/>
      <c r="O180" s="253" t="inlineStr">
        <is>
          <t xml:space="preserve">Source (Tender section 4, MOIC)</t>
        </is>
      </c>
    </row>
    <row r="181">
      <c r="C181" s="360" t="inlineStr">
        <is>
          <t xml:space="preserve">Gross RtB premium (premium × basis MW)</t>
        </is>
      </c>
      <c r="D181" s="541" t="inlineStr">
        <is>
          <t xml:space="preserve">k€</t>
        </is>
      </c>
      <c r="E181" s="560">
        <f>$BQ$326</f>
        <v>30000</v>
      </c>
      <c r="F181" s="560">
        <f>$BQ$306</f>
        <v>30000</v>
      </c>
      <c r="G181" s="560">
        <f>$BQ$311</f>
        <v>30000</v>
      </c>
      <c r="H181" s="560">
        <f>$BQ$316</f>
        <v>30000</v>
      </c>
      <c r="I181" s="560">
        <f>$BQ$321</f>
        <v>30000</v>
      </c>
      <c r="J181" s="573">
        <f>IFERROR(E181-$F181,"n/a")</f>
        <v>0</v>
      </c>
      <c r="K181" s="573">
        <f>IFERROR(G181-$F181,"n/a")</f>
        <v>0</v>
      </c>
      <c r="L181" s="573">
        <f>IFERROR(H181-$F181,"n/a")</f>
        <v>0</v>
      </c>
      <c r="M181" s="573">
        <f>IFERROR(I181-$F181,"n/a")</f>
        <v>0</v>
      </c>
      <c r="O181" s="388" t="inlineStr">
        <is>
          <t xml:space="preserve">Tender E214</t>
        </is>
      </c>
    </row>
    <row r="182">
      <c r="C182" s="360" t="inlineStr">
        <is>
          <t xml:space="preserve">Σ PV of the promises above S1 (current bid) at the RtB sale (buyer rate, NPV basis)</t>
        </is>
      </c>
      <c r="D182" s="541" t="inlineStr">
        <is>
          <t xml:space="preserve">k€</t>
        </is>
      </c>
      <c r="E182" s="560">
        <f>$BR$326</f>
        <v>28930.20075243961</v>
      </c>
      <c r="F182" s="560">
        <f>$BR$306</f>
        <v>0</v>
      </c>
      <c r="G182" s="560">
        <f>$BR$311</f>
        <v>-136.1460129993936</v>
      </c>
      <c r="H182" s="560">
        <f>$BR$316</f>
        <v>-5687.169580433718</v>
      </c>
      <c r="I182" s="560">
        <f>$BR$321</f>
        <v>-24211.966799839272</v>
      </c>
      <c r="J182" s="573">
        <f>IFERROR(E182-$F182,"n/a")</f>
        <v>28930.20075243961</v>
      </c>
      <c r="K182" s="573">
        <f>IFERROR(G182-$F182,"n/a")</f>
        <v>-136.1460129993936</v>
      </c>
      <c r="L182" s="573">
        <f>IFERROR(H182-$F182,"n/a")</f>
        <v>-5687.169580433718</v>
      </c>
      <c r="M182" s="573">
        <f>IFERROR(I182-$F182,"n/a")</f>
        <v>-24211.966799839272</v>
      </c>
      <c r="O182" s="388" t="inlineStr">
        <is>
          <t xml:space="preserve">Tender E212</t>
        </is>
      </c>
    </row>
    <row r="183">
      <c r="C183" s="360" t="inlineStr">
        <is>
          <t xml:space="preserve">Price effect vs current bid = pass-through × Σ PV (&lt; 0 above S1, &gt; 0 below it)</t>
        </is>
      </c>
      <c r="D183" s="541" t="inlineStr">
        <is>
          <t xml:space="preserve">k€</t>
        </is>
      </c>
      <c r="E183" s="560">
        <f>$BS$326</f>
        <v>28930.20075243961</v>
      </c>
      <c r="F183" s="560">
        <f>$BS$306</f>
        <v>0</v>
      </c>
      <c r="G183" s="560">
        <f>$BS$311</f>
        <v>-136.1460129993936</v>
      </c>
      <c r="H183" s="560">
        <f>$BS$316</f>
        <v>-5687.169580433718</v>
      </c>
      <c r="I183" s="560">
        <f>$BS$321</f>
        <v>-24211.966799839272</v>
      </c>
      <c r="J183" s="573">
        <f>IFERROR(E183-$F183,"n/a")</f>
        <v>28930.20075243961</v>
      </c>
      <c r="K183" s="573">
        <f>IFERROR(G183-$F183,"n/a")</f>
        <v>-136.1460129993936</v>
      </c>
      <c r="L183" s="573">
        <f>IFERROR(H183-$F183,"n/a")</f>
        <v>-5687.169580433718</v>
      </c>
      <c r="M183" s="573">
        <f>IFERROR(I183-$F183,"n/a")</f>
        <v>-24211.966799839272</v>
      </c>
      <c r="O183" s="388" t="inlineStr">
        <is>
          <t xml:space="preserve">Tender E213</t>
        </is>
      </c>
    </row>
    <row r="184">
      <c r="C184" s="360" t="inlineStr">
        <is>
          <t xml:space="preserve">Effective RtB price = premium after the price effect</t>
        </is>
      </c>
      <c r="D184" s="541" t="inlineStr">
        <is>
          <t xml:space="preserve">k€</t>
        </is>
      </c>
      <c r="E184" s="560">
        <f>$BT$326</f>
        <v>58930.20075243961</v>
      </c>
      <c r="F184" s="560">
        <f>$BT$306</f>
        <v>30000</v>
      </c>
      <c r="G184" s="560">
        <f>$BT$311</f>
        <v>29863.853987000606</v>
      </c>
      <c r="H184" s="560">
        <f>$BT$316</f>
        <v>24312.830419566282</v>
      </c>
      <c r="I184" s="560">
        <f>$BT$321</f>
        <v>5788.033200160728</v>
      </c>
      <c r="J184" s="573">
        <f>IFERROR(E184-$F184,"n/a")</f>
        <v>28930.20075243961</v>
      </c>
      <c r="K184" s="573">
        <f>IFERROR(G184-$F184,"n/a")</f>
        <v>-136.14601299939386</v>
      </c>
      <c r="L184" s="573">
        <f>IFERROR(H184-$F184,"n/a")</f>
        <v>-5687.169580433718</v>
      </c>
      <c r="M184" s="573">
        <f>IFERROR(I184-$F184,"n/a")</f>
        <v>-24211.966799839272</v>
      </c>
      <c r="O184" s="388" t="inlineStr">
        <is>
          <t xml:space="preserve">MOIC G143</t>
        </is>
      </c>
    </row>
    <row r="185">
      <c r="C185" s="360" t="inlineStr">
        <is>
          <t xml:space="preserve">Effective RtB price per MVA (net connection capacity)</t>
        </is>
      </c>
      <c r="D185" s="541" t="inlineStr">
        <is>
          <t xml:space="preserve">k€/MVA</t>
        </is>
      </c>
      <c r="E185" s="561">
        <f>$BV$326</f>
        <v>294.65100376219806</v>
      </c>
      <c r="F185" s="561">
        <f>$BV$306</f>
        <v>150</v>
      </c>
      <c r="G185" s="561">
        <f>$BV$311</f>
        <v>149.31926993500304</v>
      </c>
      <c r="H185" s="561">
        <f>$BV$316</f>
        <v>121.56415209783141</v>
      </c>
      <c r="I185" s="561">
        <f>$BV$321</f>
        <v>28.94016600080364</v>
      </c>
      <c r="J185" s="573">
        <f>IFERROR(E185-$F185,"n/a")</f>
        <v>144.65100376219806</v>
      </c>
      <c r="K185" s="573">
        <f>IFERROR(G185-$F185,"n/a")</f>
        <v>-0.6807300649969648</v>
      </c>
      <c r="L185" s="573">
        <f>IFERROR(H185-$F185,"n/a")</f>
        <v>-28.43584790216859</v>
      </c>
      <c r="M185" s="573">
        <f>IFERROR(I185-$F185,"n/a")</f>
        <v>-121.05983399919636</v>
      </c>
      <c r="O185" s="388" t="inlineStr">
        <is>
          <t xml:space="preserve">MOIC G143 ÷ Inputs E18</t>
        </is>
      </c>
    </row>
    <row r="186">
      <c r="C186" s="360" t="inlineStr">
        <is>
          <t xml:space="preserve">Effective RtB price per installed MW (only when the premium basis switch = 1)</t>
        </is>
      </c>
      <c r="D186" s="541" t="inlineStr">
        <is>
          <t xml:space="preserve">k€/MW</t>
        </is>
      </c>
      <c r="E186" s="561" t="str">
        <f>IF($E$86=1,$BU$326,"n/a – basis MVA")</f>
        <v>n/a – basis MVA</v>
      </c>
      <c r="F186" s="561" t="str">
        <f>IF($E$86=1,$BU$306,"n/a – basis MVA")</f>
        <v>n/a – basis MVA</v>
      </c>
      <c r="G186" s="561" t="str">
        <f>IF($E$86=1,$BU$311,"n/a – basis MVA")</f>
        <v>n/a – basis MVA</v>
      </c>
      <c r="H186" s="561" t="str">
        <f>IF($E$86=1,$BU$316,"n/a – basis MVA")</f>
        <v>n/a – basis MVA</v>
      </c>
      <c r="I186" s="561" t="str">
        <f>IF($E$86=1,$BU$321,"n/a – basis MVA")</f>
        <v>n/a – basis MVA</v>
      </c>
      <c r="J186" s="573" t="str">
        <f>IFERROR(E186-$F186,"n/a")</f>
        <v>n/a</v>
      </c>
      <c r="K186" s="573" t="str">
        <f>IFERROR(G186-$F186,"n/a")</f>
        <v>n/a</v>
      </c>
      <c r="L186" s="573" t="str">
        <f>IFERROR(H186-$F186,"n/a")</f>
        <v>n/a</v>
      </c>
      <c r="M186" s="573" t="str">
        <f>IFERROR(I186-$F186,"n/a")</f>
        <v>n/a</v>
      </c>
      <c r="O186" s="388" t="inlineStr">
        <is>
          <t xml:space="preserve">Tender E216</t>
        </is>
      </c>
    </row>
    <row r="187">
      <c r="C187" s="360" t="inlineStr">
        <is>
          <t xml:space="preserve">FEP net profit (post-tax)</t>
        </is>
      </c>
      <c r="D187" s="541" t="inlineStr">
        <is>
          <t xml:space="preserve">k€</t>
        </is>
      </c>
      <c r="E187" s="560">
        <f>$H$326</f>
        <v>37649.05331909948</v>
      </c>
      <c r="F187" s="560">
        <f>$H$306</f>
        <v>15173.724494515496</v>
      </c>
      <c r="G187" s="560">
        <f>$H$311</f>
        <v>14663.612494160967</v>
      </c>
      <c r="H187" s="560">
        <f>$H$316</f>
        <v>10038.494248053641</v>
      </c>
      <c r="I187" s="560">
        <f>$H$321</f>
        <v>-5349.486267543791</v>
      </c>
      <c r="J187" s="573">
        <f>IFERROR(E187-$F187,"n/a")</f>
        <v>22475.328824583987</v>
      </c>
      <c r="K187" s="573">
        <f>IFERROR(G187-$F187,"n/a")</f>
        <v>-510.1120003545293</v>
      </c>
      <c r="L187" s="573">
        <f>IFERROR(H187-$F187,"n/a")</f>
        <v>-5135.230246461855</v>
      </c>
      <c r="M187" s="573">
        <f>IFERROR(I187-$F187,"n/a")</f>
        <v>-20523.210762059287</v>
      </c>
      <c r="O187" s="388" t="inlineStr">
        <is>
          <t xml:space="preserve">Run_Map C23</t>
        </is>
      </c>
    </row>
    <row r="188">
      <c r="C188" s="360" t="inlineStr">
        <is>
          <t xml:space="preserve">FEP IRR (post-tax)</t>
        </is>
      </c>
      <c r="D188" s="541" t="inlineStr">
        <is>
          <t xml:space="preserve">%</t>
        </is>
      </c>
      <c r="E188" s="567">
        <f>$I$326</f>
        <v>0.501558169297414</v>
      </c>
      <c r="F188" s="567">
        <f>$I$306</f>
        <v>0.20894449022377323</v>
      </c>
      <c r="G188" s="567">
        <f>$I$311</f>
        <v>0.2004243752726126</v>
      </c>
      <c r="H188" s="567">
        <f>$I$316</f>
        <v>0.13688527561568004</v>
      </c>
      <c r="I188" s="567">
        <f>$I$321</f>
        <v>-0.0749152579605665</v>
      </c>
      <c r="J188" s="572">
        <f>IFERROR((E188-$F188)*100,"n/a")</f>
        <v>29.26136790736408</v>
      </c>
      <c r="K188" s="572">
        <f>IFERROR((G188-$F188)*100,"n/a")</f>
        <v>-0.8520114951160646</v>
      </c>
      <c r="L188" s="572">
        <f>IFERROR((H188-$F188)*100,"n/a")</f>
        <v>-7.20592146080932</v>
      </c>
      <c r="M188" s="572">
        <f>IFERROR((I188-$F188)*100,"n/a")</f>
        <v>-28.385974818433972</v>
      </c>
      <c r="O188" s="388" t="inlineStr">
        <is>
          <t xml:space="preserve">Run_Map C24</t>
        </is>
      </c>
    </row>
    <row r="190" ht="30" customHeight="1">
      <c r="C190" s="253" t="inlineStr">
        <is>
          <t xml:space="preserve">Sale at COD (cases 7 / 8) – price, buyer view at our price</t>
        </is>
      </c>
      <c r="D190" s="538" t="inlineStr">
        <is>
          <t xml:space="preserve">Unit</t>
        </is>
      </c>
      <c r="E190" s="538" t="inlineStr">
        <is>
          <t xml:space="preserve">S0 – zero bid</t>
        </is>
      </c>
      <c r="F190" s="538" t="inlineStr">
        <is>
          <t xml:space="preserve">S1 – current bid</t>
        </is>
      </c>
      <c r="G190" s="538" t="inlineStr">
        <is>
          <t xml:space="preserve">S2 – free points</t>
        </is>
      </c>
      <c r="H190" s="538" t="inlineStr">
        <is>
          <t xml:space="preserve">S3 – ≈70 points</t>
        </is>
      </c>
      <c r="I190" s="538" t="inlineStr">
        <is>
          <t xml:space="preserve">S4 – max. score</t>
        </is>
      </c>
      <c r="J190" s="538" t="inlineStr">
        <is>
          <t xml:space="preserve">Δ S0 vs S1</t>
        </is>
      </c>
      <c r="K190" s="538" t="inlineStr">
        <is>
          <t xml:space="preserve">Δ S2 vs S1</t>
        </is>
      </c>
      <c r="L190" s="538" t="inlineStr">
        <is>
          <t xml:space="preserve">Δ S3 vs S1</t>
        </is>
      </c>
      <c r="M190" s="538" t="inlineStr">
        <is>
          <t xml:space="preserve">Δ S4 vs S1</t>
        </is>
      </c>
      <c r="N190" s="254"/>
      <c r="O190" s="253" t="inlineStr">
        <is>
          <t xml:space="preserve">Buyer view: HTM rows 390–398</t>
        </is>
      </c>
    </row>
    <row r="191">
      <c r="C191" s="539" t="inlineStr">
        <is>
          <t xml:space="preserve">European turbine (case 7)</t>
        </is>
      </c>
      <c r="D191" s="254"/>
      <c r="E191" s="254"/>
      <c r="F191" s="254"/>
      <c r="G191" s="254"/>
      <c r="H191" s="254"/>
      <c r="I191" s="254"/>
      <c r="J191" s="254"/>
      <c r="K191" s="254"/>
      <c r="L191" s="254"/>
      <c r="M191" s="254"/>
    </row>
    <row r="192">
      <c r="C192" s="540" t="inlineStr">
        <is>
          <t xml:space="preserve">Sale price at COD (enterprise value, after the price effect)</t>
        </is>
      </c>
      <c r="D192" s="541" t="inlineStr">
        <is>
          <t xml:space="preserve">k€</t>
        </is>
      </c>
      <c r="E192" s="560">
        <f>$BW$327</f>
        <v>499617.69642731134</v>
      </c>
      <c r="F192" s="560">
        <f>$BW$307</f>
        <v>609707.581875</v>
      </c>
      <c r="G192" s="560">
        <f>$BW$312</f>
        <v>631120</v>
      </c>
      <c r="H192" s="560">
        <f>$BW$317</f>
        <v>631120</v>
      </c>
      <c r="I192" s="560">
        <f>$BW$322</f>
        <v>638253.4340580788</v>
      </c>
      <c r="J192" s="573">
        <f>IFERROR(E192-$F192,"n/a")</f>
        <v>-110089.88544768869</v>
      </c>
      <c r="K192" s="573">
        <f>IFERROR(G192-$F192,"n/a")</f>
        <v>21412.418124999967</v>
      </c>
      <c r="L192" s="573">
        <f>IFERROR(H192-$F192,"n/a")</f>
        <v>21412.418124999967</v>
      </c>
      <c r="M192" s="573">
        <f>IFERROR(I192-$F192,"n/a")</f>
        <v>28545.852183078765</v>
      </c>
    </row>
    <row r="193">
      <c r="C193" s="540" t="inlineStr">
        <is>
          <t xml:space="preserve">Sale price per installed MW</t>
        </is>
      </c>
      <c r="D193" s="541" t="inlineStr">
        <is>
          <t xml:space="preserve">k€/MW</t>
        </is>
      </c>
      <c r="E193" s="561">
        <f>$BY$327</f>
        <v>2498.0884821365566</v>
      </c>
      <c r="F193" s="561">
        <f>$BY$307</f>
        <v>2336.044375</v>
      </c>
      <c r="G193" s="561">
        <f>$BY$312</f>
        <v>2254</v>
      </c>
      <c r="H193" s="561">
        <f>$BY$317</f>
        <v>2254</v>
      </c>
      <c r="I193" s="561">
        <f>$BY$322</f>
        <v>2072.251409279477</v>
      </c>
      <c r="J193" s="573">
        <f>IFERROR(E193-$F193,"n/a")</f>
        <v>162.0441071365567</v>
      </c>
      <c r="K193" s="573">
        <f>IFERROR(G193-$F193,"n/a")</f>
        <v>-82.04437499999995</v>
      </c>
      <c r="L193" s="573">
        <f>IFERROR(H193-$F193,"n/a")</f>
        <v>-82.04437499999995</v>
      </c>
      <c r="M193" s="573">
        <f>IFERROR(I193-$F193,"n/a")</f>
        <v>-263.79296572052317</v>
      </c>
    </row>
    <row r="194">
      <c r="C194" s="540" t="inlineStr">
        <is>
          <t xml:space="preserve">Price effect of the post-COD promises (pass-through × PV at COD)</t>
        </is>
      </c>
      <c r="D194" s="541" t="inlineStr">
        <is>
          <t xml:space="preserve">k€</t>
        </is>
      </c>
      <c r="E194" s="560">
        <f>$BX$327</f>
        <v>9617.696427311354</v>
      </c>
      <c r="F194" s="560">
        <f>$BX$307</f>
        <v>0</v>
      </c>
      <c r="G194" s="560">
        <f>$BX$312</f>
        <v>0</v>
      </c>
      <c r="H194" s="560">
        <f>$BX$317</f>
        <v>0</v>
      </c>
      <c r="I194" s="560">
        <f>$BX$322</f>
        <v>-6325.885941921205</v>
      </c>
      <c r="J194" s="573">
        <f>IFERROR(E194-$F194,"n/a")</f>
        <v>9617.696427311354</v>
      </c>
      <c r="K194" s="573">
        <f>IFERROR(G194-$F194,"n/a")</f>
        <v>0</v>
      </c>
      <c r="L194" s="573">
        <f>IFERROR(H194-$F194,"n/a")</f>
        <v>0</v>
      </c>
      <c r="M194" s="573">
        <f>IFERROR(I194-$F194,"n/a")</f>
        <v>-6325.885941921205</v>
      </c>
    </row>
    <row r="195">
      <c r="C195" s="540" t="inlineStr">
        <is>
          <t xml:space="preserve">Buyer IRR at our price (unlevered, post-tax)</t>
        </is>
      </c>
      <c r="D195" s="541" t="inlineStr">
        <is>
          <t xml:space="preserve">%</t>
        </is>
      </c>
      <c r="E195" s="568">
        <f>$BZ$327</f>
        <v>0.0729118667448955</v>
      </c>
      <c r="F195" s="568">
        <f>$BZ$307</f>
        <v>0.07237640430967088</v>
      </c>
      <c r="G195" s="568">
        <f>$BZ$312</f>
        <v>0.0719322677023107</v>
      </c>
      <c r="H195" s="568">
        <f>$BZ$317</f>
        <v>0.07197273866697608</v>
      </c>
      <c r="I195" s="568">
        <f>$BZ$322</f>
        <v>0.07101584439821881</v>
      </c>
      <c r="J195" s="572">
        <f>IFERROR((E195-$F195)*100,"n/a")</f>
        <v>0.05354624352246207</v>
      </c>
      <c r="K195" s="572">
        <f>IFERROR((G195-$F195)*100,"n/a")</f>
        <v>-0.04441366073601738</v>
      </c>
      <c r="L195" s="572">
        <f>IFERROR((H195-$F195)*100,"n/a")</f>
        <v>-0.040366564269479766</v>
      </c>
      <c r="M195" s="572">
        <f>IFERROR((I195-$F195)*100,"n/a")</f>
        <v>-0.1360559911452064</v>
      </c>
    </row>
    <row r="196">
      <c r="C196" s="540" t="str">
        <f>"Implied price for a "&amp;FIXED($E$135*100,1)&amp;" % buyer IRR"</f>
        <v>Implied price for a 7.0 % buyer IRR</v>
      </c>
      <c r="D196" s="541" t="inlineStr">
        <is>
          <t xml:space="preserve">k€/MW</t>
        </is>
      </c>
      <c r="E196" s="561">
        <f>$CA$327</f>
        <v>2582.3822681167</v>
      </c>
      <c r="F196" s="561">
        <f>$CA$307</f>
        <v>2400.42616881981</v>
      </c>
      <c r="G196" s="561">
        <f>$CA$312</f>
        <v>2304.4311661188567</v>
      </c>
      <c r="H196" s="561">
        <f>$CA$317</f>
        <v>2305.4853073993986</v>
      </c>
      <c r="I196" s="561">
        <f>$CA$322</f>
        <v>2096.568929327011</v>
      </c>
      <c r="J196" s="573">
        <f>IFERROR(E196-$F196,"n/a")</f>
        <v>181.95609929689</v>
      </c>
      <c r="K196" s="573">
        <f>IFERROR(G196-$F196,"n/a")</f>
        <v>-95.99500270095314</v>
      </c>
      <c r="L196" s="573">
        <f>IFERROR(H196-$F196,"n/a")</f>
        <v>-94.94086142041124</v>
      </c>
      <c r="M196" s="573">
        <f>IFERROR(I196-$F196,"n/a")</f>
        <v>-303.8572394927987</v>
      </c>
    </row>
    <row r="197">
      <c r="C197" s="540" t="str">
        <f>"Implied price for a "&amp;FIXED($F$135*100,1)&amp;" % buyer IRR"</f>
        <v>Implied price for a 8.0 % buyer IRR</v>
      </c>
      <c r="D197" s="541" t="inlineStr">
        <is>
          <t xml:space="preserve">k€/MW</t>
        </is>
      </c>
      <c r="E197" s="561">
        <f>$CB$327</f>
        <v>2309.772246871445</v>
      </c>
      <c r="F197" s="561">
        <f>$CB$307</f>
        <v>2146.4883977734485</v>
      </c>
      <c r="G197" s="561">
        <f>$CB$312</f>
        <v>2060.7330145608435</v>
      </c>
      <c r="H197" s="561">
        <f>$CB$317</f>
        <v>2061.7100154272534</v>
      </c>
      <c r="I197" s="561">
        <f>$CB$322</f>
        <v>1874.8205460714862</v>
      </c>
      <c r="J197" s="573">
        <f>IFERROR(E197-$F197,"n/a")</f>
        <v>163.2838490979966</v>
      </c>
      <c r="K197" s="573">
        <f>IFERROR(G197-$F197,"n/a")</f>
        <v>-85.75538321260501</v>
      </c>
      <c r="L197" s="573">
        <f>IFERROR(H197-$F197,"n/a")</f>
        <v>-84.77838234619503</v>
      </c>
      <c r="M197" s="573">
        <f>IFERROR(I197-$F197,"n/a")</f>
        <v>-271.66785170196226</v>
      </c>
    </row>
    <row r="198">
      <c r="C198" s="540" t="str">
        <f>"Implied price for a "&amp;FIXED($G$135*100,1)&amp;" % buyer IRR"</f>
        <v>Implied price for a 9.0 % buyer IRR</v>
      </c>
      <c r="D198" s="541" t="inlineStr">
        <is>
          <t xml:space="preserve">k€/MW</t>
        </is>
      </c>
      <c r="E198" s="561">
        <f>$CC$327</f>
        <v>2079.5736288068783</v>
      </c>
      <c r="F198" s="561">
        <f>$CC$307</f>
        <v>1932.0886600158753</v>
      </c>
      <c r="G198" s="561">
        <f>$CC$312</f>
        <v>1854.9674716006691</v>
      </c>
      <c r="H198" s="561">
        <f>$CC$317</f>
        <v>1855.875924465402</v>
      </c>
      <c r="I198" s="561">
        <f>$CC$322</f>
        <v>1687.5772633912527</v>
      </c>
      <c r="J198" s="573">
        <f>IFERROR(E198-$F198,"n/a")</f>
        <v>147.48496879100298</v>
      </c>
      <c r="K198" s="573">
        <f>IFERROR(G198-$F198,"n/a")</f>
        <v>-77.12118841520623</v>
      </c>
      <c r="L198" s="573">
        <f>IFERROR(H198-$F198,"n/a")</f>
        <v>-76.21273555047333</v>
      </c>
      <c r="M198" s="573">
        <f>IFERROR(I198-$F198,"n/a")</f>
        <v>-244.51139662462265</v>
      </c>
    </row>
    <row r="199">
      <c r="C199" s="540" t="inlineStr">
        <is>
          <t xml:space="preserve">FEP IRR (post-tax)</t>
        </is>
      </c>
      <c r="D199" s="541" t="inlineStr">
        <is>
          <t xml:space="preserve">%</t>
        </is>
      </c>
      <c r="E199" s="567">
        <f>$I$327</f>
        <v>0.38242527707340657</v>
      </c>
      <c r="F199" s="567">
        <f>$I$307</f>
        <v>0.3136423750460425</v>
      </c>
      <c r="G199" s="567">
        <f>$I$312</f>
        <v>0.29014519684283974</v>
      </c>
      <c r="H199" s="567">
        <f>$I$317</f>
        <v>0.27398227038920586</v>
      </c>
      <c r="I199" s="567">
        <f>$I$322</f>
        <v>0.1630761981817325</v>
      </c>
      <c r="J199" s="572">
        <f>IFERROR((E199-$F199)*100,"n/a")</f>
        <v>6.878290202736409</v>
      </c>
      <c r="K199" s="572">
        <f>IFERROR((G199-$F199)*100,"n/a")</f>
        <v>-2.349717820320274</v>
      </c>
      <c r="L199" s="572">
        <f>IFERROR((H199-$F199)*100,"n/a")</f>
        <v>-3.9660104656836612</v>
      </c>
      <c r="M199" s="572">
        <f>IFERROR((I199-$F199)*100,"n/a")</f>
        <v>-15.056617686430998</v>
      </c>
    </row>
    <row r="200">
      <c r="C200" s="540" t="inlineStr">
        <is>
          <t xml:space="preserve">FEP MOIC</t>
        </is>
      </c>
      <c r="D200" s="541" t="inlineStr">
        <is>
          <t xml:space="preserve">x</t>
        </is>
      </c>
      <c r="E200" s="569">
        <f>$L$327</f>
        <v>1.741497979093338</v>
      </c>
      <c r="F200" s="569">
        <f>$L$307</f>
        <v>1.5372084392976306</v>
      </c>
      <c r="G200" s="569">
        <f>$L$312</f>
        <v>1.4834856712629423</v>
      </c>
      <c r="H200" s="569">
        <f>$L$317</f>
        <v>1.4480096889623337</v>
      </c>
      <c r="I200" s="569">
        <f>$L$322</f>
        <v>1.2475364657283692</v>
      </c>
      <c r="J200" s="574">
        <f>IFERROR(E200-$F200,"n/a")</f>
        <v>0.2042895397957074</v>
      </c>
      <c r="K200" s="574">
        <f>IFERROR(G200-$F200,"n/a")</f>
        <v>-0.05372276803468834</v>
      </c>
      <c r="L200" s="574">
        <f>IFERROR(H200-$F200,"n/a")</f>
        <v>-0.0891987503352969</v>
      </c>
      <c r="M200" s="574">
        <f>IFERROR(I200-$F200,"n/a")</f>
        <v>-0.28967197356926144</v>
      </c>
    </row>
    <row r="201">
      <c r="C201" s="539" t="inlineStr">
        <is>
          <t xml:space="preserve">Chinese turbine (case 8)</t>
        </is>
      </c>
      <c r="D201" s="254"/>
      <c r="E201" s="254"/>
      <c r="F201" s="254"/>
      <c r="G201" s="254"/>
      <c r="H201" s="254"/>
      <c r="I201" s="254"/>
      <c r="J201" s="254"/>
      <c r="K201" s="254"/>
      <c r="L201" s="254"/>
      <c r="M201" s="254"/>
    </row>
    <row r="202">
      <c r="C202" s="540" t="inlineStr">
        <is>
          <t xml:space="preserve">Sale price at COD (enterprise value, after the price effect)</t>
        </is>
      </c>
      <c r="D202" s="541" t="inlineStr">
        <is>
          <t xml:space="preserve">k€</t>
        </is>
      </c>
      <c r="E202" s="560">
        <f>$BW$328</f>
        <v>429617.69642731134</v>
      </c>
      <c r="F202" s="560">
        <f>$BW$308</f>
        <v>522606.49875</v>
      </c>
      <c r="G202" s="560">
        <f>$BW$313</f>
        <v>540960</v>
      </c>
      <c r="H202" s="560">
        <f>$BW$318</f>
        <v>540960</v>
      </c>
      <c r="I202" s="560">
        <f>$BW$323</f>
        <v>546170.6740580788</v>
      </c>
      <c r="J202" s="573">
        <f>IFERROR(E202-$F202,"n/a")</f>
        <v>-92988.80232268869</v>
      </c>
      <c r="K202" s="573">
        <f>IFERROR(G202-$F202,"n/a")</f>
        <v>18353.501249999972</v>
      </c>
      <c r="L202" s="573">
        <f>IFERROR(H202-$F202,"n/a")</f>
        <v>18353.501249999972</v>
      </c>
      <c r="M202" s="573">
        <f>IFERROR(I202-$F202,"n/a")</f>
        <v>23564.17530807876</v>
      </c>
    </row>
    <row r="203">
      <c r="C203" s="540" t="inlineStr">
        <is>
          <t xml:space="preserve">Sale price per installed MW</t>
        </is>
      </c>
      <c r="D203" s="541" t="inlineStr">
        <is>
          <t xml:space="preserve">k€/MW</t>
        </is>
      </c>
      <c r="E203" s="561">
        <f>$BY$328</f>
        <v>2148.0884821365566</v>
      </c>
      <c r="F203" s="561">
        <f>$BY$308</f>
        <v>2002.32375</v>
      </c>
      <c r="G203" s="561">
        <f>$BY$313</f>
        <v>1932</v>
      </c>
      <c r="H203" s="561">
        <f>$BY$318</f>
        <v>1932</v>
      </c>
      <c r="I203" s="561">
        <f>$BY$323</f>
        <v>1773.2814092794765</v>
      </c>
      <c r="J203" s="573">
        <f>IFERROR(E203-$F203,"n/a")</f>
        <v>145.76473213655663</v>
      </c>
      <c r="K203" s="573">
        <f>IFERROR(G203-$F203,"n/a")</f>
        <v>-70.32375000000002</v>
      </c>
      <c r="L203" s="573">
        <f>IFERROR(H203-$F203,"n/a")</f>
        <v>-70.32375000000002</v>
      </c>
      <c r="M203" s="573">
        <f>IFERROR(I203-$F203,"n/a")</f>
        <v>-229.0423407205235</v>
      </c>
    </row>
    <row r="204">
      <c r="C204" s="540" t="inlineStr">
        <is>
          <t xml:space="preserve">Price effect of the post-COD promises (pass-through × PV at COD)</t>
        </is>
      </c>
      <c r="D204" s="541" t="inlineStr">
        <is>
          <t xml:space="preserve">k€</t>
        </is>
      </c>
      <c r="E204" s="560">
        <f>$BX$328</f>
        <v>9617.696427311354</v>
      </c>
      <c r="F204" s="560">
        <f>$BX$308</f>
        <v>0</v>
      </c>
      <c r="G204" s="560">
        <f>$BX$313</f>
        <v>0</v>
      </c>
      <c r="H204" s="560">
        <f>$BX$318</f>
        <v>0</v>
      </c>
      <c r="I204" s="560">
        <f>$BX$323</f>
        <v>-6325.885941921205</v>
      </c>
      <c r="J204" s="573">
        <f>IFERROR(E204-$F204,"n/a")</f>
        <v>9617.696427311354</v>
      </c>
      <c r="K204" s="573">
        <f>IFERROR(G204-$F204,"n/a")</f>
        <v>0</v>
      </c>
      <c r="L204" s="573">
        <f>IFERROR(H204-$F204,"n/a")</f>
        <v>0</v>
      </c>
      <c r="M204" s="573">
        <f>IFERROR(I204-$F204,"n/a")</f>
        <v>-6325.885941921205</v>
      </c>
    </row>
    <row r="205">
      <c r="C205" s="540" t="inlineStr">
        <is>
          <t xml:space="preserve">Buyer IRR at our price (unlevered, post-tax)</t>
        </is>
      </c>
      <c r="D205" s="541" t="inlineStr">
        <is>
          <t xml:space="preserve">%</t>
        </is>
      </c>
      <c r="E205" s="568">
        <f>$BZ$328</f>
        <v>0.08590509225547203</v>
      </c>
      <c r="F205" s="568">
        <f>$BZ$308</f>
        <v>0.08553274282599548</v>
      </c>
      <c r="G205" s="568">
        <f>$BZ$313</f>
        <v>0.08501756409802388</v>
      </c>
      <c r="H205" s="568">
        <f>$BZ$318</f>
        <v>0.0850635135244936</v>
      </c>
      <c r="I205" s="568">
        <f>$BZ$323</f>
        <v>0.08408059076876358</v>
      </c>
      <c r="J205" s="572">
        <f>IFERROR((E205-$F205)*100,"n/a")</f>
        <v>0.03723494294765595</v>
      </c>
      <c r="K205" s="572">
        <f>IFERROR((G205-$F205)*100,"n/a")</f>
        <v>-0.05151787279715908</v>
      </c>
      <c r="L205" s="572">
        <f>IFERROR((H205-$F205)*100,"n/a")</f>
        <v>-0.04692293015018806</v>
      </c>
      <c r="M205" s="572">
        <f>IFERROR((I205-$F205)*100,"n/a")</f>
        <v>-0.1452152057231898</v>
      </c>
    </row>
    <row r="206">
      <c r="C206" s="540" t="str">
        <f>"Implied price for a "&amp;FIXED($E$135*100,1)&amp;" % buyer IRR"</f>
        <v>Implied price for a 7.0 % buyer IRR</v>
      </c>
      <c r="D206" s="541" t="inlineStr">
        <is>
          <t xml:space="preserve">k€/MW</t>
        </is>
      </c>
      <c r="E206" s="561">
        <f>$CA$328</f>
        <v>2558.535973702744</v>
      </c>
      <c r="F206" s="561">
        <f>$CA$308</f>
        <v>2376.6458148135725</v>
      </c>
      <c r="G206" s="561">
        <f>$CA$313</f>
        <v>2280.671712577729</v>
      </c>
      <c r="H206" s="561">
        <f>$CA$318</f>
        <v>2281.7203989849927</v>
      </c>
      <c r="I206" s="561">
        <f>$CA$323</f>
        <v>2072.819529121324</v>
      </c>
      <c r="J206" s="573">
        <f>IFERROR(E206-$F206,"n/a")</f>
        <v>181.8901588891713</v>
      </c>
      <c r="K206" s="573">
        <f>IFERROR(G206-$F206,"n/a")</f>
        <v>-95.97410223584347</v>
      </c>
      <c r="L206" s="573">
        <f>IFERROR(H206-$F206,"n/a")</f>
        <v>-94.92541582857984</v>
      </c>
      <c r="M206" s="573">
        <f>IFERROR(I206-$F206,"n/a")</f>
        <v>-303.82628569224835</v>
      </c>
    </row>
    <row r="207">
      <c r="C207" s="540" t="str">
        <f>"Implied price for a "&amp;FIXED($F$135*100,1)&amp;" % buyer IRR"</f>
        <v>Implied price for a 8.0 % buyer IRR</v>
      </c>
      <c r="D207" s="541" t="inlineStr">
        <is>
          <t xml:space="preserve">k€/MW</t>
        </is>
      </c>
      <c r="E207" s="561">
        <f>$CB$328</f>
        <v>2287.6709870752975</v>
      </c>
      <c r="F207" s="561">
        <f>$CB$308</f>
        <v>2124.44825296887</v>
      </c>
      <c r="G207" s="561">
        <f>$CB$313</f>
        <v>2038.7122407579495</v>
      </c>
      <c r="H207" s="561">
        <f>$CB$318</f>
        <v>2039.6841859301956</v>
      </c>
      <c r="I207" s="561">
        <f>$CB$323</f>
        <v>1852.8090899166316</v>
      </c>
      <c r="J207" s="573">
        <f>IFERROR(E207-$F207,"n/a")</f>
        <v>163.22273410642765</v>
      </c>
      <c r="K207" s="573">
        <f>IFERROR(G207-$F207,"n/a")</f>
        <v>-85.73601221092031</v>
      </c>
      <c r="L207" s="573">
        <f>IFERROR(H207-$F207,"n/a")</f>
        <v>-84.76406703867428</v>
      </c>
      <c r="M207" s="573">
        <f>IFERROR(I207-$F207,"n/a")</f>
        <v>-271.63916305223825</v>
      </c>
    </row>
    <row r="208">
      <c r="C208" s="540" t="str">
        <f>"Implied price for a "&amp;FIXED($G$135*100,1)&amp;" % buyer IRR"</f>
        <v>Implied price for a 9.0 % buyer IRR</v>
      </c>
      <c r="D208" s="541" t="inlineStr">
        <is>
          <t xml:space="preserve">k€/MW</t>
        </is>
      </c>
      <c r="E208" s="561">
        <f>$CC$328</f>
        <v>2059.023030065037</v>
      </c>
      <c r="F208" s="561">
        <f>$CC$308</f>
        <v>1911.5948883364017</v>
      </c>
      <c r="G208" s="561">
        <f>$CC$313</f>
        <v>1834.4917118212652</v>
      </c>
      <c r="H208" s="561">
        <f>$CC$318</f>
        <v>1835.3954637077247</v>
      </c>
      <c r="I208" s="561">
        <f>$CC$323</f>
        <v>1667.1101675182424</v>
      </c>
      <c r="J208" s="573">
        <f>IFERROR(E208-$F208,"n/a")</f>
        <v>147.42814172863518</v>
      </c>
      <c r="K208" s="573">
        <f>IFERROR(G208-$F208,"n/a")</f>
        <v>-77.10317651513651</v>
      </c>
      <c r="L208" s="573">
        <f>IFERROR(H208-$F208,"n/a")</f>
        <v>-76.19942462867698</v>
      </c>
      <c r="M208" s="573">
        <f>IFERROR(I208-$F208,"n/a")</f>
        <v>-244.4847208181593</v>
      </c>
    </row>
    <row r="209">
      <c r="C209" s="540" t="inlineStr">
        <is>
          <t xml:space="preserve">FEP IRR (post-tax)</t>
        </is>
      </c>
      <c r="D209" s="541" t="inlineStr">
        <is>
          <t xml:space="preserve">%</t>
        </is>
      </c>
      <c r="E209" s="567">
        <f>$I$328</f>
        <v>0.4743681946422939</v>
      </c>
      <c r="F209" s="567">
        <f>$I$308</f>
        <v>0.42123413226421264</v>
      </c>
      <c r="G209" s="567">
        <f>$I$313</f>
        <v>0.40784371495977667</v>
      </c>
      <c r="H209" s="567">
        <f>$I$318</f>
        <v>0.39043141054334973</v>
      </c>
      <c r="I209" s="567">
        <f>$I$323</f>
        <v>0.2959532095999144</v>
      </c>
      <c r="J209" s="572">
        <f>IFERROR((E209-$F209)*100,"n/a")</f>
        <v>5.3134062378081275</v>
      </c>
      <c r="K209" s="572">
        <f>IFERROR((G209-$F209)*100,"n/a")</f>
        <v>-1.3390417304435964</v>
      </c>
      <c r="L209" s="572">
        <f>IFERROR((H209-$F209)*100,"n/a")</f>
        <v>-3.08027217208629</v>
      </c>
      <c r="M209" s="572">
        <f>IFERROR((I209-$F209)*100,"n/a")</f>
        <v>-12.528092266429825</v>
      </c>
    </row>
    <row r="210">
      <c r="C210" s="540" t="inlineStr">
        <is>
          <t xml:space="preserve">FEP MOIC</t>
        </is>
      </c>
      <c r="D210" s="541" t="inlineStr">
        <is>
          <t xml:space="preserve">x</t>
        </is>
      </c>
      <c r="E210" s="569">
        <f>$L$328</f>
        <v>2.0212362166722637</v>
      </c>
      <c r="F210" s="569">
        <f>$L$308</f>
        <v>1.795225153614678</v>
      </c>
      <c r="G210" s="569">
        <f>$L$313</f>
        <v>1.7521872478591671</v>
      </c>
      <c r="H210" s="569">
        <f>$L$318</f>
        <v>1.7042023674906153</v>
      </c>
      <c r="I210" s="569">
        <f>$L$323</f>
        <v>1.4960338178569934</v>
      </c>
      <c r="J210" s="574">
        <f>IFERROR(E210-$F210,"n/a")</f>
        <v>0.22601106305758578</v>
      </c>
      <c r="K210" s="574">
        <f>IFERROR(G210-$F210,"n/a")</f>
        <v>-0.04303790575551081</v>
      </c>
      <c r="L210" s="574">
        <f>IFERROR(H210-$F210,"n/a")</f>
        <v>-0.09102278612406267</v>
      </c>
      <c r="M210" s="574">
        <f>IFERROR(I210-$F210,"n/a")</f>
        <v>-0.29919133575768453</v>
      </c>
    </row>
    <row r="212" ht="30" customHeight="1">
      <c r="C212" s="253" t="inlineStr">
        <is>
          <t xml:space="preserve">Hold to maturity (cases 2 / 3)</t>
        </is>
      </c>
      <c r="D212" s="538" t="inlineStr">
        <is>
          <t xml:space="preserve">Unit</t>
        </is>
      </c>
      <c r="E212" s="538" t="inlineStr">
        <is>
          <t xml:space="preserve">S0 – zero bid</t>
        </is>
      </c>
      <c r="F212" s="538" t="inlineStr">
        <is>
          <t xml:space="preserve">S1 – current bid</t>
        </is>
      </c>
      <c r="G212" s="538" t="inlineStr">
        <is>
          <t xml:space="preserve">S2 – free points</t>
        </is>
      </c>
      <c r="H212" s="538" t="inlineStr">
        <is>
          <t xml:space="preserve">S3 – ≈70 points</t>
        </is>
      </c>
      <c r="I212" s="538" t="inlineStr">
        <is>
          <t xml:space="preserve">S4 – max. score</t>
        </is>
      </c>
      <c r="J212" s="538" t="inlineStr">
        <is>
          <t xml:space="preserve">Δ S0 vs S1</t>
        </is>
      </c>
      <c r="K212" s="538" t="inlineStr">
        <is>
          <t xml:space="preserve">Δ S2 vs S1</t>
        </is>
      </c>
      <c r="L212" s="538" t="inlineStr">
        <is>
          <t xml:space="preserve">Δ S3 vs S1</t>
        </is>
      </c>
      <c r="M212" s="538" t="inlineStr">
        <is>
          <t xml:space="preserve">Δ S4 vs S1</t>
        </is>
      </c>
      <c r="N212" s="254"/>
      <c r="O212" s="253" t="inlineStr">
        <is>
          <t xml:space="preserve">Run_Map column D</t>
        </is>
      </c>
    </row>
    <row r="213">
      <c r="C213" s="539" t="inlineStr">
        <is>
          <t xml:space="preserve">European turbine (case 2)</t>
        </is>
      </c>
      <c r="D213" s="254"/>
      <c r="E213" s="254"/>
      <c r="F213" s="254"/>
      <c r="G213" s="254"/>
      <c r="H213" s="254"/>
      <c r="I213" s="254"/>
      <c r="J213" s="254"/>
      <c r="K213" s="254"/>
      <c r="L213" s="254"/>
      <c r="M213" s="254"/>
    </row>
    <row r="214">
      <c r="C214" s="540" t="inlineStr">
        <is>
          <t xml:space="preserve">FEP IRR (post-tax)</t>
        </is>
      </c>
      <c r="D214" s="541" t="inlineStr">
        <is>
          <t xml:space="preserve">%</t>
        </is>
      </c>
      <c r="E214" s="567">
        <f>$I$329</f>
        <v>0.09692215757580577</v>
      </c>
      <c r="F214" s="567">
        <f>$I$309</f>
        <v>0.09991355961167205</v>
      </c>
      <c r="G214" s="567">
        <f>$I$314</f>
        <v>0.09716327861618469</v>
      </c>
      <c r="H214" s="567">
        <f>$I$319</f>
        <v>0.09726662363662938</v>
      </c>
      <c r="I214" s="567">
        <f>$I$324</f>
        <v>0.09019075393091146</v>
      </c>
      <c r="J214" s="572">
        <f>IFERROR((E214-$F214)*100,"n/a")</f>
        <v>-0.29914020358662724</v>
      </c>
      <c r="K214" s="572">
        <f>IFERROR((G214-$F214)*100,"n/a")</f>
        <v>-0.2750280995487353</v>
      </c>
      <c r="L214" s="572">
        <f>IFERROR((H214-$F214)*100,"n/a")</f>
        <v>-0.2646935975042661</v>
      </c>
      <c r="M214" s="572">
        <f>IFERROR((I214-$F214)*100,"n/a")</f>
        <v>-0.9722805680760588</v>
      </c>
    </row>
    <row r="215">
      <c r="C215" s="540" t="inlineStr">
        <is>
          <t xml:space="preserve">FEP MOIC</t>
        </is>
      </c>
      <c r="D215" s="541" t="inlineStr">
        <is>
          <t xml:space="preserve">x</t>
        </is>
      </c>
      <c r="E215" s="569">
        <f>$L$329</f>
        <v>5.648043107503398</v>
      </c>
      <c r="F215" s="569">
        <f>$L$309</f>
        <v>6.1332910065156945</v>
      </c>
      <c r="G215" s="569">
        <f>$L$314</f>
        <v>5.946721985836378</v>
      </c>
      <c r="H215" s="569">
        <f>$L$319</f>
        <v>5.986744729582902</v>
      </c>
      <c r="I215" s="569">
        <f>$L$324</f>
        <v>5.6397751566314955</v>
      </c>
      <c r="J215" s="574">
        <f>IFERROR(E215-$F215,"n/a")</f>
        <v>-0.4852478990122968</v>
      </c>
      <c r="K215" s="574">
        <f>IFERROR(G215-$F215,"n/a")</f>
        <v>-0.18656902067931647</v>
      </c>
      <c r="L215" s="574">
        <f>IFERROR(H215-$F215,"n/a")</f>
        <v>-0.1465462769327921</v>
      </c>
      <c r="M215" s="574">
        <f>IFERROR(I215-$F215,"n/a")</f>
        <v>-0.49351584988419894</v>
      </c>
    </row>
    <row r="216">
      <c r="C216" s="540" t="inlineStr">
        <is>
          <t xml:space="preserve">FEP NPV (post-tax)</t>
        </is>
      </c>
      <c r="D216" s="541" t="inlineStr">
        <is>
          <t xml:space="preserve">k€</t>
        </is>
      </c>
      <c r="E216" s="560">
        <f>$J$329</f>
        <v>45835.48647349481</v>
      </c>
      <c r="F216" s="560">
        <f>$J$309</f>
        <v>62081.30688179275</v>
      </c>
      <c r="G216" s="560">
        <f>$J$314</f>
        <v>55911.614375163284</v>
      </c>
      <c r="H216" s="560">
        <f>$J$319</f>
        <v>55966.25893289026</v>
      </c>
      <c r="I216" s="560">
        <f>$J$324</f>
        <v>34048.89404343646</v>
      </c>
      <c r="J216" s="573">
        <f>IFERROR(E216-$F216,"n/a")</f>
        <v>-16245.820408297936</v>
      </c>
      <c r="K216" s="573">
        <f>IFERROR(G216-$F216,"n/a")</f>
        <v>-6169.692506629464</v>
      </c>
      <c r="L216" s="573">
        <f>IFERROR(H216-$F216,"n/a")</f>
        <v>-6115.047948902487</v>
      </c>
      <c r="M216" s="573">
        <f>IFERROR(I216-$F216,"n/a")</f>
        <v>-28032.412838356286</v>
      </c>
    </row>
    <row r="217">
      <c r="C217" s="540" t="inlineStr">
        <is>
          <t xml:space="preserve">Minimum DSCR</t>
        </is>
      </c>
      <c r="D217" s="541" t="inlineStr">
        <is>
          <t xml:space="preserve">x</t>
        </is>
      </c>
      <c r="E217" s="569">
        <f>$AI$329</f>
        <v>1.274247914604795</v>
      </c>
      <c r="F217" s="569">
        <f>$AI$309</f>
        <v>1.1631739211938075</v>
      </c>
      <c r="G217" s="569">
        <f>$AI$314</f>
        <v>1.1297425280917526</v>
      </c>
      <c r="H217" s="569">
        <f>$AI$319</f>
        <v>1.1161219689982838</v>
      </c>
      <c r="I217" s="569">
        <f>$AI$324</f>
        <v>1.00321000162642</v>
      </c>
      <c r="J217" s="574">
        <f>IFERROR(E217-$F217,"n/a")</f>
        <v>0.11107399341098745</v>
      </c>
      <c r="K217" s="574">
        <f>IFERROR(G217-$F217,"n/a")</f>
        <v>-0.033431393102054896</v>
      </c>
      <c r="L217" s="574">
        <f>IFERROR(H217-$F217,"n/a")</f>
        <v>-0.047051952195523716</v>
      </c>
      <c r="M217" s="574">
        <f>IFERROR(I217-$F217,"n/a")</f>
        <v>-0.15996391956738742</v>
      </c>
    </row>
    <row r="218">
      <c r="C218" s="539" t="inlineStr">
        <is>
          <t xml:space="preserve">Chinese turbine (case 3)</t>
        </is>
      </c>
      <c r="D218" s="254"/>
      <c r="E218" s="254"/>
      <c r="F218" s="254"/>
      <c r="G218" s="254"/>
      <c r="H218" s="254"/>
      <c r="I218" s="254"/>
      <c r="J218" s="254"/>
      <c r="K218" s="254"/>
      <c r="L218" s="254"/>
      <c r="M218" s="254"/>
    </row>
    <row r="219">
      <c r="C219" s="540" t="inlineStr">
        <is>
          <t xml:space="preserve">FEP IRR (post-tax)</t>
        </is>
      </c>
      <c r="D219" s="541" t="inlineStr">
        <is>
          <t xml:space="preserve">%</t>
        </is>
      </c>
      <c r="E219" s="567">
        <f>$I$330</f>
        <v>0.12385291624963445</v>
      </c>
      <c r="F219" s="567">
        <f>$I$310</f>
        <v>0.13111232656651206</v>
      </c>
      <c r="G219" s="567">
        <f>$I$315</f>
        <v>0.1288631587267528</v>
      </c>
      <c r="H219" s="567">
        <f>$I$320</f>
        <v>0.12909658652699293</v>
      </c>
      <c r="I219" s="567">
        <f>$I$325</f>
        <v>0.12311565150873711</v>
      </c>
      <c r="J219" s="572">
        <f>IFERROR((E219-$F219)*100,"n/a")</f>
        <v>-0.7259410316877615</v>
      </c>
      <c r="K219" s="572">
        <f>IFERROR((G219-$F219)*100,"n/a")</f>
        <v>-0.22491678397592585</v>
      </c>
      <c r="L219" s="572">
        <f>IFERROR((H219-$F219)*100,"n/a")</f>
        <v>-0.2015740039519126</v>
      </c>
      <c r="M219" s="572">
        <f>IFERROR((I219-$F219)*100,"n/a")</f>
        <v>-0.7996675057774947</v>
      </c>
    </row>
    <row r="220">
      <c r="C220" s="540" t="inlineStr">
        <is>
          <t xml:space="preserve">FEP MOIC</t>
        </is>
      </c>
      <c r="D220" s="541" t="inlineStr">
        <is>
          <t xml:space="preserve">x</t>
        </is>
      </c>
      <c r="E220" s="569">
        <f>$L$330</f>
        <v>6.954341376582738</v>
      </c>
      <c r="F220" s="569">
        <f>$L$310</f>
        <v>7.791590090989202</v>
      </c>
      <c r="G220" s="569">
        <f>$L$315</f>
        <v>7.624899979599188</v>
      </c>
      <c r="H220" s="569">
        <f>$L$320</f>
        <v>7.6753329652829</v>
      </c>
      <c r="I220" s="569">
        <f>$L$325</f>
        <v>7.395302369890669</v>
      </c>
      <c r="J220" s="574">
        <f>IFERROR(E220-$F220,"n/a")</f>
        <v>-0.8372487144064644</v>
      </c>
      <c r="K220" s="574">
        <f>IFERROR(G220-$F220,"n/a")</f>
        <v>-0.16669011139001455</v>
      </c>
      <c r="L220" s="574">
        <f>IFERROR(H220-$F220,"n/a")</f>
        <v>-0.11625712570630231</v>
      </c>
      <c r="M220" s="574">
        <f>IFERROR(I220-$F220,"n/a")</f>
        <v>-0.39628772109853294</v>
      </c>
    </row>
    <row r="221">
      <c r="C221" s="540" t="inlineStr">
        <is>
          <t xml:space="preserve">FEP NPV (post-tax)</t>
        </is>
      </c>
      <c r="D221" s="541" t="inlineStr">
        <is>
          <t xml:space="preserve">k€</t>
        </is>
      </c>
      <c r="E221" s="560">
        <f>$J$330</f>
        <v>105571.80767792829</v>
      </c>
      <c r="F221" s="560">
        <f>$J$310</f>
        <v>139279.28641793394</v>
      </c>
      <c r="G221" s="560">
        <f>$J$315</f>
        <v>138606.18659691172</v>
      </c>
      <c r="H221" s="560">
        <f>$J$320</f>
        <v>138567.36142870146</v>
      </c>
      <c r="I221" s="560">
        <f>$J$325</f>
        <v>124486.86140761414</v>
      </c>
      <c r="J221" s="573">
        <f>IFERROR(E221-$F221,"n/a")</f>
        <v>-33707.47874000565</v>
      </c>
      <c r="K221" s="573">
        <f>IFERROR(G221-$F221,"n/a")</f>
        <v>-673.0998210222169</v>
      </c>
      <c r="L221" s="573">
        <f>IFERROR(H221-$F221,"n/a")</f>
        <v>-711.9249892324733</v>
      </c>
      <c r="M221" s="573">
        <f>IFERROR(I221-$F221,"n/a")</f>
        <v>-14792.4250103198</v>
      </c>
    </row>
    <row r="222">
      <c r="C222" s="540" t="inlineStr">
        <is>
          <t xml:space="preserve">Minimum DSCR</t>
        </is>
      </c>
      <c r="D222" s="541" t="inlineStr">
        <is>
          <t xml:space="preserve">x</t>
        </is>
      </c>
      <c r="E222" s="569">
        <f>$AI$330</f>
        <v>2.1204008018420577</v>
      </c>
      <c r="F222" s="569">
        <f>$AI$310</f>
        <v>1.9196058721534874</v>
      </c>
      <c r="G222" s="569">
        <f>$AI$315</f>
        <v>1.8722648328717875</v>
      </c>
      <c r="H222" s="569">
        <f>$AI$320</f>
        <v>1.8399794650261854</v>
      </c>
      <c r="I222" s="569">
        <f>$AI$325</f>
        <v>1.6439896671953536</v>
      </c>
      <c r="J222" s="574">
        <f>IFERROR(E222-$F222,"n/a")</f>
        <v>0.20079492968857027</v>
      </c>
      <c r="K222" s="574">
        <f>IFERROR(G222-$F222,"n/a")</f>
        <v>-0.04734103928169997</v>
      </c>
      <c r="L222" s="574">
        <f>IFERROR(H222-$F222,"n/a")</f>
        <v>-0.07962640712730207</v>
      </c>
      <c r="M222" s="574">
        <f>IFERROR(I222-$F222,"n/a")</f>
        <v>-0.2756162049581339</v>
      </c>
    </row>
    <row r="224" ht="20" customHeight="1">
      <c r="C224" s="536" t="inlineStr">
        <is>
          <t xml:space="preserve">e. Integrity per data-table run – MOIC G270 / HTM G172 / Tender checks (overall)</t>
        </is>
      </c>
      <c r="D224" s="536"/>
      <c r="E224" s="536"/>
      <c r="F224" s="536"/>
      <c r="G224" s="536"/>
      <c r="H224" s="536"/>
      <c r="I224" s="536"/>
      <c r="J224" s="536"/>
      <c r="K224" s="536"/>
      <c r="L224" s="536"/>
      <c r="M224" s="536"/>
      <c r="N224" s="536"/>
      <c r="O224" s="536"/>
    </row>
    <row r="225" ht="30" customHeight="1">
      <c r="C225" s="253" t="inlineStr">
        <is>
          <t xml:space="preserve">Route</t>
        </is>
      </c>
      <c r="D225" s="538" t="inlineStr">
        <is>
          <t xml:space="preserve"/>
        </is>
      </c>
      <c r="E225" s="538" t="inlineStr">
        <is>
          <t xml:space="preserve">S0 – zero bid</t>
        </is>
      </c>
      <c r="F225" s="538" t="inlineStr">
        <is>
          <t xml:space="preserve">S1 – current bid</t>
        </is>
      </c>
      <c r="G225" s="538" t="inlineStr">
        <is>
          <t xml:space="preserve">S2 – free points</t>
        </is>
      </c>
      <c r="H225" s="538" t="inlineStr">
        <is>
          <t xml:space="preserve">S3 – ≈70 points</t>
        </is>
      </c>
      <c r="I225" s="538" t="inlineStr">
        <is>
          <t xml:space="preserve">S4 – max. score</t>
        </is>
      </c>
      <c r="J225" s="254"/>
      <c r="K225" s="254"/>
      <c r="L225" s="254"/>
      <c r="M225" s="254"/>
      <c r="N225" s="254"/>
      <c r="O225" s="253" t="inlineStr">
        <is>
          <t xml:space="preserve">OK = all three read ALL OK / ALL OK / OK</t>
        </is>
      </c>
    </row>
    <row r="226">
      <c r="C226" s="360" t="inlineStr">
        <is>
          <t xml:space="preserve">RtB sale (case 1)</t>
        </is>
      </c>
      <c r="D226" s="541" t="inlineStr">
        <is>
          <t xml:space="preserve">status</t>
        </is>
      </c>
      <c r="E226" s="372" t="str">
        <f>IF(AND($BM$326="ALL OK",$BN$326="ALL OK",$BO$326="OK"),"OK",$BM$326&amp;" / "&amp;$BN$326&amp;" / "&amp;$BO$326)</f>
        <v>OK</v>
      </c>
      <c r="F226" s="372" t="str">
        <f>IF(AND($BM$306="ALL OK",$BN$306="ALL OK",$BO$306="OK"),"OK",$BM$306&amp;" / "&amp;$BN$306&amp;" / "&amp;$BO$306)</f>
        <v>OK</v>
      </c>
      <c r="G226" s="372" t="str">
        <f>IF(AND($BM$311="ALL OK",$BN$311="ALL OK",$BO$311="OK"),"OK",$BM$311&amp;" / "&amp;$BN$311&amp;" / "&amp;$BO$311)</f>
        <v>OK</v>
      </c>
      <c r="H226" s="372" t="str">
        <f>IF(AND($BM$316="ALL OK",$BN$316="ALL OK",$BO$316="OK"),"OK",$BM$316&amp;" / "&amp;$BN$316&amp;" / "&amp;$BO$316)</f>
        <v>OK</v>
      </c>
      <c r="I226" s="372" t="str">
        <f>IF(AND($BM$321="ALL OK",$BN$321="ALL OK",$BO$321="OK"),"OK",$BM$321&amp;" / "&amp;$BN$321&amp;" / "&amp;$BO$321)</f>
        <v>OK</v>
      </c>
    </row>
    <row r="227">
      <c r="C227" s="360" t="inlineStr">
        <is>
          <t xml:space="preserve">Sale at COD – European turbine (case 7)</t>
        </is>
      </c>
      <c r="D227" s="541" t="inlineStr">
        <is>
          <t xml:space="preserve">status</t>
        </is>
      </c>
      <c r="E227" s="372" t="str">
        <f>IF(AND($BM$327="ALL OK",$BN$327="ALL OK",$BO$327="OK"),"OK",$BM$327&amp;" / "&amp;$BN$327&amp;" / "&amp;$BO$327)</f>
        <v>OK</v>
      </c>
      <c r="F227" s="372" t="str">
        <f>IF(AND($BM$307="ALL OK",$BN$307="ALL OK",$BO$307="OK"),"OK",$BM$307&amp;" / "&amp;$BN$307&amp;" / "&amp;$BO$307)</f>
        <v>OK</v>
      </c>
      <c r="G227" s="372" t="str">
        <f>IF(AND($BM$312="ALL OK",$BN$312="ALL OK",$BO$312="OK"),"OK",$BM$312&amp;" / "&amp;$BN$312&amp;" / "&amp;$BO$312)</f>
        <v>OK</v>
      </c>
      <c r="H227" s="372" t="str">
        <f>IF(AND($BM$317="ALL OK",$BN$317="ALL OK",$BO$317="OK"),"OK",$BM$317&amp;" / "&amp;$BN$317&amp;" / "&amp;$BO$317)</f>
        <v>OK</v>
      </c>
      <c r="I227" s="372" t="str">
        <f>IF(AND($BM$322="ALL OK",$BN$322="ALL OK",$BO$322="OK"),"OK",$BM$322&amp;" / "&amp;$BN$322&amp;" / "&amp;$BO$322)</f>
        <v>OK</v>
      </c>
    </row>
    <row r="228">
      <c r="C228" s="360" t="inlineStr">
        <is>
          <t xml:space="preserve">Sale at COD – Chinese turbine (case 8)</t>
        </is>
      </c>
      <c r="D228" s="541" t="inlineStr">
        <is>
          <t xml:space="preserve">status</t>
        </is>
      </c>
      <c r="E228" s="372" t="str">
        <f>IF(AND($BM$328="ALL OK",$BN$328="ALL OK",$BO$328="OK"),"OK",$BM$328&amp;" / "&amp;$BN$328&amp;" / "&amp;$BO$328)</f>
        <v>OK</v>
      </c>
      <c r="F228" s="372" t="str">
        <f>IF(AND($BM$308="ALL OK",$BN$308="ALL OK",$BO$308="OK"),"OK",$BM$308&amp;" / "&amp;$BN$308&amp;" / "&amp;$BO$308)</f>
        <v>OK</v>
      </c>
      <c r="G228" s="372" t="str">
        <f>IF(AND($BM$313="ALL OK",$BN$313="ALL OK",$BO$313="OK"),"OK",$BM$313&amp;" / "&amp;$BN$313&amp;" / "&amp;$BO$313)</f>
        <v>OK</v>
      </c>
      <c r="H228" s="372" t="str">
        <f>IF(AND($BM$318="ALL OK",$BN$318="ALL OK",$BO$318="OK"),"OK",$BM$318&amp;" / "&amp;$BN$318&amp;" / "&amp;$BO$318)</f>
        <v>OK</v>
      </c>
      <c r="I228" s="372" t="str">
        <f>IF(AND($BM$323="ALL OK",$BN$323="ALL OK",$BO$323="OK"),"OK",$BM$323&amp;" / "&amp;$BN$323&amp;" / "&amp;$BO$323)</f>
        <v>OK</v>
      </c>
    </row>
    <row r="229">
      <c r="C229" s="360" t="inlineStr">
        <is>
          <t xml:space="preserve">Hold to maturity – European turbine (case 2)</t>
        </is>
      </c>
      <c r="D229" s="541" t="inlineStr">
        <is>
          <t xml:space="preserve">status</t>
        </is>
      </c>
      <c r="E229" s="372" t="str">
        <f>IF(AND($BM$329="ALL OK",$BN$329="ALL OK",$BO$329="OK"),"OK",$BM$329&amp;" / "&amp;$BN$329&amp;" / "&amp;$BO$329)</f>
        <v>OK</v>
      </c>
      <c r="F229" s="372" t="str">
        <f>IF(AND($BM$309="ALL OK",$BN$309="ALL OK",$BO$309="OK"),"OK",$BM$309&amp;" / "&amp;$BN$309&amp;" / "&amp;$BO$309)</f>
        <v>OK</v>
      </c>
      <c r="G229" s="372" t="str">
        <f>IF(AND($BM$314="ALL OK",$BN$314="ALL OK",$BO$314="OK"),"OK",$BM$314&amp;" / "&amp;$BN$314&amp;" / "&amp;$BO$314)</f>
        <v>OK</v>
      </c>
      <c r="H229" s="372" t="str">
        <f>IF(AND($BM$319="ALL OK",$BN$319="ALL OK",$BO$319="OK"),"OK",$BM$319&amp;" / "&amp;$BN$319&amp;" / "&amp;$BO$319)</f>
        <v>OK</v>
      </c>
      <c r="I229" s="372" t="str">
        <f>IF(AND($BM$324="ALL OK",$BN$324="ALL OK",$BO$324="OK"),"OK",$BM$324&amp;" / "&amp;$BN$324&amp;" / "&amp;$BO$324)</f>
        <v>OK</v>
      </c>
    </row>
    <row r="230">
      <c r="C230" s="360" t="inlineStr">
        <is>
          <t xml:space="preserve">Hold to maturity – Chinese turbine (case 3)</t>
        </is>
      </c>
      <c r="D230" s="541" t="inlineStr">
        <is>
          <t xml:space="preserve">status</t>
        </is>
      </c>
      <c r="E230" s="372" t="str">
        <f>IF(AND($BM$330="ALL OK",$BN$330="ALL OK",$BO$330="OK"),"OK",$BM$330&amp;" / "&amp;$BN$330&amp;" / "&amp;$BO$330)</f>
        <v>OK</v>
      </c>
      <c r="F230" s="372" t="str">
        <f>IF(AND($BM$310="ALL OK",$BN$310="ALL OK",$BO$310="OK"),"OK",$BM$310&amp;" / "&amp;$BN$310&amp;" / "&amp;$BO$310)</f>
        <v>OK</v>
      </c>
      <c r="G230" s="372" t="str">
        <f>IF(AND($BM$315="ALL OK",$BN$315="ALL OK",$BO$315="OK"),"OK",$BM$315&amp;" / "&amp;$BN$315&amp;" / "&amp;$BO$315)</f>
        <v>OK</v>
      </c>
      <c r="H230" s="372" t="str">
        <f>IF(AND($BM$320="ALL OK",$BN$320="ALL OK",$BO$320="OK"),"OK",$BM$320&amp;" / "&amp;$BN$320&amp;" / "&amp;$BO$320)</f>
        <v>OK</v>
      </c>
      <c r="I230" s="372" t="str">
        <f>IF(AND($BM$325="ALL OK",$BN$325="ALL OK",$BO$325="OK"),"OK",$BM$325&amp;" / "&amp;$BN$325&amp;" / "&amp;$BO$325)</f>
        <v>OK</v>
      </c>
    </row>
    <row r="231">
      <c r="C231" s="360" t="inlineStr">
        <is>
          <t xml:space="preserve">Runs with every check OK</t>
        </is>
      </c>
      <c r="D231" s="541" t="inlineStr">
        <is>
          <t xml:space="preserve">runs</t>
        </is>
      </c>
      <c r="E231" s="372" t="str">
        <f>COUNTIF($E$226:$I$230,"OK")&amp;" of 25"</f>
        <v>25 of 25</v>
      </c>
    </row>
    <row r="233" ht="20" customHeight="1">
      <c r="C233" s="536" t="inlineStr">
        <is>
          <t xml:space="preserve">g. Tender scoring – offerable range and points per band (GYIK rules; weighted points = contribution to the 100-point total)</t>
        </is>
      </c>
      <c r="D233" s="536"/>
      <c r="E233" s="536"/>
      <c r="F233" s="536"/>
      <c r="G233" s="536"/>
      <c r="H233" s="536"/>
      <c r="I233" s="536"/>
      <c r="J233" s="536"/>
      <c r="K233" s="536"/>
      <c r="L233" s="536"/>
      <c r="M233" s="536"/>
      <c r="N233" s="536"/>
      <c r="O233" s="536"/>
    </row>
    <row r="234" ht="30" customHeight="1">
      <c r="C234" s="253" t="inlineStr">
        <is>
          <t xml:space="preserve">Criterion / band</t>
        </is>
      </c>
      <c r="D234" s="538" t="inlineStr">
        <is>
          <t xml:space="preserve">Unit</t>
        </is>
      </c>
      <c r="E234" s="538" t="inlineStr">
        <is>
          <t xml:space="preserve">Range / band from</t>
        </is>
      </c>
      <c r="F234" s="538" t="inlineStr">
        <is>
          <t xml:space="preserve">Weighted points</t>
        </is>
      </c>
      <c r="G234" s="538" t="inlineStr">
        <is>
          <t xml:space="preserve">Maximum points</t>
        </is>
      </c>
      <c r="H234" s="254"/>
      <c r="I234" s="254"/>
      <c r="J234" s="254"/>
      <c r="K234" s="254"/>
      <c r="L234" s="254"/>
      <c r="M234" s="254"/>
      <c r="N234" s="254"/>
      <c r="O234" s="253" t="inlineStr">
        <is>
          <t xml:space="preserve">Basis (GYIK rule)</t>
        </is>
      </c>
    </row>
    <row r="235">
      <c r="C235" s="360" t="inlineStr">
        <is>
          <t xml:space="preserve">ÖSZ-1 municipal one-off contribution</t>
        </is>
      </c>
      <c r="D235" s="541" t="inlineStr">
        <is>
          <t xml:space="preserve">k€/MW</t>
        </is>
      </c>
      <c r="E235" s="522" t="inlineStr">
        <is>
          <t xml:space="preserve">0 – 50</t>
        </is>
      </c>
      <c r="G235" s="578">
        <f>MAX(Tender!$F$92:$F$101)*Tender!$E$153/100</f>
        <v>20</v>
      </c>
      <c r="O235" s="388" t="inlineStr">
        <is>
          <t xml:space="preserve">points above 10 up to 50 k€/MW (Tender E162 / E163); 0 – 10 or above 50 → 0 points, the bid stays valid (GYIK 17)</t>
        </is>
      </c>
    </row>
    <row r="236">
      <c r="C236" s="540" t="inlineStr">
        <is>
          <t xml:space="preserve">below the lowest band / not eligible</t>
        </is>
      </c>
      <c r="D236" s="541" t="inlineStr">
        <is>
          <t xml:space="preserve">k€/MW</t>
        </is>
      </c>
      <c r="F236" s="562">
        <f>Tender!$F$92*Tender!$E$153/100</f>
        <v>0</v>
      </c>
    </row>
    <row r="237">
      <c r="C237" s="540" t="str">
        <f>IF(Tender!$E$93=1,"from (≥)","above (&gt;)")</f>
        <v>above (&gt;)</v>
      </c>
      <c r="D237" s="541" t="inlineStr">
        <is>
          <t xml:space="preserve">k€/MW</t>
        </is>
      </c>
      <c r="E237" s="561">
        <f>Tender!$D$93/1000</f>
        <v>10</v>
      </c>
      <c r="F237" s="562">
        <f>Tender!$F$93*Tender!$E$153/100</f>
        <v>2</v>
      </c>
    </row>
    <row r="238">
      <c r="C238" s="540" t="str">
        <f>IF(Tender!$E$94=1,"from (≥)","above (&gt;)")</f>
        <v>above (&gt;)</v>
      </c>
      <c r="D238" s="541" t="inlineStr">
        <is>
          <t xml:space="preserve">k€/MW</t>
        </is>
      </c>
      <c r="E238" s="561">
        <f>Tender!$D$94/1000</f>
        <v>15</v>
      </c>
      <c r="F238" s="562">
        <f>Tender!$F$94*Tender!$E$153/100</f>
        <v>4</v>
      </c>
    </row>
    <row r="239">
      <c r="C239" s="540" t="str">
        <f>IF(Tender!$E$95=1,"from (≥)","above (&gt;)")</f>
        <v>above (&gt;)</v>
      </c>
      <c r="D239" s="541" t="inlineStr">
        <is>
          <t xml:space="preserve">k€/MW</t>
        </is>
      </c>
      <c r="E239" s="561">
        <f>Tender!$D$95/1000</f>
        <v>20</v>
      </c>
      <c r="F239" s="562">
        <f>Tender!$F$95*Tender!$E$153/100</f>
        <v>6</v>
      </c>
    </row>
    <row r="240">
      <c r="C240" s="540" t="str">
        <f>IF(Tender!$E$96=1,"from (≥)","above (&gt;)")</f>
        <v>above (&gt;)</v>
      </c>
      <c r="D240" s="541" t="inlineStr">
        <is>
          <t xml:space="preserve">k€/MW</t>
        </is>
      </c>
      <c r="E240" s="561">
        <f>Tender!$D$96/1000</f>
        <v>25</v>
      </c>
      <c r="F240" s="562">
        <f>Tender!$F$96*Tender!$E$153/100</f>
        <v>8</v>
      </c>
    </row>
    <row r="241">
      <c r="C241" s="540" t="str">
        <f>IF(Tender!$E$97=1,"from (≥)","above (&gt;)")</f>
        <v>above (&gt;)</v>
      </c>
      <c r="D241" s="541" t="inlineStr">
        <is>
          <t xml:space="preserve">k€/MW</t>
        </is>
      </c>
      <c r="E241" s="561">
        <f>Tender!$D$97/1000</f>
        <v>30</v>
      </c>
      <c r="F241" s="562">
        <f>Tender!$F$97*Tender!$E$153/100</f>
        <v>11</v>
      </c>
    </row>
    <row r="242">
      <c r="C242" s="540" t="str">
        <f>IF(Tender!$E$98=1,"from (≥)","above (&gt;)")</f>
        <v>above (&gt;)</v>
      </c>
      <c r="D242" s="541" t="inlineStr">
        <is>
          <t xml:space="preserve">k€/MW</t>
        </is>
      </c>
      <c r="E242" s="561">
        <f>Tender!$D$98/1000</f>
        <v>35</v>
      </c>
      <c r="F242" s="562">
        <f>Tender!$F$98*Tender!$E$153/100</f>
        <v>14</v>
      </c>
    </row>
    <row r="243">
      <c r="C243" s="540" t="str">
        <f>IF(Tender!$E$99=1,"from (≥)","above (&gt;)")</f>
        <v>above (&gt;)</v>
      </c>
      <c r="D243" s="541" t="inlineStr">
        <is>
          <t xml:space="preserve">k€/MW</t>
        </is>
      </c>
      <c r="E243" s="561">
        <f>Tender!$D$99/1000</f>
        <v>40</v>
      </c>
      <c r="F243" s="562">
        <f>Tender!$F$99*Tender!$E$153/100</f>
        <v>16</v>
      </c>
    </row>
    <row r="244">
      <c r="C244" s="540" t="str">
        <f>IF(Tender!$E$100=1,"from (≥)","above (&gt;)")</f>
        <v>above (&gt;)</v>
      </c>
      <c r="D244" s="541" t="inlineStr">
        <is>
          <t xml:space="preserve">k€/MW</t>
        </is>
      </c>
      <c r="E244" s="561">
        <f>Tender!$D$100/1000</f>
        <v>45</v>
      </c>
      <c r="F244" s="562">
        <f>Tender!$F$100*Tender!$E$153/100</f>
        <v>18</v>
      </c>
    </row>
    <row r="245">
      <c r="C245" s="540" t="str">
        <f>IF(Tender!$E$101=1,"from (≥)","above (&gt;)")</f>
        <v>from (≥)</v>
      </c>
      <c r="D245" s="541" t="inlineStr">
        <is>
          <t xml:space="preserve">k€/MW</t>
        </is>
      </c>
      <c r="E245" s="561">
        <f>Tender!$D$101/1000</f>
        <v>50</v>
      </c>
      <c r="F245" s="562">
        <f>Tender!$F$101*Tender!$E$153/100</f>
        <v>20</v>
      </c>
    </row>
    <row r="246">
      <c r="C246" s="360" t="inlineStr">
        <is>
          <t xml:space="preserve">ÖSZ-2 community contribution</t>
        </is>
      </c>
      <c r="D246" s="541" t="inlineStr">
        <is>
          <t xml:space="preserve">€/MWh</t>
        </is>
      </c>
      <c r="E246" s="522" t="inlineStr">
        <is>
          <t xml:space="preserve">0 – 3.0</t>
        </is>
      </c>
      <c r="G246" s="578">
        <f>MAX(Tender!$F$103:$F$114)*Tender!$E$154/100</f>
        <v>15</v>
      </c>
      <c r="O246" s="388" t="inlineStr">
        <is>
          <t xml:space="preserve">points above 2.0 up to 3.0 €/MWh (Tender E164 / E165); 0 – 2.0 or above 3.0 → 0 points, the bid stays valid (GYIK 17)</t>
        </is>
      </c>
    </row>
    <row r="247">
      <c r="C247" s="540" t="inlineStr">
        <is>
          <t xml:space="preserve">below the lowest band / not eligible</t>
        </is>
      </c>
      <c r="D247" s="541" t="inlineStr">
        <is>
          <t xml:space="preserve">€/MWh</t>
        </is>
      </c>
      <c r="F247" s="562">
        <f>Tender!$F$103*Tender!$E$154/100</f>
        <v>0</v>
      </c>
    </row>
    <row r="248">
      <c r="C248" s="540" t="str">
        <f>IF(Tender!$E$104=1,"from (≥)","above (&gt;)")</f>
        <v>above (&gt;)</v>
      </c>
      <c r="D248" s="541" t="inlineStr">
        <is>
          <t xml:space="preserve">€/MWh</t>
        </is>
      </c>
      <c r="E248" s="563">
        <f>Tender!$D$104</f>
        <v>2</v>
      </c>
      <c r="F248" s="562">
        <f>Tender!$F$104*Tender!$E$154/100</f>
        <v>0.75</v>
      </c>
    </row>
    <row r="249">
      <c r="C249" s="540" t="str">
        <f>IF(Tender!$E$105=1,"from (≥)","above (&gt;)")</f>
        <v>above (&gt;)</v>
      </c>
      <c r="D249" s="541" t="inlineStr">
        <is>
          <t xml:space="preserve">€/MWh</t>
        </is>
      </c>
      <c r="E249" s="563">
        <f>Tender!$D$105</f>
        <v>2.1</v>
      </c>
      <c r="F249" s="562">
        <f>Tender!$F$105*Tender!$E$154/100</f>
        <v>1.5</v>
      </c>
    </row>
    <row r="250">
      <c r="C250" s="540" t="str">
        <f>IF(Tender!$E$106=1,"from (≥)","above (&gt;)")</f>
        <v>above (&gt;)</v>
      </c>
      <c r="D250" s="541" t="inlineStr">
        <is>
          <t xml:space="preserve">€/MWh</t>
        </is>
      </c>
      <c r="E250" s="563">
        <f>Tender!$D$106</f>
        <v>2.2</v>
      </c>
      <c r="F250" s="562">
        <f>Tender!$F$106*Tender!$E$154/100</f>
        <v>3</v>
      </c>
    </row>
    <row r="251">
      <c r="C251" s="540" t="str">
        <f>IF(Tender!$E$107=1,"from (≥)","above (&gt;)")</f>
        <v>above (&gt;)</v>
      </c>
      <c r="D251" s="541" t="inlineStr">
        <is>
          <t xml:space="preserve">€/MWh</t>
        </is>
      </c>
      <c r="E251" s="563">
        <f>Tender!$D$107</f>
        <v>2.3</v>
      </c>
      <c r="F251" s="562">
        <f>Tender!$F$107*Tender!$E$154/100</f>
        <v>4.5</v>
      </c>
    </row>
    <row r="252">
      <c r="C252" s="540" t="str">
        <f>IF(Tender!$E$108=1,"from (≥)","above (&gt;)")</f>
        <v>above (&gt;)</v>
      </c>
      <c r="D252" s="541" t="inlineStr">
        <is>
          <t xml:space="preserve">€/MWh</t>
        </is>
      </c>
      <c r="E252" s="563">
        <f>Tender!$D$108</f>
        <v>2.4</v>
      </c>
      <c r="F252" s="562">
        <f>Tender!$F$108*Tender!$E$154/100</f>
        <v>6</v>
      </c>
    </row>
    <row r="253">
      <c r="C253" s="540" t="str">
        <f>IF(Tender!$E$109=1,"from (≥)","above (&gt;)")</f>
        <v>above (&gt;)</v>
      </c>
      <c r="D253" s="541" t="inlineStr">
        <is>
          <t xml:space="preserve">€/MWh</t>
        </is>
      </c>
      <c r="E253" s="563">
        <f>Tender!$D$109</f>
        <v>2.5</v>
      </c>
      <c r="F253" s="562">
        <f>Tender!$F$109*Tender!$E$154/100</f>
        <v>7.5</v>
      </c>
    </row>
    <row r="254">
      <c r="C254" s="540" t="str">
        <f>IF(Tender!$E$110=1,"from (≥)","above (&gt;)")</f>
        <v>above (&gt;)</v>
      </c>
      <c r="D254" s="541" t="inlineStr">
        <is>
          <t xml:space="preserve">€/MWh</t>
        </is>
      </c>
      <c r="E254" s="563">
        <f>Tender!$D$110</f>
        <v>2.6</v>
      </c>
      <c r="F254" s="562">
        <f>Tender!$F$110*Tender!$E$154/100</f>
        <v>9</v>
      </c>
    </row>
    <row r="255">
      <c r="C255" s="540" t="str">
        <f>IF(Tender!$E$111=1,"from (≥)","above (&gt;)")</f>
        <v>above (&gt;)</v>
      </c>
      <c r="D255" s="541" t="inlineStr">
        <is>
          <t xml:space="preserve">€/MWh</t>
        </is>
      </c>
      <c r="E255" s="563">
        <f>Tender!$D$111</f>
        <v>2.7</v>
      </c>
      <c r="F255" s="562">
        <f>Tender!$F$111*Tender!$E$154/100</f>
        <v>10.5</v>
      </c>
    </row>
    <row r="256">
      <c r="C256" s="540" t="str">
        <f>IF(Tender!$E$112=1,"from (≥)","above (&gt;)")</f>
        <v>above (&gt;)</v>
      </c>
      <c r="D256" s="541" t="inlineStr">
        <is>
          <t xml:space="preserve">€/MWh</t>
        </is>
      </c>
      <c r="E256" s="563">
        <f>Tender!$D$112</f>
        <v>2.8</v>
      </c>
      <c r="F256" s="562">
        <f>Tender!$F$112*Tender!$E$154/100</f>
        <v>12</v>
      </c>
    </row>
    <row r="257">
      <c r="C257" s="540" t="str">
        <f>IF(Tender!$E$113=1,"from (≥)","above (&gt;)")</f>
        <v>above (&gt;)</v>
      </c>
      <c r="D257" s="541" t="inlineStr">
        <is>
          <t xml:space="preserve">€/MWh</t>
        </is>
      </c>
      <c r="E257" s="563">
        <f>Tender!$D$113</f>
        <v>2.9</v>
      </c>
      <c r="F257" s="562">
        <f>Tender!$F$113*Tender!$E$154/100</f>
        <v>13.5</v>
      </c>
    </row>
    <row r="258">
      <c r="C258" s="540" t="str">
        <f>IF(Tender!$E$114=1,"from (≥)","above (&gt;)")</f>
        <v>from (≥)</v>
      </c>
      <c r="D258" s="541" t="inlineStr">
        <is>
          <t xml:space="preserve">€/MWh</t>
        </is>
      </c>
      <c r="E258" s="563">
        <f>Tender!$D$114</f>
        <v>3</v>
      </c>
      <c r="F258" s="562">
        <f>Tender!$F$114*Tender!$E$154/100</f>
        <v>15</v>
      </c>
    </row>
    <row r="259">
      <c r="C259" s="360" t="inlineStr">
        <is>
          <t xml:space="preserve">ÖSZ-3 overbuild (installed wind above the net MVA)</t>
        </is>
      </c>
      <c r="D259" s="541" t="inlineStr">
        <is>
          <t xml:space="preserve">%</t>
        </is>
      </c>
      <c r="E259" s="522" t="inlineStr">
        <is>
          <t xml:space="preserve">0 – 50+</t>
        </is>
      </c>
      <c r="G259" s="578">
        <f>MAX(Tender!$F$116:$F$126)*Tender!$E$155/100</f>
        <v>10</v>
      </c>
      <c r="O259" s="388" t="inlineStr">
        <is>
          <t xml:space="preserve">0 % = installed wind equals the 200 MVA: valid, 0 points; validity needs installed wind ≥ MVA (VII.16)</t>
        </is>
      </c>
    </row>
    <row r="260">
      <c r="C260" s="540" t="inlineStr">
        <is>
          <t xml:space="preserve">below the lowest band / not eligible</t>
        </is>
      </c>
      <c r="D260" s="541" t="inlineStr">
        <is>
          <t xml:space="preserve">%</t>
        </is>
      </c>
      <c r="F260" s="562">
        <f>Tender!$F$116*Tender!$E$155/100</f>
        <v>0</v>
      </c>
    </row>
    <row r="261">
      <c r="C261" s="540" t="str">
        <f>IF(Tender!$E$117=1,"from (≥)","above (&gt;)")</f>
        <v>above (&gt;)</v>
      </c>
      <c r="D261" s="541" t="inlineStr">
        <is>
          <t xml:space="preserve">%</t>
        </is>
      </c>
      <c r="E261" s="561">
        <f>Tender!$D$117</f>
        <v>2</v>
      </c>
      <c r="F261" s="562">
        <f>Tender!$F$117*Tender!$E$155/100</f>
        <v>1</v>
      </c>
    </row>
    <row r="262">
      <c r="C262" s="540" t="str">
        <f>IF(Tender!$E$118=1,"from (≥)","above (&gt;)")</f>
        <v>from (≥)</v>
      </c>
      <c r="D262" s="541" t="inlineStr">
        <is>
          <t xml:space="preserve">%</t>
        </is>
      </c>
      <c r="E262" s="561">
        <f>Tender!$D$118</f>
        <v>5</v>
      </c>
      <c r="F262" s="562">
        <f>Tender!$F$118*Tender!$E$155/100</f>
        <v>2</v>
      </c>
    </row>
    <row r="263">
      <c r="C263" s="540" t="str">
        <f>IF(Tender!$E$119=1,"from (≥)","above (&gt;)")</f>
        <v>from (≥)</v>
      </c>
      <c r="D263" s="541" t="inlineStr">
        <is>
          <t xml:space="preserve">%</t>
        </is>
      </c>
      <c r="E263" s="561">
        <f>Tender!$D$119</f>
        <v>10</v>
      </c>
      <c r="F263" s="562">
        <f>Tender!$F$119*Tender!$E$155/100</f>
        <v>3</v>
      </c>
    </row>
    <row r="264">
      <c r="C264" s="540" t="str">
        <f>IF(Tender!$E$120=1,"from (≥)","above (&gt;)")</f>
        <v>from (≥)</v>
      </c>
      <c r="D264" s="541" t="inlineStr">
        <is>
          <t xml:space="preserve">%</t>
        </is>
      </c>
      <c r="E264" s="561">
        <f>Tender!$D$120</f>
        <v>15</v>
      </c>
      <c r="F264" s="562">
        <f>Tender!$F$120*Tender!$E$155/100</f>
        <v>4</v>
      </c>
    </row>
    <row r="265">
      <c r="C265" s="540" t="str">
        <f>IF(Tender!$E$121=1,"from (≥)","above (&gt;)")</f>
        <v>from (≥)</v>
      </c>
      <c r="D265" s="541" t="inlineStr">
        <is>
          <t xml:space="preserve">%</t>
        </is>
      </c>
      <c r="E265" s="561">
        <f>Tender!$D$121</f>
        <v>20</v>
      </c>
      <c r="F265" s="562">
        <f>Tender!$F$121*Tender!$E$155/100</f>
        <v>5</v>
      </c>
    </row>
    <row r="266">
      <c r="C266" s="540" t="str">
        <f>IF(Tender!$E$122=1,"from (≥)","above (&gt;)")</f>
        <v>from (≥)</v>
      </c>
      <c r="D266" s="541" t="inlineStr">
        <is>
          <t xml:space="preserve">%</t>
        </is>
      </c>
      <c r="E266" s="561">
        <f>Tender!$D$122</f>
        <v>25</v>
      </c>
      <c r="F266" s="562">
        <f>Tender!$F$122*Tender!$E$155/100</f>
        <v>6</v>
      </c>
    </row>
    <row r="267">
      <c r="C267" s="540" t="str">
        <f>IF(Tender!$E$123=1,"from (≥)","above (&gt;)")</f>
        <v>from (≥)</v>
      </c>
      <c r="D267" s="541" t="inlineStr">
        <is>
          <t xml:space="preserve">%</t>
        </is>
      </c>
      <c r="E267" s="561">
        <f>Tender!$D$123</f>
        <v>30</v>
      </c>
      <c r="F267" s="562">
        <f>Tender!$F$123*Tender!$E$155/100</f>
        <v>7</v>
      </c>
    </row>
    <row r="268">
      <c r="C268" s="540" t="str">
        <f>IF(Tender!$E$124=1,"from (≥)","above (&gt;)")</f>
        <v>from (≥)</v>
      </c>
      <c r="D268" s="541" t="inlineStr">
        <is>
          <t xml:space="preserve">%</t>
        </is>
      </c>
      <c r="E268" s="561">
        <f>Tender!$D$124</f>
        <v>35</v>
      </c>
      <c r="F268" s="562">
        <f>Tender!$F$124*Tender!$E$155/100</f>
        <v>8</v>
      </c>
    </row>
    <row r="269">
      <c r="C269" s="540" t="str">
        <f>IF(Tender!$E$125=1,"from (≥)","above (&gt;)")</f>
        <v>from (≥)</v>
      </c>
      <c r="D269" s="541" t="inlineStr">
        <is>
          <t xml:space="preserve">%</t>
        </is>
      </c>
      <c r="E269" s="561">
        <f>Tender!$D$125</f>
        <v>40</v>
      </c>
      <c r="F269" s="562">
        <f>Tender!$F$125*Tender!$E$155/100</f>
        <v>9</v>
      </c>
    </row>
    <row r="270">
      <c r="C270" s="540" t="str">
        <f>IF(Tender!$E$126=1,"from (≥)","above (&gt;)")</f>
        <v>above (&gt;)</v>
      </c>
      <c r="D270" s="541" t="inlineStr">
        <is>
          <t xml:space="preserve">%</t>
        </is>
      </c>
      <c r="E270" s="561">
        <f>Tender!$D$126</f>
        <v>50</v>
      </c>
      <c r="F270" s="562">
        <f>Tender!$F$126*Tender!$E$155/100</f>
        <v>10</v>
      </c>
    </row>
    <row r="271">
      <c r="C271" s="360" t="inlineStr">
        <is>
          <t xml:space="preserve">ÖSZ-4 BESS power (% of installed wind)</t>
        </is>
      </c>
      <c r="D271" s="541" t="inlineStr">
        <is>
          <t xml:space="preserve">%</t>
        </is>
      </c>
      <c r="E271" s="522" t="inlineStr">
        <is>
          <t xml:space="preserve">0, or 5 – 50+</t>
        </is>
      </c>
      <c r="G271" s="578">
        <f>MAX(Tender!$F$128:$F$138)*Tender!$E$156/100</f>
        <v>15</v>
      </c>
      <c r="O271" s="388" t="inlineStr">
        <is>
          <t xml:space="preserve">no BESS → 0 points, bid valid; points from 5 % of installed wind, ≥ 4 h, BESS MW ≤ wind MW (GYIK 20)</t>
        </is>
      </c>
    </row>
    <row r="272">
      <c r="C272" s="540" t="inlineStr">
        <is>
          <t xml:space="preserve">below the lowest band / not eligible</t>
        </is>
      </c>
      <c r="D272" s="541" t="inlineStr">
        <is>
          <t xml:space="preserve">%</t>
        </is>
      </c>
      <c r="F272" s="562">
        <f>Tender!$F$128*Tender!$E$156/100</f>
        <v>0</v>
      </c>
    </row>
    <row r="273">
      <c r="C273" s="540" t="str">
        <f>CHOOSE(1+(Tender!$E$129=1)+2*(Tender!$D$129&lt;Tender!$E$166),"above (&gt;)","from (≥)","above (&gt;) – below the minimum, 0","from (≥) – below the minimum, 0")</f>
        <v>above (&gt;) – below the minimum, 0</v>
      </c>
      <c r="D273" s="541" t="inlineStr">
        <is>
          <t xml:space="preserve">%</t>
        </is>
      </c>
      <c r="E273" s="561">
        <f>Tender!$D$129</f>
        <v>2</v>
      </c>
      <c r="F273" s="562">
        <f>IF(Tender!$D$129&lt;Tender!$E$166,0,Tender!$F$129*Tender!$E$156/100)</f>
        <v>0</v>
      </c>
    </row>
    <row r="274">
      <c r="C274" s="540" t="str">
        <f>CHOOSE(1+(Tender!$E$130=1)+2*(Tender!$D$130&lt;Tender!$E$166),"above (&gt;)","from (≥)","above (&gt;) – below the minimum, 0","from (≥) – below the minimum, 0")</f>
        <v>from (≥)</v>
      </c>
      <c r="D274" s="541" t="inlineStr">
        <is>
          <t xml:space="preserve">%</t>
        </is>
      </c>
      <c r="E274" s="561">
        <f>Tender!$D$130</f>
        <v>5</v>
      </c>
      <c r="F274" s="562">
        <f>IF(Tender!$D$130&lt;Tender!$E$166,0,Tender!$F$130*Tender!$E$156/100)</f>
        <v>3</v>
      </c>
    </row>
    <row r="275">
      <c r="C275" s="540" t="str">
        <f>CHOOSE(1+(Tender!$E$131=1)+2*(Tender!$D$131&lt;Tender!$E$166),"above (&gt;)","from (≥)","above (&gt;) – below the minimum, 0","from (≥) – below the minimum, 0")</f>
        <v>from (≥)</v>
      </c>
      <c r="D275" s="541" t="inlineStr">
        <is>
          <t xml:space="preserve">%</t>
        </is>
      </c>
      <c r="E275" s="561">
        <f>Tender!$D$131</f>
        <v>10</v>
      </c>
      <c r="F275" s="562">
        <f>IF(Tender!$D$131&lt;Tender!$E$166,0,Tender!$F$131*Tender!$E$156/100)</f>
        <v>4.5</v>
      </c>
    </row>
    <row r="276">
      <c r="C276" s="540" t="str">
        <f>CHOOSE(1+(Tender!$E$132=1)+2*(Tender!$D$132&lt;Tender!$E$166),"above (&gt;)","from (≥)","above (&gt;) – below the minimum, 0","from (≥) – below the minimum, 0")</f>
        <v>from (≥)</v>
      </c>
      <c r="D276" s="541" t="inlineStr">
        <is>
          <t xml:space="preserve">%</t>
        </is>
      </c>
      <c r="E276" s="561">
        <f>Tender!$D$132</f>
        <v>15</v>
      </c>
      <c r="F276" s="562">
        <f>IF(Tender!$D$132&lt;Tender!$E$166,0,Tender!$F$132*Tender!$E$156/100)</f>
        <v>6</v>
      </c>
    </row>
    <row r="277">
      <c r="C277" s="540" t="str">
        <f>CHOOSE(1+(Tender!$E$133=1)+2*(Tender!$D$133&lt;Tender!$E$166),"above (&gt;)","from (≥)","above (&gt;) – below the minimum, 0","from (≥) – below the minimum, 0")</f>
        <v>from (≥)</v>
      </c>
      <c r="D277" s="541" t="inlineStr">
        <is>
          <t xml:space="preserve">%</t>
        </is>
      </c>
      <c r="E277" s="561">
        <f>Tender!$D$133</f>
        <v>20</v>
      </c>
      <c r="F277" s="562">
        <f>IF(Tender!$D$133&lt;Tender!$E$166,0,Tender!$F$133*Tender!$E$156/100)</f>
        <v>7.5</v>
      </c>
    </row>
    <row r="278">
      <c r="C278" s="540" t="str">
        <f>CHOOSE(1+(Tender!$E$134=1)+2*(Tender!$D$134&lt;Tender!$E$166),"above (&gt;)","from (≥)","above (&gt;) – below the minimum, 0","from (≥) – below the minimum, 0")</f>
        <v>from (≥)</v>
      </c>
      <c r="D278" s="541" t="inlineStr">
        <is>
          <t xml:space="preserve">%</t>
        </is>
      </c>
      <c r="E278" s="561">
        <f>Tender!$D$134</f>
        <v>25</v>
      </c>
      <c r="F278" s="562">
        <f>IF(Tender!$D$134&lt;Tender!$E$166,0,Tender!$F$134*Tender!$E$156/100)</f>
        <v>9</v>
      </c>
    </row>
    <row r="279">
      <c r="C279" s="540" t="str">
        <f>CHOOSE(1+(Tender!$E$135=1)+2*(Tender!$D$135&lt;Tender!$E$166),"above (&gt;)","from (≥)","above (&gt;) – below the minimum, 0","from (≥) – below the minimum, 0")</f>
        <v>from (≥)</v>
      </c>
      <c r="D279" s="541" t="inlineStr">
        <is>
          <t xml:space="preserve">%</t>
        </is>
      </c>
      <c r="E279" s="561">
        <f>Tender!$D$135</f>
        <v>30</v>
      </c>
      <c r="F279" s="562">
        <f>IF(Tender!$D$135&lt;Tender!$E$166,0,Tender!$F$135*Tender!$E$156/100)</f>
        <v>10.5</v>
      </c>
    </row>
    <row r="280">
      <c r="C280" s="540" t="str">
        <f>CHOOSE(1+(Tender!$E$136=1)+2*(Tender!$D$136&lt;Tender!$E$166),"above (&gt;)","from (≥)","above (&gt;) – below the minimum, 0","from (≥) – below the minimum, 0")</f>
        <v>from (≥)</v>
      </c>
      <c r="D280" s="541" t="inlineStr">
        <is>
          <t xml:space="preserve">%</t>
        </is>
      </c>
      <c r="E280" s="561">
        <f>Tender!$D$136</f>
        <v>35</v>
      </c>
      <c r="F280" s="562">
        <f>IF(Tender!$D$136&lt;Tender!$E$166,0,Tender!$F$136*Tender!$E$156/100)</f>
        <v>12</v>
      </c>
    </row>
    <row r="281">
      <c r="C281" s="540" t="str">
        <f>CHOOSE(1+(Tender!$E$137=1)+2*(Tender!$D$137&lt;Tender!$E$166),"above (&gt;)","from (≥)","above (&gt;) – below the minimum, 0","from (≥) – below the minimum, 0")</f>
        <v>from (≥)</v>
      </c>
      <c r="D281" s="541" t="inlineStr">
        <is>
          <t xml:space="preserve">%</t>
        </is>
      </c>
      <c r="E281" s="561">
        <f>Tender!$D$137</f>
        <v>40</v>
      </c>
      <c r="F281" s="562">
        <f>IF(Tender!$D$137&lt;Tender!$E$166,0,Tender!$F$137*Tender!$E$156/100)</f>
        <v>13.5</v>
      </c>
    </row>
    <row r="282">
      <c r="C282" s="540" t="str">
        <f>CHOOSE(1+(Tender!$E$138=1)+2*(Tender!$D$138&lt;Tender!$E$166),"above (&gt;)","from (≥)","above (&gt;) – below the minimum, 0","from (≥) – below the minimum, 0")</f>
        <v>above (&gt;)</v>
      </c>
      <c r="D282" s="541" t="inlineStr">
        <is>
          <t xml:space="preserve">%</t>
        </is>
      </c>
      <c r="E282" s="561">
        <f>Tender!$D$138</f>
        <v>50</v>
      </c>
      <c r="F282" s="562">
        <f>IF(Tender!$D$138&lt;Tender!$E$166,0,Tender!$F$138*Tender!$E$156/100)</f>
        <v>15</v>
      </c>
    </row>
    <row r="283">
      <c r="C283" s="360" t="inlineStr">
        <is>
          <t xml:space="preserve">ÖSZ-6 performance security (% of the tender minimum)</t>
        </is>
      </c>
      <c r="D283" s="541" t="inlineStr">
        <is>
          <t xml:space="preserve">%</t>
        </is>
      </c>
      <c r="E283" s="522" t="inlineStr">
        <is>
          <t xml:space="preserve">100 – 200</t>
        </is>
      </c>
      <c r="G283" s="578">
        <f>MAX(Tender!$F$140:$F$150)*Tender!$E$158/100</f>
        <v>5</v>
      </c>
      <c r="O283" s="388" t="inlineStr">
        <is>
          <t xml:space="preserve">100 % = the tender minimum: valid, 0 points; 200 % and above = full points (GYIK 34)</t>
        </is>
      </c>
    </row>
    <row r="284">
      <c r="C284" s="540" t="inlineStr">
        <is>
          <t xml:space="preserve">below the lowest band / not eligible</t>
        </is>
      </c>
      <c r="D284" s="541" t="inlineStr">
        <is>
          <t xml:space="preserve">%</t>
        </is>
      </c>
      <c r="F284" s="562">
        <f>Tender!$F$140*Tender!$E$158/100</f>
        <v>0</v>
      </c>
    </row>
    <row r="285">
      <c r="C285" s="540" t="str">
        <f>IF(Tender!$E$141=1,"from (≥)","above (&gt;)")</f>
        <v>above (&gt;)</v>
      </c>
      <c r="D285" s="541" t="inlineStr">
        <is>
          <t xml:space="preserve">%</t>
        </is>
      </c>
      <c r="E285" s="561">
        <f>Tender!$D$141</f>
        <v>100</v>
      </c>
      <c r="F285" s="562">
        <f>Tender!$F$141*Tender!$E$158/100</f>
        <v>0.5</v>
      </c>
    </row>
    <row r="286">
      <c r="C286" s="540" t="str">
        <f>IF(Tender!$E$142=1,"from (≥)","above (&gt;)")</f>
        <v>from (≥)</v>
      </c>
      <c r="D286" s="541" t="inlineStr">
        <is>
          <t xml:space="preserve">%</t>
        </is>
      </c>
      <c r="E286" s="561">
        <f>Tender!$D$142</f>
        <v>120</v>
      </c>
      <c r="F286" s="562">
        <f>Tender!$F$142*Tender!$E$158/100</f>
        <v>1</v>
      </c>
    </row>
    <row r="287">
      <c r="C287" s="540" t="str">
        <f>IF(Tender!$E$143=1,"from (≥)","above (&gt;)")</f>
        <v>from (≥)</v>
      </c>
      <c r="D287" s="541" t="inlineStr">
        <is>
          <t xml:space="preserve">%</t>
        </is>
      </c>
      <c r="E287" s="561">
        <f>Tender!$D$143</f>
        <v>130</v>
      </c>
      <c r="F287" s="562">
        <f>Tender!$F$143*Tender!$E$158/100</f>
        <v>1.5</v>
      </c>
    </row>
    <row r="288">
      <c r="C288" s="540" t="str">
        <f>IF(Tender!$E$144=1,"from (≥)","above (&gt;)")</f>
        <v>from (≥)</v>
      </c>
      <c r="D288" s="541" t="inlineStr">
        <is>
          <t xml:space="preserve">%</t>
        </is>
      </c>
      <c r="E288" s="561">
        <f>Tender!$D$144</f>
        <v>140</v>
      </c>
      <c r="F288" s="562">
        <f>Tender!$F$144*Tender!$E$158/100</f>
        <v>2</v>
      </c>
    </row>
    <row r="289">
      <c r="C289" s="540" t="str">
        <f>IF(Tender!$E$145=1,"from (≥)","above (&gt;)")</f>
        <v>from (≥)</v>
      </c>
      <c r="D289" s="541" t="inlineStr">
        <is>
          <t xml:space="preserve">%</t>
        </is>
      </c>
      <c r="E289" s="561">
        <f>Tender!$D$145</f>
        <v>150</v>
      </c>
      <c r="F289" s="562">
        <f>Tender!$F$145*Tender!$E$158/100</f>
        <v>2.5</v>
      </c>
    </row>
    <row r="290">
      <c r="C290" s="540" t="str">
        <f>IF(Tender!$E$146=1,"from (≥)","above (&gt;)")</f>
        <v>from (≥)</v>
      </c>
      <c r="D290" s="541" t="inlineStr">
        <is>
          <t xml:space="preserve">%</t>
        </is>
      </c>
      <c r="E290" s="561">
        <f>Tender!$D$146</f>
        <v>160</v>
      </c>
      <c r="F290" s="562">
        <f>Tender!$F$146*Tender!$E$158/100</f>
        <v>3</v>
      </c>
    </row>
    <row r="291">
      <c r="C291" s="540" t="str">
        <f>IF(Tender!$E$147=1,"from (≥)","above (&gt;)")</f>
        <v>from (≥)</v>
      </c>
      <c r="D291" s="541" t="inlineStr">
        <is>
          <t xml:space="preserve">%</t>
        </is>
      </c>
      <c r="E291" s="561">
        <f>Tender!$D$147</f>
        <v>170</v>
      </c>
      <c r="F291" s="562">
        <f>Tender!$F$147*Tender!$E$158/100</f>
        <v>3.5</v>
      </c>
    </row>
    <row r="292">
      <c r="C292" s="540" t="str">
        <f>IF(Tender!$E$148=1,"from (≥)","above (&gt;)")</f>
        <v>from (≥)</v>
      </c>
      <c r="D292" s="541" t="inlineStr">
        <is>
          <t xml:space="preserve">%</t>
        </is>
      </c>
      <c r="E292" s="561">
        <f>Tender!$D$148</f>
        <v>180</v>
      </c>
      <c r="F292" s="562">
        <f>Tender!$F$148*Tender!$E$158/100</f>
        <v>4</v>
      </c>
    </row>
    <row r="293">
      <c r="C293" s="540" t="str">
        <f>IF(Tender!$E$149=1,"from (≥)","above (&gt;)")</f>
        <v>from (≥)</v>
      </c>
      <c r="D293" s="541" t="inlineStr">
        <is>
          <t xml:space="preserve">%</t>
        </is>
      </c>
      <c r="E293" s="561">
        <f>Tender!$D$149</f>
        <v>190</v>
      </c>
      <c r="F293" s="562">
        <f>Tender!$F$149*Tender!$E$158/100</f>
        <v>4.5</v>
      </c>
    </row>
    <row r="294">
      <c r="C294" s="540" t="str">
        <f>IF(Tender!$E$150=1,"from (≥)","above (&gt;)")</f>
        <v>from (≥)</v>
      </c>
      <c r="D294" s="541" t="inlineStr">
        <is>
          <t xml:space="preserve">%</t>
        </is>
      </c>
      <c r="E294" s="561">
        <f>Tender!$D$150</f>
        <v>200</v>
      </c>
      <c r="F294" s="562">
        <f>Tender!$F$150*Tender!$E$158/100</f>
        <v>5</v>
      </c>
    </row>
    <row r="295">
      <c r="C295" s="360" t="inlineStr">
        <is>
          <t xml:space="preserve">ÖSZ-5 accept partial award</t>
        </is>
      </c>
      <c r="D295" s="541" t="inlineStr">
        <is>
          <t xml:space="preserve"/>
        </is>
      </c>
      <c r="E295" s="522" t="inlineStr">
        <is>
          <t xml:space="preserve">Yes / No</t>
        </is>
      </c>
      <c r="F295" s="562">
        <f>Tender!$E$168*Tender!$E$157/100</f>
        <v>5</v>
      </c>
      <c r="G295" s="578">
        <f>F295</f>
        <v>5</v>
      </c>
      <c r="O295" s="388" t="inlineStr">
        <is>
          <t xml:space="preserve">no → 0 points; yes: scored, no modelled cost</t>
        </is>
      </c>
    </row>
    <row r="296">
      <c r="C296" s="360" t="inlineStr">
        <is>
          <t xml:space="preserve">ÖSZ-7 brownfield site (≥ 70 %)</t>
        </is>
      </c>
      <c r="D296" s="541" t="inlineStr">
        <is>
          <t xml:space="preserve"/>
        </is>
      </c>
      <c r="E296" s="522" t="inlineStr">
        <is>
          <t xml:space="preserve">Yes / No</t>
        </is>
      </c>
      <c r="F296" s="562">
        <f>Tender!$E$169*Tender!$E$159/100</f>
        <v>10</v>
      </c>
      <c r="G296" s="578">
        <f>F296</f>
        <v>10</v>
      </c>
      <c r="O296" s="388" t="inlineStr">
        <is>
          <t xml:space="preserve">no → 0 points; not available at Bora's node</t>
        </is>
      </c>
    </row>
    <row r="297">
      <c r="C297" s="360" t="inlineStr">
        <is>
          <t xml:space="preserve">ÖSZ-8 shared connection point and line</t>
        </is>
      </c>
      <c r="D297" s="541" t="inlineStr">
        <is>
          <t xml:space="preserve"/>
        </is>
      </c>
      <c r="E297" s="522" t="inlineStr">
        <is>
          <t xml:space="preserve">Yes / No</t>
        </is>
      </c>
      <c r="F297" s="562">
        <f>Tender!$E$170*Tender!$E$160/100</f>
        <v>5</v>
      </c>
      <c r="G297" s="578">
        <f>F297</f>
        <v>5</v>
      </c>
      <c r="O297" s="388" t="inlineStr">
        <is>
          <t xml:space="preserve">no → 0 points; yes: scored, no modelled cost</t>
        </is>
      </c>
    </row>
    <row r="298">
      <c r="C298" s="360" t="inlineStr">
        <is>
          <t xml:space="preserve">ÖSZ-9a EU-made turbines (≥ 80 %)</t>
        </is>
      </c>
      <c r="D298" s="541" t="inlineStr">
        <is>
          <t xml:space="preserve"/>
        </is>
      </c>
      <c r="E298" s="522" t="inlineStr">
        <is>
          <t xml:space="preserve">Yes / No</t>
        </is>
      </c>
      <c r="F298" s="562">
        <f>Tender!$E$171*Tender!$E$161/100</f>
        <v>12</v>
      </c>
      <c r="G298" s="578">
        <f>F298</f>
        <v>12</v>
      </c>
      <c r="O298" s="388" t="inlineStr">
        <is>
          <t xml:space="preserve">no → 0 points; yes: European-turbine routes only</t>
        </is>
      </c>
    </row>
    <row r="299">
      <c r="C299" s="360" t="inlineStr">
        <is>
          <t xml:space="preserve">ÖSZ-9b EU-made generator transformer (≥ 80 %)</t>
        </is>
      </c>
      <c r="D299" s="541" t="inlineStr">
        <is>
          <t xml:space="preserve"/>
        </is>
      </c>
      <c r="E299" s="522" t="inlineStr">
        <is>
          <t xml:space="preserve">Yes / No</t>
        </is>
      </c>
      <c r="F299" s="562">
        <f>Tender!$E$172*Tender!$E$161/100</f>
        <v>3</v>
      </c>
      <c r="G299" s="578">
        <f>F299</f>
        <v>3</v>
      </c>
      <c r="O299" s="388" t="inlineStr">
        <is>
          <t xml:space="preserve">no → 0 points; yes: European-turbine routes only</t>
        </is>
      </c>
    </row>
    <row r="300">
      <c r="C300" s="360" t="inlineStr">
        <is>
          <t xml:space="preserve">Total of the maximum points</t>
        </is>
      </c>
      <c r="D300" s="541" t="inlineStr">
        <is>
          <t xml:space="preserve">pts</t>
        </is>
      </c>
      <c r="G300" s="578">
        <f>G235+G246+G259+G271+G283+G295+G296+G297+G298+G299</f>
        <v>100</v>
      </c>
    </row>
    <row r="302" ht="20" customHeight="1">
      <c r="C302" s="536" t="inlineStr">
        <is>
          <t xml:space="preserve">f. Data table – Excel what-if table {=TABLE(,E10)}: one row per scenario × route (do not edit)</t>
        </is>
      </c>
      <c r="D302" s="536"/>
      <c r="E302" s="536"/>
      <c r="F302" s="536"/>
      <c r="G302" s="536"/>
      <c r="H302" s="536"/>
      <c r="I302" s="536"/>
      <c r="J302" s="536"/>
      <c r="K302" s="536"/>
      <c r="L302" s="536"/>
      <c r="M302" s="536"/>
      <c r="N302" s="536"/>
      <c r="O302" s="536"/>
    </row>
    <row r="303">
      <c r="C303" s="356" t="inlineStr">
        <is>
          <t xml:space="preserve">Column F = run code (the table's column-input cell is E10); the row below the headers holds the output formulas (live selection); the body is the Excel data table, recalculated with the workbook.</t>
        </is>
      </c>
    </row>
    <row r="304" ht="75" customHeight="1">
      <c r="C304" s="253" t="inlineStr">
        <is>
          <t xml:space="preserve">Run (scenario – route)</t>
        </is>
      </c>
      <c r="D304" s="538" t="inlineStr">
        <is>
          <t xml:space="preserve">Scenario</t>
        </is>
      </c>
      <c r="E304" s="538" t="inlineStr">
        <is>
          <t xml:space="preserve">Case</t>
        </is>
      </c>
      <c r="F304" s="538" t="inlineStr">
        <is>
          <t xml:space="preserve">Run</t>
        </is>
      </c>
      <c r="G304" s="538" t="inlineStr">
        <is>
          <t xml:space="preserve">FEP net profit (pre-tax) (Run_Map row 22)</t>
        </is>
      </c>
      <c r="H304" s="538" t="inlineStr">
        <is>
          <t xml:space="preserve">FEP net profit (post-tax) (Run_Map row 23)</t>
        </is>
      </c>
      <c r="I304" s="538" t="inlineStr">
        <is>
          <t xml:space="preserve">FEP IRR (post-tax) (Run_Map row 24)</t>
        </is>
      </c>
      <c r="J304" s="538" t="inlineStr">
        <is>
          <t xml:space="preserve">FEP NPV (post-tax) (Run_Map row 25)</t>
        </is>
      </c>
      <c r="K304" s="538" t="inlineStr">
        <is>
          <t xml:space="preserve">FEP NPV / Equity (Run_Map row 26)</t>
        </is>
      </c>
      <c r="L304" s="538" t="inlineStr">
        <is>
          <t xml:space="preserve">FEP MOIC (Run_Map row 27)</t>
        </is>
      </c>
      <c r="M304" s="538" t="inlineStr">
        <is>
          <t xml:space="preserve">FEP peak cumulative exposure (Run_Map row 28)</t>
        </is>
      </c>
      <c r="N304" s="538" t="inlineStr">
        <is>
          <t xml:space="preserve">Economic profit (RTB) / project NPV (HTM) (Run_Map row 29)</t>
        </is>
      </c>
      <c r="O304" s="538" t="inlineStr">
        <is>
          <t xml:space="preserve">Integrity checks (Run_Map row 30)</t>
        </is>
      </c>
      <c r="P304" s="538" t="inlineStr">
        <is>
          <t xml:space="preserve">RTB date → sale date (Run_Map row 32)</t>
        </is>
      </c>
      <c r="Q304" s="538" t="inlineStr">
        <is>
          <t xml:space="preserve">Gross RTB proceeds / sale price at COD (Run_Map row 33)</t>
        </is>
      </c>
      <c r="R304" s="538" t="inlineStr">
        <is>
          <t xml:space="preserve">FEP net profit pre-tax – Case B (Run_Map row 34)</t>
        </is>
      </c>
      <c r="S304" s="538" t="inlineStr">
        <is>
          <t xml:space="preserve">FEP net profit post-tax – Case B (Run_Map row 35)</t>
        </is>
      </c>
      <c r="T304" s="538" t="inlineStr">
        <is>
          <t xml:space="preserve">Gearing (senior debt / total capex) (Run_Map row 36)</t>
        </is>
      </c>
      <c r="U304" s="538" t="inlineStr">
        <is>
          <t xml:space="preserve">Sale at COD price per installed MW (after clipping) (Run_Map row 37)</t>
        </is>
      </c>
      <c r="V304" s="538" t="inlineStr">
        <is>
          <t xml:space="preserve">Grid connection fee – indirect / direct (mHUF) (Run_Map row 38)</t>
        </is>
      </c>
      <c r="W304" s="538" t="inlineStr">
        <is>
          <t xml:space="preserve">Total tender securities and grid fees (gross, mHUF) (Run_Map row 39)</t>
        </is>
      </c>
      <c r="X304" s="538" t="inlineStr">
        <is>
          <t xml:space="preserve">Devex – total incl. contingency (Run_Map row 40)</t>
        </is>
      </c>
      <c r="Y304" s="538" t="inlineStr">
        <is>
          <t xml:space="preserve">Capex per MW (Run_Map row 42)</t>
        </is>
      </c>
      <c r="Z304" s="538" t="inlineStr">
        <is>
          <t xml:space="preserve">Total capex (Run_Map row 43)</t>
        </is>
      </c>
      <c r="AA304" s="538" t="inlineStr">
        <is>
          <t xml:space="preserve">Senior debt at COD (Run_Map row 44)</t>
        </is>
      </c>
      <c r="AB304" s="538" t="inlineStr">
        <is>
          <t xml:space="preserve">Lifetime net generation (Run_Map row 45)</t>
        </is>
      </c>
      <c r="AC304" s="538" t="inlineStr">
        <is>
          <t xml:space="preserve">Average achieved price (Run_Map row 46)</t>
        </is>
      </c>
      <c r="AD304" s="538" t="inlineStr">
        <is>
          <t xml:space="preserve">Lifetime revenue (Run_Map row 47)</t>
        </is>
      </c>
      <c r="AE304" s="538" t="inlineStr">
        <is>
          <t xml:space="preserve">LCOE (Run_Map row 48)</t>
        </is>
      </c>
      <c r="AF304" s="538" t="inlineStr">
        <is>
          <t xml:space="preserve">Project IRR – unlevered, post-tax (Run_Map row 49)</t>
        </is>
      </c>
      <c r="AG304" s="538" t="inlineStr">
        <is>
          <t xml:space="preserve">Equity IRR – levered, post-tax (Run_Map row 50)</t>
        </is>
      </c>
      <c r="AH304" s="538" t="inlineStr">
        <is>
          <t xml:space="preserve">Payback year (Run_Map row 51)</t>
        </is>
      </c>
      <c r="AI304" s="538" t="inlineStr">
        <is>
          <t xml:space="preserve">Minimum DSCR (Run_Map row 52)</t>
        </is>
      </c>
      <c r="AJ304" s="538" t="inlineStr">
        <is>
          <t xml:space="preserve">Distributable &lt; 0: FEP's loss beyond its JV share (developer floor) (Run_Map row 54)</t>
        </is>
      </c>
      <c r="AK304" s="538" t="inlineStr">
        <is>
          <t xml:space="preserve">HTM view: Turbine supply (Run_Map D59)</t>
        </is>
      </c>
      <c r="AL304" s="538" t="inlineStr">
        <is>
          <t xml:space="preserve">HTM view: Capex per MW (Run_Map D60)</t>
        </is>
      </c>
      <c r="AM304" s="538" t="inlineStr">
        <is>
          <t xml:space="preserve">HTM view: Total capex (Run_Map D61)</t>
        </is>
      </c>
      <c r="AN304" s="538" t="inlineStr">
        <is>
          <t xml:space="preserve">HTM view: Gearing (Run_Map D62)</t>
        </is>
      </c>
      <c r="AO304" s="538" t="inlineStr">
        <is>
          <t xml:space="preserve">HTM view: Senior debt (Run_Map D63)</t>
        </is>
      </c>
      <c r="AP304" s="538" t="inlineStr">
        <is>
          <t xml:space="preserve">HTM view: Lifetime net generation (Run_Map D64)</t>
        </is>
      </c>
      <c r="AQ304" s="538" t="inlineStr">
        <is>
          <t xml:space="preserve">HTM view: Average achieved price (Run_Map D65)</t>
        </is>
      </c>
      <c r="AR304" s="538" t="inlineStr">
        <is>
          <t xml:space="preserve">HTM view: Lifetime revenue (Run_Map D66)</t>
        </is>
      </c>
      <c r="AS304" s="538" t="inlineStr">
        <is>
          <t xml:space="preserve">HTM view: EBITDA margin (Run_Map D67)</t>
        </is>
      </c>
      <c r="AT304" s="538" t="inlineStr">
        <is>
          <t xml:space="preserve">HTM view: LCOE (Run_Map D68)</t>
        </is>
      </c>
      <c r="AU304" s="538" t="inlineStr">
        <is>
          <t xml:space="preserve">HTM view: FEP net profit pre-tax (Run_Map D69)</t>
        </is>
      </c>
      <c r="AV304" s="538" t="inlineStr">
        <is>
          <t xml:space="preserve">HTM view: FEP net profit post-tax (Run_Map D70)</t>
        </is>
      </c>
      <c r="AW304" s="538" t="inlineStr">
        <is>
          <t xml:space="preserve">HTM view: FEP equity IRR (Run_Map D71)</t>
        </is>
      </c>
      <c r="AX304" s="538" t="inlineStr">
        <is>
          <t xml:space="preserve">HTM view: FEP equity NPV (Run_Map D72)</t>
        </is>
      </c>
      <c r="AY304" s="538" t="inlineStr">
        <is>
          <t xml:space="preserve">HTM view: FEP NPV / Equity (Run_Map D73)</t>
        </is>
      </c>
      <c r="AZ304" s="538" t="inlineStr">
        <is>
          <t xml:space="preserve">HTM view: FEP MOIC (Run_Map D74)</t>
        </is>
      </c>
      <c r="BA304" s="538" t="inlineStr">
        <is>
          <t xml:space="preserve">HTM view: FEP peak exposure (Run_Map D75)</t>
        </is>
      </c>
      <c r="BB304" s="538" t="inlineStr">
        <is>
          <t xml:space="preserve">HTM view: Payback year (Run_Map D76)</t>
        </is>
      </c>
      <c r="BC304" s="538" t="inlineStr">
        <is>
          <t xml:space="preserve">HTM view: Project IRR pre-tax (Run_Map D77)</t>
        </is>
      </c>
      <c r="BD304" s="538" t="inlineStr">
        <is>
          <t xml:space="preserve">HTM view: Project IRR post-tax (Run_Map D78)</t>
        </is>
      </c>
      <c r="BE304" s="538" t="inlineStr">
        <is>
          <t xml:space="preserve">HTM view: Project NPV (Run_Map D79)</t>
        </is>
      </c>
      <c r="BF304" s="538" t="inlineStr">
        <is>
          <t xml:space="preserve">HTM view: Equity IRR (Run_Map D80)</t>
        </is>
      </c>
      <c r="BG304" s="538" t="inlineStr">
        <is>
          <t xml:space="preserve">HTM view: Min DSCR (Run_Map D81)</t>
        </is>
      </c>
      <c r="BH304" s="538" t="inlineStr">
        <is>
          <t xml:space="preserve">HTM view: Downside min DSCR (Run_Map D82)</t>
        </is>
      </c>
      <c r="BI304" s="538" t="inlineStr">
        <is>
          <t xml:space="preserve">HTM view: HTM checks (Run_Map D83)</t>
        </is>
      </c>
      <c r="BJ304" s="538" t="inlineStr">
        <is>
          <t xml:space="preserve">Tender score of the route (Tender E298)</t>
        </is>
      </c>
      <c r="BK304" s="538" t="inlineStr">
        <is>
          <t xml:space="preserve">Total score EU (Tender J84)</t>
        </is>
      </c>
      <c r="BL304" s="538" t="inlineStr">
        <is>
          <t xml:space="preserve">Total score CN (Tender J85)</t>
        </is>
      </c>
      <c r="BM304" s="538" t="inlineStr">
        <is>
          <t xml:space="preserve">MOIC G270</t>
        </is>
      </c>
      <c r="BN304" s="538" t="inlineStr">
        <is>
          <t xml:space="preserve">HTM G172</t>
        </is>
      </c>
      <c r="BO304" s="538" t="inlineStr">
        <is>
          <t xml:space="preserve">Tender checks overall (Tender E343)</t>
        </is>
      </c>
      <c r="BP304" s="538" t="inlineStr">
        <is>
          <t xml:space="preserve">COD block status (HTM G358)</t>
        </is>
      </c>
      <c r="BQ304" s="538" t="inlineStr">
        <is>
          <t xml:space="preserve">Gross RtB premium (Tender E214)</t>
        </is>
      </c>
      <c r="BR304" s="538" t="inlineStr">
        <is>
          <t xml:space="preserve">Σ PV promises at the RtB sale (Tender E212)</t>
        </is>
      </c>
      <c r="BS304" s="538" t="inlineStr">
        <is>
          <t xml:space="preserve">RtB price effect (Tender E213)</t>
        </is>
      </c>
      <c r="BT304" s="538" t="inlineStr">
        <is>
          <t xml:space="preserve">RtB premium after the price effect (MOIC G143)</t>
        </is>
      </c>
      <c r="BU304" s="538" t="inlineStr">
        <is>
          <t xml:space="preserve">Effective premium per basis MW (Tender E216)</t>
        </is>
      </c>
      <c r="BV304" s="538" t="inlineStr">
        <is>
          <t xml:space="preserve">Effective premium per MVA (MOIC G143 ÷ Inputs E18)</t>
        </is>
      </c>
      <c r="BW304" s="538" t="inlineStr">
        <is>
          <t xml:space="preserve">Sale price at COD (HTM G340)</t>
        </is>
      </c>
      <c r="BX304" s="538" t="inlineStr">
        <is>
          <t xml:space="preserve">COD price effect (Tender E219)</t>
        </is>
      </c>
      <c r="BY304" s="538" t="inlineStr">
        <is>
          <t xml:space="preserve">Sale price per installed MW (HTM G340 ÷ Inputs E29)</t>
        </is>
      </c>
      <c r="BZ304" s="538" t="inlineStr">
        <is>
          <t xml:space="preserve">Buyer IRR at our price (HTM G394)</t>
        </is>
      </c>
      <c r="CA304" s="538" t="inlineStr">
        <is>
          <t xml:space="preserve">Implied price, target IRR 1 (HTM G395)</t>
        </is>
      </c>
      <c r="CB304" s="538" t="inlineStr">
        <is>
          <t xml:space="preserve">Implied price, target IRR 2 (HTM G396)</t>
        </is>
      </c>
      <c r="CC304" s="538" t="inlineStr">
        <is>
          <t xml:space="preserve">Implied price, target IRR 3 (HTM G397)</t>
        </is>
      </c>
      <c r="CD304" s="538" t="inlineStr">
        <is>
          <t xml:space="preserve">Installed wind MW (Inputs E29)</t>
        </is>
      </c>
      <c r="CE304" s="538" t="inlineStr">
        <is>
          <t xml:space="preserve">BESS MW (Inputs E20)</t>
        </is>
      </c>
    </row>
    <row r="305">
      <c r="C305" s="388" t="inlineStr">
        <is>
          <t xml:space="preserve">Output formulas (live selection)</t>
        </is>
      </c>
      <c r="G305" s="560">
        <f>INDEX(Run_Map!$C$22:$F$22,1,Tender!$E$293)</f>
        <v>15526.316248499032</v>
      </c>
      <c r="H305" s="560">
        <f>INDEX(Run_Map!$C$23:$F$23,1,Tender!$E$293)</f>
        <v>15173.724494515496</v>
      </c>
      <c r="I305" s="568">
        <f>INDEX(Run_Map!$C$24:$F$24,1,Tender!$E$293)</f>
        <v>0.20894449022377323</v>
      </c>
      <c r="J305" s="560">
        <f>INDEX(Run_Map!$C$25:$F$25,1,Tender!$E$293)</f>
        <v>7253.356399284837</v>
      </c>
      <c r="K305" s="569">
        <f>INDEX(Run_Map!$C$26:$F$26,1,Tender!$E$293)</f>
        <v>0.1778756777274503</v>
      </c>
      <c r="L305" s="569">
        <f>INDEX(Run_Map!$C$27:$F$27,1,Tender!$E$293)</f>
        <v>1.312105461761588</v>
      </c>
      <c r="M305" s="560">
        <f>INDEX(Run_Map!$C$28:$F$28,1,Tender!$E$293)</f>
        <v>48525.87791901024</v>
      </c>
      <c r="N305" s="560">
        <f>INDEX(Run_Map!$C$29:$F$29,1,Tender!$E$293)</f>
        <v>9943.103878067472</v>
      </c>
      <c r="O305" s="372" t="str">
        <f>INDEX(Run_Map!$C$30:$F$30,1,Tender!$E$293)</f>
        <v>ALL OK</v>
      </c>
      <c r="P305" s="372" t="str">
        <f>INDEX(Run_Map!$C$32:$F$32,1,Tender!$E$293)</f>
        <v>Jun-29 → Mar-30</v>
      </c>
      <c r="Q305" s="560">
        <f>INDEX(Run_Map!$C$33:$F$33,1,Tender!$E$293)</f>
        <v>64143.61505792019</v>
      </c>
      <c r="R305" s="560">
        <f>INDEX(Run_Map!$C$34:$F$34,1,Tender!$E$293)</f>
        <v>10273.223462631777</v>
      </c>
      <c r="S305" s="560">
        <f>INDEX(Run_Map!$C$35:$F$35,1,Tender!$E$293)</f>
        <v>9920.631708648241</v>
      </c>
      <c r="T305" s="568" t="str">
        <f>INDEX(Run_Map!$C$36:$F$36,1,Tender!$E$293)</f>
        <v>–</v>
      </c>
      <c r="U305" s="561" t="str">
        <f>INDEX(Run_Map!$C$37:$F$37,1,Tender!$E$293)</f>
        <v>–</v>
      </c>
      <c r="V305" s="560" t="str">
        <f>INDEX(Run_Map!$C$38:$F$38,1,Tender!$E$293)</f>
        <v>14,614 / 508</v>
      </c>
      <c r="W305" s="560">
        <f>INDEX(Run_Map!$C$39:$F$39,1,Tender!$E$293)</f>
        <v>23592.162004</v>
      </c>
      <c r="X305" s="560">
        <f>INDEX(Run_Map!$C$40:$F$40,1,Tender!$E$293)</f>
        <v>3137.845921749919</v>
      </c>
      <c r="Y305" s="561" t="str">
        <f>INDEX(Run_Map!$C$42:$F$42,1,Tender!$E$293)</f>
        <v>–</v>
      </c>
      <c r="Z305" s="560" t="str">
        <f>INDEX(Run_Map!$C$43:$F$43,1,Tender!$E$293)</f>
        <v>–</v>
      </c>
      <c r="AA305" s="560" t="str">
        <f>INDEX(Run_Map!$C$44:$F$44,1,Tender!$E$293)</f>
        <v>–</v>
      </c>
      <c r="AB305" s="560" t="str">
        <f>INDEX(Run_Map!$C$45:$F$45,1,Tender!$E$293)</f>
        <v>–</v>
      </c>
      <c r="AC305" s="561" t="str">
        <f>INDEX(Run_Map!$C$46:$F$46,1,Tender!$E$293)</f>
        <v>–</v>
      </c>
      <c r="AD305" s="560" t="str">
        <f>INDEX(Run_Map!$C$47:$F$47,1,Tender!$E$293)</f>
        <v>–</v>
      </c>
      <c r="AE305" s="561" t="str">
        <f>INDEX(Run_Map!$C$48:$F$48,1,Tender!$E$293)</f>
        <v>–</v>
      </c>
      <c r="AF305" s="568" t="str">
        <f>INDEX(Run_Map!$C$49:$F$49,1,Tender!$E$293)</f>
        <v>–</v>
      </c>
      <c r="AG305" s="568" t="str">
        <f>INDEX(Run_Map!$C$50:$F$50,1,Tender!$E$293)</f>
        <v>–</v>
      </c>
      <c r="AH305" s="565" t="str">
        <f>INDEX(Run_Map!$C$51:$F$51,1,Tender!$E$293)</f>
        <v>–</v>
      </c>
      <c r="AI305" s="569" t="str">
        <f>INDEX(Run_Map!$C$52:$F$52,1,Tender!$E$293)</f>
        <v>–</v>
      </c>
      <c r="AJ305" s="372">
        <f>INDEX(Run_Map!$C$54:$F$54,1,Tender!$E$293)</f>
        <v>0</v>
      </c>
      <c r="AK305" s="561">
        <f>Run_Map!$D$59</f>
        <v>950</v>
      </c>
      <c r="AL305" s="561">
        <f>Run_Map!$D$60</f>
        <v>2156.006482931507</v>
      </c>
      <c r="AM305" s="560">
        <f>Run_Map!$D$61</f>
        <v>431201.29658630135</v>
      </c>
      <c r="AN305" s="568">
        <f>Run_Map!$D$62</f>
        <v>0.55</v>
      </c>
      <c r="AO305" s="560">
        <f>Run_Map!$D$63</f>
        <v>249826.33272631807</v>
      </c>
      <c r="AP305" s="560">
        <f>Run_Map!$D$64</f>
        <v>17249.630704920553</v>
      </c>
      <c r="AQ305" s="561">
        <f>Run_Map!$D$65</f>
        <v>146.16659954585938</v>
      </c>
      <c r="AR305" s="560">
        <f>Run_Map!$D$66</f>
        <v>2521319.863560083</v>
      </c>
      <c r="AS305" s="568">
        <f>Run_Map!$D$67</f>
        <v>0.7870441754859727</v>
      </c>
      <c r="AT305" s="561">
        <f>Run_Map!$D$68</f>
        <v>102.14704403482497</v>
      </c>
      <c r="AU305" s="560">
        <f>Run_Map!$D$69</f>
        <v>1435619.0017223721</v>
      </c>
      <c r="AV305" s="560">
        <f>Run_Map!$D$70</f>
        <v>1303176.709687209</v>
      </c>
      <c r="AW305" s="568">
        <f>Run_Map!$D$71</f>
        <v>0.11965554410827804</v>
      </c>
      <c r="AX305" s="560">
        <f>Run_Map!$D$72</f>
        <v>122313.50898773255</v>
      </c>
      <c r="AY305" s="569">
        <f>Run_Map!$D$73</f>
        <v>0.6842419162819496</v>
      </c>
      <c r="AZ305" s="569">
        <f>Run_Map!$D$74</f>
        <v>6.408837486387021</v>
      </c>
      <c r="BA305" s="560">
        <f>Run_Map!$D$75</f>
        <v>240934.7134143054</v>
      </c>
      <c r="BB305" s="565">
        <f>Run_Map!$D$76</f>
        <v>2041</v>
      </c>
      <c r="BC305" s="568">
        <f>Run_Map!$D$77</f>
        <v>0.11574478334958782</v>
      </c>
      <c r="BD305" s="568">
        <f>Run_Map!$D$78</f>
        <v>0.10886199508753976</v>
      </c>
      <c r="BE305" s="560">
        <f>Run_Map!$D$79</f>
        <v>112188.57274080778</v>
      </c>
      <c r="BF305" s="568">
        <f>Run_Map!$D$80</f>
        <v>0.11965554410827804</v>
      </c>
      <c r="BG305" s="569">
        <f>Run_Map!$D$81</f>
        <v>1.6371176464303232</v>
      </c>
      <c r="BH305" s="569">
        <f>Run_Map!$D$82</f>
        <v>0.8917769463971309</v>
      </c>
      <c r="BI305" s="372" t="str">
        <f>Run_Map!$D$83</f>
        <v>ALL OK</v>
      </c>
      <c r="BJ305" s="562">
        <f>Tender!$E$298</f>
        <v>36</v>
      </c>
      <c r="BK305" s="562">
        <f>Tender!$J$84</f>
        <v>36</v>
      </c>
      <c r="BL305" s="562">
        <f>Tender!$J$85</f>
        <v>24</v>
      </c>
      <c r="BM305" s="372" t="str">
        <f>MOIC!$G$270</f>
        <v>ALL OK</v>
      </c>
      <c r="BN305" s="372" t="str">
        <f>HTM!$G$172</f>
        <v>ALL OK</v>
      </c>
      <c r="BO305" s="372" t="str">
        <f>Tender!$E$343</f>
        <v>OK</v>
      </c>
      <c r="BP305" s="372" t="str">
        <f>HTM!$G$358</f>
        <v>n/a – no COD sale</v>
      </c>
      <c r="BQ305" s="560">
        <f>Tender!$E$214</f>
        <v>30000</v>
      </c>
      <c r="BR305" s="560">
        <f>Tender!$E$212</f>
        <v>0</v>
      </c>
      <c r="BS305" s="560">
        <f>Tender!$E$213</f>
        <v>0</v>
      </c>
      <c r="BT305" s="560">
        <f>MOIC!$G$143</f>
        <v>30000</v>
      </c>
      <c r="BU305" s="561">
        <f>Tender!$E$216</f>
        <v>150</v>
      </c>
      <c r="BV305" s="561">
        <f>IF(Inputs!$E$18&gt;0,MOIC!$G$143/Inputs!$E$18,0)</f>
        <v>150</v>
      </c>
      <c r="BW305" s="560">
        <f>HTM!$G$340</f>
        <v>0</v>
      </c>
      <c r="BX305" s="560">
        <f>Tender!$E$219</f>
        <v>0</v>
      </c>
      <c r="BY305" s="561">
        <f>IF(Inputs!$E$29&gt;0,HTM!$G$340/Inputs!$E$29,0)</f>
        <v>0</v>
      </c>
      <c r="BZ305" s="568" t="str">
        <f>HTM!$G$394</f>
        <v>n/a</v>
      </c>
      <c r="CA305" s="561" t="str">
        <f>HTM!$G$395</f>
        <v>n/a</v>
      </c>
      <c r="CB305" s="561" t="str">
        <f>HTM!$G$396</f>
        <v>n/a</v>
      </c>
      <c r="CC305" s="561" t="str">
        <f>HTM!$G$397</f>
        <v>n/a</v>
      </c>
      <c r="CD305" s="561">
        <f>Inputs!$E$29</f>
        <v>261</v>
      </c>
      <c r="CE305" s="561">
        <f>Inputs!$E$20</f>
        <v>90</v>
      </c>
    </row>
    <row r="306">
      <c r="C306" s="360" t="inlineStr">
        <is>
          <t xml:space="preserve">S1 – RtB sale (1)</t>
        </is>
      </c>
      <c r="D306" s="565">
        <v>0</v>
      </c>
      <c r="E306" s="565">
        <v>1</v>
      </c>
      <c r="F306" s="565">
        <v>1</v>
      </c>
      <c r="G306" s="560">
        <f t="dataTable" ref="G306:CE330" dt2D="0" dtr="0" r1="E10"/>
        <v>15526.316248499032</v>
      </c>
      <c r="H306" s="560">
        <v>15173.724494515496</v>
      </c>
      <c r="I306" s="568">
        <v>0.20894449022377323</v>
      </c>
      <c r="J306" s="560">
        <v>7253.356399284837</v>
      </c>
      <c r="K306" s="569">
        <v>0.1778756777274503</v>
      </c>
      <c r="L306" s="569">
        <v>1.312105461761588</v>
      </c>
      <c r="M306" s="560">
        <v>48525.87791901024</v>
      </c>
      <c r="N306" s="560">
        <v>9943.103878067472</v>
      </c>
      <c r="O306" s="372" t="str">
        <v>ALL OK</v>
      </c>
      <c r="P306" s="372" t="str">
        <v>Jun-29 → Mar-30</v>
      </c>
      <c r="Q306" s="560">
        <v>64143.61505792019</v>
      </c>
      <c r="R306" s="560">
        <v>10273.223462631777</v>
      </c>
      <c r="S306" s="560">
        <v>9920.631708648241</v>
      </c>
      <c r="T306" s="568" t="str">
        <v>–</v>
      </c>
      <c r="U306" s="561" t="str">
        <v>–</v>
      </c>
      <c r="V306" s="560" t="str">
        <v>14,614 / 508</v>
      </c>
      <c r="W306" s="560">
        <v>23592.162004</v>
      </c>
      <c r="X306" s="560">
        <v>3137.845921749919</v>
      </c>
      <c r="Y306" s="561" t="str">
        <v>–</v>
      </c>
      <c r="Z306" s="560" t="str">
        <v>–</v>
      </c>
      <c r="AA306" s="560" t="str">
        <v>–</v>
      </c>
      <c r="AB306" s="560" t="str">
        <v>–</v>
      </c>
      <c r="AC306" s="561" t="str">
        <v>–</v>
      </c>
      <c r="AD306" s="560" t="str">
        <v>–</v>
      </c>
      <c r="AE306" s="561" t="str">
        <v>–</v>
      </c>
      <c r="AF306" s="568" t="str">
        <v>–</v>
      </c>
      <c r="AG306" s="568" t="str">
        <v>–</v>
      </c>
      <c r="AH306" s="565" t="str">
        <v>–</v>
      </c>
      <c r="AI306" s="569" t="str">
        <v>–</v>
      </c>
      <c r="AJ306" s="372">
        <v>0</v>
      </c>
      <c r="AK306" s="561">
        <v>950</v>
      </c>
      <c r="AL306" s="561">
        <v>2156.006482931507</v>
      </c>
      <c r="AM306" s="560">
        <v>431201.29658630135</v>
      </c>
      <c r="AN306" s="568">
        <v>0.55</v>
      </c>
      <c r="AO306" s="560">
        <v>249826.33272631807</v>
      </c>
      <c r="AP306" s="560">
        <v>17249.630704920553</v>
      </c>
      <c r="AQ306" s="561">
        <v>146.16659954585938</v>
      </c>
      <c r="AR306" s="560">
        <v>2521319.863560083</v>
      </c>
      <c r="AS306" s="568">
        <v>0.7870441754859727</v>
      </c>
      <c r="AT306" s="561">
        <v>102.14704403482497</v>
      </c>
      <c r="AU306" s="560">
        <v>1435619.0017223721</v>
      </c>
      <c r="AV306" s="560">
        <v>1303176.709687209</v>
      </c>
      <c r="AW306" s="568">
        <v>0.11965554410827804</v>
      </c>
      <c r="AX306" s="560">
        <v>122313.50898773255</v>
      </c>
      <c r="AY306" s="569">
        <v>0.6842419162819496</v>
      </c>
      <c r="AZ306" s="569">
        <v>6.408837486387021</v>
      </c>
      <c r="BA306" s="560">
        <v>240934.7134143054</v>
      </c>
      <c r="BB306" s="565">
        <v>2041</v>
      </c>
      <c r="BC306" s="568">
        <v>0.11574478334958782</v>
      </c>
      <c r="BD306" s="568">
        <v>0.10886199508753976</v>
      </c>
      <c r="BE306" s="560">
        <v>112188.57274080778</v>
      </c>
      <c r="BF306" s="568">
        <v>0.11965554410827804</v>
      </c>
      <c r="BG306" s="569">
        <v>1.6371176464303232</v>
      </c>
      <c r="BH306" s="569">
        <v>0.8917769463971309</v>
      </c>
      <c r="BI306" s="372" t="str">
        <v>ALL OK</v>
      </c>
      <c r="BJ306" s="562">
        <v>36</v>
      </c>
      <c r="BK306" s="562">
        <v>36</v>
      </c>
      <c r="BL306" s="562">
        <v>24</v>
      </c>
      <c r="BM306" s="372" t="str">
        <v>ALL OK</v>
      </c>
      <c r="BN306" s="372" t="str">
        <v>ALL OK</v>
      </c>
      <c r="BO306" s="372" t="str">
        <v>OK</v>
      </c>
      <c r="BP306" s="372" t="str">
        <v>n/a – no COD sale</v>
      </c>
      <c r="BQ306" s="560">
        <v>30000</v>
      </c>
      <c r="BR306" s="560">
        <v>0</v>
      </c>
      <c r="BS306" s="560">
        <v>0</v>
      </c>
      <c r="BT306" s="560">
        <v>30000</v>
      </c>
      <c r="BU306" s="561">
        <v>150</v>
      </c>
      <c r="BV306" s="561">
        <v>150</v>
      </c>
      <c r="BW306" s="560">
        <v>0</v>
      </c>
      <c r="BX306" s="560">
        <v>0</v>
      </c>
      <c r="BY306" s="561">
        <v>0</v>
      </c>
      <c r="BZ306" s="568" t="str">
        <v>n/a</v>
      </c>
      <c r="CA306" s="561" t="str">
        <v>n/a</v>
      </c>
      <c r="CB306" s="561" t="str">
        <v>n/a</v>
      </c>
      <c r="CC306" s="561" t="str">
        <v>n/a</v>
      </c>
      <c r="CD306" s="561">
        <v>261</v>
      </c>
      <c r="CE306" s="561">
        <v>90</v>
      </c>
    </row>
    <row r="307">
      <c r="C307" s="360" t="inlineStr">
        <is>
          <t xml:space="preserve">S1 – COD sale EU (7)</t>
        </is>
      </c>
      <c r="D307" s="565">
        <v>0</v>
      </c>
      <c r="E307" s="565">
        <v>7</v>
      </c>
      <c r="F307" s="565">
        <v>2</v>
      </c>
      <c r="G307" s="560">
        <v>103211.97771165345</v>
      </c>
      <c r="H307" s="560">
        <v>103211.97771165345</v>
      </c>
      <c r="I307" s="568">
        <v>0.3136423750460425</v>
      </c>
      <c r="J307" s="560">
        <v>57524.98944635041</v>
      </c>
      <c r="K307" s="569">
        <v>0.4009341039728688</v>
      </c>
      <c r="L307" s="569">
        <v>1.5372084392976306</v>
      </c>
      <c r="M307" s="560">
        <v>192126.5009287591</v>
      </c>
      <c r="N307" s="560">
        <v>57524.98944635041</v>
      </c>
      <c r="O307" s="372" t="str">
        <v>ALL OK / OK</v>
      </c>
      <c r="P307" s="372" t="str">
        <v>COD Sep-31 → sale at COD</v>
      </c>
      <c r="Q307" s="560">
        <v>609707.581875</v>
      </c>
      <c r="R307" s="560">
        <v>272537.8175196197</v>
      </c>
      <c r="S307" s="560">
        <v>336669.7643553803</v>
      </c>
      <c r="T307" s="568">
        <v>0.6</v>
      </c>
      <c r="U307" s="561">
        <v>2336.044375</v>
      </c>
      <c r="V307" s="560" t="str">
        <v>14,614 / 508</v>
      </c>
      <c r="W307" s="560">
        <v>23592.162004</v>
      </c>
      <c r="X307" s="560">
        <v>3137.845921749919</v>
      </c>
      <c r="Y307" s="561">
        <v>2156.006482931507</v>
      </c>
      <c r="Z307" s="560">
        <v>431201.29658630135</v>
      </c>
      <c r="AA307" s="560">
        <v>272537.8175196197</v>
      </c>
      <c r="AB307" s="560" t="str">
        <v>–</v>
      </c>
      <c r="AC307" s="561" t="str">
        <v>–</v>
      </c>
      <c r="AD307" s="560" t="str">
        <v>–</v>
      </c>
      <c r="AE307" s="561" t="str">
        <v>–</v>
      </c>
      <c r="AF307" s="568" t="str">
        <v>–</v>
      </c>
      <c r="AG307" s="568">
        <v>0.4932029283182208</v>
      </c>
      <c r="AH307" s="565" t="str">
        <v>–</v>
      </c>
      <c r="AI307" s="569" t="str">
        <v>–</v>
      </c>
      <c r="AJ307" s="372">
        <v>0</v>
      </c>
      <c r="AK307" s="561">
        <v>950</v>
      </c>
      <c r="AL307" s="561">
        <v>2156.006482931507</v>
      </c>
      <c r="AM307" s="560">
        <v>431201.29658630135</v>
      </c>
      <c r="AN307" s="568">
        <v>0.6</v>
      </c>
      <c r="AO307" s="560">
        <v>272537.81751961965</v>
      </c>
      <c r="AP307" s="560">
        <v>17249.630704920553</v>
      </c>
      <c r="AQ307" s="561">
        <v>136.72360120243573</v>
      </c>
      <c r="AR307" s="560">
        <v>2358431.629388848</v>
      </c>
      <c r="AS307" s="568">
        <v>0.7737899431000353</v>
      </c>
      <c r="AT307" s="561">
        <v>98.2079239886678</v>
      </c>
      <c r="AU307" s="560">
        <v>893513.9843039096</v>
      </c>
      <c r="AV307" s="560">
        <v>812242.5176186219</v>
      </c>
      <c r="AW307" s="568">
        <v>0.10669970709127777</v>
      </c>
      <c r="AX307" s="560">
        <v>54975.64292519839</v>
      </c>
      <c r="AY307" s="569">
        <v>0.5293679595032951</v>
      </c>
      <c r="AZ307" s="569">
        <v>6.822258774973231</v>
      </c>
      <c r="BA307" s="560">
        <v>139506.42680294754</v>
      </c>
      <c r="BB307" s="565">
        <v>2043</v>
      </c>
      <c r="BC307" s="568">
        <v>0.10175831027300328</v>
      </c>
      <c r="BD307" s="568">
        <v>0.09635106655817748</v>
      </c>
      <c r="BE307" s="560">
        <v>63979.33718487054</v>
      </c>
      <c r="BF307" s="568">
        <v>0.10669970709127777</v>
      </c>
      <c r="BG307" s="569">
        <v>1.1631739211938075</v>
      </c>
      <c r="BH307" s="569">
        <v>1.0305818359673833</v>
      </c>
      <c r="BI307" s="372" t="str">
        <v>ALL OK</v>
      </c>
      <c r="BJ307" s="562">
        <v>36</v>
      </c>
      <c r="BK307" s="562">
        <v>36</v>
      </c>
      <c r="BL307" s="562">
        <v>24</v>
      </c>
      <c r="BM307" s="372" t="str">
        <v>ALL OK</v>
      </c>
      <c r="BN307" s="372" t="str">
        <v>ALL OK</v>
      </c>
      <c r="BO307" s="372" t="str">
        <v>OK</v>
      </c>
      <c r="BP307" s="372" t="str">
        <v>OK</v>
      </c>
      <c r="BQ307" s="560">
        <v>30000</v>
      </c>
      <c r="BR307" s="560">
        <v>0</v>
      </c>
      <c r="BS307" s="560">
        <v>0</v>
      </c>
      <c r="BT307" s="560">
        <v>30000</v>
      </c>
      <c r="BU307" s="561">
        <v>150</v>
      </c>
      <c r="BV307" s="561">
        <v>150</v>
      </c>
      <c r="BW307" s="560">
        <v>609707.581875</v>
      </c>
      <c r="BX307" s="560">
        <v>0</v>
      </c>
      <c r="BY307" s="561">
        <v>2336.044375</v>
      </c>
      <c r="BZ307" s="568">
        <v>0.07237640430967088</v>
      </c>
      <c r="CA307" s="561">
        <v>2400.42616881981</v>
      </c>
      <c r="CB307" s="561">
        <v>2146.4883977734485</v>
      </c>
      <c r="CC307" s="561">
        <v>1932.0886600158753</v>
      </c>
      <c r="CD307" s="561">
        <v>261</v>
      </c>
      <c r="CE307" s="561">
        <v>90</v>
      </c>
    </row>
    <row r="308">
      <c r="C308" s="360" t="inlineStr">
        <is>
          <t xml:space="preserve">S1 – COD sale CN (8)</t>
        </is>
      </c>
      <c r="D308" s="565">
        <v>0</v>
      </c>
      <c r="E308" s="565">
        <v>8</v>
      </c>
      <c r="F308" s="565">
        <v>3</v>
      </c>
      <c r="G308" s="560">
        <v>135331.93875046997</v>
      </c>
      <c r="H308" s="560">
        <v>135331.93875046997</v>
      </c>
      <c r="I308" s="568">
        <v>0.42123413226421264</v>
      </c>
      <c r="J308" s="560">
        <v>80447.16875917108</v>
      </c>
      <c r="K308" s="569">
        <v>0.6310593038875987</v>
      </c>
      <c r="L308" s="569">
        <v>1.795225153614678</v>
      </c>
      <c r="M308" s="560">
        <v>170180.65655408622</v>
      </c>
      <c r="N308" s="560">
        <v>80447.16875917108</v>
      </c>
      <c r="O308" s="372" t="str">
        <v>ALL OK / OK</v>
      </c>
      <c r="P308" s="372" t="str">
        <v>COD Sep-31 → sale at COD</v>
      </c>
      <c r="Q308" s="560">
        <v>522606.49875</v>
      </c>
      <c r="R308" s="560">
        <v>161496.92014241178</v>
      </c>
      <c r="S308" s="560">
        <v>360609.57860758825</v>
      </c>
      <c r="T308" s="568">
        <v>0.5</v>
      </c>
      <c r="U308" s="561">
        <v>2002.32375</v>
      </c>
      <c r="V308" s="560" t="str">
        <v>14,614 / 508</v>
      </c>
      <c r="W308" s="560">
        <v>23592.162004</v>
      </c>
      <c r="X308" s="560">
        <v>3137.845921749919</v>
      </c>
      <c r="Y308" s="561">
        <v>1533.0939829315068</v>
      </c>
      <c r="Z308" s="560">
        <v>306618.79658630135</v>
      </c>
      <c r="AA308" s="560">
        <v>161496.92014241178</v>
      </c>
      <c r="AB308" s="560" t="str">
        <v>–</v>
      </c>
      <c r="AC308" s="561" t="str">
        <v>–</v>
      </c>
      <c r="AD308" s="560" t="str">
        <v>–</v>
      </c>
      <c r="AE308" s="561" t="str">
        <v>–</v>
      </c>
      <c r="AF308" s="568" t="str">
        <v>–</v>
      </c>
      <c r="AG308" s="568">
        <v>0.6397278420818515</v>
      </c>
      <c r="AH308" s="565" t="str">
        <v>–</v>
      </c>
      <c r="AI308" s="569" t="str">
        <v>–</v>
      </c>
      <c r="AJ308" s="372">
        <v>0</v>
      </c>
      <c r="AK308" s="561">
        <v>500</v>
      </c>
      <c r="AL308" s="561">
        <v>1533.0939829315068</v>
      </c>
      <c r="AM308" s="560">
        <v>306618.79658630135</v>
      </c>
      <c r="AN308" s="568">
        <v>0.5</v>
      </c>
      <c r="AO308" s="560">
        <v>161496.92014241178</v>
      </c>
      <c r="AP308" s="560">
        <v>17249.630704920553</v>
      </c>
      <c r="AQ308" s="561">
        <v>136.72360120243573</v>
      </c>
      <c r="AR308" s="560">
        <v>2358431.629388848</v>
      </c>
      <c r="AS308" s="568">
        <v>0.7737899431000353</v>
      </c>
      <c r="AT308" s="561">
        <v>78.50406046537275</v>
      </c>
      <c r="AU308" s="560">
        <v>1017564.9244553823</v>
      </c>
      <c r="AV308" s="560">
        <v>925128.8731564621</v>
      </c>
      <c r="AW308" s="568">
        <v>0.14129306660129698</v>
      </c>
      <c r="AX308" s="560">
        <v>109014.22860049721</v>
      </c>
      <c r="AY308" s="569">
        <v>1.2299447855819208</v>
      </c>
      <c r="AZ308" s="569">
        <v>8.82427413957088</v>
      </c>
      <c r="BA308" s="560">
        <v>118238.30002040298</v>
      </c>
      <c r="BB308" s="565">
        <v>2040</v>
      </c>
      <c r="BC308" s="568">
        <v>0.13600294326962298</v>
      </c>
      <c r="BD308" s="568">
        <v>0.1285698417201063</v>
      </c>
      <c r="BE308" s="560">
        <v>149944.05349476446</v>
      </c>
      <c r="BF308" s="568">
        <v>0.14129306660129679</v>
      </c>
      <c r="BG308" s="569">
        <v>1.9196058721534874</v>
      </c>
      <c r="BH308" s="569">
        <v>1.6999046818329888</v>
      </c>
      <c r="BI308" s="372" t="str">
        <v>ALL OK</v>
      </c>
      <c r="BJ308" s="562">
        <v>24</v>
      </c>
      <c r="BK308" s="562">
        <v>36</v>
      </c>
      <c r="BL308" s="562">
        <v>24</v>
      </c>
      <c r="BM308" s="372" t="str">
        <v>ALL OK</v>
      </c>
      <c r="BN308" s="372" t="str">
        <v>ALL OK</v>
      </c>
      <c r="BO308" s="372" t="str">
        <v>OK</v>
      </c>
      <c r="BP308" s="372" t="str">
        <v>OK</v>
      </c>
      <c r="BQ308" s="560">
        <v>30000</v>
      </c>
      <c r="BR308" s="560">
        <v>0</v>
      </c>
      <c r="BS308" s="560">
        <v>0</v>
      </c>
      <c r="BT308" s="560">
        <v>30000</v>
      </c>
      <c r="BU308" s="561">
        <v>150</v>
      </c>
      <c r="BV308" s="561">
        <v>150</v>
      </c>
      <c r="BW308" s="560">
        <v>522606.49875</v>
      </c>
      <c r="BX308" s="560">
        <v>0</v>
      </c>
      <c r="BY308" s="561">
        <v>2002.32375</v>
      </c>
      <c r="BZ308" s="568">
        <v>0.08553274282599548</v>
      </c>
      <c r="CA308" s="561">
        <v>2376.6458148135725</v>
      </c>
      <c r="CB308" s="561">
        <v>2124.44825296887</v>
      </c>
      <c r="CC308" s="561">
        <v>1911.5948883364017</v>
      </c>
      <c r="CD308" s="561">
        <v>261</v>
      </c>
      <c r="CE308" s="561">
        <v>90</v>
      </c>
    </row>
    <row r="309">
      <c r="C309" s="360" t="inlineStr">
        <is>
          <t xml:space="preserve">S1 – HTM EU (2)</t>
        </is>
      </c>
      <c r="D309" s="565">
        <v>0</v>
      </c>
      <c r="E309" s="565">
        <v>2</v>
      </c>
      <c r="F309" s="565">
        <v>4</v>
      </c>
      <c r="G309" s="560">
        <v>1254061.2598283014</v>
      </c>
      <c r="H309" s="560">
        <v>1137959.1645636046</v>
      </c>
      <c r="I309" s="568">
        <v>0.09991355961167205</v>
      </c>
      <c r="J309" s="560">
        <v>62081.30688179275</v>
      </c>
      <c r="K309" s="569">
        <v>0.37667364703425993</v>
      </c>
      <c r="L309" s="569">
        <v>6.1332910065156945</v>
      </c>
      <c r="M309" s="560">
        <v>221682.18461006615</v>
      </c>
      <c r="N309" s="560">
        <v>47524.011316379896</v>
      </c>
      <c r="O309" s="372" t="str">
        <v>ALL OK</v>
      </c>
      <c r="P309" s="372" t="str">
        <v>–</v>
      </c>
      <c r="Q309" s="560" t="str">
        <v>–</v>
      </c>
      <c r="R309" s="560" t="str">
        <v>–</v>
      </c>
      <c r="S309" s="560" t="str">
        <v>–</v>
      </c>
      <c r="T309" s="568" t="str">
        <v>–</v>
      </c>
      <c r="U309" s="561" t="str">
        <v>–</v>
      </c>
      <c r="V309" s="560" t="str">
        <v>–</v>
      </c>
      <c r="W309" s="560" t="str">
        <v>–</v>
      </c>
      <c r="X309" s="560" t="str">
        <v>–</v>
      </c>
      <c r="Y309" s="561">
        <v>2156.006482931507</v>
      </c>
      <c r="Z309" s="560">
        <v>431201.29658630135</v>
      </c>
      <c r="AA309" s="560">
        <v>272537.81751961965</v>
      </c>
      <c r="AB309" s="560">
        <v>17249.630704920553</v>
      </c>
      <c r="AC309" s="561">
        <v>136.72360120243573</v>
      </c>
      <c r="AD309" s="560">
        <v>2358431.629388848</v>
      </c>
      <c r="AE309" s="561">
        <v>101.81218403143477</v>
      </c>
      <c r="AF309" s="568">
        <v>0.09170192397226225</v>
      </c>
      <c r="AG309" s="568">
        <v>0.09991355961167205</v>
      </c>
      <c r="AH309" s="565">
        <v>2044</v>
      </c>
      <c r="AI309" s="569">
        <v>1.1631739211938075</v>
      </c>
      <c r="AJ309" s="372" t="str">
        <v>–</v>
      </c>
      <c r="AK309" s="561">
        <v>950</v>
      </c>
      <c r="AL309" s="561">
        <v>2156.006482931507</v>
      </c>
      <c r="AM309" s="560">
        <v>431201.29658630135</v>
      </c>
      <c r="AN309" s="568">
        <v>0.6</v>
      </c>
      <c r="AO309" s="560">
        <v>272537.81751961965</v>
      </c>
      <c r="AP309" s="560">
        <v>17249.630704920553</v>
      </c>
      <c r="AQ309" s="561">
        <v>136.72360120243573</v>
      </c>
      <c r="AR309" s="560">
        <v>2358431.629388848</v>
      </c>
      <c r="AS309" s="568">
        <v>0.7737899431000353</v>
      </c>
      <c r="AT309" s="561">
        <v>101.81218403143477</v>
      </c>
      <c r="AU309" s="560">
        <v>1254061.2598283014</v>
      </c>
      <c r="AV309" s="560">
        <v>1137959.1645636046</v>
      </c>
      <c r="AW309" s="568">
        <v>0.09991355961167205</v>
      </c>
      <c r="AX309" s="560">
        <v>62081.30688179275</v>
      </c>
      <c r="AY309" s="569">
        <v>0.37667364703425993</v>
      </c>
      <c r="AZ309" s="569">
        <v>6.1332910065156945</v>
      </c>
      <c r="BA309" s="560">
        <v>221682.18461006615</v>
      </c>
      <c r="BB309" s="565">
        <v>2044</v>
      </c>
      <c r="BC309" s="568">
        <v>0.0970166249041943</v>
      </c>
      <c r="BD309" s="568">
        <v>0.09170192397226225</v>
      </c>
      <c r="BE309" s="560">
        <v>47524.011316379896</v>
      </c>
      <c r="BF309" s="568">
        <v>0.09991355961167205</v>
      </c>
      <c r="BG309" s="569">
        <v>1.1631739211938075</v>
      </c>
      <c r="BH309" s="569">
        <v>1.0305818359673833</v>
      </c>
      <c r="BI309" s="372" t="str">
        <v>ALL OK</v>
      </c>
      <c r="BJ309" s="562">
        <v>36</v>
      </c>
      <c r="BK309" s="562">
        <v>36</v>
      </c>
      <c r="BL309" s="562">
        <v>24</v>
      </c>
      <c r="BM309" s="372" t="str">
        <v>ALL OK</v>
      </c>
      <c r="BN309" s="372" t="str">
        <v>ALL OK</v>
      </c>
      <c r="BO309" s="372" t="str">
        <v>OK</v>
      </c>
      <c r="BP309" s="372" t="str">
        <v>n/a – no COD sale</v>
      </c>
      <c r="BQ309" s="560">
        <v>30000</v>
      </c>
      <c r="BR309" s="560">
        <v>0</v>
      </c>
      <c r="BS309" s="560">
        <v>0</v>
      </c>
      <c r="BT309" s="560">
        <v>30000</v>
      </c>
      <c r="BU309" s="561">
        <v>150</v>
      </c>
      <c r="BV309" s="561">
        <v>150</v>
      </c>
      <c r="BW309" s="560">
        <v>0</v>
      </c>
      <c r="BX309" s="560">
        <v>0</v>
      </c>
      <c r="BY309" s="561">
        <v>0</v>
      </c>
      <c r="BZ309" s="568" t="str">
        <v>n/a</v>
      </c>
      <c r="CA309" s="561" t="str">
        <v>n/a</v>
      </c>
      <c r="CB309" s="561" t="str">
        <v>n/a</v>
      </c>
      <c r="CC309" s="561" t="str">
        <v>n/a</v>
      </c>
      <c r="CD309" s="561">
        <v>261</v>
      </c>
      <c r="CE309" s="561">
        <v>90</v>
      </c>
    </row>
    <row r="310">
      <c r="C310" s="360" t="inlineStr">
        <is>
          <t xml:space="preserve">S1 – HTM CN (3)</t>
        </is>
      </c>
      <c r="D310" s="565">
        <v>0</v>
      </c>
      <c r="E310" s="565">
        <v>3</v>
      </c>
      <c r="F310" s="565">
        <v>5</v>
      </c>
      <c r="G310" s="560">
        <v>1431276.8886161195</v>
      </c>
      <c r="H310" s="560">
        <v>1299225.3867605191</v>
      </c>
      <c r="I310" s="568">
        <v>0.13111232656651206</v>
      </c>
      <c r="J310" s="560">
        <v>139279.28641793394</v>
      </c>
      <c r="K310" s="569">
        <v>0.9734737576265634</v>
      </c>
      <c r="L310" s="569">
        <v>7.791590090989202</v>
      </c>
      <c r="M310" s="560">
        <v>191299.14634928823</v>
      </c>
      <c r="N310" s="560">
        <v>133488.72762627382</v>
      </c>
      <c r="O310" s="372" t="str">
        <v>ALL OK</v>
      </c>
      <c r="P310" s="372" t="str">
        <v>–</v>
      </c>
      <c r="Q310" s="560" t="str">
        <v>–</v>
      </c>
      <c r="R310" s="560" t="str">
        <v>–</v>
      </c>
      <c r="S310" s="560" t="str">
        <v>–</v>
      </c>
      <c r="T310" s="568" t="str">
        <v>–</v>
      </c>
      <c r="U310" s="561" t="str">
        <v>–</v>
      </c>
      <c r="V310" s="560" t="str">
        <v>–</v>
      </c>
      <c r="W310" s="560" t="str">
        <v>–</v>
      </c>
      <c r="X310" s="560" t="str">
        <v>–</v>
      </c>
      <c r="Y310" s="561">
        <v>1533.0939829315068</v>
      </c>
      <c r="Z310" s="560">
        <v>306618.79658630135</v>
      </c>
      <c r="AA310" s="560">
        <v>161496.92014241178</v>
      </c>
      <c r="AB310" s="560">
        <v>17249.630704920553</v>
      </c>
      <c r="AC310" s="561">
        <v>136.72360120243573</v>
      </c>
      <c r="AD310" s="560">
        <v>2358431.629388848</v>
      </c>
      <c r="AE310" s="561">
        <v>82.1083205081397</v>
      </c>
      <c r="AF310" s="568">
        <v>0.12109681198042659</v>
      </c>
      <c r="AG310" s="568">
        <v>0.13111232656651206</v>
      </c>
      <c r="AH310" s="565">
        <v>2041</v>
      </c>
      <c r="AI310" s="569">
        <v>1.9196058721534874</v>
      </c>
      <c r="AJ310" s="372" t="str">
        <v>–</v>
      </c>
      <c r="AK310" s="561">
        <v>500</v>
      </c>
      <c r="AL310" s="561">
        <v>1533.0939829315068</v>
      </c>
      <c r="AM310" s="560">
        <v>306618.79658630135</v>
      </c>
      <c r="AN310" s="568">
        <v>0.5</v>
      </c>
      <c r="AO310" s="560">
        <v>161496.92014241178</v>
      </c>
      <c r="AP310" s="560">
        <v>17249.630704920553</v>
      </c>
      <c r="AQ310" s="561">
        <v>136.72360120243573</v>
      </c>
      <c r="AR310" s="560">
        <v>2358431.629388848</v>
      </c>
      <c r="AS310" s="568">
        <v>0.7737899431000353</v>
      </c>
      <c r="AT310" s="561">
        <v>82.1083205081397</v>
      </c>
      <c r="AU310" s="560">
        <v>1431276.8886161195</v>
      </c>
      <c r="AV310" s="560">
        <v>1299225.3867605191</v>
      </c>
      <c r="AW310" s="568">
        <v>0.13111232656651206</v>
      </c>
      <c r="AX310" s="560">
        <v>139279.28641793394</v>
      </c>
      <c r="AY310" s="569">
        <v>0.9734737576265634</v>
      </c>
      <c r="AZ310" s="569">
        <v>7.791590090989202</v>
      </c>
      <c r="BA310" s="560">
        <v>191299.14634928823</v>
      </c>
      <c r="BB310" s="565">
        <v>2041</v>
      </c>
      <c r="BC310" s="568">
        <v>0.12828686690136998</v>
      </c>
      <c r="BD310" s="568">
        <v>0.12109681198042659</v>
      </c>
      <c r="BE310" s="560">
        <v>133488.72762627382</v>
      </c>
      <c r="BF310" s="568">
        <v>0.13111232656651206</v>
      </c>
      <c r="BG310" s="569">
        <v>1.9196058721534874</v>
      </c>
      <c r="BH310" s="569">
        <v>1.6999046818329888</v>
      </c>
      <c r="BI310" s="372" t="str">
        <v>ALL OK</v>
      </c>
      <c r="BJ310" s="562">
        <v>24</v>
      </c>
      <c r="BK310" s="562">
        <v>36</v>
      </c>
      <c r="BL310" s="562">
        <v>24</v>
      </c>
      <c r="BM310" s="372" t="str">
        <v>ALL OK</v>
      </c>
      <c r="BN310" s="372" t="str">
        <v>ALL OK</v>
      </c>
      <c r="BO310" s="372" t="str">
        <v>OK</v>
      </c>
      <c r="BP310" s="372" t="str">
        <v>n/a – no COD sale</v>
      </c>
      <c r="BQ310" s="560">
        <v>30000</v>
      </c>
      <c r="BR310" s="560">
        <v>0</v>
      </c>
      <c r="BS310" s="560">
        <v>0</v>
      </c>
      <c r="BT310" s="560">
        <v>30000</v>
      </c>
      <c r="BU310" s="561">
        <v>150</v>
      </c>
      <c r="BV310" s="561">
        <v>150</v>
      </c>
      <c r="BW310" s="560">
        <v>0</v>
      </c>
      <c r="BX310" s="560">
        <v>0</v>
      </c>
      <c r="BY310" s="561">
        <v>0</v>
      </c>
      <c r="BZ310" s="568" t="str">
        <v>n/a</v>
      </c>
      <c r="CA310" s="561" t="str">
        <v>n/a</v>
      </c>
      <c r="CB310" s="561" t="str">
        <v>n/a</v>
      </c>
      <c r="CC310" s="561" t="str">
        <v>n/a</v>
      </c>
      <c r="CD310" s="561">
        <v>261</v>
      </c>
      <c r="CE310" s="561">
        <v>90</v>
      </c>
    </row>
    <row r="311">
      <c r="C311" s="360" t="inlineStr">
        <is>
          <t xml:space="preserve">S2 – RtB sale (1)</t>
        </is>
      </c>
      <c r="D311" s="565">
        <v>1</v>
      </c>
      <c r="E311" s="565">
        <v>1</v>
      </c>
      <c r="F311" s="565">
        <v>6</v>
      </c>
      <c r="G311" s="560">
        <v>15011.48995779585</v>
      </c>
      <c r="H311" s="560">
        <v>14663.612494160967</v>
      </c>
      <c r="I311" s="568">
        <v>0.2004243752726126</v>
      </c>
      <c r="J311" s="560">
        <v>6826.050756115276</v>
      </c>
      <c r="K311" s="569">
        <v>0.1659843466011588</v>
      </c>
      <c r="L311" s="569">
        <v>1.299066858466091</v>
      </c>
      <c r="M311" s="560">
        <v>48929.47606969508</v>
      </c>
      <c r="N311" s="560">
        <v>9380.91724679769</v>
      </c>
      <c r="O311" s="372" t="str">
        <v>ALL OK</v>
      </c>
      <c r="P311" s="372" t="str">
        <v>Jun-29 → Mar-30</v>
      </c>
      <c r="Q311" s="560">
        <v>64042.7084932444</v>
      </c>
      <c r="R311" s="560">
        <v>9758.397171928584</v>
      </c>
      <c r="S311" s="560">
        <v>9410.519708293703</v>
      </c>
      <c r="T311" s="568" t="str">
        <v>–</v>
      </c>
      <c r="U311" s="561" t="str">
        <v>–</v>
      </c>
      <c r="V311" s="560" t="str">
        <v>14,614 / 508</v>
      </c>
      <c r="W311" s="560">
        <v>24384.207004000004</v>
      </c>
      <c r="X311" s="560">
        <v>3137.845921749919</v>
      </c>
      <c r="Y311" s="561" t="str">
        <v>–</v>
      </c>
      <c r="Z311" s="560" t="str">
        <v>–</v>
      </c>
      <c r="AA311" s="560" t="str">
        <v>–</v>
      </c>
      <c r="AB311" s="560" t="str">
        <v>–</v>
      </c>
      <c r="AC311" s="561" t="str">
        <v>–</v>
      </c>
      <c r="AD311" s="560" t="str">
        <v>–</v>
      </c>
      <c r="AE311" s="561" t="str">
        <v>–</v>
      </c>
      <c r="AF311" s="568" t="str">
        <v>–</v>
      </c>
      <c r="AG311" s="568" t="str">
        <v>–</v>
      </c>
      <c r="AH311" s="565" t="str">
        <v>–</v>
      </c>
      <c r="AI311" s="569" t="str">
        <v>–</v>
      </c>
      <c r="AJ311" s="372">
        <v>0</v>
      </c>
      <c r="AK311" s="561">
        <v>950</v>
      </c>
      <c r="AL311" s="561">
        <v>2286.180232931507</v>
      </c>
      <c r="AM311" s="560">
        <v>457236.0465863014</v>
      </c>
      <c r="AN311" s="568">
        <v>0.55</v>
      </c>
      <c r="AO311" s="560">
        <v>264910.16055206483</v>
      </c>
      <c r="AP311" s="560">
        <v>17855.423245698435</v>
      </c>
      <c r="AQ311" s="561">
        <v>146.1665995458594</v>
      </c>
      <c r="AR311" s="560">
        <v>2609866.4992758324</v>
      </c>
      <c r="AS311" s="568">
        <v>0.7826918598089336</v>
      </c>
      <c r="AT311" s="561">
        <v>104.17088245535443</v>
      </c>
      <c r="AU311" s="560">
        <v>1461633.8662351682</v>
      </c>
      <c r="AV311" s="560">
        <v>1326794.0290265614</v>
      </c>
      <c r="AW311" s="568">
        <v>0.11662096283169417</v>
      </c>
      <c r="AX311" s="560">
        <v>118112.00632800626</v>
      </c>
      <c r="AY311" s="569">
        <v>0.6276808879763974</v>
      </c>
      <c r="AZ311" s="569">
        <v>6.225164352579958</v>
      </c>
      <c r="BA311" s="560">
        <v>253923.8843982867</v>
      </c>
      <c r="BB311" s="565">
        <v>2041</v>
      </c>
      <c r="BC311" s="568">
        <v>0.11299328994747254</v>
      </c>
      <c r="BD311" s="568">
        <v>0.10628881076134562</v>
      </c>
      <c r="BE311" s="560">
        <v>107138.0984810101</v>
      </c>
      <c r="BF311" s="568">
        <v>0.11662096283169417</v>
      </c>
      <c r="BG311" s="569">
        <v>1.5931878866368205</v>
      </c>
      <c r="BH311" s="569">
        <v>0.8626055768355857</v>
      </c>
      <c r="BI311" s="372" t="str">
        <v>ALL OK</v>
      </c>
      <c r="BJ311" s="562">
        <v>51.5</v>
      </c>
      <c r="BK311" s="562">
        <v>51.5</v>
      </c>
      <c r="BL311" s="562">
        <v>36.5</v>
      </c>
      <c r="BM311" s="372" t="str">
        <v>ALL OK</v>
      </c>
      <c r="BN311" s="372" t="str">
        <v>ALL OK</v>
      </c>
      <c r="BO311" s="372" t="str">
        <v>OK</v>
      </c>
      <c r="BP311" s="372" t="str">
        <v>n/a – no COD sale</v>
      </c>
      <c r="BQ311" s="560">
        <v>30000</v>
      </c>
      <c r="BR311" s="560">
        <v>-136.1460129993936</v>
      </c>
      <c r="BS311" s="560">
        <v>-136.1460129993936</v>
      </c>
      <c r="BT311" s="560">
        <v>29863.853987000606</v>
      </c>
      <c r="BU311" s="561">
        <v>149.31926993500304</v>
      </c>
      <c r="BV311" s="561">
        <v>149.31926993500304</v>
      </c>
      <c r="BW311" s="560">
        <v>0</v>
      </c>
      <c r="BX311" s="560">
        <v>0</v>
      </c>
      <c r="BY311" s="561">
        <v>0</v>
      </c>
      <c r="BZ311" s="568" t="str">
        <v>n/a</v>
      </c>
      <c r="CA311" s="561" t="str">
        <v>n/a</v>
      </c>
      <c r="CB311" s="561" t="str">
        <v>n/a</v>
      </c>
      <c r="CC311" s="561" t="str">
        <v>n/a</v>
      </c>
      <c r="CD311" s="561">
        <v>280</v>
      </c>
      <c r="CE311" s="561">
        <v>90</v>
      </c>
    </row>
    <row r="312">
      <c r="C312" s="360" t="inlineStr">
        <is>
          <t xml:space="preserve">S2 – COD sale EU (7)</t>
        </is>
      </c>
      <c r="D312" s="565">
        <v>1</v>
      </c>
      <c r="E312" s="565">
        <v>7</v>
      </c>
      <c r="F312" s="565">
        <v>7</v>
      </c>
      <c r="G312" s="560">
        <v>98468.32640750008</v>
      </c>
      <c r="H312" s="560">
        <v>98468.32640750008</v>
      </c>
      <c r="I312" s="568">
        <v>0.29014519684283974</v>
      </c>
      <c r="J312" s="560">
        <v>53743.6510754388</v>
      </c>
      <c r="K312" s="569">
        <v>0.35385109084273403</v>
      </c>
      <c r="L312" s="569">
        <v>1.4834856712629423</v>
      </c>
      <c r="M312" s="560">
        <v>203663.3808614948</v>
      </c>
      <c r="N312" s="560">
        <v>53743.6510754388</v>
      </c>
      <c r="O312" s="372" t="str">
        <v>ALL OK / OK</v>
      </c>
      <c r="P312" s="372" t="str">
        <v>COD Sep-31 → sale at COD</v>
      </c>
      <c r="Q312" s="560">
        <v>631120</v>
      </c>
      <c r="R312" s="560">
        <v>288992.90242043434</v>
      </c>
      <c r="S312" s="560">
        <v>341627.09757956566</v>
      </c>
      <c r="T312" s="568">
        <v>0.6</v>
      </c>
      <c r="U312" s="561">
        <v>2254</v>
      </c>
      <c r="V312" s="560" t="str">
        <v>14,614 / 508</v>
      </c>
      <c r="W312" s="560">
        <v>24384.207004000004</v>
      </c>
      <c r="X312" s="560">
        <v>3137.845921749919</v>
      </c>
      <c r="Y312" s="561">
        <v>2286.180232931507</v>
      </c>
      <c r="Z312" s="560">
        <v>457236.0465863014</v>
      </c>
      <c r="AA312" s="560">
        <v>288992.90242043434</v>
      </c>
      <c r="AB312" s="560" t="str">
        <v>–</v>
      </c>
      <c r="AC312" s="561" t="str">
        <v>–</v>
      </c>
      <c r="AD312" s="560" t="str">
        <v>–</v>
      </c>
      <c r="AE312" s="561" t="str">
        <v>–</v>
      </c>
      <c r="AF312" s="568" t="str">
        <v>–</v>
      </c>
      <c r="AG312" s="568">
        <v>0.46118229963847346</v>
      </c>
      <c r="AH312" s="565" t="str">
        <v>–</v>
      </c>
      <c r="AI312" s="569" t="str">
        <v>–</v>
      </c>
      <c r="AJ312" s="372">
        <v>0</v>
      </c>
      <c r="AK312" s="561">
        <v>950</v>
      </c>
      <c r="AL312" s="561">
        <v>2286.180232931507</v>
      </c>
      <c r="AM312" s="560">
        <v>457236.0465863014</v>
      </c>
      <c r="AN312" s="568">
        <v>0.6</v>
      </c>
      <c r="AO312" s="560">
        <v>288992.90242043434</v>
      </c>
      <c r="AP312" s="560">
        <v>17855.423245698435</v>
      </c>
      <c r="AQ312" s="561">
        <v>136.72360120243573</v>
      </c>
      <c r="AR312" s="560">
        <v>2441257.7671455736</v>
      </c>
      <c r="AS312" s="568">
        <v>0.7691370289208584</v>
      </c>
      <c r="AT312" s="561">
        <v>100.4388669616575</v>
      </c>
      <c r="AU312" s="560">
        <v>906363.6644879379</v>
      </c>
      <c r="AV312" s="560">
        <v>823862.0242877165</v>
      </c>
      <c r="AW312" s="568">
        <v>0.10331103261047168</v>
      </c>
      <c r="AX312" s="560">
        <v>50376.26345402681</v>
      </c>
      <c r="AY312" s="569">
        <v>0.4574136813167267</v>
      </c>
      <c r="AZ312" s="569">
        <v>6.560364780558767</v>
      </c>
      <c r="BA312" s="560">
        <v>148166.90213711586</v>
      </c>
      <c r="BB312" s="565">
        <v>2044</v>
      </c>
      <c r="BC312" s="568">
        <v>0.09893057170422447</v>
      </c>
      <c r="BD312" s="568">
        <v>0.09367973999521287</v>
      </c>
      <c r="BE312" s="560">
        <v>56257.94023608523</v>
      </c>
      <c r="BF312" s="568">
        <v>0.1033110326104717</v>
      </c>
      <c r="BG312" s="569">
        <v>1.1297425280917526</v>
      </c>
      <c r="BH312" s="569">
        <v>1.0003087747477295</v>
      </c>
      <c r="BI312" s="372" t="str">
        <v>ALL OK</v>
      </c>
      <c r="BJ312" s="562">
        <v>51.5</v>
      </c>
      <c r="BK312" s="562">
        <v>51.5</v>
      </c>
      <c r="BL312" s="562">
        <v>36.5</v>
      </c>
      <c r="BM312" s="372" t="str">
        <v>ALL OK</v>
      </c>
      <c r="BN312" s="372" t="str">
        <v>ALL OK</v>
      </c>
      <c r="BO312" s="372" t="str">
        <v>OK</v>
      </c>
      <c r="BP312" s="372" t="str">
        <v>OK</v>
      </c>
      <c r="BQ312" s="560">
        <v>30000</v>
      </c>
      <c r="BR312" s="560">
        <v>-136.1460129993936</v>
      </c>
      <c r="BS312" s="560">
        <v>-136.1460129993936</v>
      </c>
      <c r="BT312" s="560">
        <v>29863.853987000606</v>
      </c>
      <c r="BU312" s="561">
        <v>149.31926993500304</v>
      </c>
      <c r="BV312" s="561">
        <v>149.31926993500304</v>
      </c>
      <c r="BW312" s="560">
        <v>631120</v>
      </c>
      <c r="BX312" s="560">
        <v>0</v>
      </c>
      <c r="BY312" s="561">
        <v>2254</v>
      </c>
      <c r="BZ312" s="568">
        <v>0.0719322677023107</v>
      </c>
      <c r="CA312" s="561">
        <v>2304.4311661188567</v>
      </c>
      <c r="CB312" s="561">
        <v>2060.7330145608435</v>
      </c>
      <c r="CC312" s="561">
        <v>1854.9674716006691</v>
      </c>
      <c r="CD312" s="561">
        <v>280</v>
      </c>
      <c r="CE312" s="561">
        <v>90</v>
      </c>
    </row>
    <row r="313">
      <c r="C313" s="360" t="inlineStr">
        <is>
          <t xml:space="preserve">S2 – COD sale CN (8)</t>
        </is>
      </c>
      <c r="D313" s="565">
        <v>1</v>
      </c>
      <c r="E313" s="565">
        <v>8</v>
      </c>
      <c r="F313" s="565">
        <v>8</v>
      </c>
      <c r="G313" s="560">
        <v>135127.11002839365</v>
      </c>
      <c r="H313" s="560">
        <v>135127.11002839365</v>
      </c>
      <c r="I313" s="568">
        <v>0.40784371495977667</v>
      </c>
      <c r="J313" s="560">
        <v>79851.02834527977</v>
      </c>
      <c r="K313" s="569">
        <v>0.5942270709131817</v>
      </c>
      <c r="L313" s="569">
        <v>1.7521872478591671</v>
      </c>
      <c r="M313" s="560">
        <v>179645.5741744955</v>
      </c>
      <c r="N313" s="560">
        <v>79851.02834527977</v>
      </c>
      <c r="O313" s="372" t="str">
        <v>ALL OK / OK</v>
      </c>
      <c r="P313" s="372" t="str">
        <v>COD Sep-31 → sale at COD</v>
      </c>
      <c r="Q313" s="560">
        <v>540960</v>
      </c>
      <c r="R313" s="560">
        <v>170481.01822044275</v>
      </c>
      <c r="S313" s="560">
        <v>369978.98177955725</v>
      </c>
      <c r="T313" s="568">
        <v>0.5</v>
      </c>
      <c r="U313" s="561">
        <v>1932</v>
      </c>
      <c r="V313" s="560" t="str">
        <v>14,614 / 508</v>
      </c>
      <c r="W313" s="560">
        <v>24384.207004000004</v>
      </c>
      <c r="X313" s="560">
        <v>3137.845921749919</v>
      </c>
      <c r="Y313" s="561">
        <v>1618.380232931507</v>
      </c>
      <c r="Z313" s="560">
        <v>323676.0465863014</v>
      </c>
      <c r="AA313" s="560">
        <v>170481.01822044275</v>
      </c>
      <c r="AB313" s="560" t="str">
        <v>–</v>
      </c>
      <c r="AC313" s="561" t="str">
        <v>–</v>
      </c>
      <c r="AD313" s="560" t="str">
        <v>–</v>
      </c>
      <c r="AE313" s="561" t="str">
        <v>–</v>
      </c>
      <c r="AF313" s="568" t="str">
        <v>–</v>
      </c>
      <c r="AG313" s="568">
        <v>0.6242463744273494</v>
      </c>
      <c r="AH313" s="565" t="str">
        <v>–</v>
      </c>
      <c r="AI313" s="569" t="str">
        <v>–</v>
      </c>
      <c r="AJ313" s="372">
        <v>0</v>
      </c>
      <c r="AK313" s="561">
        <v>500</v>
      </c>
      <c r="AL313" s="561">
        <v>1618.380232931507</v>
      </c>
      <c r="AM313" s="560">
        <v>323676.0465863014</v>
      </c>
      <c r="AN313" s="568">
        <v>0.5</v>
      </c>
      <c r="AO313" s="560">
        <v>170481.01822044275</v>
      </c>
      <c r="AP313" s="560">
        <v>17855.423245698435</v>
      </c>
      <c r="AQ313" s="561">
        <v>136.72360120243573</v>
      </c>
      <c r="AR313" s="560">
        <v>2441257.7671455736</v>
      </c>
      <c r="AS313" s="568">
        <v>0.7691370289208584</v>
      </c>
      <c r="AT313" s="561">
        <v>80.03180833848499</v>
      </c>
      <c r="AU313" s="560">
        <v>1039517.4492176028</v>
      </c>
      <c r="AV313" s="560">
        <v>945031.9683917116</v>
      </c>
      <c r="AW313" s="568">
        <v>0.13819081502302408</v>
      </c>
      <c r="AX313" s="560">
        <v>108262.4640092507</v>
      </c>
      <c r="AY313" s="569">
        <v>1.156772582286053</v>
      </c>
      <c r="AZ313" s="569">
        <v>8.557156113646466</v>
      </c>
      <c r="BA313" s="560">
        <v>125051.26984014577</v>
      </c>
      <c r="BB313" s="565">
        <v>2040</v>
      </c>
      <c r="BC313" s="568">
        <v>0.1331729543486396</v>
      </c>
      <c r="BD313" s="568">
        <v>0.12590570912738547</v>
      </c>
      <c r="BE313" s="560">
        <v>148418.15788647925</v>
      </c>
      <c r="BF313" s="568">
        <v>0.13819081502302405</v>
      </c>
      <c r="BG313" s="569">
        <v>1.8722648328717875</v>
      </c>
      <c r="BH313" s="569">
        <v>1.6556893335585332</v>
      </c>
      <c r="BI313" s="372" t="str">
        <v>ALL OK</v>
      </c>
      <c r="BJ313" s="562">
        <v>36.5</v>
      </c>
      <c r="BK313" s="562">
        <v>51.5</v>
      </c>
      <c r="BL313" s="562">
        <v>36.5</v>
      </c>
      <c r="BM313" s="372" t="str">
        <v>ALL OK</v>
      </c>
      <c r="BN313" s="372" t="str">
        <v>ALL OK</v>
      </c>
      <c r="BO313" s="372" t="str">
        <v>OK</v>
      </c>
      <c r="BP313" s="372" t="str">
        <v>OK</v>
      </c>
      <c r="BQ313" s="560">
        <v>30000</v>
      </c>
      <c r="BR313" s="560">
        <v>-136.1460129993936</v>
      </c>
      <c r="BS313" s="560">
        <v>-136.1460129993936</v>
      </c>
      <c r="BT313" s="560">
        <v>29863.853987000606</v>
      </c>
      <c r="BU313" s="561">
        <v>149.31926993500304</v>
      </c>
      <c r="BV313" s="561">
        <v>149.31926993500304</v>
      </c>
      <c r="BW313" s="560">
        <v>540960</v>
      </c>
      <c r="BX313" s="560">
        <v>0</v>
      </c>
      <c r="BY313" s="561">
        <v>1932</v>
      </c>
      <c r="BZ313" s="568">
        <v>0.08501756409802388</v>
      </c>
      <c r="CA313" s="561">
        <v>2280.671712577729</v>
      </c>
      <c r="CB313" s="561">
        <v>2038.7122407579495</v>
      </c>
      <c r="CC313" s="561">
        <v>1834.4917118212652</v>
      </c>
      <c r="CD313" s="561">
        <v>280</v>
      </c>
      <c r="CE313" s="561">
        <v>90</v>
      </c>
    </row>
    <row r="314">
      <c r="C314" s="360" t="inlineStr">
        <is>
          <t xml:space="preserve">S2 – HTM EU (2)</t>
        </is>
      </c>
      <c r="D314" s="565">
        <v>1</v>
      </c>
      <c r="E314" s="565">
        <v>2</v>
      </c>
      <c r="F314" s="565">
        <v>9</v>
      </c>
      <c r="G314" s="560">
        <v>1272963.2972541626</v>
      </c>
      <c r="H314" s="560">
        <v>1155103.8112538464</v>
      </c>
      <c r="I314" s="568">
        <v>0.09716327861618469</v>
      </c>
      <c r="J314" s="560">
        <v>55911.614375163284</v>
      </c>
      <c r="K314" s="569">
        <v>0.3224669953407568</v>
      </c>
      <c r="L314" s="569">
        <v>5.946721985836378</v>
      </c>
      <c r="M314" s="560">
        <v>233508.94078162848</v>
      </c>
      <c r="N314" s="560">
        <v>40203.4639626388</v>
      </c>
      <c r="O314" s="372" t="str">
        <v>ALL OK</v>
      </c>
      <c r="P314" s="372" t="str">
        <v>–</v>
      </c>
      <c r="Q314" s="560" t="str">
        <v>–</v>
      </c>
      <c r="R314" s="560" t="str">
        <v>–</v>
      </c>
      <c r="S314" s="560" t="str">
        <v>–</v>
      </c>
      <c r="T314" s="568" t="str">
        <v>–</v>
      </c>
      <c r="U314" s="561" t="str">
        <v>–</v>
      </c>
      <c r="V314" s="560" t="str">
        <v>–</v>
      </c>
      <c r="W314" s="560" t="str">
        <v>–</v>
      </c>
      <c r="X314" s="560" t="str">
        <v>–</v>
      </c>
      <c r="Y314" s="561">
        <v>2286.180232931507</v>
      </c>
      <c r="Z314" s="560">
        <v>457236.0465863014</v>
      </c>
      <c r="AA314" s="560">
        <v>288992.90242043434</v>
      </c>
      <c r="AB314" s="560">
        <v>17855.423245698435</v>
      </c>
      <c r="AC314" s="561">
        <v>136.72360120243573</v>
      </c>
      <c r="AD314" s="560">
        <v>2441257.7671455736</v>
      </c>
      <c r="AE314" s="561">
        <v>103.83602245196423</v>
      </c>
      <c r="AF314" s="568">
        <v>0.08944578968463351</v>
      </c>
      <c r="AG314" s="568">
        <v>0.09716327861618469</v>
      </c>
      <c r="AH314" s="565">
        <v>2044</v>
      </c>
      <c r="AI314" s="569">
        <v>1.1297425280917526</v>
      </c>
      <c r="AJ314" s="372" t="str">
        <v>–</v>
      </c>
      <c r="AK314" s="561">
        <v>950</v>
      </c>
      <c r="AL314" s="561">
        <v>2286.180232931507</v>
      </c>
      <c r="AM314" s="560">
        <v>457236.0465863014</v>
      </c>
      <c r="AN314" s="568">
        <v>0.6</v>
      </c>
      <c r="AO314" s="560">
        <v>288992.90242043434</v>
      </c>
      <c r="AP314" s="560">
        <v>17855.423245698435</v>
      </c>
      <c r="AQ314" s="561">
        <v>136.72360120243573</v>
      </c>
      <c r="AR314" s="560">
        <v>2441257.7671455736</v>
      </c>
      <c r="AS314" s="568">
        <v>0.7691370289208584</v>
      </c>
      <c r="AT314" s="561">
        <v>103.83602245196423</v>
      </c>
      <c r="AU314" s="560">
        <v>1272963.2972541626</v>
      </c>
      <c r="AV314" s="560">
        <v>1155103.8112538464</v>
      </c>
      <c r="AW314" s="568">
        <v>0.09716327861618469</v>
      </c>
      <c r="AX314" s="560">
        <v>55911.614375163284</v>
      </c>
      <c r="AY314" s="569">
        <v>0.3224669953407568</v>
      </c>
      <c r="AZ314" s="569">
        <v>5.946721985836378</v>
      </c>
      <c r="BA314" s="560">
        <v>233508.94078162848</v>
      </c>
      <c r="BB314" s="565">
        <v>2044</v>
      </c>
      <c r="BC314" s="568">
        <v>0.09461718163747093</v>
      </c>
      <c r="BD314" s="568">
        <v>0.08944578968463351</v>
      </c>
      <c r="BE314" s="560">
        <v>40203.4639626388</v>
      </c>
      <c r="BF314" s="568">
        <v>0.09716327861618469</v>
      </c>
      <c r="BG314" s="569">
        <v>1.1297425280917526</v>
      </c>
      <c r="BH314" s="569">
        <v>1.0003087747477295</v>
      </c>
      <c r="BI314" s="372" t="str">
        <v>ALL OK</v>
      </c>
      <c r="BJ314" s="562">
        <v>51.5</v>
      </c>
      <c r="BK314" s="562">
        <v>51.5</v>
      </c>
      <c r="BL314" s="562">
        <v>36.5</v>
      </c>
      <c r="BM314" s="372" t="str">
        <v>ALL OK</v>
      </c>
      <c r="BN314" s="372" t="str">
        <v>ALL OK</v>
      </c>
      <c r="BO314" s="372" t="str">
        <v>OK</v>
      </c>
      <c r="BP314" s="372" t="str">
        <v>n/a – no COD sale</v>
      </c>
      <c r="BQ314" s="560">
        <v>30000</v>
      </c>
      <c r="BR314" s="560">
        <v>-136.1460129993936</v>
      </c>
      <c r="BS314" s="560">
        <v>-136.1460129993936</v>
      </c>
      <c r="BT314" s="560">
        <v>29863.853987000606</v>
      </c>
      <c r="BU314" s="561">
        <v>149.31926993500304</v>
      </c>
      <c r="BV314" s="561">
        <v>149.31926993500304</v>
      </c>
      <c r="BW314" s="560">
        <v>0</v>
      </c>
      <c r="BX314" s="560">
        <v>0</v>
      </c>
      <c r="BY314" s="561">
        <v>0</v>
      </c>
      <c r="BZ314" s="568" t="str">
        <v>n/a</v>
      </c>
      <c r="CA314" s="561" t="str">
        <v>n/a</v>
      </c>
      <c r="CB314" s="561" t="str">
        <v>n/a</v>
      </c>
      <c r="CC314" s="561" t="str">
        <v>n/a</v>
      </c>
      <c r="CD314" s="561">
        <v>280</v>
      </c>
      <c r="CE314" s="561">
        <v>90</v>
      </c>
    </row>
    <row r="315">
      <c r="C315" s="360" t="inlineStr">
        <is>
          <t xml:space="preserve">S2 – HTM CN (3)</t>
        </is>
      </c>
      <c r="D315" s="565">
        <v>1</v>
      </c>
      <c r="E315" s="565">
        <v>3</v>
      </c>
      <c r="F315" s="565">
        <v>10</v>
      </c>
      <c r="G315" s="560">
        <v>1463182.9897251124</v>
      </c>
      <c r="H315" s="560">
        <v>1328203.7314024107</v>
      </c>
      <c r="I315" s="568">
        <v>0.1288631587267528</v>
      </c>
      <c r="J315" s="560">
        <v>138606.18659691172</v>
      </c>
      <c r="K315" s="569">
        <v>0.9255553164824607</v>
      </c>
      <c r="L315" s="569">
        <v>7.624899979599188</v>
      </c>
      <c r="M315" s="560">
        <v>200486.60892881406</v>
      </c>
      <c r="N315" s="560">
        <v>132363.68161303282</v>
      </c>
      <c r="O315" s="372" t="str">
        <v>ALL OK</v>
      </c>
      <c r="P315" s="372" t="str">
        <v>–</v>
      </c>
      <c r="Q315" s="560" t="str">
        <v>–</v>
      </c>
      <c r="R315" s="560" t="str">
        <v>–</v>
      </c>
      <c r="S315" s="560" t="str">
        <v>–</v>
      </c>
      <c r="T315" s="568" t="str">
        <v>–</v>
      </c>
      <c r="U315" s="561" t="str">
        <v>–</v>
      </c>
      <c r="V315" s="560" t="str">
        <v>–</v>
      </c>
      <c r="W315" s="560" t="str">
        <v>–</v>
      </c>
      <c r="X315" s="560" t="str">
        <v>–</v>
      </c>
      <c r="Y315" s="561">
        <v>1618.380232931507</v>
      </c>
      <c r="Z315" s="560">
        <v>323676.0465863014</v>
      </c>
      <c r="AA315" s="560">
        <v>170481.01822044275</v>
      </c>
      <c r="AB315" s="560">
        <v>17855.423245698435</v>
      </c>
      <c r="AC315" s="561">
        <v>136.72360120243573</v>
      </c>
      <c r="AD315" s="560">
        <v>2441257.7671455736</v>
      </c>
      <c r="AE315" s="561">
        <v>83.42896382879175</v>
      </c>
      <c r="AF315" s="568">
        <v>0.11905300277317285</v>
      </c>
      <c r="AG315" s="568">
        <v>0.1288631587267528</v>
      </c>
      <c r="AH315" s="565">
        <v>2041</v>
      </c>
      <c r="AI315" s="569">
        <v>1.8722648328717875</v>
      </c>
      <c r="AJ315" s="372" t="str">
        <v>–</v>
      </c>
      <c r="AK315" s="561">
        <v>500</v>
      </c>
      <c r="AL315" s="561">
        <v>1618.380232931507</v>
      </c>
      <c r="AM315" s="560">
        <v>323676.0465863014</v>
      </c>
      <c r="AN315" s="568">
        <v>0.5</v>
      </c>
      <c r="AO315" s="560">
        <v>170481.01822044275</v>
      </c>
      <c r="AP315" s="560">
        <v>17855.423245698435</v>
      </c>
      <c r="AQ315" s="561">
        <v>136.72360120243573</v>
      </c>
      <c r="AR315" s="560">
        <v>2441257.7671455736</v>
      </c>
      <c r="AS315" s="568">
        <v>0.7691370289208584</v>
      </c>
      <c r="AT315" s="561">
        <v>83.42896382879175</v>
      </c>
      <c r="AU315" s="560">
        <v>1463182.9897251124</v>
      </c>
      <c r="AV315" s="560">
        <v>1328203.7314024107</v>
      </c>
      <c r="AW315" s="568">
        <v>0.1288631587267528</v>
      </c>
      <c r="AX315" s="560">
        <v>138606.18659691172</v>
      </c>
      <c r="AY315" s="569">
        <v>0.9255553164824607</v>
      </c>
      <c r="AZ315" s="569">
        <v>7.624899979599188</v>
      </c>
      <c r="BA315" s="560">
        <v>200486.60892881406</v>
      </c>
      <c r="BB315" s="565">
        <v>2041</v>
      </c>
      <c r="BC315" s="568">
        <v>0.12610296619672554</v>
      </c>
      <c r="BD315" s="568">
        <v>0.11905300277317285</v>
      </c>
      <c r="BE315" s="560">
        <v>132363.68161303282</v>
      </c>
      <c r="BF315" s="568">
        <v>0.1288631587267528</v>
      </c>
      <c r="BG315" s="569">
        <v>1.8722648328717875</v>
      </c>
      <c r="BH315" s="569">
        <v>1.6556893335585332</v>
      </c>
      <c r="BI315" s="372" t="str">
        <v>ALL OK</v>
      </c>
      <c r="BJ315" s="562">
        <v>36.5</v>
      </c>
      <c r="BK315" s="562">
        <v>51.5</v>
      </c>
      <c r="BL315" s="562">
        <v>36.5</v>
      </c>
      <c r="BM315" s="372" t="str">
        <v>ALL OK</v>
      </c>
      <c r="BN315" s="372" t="str">
        <v>ALL OK</v>
      </c>
      <c r="BO315" s="372" t="str">
        <v>OK</v>
      </c>
      <c r="BP315" s="372" t="str">
        <v>n/a – no COD sale</v>
      </c>
      <c r="BQ315" s="560">
        <v>30000</v>
      </c>
      <c r="BR315" s="560">
        <v>-136.1460129993936</v>
      </c>
      <c r="BS315" s="560">
        <v>-136.1460129993936</v>
      </c>
      <c r="BT315" s="560">
        <v>29863.853987000606</v>
      </c>
      <c r="BU315" s="561">
        <v>149.31926993500304</v>
      </c>
      <c r="BV315" s="561">
        <v>149.31926993500304</v>
      </c>
      <c r="BW315" s="560">
        <v>0</v>
      </c>
      <c r="BX315" s="560">
        <v>0</v>
      </c>
      <c r="BY315" s="561">
        <v>0</v>
      </c>
      <c r="BZ315" s="568" t="str">
        <v>n/a</v>
      </c>
      <c r="CA315" s="561" t="str">
        <v>n/a</v>
      </c>
      <c r="CB315" s="561" t="str">
        <v>n/a</v>
      </c>
      <c r="CC315" s="561" t="str">
        <v>n/a</v>
      </c>
      <c r="CD315" s="561">
        <v>280</v>
      </c>
      <c r="CE315" s="561">
        <v>90</v>
      </c>
    </row>
    <row r="316">
      <c r="C316" s="360" t="inlineStr">
        <is>
          <t xml:space="preserve">S3 – RtB sale (1)</t>
        </is>
      </c>
      <c r="D316" s="565">
        <v>2</v>
      </c>
      <c r="E316" s="565">
        <v>1</v>
      </c>
      <c r="F316" s="565">
        <v>11</v>
      </c>
      <c r="G316" s="560">
        <v>10374.712645133091</v>
      </c>
      <c r="H316" s="560">
        <v>10038.494248053641</v>
      </c>
      <c r="I316" s="568">
        <v>0.13688527561568004</v>
      </c>
      <c r="J316" s="560">
        <v>3234.0332275449878</v>
      </c>
      <c r="K316" s="569">
        <v>0.07704258402347558</v>
      </c>
      <c r="L316" s="569">
        <v>1.200574753032688</v>
      </c>
      <c r="M316" s="560">
        <v>49921.46511079098</v>
      </c>
      <c r="N316" s="560">
        <v>4628.149253506286</v>
      </c>
      <c r="O316" s="372" t="str">
        <v>ALL OK</v>
      </c>
      <c r="P316" s="372" t="str">
        <v>Jun-29 → Mar-30</v>
      </c>
      <c r="Q316" s="560">
        <v>60423.35583811589</v>
      </c>
      <c r="R316" s="560">
        <v>5121.619859265819</v>
      </c>
      <c r="S316" s="560">
        <v>4785.40146218637</v>
      </c>
      <c r="T316" s="568" t="str">
        <v>–</v>
      </c>
      <c r="U316" s="561" t="str">
        <v>–</v>
      </c>
      <c r="V316" s="560" t="str">
        <v>14,614 / 508</v>
      </c>
      <c r="W316" s="560">
        <v>26241.007004</v>
      </c>
      <c r="X316" s="560">
        <v>3137.845921749919</v>
      </c>
      <c r="Y316" s="561" t="str">
        <v>–</v>
      </c>
      <c r="Z316" s="560" t="str">
        <v>–</v>
      </c>
      <c r="AA316" s="560" t="str">
        <v>–</v>
      </c>
      <c r="AB316" s="560" t="str">
        <v>–</v>
      </c>
      <c r="AC316" s="561" t="str">
        <v>–</v>
      </c>
      <c r="AD316" s="560" t="str">
        <v>–</v>
      </c>
      <c r="AE316" s="561" t="str">
        <v>–</v>
      </c>
      <c r="AF316" s="568" t="str">
        <v>–</v>
      </c>
      <c r="AG316" s="568" t="str">
        <v>–</v>
      </c>
      <c r="AH316" s="565" t="str">
        <v>–</v>
      </c>
      <c r="AI316" s="569" t="str">
        <v>–</v>
      </c>
      <c r="AJ316" s="372">
        <v>0</v>
      </c>
      <c r="AK316" s="561">
        <v>950</v>
      </c>
      <c r="AL316" s="561">
        <v>2316.180232931507</v>
      </c>
      <c r="AM316" s="560">
        <v>463236.0465863014</v>
      </c>
      <c r="AN316" s="568">
        <v>0.55</v>
      </c>
      <c r="AO316" s="560">
        <v>268386.3977717224</v>
      </c>
      <c r="AP316" s="560">
        <v>17855.423245698435</v>
      </c>
      <c r="AQ316" s="561">
        <v>146.1665995458594</v>
      </c>
      <c r="AR316" s="560">
        <v>2609866.4992758324</v>
      </c>
      <c r="AS316" s="568">
        <v>0.7826918598089336</v>
      </c>
      <c r="AT316" s="561">
        <v>104.26749809390434</v>
      </c>
      <c r="AU316" s="560">
        <v>1459164.297991226</v>
      </c>
      <c r="AV316" s="560">
        <v>1325004.021400248</v>
      </c>
      <c r="AW316" s="568">
        <v>0.11678516918167214</v>
      </c>
      <c r="AX316" s="560">
        <v>118097.02953415796</v>
      </c>
      <c r="AY316" s="569">
        <v>0.6332544879938233</v>
      </c>
      <c r="AZ316" s="569">
        <v>6.260194366128609</v>
      </c>
      <c r="BA316" s="560">
        <v>251892.59734054713</v>
      </c>
      <c r="BB316" s="565">
        <v>2041</v>
      </c>
      <c r="BC316" s="568">
        <v>0.11287342720030455</v>
      </c>
      <c r="BD316" s="568">
        <v>0.1062151274356142</v>
      </c>
      <c r="BE316" s="560">
        <v>106870.93605863786</v>
      </c>
      <c r="BF316" s="568">
        <v>0.11678516918167214</v>
      </c>
      <c r="BG316" s="569">
        <v>1.5737818018287997</v>
      </c>
      <c r="BH316" s="569">
        <v>0.851432798941564</v>
      </c>
      <c r="BI316" s="372" t="str">
        <v>ALL OK</v>
      </c>
      <c r="BJ316" s="562">
        <v>69.5</v>
      </c>
      <c r="BK316" s="562">
        <v>69.5</v>
      </c>
      <c r="BL316" s="562">
        <v>54.5</v>
      </c>
      <c r="BM316" s="372" t="str">
        <v>ALL OK</v>
      </c>
      <c r="BN316" s="372" t="str">
        <v>ALL OK</v>
      </c>
      <c r="BO316" s="372" t="str">
        <v>OK</v>
      </c>
      <c r="BP316" s="372" t="str">
        <v>n/a – no COD sale</v>
      </c>
      <c r="BQ316" s="560">
        <v>30000</v>
      </c>
      <c r="BR316" s="560">
        <v>-5687.169580433718</v>
      </c>
      <c r="BS316" s="560">
        <v>-5687.169580433718</v>
      </c>
      <c r="BT316" s="560">
        <v>24312.830419566282</v>
      </c>
      <c r="BU316" s="561">
        <v>121.56415209783141</v>
      </c>
      <c r="BV316" s="561">
        <v>121.56415209783141</v>
      </c>
      <c r="BW316" s="560">
        <v>0</v>
      </c>
      <c r="BX316" s="560">
        <v>0</v>
      </c>
      <c r="BY316" s="561">
        <v>0</v>
      </c>
      <c r="BZ316" s="568" t="str">
        <v>n/a</v>
      </c>
      <c r="CA316" s="561" t="str">
        <v>n/a</v>
      </c>
      <c r="CB316" s="561" t="str">
        <v>n/a</v>
      </c>
      <c r="CC316" s="561" t="str">
        <v>n/a</v>
      </c>
      <c r="CD316" s="561">
        <v>280</v>
      </c>
      <c r="CE316" s="561">
        <v>90</v>
      </c>
    </row>
    <row r="317">
      <c r="C317" s="360" t="inlineStr">
        <is>
          <t xml:space="preserve">S3 – COD sale EU (7)</t>
        </is>
      </c>
      <c r="D317" s="565">
        <v>2</v>
      </c>
      <c r="E317" s="565">
        <v>7</v>
      </c>
      <c r="F317" s="565">
        <v>12</v>
      </c>
      <c r="G317" s="560">
        <v>93021.96619023028</v>
      </c>
      <c r="H317" s="560">
        <v>93021.96619023028</v>
      </c>
      <c r="I317" s="568">
        <v>0.27398227038920586</v>
      </c>
      <c r="J317" s="560">
        <v>49989.0355210328</v>
      </c>
      <c r="K317" s="569">
        <v>0.3232769169026772</v>
      </c>
      <c r="L317" s="569">
        <v>1.4480096889623337</v>
      </c>
      <c r="M317" s="560">
        <v>207633.82686138974</v>
      </c>
      <c r="N317" s="560">
        <v>49989.0355210328</v>
      </c>
      <c r="O317" s="372" t="str">
        <v>ALL OK / OK</v>
      </c>
      <c r="P317" s="372" t="str">
        <v>COD Sep-31 → sale at COD</v>
      </c>
      <c r="Q317" s="560">
        <v>631120</v>
      </c>
      <c r="R317" s="560">
        <v>292785.1612055154</v>
      </c>
      <c r="S317" s="560">
        <v>337834.8387944846</v>
      </c>
      <c r="T317" s="568">
        <v>0.6</v>
      </c>
      <c r="U317" s="561">
        <v>2254</v>
      </c>
      <c r="V317" s="560" t="str">
        <v>14,614 / 508</v>
      </c>
      <c r="W317" s="560">
        <v>26241.007004</v>
      </c>
      <c r="X317" s="560">
        <v>3137.845921749919</v>
      </c>
      <c r="Y317" s="561">
        <v>2316.180232931507</v>
      </c>
      <c r="Z317" s="560">
        <v>463236.0465863014</v>
      </c>
      <c r="AA317" s="560">
        <v>292785.1612055154</v>
      </c>
      <c r="AB317" s="560" t="str">
        <v>–</v>
      </c>
      <c r="AC317" s="561" t="str">
        <v>–</v>
      </c>
      <c r="AD317" s="560" t="str">
        <v>–</v>
      </c>
      <c r="AE317" s="561" t="str">
        <v>–</v>
      </c>
      <c r="AF317" s="568" t="str">
        <v>–</v>
      </c>
      <c r="AG317" s="568">
        <v>0.4376558848511634</v>
      </c>
      <c r="AH317" s="565" t="str">
        <v>–</v>
      </c>
      <c r="AI317" s="569" t="str">
        <v>–</v>
      </c>
      <c r="AJ317" s="372">
        <v>0</v>
      </c>
      <c r="AK317" s="561">
        <v>950</v>
      </c>
      <c r="AL317" s="561">
        <v>2316.180232931507</v>
      </c>
      <c r="AM317" s="560">
        <v>463236.0465863014</v>
      </c>
      <c r="AN317" s="568">
        <v>0.6</v>
      </c>
      <c r="AO317" s="560">
        <v>292785.1612055153</v>
      </c>
      <c r="AP317" s="560">
        <v>17855.423245698435</v>
      </c>
      <c r="AQ317" s="561">
        <v>136.72360120243573</v>
      </c>
      <c r="AR317" s="560">
        <v>2441257.7671455736</v>
      </c>
      <c r="AS317" s="568">
        <v>0.7691370289208584</v>
      </c>
      <c r="AT317" s="561">
        <v>101.55528370783142</v>
      </c>
      <c r="AU317" s="560">
        <v>899791.5677270878</v>
      </c>
      <c r="AV317" s="560">
        <v>817788.4481513347</v>
      </c>
      <c r="AW317" s="568">
        <v>0.10152409031054911</v>
      </c>
      <c r="AX317" s="560">
        <v>47040.909605487635</v>
      </c>
      <c r="AY317" s="569">
        <v>0.4192791324085429</v>
      </c>
      <c r="AZ317" s="569">
        <v>6.410542096198794</v>
      </c>
      <c r="BA317" s="560">
        <v>151147.22954024817</v>
      </c>
      <c r="BB317" s="565">
        <v>2044</v>
      </c>
      <c r="BC317" s="568">
        <v>0.09749006738610967</v>
      </c>
      <c r="BD317" s="568">
        <v>0.09230892176562569</v>
      </c>
      <c r="BE317" s="560">
        <v>51171.83343615167</v>
      </c>
      <c r="BF317" s="568">
        <v>0.1015240903105491</v>
      </c>
      <c r="BG317" s="569">
        <v>1.1161219689982838</v>
      </c>
      <c r="BH317" s="569">
        <v>0.9883646882124458</v>
      </c>
      <c r="BI317" s="372" t="str">
        <v>ALL OK</v>
      </c>
      <c r="BJ317" s="562">
        <v>69.5</v>
      </c>
      <c r="BK317" s="562">
        <v>69.5</v>
      </c>
      <c r="BL317" s="562">
        <v>54.5</v>
      </c>
      <c r="BM317" s="372" t="str">
        <v>ALL OK</v>
      </c>
      <c r="BN317" s="372" t="str">
        <v>ALL OK</v>
      </c>
      <c r="BO317" s="372" t="str">
        <v>OK</v>
      </c>
      <c r="BP317" s="372" t="str">
        <v>OK</v>
      </c>
      <c r="BQ317" s="560">
        <v>30000</v>
      </c>
      <c r="BR317" s="560">
        <v>-5687.169580433718</v>
      </c>
      <c r="BS317" s="560">
        <v>-5687.169580433718</v>
      </c>
      <c r="BT317" s="560">
        <v>24312.830419566282</v>
      </c>
      <c r="BU317" s="561">
        <v>121.56415209783141</v>
      </c>
      <c r="BV317" s="561">
        <v>121.56415209783141</v>
      </c>
      <c r="BW317" s="560">
        <v>631120</v>
      </c>
      <c r="BX317" s="560">
        <v>0</v>
      </c>
      <c r="BY317" s="561">
        <v>2254</v>
      </c>
      <c r="BZ317" s="568">
        <v>0.07197273866697608</v>
      </c>
      <c r="CA317" s="561">
        <v>2305.4853073993986</v>
      </c>
      <c r="CB317" s="561">
        <v>2061.7100154272534</v>
      </c>
      <c r="CC317" s="561">
        <v>1855.875924465402</v>
      </c>
      <c r="CD317" s="561">
        <v>280</v>
      </c>
      <c r="CE317" s="561">
        <v>90</v>
      </c>
    </row>
    <row r="318">
      <c r="C318" s="360" t="inlineStr">
        <is>
          <t xml:space="preserve">S3 – COD sale CN (8)</t>
        </is>
      </c>
      <c r="D318" s="565">
        <v>2</v>
      </c>
      <c r="E318" s="565">
        <v>8</v>
      </c>
      <c r="F318" s="565">
        <v>13</v>
      </c>
      <c r="G318" s="560">
        <v>129714.23558417066</v>
      </c>
      <c r="H318" s="560">
        <v>129714.23558417066</v>
      </c>
      <c r="I318" s="568">
        <v>0.39043141054334973</v>
      </c>
      <c r="J318" s="560">
        <v>76095.82123298569</v>
      </c>
      <c r="K318" s="569">
        <v>0.5532266546856257</v>
      </c>
      <c r="L318" s="569">
        <v>1.7042023674906153</v>
      </c>
      <c r="M318" s="560">
        <v>184200.22648659907</v>
      </c>
      <c r="N318" s="560">
        <v>76095.82123298569</v>
      </c>
      <c r="O318" s="372" t="str">
        <v>ALL OK / OK</v>
      </c>
      <c r="P318" s="372" t="str">
        <v>COD Sep-31 → sale at COD</v>
      </c>
      <c r="Q318" s="560">
        <v>540960</v>
      </c>
      <c r="R318" s="560">
        <v>173641.23387467692</v>
      </c>
      <c r="S318" s="560">
        <v>366818.7661253231</v>
      </c>
      <c r="T318" s="568">
        <v>0.5</v>
      </c>
      <c r="U318" s="561">
        <v>1932</v>
      </c>
      <c r="V318" s="560" t="str">
        <v>14,614 / 508</v>
      </c>
      <c r="W318" s="560">
        <v>26241.007004</v>
      </c>
      <c r="X318" s="560">
        <v>3137.845921749919</v>
      </c>
      <c r="Y318" s="561">
        <v>1648.380232931507</v>
      </c>
      <c r="Z318" s="560">
        <v>329676.0465863014</v>
      </c>
      <c r="AA318" s="560">
        <v>173641.23387467692</v>
      </c>
      <c r="AB318" s="560" t="str">
        <v>–</v>
      </c>
      <c r="AC318" s="561" t="str">
        <v>–</v>
      </c>
      <c r="AD318" s="560" t="str">
        <v>–</v>
      </c>
      <c r="AE318" s="561" t="str">
        <v>–</v>
      </c>
      <c r="AF318" s="568" t="str">
        <v>–</v>
      </c>
      <c r="AG318" s="568">
        <v>0.6006225522523378</v>
      </c>
      <c r="AH318" s="565" t="str">
        <v>–</v>
      </c>
      <c r="AI318" s="569" t="str">
        <v>–</v>
      </c>
      <c r="AJ318" s="372">
        <v>0</v>
      </c>
      <c r="AK318" s="561">
        <v>500</v>
      </c>
      <c r="AL318" s="561">
        <v>1648.380232931507</v>
      </c>
      <c r="AM318" s="560">
        <v>329676.0465863014</v>
      </c>
      <c r="AN318" s="568">
        <v>0.5</v>
      </c>
      <c r="AO318" s="560">
        <v>173641.23387467692</v>
      </c>
      <c r="AP318" s="560">
        <v>17855.423245698435</v>
      </c>
      <c r="AQ318" s="561">
        <v>136.72360120243573</v>
      </c>
      <c r="AR318" s="560">
        <v>2441257.7671455736</v>
      </c>
      <c r="AS318" s="568">
        <v>0.7691370289208584</v>
      </c>
      <c r="AT318" s="561">
        <v>81.14822508465892</v>
      </c>
      <c r="AU318" s="560">
        <v>1033298.9171683649</v>
      </c>
      <c r="AV318" s="560">
        <v>939280.1361428967</v>
      </c>
      <c r="AW318" s="568">
        <v>0.1355373083352055</v>
      </c>
      <c r="AX318" s="560">
        <v>104861.68135255546</v>
      </c>
      <c r="AY318" s="569">
        <v>1.0931789270069967</v>
      </c>
      <c r="AZ318" s="569">
        <v>8.314887273771443</v>
      </c>
      <c r="BA318" s="560">
        <v>128406.6453779565</v>
      </c>
      <c r="BB318" s="565">
        <v>2041</v>
      </c>
      <c r="BC318" s="568">
        <v>0.1308185538255464</v>
      </c>
      <c r="BD318" s="568">
        <v>0.1236776047428634</v>
      </c>
      <c r="BE318" s="560">
        <v>143331.06830181676</v>
      </c>
      <c r="BF318" s="568">
        <v>0.1355373083352055</v>
      </c>
      <c r="BG318" s="569">
        <v>1.8399794650261854</v>
      </c>
      <c r="BH318" s="569">
        <v>1.6272914990752794</v>
      </c>
      <c r="BI318" s="372" t="str">
        <v>ALL OK</v>
      </c>
      <c r="BJ318" s="562">
        <v>54.5</v>
      </c>
      <c r="BK318" s="562">
        <v>69.5</v>
      </c>
      <c r="BL318" s="562">
        <v>54.5</v>
      </c>
      <c r="BM318" s="372" t="str">
        <v>ALL OK</v>
      </c>
      <c r="BN318" s="372" t="str">
        <v>ALL OK</v>
      </c>
      <c r="BO318" s="372" t="str">
        <v>OK</v>
      </c>
      <c r="BP318" s="372" t="str">
        <v>OK</v>
      </c>
      <c r="BQ318" s="560">
        <v>30000</v>
      </c>
      <c r="BR318" s="560">
        <v>-5687.169580433718</v>
      </c>
      <c r="BS318" s="560">
        <v>-5687.169580433718</v>
      </c>
      <c r="BT318" s="560">
        <v>24312.830419566282</v>
      </c>
      <c r="BU318" s="561">
        <v>121.56415209783141</v>
      </c>
      <c r="BV318" s="561">
        <v>121.56415209783141</v>
      </c>
      <c r="BW318" s="560">
        <v>540960</v>
      </c>
      <c r="BX318" s="560">
        <v>0</v>
      </c>
      <c r="BY318" s="561">
        <v>1932</v>
      </c>
      <c r="BZ318" s="568">
        <v>0.0850635135244936</v>
      </c>
      <c r="CA318" s="561">
        <v>2281.7203989849927</v>
      </c>
      <c r="CB318" s="561">
        <v>2039.6841859301956</v>
      </c>
      <c r="CC318" s="561">
        <v>1835.3954637077247</v>
      </c>
      <c r="CD318" s="561">
        <v>280</v>
      </c>
      <c r="CE318" s="561">
        <v>90</v>
      </c>
    </row>
    <row r="319">
      <c r="C319" s="360" t="inlineStr">
        <is>
          <t xml:space="preserve">S3 – HTM EU (2)</t>
        </is>
      </c>
      <c r="D319" s="565">
        <v>2</v>
      </c>
      <c r="E319" s="565">
        <v>2</v>
      </c>
      <c r="F319" s="565">
        <v>14</v>
      </c>
      <c r="G319" s="560">
        <v>1270131.3767542185</v>
      </c>
      <c r="H319" s="560">
        <v>1152984.063074571</v>
      </c>
      <c r="I319" s="568">
        <v>0.09726662363662938</v>
      </c>
      <c r="J319" s="560">
        <v>55966.25893289026</v>
      </c>
      <c r="K319" s="569">
        <v>0.32630870257212286</v>
      </c>
      <c r="L319" s="569">
        <v>5.986744729582902</v>
      </c>
      <c r="M319" s="560">
        <v>231209.76219911868</v>
      </c>
      <c r="N319" s="560">
        <v>39936.792932631004</v>
      </c>
      <c r="O319" s="372" t="str">
        <v>ALL OK</v>
      </c>
      <c r="P319" s="372" t="str">
        <v>–</v>
      </c>
      <c r="Q319" s="560" t="str">
        <v>–</v>
      </c>
      <c r="R319" s="560" t="str">
        <v>–</v>
      </c>
      <c r="S319" s="560" t="str">
        <v>–</v>
      </c>
      <c r="T319" s="568" t="str">
        <v>–</v>
      </c>
      <c r="U319" s="561" t="str">
        <v>–</v>
      </c>
      <c r="V319" s="560" t="str">
        <v>–</v>
      </c>
      <c r="W319" s="560" t="str">
        <v>–</v>
      </c>
      <c r="X319" s="560" t="str">
        <v>–</v>
      </c>
      <c r="Y319" s="561">
        <v>2316.180232931507</v>
      </c>
      <c r="Z319" s="560">
        <v>463236.0465863014</v>
      </c>
      <c r="AA319" s="560">
        <v>292785.1612055153</v>
      </c>
      <c r="AB319" s="560">
        <v>17855.423245698435</v>
      </c>
      <c r="AC319" s="561">
        <v>136.72360120243573</v>
      </c>
      <c r="AD319" s="560">
        <v>2441257.7671455736</v>
      </c>
      <c r="AE319" s="561">
        <v>103.93263809051415</v>
      </c>
      <c r="AF319" s="568">
        <v>0.08937990002015178</v>
      </c>
      <c r="AG319" s="568">
        <v>0.09726662363662938</v>
      </c>
      <c r="AH319" s="565">
        <v>2044</v>
      </c>
      <c r="AI319" s="569">
        <v>1.1161219689982838</v>
      </c>
      <c r="AJ319" s="372" t="str">
        <v>–</v>
      </c>
      <c r="AK319" s="561">
        <v>950</v>
      </c>
      <c r="AL319" s="561">
        <v>2316.180232931507</v>
      </c>
      <c r="AM319" s="560">
        <v>463236.0465863014</v>
      </c>
      <c r="AN319" s="568">
        <v>0.6</v>
      </c>
      <c r="AO319" s="560">
        <v>292785.1612055153</v>
      </c>
      <c r="AP319" s="560">
        <v>17855.423245698435</v>
      </c>
      <c r="AQ319" s="561">
        <v>136.72360120243573</v>
      </c>
      <c r="AR319" s="560">
        <v>2441257.7671455736</v>
      </c>
      <c r="AS319" s="568">
        <v>0.7691370289208584</v>
      </c>
      <c r="AT319" s="561">
        <v>103.93263809051415</v>
      </c>
      <c r="AU319" s="560">
        <v>1270131.3767542185</v>
      </c>
      <c r="AV319" s="560">
        <v>1152984.063074571</v>
      </c>
      <c r="AW319" s="568">
        <v>0.09726662363662938</v>
      </c>
      <c r="AX319" s="560">
        <v>55966.25893289026</v>
      </c>
      <c r="AY319" s="569">
        <v>0.32630870257212286</v>
      </c>
      <c r="AZ319" s="569">
        <v>5.986744729582902</v>
      </c>
      <c r="BA319" s="560">
        <v>231209.76219911868</v>
      </c>
      <c r="BB319" s="565">
        <v>2044</v>
      </c>
      <c r="BC319" s="568">
        <v>0.09450737335829172</v>
      </c>
      <c r="BD319" s="568">
        <v>0.08937990002015178</v>
      </c>
      <c r="BE319" s="560">
        <v>39936.792932631004</v>
      </c>
      <c r="BF319" s="568">
        <v>0.09726662363662938</v>
      </c>
      <c r="BG319" s="569">
        <v>1.1161219689982838</v>
      </c>
      <c r="BH319" s="569">
        <v>0.9883646882124458</v>
      </c>
      <c r="BI319" s="372" t="str">
        <v>ALL OK</v>
      </c>
      <c r="BJ319" s="562">
        <v>69.5</v>
      </c>
      <c r="BK319" s="562">
        <v>69.5</v>
      </c>
      <c r="BL319" s="562">
        <v>54.5</v>
      </c>
      <c r="BM319" s="372" t="str">
        <v>ALL OK</v>
      </c>
      <c r="BN319" s="372" t="str">
        <v>ALL OK</v>
      </c>
      <c r="BO319" s="372" t="str">
        <v>OK</v>
      </c>
      <c r="BP319" s="372" t="str">
        <v>n/a – no COD sale</v>
      </c>
      <c r="BQ319" s="560">
        <v>30000</v>
      </c>
      <c r="BR319" s="560">
        <v>-5687.169580433718</v>
      </c>
      <c r="BS319" s="560">
        <v>-5687.169580433718</v>
      </c>
      <c r="BT319" s="560">
        <v>24312.830419566282</v>
      </c>
      <c r="BU319" s="561">
        <v>121.56415209783141</v>
      </c>
      <c r="BV319" s="561">
        <v>121.56415209783141</v>
      </c>
      <c r="BW319" s="560">
        <v>0</v>
      </c>
      <c r="BX319" s="560">
        <v>0</v>
      </c>
      <c r="BY319" s="561">
        <v>0</v>
      </c>
      <c r="BZ319" s="568" t="str">
        <v>n/a</v>
      </c>
      <c r="CA319" s="561" t="str">
        <v>n/a</v>
      </c>
      <c r="CB319" s="561" t="str">
        <v>n/a</v>
      </c>
      <c r="CC319" s="561" t="str">
        <v>n/a</v>
      </c>
      <c r="CD319" s="561">
        <v>280</v>
      </c>
      <c r="CE319" s="561">
        <v>90</v>
      </c>
    </row>
    <row r="320">
      <c r="C320" s="360" t="inlineStr">
        <is>
          <t xml:space="preserve">S3 – HTM CN (3)</t>
        </is>
      </c>
      <c r="D320" s="565">
        <v>2</v>
      </c>
      <c r="E320" s="565">
        <v>3</v>
      </c>
      <c r="F320" s="565">
        <v>15</v>
      </c>
      <c r="G320" s="560">
        <v>1460856.1616703286</v>
      </c>
      <c r="H320" s="560">
        <v>1326543.6173482314</v>
      </c>
      <c r="I320" s="568">
        <v>0.12909658652699293</v>
      </c>
      <c r="J320" s="560">
        <v>138567.36142870146</v>
      </c>
      <c r="K320" s="569">
        <v>0.9345686706212543</v>
      </c>
      <c r="L320" s="569">
        <v>7.6753329652829</v>
      </c>
      <c r="M320" s="560">
        <v>198723.21339584485</v>
      </c>
      <c r="N320" s="560">
        <v>132096.02779829613</v>
      </c>
      <c r="O320" s="372" t="str">
        <v>ALL OK</v>
      </c>
      <c r="P320" s="372" t="str">
        <v>–</v>
      </c>
      <c r="Q320" s="560" t="str">
        <v>–</v>
      </c>
      <c r="R320" s="560" t="str">
        <v>–</v>
      </c>
      <c r="S320" s="560" t="str">
        <v>–</v>
      </c>
      <c r="T320" s="568" t="str">
        <v>–</v>
      </c>
      <c r="U320" s="561" t="str">
        <v>–</v>
      </c>
      <c r="V320" s="560" t="str">
        <v>–</v>
      </c>
      <c r="W320" s="560" t="str">
        <v>–</v>
      </c>
      <c r="X320" s="560" t="str">
        <v>–</v>
      </c>
      <c r="Y320" s="561">
        <v>1648.380232931507</v>
      </c>
      <c r="Z320" s="560">
        <v>329676.0465863014</v>
      </c>
      <c r="AA320" s="560">
        <v>173641.23387467692</v>
      </c>
      <c r="AB320" s="560">
        <v>17855.423245698435</v>
      </c>
      <c r="AC320" s="561">
        <v>136.72360120243573</v>
      </c>
      <c r="AD320" s="560">
        <v>2441257.7671455736</v>
      </c>
      <c r="AE320" s="561">
        <v>83.52557946734166</v>
      </c>
      <c r="AF320" s="568">
        <v>0.11895900358125626</v>
      </c>
      <c r="AG320" s="568">
        <v>0.12909658652699293</v>
      </c>
      <c r="AH320" s="565">
        <v>2041</v>
      </c>
      <c r="AI320" s="569">
        <v>1.8399794650261854</v>
      </c>
      <c r="AJ320" s="372" t="str">
        <v>–</v>
      </c>
      <c r="AK320" s="561">
        <v>500</v>
      </c>
      <c r="AL320" s="561">
        <v>1648.380232931507</v>
      </c>
      <c r="AM320" s="560">
        <v>329676.0465863014</v>
      </c>
      <c r="AN320" s="568">
        <v>0.5</v>
      </c>
      <c r="AO320" s="560">
        <v>173641.23387467692</v>
      </c>
      <c r="AP320" s="560">
        <v>17855.423245698435</v>
      </c>
      <c r="AQ320" s="561">
        <v>136.72360120243573</v>
      </c>
      <c r="AR320" s="560">
        <v>2441257.7671455736</v>
      </c>
      <c r="AS320" s="568">
        <v>0.7691370289208584</v>
      </c>
      <c r="AT320" s="561">
        <v>83.52557946734166</v>
      </c>
      <c r="AU320" s="560">
        <v>1460856.1616703286</v>
      </c>
      <c r="AV320" s="560">
        <v>1326543.6173482314</v>
      </c>
      <c r="AW320" s="568">
        <v>0.12909658652699293</v>
      </c>
      <c r="AX320" s="560">
        <v>138567.36142870146</v>
      </c>
      <c r="AY320" s="569">
        <v>0.9345686706212543</v>
      </c>
      <c r="AZ320" s="569">
        <v>7.6753329652829</v>
      </c>
      <c r="BA320" s="560">
        <v>198723.21339584485</v>
      </c>
      <c r="BB320" s="565">
        <v>2041</v>
      </c>
      <c r="BC320" s="568">
        <v>0.12595277770793348</v>
      </c>
      <c r="BD320" s="568">
        <v>0.11895900358125626</v>
      </c>
      <c r="BE320" s="560">
        <v>132096.02779829613</v>
      </c>
      <c r="BF320" s="568">
        <v>0.12909658652699293</v>
      </c>
      <c r="BG320" s="569">
        <v>1.8399794650261854</v>
      </c>
      <c r="BH320" s="569">
        <v>1.6272914990752794</v>
      </c>
      <c r="BI320" s="372" t="str">
        <v>ALL OK</v>
      </c>
      <c r="BJ320" s="562">
        <v>54.5</v>
      </c>
      <c r="BK320" s="562">
        <v>69.5</v>
      </c>
      <c r="BL320" s="562">
        <v>54.5</v>
      </c>
      <c r="BM320" s="372" t="str">
        <v>ALL OK</v>
      </c>
      <c r="BN320" s="372" t="str">
        <v>ALL OK</v>
      </c>
      <c r="BO320" s="372" t="str">
        <v>OK</v>
      </c>
      <c r="BP320" s="372" t="str">
        <v>n/a – no COD sale</v>
      </c>
      <c r="BQ320" s="560">
        <v>30000</v>
      </c>
      <c r="BR320" s="560">
        <v>-5687.169580433718</v>
      </c>
      <c r="BS320" s="560">
        <v>-5687.169580433718</v>
      </c>
      <c r="BT320" s="560">
        <v>24312.830419566282</v>
      </c>
      <c r="BU320" s="561">
        <v>121.56415209783141</v>
      </c>
      <c r="BV320" s="561">
        <v>121.56415209783141</v>
      </c>
      <c r="BW320" s="560">
        <v>0</v>
      </c>
      <c r="BX320" s="560">
        <v>0</v>
      </c>
      <c r="BY320" s="561">
        <v>0</v>
      </c>
      <c r="BZ320" s="568" t="str">
        <v>n/a</v>
      </c>
      <c r="CA320" s="561" t="str">
        <v>n/a</v>
      </c>
      <c r="CB320" s="561" t="str">
        <v>n/a</v>
      </c>
      <c r="CC320" s="561" t="str">
        <v>n/a</v>
      </c>
      <c r="CD320" s="561">
        <v>280</v>
      </c>
      <c r="CE320" s="561">
        <v>90</v>
      </c>
    </row>
    <row r="321">
      <c r="C321" s="360" t="inlineStr">
        <is>
          <t xml:space="preserve">S4 – RtB sale (1)</t>
        </is>
      </c>
      <c r="D321" s="565">
        <v>3</v>
      </c>
      <c r="E321" s="565">
        <v>1</v>
      </c>
      <c r="F321" s="565">
        <v>16</v>
      </c>
      <c r="G321" s="560">
        <v>-5037.478471311522</v>
      </c>
      <c r="H321" s="560">
        <v>-5349.486267543791</v>
      </c>
      <c r="I321" s="568">
        <v>-0.0749152579605665</v>
      </c>
      <c r="J321" s="560">
        <v>-8589.28057164893</v>
      </c>
      <c r="K321" s="569">
        <v>-0.19625156033766478</v>
      </c>
      <c r="L321" s="569">
        <v>0.8974854281606272</v>
      </c>
      <c r="M321" s="560">
        <v>52002.384836818426</v>
      </c>
      <c r="N321" s="560">
        <v>-11579.480366081094</v>
      </c>
      <c r="O321" s="372" t="str">
        <v>ALL OK</v>
      </c>
      <c r="P321" s="372" t="str">
        <v>Jun-29 → Mar-30</v>
      </c>
      <c r="Q321" s="560">
        <v>47145.212940849364</v>
      </c>
      <c r="R321" s="560">
        <v>-10290.571257178784</v>
      </c>
      <c r="S321" s="560">
        <v>-10602.579053411055</v>
      </c>
      <c r="T321" s="568" t="str">
        <v>–</v>
      </c>
      <c r="U321" s="561" t="str">
        <v>–</v>
      </c>
      <c r="V321" s="560" t="str">
        <v>14,614 / 508</v>
      </c>
      <c r="W321" s="560">
        <v>30444.547004</v>
      </c>
      <c r="X321" s="560">
        <v>3137.845921749919</v>
      </c>
      <c r="Y321" s="561" t="str">
        <v>–</v>
      </c>
      <c r="Z321" s="560" t="str">
        <v>–</v>
      </c>
      <c r="AA321" s="560" t="str">
        <v>–</v>
      </c>
      <c r="AB321" s="560" t="str">
        <v>–</v>
      </c>
      <c r="AC321" s="561" t="str">
        <v>–</v>
      </c>
      <c r="AD321" s="560" t="str">
        <v>–</v>
      </c>
      <c r="AE321" s="561" t="str">
        <v>–</v>
      </c>
      <c r="AF321" s="568" t="str">
        <v>–</v>
      </c>
      <c r="AG321" s="568" t="str">
        <v>–</v>
      </c>
      <c r="AH321" s="565" t="str">
        <v>–</v>
      </c>
      <c r="AI321" s="569" t="str">
        <v>–</v>
      </c>
      <c r="AJ321" s="372">
        <v>702.2000843899177</v>
      </c>
      <c r="AK321" s="561">
        <v>950</v>
      </c>
      <c r="AL321" s="561">
        <v>2575.095232931507</v>
      </c>
      <c r="AM321" s="560">
        <v>515019.0465863014</v>
      </c>
      <c r="AN321" s="568">
        <v>0.55</v>
      </c>
      <c r="AO321" s="560">
        <v>298388.0630959771</v>
      </c>
      <c r="AP321" s="560">
        <v>18236.2095544817</v>
      </c>
      <c r="AQ321" s="561">
        <v>146.16659954585938</v>
      </c>
      <c r="AR321" s="560">
        <v>2665524.7391843013</v>
      </c>
      <c r="AS321" s="568">
        <v>0.7661528602463661</v>
      </c>
      <c r="AT321" s="561">
        <v>110.0421439937617</v>
      </c>
      <c r="AU321" s="560">
        <v>1409370.4812945537</v>
      </c>
      <c r="AV321" s="560">
        <v>1281194.954241984</v>
      </c>
      <c r="AW321" s="568">
        <v>0.10932279654781303</v>
      </c>
      <c r="AX321" s="560">
        <v>97160.60733134724</v>
      </c>
      <c r="AY321" s="569">
        <v>0.5036969101444622</v>
      </c>
      <c r="AZ321" s="569">
        <v>5.9119462441723485</v>
      </c>
      <c r="BA321" s="560">
        <v>260832.44615350274</v>
      </c>
      <c r="BB321" s="565">
        <v>2042</v>
      </c>
      <c r="BC321" s="568">
        <v>0.1055550397574267</v>
      </c>
      <c r="BD321" s="568">
        <v>0.0994863604962835</v>
      </c>
      <c r="BE321" s="560">
        <v>83563.28868863039</v>
      </c>
      <c r="BF321" s="568">
        <v>0.10932279654781303</v>
      </c>
      <c r="BG321" s="569">
        <v>1.424156477849253</v>
      </c>
      <c r="BH321" s="569">
        <v>0.7514391377907871</v>
      </c>
      <c r="BI321" s="372" t="str">
        <v>ALL OK</v>
      </c>
      <c r="BJ321" s="562">
        <v>90</v>
      </c>
      <c r="BK321" s="562">
        <v>90</v>
      </c>
      <c r="BL321" s="562">
        <v>75</v>
      </c>
      <c r="BM321" s="372" t="str">
        <v>ALL OK</v>
      </c>
      <c r="BN321" s="372" t="str">
        <v>ALL OK</v>
      </c>
      <c r="BO321" s="372" t="str">
        <v>OK</v>
      </c>
      <c r="BP321" s="372" t="str">
        <v>n/a – no COD sale</v>
      </c>
      <c r="BQ321" s="560">
        <v>30000</v>
      </c>
      <c r="BR321" s="560">
        <v>-24211.966799839272</v>
      </c>
      <c r="BS321" s="560">
        <v>-24211.966799839272</v>
      </c>
      <c r="BT321" s="560">
        <v>5788.033200160728</v>
      </c>
      <c r="BU321" s="561">
        <v>28.940166000803643</v>
      </c>
      <c r="BV321" s="561">
        <v>28.94016600080364</v>
      </c>
      <c r="BW321" s="560">
        <v>0</v>
      </c>
      <c r="BX321" s="560">
        <v>-6325.885941921205</v>
      </c>
      <c r="BY321" s="561">
        <v>0</v>
      </c>
      <c r="BZ321" s="568" t="str">
        <v>n/a</v>
      </c>
      <c r="CA321" s="561" t="str">
        <v>n/a</v>
      </c>
      <c r="CB321" s="561" t="str">
        <v>n/a</v>
      </c>
      <c r="CC321" s="561" t="str">
        <v>n/a</v>
      </c>
      <c r="CD321" s="561">
        <v>308</v>
      </c>
      <c r="CE321" s="561">
        <v>157.08</v>
      </c>
    </row>
    <row r="322">
      <c r="C322" s="360" t="inlineStr">
        <is>
          <t xml:space="preserve">S4 – COD sale EU (7)</t>
        </is>
      </c>
      <c r="D322" s="565">
        <v>3</v>
      </c>
      <c r="E322" s="565">
        <v>7</v>
      </c>
      <c r="F322" s="565">
        <v>17</v>
      </c>
      <c r="G322" s="560">
        <v>57532.68202082554</v>
      </c>
      <c r="H322" s="560">
        <v>57532.68202082554</v>
      </c>
      <c r="I322" s="568">
        <v>0.1630761981817325</v>
      </c>
      <c r="J322" s="560">
        <v>24494.91000854238</v>
      </c>
      <c r="K322" s="569">
        <v>0.14171791646724582</v>
      </c>
      <c r="L322" s="569">
        <v>1.2475364657283692</v>
      </c>
      <c r="M322" s="560">
        <v>232421.03684213653</v>
      </c>
      <c r="N322" s="560">
        <v>24494.91000854238</v>
      </c>
      <c r="O322" s="372" t="str">
        <v>ALL OK / OK</v>
      </c>
      <c r="P322" s="372" t="str">
        <v>COD Sep-31 → sale at COD</v>
      </c>
      <c r="Q322" s="560">
        <v>638253.4340580788</v>
      </c>
      <c r="R322" s="560">
        <v>325514.2506501569</v>
      </c>
      <c r="S322" s="560">
        <v>312239.1834079219</v>
      </c>
      <c r="T322" s="568">
        <v>0.6</v>
      </c>
      <c r="U322" s="561">
        <v>2092.79</v>
      </c>
      <c r="V322" s="560" t="str">
        <v>14,614 / 508</v>
      </c>
      <c r="W322" s="560">
        <v>30444.547004</v>
      </c>
      <c r="X322" s="560">
        <v>3137.845921749919</v>
      </c>
      <c r="Y322" s="561">
        <v>2575.095232931507</v>
      </c>
      <c r="Z322" s="560">
        <v>515019.0465863014</v>
      </c>
      <c r="AA322" s="560">
        <v>325514.2506501569</v>
      </c>
      <c r="AB322" s="560" t="str">
        <v>–</v>
      </c>
      <c r="AC322" s="561" t="str">
        <v>–</v>
      </c>
      <c r="AD322" s="560" t="str">
        <v>–</v>
      </c>
      <c r="AE322" s="561" t="str">
        <v>–</v>
      </c>
      <c r="AF322" s="568" t="str">
        <v>–</v>
      </c>
      <c r="AG322" s="568">
        <v>0.26841495799080767</v>
      </c>
      <c r="AH322" s="565" t="str">
        <v>–</v>
      </c>
      <c r="AI322" s="569" t="str">
        <v>–</v>
      </c>
      <c r="AJ322" s="372">
        <v>0</v>
      </c>
      <c r="AK322" s="561">
        <v>950</v>
      </c>
      <c r="AL322" s="561">
        <v>2575.095232931507</v>
      </c>
      <c r="AM322" s="560">
        <v>515019.0465863014</v>
      </c>
      <c r="AN322" s="568">
        <v>0.6</v>
      </c>
      <c r="AO322" s="560">
        <v>325514.2506501569</v>
      </c>
      <c r="AP322" s="560">
        <v>18236.2095544817</v>
      </c>
      <c r="AQ322" s="561">
        <v>136.72360120243573</v>
      </c>
      <c r="AR322" s="560">
        <v>2493320.2425710037</v>
      </c>
      <c r="AS322" s="568">
        <v>0.751455741237603</v>
      </c>
      <c r="AT322" s="561">
        <v>110.5219355865879</v>
      </c>
      <c r="AU322" s="560">
        <v>846136.165164987</v>
      </c>
      <c r="AV322" s="560">
        <v>768714.364050041</v>
      </c>
      <c r="AW322" s="568">
        <v>0.08890560701185186</v>
      </c>
      <c r="AX322" s="560">
        <v>21081.803357766974</v>
      </c>
      <c r="AY322" s="569">
        <v>0.1671546860420747</v>
      </c>
      <c r="AZ322" s="569">
        <v>5.515714691335539</v>
      </c>
      <c r="BA322" s="560">
        <v>170230.94163256156</v>
      </c>
      <c r="BB322" s="565">
        <v>2045</v>
      </c>
      <c r="BC322" s="568">
        <v>0.08711845360324943</v>
      </c>
      <c r="BD322" s="568">
        <v>0.08250048197682398</v>
      </c>
      <c r="BE322" s="560">
        <v>11273.101985461888</v>
      </c>
      <c r="BF322" s="568">
        <v>0.08890560701185188</v>
      </c>
      <c r="BG322" s="569">
        <v>1.00321000162642</v>
      </c>
      <c r="BH322" s="569">
        <v>0.8910830065131335</v>
      </c>
      <c r="BI322" s="372" t="str">
        <v>ALL OK</v>
      </c>
      <c r="BJ322" s="562">
        <v>90</v>
      </c>
      <c r="BK322" s="562">
        <v>90</v>
      </c>
      <c r="BL322" s="562">
        <v>75</v>
      </c>
      <c r="BM322" s="372" t="str">
        <v>ALL OK</v>
      </c>
      <c r="BN322" s="372" t="str">
        <v>ALL OK</v>
      </c>
      <c r="BO322" s="372" t="str">
        <v>OK</v>
      </c>
      <c r="BP322" s="372" t="str">
        <v>OK</v>
      </c>
      <c r="BQ322" s="560">
        <v>30000</v>
      </c>
      <c r="BR322" s="560">
        <v>-24211.966799839272</v>
      </c>
      <c r="BS322" s="560">
        <v>-24211.966799839272</v>
      </c>
      <c r="BT322" s="560">
        <v>5788.033200160728</v>
      </c>
      <c r="BU322" s="561">
        <v>28.940166000803643</v>
      </c>
      <c r="BV322" s="561">
        <v>28.94016600080364</v>
      </c>
      <c r="BW322" s="560">
        <v>638253.4340580788</v>
      </c>
      <c r="BX322" s="560">
        <v>-6325.885941921205</v>
      </c>
      <c r="BY322" s="561">
        <v>2072.251409279477</v>
      </c>
      <c r="BZ322" s="568">
        <v>0.07101584439821881</v>
      </c>
      <c r="CA322" s="561">
        <v>2096.568929327011</v>
      </c>
      <c r="CB322" s="561">
        <v>1874.8205460714862</v>
      </c>
      <c r="CC322" s="561">
        <v>1687.5772633912527</v>
      </c>
      <c r="CD322" s="561">
        <v>308</v>
      </c>
      <c r="CE322" s="561">
        <v>157.08</v>
      </c>
    </row>
    <row r="323">
      <c r="C323" s="360" t="inlineStr">
        <is>
          <t xml:space="preserve">S4 – COD sale CN (8)</t>
        </is>
      </c>
      <c r="D323" s="565">
        <v>3</v>
      </c>
      <c r="E323" s="565">
        <v>8</v>
      </c>
      <c r="F323" s="565">
        <v>18</v>
      </c>
      <c r="G323" s="560">
        <v>102798.19902688553</v>
      </c>
      <c r="H323" s="560">
        <v>102798.19902688553</v>
      </c>
      <c r="I323" s="568">
        <v>0.2959532095999144</v>
      </c>
      <c r="J323" s="560">
        <v>56525.92020671938</v>
      </c>
      <c r="K323" s="569">
        <v>0.36590838169377804</v>
      </c>
      <c r="L323" s="569">
        <v>1.4960338178569934</v>
      </c>
      <c r="M323" s="560">
        <v>207240.3036369634</v>
      </c>
      <c r="N323" s="560">
        <v>56525.92020671938</v>
      </c>
      <c r="O323" s="372" t="str">
        <v>ALL OK / OK</v>
      </c>
      <c r="P323" s="372" t="str">
        <v>COD Sep-31 → sale at COD</v>
      </c>
      <c r="Q323" s="560">
        <v>546170.6740580788</v>
      </c>
      <c r="R323" s="560">
        <v>193947.19956095854</v>
      </c>
      <c r="S323" s="560">
        <v>351723.47449712025</v>
      </c>
      <c r="T323" s="568">
        <v>0.5</v>
      </c>
      <c r="U323" s="561">
        <v>1793.82</v>
      </c>
      <c r="V323" s="560" t="str">
        <v>14,614 / 508</v>
      </c>
      <c r="W323" s="560">
        <v>30444.547004</v>
      </c>
      <c r="X323" s="560">
        <v>3137.845921749919</v>
      </c>
      <c r="Y323" s="561">
        <v>1841.145232931507</v>
      </c>
      <c r="Z323" s="560">
        <v>368229.0465863014</v>
      </c>
      <c r="AA323" s="560">
        <v>193947.19956095854</v>
      </c>
      <c r="AB323" s="560" t="str">
        <v>–</v>
      </c>
      <c r="AC323" s="561" t="str">
        <v>–</v>
      </c>
      <c r="AD323" s="560" t="str">
        <v>–</v>
      </c>
      <c r="AE323" s="561" t="str">
        <v>–</v>
      </c>
      <c r="AF323" s="568" t="str">
        <v>–</v>
      </c>
      <c r="AG323" s="568">
        <v>0.4691549450566327</v>
      </c>
      <c r="AH323" s="565" t="str">
        <v>–</v>
      </c>
      <c r="AI323" s="569" t="str">
        <v>–</v>
      </c>
      <c r="AJ323" s="372">
        <v>0</v>
      </c>
      <c r="AK323" s="561">
        <v>500</v>
      </c>
      <c r="AL323" s="561">
        <v>1841.145232931507</v>
      </c>
      <c r="AM323" s="560">
        <v>368229.0465863014</v>
      </c>
      <c r="AN323" s="568">
        <v>0.5</v>
      </c>
      <c r="AO323" s="560">
        <v>193947.19956095854</v>
      </c>
      <c r="AP323" s="560">
        <v>18236.2095544817</v>
      </c>
      <c r="AQ323" s="561">
        <v>136.72360120243573</v>
      </c>
      <c r="AR323" s="560">
        <v>2493320.2425710037</v>
      </c>
      <c r="AS323" s="568">
        <v>0.751455741237603</v>
      </c>
      <c r="AT323" s="561">
        <v>88.56174791506</v>
      </c>
      <c r="AU323" s="560">
        <v>994256.3474534057</v>
      </c>
      <c r="AV323" s="560">
        <v>903503.729932502</v>
      </c>
      <c r="AW323" s="568">
        <v>0.12114308094614981</v>
      </c>
      <c r="AX323" s="560">
        <v>84388.38051269134</v>
      </c>
      <c r="AY323" s="569">
        <v>0.7777330968698992</v>
      </c>
      <c r="AZ323" s="569">
        <v>7.20511318782374</v>
      </c>
      <c r="BA323" s="560">
        <v>145606.32539394163</v>
      </c>
      <c r="BB323" s="565">
        <v>2042</v>
      </c>
      <c r="BC323" s="568">
        <v>0.1178827646100996</v>
      </c>
      <c r="BD323" s="568">
        <v>0.11149608500104093</v>
      </c>
      <c r="BE323" s="560">
        <v>112560.35184626286</v>
      </c>
      <c r="BF323" s="568">
        <v>0.12114308094614983</v>
      </c>
      <c r="BG323" s="569">
        <v>1.6439896671953536</v>
      </c>
      <c r="BH323" s="569">
        <v>1.451654428745231</v>
      </c>
      <c r="BI323" s="372" t="str">
        <v>ALL OK</v>
      </c>
      <c r="BJ323" s="562">
        <v>75</v>
      </c>
      <c r="BK323" s="562">
        <v>90</v>
      </c>
      <c r="BL323" s="562">
        <v>75</v>
      </c>
      <c r="BM323" s="372" t="str">
        <v>ALL OK</v>
      </c>
      <c r="BN323" s="372" t="str">
        <v>ALL OK</v>
      </c>
      <c r="BO323" s="372" t="str">
        <v>OK</v>
      </c>
      <c r="BP323" s="372" t="str">
        <v>OK</v>
      </c>
      <c r="BQ323" s="560">
        <v>30000</v>
      </c>
      <c r="BR323" s="560">
        <v>-24211.966799839272</v>
      </c>
      <c r="BS323" s="560">
        <v>-24211.966799839272</v>
      </c>
      <c r="BT323" s="560">
        <v>5788.033200160728</v>
      </c>
      <c r="BU323" s="561">
        <v>28.940166000803643</v>
      </c>
      <c r="BV323" s="561">
        <v>28.94016600080364</v>
      </c>
      <c r="BW323" s="560">
        <v>546170.6740580788</v>
      </c>
      <c r="BX323" s="560">
        <v>-6325.885941921205</v>
      </c>
      <c r="BY323" s="561">
        <v>1773.2814092794765</v>
      </c>
      <c r="BZ323" s="568">
        <v>0.08408059076876358</v>
      </c>
      <c r="CA323" s="561">
        <v>2072.819529121324</v>
      </c>
      <c r="CB323" s="561">
        <v>1852.8090899166316</v>
      </c>
      <c r="CC323" s="561">
        <v>1667.1101675182424</v>
      </c>
      <c r="CD323" s="561">
        <v>308</v>
      </c>
      <c r="CE323" s="561">
        <v>157.08</v>
      </c>
    </row>
    <row r="324">
      <c r="C324" s="360" t="inlineStr">
        <is>
          <t xml:space="preserve">S4 – HTM EU (2)</t>
        </is>
      </c>
      <c r="D324" s="565">
        <v>3</v>
      </c>
      <c r="E324" s="565">
        <v>2</v>
      </c>
      <c r="F324" s="565">
        <v>19</v>
      </c>
      <c r="G324" s="560">
        <v>1214115.4365032392</v>
      </c>
      <c r="H324" s="560">
        <v>1103512.8634818878</v>
      </c>
      <c r="I324" s="568">
        <v>0.09019075393091146</v>
      </c>
      <c r="J324" s="560">
        <v>34048.89404343646</v>
      </c>
      <c r="K324" s="569">
        <v>0.19319445457267487</v>
      </c>
      <c r="L324" s="569">
        <v>5.6397751566314955</v>
      </c>
      <c r="M324" s="560">
        <v>237837.57320754416</v>
      </c>
      <c r="N324" s="560">
        <v>15205.134089231253</v>
      </c>
      <c r="O324" s="372" t="str">
        <v>ALL OK</v>
      </c>
      <c r="P324" s="372" t="str">
        <v>–</v>
      </c>
      <c r="Q324" s="560" t="str">
        <v>–</v>
      </c>
      <c r="R324" s="560" t="str">
        <v>–</v>
      </c>
      <c r="S324" s="560" t="str">
        <v>–</v>
      </c>
      <c r="T324" s="568" t="str">
        <v>–</v>
      </c>
      <c r="U324" s="561" t="str">
        <v>–</v>
      </c>
      <c r="V324" s="560" t="str">
        <v>–</v>
      </c>
      <c r="W324" s="560" t="str">
        <v>–</v>
      </c>
      <c r="X324" s="560" t="str">
        <v>–</v>
      </c>
      <c r="Y324" s="561">
        <v>2575.095232931507</v>
      </c>
      <c r="Z324" s="560">
        <v>515019.0465863014</v>
      </c>
      <c r="AA324" s="560">
        <v>325514.2506501569</v>
      </c>
      <c r="AB324" s="560">
        <v>18236.2095544817</v>
      </c>
      <c r="AC324" s="561">
        <v>136.72360120243573</v>
      </c>
      <c r="AD324" s="560">
        <v>2493320.2425710037</v>
      </c>
      <c r="AE324" s="561">
        <v>109.70728399037151</v>
      </c>
      <c r="AF324" s="568">
        <v>0.0833985049438284</v>
      </c>
      <c r="AG324" s="568">
        <v>0.09019075393091146</v>
      </c>
      <c r="AH324" s="565">
        <v>2045</v>
      </c>
      <c r="AI324" s="569">
        <v>1.00321000162642</v>
      </c>
      <c r="AJ324" s="372" t="str">
        <v>–</v>
      </c>
      <c r="AK324" s="561">
        <v>950</v>
      </c>
      <c r="AL324" s="561">
        <v>2575.095232931507</v>
      </c>
      <c r="AM324" s="560">
        <v>515019.0465863014</v>
      </c>
      <c r="AN324" s="568">
        <v>0.6</v>
      </c>
      <c r="AO324" s="560">
        <v>325514.2506501569</v>
      </c>
      <c r="AP324" s="560">
        <v>18236.2095544817</v>
      </c>
      <c r="AQ324" s="561">
        <v>136.72360120243573</v>
      </c>
      <c r="AR324" s="560">
        <v>2493320.2425710037</v>
      </c>
      <c r="AS324" s="568">
        <v>0.751455741237603</v>
      </c>
      <c r="AT324" s="561">
        <v>109.70728399037151</v>
      </c>
      <c r="AU324" s="560">
        <v>1214115.4365032392</v>
      </c>
      <c r="AV324" s="560">
        <v>1103512.8634818878</v>
      </c>
      <c r="AW324" s="568">
        <v>0.09019075393091146</v>
      </c>
      <c r="AX324" s="560">
        <v>34048.89404343646</v>
      </c>
      <c r="AY324" s="569">
        <v>0.19319445457267487</v>
      </c>
      <c r="AZ324" s="569">
        <v>5.6397751566314955</v>
      </c>
      <c r="BA324" s="560">
        <v>237837.57320754416</v>
      </c>
      <c r="BB324" s="565">
        <v>2045</v>
      </c>
      <c r="BC324" s="568">
        <v>0.0880289419712589</v>
      </c>
      <c r="BD324" s="568">
        <v>0.0833985049438284</v>
      </c>
      <c r="BE324" s="560">
        <v>15205.134089231253</v>
      </c>
      <c r="BF324" s="568">
        <v>0.09019075393091146</v>
      </c>
      <c r="BG324" s="569">
        <v>1.00321000162642</v>
      </c>
      <c r="BH324" s="569">
        <v>0.8910830065131335</v>
      </c>
      <c r="BI324" s="372" t="str">
        <v>ALL OK</v>
      </c>
      <c r="BJ324" s="562">
        <v>90</v>
      </c>
      <c r="BK324" s="562">
        <v>90</v>
      </c>
      <c r="BL324" s="562">
        <v>75</v>
      </c>
      <c r="BM324" s="372" t="str">
        <v>ALL OK</v>
      </c>
      <c r="BN324" s="372" t="str">
        <v>ALL OK</v>
      </c>
      <c r="BO324" s="372" t="str">
        <v>OK</v>
      </c>
      <c r="BP324" s="372" t="str">
        <v>n/a – no COD sale</v>
      </c>
      <c r="BQ324" s="560">
        <v>30000</v>
      </c>
      <c r="BR324" s="560">
        <v>-24211.966799839272</v>
      </c>
      <c r="BS324" s="560">
        <v>-24211.966799839272</v>
      </c>
      <c r="BT324" s="560">
        <v>5788.033200160728</v>
      </c>
      <c r="BU324" s="561">
        <v>28.940166000803643</v>
      </c>
      <c r="BV324" s="561">
        <v>28.94016600080364</v>
      </c>
      <c r="BW324" s="560">
        <v>0</v>
      </c>
      <c r="BX324" s="560">
        <v>-6325.885941921205</v>
      </c>
      <c r="BY324" s="561">
        <v>0</v>
      </c>
      <c r="BZ324" s="568" t="str">
        <v>n/a</v>
      </c>
      <c r="CA324" s="561" t="str">
        <v>n/a</v>
      </c>
      <c r="CB324" s="561" t="str">
        <v>n/a</v>
      </c>
      <c r="CC324" s="561" t="str">
        <v>n/a</v>
      </c>
      <c r="CD324" s="561">
        <v>308</v>
      </c>
      <c r="CE324" s="561">
        <v>157.08</v>
      </c>
    </row>
    <row r="325">
      <c r="C325" s="360" t="inlineStr">
        <is>
          <t xml:space="preserve">S4 – HTM CN (3)</t>
        </is>
      </c>
      <c r="D325" s="565">
        <v>3</v>
      </c>
      <c r="E325" s="565">
        <v>3</v>
      </c>
      <c r="F325" s="565">
        <v>20</v>
      </c>
      <c r="G325" s="560">
        <v>1425715.6969152663</v>
      </c>
      <c r="H325" s="560">
        <v>1296069.1004568324</v>
      </c>
      <c r="I325" s="568">
        <v>0.12311565150873711</v>
      </c>
      <c r="J325" s="560">
        <v>124486.86140761414</v>
      </c>
      <c r="K325" s="569">
        <v>0.824001904869209</v>
      </c>
      <c r="L325" s="569">
        <v>7.395302369890669</v>
      </c>
      <c r="M325" s="560">
        <v>202659.5500095157</v>
      </c>
      <c r="N325" s="560">
        <v>116492.3839500322</v>
      </c>
      <c r="O325" s="372" t="str">
        <v>ALL OK</v>
      </c>
      <c r="P325" s="372" t="str">
        <v>–</v>
      </c>
      <c r="Q325" s="560" t="str">
        <v>–</v>
      </c>
      <c r="R325" s="560" t="str">
        <v>–</v>
      </c>
      <c r="S325" s="560" t="str">
        <v>–</v>
      </c>
      <c r="T325" s="568" t="str">
        <v>–</v>
      </c>
      <c r="U325" s="561" t="str">
        <v>–</v>
      </c>
      <c r="V325" s="560" t="str">
        <v>–</v>
      </c>
      <c r="W325" s="560" t="str">
        <v>–</v>
      </c>
      <c r="X325" s="560" t="str">
        <v>–</v>
      </c>
      <c r="Y325" s="561">
        <v>1841.145232931507</v>
      </c>
      <c r="Z325" s="560">
        <v>368229.0465863014</v>
      </c>
      <c r="AA325" s="560">
        <v>193947.19956095854</v>
      </c>
      <c r="AB325" s="560">
        <v>18236.2095544817</v>
      </c>
      <c r="AC325" s="561">
        <v>136.72360120243573</v>
      </c>
      <c r="AD325" s="560">
        <v>2493320.2425710037</v>
      </c>
      <c r="AE325" s="561">
        <v>87.7470963188436</v>
      </c>
      <c r="AF325" s="568">
        <v>0.1129401140283792</v>
      </c>
      <c r="AG325" s="568">
        <v>0.12311565150873711</v>
      </c>
      <c r="AH325" s="565">
        <v>2042</v>
      </c>
      <c r="AI325" s="569">
        <v>1.6439896671953536</v>
      </c>
      <c r="AJ325" s="372" t="str">
        <v>–</v>
      </c>
      <c r="AK325" s="561">
        <v>500</v>
      </c>
      <c r="AL325" s="561">
        <v>1841.145232931507</v>
      </c>
      <c r="AM325" s="560">
        <v>368229.0465863014</v>
      </c>
      <c r="AN325" s="568">
        <v>0.5</v>
      </c>
      <c r="AO325" s="560">
        <v>193947.19956095854</v>
      </c>
      <c r="AP325" s="560">
        <v>18236.2095544817</v>
      </c>
      <c r="AQ325" s="561">
        <v>136.72360120243573</v>
      </c>
      <c r="AR325" s="560">
        <v>2493320.2425710037</v>
      </c>
      <c r="AS325" s="568">
        <v>0.751455741237603</v>
      </c>
      <c r="AT325" s="561">
        <v>87.7470963188436</v>
      </c>
      <c r="AU325" s="560">
        <v>1425715.6969152663</v>
      </c>
      <c r="AV325" s="560">
        <v>1296069.1004568324</v>
      </c>
      <c r="AW325" s="568">
        <v>0.12311565150873711</v>
      </c>
      <c r="AX325" s="560">
        <v>124486.86140761414</v>
      </c>
      <c r="AY325" s="569">
        <v>0.824001904869209</v>
      </c>
      <c r="AZ325" s="569">
        <v>7.395302369890669</v>
      </c>
      <c r="BA325" s="560">
        <v>202659.5500095157</v>
      </c>
      <c r="BB325" s="565">
        <v>2042</v>
      </c>
      <c r="BC325" s="568">
        <v>0.11936566384852333</v>
      </c>
      <c r="BD325" s="568">
        <v>0.1129401140283792</v>
      </c>
      <c r="BE325" s="560">
        <v>116492.3839500322</v>
      </c>
      <c r="BF325" s="568">
        <v>0.12311565150873711</v>
      </c>
      <c r="BG325" s="569">
        <v>1.6439896671953536</v>
      </c>
      <c r="BH325" s="569">
        <v>1.451654428745231</v>
      </c>
      <c r="BI325" s="372" t="str">
        <v>ALL OK</v>
      </c>
      <c r="BJ325" s="562">
        <v>75</v>
      </c>
      <c r="BK325" s="562">
        <v>90</v>
      </c>
      <c r="BL325" s="562">
        <v>75</v>
      </c>
      <c r="BM325" s="372" t="str">
        <v>ALL OK</v>
      </c>
      <c r="BN325" s="372" t="str">
        <v>ALL OK</v>
      </c>
      <c r="BO325" s="372" t="str">
        <v>OK</v>
      </c>
      <c r="BP325" s="372" t="str">
        <v>n/a – no COD sale</v>
      </c>
      <c r="BQ325" s="560">
        <v>30000</v>
      </c>
      <c r="BR325" s="560">
        <v>-24211.966799839272</v>
      </c>
      <c r="BS325" s="560">
        <v>-24211.966799839272</v>
      </c>
      <c r="BT325" s="560">
        <v>5788.033200160728</v>
      </c>
      <c r="BU325" s="561">
        <v>28.940166000803643</v>
      </c>
      <c r="BV325" s="561">
        <v>28.94016600080364</v>
      </c>
      <c r="BW325" s="560">
        <v>0</v>
      </c>
      <c r="BX325" s="560">
        <v>-6325.885941921205</v>
      </c>
      <c r="BY325" s="561">
        <v>0</v>
      </c>
      <c r="BZ325" s="568" t="str">
        <v>n/a</v>
      </c>
      <c r="CA325" s="561" t="str">
        <v>n/a</v>
      </c>
      <c r="CB325" s="561" t="str">
        <v>n/a</v>
      </c>
      <c r="CC325" s="561" t="str">
        <v>n/a</v>
      </c>
      <c r="CD325" s="561">
        <v>308</v>
      </c>
      <c r="CE325" s="561">
        <v>157.08</v>
      </c>
    </row>
    <row r="326">
      <c r="C326" s="360" t="inlineStr">
        <is>
          <t xml:space="preserve">S0 – RtB sale (1)</t>
        </is>
      </c>
      <c r="D326" s="565">
        <v>4</v>
      </c>
      <c r="E326" s="565">
        <v>1</v>
      </c>
      <c r="F326" s="565">
        <v>21</v>
      </c>
      <c r="G326" s="560">
        <v>38030.591972923015</v>
      </c>
      <c r="H326" s="560">
        <v>37649.05331909948</v>
      </c>
      <c r="I326" s="568">
        <v>0.501558169297414</v>
      </c>
      <c r="J326" s="560">
        <v>24464.774458537166</v>
      </c>
      <c r="K326" s="569">
        <v>0.6332685178147339</v>
      </c>
      <c r="L326" s="569">
        <v>1.8173997462368177</v>
      </c>
      <c r="M326" s="560">
        <v>46031.72812448969</v>
      </c>
      <c r="N326" s="560">
        <v>32741.129784411016</v>
      </c>
      <c r="O326" s="372" t="str">
        <v>ALL OK</v>
      </c>
      <c r="P326" s="372" t="str">
        <v>Jun-29 → Mar-30</v>
      </c>
      <c r="Q326" s="560">
        <v>84090.12831659075</v>
      </c>
      <c r="R326" s="560">
        <v>32777.49918705575</v>
      </c>
      <c r="S326" s="560">
        <v>32395.96053323222</v>
      </c>
      <c r="T326" s="568" t="str">
        <v>–</v>
      </c>
      <c r="U326" s="561" t="str">
        <v>–</v>
      </c>
      <c r="V326" s="560" t="str">
        <v>14,614 / 508</v>
      </c>
      <c r="W326" s="560">
        <v>18464.607004</v>
      </c>
      <c r="X326" s="560">
        <v>3137.845921749919</v>
      </c>
      <c r="Y326" s="561" t="str">
        <v>–</v>
      </c>
      <c r="Z326" s="560" t="str">
        <v>–</v>
      </c>
      <c r="AA326" s="560" t="str">
        <v>–</v>
      </c>
      <c r="AB326" s="560" t="str">
        <v>–</v>
      </c>
      <c r="AC326" s="561" t="str">
        <v>–</v>
      </c>
      <c r="AD326" s="560" t="str">
        <v>–</v>
      </c>
      <c r="AE326" s="561" t="str">
        <v>–</v>
      </c>
      <c r="AF326" s="568" t="str">
        <v>–</v>
      </c>
      <c r="AG326" s="568" t="str">
        <v>–</v>
      </c>
      <c r="AH326" s="565" t="str">
        <v>–</v>
      </c>
      <c r="AI326" s="569" t="str">
        <v>–</v>
      </c>
      <c r="AJ326" s="372">
        <v>0</v>
      </c>
      <c r="AK326" s="561">
        <v>950</v>
      </c>
      <c r="AL326" s="561">
        <v>1628.080232931507</v>
      </c>
      <c r="AM326" s="560">
        <v>325616.0465863014</v>
      </c>
      <c r="AN326" s="568">
        <v>0.55</v>
      </c>
      <c r="AO326" s="560">
        <v>188653.10341017632</v>
      </c>
      <c r="AP326" s="560">
        <v>13862.906246660277</v>
      </c>
      <c r="AQ326" s="561">
        <v>146.16659954585938</v>
      </c>
      <c r="AR326" s="560">
        <v>2026293.8658973854</v>
      </c>
      <c r="AS326" s="568">
        <v>0.8057273060472825</v>
      </c>
      <c r="AT326" s="561">
        <v>102.46955888622928</v>
      </c>
      <c r="AU326" s="560">
        <v>1184638.050135661</v>
      </c>
      <c r="AV326" s="560">
        <v>1072450.7775358623</v>
      </c>
      <c r="AW326" s="568">
        <v>0.11534330507267568</v>
      </c>
      <c r="AX326" s="560">
        <v>94575.53762299895</v>
      </c>
      <c r="AY326" s="569">
        <v>0.5846959490520744</v>
      </c>
      <c r="AZ326" s="569">
        <v>5.941721607721723</v>
      </c>
      <c r="BA326" s="560">
        <v>217019.6669638566</v>
      </c>
      <c r="BB326" s="565">
        <v>2041</v>
      </c>
      <c r="BC326" s="568">
        <v>0.11401314101242718</v>
      </c>
      <c r="BD326" s="568">
        <v>0.10692152795012966</v>
      </c>
      <c r="BE326" s="560">
        <v>87464.7242185903</v>
      </c>
      <c r="BF326" s="568">
        <v>0.11534330507267568</v>
      </c>
      <c r="BG326" s="569">
        <v>1.7808379191846389</v>
      </c>
      <c r="BH326" s="569">
        <v>0.9915321732117296</v>
      </c>
      <c r="BI326" s="372" t="str">
        <v>ALL OK</v>
      </c>
      <c r="BJ326" s="562">
        <v>0</v>
      </c>
      <c r="BK326" s="562">
        <v>0</v>
      </c>
      <c r="BL326" s="562">
        <v>0</v>
      </c>
      <c r="BM326" s="372" t="str">
        <v>ALL OK</v>
      </c>
      <c r="BN326" s="372" t="str">
        <v>ALL OK</v>
      </c>
      <c r="BO326" s="372" t="str">
        <v>OK</v>
      </c>
      <c r="BP326" s="372" t="str">
        <v>n/a – no COD sale</v>
      </c>
      <c r="BQ326" s="560">
        <v>30000</v>
      </c>
      <c r="BR326" s="560">
        <v>28930.20075243961</v>
      </c>
      <c r="BS326" s="560">
        <v>28930.20075243961</v>
      </c>
      <c r="BT326" s="560">
        <v>58930.20075243961</v>
      </c>
      <c r="BU326" s="561">
        <v>294.65100376219806</v>
      </c>
      <c r="BV326" s="561">
        <v>294.65100376219806</v>
      </c>
      <c r="BW326" s="560">
        <v>0</v>
      </c>
      <c r="BX326" s="560">
        <v>9617.696427311354</v>
      </c>
      <c r="BY326" s="561">
        <v>0</v>
      </c>
      <c r="BZ326" s="568" t="str">
        <v>n/a</v>
      </c>
      <c r="CA326" s="561" t="str">
        <v>n/a</v>
      </c>
      <c r="CB326" s="561" t="str">
        <v>n/a</v>
      </c>
      <c r="CC326" s="561" t="str">
        <v>n/a</v>
      </c>
      <c r="CD326" s="561">
        <v>200</v>
      </c>
      <c r="CE326" s="561">
        <v>0</v>
      </c>
    </row>
    <row r="327">
      <c r="C327" s="360" t="inlineStr">
        <is>
          <t xml:space="preserve">S0 – COD sale EU (7)</t>
        </is>
      </c>
      <c r="D327" s="565">
        <v>4</v>
      </c>
      <c r="E327" s="565">
        <v>7</v>
      </c>
      <c r="F327" s="565">
        <v>22</v>
      </c>
      <c r="G327" s="560">
        <v>106895.5871488787</v>
      </c>
      <c r="H327" s="560">
        <v>106895.5871488787</v>
      </c>
      <c r="I327" s="568">
        <v>0.38242527707340657</v>
      </c>
      <c r="J327" s="560">
        <v>62268.23071038199</v>
      </c>
      <c r="K327" s="569">
        <v>0.5733874951369452</v>
      </c>
      <c r="L327" s="569">
        <v>1.741497979093338</v>
      </c>
      <c r="M327" s="560">
        <v>144161.67024431354</v>
      </c>
      <c r="N327" s="560">
        <v>62268.23071038199</v>
      </c>
      <c r="O327" s="372" t="str">
        <v>ALL OK / OK</v>
      </c>
      <c r="P327" s="372" t="str">
        <v>COD Sep-31 → sale at COD</v>
      </c>
      <c r="Q327" s="560">
        <v>499617.69642731134</v>
      </c>
      <c r="R327" s="560">
        <v>205803.38553837416</v>
      </c>
      <c r="S327" s="560">
        <v>293314.3108889372</v>
      </c>
      <c r="T327" s="568">
        <v>0.6</v>
      </c>
      <c r="U327" s="561">
        <v>2450</v>
      </c>
      <c r="V327" s="560" t="str">
        <v>14,614 / 508</v>
      </c>
      <c r="W327" s="560">
        <v>18464.607004</v>
      </c>
      <c r="X327" s="560">
        <v>3137.845921749919</v>
      </c>
      <c r="Y327" s="561">
        <v>1628.080232931507</v>
      </c>
      <c r="Z327" s="560">
        <v>325616.0465863014</v>
      </c>
      <c r="AA327" s="560">
        <v>205803.38553837416</v>
      </c>
      <c r="AB327" s="560" t="str">
        <v>–</v>
      </c>
      <c r="AC327" s="561" t="str">
        <v>–</v>
      </c>
      <c r="AD327" s="560" t="str">
        <v>–</v>
      </c>
      <c r="AE327" s="561" t="str">
        <v>–</v>
      </c>
      <c r="AF327" s="568" t="str">
        <v>–</v>
      </c>
      <c r="AG327" s="568">
        <v>0.5780329751608556</v>
      </c>
      <c r="AH327" s="565" t="str">
        <v>–</v>
      </c>
      <c r="AI327" s="569" t="str">
        <v>–</v>
      </c>
      <c r="AJ327" s="372">
        <v>0</v>
      </c>
      <c r="AK327" s="561">
        <v>950</v>
      </c>
      <c r="AL327" s="561">
        <v>1628.080232931507</v>
      </c>
      <c r="AM327" s="560">
        <v>325616.0465863014</v>
      </c>
      <c r="AN327" s="568">
        <v>0.6</v>
      </c>
      <c r="AO327" s="560">
        <v>205803.38553837416</v>
      </c>
      <c r="AP327" s="560">
        <v>13862.906246660277</v>
      </c>
      <c r="AQ327" s="561">
        <v>136.72360120243573</v>
      </c>
      <c r="AR327" s="560">
        <v>1895386.4651751348</v>
      </c>
      <c r="AS327" s="568">
        <v>0.7937634490565864</v>
      </c>
      <c r="AT327" s="561">
        <v>91.34781423410783</v>
      </c>
      <c r="AU327" s="560">
        <v>765932.4033142725</v>
      </c>
      <c r="AV327" s="560">
        <v>696491.9106009008</v>
      </c>
      <c r="AW327" s="568">
        <v>0.11732696894884033</v>
      </c>
      <c r="AX327" s="560">
        <v>59789.88993290999</v>
      </c>
      <c r="AY327" s="569">
        <v>0.7650576227079223</v>
      </c>
      <c r="AZ327" s="569">
        <v>7.694170343735893</v>
      </c>
      <c r="BA327" s="560">
        <v>104044.54545329086</v>
      </c>
      <c r="BB327" s="565">
        <v>2043</v>
      </c>
      <c r="BC327" s="568">
        <v>0.1106953378071475</v>
      </c>
      <c r="BD327" s="568">
        <v>0.10478739306475429</v>
      </c>
      <c r="BE327" s="560">
        <v>75073.07602083715</v>
      </c>
      <c r="BF327" s="568">
        <v>0.11732696894884033</v>
      </c>
      <c r="BG327" s="569">
        <v>1.274247914604795</v>
      </c>
      <c r="BH327" s="569">
        <v>1.1299079892912811</v>
      </c>
      <c r="BI327" s="372" t="str">
        <v>ALL OK</v>
      </c>
      <c r="BJ327" s="562">
        <v>0</v>
      </c>
      <c r="BK327" s="562">
        <v>0</v>
      </c>
      <c r="BL327" s="562">
        <v>0</v>
      </c>
      <c r="BM327" s="372" t="str">
        <v>ALL OK</v>
      </c>
      <c r="BN327" s="372" t="str">
        <v>ALL OK</v>
      </c>
      <c r="BO327" s="372" t="str">
        <v>OK</v>
      </c>
      <c r="BP327" s="372" t="str">
        <v>OK</v>
      </c>
      <c r="BQ327" s="560">
        <v>30000</v>
      </c>
      <c r="BR327" s="560">
        <v>28930.20075243961</v>
      </c>
      <c r="BS327" s="560">
        <v>28930.20075243961</v>
      </c>
      <c r="BT327" s="560">
        <v>58930.20075243961</v>
      </c>
      <c r="BU327" s="561">
        <v>294.65100376219806</v>
      </c>
      <c r="BV327" s="561">
        <v>294.65100376219806</v>
      </c>
      <c r="BW327" s="560">
        <v>499617.69642731134</v>
      </c>
      <c r="BX327" s="560">
        <v>9617.696427311354</v>
      </c>
      <c r="BY327" s="561">
        <v>2498.0884821365566</v>
      </c>
      <c r="BZ327" s="568">
        <v>0.0729118667448955</v>
      </c>
      <c r="CA327" s="561">
        <v>2582.3822681167</v>
      </c>
      <c r="CB327" s="561">
        <v>2309.772246871445</v>
      </c>
      <c r="CC327" s="561">
        <v>2079.5736288068783</v>
      </c>
      <c r="CD327" s="561">
        <v>200</v>
      </c>
      <c r="CE327" s="561">
        <v>0</v>
      </c>
    </row>
    <row r="328">
      <c r="C328" s="360" t="inlineStr">
        <is>
          <t xml:space="preserve">S0 – COD sale CN (8)</t>
        </is>
      </c>
      <c r="D328" s="565">
        <v>4</v>
      </c>
      <c r="E328" s="565">
        <v>8</v>
      </c>
      <c r="F328" s="565">
        <v>23</v>
      </c>
      <c r="G328" s="560">
        <v>129417.0026773994</v>
      </c>
      <c r="H328" s="560">
        <v>129417.0026773994</v>
      </c>
      <c r="I328" s="568">
        <v>0.4743681946422939</v>
      </c>
      <c r="J328" s="560">
        <v>78434.83592174726</v>
      </c>
      <c r="K328" s="569">
        <v>0.8179525574051595</v>
      </c>
      <c r="L328" s="569">
        <v>2.0212362166722637</v>
      </c>
      <c r="M328" s="560">
        <v>126725.82558725693</v>
      </c>
      <c r="N328" s="560">
        <v>78434.83592174726</v>
      </c>
      <c r="O328" s="372" t="str">
        <v>ALL OK / OK</v>
      </c>
      <c r="P328" s="372" t="str">
        <v>COD Sep-31 → sale at COD</v>
      </c>
      <c r="Q328" s="560">
        <v>429617.69642731134</v>
      </c>
      <c r="R328" s="560">
        <v>121065.7794404012</v>
      </c>
      <c r="S328" s="560">
        <v>308051.91698691016</v>
      </c>
      <c r="T328" s="568">
        <v>0.5</v>
      </c>
      <c r="U328" s="561">
        <v>2100</v>
      </c>
      <c r="V328" s="560" t="str">
        <v>14,614 / 508</v>
      </c>
      <c r="W328" s="560">
        <v>18464.607004</v>
      </c>
      <c r="X328" s="560">
        <v>3137.845921749919</v>
      </c>
      <c r="Y328" s="561">
        <v>1149.280232931507</v>
      </c>
      <c r="Z328" s="560">
        <v>229856.0465863014</v>
      </c>
      <c r="AA328" s="560">
        <v>121065.7794404012</v>
      </c>
      <c r="AB328" s="560" t="str">
        <v>–</v>
      </c>
      <c r="AC328" s="561" t="str">
        <v>–</v>
      </c>
      <c r="AD328" s="560" t="str">
        <v>–</v>
      </c>
      <c r="AE328" s="561" t="str">
        <v>–</v>
      </c>
      <c r="AF328" s="568" t="str">
        <v>–</v>
      </c>
      <c r="AG328" s="568">
        <v>0.6957411912854494</v>
      </c>
      <c r="AH328" s="565" t="str">
        <v>–</v>
      </c>
      <c r="AI328" s="569" t="str">
        <v>–</v>
      </c>
      <c r="AJ328" s="372">
        <v>0</v>
      </c>
      <c r="AK328" s="561">
        <v>500</v>
      </c>
      <c r="AL328" s="561">
        <v>1149.280232931507</v>
      </c>
      <c r="AM328" s="560">
        <v>229856.0465863014</v>
      </c>
      <c r="AN328" s="568">
        <v>0.5</v>
      </c>
      <c r="AO328" s="560">
        <v>121065.7794404012</v>
      </c>
      <c r="AP328" s="560">
        <v>13862.906246660277</v>
      </c>
      <c r="AQ328" s="561">
        <v>136.72360120243573</v>
      </c>
      <c r="AR328" s="560">
        <v>1895386.4651751348</v>
      </c>
      <c r="AS328" s="568">
        <v>0.7937634490565864</v>
      </c>
      <c r="AT328" s="561">
        <v>72.50247315387095</v>
      </c>
      <c r="AU328" s="560">
        <v>860045.3207903234</v>
      </c>
      <c r="AV328" s="560">
        <v>782134.665504107</v>
      </c>
      <c r="AW328" s="568">
        <v>0.15361665015765608</v>
      </c>
      <c r="AX328" s="560">
        <v>101605.3147760134</v>
      </c>
      <c r="AY328" s="569">
        <v>1.535060000868481</v>
      </c>
      <c r="AZ328" s="569">
        <v>9.955804647955583</v>
      </c>
      <c r="BA328" s="560">
        <v>87332.70724955476</v>
      </c>
      <c r="BB328" s="565">
        <v>2039</v>
      </c>
      <c r="BC328" s="568">
        <v>0.14732406281566254</v>
      </c>
      <c r="BD328" s="568">
        <v>0.13922478491014265</v>
      </c>
      <c r="BE328" s="560">
        <v>141150.57578155247</v>
      </c>
      <c r="BF328" s="568">
        <v>0.15361665015765608</v>
      </c>
      <c r="BG328" s="569">
        <v>2.1204008018420577</v>
      </c>
      <c r="BH328" s="569">
        <v>1.8793553446911144</v>
      </c>
      <c r="BI328" s="372" t="str">
        <v>ALL OK</v>
      </c>
      <c r="BJ328" s="562">
        <v>0</v>
      </c>
      <c r="BK328" s="562">
        <v>0</v>
      </c>
      <c r="BL328" s="562">
        <v>0</v>
      </c>
      <c r="BM328" s="372" t="str">
        <v>ALL OK</v>
      </c>
      <c r="BN328" s="372" t="str">
        <v>ALL OK</v>
      </c>
      <c r="BO328" s="372" t="str">
        <v>OK</v>
      </c>
      <c r="BP328" s="372" t="str">
        <v>OK</v>
      </c>
      <c r="BQ328" s="560">
        <v>30000</v>
      </c>
      <c r="BR328" s="560">
        <v>28930.20075243961</v>
      </c>
      <c r="BS328" s="560">
        <v>28930.20075243961</v>
      </c>
      <c r="BT328" s="560">
        <v>58930.20075243961</v>
      </c>
      <c r="BU328" s="561">
        <v>294.65100376219806</v>
      </c>
      <c r="BV328" s="561">
        <v>294.65100376219806</v>
      </c>
      <c r="BW328" s="560">
        <v>429617.69642731134</v>
      </c>
      <c r="BX328" s="560">
        <v>9617.696427311354</v>
      </c>
      <c r="BY328" s="561">
        <v>2148.0884821365566</v>
      </c>
      <c r="BZ328" s="568">
        <v>0.08590509225547203</v>
      </c>
      <c r="CA328" s="561">
        <v>2558.535973702744</v>
      </c>
      <c r="CB328" s="561">
        <v>2287.6709870752975</v>
      </c>
      <c r="CC328" s="561">
        <v>2059.023030065037</v>
      </c>
      <c r="CD328" s="561">
        <v>200</v>
      </c>
      <c r="CE328" s="561">
        <v>0</v>
      </c>
    </row>
    <row r="329">
      <c r="C329" s="360" t="inlineStr">
        <is>
          <t xml:space="preserve">S0 – HTM EU (2)</t>
        </is>
      </c>
      <c r="D329" s="565">
        <v>4</v>
      </c>
      <c r="E329" s="565">
        <v>2</v>
      </c>
      <c r="F329" s="565">
        <v>24</v>
      </c>
      <c r="G329" s="560">
        <v>1040342.8420961809</v>
      </c>
      <c r="H329" s="560">
        <v>941142.1382199355</v>
      </c>
      <c r="I329" s="568">
        <v>0.09692215757580577</v>
      </c>
      <c r="J329" s="560">
        <v>45835.48647349481</v>
      </c>
      <c r="K329" s="569">
        <v>0.30309927073728626</v>
      </c>
      <c r="L329" s="569">
        <v>5.648043107503398</v>
      </c>
      <c r="M329" s="560">
        <v>202481.3704289096</v>
      </c>
      <c r="N329" s="560">
        <v>35494.43401874627</v>
      </c>
      <c r="O329" s="372" t="str">
        <v>ALL OK</v>
      </c>
      <c r="P329" s="372" t="str">
        <v>–</v>
      </c>
      <c r="Q329" s="560" t="str">
        <v>–</v>
      </c>
      <c r="R329" s="560" t="str">
        <v>–</v>
      </c>
      <c r="S329" s="560" t="str">
        <v>–</v>
      </c>
      <c r="T329" s="568" t="str">
        <v>–</v>
      </c>
      <c r="U329" s="561" t="str">
        <v>–</v>
      </c>
      <c r="V329" s="560" t="str">
        <v>–</v>
      </c>
      <c r="W329" s="560" t="str">
        <v>–</v>
      </c>
      <c r="X329" s="560" t="str">
        <v>–</v>
      </c>
      <c r="Y329" s="561">
        <v>1628.080232931507</v>
      </c>
      <c r="Z329" s="560">
        <v>325616.0465863014</v>
      </c>
      <c r="AA329" s="560">
        <v>205803.38553837416</v>
      </c>
      <c r="AB329" s="560">
        <v>13862.906246660277</v>
      </c>
      <c r="AC329" s="561">
        <v>136.72360120243573</v>
      </c>
      <c r="AD329" s="560">
        <v>1895386.4651751348</v>
      </c>
      <c r="AE329" s="561">
        <v>102.13469888283906</v>
      </c>
      <c r="AF329" s="568">
        <v>0.09047890220914127</v>
      </c>
      <c r="AG329" s="568">
        <v>0.09692215757580577</v>
      </c>
      <c r="AH329" s="565">
        <v>2044</v>
      </c>
      <c r="AI329" s="569">
        <v>1.274247914604795</v>
      </c>
      <c r="AJ329" s="372" t="str">
        <v>–</v>
      </c>
      <c r="AK329" s="561">
        <v>950</v>
      </c>
      <c r="AL329" s="561">
        <v>1628.080232931507</v>
      </c>
      <c r="AM329" s="560">
        <v>325616.0465863014</v>
      </c>
      <c r="AN329" s="568">
        <v>0.6</v>
      </c>
      <c r="AO329" s="560">
        <v>205803.38553837416</v>
      </c>
      <c r="AP329" s="560">
        <v>13862.906246660277</v>
      </c>
      <c r="AQ329" s="561">
        <v>136.72360120243573</v>
      </c>
      <c r="AR329" s="560">
        <v>1895386.4651751348</v>
      </c>
      <c r="AS329" s="568">
        <v>0.7937634490565864</v>
      </c>
      <c r="AT329" s="561">
        <v>102.13469888283906</v>
      </c>
      <c r="AU329" s="560">
        <v>1040342.8420961809</v>
      </c>
      <c r="AV329" s="560">
        <v>941142.1382199355</v>
      </c>
      <c r="AW329" s="568">
        <v>0.09692215757580577</v>
      </c>
      <c r="AX329" s="560">
        <v>45835.48647349481</v>
      </c>
      <c r="AY329" s="569">
        <v>0.30309927073728626</v>
      </c>
      <c r="AZ329" s="569">
        <v>5.648043107503398</v>
      </c>
      <c r="BA329" s="560">
        <v>202481.3704289096</v>
      </c>
      <c r="BB329" s="565">
        <v>2044</v>
      </c>
      <c r="BC329" s="568">
        <v>0.09606087817177508</v>
      </c>
      <c r="BD329" s="568">
        <v>0.09047890220914127</v>
      </c>
      <c r="BE329" s="560">
        <v>35494.43401874627</v>
      </c>
      <c r="BF329" s="568">
        <v>0.09692215757580577</v>
      </c>
      <c r="BG329" s="569">
        <v>1.274247914604795</v>
      </c>
      <c r="BH329" s="569">
        <v>1.1299079892912811</v>
      </c>
      <c r="BI329" s="372" t="str">
        <v>ALL OK</v>
      </c>
      <c r="BJ329" s="562">
        <v>0</v>
      </c>
      <c r="BK329" s="562">
        <v>0</v>
      </c>
      <c r="BL329" s="562">
        <v>0</v>
      </c>
      <c r="BM329" s="372" t="str">
        <v>ALL OK</v>
      </c>
      <c r="BN329" s="372" t="str">
        <v>ALL OK</v>
      </c>
      <c r="BO329" s="372" t="str">
        <v>OK</v>
      </c>
      <c r="BP329" s="372" t="str">
        <v>n/a – no COD sale</v>
      </c>
      <c r="BQ329" s="560">
        <v>30000</v>
      </c>
      <c r="BR329" s="560">
        <v>28930.20075243961</v>
      </c>
      <c r="BS329" s="560">
        <v>28930.20075243961</v>
      </c>
      <c r="BT329" s="560">
        <v>58930.20075243961</v>
      </c>
      <c r="BU329" s="561">
        <v>294.65100376219806</v>
      </c>
      <c r="BV329" s="561">
        <v>294.65100376219806</v>
      </c>
      <c r="BW329" s="560">
        <v>0</v>
      </c>
      <c r="BX329" s="560">
        <v>9617.696427311354</v>
      </c>
      <c r="BY329" s="561">
        <v>0</v>
      </c>
      <c r="BZ329" s="568" t="str">
        <v>n/a</v>
      </c>
      <c r="CA329" s="561" t="str">
        <v>n/a</v>
      </c>
      <c r="CB329" s="561" t="str">
        <v>n/a</v>
      </c>
      <c r="CC329" s="561" t="str">
        <v>n/a</v>
      </c>
      <c r="CD329" s="561">
        <v>200</v>
      </c>
      <c r="CE329" s="561">
        <v>0</v>
      </c>
    </row>
    <row r="330">
      <c r="C330" s="360" t="inlineStr">
        <is>
          <t xml:space="preserve">S0 – HTM CN (3)</t>
        </is>
      </c>
      <c r="D330" s="565">
        <v>4</v>
      </c>
      <c r="E330" s="565">
        <v>3</v>
      </c>
      <c r="F330" s="565">
        <v>25</v>
      </c>
      <c r="G330" s="560">
        <v>1174789.8670619677</v>
      </c>
      <c r="H330" s="560">
        <v>1063488.9309388015</v>
      </c>
      <c r="I330" s="568">
        <v>0.12385291624963445</v>
      </c>
      <c r="J330" s="560">
        <v>105571.80767792829</v>
      </c>
      <c r="K330" s="569">
        <v>0.787053450494481</v>
      </c>
      <c r="L330" s="569">
        <v>6.954341376582738</v>
      </c>
      <c r="M330" s="560">
        <v>178607.31585214377</v>
      </c>
      <c r="N330" s="560">
        <v>101571.93377946157</v>
      </c>
      <c r="O330" s="372" t="str">
        <v>ALL OK</v>
      </c>
      <c r="P330" s="372" t="str">
        <v>–</v>
      </c>
      <c r="Q330" s="560" t="str">
        <v>–</v>
      </c>
      <c r="R330" s="560" t="str">
        <v>–</v>
      </c>
      <c r="S330" s="560" t="str">
        <v>–</v>
      </c>
      <c r="T330" s="568" t="str">
        <v>–</v>
      </c>
      <c r="U330" s="561" t="str">
        <v>–</v>
      </c>
      <c r="V330" s="560" t="str">
        <v>–</v>
      </c>
      <c r="W330" s="560" t="str">
        <v>–</v>
      </c>
      <c r="X330" s="560" t="str">
        <v>–</v>
      </c>
      <c r="Y330" s="561">
        <v>1149.280232931507</v>
      </c>
      <c r="Z330" s="560">
        <v>229856.0465863014</v>
      </c>
      <c r="AA330" s="560">
        <v>121065.7794404012</v>
      </c>
      <c r="AB330" s="560">
        <v>13862.906246660277</v>
      </c>
      <c r="AC330" s="561">
        <v>136.72360120243573</v>
      </c>
      <c r="AD330" s="560">
        <v>1895386.4651751348</v>
      </c>
      <c r="AE330" s="561">
        <v>83.28935780260218</v>
      </c>
      <c r="AF330" s="568">
        <v>0.11666939405053127</v>
      </c>
      <c r="AG330" s="568">
        <v>0.12385291624963445</v>
      </c>
      <c r="AH330" s="565">
        <v>2041</v>
      </c>
      <c r="AI330" s="569">
        <v>2.1204008018420577</v>
      </c>
      <c r="AJ330" s="372" t="str">
        <v>–</v>
      </c>
      <c r="AK330" s="561">
        <v>500</v>
      </c>
      <c r="AL330" s="561">
        <v>1149.280232931507</v>
      </c>
      <c r="AM330" s="560">
        <v>229856.0465863014</v>
      </c>
      <c r="AN330" s="568">
        <v>0.5</v>
      </c>
      <c r="AO330" s="560">
        <v>121065.7794404012</v>
      </c>
      <c r="AP330" s="560">
        <v>13862.906246660277</v>
      </c>
      <c r="AQ330" s="561">
        <v>136.72360120243573</v>
      </c>
      <c r="AR330" s="560">
        <v>1895386.4651751348</v>
      </c>
      <c r="AS330" s="568">
        <v>0.7937634490565864</v>
      </c>
      <c r="AT330" s="561">
        <v>83.28935780260218</v>
      </c>
      <c r="AU330" s="560">
        <v>1174789.8670619677</v>
      </c>
      <c r="AV330" s="560">
        <v>1063488.9309388015</v>
      </c>
      <c r="AW330" s="568">
        <v>0.12385291624963445</v>
      </c>
      <c r="AX330" s="560">
        <v>105571.80767792829</v>
      </c>
      <c r="AY330" s="569">
        <v>0.787053450494481</v>
      </c>
      <c r="AZ330" s="569">
        <v>6.954341376582738</v>
      </c>
      <c r="BA330" s="560">
        <v>178607.31585214377</v>
      </c>
      <c r="BB330" s="565">
        <v>2041</v>
      </c>
      <c r="BC330" s="568">
        <v>0.12398903682131124</v>
      </c>
      <c r="BD330" s="568">
        <v>0.11666939405053127</v>
      </c>
      <c r="BE330" s="560">
        <v>101571.93377946157</v>
      </c>
      <c r="BF330" s="568">
        <v>0.12385291624963445</v>
      </c>
      <c r="BG330" s="569">
        <v>2.1204008018420577</v>
      </c>
      <c r="BH330" s="569">
        <v>1.8793553446911144</v>
      </c>
      <c r="BI330" s="372" t="str">
        <v>ALL OK</v>
      </c>
      <c r="BJ330" s="562">
        <v>0</v>
      </c>
      <c r="BK330" s="562">
        <v>0</v>
      </c>
      <c r="BL330" s="562">
        <v>0</v>
      </c>
      <c r="BM330" s="372" t="str">
        <v>ALL OK</v>
      </c>
      <c r="BN330" s="372" t="str">
        <v>ALL OK</v>
      </c>
      <c r="BO330" s="372" t="str">
        <v>OK</v>
      </c>
      <c r="BP330" s="372" t="str">
        <v>n/a – no COD sale</v>
      </c>
      <c r="BQ330" s="560">
        <v>30000</v>
      </c>
      <c r="BR330" s="560">
        <v>28930.20075243961</v>
      </c>
      <c r="BS330" s="560">
        <v>28930.20075243961</v>
      </c>
      <c r="BT330" s="560">
        <v>58930.20075243961</v>
      </c>
      <c r="BU330" s="561">
        <v>294.65100376219806</v>
      </c>
      <c r="BV330" s="561">
        <v>294.65100376219806</v>
      </c>
      <c r="BW330" s="560">
        <v>0</v>
      </c>
      <c r="BX330" s="560">
        <v>9617.696427311354</v>
      </c>
      <c r="BY330" s="561">
        <v>0</v>
      </c>
      <c r="BZ330" s="568" t="str">
        <v>n/a</v>
      </c>
      <c r="CA330" s="561" t="str">
        <v>n/a</v>
      </c>
      <c r="CB330" s="561" t="str">
        <v>n/a</v>
      </c>
      <c r="CC330" s="561" t="str">
        <v>n/a</v>
      </c>
      <c r="CD330" s="561">
        <v>200</v>
      </c>
      <c r="CE330" s="561">
        <v>0</v>
      </c>
    </row>
  </sheetData>
  <dataValidations count="40">
    <dataValidation type="list" allowBlank="1" showErrorMessage="1" sqref="E8">
      <formula1>$C$14:$C$18</formula1>
    </dataValidation>
    <dataValidation type="list" allowBlank="1" showErrorMessage="1" sqref="E9">
      <formula1>"S0,S1,S2,S3,S4"</formula1>
    </dataValidation>
    <dataValidation type="whole" allowBlank="1" showErrorMessage="1" errorTitle="Data-table driver" error="Leave 0 (whole number from 0 to 25)." sqref="E10">
      <formula1>0</formula1>
      <formula2>25</formula2>
    </dataValidation>
    <dataValidation type="list" allowBlank="1" showErrorMessage="1" sqref="E27">
      <formula1>"0,1"</formula1>
    </dataValidation>
    <dataValidation type="list" allowBlank="1" showErrorMessage="1" sqref="F27">
      <formula1>"0,1"</formula1>
    </dataValidation>
    <dataValidation type="list" allowBlank="1" showErrorMessage="1" sqref="G27">
      <formula1>"0,1"</formula1>
    </dataValidation>
    <dataValidation type="list" allowBlank="1" showErrorMessage="1" sqref="H27">
      <formula1>"0,1"</formula1>
    </dataValidation>
    <dataValidation type="list" allowBlank="1" showErrorMessage="1" sqref="I27">
      <formula1>"0,1"</formula1>
    </dataValidation>
    <dataValidation type="list" allowBlank="1" showErrorMessage="1" sqref="E30">
      <formula1>"0,1"</formula1>
    </dataValidation>
    <dataValidation type="list" allowBlank="1" showErrorMessage="1" sqref="F30">
      <formula1>"0,1"</formula1>
    </dataValidation>
    <dataValidation type="list" allowBlank="1" showErrorMessage="1" sqref="G30">
      <formula1>"0,1"</formula1>
    </dataValidation>
    <dataValidation type="list" allowBlank="1" showErrorMessage="1" sqref="H30">
      <formula1>"0,1"</formula1>
    </dataValidation>
    <dataValidation type="list" allowBlank="1" showErrorMessage="1" sqref="I30">
      <formula1>"0,1"</formula1>
    </dataValidation>
    <dataValidation type="list" allowBlank="1" showErrorMessage="1" sqref="E31">
      <formula1>"0,1"</formula1>
    </dataValidation>
    <dataValidation type="list" allowBlank="1" showErrorMessage="1" sqref="F31">
      <formula1>"0,1"</formula1>
    </dataValidation>
    <dataValidation type="list" allowBlank="1" showErrorMessage="1" sqref="G31">
      <formula1>"0,1"</formula1>
    </dataValidation>
    <dataValidation type="list" allowBlank="1" showErrorMessage="1" sqref="H31">
      <formula1>"0,1"</formula1>
    </dataValidation>
    <dataValidation type="list" allowBlank="1" showErrorMessage="1" sqref="I31">
      <formula1>"0,1"</formula1>
    </dataValidation>
    <dataValidation type="list" allowBlank="1" showErrorMessage="1" sqref="E32">
      <formula1>"0,1"</formula1>
    </dataValidation>
    <dataValidation type="list" allowBlank="1" showErrorMessage="1" sqref="F32">
      <formula1>"0,1"</formula1>
    </dataValidation>
    <dataValidation type="list" allowBlank="1" showErrorMessage="1" sqref="G32">
      <formula1>"0,1"</formula1>
    </dataValidation>
    <dataValidation type="list" allowBlank="1" showErrorMessage="1" sqref="H32">
      <formula1>"0,1"</formula1>
    </dataValidation>
    <dataValidation type="list" allowBlank="1" showErrorMessage="1" sqref="I32">
      <formula1>"0,1"</formula1>
    </dataValidation>
    <dataValidation type="list" allowBlank="1" showErrorMessage="1" sqref="E33">
      <formula1>"0,1"</formula1>
    </dataValidation>
    <dataValidation type="list" allowBlank="1" showErrorMessage="1" sqref="F33">
      <formula1>"0,1"</formula1>
    </dataValidation>
    <dataValidation type="list" allowBlank="1" showErrorMessage="1" sqref="G33">
      <formula1>"0,1"</formula1>
    </dataValidation>
    <dataValidation type="list" allowBlank="1" showErrorMessage="1" sqref="H33">
      <formula1>"0,1"</formula1>
    </dataValidation>
    <dataValidation type="list" allowBlank="1" showErrorMessage="1" sqref="I33">
      <formula1>"0,1"</formula1>
    </dataValidation>
    <dataValidation type="list" allowBlank="1" showErrorMessage="1" sqref="E34">
      <formula1>"0,1"</formula1>
    </dataValidation>
    <dataValidation type="list" allowBlank="1" showErrorMessage="1" sqref="F34">
      <formula1>"0,1"</formula1>
    </dataValidation>
    <dataValidation type="list" allowBlank="1" showErrorMessage="1" sqref="G34">
      <formula1>"0,1"</formula1>
    </dataValidation>
    <dataValidation type="list" allowBlank="1" showErrorMessage="1" sqref="H34">
      <formula1>"0,1"</formula1>
    </dataValidation>
    <dataValidation type="list" allowBlank="1" showErrorMessage="1" sqref="I34">
      <formula1>"0,1"</formula1>
    </dataValidation>
    <dataValidation type="list" allowBlank="1" showErrorMessage="1" sqref="E62">
      <formula1>"0,1"</formula1>
    </dataValidation>
    <dataValidation type="list" allowBlank="1" showErrorMessage="1" sqref="E76">
      <formula1>"0,1"</formula1>
    </dataValidation>
    <dataValidation type="list" allowBlank="1" showErrorMessage="1" sqref="E78">
      <formula1>"0,1"</formula1>
    </dataValidation>
    <dataValidation type="list" allowBlank="1" showErrorMessage="1" sqref="E86">
      <formula1>"0,1"</formula1>
    </dataValidation>
    <dataValidation type="list" allowBlank="1" showErrorMessage="1" sqref="E131">
      <formula1>"0,1"</formula1>
    </dataValidation>
    <dataValidation type="list" allowBlank="1" showErrorMessage="1" sqref="F131">
      <formula1>"0,1"</formula1>
    </dataValidation>
    <dataValidation type="list" allowBlank="1" showErrorMessage="1" sqref="G131">
      <formula1>"0,1"</formula1>
    </dataValidation>
  </dataValidations>
  <pageMargins left="0.5" right="0.5" top="0.6" bottom="0.6" header="0.3" footer="0.3"/>
  <pageSetup paperSize="9" orientation="portrait" fitToHeight="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25C80BA76C054AAAC0D3CDDFCEC309" ma:contentTypeVersion="14" ma:contentTypeDescription="Create a new document." ma:contentTypeScope="" ma:versionID="d968673a7c3a10ddeefea4f97a096cd1">
  <xsd:schema xmlns:xsd="http://www.w3.org/2001/XMLSchema" xmlns:xs="http://www.w3.org/2001/XMLSchema" xmlns:p="http://schemas.microsoft.com/office/2006/metadata/properties" xmlns:ns2="3ba8be79-126f-4ecc-b268-0e8a1c9d820a" xmlns:ns3="348e42aa-7502-48aa-9973-d5430de63b43" targetNamespace="http://schemas.microsoft.com/office/2006/metadata/properties" ma:root="true" ma:fieldsID="65bd50756c71f8c38774f3a5c983a670" ns2:_="" ns3:_="">
    <xsd:import namespace="3ba8be79-126f-4ecc-b268-0e8a1c9d820a"/>
    <xsd:import namespace="348e42aa-7502-48aa-9973-d5430de63b4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a8be79-126f-4ecc-b268-0e8a1c9d820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54c7780-c79f-4b81-a1cc-c56cb19b1b79}" ma:internalName="TaxCatchAll" ma:showField="CatchAllData" ma:web="3ba8be79-126f-4ecc-b268-0e8a1c9d82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8e42aa-7502-48aa-9973-d5430de63b4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8080c10-e0a6-4b42-beda-2db26c8ffc2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3ba8be79-126f-4ecc-b268-0e8a1c9d820a">
      <UserInfo>
        <DisplayName>Daniel Szentirmai</DisplayName>
        <AccountId>14</AccountId>
        <AccountType/>
      </UserInfo>
      <UserInfo>
        <DisplayName>Per Meijer</DisplayName>
        <AccountId>497</AccountId>
        <AccountType/>
      </UserInfo>
      <UserInfo>
        <DisplayName>Emily Hutley</DisplayName>
        <AccountId>19</AccountId>
        <AccountType/>
      </UserInfo>
      <UserInfo>
        <DisplayName>Alex Haley</DisplayName>
        <AccountId>279</AccountId>
        <AccountType/>
      </UserInfo>
      <UserInfo>
        <DisplayName>Sylvain Delion</DisplayName>
        <AccountId>250</AccountId>
        <AccountType/>
      </UserInfo>
      <UserInfo>
        <DisplayName>Chris D'Costa</DisplayName>
        <AccountId>251</AccountId>
        <AccountType/>
      </UserInfo>
      <UserInfo>
        <DisplayName>Alex Gibbs</DisplayName>
        <AccountId>252</AccountId>
        <AccountType/>
      </UserInfo>
    </SharedWithUsers>
    <TaxCatchAll xmlns="3ba8be79-126f-4ecc-b268-0e8a1c9d820a" xsi:nil="true"/>
    <lcf76f155ced4ddcb4097134ff3c332f xmlns="348e42aa-7502-48aa-9973-d5430de63b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A97A5A-7FA5-4B16-B798-AB9820ACD3BA}"/>
</file>

<file path=customXml/itemProps2.xml><?xml version="1.0" encoding="utf-8"?>
<ds:datastoreItem xmlns:ds="http://schemas.openxmlformats.org/officeDocument/2006/customXml" ds:itemID="{8621CA33-FFD3-4C11-BC87-DB3FD50F045B}">
  <ds:schemaRefs>
    <ds:schemaRef ds:uri="http://schemas.microsoft.com/sharepoint/v3/contenttype/forms"/>
  </ds:schemaRefs>
</ds:datastoreItem>
</file>

<file path=customXml/itemProps3.xml><?xml version="1.0" encoding="utf-8"?>
<ds:datastoreItem xmlns:ds="http://schemas.openxmlformats.org/officeDocument/2006/customXml" ds:itemID="{2B5F3809-A77E-4C28-8E24-11834A4D8B15}">
  <ds:schemaRefs>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http://www.w3.org/XML/1998/namespace"/>
    <ds:schemaRef ds:uri="http://purl.org/dc/elements/1.1/"/>
    <ds:schemaRef ds:uri="348e42aa-7502-48aa-9973-d5430de63b43"/>
    <ds:schemaRef ds:uri="3ba8be79-126f-4ecc-b268-0e8a1c9d820a"/>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42728984-5573-4501-93e1-26196c1472d0}" enabled="0" method="" siteId="{42728984-5573-4501-93e1-26196c1472d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vt:lpstr>
      <vt:lpstr>Control Panel</vt:lpstr>
      <vt:lpstr>Tender</vt:lpstr>
      <vt:lpstr>Dashboard</vt:lpstr>
      <vt:lpstr>Bora</vt:lpstr>
      <vt:lpstr>Inputs</vt:lpstr>
      <vt:lpstr>Curves</vt:lpstr>
      <vt:lpstr>Deposits</vt:lpstr>
      <vt:lpstr>MOIC</vt:lpstr>
      <vt:lpstr>HTM</vt:lpstr>
      <vt:lpstr>Open_Items</vt:lpstr>
      <vt:lpstr>Change_Log</vt:lpstr>
      <vt:lpstr>Devex_FEP</vt:lpstr>
      <vt:lpstr>BORA_Devex</vt:lpstr>
      <vt:lpstr>Run_Map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Gibbs</dc:creator>
  <cp:keywords/>
  <dc:description/>
  <cp:lastModifiedBy>Zádeczki Zalán</cp:lastModifiedBy>
  <cp:revision/>
  <dcterms:created xsi:type="dcterms:W3CDTF">2022-10-27T10:52:51Z</dcterms:created>
  <dcterms:modified xsi:type="dcterms:W3CDTF">2026-10-07T15:18:34Z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0x010100CB25C80BA76C054AAAC0D3CDDFCEC309</vt:lpwstr>
  </property>
  <property fmtid="{D5CDD505-2E9C-101B-9397-08002B2CF9AE}" pid="3" name="MediaServiceImageTags">
    <vt:lpwstr/>
  </property>
</Properties>
</file>