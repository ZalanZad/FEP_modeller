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adeczkiz\Downloads\"/>
    </mc:Choice>
  </mc:AlternateContent>
  <xr:revisionPtr revIDLastSave="0" documentId="13_ncr:1_{80BA2187-8B49-4276-B35D-4EBF96F94F5D}" xr6:coauthVersionLast="47" xr6:coauthVersionMax="47" xr10:uidLastSave="{00000000-0000-0000-0000-000000000000}"/>
  <bookViews>
    <workbookView xWindow="-11616" yWindow="12852" windowWidth="23256" windowHeight="13896" xr2:uid="{00000000-000D-0000-FFFF-FFFF00000000}"/>
  </bookViews>
  <sheets>
    <sheet name="Bid_Cash" sheetId="1" r:id="rId1"/>
  </sheets>
  <definedNames>
    <definedName name="Days_In_Year">Bid_Cash!$K$30</definedName>
    <definedName name="Osz1_Incl">Bid_Cash!$K$4:$S$4</definedName>
    <definedName name="Osz1_LB">Bid_Cash!$K$3:$S$3</definedName>
    <definedName name="Osz1_Pts">Bid_Cash!$K$5:$T$5</definedName>
    <definedName name="Osz1_W">Bid_Cash!$K$20</definedName>
    <definedName name="Osz2_Incl">Bid_Cash!$K$7:$U$7</definedName>
    <definedName name="Osz2_LB">Bid_Cash!$K$6:$U$6</definedName>
    <definedName name="Osz2_Pts">Bid_Cash!$K$8:$V$8</definedName>
    <definedName name="Osz2_W">Bid_Cash!$K$21</definedName>
    <definedName name="Osz3_Incl">Bid_Cash!$K$10:$T$10</definedName>
    <definedName name="Osz3_LB">Bid_Cash!$K$9:$T$9</definedName>
    <definedName name="Osz3_Pts">Bid_Cash!$K$11:$U$11</definedName>
    <definedName name="Osz3_W">Bid_Cash!$K$22</definedName>
    <definedName name="Osz4_W">Bid_Cash!$K$23</definedName>
    <definedName name="Osz5_Pts">Bid_Cash!$K$15</definedName>
    <definedName name="Osz5_W">Bid_Cash!$K$24</definedName>
    <definedName name="Osz6_Incl">Bid_Cash!$K$13:$T$13</definedName>
    <definedName name="Osz6_LB">Bid_Cash!$K$12:$T$12</definedName>
    <definedName name="Osz6_Pts">Bid_Cash!$K$14:$U$14</definedName>
    <definedName name="Osz6_W">Bid_Cash!$K$25</definedName>
    <definedName name="Osz7_Pts">Bid_Cash!$K$16</definedName>
    <definedName name="Osz7_W">Bid_Cash!$K$26</definedName>
    <definedName name="Osz8_Pts">Bid_Cash!$K$17</definedName>
    <definedName name="Osz8_W">Bid_Cash!$K$27</definedName>
    <definedName name="Osz9_W">Bid_Cash!$K$28</definedName>
    <definedName name="Osz9a_Pts">Bid_Cash!$K$18</definedName>
    <definedName name="Osz9b_Pts">Bid_Cash!$K$19</definedName>
    <definedName name="Thousand">Bid_Cash!$K$29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E22" i="1" a="1"/>
  <c r="E22" i="1" s="1"/>
  <c r="F66" i="1"/>
  <c r="F77" i="1" s="1"/>
  <c r="E66" i="1"/>
  <c r="H76" i="1"/>
  <c r="H75" i="1"/>
  <c r="H74" i="1"/>
  <c r="H73" i="1"/>
  <c r="H72" i="1"/>
  <c r="H71" i="1"/>
  <c r="H65" i="1"/>
  <c r="H64" i="1"/>
  <c r="H63" i="1"/>
  <c r="H62" i="1"/>
  <c r="H61" i="1"/>
  <c r="H60" i="1"/>
  <c r="F64" i="1"/>
  <c r="F75" i="1" s="1"/>
  <c r="E64" i="1"/>
  <c r="E75" i="1" s="1"/>
  <c r="G75" i="1" s="1"/>
  <c r="F63" i="1"/>
  <c r="F65" i="1" s="1"/>
  <c r="E63" i="1"/>
  <c r="E74" i="1" s="1"/>
  <c r="F60" i="1"/>
  <c r="F71" i="1" s="1"/>
  <c r="E60" i="1"/>
  <c r="E71" i="1" s="1"/>
  <c r="F30" i="1"/>
  <c r="E30" i="1"/>
  <c r="F29" i="1"/>
  <c r="E29" i="1"/>
  <c r="F28" i="1"/>
  <c r="E28" i="1"/>
  <c r="E27" i="1"/>
  <c r="F26" i="1"/>
  <c r="E26" i="1"/>
  <c r="F25" i="1"/>
  <c r="E25" i="1"/>
  <c r="F24" i="1"/>
  <c r="E24" i="1"/>
  <c r="F23" i="1"/>
  <c r="E23" i="1"/>
  <c r="F22" i="1"/>
  <c r="F21" i="1"/>
  <c r="E21" i="1"/>
  <c r="F18" i="1"/>
  <c r="F19" i="1" s="1"/>
  <c r="E18" i="1"/>
  <c r="E19" i="1" s="1"/>
  <c r="F17" i="1"/>
  <c r="E17" i="1"/>
  <c r="G71" i="1" l="1"/>
  <c r="G64" i="1"/>
  <c r="G63" i="1"/>
  <c r="G66" i="1"/>
  <c r="E77" i="1"/>
  <c r="G77" i="1" s="1"/>
  <c r="G60" i="1"/>
  <c r="F74" i="1"/>
  <c r="G74" i="1" s="1"/>
  <c r="E65" i="1"/>
  <c r="G65" i="1" s="1"/>
  <c r="F61" i="1"/>
  <c r="F72" i="1" s="1"/>
  <c r="E61" i="1"/>
  <c r="E31" i="1"/>
  <c r="F31" i="1"/>
  <c r="G61" i="1" l="1"/>
  <c r="F62" i="1"/>
  <c r="F73" i="1" s="1"/>
  <c r="E72" i="1"/>
  <c r="G72" i="1" s="1"/>
  <c r="E62" i="1"/>
  <c r="E76" i="1"/>
  <c r="E73" i="1" l="1"/>
  <c r="G73" i="1" s="1"/>
  <c r="G62" i="1"/>
  <c r="G67" i="1" s="1"/>
  <c r="F67" i="1"/>
  <c r="F78" i="1" s="1"/>
  <c r="E67" i="1"/>
  <c r="E78" i="1" s="1"/>
  <c r="F76" i="1"/>
  <c r="G76" i="1" s="1"/>
  <c r="G7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<sst xmlns="http://schemas.openxmlformats.org/spreadsheetml/2006/main" count="172" uniqueCount="112">
  <si>
    <t>Band tables (model Inputs block U) and constants</t>
  </si>
  <si>
    <t>Osz1_LB</t>
  </si>
  <si>
    <t>The bid: commitments and points</t>
  </si>
  <si>
    <t>Iváncsa</t>
  </si>
  <si>
    <t>Dunaújváros</t>
  </si>
  <si>
    <t>Osz1_Incl</t>
  </si>
  <si>
    <t>Net connection capacity</t>
  </si>
  <si>
    <t>MVA</t>
  </si>
  <si>
    <t>Osz1_Pts</t>
  </si>
  <si>
    <t>Overbuild (ÖSZ-3)</t>
  </si>
  <si>
    <t>%</t>
  </si>
  <si>
    <t>Osz2_LB</t>
  </si>
  <si>
    <t>BESS power, share of MVA (ÖSZ-4)</t>
  </si>
  <si>
    <t>Osz2_Incl</t>
  </si>
  <si>
    <t>BESS duration</t>
  </si>
  <si>
    <t>h</t>
  </si>
  <si>
    <t>Osz2_Pts</t>
  </si>
  <si>
    <t>Municipal one-off (ÖSZ-1)</t>
  </si>
  <si>
    <t>EUR k/MW</t>
  </si>
  <si>
    <t>Osz3_LB</t>
  </si>
  <si>
    <t>Community contribution (ÖSZ-2)</t>
  </si>
  <si>
    <t>EUR/MWh</t>
  </si>
  <si>
    <t>Osz3_Incl</t>
  </si>
  <si>
    <t>Partial award accepted (ÖSZ-5)</t>
  </si>
  <si>
    <t>flag</t>
  </si>
  <si>
    <t>Osz3_Pts</t>
  </si>
  <si>
    <t>Performance security multiple (ÖSZ-6)</t>
  </si>
  <si>
    <t>x</t>
  </si>
  <si>
    <t>Osz6_LB</t>
  </si>
  <si>
    <t>Brownfield site (ÖSZ-7)</t>
  </si>
  <si>
    <t>Osz6_Incl</t>
  </si>
  <si>
    <t>Shared connection (ÖSZ-8)</t>
  </si>
  <si>
    <t>Osz6_Pts</t>
  </si>
  <si>
    <t>EU turbines ≥ 80 % (ÖSZ-9)</t>
  </si>
  <si>
    <t>Osz1_W</t>
  </si>
  <si>
    <t>EU transformers ≥ 80 % (ÖSZ-9)</t>
  </si>
  <si>
    <t>Osz2_W</t>
  </si>
  <si>
    <t>Wind committed</t>
  </si>
  <si>
    <t>MW</t>
  </si>
  <si>
    <t>Osz3_W</t>
  </si>
  <si>
    <t>BESS power</t>
  </si>
  <si>
    <t>Osz4_W</t>
  </si>
  <si>
    <t>BESS energy</t>
  </si>
  <si>
    <t>MWh</t>
  </si>
  <si>
    <t>Osz5_W</t>
  </si>
  <si>
    <t>Osz6_W</t>
  </si>
  <si>
    <t>Points – municipal one-off</t>
  </si>
  <si>
    <t>points</t>
  </si>
  <si>
    <t>Osz7_W</t>
  </si>
  <si>
    <t>Points – community contribution</t>
  </si>
  <si>
    <t>Osz8_W</t>
  </si>
  <si>
    <t>Points – overbuild</t>
  </si>
  <si>
    <t>Osz9_W</t>
  </si>
  <si>
    <t>Points – BESS</t>
  </si>
  <si>
    <t>Osz5_Pts</t>
  </si>
  <si>
    <t>Points – partial award</t>
  </si>
  <si>
    <t>Osz7_Pts</t>
  </si>
  <si>
    <t>Points – performance security</t>
  </si>
  <si>
    <t>Osz8_Pts</t>
  </si>
  <si>
    <t>Points – brownfield</t>
  </si>
  <si>
    <t>Osz9a_Pts</t>
  </si>
  <si>
    <t>Points – shared connection</t>
  </si>
  <si>
    <t>Osz9b_Pts</t>
  </si>
  <si>
    <t>Points – EU turbines</t>
  </si>
  <si>
    <t>Thousand</t>
  </si>
  <si>
    <t>Points – EU transformers</t>
  </si>
  <si>
    <t>Days_In_Year</t>
  </si>
  <si>
    <t>Key dates</t>
  </si>
  <si>
    <t>Date</t>
  </si>
  <si>
    <t>Signing fee and DD paid</t>
  </si>
  <si>
    <t>date</t>
  </si>
  <si>
    <t>Bid submission: fee paid, bid security posted</t>
  </si>
  <si>
    <t>Performance security posted (bid security released)</t>
  </si>
  <si>
    <t>TSO security paid</t>
  </si>
  <si>
    <t>Devex contingency paid</t>
  </si>
  <si>
    <t>Connection agreement (HCSSZ): fees paid</t>
  </si>
  <si>
    <t>Notice to proceed</t>
  </si>
  <si>
    <t>COD</t>
  </si>
  <si>
    <t>Performance security released</t>
  </si>
  <si>
    <t>model has no PB release date; Kiírás XII.13, estimate</t>
  </si>
  <si>
    <t>Rates and fees</t>
  </si>
  <si>
    <t>FX rate</t>
  </si>
  <si>
    <t>HUF/EUR</t>
  </si>
  <si>
    <t>Security base: benchmark investment, wind</t>
  </si>
  <si>
    <t>HUF/MW</t>
  </si>
  <si>
    <t>Security base: benchmark investment, BESS</t>
  </si>
  <si>
    <t>HUF/MWh</t>
  </si>
  <si>
    <t>Participation fee per bid</t>
  </si>
  <si>
    <t>HUF</t>
  </si>
  <si>
    <t>Bid security, share of base</t>
  </si>
  <si>
    <t>Performance security, minimum share of base</t>
  </si>
  <si>
    <t>TSO security</t>
  </si>
  <si>
    <t>HUF/MVA</t>
  </si>
  <si>
    <t>Indirect connection fee (közvetett)</t>
  </si>
  <si>
    <t>Direct connection fee per bid (model: per MVA of the shared point)</t>
  </si>
  <si>
    <t>Signing fee and DD</t>
  </si>
  <si>
    <t>EUR k</t>
  </si>
  <si>
    <t>Devex incl. contingency</t>
  </si>
  <si>
    <t>Total</t>
  </si>
  <si>
    <t>Participation fee</t>
  </si>
  <si>
    <t>Direct connection fee</t>
  </si>
  <si>
    <t xml:space="preserve">Bid security </t>
  </si>
  <si>
    <t xml:space="preserve">TSO connection-request security </t>
  </si>
  <si>
    <t>Total cash: fee, securities, connection fees</t>
  </si>
  <si>
    <t>Performance security payable (bid security deducted)</t>
  </si>
  <si>
    <t>Indirect connection fee, payable (TSO conn.-req sec. deducted)</t>
  </si>
  <si>
    <t>DEVEX</t>
  </si>
  <si>
    <t>continous</t>
  </si>
  <si>
    <t>Guarantees, securities and connection fees, DEVEX (HUF)</t>
  </si>
  <si>
    <t>Guarantees, securities and connection fees, DEVEX (EUR)</t>
  </si>
  <si>
    <t>Iváncsa, Dunaújváros</t>
  </si>
  <si>
    <t>Points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</si>
</sst>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&quot;–&quot;"/>
    <numFmt numFmtId="165" formatCode="0.0%;\(0.0%\);&quot;–&quot;"/>
    <numFmt numFmtId="166" formatCode="0.00&quot;x&quot;"/>
    <numFmt numFmtId="167" formatCode="#,##0.0;\(#,##0.0\);&quot;–&quot;"/>
    <numFmt numFmtId="168" formatCode="dd\-mmm\-yy"/>
  </numFmts>
  <fonts count="10" x14ac:knownFonts="1">
    <font>
      <sz val="11"/>
      <color theme="1"/>
      <name val="Calibri"/>
      <family val="2"/>
      <scheme val="minor"/>
    </font>
    <font>
      <b/>
      <sz val="14"/>
      <color rgb="FF0000FF"/>
      <name val="Aptos Narrow"/>
    </font>
    <font>
      <sz val="10"/>
      <color rgb="FF000000"/>
      <name val="Aptos Narrow"/>
    </font>
    <font>
      <b/>
      <sz val="10"/>
      <color rgb="FFFFFFFF"/>
      <name val="Aptos Narrow"/>
    </font>
    <font>
      <i/>
      <sz val="10"/>
      <color rgb="FF808080"/>
      <name val="Aptos Narrow"/>
    </font>
    <font>
      <sz val="10"/>
      <color rgb="FF0000FF"/>
      <name val="Aptos Narrow"/>
    </font>
    <font>
      <sz val="10"/>
      <color rgb="FF7030A0"/>
      <name val="Aptos Narrow"/>
    </font>
    <font>
      <b/>
      <sz val="10"/>
      <color rgb="FF000000"/>
      <name val="Aptos Narrow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00563C"/>
      </patternFill>
    </fill>
    <fill>
      <patternFill patternType="solid">
        <fgColor rgb="FFEDEDE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4" fillId="0" borderId="0" xfId="0" applyFont="1"/>
    <xf numFmtId="164" fontId="5" fillId="2" borderId="1" xfId="0" applyNumberFormat="1" applyFont="1" applyFill="1" applyBorder="1"/>
    <xf numFmtId="165" fontId="5" fillId="2" borderId="1" xfId="0" applyNumberFormat="1" applyFont="1" applyFill="1" applyBorder="1"/>
    <xf numFmtId="166" fontId="5" fillId="2" borderId="1" xfId="0" applyNumberFormat="1" applyFont="1" applyFill="1" applyBorder="1"/>
    <xf numFmtId="167" fontId="6" fillId="4" borderId="1" xfId="0" applyNumberFormat="1" applyFont="1" applyFill="1" applyBorder="1"/>
    <xf numFmtId="0" fontId="7" fillId="0" borderId="0" xfId="0" applyFont="1"/>
    <xf numFmtId="4" fontId="7" fillId="0" borderId="0" xfId="0" applyNumberFormat="1" applyFont="1"/>
    <xf numFmtId="168" fontId="5" fillId="2" borderId="1" xfId="0" applyNumberFormat="1" applyFont="1" applyFill="1" applyBorder="1"/>
    <xf numFmtId="165" fontId="5" fillId="0" borderId="0" xfId="0" applyNumberFormat="1" applyFont="1"/>
    <xf numFmtId="164" fontId="2" fillId="0" borderId="0" xfId="0" applyNumberFormat="1" applyFont="1"/>
    <xf numFmtId="164" fontId="7" fillId="0" borderId="0" xfId="0" applyNumberFormat="1" applyFont="1"/>
    <xf numFmtId="0" fontId="2" fillId="5" borderId="0" xfId="0" applyFont="1" applyFill="1"/>
    <xf numFmtId="0" fontId="4" fillId="5" borderId="0" xfId="0" applyFont="1" applyFill="1"/>
    <xf numFmtId="164" fontId="2" fillId="5" borderId="0" xfId="0" applyNumberFormat="1" applyFont="1" applyFill="1"/>
    <xf numFmtId="0" fontId="8" fillId="5" borderId="0" xfId="0" applyFont="1" applyFill="1"/>
    <xf numFmtId="0" fontId="8" fillId="0" borderId="0" xfId="0" applyFont="1"/>
    <xf numFmtId="164" fontId="2" fillId="0" borderId="2" xfId="0" applyNumberFormat="1" applyFont="1" applyBorder="1"/>
    <xf numFmtId="164" fontId="9" fillId="0" borderId="0" xfId="0" applyNumberFormat="1" applyFont="1"/>
    <xf numFmtId="168" fontId="2" fillId="0" borderId="0" xfId="0" applyNumberFormat="1" applyFont="1" applyAlignment="1">
      <alignment horizontal="right"/>
    </xf>
    <xf numFmtId="168" fontId="2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0" fillId="5" borderId="0" xfId="0" applyFill="1"/>
    <xf numFmtId="168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EF034F-F7F3-48A9-A979-18243B049EE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c61913e-1f9d-49c8-97e5-dfb099fffa4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84"/>
  <sheetViews>
    <sheetView showGridLines="0" tabSelected="1" zoomScale="70" zoomScaleNormal="70" workbookViewId="0">
      <pane xSplit="4" ySplit="4" topLeftCell="E65" activePane="bottomRight" state="frozen"/>
      <selection pane="topRight"/>
      <selection pane="bottomLeft"/>
      <selection pane="bottomRight" activeCell="AE47" sqref="AE47"/>
    </sheetView>
  </sheetViews>
  <sheetFormatPr defaultRowHeight="14.4" x14ac:dyDescent="0.3"/>
  <cols>
    <col min="1" max="2" width="2" customWidth="1"/>
    <col min="3" max="3" width="52" customWidth="1"/>
    <col min="4" max="4" width="9" customWidth="1"/>
    <col min="5" max="7" width="13" customWidth="1"/>
    <col min="8" max="8" width="8.88671875" bestFit="1" customWidth="1"/>
    <col min="9" max="9" width="0" hidden="1" customWidth="1"/>
    <col min="10" max="23" width="13" hidden="1" customWidth="1"/>
    <col min="24" max="26" width="13" customWidth="1"/>
  </cols>
  <sheetData>
    <row r="1" spans="2:22" ht="18" x14ac:dyDescent="0.35">
      <c r="C1" s="1" t="s">
        <v>110</v>
      </c>
    </row>
    <row r="2" spans="2:22" x14ac:dyDescent="0.3">
      <c r="C2" s="2"/>
      <c r="J2" t="s">
        <v>0</v>
      </c>
    </row>
    <row r="3" spans="2:22" x14ac:dyDescent="0.3">
      <c r="J3" t="s">
        <v>1</v>
      </c>
      <c r="K3">
        <v>10</v>
      </c>
      <c r="L3">
        <v>15</v>
      </c>
      <c r="M3">
        <v>20</v>
      </c>
      <c r="N3">
        <v>25</v>
      </c>
      <c r="O3">
        <v>30</v>
      </c>
      <c r="P3">
        <v>35</v>
      </c>
      <c r="Q3">
        <v>40</v>
      </c>
      <c r="R3">
        <v>45</v>
      </c>
      <c r="S3">
        <v>50</v>
      </c>
    </row>
    <row r="4" spans="2:22" x14ac:dyDescent="0.3">
      <c r="B4" s="3"/>
      <c r="C4" s="3" t="s">
        <v>2</v>
      </c>
      <c r="D4" s="3"/>
      <c r="E4" s="4" t="s">
        <v>3</v>
      </c>
      <c r="F4" s="4" t="s">
        <v>4</v>
      </c>
      <c r="G4" s="4"/>
      <c r="J4" t="s">
        <v>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</row>
    <row r="5" spans="2:22" x14ac:dyDescent="0.3">
      <c r="C5" s="2" t="s">
        <v>6</v>
      </c>
      <c r="D5" s="5" t="s">
        <v>7</v>
      </c>
      <c r="E5" s="6">
        <v>50</v>
      </c>
      <c r="F5" s="6">
        <v>50</v>
      </c>
      <c r="J5" t="s">
        <v>8</v>
      </c>
      <c r="K5">
        <v>0</v>
      </c>
      <c r="L5">
        <v>10</v>
      </c>
      <c r="M5">
        <v>20</v>
      </c>
      <c r="N5">
        <v>30</v>
      </c>
      <c r="O5">
        <v>40</v>
      </c>
      <c r="P5">
        <v>55</v>
      </c>
      <c r="Q5">
        <v>70</v>
      </c>
      <c r="R5">
        <v>80</v>
      </c>
      <c r="S5">
        <v>90</v>
      </c>
      <c r="T5">
        <v>100</v>
      </c>
    </row>
    <row r="6" spans="2:22" x14ac:dyDescent="0.3">
      <c r="C6" s="2" t="s">
        <v>9</v>
      </c>
      <c r="D6" s="5" t="s">
        <v>10</v>
      </c>
      <c r="E6" s="7">
        <v>0.41</v>
      </c>
      <c r="F6" s="7">
        <v>0.41</v>
      </c>
      <c r="J6" t="s">
        <v>11</v>
      </c>
      <c r="K6">
        <v>2</v>
      </c>
      <c r="L6">
        <v>2.1</v>
      </c>
      <c r="M6">
        <v>2.2000000000000002</v>
      </c>
      <c r="N6">
        <v>2.2999999999999998</v>
      </c>
      <c r="O6">
        <v>2.4</v>
      </c>
      <c r="P6">
        <v>2.5</v>
      </c>
      <c r="Q6">
        <v>2.6</v>
      </c>
      <c r="R6">
        <v>2.7</v>
      </c>
      <c r="S6">
        <v>2.8</v>
      </c>
      <c r="T6">
        <v>2.9</v>
      </c>
      <c r="U6">
        <v>3</v>
      </c>
    </row>
    <row r="7" spans="2:22" x14ac:dyDescent="0.3">
      <c r="C7" s="2" t="s">
        <v>12</v>
      </c>
      <c r="D7" s="5" t="s">
        <v>10</v>
      </c>
      <c r="E7" s="7">
        <v>0.4</v>
      </c>
      <c r="F7" s="7">
        <v>0.4</v>
      </c>
      <c r="J7" t="s">
        <v>13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</row>
    <row r="8" spans="2:22" x14ac:dyDescent="0.3">
      <c r="C8" s="2" t="s">
        <v>14</v>
      </c>
      <c r="D8" s="5" t="s">
        <v>15</v>
      </c>
      <c r="E8" s="6">
        <v>4</v>
      </c>
      <c r="F8" s="6">
        <v>4</v>
      </c>
      <c r="J8" t="s">
        <v>16</v>
      </c>
      <c r="K8">
        <v>0</v>
      </c>
      <c r="L8">
        <v>5</v>
      </c>
      <c r="M8">
        <v>10</v>
      </c>
      <c r="N8">
        <v>20</v>
      </c>
      <c r="O8">
        <v>30</v>
      </c>
      <c r="P8">
        <v>40</v>
      </c>
      <c r="Q8">
        <v>50</v>
      </c>
      <c r="R8">
        <v>60</v>
      </c>
      <c r="S8">
        <v>70</v>
      </c>
      <c r="T8">
        <v>80</v>
      </c>
      <c r="U8">
        <v>90</v>
      </c>
      <c r="V8">
        <v>100</v>
      </c>
    </row>
    <row r="9" spans="2:22" x14ac:dyDescent="0.3">
      <c r="C9" s="2" t="s">
        <v>17</v>
      </c>
      <c r="D9" s="5" t="s">
        <v>18</v>
      </c>
      <c r="E9" s="6">
        <v>50</v>
      </c>
      <c r="F9" s="6">
        <v>50</v>
      </c>
      <c r="J9" t="s">
        <v>19</v>
      </c>
      <c r="K9">
        <v>0.02</v>
      </c>
      <c r="L9">
        <v>0.05</v>
      </c>
      <c r="M9">
        <v>0.1</v>
      </c>
      <c r="N9">
        <v>0.15</v>
      </c>
      <c r="O9">
        <v>0.2</v>
      </c>
      <c r="P9">
        <v>0.25</v>
      </c>
      <c r="Q9">
        <v>0.3</v>
      </c>
      <c r="R9">
        <v>0.35</v>
      </c>
      <c r="S9">
        <v>0.4</v>
      </c>
      <c r="T9">
        <v>0.5</v>
      </c>
    </row>
    <row r="10" spans="2:22" x14ac:dyDescent="0.3">
      <c r="C10" s="2" t="s">
        <v>20</v>
      </c>
      <c r="D10" s="5" t="s">
        <v>21</v>
      </c>
      <c r="E10" s="6">
        <v>3</v>
      </c>
      <c r="F10" s="6">
        <v>3</v>
      </c>
      <c r="J10" t="s">
        <v>22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</row>
    <row r="11" spans="2:22" x14ac:dyDescent="0.3">
      <c r="C11" s="2" t="s">
        <v>23</v>
      </c>
      <c r="D11" s="5" t="s">
        <v>24</v>
      </c>
      <c r="E11" s="6">
        <v>0</v>
      </c>
      <c r="F11" s="6">
        <v>0</v>
      </c>
      <c r="J11" t="s">
        <v>25</v>
      </c>
      <c r="K11">
        <v>0</v>
      </c>
      <c r="L11">
        <v>10</v>
      </c>
      <c r="M11">
        <v>20</v>
      </c>
      <c r="N11">
        <v>30</v>
      </c>
      <c r="O11">
        <v>40</v>
      </c>
      <c r="P11">
        <v>50</v>
      </c>
      <c r="Q11">
        <v>60</v>
      </c>
      <c r="R11">
        <v>70</v>
      </c>
      <c r="S11">
        <v>80</v>
      </c>
      <c r="T11">
        <v>90</v>
      </c>
      <c r="U11">
        <v>100</v>
      </c>
    </row>
    <row r="12" spans="2:22" x14ac:dyDescent="0.3">
      <c r="C12" s="2" t="s">
        <v>26</v>
      </c>
      <c r="D12" s="5" t="s">
        <v>27</v>
      </c>
      <c r="E12" s="8">
        <v>1</v>
      </c>
      <c r="F12" s="8">
        <v>1</v>
      </c>
      <c r="J12" t="s">
        <v>28</v>
      </c>
      <c r="K12">
        <v>1</v>
      </c>
      <c r="L12">
        <v>1.2</v>
      </c>
      <c r="M12">
        <v>1.3</v>
      </c>
      <c r="N12">
        <v>1.4</v>
      </c>
      <c r="O12">
        <v>1.5</v>
      </c>
      <c r="P12">
        <v>1.6</v>
      </c>
      <c r="Q12">
        <v>1.7</v>
      </c>
      <c r="R12">
        <v>1.8</v>
      </c>
      <c r="S12">
        <v>1.9</v>
      </c>
      <c r="T12">
        <v>2</v>
      </c>
    </row>
    <row r="13" spans="2:22" x14ac:dyDescent="0.3">
      <c r="C13" s="2" t="s">
        <v>29</v>
      </c>
      <c r="D13" s="5" t="s">
        <v>24</v>
      </c>
      <c r="E13" s="6">
        <v>0</v>
      </c>
      <c r="F13" s="6">
        <v>0</v>
      </c>
      <c r="J13" t="s">
        <v>30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2:22" x14ac:dyDescent="0.3">
      <c r="C14" s="2" t="s">
        <v>31</v>
      </c>
      <c r="D14" s="5" t="s">
        <v>24</v>
      </c>
      <c r="E14" s="6">
        <v>0</v>
      </c>
      <c r="F14" s="6">
        <v>0</v>
      </c>
      <c r="J14" t="s">
        <v>32</v>
      </c>
      <c r="K14">
        <v>0</v>
      </c>
      <c r="L14">
        <v>10</v>
      </c>
      <c r="M14">
        <v>20</v>
      </c>
      <c r="N14">
        <v>30</v>
      </c>
      <c r="O14">
        <v>40</v>
      </c>
      <c r="P14">
        <v>50</v>
      </c>
      <c r="Q14">
        <v>60</v>
      </c>
      <c r="R14">
        <v>70</v>
      </c>
      <c r="S14">
        <v>80</v>
      </c>
      <c r="T14">
        <v>90</v>
      </c>
      <c r="U14">
        <v>100</v>
      </c>
    </row>
    <row r="15" spans="2:22" x14ac:dyDescent="0.3">
      <c r="C15" s="2" t="s">
        <v>33</v>
      </c>
      <c r="D15" s="5" t="s">
        <v>24</v>
      </c>
      <c r="E15" s="6">
        <v>1</v>
      </c>
      <c r="F15" s="6">
        <v>1</v>
      </c>
      <c r="J15" t="s">
        <v>54</v>
      </c>
      <c r="K15">
        <v>100</v>
      </c>
    </row>
    <row r="16" spans="2:22" x14ac:dyDescent="0.3">
      <c r="C16" s="2" t="s">
        <v>35</v>
      </c>
      <c r="D16" s="5" t="s">
        <v>24</v>
      </c>
      <c r="E16" s="6">
        <v>0</v>
      </c>
      <c r="F16" s="6">
        <v>0</v>
      </c>
      <c r="J16" t="s">
        <v>56</v>
      </c>
      <c r="K16">
        <v>100</v>
      </c>
    </row>
    <row r="17" spans="3:11" x14ac:dyDescent="0.3">
      <c r="C17" s="2" t="s">
        <v>37</v>
      </c>
      <c r="D17" s="5" t="s">
        <v>38</v>
      </c>
      <c r="E17" s="9">
        <f>E5*(1+E6)</f>
        <v>70.5</v>
      </c>
      <c r="F17" s="9">
        <f>F5*(1+F6)</f>
        <v>70.5</v>
      </c>
      <c r="J17" t="s">
        <v>58</v>
      </c>
      <c r="K17">
        <v>100</v>
      </c>
    </row>
    <row r="18" spans="3:11" x14ac:dyDescent="0.3">
      <c r="C18" s="2" t="s">
        <v>40</v>
      </c>
      <c r="D18" s="5" t="s">
        <v>38</v>
      </c>
      <c r="E18" s="9">
        <f>E5*E7</f>
        <v>20</v>
      </c>
      <c r="F18" s="9">
        <f>F5*F7</f>
        <v>20</v>
      </c>
      <c r="J18" t="s">
        <v>60</v>
      </c>
      <c r="K18">
        <v>80</v>
      </c>
    </row>
    <row r="19" spans="3:11" x14ac:dyDescent="0.3">
      <c r="C19" s="2" t="s">
        <v>42</v>
      </c>
      <c r="D19" s="5" t="s">
        <v>43</v>
      </c>
      <c r="E19" s="9">
        <f>E18*E8</f>
        <v>80</v>
      </c>
      <c r="F19" s="9">
        <f>F18*F8</f>
        <v>80</v>
      </c>
      <c r="J19" t="s">
        <v>62</v>
      </c>
      <c r="K19">
        <v>20</v>
      </c>
    </row>
    <row r="20" spans="3:11" x14ac:dyDescent="0.3">
      <c r="J20" t="s">
        <v>34</v>
      </c>
      <c r="K20">
        <v>0.2</v>
      </c>
    </row>
    <row r="21" spans="3:11" x14ac:dyDescent="0.3">
      <c r="C21" s="2" t="s">
        <v>46</v>
      </c>
      <c r="D21" s="5" t="s">
        <v>47</v>
      </c>
      <c r="E21" s="9">
        <f>INDEX(Osz1_Pts,1+SUMPRODUCT((Osz1_LB&lt;E9)+(Osz1_LB=E9)*Osz1_Incl))*Osz1_W</f>
        <v>20</v>
      </c>
      <c r="F21" s="9">
        <f>INDEX(Osz1_Pts,1+SUMPRODUCT((Osz1_LB&lt;F9)+(Osz1_LB=F9)*Osz1_Incl))*Osz1_W</f>
        <v>20</v>
      </c>
      <c r="J21" t="s">
        <v>36</v>
      </c>
      <c r="K21">
        <v>0.15</v>
      </c>
    </row>
    <row r="22" spans="3:11" x14ac:dyDescent="0.3">
      <c r="C22" s="2" t="s">
        <v>49</v>
      </c>
      <c r="D22" s="5" t="s">
        <v>47</v>
      </c>
      <c r="E22" s="9" cm="1">
        <f t="array" ref="E22">_xlfn.SINGLE(INDEX(Osz2_Pts,1+SUMPRODUCT((Osz2_LB&lt;E10)+(Osz2_LB=E10)*Osz2_Incl)))*Osz2_W</f>
        <v>15</v>
      </c>
      <c r="F22" s="9">
        <f>INDEX(Osz2_Pts,1+SUMPRODUCT((Osz2_LB&lt;F10)+(Osz2_LB=F10)*Osz2_Incl))*Osz2_W</f>
        <v>15</v>
      </c>
      <c r="J22" t="s">
        <v>39</v>
      </c>
      <c r="K22">
        <v>0.1</v>
      </c>
    </row>
    <row r="23" spans="3:11" x14ac:dyDescent="0.3">
      <c r="C23" s="2" t="s">
        <v>51</v>
      </c>
      <c r="D23" s="5" t="s">
        <v>47</v>
      </c>
      <c r="E23" s="9">
        <f>INDEX(Osz3_Pts,1+SUMPRODUCT((Osz3_LB&lt;E6)+(Osz3_LB=E6)*Osz3_Incl))*Osz3_W</f>
        <v>9</v>
      </c>
      <c r="F23" s="9">
        <f>INDEX(Osz3_Pts,1+SUMPRODUCT((Osz3_LB&lt;F6)+(Osz3_LB=F6)*Osz3_Incl))*Osz3_W</f>
        <v>9</v>
      </c>
      <c r="J23" t="s">
        <v>41</v>
      </c>
      <c r="K23">
        <v>0.15</v>
      </c>
    </row>
    <row r="24" spans="3:11" x14ac:dyDescent="0.3">
      <c r="C24" s="2" t="s">
        <v>53</v>
      </c>
      <c r="D24" s="5" t="s">
        <v>47</v>
      </c>
      <c r="E24" s="9">
        <f>INDEX(Osz3_Pts,1+SUMPRODUCT((Osz3_LB&lt;E7)+(Osz3_LB=E7)*Osz3_Incl))*Osz4_W</f>
        <v>13.5</v>
      </c>
      <c r="F24" s="9">
        <f>INDEX(Osz3_Pts,1+SUMPRODUCT((Osz3_LB&lt;F7)+(Osz3_LB=F7)*Osz3_Incl))*Osz4_W</f>
        <v>13.5</v>
      </c>
      <c r="J24" t="s">
        <v>44</v>
      </c>
      <c r="K24">
        <v>0.05</v>
      </c>
    </row>
    <row r="25" spans="3:11" x14ac:dyDescent="0.3">
      <c r="C25" s="2" t="s">
        <v>55</v>
      </c>
      <c r="D25" s="5" t="s">
        <v>47</v>
      </c>
      <c r="E25" s="9">
        <f>E11*Osz5_Pts*Osz5_W</f>
        <v>0</v>
      </c>
      <c r="F25" s="9">
        <f>F11*Osz5_Pts*Osz5_W</f>
        <v>0</v>
      </c>
      <c r="J25" t="s">
        <v>45</v>
      </c>
      <c r="K25">
        <v>0.05</v>
      </c>
    </row>
    <row r="26" spans="3:11" x14ac:dyDescent="0.3">
      <c r="C26" s="2" t="s">
        <v>57</v>
      </c>
      <c r="D26" s="5" t="s">
        <v>47</v>
      </c>
      <c r="E26" s="9">
        <f>INDEX(Osz6_Pts,1+SUMPRODUCT((Osz6_LB&lt;E12)+(Osz6_LB=E12)*Osz6_Incl))*Osz6_W</f>
        <v>0</v>
      </c>
      <c r="F26" s="9">
        <f>INDEX(Osz6_Pts,1+SUMPRODUCT((Osz6_LB&lt;F12)+(Osz6_LB=F12)*Osz6_Incl))*Osz6_W</f>
        <v>0</v>
      </c>
      <c r="J26" t="s">
        <v>48</v>
      </c>
      <c r="K26">
        <v>0.1</v>
      </c>
    </row>
    <row r="27" spans="3:11" x14ac:dyDescent="0.3">
      <c r="C27" s="2" t="s">
        <v>59</v>
      </c>
      <c r="D27" s="5" t="s">
        <v>47</v>
      </c>
      <c r="E27" s="9">
        <f>E13*Osz7_Pts*Osz7_W</f>
        <v>0</v>
      </c>
      <c r="F27" s="9">
        <f>F13*Osz7_Pts*Osz7_W</f>
        <v>0</v>
      </c>
      <c r="J27" t="s">
        <v>50</v>
      </c>
      <c r="K27">
        <v>0.05</v>
      </c>
    </row>
    <row r="28" spans="3:11" x14ac:dyDescent="0.3">
      <c r="C28" s="2" t="s">
        <v>61</v>
      </c>
      <c r="D28" s="5" t="s">
        <v>47</v>
      </c>
      <c r="E28" s="9">
        <f>E14*Osz8_Pts*Osz8_W</f>
        <v>0</v>
      </c>
      <c r="F28" s="9">
        <f>F14*Osz8_Pts*Osz8_W</f>
        <v>0</v>
      </c>
      <c r="J28" t="s">
        <v>52</v>
      </c>
      <c r="K28">
        <v>0.15</v>
      </c>
    </row>
    <row r="29" spans="3:11" x14ac:dyDescent="0.3">
      <c r="C29" s="2" t="s">
        <v>63</v>
      </c>
      <c r="D29" s="5" t="s">
        <v>47</v>
      </c>
      <c r="E29" s="9">
        <f>E15*Osz9a_Pts*Osz9_W</f>
        <v>12</v>
      </c>
      <c r="F29" s="9">
        <f>F15*Osz9a_Pts*Osz9_W</f>
        <v>12</v>
      </c>
      <c r="J29" t="s">
        <v>64</v>
      </c>
      <c r="K29">
        <v>1000</v>
      </c>
    </row>
    <row r="30" spans="3:11" x14ac:dyDescent="0.3">
      <c r="C30" s="2" t="s">
        <v>65</v>
      </c>
      <c r="D30" s="5" t="s">
        <v>47</v>
      </c>
      <c r="E30" s="9">
        <f>E16*Osz9b_Pts*Osz9_W</f>
        <v>0</v>
      </c>
      <c r="F30" s="9">
        <f>F16*Osz9b_Pts*Osz9_W</f>
        <v>0</v>
      </c>
      <c r="J30" t="s">
        <v>66</v>
      </c>
      <c r="K30">
        <v>365</v>
      </c>
    </row>
    <row r="31" spans="3:11" x14ac:dyDescent="0.3">
      <c r="C31" s="10" t="s">
        <v>111</v>
      </c>
      <c r="D31" s="5" t="s">
        <v>47</v>
      </c>
      <c r="E31" s="11">
        <f>SUM(E21:E30)</f>
        <v>69.5</v>
      </c>
      <c r="F31" s="11">
        <f>SUM(F21:F30)</f>
        <v>69.5</v>
      </c>
    </row>
    <row r="33" spans="2:7" x14ac:dyDescent="0.3">
      <c r="B33" s="3"/>
      <c r="C33" s="3" t="s">
        <v>67</v>
      </c>
      <c r="D33" s="3"/>
      <c r="E33" s="4"/>
      <c r="F33" s="4"/>
      <c r="G33" s="4"/>
    </row>
    <row r="34" spans="2:7" x14ac:dyDescent="0.3">
      <c r="C34" s="2" t="s">
        <v>69</v>
      </c>
      <c r="D34" s="5" t="s">
        <v>70</v>
      </c>
      <c r="E34" s="12">
        <v>46234</v>
      </c>
    </row>
    <row r="35" spans="2:7" x14ac:dyDescent="0.3">
      <c r="C35" s="2" t="s">
        <v>71</v>
      </c>
      <c r="D35" s="5" t="s">
        <v>70</v>
      </c>
      <c r="E35" s="12">
        <v>46325</v>
      </c>
    </row>
    <row r="36" spans="2:7" x14ac:dyDescent="0.3">
      <c r="C36" s="2" t="s">
        <v>72</v>
      </c>
      <c r="D36" s="5" t="s">
        <v>70</v>
      </c>
      <c r="E36" s="12">
        <v>46402</v>
      </c>
    </row>
    <row r="37" spans="2:7" x14ac:dyDescent="0.3">
      <c r="C37" s="2" t="s">
        <v>73</v>
      </c>
      <c r="D37" s="5" t="s">
        <v>70</v>
      </c>
      <c r="E37" s="12">
        <v>46402</v>
      </c>
    </row>
    <row r="38" spans="2:7" x14ac:dyDescent="0.3">
      <c r="C38" s="2" t="s">
        <v>74</v>
      </c>
      <c r="D38" s="5" t="s">
        <v>70</v>
      </c>
      <c r="E38" s="12">
        <v>47118</v>
      </c>
    </row>
    <row r="39" spans="2:7" x14ac:dyDescent="0.3">
      <c r="C39" s="2" t="s">
        <v>75</v>
      </c>
      <c r="D39" s="5" t="s">
        <v>70</v>
      </c>
      <c r="E39" s="12">
        <v>47027</v>
      </c>
    </row>
    <row r="40" spans="2:7" x14ac:dyDescent="0.3">
      <c r="C40" s="2" t="s">
        <v>76</v>
      </c>
      <c r="D40" s="5" t="s">
        <v>70</v>
      </c>
      <c r="E40" s="12">
        <v>47299</v>
      </c>
    </row>
    <row r="41" spans="2:7" x14ac:dyDescent="0.3">
      <c r="C41" s="2" t="s">
        <v>77</v>
      </c>
      <c r="D41" s="5" t="s">
        <v>70</v>
      </c>
      <c r="E41" s="12">
        <v>48029</v>
      </c>
    </row>
    <row r="42" spans="2:7" x14ac:dyDescent="0.3">
      <c r="C42" s="2" t="s">
        <v>78</v>
      </c>
      <c r="D42" s="5" t="s">
        <v>70</v>
      </c>
      <c r="E42" s="12">
        <v>48669</v>
      </c>
      <c r="F42" s="5" t="s">
        <v>79</v>
      </c>
    </row>
    <row r="44" spans="2:7" x14ac:dyDescent="0.3">
      <c r="B44" s="3"/>
      <c r="C44" s="3" t="s">
        <v>80</v>
      </c>
      <c r="D44" s="3"/>
      <c r="E44" s="4" t="s">
        <v>3</v>
      </c>
      <c r="F44" s="4" t="s">
        <v>4</v>
      </c>
      <c r="G44" s="4"/>
    </row>
    <row r="45" spans="2:7" x14ac:dyDescent="0.3">
      <c r="C45" s="2" t="s">
        <v>81</v>
      </c>
      <c r="D45" s="5" t="s">
        <v>82</v>
      </c>
      <c r="E45" s="6">
        <v>365</v>
      </c>
      <c r="F45" s="6">
        <v>365</v>
      </c>
    </row>
    <row r="46" spans="2:7" x14ac:dyDescent="0.3">
      <c r="C46" s="2" t="s">
        <v>83</v>
      </c>
      <c r="D46" s="5" t="s">
        <v>84</v>
      </c>
      <c r="E46" s="6">
        <v>406000000</v>
      </c>
      <c r="F46" s="6">
        <v>406000000</v>
      </c>
    </row>
    <row r="47" spans="2:7" x14ac:dyDescent="0.3">
      <c r="C47" s="2" t="s">
        <v>85</v>
      </c>
      <c r="D47" s="5" t="s">
        <v>86</v>
      </c>
      <c r="E47" s="6">
        <v>200000000</v>
      </c>
      <c r="F47" s="6">
        <v>200000000</v>
      </c>
    </row>
    <row r="48" spans="2:7" x14ac:dyDescent="0.3">
      <c r="C48" s="2" t="s">
        <v>87</v>
      </c>
      <c r="D48" s="5" t="s">
        <v>88</v>
      </c>
      <c r="E48" s="6">
        <v>3000000</v>
      </c>
      <c r="F48" s="6">
        <v>3000000</v>
      </c>
    </row>
    <row r="49" spans="2:9" x14ac:dyDescent="0.3">
      <c r="C49" s="2" t="s">
        <v>89</v>
      </c>
      <c r="D49" s="5" t="s">
        <v>10</v>
      </c>
      <c r="E49" s="7">
        <v>5.0000000000000001E-3</v>
      </c>
      <c r="F49" s="7">
        <v>5.0000000000000001E-3</v>
      </c>
    </row>
    <row r="50" spans="2:9" x14ac:dyDescent="0.3">
      <c r="C50" s="2" t="s">
        <v>90</v>
      </c>
      <c r="D50" s="5" t="s">
        <v>10</v>
      </c>
      <c r="E50" s="7">
        <v>2.5000000000000001E-2</v>
      </c>
      <c r="F50" s="7">
        <v>2.5000000000000001E-2</v>
      </c>
    </row>
    <row r="51" spans="2:9" x14ac:dyDescent="0.3">
      <c r="C51" s="2" t="s">
        <v>91</v>
      </c>
      <c r="D51" s="5" t="s">
        <v>92</v>
      </c>
      <c r="E51" s="6">
        <v>4500000</v>
      </c>
      <c r="F51" s="6">
        <v>4500000</v>
      </c>
    </row>
    <row r="52" spans="2:9" x14ac:dyDescent="0.3">
      <c r="C52" s="2" t="s">
        <v>93</v>
      </c>
      <c r="D52" s="5" t="s">
        <v>92</v>
      </c>
      <c r="E52" s="6">
        <v>19826680</v>
      </c>
      <c r="F52" s="6">
        <v>19826680</v>
      </c>
    </row>
    <row r="53" spans="2:9" x14ac:dyDescent="0.3">
      <c r="C53" s="2" t="s">
        <v>94</v>
      </c>
      <c r="D53" s="5" t="s">
        <v>88</v>
      </c>
      <c r="E53" s="6">
        <v>460000000</v>
      </c>
      <c r="F53" s="6">
        <v>460000000</v>
      </c>
    </row>
    <row r="54" spans="2:9" x14ac:dyDescent="0.3">
      <c r="C54" s="2"/>
      <c r="D54" s="5"/>
      <c r="E54" s="7"/>
      <c r="F54" s="7"/>
    </row>
    <row r="55" spans="2:9" x14ac:dyDescent="0.3">
      <c r="C55" s="2" t="s">
        <v>95</v>
      </c>
      <c r="D55" s="5" t="s">
        <v>96</v>
      </c>
      <c r="E55" s="6">
        <v>150</v>
      </c>
      <c r="F55" s="6">
        <v>150</v>
      </c>
    </row>
    <row r="56" spans="2:9" x14ac:dyDescent="0.3">
      <c r="C56" s="2" t="s">
        <v>97</v>
      </c>
      <c r="D56" s="5" t="s">
        <v>96</v>
      </c>
      <c r="E56" s="6">
        <v>1000</v>
      </c>
      <c r="F56" s="6">
        <v>1000</v>
      </c>
    </row>
    <row r="57" spans="2:9" x14ac:dyDescent="0.3">
      <c r="C57" s="2"/>
      <c r="D57" s="5"/>
      <c r="E57" s="13"/>
      <c r="F57" s="13"/>
    </row>
    <row r="59" spans="2:9" x14ac:dyDescent="0.3">
      <c r="B59" s="3"/>
      <c r="C59" s="3" t="s">
        <v>108</v>
      </c>
      <c r="D59" s="3"/>
      <c r="E59" s="4" t="s">
        <v>3</v>
      </c>
      <c r="F59" s="4" t="s">
        <v>4</v>
      </c>
      <c r="G59" s="4" t="s">
        <v>98</v>
      </c>
      <c r="H59" s="4" t="s">
        <v>68</v>
      </c>
      <c r="I59" s="25"/>
    </row>
    <row r="60" spans="2:9" x14ac:dyDescent="0.3">
      <c r="C60" s="2" t="s">
        <v>99</v>
      </c>
      <c r="D60" s="5" t="s">
        <v>88</v>
      </c>
      <c r="E60" s="14">
        <f>E$48</f>
        <v>3000000</v>
      </c>
      <c r="F60" s="14">
        <f>F$48</f>
        <v>3000000</v>
      </c>
      <c r="G60" s="14">
        <f>E60+F60</f>
        <v>6000000</v>
      </c>
      <c r="H60" s="23">
        <f>$E$35</f>
        <v>46325</v>
      </c>
      <c r="I60" s="24"/>
    </row>
    <row r="61" spans="2:9" x14ac:dyDescent="0.3">
      <c r="C61" s="16" t="s">
        <v>101</v>
      </c>
      <c r="D61" s="17" t="s">
        <v>88</v>
      </c>
      <c r="E61" s="18">
        <f>E$49*(E$17*E$46+E$19*E$47)</f>
        <v>223115000</v>
      </c>
      <c r="F61" s="18">
        <f>F$49*(F$17*F$46+F$19*F$47)</f>
        <v>223115000</v>
      </c>
      <c r="G61" s="14">
        <f t="shared" ref="G61:G66" si="0">E61+F61</f>
        <v>446230000</v>
      </c>
      <c r="H61" s="24">
        <f>$E$35</f>
        <v>46325</v>
      </c>
      <c r="I61" s="24"/>
    </row>
    <row r="62" spans="2:9" x14ac:dyDescent="0.3">
      <c r="C62" s="19" t="s">
        <v>104</v>
      </c>
      <c r="D62" s="17" t="s">
        <v>88</v>
      </c>
      <c r="E62" s="18">
        <f>E$50*E$12*(E$17*E$46+E$19*E$47)-E61</f>
        <v>892460000</v>
      </c>
      <c r="F62" s="18">
        <f>F$50*F$12*(F$17*F$46+F$19*F$47)-F61</f>
        <v>892460000</v>
      </c>
      <c r="G62" s="14">
        <f t="shared" si="0"/>
        <v>1784920000</v>
      </c>
      <c r="H62" s="24">
        <f>$E$36</f>
        <v>46402</v>
      </c>
      <c r="I62" s="24"/>
    </row>
    <row r="63" spans="2:9" x14ac:dyDescent="0.3">
      <c r="C63" s="2" t="s">
        <v>102</v>
      </c>
      <c r="D63" s="5" t="s">
        <v>88</v>
      </c>
      <c r="E63" s="14">
        <f>E$51*E$5</f>
        <v>225000000</v>
      </c>
      <c r="F63" s="14">
        <f>F$51*F$5</f>
        <v>225000000</v>
      </c>
      <c r="G63" s="14">
        <f t="shared" si="0"/>
        <v>450000000</v>
      </c>
      <c r="H63" s="23">
        <f>$E$37</f>
        <v>46402</v>
      </c>
      <c r="I63" s="24"/>
    </row>
    <row r="64" spans="2:9" x14ac:dyDescent="0.3">
      <c r="C64" s="2" t="s">
        <v>100</v>
      </c>
      <c r="D64" s="5" t="s">
        <v>88</v>
      </c>
      <c r="E64" s="14">
        <f>E$53</f>
        <v>460000000</v>
      </c>
      <c r="F64" s="14">
        <f>F$53</f>
        <v>460000000</v>
      </c>
      <c r="G64" s="14">
        <f t="shared" si="0"/>
        <v>920000000</v>
      </c>
      <c r="H64" s="23">
        <f>$E$39</f>
        <v>47027</v>
      </c>
      <c r="I64" s="24"/>
    </row>
    <row r="65" spans="2:9" x14ac:dyDescent="0.3">
      <c r="C65" s="20" t="s">
        <v>105</v>
      </c>
      <c r="D65" s="5" t="s">
        <v>88</v>
      </c>
      <c r="E65" s="14">
        <f>E$52*E$5-E63</f>
        <v>766334000</v>
      </c>
      <c r="F65" s="14">
        <f>F$52*F$5-F63</f>
        <v>766334000</v>
      </c>
      <c r="G65" s="14">
        <f t="shared" si="0"/>
        <v>1532668000</v>
      </c>
      <c r="H65" s="23">
        <f>$E$39</f>
        <v>47027</v>
      </c>
      <c r="I65" s="24"/>
    </row>
    <row r="66" spans="2:9" ht="15" thickBot="1" x14ac:dyDescent="0.35">
      <c r="C66" s="20" t="s">
        <v>106</v>
      </c>
      <c r="D66" s="5"/>
      <c r="E66" s="21">
        <f>E56*E45*1000</f>
        <v>365000000</v>
      </c>
      <c r="F66" s="21">
        <f>F56*F45*1000</f>
        <v>365000000</v>
      </c>
      <c r="G66" s="21">
        <f t="shared" si="0"/>
        <v>730000000</v>
      </c>
      <c r="H66" s="27" t="s">
        <v>107</v>
      </c>
      <c r="I66" s="24"/>
    </row>
    <row r="67" spans="2:9" x14ac:dyDescent="0.3">
      <c r="C67" s="10" t="s">
        <v>103</v>
      </c>
      <c r="D67" s="5" t="s">
        <v>88</v>
      </c>
      <c r="E67" s="15">
        <f>SUM(E60:E66)</f>
        <v>2934909000</v>
      </c>
      <c r="F67" s="15">
        <f>SUM(F60:F66)</f>
        <v>2934909000</v>
      </c>
      <c r="G67" s="15">
        <f>SUM(G60:G66)</f>
        <v>5869818000</v>
      </c>
      <c r="H67" s="15"/>
      <c r="I67" s="26"/>
    </row>
    <row r="68" spans="2:9" x14ac:dyDescent="0.3">
      <c r="C68" s="10"/>
      <c r="D68" s="5"/>
      <c r="E68" s="15"/>
      <c r="F68" s="15"/>
      <c r="G68" s="15"/>
      <c r="I68" s="26"/>
    </row>
    <row r="69" spans="2:9" x14ac:dyDescent="0.3">
      <c r="I69" s="26"/>
    </row>
    <row r="70" spans="2:9" x14ac:dyDescent="0.3">
      <c r="B70" s="3"/>
      <c r="C70" s="3" t="s">
        <v>109</v>
      </c>
      <c r="D70" s="3"/>
      <c r="E70" s="4" t="s">
        <v>3</v>
      </c>
      <c r="F70" s="4" t="s">
        <v>4</v>
      </c>
      <c r="G70" s="4" t="s">
        <v>98</v>
      </c>
      <c r="H70" s="4" t="s">
        <v>68</v>
      </c>
      <c r="I70" s="25"/>
    </row>
    <row r="71" spans="2:9" x14ac:dyDescent="0.3">
      <c r="C71" s="2" t="s">
        <v>99</v>
      </c>
      <c r="D71" s="5" t="s">
        <v>96</v>
      </c>
      <c r="E71" s="14">
        <f t="shared" ref="E71:F77" si="1">E60/E$45/Thousand</f>
        <v>8.2191780821917799</v>
      </c>
      <c r="F71" s="14">
        <f t="shared" si="1"/>
        <v>8.2191780821917799</v>
      </c>
      <c r="G71" s="14">
        <f>E71+F71</f>
        <v>16.43835616438356</v>
      </c>
      <c r="H71" s="23">
        <f>$E$35</f>
        <v>46325</v>
      </c>
      <c r="I71" s="24"/>
    </row>
    <row r="72" spans="2:9" x14ac:dyDescent="0.3">
      <c r="C72" s="16" t="s">
        <v>101</v>
      </c>
      <c r="D72" s="17" t="s">
        <v>96</v>
      </c>
      <c r="E72" s="18">
        <f t="shared" si="1"/>
        <v>611.27397260273972</v>
      </c>
      <c r="F72" s="18">
        <f t="shared" si="1"/>
        <v>611.27397260273972</v>
      </c>
      <c r="G72" s="14">
        <f t="shared" ref="G72:G77" si="2">E72+F72</f>
        <v>1222.5479452054794</v>
      </c>
      <c r="H72" s="24">
        <f>$E$35</f>
        <v>46325</v>
      </c>
      <c r="I72" s="24"/>
    </row>
    <row r="73" spans="2:9" x14ac:dyDescent="0.3">
      <c r="C73" s="19" t="s">
        <v>104</v>
      </c>
      <c r="D73" s="17" t="s">
        <v>96</v>
      </c>
      <c r="E73" s="18">
        <f t="shared" si="1"/>
        <v>2445.0958904109589</v>
      </c>
      <c r="F73" s="18">
        <f t="shared" si="1"/>
        <v>2445.0958904109589</v>
      </c>
      <c r="G73" s="14">
        <f t="shared" si="2"/>
        <v>4890.1917808219177</v>
      </c>
      <c r="H73" s="24">
        <f>$E$36</f>
        <v>46402</v>
      </c>
      <c r="I73" s="24"/>
    </row>
    <row r="74" spans="2:9" x14ac:dyDescent="0.3">
      <c r="C74" s="2" t="s">
        <v>102</v>
      </c>
      <c r="D74" s="5" t="s">
        <v>96</v>
      </c>
      <c r="E74" s="14">
        <f t="shared" si="1"/>
        <v>616.43835616438355</v>
      </c>
      <c r="F74" s="14">
        <f t="shared" si="1"/>
        <v>616.43835616438355</v>
      </c>
      <c r="G74" s="14">
        <f t="shared" si="2"/>
        <v>1232.8767123287671</v>
      </c>
      <c r="H74" s="23">
        <f>$E$37</f>
        <v>46402</v>
      </c>
      <c r="I74" s="24"/>
    </row>
    <row r="75" spans="2:9" x14ac:dyDescent="0.3">
      <c r="C75" s="2" t="s">
        <v>100</v>
      </c>
      <c r="D75" s="5" t="s">
        <v>96</v>
      </c>
      <c r="E75" s="14">
        <f t="shared" si="1"/>
        <v>1260.2739726027396</v>
      </c>
      <c r="F75" s="14">
        <f t="shared" si="1"/>
        <v>1260.2739726027396</v>
      </c>
      <c r="G75" s="14">
        <f t="shared" si="2"/>
        <v>2520.5479452054792</v>
      </c>
      <c r="H75" s="23">
        <f>$E$39</f>
        <v>47027</v>
      </c>
      <c r="I75" s="24"/>
    </row>
    <row r="76" spans="2:9" x14ac:dyDescent="0.3">
      <c r="C76" s="20" t="s">
        <v>105</v>
      </c>
      <c r="D76" s="5" t="s">
        <v>96</v>
      </c>
      <c r="E76" s="14">
        <f t="shared" si="1"/>
        <v>2099.5452054794519</v>
      </c>
      <c r="F76" s="14">
        <f t="shared" si="1"/>
        <v>2099.5452054794519</v>
      </c>
      <c r="G76" s="14">
        <f t="shared" si="2"/>
        <v>4199.0904109589037</v>
      </c>
      <c r="H76" s="23">
        <f>$E$39</f>
        <v>47027</v>
      </c>
      <c r="I76" s="24"/>
    </row>
    <row r="77" spans="2:9" ht="15" thickBot="1" x14ac:dyDescent="0.35">
      <c r="C77" s="20" t="s">
        <v>106</v>
      </c>
      <c r="D77" s="5"/>
      <c r="E77" s="21">
        <f t="shared" si="1"/>
        <v>1000</v>
      </c>
      <c r="F77" s="21">
        <f t="shared" si="1"/>
        <v>1000</v>
      </c>
      <c r="G77" s="21">
        <f t="shared" si="2"/>
        <v>2000</v>
      </c>
      <c r="H77" s="27" t="s">
        <v>107</v>
      </c>
      <c r="I77" s="24"/>
    </row>
    <row r="78" spans="2:9" x14ac:dyDescent="0.3">
      <c r="C78" s="10" t="s">
        <v>103</v>
      </c>
      <c r="D78" s="5" t="s">
        <v>96</v>
      </c>
      <c r="E78" s="22">
        <f t="shared" ref="E78:F78" si="3">E67/E$45/Thousand</f>
        <v>8040.8465753424662</v>
      </c>
      <c r="F78" s="22">
        <f t="shared" si="3"/>
        <v>8040.8465753424662</v>
      </c>
      <c r="G78" s="22">
        <f>E78+F78</f>
        <v>16081.693150684932</v>
      </c>
    </row>
    <row r="83" spans="3:7" x14ac:dyDescent="0.3">
      <c r="C83" s="2"/>
      <c r="D83" s="5"/>
      <c r="E83" s="14"/>
      <c r="F83" s="14"/>
      <c r="G83" s="14"/>
    </row>
    <row r="84" spans="3:7" x14ac:dyDescent="0.3">
      <c r="C84" s="2"/>
      <c r="D84" s="5"/>
      <c r="E84" s="14"/>
      <c r="F84" s="14"/>
      <c r="G84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Bid_Cash</vt:lpstr>
      <vt:lpstr>Days_In_Year</vt:lpstr>
      <vt:lpstr>Osz1_Incl</vt:lpstr>
      <vt:lpstr>Osz1_LB</vt:lpstr>
      <vt:lpstr>Osz1_Pts</vt:lpstr>
      <vt:lpstr>Osz1_W</vt:lpstr>
      <vt:lpstr>Osz2_Incl</vt:lpstr>
      <vt:lpstr>Osz2_LB</vt:lpstr>
      <vt:lpstr>Osz2_Pts</vt:lpstr>
      <vt:lpstr>Osz2_W</vt:lpstr>
      <vt:lpstr>Osz3_Incl</vt:lpstr>
      <vt:lpstr>Osz3_LB</vt:lpstr>
      <vt:lpstr>Osz3_Pts</vt:lpstr>
      <vt:lpstr>Osz3_W</vt:lpstr>
      <vt:lpstr>Osz4_W</vt:lpstr>
      <vt:lpstr>Osz5_Pts</vt:lpstr>
      <vt:lpstr>Osz5_W</vt:lpstr>
      <vt:lpstr>Osz6_Incl</vt:lpstr>
      <vt:lpstr>Osz6_LB</vt:lpstr>
      <vt:lpstr>Osz6_Pts</vt:lpstr>
      <vt:lpstr>Osz6_W</vt:lpstr>
      <vt:lpstr>Osz7_Pts</vt:lpstr>
      <vt:lpstr>Osz7_W</vt:lpstr>
      <vt:lpstr>Osz8_Pts</vt:lpstr>
      <vt:lpstr>Osz8_W</vt:lpstr>
      <vt:lpstr>Osz9_W</vt:lpstr>
      <vt:lpstr>Osz9a_Pts</vt:lpstr>
      <vt:lpstr>Osz9b_Pts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Zádeczki Zalán</cp:lastModifiedBy>
  <dcterms:created xsi:type="dcterms:W3CDTF">2026-10-27T11:33:44Z</dcterms:created>
  <dcterms:modified xsi:type="dcterms:W3CDTF">2026-10-27T12:36:06Z</dcterms:modified>
</cp:coreProperties>
</file>