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Positive</c:v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Stat_Inp!$G$236:$G$241</c:f>
              <c:numCache>
                <c:formatCode>0.0%</c:formatCode>
                <c:ptCount val="6"/>
                <c:pt idx="0">
                  <c:v>1.431052734374999E-2</c:v>
                </c:pt>
                <c:pt idx="1">
                  <c:v>2.2699638671875022E-2</c:v>
                </c:pt>
                <c:pt idx="2">
                  <c:v>2.6228232421874997E-2</c:v>
                </c:pt>
                <c:pt idx="3">
                  <c:v>5.5484570312498982E-3</c:v>
                </c:pt>
                <c:pt idx="4">
                  <c:v>2.6900878906250258E-3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B-454F-B78E-2CAB0FBD4EF4}"/>
            </c:ext>
          </c:extLst>
        </c:ser>
        <c:ser>
          <c:idx val="1"/>
          <c:order val="1"/>
          <c:tx>
            <c:strRef>
              <c:f>Stat_Inp!$F$236:$F$239</c:f>
              <c:strCache>
                <c:ptCount val="4"/>
                <c:pt idx="0">
                  <c:v>-1,4%</c:v>
                </c:pt>
                <c:pt idx="1">
                  <c:v>-1,9%</c:v>
                </c:pt>
                <c:pt idx="2">
                  <c:v>-2,7%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Stat_Inp!$F$236:$F$241</c:f>
              <c:numCache>
                <c:formatCode>0.0%</c:formatCode>
                <c:ptCount val="6"/>
                <c:pt idx="0">
                  <c:v>-1.4267724609374977E-2</c:v>
                </c:pt>
                <c:pt idx="1">
                  <c:v>-1.9256171875000061E-2</c:v>
                </c:pt>
                <c:pt idx="2">
                  <c:v>-2.663816406250008E-2</c:v>
                </c:pt>
                <c:pt idx="4">
                  <c:v>-2.6919042968749918E-3</c:v>
                </c:pt>
                <c:pt idx="5">
                  <c:v>-1.4297548828125006E-2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FB-454F-B78E-2CAB0FBD4E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overlap val="100"/>
        <c:axId val="970579023"/>
        <c:axId val="970575663"/>
      </c:barChart>
      <c:catAx>
        <c:axId val="970579023"/>
        <c:scaling>
          <c:orientation val="maxMin"/>
        </c:scaling>
        <c:delete val="1"/>
        <c:axPos val="l"/>
        <c:majorTickMark val="out"/>
        <c:minorTickMark val="none"/>
        <c:tickLblPos val="nextTo"/>
        <c:crossAx val="970575663"/>
        <c:crosses val="autoZero"/>
        <c:auto val="1"/>
        <c:lblAlgn val="ctr"/>
        <c:lblOffset val="100"/>
        <c:noMultiLvlLbl val="0"/>
      </c:catAx>
      <c:valAx>
        <c:axId val="970575663"/>
        <c:scaling>
          <c:orientation val="minMax"/>
        </c:scaling>
        <c:delete val="1"/>
        <c:axPos val="t"/>
        <c:numFmt formatCode="0.0%" sourceLinked="1"/>
        <c:majorTickMark val="out"/>
        <c:minorTickMark val="none"/>
        <c:tickLblPos val="nextTo"/>
        <c:crossAx val="97057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Charts!$C$26</c:f>
              <c:strCache>
                <c:ptCount val="1"/>
                <c:pt idx="0">
                  <c:v>Vendor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Charts!$J$23:$AW$23</c15:sqref>
                  </c15:fullRef>
                </c:ext>
              </c:extLst>
              <c:f>Charts!$J$23:$Z$23</c:f>
              <c:numCache>
                <c:formatCode>General</c:formatCode>
                <c:ptCount val="1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Charts!$J$26:$AW$26</c15:sqref>
                  </c15:fullRef>
                </c:ext>
              </c:extLst>
              <c:f>Charts!$J$26:$Z$26</c:f>
              <c:numCache>
                <c:formatCode>#\ ##0;\(#\ ##0\);\ "-"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B68-B055-B2014C14B6D6}"/>
            </c:ext>
          </c:extLst>
        </c:ser>
        <c:ser>
          <c:idx val="1"/>
          <c:order val="1"/>
          <c:tx>
            <c:strRef>
              <c:f>Charts!$C$27</c:f>
              <c:strCache>
                <c:ptCount val="1"/>
                <c:pt idx="0">
                  <c:v>2.6 hrs (Capalo)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Charts!$J$23:$AW$23</c15:sqref>
                  </c15:fullRef>
                </c:ext>
              </c:extLst>
              <c:f>Charts!$J$23:$Z$23</c:f>
              <c:numCache>
                <c:formatCode>General</c:formatCode>
                <c:ptCount val="1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Charts!$J$27:$AW$27</c15:sqref>
                  </c15:fullRef>
                </c:ext>
              </c:extLst>
              <c:f>Charts!$J$27:$Z$27</c:f>
              <c:numCache>
                <c:formatCode>#\ ##0;\(#\ ##0\);\ "-"</c:formatCode>
                <c:ptCount val="17"/>
                <c:pt idx="0">
                  <c:v>-20573.251432046953</c:v>
                </c:pt>
                <c:pt idx="1">
                  <c:v>5152.4777121106317</c:v>
                </c:pt>
                <c:pt idx="2">
                  <c:v>4501.3358060364071</c:v>
                </c:pt>
                <c:pt idx="3">
                  <c:v>4284.2811837677882</c:v>
                </c:pt>
                <c:pt idx="4">
                  <c:v>4066.0000284113485</c:v>
                </c:pt>
                <c:pt idx="5">
                  <c:v>3239.0067410206989</c:v>
                </c:pt>
                <c:pt idx="6">
                  <c:v>3455.2359074079877</c:v>
                </c:pt>
                <c:pt idx="7">
                  <c:v>3528.015617983112</c:v>
                </c:pt>
                <c:pt idx="8">
                  <c:v>3570.5622716052676</c:v>
                </c:pt>
                <c:pt idx="9">
                  <c:v>3598.7516591227327</c:v>
                </c:pt>
                <c:pt idx="10">
                  <c:v>3713.0015662743044</c:v>
                </c:pt>
                <c:pt idx="11">
                  <c:v>3799.6454505609104</c:v>
                </c:pt>
                <c:pt idx="12">
                  <c:v>3993.8912811936752</c:v>
                </c:pt>
                <c:pt idx="13">
                  <c:v>4106.2318879295099</c:v>
                </c:pt>
                <c:pt idx="14">
                  <c:v>4221.7194974913045</c:v>
                </c:pt>
                <c:pt idx="15">
                  <c:v>3828.6717609903644</c:v>
                </c:pt>
                <c:pt idx="16">
                  <c:v>140.4042495181352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15-4B68-B055-B2014C14B6D6}"/>
            </c:ext>
          </c:extLst>
        </c:ser>
        <c:ser>
          <c:idx val="2"/>
          <c:order val="2"/>
          <c:tx>
            <c:strRef>
              <c:f>Charts!$C$28</c:f>
              <c:strCache>
                <c:ptCount val="1"/>
                <c:pt idx="0">
                  <c:v>2.0 hrs (Capalo)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Charts!$J$23:$AW$23</c15:sqref>
                  </c15:fullRef>
                </c:ext>
              </c:extLst>
              <c:f>Charts!$J$23:$Z$23</c:f>
              <c:numCache>
                <c:formatCode>General</c:formatCode>
                <c:ptCount val="1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Charts!$J$28:$AW$28</c15:sqref>
                  </c15:fullRef>
                </c:ext>
              </c:extLst>
              <c:f>Charts!$J$28:$Z$28</c:f>
              <c:numCache>
                <c:formatCode>#\ ##0;\(#\ ##0\);\ "-"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15-4B68-B055-B2014C14B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5181648"/>
        <c:axId val="341786528"/>
      </c:lineChart>
      <c:catAx>
        <c:axId val="21351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86528"/>
        <c:crosses val="autoZero"/>
        <c:auto val="1"/>
        <c:lblAlgn val="ctr"/>
        <c:lblOffset val="100"/>
        <c:noMultiLvlLbl val="0"/>
      </c:catAx>
      <c:valAx>
        <c:axId val="34178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Equity</a:t>
                </a:r>
                <a:r>
                  <a:rPr lang="en-GB" baseline="0"/>
                  <a:t> cash flows, </a:t>
                </a:r>
                <a:r>
                  <a:rPr lang="en-GB"/>
                  <a:t>€k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 ##0;\(#\ ##0\);\ 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181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3"/>
          <c:order val="3"/>
          <c:tx>
            <c:strRef>
              <c:f>Charts!$C$33</c:f>
              <c:strCache>
                <c:ptCount val="1"/>
                <c:pt idx="0">
                  <c:v>2.6 hrs (Capalo)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Charts!$J$23:$AW$23</c:f>
              <c:numCache>
                <c:formatCode>General</c:formatCode>
                <c:ptCount val="40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  <c:pt idx="16">
                  <c:v>2042</c:v>
                </c:pt>
                <c:pt idx="17">
                  <c:v>2043</c:v>
                </c:pt>
                <c:pt idx="18">
                  <c:v>2044</c:v>
                </c:pt>
                <c:pt idx="19">
                  <c:v>2045</c:v>
                </c:pt>
                <c:pt idx="20">
                  <c:v>2046</c:v>
                </c:pt>
                <c:pt idx="21">
                  <c:v>2047</c:v>
                </c:pt>
                <c:pt idx="22">
                  <c:v>2048</c:v>
                </c:pt>
                <c:pt idx="23">
                  <c:v>2049</c:v>
                </c:pt>
                <c:pt idx="24">
                  <c:v>2050</c:v>
                </c:pt>
                <c:pt idx="25">
                  <c:v>2051</c:v>
                </c:pt>
                <c:pt idx="26">
                  <c:v>2052</c:v>
                </c:pt>
                <c:pt idx="27">
                  <c:v>2053</c:v>
                </c:pt>
                <c:pt idx="28">
                  <c:v>2054</c:v>
                </c:pt>
                <c:pt idx="29">
                  <c:v>2055</c:v>
                </c:pt>
                <c:pt idx="30">
                  <c:v>2056</c:v>
                </c:pt>
                <c:pt idx="31">
                  <c:v>2057</c:v>
                </c:pt>
                <c:pt idx="32">
                  <c:v>2058</c:v>
                </c:pt>
                <c:pt idx="33">
                  <c:v>2059</c:v>
                </c:pt>
                <c:pt idx="34">
                  <c:v>2060</c:v>
                </c:pt>
                <c:pt idx="35">
                  <c:v>2061</c:v>
                </c:pt>
                <c:pt idx="36">
                  <c:v>2062</c:v>
                </c:pt>
                <c:pt idx="37">
                  <c:v>2063</c:v>
                </c:pt>
                <c:pt idx="38">
                  <c:v>2064</c:v>
                </c:pt>
                <c:pt idx="39">
                  <c:v>2065</c:v>
                </c:pt>
              </c:numCache>
            </c:numRef>
          </c:cat>
          <c:val>
            <c:numRef>
              <c:f>Charts!$J$33:$AW$33</c:f>
              <c:numCache>
                <c:formatCode>#\ ##0;\(#\ ##0\);\ "-"</c:formatCode>
                <c:ptCount val="40"/>
                <c:pt idx="0">
                  <c:v>-20.573251432046952</c:v>
                </c:pt>
                <c:pt idx="1">
                  <c:v>-15.420773719936321</c:v>
                </c:pt>
                <c:pt idx="2">
                  <c:v>-10.919437913899912</c:v>
                </c:pt>
                <c:pt idx="3">
                  <c:v>-6.6351567301321239</c:v>
                </c:pt>
                <c:pt idx="4">
                  <c:v>-2.5691567017207753</c:v>
                </c:pt>
                <c:pt idx="5">
                  <c:v>0.66985003929992359</c:v>
                </c:pt>
                <c:pt idx="6">
                  <c:v>4.1250859467079115</c:v>
                </c:pt>
                <c:pt idx="7">
                  <c:v>7.6531015646910241</c:v>
                </c:pt>
                <c:pt idx="8">
                  <c:v>11.223663836296291</c:v>
                </c:pt>
                <c:pt idx="9">
                  <c:v>14.822415495419024</c:v>
                </c:pt>
                <c:pt idx="10">
                  <c:v>18.53541706169333</c:v>
                </c:pt>
                <c:pt idx="11">
                  <c:v>22.33506251225424</c:v>
                </c:pt>
                <c:pt idx="12">
                  <c:v>26.328953793447916</c:v>
                </c:pt>
                <c:pt idx="13">
                  <c:v>30.435185681377426</c:v>
                </c:pt>
                <c:pt idx="14">
                  <c:v>34.656905178868733</c:v>
                </c:pt>
                <c:pt idx="15">
                  <c:v>38.485576939859101</c:v>
                </c:pt>
                <c:pt idx="16">
                  <c:v>38.625981189377235</c:v>
                </c:pt>
                <c:pt idx="17">
                  <c:v>38.625981189377235</c:v>
                </c:pt>
                <c:pt idx="18">
                  <c:v>38.625981189377235</c:v>
                </c:pt>
                <c:pt idx="19">
                  <c:v>38.625981189377235</c:v>
                </c:pt>
                <c:pt idx="20">
                  <c:v>38.625981189377235</c:v>
                </c:pt>
                <c:pt idx="21">
                  <c:v>38.625981189377235</c:v>
                </c:pt>
                <c:pt idx="22">
                  <c:v>38.625981189377235</c:v>
                </c:pt>
                <c:pt idx="23">
                  <c:v>38.625981189377235</c:v>
                </c:pt>
                <c:pt idx="24">
                  <c:v>38.625981189377235</c:v>
                </c:pt>
                <c:pt idx="25">
                  <c:v>38.625981189377235</c:v>
                </c:pt>
                <c:pt idx="26">
                  <c:v>38.625981189377235</c:v>
                </c:pt>
                <c:pt idx="27">
                  <c:v>38.625981189377235</c:v>
                </c:pt>
                <c:pt idx="28">
                  <c:v>38.625981189377235</c:v>
                </c:pt>
                <c:pt idx="29">
                  <c:v>38.625981189377235</c:v>
                </c:pt>
                <c:pt idx="30">
                  <c:v>38.625981189377235</c:v>
                </c:pt>
                <c:pt idx="31">
                  <c:v>38.625981189377235</c:v>
                </c:pt>
                <c:pt idx="32">
                  <c:v>38.625981189377235</c:v>
                </c:pt>
                <c:pt idx="33">
                  <c:v>38.625981189377235</c:v>
                </c:pt>
                <c:pt idx="34">
                  <c:v>38.625981189377235</c:v>
                </c:pt>
                <c:pt idx="35">
                  <c:v>38.625981189377235</c:v>
                </c:pt>
                <c:pt idx="36">
                  <c:v>38.625981189377235</c:v>
                </c:pt>
                <c:pt idx="37">
                  <c:v>38.625981189377235</c:v>
                </c:pt>
                <c:pt idx="38">
                  <c:v>38.625981189377235</c:v>
                </c:pt>
                <c:pt idx="39">
                  <c:v>38.625981189377235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0-4310-B2BA-8E252F653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5181648"/>
        <c:axId val="3417865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Charts!$C$32</c15:sqref>
                        </c15:formulaRef>
                      </c:ext>
                    </c:extLst>
                    <c:strCache>
                      <c:ptCount val="1"/>
                      <c:pt idx="0">
                        <c:v>Vendor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Charts!$J$23:$AW$23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Charts!$J$32:$Z$32</c15:sqref>
                        </c15:formulaRef>
                      </c:ext>
                    </c:extLst>
                    <c:numCache>
                      <c:formatCode>General</c:formatCode>
                      <c:ptCount val="1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0F2-4D4E-A4A8-A42EB38F7A5D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Charts!$C$31</c15:sqref>
                        </c15:formulaRef>
                      </c:ext>
                    </c:extLst>
                    <c:strCache>
                      <c:ptCount val="1"/>
                      <c:pt idx="0">
                        <c:v>Target case (2hrs, Aurora)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Charts!$J$23:$AW$23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Charts!$J$31:$Z$31</c15:sqref>
                        </c15:formulaRef>
                      </c:ext>
                    </c:extLst>
                    <c:numCache>
                      <c:formatCode>#\ ##0;\(#\ ##0\);\ "-"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0F2-4D4E-A4A8-A42EB38F7A5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Charts!$C$34</c15:sqref>
                        </c15:formulaRef>
                      </c:ext>
                    </c:extLst>
                    <c:strCache>
                      <c:ptCount val="1"/>
                      <c:pt idx="0">
                        <c:v>2.0 hrs (Capalo)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Charts!$J$23:$AW$23</c15:sqref>
                        </c15:formulaRef>
                      </c:ext>
                    </c:extLst>
                    <c:numCache>
                      <c:formatCode>General</c:formatCode>
                      <c:ptCount val="40"/>
                      <c:pt idx="0">
                        <c:v>2026</c:v>
                      </c:pt>
                      <c:pt idx="1">
                        <c:v>2027</c:v>
                      </c:pt>
                      <c:pt idx="2">
                        <c:v>2028</c:v>
                      </c:pt>
                      <c:pt idx="3">
                        <c:v>2029</c:v>
                      </c:pt>
                      <c:pt idx="4">
                        <c:v>2030</c:v>
                      </c:pt>
                      <c:pt idx="5">
                        <c:v>2031</c:v>
                      </c:pt>
                      <c:pt idx="6">
                        <c:v>2032</c:v>
                      </c:pt>
                      <c:pt idx="7">
                        <c:v>2033</c:v>
                      </c:pt>
                      <c:pt idx="8">
                        <c:v>2034</c:v>
                      </c:pt>
                      <c:pt idx="9">
                        <c:v>2035</c:v>
                      </c:pt>
                      <c:pt idx="10">
                        <c:v>2036</c:v>
                      </c:pt>
                      <c:pt idx="11">
                        <c:v>2037</c:v>
                      </c:pt>
                      <c:pt idx="12">
                        <c:v>2038</c:v>
                      </c:pt>
                      <c:pt idx="13">
                        <c:v>2039</c:v>
                      </c:pt>
                      <c:pt idx="14">
                        <c:v>2040</c:v>
                      </c:pt>
                      <c:pt idx="15">
                        <c:v>2041</c:v>
                      </c:pt>
                      <c:pt idx="16">
                        <c:v>2042</c:v>
                      </c:pt>
                      <c:pt idx="17">
                        <c:v>2043</c:v>
                      </c:pt>
                      <c:pt idx="18">
                        <c:v>2044</c:v>
                      </c:pt>
                      <c:pt idx="19">
                        <c:v>2045</c:v>
                      </c:pt>
                      <c:pt idx="20">
                        <c:v>2046</c:v>
                      </c:pt>
                      <c:pt idx="21">
                        <c:v>2047</c:v>
                      </c:pt>
                      <c:pt idx="22">
                        <c:v>2048</c:v>
                      </c:pt>
                      <c:pt idx="23">
                        <c:v>2049</c:v>
                      </c:pt>
                      <c:pt idx="24">
                        <c:v>2050</c:v>
                      </c:pt>
                      <c:pt idx="25">
                        <c:v>2051</c:v>
                      </c:pt>
                      <c:pt idx="26">
                        <c:v>2052</c:v>
                      </c:pt>
                      <c:pt idx="27">
                        <c:v>2053</c:v>
                      </c:pt>
                      <c:pt idx="28">
                        <c:v>2054</c:v>
                      </c:pt>
                      <c:pt idx="29">
                        <c:v>2055</c:v>
                      </c:pt>
                      <c:pt idx="30">
                        <c:v>2056</c:v>
                      </c:pt>
                      <c:pt idx="31">
                        <c:v>2057</c:v>
                      </c:pt>
                      <c:pt idx="32">
                        <c:v>2058</c:v>
                      </c:pt>
                      <c:pt idx="33">
                        <c:v>2059</c:v>
                      </c:pt>
                      <c:pt idx="34">
                        <c:v>2060</c:v>
                      </c:pt>
                      <c:pt idx="35">
                        <c:v>2061</c:v>
                      </c:pt>
                      <c:pt idx="36">
                        <c:v>2062</c:v>
                      </c:pt>
                      <c:pt idx="37">
                        <c:v>2063</c:v>
                      </c:pt>
                      <c:pt idx="38">
                        <c:v>2064</c:v>
                      </c:pt>
                      <c:pt idx="39">
                        <c:v>2065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Charts!$J$34:$Z$34</c15:sqref>
                        </c15:formulaRef>
                      </c:ext>
                    </c:extLst>
                    <c:numCache>
                      <c:formatCode>#\ ##0;\(#\ ##0\);\ "-"</c:formatCode>
                      <c:ptCount val="1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F2-4D4E-A4A8-A42EB38F7A5D}"/>
                  </c:ext>
                </c:extLst>
              </c15:ser>
            </c15:filteredLineSeries>
          </c:ext>
        </c:extLst>
      </c:lineChart>
      <c:catAx>
        <c:axId val="2135181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786528"/>
        <c:crosses val="autoZero"/>
        <c:auto val="1"/>
        <c:lblAlgn val="ctr"/>
        <c:lblOffset val="100"/>
        <c:noMultiLvlLbl val="0"/>
      </c:catAx>
      <c:valAx>
        <c:axId val="34178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dirty="0"/>
                  <a:t>€m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 ##0;\(#\ ##0\);\ 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518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Charts!$C$37</c:f>
              <c:strCache>
                <c:ptCount val="1"/>
                <c:pt idx="0">
                  <c:v>Aurora Sep-25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Charts!$J$23:$Y$23</c:f>
              <c:numCache>
                <c:formatCode>General</c:formatCode>
                <c:ptCount val="1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</c:numCache>
            </c:numRef>
          </c:cat>
          <c:val>
            <c:numRef>
              <c:f>Charts!$J$37:$Y$37</c:f>
              <c:numCache>
                <c:formatCode>#\ ##0;\(#\ ##0\);\ "-"</c:formatCode>
                <c:ptCount val="16"/>
                <c:pt idx="0">
                  <c:v>248.07225</c:v>
                </c:pt>
                <c:pt idx="1">
                  <c:v>144.46177</c:v>
                </c:pt>
                <c:pt idx="2">
                  <c:v>119.45944999999999</c:v>
                </c:pt>
                <c:pt idx="3">
                  <c:v>111.68665</c:v>
                </c:pt>
                <c:pt idx="4">
                  <c:v>107.27732999999998</c:v>
                </c:pt>
                <c:pt idx="5">
                  <c:v>108.71218</c:v>
                </c:pt>
                <c:pt idx="6">
                  <c:v>108.64167999999999</c:v>
                </c:pt>
                <c:pt idx="7">
                  <c:v>108.14779</c:v>
                </c:pt>
                <c:pt idx="8">
                  <c:v>107.09161999999998</c:v>
                </c:pt>
                <c:pt idx="9">
                  <c:v>105.72905</c:v>
                </c:pt>
                <c:pt idx="10">
                  <c:v>106.62821000000001</c:v>
                </c:pt>
                <c:pt idx="11">
                  <c:v>106.61428000000001</c:v>
                </c:pt>
                <c:pt idx="12">
                  <c:v>109.23820000000001</c:v>
                </c:pt>
                <c:pt idx="13">
                  <c:v>109.49977999999999</c:v>
                </c:pt>
                <c:pt idx="14">
                  <c:v>109.95149000000001</c:v>
                </c:pt>
                <c:pt idx="15">
                  <c:v>108.76681000000001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08-44E1-85AF-3A5C47BDDFEC}"/>
            </c:ext>
          </c:extLst>
        </c:ser>
        <c:ser>
          <c:idx val="1"/>
          <c:order val="1"/>
          <c:tx>
            <c:strRef>
              <c:f>Charts!$C$38</c:f>
              <c:strCache>
                <c:ptCount val="1"/>
                <c:pt idx="0">
                  <c:v>Capalo AI Dec-25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Charts!$J$23:$Y$23</c:f>
              <c:numCache>
                <c:formatCode>General</c:formatCode>
                <c:ptCount val="1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</c:numCache>
            </c:numRef>
          </c:cat>
          <c:val>
            <c:numRef>
              <c:f>Charts!$J$38:$Y$38</c:f>
              <c:numCache>
                <c:formatCode>#\ ##0;\(#\ ##0\);\ "-"</c:formatCode>
                <c:ptCount val="16"/>
                <c:pt idx="0">
                  <c:v>254.6693320046698</c:v>
                </c:pt>
                <c:pt idx="1">
                  <c:v>230.00620466977983</c:v>
                </c:pt>
                <c:pt idx="2">
                  <c:v>212.05042309873247</c:v>
                </c:pt>
                <c:pt idx="3">
                  <c:v>203.96303230486993</c:v>
                </c:pt>
                <c:pt idx="4">
                  <c:v>193.92315435290195</c:v>
                </c:pt>
                <c:pt idx="5">
                  <c:v>188.20806509339559</c:v>
                </c:pt>
                <c:pt idx="6">
                  <c:v>190.4240035356905</c:v>
                </c:pt>
                <c:pt idx="7">
                  <c:v>186.61717449966642</c:v>
                </c:pt>
                <c:pt idx="8">
                  <c:v>190.7712470813876</c:v>
                </c:pt>
                <c:pt idx="9">
                  <c:v>188.66112603402269</c:v>
                </c:pt>
                <c:pt idx="10">
                  <c:v>184.52509007671779</c:v>
                </c:pt>
                <c:pt idx="11">
                  <c:v>183.84985426951297</c:v>
                </c:pt>
                <c:pt idx="12">
                  <c:v>165.46486884256171</c:v>
                </c:pt>
                <c:pt idx="13">
                  <c:v>148.91838195830553</c:v>
                </c:pt>
                <c:pt idx="14">
                  <c:v>134.026543762475</c:v>
                </c:pt>
                <c:pt idx="15">
                  <c:v>120.62388938622748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08-44E1-85AF-3A5C47BDDFEC}"/>
            </c:ext>
          </c:extLst>
        </c:ser>
        <c:ser>
          <c:idx val="2"/>
          <c:order val="2"/>
          <c:tx>
            <c:strRef>
              <c:f>Charts!$C$39</c:f>
              <c:strCache>
                <c:ptCount val="1"/>
                <c:pt idx="0">
                  <c:v>Capalo AI May-26 (base case)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Charts!$J$23:$Y$23</c:f>
              <c:numCache>
                <c:formatCode>General</c:formatCode>
                <c:ptCount val="16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  <c:pt idx="7">
                  <c:v>2033</c:v>
                </c:pt>
                <c:pt idx="8">
                  <c:v>2034</c:v>
                </c:pt>
                <c:pt idx="9">
                  <c:v>2035</c:v>
                </c:pt>
                <c:pt idx="10">
                  <c:v>2036</c:v>
                </c:pt>
                <c:pt idx="11">
                  <c:v>2037</c:v>
                </c:pt>
                <c:pt idx="12">
                  <c:v>2038</c:v>
                </c:pt>
                <c:pt idx="13">
                  <c:v>2039</c:v>
                </c:pt>
                <c:pt idx="14">
                  <c:v>2040</c:v>
                </c:pt>
                <c:pt idx="15">
                  <c:v>2041</c:v>
                </c:pt>
              </c:numCache>
            </c:numRef>
          </c:cat>
          <c:val>
            <c:numRef>
              <c:f>Charts!$J$39:$Y$39</c:f>
              <c:numCache>
                <c:formatCode>#\ ##0;\(#\ ##0\);\ "-"</c:formatCode>
                <c:ptCount val="16"/>
                <c:pt idx="0">
                  <c:v>181.17104469806765</c:v>
                </c:pt>
                <c:pt idx="1">
                  <c:v>133.43977111111113</c:v>
                </c:pt>
                <c:pt idx="2">
                  <c:v>113.20018007589556</c:v>
                </c:pt>
                <c:pt idx="3">
                  <c:v>107.61875577777778</c:v>
                </c:pt>
                <c:pt idx="4">
                  <c:v>102.82262555555556</c:v>
                </c:pt>
                <c:pt idx="5">
                  <c:v>104.84468488888889</c:v>
                </c:pt>
                <c:pt idx="6">
                  <c:v>108.64167999999999</c:v>
                </c:pt>
                <c:pt idx="7">
                  <c:v>108.14779</c:v>
                </c:pt>
                <c:pt idx="8">
                  <c:v>107.09161999999998</c:v>
                </c:pt>
                <c:pt idx="9">
                  <c:v>105.72905</c:v>
                </c:pt>
                <c:pt idx="10">
                  <c:v>106.62821000000001</c:v>
                </c:pt>
                <c:pt idx="11">
                  <c:v>106.61428000000001</c:v>
                </c:pt>
                <c:pt idx="12">
                  <c:v>109.23820000000001</c:v>
                </c:pt>
                <c:pt idx="13">
                  <c:v>109.49977999999999</c:v>
                </c:pt>
                <c:pt idx="14">
                  <c:v>109.95149000000001</c:v>
                </c:pt>
                <c:pt idx="15">
                  <c:v>108.76681000000001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28-4B78-B9DF-6D0F48F66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9569024"/>
        <c:axId val="1839568544"/>
      </c:lineChart>
      <c:catAx>
        <c:axId val="183956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568544"/>
        <c:crosses val="autoZero"/>
        <c:auto val="1"/>
        <c:lblAlgn val="ctr"/>
        <c:lblOffset val="100"/>
        <c:noMultiLvlLbl val="0"/>
      </c:catAx>
      <c:valAx>
        <c:axId val="18395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€k</a:t>
                </a:r>
                <a:r>
                  <a:rPr lang="en-GB" baseline="0"/>
                  <a:t> / MW p.a.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#\ ##0;\(#\ ##0\);\ 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56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Charts!$C$40</c:f>
              <c:strCache>
                <c:ptCount val="1"/>
                <c:pt idx="0">
                  <c:v>Capalo Aurora Avg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Charts!$J$23:$P$23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</c:numCache>
            </c:numRef>
          </c:cat>
          <c:val>
            <c:numRef>
              <c:f>Charts!$J$40:$P$40</c:f>
              <c:numCache>
                <c:formatCode>#\ ##0;\(#\ ##0\);\ "-"</c:formatCode>
                <c:ptCount val="7"/>
                <c:pt idx="0">
                  <c:v>214.62164734903382</c:v>
                </c:pt>
                <c:pt idx="1">
                  <c:v>138.95077055555555</c:v>
                </c:pt>
                <c:pt idx="2">
                  <c:v>116.32981503794778</c:v>
                </c:pt>
                <c:pt idx="3">
                  <c:v>109.65270288888888</c:v>
                </c:pt>
                <c:pt idx="4">
                  <c:v>105.04997777777777</c:v>
                </c:pt>
                <c:pt idx="5">
                  <c:v>106.77843244444445</c:v>
                </c:pt>
                <c:pt idx="6">
                  <c:v>108.64167999999999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08-44E1-85AF-3A5C47BDDFEC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Buyer 10% sensi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Charts!$J$23:$P$23</c:f>
              <c:numCache>
                <c:formatCode>General</c:formatCode>
                <c:ptCount val="7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  <c:pt idx="4">
                  <c:v>2030</c:v>
                </c:pt>
                <c:pt idx="5">
                  <c:v>2031</c:v>
                </c:pt>
                <c:pt idx="6">
                  <c:v>2032</c:v>
                </c:pt>
              </c:numCache>
            </c:numRef>
          </c:cat>
          <c:val>
            <c:numRef>
              <c:f>Charts!$J$41:$P$41</c:f>
              <c:numCache>
                <c:formatCode>#\ ##0;\(#\ ##0\);\ "-"</c:formatCode>
                <c:ptCount val="7"/>
                <c:pt idx="0">
                  <c:v>214.62164734903382</c:v>
                </c:pt>
                <c:pt idx="1">
                  <c:v>138.95077055555555</c:v>
                </c:pt>
                <c:pt idx="2">
                  <c:v>116.32981503794778</c:v>
                </c:pt>
                <c:pt idx="3">
                  <c:v>109.65270288888888</c:v>
                </c:pt>
                <c:pt idx="4">
                  <c:v>71.3</c:v>
                </c:pt>
                <c:pt idx="5">
                  <c:v>71.3</c:v>
                </c:pt>
                <c:pt idx="6">
                  <c:v>71.3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08-44E1-85AF-3A5C47BDD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9569024"/>
        <c:axId val="1839568544"/>
      </c:lineChart>
      <c:catAx>
        <c:axId val="183956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568544"/>
        <c:crosses val="autoZero"/>
        <c:auto val="1"/>
        <c:lblAlgn val="ctr"/>
        <c:lblOffset val="100"/>
        <c:noMultiLvlLbl val="0"/>
      </c:catAx>
      <c:valAx>
        <c:axId val="18395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€k</a:t>
                </a:r>
                <a:r>
                  <a:rPr lang="en-GB" baseline="0"/>
                  <a:t> / MW p.a.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#\ ##0;\(#\ ##0\);\ 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56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Charts!$C$154</c:f>
              <c:strCache>
                <c:ptCount val="1"/>
                <c:pt idx="0">
                  <c:v>BESS system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Charts!$E$153:$F$153</c:f>
              <c:strCache>
                <c:ptCount val="2"/>
                <c:pt idx="0">
                  <c:v>FEP</c:v>
                </c:pt>
                <c:pt idx="1">
                  <c:v>Aurora</c:v>
                </c:pt>
              </c:strCache>
            </c:strRef>
          </c:cat>
          <c:val>
            <c:numRef>
              <c:f>Charts!$E$154:$F$154</c:f>
              <c:numCache>
                <c:formatCode>#\ ##0.0;\(#\ ##0.0\);\ "-"</c:formatCode>
                <c:ptCount val="2"/>
                <c:pt idx="0">
                  <c:v>103.06185519016675</c:v>
                </c:pt>
                <c:pt idx="1">
                  <c:v>133.37792268068566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A-4C7B-A092-DB73537F96F9}"/>
            </c:ext>
          </c:extLst>
        </c:ser>
        <c:ser>
          <c:idx val="1"/>
          <c:order val="1"/>
          <c:tx>
            <c:strRef>
              <c:f>Charts!$C$155</c:f>
              <c:strCache>
                <c:ptCount val="1"/>
                <c:pt idx="0">
                  <c:v>BOP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Charts!$E$153:$F$153</c:f>
              <c:strCache>
                <c:ptCount val="2"/>
                <c:pt idx="0">
                  <c:v>FEP</c:v>
                </c:pt>
                <c:pt idx="1">
                  <c:v>Aurora</c:v>
                </c:pt>
              </c:strCache>
            </c:strRef>
          </c:cat>
          <c:val>
            <c:numRef>
              <c:f>Charts!$E$155:$F$155</c:f>
              <c:numCache>
                <c:formatCode>#\ ##0.0;\(#\ ##0.0\);\ "-"</c:formatCode>
                <c:ptCount val="2"/>
                <c:pt idx="0">
                  <c:v>16.853584606741574</c:v>
                </c:pt>
                <c:pt idx="1">
                  <c:v>36.775430368747131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7A-4C7B-A092-DB73537F96F9}"/>
            </c:ext>
          </c:extLst>
        </c:ser>
        <c:ser>
          <c:idx val="2"/>
          <c:order val="2"/>
          <c:tx>
            <c:strRef>
              <c:f>Charts!$C$156</c:f>
              <c:strCache>
                <c:ptCount val="1"/>
                <c:pt idx="0">
                  <c:v>Grid connection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Charts!$E$153:$F$153</c:f>
              <c:strCache>
                <c:ptCount val="2"/>
                <c:pt idx="0">
                  <c:v>FEP</c:v>
                </c:pt>
                <c:pt idx="1">
                  <c:v>Aurora</c:v>
                </c:pt>
              </c:strCache>
            </c:strRef>
          </c:cat>
          <c:val>
            <c:numRef>
              <c:f>Charts!$E$156:$F$156</c:f>
              <c:numCache>
                <c:formatCode>#\ ##0.0;\(#\ ##0.0\);\ "-"</c:formatCode>
                <c:ptCount val="2"/>
                <c:pt idx="0">
                  <c:v>13.583021223470661</c:v>
                </c:pt>
                <c:pt idx="1">
                  <c:v>45.342375879084265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7A-4C7B-A092-DB73537F96F9}"/>
            </c:ext>
          </c:extLst>
        </c:ser>
        <c:ser>
          <c:idx val="3"/>
          <c:order val="3"/>
          <c:tx>
            <c:strRef>
              <c:f>Charts!$C$157</c:f>
              <c:strCache>
                <c:ptCount val="1"/>
                <c:pt idx="0">
                  <c:v>Devex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Charts!$E$153:$F$153</c:f>
              <c:strCache>
                <c:ptCount val="2"/>
                <c:pt idx="0">
                  <c:v>FEP</c:v>
                </c:pt>
                <c:pt idx="1">
                  <c:v>Aurora</c:v>
                </c:pt>
              </c:strCache>
            </c:strRef>
          </c:cat>
          <c:val>
            <c:numRef>
              <c:f>Charts!$E$157:$F$157</c:f>
              <c:numCache>
                <c:formatCode>#\ ##0.0;\(#\ ##0.0\);\ "-"</c:formatCode>
                <c:ptCount val="2"/>
                <c:pt idx="0">
                  <c:v>16.875</c:v>
                </c:pt>
                <c:pt idx="1">
                  <c:v>37.503647514396974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7A-4C7B-A092-DB73537F96F9}"/>
            </c:ext>
          </c:extLst>
        </c:ser>
        <c:ser>
          <c:idx val="4"/>
          <c:order val="4"/>
          <c:tx>
            <c:strRef>
              <c:f>Charts!$C$158</c:f>
              <c:strCache>
                <c:ptCount val="1"/>
                <c:pt idx="0">
                  <c:v>EPC soft costs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Charts!$E$153:$F$153</c:f>
              <c:strCache>
                <c:ptCount val="2"/>
                <c:pt idx="0">
                  <c:v>FEP</c:v>
                </c:pt>
                <c:pt idx="1">
                  <c:v>Aurora</c:v>
                </c:pt>
              </c:strCache>
            </c:strRef>
          </c:cat>
          <c:val>
            <c:numRef>
              <c:f>Charts!$E$158:$F$158</c:f>
              <c:numCache>
                <c:formatCode>#\ ##0.0;\(#\ ##0.0\);\ "-"</c:formatCode>
                <c:ptCount val="2"/>
                <c:pt idx="1">
                  <c:v>43.442079389783792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7A-4C7B-A092-DB73537F96F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47173839"/>
        <c:axId val="247162799"/>
      </c:barChart>
      <c:catAx>
        <c:axId val="247173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162799"/>
        <c:crosses val="autoZero"/>
        <c:auto val="1"/>
        <c:lblAlgn val="ctr"/>
        <c:lblOffset val="100"/>
        <c:noMultiLvlLbl val="0"/>
      </c:catAx>
      <c:valAx>
        <c:axId val="247162799"/>
        <c:scaling>
          <c:orientation val="minMax"/>
        </c:scaling>
        <c:delete val="1"/>
        <c:axPos val="l"/>
        <c:numFmt formatCode="#\ ##0.0;\(#\ ##0.0\);\ &quot;-&quot;" sourceLinked="1"/>
        <c:majorTickMark val="none"/>
        <c:minorTickMark val="none"/>
        <c:tickLblPos val="nextTo"/>
        <c:crossAx val="247173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Charts!$C$171</c:f>
              <c:strCache>
                <c:ptCount val="1"/>
                <c:pt idx="0">
                  <c:v>Aurora H2-25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Charts!$J$169:$Y$169</c:f>
              <c:numCache>
                <c:formatCode>General</c:formatCode>
                <c:ptCount val="16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</c:numCache>
            </c:numRef>
          </c:cat>
          <c:val>
            <c:numRef>
              <c:f>Charts!$J$171:$Y$171</c:f>
              <c:numCache>
                <c:formatCode>#\ ##0.0;\(#\ ##0.0\);\ "-"</c:formatCode>
                <c:ptCount val="16"/>
                <c:pt idx="0">
                  <c:v>147.39289931329998</c:v>
                </c:pt>
                <c:pt idx="1">
                  <c:v>121.88328224049998</c:v>
                </c:pt>
                <c:pt idx="2">
                  <c:v>113.95277212849999</c:v>
                </c:pt>
                <c:pt idx="3">
                  <c:v>109.45398702569997</c:v>
                </c:pt>
                <c:pt idx="4">
                  <c:v>110.91795013219999</c:v>
                </c:pt>
                <c:pt idx="5">
                  <c:v>110.84601968719998</c:v>
                </c:pt>
                <c:pt idx="6">
                  <c:v>110.34210865909999</c:v>
                </c:pt>
                <c:pt idx="7">
                  <c:v>109.26450896979996</c:v>
                </c:pt>
                <c:pt idx="8">
                  <c:v>107.8742924245</c:v>
                </c:pt>
                <c:pt idx="9">
                  <c:v>108.79169638090001</c:v>
                </c:pt>
                <c:pt idx="10">
                  <c:v>108.7774837412</c:v>
                </c:pt>
                <c:pt idx="11">
                  <c:v>111.454643078</c:v>
                </c:pt>
                <c:pt idx="12">
                  <c:v>111.72153053619998</c:v>
                </c:pt>
                <c:pt idx="13">
                  <c:v>112.18240573209999</c:v>
                </c:pt>
                <c:pt idx="14">
                  <c:v>110.9736885749</c:v>
                </c:pt>
                <c:pt idx="15">
                  <c:v>109.48755456670001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043-B1B8-762C79F08697}"/>
            </c:ext>
          </c:extLst>
        </c:ser>
        <c:ser>
          <c:idx val="1"/>
          <c:order val="1"/>
          <c:tx>
            <c:strRef>
              <c:f>Charts!$C$172</c:f>
              <c:strCache>
                <c:ptCount val="1"/>
                <c:pt idx="0">
                  <c:v>Aurora H1-26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Charts!$J$169:$Y$169</c:f>
              <c:numCache>
                <c:formatCode>General</c:formatCode>
                <c:ptCount val="16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</c:numCache>
            </c:numRef>
          </c:cat>
          <c:val>
            <c:numRef>
              <c:f>Charts!$J$172:$Y$172</c:f>
              <c:numCache>
                <c:formatCode>#\ ##0.0;\(#\ ##0.0\);\ "-"</c:formatCode>
                <c:ptCount val="16"/>
                <c:pt idx="0">
                  <c:v>195.80734999999999</c:v>
                </c:pt>
                <c:pt idx="1">
                  <c:v>148.42321000000001</c:v>
                </c:pt>
                <c:pt idx="2">
                  <c:v>126.29014000000001</c:v>
                </c:pt>
                <c:pt idx="3">
                  <c:v>106.60917999999998</c:v>
                </c:pt>
                <c:pt idx="4">
                  <c:v>94.691150000000022</c:v>
                </c:pt>
                <c:pt idx="5">
                  <c:v>88.529060000000001</c:v>
                </c:pt>
                <c:pt idx="6">
                  <c:v>84.33999</c:v>
                </c:pt>
                <c:pt idx="7">
                  <c:v>84.265139999999988</c:v>
                </c:pt>
                <c:pt idx="8">
                  <c:v>79.954130000000006</c:v>
                </c:pt>
                <c:pt idx="9">
                  <c:v>84.870620000000002</c:v>
                </c:pt>
                <c:pt idx="10">
                  <c:v>82.407109999999989</c:v>
                </c:pt>
                <c:pt idx="11">
                  <c:v>83.28877</c:v>
                </c:pt>
                <c:pt idx="12">
                  <c:v>82.278090000000006</c:v>
                </c:pt>
                <c:pt idx="13">
                  <c:v>83.378259999999997</c:v>
                </c:pt>
                <c:pt idx="14">
                  <c:v>83.154699999999991</c:v>
                </c:pt>
                <c:pt idx="15">
                  <c:v>83.252380000000002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043-B1B8-762C79F08697}"/>
            </c:ext>
          </c:extLst>
        </c:ser>
        <c:ser>
          <c:idx val="2"/>
          <c:order val="2"/>
          <c:tx>
            <c:strRef>
              <c:f>Charts!$C$173</c:f>
              <c:strCache>
                <c:ptCount val="1"/>
                <c:pt idx="0">
                  <c:v>Capalo 2.0hrs May-26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Charts!$J$169:$Y$169</c:f>
              <c:numCache>
                <c:formatCode>General</c:formatCode>
                <c:ptCount val="16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</c:numCache>
            </c:numRef>
          </c:cat>
          <c:val>
            <c:numRef>
              <c:f>Charts!$J$173:$Y$173</c:f>
              <c:numCache>
                <c:formatCode>#\ ##0.0;\(#\ ##0.0\);\ "-"</c:formatCode>
                <c:ptCount val="16"/>
                <c:pt idx="0">
                  <c:v>109.9094328888889</c:v>
                </c:pt>
                <c:pt idx="1">
                  <c:v>91.896545752884023</c:v>
                </c:pt>
                <c:pt idx="2">
                  <c:v>86.829636000000008</c:v>
                </c:pt>
                <c:pt idx="3">
                  <c:v>85.89901155555556</c:v>
                </c:pt>
                <c:pt idx="4">
                  <c:v>84.799665111111111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043-B1B8-762C79F08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155344"/>
        <c:axId val="150167344"/>
      </c:lineChart>
      <c:catAx>
        <c:axId val="150155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67344"/>
        <c:crosses val="autoZero"/>
        <c:auto val="1"/>
        <c:lblAlgn val="ctr"/>
        <c:lblOffset val="100"/>
        <c:noMultiLvlLbl val="0"/>
      </c:catAx>
      <c:valAx>
        <c:axId val="15016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BESS</a:t>
                </a:r>
                <a:r>
                  <a:rPr lang="en-GB" baseline="0"/>
                  <a:t> revenue, </a:t>
                </a:r>
                <a:r>
                  <a:rPr lang="en-GB"/>
                  <a:t>€k / MW p.a.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 ##0.0;\(#\ ##0.0\);\ &quot;-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5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series layoutId="waterfall" uniqueId="{3BB6430F-2DE5-4FB2-919A-153B4C3F8557}">
          <cx:dataLabels pos="outEnd">
            <cx:visibility seriesName="0" categoryName="0" value="1"/>
          </cx:dataLabels>
          <cx:dataId val="0"/>
          <cx:layoutPr>
            <cx:subtotals>
              <cx:idx val="0"/>
              <cx:idx val="4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293034</xdr:colOff>
      <xdr:row>251</xdr:row>
      <xdr:rowOff>49680</xdr:rowOff>
    </xdr:from>
    <xdr:to>
      <xdr:col>18</xdr:col>
      <xdr:colOff>64099</xdr:colOff>
      <xdr:row>293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1FEAAB7-D524-9AAB-0FBC-364006462F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560294</xdr:colOff>
      <xdr:row>0</xdr:row>
      <xdr:rowOff>156882</xdr:rowOff>
    </xdr:from>
    <xdr:to>
      <xdr:col>5</xdr:col>
      <xdr:colOff>168088</xdr:colOff>
      <xdr:row>3</xdr:row>
      <xdr:rowOff>44824</xdr:rowOff>
    </xdr:to>
    <xdr:sp macro="[0]!M1_PF_Debt_" textlink="">
      <xdr:nvSpPr>
        <xdr:cNvPr id="2" name="Rectangle 1">
          <a:extLst>
            <a:ext uri="{FF2B5EF4-FFF2-40B4-BE49-F238E27FC236}">
              <a16:creationId xmlns:a16="http://schemas.microsoft.com/office/drawing/2014/main" id="{C4873B2B-FFFA-BD78-51C6-805C23F8FD26}"/>
            </a:ext>
          </a:extLst>
        </xdr:cNvPr>
        <xdr:cNvSpPr/>
      </xdr:nvSpPr>
      <xdr:spPr>
        <a:xfrm>
          <a:off x="4000500" y="156882"/>
          <a:ext cx="1613647" cy="45944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M1 Debt sizing</a:t>
          </a:r>
        </a:p>
      </xdr:txBody>
    </xdr:sp>
    <xdr:clientData/>
  </xdr:twoCellAnchor>
  <xdr:twoCellAnchor>
    <xdr:from>
      <xdr:col>4</xdr:col>
      <xdr:colOff>765176</xdr:colOff>
      <xdr:row>295</xdr:row>
      <xdr:rowOff>109632</xdr:rowOff>
    </xdr:from>
    <xdr:to>
      <xdr:col>9</xdr:col>
      <xdr:colOff>1280646</xdr:colOff>
      <xdr:row>306</xdr:row>
      <xdr:rowOff>40529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1C89CAB-1E68-DD7B-398F-8B165CFAE50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2826" y="56497632"/>
              <a:ext cx="6573370" cy="20263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790574</xdr:colOff>
      <xdr:row>45</xdr:row>
      <xdr:rowOff>0</xdr:rowOff>
    </xdr:from>
    <xdr:to>
      <xdr:col>14</xdr:col>
      <xdr:colOff>304799</xdr:colOff>
      <xdr:row>62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9FEF83-B66D-4219-981A-DD1CF385F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264458</xdr:colOff>
      <xdr:row>48</xdr:row>
      <xdr:rowOff>75640</xdr:rowOff>
    </xdr:from>
    <xdr:to>
      <xdr:col>36</xdr:col>
      <xdr:colOff>492609</xdr:colOff>
      <xdr:row>69</xdr:row>
      <xdr:rowOff>35043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EB6D55-D476-BF80-808B-0DDF1D5F4A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605118</xdr:colOff>
      <xdr:row>63</xdr:row>
      <xdr:rowOff>186764</xdr:rowOff>
    </xdr:from>
    <xdr:to>
      <xdr:col>9</xdr:col>
      <xdr:colOff>275291</xdr:colOff>
      <xdr:row>78</xdr:row>
      <xdr:rowOff>16435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EA9EAC-88D2-4DCC-89A6-6F115451C1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392393</xdr:colOff>
      <xdr:row>64</xdr:row>
      <xdr:rowOff>21664</xdr:rowOff>
    </xdr:from>
    <xdr:to>
      <xdr:col>16</xdr:col>
      <xdr:colOff>68916</xdr:colOff>
      <xdr:row>78</xdr:row>
      <xdr:rowOff>41835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B6554EF-A6ED-A6AC-ABF1-A6907CB8B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81055</xdr:colOff>
      <xdr:row>151</xdr:row>
      <xdr:rowOff>61072</xdr:rowOff>
    </xdr:from>
    <xdr:to>
      <xdr:col>13</xdr:col>
      <xdr:colOff>132229</xdr:colOff>
      <xdr:row>165</xdr:row>
      <xdr:rowOff>88153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B06FD53-04F9-AB91-EB2F-77E11D792D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44822</xdr:colOff>
      <xdr:row>178</xdr:row>
      <xdr:rowOff>29137</xdr:rowOff>
    </xdr:from>
    <xdr:to>
      <xdr:col>25</xdr:col>
      <xdr:colOff>56028</xdr:colOff>
      <xdr:row>192</xdr:row>
      <xdr:rowOff>105337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4C89C0-4CAF-7E89-EA35-228B65508D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43EFCBD-D3F0-42CD-9C75-3A449D69CC61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5fc5986c-af3b-490b-8adf-83f3383c69f1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25C80BA76C054AAAC0D3CDDFCEC309" ma:contentTypeVersion="14" ma:contentTypeDescription="Create a new document." ma:contentTypeScope="" ma:versionID="d968673a7c3a10ddeefea4f97a096cd1">
  <xsd:schema xmlns:xsd="http://www.w3.org/2001/XMLSchema" xmlns:xs="http://www.w3.org/2001/XMLSchema" xmlns:p="http://schemas.microsoft.com/office/2006/metadata/properties" xmlns:ns2="3ba8be79-126f-4ecc-b268-0e8a1c9d820a" xmlns:ns3="348e42aa-7502-48aa-9973-d5430de63b43" targetNamespace="http://schemas.microsoft.com/office/2006/metadata/properties" ma:root="true" ma:fieldsID="65bd50756c71f8c38774f3a5c983a670" ns2:_="" ns3:_="">
    <xsd:import namespace="3ba8be79-126f-4ecc-b268-0e8a1c9d820a"/>
    <xsd:import namespace="348e42aa-7502-48aa-9973-d5430de63b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a8be79-126f-4ecc-b268-0e8a1c9d820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554c7780-c79f-4b81-a1cc-c56cb19b1b79}" ma:internalName="TaxCatchAll" ma:showField="CatchAllData" ma:web="3ba8be79-126f-4ecc-b268-0e8a1c9d820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8e42aa-7502-48aa-9973-d5430de63b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88080c10-e0a6-4b42-beda-2db26c8ffc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48e42aa-7502-48aa-9973-d5430de63b43">
      <Terms xmlns="http://schemas.microsoft.com/office/infopath/2007/PartnerControls"/>
    </lcf76f155ced4ddcb4097134ff3c332f>
    <TaxCatchAll xmlns="3ba8be79-126f-4ecc-b268-0e8a1c9d820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0CDE30A-46ED-4F38-9FBC-9803CD81A1C4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3ba8be79-126f-4ecc-b268-0e8a1c9d820a"/>
    <ds:schemaRef ds:uri="348e42aa-7502-48aa-9973-d5430de63b4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75802B7-CBA7-47EE-840A-8FFBF978BE5E}">
  <ds:schemaRefs>
    <ds:schemaRef ds:uri="http://schemas.microsoft.com/office/2006/metadata/properties"/>
    <ds:schemaRef ds:uri="http://www.w3.org/2000/xmlns/"/>
    <ds:schemaRef ds:uri="348e42aa-7502-48aa-9973-d5430de63b43"/>
    <ds:schemaRef ds:uri="http://schemas.microsoft.com/office/infopath/2007/PartnerControls"/>
    <ds:schemaRef ds:uri="3ba8be79-126f-4ecc-b268-0e8a1c9d820a"/>
    <ds:schemaRef ds:uri="http://www.w3.org/2001/XMLSchema-instance"/>
  </ds:schemaRefs>
</ds:datastoreItem>
</file>

<file path=customXml/itemProps3.xml><?xml version="1.0" encoding="utf-8"?>
<ds:datastoreItem xmlns:ds="http://schemas.openxmlformats.org/officeDocument/2006/customXml" ds:itemID="{8F44D7EB-6026-4907-8BFF-5405DCDB0F42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42728984-5573-4501-93e1-26196c1472d0}" enabled="0" method="" siteId="{42728984-5573-4501-93e1-26196c1472d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Notes</vt:lpstr>
      <vt:lpstr>Stat_Inp</vt:lpstr>
      <vt:lpstr>Dyn_Inp</vt:lpstr>
      <vt:lpstr>Model</vt:lpstr>
      <vt:lpstr>Charts</vt:lpstr>
      <vt:lpstr>M1_DSRF_COPY</vt:lpstr>
      <vt:lpstr>M1_DSRF_Delta</vt:lpstr>
      <vt:lpstr>M1_DSRF_PASTE</vt:lpstr>
      <vt:lpstr>M1_PF_DebtService_COPY</vt:lpstr>
      <vt:lpstr>M1_PF_DebtService_Delta</vt:lpstr>
      <vt:lpstr>M1_PF_DebtService_PASTE</vt:lpstr>
      <vt:lpstr>M1_PF_PaySchedule_COPY</vt:lpstr>
      <vt:lpstr>M1_PF_PaySchedule_Delta</vt:lpstr>
      <vt:lpstr>M1_PF_PaySchedule_PASTE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Alexander Gibbs</dc:creator>
  <cp:keywords/>
  <dc:description/>
  <cp:lastModifiedBy>Zádeczki Zalán</cp:lastModifiedBy>
  <cp:revision/>
  <dcterms:created xsi:type="dcterms:W3CDTF">2025-09-08T08:46:11Z</dcterms:created>
  <dcterms:modified xsi:type="dcterms:W3CDTF">2026-10-05T11:35:13Z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0x010100CB25C80BA76C054AAAC0D3CDDFCEC309</vt:lpwstr>
  </property>
  <property fmtid="{D5CDD505-2E9C-101B-9397-08002B2CF9AE}" pid="3" name="MediaServiceImageTags">
    <vt:lpwstr/>
  </property>
</Properties>
</file>