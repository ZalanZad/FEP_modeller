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D:\.shortcut-targets-by-id\1L0IJfR4TQrQBt-hzix54tbVEeVyOeqGH\A.RES\04_PROJEKTEK\01_MAGYARORSZÁG\05_Bora\5_Finance\"/>
    </mc:Choice>
  </mc:AlternateContent>
  <xr:revisionPtr revIDLastSave="0" documentId="13_ncr:1_{88BEBF28-1BB9-4605-8B26-1A5EABD873A0}" xr6:coauthVersionLast="47" xr6:coauthVersionMax="47" xr10:uidLastSave="{00000000-0000-0000-0000-000000000000}"/>
  <bookViews>
    <workbookView xWindow="28530" yWindow="-270" windowWidth="29340" windowHeight="16020" tabRatio="500" xr2:uid="{00000000-000D-0000-FFFF-FFFF00000000}"/>
  </bookViews>
  <sheets>
    <sheet name="Sheet1" sheetId="1" r:id="rId1"/>
  </sheets>
  <definedNames>
    <definedName name="_xlnm._FilterDatabase" localSheetId="0" hidden="1">Sheet1!$B$4:$O$52</definedName>
    <definedName name="_xlnm.Print_Area" localSheetId="0">Sheet1!$B$2:$S$58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8" i="1" l="1"/>
  <c r="V35" i="1"/>
  <c r="N13" i="1"/>
  <c r="N23" i="1"/>
  <c r="N45" i="1"/>
  <c r="N46" i="1"/>
  <c r="K48" i="1" l="1"/>
  <c r="K47" i="1"/>
  <c r="I47" i="1"/>
  <c r="J47" i="1" s="1"/>
  <c r="N47" i="1" s="1"/>
  <c r="K46" i="1"/>
  <c r="I46" i="1"/>
  <c r="K45" i="1"/>
  <c r="I45" i="1"/>
  <c r="K44" i="1"/>
  <c r="I44" i="1"/>
  <c r="J44" i="1" s="1"/>
  <c r="N44" i="1" s="1"/>
  <c r="K43" i="1"/>
  <c r="I43" i="1"/>
  <c r="J43" i="1" s="1"/>
  <c r="N43" i="1" s="1"/>
  <c r="K42" i="1"/>
  <c r="D42" i="1"/>
  <c r="E42" i="1" s="1"/>
  <c r="K41" i="1"/>
  <c r="I41" i="1"/>
  <c r="J41" i="1" s="1"/>
  <c r="N41" i="1" s="1"/>
  <c r="K40" i="1"/>
  <c r="I40" i="1"/>
  <c r="D40" i="1"/>
  <c r="C39" i="1" s="1"/>
  <c r="E39" i="1" s="1"/>
  <c r="K39" i="1"/>
  <c r="I39" i="1"/>
  <c r="J39" i="1" s="1"/>
  <c r="N39" i="1" s="1"/>
  <c r="K38" i="1"/>
  <c r="I38" i="1"/>
  <c r="J38" i="1" s="1"/>
  <c r="N38" i="1" s="1"/>
  <c r="C38" i="1"/>
  <c r="D38" i="1" s="1"/>
  <c r="K37" i="1"/>
  <c r="D37" i="1"/>
  <c r="E37" i="1" s="1"/>
  <c r="K36" i="1"/>
  <c r="I36" i="1"/>
  <c r="J36" i="1" s="1"/>
  <c r="N36" i="1" s="1"/>
  <c r="K35" i="1"/>
  <c r="I35" i="1"/>
  <c r="J35" i="1" s="1"/>
  <c r="N35" i="1" s="1"/>
  <c r="D35" i="1"/>
  <c r="C34" i="1" s="1"/>
  <c r="D34" i="1" s="1"/>
  <c r="X35" i="1"/>
  <c r="Y35" i="1" s="1"/>
  <c r="W35" i="1"/>
  <c r="K34" i="1"/>
  <c r="I34" i="1"/>
  <c r="J34" i="1" s="1"/>
  <c r="N34" i="1" s="1"/>
  <c r="X34" i="1"/>
  <c r="V34" i="1"/>
  <c r="W34" i="1" s="1"/>
  <c r="K33" i="1"/>
  <c r="I33" i="1"/>
  <c r="J33" i="1" s="1"/>
  <c r="N33" i="1" s="1"/>
  <c r="K32" i="1"/>
  <c r="I32" i="1"/>
  <c r="J32" i="1" s="1"/>
  <c r="N32" i="1" s="1"/>
  <c r="K31" i="1"/>
  <c r="I31" i="1"/>
  <c r="J31" i="1" s="1"/>
  <c r="N31" i="1" s="1"/>
  <c r="K30" i="1"/>
  <c r="I30" i="1"/>
  <c r="J30" i="1" s="1"/>
  <c r="N30" i="1" s="1"/>
  <c r="K29" i="1"/>
  <c r="I29" i="1"/>
  <c r="J29" i="1" s="1"/>
  <c r="N29" i="1" s="1"/>
  <c r="K28" i="1"/>
  <c r="I28" i="1"/>
  <c r="J28" i="1" s="1"/>
  <c r="N28" i="1" s="1"/>
  <c r="K27" i="1"/>
  <c r="I27" i="1"/>
  <c r="J27" i="1" s="1"/>
  <c r="N27" i="1" s="1"/>
  <c r="K26" i="1"/>
  <c r="I26" i="1"/>
  <c r="J26" i="1" s="1"/>
  <c r="N26" i="1" s="1"/>
  <c r="V25" i="1"/>
  <c r="K25" i="1"/>
  <c r="I25" i="1"/>
  <c r="J25" i="1" s="1"/>
  <c r="N25" i="1" s="1"/>
  <c r="V24" i="1"/>
  <c r="K24" i="1"/>
  <c r="I24" i="1"/>
  <c r="J24" i="1" s="1"/>
  <c r="N24" i="1" s="1"/>
  <c r="C24" i="1"/>
  <c r="C25" i="1" s="1"/>
  <c r="E25" i="1" s="1"/>
  <c r="V23" i="1"/>
  <c r="V37" i="1" s="1"/>
  <c r="W37" i="1" s="1"/>
  <c r="K23" i="1"/>
  <c r="I23" i="1"/>
  <c r="K22" i="1"/>
  <c r="I22" i="1"/>
  <c r="J22" i="1" s="1"/>
  <c r="N22" i="1" s="1"/>
  <c r="E22" i="1"/>
  <c r="G22" i="1" s="1"/>
  <c r="D22" i="1"/>
  <c r="K21" i="1"/>
  <c r="J21" i="1"/>
  <c r="N21" i="1" s="1"/>
  <c r="E21" i="1"/>
  <c r="G21" i="1" s="1"/>
  <c r="D21" i="1"/>
  <c r="C23" i="1" s="1"/>
  <c r="D23" i="1" s="1"/>
  <c r="E23" i="1" s="1"/>
  <c r="K20" i="1"/>
  <c r="I20" i="1"/>
  <c r="J20" i="1" s="1"/>
  <c r="N20" i="1" s="1"/>
  <c r="G20" i="1"/>
  <c r="F20" i="1"/>
  <c r="K19" i="1"/>
  <c r="I19" i="1"/>
  <c r="J19" i="1" s="1"/>
  <c r="K18" i="1"/>
  <c r="K17" i="1"/>
  <c r="I17" i="1"/>
  <c r="J17" i="1" s="1"/>
  <c r="N17" i="1" s="1"/>
  <c r="K16" i="1"/>
  <c r="I16" i="1"/>
  <c r="J16" i="1" s="1"/>
  <c r="N16" i="1" s="1"/>
  <c r="K15" i="1"/>
  <c r="I15" i="1"/>
  <c r="J15" i="1" s="1"/>
  <c r="N15" i="1" s="1"/>
  <c r="K14" i="1"/>
  <c r="J14" i="1"/>
  <c r="E13" i="1"/>
  <c r="F13" i="1" s="1"/>
  <c r="D13" i="1"/>
  <c r="N12" i="1"/>
  <c r="E12" i="1"/>
  <c r="G12" i="1" s="1"/>
  <c r="D12" i="1"/>
  <c r="C11" i="1"/>
  <c r="D11" i="1" s="1"/>
  <c r="E11" i="1" s="1"/>
  <c r="G11" i="1" s="1"/>
  <c r="N10" i="1"/>
  <c r="E10" i="1"/>
  <c r="F10" i="1" s="1"/>
  <c r="D10" i="1"/>
  <c r="E9" i="1"/>
  <c r="G9" i="1" s="1"/>
  <c r="D9" i="1"/>
  <c r="V8" i="1"/>
  <c r="V9" i="1" s="1"/>
  <c r="K8" i="1"/>
  <c r="I18" i="1"/>
  <c r="J18" i="1" s="1"/>
  <c r="N18" i="1" s="1"/>
  <c r="C8" i="1"/>
  <c r="K7" i="1"/>
  <c r="G7" i="1"/>
  <c r="F7" i="1"/>
  <c r="K6" i="1"/>
  <c r="G6" i="1"/>
  <c r="F6" i="1"/>
  <c r="K5" i="1"/>
  <c r="I5" i="1"/>
  <c r="G5" i="1"/>
  <c r="F5" i="1"/>
  <c r="I6" i="1" l="1"/>
  <c r="J6" i="1" s="1"/>
  <c r="N6" i="1" s="1"/>
  <c r="I7" i="1"/>
  <c r="P45" i="1"/>
  <c r="Q45" i="1" s="1"/>
  <c r="R45" i="1"/>
  <c r="S45" i="1" s="1"/>
  <c r="R46" i="1"/>
  <c r="P20" i="1"/>
  <c r="Q20" i="1" s="1"/>
  <c r="R20" i="1"/>
  <c r="S20" i="1" s="1"/>
  <c r="P46" i="1"/>
  <c r="Q46" i="1" s="1"/>
  <c r="I21" i="1"/>
  <c r="N11" i="1"/>
  <c r="G13" i="1"/>
  <c r="R13" i="1" s="1"/>
  <c r="S13" i="1" s="1"/>
  <c r="G42" i="1"/>
  <c r="C41" i="1"/>
  <c r="E41" i="1" s="1"/>
  <c r="F41" i="1" s="1"/>
  <c r="J8" i="1"/>
  <c r="N8" i="1" s="1"/>
  <c r="X37" i="1"/>
  <c r="Y37" i="1" s="1"/>
  <c r="F11" i="1"/>
  <c r="I14" i="1"/>
  <c r="N14" i="1"/>
  <c r="N19" i="1"/>
  <c r="F22" i="1"/>
  <c r="R22" i="1" s="1"/>
  <c r="I37" i="1"/>
  <c r="J37" i="1" s="1"/>
  <c r="N37" i="1" s="1"/>
  <c r="F12" i="1"/>
  <c r="P12" i="1" s="1"/>
  <c r="Q12" i="1" s="1"/>
  <c r="G10" i="1"/>
  <c r="R10" i="1" s="1"/>
  <c r="E38" i="1"/>
  <c r="G25" i="1"/>
  <c r="F25" i="1"/>
  <c r="F39" i="1"/>
  <c r="G39" i="1"/>
  <c r="G23" i="1"/>
  <c r="F23" i="1"/>
  <c r="Y34" i="1"/>
  <c r="F42" i="1"/>
  <c r="F37" i="1"/>
  <c r="G37" i="1"/>
  <c r="D24" i="1"/>
  <c r="D8" i="1"/>
  <c r="E8" i="1"/>
  <c r="D39" i="1"/>
  <c r="E40" i="1"/>
  <c r="I42" i="1"/>
  <c r="J42" i="1" s="1"/>
  <c r="N42" i="1" s="1"/>
  <c r="N9" i="1"/>
  <c r="V52" i="1"/>
  <c r="J5" i="1"/>
  <c r="N5" i="1" s="1"/>
  <c r="S46" i="1"/>
  <c r="V53" i="1"/>
  <c r="F21" i="1"/>
  <c r="E34" i="1"/>
  <c r="E35" i="1"/>
  <c r="C36" i="1"/>
  <c r="J40" i="1"/>
  <c r="N40" i="1" s="1"/>
  <c r="F9" i="1"/>
  <c r="V50" i="1" l="1"/>
  <c r="V51" i="1"/>
  <c r="R39" i="1"/>
  <c r="R23" i="1"/>
  <c r="S23" i="1" s="1"/>
  <c r="P23" i="1"/>
  <c r="Q23" i="1" s="1"/>
  <c r="R12" i="1"/>
  <c r="S12" i="1" s="1"/>
  <c r="R25" i="1"/>
  <c r="S25" i="1" s="1"/>
  <c r="P39" i="1"/>
  <c r="Q39" i="1" s="1"/>
  <c r="P22" i="1"/>
  <c r="Q22" i="1" s="1"/>
  <c r="R6" i="1"/>
  <c r="S6" i="1" s="1"/>
  <c r="P6" i="1"/>
  <c r="Q6" i="1" s="1"/>
  <c r="P10" i="1"/>
  <c r="Q10" i="1" s="1"/>
  <c r="R37" i="1"/>
  <c r="S37" i="1" s="1"/>
  <c r="P37" i="1"/>
  <c r="Q37" i="1" s="1"/>
  <c r="P13" i="1"/>
  <c r="Q13" i="1" s="1"/>
  <c r="R5" i="1"/>
  <c r="P5" i="1"/>
  <c r="S10" i="1"/>
  <c r="R9" i="1"/>
  <c r="S9" i="1" s="1"/>
  <c r="P9" i="1"/>
  <c r="Q9" i="1" s="1"/>
  <c r="R42" i="1"/>
  <c r="S42" i="1" s="1"/>
  <c r="P42" i="1"/>
  <c r="Q42" i="1" s="1"/>
  <c r="R11" i="1"/>
  <c r="S11" i="1" s="1"/>
  <c r="X51" i="1" s="1"/>
  <c r="P11" i="1"/>
  <c r="Q11" i="1" s="1"/>
  <c r="W51" i="1" s="1"/>
  <c r="P21" i="1"/>
  <c r="Q21" i="1" s="1"/>
  <c r="P25" i="1"/>
  <c r="Q25" i="1" s="1"/>
  <c r="R21" i="1"/>
  <c r="S21" i="1" s="1"/>
  <c r="D41" i="1"/>
  <c r="I48" i="1"/>
  <c r="I49" i="1" s="1"/>
  <c r="S22" i="1"/>
  <c r="G41" i="1"/>
  <c r="G38" i="1"/>
  <c r="F38" i="1"/>
  <c r="G40" i="1"/>
  <c r="F40" i="1"/>
  <c r="E36" i="1"/>
  <c r="D36" i="1"/>
  <c r="V48" i="1"/>
  <c r="S39" i="1"/>
  <c r="F35" i="1"/>
  <c r="G35" i="1"/>
  <c r="D25" i="1"/>
  <c r="E24" i="1"/>
  <c r="C28" i="1"/>
  <c r="D28" i="1" s="1"/>
  <c r="E28" i="1" s="1"/>
  <c r="C14" i="1"/>
  <c r="C31" i="1"/>
  <c r="G8" i="1"/>
  <c r="F8" i="1"/>
  <c r="F34" i="1"/>
  <c r="G34" i="1"/>
  <c r="P8" i="1" l="1"/>
  <c r="R40" i="1"/>
  <c r="S40" i="1" s="1"/>
  <c r="P35" i="1"/>
  <c r="Q35" i="1" s="1"/>
  <c r="R35" i="1"/>
  <c r="S35" i="1" s="1"/>
  <c r="R34" i="1"/>
  <c r="S34" i="1" s="1"/>
  <c r="P34" i="1"/>
  <c r="Q34" i="1" s="1"/>
  <c r="P38" i="1"/>
  <c r="Q38" i="1" s="1"/>
  <c r="R38" i="1"/>
  <c r="S38" i="1" s="1"/>
  <c r="P40" i="1"/>
  <c r="Q40" i="1" s="1"/>
  <c r="R8" i="1"/>
  <c r="R41" i="1"/>
  <c r="S41" i="1" s="1"/>
  <c r="P41" i="1"/>
  <c r="Q41" i="1" s="1"/>
  <c r="J7" i="1"/>
  <c r="I53" i="1"/>
  <c r="I51" i="1"/>
  <c r="I52" i="1" s="1"/>
  <c r="I50" i="1"/>
  <c r="C32" i="1"/>
  <c r="D31" i="1"/>
  <c r="E31" i="1" s="1"/>
  <c r="C15" i="1"/>
  <c r="D14" i="1"/>
  <c r="G28" i="1"/>
  <c r="C29" i="1"/>
  <c r="D29" i="1" s="1"/>
  <c r="E29" i="1" s="1"/>
  <c r="F28" i="1"/>
  <c r="C30" i="1"/>
  <c r="D30" i="1" s="1"/>
  <c r="E30" i="1" s="1"/>
  <c r="G36" i="1"/>
  <c r="F36" i="1"/>
  <c r="C26" i="1"/>
  <c r="G24" i="1"/>
  <c r="F24" i="1"/>
  <c r="R24" i="1" l="1"/>
  <c r="S24" i="1" s="1"/>
  <c r="P24" i="1"/>
  <c r="Q24" i="1" s="1"/>
  <c r="R36" i="1"/>
  <c r="S36" i="1" s="1"/>
  <c r="P36" i="1"/>
  <c r="Q36" i="1" s="1"/>
  <c r="R28" i="1"/>
  <c r="S28" i="1" s="1"/>
  <c r="P28" i="1"/>
  <c r="Q28" i="1" s="1"/>
  <c r="J53" i="1"/>
  <c r="J48" i="1"/>
  <c r="V49" i="1"/>
  <c r="N7" i="1"/>
  <c r="Q8" i="1"/>
  <c r="S8" i="1"/>
  <c r="G31" i="1"/>
  <c r="F31" i="1"/>
  <c r="E26" i="1"/>
  <c r="D26" i="1"/>
  <c r="D27" i="1" s="1"/>
  <c r="C27" i="1"/>
  <c r="F29" i="1"/>
  <c r="G29" i="1"/>
  <c r="Q5" i="1"/>
  <c r="G30" i="1"/>
  <c r="F30" i="1"/>
  <c r="S5" i="1"/>
  <c r="E32" i="1"/>
  <c r="D32" i="1"/>
  <c r="C33" i="1"/>
  <c r="C16" i="1"/>
  <c r="D16" i="1" s="1"/>
  <c r="D15" i="1"/>
  <c r="E14" i="1"/>
  <c r="R7" i="1" l="1"/>
  <c r="S7" i="1" s="1"/>
  <c r="X49" i="1" s="1"/>
  <c r="P7" i="1"/>
  <c r="Q7" i="1" s="1"/>
  <c r="W49" i="1" s="1"/>
  <c r="P29" i="1"/>
  <c r="Q29" i="1" s="1"/>
  <c r="R29" i="1"/>
  <c r="S29" i="1" s="1"/>
  <c r="R31" i="1"/>
  <c r="S31" i="1" s="1"/>
  <c r="P31" i="1"/>
  <c r="Q31" i="1" s="1"/>
  <c r="R30" i="1"/>
  <c r="S30" i="1" s="1"/>
  <c r="P30" i="1"/>
  <c r="Q30" i="1" s="1"/>
  <c r="X33" i="1"/>
  <c r="V33" i="1"/>
  <c r="N48" i="1"/>
  <c r="N53" i="1"/>
  <c r="V54" i="1"/>
  <c r="J49" i="1"/>
  <c r="X48" i="1"/>
  <c r="E15" i="1"/>
  <c r="F14" i="1"/>
  <c r="G14" i="1"/>
  <c r="C17" i="1"/>
  <c r="E16" i="1"/>
  <c r="E27" i="1"/>
  <c r="F26" i="1"/>
  <c r="G26" i="1"/>
  <c r="W48" i="1"/>
  <c r="E33" i="1"/>
  <c r="D33" i="1"/>
  <c r="X50" i="1"/>
  <c r="G32" i="1"/>
  <c r="F32" i="1"/>
  <c r="W50" i="1"/>
  <c r="P32" i="1" l="1"/>
  <c r="Q32" i="1" s="1"/>
  <c r="R32" i="1"/>
  <c r="S32" i="1" s="1"/>
  <c r="P14" i="1"/>
  <c r="R14" i="1"/>
  <c r="P26" i="1"/>
  <c r="Q26" i="1" s="1"/>
  <c r="R26" i="1"/>
  <c r="S26" i="1" s="1"/>
  <c r="N49" i="1"/>
  <c r="N50" i="1" s="1"/>
  <c r="R48" i="1"/>
  <c r="S48" i="1" s="1"/>
  <c r="P48" i="1"/>
  <c r="Q48" i="1" s="1"/>
  <c r="V55" i="1"/>
  <c r="X39" i="1"/>
  <c r="V39" i="1"/>
  <c r="J50" i="1"/>
  <c r="J51" i="1"/>
  <c r="J52" i="1" s="1"/>
  <c r="Y33" i="1"/>
  <c r="W33" i="1"/>
  <c r="G15" i="1"/>
  <c r="F15" i="1"/>
  <c r="G27" i="1"/>
  <c r="F27" i="1"/>
  <c r="G16" i="1"/>
  <c r="F16" i="1"/>
  <c r="E17" i="1"/>
  <c r="D17" i="1"/>
  <c r="G33" i="1"/>
  <c r="F33" i="1"/>
  <c r="P15" i="1" l="1"/>
  <c r="Q15" i="1" s="1"/>
  <c r="R15" i="1"/>
  <c r="S15" i="1" s="1"/>
  <c r="N51" i="1"/>
  <c r="N52" i="1" s="1"/>
  <c r="P27" i="1"/>
  <c r="Q27" i="1" s="1"/>
  <c r="R27" i="1"/>
  <c r="S27" i="1" s="1"/>
  <c r="P33" i="1"/>
  <c r="Q33" i="1" s="1"/>
  <c r="R33" i="1"/>
  <c r="S33" i="1" s="1"/>
  <c r="P16" i="1"/>
  <c r="Q16" i="1" s="1"/>
  <c r="R16" i="1"/>
  <c r="S16" i="1" s="1"/>
  <c r="Y39" i="1"/>
  <c r="W39" i="1"/>
  <c r="S14" i="1"/>
  <c r="G17" i="1"/>
  <c r="F17" i="1"/>
  <c r="C18" i="1"/>
  <c r="Q14" i="1"/>
  <c r="R17" i="1" l="1"/>
  <c r="S17" i="1" s="1"/>
  <c r="P17" i="1"/>
  <c r="Q17" i="1" s="1"/>
  <c r="C19" i="1"/>
  <c r="E18" i="1"/>
  <c r="D18" i="1"/>
  <c r="D19" i="1" s="1"/>
  <c r="C43" i="1" s="1"/>
  <c r="E43" i="1" l="1"/>
  <c r="C44" i="1"/>
  <c r="D43" i="1"/>
  <c r="C47" i="1" s="1"/>
  <c r="G18" i="1"/>
  <c r="F18" i="1"/>
  <c r="E19" i="1"/>
  <c r="P18" i="1" l="1"/>
  <c r="R18" i="1"/>
  <c r="F43" i="1"/>
  <c r="G43" i="1"/>
  <c r="G19" i="1"/>
  <c r="F19" i="1"/>
  <c r="E47" i="1"/>
  <c r="D47" i="1"/>
  <c r="E44" i="1"/>
  <c r="D44" i="1"/>
  <c r="R19" i="1" l="1"/>
  <c r="R53" i="1" s="1"/>
  <c r="P19" i="1"/>
  <c r="Q19" i="1" s="1"/>
  <c r="R43" i="1"/>
  <c r="S43" i="1" s="1"/>
  <c r="P43" i="1"/>
  <c r="Q43" i="1" s="1"/>
  <c r="G44" i="1"/>
  <c r="F44" i="1"/>
  <c r="F47" i="1"/>
  <c r="G47" i="1"/>
  <c r="S18" i="1"/>
  <c r="Q18" i="1"/>
  <c r="S19" i="1" l="1"/>
  <c r="R47" i="1"/>
  <c r="S47" i="1" s="1"/>
  <c r="X53" i="1" s="1"/>
  <c r="P47" i="1"/>
  <c r="R44" i="1"/>
  <c r="P44" i="1"/>
  <c r="Q44" i="1" s="1"/>
  <c r="W54" i="1" s="1"/>
  <c r="W52" i="1"/>
  <c r="Q53" i="1"/>
  <c r="X52" i="1"/>
  <c r="S53" i="1"/>
  <c r="P53" i="1"/>
  <c r="S44" i="1" l="1"/>
  <c r="X54" i="1" s="1"/>
  <c r="X55" i="1" s="1"/>
  <c r="R49" i="1"/>
  <c r="Q47" i="1"/>
  <c r="W53" i="1" s="1"/>
  <c r="W55" i="1" s="1"/>
  <c r="P49" i="1"/>
  <c r="S49" i="1" l="1"/>
  <c r="X36" i="1" s="1"/>
  <c r="P50" i="1"/>
  <c r="P51" i="1"/>
  <c r="P52" i="1" s="1"/>
  <c r="R50" i="1"/>
  <c r="R51" i="1"/>
  <c r="R52" i="1" s="1"/>
  <c r="Q49" i="1"/>
  <c r="S51" i="1" l="1"/>
  <c r="S52" i="1" s="1"/>
  <c r="S50" i="1"/>
  <c r="Q51" i="1"/>
  <c r="Q52" i="1" s="1"/>
  <c r="V36" i="1"/>
  <c r="Q50" i="1"/>
  <c r="Y36" i="1"/>
  <c r="X38" i="1"/>
  <c r="X41" i="1" l="1"/>
  <c r="X43" i="1"/>
  <c r="Y38" i="1"/>
  <c r="W36" i="1"/>
  <c r="V38" i="1"/>
  <c r="W38" i="1" l="1"/>
  <c r="V43" i="1"/>
  <c r="V41" i="1"/>
  <c r="Y43" i="1"/>
  <c r="X44" i="1"/>
  <c r="Y41" i="1"/>
  <c r="X42" i="1"/>
  <c r="Y42" i="1" l="1"/>
  <c r="Y44" i="1"/>
  <c r="W41" i="1"/>
  <c r="V42" i="1"/>
  <c r="W43" i="1"/>
  <c r="V44" i="1"/>
  <c r="W44" i="1" l="1"/>
  <c r="W42" i="1"/>
</calcChain>
</file>

<file path=xl/sharedStrings.xml><?xml version="1.0" encoding="utf-8"?>
<sst xmlns="http://schemas.openxmlformats.org/spreadsheetml/2006/main" count="266" uniqueCount="149">
  <si>
    <t xml:space="preserve">PROJECT BORA </t>
  </si>
  <si>
    <t>Interest frozen at 2029.06.30.</t>
  </si>
  <si>
    <t>No interest freeze</t>
  </si>
  <si>
    <t>Task/Permit</t>
  </si>
  <si>
    <t>Expected start date</t>
  </si>
  <si>
    <t>Expected end date</t>
  </si>
  <si>
    <t>Expected payment  date</t>
  </si>
  <si>
    <t>Year</t>
  </si>
  <si>
    <t>Days in 1st year</t>
  </si>
  <si>
    <t xml:space="preserve">Connected payment </t>
  </si>
  <si>
    <t>Amount of payment 
(net, HUF)</t>
  </si>
  <si>
    <t>Amount of payment 
(net, EUR)</t>
  </si>
  <si>
    <t>Interest</t>
  </si>
  <si>
    <t>Category</t>
  </si>
  <si>
    <t>Settlement</t>
  </si>
  <si>
    <t>FEP principal (net, EUR)</t>
  </si>
  <si>
    <t xml:space="preserve">Comment </t>
  </si>
  <si>
    <t>Amount with interest  (net, EUR)</t>
  </si>
  <si>
    <t xml:space="preserve">Interest amount (EUR) </t>
  </si>
  <si>
    <t>Inputs</t>
  </si>
  <si>
    <t>MEKH capacity  tender</t>
  </si>
  <si>
    <t>Application fee</t>
  </si>
  <si>
    <t>Fee</t>
  </si>
  <si>
    <t>Cash</t>
  </si>
  <si>
    <t>FY rate (HUF/EUR)</t>
  </si>
  <si>
    <t>Application bond</t>
  </si>
  <si>
    <t>Bond</t>
  </si>
  <si>
    <t>Bank guarantee</t>
  </si>
  <si>
    <t>W+BESS</t>
  </si>
  <si>
    <t>Wind capacity (MW)</t>
  </si>
  <si>
    <t>Performance bond</t>
  </si>
  <si>
    <t>W+BESS; application bond deducted; incl. 50% extra</t>
  </si>
  <si>
    <t>BESS percentage</t>
  </si>
  <si>
    <t>Capacity allocation process - Application</t>
  </si>
  <si>
    <t>Application bond (TSO)</t>
  </si>
  <si>
    <t>Cash deposit</t>
  </si>
  <si>
    <t>Refunded if project fails; deducted from conn. fee</t>
  </si>
  <si>
    <t>BESS connection capacity (MW)</t>
  </si>
  <si>
    <t>Supplementary grid bond - 2027</t>
  </si>
  <si>
    <t>Supplementary grid bond annual instalment for 2027</t>
  </si>
  <si>
    <t>Double amount; refunded if project fails</t>
  </si>
  <si>
    <t>Supplementary grid bond - 2028</t>
  </si>
  <si>
    <t>Supplementary grid bond annual instalment for 2028</t>
  </si>
  <si>
    <t>Refunded if project fails</t>
  </si>
  <si>
    <t>Benchmark CAPEX - wind (HUF/MW)</t>
  </si>
  <si>
    <t>Supplementary grid bond - refund</t>
  </si>
  <si>
    <t>Supplementary grid bond refund after BP</t>
  </si>
  <si>
    <t>Refund</t>
  </si>
  <si>
    <t>Refund after BP (with time buffer)</t>
  </si>
  <si>
    <t>Benchmark CAPEX - BESS (HUF/MWh)</t>
  </si>
  <si>
    <t>Supplementary grid bond - 2029</t>
  </si>
  <si>
    <t>Supplementary grid bond annual instalment for 2029</t>
  </si>
  <si>
    <t>50% after building permit; refunded if project fails</t>
  </si>
  <si>
    <t>Tender application</t>
  </si>
  <si>
    <t>Supplementary grid bond - 2030</t>
  </si>
  <si>
    <t>Supplementary grid bond annual instalment for 2030</t>
  </si>
  <si>
    <t>Paid by new owner; refunded if project fails</t>
  </si>
  <si>
    <t>No. of top. lots</t>
  </si>
  <si>
    <t>Capacity allocation process - Awarding</t>
  </si>
  <si>
    <t>Land reservation fee</t>
  </si>
  <si>
    <t>Land</t>
  </si>
  <si>
    <t>Reimbursed by buyer at exit; may be increased</t>
  </si>
  <si>
    <t>No. of WTGs</t>
  </si>
  <si>
    <t xml:space="preserve">Land purchase price </t>
  </si>
  <si>
    <t>Reimbursed by buyer at exit</t>
  </si>
  <si>
    <t>No. of small power plants</t>
  </si>
  <si>
    <t>Grid connection plan</t>
  </si>
  <si>
    <t xml:space="preserve">Design fee </t>
  </si>
  <si>
    <t>Devex</t>
  </si>
  <si>
    <t>No. of municipalities</t>
  </si>
  <si>
    <t>Administrative fee</t>
  </si>
  <si>
    <t>Bank guarantee interest</t>
  </si>
  <si>
    <t xml:space="preserve">Grid connection agreement </t>
  </si>
  <si>
    <t>Connection fee - Indirect</t>
  </si>
  <si>
    <t>Connection fee</t>
  </si>
  <si>
    <t>TSO application bond deducted</t>
  </si>
  <si>
    <t>Interest - cash deposits, fees, connection fee</t>
  </si>
  <si>
    <t>Connection fee - Direct</t>
  </si>
  <si>
    <t>Depending on the SPV's declaration and TSO's decision</t>
  </si>
  <si>
    <t>Interest - devex and land</t>
  </si>
  <si>
    <t>Land contracting (additional land)</t>
  </si>
  <si>
    <t xml:space="preserve">Legal fee, agent fee </t>
  </si>
  <si>
    <t>To be paid</t>
  </si>
  <si>
    <t>Minimum MOIC on 20% items</t>
  </si>
  <si>
    <t>Wind measurement</t>
  </si>
  <si>
    <t xml:space="preserve">Met Masts </t>
  </si>
  <si>
    <t>For 2 MM</t>
  </si>
  <si>
    <t>FEP split</t>
  </si>
  <si>
    <t>DSA / success fee (EUR/MW/yr)</t>
  </si>
  <si>
    <t xml:space="preserve">EYA </t>
  </si>
  <si>
    <t>DSA accrual start (signing)</t>
  </si>
  <si>
    <t xml:space="preserve">Land reclassification </t>
  </si>
  <si>
    <t>Interest freeze date</t>
  </si>
  <si>
    <t>Report fee</t>
  </si>
  <si>
    <t>Exit date</t>
  </si>
  <si>
    <t xml:space="preserve">Zoning plan modification </t>
  </si>
  <si>
    <t>Purchase price (EUR/MW)</t>
  </si>
  <si>
    <t>Municipality donation</t>
  </si>
  <si>
    <t xml:space="preserve">Donation </t>
  </si>
  <si>
    <t>Environmental assessment</t>
  </si>
  <si>
    <t>Bird-bat monitoring</t>
  </si>
  <si>
    <t xml:space="preserve">Administrative fee </t>
  </si>
  <si>
    <t>Assessment fee</t>
  </si>
  <si>
    <t>FEP proposal - Exit: 2029.12.31.</t>
  </si>
  <si>
    <t xml:space="preserve">Other project development </t>
  </si>
  <si>
    <t>Geotechnical assessment fee</t>
  </si>
  <si>
    <t>Archaeological</t>
  </si>
  <si>
    <t>EUR</t>
  </si>
  <si>
    <t>EUR/MW</t>
  </si>
  <si>
    <t xml:space="preserve">Topography </t>
  </si>
  <si>
    <t>Building permit - Turbines</t>
  </si>
  <si>
    <t>Transaction costs</t>
  </si>
  <si>
    <t>Design fee</t>
  </si>
  <si>
    <t>Total interest</t>
  </si>
  <si>
    <t>Cable right</t>
  </si>
  <si>
    <t>DSA</t>
  </si>
  <si>
    <t>Distributable proceeds</t>
  </si>
  <si>
    <t>Compensation</t>
  </si>
  <si>
    <t>Building permit - Substation, switching station</t>
  </si>
  <si>
    <t>Building permit - BESS</t>
  </si>
  <si>
    <t>Profit FGX</t>
  </si>
  <si>
    <t>Profit FGX + interest - Devex</t>
  </si>
  <si>
    <t>HEPURA permit</t>
  </si>
  <si>
    <t>Profit Ventus+Solmentore</t>
  </si>
  <si>
    <t>Profit + DSA Ventus+Solmentore</t>
  </si>
  <si>
    <t>Legal costs</t>
  </si>
  <si>
    <t>Continuous</t>
  </si>
  <si>
    <t>Financial costs</t>
  </si>
  <si>
    <t>Summary by category</t>
  </si>
  <si>
    <t>Amount (EUR)</t>
  </si>
  <si>
    <t>Interest - freeze</t>
  </si>
  <si>
    <t>Interest - no freeze</t>
  </si>
  <si>
    <t xml:space="preserve">RtB </t>
  </si>
  <si>
    <t>Contingency</t>
  </si>
  <si>
    <t>Bond - bank guarantee</t>
  </si>
  <si>
    <t>TOTAL WITH BONDS AND CONN FEE</t>
  </si>
  <si>
    <t>Bond - cash deposit</t>
  </si>
  <si>
    <t>TOTAL WITH BONDS AND CONN FEE /MW (FOR WIND)</t>
  </si>
  <si>
    <t>Refund - bank guarantee</t>
  </si>
  <si>
    <t xml:space="preserve">TOTAL WITHOUT BONDS AND CONN FEE </t>
  </si>
  <si>
    <t>TOTAL WITHOUT BONDS AND CONN FEE /MW (FOR WIND)</t>
  </si>
  <si>
    <t>TOTAL BONDS AND CONN FEE</t>
  </si>
  <si>
    <t>Total</t>
  </si>
  <si>
    <t>Disclaimers:
1. The connection fee will be defined based on the declaration of the SPV and the TSO's procedure (direct costs). 
2. The met mast costs were calculated based on a previous offer without site visit.
3. The environmental, archaeological, geotechnical assessment, topography fee and other project development fees were calculated based on the respective fees of PV projects in Hungary. 
4. Significant legislative changes are expected in connection with the cable right permitting, the associated costs cannot be accurately determined as of yet. Expectations are included.
5. The design fee is calculated based on a non binding offer, it will be updated with finalized technical details. 
6. Items provided by bank guarantee are calculated with a 6% interest. 
7. Interest is calculated with the exact dates and compounds yearly.
8. The TSO/DSO application bond cannot be provided in bank guarantee, therefore it is calculated as a cash deposit and the indirect connection fee is deducted with it. 
9. With the MEKH performance bond an extra 50% is calculated.
10. Cash deposits, the application fee and the connection fee are calculated with a 12% interest. Devex and land items are calculated with a 20% interest, with a minimum return of 2x the principal.
11. Interest frozen at 2029.06.30.: interest accrues until 2029.06.30. only. No interest freeze: interest accrues until the exit on 2029.12.31.</t>
  </si>
  <si>
    <t>Devex (deducted from FEP)</t>
  </si>
  <si>
    <t>Transaction costs (EUR)</t>
  </si>
  <si>
    <t>Buyer reimbursement (land, bonds, conn. fee)</t>
  </si>
  <si>
    <t>Exit premium</t>
  </si>
  <si>
    <t>BESS storage capacity (MWh) – 4h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</si>
</sst>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d/yyyy"/>
    <numFmt numFmtId="165" formatCode="_-* #,##0_-;\-* #,##0_-;_-* \-??_-;_-@_-"/>
    <numFmt numFmtId="166" formatCode="_-* #,##0_-;\-* #,##0_-;_-* \-??_-;_-@"/>
    <numFmt numFmtId="167" formatCode="0.0\x"/>
    <numFmt numFmtId="168" formatCode="yyyy\.mm\.dd"/>
    <numFmt numFmtId="169" formatCode="0.0%"/>
    <numFmt numFmtId="170" formatCode="_-* #,##0.00_-;\-* #,##0.00_-;_-* \-??_-;_-@"/>
  </numFmts>
  <fonts count="28">
    <font>
      <sz val="11"/>
      <color theme="1"/>
      <name val="Aptos Narrow"/>
      <charset val="1"/>
    </font>
    <font>
      <b/>
      <sz val="11"/>
      <color theme="1"/>
      <name val="Aptos Narrow"/>
      <family val="2"/>
      <charset val="1"/>
    </font>
    <font>
      <b/>
      <sz val="11"/>
      <name val="Aptos Narrow"/>
      <family val="2"/>
      <charset val="1"/>
    </font>
    <font>
      <sz val="11"/>
      <color theme="1"/>
      <name val="Aptos Narrow"/>
      <family val="2"/>
      <charset val="1"/>
    </font>
    <font>
      <sz val="11"/>
      <color rgb="FF0000FF"/>
      <name val="Aptos Narrow"/>
      <charset val="1"/>
    </font>
    <font>
      <sz val="11"/>
      <name val="Aptos Narrow"/>
      <family val="2"/>
      <charset val="1"/>
    </font>
    <font>
      <sz val="11"/>
      <name val="&lt;Cell 'Sheet1'.W33&gt;"/>
      <charset val="1"/>
    </font>
    <font>
      <sz val="11"/>
      <name val="Aptos Narrow"/>
      <charset val="1"/>
    </font>
    <font>
      <sz val="11"/>
      <name val="&lt;Cell 'Sheet1'.Z33&gt;"/>
      <charset val="1"/>
    </font>
    <font>
      <sz val="11"/>
      <name val="&lt;Cell 'Sheet1'.Z34&gt;"/>
      <charset val="1"/>
    </font>
    <font>
      <sz val="11"/>
      <name val="&lt;Cell 'Sheet1'.W35&gt;"/>
      <charset val="1"/>
    </font>
    <font>
      <sz val="11"/>
      <name val="&lt;Cell 'Sheet1'.Z35&gt;"/>
      <charset val="1"/>
    </font>
    <font>
      <sz val="11"/>
      <name val="&lt;Cell 'Sheet1'.W36&gt;"/>
      <charset val="1"/>
    </font>
    <font>
      <sz val="11"/>
      <name val="&lt;Cell 'Sheet1'.Z36&gt;"/>
      <charset val="1"/>
    </font>
    <font>
      <sz val="11"/>
      <name val="&lt;Cell 'Sheet1'.W37&gt;"/>
      <charset val="1"/>
    </font>
    <font>
      <sz val="11"/>
      <name val="&lt;Cell 'Sheet1'.Z37&gt;"/>
      <charset val="1"/>
    </font>
    <font>
      <sz val="11"/>
      <name val="&lt;Cell 'Sheet1'.W39&gt;"/>
      <charset val="1"/>
    </font>
    <font>
      <sz val="11"/>
      <name val="&lt;Cell 'Sheet1'.Z39&gt;"/>
      <charset val="1"/>
    </font>
    <font>
      <sz val="11"/>
      <name val="&lt;Cell 'Sheet1'.W41&gt;"/>
      <charset val="1"/>
    </font>
    <font>
      <sz val="11"/>
      <name val="&lt;Cell 'Sheet1'.Z41&gt;"/>
      <charset val="1"/>
    </font>
    <font>
      <sz val="11"/>
      <name val="&lt;Cell 'Sheet1'.W42&gt;"/>
      <charset val="1"/>
    </font>
    <font>
      <sz val="11"/>
      <name val="&lt;Cell 'Sheet1'.Z42&gt;"/>
      <charset val="1"/>
    </font>
    <font>
      <sz val="11"/>
      <name val="&lt;Cell 'Sheet1'.W43&gt;"/>
      <charset val="1"/>
    </font>
    <font>
      <sz val="11"/>
      <name val="&lt;Cell 'Sheet1'.Z43&gt;"/>
      <charset val="1"/>
    </font>
    <font>
      <sz val="11"/>
      <name val="&lt;Cell 'Sheet1'.W44&gt;"/>
      <charset val="1"/>
    </font>
    <font>
      <sz val="11"/>
      <name val="&lt;Cell 'Sheet1'.Z44&gt;"/>
      <charset val="1"/>
    </font>
    <font>
      <sz val="11"/>
      <color rgb="FF000000"/>
      <name val="Aptos Narrow"/>
      <charset val="1"/>
    </font>
    <font>
      <sz val="11"/>
      <color theme="1"/>
      <name val="Aptos Narrow"/>
      <charset val="1"/>
    </font>
  </fonts>
  <fills count="6">
    <fill>
      <patternFill patternType="none"/>
    </fill>
    <fill>
      <patternFill patternType="gray125"/>
    </fill>
    <fill>
      <patternFill patternType="solid">
        <fgColor theme="7" tint="0.79989013336588644"/>
        <bgColor rgb="FFCCFFFF"/>
      </patternFill>
    </fill>
    <fill>
      <patternFill patternType="solid">
        <fgColor rgb="FFFFFFFF"/>
        <bgColor rgb="FFFFFFCC"/>
      </patternFill>
    </fill>
    <fill>
      <patternFill patternType="solid">
        <fgColor rgb="FFFFFF00"/>
        <bgColor rgb="FFCCFFFF"/>
      </patternFill>
    </fill>
    <fill>
      <patternFill patternType="solid">
        <fgColor rgb="FFFFFF00"/>
        <bgColor indexed="64"/>
      </patternFill>
    </fill>
  </fills>
  <borders count="32">
    <border>
      <left/>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medium">
        <color auto="1"/>
      </bottom>
      <diagonal/>
    </border>
    <border>
      <left style="medium">
        <color auto="1"/>
      </left>
      <right/>
      <top style="thin">
        <color auto="1"/>
      </top>
      <bottom/>
      <diagonal/>
    </border>
    <border>
      <left style="medium">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style="thin">
        <color auto="1"/>
      </left>
      <right style="medium">
        <color auto="1"/>
      </right>
      <top/>
      <bottom style="thin">
        <color auto="1"/>
      </bottom>
      <diagonal/>
    </border>
    <border>
      <left/>
      <right style="medium">
        <color indexed="64"/>
      </right>
      <top style="medium">
        <color indexed="64"/>
      </top>
      <bottom/>
      <diagonal/>
    </border>
    <border>
      <left/>
      <right style="thin">
        <color auto="1"/>
      </right>
      <top style="medium">
        <color indexed="64"/>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diagonal/>
    </border>
    <border>
      <left style="medium">
        <color indexed="64"/>
      </left>
      <right/>
      <top/>
      <bottom/>
      <diagonal/>
    </border>
  </borders>
  <cellStyleXfs count="2">
    <xf numFmtId="0" fontId="0" fillId="0" borderId="0"/>
    <xf numFmtId="9" fontId="27" fillId="0" borderId="0"/>
  </cellStyleXfs>
  <cellXfs count="138">
    <xf numFmtId="0" fontId="0" fillId="0" borderId="0" xfId="0"/>
    <xf numFmtId="0" fontId="3" fillId="0" borderId="14" xfId="0" applyFont="1" applyBorder="1" applyAlignment="1">
      <alignment horizontal="left" vertical="center" wrapText="1"/>
    </xf>
    <xf numFmtId="0" fontId="2" fillId="0" borderId="3" xfId="0" applyFont="1" applyBorder="1" applyAlignment="1">
      <alignment horizontal="center"/>
    </xf>
    <xf numFmtId="1" fontId="0" fillId="0" borderId="0" xfId="0" applyNumberFormat="1"/>
    <xf numFmtId="0" fontId="0" fillId="0" borderId="0" xfId="0" applyAlignment="1">
      <alignment wrapText="1"/>
    </xf>
    <xf numFmtId="0" fontId="0" fillId="0" borderId="0" xfId="0" applyAlignment="1">
      <alignment vertical="center"/>
    </xf>
    <xf numFmtId="164" fontId="3" fillId="0" borderId="6" xfId="0" applyNumberFormat="1" applyFont="1" applyBorder="1" applyAlignment="1">
      <alignment vertical="center" wrapText="1"/>
    </xf>
    <xf numFmtId="164" fontId="3" fillId="0" borderId="7" xfId="0" applyNumberFormat="1" applyFont="1" applyBorder="1" applyAlignment="1">
      <alignment vertical="center" wrapText="1"/>
    </xf>
    <xf numFmtId="1" fontId="3" fillId="0" borderId="7" xfId="0" applyNumberFormat="1" applyFont="1" applyBorder="1" applyAlignment="1">
      <alignment vertical="center" wrapText="1"/>
    </xf>
    <xf numFmtId="0" fontId="3" fillId="0" borderId="7" xfId="0" applyFont="1" applyBorder="1" applyAlignment="1">
      <alignment vertical="center" wrapText="1"/>
    </xf>
    <xf numFmtId="165" fontId="3" fillId="0" borderId="7" xfId="0" applyNumberFormat="1" applyFont="1" applyBorder="1" applyAlignment="1">
      <alignment vertical="center" wrapText="1"/>
    </xf>
    <xf numFmtId="9" fontId="3" fillId="0" borderId="7" xfId="1" applyFont="1" applyBorder="1" applyAlignment="1">
      <alignment vertical="center" wrapText="1"/>
    </xf>
    <xf numFmtId="0" fontId="1" fillId="0" borderId="8" xfId="0" applyFont="1" applyBorder="1" applyAlignment="1">
      <alignment vertical="center" wrapText="1"/>
    </xf>
    <xf numFmtId="165" fontId="3" fillId="0" borderId="9" xfId="0" applyNumberFormat="1" applyFont="1" applyBorder="1" applyAlignment="1">
      <alignment vertical="center" wrapText="1"/>
    </xf>
    <xf numFmtId="0" fontId="0" fillId="0" borderId="3" xfId="0" applyBorder="1"/>
    <xf numFmtId="0" fontId="4" fillId="0" borderId="10" xfId="0" applyFont="1" applyBorder="1"/>
    <xf numFmtId="164" fontId="3" fillId="2" borderId="11" xfId="0" applyNumberFormat="1" applyFont="1" applyFill="1" applyBorder="1" applyAlignment="1">
      <alignment vertical="center" wrapText="1"/>
    </xf>
    <xf numFmtId="164" fontId="3" fillId="2" borderId="9" xfId="0" applyNumberFormat="1" applyFont="1" applyFill="1" applyBorder="1" applyAlignment="1">
      <alignment vertical="center" wrapText="1"/>
    </xf>
    <xf numFmtId="1" fontId="3" fillId="2" borderId="9" xfId="0" applyNumberFormat="1" applyFont="1" applyFill="1" applyBorder="1" applyAlignment="1">
      <alignment vertical="center" wrapText="1"/>
    </xf>
    <xf numFmtId="0" fontId="3" fillId="2" borderId="9" xfId="0" applyFont="1" applyFill="1" applyBorder="1" applyAlignment="1">
      <alignment vertical="center" wrapText="1"/>
    </xf>
    <xf numFmtId="165" fontId="3" fillId="2" borderId="9" xfId="0" applyNumberFormat="1" applyFont="1" applyFill="1" applyBorder="1" applyAlignment="1">
      <alignment vertical="center" wrapText="1"/>
    </xf>
    <xf numFmtId="9" fontId="3" fillId="2" borderId="9" xfId="1" applyFont="1" applyFill="1" applyBorder="1" applyAlignment="1">
      <alignment vertical="center" wrapText="1"/>
    </xf>
    <xf numFmtId="0" fontId="3" fillId="2" borderId="12" xfId="0" applyFont="1" applyFill="1" applyBorder="1" applyAlignment="1">
      <alignment vertical="center" wrapText="1"/>
    </xf>
    <xf numFmtId="0" fontId="0" fillId="0" borderId="11" xfId="0" applyBorder="1"/>
    <xf numFmtId="0" fontId="4" fillId="0" borderId="13" xfId="0" applyFont="1" applyBorder="1"/>
    <xf numFmtId="9" fontId="4" fillId="0" borderId="13" xfId="0" applyNumberFormat="1" applyFont="1" applyBorder="1"/>
    <xf numFmtId="0" fontId="3" fillId="0" borderId="14" xfId="0" applyFont="1" applyBorder="1" applyAlignment="1">
      <alignment vertical="center" wrapText="1"/>
    </xf>
    <xf numFmtId="166" fontId="3" fillId="2" borderId="9" xfId="0" applyNumberFormat="1" applyFont="1" applyFill="1" applyBorder="1" applyAlignment="1">
      <alignment vertical="center" wrapText="1"/>
    </xf>
    <xf numFmtId="0" fontId="3" fillId="2" borderId="12" xfId="0" applyFont="1" applyFill="1" applyBorder="1" applyAlignment="1">
      <alignment horizontal="left" vertical="center" wrapText="1"/>
    </xf>
    <xf numFmtId="0" fontId="0" fillId="0" borderId="13" xfId="0" applyBorder="1"/>
    <xf numFmtId="3" fontId="4" fillId="0" borderId="13" xfId="0" applyNumberFormat="1" applyFont="1" applyBorder="1"/>
    <xf numFmtId="164" fontId="3" fillId="0" borderId="11" xfId="0" applyNumberFormat="1" applyFont="1" applyBorder="1" applyAlignment="1">
      <alignment vertical="center" wrapText="1"/>
    </xf>
    <xf numFmtId="164" fontId="5" fillId="0" borderId="9" xfId="0" applyNumberFormat="1" applyFont="1" applyBorder="1"/>
    <xf numFmtId="1" fontId="3" fillId="0" borderId="9" xfId="0" applyNumberFormat="1" applyFont="1" applyBorder="1" applyAlignment="1">
      <alignment vertical="center" wrapText="1"/>
    </xf>
    <xf numFmtId="0" fontId="3" fillId="0" borderId="9" xfId="0" applyFont="1" applyBorder="1" applyAlignment="1">
      <alignment vertical="center" wrapText="1"/>
    </xf>
    <xf numFmtId="166" fontId="3" fillId="0" borderId="9" xfId="0" applyNumberFormat="1" applyFont="1" applyBorder="1" applyAlignment="1">
      <alignment vertical="center" wrapText="1"/>
    </xf>
    <xf numFmtId="9" fontId="3" fillId="0" borderId="9" xfId="1" applyFont="1" applyBorder="1" applyAlignment="1">
      <alignment vertical="center" wrapText="1"/>
    </xf>
    <xf numFmtId="0" fontId="3" fillId="0" borderId="12" xfId="0" applyFont="1" applyBorder="1" applyAlignment="1">
      <alignment horizontal="left" vertical="center" wrapText="1"/>
    </xf>
    <xf numFmtId="164" fontId="5" fillId="0" borderId="11" xfId="0" applyNumberFormat="1" applyFont="1" applyBorder="1"/>
    <xf numFmtId="164" fontId="3" fillId="0" borderId="9" xfId="0" applyNumberFormat="1" applyFont="1" applyBorder="1" applyAlignment="1">
      <alignment vertical="center" wrapText="1"/>
    </xf>
    <xf numFmtId="164" fontId="3" fillId="2" borderId="11" xfId="0" applyNumberFormat="1" applyFont="1" applyFill="1" applyBorder="1" applyAlignment="1">
      <alignment horizontal="right" vertical="center" wrapText="1"/>
    </xf>
    <xf numFmtId="167" fontId="4" fillId="0" borderId="13" xfId="0" applyNumberFormat="1" applyFont="1" applyBorder="1"/>
    <xf numFmtId="168" fontId="4" fillId="0" borderId="13" xfId="0" applyNumberFormat="1" applyFont="1" applyBorder="1"/>
    <xf numFmtId="0" fontId="3" fillId="0" borderId="15" xfId="0" applyFont="1" applyBorder="1"/>
    <xf numFmtId="3" fontId="4" fillId="0" borderId="16" xfId="0" applyNumberFormat="1" applyFont="1" applyBorder="1"/>
    <xf numFmtId="164" fontId="3" fillId="0" borderId="11" xfId="0" applyNumberFormat="1" applyFont="1" applyBorder="1" applyAlignment="1">
      <alignment horizontal="right" vertical="center" wrapText="1"/>
    </xf>
    <xf numFmtId="165" fontId="7" fillId="0" borderId="13" xfId="0" applyNumberFormat="1" applyFont="1" applyBorder="1"/>
    <xf numFmtId="0" fontId="0" fillId="0" borderId="15" xfId="0" applyBorder="1"/>
    <xf numFmtId="165" fontId="7" fillId="0" borderId="16" xfId="0" applyNumberFormat="1" applyFont="1" applyBorder="1"/>
    <xf numFmtId="165" fontId="20" fillId="0" borderId="11" xfId="0" applyNumberFormat="1" applyFont="1" applyBorder="1"/>
    <xf numFmtId="165" fontId="23" fillId="0" borderId="9" xfId="0" applyNumberFormat="1" applyFont="1" applyBorder="1"/>
    <xf numFmtId="165" fontId="24" fillId="0" borderId="15" xfId="0" applyNumberFormat="1" applyFont="1" applyBorder="1"/>
    <xf numFmtId="165" fontId="7" fillId="0" borderId="9" xfId="0" applyNumberFormat="1" applyFont="1" applyBorder="1"/>
    <xf numFmtId="0" fontId="3" fillId="0" borderId="19" xfId="0" applyFont="1" applyBorder="1" applyAlignment="1">
      <alignment vertical="center" wrapText="1"/>
    </xf>
    <xf numFmtId="164" fontId="3" fillId="0" borderId="20" xfId="0" applyNumberFormat="1" applyFont="1" applyBorder="1" applyAlignment="1">
      <alignment vertical="center" wrapText="1"/>
    </xf>
    <xf numFmtId="164" fontId="3" fillId="0" borderId="17" xfId="0" applyNumberFormat="1" applyFont="1" applyBorder="1" applyAlignment="1">
      <alignment vertical="center" wrapText="1"/>
    </xf>
    <xf numFmtId="1" fontId="3" fillId="0" borderId="17" xfId="0" applyNumberFormat="1" applyFont="1" applyBorder="1" applyAlignment="1">
      <alignment vertical="center" wrapText="1"/>
    </xf>
    <xf numFmtId="0" fontId="3" fillId="0" borderId="17" xfId="0" applyFont="1" applyBorder="1" applyAlignment="1">
      <alignment vertical="center" wrapText="1"/>
    </xf>
    <xf numFmtId="165" fontId="3" fillId="0" borderId="17" xfId="0" applyNumberFormat="1" applyFont="1" applyBorder="1" applyAlignment="1">
      <alignment vertical="center" wrapText="1"/>
    </xf>
    <xf numFmtId="9" fontId="3" fillId="0" borderId="17" xfId="1" applyFont="1" applyBorder="1" applyAlignment="1">
      <alignment vertical="center" wrapText="1"/>
    </xf>
    <xf numFmtId="0" fontId="3" fillId="0" borderId="21" xfId="0" applyFont="1" applyBorder="1" applyAlignment="1">
      <alignment horizontal="left" vertical="center" wrapText="1"/>
    </xf>
    <xf numFmtId="165" fontId="2" fillId="0" borderId="4" xfId="0" applyNumberFormat="1" applyFont="1" applyBorder="1"/>
    <xf numFmtId="0" fontId="0" fillId="0" borderId="22" xfId="0" applyBorder="1"/>
    <xf numFmtId="0" fontId="3" fillId="0" borderId="10" xfId="0" applyFont="1" applyBorder="1" applyAlignment="1">
      <alignment horizontal="left" vertical="center" wrapText="1"/>
    </xf>
    <xf numFmtId="165" fontId="2" fillId="0" borderId="9" xfId="0" applyNumberFormat="1" applyFont="1" applyBorder="1"/>
    <xf numFmtId="0" fontId="3" fillId="0" borderId="13" xfId="0" applyFont="1" applyBorder="1" applyAlignment="1">
      <alignment horizontal="left" vertical="center" wrapText="1"/>
    </xf>
    <xf numFmtId="165" fontId="2" fillId="0" borderId="18" xfId="0" applyNumberFormat="1" applyFont="1" applyBorder="1"/>
    <xf numFmtId="0" fontId="0" fillId="0" borderId="23" xfId="0" applyBorder="1"/>
    <xf numFmtId="0" fontId="3" fillId="0" borderId="16" xfId="0" applyFont="1" applyBorder="1" applyAlignment="1">
      <alignment horizontal="left" vertical="center" wrapText="1"/>
    </xf>
    <xf numFmtId="165" fontId="7" fillId="0" borderId="18" xfId="0" applyNumberFormat="1" applyFont="1" applyBorder="1"/>
    <xf numFmtId="164" fontId="0" fillId="0" borderId="0" xfId="0" applyNumberFormat="1"/>
    <xf numFmtId="165" fontId="0" fillId="0" borderId="0" xfId="0" applyNumberFormat="1" applyAlignment="1">
      <alignment vertical="center"/>
    </xf>
    <xf numFmtId="0" fontId="7" fillId="0" borderId="0" xfId="0" applyFont="1"/>
    <xf numFmtId="170" fontId="0" fillId="0" borderId="0" xfId="0" applyNumberFormat="1" applyAlignment="1">
      <alignment vertical="center"/>
    </xf>
    <xf numFmtId="165" fontId="7" fillId="0" borderId="24" xfId="0" applyNumberFormat="1" applyFont="1" applyBorder="1"/>
    <xf numFmtId="165" fontId="0" fillId="0" borderId="18" xfId="0" applyNumberFormat="1" applyBorder="1"/>
    <xf numFmtId="165" fontId="0" fillId="0" borderId="16" xfId="0" applyNumberFormat="1" applyBorder="1"/>
    <xf numFmtId="0" fontId="0" fillId="0" borderId="26" xfId="0" applyBorder="1"/>
    <xf numFmtId="165" fontId="2" fillId="0" borderId="3" xfId="0" applyNumberFormat="1" applyFont="1" applyBorder="1"/>
    <xf numFmtId="165" fontId="2" fillId="0" borderId="10" xfId="0" applyNumberFormat="1" applyFont="1" applyBorder="1"/>
    <xf numFmtId="165" fontId="2" fillId="0" borderId="11" xfId="0" applyNumberFormat="1" applyFont="1" applyBorder="1"/>
    <xf numFmtId="165" fontId="2" fillId="0" borderId="13" xfId="0" applyNumberFormat="1" applyFont="1" applyBorder="1"/>
    <xf numFmtId="165" fontId="2" fillId="0" borderId="15" xfId="0" applyNumberFormat="1" applyFont="1" applyBorder="1"/>
    <xf numFmtId="165" fontId="2" fillId="0" borderId="16" xfId="0" applyNumberFormat="1" applyFont="1" applyBorder="1"/>
    <xf numFmtId="169" fontId="27" fillId="0" borderId="0" xfId="1" applyNumberFormat="1"/>
    <xf numFmtId="0" fontId="2" fillId="0" borderId="0" xfId="0" applyFont="1"/>
    <xf numFmtId="165" fontId="0" fillId="0" borderId="0" xfId="0" applyNumberFormat="1"/>
    <xf numFmtId="0" fontId="0" fillId="0" borderId="14" xfId="0" applyBorder="1"/>
    <xf numFmtId="0" fontId="0" fillId="0" borderId="28" xfId="0" applyBorder="1"/>
    <xf numFmtId="0" fontId="0" fillId="0" borderId="27" xfId="0" applyBorder="1"/>
    <xf numFmtId="0" fontId="0" fillId="0" borderId="5" xfId="0" applyBorder="1"/>
    <xf numFmtId="0" fontId="0" fillId="0" borderId="29" xfId="0" applyBorder="1"/>
    <xf numFmtId="165" fontId="13" fillId="0" borderId="9" xfId="0" applyNumberFormat="1" applyFont="1" applyBorder="1"/>
    <xf numFmtId="165" fontId="8" fillId="0" borderId="9" xfId="0" applyNumberFormat="1" applyFont="1" applyBorder="1"/>
    <xf numFmtId="165" fontId="9" fillId="0" borderId="9" xfId="0" applyNumberFormat="1" applyFont="1" applyBorder="1"/>
    <xf numFmtId="165" fontId="11" fillId="0" borderId="9" xfId="0" applyNumberFormat="1" applyFont="1" applyBorder="1"/>
    <xf numFmtId="165" fontId="15" fillId="0" borderId="9" xfId="0" applyNumberFormat="1" applyFont="1" applyBorder="1"/>
    <xf numFmtId="165" fontId="17" fillId="0" borderId="9" xfId="0" applyNumberFormat="1" applyFont="1" applyBorder="1"/>
    <xf numFmtId="0" fontId="0" fillId="0" borderId="9" xfId="0" applyBorder="1"/>
    <xf numFmtId="165" fontId="19" fillId="0" borderId="9" xfId="0" applyNumberFormat="1" applyFont="1" applyBorder="1"/>
    <xf numFmtId="165" fontId="21" fillId="0" borderId="9" xfId="0" applyNumberFormat="1" applyFont="1" applyBorder="1"/>
    <xf numFmtId="165" fontId="12" fillId="0" borderId="11" xfId="0" applyNumberFormat="1" applyFont="1" applyBorder="1"/>
    <xf numFmtId="165" fontId="6" fillId="0" borderId="11" xfId="0" applyNumberFormat="1" applyFont="1" applyBorder="1"/>
    <xf numFmtId="165" fontId="26" fillId="0" borderId="11" xfId="0" applyNumberFormat="1" applyFont="1" applyBorder="1"/>
    <xf numFmtId="165" fontId="10" fillId="0" borderId="11" xfId="0" applyNumberFormat="1" applyFont="1" applyBorder="1"/>
    <xf numFmtId="165" fontId="14" fillId="0" borderId="11" xfId="0" applyNumberFormat="1" applyFont="1" applyBorder="1"/>
    <xf numFmtId="165" fontId="16" fillId="0" borderId="11" xfId="0" applyNumberFormat="1" applyFont="1" applyBorder="1"/>
    <xf numFmtId="165" fontId="18" fillId="0" borderId="11" xfId="0" applyNumberFormat="1" applyFont="1" applyBorder="1"/>
    <xf numFmtId="165" fontId="22" fillId="0" borderId="11" xfId="0" applyNumberFormat="1" applyFont="1" applyBorder="1"/>
    <xf numFmtId="165" fontId="25" fillId="0" borderId="18" xfId="0" applyNumberFormat="1" applyFont="1" applyBorder="1"/>
    <xf numFmtId="165" fontId="12" fillId="0" borderId="6" xfId="0" applyNumberFormat="1" applyFont="1" applyBorder="1"/>
    <xf numFmtId="165" fontId="7" fillId="0" borderId="7" xfId="0" applyNumberFormat="1" applyFont="1" applyBorder="1"/>
    <xf numFmtId="165" fontId="13" fillId="0" borderId="7" xfId="0" applyNumberFormat="1" applyFont="1" applyBorder="1"/>
    <xf numFmtId="165" fontId="0" fillId="0" borderId="15" xfId="0" applyNumberFormat="1" applyBorder="1"/>
    <xf numFmtId="0" fontId="0" fillId="0" borderId="31" xfId="0" applyBorder="1"/>
    <xf numFmtId="0" fontId="2" fillId="0" borderId="4" xfId="0" applyFont="1" applyBorder="1" applyAlignment="1">
      <alignment horizontal="center"/>
    </xf>
    <xf numFmtId="0" fontId="2" fillId="0" borderId="10" xfId="0" applyFont="1" applyBorder="1" applyAlignment="1">
      <alignment horizontal="center"/>
    </xf>
    <xf numFmtId="0" fontId="2" fillId="0" borderId="27" xfId="0" applyFont="1" applyBorder="1" applyAlignment="1">
      <alignment horizontal="center"/>
    </xf>
    <xf numFmtId="0" fontId="2" fillId="0" borderId="30" xfId="0" applyFont="1" applyBorder="1" applyAlignment="1">
      <alignment horizontal="center"/>
    </xf>
    <xf numFmtId="0" fontId="2" fillId="0" borderId="25" xfId="0" applyFont="1" applyBorder="1" applyAlignment="1">
      <alignment horizontal="center"/>
    </xf>
    <xf numFmtId="0" fontId="1" fillId="0" borderId="1" xfId="0" applyFont="1" applyBorder="1" applyAlignment="1">
      <alignment horizontal="center"/>
    </xf>
    <xf numFmtId="0" fontId="0" fillId="0" borderId="2" xfId="0" applyBorder="1" applyAlignment="1">
      <alignment horizontal="center"/>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1" fontId="1" fillId="0" borderId="4" xfId="0" applyNumberFormat="1" applyFont="1" applyBorder="1" applyAlignment="1">
      <alignment horizontal="left" vertical="center" wrapText="1"/>
    </xf>
    <xf numFmtId="0" fontId="1" fillId="0" borderId="1" xfId="0" applyFont="1" applyBorder="1" applyAlignment="1">
      <alignment horizontal="center" vertical="center" wrapText="1"/>
    </xf>
    <xf numFmtId="0" fontId="2" fillId="0" borderId="3" xfId="0" applyFont="1" applyBorder="1" applyAlignment="1">
      <alignment horizontal="center"/>
    </xf>
    <xf numFmtId="0" fontId="3" fillId="0" borderId="5" xfId="0" applyFont="1" applyBorder="1" applyAlignment="1">
      <alignment horizontal="left" vertical="center" wrapText="1"/>
    </xf>
    <xf numFmtId="0" fontId="3" fillId="0" borderId="14" xfId="0" applyFont="1" applyBorder="1" applyAlignment="1">
      <alignment horizontal="left" vertical="center" wrapText="1"/>
    </xf>
    <xf numFmtId="0" fontId="1" fillId="0" borderId="11" xfId="0" applyFont="1" applyBorder="1" applyAlignment="1">
      <alignment horizontal="right" vertical="center" wrapText="1"/>
    </xf>
    <xf numFmtId="0" fontId="1" fillId="0" borderId="15" xfId="0" applyFont="1" applyBorder="1" applyAlignment="1">
      <alignment horizontal="right" vertical="center" wrapText="1"/>
    </xf>
    <xf numFmtId="49" fontId="26" fillId="3" borderId="0" xfId="0" applyNumberFormat="1" applyFont="1" applyFill="1" applyAlignment="1">
      <alignment horizontal="left" vertical="top" wrapText="1"/>
    </xf>
    <xf numFmtId="0" fontId="1" fillId="0" borderId="3" xfId="0" applyFont="1" applyBorder="1" applyAlignment="1">
      <alignment horizontal="right" vertical="center" wrapText="1"/>
    </xf>
    <xf numFmtId="9" fontId="3" fillId="4" borderId="9" xfId="1" applyFont="1" applyFill="1" applyBorder="1" applyAlignment="1">
      <alignment vertical="center" wrapText="1"/>
    </xf>
    <xf numFmtId="0" fontId="3" fillId="4" borderId="9" xfId="0" applyFont="1" applyFill="1" applyBorder="1" applyAlignment="1">
      <alignment vertical="center" wrapText="1"/>
    </xf>
    <xf numFmtId="0" fontId="4" fillId="5" borderId="13" xfId="0" applyFont="1" applyFill="1" applyBorder="1"/>
    <xf numFmtId="165" fontId="5" fillId="4" borderId="9" xfId="0" applyNumberFormat="1" applyFont="1" applyFill="1" applyBorder="1" applyAlignment="1">
      <alignment vertical="center" wrapText="1"/>
    </xf>
    <xf numFmtId="165" fontId="3" fillId="4" borderId="9" xfId="0" applyNumberFormat="1" applyFont="1" applyFill="1" applyBorder="1" applyAlignment="1">
      <alignment vertical="center" wrapText="1"/>
    </xf>
  </cellXfs>
  <cellStyles count="2">
    <cellStyle name="Normál" xfId="0" builtinId="0"/>
    <cellStyle name="Százalék"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AEE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033C5EB-F73E-4012-9DBA-010D6A9038EC}">
  <we:reference id="WA200009404" version="1.0.0.8" store="Omex" storeType="OMEX"/>
  <we:alternateReferences>
    <we:reference id="WA200009404" version="1.0.0.8" store="WA200009404" storeType="OMEX"/>
  </we:alternateReferences>
  <we:properties>
    <we:property name="claude.fileId" value="&quot;974cca7d-0f06-486d-b159-063006919fb7&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AA1021"/>
  <sheetViews>
    <sheetView tabSelected="1" zoomScaleNormal="100" workbookViewId="0">
      <pane xSplit="2" ySplit="4" topLeftCell="G5" activePane="bottomRight" state="frozen"/>
      <selection pane="topRight" activeCell="C1" sqref="C1"/>
      <selection pane="bottomLeft" activeCell="A5" sqref="A5"/>
      <selection pane="bottomRight" activeCell="J19" sqref="J19"/>
    </sheetView>
  </sheetViews>
  <sheetFormatPr defaultColWidth="12.5546875" defaultRowHeight="14.4"/>
  <cols>
    <col min="1" max="1" width="8.5546875" customWidth="1"/>
    <col min="2" max="2" width="37.44140625" customWidth="1"/>
    <col min="3" max="4" width="16.44140625" customWidth="1"/>
    <col min="5" max="5" width="14.5546875" customWidth="1"/>
    <col min="6" max="6" width="9.44140625" customWidth="1"/>
    <col min="7" max="7" width="7.6640625" style="3" customWidth="1"/>
    <col min="8" max="8" width="48.33203125" customWidth="1"/>
    <col min="9" max="9" width="17.88671875" customWidth="1"/>
    <col min="10" max="10" width="13.5546875" customWidth="1"/>
    <col min="11" max="11" width="7.6640625" customWidth="1"/>
    <col min="12" max="12" width="15.44140625" customWidth="1"/>
    <col min="13" max="13" width="15" customWidth="1"/>
    <col min="14" max="14" width="14" customWidth="1"/>
    <col min="15" max="15" width="44.109375" customWidth="1"/>
    <col min="16" max="16" width="14" customWidth="1"/>
    <col min="17" max="17" width="13" customWidth="1"/>
    <col min="18" max="18" width="14" customWidth="1"/>
    <col min="19" max="19" width="13" customWidth="1"/>
    <col min="20" max="20" width="3" customWidth="1"/>
    <col min="21" max="21" width="40" customWidth="1"/>
    <col min="22" max="22" width="15" customWidth="1"/>
    <col min="23" max="23" width="14" customWidth="1"/>
    <col min="24" max="25" width="17" customWidth="1"/>
    <col min="26" max="26" width="13" customWidth="1"/>
    <col min="27" max="27" width="9" customWidth="1"/>
  </cols>
  <sheetData>
    <row r="1" spans="2:22" ht="14.25" customHeight="1" thickBot="1">
      <c r="I1" s="4"/>
      <c r="J1" s="5"/>
      <c r="K1" s="5"/>
    </row>
    <row r="2" spans="2:22" ht="14.25" customHeight="1" thickBot="1">
      <c r="B2" s="120" t="s">
        <v>0</v>
      </c>
      <c r="C2" s="120"/>
      <c r="D2" s="120"/>
      <c r="E2" s="120"/>
      <c r="F2" s="120"/>
      <c r="G2" s="120"/>
      <c r="H2" s="120"/>
      <c r="I2" s="120"/>
      <c r="J2" s="120"/>
      <c r="K2" s="120"/>
      <c r="L2" s="120"/>
      <c r="M2" s="120"/>
      <c r="N2" s="120"/>
      <c r="O2" s="120"/>
      <c r="P2" s="121" t="s">
        <v>1</v>
      </c>
      <c r="Q2" s="121"/>
      <c r="R2" s="121" t="s">
        <v>2</v>
      </c>
      <c r="S2" s="121"/>
    </row>
    <row r="3" spans="2:22" ht="14.25" customHeight="1" thickBot="1">
      <c r="B3" s="122" t="s">
        <v>3</v>
      </c>
      <c r="C3" s="123" t="s">
        <v>4</v>
      </c>
      <c r="D3" s="123" t="s">
        <v>5</v>
      </c>
      <c r="E3" s="123" t="s">
        <v>6</v>
      </c>
      <c r="F3" s="123" t="s">
        <v>7</v>
      </c>
      <c r="G3" s="124" t="s">
        <v>8</v>
      </c>
      <c r="H3" s="123" t="s">
        <v>9</v>
      </c>
      <c r="I3" s="123" t="s">
        <v>10</v>
      </c>
      <c r="J3" s="123" t="s">
        <v>11</v>
      </c>
      <c r="K3" s="123" t="s">
        <v>12</v>
      </c>
      <c r="L3" s="123" t="s">
        <v>13</v>
      </c>
      <c r="M3" s="123" t="s">
        <v>14</v>
      </c>
      <c r="N3" s="123" t="s">
        <v>15</v>
      </c>
      <c r="O3" s="123" t="s">
        <v>16</v>
      </c>
      <c r="P3" s="125" t="s">
        <v>17</v>
      </c>
      <c r="Q3" s="125" t="s">
        <v>18</v>
      </c>
      <c r="R3" s="125" t="s">
        <v>17</v>
      </c>
      <c r="S3" s="125" t="s">
        <v>18</v>
      </c>
    </row>
    <row r="4" spans="2:22" ht="43.5" customHeight="1" thickBot="1">
      <c r="B4" s="122"/>
      <c r="C4" s="123"/>
      <c r="D4" s="123"/>
      <c r="E4" s="123"/>
      <c r="F4" s="123"/>
      <c r="G4" s="123"/>
      <c r="H4" s="123"/>
      <c r="I4" s="123"/>
      <c r="J4" s="123"/>
      <c r="K4" s="123"/>
      <c r="L4" s="123"/>
      <c r="M4" s="123"/>
      <c r="N4" s="123"/>
      <c r="O4" s="123"/>
      <c r="P4" s="125"/>
      <c r="Q4" s="125"/>
      <c r="R4" s="125"/>
      <c r="S4" s="125"/>
      <c r="U4" s="126" t="s">
        <v>19</v>
      </c>
      <c r="V4" s="126"/>
    </row>
    <row r="5" spans="2:22" ht="14.25" customHeight="1">
      <c r="B5" s="127" t="s">
        <v>20</v>
      </c>
      <c r="C5" s="6">
        <v>46266</v>
      </c>
      <c r="D5" s="7">
        <v>46325</v>
      </c>
      <c r="E5" s="7">
        <v>46325</v>
      </c>
      <c r="F5" s="8">
        <f t="shared" ref="F5:F44" si="0">YEAR(E5)</f>
        <v>2026</v>
      </c>
      <c r="G5" s="8">
        <f t="shared" ref="G5:G44" si="1">DATE(YEAR(E5),12,31)-E5+1</f>
        <v>63</v>
      </c>
      <c r="H5" s="9" t="s">
        <v>21</v>
      </c>
      <c r="I5" s="10">
        <f>V12*3000000</f>
        <v>6000000</v>
      </c>
      <c r="J5" s="10">
        <f t="shared" ref="J5:J12" si="2">I5/$V$5</f>
        <v>16216.216216216217</v>
      </c>
      <c r="K5" s="11">
        <f>$V$18</f>
        <v>0.12</v>
      </c>
      <c r="L5" s="9" t="s">
        <v>22</v>
      </c>
      <c r="M5" s="9" t="s">
        <v>23</v>
      </c>
      <c r="N5" s="10">
        <f t="shared" ref="N5:N47" si="3">J5</f>
        <v>16216.216216216217</v>
      </c>
      <c r="O5" s="12"/>
      <c r="P5" s="13">
        <f t="shared" ref="P5:P48" si="4">$N5*MAX((1+$K5*$G5/365)*(1+$K5)^(YEAR($V$24)-$F5-1)*(1+$K5*($V$24-DATE(YEAR($V$24),1,1)+1)/365),($K5&gt;=$V$19)*$V$20)</f>
        <v>21998.481354840274</v>
      </c>
      <c r="Q5" s="13">
        <f t="shared" ref="Q5:Q48" si="5">P5-N5</f>
        <v>5782.2651386240577</v>
      </c>
      <c r="R5" s="13">
        <f t="shared" ref="R5:R48" si="6">$N5*MAX((1+$K5*$G5/365)*(1+$K5)^(YEAR($V$25)-$F5),($K5&gt;=$V$19)*$V$20)</f>
        <v>23254.49725346169</v>
      </c>
      <c r="S5" s="13">
        <f t="shared" ref="S5:S48" si="7">R5-N5</f>
        <v>7038.2810372454733</v>
      </c>
      <c r="U5" s="14" t="s">
        <v>24</v>
      </c>
      <c r="V5" s="15">
        <v>370</v>
      </c>
    </row>
    <row r="6" spans="2:22" ht="14.25" customHeight="1">
      <c r="B6" s="127"/>
      <c r="C6" s="16">
        <v>46266</v>
      </c>
      <c r="D6" s="17">
        <v>46325</v>
      </c>
      <c r="E6" s="17">
        <v>46325</v>
      </c>
      <c r="F6" s="18">
        <f t="shared" si="0"/>
        <v>2026</v>
      </c>
      <c r="G6" s="18">
        <f t="shared" si="1"/>
        <v>63</v>
      </c>
      <c r="H6" s="19" t="s">
        <v>25</v>
      </c>
      <c r="I6" s="20">
        <f>V10*V6*0.005+V11*V9*0.005</f>
        <v>1047800000</v>
      </c>
      <c r="J6" s="20">
        <f t="shared" si="2"/>
        <v>2831891.8918918921</v>
      </c>
      <c r="K6" s="21">
        <f>$V$17</f>
        <v>0.06</v>
      </c>
      <c r="L6" s="19" t="s">
        <v>26</v>
      </c>
      <c r="M6" s="19" t="s">
        <v>27</v>
      </c>
      <c r="N6" s="20">
        <f t="shared" si="3"/>
        <v>2831891.8918918921</v>
      </c>
      <c r="O6" s="22" t="s">
        <v>28</v>
      </c>
      <c r="P6" s="13">
        <f t="shared" si="4"/>
        <v>3310519.4291879414</v>
      </c>
      <c r="Q6" s="13">
        <f t="shared" si="5"/>
        <v>478627.5372960493</v>
      </c>
      <c r="R6" s="13">
        <f t="shared" si="6"/>
        <v>3407758.1204512711</v>
      </c>
      <c r="S6" s="13">
        <f t="shared" si="7"/>
        <v>575866.228559379</v>
      </c>
      <c r="U6" s="23" t="s">
        <v>29</v>
      </c>
      <c r="V6" s="135">
        <v>260</v>
      </c>
    </row>
    <row r="7" spans="2:22" ht="14.25" customHeight="1">
      <c r="B7" s="127"/>
      <c r="C7" s="16">
        <v>46371</v>
      </c>
      <c r="D7" s="17">
        <v>46386</v>
      </c>
      <c r="E7" s="17">
        <v>46386</v>
      </c>
      <c r="F7" s="18">
        <f t="shared" si="0"/>
        <v>2026</v>
      </c>
      <c r="G7" s="18">
        <f t="shared" si="1"/>
        <v>2</v>
      </c>
      <c r="H7" s="19" t="s">
        <v>30</v>
      </c>
      <c r="I7" s="20">
        <f>((V10*V6*0.025+V11*V9*0.025)*1.5)-I6</f>
        <v>6810700000</v>
      </c>
      <c r="J7" s="20">
        <f t="shared" si="2"/>
        <v>18407297.297297299</v>
      </c>
      <c r="K7" s="21">
        <f>$V$17</f>
        <v>0.06</v>
      </c>
      <c r="L7" s="19" t="s">
        <v>26</v>
      </c>
      <c r="M7" s="19" t="s">
        <v>27</v>
      </c>
      <c r="N7" s="20">
        <f t="shared" si="3"/>
        <v>18407297.297297299</v>
      </c>
      <c r="O7" s="22" t="s">
        <v>31</v>
      </c>
      <c r="P7" s="13">
        <f t="shared" si="4"/>
        <v>21304814.661595415</v>
      </c>
      <c r="Q7" s="13">
        <f t="shared" si="5"/>
        <v>2897517.3642981164</v>
      </c>
      <c r="R7" s="13">
        <f t="shared" si="6"/>
        <v>21930593.286253575</v>
      </c>
      <c r="S7" s="13">
        <f t="shared" si="7"/>
        <v>3523295.9889562763</v>
      </c>
      <c r="U7" s="23" t="s">
        <v>32</v>
      </c>
      <c r="V7" s="25">
        <v>0.5</v>
      </c>
    </row>
    <row r="8" spans="2:22" ht="14.25" customHeight="1">
      <c r="B8" s="26" t="s">
        <v>33</v>
      </c>
      <c r="C8" s="16">
        <f>C7+15</f>
        <v>46386</v>
      </c>
      <c r="D8" s="17">
        <f t="shared" ref="D8:D13" si="8">C8</f>
        <v>46386</v>
      </c>
      <c r="E8" s="17">
        <f>C8</f>
        <v>46386</v>
      </c>
      <c r="F8" s="18">
        <f t="shared" si="0"/>
        <v>2026</v>
      </c>
      <c r="G8" s="18">
        <f t="shared" si="1"/>
        <v>2</v>
      </c>
      <c r="H8" s="19" t="s">
        <v>34</v>
      </c>
      <c r="I8" s="136">
        <f>4500000*200</f>
        <v>900000000</v>
      </c>
      <c r="J8" s="27">
        <f t="shared" si="2"/>
        <v>2432432.4324324327</v>
      </c>
      <c r="K8" s="21">
        <f>$V$18</f>
        <v>0.12</v>
      </c>
      <c r="L8" s="19" t="s">
        <v>26</v>
      </c>
      <c r="M8" s="19" t="s">
        <v>35</v>
      </c>
      <c r="N8" s="20">
        <f t="shared" si="3"/>
        <v>2432432.4324324327</v>
      </c>
      <c r="O8" s="28" t="s">
        <v>36</v>
      </c>
      <c r="P8" s="13">
        <f t="shared" si="4"/>
        <v>3234938.8004785255</v>
      </c>
      <c r="Q8" s="13">
        <f t="shared" si="5"/>
        <v>802506.3680460928</v>
      </c>
      <c r="R8" s="13">
        <f t="shared" si="6"/>
        <v>3419639.4849907453</v>
      </c>
      <c r="S8" s="13">
        <f t="shared" si="7"/>
        <v>987207.05255831266</v>
      </c>
      <c r="U8" s="23" t="s">
        <v>37</v>
      </c>
      <c r="V8" s="29">
        <f>V6*V7</f>
        <v>130</v>
      </c>
    </row>
    <row r="9" spans="2:22" ht="14.25" customHeight="1">
      <c r="B9" s="26" t="s">
        <v>38</v>
      </c>
      <c r="C9" s="16">
        <v>46500</v>
      </c>
      <c r="D9" s="17">
        <f t="shared" si="8"/>
        <v>46500</v>
      </c>
      <c r="E9" s="17">
        <f>C9</f>
        <v>46500</v>
      </c>
      <c r="F9" s="18">
        <f t="shared" si="0"/>
        <v>2027</v>
      </c>
      <c r="G9" s="18">
        <f t="shared" si="1"/>
        <v>253</v>
      </c>
      <c r="H9" s="134" t="s">
        <v>39</v>
      </c>
      <c r="I9" s="137"/>
      <c r="J9" s="27"/>
      <c r="K9" s="21"/>
      <c r="L9" s="19" t="s">
        <v>26</v>
      </c>
      <c r="M9" s="19" t="s">
        <v>27</v>
      </c>
      <c r="N9" s="20">
        <f t="shared" si="3"/>
        <v>0</v>
      </c>
      <c r="O9" s="28" t="s">
        <v>40</v>
      </c>
      <c r="P9" s="13">
        <f t="shared" si="4"/>
        <v>0</v>
      </c>
      <c r="Q9" s="13">
        <f t="shared" si="5"/>
        <v>0</v>
      </c>
      <c r="R9" s="13">
        <f t="shared" si="6"/>
        <v>0</v>
      </c>
      <c r="S9" s="13">
        <f t="shared" si="7"/>
        <v>0</v>
      </c>
      <c r="U9" s="23" t="s">
        <v>148</v>
      </c>
      <c r="V9" s="29">
        <f>V8*4</f>
        <v>520</v>
      </c>
    </row>
    <row r="10" spans="2:22" ht="14.25" customHeight="1">
      <c r="B10" s="26" t="s">
        <v>41</v>
      </c>
      <c r="C10" s="16">
        <v>46866</v>
      </c>
      <c r="D10" s="17">
        <f t="shared" si="8"/>
        <v>46866</v>
      </c>
      <c r="E10" s="17">
        <f>C10</f>
        <v>46866</v>
      </c>
      <c r="F10" s="18">
        <f t="shared" si="0"/>
        <v>2028</v>
      </c>
      <c r="G10" s="18">
        <f t="shared" si="1"/>
        <v>253</v>
      </c>
      <c r="H10" s="134" t="s">
        <v>42</v>
      </c>
      <c r="I10" s="137"/>
      <c r="J10" s="27"/>
      <c r="K10" s="21"/>
      <c r="L10" s="19" t="s">
        <v>26</v>
      </c>
      <c r="M10" s="19" t="s">
        <v>27</v>
      </c>
      <c r="N10" s="20">
        <f t="shared" si="3"/>
        <v>0</v>
      </c>
      <c r="O10" s="28" t="s">
        <v>43</v>
      </c>
      <c r="P10" s="13">
        <f t="shared" si="4"/>
        <v>0</v>
      </c>
      <c r="Q10" s="13">
        <f t="shared" si="5"/>
        <v>0</v>
      </c>
      <c r="R10" s="13">
        <f t="shared" si="6"/>
        <v>0</v>
      </c>
      <c r="S10" s="13">
        <f t="shared" si="7"/>
        <v>0</v>
      </c>
      <c r="U10" s="23" t="s">
        <v>44</v>
      </c>
      <c r="V10" s="30">
        <v>406000000</v>
      </c>
    </row>
    <row r="11" spans="2:22" ht="14.25" customHeight="1">
      <c r="B11" s="26" t="s">
        <v>45</v>
      </c>
      <c r="C11" s="16">
        <f>D35+45</f>
        <v>46825</v>
      </c>
      <c r="D11" s="17">
        <f t="shared" si="8"/>
        <v>46825</v>
      </c>
      <c r="E11" s="17">
        <f>D11</f>
        <v>46825</v>
      </c>
      <c r="F11" s="18">
        <f t="shared" si="0"/>
        <v>2028</v>
      </c>
      <c r="G11" s="18">
        <f t="shared" si="1"/>
        <v>294</v>
      </c>
      <c r="H11" s="134" t="s">
        <v>46</v>
      </c>
      <c r="I11" s="137"/>
      <c r="J11" s="27"/>
      <c r="K11" s="21"/>
      <c r="L11" s="19" t="s">
        <v>47</v>
      </c>
      <c r="M11" s="19" t="s">
        <v>27</v>
      </c>
      <c r="N11" s="20">
        <f t="shared" si="3"/>
        <v>0</v>
      </c>
      <c r="O11" s="28" t="s">
        <v>48</v>
      </c>
      <c r="P11" s="13">
        <f t="shared" si="4"/>
        <v>0</v>
      </c>
      <c r="Q11" s="13">
        <f t="shared" si="5"/>
        <v>0</v>
      </c>
      <c r="R11" s="13">
        <f t="shared" si="6"/>
        <v>0</v>
      </c>
      <c r="S11" s="13">
        <f t="shared" si="7"/>
        <v>0</v>
      </c>
      <c r="U11" s="23" t="s">
        <v>49</v>
      </c>
      <c r="V11" s="30">
        <v>200000000</v>
      </c>
    </row>
    <row r="12" spans="2:22" ht="14.25" customHeight="1">
      <c r="B12" s="26" t="s">
        <v>50</v>
      </c>
      <c r="C12" s="16">
        <v>47231</v>
      </c>
      <c r="D12" s="17">
        <f t="shared" si="8"/>
        <v>47231</v>
      </c>
      <c r="E12" s="17">
        <f>C12</f>
        <v>47231</v>
      </c>
      <c r="F12" s="18">
        <f t="shared" si="0"/>
        <v>2029</v>
      </c>
      <c r="G12" s="18">
        <f t="shared" si="1"/>
        <v>253</v>
      </c>
      <c r="H12" s="134" t="s">
        <v>51</v>
      </c>
      <c r="I12" s="137"/>
      <c r="J12" s="27"/>
      <c r="K12" s="21"/>
      <c r="L12" s="19" t="s">
        <v>26</v>
      </c>
      <c r="M12" s="19" t="s">
        <v>27</v>
      </c>
      <c r="N12" s="20">
        <f t="shared" si="3"/>
        <v>0</v>
      </c>
      <c r="O12" s="28" t="s">
        <v>52</v>
      </c>
      <c r="P12" s="13">
        <f t="shared" si="4"/>
        <v>0</v>
      </c>
      <c r="Q12" s="13">
        <f t="shared" si="5"/>
        <v>0</v>
      </c>
      <c r="R12" s="13">
        <f t="shared" si="6"/>
        <v>0</v>
      </c>
      <c r="S12" s="13">
        <f t="shared" si="7"/>
        <v>0</v>
      </c>
      <c r="U12" s="23" t="s">
        <v>53</v>
      </c>
      <c r="V12" s="24">
        <v>2</v>
      </c>
    </row>
    <row r="13" spans="2:22" ht="14.25" customHeight="1">
      <c r="B13" s="26" t="s">
        <v>54</v>
      </c>
      <c r="C13" s="16">
        <v>47596</v>
      </c>
      <c r="D13" s="17">
        <f t="shared" si="8"/>
        <v>47596</v>
      </c>
      <c r="E13" s="17">
        <f>C13</f>
        <v>47596</v>
      </c>
      <c r="F13" s="18">
        <f t="shared" si="0"/>
        <v>2030</v>
      </c>
      <c r="G13" s="18">
        <f t="shared" si="1"/>
        <v>253</v>
      </c>
      <c r="H13" s="134" t="s">
        <v>55</v>
      </c>
      <c r="I13" s="137"/>
      <c r="J13" s="27"/>
      <c r="K13" s="21"/>
      <c r="L13" s="19" t="s">
        <v>26</v>
      </c>
      <c r="M13" s="19" t="s">
        <v>27</v>
      </c>
      <c r="N13" s="20">
        <f t="shared" si="3"/>
        <v>0</v>
      </c>
      <c r="O13" s="28" t="s">
        <v>56</v>
      </c>
      <c r="P13" s="13">
        <f t="shared" si="4"/>
        <v>0</v>
      </c>
      <c r="Q13" s="13">
        <f t="shared" si="5"/>
        <v>0</v>
      </c>
      <c r="R13" s="13">
        <f t="shared" si="6"/>
        <v>0</v>
      </c>
      <c r="S13" s="13">
        <f t="shared" si="7"/>
        <v>0</v>
      </c>
      <c r="U13" s="23" t="s">
        <v>57</v>
      </c>
      <c r="V13" s="24">
        <v>28</v>
      </c>
    </row>
    <row r="14" spans="2:22" ht="14.25" customHeight="1">
      <c r="B14" s="128" t="s">
        <v>58</v>
      </c>
      <c r="C14" s="31">
        <f>E8+15</f>
        <v>46401</v>
      </c>
      <c r="D14" s="32">
        <f>C14+30</f>
        <v>46431</v>
      </c>
      <c r="E14" s="32">
        <f>D14</f>
        <v>46431</v>
      </c>
      <c r="F14" s="33">
        <f t="shared" si="0"/>
        <v>2027</v>
      </c>
      <c r="G14" s="33">
        <f t="shared" si="1"/>
        <v>322</v>
      </c>
      <c r="H14" s="34" t="s">
        <v>59</v>
      </c>
      <c r="I14" s="13">
        <f>J14*V5</f>
        <v>20590500</v>
      </c>
      <c r="J14" s="35">
        <f>1325*V14*1.5</f>
        <v>55650</v>
      </c>
      <c r="K14" s="36">
        <f>$V$19</f>
        <v>0.2</v>
      </c>
      <c r="L14" s="34" t="s">
        <v>60</v>
      </c>
      <c r="M14" s="34" t="s">
        <v>23</v>
      </c>
      <c r="N14" s="13">
        <f t="shared" si="3"/>
        <v>55650</v>
      </c>
      <c r="O14" s="37" t="s">
        <v>61</v>
      </c>
      <c r="P14" s="13">
        <f t="shared" si="4"/>
        <v>111300</v>
      </c>
      <c r="Q14" s="13">
        <f t="shared" si="5"/>
        <v>55650</v>
      </c>
      <c r="R14" s="13">
        <f t="shared" si="6"/>
        <v>111300</v>
      </c>
      <c r="S14" s="13">
        <f t="shared" si="7"/>
        <v>55650</v>
      </c>
      <c r="U14" s="23" t="s">
        <v>62</v>
      </c>
      <c r="V14" s="24">
        <v>28</v>
      </c>
    </row>
    <row r="15" spans="2:22" ht="14.25" customHeight="1">
      <c r="B15" s="128"/>
      <c r="C15" s="38">
        <f>C14</f>
        <v>46401</v>
      </c>
      <c r="D15" s="32">
        <f>D14</f>
        <v>46431</v>
      </c>
      <c r="E15" s="32">
        <f>E14</f>
        <v>46431</v>
      </c>
      <c r="F15" s="33">
        <f t="shared" si="0"/>
        <v>2027</v>
      </c>
      <c r="G15" s="33">
        <f t="shared" si="1"/>
        <v>322</v>
      </c>
      <c r="H15" s="34" t="s">
        <v>63</v>
      </c>
      <c r="I15" s="13">
        <f>38000000*0.2*6</f>
        <v>45600000</v>
      </c>
      <c r="J15" s="35">
        <f>I15/$V$5</f>
        <v>123243.24324324324</v>
      </c>
      <c r="K15" s="36">
        <f>$V$19</f>
        <v>0.2</v>
      </c>
      <c r="L15" s="34" t="s">
        <v>60</v>
      </c>
      <c r="M15" s="34" t="s">
        <v>23</v>
      </c>
      <c r="N15" s="13">
        <f t="shared" si="3"/>
        <v>123243.24324324324</v>
      </c>
      <c r="O15" s="37" t="s">
        <v>64</v>
      </c>
      <c r="P15" s="13">
        <f t="shared" si="4"/>
        <v>246486.48648648648</v>
      </c>
      <c r="Q15" s="13">
        <f t="shared" si="5"/>
        <v>123243.24324324324</v>
      </c>
      <c r="R15" s="13">
        <f t="shared" si="6"/>
        <v>246486.48648648648</v>
      </c>
      <c r="S15" s="13">
        <f t="shared" si="7"/>
        <v>123243.24324324324</v>
      </c>
      <c r="U15" s="23" t="s">
        <v>65</v>
      </c>
      <c r="V15" s="24">
        <v>4</v>
      </c>
    </row>
    <row r="16" spans="2:22" ht="14.25" customHeight="1">
      <c r="B16" s="128" t="s">
        <v>66</v>
      </c>
      <c r="C16" s="31">
        <f>D14</f>
        <v>46431</v>
      </c>
      <c r="D16" s="39">
        <f>C16+365+180</f>
        <v>46976</v>
      </c>
      <c r="E16" s="39">
        <f>D16</f>
        <v>46976</v>
      </c>
      <c r="F16" s="33">
        <f t="shared" si="0"/>
        <v>2028</v>
      </c>
      <c r="G16" s="33">
        <f t="shared" si="1"/>
        <v>143</v>
      </c>
      <c r="H16" s="34" t="s">
        <v>67</v>
      </c>
      <c r="I16" s="13">
        <f>72000000/280*V6*1.15</f>
        <v>76885714.285714269</v>
      </c>
      <c r="J16" s="35">
        <f>I16/$V$5</f>
        <v>207799.22779922775</v>
      </c>
      <c r="K16" s="36">
        <f>$V$19</f>
        <v>0.2</v>
      </c>
      <c r="L16" s="34" t="s">
        <v>68</v>
      </c>
      <c r="M16" s="34" t="s">
        <v>23</v>
      </c>
      <c r="N16" s="13">
        <f t="shared" si="3"/>
        <v>207799.22779922775</v>
      </c>
      <c r="O16" s="37"/>
      <c r="P16" s="13">
        <f t="shared" si="4"/>
        <v>415598.4555984555</v>
      </c>
      <c r="Q16" s="13">
        <f t="shared" si="5"/>
        <v>207799.22779922775</v>
      </c>
      <c r="R16" s="13">
        <f t="shared" si="6"/>
        <v>415598.4555984555</v>
      </c>
      <c r="S16" s="13">
        <f t="shared" si="7"/>
        <v>207799.22779922775</v>
      </c>
      <c r="U16" s="23" t="s">
        <v>69</v>
      </c>
      <c r="V16" s="24">
        <v>10</v>
      </c>
    </row>
    <row r="17" spans="2:27" ht="14.25" customHeight="1">
      <c r="B17" s="128"/>
      <c r="C17" s="31">
        <f>D16</f>
        <v>46976</v>
      </c>
      <c r="D17" s="39">
        <f>C17</f>
        <v>46976</v>
      </c>
      <c r="E17" s="39">
        <f>C17</f>
        <v>46976</v>
      </c>
      <c r="F17" s="33">
        <f t="shared" si="0"/>
        <v>2028</v>
      </c>
      <c r="G17" s="33">
        <f t="shared" si="1"/>
        <v>143</v>
      </c>
      <c r="H17" s="34" t="s">
        <v>70</v>
      </c>
      <c r="I17" s="13">
        <f>187636*V15</f>
        <v>750544</v>
      </c>
      <c r="J17" s="35">
        <f>I17/$V$5</f>
        <v>2028.4972972972973</v>
      </c>
      <c r="K17" s="36">
        <f>$V$19</f>
        <v>0.2</v>
      </c>
      <c r="L17" s="34" t="s">
        <v>68</v>
      </c>
      <c r="M17" s="34" t="s">
        <v>23</v>
      </c>
      <c r="N17" s="13">
        <f t="shared" si="3"/>
        <v>2028.4972972972973</v>
      </c>
      <c r="O17" s="37"/>
      <c r="P17" s="13">
        <f t="shared" si="4"/>
        <v>4056.9945945945947</v>
      </c>
      <c r="Q17" s="13">
        <f t="shared" si="5"/>
        <v>2028.4972972972973</v>
      </c>
      <c r="R17" s="13">
        <f t="shared" si="6"/>
        <v>4056.9945945945947</v>
      </c>
      <c r="S17" s="13">
        <f t="shared" si="7"/>
        <v>2028.4972972972973</v>
      </c>
      <c r="U17" s="23" t="s">
        <v>71</v>
      </c>
      <c r="V17" s="25">
        <v>0.06</v>
      </c>
    </row>
    <row r="18" spans="2:27" ht="14.25" customHeight="1">
      <c r="B18" s="128" t="s">
        <v>72</v>
      </c>
      <c r="C18" s="40">
        <f>E17+90+60</f>
        <v>47126</v>
      </c>
      <c r="D18" s="17">
        <f>C18</f>
        <v>47126</v>
      </c>
      <c r="E18" s="17">
        <f>C18</f>
        <v>47126</v>
      </c>
      <c r="F18" s="18">
        <f t="shared" si="0"/>
        <v>2029</v>
      </c>
      <c r="G18" s="18">
        <f t="shared" si="1"/>
        <v>358</v>
      </c>
      <c r="H18" s="19" t="s">
        <v>73</v>
      </c>
      <c r="I18" s="20">
        <f>(73071306*V6)-I8</f>
        <v>18098539560</v>
      </c>
      <c r="J18" s="27">
        <f>I18/$V$5</f>
        <v>48914971.783783786</v>
      </c>
      <c r="K18" s="133">
        <f>$V$18</f>
        <v>0.12</v>
      </c>
      <c r="L18" s="19" t="s">
        <v>74</v>
      </c>
      <c r="M18" s="19" t="s">
        <v>23</v>
      </c>
      <c r="N18" s="20">
        <f t="shared" si="3"/>
        <v>48914971.783783786</v>
      </c>
      <c r="O18" s="28" t="s">
        <v>75</v>
      </c>
      <c r="P18" s="13">
        <f t="shared" si="4"/>
        <v>51719256.376700364</v>
      </c>
      <c r="Q18" s="13">
        <f t="shared" si="5"/>
        <v>2804284.5929165781</v>
      </c>
      <c r="R18" s="13">
        <f t="shared" si="6"/>
        <v>54672196.955924474</v>
      </c>
      <c r="S18" s="13">
        <f t="shared" si="7"/>
        <v>5757225.1721406877</v>
      </c>
      <c r="U18" s="23" t="s">
        <v>76</v>
      </c>
      <c r="V18" s="25">
        <v>0.12</v>
      </c>
    </row>
    <row r="19" spans="2:27" ht="14.25" customHeight="1">
      <c r="B19" s="128"/>
      <c r="C19" s="40">
        <f>C18</f>
        <v>47126</v>
      </c>
      <c r="D19" s="17">
        <f>D18</f>
        <v>47126</v>
      </c>
      <c r="E19" s="17">
        <f>E18</f>
        <v>47126</v>
      </c>
      <c r="F19" s="18">
        <f t="shared" si="0"/>
        <v>2029</v>
      </c>
      <c r="G19" s="18">
        <f t="shared" si="1"/>
        <v>358</v>
      </c>
      <c r="H19" s="19" t="s">
        <v>77</v>
      </c>
      <c r="I19" s="20">
        <f>508345804</f>
        <v>508345804</v>
      </c>
      <c r="J19" s="27">
        <f>I19/$V$5</f>
        <v>1373907.5783783784</v>
      </c>
      <c r="K19" s="133">
        <f>$V$18</f>
        <v>0.12</v>
      </c>
      <c r="L19" s="19" t="s">
        <v>74</v>
      </c>
      <c r="M19" s="19" t="s">
        <v>23</v>
      </c>
      <c r="N19" s="20">
        <f t="shared" si="3"/>
        <v>1373907.5783783784</v>
      </c>
      <c r="O19" s="28" t="s">
        <v>78</v>
      </c>
      <c r="P19" s="13">
        <f t="shared" si="4"/>
        <v>1452673.398200748</v>
      </c>
      <c r="Q19" s="13">
        <f t="shared" si="5"/>
        <v>78765.819822369609</v>
      </c>
      <c r="R19" s="13">
        <f t="shared" si="6"/>
        <v>1535614.6182883375</v>
      </c>
      <c r="S19" s="13">
        <f t="shared" si="7"/>
        <v>161707.03990995907</v>
      </c>
      <c r="U19" s="23" t="s">
        <v>79</v>
      </c>
      <c r="V19" s="25">
        <v>0.2</v>
      </c>
    </row>
    <row r="20" spans="2:27" ht="14.25" customHeight="1">
      <c r="B20" s="26" t="s">
        <v>80</v>
      </c>
      <c r="C20" s="31">
        <v>46235</v>
      </c>
      <c r="D20" s="39">
        <v>46539</v>
      </c>
      <c r="E20" s="39">
        <v>46296</v>
      </c>
      <c r="F20" s="33">
        <f t="shared" si="0"/>
        <v>2026</v>
      </c>
      <c r="G20" s="33">
        <f t="shared" si="1"/>
        <v>92</v>
      </c>
      <c r="H20" s="34" t="s">
        <v>81</v>
      </c>
      <c r="I20" s="13">
        <f>25*(1200000+180000)+3000*V13*V5</f>
        <v>65580000</v>
      </c>
      <c r="J20" s="35">
        <f>I20/V5</f>
        <v>177243.24324324325</v>
      </c>
      <c r="K20" s="36">
        <f t="shared" ref="K20:K48" si="9">$V$19</f>
        <v>0.2</v>
      </c>
      <c r="L20" s="34" t="s">
        <v>68</v>
      </c>
      <c r="M20" s="34" t="s">
        <v>23</v>
      </c>
      <c r="N20" s="13">
        <f t="shared" si="3"/>
        <v>177243.24324324325</v>
      </c>
      <c r="O20" s="37" t="s">
        <v>82</v>
      </c>
      <c r="P20" s="13">
        <f t="shared" si="4"/>
        <v>354486.48648648651</v>
      </c>
      <c r="Q20" s="13">
        <f t="shared" si="5"/>
        <v>177243.24324324325</v>
      </c>
      <c r="R20" s="13">
        <f t="shared" si="6"/>
        <v>354486.48648648651</v>
      </c>
      <c r="S20" s="13">
        <f t="shared" si="7"/>
        <v>177243.24324324325</v>
      </c>
      <c r="U20" s="23" t="s">
        <v>83</v>
      </c>
      <c r="V20" s="41">
        <v>2</v>
      </c>
    </row>
    <row r="21" spans="2:27" ht="14.25" customHeight="1">
      <c r="B21" s="128" t="s">
        <v>84</v>
      </c>
      <c r="C21" s="31">
        <v>46447</v>
      </c>
      <c r="D21" s="39">
        <f>C21+365</f>
        <v>46812</v>
      </c>
      <c r="E21" s="39">
        <f>C21</f>
        <v>46447</v>
      </c>
      <c r="F21" s="33">
        <f t="shared" si="0"/>
        <v>2027</v>
      </c>
      <c r="G21" s="33">
        <f t="shared" si="1"/>
        <v>306</v>
      </c>
      <c r="H21" s="34" t="s">
        <v>85</v>
      </c>
      <c r="I21" s="13">
        <f>J21*V5</f>
        <v>147260000</v>
      </c>
      <c r="J21" s="35">
        <f>199000*2</f>
        <v>398000</v>
      </c>
      <c r="K21" s="36">
        <f t="shared" si="9"/>
        <v>0.2</v>
      </c>
      <c r="L21" s="34" t="s">
        <v>68</v>
      </c>
      <c r="M21" s="34" t="s">
        <v>23</v>
      </c>
      <c r="N21" s="13">
        <f t="shared" si="3"/>
        <v>398000</v>
      </c>
      <c r="O21" s="37" t="s">
        <v>86</v>
      </c>
      <c r="P21" s="13">
        <f t="shared" si="4"/>
        <v>796000</v>
      </c>
      <c r="Q21" s="13">
        <f t="shared" si="5"/>
        <v>398000</v>
      </c>
      <c r="R21" s="13">
        <f t="shared" si="6"/>
        <v>796000</v>
      </c>
      <c r="S21" s="13">
        <f t="shared" si="7"/>
        <v>398000</v>
      </c>
      <c r="U21" s="23" t="s">
        <v>87</v>
      </c>
      <c r="V21" s="25">
        <v>0.7</v>
      </c>
    </row>
    <row r="22" spans="2:27" ht="14.25" customHeight="1">
      <c r="B22" s="128"/>
      <c r="C22" s="31">
        <v>46388</v>
      </c>
      <c r="D22" s="39">
        <f>C22+90</f>
        <v>46478</v>
      </c>
      <c r="E22" s="39">
        <f>C22</f>
        <v>46388</v>
      </c>
      <c r="F22" s="33">
        <f t="shared" si="0"/>
        <v>2027</v>
      </c>
      <c r="G22" s="33">
        <f t="shared" si="1"/>
        <v>365</v>
      </c>
      <c r="H22" s="34" t="s">
        <v>67</v>
      </c>
      <c r="I22" s="13">
        <f>1500000*2*1.2</f>
        <v>3600000</v>
      </c>
      <c r="J22" s="35">
        <f>I22/V5</f>
        <v>9729.72972972973</v>
      </c>
      <c r="K22" s="36">
        <f t="shared" si="9"/>
        <v>0.2</v>
      </c>
      <c r="L22" s="34" t="s">
        <v>68</v>
      </c>
      <c r="M22" s="34" t="s">
        <v>23</v>
      </c>
      <c r="N22" s="13">
        <f t="shared" si="3"/>
        <v>9729.72972972973</v>
      </c>
      <c r="O22" s="37" t="s">
        <v>86</v>
      </c>
      <c r="P22" s="13">
        <f t="shared" si="4"/>
        <v>19459.45945945946</v>
      </c>
      <c r="Q22" s="13">
        <f t="shared" si="5"/>
        <v>9729.72972972973</v>
      </c>
      <c r="R22" s="13">
        <f t="shared" si="6"/>
        <v>19459.45945945946</v>
      </c>
      <c r="S22" s="13">
        <f t="shared" si="7"/>
        <v>9729.72972972973</v>
      </c>
      <c r="U22" s="23" t="s">
        <v>88</v>
      </c>
      <c r="V22" s="30">
        <v>2500</v>
      </c>
    </row>
    <row r="23" spans="2:27" ht="14.25" customHeight="1">
      <c r="B23" s="128"/>
      <c r="C23" s="31">
        <f>D21</f>
        <v>46812</v>
      </c>
      <c r="D23" s="39">
        <f>C23+120</f>
        <v>46932</v>
      </c>
      <c r="E23" s="39">
        <f>D23</f>
        <v>46932</v>
      </c>
      <c r="F23" s="33">
        <f t="shared" si="0"/>
        <v>2028</v>
      </c>
      <c r="G23" s="33">
        <f t="shared" si="1"/>
        <v>187</v>
      </c>
      <c r="H23" s="34" t="s">
        <v>89</v>
      </c>
      <c r="I23" s="13">
        <f>J23*V5</f>
        <v>1665000</v>
      </c>
      <c r="J23" s="35">
        <v>4500</v>
      </c>
      <c r="K23" s="36">
        <f t="shared" si="9"/>
        <v>0.2</v>
      </c>
      <c r="L23" s="34" t="s">
        <v>68</v>
      </c>
      <c r="M23" s="34" t="s">
        <v>23</v>
      </c>
      <c r="N23" s="13">
        <f t="shared" si="3"/>
        <v>4500</v>
      </c>
      <c r="O23" s="37"/>
      <c r="P23" s="13">
        <f t="shared" si="4"/>
        <v>9000</v>
      </c>
      <c r="Q23" s="13">
        <f t="shared" si="5"/>
        <v>4500</v>
      </c>
      <c r="R23" s="13">
        <f t="shared" si="6"/>
        <v>9000</v>
      </c>
      <c r="S23" s="13">
        <f t="shared" si="7"/>
        <v>4500</v>
      </c>
      <c r="U23" s="23" t="s">
        <v>90</v>
      </c>
      <c r="V23" s="42">
        <f>DATE(2026,10,26)</f>
        <v>46321</v>
      </c>
    </row>
    <row r="24" spans="2:27" ht="14.25" customHeight="1">
      <c r="B24" s="128" t="s">
        <v>91</v>
      </c>
      <c r="C24" s="31">
        <f>E7+180</f>
        <v>46566</v>
      </c>
      <c r="D24" s="39">
        <f>C24+180</f>
        <v>46746</v>
      </c>
      <c r="E24" s="39">
        <f>D24</f>
        <v>46746</v>
      </c>
      <c r="F24" s="33">
        <f t="shared" si="0"/>
        <v>2027</v>
      </c>
      <c r="G24" s="33">
        <f t="shared" si="1"/>
        <v>7</v>
      </c>
      <c r="H24" s="34" t="s">
        <v>70</v>
      </c>
      <c r="I24" s="13">
        <f>30000*(V14+V15)</f>
        <v>960000</v>
      </c>
      <c r="J24" s="35">
        <f t="shared" ref="J24:J44" si="10">I24/$V$5</f>
        <v>2594.5945945945946</v>
      </c>
      <c r="K24" s="36">
        <f t="shared" si="9"/>
        <v>0.2</v>
      </c>
      <c r="L24" s="34" t="s">
        <v>68</v>
      </c>
      <c r="M24" s="34" t="s">
        <v>23</v>
      </c>
      <c r="N24" s="13">
        <f t="shared" si="3"/>
        <v>2594.5945945945946</v>
      </c>
      <c r="O24" s="37"/>
      <c r="P24" s="13">
        <f t="shared" si="4"/>
        <v>5189.1891891891892</v>
      </c>
      <c r="Q24" s="13">
        <f t="shared" si="5"/>
        <v>2594.5945945945946</v>
      </c>
      <c r="R24" s="13">
        <f t="shared" si="6"/>
        <v>5189.1891891891892</v>
      </c>
      <c r="S24" s="13">
        <f t="shared" si="7"/>
        <v>2594.5945945945946</v>
      </c>
      <c r="U24" s="23" t="s">
        <v>92</v>
      </c>
      <c r="V24" s="42">
        <f>DATE(2029,6,30)</f>
        <v>47299</v>
      </c>
    </row>
    <row r="25" spans="2:27" ht="14.25" customHeight="1">
      <c r="B25" s="128"/>
      <c r="C25" s="31">
        <f>C24</f>
        <v>46566</v>
      </c>
      <c r="D25" s="39">
        <f>D24</f>
        <v>46746</v>
      </c>
      <c r="E25" s="39">
        <f>C25+30</f>
        <v>46596</v>
      </c>
      <c r="F25" s="33">
        <f t="shared" si="0"/>
        <v>2027</v>
      </c>
      <c r="G25" s="33">
        <f t="shared" si="1"/>
        <v>157</v>
      </c>
      <c r="H25" s="34" t="s">
        <v>93</v>
      </c>
      <c r="I25" s="13">
        <f>250000*(V14+V15)</f>
        <v>8000000</v>
      </c>
      <c r="J25" s="35">
        <f t="shared" si="10"/>
        <v>21621.62162162162</v>
      </c>
      <c r="K25" s="36">
        <f t="shared" si="9"/>
        <v>0.2</v>
      </c>
      <c r="L25" s="34" t="s">
        <v>68</v>
      </c>
      <c r="M25" s="34" t="s">
        <v>23</v>
      </c>
      <c r="N25" s="13">
        <f t="shared" si="3"/>
        <v>21621.62162162162</v>
      </c>
      <c r="O25" s="37"/>
      <c r="P25" s="13">
        <f t="shared" si="4"/>
        <v>43243.24324324324</v>
      </c>
      <c r="Q25" s="13">
        <f t="shared" si="5"/>
        <v>21621.62162162162</v>
      </c>
      <c r="R25" s="13">
        <f t="shared" si="6"/>
        <v>43243.24324324324</v>
      </c>
      <c r="S25" s="13">
        <f t="shared" si="7"/>
        <v>21621.62162162162</v>
      </c>
      <c r="U25" s="23" t="s">
        <v>94</v>
      </c>
      <c r="V25" s="42">
        <f>DATE(2029,12,31)</f>
        <v>47483</v>
      </c>
    </row>
    <row r="26" spans="2:27" ht="14.25" customHeight="1">
      <c r="B26" s="1" t="s">
        <v>95</v>
      </c>
      <c r="C26" s="31">
        <f>E24</f>
        <v>46746</v>
      </c>
      <c r="D26" s="39">
        <f>C26+180</f>
        <v>46926</v>
      </c>
      <c r="E26" s="39">
        <f>C26+60</f>
        <v>46806</v>
      </c>
      <c r="F26" s="33">
        <f t="shared" si="0"/>
        <v>2028</v>
      </c>
      <c r="G26" s="33">
        <f t="shared" si="1"/>
        <v>313</v>
      </c>
      <c r="H26" s="34" t="s">
        <v>67</v>
      </c>
      <c r="I26" s="13">
        <f>5000000*V16</f>
        <v>50000000</v>
      </c>
      <c r="J26" s="35">
        <f t="shared" si="10"/>
        <v>135135.13513513515</v>
      </c>
      <c r="K26" s="36">
        <f t="shared" si="9"/>
        <v>0.2</v>
      </c>
      <c r="L26" s="34" t="s">
        <v>68</v>
      </c>
      <c r="M26" s="34" t="s">
        <v>23</v>
      </c>
      <c r="N26" s="13">
        <f t="shared" si="3"/>
        <v>135135.13513513515</v>
      </c>
      <c r="O26" s="37"/>
      <c r="P26" s="13">
        <f t="shared" si="4"/>
        <v>270270.2702702703</v>
      </c>
      <c r="Q26" s="13">
        <f t="shared" si="5"/>
        <v>135135.13513513515</v>
      </c>
      <c r="R26" s="13">
        <f t="shared" si="6"/>
        <v>270270.2702702703</v>
      </c>
      <c r="S26" s="13">
        <f t="shared" si="7"/>
        <v>135135.13513513515</v>
      </c>
      <c r="U26" s="23" t="s">
        <v>96</v>
      </c>
      <c r="V26" s="30">
        <v>150000</v>
      </c>
    </row>
    <row r="27" spans="2:27" ht="14.25" customHeight="1" thickBot="1">
      <c r="B27" s="1" t="s">
        <v>97</v>
      </c>
      <c r="C27" s="31">
        <f>C26</f>
        <v>46746</v>
      </c>
      <c r="D27" s="39">
        <f>D26</f>
        <v>46926</v>
      </c>
      <c r="E27" s="39">
        <f>E26</f>
        <v>46806</v>
      </c>
      <c r="F27" s="33">
        <f t="shared" si="0"/>
        <v>2028</v>
      </c>
      <c r="G27" s="33">
        <f t="shared" si="1"/>
        <v>313</v>
      </c>
      <c r="H27" s="34" t="s">
        <v>98</v>
      </c>
      <c r="I27" s="13">
        <f>3500000*V16</f>
        <v>35000000</v>
      </c>
      <c r="J27" s="35">
        <f t="shared" si="10"/>
        <v>94594.5945945946</v>
      </c>
      <c r="K27" s="36">
        <f t="shared" si="9"/>
        <v>0.2</v>
      </c>
      <c r="L27" s="34" t="s">
        <v>68</v>
      </c>
      <c r="M27" s="34" t="s">
        <v>23</v>
      </c>
      <c r="N27" s="13">
        <f t="shared" si="3"/>
        <v>94594.5945945946</v>
      </c>
      <c r="O27" s="37"/>
      <c r="P27" s="13">
        <f t="shared" si="4"/>
        <v>189189.1891891892</v>
      </c>
      <c r="Q27" s="13">
        <f t="shared" si="5"/>
        <v>94594.5945945946</v>
      </c>
      <c r="R27" s="13">
        <f t="shared" si="6"/>
        <v>189189.1891891892</v>
      </c>
      <c r="S27" s="13">
        <f t="shared" si="7"/>
        <v>94594.5945945946</v>
      </c>
      <c r="U27" s="43" t="s">
        <v>145</v>
      </c>
      <c r="V27" s="44">
        <v>500000</v>
      </c>
    </row>
    <row r="28" spans="2:27" ht="14.25" customHeight="1">
      <c r="B28" s="128" t="s">
        <v>99</v>
      </c>
      <c r="C28" s="31">
        <f>E8</f>
        <v>46386</v>
      </c>
      <c r="D28" s="39">
        <f>C28+365</f>
        <v>46751</v>
      </c>
      <c r="E28" s="39">
        <f>D28</f>
        <v>46751</v>
      </c>
      <c r="F28" s="33">
        <f t="shared" si="0"/>
        <v>2027</v>
      </c>
      <c r="G28" s="33">
        <f t="shared" si="1"/>
        <v>2</v>
      </c>
      <c r="H28" s="34" t="s">
        <v>100</v>
      </c>
      <c r="I28" s="13">
        <f>12360000*1.2</f>
        <v>14832000</v>
      </c>
      <c r="J28" s="35">
        <f t="shared" si="10"/>
        <v>40086.486486486487</v>
      </c>
      <c r="K28" s="36">
        <f t="shared" si="9"/>
        <v>0.2</v>
      </c>
      <c r="L28" s="34" t="s">
        <v>68</v>
      </c>
      <c r="M28" s="34" t="s">
        <v>23</v>
      </c>
      <c r="N28" s="13">
        <f t="shared" si="3"/>
        <v>40086.486486486487</v>
      </c>
      <c r="O28" s="37" t="s">
        <v>82</v>
      </c>
      <c r="P28" s="13">
        <f t="shared" si="4"/>
        <v>80172.972972972973</v>
      </c>
      <c r="Q28" s="13">
        <f t="shared" si="5"/>
        <v>40086.486486486487</v>
      </c>
      <c r="R28" s="13">
        <f t="shared" si="6"/>
        <v>80172.972972972973</v>
      </c>
      <c r="S28" s="13">
        <f t="shared" si="7"/>
        <v>40086.486486486487</v>
      </c>
    </row>
    <row r="29" spans="2:27" ht="14.25" customHeight="1" thickBot="1">
      <c r="B29" s="128"/>
      <c r="C29" s="31">
        <f>E28</f>
        <v>46751</v>
      </c>
      <c r="D29" s="39">
        <f>C29+120</f>
        <v>46871</v>
      </c>
      <c r="E29" s="39">
        <f>D29</f>
        <v>46871</v>
      </c>
      <c r="F29" s="33">
        <f t="shared" si="0"/>
        <v>2028</v>
      </c>
      <c r="G29" s="33">
        <f t="shared" si="1"/>
        <v>248</v>
      </c>
      <c r="H29" s="34" t="s">
        <v>101</v>
      </c>
      <c r="I29" s="13">
        <f>10000*V15</f>
        <v>40000</v>
      </c>
      <c r="J29" s="35">
        <f t="shared" si="10"/>
        <v>108.10810810810811</v>
      </c>
      <c r="K29" s="36">
        <f t="shared" si="9"/>
        <v>0.2</v>
      </c>
      <c r="L29" s="34" t="s">
        <v>68</v>
      </c>
      <c r="M29" s="34" t="s">
        <v>23</v>
      </c>
      <c r="N29" s="13">
        <f t="shared" si="3"/>
        <v>108.10810810810811</v>
      </c>
      <c r="O29" s="37"/>
      <c r="P29" s="13">
        <f t="shared" si="4"/>
        <v>216.21621621621622</v>
      </c>
      <c r="Q29" s="13">
        <f t="shared" si="5"/>
        <v>108.10810810810811</v>
      </c>
      <c r="R29" s="13">
        <f t="shared" si="6"/>
        <v>216.21621621621622</v>
      </c>
      <c r="S29" s="13">
        <f t="shared" si="7"/>
        <v>108.10810810810811</v>
      </c>
    </row>
    <row r="30" spans="2:27" ht="14.25" customHeight="1" thickBot="1">
      <c r="B30" s="128"/>
      <c r="C30" s="31">
        <f>E28</f>
        <v>46751</v>
      </c>
      <c r="D30" s="39">
        <f>C30+90</f>
        <v>46841</v>
      </c>
      <c r="E30" s="39">
        <f>D30</f>
        <v>46841</v>
      </c>
      <c r="F30" s="33">
        <f t="shared" si="0"/>
        <v>2028</v>
      </c>
      <c r="G30" s="33">
        <f t="shared" si="1"/>
        <v>278</v>
      </c>
      <c r="H30" s="34" t="s">
        <v>102</v>
      </c>
      <c r="I30" s="13">
        <f>(7200000+10180000+4360000)*1.5</f>
        <v>32610000</v>
      </c>
      <c r="J30" s="35">
        <f t="shared" si="10"/>
        <v>88135.135135135133</v>
      </c>
      <c r="K30" s="36">
        <f t="shared" si="9"/>
        <v>0.2</v>
      </c>
      <c r="L30" s="34" t="s">
        <v>68</v>
      </c>
      <c r="M30" s="34" t="s">
        <v>23</v>
      </c>
      <c r="N30" s="13">
        <f t="shared" si="3"/>
        <v>88135.135135135133</v>
      </c>
      <c r="O30" s="37"/>
      <c r="P30" s="13">
        <f t="shared" si="4"/>
        <v>176270.27027027027</v>
      </c>
      <c r="Q30" s="13">
        <f t="shared" si="5"/>
        <v>88135.135135135133</v>
      </c>
      <c r="R30" s="13">
        <f t="shared" si="6"/>
        <v>176270.27027027027</v>
      </c>
      <c r="S30" s="13">
        <f t="shared" si="7"/>
        <v>88135.135135135133</v>
      </c>
      <c r="U30" s="117" t="s">
        <v>103</v>
      </c>
      <c r="V30" s="118"/>
      <c r="W30" s="118"/>
      <c r="X30" s="118"/>
      <c r="Y30" s="119"/>
      <c r="Z30" s="85"/>
      <c r="AA30" s="85"/>
    </row>
    <row r="31" spans="2:27" ht="14.25" customHeight="1">
      <c r="B31" s="128" t="s">
        <v>104</v>
      </c>
      <c r="C31" s="31">
        <f>E8</f>
        <v>46386</v>
      </c>
      <c r="D31" s="39">
        <f>C31+210</f>
        <v>46596</v>
      </c>
      <c r="E31" s="39">
        <f>D31</f>
        <v>46596</v>
      </c>
      <c r="F31" s="33">
        <f t="shared" si="0"/>
        <v>2027</v>
      </c>
      <c r="G31" s="33">
        <f t="shared" si="1"/>
        <v>157</v>
      </c>
      <c r="H31" s="34" t="s">
        <v>105</v>
      </c>
      <c r="I31" s="13">
        <f>250000*(V14+V15)</f>
        <v>8000000</v>
      </c>
      <c r="J31" s="35">
        <f t="shared" si="10"/>
        <v>21621.62162162162</v>
      </c>
      <c r="K31" s="36">
        <f t="shared" si="9"/>
        <v>0.2</v>
      </c>
      <c r="L31" s="34" t="s">
        <v>68</v>
      </c>
      <c r="M31" s="34" t="s">
        <v>23</v>
      </c>
      <c r="N31" s="13">
        <f t="shared" si="3"/>
        <v>21621.62162162162</v>
      </c>
      <c r="O31" s="37"/>
      <c r="P31" s="13">
        <f t="shared" si="4"/>
        <v>43243.24324324324</v>
      </c>
      <c r="Q31" s="13">
        <f t="shared" si="5"/>
        <v>21621.62162162162</v>
      </c>
      <c r="R31" s="13">
        <f t="shared" si="6"/>
        <v>43243.24324324324</v>
      </c>
      <c r="S31" s="13">
        <f t="shared" si="7"/>
        <v>21621.62162162162</v>
      </c>
      <c r="U31" s="87"/>
      <c r="V31" s="126" t="s">
        <v>1</v>
      </c>
      <c r="W31" s="115"/>
      <c r="X31" s="115" t="s">
        <v>2</v>
      </c>
      <c r="Y31" s="116"/>
      <c r="Z31" s="85"/>
      <c r="AA31" s="85"/>
    </row>
    <row r="32" spans="2:27" ht="14.25" customHeight="1" thickBot="1">
      <c r="B32" s="128"/>
      <c r="C32" s="31">
        <f>C31</f>
        <v>46386</v>
      </c>
      <c r="D32" s="39">
        <f>C32+210</f>
        <v>46596</v>
      </c>
      <c r="E32" s="39">
        <f>C32+180</f>
        <v>46566</v>
      </c>
      <c r="F32" s="33">
        <f t="shared" si="0"/>
        <v>2027</v>
      </c>
      <c r="G32" s="33">
        <f t="shared" si="1"/>
        <v>187</v>
      </c>
      <c r="H32" s="34" t="s">
        <v>106</v>
      </c>
      <c r="I32" s="13">
        <f>250000*(V14+V15)</f>
        <v>8000000</v>
      </c>
      <c r="J32" s="35">
        <f t="shared" si="10"/>
        <v>21621.62162162162</v>
      </c>
      <c r="K32" s="36">
        <f t="shared" si="9"/>
        <v>0.2</v>
      </c>
      <c r="L32" s="34" t="s">
        <v>68</v>
      </c>
      <c r="M32" s="34" t="s">
        <v>23</v>
      </c>
      <c r="N32" s="13">
        <f t="shared" si="3"/>
        <v>21621.62162162162</v>
      </c>
      <c r="O32" s="37"/>
      <c r="P32" s="13">
        <f t="shared" si="4"/>
        <v>43243.24324324324</v>
      </c>
      <c r="Q32" s="13">
        <f t="shared" si="5"/>
        <v>21621.62162162162</v>
      </c>
      <c r="R32" s="13">
        <f t="shared" si="6"/>
        <v>43243.24324324324</v>
      </c>
      <c r="S32" s="13">
        <f t="shared" si="7"/>
        <v>21621.62162162162</v>
      </c>
      <c r="U32" s="88"/>
      <c r="V32" s="113" t="s">
        <v>107</v>
      </c>
      <c r="W32" s="75" t="s">
        <v>108</v>
      </c>
      <c r="X32" s="75" t="s">
        <v>107</v>
      </c>
      <c r="Y32" s="76" t="s">
        <v>108</v>
      </c>
      <c r="AA32" s="86"/>
    </row>
    <row r="33" spans="2:27" ht="14.25" customHeight="1">
      <c r="B33" s="128"/>
      <c r="C33" s="31">
        <f>C32</f>
        <v>46386</v>
      </c>
      <c r="D33" s="39">
        <f>C33+210</f>
        <v>46596</v>
      </c>
      <c r="E33" s="39">
        <f>C33+180</f>
        <v>46566</v>
      </c>
      <c r="F33" s="33">
        <f t="shared" si="0"/>
        <v>2027</v>
      </c>
      <c r="G33" s="33">
        <f t="shared" si="1"/>
        <v>187</v>
      </c>
      <c r="H33" s="34" t="s">
        <v>109</v>
      </c>
      <c r="I33" s="34">
        <f>250000*(V14+V15)</f>
        <v>8000000</v>
      </c>
      <c r="J33" s="35">
        <f t="shared" si="10"/>
        <v>21621.62162162162</v>
      </c>
      <c r="K33" s="36">
        <f t="shared" si="9"/>
        <v>0.2</v>
      </c>
      <c r="L33" s="34" t="s">
        <v>68</v>
      </c>
      <c r="M33" s="34" t="s">
        <v>23</v>
      </c>
      <c r="N33" s="13">
        <f t="shared" si="3"/>
        <v>21621.62162162162</v>
      </c>
      <c r="O33" s="37"/>
      <c r="P33" s="13">
        <f t="shared" si="4"/>
        <v>43243.24324324324</v>
      </c>
      <c r="Q33" s="13">
        <f t="shared" si="5"/>
        <v>21621.62162162162</v>
      </c>
      <c r="R33" s="13">
        <f t="shared" si="6"/>
        <v>43243.24324324324</v>
      </c>
      <c r="S33" s="13">
        <f t="shared" si="7"/>
        <v>21621.62162162162</v>
      </c>
      <c r="U33" s="89" t="s">
        <v>146</v>
      </c>
      <c r="V33" s="110">
        <f>V49+V50+V51+V52+V53</f>
        <v>74385880.713513508</v>
      </c>
      <c r="W33" s="111">
        <f t="shared" ref="W33:W39" si="11">V33/$V$6</f>
        <v>286099.54120582121</v>
      </c>
      <c r="X33" s="112">
        <f>V49+V50+V51+V52+V53</f>
        <v>74385880.713513508</v>
      </c>
      <c r="Y33" s="74">
        <f t="shared" ref="Y33:Y39" si="12">X33/$V$6</f>
        <v>286099.54120582121</v>
      </c>
      <c r="AA33" s="84"/>
    </row>
    <row r="34" spans="2:27" ht="14.25" customHeight="1">
      <c r="B34" s="128" t="s">
        <v>110</v>
      </c>
      <c r="C34" s="45">
        <f>D35</f>
        <v>46780</v>
      </c>
      <c r="D34" s="39">
        <f>C34</f>
        <v>46780</v>
      </c>
      <c r="E34" s="39">
        <f>C34</f>
        <v>46780</v>
      </c>
      <c r="F34" s="33">
        <f t="shared" si="0"/>
        <v>2028</v>
      </c>
      <c r="G34" s="33">
        <f t="shared" si="1"/>
        <v>339</v>
      </c>
      <c r="H34" s="34" t="s">
        <v>70</v>
      </c>
      <c r="I34" s="13">
        <f>1147500*V15</f>
        <v>4590000</v>
      </c>
      <c r="J34" s="35">
        <f t="shared" si="10"/>
        <v>12405.405405405405</v>
      </c>
      <c r="K34" s="36">
        <f t="shared" si="9"/>
        <v>0.2</v>
      </c>
      <c r="L34" s="34" t="s">
        <v>68</v>
      </c>
      <c r="M34" s="34" t="s">
        <v>23</v>
      </c>
      <c r="N34" s="13">
        <f t="shared" si="3"/>
        <v>12405.405405405405</v>
      </c>
      <c r="O34" s="37"/>
      <c r="P34" s="13">
        <f t="shared" si="4"/>
        <v>24810.81081081081</v>
      </c>
      <c r="Q34" s="13">
        <f t="shared" si="5"/>
        <v>12405.405405405405</v>
      </c>
      <c r="R34" s="13">
        <f t="shared" si="6"/>
        <v>24810.81081081081</v>
      </c>
      <c r="S34" s="13">
        <f t="shared" si="7"/>
        <v>12405.405405405405</v>
      </c>
      <c r="U34" s="90" t="s">
        <v>147</v>
      </c>
      <c r="V34" s="102">
        <f>$V$26*$V$6</f>
        <v>39000000</v>
      </c>
      <c r="W34" s="52">
        <f t="shared" si="11"/>
        <v>150000</v>
      </c>
      <c r="X34" s="93">
        <f>$V$26*$V$6</f>
        <v>39000000</v>
      </c>
      <c r="Y34" s="46">
        <f t="shared" si="12"/>
        <v>150000</v>
      </c>
      <c r="AA34" s="84"/>
    </row>
    <row r="35" spans="2:27" ht="14.25" customHeight="1">
      <c r="B35" s="128"/>
      <c r="C35" s="45">
        <v>46600</v>
      </c>
      <c r="D35" s="39">
        <f>C35+180</f>
        <v>46780</v>
      </c>
      <c r="E35" s="39">
        <f>C34</f>
        <v>46780</v>
      </c>
      <c r="F35" s="33">
        <f t="shared" si="0"/>
        <v>2028</v>
      </c>
      <c r="G35" s="33">
        <f t="shared" si="1"/>
        <v>339</v>
      </c>
      <c r="H35" s="34" t="s">
        <v>112</v>
      </c>
      <c r="I35" s="13">
        <f>30000000*V15*1.15</f>
        <v>138000000</v>
      </c>
      <c r="J35" s="35">
        <f t="shared" si="10"/>
        <v>372972.97297297296</v>
      </c>
      <c r="K35" s="36">
        <f t="shared" si="9"/>
        <v>0.2</v>
      </c>
      <c r="L35" s="34" t="s">
        <v>68</v>
      </c>
      <c r="M35" s="34" t="s">
        <v>23</v>
      </c>
      <c r="N35" s="13">
        <f t="shared" si="3"/>
        <v>372972.97297297296</v>
      </c>
      <c r="O35" s="37"/>
      <c r="P35" s="13">
        <f t="shared" si="4"/>
        <v>745945.94594594592</v>
      </c>
      <c r="Q35" s="13">
        <f t="shared" si="5"/>
        <v>372972.97297297296</v>
      </c>
      <c r="R35" s="13">
        <f t="shared" si="6"/>
        <v>745945.94594594592</v>
      </c>
      <c r="S35" s="13">
        <f t="shared" si="7"/>
        <v>372972.97297297296</v>
      </c>
      <c r="U35" s="87" t="s">
        <v>111</v>
      </c>
      <c r="V35" s="103">
        <f>$V$27</f>
        <v>500000</v>
      </c>
      <c r="W35" s="52">
        <f t="shared" si="11"/>
        <v>1923.0769230769231</v>
      </c>
      <c r="X35" s="94">
        <f>V35</f>
        <v>500000</v>
      </c>
      <c r="Y35" s="46">
        <f t="shared" si="12"/>
        <v>1923.0769230769231</v>
      </c>
      <c r="AA35" s="84"/>
    </row>
    <row r="36" spans="2:27" ht="14.25" customHeight="1">
      <c r="B36" s="128" t="s">
        <v>114</v>
      </c>
      <c r="C36" s="45">
        <f>E37</f>
        <v>46780</v>
      </c>
      <c r="D36" s="39">
        <f>C36</f>
        <v>46780</v>
      </c>
      <c r="E36" s="39">
        <f>C36</f>
        <v>46780</v>
      </c>
      <c r="F36" s="33">
        <f t="shared" si="0"/>
        <v>2028</v>
      </c>
      <c r="G36" s="33">
        <f t="shared" si="1"/>
        <v>339</v>
      </c>
      <c r="H36" s="34" t="s">
        <v>70</v>
      </c>
      <c r="I36" s="13">
        <f>150000*300</f>
        <v>45000000</v>
      </c>
      <c r="J36" s="35">
        <f t="shared" si="10"/>
        <v>121621.62162162163</v>
      </c>
      <c r="K36" s="36">
        <f t="shared" si="9"/>
        <v>0.2</v>
      </c>
      <c r="L36" s="34" t="s">
        <v>68</v>
      </c>
      <c r="M36" s="34" t="s">
        <v>23</v>
      </c>
      <c r="N36" s="13">
        <f t="shared" si="3"/>
        <v>121621.62162162163</v>
      </c>
      <c r="O36" s="37"/>
      <c r="P36" s="13">
        <f t="shared" si="4"/>
        <v>243243.24324324325</v>
      </c>
      <c r="Q36" s="13">
        <f t="shared" si="5"/>
        <v>121621.62162162163</v>
      </c>
      <c r="R36" s="13">
        <f t="shared" si="6"/>
        <v>243243.24324324325</v>
      </c>
      <c r="S36" s="13">
        <f t="shared" si="7"/>
        <v>121621.62162162163</v>
      </c>
      <c r="U36" s="87" t="s">
        <v>113</v>
      </c>
      <c r="V36" s="104">
        <f>Q49</f>
        <v>10524665.987457158</v>
      </c>
      <c r="W36" s="52">
        <f t="shared" si="11"/>
        <v>40479.484567142914</v>
      </c>
      <c r="X36" s="95">
        <f>S49</f>
        <v>14469521.803101188</v>
      </c>
      <c r="Y36" s="46">
        <f t="shared" si="12"/>
        <v>55652.006935004567</v>
      </c>
      <c r="AA36" s="84"/>
    </row>
    <row r="37" spans="2:27" ht="14.25" customHeight="1">
      <c r="B37" s="128"/>
      <c r="C37" s="45">
        <v>46600</v>
      </c>
      <c r="D37" s="39">
        <f>C37+180</f>
        <v>46780</v>
      </c>
      <c r="E37" s="39">
        <f>D37</f>
        <v>46780</v>
      </c>
      <c r="F37" s="33">
        <f t="shared" si="0"/>
        <v>2028</v>
      </c>
      <c r="G37" s="33">
        <f t="shared" si="1"/>
        <v>339</v>
      </c>
      <c r="H37" s="34" t="s">
        <v>112</v>
      </c>
      <c r="I37" s="13">
        <f>(I40+I33+38000000)/280*V6*1.15</f>
        <v>111838966.83673468</v>
      </c>
      <c r="J37" s="35">
        <f t="shared" si="10"/>
        <v>302267.47793712077</v>
      </c>
      <c r="K37" s="36">
        <f t="shared" si="9"/>
        <v>0.2</v>
      </c>
      <c r="L37" s="34" t="s">
        <v>68</v>
      </c>
      <c r="M37" s="34" t="s">
        <v>23</v>
      </c>
      <c r="N37" s="13">
        <f t="shared" si="3"/>
        <v>302267.47793712077</v>
      </c>
      <c r="O37" s="37"/>
      <c r="P37" s="13">
        <f t="shared" si="4"/>
        <v>604534.95587424154</v>
      </c>
      <c r="Q37" s="13">
        <f t="shared" si="5"/>
        <v>302267.47793712077</v>
      </c>
      <c r="R37" s="13">
        <f t="shared" si="6"/>
        <v>604534.95587424154</v>
      </c>
      <c r="S37" s="13">
        <f t="shared" si="7"/>
        <v>302267.47793712077</v>
      </c>
      <c r="U37" s="87" t="s">
        <v>115</v>
      </c>
      <c r="V37" s="101">
        <f>$V$22*$V$6*YEARFRAC($V$23,$V$25)</f>
        <v>2067361.111111111</v>
      </c>
      <c r="W37" s="52">
        <f t="shared" si="11"/>
        <v>7951.3888888888887</v>
      </c>
      <c r="X37" s="92">
        <f>$V$22*$V$6*YEARFRAC($V$23,$V$25)</f>
        <v>2067361.111111111</v>
      </c>
      <c r="Y37" s="46">
        <f t="shared" si="12"/>
        <v>7951.3888888888887</v>
      </c>
      <c r="AA37" s="84"/>
    </row>
    <row r="38" spans="2:27" ht="14.25" customHeight="1" thickBot="1">
      <c r="B38" s="128"/>
      <c r="C38" s="31">
        <f>C37</f>
        <v>46600</v>
      </c>
      <c r="D38" s="39">
        <f>C38+180</f>
        <v>46780</v>
      </c>
      <c r="E38" s="39">
        <f>C38+120</f>
        <v>46720</v>
      </c>
      <c r="F38" s="33">
        <f t="shared" si="0"/>
        <v>2027</v>
      </c>
      <c r="G38" s="33">
        <f t="shared" si="1"/>
        <v>33</v>
      </c>
      <c r="H38" s="34" t="s">
        <v>117</v>
      </c>
      <c r="I38" s="13">
        <f>50000*300</f>
        <v>15000000</v>
      </c>
      <c r="J38" s="35">
        <f t="shared" si="10"/>
        <v>40540.54054054054</v>
      </c>
      <c r="K38" s="36">
        <f t="shared" si="9"/>
        <v>0.2</v>
      </c>
      <c r="L38" s="34" t="s">
        <v>68</v>
      </c>
      <c r="M38" s="34" t="s">
        <v>23</v>
      </c>
      <c r="N38" s="13">
        <f t="shared" si="3"/>
        <v>40540.54054054054</v>
      </c>
      <c r="O38" s="37"/>
      <c r="P38" s="13">
        <f t="shared" si="4"/>
        <v>81081.08108108108</v>
      </c>
      <c r="Q38" s="13">
        <f t="shared" si="5"/>
        <v>40540.54054054054</v>
      </c>
      <c r="R38" s="13">
        <f t="shared" si="6"/>
        <v>81081.08108108108</v>
      </c>
      <c r="S38" s="13">
        <f t="shared" si="7"/>
        <v>40540.54054054054</v>
      </c>
      <c r="U38" s="88" t="s">
        <v>116</v>
      </c>
      <c r="V38" s="105">
        <f>V34-V35-V36-V37</f>
        <v>25907972.901431732</v>
      </c>
      <c r="W38" s="52">
        <f t="shared" si="11"/>
        <v>99646.049620891281</v>
      </c>
      <c r="X38" s="96">
        <f>X34-X35-X36-X37</f>
        <v>21963117.085787699</v>
      </c>
      <c r="Y38" s="46">
        <f t="shared" si="12"/>
        <v>84473.527253029606</v>
      </c>
    </row>
    <row r="39" spans="2:27" ht="14.25" customHeight="1" thickBot="1">
      <c r="B39" s="128" t="s">
        <v>118</v>
      </c>
      <c r="C39" s="45">
        <f>D40</f>
        <v>46780</v>
      </c>
      <c r="D39" s="39">
        <f>C39</f>
        <v>46780</v>
      </c>
      <c r="E39" s="39">
        <f>C39</f>
        <v>46780</v>
      </c>
      <c r="F39" s="33">
        <f t="shared" si="0"/>
        <v>2028</v>
      </c>
      <c r="G39" s="33">
        <f t="shared" si="1"/>
        <v>339</v>
      </c>
      <c r="H39" s="34" t="s">
        <v>70</v>
      </c>
      <c r="I39" s="13">
        <f>1500000*V15</f>
        <v>6000000</v>
      </c>
      <c r="J39" s="35">
        <f t="shared" si="10"/>
        <v>16216.216216216217</v>
      </c>
      <c r="K39" s="36">
        <f t="shared" si="9"/>
        <v>0.2</v>
      </c>
      <c r="L39" s="34" t="s">
        <v>68</v>
      </c>
      <c r="M39" s="34" t="s">
        <v>23</v>
      </c>
      <c r="N39" s="13">
        <f t="shared" si="3"/>
        <v>16216.216216216217</v>
      </c>
      <c r="O39" s="37"/>
      <c r="P39" s="13">
        <f t="shared" si="4"/>
        <v>32432.432432432433</v>
      </c>
      <c r="Q39" s="13">
        <f t="shared" si="5"/>
        <v>16216.216216216217</v>
      </c>
      <c r="R39" s="13">
        <f t="shared" si="6"/>
        <v>32432.432432432433</v>
      </c>
      <c r="S39" s="13">
        <f t="shared" si="7"/>
        <v>16216.216216216217</v>
      </c>
      <c r="U39" s="91" t="s">
        <v>144</v>
      </c>
      <c r="V39" s="106">
        <f>V48+V54</f>
        <v>3048018.5264258124</v>
      </c>
      <c r="W39" s="52">
        <f t="shared" si="11"/>
        <v>11723.148178560818</v>
      </c>
      <c r="X39" s="97">
        <f>V48+V54</f>
        <v>3048018.5264258124</v>
      </c>
      <c r="Y39" s="46">
        <f t="shared" si="12"/>
        <v>11723.148178560818</v>
      </c>
      <c r="AA39" s="84"/>
    </row>
    <row r="40" spans="2:27" ht="14.25" customHeight="1" thickBot="1">
      <c r="B40" s="128"/>
      <c r="C40" s="45">
        <v>46600</v>
      </c>
      <c r="D40" s="39">
        <f>C40+180</f>
        <v>46780</v>
      </c>
      <c r="E40" s="39">
        <f>D40</f>
        <v>46780</v>
      </c>
      <c r="F40" s="33">
        <f t="shared" si="0"/>
        <v>2028</v>
      </c>
      <c r="G40" s="33">
        <f t="shared" si="1"/>
        <v>339</v>
      </c>
      <c r="H40" s="34" t="s">
        <v>112</v>
      </c>
      <c r="I40" s="13">
        <f>55000000/280*V6*1.15</f>
        <v>58732142.857142851</v>
      </c>
      <c r="J40" s="35">
        <f t="shared" si="10"/>
        <v>158735.52123552121</v>
      </c>
      <c r="K40" s="36">
        <f t="shared" si="9"/>
        <v>0.2</v>
      </c>
      <c r="L40" s="34" t="s">
        <v>68</v>
      </c>
      <c r="M40" s="34" t="s">
        <v>23</v>
      </c>
      <c r="N40" s="13">
        <f t="shared" si="3"/>
        <v>158735.52123552121</v>
      </c>
      <c r="O40" s="37"/>
      <c r="P40" s="13">
        <f t="shared" si="4"/>
        <v>317471.04247104243</v>
      </c>
      <c r="Q40" s="13">
        <f t="shared" si="5"/>
        <v>158735.52123552121</v>
      </c>
      <c r="R40" s="13">
        <f t="shared" si="6"/>
        <v>317471.04247104243</v>
      </c>
      <c r="S40" s="13">
        <f t="shared" si="7"/>
        <v>158735.52123552121</v>
      </c>
      <c r="U40" s="114"/>
      <c r="V40" s="23"/>
      <c r="W40" s="98"/>
      <c r="X40" s="98"/>
      <c r="Y40" s="29"/>
    </row>
    <row r="41" spans="2:27" ht="14.25" customHeight="1">
      <c r="B41" s="128" t="s">
        <v>119</v>
      </c>
      <c r="C41" s="45">
        <f>E42</f>
        <v>46780</v>
      </c>
      <c r="D41" s="39">
        <f>C41</f>
        <v>46780</v>
      </c>
      <c r="E41" s="39">
        <f>C41</f>
        <v>46780</v>
      </c>
      <c r="F41" s="33">
        <f t="shared" si="0"/>
        <v>2028</v>
      </c>
      <c r="G41" s="33">
        <f t="shared" si="1"/>
        <v>339</v>
      </c>
      <c r="H41" s="34" t="s">
        <v>70</v>
      </c>
      <c r="I41" s="13">
        <f>1147500*V15</f>
        <v>4590000</v>
      </c>
      <c r="J41" s="35">
        <f t="shared" si="10"/>
        <v>12405.405405405405</v>
      </c>
      <c r="K41" s="36">
        <f t="shared" si="9"/>
        <v>0.2</v>
      </c>
      <c r="L41" s="34" t="s">
        <v>68</v>
      </c>
      <c r="M41" s="34" t="s">
        <v>23</v>
      </c>
      <c r="N41" s="13">
        <f t="shared" si="3"/>
        <v>12405.405405405405</v>
      </c>
      <c r="O41" s="37"/>
      <c r="P41" s="13">
        <f t="shared" si="4"/>
        <v>24810.81081081081</v>
      </c>
      <c r="Q41" s="13">
        <f t="shared" si="5"/>
        <v>12405.405405405405</v>
      </c>
      <c r="R41" s="13">
        <f t="shared" si="6"/>
        <v>24810.81081081081</v>
      </c>
      <c r="S41" s="13">
        <f t="shared" si="7"/>
        <v>12405.405405405405</v>
      </c>
      <c r="U41" s="89" t="s">
        <v>120</v>
      </c>
      <c r="V41" s="107">
        <f>V38*$V$21</f>
        <v>18135581.031002212</v>
      </c>
      <c r="W41" s="52">
        <f>V41/$V$6</f>
        <v>69752.234734623897</v>
      </c>
      <c r="X41" s="99">
        <f>X38*$V$21</f>
        <v>15374181.960051388</v>
      </c>
      <c r="Y41" s="46">
        <f>X41/$V$6</f>
        <v>59131.469077120724</v>
      </c>
      <c r="AA41" s="84"/>
    </row>
    <row r="42" spans="2:27" ht="14.25" customHeight="1">
      <c r="B42" s="128"/>
      <c r="C42" s="45">
        <v>46600</v>
      </c>
      <c r="D42" s="39">
        <f>C42+180</f>
        <v>46780</v>
      </c>
      <c r="E42" s="39">
        <f>D42</f>
        <v>46780</v>
      </c>
      <c r="F42" s="33">
        <f t="shared" si="0"/>
        <v>2028</v>
      </c>
      <c r="G42" s="33">
        <f t="shared" si="1"/>
        <v>339</v>
      </c>
      <c r="H42" s="34" t="s">
        <v>112</v>
      </c>
      <c r="I42" s="13">
        <f>7000000/40*V9</f>
        <v>91000000</v>
      </c>
      <c r="J42" s="35">
        <f t="shared" si="10"/>
        <v>245945.94594594595</v>
      </c>
      <c r="K42" s="36">
        <f t="shared" si="9"/>
        <v>0.2</v>
      </c>
      <c r="L42" s="34" t="s">
        <v>68</v>
      </c>
      <c r="M42" s="34" t="s">
        <v>23</v>
      </c>
      <c r="N42" s="13">
        <f t="shared" si="3"/>
        <v>245945.94594594595</v>
      </c>
      <c r="O42" s="37"/>
      <c r="P42" s="13">
        <f t="shared" si="4"/>
        <v>491891.89189189189</v>
      </c>
      <c r="Q42" s="13">
        <f t="shared" si="5"/>
        <v>245945.94594594595</v>
      </c>
      <c r="R42" s="13">
        <f t="shared" si="6"/>
        <v>491891.89189189189</v>
      </c>
      <c r="S42" s="13">
        <f t="shared" si="7"/>
        <v>245945.94594594595</v>
      </c>
      <c r="U42" s="87" t="s">
        <v>121</v>
      </c>
      <c r="V42" s="49">
        <f>V36+V41-V39</f>
        <v>25612228.49203356</v>
      </c>
      <c r="W42" s="52">
        <f>V42/$V$6</f>
        <v>98508.571123205998</v>
      </c>
      <c r="X42" s="100">
        <f>X36+X41-X39</f>
        <v>26795685.236726765</v>
      </c>
      <c r="Y42" s="46">
        <f>X42/$V$6</f>
        <v>103060.32783356449</v>
      </c>
      <c r="AA42" s="84"/>
    </row>
    <row r="43" spans="2:27" ht="14.25" customHeight="1">
      <c r="B43" s="128" t="s">
        <v>122</v>
      </c>
      <c r="C43" s="31">
        <f>D19</f>
        <v>47126</v>
      </c>
      <c r="D43" s="32">
        <f>C43+75</f>
        <v>47201</v>
      </c>
      <c r="E43" s="32">
        <f>C43</f>
        <v>47126</v>
      </c>
      <c r="F43" s="33">
        <f t="shared" si="0"/>
        <v>2029</v>
      </c>
      <c r="G43" s="33">
        <f t="shared" si="1"/>
        <v>358</v>
      </c>
      <c r="H43" s="34" t="s">
        <v>70</v>
      </c>
      <c r="I43" s="13">
        <f>2500000*V15*2</f>
        <v>20000000</v>
      </c>
      <c r="J43" s="35">
        <f t="shared" si="10"/>
        <v>54054.054054054053</v>
      </c>
      <c r="K43" s="36">
        <f t="shared" si="9"/>
        <v>0.2</v>
      </c>
      <c r="L43" s="34" t="s">
        <v>68</v>
      </c>
      <c r="M43" s="34" t="s">
        <v>23</v>
      </c>
      <c r="N43" s="13">
        <f t="shared" si="3"/>
        <v>54054.054054054053</v>
      </c>
      <c r="O43" s="37" t="s">
        <v>28</v>
      </c>
      <c r="P43" s="13">
        <f t="shared" si="4"/>
        <v>108108.10810810811</v>
      </c>
      <c r="Q43" s="13">
        <f t="shared" si="5"/>
        <v>54054.054054054053</v>
      </c>
      <c r="R43" s="13">
        <f t="shared" si="6"/>
        <v>108108.10810810811</v>
      </c>
      <c r="S43" s="13">
        <f t="shared" si="7"/>
        <v>54054.054054054053</v>
      </c>
      <c r="U43" s="87" t="s">
        <v>123</v>
      </c>
      <c r="V43" s="108">
        <f>V38*(1-$V$21)</f>
        <v>7772391.8704295205</v>
      </c>
      <c r="W43" s="52">
        <f>V43/$V$6</f>
        <v>29893.814886267388</v>
      </c>
      <c r="X43" s="50">
        <f>X38*(1-$V$21)</f>
        <v>6588935.1257363101</v>
      </c>
      <c r="Y43" s="46">
        <f>X43/$V$6</f>
        <v>25342.058175908885</v>
      </c>
      <c r="AA43" s="84"/>
    </row>
    <row r="44" spans="2:27" ht="14.25" customHeight="1" thickBot="1">
      <c r="B44" s="128"/>
      <c r="C44" s="31">
        <f>C43-60</f>
        <v>47066</v>
      </c>
      <c r="D44" s="32">
        <f>C44</f>
        <v>47066</v>
      </c>
      <c r="E44" s="32">
        <f>C44</f>
        <v>47066</v>
      </c>
      <c r="F44" s="33">
        <f t="shared" si="0"/>
        <v>2028</v>
      </c>
      <c r="G44" s="33">
        <f t="shared" si="1"/>
        <v>53</v>
      </c>
      <c r="H44" s="34" t="s">
        <v>93</v>
      </c>
      <c r="I44" s="13">
        <f>1500000*V15*2</f>
        <v>12000000</v>
      </c>
      <c r="J44" s="35">
        <f t="shared" si="10"/>
        <v>32432.432432432433</v>
      </c>
      <c r="K44" s="36">
        <f t="shared" si="9"/>
        <v>0.2</v>
      </c>
      <c r="L44" s="34" t="s">
        <v>68</v>
      </c>
      <c r="M44" s="34" t="s">
        <v>23</v>
      </c>
      <c r="N44" s="13">
        <f t="shared" si="3"/>
        <v>32432.432432432433</v>
      </c>
      <c r="O44" s="37" t="s">
        <v>28</v>
      </c>
      <c r="P44" s="13">
        <f t="shared" si="4"/>
        <v>64864.864864864867</v>
      </c>
      <c r="Q44" s="13">
        <f t="shared" si="5"/>
        <v>32432.432432432433</v>
      </c>
      <c r="R44" s="13">
        <f t="shared" si="6"/>
        <v>64864.864864864867</v>
      </c>
      <c r="S44" s="13">
        <f t="shared" si="7"/>
        <v>32432.432432432433</v>
      </c>
      <c r="U44" s="88" t="s">
        <v>124</v>
      </c>
      <c r="V44" s="51">
        <f>V43+V37</f>
        <v>9839752.9815406315</v>
      </c>
      <c r="W44" s="69">
        <f>V44/$V$6</f>
        <v>37845.203775156275</v>
      </c>
      <c r="X44" s="109">
        <f>X43+X37</f>
        <v>8656296.2368474212</v>
      </c>
      <c r="Y44" s="48">
        <f>X44/$V$6</f>
        <v>33293.447064797772</v>
      </c>
      <c r="AA44" s="84"/>
    </row>
    <row r="45" spans="2:27" ht="14.25" customHeight="1">
      <c r="B45" s="26" t="s">
        <v>125</v>
      </c>
      <c r="C45" s="31" t="s">
        <v>126</v>
      </c>
      <c r="D45" s="39" t="s">
        <v>126</v>
      </c>
      <c r="E45" s="39" t="s">
        <v>126</v>
      </c>
      <c r="F45" s="33">
        <v>2027</v>
      </c>
      <c r="G45" s="33">
        <v>0</v>
      </c>
      <c r="H45" s="34" t="s">
        <v>125</v>
      </c>
      <c r="I45" s="13">
        <f>J45*$V$5</f>
        <v>7400000</v>
      </c>
      <c r="J45" s="35">
        <v>20000</v>
      </c>
      <c r="K45" s="36">
        <f t="shared" si="9"/>
        <v>0.2</v>
      </c>
      <c r="L45" s="34" t="s">
        <v>68</v>
      </c>
      <c r="M45" s="34" t="s">
        <v>23</v>
      </c>
      <c r="N45" s="13">
        <f t="shared" si="3"/>
        <v>20000</v>
      </c>
      <c r="O45" s="37"/>
      <c r="P45" s="13">
        <f t="shared" si="4"/>
        <v>40000</v>
      </c>
      <c r="Q45" s="13">
        <f t="shared" si="5"/>
        <v>20000</v>
      </c>
      <c r="R45" s="13">
        <f t="shared" si="6"/>
        <v>40000</v>
      </c>
      <c r="S45" s="13">
        <f t="shared" si="7"/>
        <v>20000</v>
      </c>
    </row>
    <row r="46" spans="2:27" ht="14.25" customHeight="1" thickBot="1">
      <c r="B46" s="26" t="s">
        <v>127</v>
      </c>
      <c r="C46" s="31" t="s">
        <v>126</v>
      </c>
      <c r="D46" s="39" t="s">
        <v>126</v>
      </c>
      <c r="E46" s="39" t="s">
        <v>126</v>
      </c>
      <c r="F46" s="33">
        <v>2027</v>
      </c>
      <c r="G46" s="33">
        <v>0</v>
      </c>
      <c r="H46" s="34" t="s">
        <v>127</v>
      </c>
      <c r="I46" s="13">
        <f>J46*$V$5</f>
        <v>29600000</v>
      </c>
      <c r="J46" s="35">
        <v>80000</v>
      </c>
      <c r="K46" s="36">
        <f t="shared" si="9"/>
        <v>0.2</v>
      </c>
      <c r="L46" s="34" t="s">
        <v>68</v>
      </c>
      <c r="M46" s="34" t="s">
        <v>23</v>
      </c>
      <c r="N46" s="13">
        <f t="shared" si="3"/>
        <v>80000</v>
      </c>
      <c r="O46" s="37"/>
      <c r="P46" s="13">
        <f t="shared" si="4"/>
        <v>160000</v>
      </c>
      <c r="Q46" s="13">
        <f t="shared" si="5"/>
        <v>80000</v>
      </c>
      <c r="R46" s="13">
        <f t="shared" si="6"/>
        <v>160000</v>
      </c>
      <c r="S46" s="13">
        <f t="shared" si="7"/>
        <v>80000</v>
      </c>
    </row>
    <row r="47" spans="2:27" ht="14.25" customHeight="1">
      <c r="B47" s="26" t="s">
        <v>132</v>
      </c>
      <c r="C47" s="31">
        <f>D43</f>
        <v>47201</v>
      </c>
      <c r="D47" s="39">
        <f>C47</f>
        <v>47201</v>
      </c>
      <c r="E47" s="39">
        <f>C47</f>
        <v>47201</v>
      </c>
      <c r="F47" s="33">
        <f>YEAR(E47)</f>
        <v>2029</v>
      </c>
      <c r="G47" s="33">
        <f>DATE(YEAR(E47),12,31)-E47+1</f>
        <v>283</v>
      </c>
      <c r="H47" s="34" t="s">
        <v>63</v>
      </c>
      <c r="I47" s="13">
        <f>38000000*0.4*6</f>
        <v>91200000</v>
      </c>
      <c r="J47" s="35">
        <f>I47/$V$5</f>
        <v>246486.48648648648</v>
      </c>
      <c r="K47" s="36">
        <f t="shared" si="9"/>
        <v>0.2</v>
      </c>
      <c r="L47" s="34" t="s">
        <v>60</v>
      </c>
      <c r="M47" s="34" t="s">
        <v>23</v>
      </c>
      <c r="N47" s="13">
        <f t="shared" si="3"/>
        <v>246486.48648648648</v>
      </c>
      <c r="O47" s="37"/>
      <c r="P47" s="13">
        <f t="shared" si="4"/>
        <v>492972.97297297296</v>
      </c>
      <c r="Q47" s="13">
        <f t="shared" si="5"/>
        <v>246486.48648648648</v>
      </c>
      <c r="R47" s="13">
        <f t="shared" si="6"/>
        <v>492972.97297297296</v>
      </c>
      <c r="S47" s="13">
        <f t="shared" si="7"/>
        <v>246486.48648648648</v>
      </c>
      <c r="U47" s="2" t="s">
        <v>128</v>
      </c>
      <c r="V47" s="2" t="s">
        <v>129</v>
      </c>
      <c r="W47" s="2" t="s">
        <v>130</v>
      </c>
      <c r="X47" s="2" t="s">
        <v>131</v>
      </c>
    </row>
    <row r="48" spans="2:27" ht="14.25" customHeight="1" thickBot="1">
      <c r="B48" s="53" t="s">
        <v>133</v>
      </c>
      <c r="C48" s="54" t="s">
        <v>126</v>
      </c>
      <c r="D48" s="55" t="s">
        <v>126</v>
      </c>
      <c r="E48" s="55" t="s">
        <v>126</v>
      </c>
      <c r="F48" s="56">
        <v>2028</v>
      </c>
      <c r="G48" s="56">
        <v>0</v>
      </c>
      <c r="H48" s="57" t="s">
        <v>133</v>
      </c>
      <c r="I48" s="58">
        <f>0.1*(SUM(I5:I47)-I6-I7-I8-I18-I19-I9-I10-I11-I12-I13)</f>
        <v>116832486.79795915</v>
      </c>
      <c r="J48" s="58">
        <f>0.1*(SUM(J5:J47)-J6-J7-J8-J18-J19-J9-J10-J11-J12-J13)</f>
        <v>315763.47783232044</v>
      </c>
      <c r="K48" s="59">
        <f t="shared" si="9"/>
        <v>0.2</v>
      </c>
      <c r="L48" s="57" t="s">
        <v>68</v>
      </c>
      <c r="M48" s="57" t="s">
        <v>23</v>
      </c>
      <c r="N48" s="58">
        <f>0.1*(SUM(N5:N47)-N6-N7-N8-N9-N10-N11-N12-N13-N18-N19)</f>
        <v>315763.47783232044</v>
      </c>
      <c r="O48" s="60"/>
      <c r="P48" s="58">
        <f t="shared" si="4"/>
        <v>631526.95566464087</v>
      </c>
      <c r="Q48" s="58">
        <f t="shared" si="5"/>
        <v>315763.47783232044</v>
      </c>
      <c r="R48" s="58">
        <f t="shared" si="6"/>
        <v>631526.95566464087</v>
      </c>
      <c r="S48" s="58">
        <f t="shared" si="7"/>
        <v>315763.47783232044</v>
      </c>
      <c r="U48" s="23" t="s">
        <v>22</v>
      </c>
      <c r="V48" s="52">
        <f>SUMIF($L$5:$L$48,"Fee",$J$5:$J$48)</f>
        <v>16216.216216216217</v>
      </c>
      <c r="W48" s="52">
        <f>SUMIF($L$5:$L$48,"Fee",$Q$5:$Q$48)</f>
        <v>5782.2651386240577</v>
      </c>
      <c r="X48" s="46">
        <f>SUMIF($L$5:$L$48,"Fee",$S$5:$S$48)</f>
        <v>7038.2810372454733</v>
      </c>
    </row>
    <row r="49" spans="2:24" ht="14.25" customHeight="1">
      <c r="B49" s="132" t="s">
        <v>135</v>
      </c>
      <c r="C49" s="132"/>
      <c r="D49" s="132"/>
      <c r="E49" s="132"/>
      <c r="F49" s="132"/>
      <c r="G49" s="132"/>
      <c r="H49" s="132"/>
      <c r="I49" s="61">
        <f>SUM(I5:I48)</f>
        <v>28650542718.77755</v>
      </c>
      <c r="J49" s="61">
        <f>SUM(J5:J48)</f>
        <v>77433899.239939317</v>
      </c>
      <c r="K49" s="61"/>
      <c r="L49" s="77"/>
      <c r="M49" s="77"/>
      <c r="N49" s="61">
        <f>SUM(N5:N48)</f>
        <v>77433899.239939317</v>
      </c>
      <c r="O49" s="63"/>
      <c r="P49" s="78">
        <f>SUM(P5:P48)</f>
        <v>87958565.227396488</v>
      </c>
      <c r="Q49" s="61">
        <f>SUM(Q5:Q48)</f>
        <v>10524665.987457158</v>
      </c>
      <c r="R49" s="61">
        <f>SUM(R5:R48)</f>
        <v>91903421.043040514</v>
      </c>
      <c r="S49" s="79">
        <f>SUM(S5:S48)</f>
        <v>14469521.803101188</v>
      </c>
      <c r="U49" s="23" t="s">
        <v>134</v>
      </c>
      <c r="V49" s="52">
        <f>SUMIFS($J$5:$J$48,$L$5:$L$48,"Bond",$M$5:$M$48,"Bank guarantee")</f>
        <v>21239189.189189192</v>
      </c>
      <c r="W49" s="52">
        <f>SUMIFS($Q$5:$Q$48,$L$5:$L$48,"Bond",$M$5:$M$48,"Bank guarantee")</f>
        <v>3376144.9015941657</v>
      </c>
      <c r="X49" s="46">
        <f>SUMIFS($S$5:$S$48,$L$5:$L$48,"Bond",$M$5:$M$48,"Bank guarantee")</f>
        <v>4099162.2175156553</v>
      </c>
    </row>
    <row r="50" spans="2:24" ht="14.25" customHeight="1">
      <c r="B50" s="129" t="s">
        <v>137</v>
      </c>
      <c r="C50" s="129"/>
      <c r="D50" s="129"/>
      <c r="E50" s="129"/>
      <c r="F50" s="129"/>
      <c r="G50" s="129"/>
      <c r="H50" s="129"/>
      <c r="I50" s="64">
        <f>I49/$V$6</f>
        <v>110194395.07222134</v>
      </c>
      <c r="J50" s="64">
        <f>J49/$V$6</f>
        <v>297822.68938438199</v>
      </c>
      <c r="K50" s="64"/>
      <c r="L50" s="62"/>
      <c r="M50" s="62"/>
      <c r="N50" s="64">
        <f>N49/$V$6</f>
        <v>297822.68938438199</v>
      </c>
      <c r="O50" s="65"/>
      <c r="P50" s="80">
        <f>P49/$V$6</f>
        <v>338302.17395152495</v>
      </c>
      <c r="Q50" s="64">
        <f>Q49/$V$6</f>
        <v>40479.484567142914</v>
      </c>
      <c r="R50" s="64">
        <f>R49/$V$6</f>
        <v>353474.6963193866</v>
      </c>
      <c r="S50" s="81">
        <f>S49/$V$6</f>
        <v>55652.006935004567</v>
      </c>
      <c r="U50" s="23" t="s">
        <v>136</v>
      </c>
      <c r="V50" s="52">
        <f>SUMIFS($J$5:$J$48,$L$5:$L$48,"Bond",$M$5:$M$48,"Cash deposit")</f>
        <v>2432432.4324324327</v>
      </c>
      <c r="W50" s="52">
        <f>SUMIFS($Q$5:$Q$48,$L$5:$L$48,"Bond",$M$5:$M$48,"Cash deposit")</f>
        <v>802506.3680460928</v>
      </c>
      <c r="X50" s="46">
        <f>SUMIFS($S$5:$S$48,$L$5:$L$48,"Bond",$M$5:$M$48,"Cash deposit")</f>
        <v>987207.05255831266</v>
      </c>
    </row>
    <row r="51" spans="2:24" ht="14.25" customHeight="1">
      <c r="B51" s="129" t="s">
        <v>139</v>
      </c>
      <c r="C51" s="129"/>
      <c r="D51" s="129"/>
      <c r="E51" s="129"/>
      <c r="F51" s="129"/>
      <c r="G51" s="129"/>
      <c r="H51" s="129"/>
      <c r="I51" s="64">
        <f>I49-I6-I7-I8-I18-I19-I9-I10-I11-I12-I13</f>
        <v>1285157354.7775497</v>
      </c>
      <c r="J51" s="64">
        <f>J49-J53</f>
        <v>3473398.2561555356</v>
      </c>
      <c r="K51" s="64"/>
      <c r="L51" s="62"/>
      <c r="M51" s="62"/>
      <c r="N51" s="64">
        <f>N49-N53</f>
        <v>3473398.2561555356</v>
      </c>
      <c r="O51" s="65"/>
      <c r="P51" s="80">
        <f>P49-P53</f>
        <v>6936362.5612334907</v>
      </c>
      <c r="Q51" s="64">
        <f>Q49-Q53</f>
        <v>3462964.3050779514</v>
      </c>
      <c r="R51" s="64">
        <f>R49-R53</f>
        <v>6937618.5771321058</v>
      </c>
      <c r="S51" s="81">
        <f>S49-S53</f>
        <v>3464220.3209765721</v>
      </c>
      <c r="U51" s="23" t="s">
        <v>138</v>
      </c>
      <c r="V51" s="52">
        <f>SUMIF($L$5:$L$48,"Refund",$J$5:$J$48)</f>
        <v>0</v>
      </c>
      <c r="W51" s="52">
        <f>SUMIF($L$5:$L$48,"Refund",$Q$5:$Q$48)</f>
        <v>0</v>
      </c>
      <c r="X51" s="46">
        <f>SUMIF($L$5:$L$48,"Refund",$S$5:$S$48)</f>
        <v>0</v>
      </c>
    </row>
    <row r="52" spans="2:24" ht="14.25" customHeight="1">
      <c r="B52" s="129" t="s">
        <v>140</v>
      </c>
      <c r="C52" s="129"/>
      <c r="D52" s="129"/>
      <c r="E52" s="129"/>
      <c r="F52" s="129"/>
      <c r="G52" s="129"/>
      <c r="H52" s="129"/>
      <c r="I52" s="64">
        <f>I51/$V$6</f>
        <v>4942912.9029905759</v>
      </c>
      <c r="J52" s="64">
        <f>J51/$V$6</f>
        <v>13359.224062136675</v>
      </c>
      <c r="K52" s="64"/>
      <c r="L52" s="62"/>
      <c r="M52" s="62"/>
      <c r="N52" s="64">
        <f>N51/$V$6</f>
        <v>13359.224062136675</v>
      </c>
      <c r="O52" s="65"/>
      <c r="P52" s="80">
        <f>P51/$V$6</f>
        <v>26678.317543205732</v>
      </c>
      <c r="Q52" s="64">
        <f>Q51/$V$6</f>
        <v>13319.093481069043</v>
      </c>
      <c r="R52" s="64">
        <f>R51/$V$6</f>
        <v>26683.148373585023</v>
      </c>
      <c r="S52" s="81">
        <f>S51/$V$6</f>
        <v>13323.924311448354</v>
      </c>
      <c r="U52" s="23" t="s">
        <v>74</v>
      </c>
      <c r="V52" s="52">
        <f>SUMIF($L$5:$L$48,"Connection fee",$J$5:$J$48)</f>
        <v>50288879.362162165</v>
      </c>
      <c r="W52" s="52">
        <f>SUMIF($L$5:$L$48,"Connection fee",$Q$5:$Q$48)</f>
        <v>2883050.4127389477</v>
      </c>
      <c r="X52" s="46">
        <f>SUMIF($L$5:$L$48,"Connection fee",$S$5:$S$48)</f>
        <v>5918932.2120506465</v>
      </c>
    </row>
    <row r="53" spans="2:24" ht="14.25" customHeight="1" thickBot="1">
      <c r="B53" s="130" t="s">
        <v>141</v>
      </c>
      <c r="C53" s="130"/>
      <c r="D53" s="130"/>
      <c r="E53" s="130"/>
      <c r="F53" s="130"/>
      <c r="G53" s="130"/>
      <c r="H53" s="130"/>
      <c r="I53" s="66">
        <f>I6+I7+I8+I18+I19+I9+I10+I11+I12+I13</f>
        <v>27365385364</v>
      </c>
      <c r="J53" s="66">
        <f>J6+J7+J8+J18+J19+J9+J10+J11+J12+J13</f>
        <v>73960500.983783782</v>
      </c>
      <c r="K53" s="66"/>
      <c r="L53" s="67"/>
      <c r="M53" s="67"/>
      <c r="N53" s="66">
        <f>N6+N7+N8+N18+N19+N9+N10+N11+N12+N13</f>
        <v>73960500.983783782</v>
      </c>
      <c r="O53" s="68"/>
      <c r="P53" s="82">
        <f>P6+P7+P8+P18+P19+P9+P10+P11+P12+P13</f>
        <v>81022202.666162997</v>
      </c>
      <c r="Q53" s="66">
        <f>Q6+Q7+Q8+Q18+Q19+Q9+Q10+Q11+Q12+Q13</f>
        <v>7061701.6823792066</v>
      </c>
      <c r="R53" s="66">
        <f>R6+R7+R8+R18+R19+R9+R10+R11+R12+R13</f>
        <v>84965802.465908408</v>
      </c>
      <c r="S53" s="83">
        <f>S6+S7+S8+S18+S19+S9+S10+S11+S12+S13</f>
        <v>11005301.482124615</v>
      </c>
      <c r="U53" s="23" t="s">
        <v>60</v>
      </c>
      <c r="V53" s="52">
        <f>SUMIF($L$5:$L$48,"Land",$J$5:$J$48)</f>
        <v>425379.7297297297</v>
      </c>
      <c r="W53" s="52">
        <f>SUMIF($L$5:$L$48,"Land",$Q$5:$Q$48)</f>
        <v>425379.7297297297</v>
      </c>
      <c r="X53" s="46">
        <f>SUMIF($L$5:$L$48,"Land",$S$5:$S$48)</f>
        <v>425379.7297297297</v>
      </c>
    </row>
    <row r="54" spans="2:24" ht="14.25" customHeight="1">
      <c r="I54" s="4"/>
      <c r="J54" s="5"/>
      <c r="K54" s="5"/>
      <c r="U54" s="23" t="s">
        <v>68</v>
      </c>
      <c r="V54" s="52">
        <f>SUMIF($L$5:$L$48,"Devex",$J$5:$J$48)</f>
        <v>3031802.3102095961</v>
      </c>
      <c r="W54" s="52">
        <f>SUMIF($L$5:$L$48,"Devex",$Q$5:$Q$48)</f>
        <v>3031802.3102095961</v>
      </c>
      <c r="X54" s="46">
        <f>SUMIF($L$5:$L$48,"Devex",$S$5:$S$48)</f>
        <v>3031802.3102095961</v>
      </c>
    </row>
    <row r="55" spans="2:24" ht="14.25" customHeight="1" thickBot="1">
      <c r="E55" s="70"/>
      <c r="I55" s="4"/>
      <c r="J55" s="5"/>
      <c r="K55" s="5"/>
      <c r="U55" s="47" t="s">
        <v>142</v>
      </c>
      <c r="V55" s="69">
        <f>SUM(V48:V54)</f>
        <v>77433899.239939332</v>
      </c>
      <c r="W55" s="69">
        <f>SUM(W48:W54)</f>
        <v>10524665.987457156</v>
      </c>
      <c r="X55" s="48">
        <f>SUM(X48:X54)</f>
        <v>14469521.803101188</v>
      </c>
    </row>
    <row r="56" spans="2:24" ht="14.25" customHeight="1">
      <c r="I56" s="4"/>
      <c r="J56" s="71"/>
      <c r="K56" s="5"/>
    </row>
    <row r="57" spans="2:24" ht="14.25" customHeight="1">
      <c r="I57" s="4"/>
      <c r="J57" s="5"/>
    </row>
    <row r="58" spans="2:24" ht="14.25" customHeight="1">
      <c r="B58" s="131" t="s">
        <v>143</v>
      </c>
      <c r="C58" s="131"/>
      <c r="D58" s="131"/>
      <c r="E58" s="131"/>
      <c r="F58" s="131"/>
      <c r="G58" s="131"/>
      <c r="H58" s="131"/>
      <c r="I58" s="72"/>
      <c r="J58" s="73"/>
      <c r="K58" s="73"/>
    </row>
    <row r="59" spans="2:24" ht="240" customHeight="1">
      <c r="I59" s="4"/>
      <c r="J59" s="5"/>
      <c r="K59" s="5"/>
    </row>
    <row r="60" spans="2:24" ht="14.25" customHeight="1">
      <c r="I60" s="4"/>
      <c r="J60" s="5"/>
      <c r="K60" s="5"/>
    </row>
    <row r="61" spans="2:24" ht="14.25" customHeight="1">
      <c r="I61" s="4"/>
      <c r="J61" s="71"/>
      <c r="K61" s="5"/>
    </row>
    <row r="62" spans="2:24" ht="14.25" customHeight="1">
      <c r="I62" s="4"/>
      <c r="J62" s="5"/>
      <c r="K62" s="5"/>
    </row>
    <row r="63" spans="2:24" ht="14.25" customHeight="1">
      <c r="I63" s="4"/>
      <c r="J63" s="5"/>
      <c r="K63" s="5"/>
    </row>
    <row r="64" spans="2:24" ht="14.25" customHeight="1">
      <c r="I64" s="4"/>
      <c r="J64" s="5"/>
      <c r="K64" s="5"/>
    </row>
    <row r="65" spans="9:11" ht="14.25" customHeight="1">
      <c r="I65" s="4"/>
      <c r="J65" s="5"/>
      <c r="K65" s="5"/>
    </row>
    <row r="66" spans="9:11" ht="14.25" customHeight="1">
      <c r="I66" s="4"/>
      <c r="J66" s="5"/>
      <c r="K66" s="5"/>
    </row>
    <row r="67" spans="9:11" ht="14.25" customHeight="1">
      <c r="I67" s="4"/>
      <c r="J67" s="5"/>
      <c r="K67" s="5"/>
    </row>
    <row r="68" spans="9:11" ht="14.25" customHeight="1">
      <c r="I68" s="4"/>
      <c r="J68" s="5"/>
      <c r="K68" s="5"/>
    </row>
    <row r="69" spans="9:11" ht="14.25" customHeight="1">
      <c r="I69" s="4"/>
      <c r="J69" s="5"/>
      <c r="K69" s="5"/>
    </row>
    <row r="70" spans="9:11" ht="14.25" customHeight="1">
      <c r="I70" s="4"/>
      <c r="J70" s="5"/>
      <c r="K70" s="5"/>
    </row>
    <row r="71" spans="9:11" ht="14.25" customHeight="1">
      <c r="I71" s="4"/>
      <c r="J71" s="5"/>
      <c r="K71" s="5"/>
    </row>
    <row r="72" spans="9:11" ht="14.25" customHeight="1">
      <c r="I72" s="4"/>
      <c r="J72" s="5"/>
      <c r="K72" s="5"/>
    </row>
    <row r="73" spans="9:11" ht="14.25" customHeight="1">
      <c r="I73" s="4"/>
      <c r="J73" s="5"/>
      <c r="K73" s="5"/>
    </row>
    <row r="74" spans="9:11" ht="14.25" customHeight="1">
      <c r="I74" s="4"/>
      <c r="J74" s="5"/>
      <c r="K74" s="5"/>
    </row>
    <row r="75" spans="9:11" ht="14.25" customHeight="1">
      <c r="I75" s="4"/>
      <c r="J75" s="5"/>
      <c r="K75" s="5"/>
    </row>
    <row r="76" spans="9:11" ht="14.25" customHeight="1">
      <c r="I76" s="4"/>
      <c r="J76" s="5"/>
      <c r="K76" s="5"/>
    </row>
    <row r="77" spans="9:11" ht="14.25" customHeight="1">
      <c r="I77" s="4"/>
      <c r="J77" s="5"/>
      <c r="K77" s="5"/>
    </row>
    <row r="78" spans="9:11" ht="14.25" customHeight="1">
      <c r="I78" s="4"/>
      <c r="J78" s="5"/>
      <c r="K78" s="5"/>
    </row>
    <row r="79" spans="9:11" ht="14.25" customHeight="1">
      <c r="I79" s="4"/>
      <c r="J79" s="5"/>
      <c r="K79" s="5"/>
    </row>
    <row r="80" spans="9:11" ht="14.25" customHeight="1">
      <c r="I80" s="4"/>
      <c r="J80" s="5"/>
      <c r="K80" s="5"/>
    </row>
    <row r="81" spans="9:11" ht="14.25" customHeight="1">
      <c r="I81" s="4"/>
      <c r="J81" s="5"/>
      <c r="K81" s="5"/>
    </row>
    <row r="82" spans="9:11" ht="14.25" customHeight="1">
      <c r="I82" s="4"/>
      <c r="J82" s="5"/>
      <c r="K82" s="5"/>
    </row>
    <row r="83" spans="9:11" ht="14.25" customHeight="1">
      <c r="I83" s="4"/>
      <c r="J83" s="5"/>
      <c r="K83" s="5"/>
    </row>
    <row r="84" spans="9:11" ht="14.25" customHeight="1">
      <c r="I84" s="4"/>
      <c r="J84" s="5"/>
      <c r="K84" s="5"/>
    </row>
    <row r="85" spans="9:11" ht="14.25" customHeight="1">
      <c r="I85" s="4"/>
      <c r="J85" s="5"/>
      <c r="K85" s="5"/>
    </row>
    <row r="86" spans="9:11" ht="14.25" customHeight="1">
      <c r="I86" s="4"/>
      <c r="J86" s="5"/>
      <c r="K86" s="5"/>
    </row>
    <row r="87" spans="9:11" ht="14.25" customHeight="1">
      <c r="I87" s="4"/>
      <c r="J87" s="5"/>
      <c r="K87" s="5"/>
    </row>
    <row r="88" spans="9:11" ht="14.25" customHeight="1">
      <c r="I88" s="4"/>
      <c r="J88" s="5"/>
      <c r="K88" s="5"/>
    </row>
    <row r="89" spans="9:11" ht="14.25" customHeight="1">
      <c r="I89" s="4"/>
      <c r="J89" s="5"/>
      <c r="K89" s="5"/>
    </row>
    <row r="90" spans="9:11" ht="14.25" customHeight="1">
      <c r="I90" s="4"/>
      <c r="J90" s="5"/>
      <c r="K90" s="5"/>
    </row>
    <row r="91" spans="9:11" ht="14.25" customHeight="1">
      <c r="I91" s="4"/>
      <c r="J91" s="5"/>
      <c r="K91" s="5"/>
    </row>
    <row r="92" spans="9:11" ht="14.25" customHeight="1">
      <c r="I92" s="4"/>
      <c r="J92" s="5"/>
      <c r="K92" s="5"/>
    </row>
    <row r="93" spans="9:11" ht="14.25" customHeight="1">
      <c r="I93" s="4"/>
      <c r="J93" s="5"/>
      <c r="K93" s="5"/>
    </row>
    <row r="94" spans="9:11" ht="14.25" customHeight="1">
      <c r="I94" s="4"/>
      <c r="J94" s="5"/>
      <c r="K94" s="5"/>
    </row>
    <row r="95" spans="9:11" ht="14.25" customHeight="1">
      <c r="I95" s="4"/>
      <c r="J95" s="5"/>
      <c r="K95" s="5"/>
    </row>
    <row r="96" spans="9:11" ht="14.25" customHeight="1">
      <c r="I96" s="4"/>
      <c r="J96" s="5"/>
      <c r="K96" s="5"/>
    </row>
    <row r="97" spans="9:11" ht="14.25" customHeight="1">
      <c r="I97" s="4"/>
      <c r="J97" s="5"/>
      <c r="K97" s="5"/>
    </row>
    <row r="98" spans="9:11" ht="14.25" customHeight="1">
      <c r="I98" s="4"/>
      <c r="J98" s="5"/>
      <c r="K98" s="5"/>
    </row>
    <row r="99" spans="9:11" ht="14.25" customHeight="1">
      <c r="I99" s="4"/>
      <c r="J99" s="5"/>
      <c r="K99" s="5"/>
    </row>
    <row r="100" spans="9:11" ht="14.25" customHeight="1">
      <c r="I100" s="4"/>
      <c r="J100" s="5"/>
      <c r="K100" s="5"/>
    </row>
    <row r="101" spans="9:11" ht="14.25" customHeight="1">
      <c r="I101" s="4"/>
      <c r="J101" s="5"/>
      <c r="K101" s="5"/>
    </row>
    <row r="102" spans="9:11" ht="14.25" customHeight="1">
      <c r="I102" s="4"/>
      <c r="J102" s="5"/>
      <c r="K102" s="5"/>
    </row>
    <row r="103" spans="9:11" ht="14.25" customHeight="1">
      <c r="I103" s="4"/>
      <c r="J103" s="5"/>
      <c r="K103" s="5"/>
    </row>
    <row r="104" spans="9:11" ht="14.25" customHeight="1">
      <c r="I104" s="4"/>
      <c r="J104" s="5"/>
      <c r="K104" s="5"/>
    </row>
    <row r="105" spans="9:11" ht="14.25" customHeight="1">
      <c r="I105" s="4"/>
      <c r="J105" s="5"/>
      <c r="K105" s="5"/>
    </row>
    <row r="106" spans="9:11" ht="14.25" customHeight="1">
      <c r="I106" s="4"/>
      <c r="J106" s="5"/>
      <c r="K106" s="5"/>
    </row>
    <row r="107" spans="9:11" ht="14.25" customHeight="1">
      <c r="I107" s="4"/>
      <c r="J107" s="5"/>
      <c r="K107" s="5"/>
    </row>
    <row r="108" spans="9:11" ht="14.25" customHeight="1">
      <c r="I108" s="4"/>
      <c r="J108" s="5"/>
      <c r="K108" s="5"/>
    </row>
    <row r="109" spans="9:11" ht="14.25" customHeight="1">
      <c r="I109" s="4"/>
      <c r="J109" s="5"/>
      <c r="K109" s="5"/>
    </row>
    <row r="110" spans="9:11" ht="14.25" customHeight="1">
      <c r="I110" s="4"/>
      <c r="J110" s="5"/>
      <c r="K110" s="5"/>
    </row>
    <row r="111" spans="9:11" ht="14.25" customHeight="1">
      <c r="I111" s="4"/>
      <c r="J111" s="5"/>
      <c r="K111" s="5"/>
    </row>
    <row r="112" spans="9:11" ht="14.25" customHeight="1">
      <c r="I112" s="4"/>
      <c r="J112" s="5"/>
      <c r="K112" s="5"/>
    </row>
    <row r="113" spans="9:11" ht="14.25" customHeight="1">
      <c r="I113" s="4"/>
      <c r="J113" s="5"/>
      <c r="K113" s="5"/>
    </row>
    <row r="114" spans="9:11" ht="14.25" customHeight="1">
      <c r="I114" s="4"/>
      <c r="J114" s="5"/>
      <c r="K114" s="5"/>
    </row>
    <row r="115" spans="9:11" ht="14.25" customHeight="1">
      <c r="I115" s="4"/>
      <c r="J115" s="5"/>
      <c r="K115" s="5"/>
    </row>
    <row r="116" spans="9:11" ht="14.25" customHeight="1">
      <c r="I116" s="4"/>
      <c r="J116" s="5"/>
      <c r="K116" s="5"/>
    </row>
    <row r="117" spans="9:11" ht="14.25" customHeight="1">
      <c r="I117" s="4"/>
      <c r="J117" s="5"/>
      <c r="K117" s="5"/>
    </row>
    <row r="118" spans="9:11" ht="14.25" customHeight="1">
      <c r="I118" s="4"/>
      <c r="J118" s="5"/>
      <c r="K118" s="5"/>
    </row>
    <row r="119" spans="9:11" ht="14.25" customHeight="1">
      <c r="I119" s="4"/>
      <c r="J119" s="5"/>
      <c r="K119" s="5"/>
    </row>
    <row r="120" spans="9:11" ht="14.25" customHeight="1">
      <c r="I120" s="4"/>
      <c r="J120" s="5"/>
      <c r="K120" s="5"/>
    </row>
    <row r="121" spans="9:11" ht="14.25" customHeight="1">
      <c r="I121" s="4"/>
      <c r="J121" s="5"/>
      <c r="K121" s="5"/>
    </row>
    <row r="122" spans="9:11" ht="14.25" customHeight="1">
      <c r="I122" s="4"/>
      <c r="J122" s="5"/>
      <c r="K122" s="5"/>
    </row>
    <row r="123" spans="9:11" ht="14.25" customHeight="1">
      <c r="I123" s="4"/>
      <c r="J123" s="5"/>
      <c r="K123" s="5"/>
    </row>
    <row r="124" spans="9:11" ht="14.25" customHeight="1">
      <c r="I124" s="4"/>
      <c r="J124" s="5"/>
      <c r="K124" s="5"/>
    </row>
    <row r="125" spans="9:11" ht="14.25" customHeight="1">
      <c r="I125" s="4"/>
      <c r="J125" s="5"/>
      <c r="K125" s="5"/>
    </row>
    <row r="126" spans="9:11" ht="14.25" customHeight="1">
      <c r="I126" s="4"/>
      <c r="J126" s="5"/>
      <c r="K126" s="5"/>
    </row>
    <row r="127" spans="9:11" ht="14.25" customHeight="1">
      <c r="I127" s="4"/>
      <c r="J127" s="5"/>
      <c r="K127" s="5"/>
    </row>
    <row r="128" spans="9:11" ht="14.25" customHeight="1">
      <c r="I128" s="4"/>
      <c r="J128" s="5"/>
      <c r="K128" s="5"/>
    </row>
    <row r="129" spans="9:11" ht="14.25" customHeight="1">
      <c r="I129" s="4"/>
      <c r="J129" s="5"/>
      <c r="K129" s="5"/>
    </row>
    <row r="130" spans="9:11" ht="14.25" customHeight="1">
      <c r="I130" s="4"/>
      <c r="J130" s="5"/>
      <c r="K130" s="5"/>
    </row>
    <row r="131" spans="9:11" ht="14.25" customHeight="1">
      <c r="I131" s="4"/>
      <c r="J131" s="5"/>
      <c r="K131" s="5"/>
    </row>
    <row r="132" spans="9:11" ht="14.25" customHeight="1">
      <c r="I132" s="4"/>
      <c r="J132" s="5"/>
      <c r="K132" s="5"/>
    </row>
    <row r="133" spans="9:11" ht="14.25" customHeight="1">
      <c r="I133" s="4"/>
      <c r="J133" s="5"/>
      <c r="K133" s="5"/>
    </row>
    <row r="134" spans="9:11" ht="14.25" customHeight="1">
      <c r="I134" s="4"/>
      <c r="J134" s="5"/>
      <c r="K134" s="5"/>
    </row>
    <row r="135" spans="9:11" ht="14.25" customHeight="1">
      <c r="I135" s="4"/>
      <c r="J135" s="5"/>
      <c r="K135" s="5"/>
    </row>
    <row r="136" spans="9:11" ht="14.25" customHeight="1">
      <c r="I136" s="4"/>
      <c r="J136" s="5"/>
      <c r="K136" s="5"/>
    </row>
    <row r="137" spans="9:11" ht="14.25" customHeight="1">
      <c r="I137" s="4"/>
      <c r="J137" s="5"/>
      <c r="K137" s="5"/>
    </row>
    <row r="138" spans="9:11" ht="14.25" customHeight="1">
      <c r="I138" s="4"/>
      <c r="J138" s="5"/>
      <c r="K138" s="5"/>
    </row>
    <row r="139" spans="9:11" ht="14.25" customHeight="1">
      <c r="I139" s="4"/>
      <c r="J139" s="5"/>
      <c r="K139" s="5"/>
    </row>
    <row r="140" spans="9:11" ht="14.25" customHeight="1">
      <c r="I140" s="4"/>
      <c r="J140" s="5"/>
      <c r="K140" s="5"/>
    </row>
    <row r="141" spans="9:11" ht="14.25" customHeight="1">
      <c r="I141" s="4"/>
      <c r="J141" s="5"/>
      <c r="K141" s="5"/>
    </row>
    <row r="142" spans="9:11" ht="14.25" customHeight="1">
      <c r="I142" s="4"/>
      <c r="J142" s="5"/>
      <c r="K142" s="5"/>
    </row>
    <row r="143" spans="9:11" ht="14.25" customHeight="1">
      <c r="I143" s="4"/>
      <c r="J143" s="5"/>
      <c r="K143" s="5"/>
    </row>
    <row r="144" spans="9:11" ht="14.25" customHeight="1">
      <c r="I144" s="4"/>
      <c r="J144" s="5"/>
      <c r="K144" s="5"/>
    </row>
    <row r="145" spans="9:11" ht="14.25" customHeight="1">
      <c r="I145" s="4"/>
      <c r="J145" s="5"/>
      <c r="K145" s="5"/>
    </row>
    <row r="146" spans="9:11" ht="14.25" customHeight="1">
      <c r="I146" s="4"/>
      <c r="J146" s="5"/>
      <c r="K146" s="5"/>
    </row>
    <row r="147" spans="9:11" ht="14.25" customHeight="1">
      <c r="I147" s="4"/>
      <c r="J147" s="5"/>
      <c r="K147" s="5"/>
    </row>
    <row r="148" spans="9:11" ht="14.25" customHeight="1">
      <c r="I148" s="4"/>
      <c r="J148" s="5"/>
      <c r="K148" s="5"/>
    </row>
    <row r="149" spans="9:11" ht="14.25" customHeight="1">
      <c r="I149" s="4"/>
      <c r="J149" s="5"/>
      <c r="K149" s="5"/>
    </row>
    <row r="150" spans="9:11" ht="14.25" customHeight="1">
      <c r="I150" s="4"/>
      <c r="J150" s="5"/>
      <c r="K150" s="5"/>
    </row>
    <row r="151" spans="9:11" ht="14.25" customHeight="1">
      <c r="I151" s="4"/>
      <c r="J151" s="5"/>
      <c r="K151" s="5"/>
    </row>
    <row r="152" spans="9:11" ht="14.25" customHeight="1">
      <c r="I152" s="4"/>
      <c r="J152" s="5"/>
      <c r="K152" s="5"/>
    </row>
    <row r="153" spans="9:11" ht="14.25" customHeight="1">
      <c r="I153" s="4"/>
      <c r="J153" s="5"/>
      <c r="K153" s="5"/>
    </row>
    <row r="154" spans="9:11" ht="14.25" customHeight="1">
      <c r="I154" s="4"/>
      <c r="J154" s="5"/>
      <c r="K154" s="5"/>
    </row>
    <row r="155" spans="9:11" ht="14.25" customHeight="1">
      <c r="I155" s="4"/>
      <c r="J155" s="5"/>
      <c r="K155" s="5"/>
    </row>
    <row r="156" spans="9:11" ht="14.25" customHeight="1">
      <c r="I156" s="4"/>
      <c r="J156" s="5"/>
      <c r="K156" s="5"/>
    </row>
    <row r="157" spans="9:11" ht="14.25" customHeight="1">
      <c r="I157" s="4"/>
      <c r="J157" s="5"/>
      <c r="K157" s="5"/>
    </row>
    <row r="158" spans="9:11" ht="14.25" customHeight="1">
      <c r="I158" s="4"/>
      <c r="J158" s="5"/>
      <c r="K158" s="5"/>
    </row>
    <row r="159" spans="9:11" ht="14.25" customHeight="1">
      <c r="I159" s="4"/>
      <c r="J159" s="5"/>
      <c r="K159" s="5"/>
    </row>
    <row r="160" spans="9:11" ht="14.25" customHeight="1">
      <c r="I160" s="4"/>
      <c r="J160" s="5"/>
      <c r="K160" s="5"/>
    </row>
    <row r="161" spans="9:11" ht="14.25" customHeight="1">
      <c r="I161" s="4"/>
      <c r="J161" s="5"/>
      <c r="K161" s="5"/>
    </row>
    <row r="162" spans="9:11" ht="14.25" customHeight="1">
      <c r="I162" s="4"/>
      <c r="J162" s="5"/>
      <c r="K162" s="5"/>
    </row>
    <row r="163" spans="9:11" ht="14.25" customHeight="1">
      <c r="I163" s="4"/>
      <c r="J163" s="5"/>
      <c r="K163" s="5"/>
    </row>
    <row r="164" spans="9:11" ht="14.25" customHeight="1">
      <c r="I164" s="4"/>
      <c r="J164" s="5"/>
      <c r="K164" s="5"/>
    </row>
    <row r="165" spans="9:11" ht="14.25" customHeight="1">
      <c r="I165" s="4"/>
      <c r="J165" s="5"/>
      <c r="K165" s="5"/>
    </row>
    <row r="166" spans="9:11" ht="14.25" customHeight="1">
      <c r="I166" s="4"/>
      <c r="J166" s="5"/>
      <c r="K166" s="5"/>
    </row>
    <row r="167" spans="9:11" ht="14.25" customHeight="1">
      <c r="I167" s="4"/>
      <c r="J167" s="5"/>
      <c r="K167" s="5"/>
    </row>
    <row r="168" spans="9:11" ht="14.25" customHeight="1">
      <c r="I168" s="4"/>
      <c r="J168" s="5"/>
      <c r="K168" s="5"/>
    </row>
    <row r="169" spans="9:11" ht="14.25" customHeight="1">
      <c r="I169" s="4"/>
      <c r="J169" s="5"/>
      <c r="K169" s="5"/>
    </row>
    <row r="170" spans="9:11" ht="14.25" customHeight="1">
      <c r="I170" s="4"/>
      <c r="J170" s="5"/>
      <c r="K170" s="5"/>
    </row>
    <row r="171" spans="9:11" ht="14.25" customHeight="1">
      <c r="I171" s="4"/>
      <c r="J171" s="5"/>
      <c r="K171" s="5"/>
    </row>
    <row r="172" spans="9:11" ht="14.25" customHeight="1">
      <c r="I172" s="4"/>
      <c r="J172" s="5"/>
      <c r="K172" s="5"/>
    </row>
    <row r="173" spans="9:11" ht="14.25" customHeight="1">
      <c r="I173" s="4"/>
      <c r="J173" s="5"/>
      <c r="K173" s="5"/>
    </row>
    <row r="174" spans="9:11" ht="14.25" customHeight="1">
      <c r="I174" s="4"/>
      <c r="J174" s="5"/>
      <c r="K174" s="5"/>
    </row>
    <row r="175" spans="9:11" ht="14.25" customHeight="1">
      <c r="I175" s="4"/>
      <c r="J175" s="5"/>
      <c r="K175" s="5"/>
    </row>
    <row r="176" spans="9:11" ht="14.25" customHeight="1">
      <c r="I176" s="4"/>
      <c r="J176" s="5"/>
      <c r="K176" s="5"/>
    </row>
    <row r="177" spans="9:11" ht="14.25" customHeight="1">
      <c r="I177" s="4"/>
      <c r="J177" s="5"/>
      <c r="K177" s="5"/>
    </row>
    <row r="178" spans="9:11" ht="14.25" customHeight="1">
      <c r="I178" s="4"/>
      <c r="J178" s="5"/>
      <c r="K178" s="5"/>
    </row>
    <row r="179" spans="9:11" ht="14.25" customHeight="1">
      <c r="I179" s="4"/>
      <c r="J179" s="5"/>
      <c r="K179" s="5"/>
    </row>
    <row r="180" spans="9:11" ht="14.25" customHeight="1">
      <c r="I180" s="4"/>
      <c r="J180" s="5"/>
      <c r="K180" s="5"/>
    </row>
    <row r="181" spans="9:11" ht="14.25" customHeight="1">
      <c r="I181" s="4"/>
      <c r="J181" s="5"/>
      <c r="K181" s="5"/>
    </row>
    <row r="182" spans="9:11" ht="14.25" customHeight="1">
      <c r="I182" s="4"/>
      <c r="J182" s="5"/>
      <c r="K182" s="5"/>
    </row>
    <row r="183" spans="9:11" ht="14.25" customHeight="1">
      <c r="I183" s="4"/>
      <c r="J183" s="5"/>
      <c r="K183" s="5"/>
    </row>
    <row r="184" spans="9:11" ht="14.25" customHeight="1">
      <c r="I184" s="4"/>
      <c r="J184" s="5"/>
      <c r="K184" s="5"/>
    </row>
    <row r="185" spans="9:11" ht="14.25" customHeight="1">
      <c r="I185" s="4"/>
      <c r="J185" s="5"/>
      <c r="K185" s="5"/>
    </row>
    <row r="186" spans="9:11" ht="14.25" customHeight="1">
      <c r="I186" s="4"/>
      <c r="J186" s="5"/>
      <c r="K186" s="5"/>
    </row>
    <row r="187" spans="9:11" ht="14.25" customHeight="1">
      <c r="I187" s="4"/>
      <c r="J187" s="5"/>
      <c r="K187" s="5"/>
    </row>
    <row r="188" spans="9:11" ht="14.25" customHeight="1">
      <c r="I188" s="4"/>
      <c r="J188" s="5"/>
      <c r="K188" s="5"/>
    </row>
    <row r="189" spans="9:11" ht="14.25" customHeight="1">
      <c r="I189" s="4"/>
      <c r="J189" s="5"/>
      <c r="K189" s="5"/>
    </row>
    <row r="190" spans="9:11" ht="14.25" customHeight="1">
      <c r="I190" s="4"/>
      <c r="J190" s="5"/>
      <c r="K190" s="5"/>
    </row>
    <row r="191" spans="9:11" ht="14.25" customHeight="1">
      <c r="I191" s="4"/>
      <c r="J191" s="5"/>
      <c r="K191" s="5"/>
    </row>
    <row r="192" spans="9:11" ht="14.25" customHeight="1">
      <c r="I192" s="4"/>
      <c r="J192" s="5"/>
      <c r="K192" s="5"/>
    </row>
    <row r="193" spans="9:11" ht="14.25" customHeight="1">
      <c r="I193" s="4"/>
      <c r="J193" s="5"/>
      <c r="K193" s="5"/>
    </row>
    <row r="194" spans="9:11" ht="14.25" customHeight="1">
      <c r="I194" s="4"/>
      <c r="J194" s="5"/>
      <c r="K194" s="5"/>
    </row>
    <row r="195" spans="9:11" ht="14.25" customHeight="1">
      <c r="I195" s="4"/>
      <c r="J195" s="5"/>
      <c r="K195" s="5"/>
    </row>
    <row r="196" spans="9:11" ht="14.25" customHeight="1">
      <c r="I196" s="4"/>
      <c r="J196" s="5"/>
      <c r="K196" s="5"/>
    </row>
    <row r="197" spans="9:11" ht="14.25" customHeight="1">
      <c r="I197" s="4"/>
      <c r="J197" s="5"/>
      <c r="K197" s="5"/>
    </row>
    <row r="198" spans="9:11" ht="14.25" customHeight="1">
      <c r="I198" s="4"/>
      <c r="J198" s="5"/>
      <c r="K198" s="5"/>
    </row>
    <row r="199" spans="9:11" ht="14.25" customHeight="1">
      <c r="I199" s="4"/>
      <c r="J199" s="5"/>
      <c r="K199" s="5"/>
    </row>
    <row r="200" spans="9:11" ht="14.25" customHeight="1">
      <c r="I200" s="4"/>
      <c r="J200" s="5"/>
      <c r="K200" s="5"/>
    </row>
    <row r="201" spans="9:11" ht="14.25" customHeight="1">
      <c r="I201" s="4"/>
      <c r="J201" s="5"/>
      <c r="K201" s="5"/>
    </row>
    <row r="202" spans="9:11" ht="14.25" customHeight="1">
      <c r="I202" s="4"/>
      <c r="J202" s="5"/>
      <c r="K202" s="5"/>
    </row>
    <row r="203" spans="9:11" ht="14.25" customHeight="1">
      <c r="I203" s="4"/>
      <c r="J203" s="5"/>
      <c r="K203" s="5"/>
    </row>
    <row r="204" spans="9:11" ht="14.25" customHeight="1">
      <c r="I204" s="4"/>
      <c r="J204" s="5"/>
      <c r="K204" s="5"/>
    </row>
    <row r="205" spans="9:11" ht="14.25" customHeight="1">
      <c r="I205" s="4"/>
      <c r="J205" s="5"/>
      <c r="K205" s="5"/>
    </row>
    <row r="206" spans="9:11" ht="14.25" customHeight="1">
      <c r="I206" s="4"/>
      <c r="J206" s="5"/>
      <c r="K206" s="5"/>
    </row>
    <row r="207" spans="9:11" ht="14.25" customHeight="1">
      <c r="I207" s="4"/>
      <c r="J207" s="5"/>
      <c r="K207" s="5"/>
    </row>
    <row r="208" spans="9:11" ht="14.25" customHeight="1">
      <c r="I208" s="4"/>
      <c r="J208" s="5"/>
      <c r="K208" s="5"/>
    </row>
    <row r="209" spans="9:11" ht="14.25" customHeight="1">
      <c r="I209" s="4"/>
      <c r="J209" s="5"/>
      <c r="K209" s="5"/>
    </row>
    <row r="210" spans="9:11" ht="14.25" customHeight="1">
      <c r="I210" s="4"/>
      <c r="J210" s="5"/>
      <c r="K210" s="5"/>
    </row>
    <row r="211" spans="9:11" ht="14.25" customHeight="1">
      <c r="I211" s="4"/>
      <c r="J211" s="5"/>
      <c r="K211" s="5"/>
    </row>
    <row r="212" spans="9:11" ht="14.25" customHeight="1">
      <c r="I212" s="4"/>
      <c r="J212" s="5"/>
      <c r="K212" s="5"/>
    </row>
    <row r="213" spans="9:11" ht="14.25" customHeight="1">
      <c r="I213" s="4"/>
      <c r="J213" s="5"/>
      <c r="K213" s="5"/>
    </row>
    <row r="214" spans="9:11" ht="14.25" customHeight="1">
      <c r="I214" s="4"/>
      <c r="J214" s="5"/>
      <c r="K214" s="5"/>
    </row>
    <row r="215" spans="9:11" ht="14.25" customHeight="1">
      <c r="I215" s="4"/>
      <c r="J215" s="5"/>
      <c r="K215" s="5"/>
    </row>
    <row r="216" spans="9:11" ht="14.25" customHeight="1">
      <c r="I216" s="4"/>
      <c r="J216" s="5"/>
      <c r="K216" s="5"/>
    </row>
    <row r="217" spans="9:11" ht="14.25" customHeight="1">
      <c r="I217" s="4"/>
      <c r="J217" s="5"/>
      <c r="K217" s="5"/>
    </row>
    <row r="218" spans="9:11" ht="14.25" customHeight="1">
      <c r="I218" s="4"/>
      <c r="J218" s="5"/>
      <c r="K218" s="5"/>
    </row>
    <row r="219" spans="9:11" ht="14.25" customHeight="1">
      <c r="I219" s="4"/>
      <c r="J219" s="5"/>
      <c r="K219" s="5"/>
    </row>
    <row r="220" spans="9:11" ht="14.25" customHeight="1">
      <c r="I220" s="4"/>
      <c r="J220" s="5"/>
      <c r="K220" s="5"/>
    </row>
    <row r="221" spans="9:11" ht="14.25" customHeight="1">
      <c r="I221" s="4"/>
      <c r="J221" s="5"/>
      <c r="K221" s="5"/>
    </row>
    <row r="222" spans="9:11" ht="14.25" customHeight="1">
      <c r="I222" s="4"/>
      <c r="J222" s="5"/>
      <c r="K222" s="5"/>
    </row>
    <row r="223" spans="9:11" ht="14.25" customHeight="1">
      <c r="I223" s="4"/>
      <c r="J223" s="5"/>
      <c r="K223" s="5"/>
    </row>
    <row r="224" spans="9:11" ht="14.25" customHeight="1">
      <c r="I224" s="4"/>
      <c r="J224" s="5"/>
      <c r="K224" s="5"/>
    </row>
    <row r="225" spans="9:11" ht="14.25" customHeight="1">
      <c r="I225" s="4"/>
      <c r="J225" s="5"/>
      <c r="K225" s="5"/>
    </row>
    <row r="226" spans="9:11" ht="14.25" customHeight="1">
      <c r="I226" s="4"/>
      <c r="J226" s="5"/>
      <c r="K226" s="5"/>
    </row>
    <row r="227" spans="9:11" ht="14.25" customHeight="1">
      <c r="I227" s="4"/>
      <c r="J227" s="5"/>
      <c r="K227" s="5"/>
    </row>
    <row r="228" spans="9:11" ht="14.25" customHeight="1">
      <c r="I228" s="4"/>
      <c r="J228" s="5"/>
      <c r="K228" s="5"/>
    </row>
    <row r="229" spans="9:11" ht="14.25" customHeight="1">
      <c r="I229" s="4"/>
      <c r="J229" s="5"/>
      <c r="K229" s="5"/>
    </row>
    <row r="230" spans="9:11" ht="14.25" customHeight="1">
      <c r="I230" s="4"/>
      <c r="J230" s="5"/>
      <c r="K230" s="5"/>
    </row>
    <row r="231" spans="9:11" ht="14.25" customHeight="1">
      <c r="I231" s="4"/>
      <c r="J231" s="5"/>
      <c r="K231" s="5"/>
    </row>
    <row r="232" spans="9:11" ht="14.25" customHeight="1">
      <c r="I232" s="4"/>
      <c r="J232" s="5"/>
      <c r="K232" s="5"/>
    </row>
    <row r="233" spans="9:11" ht="14.25" customHeight="1">
      <c r="I233" s="4"/>
      <c r="J233" s="5"/>
      <c r="K233" s="5"/>
    </row>
    <row r="234" spans="9:11" ht="14.25" customHeight="1">
      <c r="I234" s="4"/>
      <c r="J234" s="5"/>
      <c r="K234" s="5"/>
    </row>
    <row r="235" spans="9:11" ht="14.25" customHeight="1">
      <c r="I235" s="4"/>
      <c r="J235" s="5"/>
      <c r="K235" s="5"/>
    </row>
    <row r="236" spans="9:11" ht="14.25" customHeight="1">
      <c r="I236" s="4"/>
      <c r="J236" s="5"/>
      <c r="K236" s="5"/>
    </row>
    <row r="237" spans="9:11" ht="14.25" customHeight="1">
      <c r="I237" s="4"/>
      <c r="J237" s="5"/>
      <c r="K237" s="5"/>
    </row>
    <row r="238" spans="9:11" ht="14.25" customHeight="1">
      <c r="I238" s="4"/>
      <c r="J238" s="5"/>
      <c r="K238" s="5"/>
    </row>
    <row r="239" spans="9:11" ht="14.25" customHeight="1">
      <c r="I239" s="4"/>
      <c r="J239" s="5"/>
      <c r="K239" s="5"/>
    </row>
    <row r="240" spans="9:11" ht="14.25" customHeight="1">
      <c r="I240" s="4"/>
      <c r="J240" s="5"/>
      <c r="K240" s="5"/>
    </row>
    <row r="241" spans="9:11" ht="14.25" customHeight="1">
      <c r="I241" s="4"/>
      <c r="J241" s="5"/>
      <c r="K241" s="5"/>
    </row>
    <row r="242" spans="9:11" ht="14.25" customHeight="1">
      <c r="I242" s="4"/>
      <c r="J242" s="5"/>
      <c r="K242" s="5"/>
    </row>
    <row r="243" spans="9:11" ht="14.25" customHeight="1">
      <c r="I243" s="4"/>
      <c r="J243" s="5"/>
      <c r="K243" s="5"/>
    </row>
    <row r="244" spans="9:11" ht="14.25" customHeight="1">
      <c r="I244" s="4"/>
      <c r="J244" s="5"/>
      <c r="K244" s="5"/>
    </row>
    <row r="245" spans="9:11" ht="14.25" customHeight="1">
      <c r="I245" s="4"/>
      <c r="J245" s="5"/>
      <c r="K245" s="5"/>
    </row>
    <row r="246" spans="9:11" ht="14.25" customHeight="1">
      <c r="I246" s="4"/>
      <c r="J246" s="5"/>
      <c r="K246" s="5"/>
    </row>
    <row r="247" spans="9:11" ht="14.25" customHeight="1">
      <c r="I247" s="4"/>
      <c r="J247" s="5"/>
      <c r="K247" s="5"/>
    </row>
    <row r="248" spans="9:11" ht="14.25" customHeight="1">
      <c r="I248" s="4"/>
      <c r="J248" s="5"/>
      <c r="K248" s="5"/>
    </row>
    <row r="249" spans="9:11" ht="14.25" customHeight="1">
      <c r="I249" s="4"/>
      <c r="J249" s="5"/>
      <c r="K249" s="5"/>
    </row>
    <row r="250" spans="9:11" ht="14.25" customHeight="1">
      <c r="I250" s="4"/>
      <c r="J250" s="5"/>
      <c r="K250" s="5"/>
    </row>
    <row r="251" spans="9:11" ht="14.25" customHeight="1">
      <c r="I251" s="4"/>
      <c r="J251" s="5"/>
      <c r="K251" s="5"/>
    </row>
    <row r="252" spans="9:11" ht="14.25" customHeight="1">
      <c r="I252" s="4"/>
      <c r="J252" s="5"/>
      <c r="K252" s="5"/>
    </row>
    <row r="253" spans="9:11" ht="14.25" customHeight="1">
      <c r="I253" s="4"/>
      <c r="J253" s="5"/>
      <c r="K253" s="5"/>
    </row>
    <row r="254" spans="9:11" ht="14.25" customHeight="1">
      <c r="I254" s="4"/>
      <c r="J254" s="5"/>
      <c r="K254" s="5"/>
    </row>
    <row r="255" spans="9:11" ht="14.25" customHeight="1">
      <c r="I255" s="4"/>
      <c r="J255" s="5"/>
      <c r="K255" s="5"/>
    </row>
    <row r="256" spans="9:11" ht="14.25" customHeight="1">
      <c r="I256" s="4"/>
      <c r="J256" s="5"/>
      <c r="K256" s="5"/>
    </row>
    <row r="257" spans="9:11" ht="14.25" customHeight="1">
      <c r="I257" s="4"/>
      <c r="J257" s="5"/>
      <c r="K257" s="5"/>
    </row>
    <row r="258" spans="9:11" ht="14.25" customHeight="1">
      <c r="I258" s="4"/>
      <c r="J258" s="5"/>
      <c r="K258" s="5"/>
    </row>
    <row r="259" spans="9:11" ht="14.25" customHeight="1">
      <c r="I259" s="4"/>
      <c r="J259" s="5"/>
      <c r="K259" s="5"/>
    </row>
    <row r="260" spans="9:11" ht="14.25" customHeight="1">
      <c r="I260" s="4"/>
      <c r="J260" s="5"/>
      <c r="K260" s="5"/>
    </row>
    <row r="261" spans="9:11" ht="14.25" customHeight="1">
      <c r="I261" s="4"/>
      <c r="J261" s="5"/>
      <c r="K261" s="5"/>
    </row>
    <row r="262" spans="9:11" ht="14.25" customHeight="1">
      <c r="I262" s="4"/>
      <c r="J262" s="5"/>
      <c r="K262" s="5"/>
    </row>
    <row r="263" spans="9:11" ht="14.25" customHeight="1">
      <c r="I263" s="4"/>
      <c r="J263" s="5"/>
      <c r="K263" s="5"/>
    </row>
    <row r="264" spans="9:11" ht="14.25" customHeight="1">
      <c r="I264" s="4"/>
      <c r="J264" s="5"/>
      <c r="K264" s="5"/>
    </row>
    <row r="265" spans="9:11" ht="14.25" customHeight="1">
      <c r="I265" s="4"/>
      <c r="J265" s="5"/>
      <c r="K265" s="5"/>
    </row>
    <row r="266" spans="9:11" ht="14.25" customHeight="1">
      <c r="I266" s="4"/>
      <c r="J266" s="5"/>
      <c r="K266" s="5"/>
    </row>
    <row r="267" spans="9:11" ht="14.25" customHeight="1">
      <c r="I267" s="4"/>
      <c r="J267" s="5"/>
      <c r="K267" s="5"/>
    </row>
    <row r="268" spans="9:11" ht="14.25" customHeight="1">
      <c r="I268" s="4"/>
      <c r="J268" s="5"/>
      <c r="K268" s="5"/>
    </row>
    <row r="269" spans="9:11" ht="14.25" customHeight="1">
      <c r="I269" s="4"/>
      <c r="J269" s="5"/>
      <c r="K269" s="5"/>
    </row>
    <row r="270" spans="9:11" ht="14.25" customHeight="1">
      <c r="I270" s="4"/>
      <c r="J270" s="5"/>
      <c r="K270" s="5"/>
    </row>
    <row r="271" spans="9:11" ht="14.25" customHeight="1">
      <c r="I271" s="4"/>
      <c r="J271" s="5"/>
      <c r="K271" s="5"/>
    </row>
    <row r="272" spans="9:11" ht="14.25" customHeight="1">
      <c r="I272" s="4"/>
      <c r="J272" s="5"/>
      <c r="K272" s="5"/>
    </row>
    <row r="273" spans="9:11" ht="14.25" customHeight="1">
      <c r="I273" s="4"/>
      <c r="J273" s="5"/>
      <c r="K273" s="5"/>
    </row>
    <row r="274" spans="9:11" ht="14.25" customHeight="1">
      <c r="I274" s="4"/>
      <c r="J274" s="5"/>
      <c r="K274" s="5"/>
    </row>
    <row r="275" spans="9:11" ht="14.25" customHeight="1">
      <c r="I275" s="4"/>
      <c r="J275" s="5"/>
      <c r="K275" s="5"/>
    </row>
    <row r="276" spans="9:11" ht="14.25" customHeight="1">
      <c r="I276" s="4"/>
      <c r="J276" s="5"/>
      <c r="K276" s="5"/>
    </row>
    <row r="277" spans="9:11" ht="14.25" customHeight="1">
      <c r="I277" s="4"/>
      <c r="J277" s="5"/>
      <c r="K277" s="5"/>
    </row>
    <row r="278" spans="9:11" ht="14.25" customHeight="1">
      <c r="I278" s="4"/>
      <c r="J278" s="5"/>
      <c r="K278" s="5"/>
    </row>
    <row r="279" spans="9:11" ht="14.25" customHeight="1">
      <c r="I279" s="4"/>
      <c r="J279" s="5"/>
      <c r="K279" s="5"/>
    </row>
    <row r="280" spans="9:11" ht="14.25" customHeight="1">
      <c r="I280" s="4"/>
      <c r="J280" s="5"/>
      <c r="K280" s="5"/>
    </row>
    <row r="281" spans="9:11" ht="14.25" customHeight="1">
      <c r="I281" s="4"/>
      <c r="J281" s="5"/>
      <c r="K281" s="5"/>
    </row>
    <row r="282" spans="9:11" ht="14.25" customHeight="1">
      <c r="I282" s="4"/>
      <c r="J282" s="5"/>
      <c r="K282" s="5"/>
    </row>
    <row r="283" spans="9:11" ht="14.25" customHeight="1">
      <c r="I283" s="4"/>
      <c r="J283" s="5"/>
      <c r="K283" s="5"/>
    </row>
    <row r="284" spans="9:11" ht="14.25" customHeight="1">
      <c r="I284" s="4"/>
      <c r="J284" s="5"/>
      <c r="K284" s="5"/>
    </row>
    <row r="285" spans="9:11" ht="14.25" customHeight="1">
      <c r="I285" s="4"/>
      <c r="J285" s="5"/>
      <c r="K285" s="5"/>
    </row>
    <row r="286" spans="9:11" ht="14.25" customHeight="1">
      <c r="I286" s="4"/>
      <c r="J286" s="5"/>
      <c r="K286" s="5"/>
    </row>
    <row r="287" spans="9:11" ht="14.25" customHeight="1">
      <c r="I287" s="4"/>
      <c r="J287" s="5"/>
      <c r="K287" s="5"/>
    </row>
    <row r="288" spans="9:11" ht="14.25" customHeight="1">
      <c r="I288" s="4"/>
      <c r="J288" s="5"/>
      <c r="K288" s="5"/>
    </row>
    <row r="289" spans="9:11" ht="14.25" customHeight="1">
      <c r="I289" s="4"/>
      <c r="J289" s="5"/>
      <c r="K289" s="5"/>
    </row>
    <row r="290" spans="9:11" ht="14.25" customHeight="1">
      <c r="I290" s="4"/>
      <c r="J290" s="5"/>
      <c r="K290" s="5"/>
    </row>
    <row r="291" spans="9:11" ht="14.25" customHeight="1">
      <c r="I291" s="4"/>
      <c r="J291" s="5"/>
      <c r="K291" s="5"/>
    </row>
    <row r="292" spans="9:11" ht="14.25" customHeight="1">
      <c r="I292" s="4"/>
      <c r="J292" s="5"/>
      <c r="K292" s="5"/>
    </row>
    <row r="293" spans="9:11" ht="14.25" customHeight="1">
      <c r="I293" s="4"/>
      <c r="J293" s="5"/>
      <c r="K293" s="5"/>
    </row>
    <row r="294" spans="9:11" ht="14.25" customHeight="1">
      <c r="I294" s="4"/>
      <c r="J294" s="5"/>
      <c r="K294" s="5"/>
    </row>
    <row r="295" spans="9:11" ht="14.25" customHeight="1">
      <c r="I295" s="4"/>
      <c r="J295" s="5"/>
      <c r="K295" s="5"/>
    </row>
    <row r="296" spans="9:11" ht="14.25" customHeight="1">
      <c r="I296" s="4"/>
      <c r="J296" s="5"/>
      <c r="K296" s="5"/>
    </row>
    <row r="297" spans="9:11" ht="14.25" customHeight="1">
      <c r="I297" s="4"/>
      <c r="J297" s="5"/>
      <c r="K297" s="5"/>
    </row>
    <row r="298" spans="9:11" ht="14.25" customHeight="1">
      <c r="I298" s="4"/>
      <c r="J298" s="5"/>
      <c r="K298" s="5"/>
    </row>
    <row r="299" spans="9:11" ht="14.25" customHeight="1">
      <c r="I299" s="4"/>
      <c r="J299" s="5"/>
      <c r="K299" s="5"/>
    </row>
    <row r="300" spans="9:11" ht="14.25" customHeight="1">
      <c r="I300" s="4"/>
      <c r="J300" s="5"/>
      <c r="K300" s="5"/>
    </row>
    <row r="301" spans="9:11" ht="14.25" customHeight="1">
      <c r="I301" s="4"/>
      <c r="J301" s="5"/>
      <c r="K301" s="5"/>
    </row>
    <row r="302" spans="9:11" ht="14.25" customHeight="1">
      <c r="I302" s="4"/>
      <c r="J302" s="5"/>
      <c r="K302" s="5"/>
    </row>
    <row r="303" spans="9:11" ht="14.25" customHeight="1">
      <c r="I303" s="4"/>
      <c r="J303" s="5"/>
      <c r="K303" s="5"/>
    </row>
    <row r="304" spans="9:11" ht="14.25" customHeight="1">
      <c r="I304" s="4"/>
      <c r="J304" s="5"/>
      <c r="K304" s="5"/>
    </row>
    <row r="305" spans="9:11" ht="14.25" customHeight="1">
      <c r="I305" s="4"/>
      <c r="J305" s="5"/>
      <c r="K305" s="5"/>
    </row>
    <row r="306" spans="9:11" ht="14.25" customHeight="1">
      <c r="I306" s="4"/>
      <c r="J306" s="5"/>
      <c r="K306" s="5"/>
    </row>
    <row r="307" spans="9:11" ht="14.25" customHeight="1">
      <c r="I307" s="4"/>
      <c r="J307" s="5"/>
      <c r="K307" s="5"/>
    </row>
    <row r="308" spans="9:11" ht="14.25" customHeight="1">
      <c r="I308" s="4"/>
      <c r="J308" s="5"/>
      <c r="K308" s="5"/>
    </row>
    <row r="309" spans="9:11" ht="14.25" customHeight="1">
      <c r="I309" s="4"/>
      <c r="J309" s="5"/>
      <c r="K309" s="5"/>
    </row>
    <row r="310" spans="9:11" ht="14.25" customHeight="1">
      <c r="I310" s="4"/>
      <c r="J310" s="5"/>
      <c r="K310" s="5"/>
    </row>
    <row r="311" spans="9:11" ht="14.25" customHeight="1">
      <c r="I311" s="4"/>
      <c r="J311" s="5"/>
      <c r="K311" s="5"/>
    </row>
    <row r="312" spans="9:11" ht="14.25" customHeight="1">
      <c r="I312" s="4"/>
      <c r="J312" s="5"/>
      <c r="K312" s="5"/>
    </row>
    <row r="313" spans="9:11" ht="14.25" customHeight="1">
      <c r="I313" s="4"/>
      <c r="J313" s="5"/>
      <c r="K313" s="5"/>
    </row>
    <row r="314" spans="9:11" ht="14.25" customHeight="1">
      <c r="I314" s="4"/>
      <c r="J314" s="5"/>
      <c r="K314" s="5"/>
    </row>
    <row r="315" spans="9:11" ht="14.25" customHeight="1">
      <c r="I315" s="4"/>
      <c r="J315" s="5"/>
      <c r="K315" s="5"/>
    </row>
    <row r="316" spans="9:11" ht="14.25" customHeight="1">
      <c r="I316" s="4"/>
      <c r="J316" s="5"/>
      <c r="K316" s="5"/>
    </row>
    <row r="317" spans="9:11" ht="14.25" customHeight="1">
      <c r="I317" s="4"/>
      <c r="J317" s="5"/>
      <c r="K317" s="5"/>
    </row>
    <row r="318" spans="9:11" ht="14.25" customHeight="1">
      <c r="I318" s="4"/>
      <c r="J318" s="5"/>
      <c r="K318" s="5"/>
    </row>
    <row r="319" spans="9:11" ht="14.25" customHeight="1">
      <c r="I319" s="4"/>
      <c r="J319" s="5"/>
      <c r="K319" s="5"/>
    </row>
    <row r="320" spans="9:11" ht="14.25" customHeight="1">
      <c r="I320" s="4"/>
      <c r="J320" s="5"/>
      <c r="K320" s="5"/>
    </row>
    <row r="321" spans="9:11" ht="14.25" customHeight="1">
      <c r="I321" s="4"/>
      <c r="J321" s="5"/>
      <c r="K321" s="5"/>
    </row>
    <row r="322" spans="9:11" ht="14.25" customHeight="1">
      <c r="I322" s="4"/>
      <c r="J322" s="5"/>
      <c r="K322" s="5"/>
    </row>
    <row r="323" spans="9:11" ht="14.25" customHeight="1">
      <c r="I323" s="4"/>
      <c r="J323" s="5"/>
      <c r="K323" s="5"/>
    </row>
    <row r="324" spans="9:11" ht="14.25" customHeight="1">
      <c r="I324" s="4"/>
      <c r="J324" s="5"/>
      <c r="K324" s="5"/>
    </row>
    <row r="325" spans="9:11" ht="14.25" customHeight="1">
      <c r="I325" s="4"/>
      <c r="J325" s="5"/>
      <c r="K325" s="5"/>
    </row>
    <row r="326" spans="9:11" ht="14.25" customHeight="1">
      <c r="I326" s="4"/>
      <c r="J326" s="5"/>
      <c r="K326" s="5"/>
    </row>
    <row r="327" spans="9:11" ht="14.25" customHeight="1">
      <c r="I327" s="4"/>
      <c r="J327" s="5"/>
      <c r="K327" s="5"/>
    </row>
    <row r="328" spans="9:11" ht="14.25" customHeight="1">
      <c r="I328" s="4"/>
      <c r="J328" s="5"/>
      <c r="K328" s="5"/>
    </row>
    <row r="329" spans="9:11" ht="14.25" customHeight="1">
      <c r="I329" s="4"/>
      <c r="J329" s="5"/>
      <c r="K329" s="5"/>
    </row>
    <row r="330" spans="9:11" ht="14.25" customHeight="1">
      <c r="I330" s="4"/>
      <c r="J330" s="5"/>
      <c r="K330" s="5"/>
    </row>
    <row r="331" spans="9:11" ht="14.25" customHeight="1">
      <c r="I331" s="4"/>
      <c r="J331" s="5"/>
      <c r="K331" s="5"/>
    </row>
    <row r="332" spans="9:11" ht="14.25" customHeight="1">
      <c r="I332" s="4"/>
      <c r="J332" s="5"/>
      <c r="K332" s="5"/>
    </row>
    <row r="333" spans="9:11" ht="14.25" customHeight="1">
      <c r="I333" s="4"/>
      <c r="J333" s="5"/>
      <c r="K333" s="5"/>
    </row>
    <row r="334" spans="9:11" ht="14.25" customHeight="1">
      <c r="I334" s="4"/>
      <c r="J334" s="5"/>
      <c r="K334" s="5"/>
    </row>
    <row r="335" spans="9:11" ht="14.25" customHeight="1">
      <c r="I335" s="4"/>
      <c r="J335" s="5"/>
      <c r="K335" s="5"/>
    </row>
    <row r="336" spans="9:11" ht="14.25" customHeight="1">
      <c r="I336" s="4"/>
      <c r="J336" s="5"/>
      <c r="K336" s="5"/>
    </row>
    <row r="337" spans="9:11" ht="14.25" customHeight="1">
      <c r="I337" s="4"/>
      <c r="J337" s="5"/>
      <c r="K337" s="5"/>
    </row>
    <row r="338" spans="9:11" ht="14.25" customHeight="1">
      <c r="I338" s="4"/>
      <c r="J338" s="5"/>
      <c r="K338" s="5"/>
    </row>
    <row r="339" spans="9:11" ht="14.25" customHeight="1">
      <c r="I339" s="4"/>
      <c r="J339" s="5"/>
      <c r="K339" s="5"/>
    </row>
    <row r="340" spans="9:11" ht="14.25" customHeight="1">
      <c r="I340" s="4"/>
      <c r="J340" s="5"/>
      <c r="K340" s="5"/>
    </row>
    <row r="341" spans="9:11" ht="14.25" customHeight="1">
      <c r="I341" s="4"/>
      <c r="J341" s="5"/>
      <c r="K341" s="5"/>
    </row>
    <row r="342" spans="9:11" ht="14.25" customHeight="1">
      <c r="I342" s="4"/>
      <c r="J342" s="5"/>
      <c r="K342" s="5"/>
    </row>
    <row r="343" spans="9:11" ht="14.25" customHeight="1">
      <c r="I343" s="4"/>
      <c r="J343" s="5"/>
      <c r="K343" s="5"/>
    </row>
    <row r="344" spans="9:11" ht="14.25" customHeight="1">
      <c r="I344" s="4"/>
      <c r="J344" s="5"/>
      <c r="K344" s="5"/>
    </row>
    <row r="345" spans="9:11" ht="14.25" customHeight="1">
      <c r="I345" s="4"/>
      <c r="J345" s="5"/>
      <c r="K345" s="5"/>
    </row>
    <row r="346" spans="9:11" ht="14.25" customHeight="1">
      <c r="I346" s="4"/>
      <c r="J346" s="5"/>
      <c r="K346" s="5"/>
    </row>
    <row r="347" spans="9:11" ht="14.25" customHeight="1">
      <c r="I347" s="4"/>
      <c r="J347" s="5"/>
      <c r="K347" s="5"/>
    </row>
    <row r="348" spans="9:11" ht="14.25" customHeight="1">
      <c r="I348" s="4"/>
      <c r="J348" s="5"/>
      <c r="K348" s="5"/>
    </row>
    <row r="349" spans="9:11" ht="14.25" customHeight="1">
      <c r="I349" s="4"/>
      <c r="J349" s="5"/>
      <c r="K349" s="5"/>
    </row>
    <row r="350" spans="9:11" ht="14.25" customHeight="1">
      <c r="I350" s="4"/>
      <c r="J350" s="5"/>
      <c r="K350" s="5"/>
    </row>
    <row r="351" spans="9:11" ht="14.25" customHeight="1">
      <c r="I351" s="4"/>
      <c r="J351" s="5"/>
      <c r="K351" s="5"/>
    </row>
    <row r="352" spans="9:11" ht="14.25" customHeight="1">
      <c r="I352" s="4"/>
      <c r="J352" s="5"/>
      <c r="K352" s="5"/>
    </row>
    <row r="353" spans="9:11" ht="14.25" customHeight="1">
      <c r="I353" s="4"/>
      <c r="J353" s="5"/>
      <c r="K353" s="5"/>
    </row>
    <row r="354" spans="9:11" ht="14.25" customHeight="1">
      <c r="I354" s="4"/>
      <c r="J354" s="5"/>
      <c r="K354" s="5"/>
    </row>
    <row r="355" spans="9:11" ht="14.25" customHeight="1">
      <c r="I355" s="4"/>
      <c r="J355" s="5"/>
      <c r="K355" s="5"/>
    </row>
    <row r="356" spans="9:11" ht="14.25" customHeight="1">
      <c r="I356" s="4"/>
      <c r="J356" s="5"/>
      <c r="K356" s="5"/>
    </row>
    <row r="357" spans="9:11" ht="14.25" customHeight="1">
      <c r="I357" s="4"/>
      <c r="J357" s="5"/>
      <c r="K357" s="5"/>
    </row>
    <row r="358" spans="9:11" ht="14.25" customHeight="1">
      <c r="I358" s="4"/>
      <c r="J358" s="5"/>
      <c r="K358" s="5"/>
    </row>
    <row r="359" spans="9:11" ht="14.25" customHeight="1">
      <c r="I359" s="4"/>
      <c r="J359" s="5"/>
      <c r="K359" s="5"/>
    </row>
    <row r="360" spans="9:11" ht="14.25" customHeight="1">
      <c r="I360" s="4"/>
      <c r="J360" s="5"/>
      <c r="K360" s="5"/>
    </row>
    <row r="361" spans="9:11" ht="14.25" customHeight="1">
      <c r="I361" s="4"/>
      <c r="J361" s="5"/>
      <c r="K361" s="5"/>
    </row>
    <row r="362" spans="9:11" ht="14.25" customHeight="1">
      <c r="I362" s="4"/>
      <c r="J362" s="5"/>
      <c r="K362" s="5"/>
    </row>
    <row r="363" spans="9:11" ht="14.25" customHeight="1">
      <c r="I363" s="4"/>
      <c r="J363" s="5"/>
      <c r="K363" s="5"/>
    </row>
    <row r="364" spans="9:11" ht="14.25" customHeight="1">
      <c r="I364" s="4"/>
      <c r="J364" s="5"/>
      <c r="K364" s="5"/>
    </row>
    <row r="365" spans="9:11" ht="14.25" customHeight="1">
      <c r="I365" s="4"/>
      <c r="J365" s="5"/>
      <c r="K365" s="5"/>
    </row>
    <row r="366" spans="9:11" ht="14.25" customHeight="1">
      <c r="I366" s="4"/>
      <c r="J366" s="5"/>
      <c r="K366" s="5"/>
    </row>
    <row r="367" spans="9:11" ht="14.25" customHeight="1">
      <c r="I367" s="4"/>
      <c r="J367" s="5"/>
      <c r="K367" s="5"/>
    </row>
    <row r="368" spans="9:11" ht="14.25" customHeight="1">
      <c r="I368" s="4"/>
      <c r="J368" s="5"/>
      <c r="K368" s="5"/>
    </row>
    <row r="369" spans="9:11" ht="14.25" customHeight="1">
      <c r="I369" s="4"/>
      <c r="J369" s="5"/>
      <c r="K369" s="5"/>
    </row>
    <row r="370" spans="9:11" ht="14.25" customHeight="1">
      <c r="I370" s="4"/>
      <c r="J370" s="5"/>
      <c r="K370" s="5"/>
    </row>
    <row r="371" spans="9:11" ht="14.25" customHeight="1">
      <c r="I371" s="4"/>
      <c r="J371" s="5"/>
      <c r="K371" s="5"/>
    </row>
    <row r="372" spans="9:11" ht="14.25" customHeight="1">
      <c r="I372" s="4"/>
      <c r="J372" s="5"/>
      <c r="K372" s="5"/>
    </row>
    <row r="373" spans="9:11" ht="14.25" customHeight="1">
      <c r="I373" s="4"/>
      <c r="J373" s="5"/>
      <c r="K373" s="5"/>
    </row>
    <row r="374" spans="9:11" ht="14.25" customHeight="1">
      <c r="I374" s="4"/>
      <c r="J374" s="5"/>
      <c r="K374" s="5"/>
    </row>
    <row r="375" spans="9:11" ht="14.25" customHeight="1">
      <c r="I375" s="4"/>
      <c r="J375" s="5"/>
      <c r="K375" s="5"/>
    </row>
    <row r="376" spans="9:11" ht="14.25" customHeight="1">
      <c r="I376" s="4"/>
      <c r="J376" s="5"/>
      <c r="K376" s="5"/>
    </row>
    <row r="377" spans="9:11" ht="14.25" customHeight="1">
      <c r="I377" s="4"/>
      <c r="J377" s="5"/>
      <c r="K377" s="5"/>
    </row>
    <row r="378" spans="9:11" ht="14.25" customHeight="1">
      <c r="I378" s="4"/>
      <c r="J378" s="5"/>
      <c r="K378" s="5"/>
    </row>
    <row r="379" spans="9:11" ht="14.25" customHeight="1">
      <c r="I379" s="4"/>
      <c r="J379" s="5"/>
      <c r="K379" s="5"/>
    </row>
    <row r="380" spans="9:11" ht="14.25" customHeight="1">
      <c r="I380" s="4"/>
      <c r="J380" s="5"/>
      <c r="K380" s="5"/>
    </row>
    <row r="381" spans="9:11" ht="14.25" customHeight="1">
      <c r="I381" s="4"/>
      <c r="J381" s="5"/>
      <c r="K381" s="5"/>
    </row>
    <row r="382" spans="9:11" ht="14.25" customHeight="1">
      <c r="I382" s="4"/>
      <c r="J382" s="5"/>
      <c r="K382" s="5"/>
    </row>
    <row r="383" spans="9:11" ht="14.25" customHeight="1">
      <c r="I383" s="4"/>
      <c r="J383" s="5"/>
      <c r="K383" s="5"/>
    </row>
    <row r="384" spans="9:11" ht="14.25" customHeight="1">
      <c r="I384" s="4"/>
      <c r="J384" s="5"/>
      <c r="K384" s="5"/>
    </row>
    <row r="385" spans="9:11" ht="14.25" customHeight="1">
      <c r="I385" s="4"/>
      <c r="J385" s="5"/>
      <c r="K385" s="5"/>
    </row>
    <row r="386" spans="9:11" ht="14.25" customHeight="1">
      <c r="I386" s="4"/>
      <c r="J386" s="5"/>
      <c r="K386" s="5"/>
    </row>
    <row r="387" spans="9:11" ht="14.25" customHeight="1">
      <c r="I387" s="4"/>
      <c r="J387" s="5"/>
      <c r="K387" s="5"/>
    </row>
    <row r="388" spans="9:11" ht="14.25" customHeight="1">
      <c r="I388" s="4"/>
      <c r="J388" s="5"/>
      <c r="K388" s="5"/>
    </row>
    <row r="389" spans="9:11" ht="14.25" customHeight="1">
      <c r="I389" s="4"/>
      <c r="J389" s="5"/>
      <c r="K389" s="5"/>
    </row>
    <row r="390" spans="9:11" ht="14.25" customHeight="1">
      <c r="I390" s="4"/>
      <c r="J390" s="5"/>
      <c r="K390" s="5"/>
    </row>
    <row r="391" spans="9:11" ht="14.25" customHeight="1">
      <c r="I391" s="4"/>
      <c r="J391" s="5"/>
      <c r="K391" s="5"/>
    </row>
    <row r="392" spans="9:11" ht="14.25" customHeight="1">
      <c r="I392" s="4"/>
      <c r="J392" s="5"/>
      <c r="K392" s="5"/>
    </row>
    <row r="393" spans="9:11" ht="14.25" customHeight="1">
      <c r="I393" s="4"/>
      <c r="J393" s="5"/>
      <c r="K393" s="5"/>
    </row>
    <row r="394" spans="9:11" ht="14.25" customHeight="1">
      <c r="I394" s="4"/>
      <c r="J394" s="5"/>
      <c r="K394" s="5"/>
    </row>
    <row r="395" spans="9:11" ht="14.25" customHeight="1">
      <c r="I395" s="4"/>
      <c r="J395" s="5"/>
      <c r="K395" s="5"/>
    </row>
    <row r="396" spans="9:11" ht="14.25" customHeight="1">
      <c r="I396" s="4"/>
      <c r="J396" s="5"/>
      <c r="K396" s="5"/>
    </row>
    <row r="397" spans="9:11" ht="14.25" customHeight="1">
      <c r="I397" s="4"/>
      <c r="J397" s="5"/>
      <c r="K397" s="5"/>
    </row>
    <row r="398" spans="9:11" ht="14.25" customHeight="1">
      <c r="I398" s="4"/>
      <c r="J398" s="5"/>
      <c r="K398" s="5"/>
    </row>
    <row r="399" spans="9:11" ht="14.25" customHeight="1">
      <c r="I399" s="4"/>
      <c r="J399" s="5"/>
      <c r="K399" s="5"/>
    </row>
    <row r="400" spans="9:11" ht="14.25" customHeight="1">
      <c r="I400" s="4"/>
      <c r="J400" s="5"/>
      <c r="K400" s="5"/>
    </row>
    <row r="401" spans="9:11" ht="14.25" customHeight="1">
      <c r="I401" s="4"/>
      <c r="J401" s="5"/>
      <c r="K401" s="5"/>
    </row>
    <row r="402" spans="9:11" ht="14.25" customHeight="1">
      <c r="I402" s="4"/>
      <c r="J402" s="5"/>
      <c r="K402" s="5"/>
    </row>
    <row r="403" spans="9:11" ht="14.25" customHeight="1">
      <c r="I403" s="4"/>
      <c r="J403" s="5"/>
      <c r="K403" s="5"/>
    </row>
    <row r="404" spans="9:11" ht="14.25" customHeight="1">
      <c r="I404" s="4"/>
      <c r="J404" s="5"/>
      <c r="K404" s="5"/>
    </row>
    <row r="405" spans="9:11" ht="14.25" customHeight="1">
      <c r="I405" s="4"/>
      <c r="J405" s="5"/>
      <c r="K405" s="5"/>
    </row>
    <row r="406" spans="9:11" ht="14.25" customHeight="1">
      <c r="I406" s="4"/>
      <c r="J406" s="5"/>
      <c r="K406" s="5"/>
    </row>
    <row r="407" spans="9:11" ht="14.25" customHeight="1">
      <c r="I407" s="4"/>
      <c r="J407" s="5"/>
      <c r="K407" s="5"/>
    </row>
    <row r="408" spans="9:11" ht="14.25" customHeight="1">
      <c r="I408" s="4"/>
      <c r="J408" s="5"/>
      <c r="K408" s="5"/>
    </row>
    <row r="409" spans="9:11" ht="14.25" customHeight="1">
      <c r="I409" s="4"/>
      <c r="J409" s="5"/>
      <c r="K409" s="5"/>
    </row>
    <row r="410" spans="9:11" ht="14.25" customHeight="1">
      <c r="I410" s="4"/>
      <c r="J410" s="5"/>
      <c r="K410" s="5"/>
    </row>
    <row r="411" spans="9:11" ht="14.25" customHeight="1">
      <c r="I411" s="4"/>
      <c r="J411" s="5"/>
      <c r="K411" s="5"/>
    </row>
    <row r="412" spans="9:11" ht="14.25" customHeight="1">
      <c r="I412" s="4"/>
      <c r="J412" s="5"/>
      <c r="K412" s="5"/>
    </row>
    <row r="413" spans="9:11" ht="14.25" customHeight="1">
      <c r="I413" s="4"/>
      <c r="J413" s="5"/>
      <c r="K413" s="5"/>
    </row>
    <row r="414" spans="9:11" ht="14.25" customHeight="1">
      <c r="I414" s="4"/>
      <c r="J414" s="5"/>
      <c r="K414" s="5"/>
    </row>
    <row r="415" spans="9:11" ht="14.25" customHeight="1">
      <c r="I415" s="4"/>
      <c r="J415" s="5"/>
      <c r="K415" s="5"/>
    </row>
    <row r="416" spans="9:11" ht="14.25" customHeight="1">
      <c r="I416" s="4"/>
      <c r="J416" s="5"/>
      <c r="K416" s="5"/>
    </row>
    <row r="417" spans="9:11" ht="14.25" customHeight="1">
      <c r="I417" s="4"/>
      <c r="J417" s="5"/>
      <c r="K417" s="5"/>
    </row>
    <row r="418" spans="9:11" ht="14.25" customHeight="1">
      <c r="I418" s="4"/>
      <c r="J418" s="5"/>
      <c r="K418" s="5"/>
    </row>
    <row r="419" spans="9:11" ht="14.25" customHeight="1">
      <c r="I419" s="4"/>
      <c r="J419" s="5"/>
      <c r="K419" s="5"/>
    </row>
    <row r="420" spans="9:11" ht="14.25" customHeight="1">
      <c r="I420" s="4"/>
      <c r="J420" s="5"/>
      <c r="K420" s="5"/>
    </row>
    <row r="421" spans="9:11" ht="14.25" customHeight="1">
      <c r="I421" s="4"/>
      <c r="J421" s="5"/>
      <c r="K421" s="5"/>
    </row>
    <row r="422" spans="9:11" ht="14.25" customHeight="1">
      <c r="I422" s="4"/>
      <c r="J422" s="5"/>
      <c r="K422" s="5"/>
    </row>
    <row r="423" spans="9:11" ht="14.25" customHeight="1">
      <c r="I423" s="4"/>
      <c r="J423" s="5"/>
      <c r="K423" s="5"/>
    </row>
    <row r="424" spans="9:11" ht="14.25" customHeight="1">
      <c r="I424" s="4"/>
      <c r="J424" s="5"/>
      <c r="K424" s="5"/>
    </row>
    <row r="425" spans="9:11" ht="14.25" customHeight="1">
      <c r="I425" s="4"/>
      <c r="J425" s="5"/>
      <c r="K425" s="5"/>
    </row>
    <row r="426" spans="9:11" ht="14.25" customHeight="1">
      <c r="I426" s="4"/>
      <c r="J426" s="5"/>
      <c r="K426" s="5"/>
    </row>
    <row r="427" spans="9:11" ht="14.25" customHeight="1">
      <c r="I427" s="4"/>
      <c r="J427" s="5"/>
      <c r="K427" s="5"/>
    </row>
    <row r="428" spans="9:11" ht="14.25" customHeight="1">
      <c r="I428" s="4"/>
      <c r="J428" s="5"/>
      <c r="K428" s="5"/>
    </row>
    <row r="429" spans="9:11" ht="14.25" customHeight="1">
      <c r="I429" s="4"/>
      <c r="J429" s="5"/>
      <c r="K429" s="5"/>
    </row>
    <row r="430" spans="9:11" ht="14.25" customHeight="1">
      <c r="I430" s="4"/>
      <c r="J430" s="5"/>
      <c r="K430" s="5"/>
    </row>
    <row r="431" spans="9:11" ht="14.25" customHeight="1">
      <c r="I431" s="4"/>
      <c r="J431" s="5"/>
      <c r="K431" s="5"/>
    </row>
    <row r="432" spans="9:11" ht="14.25" customHeight="1">
      <c r="I432" s="4"/>
      <c r="J432" s="5"/>
      <c r="K432" s="5"/>
    </row>
    <row r="433" spans="9:11" ht="14.25" customHeight="1">
      <c r="I433" s="4"/>
      <c r="J433" s="5"/>
      <c r="K433" s="5"/>
    </row>
    <row r="434" spans="9:11" ht="14.25" customHeight="1">
      <c r="I434" s="4"/>
      <c r="J434" s="5"/>
      <c r="K434" s="5"/>
    </row>
    <row r="435" spans="9:11" ht="14.25" customHeight="1">
      <c r="I435" s="4"/>
      <c r="J435" s="5"/>
      <c r="K435" s="5"/>
    </row>
    <row r="436" spans="9:11" ht="14.25" customHeight="1">
      <c r="I436" s="4"/>
      <c r="J436" s="5"/>
      <c r="K436" s="5"/>
    </row>
    <row r="437" spans="9:11" ht="14.25" customHeight="1">
      <c r="I437" s="4"/>
      <c r="J437" s="5"/>
      <c r="K437" s="5"/>
    </row>
    <row r="438" spans="9:11" ht="14.25" customHeight="1">
      <c r="I438" s="4"/>
      <c r="J438" s="5"/>
      <c r="K438" s="5"/>
    </row>
    <row r="439" spans="9:11" ht="14.25" customHeight="1">
      <c r="I439" s="4"/>
      <c r="J439" s="5"/>
      <c r="K439" s="5"/>
    </row>
    <row r="440" spans="9:11" ht="14.25" customHeight="1">
      <c r="I440" s="4"/>
      <c r="J440" s="5"/>
      <c r="K440" s="5"/>
    </row>
    <row r="441" spans="9:11" ht="14.25" customHeight="1">
      <c r="I441" s="4"/>
      <c r="J441" s="5"/>
      <c r="K441" s="5"/>
    </row>
    <row r="442" spans="9:11" ht="14.25" customHeight="1">
      <c r="I442" s="4"/>
      <c r="J442" s="5"/>
      <c r="K442" s="5"/>
    </row>
    <row r="443" spans="9:11" ht="14.25" customHeight="1">
      <c r="I443" s="4"/>
      <c r="J443" s="5"/>
      <c r="K443" s="5"/>
    </row>
    <row r="444" spans="9:11" ht="14.25" customHeight="1">
      <c r="I444" s="4"/>
      <c r="J444" s="5"/>
      <c r="K444" s="5"/>
    </row>
    <row r="445" spans="9:11" ht="14.25" customHeight="1">
      <c r="I445" s="4"/>
      <c r="J445" s="5"/>
      <c r="K445" s="5"/>
    </row>
    <row r="446" spans="9:11" ht="14.25" customHeight="1">
      <c r="I446" s="4"/>
      <c r="J446" s="5"/>
      <c r="K446" s="5"/>
    </row>
    <row r="447" spans="9:11" ht="14.25" customHeight="1">
      <c r="I447" s="4"/>
      <c r="J447" s="5"/>
      <c r="K447" s="5"/>
    </row>
    <row r="448" spans="9:11" ht="14.25" customHeight="1">
      <c r="I448" s="4"/>
      <c r="J448" s="5"/>
      <c r="K448" s="5"/>
    </row>
    <row r="449" spans="9:11" ht="14.25" customHeight="1">
      <c r="I449" s="4"/>
      <c r="J449" s="5"/>
      <c r="K449" s="5"/>
    </row>
    <row r="450" spans="9:11" ht="14.25" customHeight="1">
      <c r="I450" s="4"/>
      <c r="J450" s="5"/>
      <c r="K450" s="5"/>
    </row>
    <row r="451" spans="9:11" ht="14.25" customHeight="1">
      <c r="I451" s="4"/>
      <c r="J451" s="5"/>
      <c r="K451" s="5"/>
    </row>
    <row r="452" spans="9:11" ht="14.25" customHeight="1">
      <c r="I452" s="4"/>
      <c r="J452" s="5"/>
      <c r="K452" s="5"/>
    </row>
    <row r="453" spans="9:11" ht="14.25" customHeight="1">
      <c r="I453" s="4"/>
      <c r="J453" s="5"/>
      <c r="K453" s="5"/>
    </row>
    <row r="454" spans="9:11" ht="14.25" customHeight="1">
      <c r="I454" s="4"/>
      <c r="J454" s="5"/>
      <c r="K454" s="5"/>
    </row>
    <row r="455" spans="9:11" ht="14.25" customHeight="1">
      <c r="I455" s="4"/>
      <c r="J455" s="5"/>
      <c r="K455" s="5"/>
    </row>
    <row r="456" spans="9:11" ht="14.25" customHeight="1">
      <c r="I456" s="4"/>
      <c r="J456" s="5"/>
      <c r="K456" s="5"/>
    </row>
    <row r="457" spans="9:11" ht="14.25" customHeight="1">
      <c r="I457" s="4"/>
      <c r="J457" s="5"/>
      <c r="K457" s="5"/>
    </row>
    <row r="458" spans="9:11" ht="14.25" customHeight="1">
      <c r="I458" s="4"/>
      <c r="J458" s="5"/>
      <c r="K458" s="5"/>
    </row>
    <row r="459" spans="9:11" ht="14.25" customHeight="1">
      <c r="I459" s="4"/>
      <c r="J459" s="5"/>
      <c r="K459" s="5"/>
    </row>
    <row r="460" spans="9:11" ht="14.25" customHeight="1">
      <c r="I460" s="4"/>
      <c r="J460" s="5"/>
      <c r="K460" s="5"/>
    </row>
    <row r="461" spans="9:11" ht="14.25" customHeight="1">
      <c r="I461" s="4"/>
      <c r="J461" s="5"/>
      <c r="K461" s="5"/>
    </row>
    <row r="462" spans="9:11" ht="14.25" customHeight="1">
      <c r="I462" s="4"/>
      <c r="J462" s="5"/>
      <c r="K462" s="5"/>
    </row>
    <row r="463" spans="9:11" ht="14.25" customHeight="1">
      <c r="I463" s="4"/>
      <c r="J463" s="5"/>
      <c r="K463" s="5"/>
    </row>
    <row r="464" spans="9:11" ht="14.25" customHeight="1">
      <c r="I464" s="4"/>
      <c r="J464" s="5"/>
      <c r="K464" s="5"/>
    </row>
    <row r="465" spans="9:11" ht="14.25" customHeight="1">
      <c r="I465" s="4"/>
      <c r="J465" s="5"/>
      <c r="K465" s="5"/>
    </row>
    <row r="466" spans="9:11" ht="14.25" customHeight="1">
      <c r="I466" s="4"/>
      <c r="J466" s="5"/>
      <c r="K466" s="5"/>
    </row>
    <row r="467" spans="9:11" ht="14.25" customHeight="1">
      <c r="I467" s="4"/>
      <c r="J467" s="5"/>
      <c r="K467" s="5"/>
    </row>
    <row r="468" spans="9:11" ht="14.25" customHeight="1">
      <c r="I468" s="4"/>
      <c r="J468" s="5"/>
      <c r="K468" s="5"/>
    </row>
    <row r="469" spans="9:11" ht="14.25" customHeight="1">
      <c r="I469" s="4"/>
      <c r="J469" s="5"/>
      <c r="K469" s="5"/>
    </row>
    <row r="470" spans="9:11" ht="14.25" customHeight="1">
      <c r="I470" s="4"/>
      <c r="J470" s="5"/>
      <c r="K470" s="5"/>
    </row>
    <row r="471" spans="9:11" ht="14.25" customHeight="1">
      <c r="I471" s="4"/>
      <c r="J471" s="5"/>
      <c r="K471" s="5"/>
    </row>
    <row r="472" spans="9:11" ht="14.25" customHeight="1">
      <c r="I472" s="4"/>
      <c r="J472" s="5"/>
      <c r="K472" s="5"/>
    </row>
    <row r="473" spans="9:11" ht="14.25" customHeight="1">
      <c r="I473" s="4"/>
      <c r="J473" s="5"/>
      <c r="K473" s="5"/>
    </row>
    <row r="474" spans="9:11" ht="14.25" customHeight="1">
      <c r="I474" s="4"/>
      <c r="J474" s="5"/>
      <c r="K474" s="5"/>
    </row>
    <row r="475" spans="9:11" ht="14.25" customHeight="1">
      <c r="I475" s="4"/>
      <c r="J475" s="5"/>
      <c r="K475" s="5"/>
    </row>
    <row r="476" spans="9:11" ht="14.25" customHeight="1">
      <c r="I476" s="4"/>
      <c r="J476" s="5"/>
      <c r="K476" s="5"/>
    </row>
    <row r="477" spans="9:11" ht="14.25" customHeight="1">
      <c r="I477" s="4"/>
      <c r="J477" s="5"/>
      <c r="K477" s="5"/>
    </row>
    <row r="478" spans="9:11" ht="14.25" customHeight="1">
      <c r="I478" s="4"/>
      <c r="J478" s="5"/>
      <c r="K478" s="5"/>
    </row>
    <row r="479" spans="9:11" ht="14.25" customHeight="1">
      <c r="I479" s="4"/>
      <c r="J479" s="5"/>
      <c r="K479" s="5"/>
    </row>
    <row r="480" spans="9:11" ht="14.25" customHeight="1">
      <c r="I480" s="4"/>
      <c r="J480" s="5"/>
      <c r="K480" s="5"/>
    </row>
    <row r="481" spans="9:11" ht="14.25" customHeight="1">
      <c r="I481" s="4"/>
      <c r="J481" s="5"/>
      <c r="K481" s="5"/>
    </row>
    <row r="482" spans="9:11" ht="14.25" customHeight="1">
      <c r="I482" s="4"/>
      <c r="J482" s="5"/>
      <c r="K482" s="5"/>
    </row>
    <row r="483" spans="9:11" ht="14.25" customHeight="1">
      <c r="I483" s="4"/>
      <c r="J483" s="5"/>
      <c r="K483" s="5"/>
    </row>
    <row r="484" spans="9:11" ht="14.25" customHeight="1">
      <c r="I484" s="4"/>
      <c r="J484" s="5"/>
      <c r="K484" s="5"/>
    </row>
    <row r="485" spans="9:11" ht="14.25" customHeight="1">
      <c r="I485" s="4"/>
      <c r="J485" s="5"/>
      <c r="K485" s="5"/>
    </row>
    <row r="486" spans="9:11" ht="14.25" customHeight="1">
      <c r="I486" s="4"/>
      <c r="J486" s="5"/>
      <c r="K486" s="5"/>
    </row>
    <row r="487" spans="9:11" ht="14.25" customHeight="1">
      <c r="I487" s="4"/>
      <c r="J487" s="5"/>
      <c r="K487" s="5"/>
    </row>
    <row r="488" spans="9:11" ht="14.25" customHeight="1">
      <c r="I488" s="4"/>
      <c r="J488" s="5"/>
      <c r="K488" s="5"/>
    </row>
    <row r="489" spans="9:11" ht="14.25" customHeight="1">
      <c r="I489" s="4"/>
      <c r="J489" s="5"/>
      <c r="K489" s="5"/>
    </row>
    <row r="490" spans="9:11" ht="14.25" customHeight="1">
      <c r="I490" s="4"/>
      <c r="J490" s="5"/>
      <c r="K490" s="5"/>
    </row>
    <row r="491" spans="9:11" ht="14.25" customHeight="1">
      <c r="I491" s="4"/>
      <c r="J491" s="5"/>
      <c r="K491" s="5"/>
    </row>
    <row r="492" spans="9:11" ht="14.25" customHeight="1">
      <c r="I492" s="4"/>
      <c r="J492" s="5"/>
      <c r="K492" s="5"/>
    </row>
    <row r="493" spans="9:11" ht="14.25" customHeight="1">
      <c r="I493" s="4"/>
      <c r="J493" s="5"/>
      <c r="K493" s="5"/>
    </row>
    <row r="494" spans="9:11" ht="14.25" customHeight="1">
      <c r="I494" s="4"/>
      <c r="J494" s="5"/>
      <c r="K494" s="5"/>
    </row>
    <row r="495" spans="9:11" ht="14.25" customHeight="1">
      <c r="I495" s="4"/>
      <c r="J495" s="5"/>
      <c r="K495" s="5"/>
    </row>
    <row r="496" spans="9:11" ht="14.25" customHeight="1">
      <c r="I496" s="4"/>
      <c r="J496" s="5"/>
      <c r="K496" s="5"/>
    </row>
    <row r="497" spans="9:11" ht="14.25" customHeight="1">
      <c r="I497" s="4"/>
      <c r="J497" s="5"/>
      <c r="K497" s="5"/>
    </row>
    <row r="498" spans="9:11" ht="14.25" customHeight="1">
      <c r="I498" s="4"/>
      <c r="J498" s="5"/>
      <c r="K498" s="5"/>
    </row>
    <row r="499" spans="9:11" ht="14.25" customHeight="1">
      <c r="I499" s="4"/>
      <c r="J499" s="5"/>
      <c r="K499" s="5"/>
    </row>
    <row r="500" spans="9:11" ht="14.25" customHeight="1">
      <c r="I500" s="4"/>
      <c r="J500" s="5"/>
      <c r="K500" s="5"/>
    </row>
    <row r="501" spans="9:11" ht="14.25" customHeight="1">
      <c r="I501" s="4"/>
      <c r="J501" s="5"/>
      <c r="K501" s="5"/>
    </row>
    <row r="502" spans="9:11" ht="14.25" customHeight="1">
      <c r="I502" s="4"/>
      <c r="J502" s="5"/>
      <c r="K502" s="5"/>
    </row>
    <row r="503" spans="9:11" ht="14.25" customHeight="1">
      <c r="I503" s="4"/>
      <c r="J503" s="5"/>
      <c r="K503" s="5"/>
    </row>
    <row r="504" spans="9:11" ht="14.25" customHeight="1">
      <c r="I504" s="4"/>
      <c r="J504" s="5"/>
      <c r="K504" s="5"/>
    </row>
    <row r="505" spans="9:11" ht="14.25" customHeight="1">
      <c r="I505" s="4"/>
      <c r="J505" s="5"/>
      <c r="K505" s="5"/>
    </row>
    <row r="506" spans="9:11" ht="14.25" customHeight="1">
      <c r="I506" s="4"/>
      <c r="J506" s="5"/>
      <c r="K506" s="5"/>
    </row>
    <row r="507" spans="9:11" ht="14.25" customHeight="1">
      <c r="I507" s="4"/>
      <c r="J507" s="5"/>
      <c r="K507" s="5"/>
    </row>
    <row r="508" spans="9:11" ht="14.25" customHeight="1">
      <c r="I508" s="4"/>
      <c r="J508" s="5"/>
      <c r="K508" s="5"/>
    </row>
    <row r="509" spans="9:11" ht="14.25" customHeight="1">
      <c r="I509" s="4"/>
      <c r="J509" s="5"/>
      <c r="K509" s="5"/>
    </row>
    <row r="510" spans="9:11" ht="14.25" customHeight="1">
      <c r="I510" s="4"/>
      <c r="J510" s="5"/>
      <c r="K510" s="5"/>
    </row>
    <row r="511" spans="9:11" ht="14.25" customHeight="1">
      <c r="I511" s="4"/>
      <c r="J511" s="5"/>
      <c r="K511" s="5"/>
    </row>
    <row r="512" spans="9:11" ht="14.25" customHeight="1">
      <c r="I512" s="4"/>
      <c r="J512" s="5"/>
      <c r="K512" s="5"/>
    </row>
    <row r="513" spans="9:11" ht="14.25" customHeight="1">
      <c r="I513" s="4"/>
      <c r="J513" s="5"/>
      <c r="K513" s="5"/>
    </row>
    <row r="514" spans="9:11" ht="14.25" customHeight="1">
      <c r="I514" s="4"/>
      <c r="J514" s="5"/>
      <c r="K514" s="5"/>
    </row>
    <row r="515" spans="9:11" ht="14.25" customHeight="1">
      <c r="I515" s="4"/>
      <c r="J515" s="5"/>
      <c r="K515" s="5"/>
    </row>
    <row r="516" spans="9:11" ht="14.25" customHeight="1">
      <c r="I516" s="4"/>
      <c r="J516" s="5"/>
      <c r="K516" s="5"/>
    </row>
    <row r="517" spans="9:11" ht="14.25" customHeight="1">
      <c r="I517" s="4"/>
      <c r="J517" s="5"/>
      <c r="K517" s="5"/>
    </row>
    <row r="518" spans="9:11" ht="14.25" customHeight="1">
      <c r="I518" s="4"/>
      <c r="J518" s="5"/>
      <c r="K518" s="5"/>
    </row>
    <row r="519" spans="9:11" ht="14.25" customHeight="1">
      <c r="I519" s="4"/>
      <c r="J519" s="5"/>
      <c r="K519" s="5"/>
    </row>
    <row r="520" spans="9:11" ht="14.25" customHeight="1">
      <c r="I520" s="4"/>
      <c r="J520" s="5"/>
      <c r="K520" s="5"/>
    </row>
    <row r="521" spans="9:11" ht="14.25" customHeight="1">
      <c r="I521" s="4"/>
      <c r="J521" s="5"/>
      <c r="K521" s="5"/>
    </row>
    <row r="522" spans="9:11" ht="14.25" customHeight="1">
      <c r="I522" s="4"/>
      <c r="J522" s="5"/>
      <c r="K522" s="5"/>
    </row>
    <row r="523" spans="9:11" ht="14.25" customHeight="1">
      <c r="I523" s="4"/>
      <c r="J523" s="5"/>
      <c r="K523" s="5"/>
    </row>
    <row r="524" spans="9:11" ht="14.25" customHeight="1">
      <c r="I524" s="4"/>
      <c r="J524" s="5"/>
      <c r="K524" s="5"/>
    </row>
    <row r="525" spans="9:11" ht="14.25" customHeight="1">
      <c r="I525" s="4"/>
      <c r="J525" s="5"/>
      <c r="K525" s="5"/>
    </row>
    <row r="526" spans="9:11" ht="14.25" customHeight="1">
      <c r="I526" s="4"/>
      <c r="J526" s="5"/>
      <c r="K526" s="5"/>
    </row>
    <row r="527" spans="9:11" ht="14.25" customHeight="1">
      <c r="I527" s="4"/>
      <c r="J527" s="5"/>
      <c r="K527" s="5"/>
    </row>
    <row r="528" spans="9:11" ht="14.25" customHeight="1">
      <c r="I528" s="4"/>
      <c r="J528" s="5"/>
      <c r="K528" s="5"/>
    </row>
    <row r="529" spans="9:11" ht="14.25" customHeight="1">
      <c r="I529" s="4"/>
      <c r="J529" s="5"/>
      <c r="K529" s="5"/>
    </row>
    <row r="530" spans="9:11" ht="14.25" customHeight="1">
      <c r="I530" s="4"/>
      <c r="J530" s="5"/>
      <c r="K530" s="5"/>
    </row>
    <row r="531" spans="9:11" ht="14.25" customHeight="1">
      <c r="I531" s="4"/>
      <c r="J531" s="5"/>
      <c r="K531" s="5"/>
    </row>
    <row r="532" spans="9:11" ht="14.25" customHeight="1">
      <c r="I532" s="4"/>
      <c r="J532" s="5"/>
      <c r="K532" s="5"/>
    </row>
    <row r="533" spans="9:11" ht="14.25" customHeight="1">
      <c r="I533" s="4"/>
      <c r="J533" s="5"/>
      <c r="K533" s="5"/>
    </row>
    <row r="534" spans="9:11" ht="14.25" customHeight="1">
      <c r="I534" s="4"/>
      <c r="J534" s="5"/>
      <c r="K534" s="5"/>
    </row>
    <row r="535" spans="9:11" ht="14.25" customHeight="1">
      <c r="I535" s="4"/>
      <c r="J535" s="5"/>
      <c r="K535" s="5"/>
    </row>
    <row r="536" spans="9:11" ht="14.25" customHeight="1">
      <c r="I536" s="4"/>
      <c r="J536" s="5"/>
      <c r="K536" s="5"/>
    </row>
    <row r="537" spans="9:11" ht="14.25" customHeight="1">
      <c r="I537" s="4"/>
      <c r="J537" s="5"/>
      <c r="K537" s="5"/>
    </row>
    <row r="538" spans="9:11" ht="14.25" customHeight="1">
      <c r="I538" s="4"/>
      <c r="J538" s="5"/>
      <c r="K538" s="5"/>
    </row>
    <row r="539" spans="9:11" ht="14.25" customHeight="1">
      <c r="I539" s="4"/>
      <c r="J539" s="5"/>
      <c r="K539" s="5"/>
    </row>
    <row r="540" spans="9:11" ht="14.25" customHeight="1">
      <c r="I540" s="4"/>
      <c r="J540" s="5"/>
      <c r="K540" s="5"/>
    </row>
    <row r="541" spans="9:11" ht="14.25" customHeight="1">
      <c r="I541" s="4"/>
      <c r="J541" s="5"/>
      <c r="K541" s="5"/>
    </row>
    <row r="542" spans="9:11" ht="14.25" customHeight="1">
      <c r="I542" s="4"/>
      <c r="J542" s="5"/>
      <c r="K542" s="5"/>
    </row>
    <row r="543" spans="9:11" ht="14.25" customHeight="1">
      <c r="I543" s="4"/>
      <c r="J543" s="5"/>
      <c r="K543" s="5"/>
    </row>
    <row r="544" spans="9:11" ht="14.25" customHeight="1">
      <c r="I544" s="4"/>
      <c r="J544" s="5"/>
      <c r="K544" s="5"/>
    </row>
    <row r="545" spans="9:11" ht="14.25" customHeight="1">
      <c r="I545" s="4"/>
      <c r="J545" s="5"/>
      <c r="K545" s="5"/>
    </row>
    <row r="546" spans="9:11" ht="14.25" customHeight="1">
      <c r="I546" s="4"/>
      <c r="J546" s="5"/>
      <c r="K546" s="5"/>
    </row>
    <row r="547" spans="9:11" ht="14.25" customHeight="1">
      <c r="I547" s="4"/>
      <c r="J547" s="5"/>
      <c r="K547" s="5"/>
    </row>
    <row r="548" spans="9:11" ht="14.25" customHeight="1">
      <c r="I548" s="4"/>
      <c r="J548" s="5"/>
      <c r="K548" s="5"/>
    </row>
    <row r="549" spans="9:11" ht="14.25" customHeight="1">
      <c r="I549" s="4"/>
      <c r="J549" s="5"/>
      <c r="K549" s="5"/>
    </row>
    <row r="550" spans="9:11" ht="14.25" customHeight="1">
      <c r="I550" s="4"/>
      <c r="J550" s="5"/>
      <c r="K550" s="5"/>
    </row>
    <row r="551" spans="9:11" ht="14.25" customHeight="1">
      <c r="I551" s="4"/>
      <c r="J551" s="5"/>
      <c r="K551" s="5"/>
    </row>
    <row r="552" spans="9:11" ht="14.25" customHeight="1">
      <c r="I552" s="4"/>
      <c r="J552" s="5"/>
      <c r="K552" s="5"/>
    </row>
    <row r="553" spans="9:11" ht="14.25" customHeight="1">
      <c r="I553" s="4"/>
      <c r="J553" s="5"/>
      <c r="K553" s="5"/>
    </row>
    <row r="554" spans="9:11" ht="14.25" customHeight="1">
      <c r="I554" s="4"/>
      <c r="J554" s="5"/>
      <c r="K554" s="5"/>
    </row>
    <row r="555" spans="9:11" ht="14.25" customHeight="1">
      <c r="I555" s="4"/>
      <c r="J555" s="5"/>
      <c r="K555" s="5"/>
    </row>
    <row r="556" spans="9:11" ht="14.25" customHeight="1">
      <c r="I556" s="4"/>
      <c r="J556" s="5"/>
      <c r="K556" s="5"/>
    </row>
    <row r="557" spans="9:11" ht="14.25" customHeight="1">
      <c r="I557" s="4"/>
      <c r="J557" s="5"/>
      <c r="K557" s="5"/>
    </row>
    <row r="558" spans="9:11" ht="14.25" customHeight="1">
      <c r="I558" s="4"/>
      <c r="J558" s="5"/>
      <c r="K558" s="5"/>
    </row>
    <row r="559" spans="9:11" ht="14.25" customHeight="1">
      <c r="I559" s="4"/>
      <c r="J559" s="5"/>
      <c r="K559" s="5"/>
    </row>
    <row r="560" spans="9:11" ht="14.25" customHeight="1">
      <c r="I560" s="4"/>
      <c r="J560" s="5"/>
      <c r="K560" s="5"/>
    </row>
    <row r="561" spans="9:11" ht="14.25" customHeight="1">
      <c r="I561" s="4"/>
      <c r="J561" s="5"/>
      <c r="K561" s="5"/>
    </row>
    <row r="562" spans="9:11" ht="14.25" customHeight="1">
      <c r="I562" s="4"/>
      <c r="J562" s="5"/>
      <c r="K562" s="5"/>
    </row>
    <row r="563" spans="9:11" ht="14.25" customHeight="1">
      <c r="I563" s="4"/>
      <c r="J563" s="5"/>
      <c r="K563" s="5"/>
    </row>
    <row r="564" spans="9:11" ht="14.25" customHeight="1">
      <c r="I564" s="4"/>
      <c r="J564" s="5"/>
      <c r="K564" s="5"/>
    </row>
    <row r="565" spans="9:11" ht="14.25" customHeight="1">
      <c r="I565" s="4"/>
      <c r="J565" s="5"/>
      <c r="K565" s="5"/>
    </row>
    <row r="566" spans="9:11" ht="14.25" customHeight="1">
      <c r="I566" s="4"/>
      <c r="J566" s="5"/>
      <c r="K566" s="5"/>
    </row>
    <row r="567" spans="9:11" ht="14.25" customHeight="1">
      <c r="I567" s="4"/>
      <c r="J567" s="5"/>
      <c r="K567" s="5"/>
    </row>
    <row r="568" spans="9:11" ht="14.25" customHeight="1">
      <c r="I568" s="4"/>
      <c r="J568" s="5"/>
      <c r="K568" s="5"/>
    </row>
    <row r="569" spans="9:11" ht="14.25" customHeight="1">
      <c r="I569" s="4"/>
      <c r="J569" s="5"/>
      <c r="K569" s="5"/>
    </row>
    <row r="570" spans="9:11" ht="14.25" customHeight="1">
      <c r="I570" s="4"/>
      <c r="J570" s="5"/>
      <c r="K570" s="5"/>
    </row>
    <row r="571" spans="9:11" ht="14.25" customHeight="1">
      <c r="I571" s="4"/>
      <c r="J571" s="5"/>
      <c r="K571" s="5"/>
    </row>
    <row r="572" spans="9:11" ht="14.25" customHeight="1">
      <c r="I572" s="4"/>
      <c r="J572" s="5"/>
      <c r="K572" s="5"/>
    </row>
    <row r="573" spans="9:11" ht="14.25" customHeight="1">
      <c r="I573" s="4"/>
      <c r="J573" s="5"/>
      <c r="K573" s="5"/>
    </row>
    <row r="574" spans="9:11" ht="14.25" customHeight="1">
      <c r="I574" s="4"/>
      <c r="J574" s="5"/>
      <c r="K574" s="5"/>
    </row>
    <row r="575" spans="9:11" ht="14.25" customHeight="1">
      <c r="I575" s="4"/>
      <c r="J575" s="5"/>
      <c r="K575" s="5"/>
    </row>
    <row r="576" spans="9:11" ht="14.25" customHeight="1">
      <c r="I576" s="4"/>
      <c r="J576" s="5"/>
      <c r="K576" s="5"/>
    </row>
    <row r="577" spans="9:11" ht="14.25" customHeight="1">
      <c r="I577" s="4"/>
      <c r="J577" s="5"/>
      <c r="K577" s="5"/>
    </row>
    <row r="578" spans="9:11" ht="14.25" customHeight="1">
      <c r="I578" s="4"/>
      <c r="J578" s="5"/>
      <c r="K578" s="5"/>
    </row>
    <row r="579" spans="9:11" ht="14.25" customHeight="1">
      <c r="I579" s="4"/>
      <c r="J579" s="5"/>
      <c r="K579" s="5"/>
    </row>
    <row r="580" spans="9:11" ht="14.25" customHeight="1">
      <c r="I580" s="4"/>
      <c r="J580" s="5"/>
      <c r="K580" s="5"/>
    </row>
    <row r="581" spans="9:11" ht="14.25" customHeight="1">
      <c r="I581" s="4"/>
      <c r="J581" s="5"/>
      <c r="K581" s="5"/>
    </row>
    <row r="582" spans="9:11" ht="14.25" customHeight="1">
      <c r="I582" s="4"/>
      <c r="J582" s="5"/>
      <c r="K582" s="5"/>
    </row>
    <row r="583" spans="9:11" ht="14.25" customHeight="1">
      <c r="I583" s="4"/>
      <c r="J583" s="5"/>
      <c r="K583" s="5"/>
    </row>
    <row r="584" spans="9:11" ht="14.25" customHeight="1">
      <c r="I584" s="4"/>
      <c r="J584" s="5"/>
      <c r="K584" s="5"/>
    </row>
    <row r="585" spans="9:11" ht="14.25" customHeight="1">
      <c r="I585" s="4"/>
      <c r="J585" s="5"/>
      <c r="K585" s="5"/>
    </row>
    <row r="586" spans="9:11" ht="14.25" customHeight="1">
      <c r="I586" s="4"/>
      <c r="J586" s="5"/>
      <c r="K586" s="5"/>
    </row>
    <row r="587" spans="9:11" ht="14.25" customHeight="1">
      <c r="I587" s="4"/>
      <c r="J587" s="5"/>
      <c r="K587" s="5"/>
    </row>
    <row r="588" spans="9:11" ht="14.25" customHeight="1">
      <c r="I588" s="4"/>
      <c r="J588" s="5"/>
      <c r="K588" s="5"/>
    </row>
    <row r="589" spans="9:11" ht="14.25" customHeight="1">
      <c r="I589" s="4"/>
      <c r="J589" s="5"/>
      <c r="K589" s="5"/>
    </row>
    <row r="590" spans="9:11" ht="14.25" customHeight="1">
      <c r="I590" s="4"/>
      <c r="J590" s="5"/>
      <c r="K590" s="5"/>
    </row>
    <row r="591" spans="9:11" ht="14.25" customHeight="1">
      <c r="I591" s="4"/>
      <c r="J591" s="5"/>
      <c r="K591" s="5"/>
    </row>
    <row r="592" spans="9:11" ht="14.25" customHeight="1">
      <c r="I592" s="4"/>
      <c r="J592" s="5"/>
      <c r="K592" s="5"/>
    </row>
    <row r="593" spans="9:11" ht="14.25" customHeight="1">
      <c r="I593" s="4"/>
      <c r="J593" s="5"/>
      <c r="K593" s="5"/>
    </row>
    <row r="594" spans="9:11" ht="14.25" customHeight="1">
      <c r="I594" s="4"/>
      <c r="J594" s="5"/>
      <c r="K594" s="5"/>
    </row>
    <row r="595" spans="9:11" ht="14.25" customHeight="1">
      <c r="I595" s="4"/>
      <c r="J595" s="5"/>
      <c r="K595" s="5"/>
    </row>
    <row r="596" spans="9:11" ht="14.25" customHeight="1">
      <c r="I596" s="4"/>
      <c r="J596" s="5"/>
      <c r="K596" s="5"/>
    </row>
    <row r="597" spans="9:11" ht="14.25" customHeight="1">
      <c r="I597" s="4"/>
      <c r="J597" s="5"/>
      <c r="K597" s="5"/>
    </row>
    <row r="598" spans="9:11" ht="14.25" customHeight="1">
      <c r="I598" s="4"/>
      <c r="J598" s="5"/>
      <c r="K598" s="5"/>
    </row>
    <row r="599" spans="9:11" ht="14.25" customHeight="1">
      <c r="I599" s="4"/>
      <c r="J599" s="5"/>
      <c r="K599" s="5"/>
    </row>
    <row r="600" spans="9:11" ht="14.25" customHeight="1">
      <c r="I600" s="4"/>
      <c r="J600" s="5"/>
      <c r="K600" s="5"/>
    </row>
    <row r="601" spans="9:11" ht="14.25" customHeight="1">
      <c r="I601" s="4"/>
      <c r="J601" s="5"/>
      <c r="K601" s="5"/>
    </row>
    <row r="602" spans="9:11" ht="14.25" customHeight="1">
      <c r="I602" s="4"/>
      <c r="J602" s="5"/>
      <c r="K602" s="5"/>
    </row>
    <row r="603" spans="9:11" ht="14.25" customHeight="1">
      <c r="I603" s="4"/>
      <c r="J603" s="5"/>
      <c r="K603" s="5"/>
    </row>
    <row r="604" spans="9:11" ht="14.25" customHeight="1">
      <c r="I604" s="4"/>
      <c r="J604" s="5"/>
      <c r="K604" s="5"/>
    </row>
    <row r="605" spans="9:11" ht="14.25" customHeight="1">
      <c r="I605" s="4"/>
      <c r="J605" s="5"/>
      <c r="K605" s="5"/>
    </row>
    <row r="606" spans="9:11" ht="14.25" customHeight="1">
      <c r="I606" s="4"/>
      <c r="J606" s="5"/>
      <c r="K606" s="5"/>
    </row>
    <row r="607" spans="9:11" ht="14.25" customHeight="1">
      <c r="I607" s="4"/>
      <c r="J607" s="5"/>
      <c r="K607" s="5"/>
    </row>
    <row r="608" spans="9:11" ht="14.25" customHeight="1">
      <c r="I608" s="4"/>
      <c r="J608" s="5"/>
      <c r="K608" s="5"/>
    </row>
    <row r="609" spans="9:11" ht="14.25" customHeight="1">
      <c r="I609" s="4"/>
      <c r="J609" s="5"/>
      <c r="K609" s="5"/>
    </row>
    <row r="610" spans="9:11" ht="14.25" customHeight="1">
      <c r="I610" s="4"/>
      <c r="J610" s="5"/>
      <c r="K610" s="5"/>
    </row>
    <row r="611" spans="9:11" ht="14.25" customHeight="1">
      <c r="I611" s="4"/>
      <c r="J611" s="5"/>
      <c r="K611" s="5"/>
    </row>
    <row r="612" spans="9:11" ht="14.25" customHeight="1">
      <c r="I612" s="4"/>
      <c r="J612" s="5"/>
      <c r="K612" s="5"/>
    </row>
    <row r="613" spans="9:11" ht="14.25" customHeight="1">
      <c r="I613" s="4"/>
      <c r="J613" s="5"/>
      <c r="K613" s="5"/>
    </row>
    <row r="614" spans="9:11" ht="14.25" customHeight="1">
      <c r="I614" s="4"/>
      <c r="J614" s="5"/>
      <c r="K614" s="5"/>
    </row>
    <row r="615" spans="9:11" ht="14.25" customHeight="1">
      <c r="I615" s="4"/>
      <c r="J615" s="5"/>
      <c r="K615" s="5"/>
    </row>
    <row r="616" spans="9:11" ht="14.25" customHeight="1">
      <c r="I616" s="4"/>
      <c r="J616" s="5"/>
      <c r="K616" s="5"/>
    </row>
    <row r="617" spans="9:11" ht="14.25" customHeight="1">
      <c r="I617" s="4"/>
      <c r="J617" s="5"/>
      <c r="K617" s="5"/>
    </row>
    <row r="618" spans="9:11" ht="14.25" customHeight="1">
      <c r="I618" s="4"/>
      <c r="J618" s="5"/>
      <c r="K618" s="5"/>
    </row>
    <row r="619" spans="9:11" ht="14.25" customHeight="1">
      <c r="I619" s="4"/>
      <c r="J619" s="5"/>
      <c r="K619" s="5"/>
    </row>
    <row r="620" spans="9:11" ht="14.25" customHeight="1">
      <c r="I620" s="4"/>
      <c r="J620" s="5"/>
      <c r="K620" s="5"/>
    </row>
    <row r="621" spans="9:11" ht="14.25" customHeight="1">
      <c r="I621" s="4"/>
      <c r="J621" s="5"/>
      <c r="K621" s="5"/>
    </row>
    <row r="622" spans="9:11" ht="14.25" customHeight="1">
      <c r="I622" s="4"/>
      <c r="J622" s="5"/>
      <c r="K622" s="5"/>
    </row>
    <row r="623" spans="9:11" ht="14.25" customHeight="1">
      <c r="I623" s="4"/>
      <c r="J623" s="5"/>
      <c r="K623" s="5"/>
    </row>
    <row r="624" spans="9:11" ht="14.25" customHeight="1">
      <c r="I624" s="4"/>
      <c r="J624" s="5"/>
      <c r="K624" s="5"/>
    </row>
    <row r="625" spans="9:11" ht="14.25" customHeight="1">
      <c r="I625" s="4"/>
      <c r="J625" s="5"/>
      <c r="K625" s="5"/>
    </row>
    <row r="626" spans="9:11" ht="14.25" customHeight="1">
      <c r="I626" s="4"/>
      <c r="J626" s="5"/>
      <c r="K626" s="5"/>
    </row>
    <row r="627" spans="9:11" ht="14.25" customHeight="1">
      <c r="I627" s="4"/>
      <c r="J627" s="5"/>
      <c r="K627" s="5"/>
    </row>
    <row r="628" spans="9:11" ht="14.25" customHeight="1">
      <c r="I628" s="4"/>
      <c r="J628" s="5"/>
      <c r="K628" s="5"/>
    </row>
    <row r="629" spans="9:11" ht="14.25" customHeight="1">
      <c r="I629" s="4"/>
      <c r="J629" s="5"/>
      <c r="K629" s="5"/>
    </row>
    <row r="630" spans="9:11" ht="14.25" customHeight="1">
      <c r="I630" s="4"/>
      <c r="J630" s="5"/>
      <c r="K630" s="5"/>
    </row>
    <row r="631" spans="9:11" ht="14.25" customHeight="1">
      <c r="I631" s="4"/>
      <c r="J631" s="5"/>
      <c r="K631" s="5"/>
    </row>
    <row r="632" spans="9:11" ht="14.25" customHeight="1">
      <c r="I632" s="4"/>
      <c r="J632" s="5"/>
      <c r="K632" s="5"/>
    </row>
    <row r="633" spans="9:11" ht="14.25" customHeight="1">
      <c r="I633" s="4"/>
      <c r="J633" s="5"/>
      <c r="K633" s="5"/>
    </row>
    <row r="634" spans="9:11" ht="14.25" customHeight="1">
      <c r="I634" s="4"/>
      <c r="J634" s="5"/>
      <c r="K634" s="5"/>
    </row>
    <row r="635" spans="9:11" ht="14.25" customHeight="1">
      <c r="I635" s="4"/>
      <c r="J635" s="5"/>
      <c r="K635" s="5"/>
    </row>
    <row r="636" spans="9:11" ht="14.25" customHeight="1">
      <c r="I636" s="4"/>
      <c r="J636" s="5"/>
      <c r="K636" s="5"/>
    </row>
    <row r="637" spans="9:11" ht="14.25" customHeight="1">
      <c r="I637" s="4"/>
      <c r="J637" s="5"/>
      <c r="K637" s="5"/>
    </row>
    <row r="638" spans="9:11" ht="14.25" customHeight="1">
      <c r="I638" s="4"/>
      <c r="J638" s="5"/>
      <c r="K638" s="5"/>
    </row>
    <row r="639" spans="9:11" ht="14.25" customHeight="1">
      <c r="I639" s="4"/>
      <c r="J639" s="5"/>
      <c r="K639" s="5"/>
    </row>
    <row r="640" spans="9:11" ht="14.25" customHeight="1">
      <c r="I640" s="4"/>
      <c r="J640" s="5"/>
      <c r="K640" s="5"/>
    </row>
    <row r="641" spans="9:11" ht="14.25" customHeight="1">
      <c r="I641" s="4"/>
      <c r="J641" s="5"/>
      <c r="K641" s="5"/>
    </row>
    <row r="642" spans="9:11" ht="14.25" customHeight="1">
      <c r="I642" s="4"/>
      <c r="J642" s="5"/>
      <c r="K642" s="5"/>
    </row>
    <row r="643" spans="9:11" ht="14.25" customHeight="1">
      <c r="I643" s="4"/>
      <c r="J643" s="5"/>
      <c r="K643" s="5"/>
    </row>
    <row r="644" spans="9:11" ht="14.25" customHeight="1">
      <c r="I644" s="4"/>
      <c r="J644" s="5"/>
      <c r="K644" s="5"/>
    </row>
    <row r="645" spans="9:11" ht="14.25" customHeight="1">
      <c r="I645" s="4"/>
      <c r="J645" s="5"/>
      <c r="K645" s="5"/>
    </row>
    <row r="646" spans="9:11" ht="14.25" customHeight="1">
      <c r="I646" s="4"/>
      <c r="J646" s="5"/>
      <c r="K646" s="5"/>
    </row>
    <row r="647" spans="9:11" ht="14.25" customHeight="1">
      <c r="I647" s="4"/>
      <c r="J647" s="5"/>
      <c r="K647" s="5"/>
    </row>
    <row r="648" spans="9:11" ht="14.25" customHeight="1">
      <c r="I648" s="4"/>
      <c r="J648" s="5"/>
      <c r="K648" s="5"/>
    </row>
    <row r="649" spans="9:11" ht="14.25" customHeight="1">
      <c r="I649" s="4"/>
      <c r="J649" s="5"/>
      <c r="K649" s="5"/>
    </row>
    <row r="650" spans="9:11" ht="14.25" customHeight="1">
      <c r="I650" s="4"/>
      <c r="J650" s="5"/>
      <c r="K650" s="5"/>
    </row>
    <row r="651" spans="9:11" ht="14.25" customHeight="1">
      <c r="I651" s="4"/>
      <c r="J651" s="5"/>
      <c r="K651" s="5"/>
    </row>
    <row r="652" spans="9:11" ht="14.25" customHeight="1">
      <c r="I652" s="4"/>
      <c r="J652" s="5"/>
      <c r="K652" s="5"/>
    </row>
    <row r="653" spans="9:11" ht="14.25" customHeight="1">
      <c r="I653" s="4"/>
      <c r="J653" s="5"/>
      <c r="K653" s="5"/>
    </row>
    <row r="654" spans="9:11" ht="14.25" customHeight="1">
      <c r="I654" s="4"/>
      <c r="J654" s="5"/>
      <c r="K654" s="5"/>
    </row>
    <row r="655" spans="9:11" ht="14.25" customHeight="1">
      <c r="I655" s="4"/>
      <c r="J655" s="5"/>
      <c r="K655" s="5"/>
    </row>
    <row r="656" spans="9:11" ht="14.25" customHeight="1">
      <c r="I656" s="4"/>
      <c r="J656" s="5"/>
      <c r="K656" s="5"/>
    </row>
    <row r="657" spans="9:11" ht="14.25" customHeight="1">
      <c r="I657" s="4"/>
      <c r="J657" s="5"/>
      <c r="K657" s="5"/>
    </row>
    <row r="658" spans="9:11" ht="14.25" customHeight="1">
      <c r="I658" s="4"/>
      <c r="J658" s="5"/>
      <c r="K658" s="5"/>
    </row>
    <row r="659" spans="9:11" ht="14.25" customHeight="1">
      <c r="I659" s="4"/>
      <c r="J659" s="5"/>
      <c r="K659" s="5"/>
    </row>
    <row r="660" spans="9:11" ht="14.25" customHeight="1">
      <c r="I660" s="4"/>
      <c r="J660" s="5"/>
      <c r="K660" s="5"/>
    </row>
    <row r="661" spans="9:11" ht="14.25" customHeight="1">
      <c r="I661" s="4"/>
      <c r="J661" s="5"/>
      <c r="K661" s="5"/>
    </row>
    <row r="662" spans="9:11" ht="14.25" customHeight="1">
      <c r="I662" s="4"/>
      <c r="J662" s="5"/>
      <c r="K662" s="5"/>
    </row>
    <row r="663" spans="9:11" ht="14.25" customHeight="1">
      <c r="I663" s="4"/>
      <c r="J663" s="5"/>
      <c r="K663" s="5"/>
    </row>
    <row r="664" spans="9:11" ht="14.25" customHeight="1">
      <c r="I664" s="4"/>
      <c r="J664" s="5"/>
      <c r="K664" s="5"/>
    </row>
    <row r="665" spans="9:11" ht="14.25" customHeight="1">
      <c r="I665" s="4"/>
      <c r="J665" s="5"/>
      <c r="K665" s="5"/>
    </row>
    <row r="666" spans="9:11" ht="14.25" customHeight="1">
      <c r="I666" s="4"/>
      <c r="J666" s="5"/>
      <c r="K666" s="5"/>
    </row>
    <row r="667" spans="9:11" ht="14.25" customHeight="1">
      <c r="I667" s="4"/>
      <c r="J667" s="5"/>
      <c r="K667" s="5"/>
    </row>
    <row r="668" spans="9:11" ht="14.25" customHeight="1">
      <c r="I668" s="4"/>
      <c r="J668" s="5"/>
      <c r="K668" s="5"/>
    </row>
    <row r="669" spans="9:11" ht="14.25" customHeight="1">
      <c r="I669" s="4"/>
      <c r="J669" s="5"/>
      <c r="K669" s="5"/>
    </row>
    <row r="670" spans="9:11" ht="14.25" customHeight="1">
      <c r="I670" s="4"/>
      <c r="J670" s="5"/>
      <c r="K670" s="5"/>
    </row>
    <row r="671" spans="9:11" ht="14.25" customHeight="1">
      <c r="I671" s="4"/>
      <c r="J671" s="5"/>
      <c r="K671" s="5"/>
    </row>
    <row r="672" spans="9:11" ht="14.25" customHeight="1">
      <c r="I672" s="4"/>
      <c r="J672" s="5"/>
      <c r="K672" s="5"/>
    </row>
    <row r="673" spans="9:11" ht="14.25" customHeight="1">
      <c r="I673" s="4"/>
      <c r="J673" s="5"/>
      <c r="K673" s="5"/>
    </row>
    <row r="674" spans="9:11" ht="14.25" customHeight="1">
      <c r="I674" s="4"/>
      <c r="J674" s="5"/>
      <c r="K674" s="5"/>
    </row>
    <row r="675" spans="9:11" ht="14.25" customHeight="1">
      <c r="I675" s="4"/>
      <c r="J675" s="5"/>
      <c r="K675" s="5"/>
    </row>
    <row r="676" spans="9:11" ht="14.25" customHeight="1">
      <c r="I676" s="4"/>
      <c r="J676" s="5"/>
      <c r="K676" s="5"/>
    </row>
    <row r="677" spans="9:11" ht="14.25" customHeight="1">
      <c r="I677" s="4"/>
      <c r="J677" s="5"/>
      <c r="K677" s="5"/>
    </row>
    <row r="678" spans="9:11" ht="14.25" customHeight="1">
      <c r="I678" s="4"/>
      <c r="J678" s="5"/>
      <c r="K678" s="5"/>
    </row>
    <row r="679" spans="9:11" ht="14.25" customHeight="1">
      <c r="I679" s="4"/>
      <c r="J679" s="5"/>
      <c r="K679" s="5"/>
    </row>
    <row r="680" spans="9:11" ht="14.25" customHeight="1">
      <c r="I680" s="4"/>
      <c r="J680" s="5"/>
      <c r="K680" s="5"/>
    </row>
    <row r="681" spans="9:11" ht="14.25" customHeight="1">
      <c r="I681" s="4"/>
      <c r="J681" s="5"/>
      <c r="K681" s="5"/>
    </row>
    <row r="682" spans="9:11" ht="14.25" customHeight="1">
      <c r="I682" s="4"/>
      <c r="J682" s="5"/>
      <c r="K682" s="5"/>
    </row>
    <row r="683" spans="9:11" ht="14.25" customHeight="1">
      <c r="I683" s="4"/>
      <c r="J683" s="5"/>
      <c r="K683" s="5"/>
    </row>
    <row r="684" spans="9:11" ht="14.25" customHeight="1">
      <c r="I684" s="4"/>
      <c r="J684" s="5"/>
      <c r="K684" s="5"/>
    </row>
    <row r="685" spans="9:11" ht="14.25" customHeight="1">
      <c r="I685" s="4"/>
      <c r="J685" s="5"/>
      <c r="K685" s="5"/>
    </row>
    <row r="686" spans="9:11" ht="14.25" customHeight="1">
      <c r="I686" s="4"/>
      <c r="J686" s="5"/>
      <c r="K686" s="5"/>
    </row>
    <row r="687" spans="9:11" ht="14.25" customHeight="1">
      <c r="I687" s="4"/>
      <c r="J687" s="5"/>
      <c r="K687" s="5"/>
    </row>
    <row r="688" spans="9:11" ht="14.25" customHeight="1">
      <c r="I688" s="4"/>
      <c r="J688" s="5"/>
      <c r="K688" s="5"/>
    </row>
    <row r="689" spans="9:11" ht="14.25" customHeight="1">
      <c r="I689" s="4"/>
      <c r="J689" s="5"/>
      <c r="K689" s="5"/>
    </row>
    <row r="690" spans="9:11" ht="14.25" customHeight="1">
      <c r="I690" s="4"/>
      <c r="J690" s="5"/>
      <c r="K690" s="5"/>
    </row>
    <row r="691" spans="9:11" ht="14.25" customHeight="1">
      <c r="I691" s="4"/>
      <c r="J691" s="5"/>
      <c r="K691" s="5"/>
    </row>
    <row r="692" spans="9:11" ht="14.25" customHeight="1">
      <c r="I692" s="4"/>
      <c r="J692" s="5"/>
      <c r="K692" s="5"/>
    </row>
    <row r="693" spans="9:11" ht="14.25" customHeight="1">
      <c r="I693" s="4"/>
      <c r="J693" s="5"/>
      <c r="K693" s="5"/>
    </row>
    <row r="694" spans="9:11" ht="14.25" customHeight="1">
      <c r="I694" s="4"/>
      <c r="J694" s="5"/>
      <c r="K694" s="5"/>
    </row>
    <row r="695" spans="9:11" ht="14.25" customHeight="1">
      <c r="I695" s="4"/>
      <c r="J695" s="5"/>
      <c r="K695" s="5"/>
    </row>
    <row r="696" spans="9:11" ht="14.25" customHeight="1">
      <c r="I696" s="4"/>
      <c r="J696" s="5"/>
      <c r="K696" s="5"/>
    </row>
    <row r="697" spans="9:11" ht="14.25" customHeight="1">
      <c r="I697" s="4"/>
      <c r="J697" s="5"/>
      <c r="K697" s="5"/>
    </row>
    <row r="698" spans="9:11" ht="14.25" customHeight="1">
      <c r="I698" s="4"/>
      <c r="J698" s="5"/>
      <c r="K698" s="5"/>
    </row>
    <row r="699" spans="9:11" ht="14.25" customHeight="1">
      <c r="I699" s="4"/>
      <c r="J699" s="5"/>
      <c r="K699" s="5"/>
    </row>
    <row r="700" spans="9:11" ht="14.25" customHeight="1">
      <c r="I700" s="4"/>
      <c r="J700" s="5"/>
      <c r="K700" s="5"/>
    </row>
    <row r="701" spans="9:11" ht="14.25" customHeight="1">
      <c r="I701" s="4"/>
      <c r="J701" s="5"/>
      <c r="K701" s="5"/>
    </row>
    <row r="702" spans="9:11" ht="14.25" customHeight="1">
      <c r="I702" s="4"/>
      <c r="J702" s="5"/>
      <c r="K702" s="5"/>
    </row>
    <row r="703" spans="9:11" ht="14.25" customHeight="1">
      <c r="I703" s="4"/>
      <c r="J703" s="5"/>
      <c r="K703" s="5"/>
    </row>
    <row r="704" spans="9:11" ht="14.25" customHeight="1">
      <c r="I704" s="4"/>
      <c r="J704" s="5"/>
      <c r="K704" s="5"/>
    </row>
    <row r="705" spans="9:11" ht="14.25" customHeight="1">
      <c r="I705" s="4"/>
      <c r="J705" s="5"/>
      <c r="K705" s="5"/>
    </row>
    <row r="706" spans="9:11" ht="14.25" customHeight="1">
      <c r="I706" s="4"/>
      <c r="J706" s="5"/>
      <c r="K706" s="5"/>
    </row>
    <row r="707" spans="9:11" ht="14.25" customHeight="1">
      <c r="I707" s="4"/>
      <c r="J707" s="5"/>
      <c r="K707" s="5"/>
    </row>
    <row r="708" spans="9:11" ht="14.25" customHeight="1">
      <c r="I708" s="4"/>
      <c r="J708" s="5"/>
      <c r="K708" s="5"/>
    </row>
    <row r="709" spans="9:11" ht="14.25" customHeight="1">
      <c r="I709" s="4"/>
      <c r="J709" s="5"/>
      <c r="K709" s="5"/>
    </row>
    <row r="710" spans="9:11" ht="14.25" customHeight="1">
      <c r="I710" s="4"/>
      <c r="J710" s="5"/>
      <c r="K710" s="5"/>
    </row>
    <row r="711" spans="9:11" ht="14.25" customHeight="1">
      <c r="I711" s="4"/>
      <c r="J711" s="5"/>
      <c r="K711" s="5"/>
    </row>
    <row r="712" spans="9:11" ht="14.25" customHeight="1">
      <c r="I712" s="4"/>
      <c r="J712" s="5"/>
      <c r="K712" s="5"/>
    </row>
    <row r="713" spans="9:11" ht="14.25" customHeight="1">
      <c r="I713" s="4"/>
      <c r="J713" s="5"/>
      <c r="K713" s="5"/>
    </row>
    <row r="714" spans="9:11" ht="14.25" customHeight="1">
      <c r="I714" s="4"/>
      <c r="J714" s="5"/>
      <c r="K714" s="5"/>
    </row>
    <row r="715" spans="9:11" ht="14.25" customHeight="1">
      <c r="I715" s="4"/>
      <c r="J715" s="5"/>
      <c r="K715" s="5"/>
    </row>
    <row r="716" spans="9:11" ht="14.25" customHeight="1">
      <c r="I716" s="4"/>
      <c r="J716" s="5"/>
      <c r="K716" s="5"/>
    </row>
    <row r="717" spans="9:11" ht="14.25" customHeight="1">
      <c r="I717" s="4"/>
      <c r="J717" s="5"/>
      <c r="K717" s="5"/>
    </row>
    <row r="718" spans="9:11" ht="14.25" customHeight="1">
      <c r="I718" s="4"/>
      <c r="J718" s="5"/>
      <c r="K718" s="5"/>
    </row>
    <row r="719" spans="9:11" ht="14.25" customHeight="1">
      <c r="I719" s="4"/>
      <c r="J719" s="5"/>
      <c r="K719" s="5"/>
    </row>
    <row r="720" spans="9:11" ht="14.25" customHeight="1">
      <c r="I720" s="4"/>
      <c r="J720" s="5"/>
      <c r="K720" s="5"/>
    </row>
    <row r="721" spans="9:11" ht="14.25" customHeight="1">
      <c r="I721" s="4"/>
      <c r="J721" s="5"/>
      <c r="K721" s="5"/>
    </row>
    <row r="722" spans="9:11" ht="14.25" customHeight="1">
      <c r="I722" s="4"/>
      <c r="J722" s="5"/>
      <c r="K722" s="5"/>
    </row>
    <row r="723" spans="9:11" ht="14.25" customHeight="1">
      <c r="I723" s="4"/>
      <c r="J723" s="5"/>
      <c r="K723" s="5"/>
    </row>
    <row r="724" spans="9:11" ht="14.25" customHeight="1">
      <c r="I724" s="4"/>
      <c r="J724" s="5"/>
      <c r="K724" s="5"/>
    </row>
    <row r="725" spans="9:11" ht="14.25" customHeight="1">
      <c r="I725" s="4"/>
      <c r="J725" s="5"/>
      <c r="K725" s="5"/>
    </row>
    <row r="726" spans="9:11" ht="14.25" customHeight="1">
      <c r="I726" s="4"/>
      <c r="J726" s="5"/>
      <c r="K726" s="5"/>
    </row>
    <row r="727" spans="9:11" ht="14.25" customHeight="1">
      <c r="I727" s="4"/>
      <c r="J727" s="5"/>
      <c r="K727" s="5"/>
    </row>
    <row r="728" spans="9:11" ht="14.25" customHeight="1">
      <c r="I728" s="4"/>
      <c r="J728" s="5"/>
      <c r="K728" s="5"/>
    </row>
    <row r="729" spans="9:11" ht="14.25" customHeight="1">
      <c r="I729" s="4"/>
      <c r="J729" s="5"/>
      <c r="K729" s="5"/>
    </row>
    <row r="730" spans="9:11" ht="14.25" customHeight="1">
      <c r="I730" s="4"/>
      <c r="J730" s="5"/>
      <c r="K730" s="5"/>
    </row>
    <row r="731" spans="9:11" ht="14.25" customHeight="1">
      <c r="I731" s="4"/>
      <c r="J731" s="5"/>
      <c r="K731" s="5"/>
    </row>
    <row r="732" spans="9:11" ht="14.25" customHeight="1">
      <c r="I732" s="4"/>
      <c r="J732" s="5"/>
      <c r="K732" s="5"/>
    </row>
    <row r="733" spans="9:11" ht="14.25" customHeight="1">
      <c r="I733" s="4"/>
      <c r="J733" s="5"/>
      <c r="K733" s="5"/>
    </row>
    <row r="734" spans="9:11" ht="14.25" customHeight="1">
      <c r="I734" s="4"/>
      <c r="J734" s="5"/>
      <c r="K734" s="5"/>
    </row>
    <row r="735" spans="9:11" ht="14.25" customHeight="1">
      <c r="I735" s="4"/>
      <c r="J735" s="5"/>
      <c r="K735" s="5"/>
    </row>
    <row r="736" spans="9:11" ht="14.25" customHeight="1">
      <c r="I736" s="4"/>
      <c r="J736" s="5"/>
      <c r="K736" s="5"/>
    </row>
    <row r="737" spans="9:11" ht="14.25" customHeight="1">
      <c r="I737" s="4"/>
      <c r="J737" s="5"/>
      <c r="K737" s="5"/>
    </row>
    <row r="738" spans="9:11" ht="14.25" customHeight="1">
      <c r="I738" s="4"/>
      <c r="J738" s="5"/>
      <c r="K738" s="5"/>
    </row>
    <row r="739" spans="9:11" ht="14.25" customHeight="1">
      <c r="I739" s="4"/>
      <c r="J739" s="5"/>
      <c r="K739" s="5"/>
    </row>
    <row r="740" spans="9:11" ht="14.25" customHeight="1">
      <c r="I740" s="4"/>
      <c r="J740" s="5"/>
      <c r="K740" s="5"/>
    </row>
    <row r="741" spans="9:11" ht="14.25" customHeight="1">
      <c r="I741" s="4"/>
      <c r="J741" s="5"/>
      <c r="K741" s="5"/>
    </row>
    <row r="742" spans="9:11" ht="14.25" customHeight="1">
      <c r="I742" s="4"/>
      <c r="J742" s="5"/>
      <c r="K742" s="5"/>
    </row>
    <row r="743" spans="9:11" ht="14.25" customHeight="1">
      <c r="I743" s="4"/>
      <c r="J743" s="5"/>
      <c r="K743" s="5"/>
    </row>
    <row r="744" spans="9:11" ht="14.25" customHeight="1">
      <c r="I744" s="4"/>
      <c r="J744" s="5"/>
      <c r="K744" s="5"/>
    </row>
    <row r="745" spans="9:11" ht="14.25" customHeight="1">
      <c r="I745" s="4"/>
      <c r="J745" s="5"/>
      <c r="K745" s="5"/>
    </row>
    <row r="746" spans="9:11" ht="14.25" customHeight="1">
      <c r="I746" s="4"/>
      <c r="J746" s="5"/>
      <c r="K746" s="5"/>
    </row>
    <row r="747" spans="9:11" ht="14.25" customHeight="1">
      <c r="I747" s="4"/>
      <c r="J747" s="5"/>
      <c r="K747" s="5"/>
    </row>
    <row r="748" spans="9:11" ht="14.25" customHeight="1">
      <c r="I748" s="4"/>
      <c r="J748" s="5"/>
      <c r="K748" s="5"/>
    </row>
    <row r="749" spans="9:11" ht="14.25" customHeight="1">
      <c r="I749" s="4"/>
      <c r="J749" s="5"/>
      <c r="K749" s="5"/>
    </row>
    <row r="750" spans="9:11" ht="14.25" customHeight="1">
      <c r="I750" s="4"/>
      <c r="J750" s="5"/>
      <c r="K750" s="5"/>
    </row>
    <row r="751" spans="9:11" ht="14.25" customHeight="1">
      <c r="I751" s="4"/>
      <c r="J751" s="5"/>
      <c r="K751" s="5"/>
    </row>
    <row r="752" spans="9:11" ht="14.25" customHeight="1">
      <c r="I752" s="4"/>
      <c r="J752" s="5"/>
      <c r="K752" s="5"/>
    </row>
    <row r="753" spans="9:11" ht="14.25" customHeight="1">
      <c r="I753" s="4"/>
      <c r="J753" s="5"/>
      <c r="K753" s="5"/>
    </row>
    <row r="754" spans="9:11" ht="14.25" customHeight="1">
      <c r="I754" s="4"/>
      <c r="J754" s="5"/>
      <c r="K754" s="5"/>
    </row>
    <row r="755" spans="9:11" ht="14.25" customHeight="1">
      <c r="I755" s="4"/>
      <c r="J755" s="5"/>
      <c r="K755" s="5"/>
    </row>
    <row r="756" spans="9:11" ht="14.25" customHeight="1">
      <c r="I756" s="4"/>
      <c r="J756" s="5"/>
      <c r="K756" s="5"/>
    </row>
    <row r="757" spans="9:11" ht="14.25" customHeight="1">
      <c r="I757" s="4"/>
      <c r="J757" s="5"/>
      <c r="K757" s="5"/>
    </row>
    <row r="758" spans="9:11" ht="14.25" customHeight="1">
      <c r="I758" s="4"/>
      <c r="J758" s="5"/>
      <c r="K758" s="5"/>
    </row>
    <row r="759" spans="9:11" ht="14.25" customHeight="1">
      <c r="I759" s="4"/>
      <c r="J759" s="5"/>
      <c r="K759" s="5"/>
    </row>
    <row r="760" spans="9:11" ht="14.25" customHeight="1">
      <c r="I760" s="4"/>
      <c r="J760" s="5"/>
      <c r="K760" s="5"/>
    </row>
    <row r="761" spans="9:11" ht="14.25" customHeight="1">
      <c r="I761" s="4"/>
      <c r="J761" s="5"/>
      <c r="K761" s="5"/>
    </row>
    <row r="762" spans="9:11" ht="14.25" customHeight="1">
      <c r="I762" s="4"/>
      <c r="J762" s="5"/>
      <c r="K762" s="5"/>
    </row>
    <row r="763" spans="9:11" ht="14.25" customHeight="1">
      <c r="I763" s="4"/>
      <c r="J763" s="5"/>
      <c r="K763" s="5"/>
    </row>
    <row r="764" spans="9:11" ht="14.25" customHeight="1">
      <c r="I764" s="4"/>
      <c r="J764" s="5"/>
      <c r="K764" s="5"/>
    </row>
    <row r="765" spans="9:11" ht="14.25" customHeight="1">
      <c r="I765" s="4"/>
      <c r="J765" s="5"/>
      <c r="K765" s="5"/>
    </row>
    <row r="766" spans="9:11" ht="14.25" customHeight="1">
      <c r="I766" s="4"/>
      <c r="J766" s="5"/>
      <c r="K766" s="5"/>
    </row>
    <row r="767" spans="9:11" ht="14.25" customHeight="1">
      <c r="I767" s="4"/>
      <c r="J767" s="5"/>
      <c r="K767" s="5"/>
    </row>
    <row r="768" spans="9:11" ht="14.25" customHeight="1">
      <c r="I768" s="4"/>
      <c r="J768" s="5"/>
      <c r="K768" s="5"/>
    </row>
    <row r="769" spans="9:11" ht="14.25" customHeight="1">
      <c r="I769" s="4"/>
      <c r="J769" s="5"/>
      <c r="K769" s="5"/>
    </row>
    <row r="770" spans="9:11" ht="14.25" customHeight="1">
      <c r="I770" s="4"/>
      <c r="J770" s="5"/>
      <c r="K770" s="5"/>
    </row>
    <row r="771" spans="9:11" ht="14.25" customHeight="1">
      <c r="I771" s="4"/>
      <c r="J771" s="5"/>
      <c r="K771" s="5"/>
    </row>
    <row r="772" spans="9:11" ht="14.25" customHeight="1">
      <c r="I772" s="4"/>
      <c r="J772" s="5"/>
      <c r="K772" s="5"/>
    </row>
    <row r="773" spans="9:11" ht="14.25" customHeight="1">
      <c r="I773" s="4"/>
      <c r="J773" s="5"/>
      <c r="K773" s="5"/>
    </row>
    <row r="774" spans="9:11" ht="14.25" customHeight="1">
      <c r="I774" s="4"/>
      <c r="J774" s="5"/>
      <c r="K774" s="5"/>
    </row>
    <row r="775" spans="9:11" ht="14.25" customHeight="1">
      <c r="I775" s="4"/>
      <c r="J775" s="5"/>
      <c r="K775" s="5"/>
    </row>
    <row r="776" spans="9:11" ht="14.25" customHeight="1">
      <c r="I776" s="4"/>
      <c r="J776" s="5"/>
      <c r="K776" s="5"/>
    </row>
    <row r="777" spans="9:11" ht="14.25" customHeight="1">
      <c r="I777" s="4"/>
      <c r="J777" s="5"/>
      <c r="K777" s="5"/>
    </row>
    <row r="778" spans="9:11" ht="14.25" customHeight="1">
      <c r="I778" s="4"/>
      <c r="J778" s="5"/>
      <c r="K778" s="5"/>
    </row>
    <row r="779" spans="9:11" ht="14.25" customHeight="1">
      <c r="I779" s="4"/>
      <c r="J779" s="5"/>
      <c r="K779" s="5"/>
    </row>
    <row r="780" spans="9:11" ht="14.25" customHeight="1">
      <c r="I780" s="4"/>
      <c r="J780" s="5"/>
      <c r="K780" s="5"/>
    </row>
    <row r="781" spans="9:11" ht="14.25" customHeight="1">
      <c r="I781" s="4"/>
      <c r="J781" s="5"/>
      <c r="K781" s="5"/>
    </row>
    <row r="782" spans="9:11" ht="14.25" customHeight="1">
      <c r="I782" s="4"/>
      <c r="J782" s="5"/>
      <c r="K782" s="5"/>
    </row>
    <row r="783" spans="9:11" ht="14.25" customHeight="1">
      <c r="I783" s="4"/>
      <c r="J783" s="5"/>
      <c r="K783" s="5"/>
    </row>
    <row r="784" spans="9:11" ht="14.25" customHeight="1">
      <c r="I784" s="4"/>
      <c r="J784" s="5"/>
      <c r="K784" s="5"/>
    </row>
    <row r="785" spans="9:11" ht="14.25" customHeight="1">
      <c r="I785" s="4"/>
      <c r="J785" s="5"/>
      <c r="K785" s="5"/>
    </row>
    <row r="786" spans="9:11" ht="14.25" customHeight="1">
      <c r="I786" s="4"/>
      <c r="J786" s="5"/>
      <c r="K786" s="5"/>
    </row>
    <row r="787" spans="9:11" ht="14.25" customHeight="1">
      <c r="I787" s="4"/>
      <c r="J787" s="5"/>
      <c r="K787" s="5"/>
    </row>
    <row r="788" spans="9:11" ht="14.25" customHeight="1">
      <c r="I788" s="4"/>
      <c r="J788" s="5"/>
      <c r="K788" s="5"/>
    </row>
    <row r="789" spans="9:11" ht="14.25" customHeight="1">
      <c r="I789" s="4"/>
      <c r="J789" s="5"/>
      <c r="K789" s="5"/>
    </row>
    <row r="790" spans="9:11" ht="14.25" customHeight="1">
      <c r="I790" s="4"/>
      <c r="J790" s="5"/>
      <c r="K790" s="5"/>
    </row>
    <row r="791" spans="9:11" ht="14.25" customHeight="1">
      <c r="I791" s="4"/>
      <c r="J791" s="5"/>
      <c r="K791" s="5"/>
    </row>
    <row r="792" spans="9:11" ht="14.25" customHeight="1">
      <c r="I792" s="4"/>
      <c r="J792" s="5"/>
      <c r="K792" s="5"/>
    </row>
    <row r="793" spans="9:11" ht="14.25" customHeight="1">
      <c r="I793" s="4"/>
      <c r="J793" s="5"/>
      <c r="K793" s="5"/>
    </row>
    <row r="794" spans="9:11" ht="14.25" customHeight="1">
      <c r="I794" s="4"/>
      <c r="J794" s="5"/>
      <c r="K794" s="5"/>
    </row>
    <row r="795" spans="9:11" ht="14.25" customHeight="1">
      <c r="I795" s="4"/>
      <c r="J795" s="5"/>
      <c r="K795" s="5"/>
    </row>
    <row r="796" spans="9:11" ht="14.25" customHeight="1">
      <c r="I796" s="4"/>
      <c r="J796" s="5"/>
      <c r="K796" s="5"/>
    </row>
    <row r="797" spans="9:11" ht="14.25" customHeight="1">
      <c r="I797" s="4"/>
      <c r="J797" s="5"/>
      <c r="K797" s="5"/>
    </row>
    <row r="798" spans="9:11" ht="14.25" customHeight="1">
      <c r="I798" s="4"/>
      <c r="J798" s="5"/>
      <c r="K798" s="5"/>
    </row>
    <row r="799" spans="9:11" ht="14.25" customHeight="1">
      <c r="I799" s="4"/>
      <c r="J799" s="5"/>
      <c r="K799" s="5"/>
    </row>
    <row r="800" spans="9:11" ht="14.25" customHeight="1">
      <c r="I800" s="4"/>
      <c r="J800" s="5"/>
      <c r="K800" s="5"/>
    </row>
    <row r="801" spans="9:11" ht="14.25" customHeight="1">
      <c r="I801" s="4"/>
      <c r="J801" s="5"/>
      <c r="K801" s="5"/>
    </row>
    <row r="802" spans="9:11" ht="14.25" customHeight="1">
      <c r="I802" s="4"/>
      <c r="J802" s="5"/>
      <c r="K802" s="5"/>
    </row>
    <row r="803" spans="9:11" ht="14.25" customHeight="1">
      <c r="I803" s="4"/>
      <c r="J803" s="5"/>
      <c r="K803" s="5"/>
    </row>
    <row r="804" spans="9:11" ht="14.25" customHeight="1">
      <c r="I804" s="4"/>
      <c r="J804" s="5"/>
      <c r="K804" s="5"/>
    </row>
    <row r="805" spans="9:11" ht="14.25" customHeight="1">
      <c r="I805" s="4"/>
      <c r="J805" s="5"/>
      <c r="K805" s="5"/>
    </row>
    <row r="806" spans="9:11" ht="14.25" customHeight="1">
      <c r="I806" s="4"/>
      <c r="J806" s="5"/>
      <c r="K806" s="5"/>
    </row>
    <row r="807" spans="9:11" ht="14.25" customHeight="1">
      <c r="I807" s="4"/>
      <c r="J807" s="5"/>
      <c r="K807" s="5"/>
    </row>
    <row r="808" spans="9:11" ht="14.25" customHeight="1">
      <c r="I808" s="4"/>
      <c r="J808" s="5"/>
      <c r="K808" s="5"/>
    </row>
    <row r="809" spans="9:11" ht="14.25" customHeight="1">
      <c r="I809" s="4"/>
      <c r="J809" s="5"/>
      <c r="K809" s="5"/>
    </row>
    <row r="810" spans="9:11" ht="14.25" customHeight="1">
      <c r="I810" s="4"/>
      <c r="J810" s="5"/>
      <c r="K810" s="5"/>
    </row>
    <row r="811" spans="9:11" ht="14.25" customHeight="1">
      <c r="I811" s="4"/>
      <c r="J811" s="5"/>
      <c r="K811" s="5"/>
    </row>
    <row r="812" spans="9:11" ht="14.25" customHeight="1">
      <c r="I812" s="4"/>
      <c r="J812" s="5"/>
      <c r="K812" s="5"/>
    </row>
    <row r="813" spans="9:11" ht="14.25" customHeight="1">
      <c r="I813" s="4"/>
      <c r="J813" s="5"/>
      <c r="K813" s="5"/>
    </row>
    <row r="814" spans="9:11" ht="14.25" customHeight="1">
      <c r="I814" s="4"/>
      <c r="J814" s="5"/>
      <c r="K814" s="5"/>
    </row>
    <row r="815" spans="9:11" ht="14.25" customHeight="1">
      <c r="I815" s="4"/>
      <c r="J815" s="5"/>
      <c r="K815" s="5"/>
    </row>
    <row r="816" spans="9:11" ht="14.25" customHeight="1">
      <c r="I816" s="4"/>
      <c r="J816" s="5"/>
      <c r="K816" s="5"/>
    </row>
    <row r="817" spans="9:11" ht="14.25" customHeight="1">
      <c r="I817" s="4"/>
      <c r="J817" s="5"/>
      <c r="K817" s="5"/>
    </row>
    <row r="818" spans="9:11" ht="14.25" customHeight="1">
      <c r="I818" s="4"/>
      <c r="J818" s="5"/>
      <c r="K818" s="5"/>
    </row>
    <row r="819" spans="9:11" ht="14.25" customHeight="1">
      <c r="I819" s="4"/>
      <c r="J819" s="5"/>
      <c r="K819" s="5"/>
    </row>
    <row r="820" spans="9:11" ht="14.25" customHeight="1">
      <c r="I820" s="4"/>
      <c r="J820" s="5"/>
      <c r="K820" s="5"/>
    </row>
    <row r="821" spans="9:11" ht="14.25" customHeight="1">
      <c r="I821" s="4"/>
      <c r="J821" s="5"/>
      <c r="K821" s="5"/>
    </row>
    <row r="822" spans="9:11" ht="14.25" customHeight="1">
      <c r="I822" s="4"/>
      <c r="J822" s="5"/>
      <c r="K822" s="5"/>
    </row>
    <row r="823" spans="9:11" ht="14.25" customHeight="1">
      <c r="I823" s="4"/>
      <c r="J823" s="5"/>
      <c r="K823" s="5"/>
    </row>
    <row r="824" spans="9:11" ht="14.25" customHeight="1">
      <c r="I824" s="4"/>
      <c r="J824" s="5"/>
      <c r="K824" s="5"/>
    </row>
    <row r="825" spans="9:11" ht="14.25" customHeight="1">
      <c r="I825" s="4"/>
      <c r="J825" s="5"/>
      <c r="K825" s="5"/>
    </row>
    <row r="826" spans="9:11" ht="14.25" customHeight="1">
      <c r="I826" s="4"/>
      <c r="J826" s="5"/>
      <c r="K826" s="5"/>
    </row>
    <row r="827" spans="9:11" ht="14.25" customHeight="1">
      <c r="I827" s="4"/>
      <c r="J827" s="5"/>
      <c r="K827" s="5"/>
    </row>
    <row r="828" spans="9:11" ht="14.25" customHeight="1">
      <c r="I828" s="4"/>
      <c r="J828" s="5"/>
      <c r="K828" s="5"/>
    </row>
    <row r="829" spans="9:11" ht="14.25" customHeight="1">
      <c r="I829" s="4"/>
      <c r="J829" s="5"/>
      <c r="K829" s="5"/>
    </row>
    <row r="830" spans="9:11" ht="14.25" customHeight="1">
      <c r="I830" s="4"/>
      <c r="J830" s="5"/>
      <c r="K830" s="5"/>
    </row>
    <row r="831" spans="9:11" ht="14.25" customHeight="1">
      <c r="I831" s="4"/>
      <c r="J831" s="5"/>
      <c r="K831" s="5"/>
    </row>
    <row r="832" spans="9:11" ht="14.25" customHeight="1">
      <c r="I832" s="4"/>
      <c r="J832" s="5"/>
      <c r="K832" s="5"/>
    </row>
    <row r="833" spans="9:11" ht="14.25" customHeight="1">
      <c r="I833" s="4"/>
      <c r="J833" s="5"/>
      <c r="K833" s="5"/>
    </row>
    <row r="834" spans="9:11" ht="14.25" customHeight="1">
      <c r="I834" s="4"/>
      <c r="J834" s="5"/>
      <c r="K834" s="5"/>
    </row>
    <row r="835" spans="9:11" ht="14.25" customHeight="1">
      <c r="I835" s="4"/>
      <c r="J835" s="5"/>
      <c r="K835" s="5"/>
    </row>
    <row r="836" spans="9:11" ht="14.25" customHeight="1">
      <c r="I836" s="4"/>
      <c r="J836" s="5"/>
      <c r="K836" s="5"/>
    </row>
    <row r="837" spans="9:11" ht="14.25" customHeight="1">
      <c r="I837" s="4"/>
      <c r="J837" s="5"/>
      <c r="K837" s="5"/>
    </row>
    <row r="838" spans="9:11" ht="14.25" customHeight="1">
      <c r="I838" s="4"/>
      <c r="J838" s="5"/>
      <c r="K838" s="5"/>
    </row>
    <row r="839" spans="9:11" ht="14.25" customHeight="1">
      <c r="I839" s="4"/>
      <c r="J839" s="5"/>
      <c r="K839" s="5"/>
    </row>
    <row r="840" spans="9:11" ht="14.25" customHeight="1">
      <c r="I840" s="4"/>
      <c r="J840" s="5"/>
      <c r="K840" s="5"/>
    </row>
    <row r="841" spans="9:11" ht="14.25" customHeight="1">
      <c r="I841" s="4"/>
      <c r="J841" s="5"/>
      <c r="K841" s="5"/>
    </row>
    <row r="842" spans="9:11" ht="14.25" customHeight="1">
      <c r="I842" s="4"/>
      <c r="J842" s="5"/>
      <c r="K842" s="5"/>
    </row>
    <row r="843" spans="9:11" ht="14.25" customHeight="1">
      <c r="I843" s="4"/>
      <c r="J843" s="5"/>
      <c r="K843" s="5"/>
    </row>
    <row r="844" spans="9:11" ht="14.25" customHeight="1">
      <c r="I844" s="4"/>
      <c r="J844" s="5"/>
      <c r="K844" s="5"/>
    </row>
    <row r="845" spans="9:11" ht="14.25" customHeight="1">
      <c r="I845" s="4"/>
      <c r="J845" s="5"/>
      <c r="K845" s="5"/>
    </row>
    <row r="846" spans="9:11" ht="14.25" customHeight="1">
      <c r="I846" s="4"/>
      <c r="J846" s="5"/>
      <c r="K846" s="5"/>
    </row>
    <row r="847" spans="9:11" ht="14.25" customHeight="1">
      <c r="I847" s="4"/>
      <c r="J847" s="5"/>
      <c r="K847" s="5"/>
    </row>
    <row r="848" spans="9:11" ht="14.25" customHeight="1">
      <c r="I848" s="4"/>
      <c r="J848" s="5"/>
      <c r="K848" s="5"/>
    </row>
    <row r="849" spans="9:11" ht="14.25" customHeight="1">
      <c r="I849" s="4"/>
      <c r="J849" s="5"/>
      <c r="K849" s="5"/>
    </row>
    <row r="850" spans="9:11" ht="14.25" customHeight="1">
      <c r="I850" s="4"/>
      <c r="J850" s="5"/>
      <c r="K850" s="5"/>
    </row>
    <row r="851" spans="9:11" ht="14.25" customHeight="1">
      <c r="I851" s="4"/>
      <c r="J851" s="5"/>
      <c r="K851" s="5"/>
    </row>
    <row r="852" spans="9:11" ht="14.25" customHeight="1">
      <c r="I852" s="4"/>
      <c r="J852" s="5"/>
      <c r="K852" s="5"/>
    </row>
    <row r="853" spans="9:11" ht="14.25" customHeight="1">
      <c r="I853" s="4"/>
      <c r="J853" s="5"/>
      <c r="K853" s="5"/>
    </row>
    <row r="854" spans="9:11" ht="14.25" customHeight="1">
      <c r="I854" s="4"/>
      <c r="J854" s="5"/>
      <c r="K854" s="5"/>
    </row>
    <row r="855" spans="9:11" ht="14.25" customHeight="1">
      <c r="I855" s="4"/>
      <c r="J855" s="5"/>
      <c r="K855" s="5"/>
    </row>
    <row r="856" spans="9:11" ht="14.25" customHeight="1">
      <c r="I856" s="4"/>
      <c r="J856" s="5"/>
      <c r="K856" s="5"/>
    </row>
    <row r="857" spans="9:11" ht="14.25" customHeight="1">
      <c r="I857" s="4"/>
      <c r="J857" s="5"/>
      <c r="K857" s="5"/>
    </row>
    <row r="858" spans="9:11" ht="14.25" customHeight="1">
      <c r="I858" s="4"/>
      <c r="J858" s="5"/>
      <c r="K858" s="5"/>
    </row>
    <row r="859" spans="9:11" ht="14.25" customHeight="1">
      <c r="I859" s="4"/>
      <c r="J859" s="5"/>
      <c r="K859" s="5"/>
    </row>
    <row r="860" spans="9:11" ht="14.25" customHeight="1">
      <c r="I860" s="4"/>
      <c r="J860" s="5"/>
      <c r="K860" s="5"/>
    </row>
    <row r="861" spans="9:11" ht="14.25" customHeight="1">
      <c r="I861" s="4"/>
      <c r="J861" s="5"/>
      <c r="K861" s="5"/>
    </row>
    <row r="862" spans="9:11" ht="14.25" customHeight="1">
      <c r="I862" s="4"/>
      <c r="J862" s="5"/>
      <c r="K862" s="5"/>
    </row>
    <row r="863" spans="9:11" ht="14.25" customHeight="1">
      <c r="I863" s="4"/>
      <c r="J863" s="5"/>
      <c r="K863" s="5"/>
    </row>
    <row r="864" spans="9:11" ht="14.25" customHeight="1">
      <c r="I864" s="4"/>
      <c r="J864" s="5"/>
      <c r="K864" s="5"/>
    </row>
    <row r="865" spans="9:11" ht="14.25" customHeight="1">
      <c r="I865" s="4"/>
      <c r="J865" s="5"/>
      <c r="K865" s="5"/>
    </row>
    <row r="866" spans="9:11" ht="14.25" customHeight="1">
      <c r="I866" s="4"/>
      <c r="J866" s="5"/>
      <c r="K866" s="5"/>
    </row>
    <row r="867" spans="9:11" ht="14.25" customHeight="1">
      <c r="I867" s="4"/>
      <c r="J867" s="5"/>
      <c r="K867" s="5"/>
    </row>
    <row r="868" spans="9:11" ht="14.25" customHeight="1">
      <c r="I868" s="4"/>
      <c r="J868" s="5"/>
      <c r="K868" s="5"/>
    </row>
    <row r="869" spans="9:11" ht="14.25" customHeight="1">
      <c r="I869" s="4"/>
      <c r="J869" s="5"/>
      <c r="K869" s="5"/>
    </row>
    <row r="870" spans="9:11" ht="14.25" customHeight="1">
      <c r="I870" s="4"/>
      <c r="J870" s="5"/>
      <c r="K870" s="5"/>
    </row>
    <row r="871" spans="9:11" ht="14.25" customHeight="1">
      <c r="I871" s="4"/>
      <c r="J871" s="5"/>
      <c r="K871" s="5"/>
    </row>
    <row r="872" spans="9:11" ht="14.25" customHeight="1">
      <c r="I872" s="4"/>
      <c r="J872" s="5"/>
      <c r="K872" s="5"/>
    </row>
    <row r="873" spans="9:11" ht="14.25" customHeight="1">
      <c r="I873" s="4"/>
      <c r="J873" s="5"/>
      <c r="K873" s="5"/>
    </row>
    <row r="874" spans="9:11" ht="14.25" customHeight="1">
      <c r="I874" s="4"/>
      <c r="J874" s="5"/>
      <c r="K874" s="5"/>
    </row>
    <row r="875" spans="9:11" ht="14.25" customHeight="1">
      <c r="I875" s="4"/>
      <c r="J875" s="5"/>
      <c r="K875" s="5"/>
    </row>
    <row r="876" spans="9:11" ht="14.25" customHeight="1">
      <c r="I876" s="4"/>
      <c r="J876" s="5"/>
      <c r="K876" s="5"/>
    </row>
    <row r="877" spans="9:11" ht="14.25" customHeight="1">
      <c r="I877" s="4"/>
      <c r="J877" s="5"/>
      <c r="K877" s="5"/>
    </row>
    <row r="878" spans="9:11" ht="14.25" customHeight="1">
      <c r="I878" s="4"/>
      <c r="J878" s="5"/>
      <c r="K878" s="5"/>
    </row>
    <row r="879" spans="9:11" ht="14.25" customHeight="1">
      <c r="I879" s="4"/>
      <c r="J879" s="5"/>
      <c r="K879" s="5"/>
    </row>
    <row r="880" spans="9:11" ht="14.25" customHeight="1">
      <c r="I880" s="4"/>
      <c r="J880" s="5"/>
      <c r="K880" s="5"/>
    </row>
    <row r="881" spans="9:11" ht="14.25" customHeight="1">
      <c r="I881" s="4"/>
      <c r="J881" s="5"/>
      <c r="K881" s="5"/>
    </row>
    <row r="882" spans="9:11" ht="14.25" customHeight="1">
      <c r="I882" s="4"/>
      <c r="J882" s="5"/>
      <c r="K882" s="5"/>
    </row>
    <row r="883" spans="9:11" ht="14.25" customHeight="1">
      <c r="I883" s="4"/>
      <c r="J883" s="5"/>
      <c r="K883" s="5"/>
    </row>
    <row r="884" spans="9:11" ht="14.25" customHeight="1">
      <c r="I884" s="4"/>
      <c r="J884" s="5"/>
      <c r="K884" s="5"/>
    </row>
    <row r="885" spans="9:11" ht="14.25" customHeight="1">
      <c r="I885" s="4"/>
      <c r="J885" s="5"/>
      <c r="K885" s="5"/>
    </row>
    <row r="886" spans="9:11" ht="14.25" customHeight="1">
      <c r="I886" s="4"/>
      <c r="J886" s="5"/>
      <c r="K886" s="5"/>
    </row>
    <row r="887" spans="9:11" ht="14.25" customHeight="1">
      <c r="I887" s="4"/>
      <c r="J887" s="5"/>
      <c r="K887" s="5"/>
    </row>
    <row r="888" spans="9:11" ht="14.25" customHeight="1">
      <c r="I888" s="4"/>
      <c r="J888" s="5"/>
      <c r="K888" s="5"/>
    </row>
    <row r="889" spans="9:11" ht="14.25" customHeight="1">
      <c r="I889" s="4"/>
      <c r="J889" s="5"/>
      <c r="K889" s="5"/>
    </row>
    <row r="890" spans="9:11" ht="14.25" customHeight="1">
      <c r="I890" s="4"/>
      <c r="J890" s="5"/>
      <c r="K890" s="5"/>
    </row>
    <row r="891" spans="9:11" ht="14.25" customHeight="1">
      <c r="I891" s="4"/>
      <c r="J891" s="5"/>
      <c r="K891" s="5"/>
    </row>
    <row r="892" spans="9:11" ht="14.25" customHeight="1">
      <c r="I892" s="4"/>
      <c r="J892" s="5"/>
      <c r="K892" s="5"/>
    </row>
    <row r="893" spans="9:11" ht="14.25" customHeight="1">
      <c r="I893" s="4"/>
      <c r="J893" s="5"/>
      <c r="K893" s="5"/>
    </row>
    <row r="894" spans="9:11" ht="14.25" customHeight="1">
      <c r="I894" s="4"/>
      <c r="J894" s="5"/>
      <c r="K894" s="5"/>
    </row>
    <row r="895" spans="9:11" ht="14.25" customHeight="1">
      <c r="I895" s="4"/>
      <c r="J895" s="5"/>
      <c r="K895" s="5"/>
    </row>
    <row r="896" spans="9:11" ht="14.25" customHeight="1">
      <c r="I896" s="4"/>
      <c r="J896" s="5"/>
      <c r="K896" s="5"/>
    </row>
    <row r="897" spans="9:11" ht="14.25" customHeight="1">
      <c r="I897" s="4"/>
      <c r="J897" s="5"/>
      <c r="K897" s="5"/>
    </row>
    <row r="898" spans="9:11" ht="14.25" customHeight="1">
      <c r="I898" s="4"/>
      <c r="J898" s="5"/>
      <c r="K898" s="5"/>
    </row>
    <row r="899" spans="9:11" ht="14.25" customHeight="1">
      <c r="I899" s="4"/>
      <c r="J899" s="5"/>
      <c r="K899" s="5"/>
    </row>
    <row r="900" spans="9:11" ht="14.25" customHeight="1">
      <c r="I900" s="4"/>
      <c r="J900" s="5"/>
      <c r="K900" s="5"/>
    </row>
    <row r="901" spans="9:11" ht="14.25" customHeight="1">
      <c r="I901" s="4"/>
      <c r="J901" s="5"/>
      <c r="K901" s="5"/>
    </row>
    <row r="902" spans="9:11" ht="14.25" customHeight="1">
      <c r="I902" s="4"/>
      <c r="J902" s="5"/>
      <c r="K902" s="5"/>
    </row>
    <row r="903" spans="9:11" ht="14.25" customHeight="1">
      <c r="I903" s="4"/>
      <c r="J903" s="5"/>
      <c r="K903" s="5"/>
    </row>
    <row r="904" spans="9:11" ht="14.25" customHeight="1">
      <c r="I904" s="4"/>
      <c r="J904" s="5"/>
      <c r="K904" s="5"/>
    </row>
    <row r="905" spans="9:11" ht="14.25" customHeight="1">
      <c r="I905" s="4"/>
      <c r="J905" s="5"/>
      <c r="K905" s="5"/>
    </row>
    <row r="906" spans="9:11" ht="14.25" customHeight="1">
      <c r="I906" s="4"/>
      <c r="J906" s="5"/>
      <c r="K906" s="5"/>
    </row>
    <row r="907" spans="9:11" ht="14.25" customHeight="1">
      <c r="I907" s="4"/>
      <c r="J907" s="5"/>
      <c r="K907" s="5"/>
    </row>
    <row r="908" spans="9:11" ht="14.25" customHeight="1">
      <c r="I908" s="4"/>
      <c r="J908" s="5"/>
      <c r="K908" s="5"/>
    </row>
    <row r="909" spans="9:11" ht="14.25" customHeight="1">
      <c r="I909" s="4"/>
      <c r="J909" s="5"/>
      <c r="K909" s="5"/>
    </row>
    <row r="910" spans="9:11" ht="14.25" customHeight="1">
      <c r="I910" s="4"/>
      <c r="J910" s="5"/>
      <c r="K910" s="5"/>
    </row>
    <row r="911" spans="9:11" ht="14.25" customHeight="1">
      <c r="I911" s="4"/>
      <c r="J911" s="5"/>
      <c r="K911" s="5"/>
    </row>
    <row r="912" spans="9:11" ht="14.25" customHeight="1">
      <c r="I912" s="4"/>
      <c r="J912" s="5"/>
      <c r="K912" s="5"/>
    </row>
    <row r="913" spans="9:11" ht="14.25" customHeight="1">
      <c r="I913" s="4"/>
      <c r="J913" s="5"/>
      <c r="K913" s="5"/>
    </row>
    <row r="914" spans="9:11" ht="14.25" customHeight="1">
      <c r="I914" s="4"/>
      <c r="J914" s="5"/>
      <c r="K914" s="5"/>
    </row>
    <row r="915" spans="9:11" ht="14.25" customHeight="1">
      <c r="I915" s="4"/>
      <c r="J915" s="5"/>
      <c r="K915" s="5"/>
    </row>
    <row r="916" spans="9:11" ht="14.25" customHeight="1">
      <c r="I916" s="4"/>
      <c r="J916" s="5"/>
      <c r="K916" s="5"/>
    </row>
    <row r="917" spans="9:11" ht="14.25" customHeight="1">
      <c r="I917" s="4"/>
      <c r="J917" s="5"/>
      <c r="K917" s="5"/>
    </row>
    <row r="918" spans="9:11" ht="14.25" customHeight="1">
      <c r="I918" s="4"/>
      <c r="J918" s="5"/>
      <c r="K918" s="5"/>
    </row>
    <row r="919" spans="9:11" ht="14.25" customHeight="1">
      <c r="I919" s="4"/>
      <c r="J919" s="5"/>
      <c r="K919" s="5"/>
    </row>
    <row r="920" spans="9:11" ht="14.25" customHeight="1">
      <c r="I920" s="4"/>
      <c r="J920" s="5"/>
      <c r="K920" s="5"/>
    </row>
    <row r="921" spans="9:11" ht="14.25" customHeight="1">
      <c r="I921" s="4"/>
      <c r="J921" s="5"/>
      <c r="K921" s="5"/>
    </row>
    <row r="922" spans="9:11" ht="14.25" customHeight="1">
      <c r="I922" s="4"/>
      <c r="J922" s="5"/>
      <c r="K922" s="5"/>
    </row>
    <row r="923" spans="9:11" ht="14.25" customHeight="1">
      <c r="I923" s="4"/>
      <c r="J923" s="5"/>
      <c r="K923" s="5"/>
    </row>
    <row r="924" spans="9:11" ht="14.25" customHeight="1">
      <c r="I924" s="4"/>
      <c r="J924" s="5"/>
      <c r="K924" s="5"/>
    </row>
    <row r="925" spans="9:11" ht="14.25" customHeight="1">
      <c r="I925" s="4"/>
      <c r="J925" s="5"/>
      <c r="K925" s="5"/>
    </row>
    <row r="926" spans="9:11" ht="14.25" customHeight="1">
      <c r="I926" s="4"/>
      <c r="J926" s="5"/>
      <c r="K926" s="5"/>
    </row>
    <row r="927" spans="9:11" ht="14.25" customHeight="1">
      <c r="I927" s="4"/>
      <c r="J927" s="5"/>
      <c r="K927" s="5"/>
    </row>
    <row r="928" spans="9:11" ht="14.25" customHeight="1">
      <c r="I928" s="4"/>
      <c r="J928" s="5"/>
      <c r="K928" s="5"/>
    </row>
    <row r="929" spans="9:11" ht="14.25" customHeight="1">
      <c r="I929" s="4"/>
      <c r="J929" s="5"/>
      <c r="K929" s="5"/>
    </row>
    <row r="930" spans="9:11" ht="14.25" customHeight="1">
      <c r="I930" s="4"/>
      <c r="J930" s="5"/>
      <c r="K930" s="5"/>
    </row>
    <row r="931" spans="9:11" ht="14.25" customHeight="1">
      <c r="I931" s="4"/>
      <c r="J931" s="5"/>
      <c r="K931" s="5"/>
    </row>
    <row r="932" spans="9:11" ht="14.25" customHeight="1">
      <c r="I932" s="4"/>
      <c r="J932" s="5"/>
      <c r="K932" s="5"/>
    </row>
    <row r="933" spans="9:11" ht="14.25" customHeight="1">
      <c r="I933" s="4"/>
      <c r="J933" s="5"/>
      <c r="K933" s="5"/>
    </row>
    <row r="934" spans="9:11" ht="14.25" customHeight="1">
      <c r="I934" s="4"/>
      <c r="J934" s="5"/>
      <c r="K934" s="5"/>
    </row>
    <row r="935" spans="9:11" ht="14.25" customHeight="1">
      <c r="I935" s="4"/>
      <c r="J935" s="5"/>
      <c r="K935" s="5"/>
    </row>
    <row r="936" spans="9:11" ht="14.25" customHeight="1">
      <c r="I936" s="4"/>
      <c r="J936" s="5"/>
      <c r="K936" s="5"/>
    </row>
    <row r="937" spans="9:11" ht="14.25" customHeight="1">
      <c r="I937" s="4"/>
      <c r="J937" s="5"/>
      <c r="K937" s="5"/>
    </row>
    <row r="938" spans="9:11" ht="14.25" customHeight="1">
      <c r="I938" s="4"/>
      <c r="J938" s="5"/>
      <c r="K938" s="5"/>
    </row>
    <row r="939" spans="9:11" ht="14.25" customHeight="1">
      <c r="I939" s="4"/>
      <c r="J939" s="5"/>
      <c r="K939" s="5"/>
    </row>
    <row r="940" spans="9:11" ht="14.25" customHeight="1">
      <c r="I940" s="4"/>
      <c r="J940" s="5"/>
      <c r="K940" s="5"/>
    </row>
    <row r="941" spans="9:11" ht="14.25" customHeight="1">
      <c r="I941" s="4"/>
      <c r="J941" s="5"/>
      <c r="K941" s="5"/>
    </row>
    <row r="942" spans="9:11" ht="14.25" customHeight="1">
      <c r="I942" s="4"/>
      <c r="J942" s="5"/>
      <c r="K942" s="5"/>
    </row>
    <row r="943" spans="9:11" ht="14.25" customHeight="1">
      <c r="I943" s="4"/>
      <c r="J943" s="5"/>
      <c r="K943" s="5"/>
    </row>
    <row r="944" spans="9:11" ht="14.25" customHeight="1">
      <c r="I944" s="4"/>
      <c r="J944" s="5"/>
      <c r="K944" s="5"/>
    </row>
    <row r="945" spans="9:11" ht="14.25" customHeight="1">
      <c r="I945" s="4"/>
      <c r="J945" s="5"/>
      <c r="K945" s="5"/>
    </row>
    <row r="946" spans="9:11" ht="14.25" customHeight="1">
      <c r="I946" s="4"/>
      <c r="J946" s="5"/>
      <c r="K946" s="5"/>
    </row>
    <row r="947" spans="9:11" ht="14.25" customHeight="1">
      <c r="I947" s="4"/>
      <c r="J947" s="5"/>
      <c r="K947" s="5"/>
    </row>
    <row r="948" spans="9:11" ht="14.25" customHeight="1">
      <c r="I948" s="4"/>
      <c r="J948" s="5"/>
      <c r="K948" s="5"/>
    </row>
    <row r="949" spans="9:11" ht="14.25" customHeight="1">
      <c r="I949" s="4"/>
      <c r="J949" s="5"/>
      <c r="K949" s="5"/>
    </row>
    <row r="950" spans="9:11" ht="14.25" customHeight="1">
      <c r="I950" s="4"/>
      <c r="J950" s="5"/>
      <c r="K950" s="5"/>
    </row>
    <row r="951" spans="9:11" ht="14.25" customHeight="1">
      <c r="I951" s="4"/>
      <c r="J951" s="5"/>
      <c r="K951" s="5"/>
    </row>
    <row r="952" spans="9:11" ht="14.25" customHeight="1">
      <c r="I952" s="4"/>
      <c r="J952" s="5"/>
      <c r="K952" s="5"/>
    </row>
    <row r="953" spans="9:11" ht="14.25" customHeight="1">
      <c r="I953" s="4"/>
      <c r="J953" s="5"/>
      <c r="K953" s="5"/>
    </row>
    <row r="954" spans="9:11" ht="14.25" customHeight="1">
      <c r="I954" s="4"/>
      <c r="J954" s="5"/>
      <c r="K954" s="5"/>
    </row>
    <row r="955" spans="9:11" ht="14.25" customHeight="1">
      <c r="I955" s="4"/>
      <c r="J955" s="5"/>
      <c r="K955" s="5"/>
    </row>
    <row r="956" spans="9:11" ht="14.25" customHeight="1">
      <c r="I956" s="4"/>
      <c r="J956" s="5"/>
      <c r="K956" s="5"/>
    </row>
    <row r="957" spans="9:11" ht="14.25" customHeight="1">
      <c r="I957" s="4"/>
      <c r="J957" s="5"/>
      <c r="K957" s="5"/>
    </row>
    <row r="958" spans="9:11" ht="14.25" customHeight="1">
      <c r="I958" s="4"/>
      <c r="J958" s="5"/>
      <c r="K958" s="5"/>
    </row>
    <row r="959" spans="9:11" ht="14.25" customHeight="1">
      <c r="I959" s="4"/>
      <c r="J959" s="5"/>
      <c r="K959" s="5"/>
    </row>
    <row r="960" spans="9:11" ht="14.25" customHeight="1">
      <c r="I960" s="4"/>
      <c r="J960" s="5"/>
      <c r="K960" s="5"/>
    </row>
    <row r="961" spans="9:11" ht="14.25" customHeight="1">
      <c r="I961" s="4"/>
      <c r="J961" s="5"/>
      <c r="K961" s="5"/>
    </row>
    <row r="962" spans="9:11" ht="14.25" customHeight="1">
      <c r="I962" s="4"/>
      <c r="J962" s="5"/>
      <c r="K962" s="5"/>
    </row>
    <row r="963" spans="9:11" ht="14.25" customHeight="1">
      <c r="I963" s="4"/>
      <c r="J963" s="5"/>
      <c r="K963" s="5"/>
    </row>
    <row r="964" spans="9:11" ht="14.25" customHeight="1">
      <c r="I964" s="4"/>
      <c r="J964" s="5"/>
      <c r="K964" s="5"/>
    </row>
    <row r="965" spans="9:11" ht="14.25" customHeight="1">
      <c r="I965" s="4"/>
      <c r="J965" s="5"/>
      <c r="K965" s="5"/>
    </row>
    <row r="966" spans="9:11" ht="14.25" customHeight="1">
      <c r="I966" s="4"/>
      <c r="J966" s="5"/>
      <c r="K966" s="5"/>
    </row>
    <row r="967" spans="9:11" ht="14.25" customHeight="1">
      <c r="I967" s="4"/>
      <c r="J967" s="5"/>
      <c r="K967" s="5"/>
    </row>
    <row r="968" spans="9:11" ht="14.25" customHeight="1">
      <c r="I968" s="4"/>
      <c r="J968" s="5"/>
      <c r="K968" s="5"/>
    </row>
    <row r="969" spans="9:11" ht="14.25" customHeight="1">
      <c r="I969" s="4"/>
      <c r="J969" s="5"/>
      <c r="K969" s="5"/>
    </row>
    <row r="970" spans="9:11" ht="14.25" customHeight="1">
      <c r="I970" s="4"/>
      <c r="J970" s="5"/>
      <c r="K970" s="5"/>
    </row>
    <row r="971" spans="9:11" ht="14.25" customHeight="1">
      <c r="I971" s="4"/>
      <c r="J971" s="5"/>
      <c r="K971" s="5"/>
    </row>
    <row r="972" spans="9:11" ht="14.25" customHeight="1">
      <c r="I972" s="4"/>
      <c r="J972" s="5"/>
      <c r="K972" s="5"/>
    </row>
    <row r="973" spans="9:11" ht="14.25" customHeight="1">
      <c r="I973" s="4"/>
      <c r="J973" s="5"/>
      <c r="K973" s="5"/>
    </row>
    <row r="974" spans="9:11" ht="14.25" customHeight="1">
      <c r="I974" s="4"/>
      <c r="J974" s="5"/>
      <c r="K974" s="5"/>
    </row>
    <row r="975" spans="9:11" ht="14.25" customHeight="1">
      <c r="I975" s="4"/>
      <c r="J975" s="5"/>
      <c r="K975" s="5"/>
    </row>
    <row r="976" spans="9:11" ht="14.25" customHeight="1">
      <c r="I976" s="4"/>
      <c r="J976" s="5"/>
      <c r="K976" s="5"/>
    </row>
    <row r="977" spans="9:11" ht="14.25" customHeight="1">
      <c r="I977" s="4"/>
      <c r="J977" s="5"/>
      <c r="K977" s="5"/>
    </row>
    <row r="978" spans="9:11" ht="14.25" customHeight="1">
      <c r="I978" s="4"/>
      <c r="J978" s="5"/>
      <c r="K978" s="5"/>
    </row>
    <row r="979" spans="9:11" ht="14.25" customHeight="1">
      <c r="I979" s="4"/>
      <c r="J979" s="5"/>
      <c r="K979" s="5"/>
    </row>
    <row r="980" spans="9:11" ht="14.25" customHeight="1">
      <c r="I980" s="4"/>
      <c r="J980" s="5"/>
      <c r="K980" s="5"/>
    </row>
    <row r="981" spans="9:11" ht="14.25" customHeight="1">
      <c r="I981" s="4"/>
      <c r="J981" s="5"/>
      <c r="K981" s="5"/>
    </row>
    <row r="982" spans="9:11" ht="14.25" customHeight="1">
      <c r="I982" s="4"/>
      <c r="J982" s="5"/>
      <c r="K982" s="5"/>
    </row>
    <row r="983" spans="9:11" ht="14.25" customHeight="1">
      <c r="I983" s="4"/>
      <c r="J983" s="5"/>
      <c r="K983" s="5"/>
    </row>
    <row r="984" spans="9:11" ht="14.25" customHeight="1">
      <c r="I984" s="4"/>
      <c r="J984" s="5"/>
      <c r="K984" s="5"/>
    </row>
    <row r="985" spans="9:11" ht="14.25" customHeight="1">
      <c r="I985" s="4"/>
      <c r="J985" s="5"/>
      <c r="K985" s="5"/>
    </row>
    <row r="986" spans="9:11" ht="14.25" customHeight="1">
      <c r="I986" s="4"/>
      <c r="J986" s="5"/>
      <c r="K986" s="5"/>
    </row>
    <row r="987" spans="9:11" ht="14.25" customHeight="1">
      <c r="I987" s="4"/>
      <c r="J987" s="5"/>
      <c r="K987" s="5"/>
    </row>
    <row r="988" spans="9:11" ht="14.25" customHeight="1">
      <c r="I988" s="4"/>
      <c r="J988" s="5"/>
      <c r="K988" s="5"/>
    </row>
    <row r="989" spans="9:11" ht="14.25" customHeight="1">
      <c r="I989" s="4"/>
      <c r="J989" s="5"/>
      <c r="K989" s="5"/>
    </row>
    <row r="990" spans="9:11" ht="14.25" customHeight="1">
      <c r="I990" s="4"/>
      <c r="J990" s="5"/>
      <c r="K990" s="5"/>
    </row>
    <row r="991" spans="9:11" ht="14.25" customHeight="1">
      <c r="I991" s="4"/>
      <c r="J991" s="5"/>
      <c r="K991" s="5"/>
    </row>
    <row r="992" spans="9:11" ht="14.25" customHeight="1">
      <c r="I992" s="4"/>
      <c r="J992" s="5"/>
      <c r="K992" s="5"/>
    </row>
    <row r="993" spans="9:11" ht="14.25" customHeight="1">
      <c r="I993" s="4"/>
      <c r="J993" s="5"/>
      <c r="K993" s="5"/>
    </row>
    <row r="994" spans="9:11" ht="14.25" customHeight="1">
      <c r="I994" s="4"/>
      <c r="J994" s="5"/>
      <c r="K994" s="5"/>
    </row>
    <row r="995" spans="9:11" ht="14.25" customHeight="1">
      <c r="I995" s="4"/>
      <c r="J995" s="5"/>
      <c r="K995" s="5"/>
    </row>
    <row r="996" spans="9:11" ht="14.25" customHeight="1">
      <c r="I996" s="4"/>
      <c r="J996" s="5"/>
      <c r="K996" s="5"/>
    </row>
    <row r="997" spans="9:11" ht="14.25" customHeight="1">
      <c r="I997" s="4"/>
      <c r="J997" s="5"/>
      <c r="K997" s="5"/>
    </row>
    <row r="998" spans="9:11" ht="14.25" customHeight="1">
      <c r="I998" s="4"/>
      <c r="J998" s="5"/>
      <c r="K998" s="5"/>
    </row>
    <row r="999" spans="9:11" ht="14.25" customHeight="1">
      <c r="I999" s="4"/>
      <c r="J999" s="5"/>
      <c r="K999" s="5"/>
    </row>
    <row r="1000" spans="9:11" ht="14.25" customHeight="1">
      <c r="I1000" s="4"/>
      <c r="J1000" s="5"/>
      <c r="K1000" s="5"/>
    </row>
    <row r="1001" spans="9:11" ht="14.25" customHeight="1">
      <c r="I1001" s="4"/>
      <c r="J1001" s="5"/>
      <c r="K1001" s="5"/>
    </row>
    <row r="1002" spans="9:11" ht="14.25" customHeight="1">
      <c r="I1002" s="4"/>
      <c r="J1002" s="5"/>
      <c r="K1002" s="5"/>
    </row>
    <row r="1003" spans="9:11" ht="14.25" customHeight="1">
      <c r="I1003" s="4"/>
      <c r="J1003" s="5"/>
      <c r="K1003" s="5"/>
    </row>
    <row r="1004" spans="9:11" ht="14.25" customHeight="1">
      <c r="I1004" s="4"/>
      <c r="J1004" s="5"/>
      <c r="K1004" s="5"/>
    </row>
    <row r="1005" spans="9:11" ht="14.25" customHeight="1">
      <c r="I1005" s="4"/>
      <c r="J1005" s="5"/>
      <c r="K1005" s="5"/>
    </row>
    <row r="1006" spans="9:11" ht="14.25" customHeight="1">
      <c r="I1006" s="4"/>
      <c r="J1006" s="5"/>
      <c r="K1006" s="5"/>
    </row>
    <row r="1007" spans="9:11" ht="14.25" customHeight="1">
      <c r="I1007" s="4"/>
      <c r="J1007" s="5"/>
      <c r="K1007" s="5"/>
    </row>
    <row r="1008" spans="9:11" ht="14.25" customHeight="1">
      <c r="I1008" s="4"/>
      <c r="J1008" s="5"/>
      <c r="K1008" s="5"/>
    </row>
    <row r="1009" spans="9:11" ht="14.25" customHeight="1">
      <c r="I1009" s="4"/>
      <c r="J1009" s="5"/>
      <c r="K1009" s="5"/>
    </row>
    <row r="1010" spans="9:11" ht="14.25" customHeight="1">
      <c r="I1010" s="4"/>
      <c r="J1010" s="5"/>
      <c r="K1010" s="5"/>
    </row>
    <row r="1011" spans="9:11" ht="14.25" customHeight="1">
      <c r="I1011" s="4"/>
      <c r="J1011" s="5"/>
      <c r="K1011" s="5"/>
    </row>
    <row r="1012" spans="9:11" ht="14.25" customHeight="1">
      <c r="I1012" s="4"/>
      <c r="J1012" s="5"/>
      <c r="K1012" s="5"/>
    </row>
    <row r="1013" spans="9:11" ht="14.25" customHeight="1">
      <c r="I1013" s="4"/>
      <c r="J1013" s="5"/>
      <c r="K1013" s="5"/>
    </row>
    <row r="1014" spans="9:11" ht="14.25" customHeight="1">
      <c r="I1014" s="4"/>
      <c r="J1014" s="5"/>
      <c r="K1014" s="5"/>
    </row>
    <row r="1015" spans="9:11" ht="14.25" customHeight="1">
      <c r="I1015" s="4"/>
      <c r="J1015" s="5"/>
      <c r="K1015" s="5"/>
    </row>
    <row r="1016" spans="9:11" ht="14.25" customHeight="1">
      <c r="I1016" s="4"/>
      <c r="J1016" s="5"/>
      <c r="K1016" s="5"/>
    </row>
    <row r="1017" spans="9:11" ht="14.25" customHeight="1">
      <c r="I1017" s="4"/>
      <c r="J1017" s="5"/>
      <c r="K1017" s="5"/>
    </row>
    <row r="1018" spans="9:11" ht="14.25" customHeight="1">
      <c r="I1018" s="4"/>
      <c r="J1018" s="5"/>
      <c r="K1018" s="5"/>
    </row>
    <row r="1019" spans="9:11" ht="14.25" customHeight="1">
      <c r="I1019" s="4"/>
      <c r="J1019" s="5"/>
      <c r="K1019" s="5"/>
    </row>
    <row r="1020" spans="9:11" ht="14.25" customHeight="1">
      <c r="I1020" s="4"/>
      <c r="J1020" s="5"/>
      <c r="K1020" s="5"/>
    </row>
    <row r="1021" spans="9:11" ht="14.25" customHeight="1"/>
  </sheetData>
  <autoFilter ref="B4:O52" xr:uid="{00000000-0009-0000-0000-000000000000}"/>
  <mergeCells count="44">
    <mergeCell ref="B53:H53"/>
    <mergeCell ref="B58:H58"/>
    <mergeCell ref="B39:B40"/>
    <mergeCell ref="B41:B42"/>
    <mergeCell ref="B43:B44"/>
    <mergeCell ref="B49:H49"/>
    <mergeCell ref="B50:H50"/>
    <mergeCell ref="B34:B35"/>
    <mergeCell ref="B36:B38"/>
    <mergeCell ref="V31:W31"/>
    <mergeCell ref="B51:H51"/>
    <mergeCell ref="B52:H52"/>
    <mergeCell ref="B18:B19"/>
    <mergeCell ref="B21:B23"/>
    <mergeCell ref="B24:B25"/>
    <mergeCell ref="B28:B30"/>
    <mergeCell ref="B31:B33"/>
    <mergeCell ref="B16:B17"/>
    <mergeCell ref="N3:N4"/>
    <mergeCell ref="O3:O4"/>
    <mergeCell ref="P3:P4"/>
    <mergeCell ref="Q3:Q4"/>
    <mergeCell ref="M3:M4"/>
    <mergeCell ref="S3:S4"/>
    <mergeCell ref="U4:V4"/>
    <mergeCell ref="B5:B7"/>
    <mergeCell ref="B14:B15"/>
    <mergeCell ref="R3:R4"/>
    <mergeCell ref="X31:Y31"/>
    <mergeCell ref="U30:Y30"/>
    <mergeCell ref="B2:O2"/>
    <mergeCell ref="P2:Q2"/>
    <mergeCell ref="R2:S2"/>
    <mergeCell ref="B3:B4"/>
    <mergeCell ref="C3:C4"/>
    <mergeCell ref="D3:D4"/>
    <mergeCell ref="E3:E4"/>
    <mergeCell ref="F3:F4"/>
    <mergeCell ref="G3:G4"/>
    <mergeCell ref="H3:H4"/>
    <mergeCell ref="I3:I4"/>
    <mergeCell ref="J3:J4"/>
    <mergeCell ref="K3:K4"/>
    <mergeCell ref="L3:L4"/>
  </mergeCells>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48e42aa-7502-48aa-9973-d5430de63b43">
      <Terms xmlns="http://schemas.microsoft.com/office/infopath/2007/PartnerControls"/>
    </lcf76f155ced4ddcb4097134ff3c332f>
    <TaxCatchAll xmlns="3ba8be79-126f-4ecc-b268-0e8a1c9d82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B25C80BA76C054AAAC0D3CDDFCEC309" ma:contentTypeVersion="14" ma:contentTypeDescription="Create a new document." ma:contentTypeScope="" ma:versionID="d968673a7c3a10ddeefea4f97a096cd1">
  <xsd:schema xmlns:xsd="http://www.w3.org/2001/XMLSchema" xmlns:xs="http://www.w3.org/2001/XMLSchema" xmlns:p="http://schemas.microsoft.com/office/2006/metadata/properties" xmlns:ns2="3ba8be79-126f-4ecc-b268-0e8a1c9d820a" xmlns:ns3="348e42aa-7502-48aa-9973-d5430de63b43" targetNamespace="http://schemas.microsoft.com/office/2006/metadata/properties" ma:root="true" ma:fieldsID="65bd50756c71f8c38774f3a5c983a670" ns2:_="" ns3:_="">
    <xsd:import namespace="3ba8be79-126f-4ecc-b268-0e8a1c9d820a"/>
    <xsd:import namespace="348e42aa-7502-48aa-9973-d5430de63b4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a8be79-126f-4ecc-b268-0e8a1c9d820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554c7780-c79f-4b81-a1cc-c56cb19b1b79}" ma:internalName="TaxCatchAll" ma:showField="CatchAllData" ma:web="3ba8be79-126f-4ecc-b268-0e8a1c9d820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48e42aa-7502-48aa-9973-d5430de63b4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8080c10-e0a6-4b42-beda-2db26c8ffc2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4E08304-8F9E-4C12-A052-1CB601AD3F18}">
  <ds:schemaRefs>
    <ds:schemaRef ds:uri="http://schemas.microsoft.com/sharepoint/v3/contenttype/forms"/>
  </ds:schemaRefs>
</ds:datastoreItem>
</file>

<file path=customXml/itemProps2.xml><?xml version="1.0" encoding="utf-8"?>
<ds:datastoreItem xmlns:ds="http://schemas.openxmlformats.org/officeDocument/2006/customXml" ds:itemID="{B354E0E3-B8CD-4D6C-B72E-29F79DAFC778}">
  <ds:schemaRefs>
    <ds:schemaRef ds:uri="http://schemas.microsoft.com/office/2006/metadata/properties"/>
    <ds:schemaRef ds:uri="http://schemas.microsoft.com/office/infopath/2007/PartnerControls"/>
    <ds:schemaRef ds:uri="348e42aa-7502-48aa-9973-d5430de63b43"/>
    <ds:schemaRef ds:uri="3ba8be79-126f-4ecc-b268-0e8a1c9d820a"/>
  </ds:schemaRefs>
</ds:datastoreItem>
</file>

<file path=customXml/itemProps3.xml><?xml version="1.0" encoding="utf-8"?>
<ds:datastoreItem xmlns:ds="http://schemas.openxmlformats.org/officeDocument/2006/customXml" ds:itemID="{978251D3-A0EA-474D-921D-F62A090C1D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a8be79-126f-4ecc-b268-0e8a1c9d820a"/>
    <ds:schemaRef ds:uri="348e42aa-7502-48aa-9973-d5430de63b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2728984-5573-4501-93e1-26196c1472d0}" enabled="0" method="" siteId="{42728984-5573-4501-93e1-26196c1472d0}" removed="1"/>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Munkalapok</vt:lpstr>
      </vt:variant>
      <vt:variant>
        <vt:i4>1</vt:i4>
      </vt:variant>
      <vt:variant>
        <vt:lpstr>Névvel ellátott tartományok</vt:lpstr>
      </vt:variant>
      <vt:variant>
        <vt:i4>1</vt:i4>
      </vt:variant>
    </vt:vector>
  </HeadingPairs>
  <TitlesOfParts>
    <vt:vector size="2" baseType="lpstr">
      <vt:lpstr>Sheet1</vt:lpstr>
      <vt:lpstr>Sheet1!Nyomtatási_terület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Bence Bazsó</dc:creator>
  <dc:description/>
  <cp:lastModifiedBy>Bernadett Gugyella</cp:lastModifiedBy>
  <cp:revision>0</cp:revision>
  <dcterms:created xsi:type="dcterms:W3CDTF">2025-03-21T09:28:43Z</dcterms:created>
  <dcterms:modified xsi:type="dcterms:W3CDTF">2026-10-06T11:02:04Z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0x010100CB25C80BA76C054AAAC0D3CDDFCEC309</vt:lpwstr>
  </property>
  <property fmtid="{D5CDD505-2E9C-101B-9397-08002B2CF9AE}" pid="3" name="MediaServiceImageTags">
    <vt:lpwstr/>
  </property>
</Properties>
</file>